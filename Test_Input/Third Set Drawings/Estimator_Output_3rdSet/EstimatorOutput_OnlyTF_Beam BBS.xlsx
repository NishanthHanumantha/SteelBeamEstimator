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nth.h\SteelBeamEstimator\Test_Input\Third Set Drawings\Estimator_Output_3rdSet\"/>
    </mc:Choice>
  </mc:AlternateContent>
  <xr:revisionPtr revIDLastSave="0" documentId="13_ncr:1_{0ABD86C1-CB90-4B9A-B3D0-A6EA879476B0}" xr6:coauthVersionLast="47" xr6:coauthVersionMax="47" xr10:uidLastSave="{00000000-0000-0000-0000-000000000000}"/>
  <bookViews>
    <workbookView xWindow="-108" yWindow="-108" windowWidth="23256" windowHeight="12456" xr2:uid="{35CFDC40-F52D-4568-8FB5-8716E3DA17EB}"/>
  </bookViews>
  <sheets>
    <sheet name="Beam - Clubhouse 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\0">#REF!</definedName>
    <definedName name="\a">#REF!</definedName>
    <definedName name="\C">#REF!</definedName>
    <definedName name="\kl">#REF!</definedName>
    <definedName name="\l">#REF!</definedName>
    <definedName name="\p">#REF!</definedName>
    <definedName name="_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iv66666">#REF!</definedName>
    <definedName name="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>#REF!</definedName>
    <definedName name="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>#REF!</definedName>
    <definedName name="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>#REF!</definedName>
    <definedName name="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>#REF!</definedName>
    <definedName name="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>#REF!</definedName>
    <definedName name="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>#REF!</definedName>
    <definedName name="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>#REF!</definedName>
    <definedName name="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>#REF!</definedName>
    <definedName name="_________________________________b1">#REF!</definedName>
    <definedName name="_________________________________B10000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>#REF!</definedName>
    <definedName name="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>#REF!</definedName>
    <definedName name="_________________________________sdb2">#REF!</definedName>
    <definedName name="________________________________aj1">#REF!</definedName>
    <definedName name="________________________________b1">#REF!</definedName>
    <definedName name="________________________________B10000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>#REF!</definedName>
    <definedName name="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>#REF!</definedName>
    <definedName name="________________________________sdb2">#REF!</definedName>
    <definedName name="_______________________________aj1">#REF!</definedName>
    <definedName name="_______________________________b1">#REF!</definedName>
    <definedName name="_______________________________B10000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>#REF!</definedName>
    <definedName name="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>#REF!</definedName>
    <definedName name="______________________________aj1">#REF!</definedName>
    <definedName name="______________________________b1">#REF!</definedName>
    <definedName name="______________________________B10000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>#REF!</definedName>
    <definedName name="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>#REF!</definedName>
    <definedName name="______________________________sdb2">#REF!</definedName>
    <definedName name="_____________________________aj1">#REF!</definedName>
    <definedName name="_____________________________b1">#REF!</definedName>
    <definedName name="_____________________________B10000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>#REF!</definedName>
    <definedName name="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>#REF!</definedName>
    <definedName name="_____________________________sdb2">#REF!</definedName>
    <definedName name="____________________________aj1">#REF!</definedName>
    <definedName name="____________________________b1">#REF!</definedName>
    <definedName name="____________________________B10000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fS2">#REF!</definedName>
    <definedName name="____________________________iv66666">#REF!</definedName>
    <definedName name="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>#REF!</definedName>
    <definedName name="____________________________sdb2">#REF!</definedName>
    <definedName name="____________________________zz65536">#REF!</definedName>
    <definedName name="___________________________aj1">#REF!</definedName>
    <definedName name="___________________________b1">#REF!</definedName>
    <definedName name="___________________________B10000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>'[1]Estimate for approval'!$BQ:$BQ</definedName>
    <definedName name="___________________________iv66666">#REF!</definedName>
    <definedName name="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>#REF!</definedName>
    <definedName name="___________________________PO2">#REF!</definedName>
    <definedName name="___________________________sdb2">#REF!</definedName>
    <definedName name="___________________________zz65536">#REF!</definedName>
    <definedName name="__________________________A1">'[2]Rate analysis'!$C$2</definedName>
    <definedName name="__________________________aj1">#REF!</definedName>
    <definedName name="__________________________b1">#REF!</definedName>
    <definedName name="__________________________B10000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>'[1]Estimate for approval'!$BQ:$BQ</definedName>
    <definedName name="__________________________DIA1">#REF!</definedName>
    <definedName name="__________________________DIA2">#REF!</definedName>
    <definedName name="__________________________iv66666">#REF!</definedName>
    <definedName name="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>#REF!</definedName>
    <definedName name="__________________________PO2">#REF!</definedName>
    <definedName name="__________________________sdb2">#REF!</definedName>
    <definedName name="__________________________TB2">'[3]SPT vs PHI'!$B$2:$C$65</definedName>
    <definedName name="__________________________zz65536">#REF!</definedName>
    <definedName name="_________________________A1">'[2]Rate analysis'!$C$2</definedName>
    <definedName name="_________________________aj1">#REF!</definedName>
    <definedName name="_________________________b1">#REF!</definedName>
    <definedName name="_________________________B10000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>'[1]Estimate for approval'!$BQ:$BQ</definedName>
    <definedName name="_________________________iv66666">#REF!</definedName>
    <definedName name="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>#REF!</definedName>
    <definedName name="_________________________sdb2">#REF!</definedName>
    <definedName name="_________________________TB2">'[3]SPT vs PHI'!$B$2:$C$65</definedName>
    <definedName name="_________________________zz65536">#REF!</definedName>
    <definedName name="________________________A1">'[2]Rate analysis'!$C$2</definedName>
    <definedName name="________________________aj1">#REF!</definedName>
    <definedName name="________________________b1">#REF!</definedName>
    <definedName name="________________________B100000">#REF!</definedName>
    <definedName name="________________________bak151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>#REF!</definedName>
    <definedName name="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>'[1]Estimate for approval'!$BQ:$BQ</definedName>
    <definedName name="________________________DIA1">#REF!</definedName>
    <definedName name="________________________DIA2">#REF!</definedName>
    <definedName name="________________________iv66666">#REF!</definedName>
    <definedName name="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>#REF!</definedName>
    <definedName name="________________________PO2">#REF!</definedName>
    <definedName name="________________________sdb2">#REF!</definedName>
    <definedName name="________________________TB2">'[3]SPT vs PHI'!$B$2:$C$65</definedName>
    <definedName name="________________________zz65536">#REF!</definedName>
    <definedName name="_______________________A1">'[2]Rate analysis'!$C$2</definedName>
    <definedName name="_______________________aj1">#REF!</definedName>
    <definedName name="_______________________b1">#REF!</definedName>
    <definedName name="_______________________B100000">#REF!</definedName>
    <definedName name="_______________________bak151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>#REF!</definedName>
    <definedName name="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>'[1]Estimate for approval'!$BQ:$BQ</definedName>
    <definedName name="_______________________DIA1">#REF!</definedName>
    <definedName name="_______________________DIA2">#REF!</definedName>
    <definedName name="_______________________fab1">'[4]intr stool brkup'!$A$8:$D$53</definedName>
    <definedName name="_______________________iv66666">#REF!</definedName>
    <definedName name="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>#REF!</definedName>
    <definedName name="_______________________PO2">#REF!</definedName>
    <definedName name="_______________________sdb2">#REF!</definedName>
    <definedName name="_______________________TB2">'[3]SPT vs PHI'!$B$2:$C$65</definedName>
    <definedName name="_______________________zz65536">#REF!</definedName>
    <definedName name="______________________A1">'[2]Rate analysis'!$C$2</definedName>
    <definedName name="______________________aj1">#REF!</definedName>
    <definedName name="______________________b1">#REF!</definedName>
    <definedName name="______________________B100000">#REF!</definedName>
    <definedName name="______________________bak151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>#REF!</definedName>
    <definedName name="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>'[1]Estimate for approval'!$BQ:$BQ</definedName>
    <definedName name="______________________DIA1">#REF!</definedName>
    <definedName name="______________________DIA2">#REF!</definedName>
    <definedName name="______________________fab1">'[4]intr stool brkup'!$A$8:$D$53</definedName>
    <definedName name="______________________iv66666">#REF!</definedName>
    <definedName name="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>#REF!</definedName>
    <definedName name="______________________PO2">#REF!</definedName>
    <definedName name="______________________sdb2">#REF!</definedName>
    <definedName name="______________________TB2">'[3]SPT vs PHI'!$B$2:$C$65</definedName>
    <definedName name="______________________zz65536">#REF!</definedName>
    <definedName name="_____________________A1">'[2]Rate analysis'!$C$2</definedName>
    <definedName name="_____________________aj1">#REF!</definedName>
    <definedName name="_____________________b1">#REF!</definedName>
    <definedName name="_____________________B100000">#REF!</definedName>
    <definedName name="_____________________bak151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>#REF!</definedName>
    <definedName name="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>'[1]Estimate for approval'!$BQ:$BQ</definedName>
    <definedName name="_____________________DIA1">#REF!</definedName>
    <definedName name="_____________________DIA2">#REF!</definedName>
    <definedName name="_____________________fab1">'[4]intr stool brkup'!$A$8:$D$53</definedName>
    <definedName name="_____________________iv66666">#REF!</definedName>
    <definedName name="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>#REF!</definedName>
    <definedName name="_____________________PO2">#REF!</definedName>
    <definedName name="_____________________sdb2">#REF!</definedName>
    <definedName name="_____________________TB2">'[3]SPT vs PHI'!$B$2:$C$65</definedName>
    <definedName name="_____________________zz65536">#REF!</definedName>
    <definedName name="____________________A1">'[2]Rate analysis'!$C$2</definedName>
    <definedName name="____________________aj1">#REF!</definedName>
    <definedName name="____________________b1">#REF!</definedName>
    <definedName name="____________________B100000">#REF!</definedName>
    <definedName name="____________________bak151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>#REF!</definedName>
    <definedName name="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>'[1]Estimate for approval'!$BQ:$BQ</definedName>
    <definedName name="____________________DIA1">#REF!</definedName>
    <definedName name="____________________DIA2">#REF!</definedName>
    <definedName name="____________________fab1">'[4]intr stool brkup'!$A$8:$D$53</definedName>
    <definedName name="____________________iv66666">#REF!</definedName>
    <definedName name="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>#REF!</definedName>
    <definedName name="____________________PO2">#REF!</definedName>
    <definedName name="____________________sdb2">#REF!</definedName>
    <definedName name="____________________TB2">'[3]SPT vs PHI'!$B$2:$C$65</definedName>
    <definedName name="____________________zz65536">#REF!</definedName>
    <definedName name="___________________A1">'[2]Rate analysis'!$C$2</definedName>
    <definedName name="___________________aj1">#REF!</definedName>
    <definedName name="___________________b1">#REF!</definedName>
    <definedName name="___________________B100000">#REF!</definedName>
    <definedName name="___________________bak151">#REF!</definedName>
    <definedName name="___________________bol1">#REF!</definedName>
    <definedName name="___________________can430">40.73</definedName>
    <definedName name="___________________can435">43.3</definedName>
    <definedName name="___________________cbd148">#REF!</definedName>
    <definedName name="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>'[1]Estimate for approval'!$BQ:$BQ</definedName>
    <definedName name="___________________DIA1">#REF!</definedName>
    <definedName name="___________________DIA2">#REF!</definedName>
    <definedName name="___________________fab1">'[4]intr stool brkup'!$A$8:$D$53</definedName>
    <definedName name="___________________FLG2">#REF!</definedName>
    <definedName name="___________________iv66666">#REF!</definedName>
    <definedName name="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>#REF!</definedName>
    <definedName name="___________________PO2">#REF!</definedName>
    <definedName name="___________________sdb2">#REF!</definedName>
    <definedName name="___________________TB2">'[3]SPT vs PHI'!$B$2:$C$65</definedName>
    <definedName name="___________________zz65536">#REF!</definedName>
    <definedName name="__________________A1">'[2]Rate analysis'!$C$2</definedName>
    <definedName name="__________________aj1">#REF!</definedName>
    <definedName name="__________________b1">#REF!</definedName>
    <definedName name="__________________B100000">#REF!</definedName>
    <definedName name="__________________bak151">#REF!</definedName>
    <definedName name="__________________bol1">#REF!</definedName>
    <definedName name="__________________can430">40.73</definedName>
    <definedName name="__________________can435">43.3</definedName>
    <definedName name="__________________cbd148">#REF!</definedName>
    <definedName name="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>'[1]Estimate for approval'!$BQ$1:$BQ$65536</definedName>
    <definedName name="__________________DIA1">#REF!</definedName>
    <definedName name="__________________DIA2">#REF!</definedName>
    <definedName name="__________________fab1">'[4]intr stool brkup'!$A$8:$D$53</definedName>
    <definedName name="__________________FLG2">#REF!</definedName>
    <definedName name="__________________iv66666">#REF!</definedName>
    <definedName name="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>#REF!</definedName>
    <definedName name="__________________PO2">#REF!</definedName>
    <definedName name="__________________sdb2">#REF!</definedName>
    <definedName name="__________________TB2">'[3]SPT vs PHI'!$B$2:$C$65</definedName>
    <definedName name="__________________zz65536">#REF!</definedName>
    <definedName name="_________________A1">'[2]Rate analysis'!$C$2</definedName>
    <definedName name="_________________aj1">#REF!</definedName>
    <definedName name="_________________b1">#REF!</definedName>
    <definedName name="_________________B100000">#REF!</definedName>
    <definedName name="_________________bak151">#REF!</definedName>
    <definedName name="_________________bol1">#REF!</definedName>
    <definedName name="_________________can430">40.73</definedName>
    <definedName name="_________________can435">43.3</definedName>
    <definedName name="_________________cbd148">#REF!</definedName>
    <definedName name="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>'[1]Estimate for approval'!$BQ$1:$BQ$65536</definedName>
    <definedName name="_________________DIA1">#REF!</definedName>
    <definedName name="_________________dia10">'[5]Rft Footing Blk 1'!$L$26</definedName>
    <definedName name="_________________dia12">'[5]Rft Footing Blk 1'!$M$26</definedName>
    <definedName name="_________________dia16">'[5]Rft Footing Blk 1'!$N$26</definedName>
    <definedName name="_________________DIA2">#REF!</definedName>
    <definedName name="_________________dia20">'[5]Rft Footing Blk 1'!$O$26</definedName>
    <definedName name="_________________dia25">'[5]Rft Footing Blk 1'!$P$26</definedName>
    <definedName name="_________________dia8">'[5]Rft Footing Blk 1'!$K$26</definedName>
    <definedName name="_________________fab1">'[4]intr stool brkup'!$A$8:$D$53</definedName>
    <definedName name="_________________FLG2">#REF!</definedName>
    <definedName name="_________________iv66666">#REF!</definedName>
    <definedName name="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>#REF!</definedName>
    <definedName name="_________________PO2">#REF!</definedName>
    <definedName name="_________________sdb2">#REF!</definedName>
    <definedName name="_________________TB2">'[3]SPT vs PHI'!$B$2:$C$65</definedName>
    <definedName name="_________________UGF1">'[5]Column Blk 1'!$C$651</definedName>
    <definedName name="_________________zz65536">#REF!</definedName>
    <definedName name="________________A1">'[2]Rate analysis'!$C$2</definedName>
    <definedName name="________________aj1">#REF!</definedName>
    <definedName name="________________b1">#REF!</definedName>
    <definedName name="________________B100000">#REF!</definedName>
    <definedName name="________________bak151">#REF!</definedName>
    <definedName name="________________bol1">#REF!</definedName>
    <definedName name="________________can430">40.73</definedName>
    <definedName name="________________can435">43.3</definedName>
    <definedName name="________________cbd148">#REF!</definedName>
    <definedName name="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>'[1]Estimate for approval'!$BQ$1:$BQ$65536</definedName>
    <definedName name="________________DIA1">#REF!</definedName>
    <definedName name="________________dia10">'[5]Rft Footing Blk 1'!$L$26</definedName>
    <definedName name="________________dia12">'[5]Rft Footing Blk 1'!$M$26</definedName>
    <definedName name="________________dia16">'[5]Rft Footing Blk 1'!$N$26</definedName>
    <definedName name="________________DIA2">#REF!</definedName>
    <definedName name="________________dia20">'[5]Rft Footing Blk 1'!$O$26</definedName>
    <definedName name="________________dia25">'[5]Rft Footing Blk 1'!$P$26</definedName>
    <definedName name="________________dia8">'[5]Rft Footing Blk 1'!$K$26</definedName>
    <definedName name="________________fab1">'[4]intr stool brkup'!$A$8:$D$53</definedName>
    <definedName name="________________FLG2">#REF!</definedName>
    <definedName name="________________iv66666">#REF!</definedName>
    <definedName name="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>#REF!</definedName>
    <definedName name="________________PO2">#REF!</definedName>
    <definedName name="________________sdb2">#REF!</definedName>
    <definedName name="________________TB2">'[3]SPT vs PHI'!$B$2:$C$65</definedName>
    <definedName name="________________UGF1">'[5]Column Blk 1'!$C$651</definedName>
    <definedName name="________________zz65536">#REF!</definedName>
    <definedName name="_______________A1">'[2]Rate analysis'!$C$2</definedName>
    <definedName name="_______________aj1">#REF!</definedName>
    <definedName name="_______________b1">#REF!</definedName>
    <definedName name="_______________B100000">#REF!</definedName>
    <definedName name="_______________bak151">#REF!</definedName>
    <definedName name="_______________bol1">#REF!</definedName>
    <definedName name="_______________can430">40.73</definedName>
    <definedName name="_______________can435">43.3</definedName>
    <definedName name="_______________cbd148">#REF!</definedName>
    <definedName name="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>'[1]Estimate for approval'!$BQ$1:$BQ$65536</definedName>
    <definedName name="_______________DIA1">#REF!</definedName>
    <definedName name="_______________dia10">'[5]Rft Footing Blk 1'!$L$26</definedName>
    <definedName name="_______________dia12">'[5]Rft Footing Blk 1'!$M$26</definedName>
    <definedName name="_______________dia16">'[5]Rft Footing Blk 1'!$N$26</definedName>
    <definedName name="_______________DIA2">#REF!</definedName>
    <definedName name="_______________dia20">'[5]Rft Footing Blk 1'!$O$26</definedName>
    <definedName name="_______________dia25">'[5]Rft Footing Blk 1'!$P$26</definedName>
    <definedName name="_______________dia8">'[5]Rft Footing Blk 1'!$K$26</definedName>
    <definedName name="_______________fab1">'[4]intr stool brkup'!$A$8:$D$53</definedName>
    <definedName name="_______________FLG2">#REF!</definedName>
    <definedName name="_______________iv66666">#REF!</definedName>
    <definedName name="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>#REF!</definedName>
    <definedName name="_______________PO2">#REF!</definedName>
    <definedName name="_______________sdb2">#REF!</definedName>
    <definedName name="_______________TB2">'[3]SPT vs PHI'!$B$2:$C$65</definedName>
    <definedName name="_______________UGF1">'[5]Column Blk 1'!$C$651</definedName>
    <definedName name="_______________zz65536">#REF!</definedName>
    <definedName name="______________A1">'[2]Rate analysis'!$C$2</definedName>
    <definedName name="______________aj1">#REF!</definedName>
    <definedName name="______________b1">#REF!</definedName>
    <definedName name="______________B100000">#REF!</definedName>
    <definedName name="______________bak151">#REF!</definedName>
    <definedName name="______________bol1">#REF!</definedName>
    <definedName name="______________can430">40.73</definedName>
    <definedName name="______________can435">43.3</definedName>
    <definedName name="______________cbd148">#REF!</definedName>
    <definedName name="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>'[1]Estimate for approval'!$BQ:$BQ</definedName>
    <definedName name="______________DIA1">#REF!</definedName>
    <definedName name="______________dia10">'[5]Rft Footing Blk 1'!$L$26</definedName>
    <definedName name="______________dia12">'[5]Rft Footing Blk 1'!$M$26</definedName>
    <definedName name="______________dia16">'[5]Rft Footing Blk 1'!$N$26</definedName>
    <definedName name="______________DIA2">#REF!</definedName>
    <definedName name="______________dia20">'[5]Rft Footing Blk 1'!$O$26</definedName>
    <definedName name="______________dia25">'[5]Rft Footing Blk 1'!$P$26</definedName>
    <definedName name="______________dia8">'[5]Rft Footing Blk 1'!$K$26</definedName>
    <definedName name="______________fab1">'[4]intr stool brkup'!$A$8:$D$53</definedName>
    <definedName name="______________iv66666">#REF!</definedName>
    <definedName name="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>#REF!</definedName>
    <definedName name="______________PO2">#REF!</definedName>
    <definedName name="______________sdb2">#REF!</definedName>
    <definedName name="______________TB2">'[3]SPT vs PHI'!$B$2:$C$65</definedName>
    <definedName name="______________UGF1">'[5]Column Blk 1'!$C$651</definedName>
    <definedName name="______________zz65536">#REF!</definedName>
    <definedName name="_____________A1">'[2]Rate analysis'!$C$2</definedName>
    <definedName name="_____________aj1">#REF!</definedName>
    <definedName name="_____________b1">#REF!</definedName>
    <definedName name="_____________B100000">#REF!</definedName>
    <definedName name="_____________bak151">#REF!</definedName>
    <definedName name="_____________bol1">#REF!</definedName>
    <definedName name="_____________can430">40.73</definedName>
    <definedName name="_____________can435">43.3</definedName>
    <definedName name="_____________cbd148">#REF!</definedName>
    <definedName name="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>'[1]Estimate for approval'!$BQ$1:$BQ$65536</definedName>
    <definedName name="_____________DIA1">#REF!</definedName>
    <definedName name="_____________dia10">'[5]Rft Footing Blk 1'!$L$26</definedName>
    <definedName name="_____________dia12">'[5]Rft Footing Blk 1'!$M$26</definedName>
    <definedName name="_____________dia16">'[5]Rft Footing Blk 1'!$N$26</definedName>
    <definedName name="_____________DIA2">#REF!</definedName>
    <definedName name="_____________dia20">'[5]Rft Footing Blk 1'!$O$26</definedName>
    <definedName name="_____________dia25">'[5]Rft Footing Blk 1'!$P$26</definedName>
    <definedName name="_____________dia8">'[5]Rft Footing Blk 1'!$K$26</definedName>
    <definedName name="_____________fab1">'[4]intr stool brkup'!$A$8:$D$53</definedName>
    <definedName name="_____________FLG2">#REF!</definedName>
    <definedName name="_____________iv66666">#REF!</definedName>
    <definedName name="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>#REF!</definedName>
    <definedName name="_____________PO2">#REF!</definedName>
    <definedName name="_____________sdb2">#REF!</definedName>
    <definedName name="_____________TB2">'[4]SPT vs PHI'!$B$2:$C$65</definedName>
    <definedName name="_____________UGF1">'[5]Column Blk 1'!$C$651</definedName>
    <definedName name="_____________zz65536">#REF!</definedName>
    <definedName name="____________A1">'[2]Rate analysis'!$C$2</definedName>
    <definedName name="____________aj1">#REF!</definedName>
    <definedName name="____________b1">#REF!</definedName>
    <definedName name="____________B100000">#REF!</definedName>
    <definedName name="____________bak151">#REF!</definedName>
    <definedName name="____________bol1">#REF!</definedName>
    <definedName name="____________can430">40.73</definedName>
    <definedName name="____________can435">43.3</definedName>
    <definedName name="____________cbd148">#REF!</definedName>
    <definedName name="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>'[1]Estimate for approval'!$BQ$1:$BQ$65536</definedName>
    <definedName name="____________DIA1">#REF!</definedName>
    <definedName name="____________dia10">'[5]Rft Footing Blk 1'!$L$26</definedName>
    <definedName name="____________dia12">'[5]Rft Footing Blk 1'!$M$26</definedName>
    <definedName name="____________dia16">'[5]Rft Footing Blk 1'!$N$26</definedName>
    <definedName name="____________DIA2">#REF!</definedName>
    <definedName name="____________dia20">'[5]Rft Footing Blk 1'!$O$26</definedName>
    <definedName name="____________dia25">'[5]Rft Footing Blk 1'!$P$26</definedName>
    <definedName name="____________dia8">'[5]Rft Footing Blk 1'!$K$26</definedName>
    <definedName name="____________fab1">'[4]intr stool brkup'!$A$8:$D$53</definedName>
    <definedName name="____________FLG2">#REF!</definedName>
    <definedName name="____________iv66666">#REF!</definedName>
    <definedName name="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>#REF!</definedName>
    <definedName name="____________PO2">#REF!</definedName>
    <definedName name="____________sdb2">#REF!</definedName>
    <definedName name="____________TB2">'[3]SPT vs PHI'!$B$2:$C$65</definedName>
    <definedName name="____________UGF1">'[5]Column Blk 1'!$C$651</definedName>
    <definedName name="____________zz65536">#REF!</definedName>
    <definedName name="___________A1">'[2]Rate analysis'!$C$2</definedName>
    <definedName name="___________aj1">#REF!</definedName>
    <definedName name="___________b1">#REF!</definedName>
    <definedName name="___________B100000">#REF!</definedName>
    <definedName name="___________bak151">#REF!</definedName>
    <definedName name="___________bol1">#REF!</definedName>
    <definedName name="___________can430">40.73</definedName>
    <definedName name="___________can435">43.3</definedName>
    <definedName name="___________cbd148">#REF!</definedName>
    <definedName name="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>'[1]Estimate for approval'!$BQ$1:$BQ$65536</definedName>
    <definedName name="___________DIA1">#REF!</definedName>
    <definedName name="___________dia10">'[5]Rft Footing Blk 1'!$L$26</definedName>
    <definedName name="___________dia12">'[5]Rft Footing Blk 1'!$M$26</definedName>
    <definedName name="___________dia16">'[5]Rft Footing Blk 1'!$N$26</definedName>
    <definedName name="___________DIA2">#REF!</definedName>
    <definedName name="___________dia20">'[5]Rft Footing Blk 1'!$O$26</definedName>
    <definedName name="___________dia25">'[5]Rft Footing Blk 1'!$P$26</definedName>
    <definedName name="___________dia8">'[5]Rft Footing Blk 1'!$K$26</definedName>
    <definedName name="___________fab1">'[5]intr stool brkup'!$A$8:$D$53</definedName>
    <definedName name="___________FLG2">#REF!</definedName>
    <definedName name="___________iv66666">#REF!</definedName>
    <definedName name="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>#REF!</definedName>
    <definedName name="___________PO1">#REF!</definedName>
    <definedName name="___________PO2">#REF!</definedName>
    <definedName name="___________sdb2">#REF!</definedName>
    <definedName name="___________TB2">'[4]SPT vs PHI'!$B$2:$C$65</definedName>
    <definedName name="___________UGF1">'[5]Column Blk 1'!$C$651</definedName>
    <definedName name="___________zz65536">#REF!</definedName>
    <definedName name="__________A1">'[2]Rate analysis'!$C$2</definedName>
    <definedName name="__________aj1">#REF!</definedName>
    <definedName name="__________b1">#REF!</definedName>
    <definedName name="__________B100000">#REF!</definedName>
    <definedName name="__________bak151">#REF!</definedName>
    <definedName name="__________bol1">#REF!</definedName>
    <definedName name="__________can430">40.73</definedName>
    <definedName name="__________can435">43.3</definedName>
    <definedName name="__________cbd148">#REF!</definedName>
    <definedName name="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>'[1]Estimate for approval'!$BQ$1:$BQ$65536</definedName>
    <definedName name="__________DIA1">#REF!</definedName>
    <definedName name="__________dia10">'[5]Rft Footing Blk 1'!$L$26</definedName>
    <definedName name="__________dia12">'[5]Rft Footing Blk 1'!$M$26</definedName>
    <definedName name="__________dia16">'[5]Rft Footing Blk 1'!$N$26</definedName>
    <definedName name="__________DIA2">#REF!</definedName>
    <definedName name="__________dia20">'[5]Rft Footing Blk 1'!$O$26</definedName>
    <definedName name="__________dia25">'[5]Rft Footing Blk 1'!$P$26</definedName>
    <definedName name="__________dia8">'[5]Rft Footing Blk 1'!$K$26</definedName>
    <definedName name="__________fab1">'[4]intr stool brkup'!$A$8:$D$53</definedName>
    <definedName name="__________FLG2">#REF!</definedName>
    <definedName name="__________iv66666">#REF!</definedName>
    <definedName name="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>#REF!</definedName>
    <definedName name="__________PO1">#REF!</definedName>
    <definedName name="__________PO2">#REF!</definedName>
    <definedName name="__________sdb2">#REF!</definedName>
    <definedName name="__________TB2">'[4]SPT vs PHI'!$B$2:$C$65</definedName>
    <definedName name="__________UGF1">'[5]Column Blk 1'!$C$651</definedName>
    <definedName name="__________zz65536">#REF!</definedName>
    <definedName name="_________A1">'[2]Rate analysis'!$C$2</definedName>
    <definedName name="_________aj1">#REF!</definedName>
    <definedName name="_________b1">#REF!</definedName>
    <definedName name="_________B100000">#REF!</definedName>
    <definedName name="_________bak151">#REF!</definedName>
    <definedName name="_________bol1">#REF!</definedName>
    <definedName name="_________can430">40.73</definedName>
    <definedName name="_________can435">43.3</definedName>
    <definedName name="_________cbd148">#REF!</definedName>
    <definedName name="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>#REF!</definedName>
    <definedName name="_________DIA1">#REF!</definedName>
    <definedName name="_________dia10">'[5]Rft Footing Blk 1'!$L$26</definedName>
    <definedName name="_________dia12">'[5]Rft Footing Blk 1'!$M$26</definedName>
    <definedName name="_________dia16">'[5]Rft Footing Blk 1'!$N$26</definedName>
    <definedName name="_________DIA2">#REF!</definedName>
    <definedName name="_________dia20">'[5]Rft Footing Blk 1'!$O$26</definedName>
    <definedName name="_________dia25">'[5]Rft Footing Blk 1'!$P$26</definedName>
    <definedName name="_________dia8">'[5]Rft Footing Blk 1'!$K$26</definedName>
    <definedName name="_________fab1">'[5]intr stool brkup'!$A$8:$D$53</definedName>
    <definedName name="_________FLG2">#REF!</definedName>
    <definedName name="_________iv66666">#REF!</definedName>
    <definedName name="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>#REF!</definedName>
    <definedName name="_________PO1">#REF!</definedName>
    <definedName name="_________PO2">#REF!</definedName>
    <definedName name="_________sdb2">#REF!</definedName>
    <definedName name="_________TB2">'[4]SPT vs PHI'!$B$2:$C$65</definedName>
    <definedName name="_________UGF1">'[5]Column Blk 1'!$C$651</definedName>
    <definedName name="_________zz65536">#REF!</definedName>
    <definedName name="________A1">'[2]Rate analysis'!$C$2</definedName>
    <definedName name="________aj1">#REF!</definedName>
    <definedName name="________b1">#REF!</definedName>
    <definedName name="________B100000">#REF!</definedName>
    <definedName name="________bak151">#REF!</definedName>
    <definedName name="________bol1">#REF!</definedName>
    <definedName name="________can430">40.73</definedName>
    <definedName name="________can435">43.3</definedName>
    <definedName name="________cbd148">#REF!</definedName>
    <definedName name="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>#REF!</definedName>
    <definedName name="________DIA1">#REF!</definedName>
    <definedName name="________dia10">'[5]Rft Footing Blk 1'!$L$26</definedName>
    <definedName name="________dia12">'[5]Rft Footing Blk 1'!$M$26</definedName>
    <definedName name="________dia16">'[5]Rft Footing Blk 1'!$N$26</definedName>
    <definedName name="________DIA2">#REF!</definedName>
    <definedName name="________dia20">'[5]Rft Footing Blk 1'!$O$26</definedName>
    <definedName name="________dia25">'[5]Rft Footing Blk 1'!$P$26</definedName>
    <definedName name="________dia8">'[5]Rft Footing Blk 1'!$K$26</definedName>
    <definedName name="________fab1">'[5]intr stool brkup'!$A$8:$D$53</definedName>
    <definedName name="________FLG2">#REF!</definedName>
    <definedName name="________iv66666">#REF!</definedName>
    <definedName name="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>#REF!</definedName>
    <definedName name="________PO1">#REF!</definedName>
    <definedName name="________PO2">#REF!</definedName>
    <definedName name="________sdb2">#REF!</definedName>
    <definedName name="________TB2">'[4]SPT vs PHI'!$B$2:$C$65</definedName>
    <definedName name="________UGF1">'[5]Column Blk 1'!$C$651</definedName>
    <definedName name="________zz65536">#REF!</definedName>
    <definedName name="_______A1">'[2]Rate analysis'!$C$2</definedName>
    <definedName name="_______aj1">#REF!</definedName>
    <definedName name="_______b1">#REF!</definedName>
    <definedName name="_______B100000">#REF!</definedName>
    <definedName name="_______bak151">#REF!</definedName>
    <definedName name="_______bol1">#REF!</definedName>
    <definedName name="_______can430">40.73</definedName>
    <definedName name="_______can435">43.3</definedName>
    <definedName name="_______cbd148">#REF!</definedName>
    <definedName name="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>#REF!</definedName>
    <definedName name="_______DIA1">#REF!</definedName>
    <definedName name="_______dia10">'[5]Rft Footing Blk 1'!$L$26</definedName>
    <definedName name="_______dia12">'[5]Rft Footing Blk 1'!$M$26</definedName>
    <definedName name="_______dia16">'[5]Rft Footing Blk 1'!$N$26</definedName>
    <definedName name="_______DIA2">#REF!</definedName>
    <definedName name="_______dia20">'[5]Rft Footing Blk 1'!$O$26</definedName>
    <definedName name="_______dia25">'[5]Rft Footing Blk 1'!$P$26</definedName>
    <definedName name="_______dia8">'[5]Rft Footing Blk 1'!$K$26</definedName>
    <definedName name="_______fab1">'[5]intr stool brkup'!$A$8:$D$53</definedName>
    <definedName name="_______FLG2">#REF!</definedName>
    <definedName name="_______iv66666">#REF!</definedName>
    <definedName name="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>#REF!</definedName>
    <definedName name="_______PO1">#REF!</definedName>
    <definedName name="_______PO2">#REF!</definedName>
    <definedName name="_______sdb2">#REF!</definedName>
    <definedName name="_______TB2">'[4]SPT vs PHI'!$B$2:$C$65</definedName>
    <definedName name="_______UGF1">'[5]Column Blk 1'!$C$651</definedName>
    <definedName name="_______zz65536">#REF!</definedName>
    <definedName name="______A1">'[2]Rate analysis'!$C$2</definedName>
    <definedName name="______aj1">#REF!</definedName>
    <definedName name="______b1">#REF!</definedName>
    <definedName name="______B100000">#REF!</definedName>
    <definedName name="______bak151">#REF!</definedName>
    <definedName name="______bol1">#REF!</definedName>
    <definedName name="______can430">40.73</definedName>
    <definedName name="______can435">43.3</definedName>
    <definedName name="______cbd148">#REF!</definedName>
    <definedName name="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>#REF!</definedName>
    <definedName name="______DIA1">#REF!</definedName>
    <definedName name="______dia10">'[5]Rft Footing Blk 1'!$L$26</definedName>
    <definedName name="______dia12">'[5]Rft Footing Blk 1'!$M$26</definedName>
    <definedName name="______dia16">'[5]Rft Footing Blk 1'!$N$26</definedName>
    <definedName name="______DIA2">#REF!</definedName>
    <definedName name="______dia20">'[5]Rft Footing Blk 1'!$O$26</definedName>
    <definedName name="______dia25">'[5]Rft Footing Blk 1'!$P$26</definedName>
    <definedName name="______dia8">'[5]Rft Footing Blk 1'!$K$26</definedName>
    <definedName name="______fab1">'[5]intr stool brkup'!$A$8:$D$53</definedName>
    <definedName name="______FLG2">#REF!</definedName>
    <definedName name="______iv66666">#REF!</definedName>
    <definedName name="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>#REF!</definedName>
    <definedName name="______PO1">#REF!</definedName>
    <definedName name="______PO2">#REF!</definedName>
    <definedName name="______sdb2">#REF!</definedName>
    <definedName name="______TB2">'[4]SPT vs PHI'!$B$2:$C$65</definedName>
    <definedName name="______UGF1">'[5]Column Blk 1'!$C$651</definedName>
    <definedName name="______zz65536">#REF!</definedName>
    <definedName name="_____A1">'[2]Rate analysis'!$C$2</definedName>
    <definedName name="_____aj1">#REF!</definedName>
    <definedName name="_____b1">#REF!</definedName>
    <definedName name="_____B100000">#REF!</definedName>
    <definedName name="_____bak151">#REF!</definedName>
    <definedName name="_____bol1">#REF!</definedName>
    <definedName name="_____can430">40.73</definedName>
    <definedName name="_____can435">43.3</definedName>
    <definedName name="_____cbd148">#REF!</definedName>
    <definedName name="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>#REF!</definedName>
    <definedName name="_____DIA1">#REF!</definedName>
    <definedName name="_____dia10">'[5]Rft Footing Blk 1'!$L$26</definedName>
    <definedName name="_____dia12">'[5]Rft Footing Blk 1'!$M$26</definedName>
    <definedName name="_____dia16">'[5]Rft Footing Blk 1'!$N$26</definedName>
    <definedName name="_____DIA2">#REF!</definedName>
    <definedName name="_____dia20">'[5]Rft Footing Blk 1'!$O$26</definedName>
    <definedName name="_____dia25">'[5]Rft Footing Blk 1'!$P$26</definedName>
    <definedName name="_____dia8">'[5]Rft Footing Blk 1'!$K$26</definedName>
    <definedName name="_____fab1">'[5]intr stool brkup'!$A$8:$D$53</definedName>
    <definedName name="_____FLG2">#REF!</definedName>
    <definedName name="_____iv66666">#REF!</definedName>
    <definedName name="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>#REF!</definedName>
    <definedName name="_____PO1">#REF!</definedName>
    <definedName name="_____PO2">#REF!</definedName>
    <definedName name="_____sdb2">#REF!</definedName>
    <definedName name="_____TB2">'[4]SPT vs PHI'!$B$2:$C$65</definedName>
    <definedName name="_____UGF1">'[5]Column Blk 1'!$C$651</definedName>
    <definedName name="_____zz65536">#REF!</definedName>
    <definedName name="____A1">'[2]Rate analysis'!$C$2</definedName>
    <definedName name="____aj1">#REF!</definedName>
    <definedName name="____b1">#REF!</definedName>
    <definedName name="____B100000">#REF!</definedName>
    <definedName name="____bak151">#REF!</definedName>
    <definedName name="____bol1">#REF!</definedName>
    <definedName name="____can430">40.73</definedName>
    <definedName name="____can435">43.3</definedName>
    <definedName name="____cbd148">#REF!</definedName>
    <definedName name="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>#REF!</definedName>
    <definedName name="____DIA1">#REF!</definedName>
    <definedName name="____dia10">'[5]Rft Footing Blk 1'!$L$26</definedName>
    <definedName name="____dia12">'[5]Rft Footing Blk 1'!$M$26</definedName>
    <definedName name="____dia16">'[5]Rft Footing Blk 1'!$N$26</definedName>
    <definedName name="____DIA2">#REF!</definedName>
    <definedName name="____dia20">'[5]Rft Footing Blk 1'!$O$26</definedName>
    <definedName name="____dia25">'[5]Rft Footing Blk 1'!$P$26</definedName>
    <definedName name="____dia8">'[5]Rft Footing Blk 1'!$K$26</definedName>
    <definedName name="____fab1">'[5]intr stool brkup'!$A$8:$D$53</definedName>
    <definedName name="____FLG2">#REF!</definedName>
    <definedName name="____iv66666">#REF!</definedName>
    <definedName name="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Q2" hidden="1">#REF!</definedName>
    <definedName name="____MS010">#REF!</definedName>
    <definedName name="____PO1">#REF!</definedName>
    <definedName name="____PO2">#REF!</definedName>
    <definedName name="____sdb2">#REF!</definedName>
    <definedName name="____TB2">'[4]SPT vs PHI'!$B$2:$C$65</definedName>
    <definedName name="____UGF1">'[5]Column Blk 1'!$C$651</definedName>
    <definedName name="____zz65536">#REF!</definedName>
    <definedName name="___A1">'[2]Rate analysis'!$C$2</definedName>
    <definedName name="___aj1">#REF!</definedName>
    <definedName name="___b1">#REF!</definedName>
    <definedName name="___B100000">#REF!</definedName>
    <definedName name="___b111121">#REF!</definedName>
    <definedName name="___bak151">#REF!</definedName>
    <definedName name="___bol1">#REF!</definedName>
    <definedName name="___can430">40.73</definedName>
    <definedName name="___can435">43.3</definedName>
    <definedName name="___cbd148">#REF!</definedName>
    <definedName name="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>#REF!</definedName>
    <definedName name="___DIA1">#REF!</definedName>
    <definedName name="___dia10">'[5]Rft Footing Blk 1'!$L$26</definedName>
    <definedName name="___dia12">'[5]Rft Footing Blk 1'!$M$26</definedName>
    <definedName name="___dia16">'[5]Rft Footing Blk 1'!$N$26</definedName>
    <definedName name="___DIA2">#REF!</definedName>
    <definedName name="___dia20">'[5]Rft Footing Blk 1'!$O$26</definedName>
    <definedName name="___dia25">'[5]Rft Footing Blk 1'!$P$26</definedName>
    <definedName name="___dia8">'[5]Rft Footing Blk 1'!$K$26</definedName>
    <definedName name="___fab1">'[5]intr stool brkup'!$A$8:$D$53</definedName>
    <definedName name="___FLG2">#REF!</definedName>
    <definedName name="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iv66666">#REF!</definedName>
    <definedName name="___Ki1">#REF!</definedName>
    <definedName name="___Ki2">#REF!</definedName>
    <definedName name="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Q2" hidden="1">#REF!</definedName>
    <definedName name="___MS010">#REF!</definedName>
    <definedName name="___PB1">#REF!</definedName>
    <definedName name="___PO1">#REF!</definedName>
    <definedName name="___PO2">#REF!</definedName>
    <definedName name="___sdb2">#REF!</definedName>
    <definedName name="___TB2">'[4]SPT vs PHI'!$B$2:$C$65</definedName>
    <definedName name="___UGF1">'[5]Column Blk 1'!$C$651</definedName>
    <definedName name="___zz65536">#REF!</definedName>
    <definedName name="__123Graph_X" hidden="1">#REF!</definedName>
    <definedName name="__A1">'[2]Rate analysis'!$C$2</definedName>
    <definedName name="__aj1">#REF!</definedName>
    <definedName name="__b1">#REF!</definedName>
    <definedName name="__B100000">#REF!</definedName>
    <definedName name="__b111121">#REF!</definedName>
    <definedName name="__bak151">#REF!</definedName>
    <definedName name="__bol1">#REF!</definedName>
    <definedName name="__can430">40.73</definedName>
    <definedName name="__can435">43.3</definedName>
    <definedName name="__cbd148">#REF!</definedName>
    <definedName name="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>'[1]Estimate for approval'!$BQ$1:$BQ$65536</definedName>
    <definedName name="__DIA1">#REF!</definedName>
    <definedName name="__dia10">'[5]Rft Footing Blk 1'!$L$26</definedName>
    <definedName name="__dia12">'[5]Rft Footing Blk 1'!$M$26</definedName>
    <definedName name="__dia16">'[5]Rft Footing Blk 1'!$N$26</definedName>
    <definedName name="__DIA2">#REF!</definedName>
    <definedName name="__dia20">'[5]Rft Footing Blk 1'!$O$26</definedName>
    <definedName name="__dia25">'[5]Rft Footing Blk 1'!$P$26</definedName>
    <definedName name="__dia8">'[5]Rft Footing Blk 1'!$K$26</definedName>
    <definedName name="__fab1">'[5]intr stool brkup'!$A$8:$D$53</definedName>
    <definedName name="__FLG2">#REF!</definedName>
    <definedName name="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v66666">#REF!</definedName>
    <definedName name="__Ki1">#REF!</definedName>
    <definedName name="__Ki2">#REF!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Q2" hidden="1">#REF!</definedName>
    <definedName name="__MS010">#REF!</definedName>
    <definedName name="__PB1">#REF!</definedName>
    <definedName name="__PO1">#REF!</definedName>
    <definedName name="__PO2">#REF!</definedName>
    <definedName name="__sdb2">#REF!</definedName>
    <definedName name="__TB2">'[4]SPT vs PHI'!$B$2:$C$65</definedName>
    <definedName name="__UGF1">'[5]Column Blk 1'!$C$651</definedName>
    <definedName name="__xlfn.SUMIFS" hidden="1">#NAME?</definedName>
    <definedName name="__xlnm.Print_Area_2">#REF!</definedName>
    <definedName name="__xlnm.Print_Titles_2">#REF!</definedName>
    <definedName name="__zz65536">#REF!</definedName>
    <definedName name="_0">#REF!</definedName>
    <definedName name="_0___0">#REF!</definedName>
    <definedName name="_0_1">#REF!</definedName>
    <definedName name="_06_26_03">'[6]MASTER_RATE ANALYSIS'!$B$188:$G$188</definedName>
    <definedName name="_1">'[6]MASTER_RATE ANALYSIS'!$A$2477:$I$2907</definedName>
    <definedName name="_1_a_1">#REF!</definedName>
    <definedName name="_10">'[6]MASTER_RATE ANALYSIS'!$A$592:$H$619</definedName>
    <definedName name="_100SalesMgr_4_1">#REF!</definedName>
    <definedName name="_101saud_4_1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">'[6]MASTER_RATE ANALYSIS'!$A$678:$H$700</definedName>
    <definedName name="_110SP1Credit_4_1">#REF!</definedName>
    <definedName name="_111SP1Name_4_1">#REF!</definedName>
    <definedName name="_112SP1Number_4_1">#REF!</definedName>
    <definedName name="_113SP2Branch_4_1">#REF!</definedName>
    <definedName name="_114SP2Credit_4_1">#REF!</definedName>
    <definedName name="_115SP2Name_4_1">#REF!</definedName>
    <definedName name="_116SP2Number_4_1">#REF!</definedName>
    <definedName name="_117SP3Branch_4_1">#REF!</definedName>
    <definedName name="_118SP3Credit_4_1">#REF!</definedName>
    <definedName name="_119SP3Name_4_1">#REF!</definedName>
    <definedName name="_11BidClass_Text_4_1">#REF!</definedName>
    <definedName name="_12">'[6]MASTER_RATE ANALYSIS'!$A$702:$H$724</definedName>
    <definedName name="_120SP3Number_4_1">#REF!</definedName>
    <definedName name="_121SP4Branch_4_1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SpecClass_4_1">#REF!</definedName>
    <definedName name="_12BillingFreq_4_1">#REF!</definedName>
    <definedName name="_13">'[6]MASTER_RATE ANALYSIS'!$A$726:$H$748</definedName>
    <definedName name="_130SpecClass_Text_4_1">#REF!</definedName>
    <definedName name="_131SpecEnv1_4_1">#REF!</definedName>
    <definedName name="_132SpecEnv1_Text_4_1">#REF!</definedName>
    <definedName name="_133SpecEnv2_4_1">#REF!</definedName>
    <definedName name="_134SpecEnv2_Text_4_1">#REF!</definedName>
    <definedName name="_135SPLR_4_1">#REF!</definedName>
    <definedName name="_136SrvcCode1_4_1">#REF!</definedName>
    <definedName name="_137SrvcCode1_Text_4_1">#REF!</definedName>
    <definedName name="_138SrvcCode2_4_1">#REF!</definedName>
    <definedName name="_139SrvcCode2_Text_4_1">#REF!</definedName>
    <definedName name="_13BillingTiming_4_1">#REF!</definedName>
    <definedName name="_14">'[6]MASTER_RATE ANALYSIS'!$A$773:$H$794</definedName>
    <definedName name="_140SrvcCode3_4_1">#REF!</definedName>
    <definedName name="_141SrvcCode3_Text_4_1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">'[6]MASTER_RATE ANALYSIS'!$A$796:$H$817</definedName>
    <definedName name="_150vatf_4_1">#REF!</definedName>
    <definedName name="_15BusType_Text_4_1">#REF!</definedName>
    <definedName name="_16">'[6]MASTER_RATE ANALYSIS'!$A$845:$H$871</definedName>
    <definedName name="_16cab21.5tp_4_1">#REF!</definedName>
    <definedName name="_17">'[6]MASTER_RATE ANALYSIS'!$A$874:$H$899</definedName>
    <definedName name="_17cab21s_4_1">#REF!</definedName>
    <definedName name="_18">'[6]MASTER_RATE ANALYSIS'!$A$901:$H$922</definedName>
    <definedName name="_18cab21us_4_1">#REF!</definedName>
    <definedName name="_19">'[6]MASTER_RATE ANALYSIS'!$A$924:$H$950</definedName>
    <definedName name="_19cab31s_4_1">#REF!</definedName>
    <definedName name="_1Excel_BuiltIn_Print_Titles_1_1">#REF!</definedName>
    <definedName name="_2">'[6]MASTER_RATE ANALYSIS'!$A$380:$H$402</definedName>
    <definedName name="_2_a_4_1">#REF!</definedName>
    <definedName name="_20">'[6]MASTER_RATE ANALYSIS'!$A$952:$H$978</definedName>
    <definedName name="_20cab31us_4_1">#REF!</definedName>
    <definedName name="_21">'[6]MASTER_RATE ANALYSIS'!$A$980:$H$1009</definedName>
    <definedName name="_21cab41s_4_1">#REF!</definedName>
    <definedName name="_22">'[6]MASTER_RATE ANALYSIS'!$A$1033:$H$1053</definedName>
    <definedName name="_22cab41us_4_1">#REF!</definedName>
    <definedName name="_23">'[6]MASTER_RATE ANALYSIS'!$A$1055:$H$1081</definedName>
    <definedName name="_23cabf_4_1">#REF!</definedName>
    <definedName name="_24">'[6]MASTER_RATE ANALYSIS'!$A$1110:$H$1132</definedName>
    <definedName name="_24CABLE_4_1">#REF!</definedName>
    <definedName name="_25">'[6]MASTER_RATE ANALYSIS'!$A$1134:$H$1153</definedName>
    <definedName name="_25CALf_4_1">#REF!</definedName>
    <definedName name="_26">'[6]MASTER_RATE ANALYSIS'!$A$1155:$H$1176</definedName>
    <definedName name="_26ChangeBy_4_1">#REF!</definedName>
    <definedName name="_27">'[6]MASTER_RATE ANALYSIS'!$A$1178:$H$1205</definedName>
    <definedName name="_27ChangeDate_4_1">#REF!</definedName>
    <definedName name="_28">'[6]MASTER_RATE ANALYSIS'!$A$1207:$H$1229</definedName>
    <definedName name="_28CompDate_4_1">#REF!</definedName>
    <definedName name="_29">'[6]MASTER_RATE ANALYSIS'!$A$1641:$H$1666</definedName>
    <definedName name="_29conf_4_1">#REF!</definedName>
    <definedName name="_3">'[6]MASTER_RATE ANALYSIS'!$A$404:$H$424</definedName>
    <definedName name="_3_l_1">#REF!</definedName>
    <definedName name="_30">'[6]MASTER_RATE ANALYSIS'!$A$1668:$H$1692</definedName>
    <definedName name="_30cd___Horizontal_Strobe_light_speaker__wall_mounted">#REF!</definedName>
    <definedName name="_30cd__Vertical_strobe_light__wall_mounted">#REF!</definedName>
    <definedName name="_30ContAmt_4_1">#REF!</definedName>
    <definedName name="_31">'[6]MASTER_RATE ANALYSIS'!$A$1282:$H$1304</definedName>
    <definedName name="_31ContWithAcct_4_1">#REF!</definedName>
    <definedName name="_32">'[6]MASTER_RATE ANALYSIS'!$A$1359:$H$1380</definedName>
    <definedName name="_32ContWithName_4_1">#REF!</definedName>
    <definedName name="_33">'[6]MASTER_RATE ANALYSIS'!$A$1383:$H$1405</definedName>
    <definedName name="_33ContWithPrio_4_1">#REF!</definedName>
    <definedName name="_34">'[6]MASTER_RATE ANALYSIS'!$A$1407:$H$1429</definedName>
    <definedName name="_34ContWithPrio_Text_4_1">#REF!</definedName>
    <definedName name="_35">'[6]MASTER_RATE ANALYSIS'!$A$1563:$H$1588</definedName>
    <definedName name="_35CONum_4_1">#REF!</definedName>
    <definedName name="_36">'[6]MASTER_RATE ANALYSIS'!$A$1590:$H$1611</definedName>
    <definedName name="_36CorpClient_4_1">#REF!</definedName>
    <definedName name="_37">'[6]MASTER_RATE ANALYSIS'!$A$1613:$H$1639</definedName>
    <definedName name="_37CorpClient_Text_4_1">#REF!</definedName>
    <definedName name="_38">'[6]MASTER_RATE ANALYSIS'!$A$1694:$H$1716</definedName>
    <definedName name="_38CURR_4_1">#REF!</definedName>
    <definedName name="_39">'[6]MASTER_RATE ANALYSIS'!$A$1769:$H$1792</definedName>
    <definedName name="_39CurrencyRate_4_1">#REF!</definedName>
    <definedName name="_4">'[6]MASTER_RATE ANALYSIS'!$A$426:$H$448</definedName>
    <definedName name="_4_l_4_1">#REF!</definedName>
    <definedName name="_40">'[6]MASTER_RATE ANALYSIS'!$A$1794:$H$1816</definedName>
    <definedName name="_40dim4_4_1">#REF!</definedName>
    <definedName name="_41">'[6]MASTER_RATE ANALYSIS'!$A$1431:$H$1456</definedName>
    <definedName name="_41EngAddress_4_1">#REF!</definedName>
    <definedName name="_42">'[6]MASTER_RATE ANALYSIS'!$A$1458:$H$1482</definedName>
    <definedName name="_42EngCity_4_1">#REF!</definedName>
    <definedName name="_43">'[6]MASTER_RATE ANALYSIS'!$A$1818:$H$1840</definedName>
    <definedName name="_43EngName_4_1">#REF!</definedName>
    <definedName name="_44">'[6]MASTER_RATE ANALYSIS'!$A$1537:$H$1561</definedName>
    <definedName name="_44EngPostal_4_1">#REF!</definedName>
    <definedName name="_45">'[6]MASTER_RATE ANALYSIS'!$A$1842:$H$1864</definedName>
    <definedName name="_45EngPrio_4_1">#REF!</definedName>
    <definedName name="_46">'[6]MASTER_RATE ANALYSIS'!$A$1866:$H$1889</definedName>
    <definedName name="_46EngPrio_Text_4_1">#REF!</definedName>
    <definedName name="_47">'[6]MASTER_RATE ANALYSIS'!$A$1913:$H$1938</definedName>
    <definedName name="_47EngState_4_1">#REF!</definedName>
    <definedName name="_48">'[6]MASTER_RATE ANALYSIS'!$A$1940:$H$1962</definedName>
    <definedName name="_48EstCost_4_1">#REF!</definedName>
    <definedName name="_49">'[6]MASTER_RATE ANALYSIS'!$A$1964:$H$1986</definedName>
    <definedName name="_49eu_4_1">#REF!</definedName>
    <definedName name="_5">'[6]MASTER_RATE ANALYSIS'!$A$474:$H$495</definedName>
    <definedName name="_5_p_1">#REF!</definedName>
    <definedName name="_50">'[6]MASTER_RATE ANALYSIS'!$A$1988:$H$2010</definedName>
    <definedName name="_50Excel_BuiltIn_Print_Area_1">#REF!</definedName>
    <definedName name="_51">'[6]MASTER_RATE ANALYSIS'!$A$2012:$H$2037</definedName>
    <definedName name="_51Excel_BuiltIn_Print_Titles_3_4_1">#REF!</definedName>
    <definedName name="_52">'[6]MASTER_RATE ANALYSIS'!$A$2039:$H$2060</definedName>
    <definedName name="_52FiscalIDNum_4_1">#REF!</definedName>
    <definedName name="_53">'[6]MASTER_RATE ANALYSIS'!$A$2062:$H$2086</definedName>
    <definedName name="_53FormTitle_4_1">#REF!</definedName>
    <definedName name="_54">'[6]MASTER_RATE ANALYSIS'!$A$2089:$H$2112</definedName>
    <definedName name="_54GMAmount_4_1">#REF!</definedName>
    <definedName name="_55">'[6]MASTER_RATE ANALYSIS'!$A$2115:$H$2138</definedName>
    <definedName name="_55GMPercent_4_1">#REF!</definedName>
    <definedName name="_56">'[6]MASTER_RATE ANALYSIS'!$A$2140:$H$2163</definedName>
    <definedName name="_56Headings_4_1">[7]Headings!$A$2:$K$123</definedName>
    <definedName name="_57">'[6]MASTER_RATE ANALYSIS'!$A$2165:$H$2187</definedName>
    <definedName name="_57indf_4_1">#REF!</definedName>
    <definedName name="_58">'[6]MASTER_RATE ANALYSIS'!$A$2190:$H$2214</definedName>
    <definedName name="_58InstBillingMethod_4_1">#REF!</definedName>
    <definedName name="_59">'[6]MASTER_RATE ANALYSIS'!$A$2216:$H$2242</definedName>
    <definedName name="_59instf_4_1">#REF!</definedName>
    <definedName name="_6">'[6]MASTER_RATE ANALYSIS'!$A$497:$H$518</definedName>
    <definedName name="_6_p_4_1">#REF!</definedName>
    <definedName name="_60">'[6]MASTER_RATE ANALYSIS'!$A$2244:$H$2272</definedName>
    <definedName name="_60MarketType_4_1">#REF!</definedName>
    <definedName name="_61">'[6]MASTER_RATE ANALYSIS'!$A$2303:$H$2331</definedName>
    <definedName name="_61MarketType_Text_4_1">#REF!</definedName>
    <definedName name="_62">'[6]MASTER_RATE ANALYSIS'!$A$2333:$H$2361</definedName>
    <definedName name="_62nonmodular_4_1">#REF!</definedName>
    <definedName name="_63">'[6]MASTER_RATE ANALYSIS'!$A$2363:$H$2391</definedName>
    <definedName name="_63OwnAcctNum_4_1">#REF!</definedName>
    <definedName name="_64">'[6]MASTER_RATE ANALYSIS'!$A$2393:$H$2418</definedName>
    <definedName name="_64po_4_1">#REF!</definedName>
    <definedName name="_65">'[6]MASTER_RATE ANALYSIS'!$A$2420:$H$2447</definedName>
    <definedName name="_65PrimeAddress_4_1">#REF!</definedName>
    <definedName name="_66">'[6]MASTER_RATE ANALYSIS'!$A$2449:$H$2476</definedName>
    <definedName name="_66PrimeCity_4_1">#REF!</definedName>
    <definedName name="_67">'[6]MASTER_RATE ANALYSIS'!$A$2504:$H$2551</definedName>
    <definedName name="_67PrimeName_4_1">#REF!</definedName>
    <definedName name="_68">'[6]MASTER_RATE ANALYSIS'!$A$2553:$H$2601</definedName>
    <definedName name="_68PrimePostal_4_1">#REF!</definedName>
    <definedName name="_69">'[6]MASTER_RATE ANALYSIS'!$A$2603:$H$2648</definedName>
    <definedName name="_69PrimePrio_4_1">#REF!</definedName>
    <definedName name="_7">'[6]MASTER_RATE ANALYSIS'!$A$520:$H$541</definedName>
    <definedName name="_70">'[6]MASTER_RATE ANALYSIS'!$A$2650:$H$2697</definedName>
    <definedName name="_70PrimePrio_Text_4_1">#REF!</definedName>
    <definedName name="_71">'[6]MASTER_RATE ANALYSIS'!$A$2699:$H$2748</definedName>
    <definedName name="_71PrimeState_4_1">#REF!</definedName>
    <definedName name="_72">'[6]MASTER_RATE ANALYSIS'!$A$2750:$H$2795</definedName>
    <definedName name="_72PRINT_AREA_MI_4_1">#REF!</definedName>
    <definedName name="_73">'[6]MASTER_RATE ANALYSIS'!$A$2478:$H$2502</definedName>
    <definedName name="_73PROD_4_1">#REF!</definedName>
    <definedName name="_74">'[6]MASTER_RATE ANALYSIS'!$A$2797:$H$2822</definedName>
    <definedName name="_74ProdCode1_4_1">#REF!</definedName>
    <definedName name="_75">'[6]MASTER_RATE ANALYSIS'!$A$2879:$H$2909</definedName>
    <definedName name="_75ProdCode1_Text_4_1">#REF!</definedName>
    <definedName name="_76ProdCode2_4_1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">'[6]MASTER_RATE ANALYSIS'!$A$544:$H$566</definedName>
    <definedName name="_80ProdCode4_4_1">#REF!</definedName>
    <definedName name="_81ProdCode4_Text_4_1">#REF!</definedName>
    <definedName name="_82ProdCode5_4_1">#REF!</definedName>
    <definedName name="_83ProdCode5_Text_4_1">#REF!</definedName>
    <definedName name="_84ProdPct1_4_1">#REF!</definedName>
    <definedName name="_85ProdPct2_4_1">#REF!</definedName>
    <definedName name="_86ProdPct3_4_1">#REF!</definedName>
    <definedName name="_87ProdPct4_4_1">#REF!</definedName>
    <definedName name="_88ProdPct5_4_1">#REF!</definedName>
    <definedName name="_89ProjAddress1_4_1">#REF!</definedName>
    <definedName name="_8AcctPrio_4_1">#REF!</definedName>
    <definedName name="_9">'[6]MASTER_RATE ANALYSIS'!$A$568:$H$590</definedName>
    <definedName name="_90ProjAddress2_4_1">#REF!</definedName>
    <definedName name="_91ProjCity_4_1">#REF!</definedName>
    <definedName name="_92ProjCountry_4_1">#REF!</definedName>
    <definedName name="_93ProjCounty_4_1">#REF!</definedName>
    <definedName name="_94ProjName_4_1">#REF!</definedName>
    <definedName name="_95ProjNum_4_1">#REF!</definedName>
    <definedName name="_96ProjPostal_4_1">#REF!</definedName>
    <definedName name="_97ProjState_4_1">#REF!</definedName>
    <definedName name="_98PSABillingMethod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>'[2]Rate analysis'!$C$2</definedName>
    <definedName name="_A31">#REF!</definedName>
    <definedName name="_AA1">#REF!</definedName>
    <definedName name="_aj1">#REF!</definedName>
    <definedName name="_alt1">#REF!</definedName>
    <definedName name="_ALT2">#REF!</definedName>
    <definedName name="_ALT3">#REF!</definedName>
    <definedName name="_ALT4">#REF!</definedName>
    <definedName name="_b1">#REF!</definedName>
    <definedName name="_B100000">#REF!</definedName>
    <definedName name="_b111121">#REF!</definedName>
    <definedName name="_bak151">#REF!</definedName>
    <definedName name="_bol1">#REF!</definedName>
    <definedName name="_C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>#REF!</definedName>
    <definedName name="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>#REF!</definedName>
    <definedName name="_DIA1">#REF!</definedName>
    <definedName name="_dia10">'[5]Rft Footing Blk 1'!$L$26</definedName>
    <definedName name="_dia12">'[5]Rft Footing Blk 1'!$M$26</definedName>
    <definedName name="_dia16">'[5]Rft Footing Blk 1'!$N$26</definedName>
    <definedName name="_DIA2">#REF!</definedName>
    <definedName name="_dia20">'[5]Rft Footing Blk 1'!$O$26</definedName>
    <definedName name="_dia25">'[5]Rft Footing Blk 1'!$P$26</definedName>
    <definedName name="_dia8">'[5]Rft Footing Blk 1'!$K$26</definedName>
    <definedName name="_dim4">#REF!</definedName>
    <definedName name="_DSF4" localSheetId="0">Scheduled_Payment+Extra_Payment</definedName>
    <definedName name="_DSF4">Scheduled_Payment+Extra_Payment</definedName>
    <definedName name="_fab1">'[5]intr stool brkup'!$A$8:$D$53</definedName>
    <definedName name="_Fill" localSheetId="0" hidden="1">#REF!</definedName>
    <definedName name="_Fill" hidden="1">#REF!</definedName>
    <definedName name="_xlnm._FilterDatabase" hidden="1">#REF!</definedName>
    <definedName name="_FLG2">#REF!</definedName>
    <definedName name="_G72228">#REF!</definedName>
    <definedName name="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f">#REF!</definedName>
    <definedName name="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g541">#REF!</definedName>
    <definedName name="_iv66666">#REF!</definedName>
    <definedName name="_Key1" hidden="1">#REF!</definedName>
    <definedName name="_Ki1">#REF!</definedName>
    <definedName name="_Ki2">#REF!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>#REF!</definedName>
    <definedName name="_l_4">#REF!</definedName>
    <definedName name="_l_6">#REF!</definedName>
    <definedName name="_Lap16">'[8]Basement-02 roof beam'!$C$656</definedName>
    <definedName name="_MAN1">#REF!</definedName>
    <definedName name="_MQ2" hidden="1">#REF!</definedName>
    <definedName name="_MS010">#REF!</definedName>
    <definedName name="_Order1" hidden="1">255</definedName>
    <definedName name="_p">#REF!</definedName>
    <definedName name="_p_4">#REF!</definedName>
    <definedName name="_p_6">#REF!</definedName>
    <definedName name="_PB1">#REF!</definedName>
    <definedName name="_PO1">#REF!</definedName>
    <definedName name="_PO2">#REF!</definedName>
    <definedName name="_rim4">#REF!</definedName>
    <definedName name="_rm4">#REF!</definedName>
    <definedName name="_sdb2">#REF!</definedName>
    <definedName name="_Sort" hidden="1">#REF!</definedName>
    <definedName name="_TB2">'[4]SPT vs PHI'!$B$2:$C$65</definedName>
    <definedName name="_UGF1">'[5]Column Blk 1'!$C$651</definedName>
    <definedName name="_xleta.IF" hidden="1">#NAME?</definedName>
    <definedName name="_xleta.SUBTOTAL" hidden="1">#NAME?</definedName>
    <definedName name="_zz65536">#REF!</definedName>
    <definedName name="a">#REF!</definedName>
    <definedName name="a___0">#REF!</definedName>
    <definedName name="a___13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>'[9]BLOCK-A (MEA.SHEET)'!$A$1596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 localSheetId="0">Scheduled_Payment+Extra_Payment</definedName>
    <definedName name="aaaa">Scheduled_Payment+Extra_Payment</definedName>
    <definedName name="aaaaaaaaaaaaaaaaa">#REF!</definedName>
    <definedName name="aaasa">#REF!</definedName>
    <definedName name="aad">#REF!</definedName>
    <definedName name="aadawawdaW">#REF!</definedName>
    <definedName name="ab">#REF!</definedName>
    <definedName name="abc">#REF!</definedName>
    <definedName name="ABCD">#REF!</definedName>
    <definedName name="abcdefghij">#REF!</definedName>
    <definedName name="ab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>#REF!</definedName>
    <definedName name="Abst">#REF!</definedName>
    <definedName name="ABSTRAC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>#REF!</definedName>
    <definedName name="acc">#REF!</definedName>
    <definedName name="Acc.Recon">#REF!</definedName>
    <definedName name="AccessDatabase" hidden="1">"D:\MIS\TALLY  31.09.04 sep\AS PER TALLY 31.09.04.mdb"</definedName>
    <definedName name="accomation" localSheetId="0" hidden="1">#REF!</definedName>
    <definedName name="accomation" hidden="1">#REF!</definedName>
    <definedName name="accounts">#REF!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CT">#REF!</definedName>
    <definedName name="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>#REF!</definedName>
    <definedName name="ADADASASDASD">#REF!</definedName>
    <definedName name="ADADDA">#REF!</definedName>
    <definedName name="ADASASDASASDASDAS">#REF!</definedName>
    <definedName name="ADASASDASDASDAD">#REF!</definedName>
    <definedName name="ADASDASASDAS">#REF!</definedName>
    <definedName name="ADASDASDASDAS">#REF!</definedName>
    <definedName name="adf">#REF!</definedName>
    <definedName name="ADFADD">#REF!</definedName>
    <definedName name="adfadsff">#REF!</definedName>
    <definedName name="ADFASDAD">#REF!</definedName>
    <definedName name="ad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>#REF!</definedName>
    <definedName name="admn_site">#REF!</definedName>
    <definedName name="ADSAD">#REF!</definedName>
    <definedName name="Ag">#REF!</definedName>
    <definedName name="Ag___0">#REF!</definedName>
    <definedName name="Ag___13">#REF!</definedName>
    <definedName name="agdfjk">'[10]Structure Bills Qty'!$A$6:$M$13</definedName>
    <definedName name="aham">#REF!</definedName>
    <definedName name="ahu">#REF!</definedName>
    <definedName name="aj">'[11]Rate analysis'!$C$2</definedName>
    <definedName name="aji">#REF!</definedName>
    <definedName name="ajitha">#REF!</definedName>
    <definedName name="ak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arm_current_Amp_In_Minutes">#REF!</definedName>
    <definedName name="alpha">#REF!</definedName>
    <definedName name="alphabet">#REF!</definedName>
    <definedName name="Aluminium">#REF!</definedName>
    <definedName name="Alw">#REF!</definedName>
    <definedName name="AM_1">#REF!</definedName>
    <definedName name="ams">#REF!</definedName>
    <definedName name="anantha">#REF!</definedName>
    <definedName name="anch">#REF!</definedName>
    <definedName name="Anil148">#REF!</definedName>
    <definedName name="anil543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oio">#REF!</definedName>
    <definedName name="AP_1">#REF!</definedName>
    <definedName name="AP_2">#REF!</definedName>
    <definedName name="AP_3">#REF!</definedName>
    <definedName name="ARCHITECT________M_s">'[6]MASTER_RATE ANALYSIS'!$B$186:$G$186</definedName>
    <definedName name="archon141">#REF!</definedName>
    <definedName name="archon142">#REF!</definedName>
    <definedName name="archon143">#REF!</definedName>
    <definedName name="area">#REF!</definedName>
    <definedName name="ARUN" localSheetId="0" hidden="1">#REF!</definedName>
    <definedName name="ARUN" hidden="1">#REF!</definedName>
    <definedName name="as">#REF!</definedName>
    <definedName name="AS_PER_TALLY_31_09_04_ONYX_List1">#REF!</definedName>
    <definedName name="asas">#REF!</definedName>
    <definedName name="asd">#REF!</definedName>
    <definedName name="asdads">#REF!</definedName>
    <definedName name="asdas">#REF!</definedName>
    <definedName name="asdasd">#REF!</definedName>
    <definedName name="ASDASDASD">#REF!</definedName>
    <definedName name="asdd">#REF!</definedName>
    <definedName name="asdf">#REF!</definedName>
    <definedName name="asdfasdf" localSheetId="0" hidden="1">#REF!</definedName>
    <definedName name="asdfasdf" hidden="1">#REF!</definedName>
    <definedName name="asdfsa" localSheetId="0" hidden="1">#REF!</definedName>
    <definedName name="asdfsa" hidden="1">#REF!</definedName>
    <definedName name="asdfsad">#REF!</definedName>
    <definedName name="asdfsadf" localSheetId="0" hidden="1">#REF!</definedName>
    <definedName name="asdfsadf" hidden="1">#REF!</definedName>
    <definedName name="asdfsdfd">#N/A</definedName>
    <definedName name="asdsdfsda">#REF!</definedName>
    <definedName name="asf">#REF!</definedName>
    <definedName name="as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>#REF!</definedName>
    <definedName name="assadg" localSheetId="0" hidden="1">#REF!</definedName>
    <definedName name="assadg" hidden="1">#REF!</definedName>
    <definedName name="assd">#REF!</definedName>
    <definedName name="assfsdf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>#REF!</definedName>
    <definedName name="av">#REF!</definedName>
    <definedName name="avi">#REF!</definedName>
    <definedName name="AWAWWWWAA">#REF!</definedName>
    <definedName name="AWWEDWER">#REF!</definedName>
    <definedName name="B">#REF!</definedName>
    <definedName name="B___0">#REF!</definedName>
    <definedName name="B___13">#REF!</definedName>
    <definedName name="b1210.">#REF!</definedName>
    <definedName name="B4a">#REF!</definedName>
    <definedName name="b5a">#REF!</definedName>
    <definedName name="b832.">#REF!</definedName>
    <definedName name="Backfilling">#REF!</definedName>
    <definedName name="BALCONY">#REF!</definedName>
    <definedName name="Base" localSheetId="0" hidden="1">#REF!</definedName>
    <definedName name="Base" hidden="1">#REF!</definedName>
    <definedName name="Basement" localSheetId="0" hidden="1">#REF!</definedName>
    <definedName name="Basement" hidden="1">#REF!</definedName>
    <definedName name="Basement_1">'[12]Retaining wall -1'!$C$16</definedName>
    <definedName name="Basement_2">'[12]Retaining wall -1'!$C$17</definedName>
    <definedName name="Basement_3">'[12]Retaining wall -1'!$C$18</definedName>
    <definedName name="BASIC">'[6]MASTER_RATE ANALYSIS'!$A$1:$H$346</definedName>
    <definedName name="bb">#REF!</definedName>
    <definedName name="bbbb">#REF!</definedName>
    <definedName name="bbbbbbbbbb" localSheetId="0" hidden="1">#REF!</definedName>
    <definedName name="bbbbbbbbbb" hidden="1">#REF!</definedName>
    <definedName name="BC">'[5]Beam FF,SF Blk 1'!$D$23</definedName>
    <definedName name="BC_1">#REF!</definedName>
    <definedName name="bcb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>#REF!</definedName>
    <definedName name="bdbdb">#REF!</definedName>
    <definedName name="be">#N/A</definedName>
    <definedName name="beam">#REF!</definedName>
    <definedName name="Beams">#REF!</definedName>
    <definedName name="BEAMS2">#N/A</definedName>
    <definedName name="Beg_Bal">#REF!</definedName>
    <definedName name="BELL__Polarised">#REF!</definedName>
    <definedName name="BEND">#REF!</definedName>
    <definedName name="bends">#REF!</definedName>
    <definedName name="beta">#REF!</definedName>
    <definedName name="bfdx" localSheetId="0" hidden="1">#REF!</definedName>
    <definedName name="bfdx" hidden="1">#REF!</definedName>
    <definedName name="bgbb">#REF!</definedName>
    <definedName name="bggfgj" localSheetId="0">[13]!_______________b1+Extra_Payment</definedName>
    <definedName name="bggfgj">[13]!_______________b1+Extra_Payment</definedName>
    <definedName name="bhg">#REF!</definedName>
    <definedName name="bhjbh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it">#REF!</definedName>
    <definedName name="bl">#REF!</definedName>
    <definedName name="blo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>#REF!</definedName>
    <definedName name="bol">#REF!</definedName>
    <definedName name="boml">#REF!</definedName>
    <definedName name="boml1">#REF!</definedName>
    <definedName name="boq">#REF!</definedName>
    <definedName name="bore">#REF!</definedName>
    <definedName name="botl">#REF!</definedName>
    <definedName name="botl1">#REF!</definedName>
    <definedName name="botn">#REF!</definedName>
    <definedName name="box_speaker">#REF!</definedName>
    <definedName name="BQ">#REF!</definedName>
    <definedName name="Breaks">#REF!</definedName>
    <definedName name="BSSRAILING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>#REF!</definedName>
    <definedName name="BuiltIn_Print_Titles_1">#REF!</definedName>
    <definedName name="BuiltIn_Print_Titles_4">#REF!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>#REF!</definedName>
    <definedName name="bvcvhcv">#REF!</definedName>
    <definedName name="Bx">#REF!</definedName>
    <definedName name="Bx___0">#REF!</definedName>
    <definedName name="Bx___13">#REF!</definedName>
    <definedName name="bxnvxnd">#REF!</definedName>
    <definedName name="CA_1">#REF!</definedName>
    <definedName name="CA_2">#REF!</definedName>
    <definedName name="CA_3">#REF!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f">#REF!</definedName>
    <definedName name="CALf_4">#REF!</definedName>
    <definedName name="CALf_6">#REF!</definedName>
    <definedName name="cant">#REF!</definedName>
    <definedName name="capacity">#REF!</definedName>
    <definedName name="capacity1">#REF!</definedName>
    <definedName name="capacity2">#REF!</definedName>
    <definedName name="capacity3">#REF!</definedName>
    <definedName name="capital">#REF!</definedName>
    <definedName name="carpet">#REF!</definedName>
    <definedName name="carpet___0">#REF!</definedName>
    <definedName name="carpet___11">#REF!</definedName>
    <definedName name="carpet___12">#REF!</definedName>
    <definedName name="C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>#REF!</definedName>
    <definedName name="CASH_OUT">#REF!</definedName>
    <definedName name="Casual">#REF!</definedName>
    <definedName name="category">#REF!</definedName>
    <definedName name="cb">#REF!</definedName>
    <definedName name="cbcbc">'[14]Labor abs-PW'!$A$20:$IV$20</definedName>
    <definedName name="cbcbxc">'[14]Labor abs-NMR'!$C$7712:$D$7715</definedName>
    <definedName name="cbccb">'[14]Labor abs-NMR'!$B$3</definedName>
    <definedName name="cbcvbcbc">'[15]Labor abs-NMR'!$C$7715</definedName>
    <definedName name="CC">'[5]Rft Footing Blk 1'!$D$24</definedName>
    <definedName name="CCC">'[16]TBAL9697 -group wise  sdpl'!$A$214</definedName>
    <definedName name="cccc">'[17]TBAL9697 -group wise  sdpl'!$A$34</definedName>
    <definedName name="cd">#REF!</definedName>
    <definedName name="cdds">'[18]RA-markate'!$A$389:$B$1034</definedName>
    <definedName name="cdf">#REF!</definedName>
    <definedName name="Ceiling_Plaster">#REF!</definedName>
    <definedName name="Ceiling_speaker">#REF!</definedName>
    <definedName name="Ceiling_Speaker_Unsupervised">#REF!</definedName>
    <definedName name="CENTER" localSheetId="0" hidden="1">#REF!</definedName>
    <definedName name="CENTER" hidden="1">#REF!</definedName>
    <definedName name="ch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arles">#REF!</definedName>
    <definedName name="checked">#REF!</definedName>
    <definedName name="chiller">#REF!</definedName>
    <definedName name="ciff">#REF!</definedName>
    <definedName name="CIMM">#REF!</definedName>
    <definedName name="Cinnam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>#REF!</definedName>
    <definedName name="ckd">#REF!</definedName>
    <definedName name="cl">#REF!</definedName>
    <definedName name="Cleaning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rf">#REF!</definedName>
    <definedName name="CO">'[5]Column Blk 1'!$D$16</definedName>
    <definedName name="CO_1">#REF!</definedName>
    <definedName name="coimbatore">#REF!</definedName>
    <definedName name="co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>#REF!</definedName>
    <definedName name="col___11">#REF!</definedName>
    <definedName name="col___12">#REF!</definedName>
    <definedName name="coloumn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_COVER">'[19]Typical floors'!$Q$11</definedName>
    <definedName name="ColumnReft">#REF!</definedName>
    <definedName name="Columns">#REF!</definedName>
    <definedName name="Company">#REF!</definedName>
    <definedName name="CompDate">#REF!</definedName>
    <definedName name="CompDate_4">#REF!</definedName>
    <definedName name="CompDate_6">#REF!</definedName>
    <definedName name="con">#REF!</definedName>
    <definedName name="concre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cre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df">#REF!</definedName>
    <definedName name="conf">#REF!</definedName>
    <definedName name="conf_4">#REF!</definedName>
    <definedName name="conf_6">#REF!</definedName>
    <definedName name="confli">#REF!</definedName>
    <definedName name="constrn">#REF!</definedName>
    <definedName name="Construction_Period">#REF!</definedName>
    <definedName name="consumables">'[10]Structure Bills Qty'!$I$1:$I$65536</definedName>
    <definedName name="cont">#REF!</definedName>
    <definedName name="Contact">#REF!</definedName>
    <definedName name="ContAmt">#REF!</definedName>
    <definedName name="ContAmt_4">#REF!</definedName>
    <definedName name="ContAmt_6">#REF!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pper">#REF!</definedName>
    <definedName name="copy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RRI">#REF!</definedName>
    <definedName name="cost">#REF!</definedName>
    <definedName name="costcomparisi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>#REF!</definedName>
    <definedName name="COU___0">#REF!</definedName>
    <definedName name="COU___13">#REF!</definedName>
    <definedName name="Cover_for_Beam">'[12]Retaining wall -1'!$C$21</definedName>
    <definedName name="Cover_for_column_cap">'[12]Retaining wall -1'!$C$20</definedName>
    <definedName name="Cover_for_Footing">'[12]Retaining wall -1'!$C$8</definedName>
    <definedName name="Cover_for_pile">'[12]Retaining wall -1'!$C$15</definedName>
    <definedName name="Cover_for_pile_cap">'[12]Retaining wall -1'!$C$9</definedName>
    <definedName name="Cover_for_Retaininig_wall">'[12]Retaining wall -1'!$C$10</definedName>
    <definedName name="COVER_FOR_SLAB">#REF!</definedName>
    <definedName name="Cover_slab">'[12]Retaining wall -1'!$C$22</definedName>
    <definedName name="c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>#REF!</definedName>
    <definedName name="crsobpl">'[17]TBAL9697 -group wise  sdpl'!$A$34</definedName>
    <definedName name="CS">'[5]Slab FF,SF Blk 2'!$E$11</definedName>
    <definedName name="Cs___0">#REF!</definedName>
    <definedName name="Cs___13">#REF!</definedName>
    <definedName name="cscsd">'[20]Meas.-Hotel Part'!$F$152</definedName>
    <definedName name="cstf">#REF!</definedName>
    <definedName name="CURR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>#REF!</definedName>
    <definedName name="cvdf">#REF!</definedName>
    <definedName name="cx">#REF!</definedName>
    <definedName name="d">#REF!</definedName>
    <definedName name="d___0">#REF!</definedName>
    <definedName name="d___13">#REF!</definedName>
    <definedName name="da" localSheetId="0" hidden="1">#REF!</definedName>
    <definedName name="da" hidden="1">#REF!</definedName>
    <definedName name="dad">#REF!</definedName>
    <definedName name="daeawtwtg">#REF!</definedName>
    <definedName name="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>#REF!</definedName>
    <definedName name="das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cbcvbc">#REF!</definedName>
    <definedName name="dd">#REF!</definedName>
    <definedName name="ddd">#REF!</definedName>
    <definedName name="dddd">#REF!</definedName>
    <definedName name="ddddd">#REF!</definedName>
    <definedName name="dddddddd">#REF!</definedName>
    <definedName name="ddddddddd">#REF!</definedName>
    <definedName name="dddddddddd">#REF!</definedName>
    <definedName name="ddddddddddd">#REF!</definedName>
    <definedName name="dddddddddddddddddddd">#REF!</definedName>
    <definedName name="de">'[21]Rate analysis'!$C$2</definedName>
    <definedName name="deghdfjg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>#REF!</definedName>
    <definedName name="DELTA20___13">#REF!</definedName>
    <definedName name="Depn">#REF!</definedName>
    <definedName name="DER">#REF!</definedName>
    <definedName name="DES">#REF!</definedName>
    <definedName name="designed">#REF!</definedName>
    <definedName name="df">#REF!</definedName>
    <definedName name="df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ADAD">#REF!</definedName>
    <definedName name="dfafdasdf">#REF!</definedName>
    <definedName name="dfd">#REF!</definedName>
    <definedName name="DFDDA">#REF!</definedName>
    <definedName name="dfdfdf">#N/A</definedName>
    <definedName name="DFDFG">#REF!</definedName>
    <definedName name="dfffb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>#REF!</definedName>
    <definedName name="dfgdfsg">#REF!</definedName>
    <definedName name="dfgdsfg">#REF!</definedName>
    <definedName name="dfh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>#REF!</definedName>
    <definedName name="dg">#REF!</definedName>
    <definedName name="DGDF">#REF!</definedName>
    <definedName name="DGDFG">#REF!</definedName>
    <definedName name="dghdd">#REF!</definedName>
    <definedName name="Di">#REF!</definedName>
    <definedName name="DIAMETER">#REF!</definedName>
    <definedName name="DICL">#REF!</definedName>
    <definedName name="dIESEL">#REF!</definedName>
    <definedName name="dim4_4">#REF!</definedName>
    <definedName name="dim4_6">#REF!</definedName>
    <definedName name="DIns">#REF!</definedName>
    <definedName name="div">#REF!</definedName>
    <definedName name="dl">#REF!</definedName>
    <definedName name="dl___0">#REF!</definedName>
    <definedName name="dl___13">#REF!</definedName>
    <definedName name="Do">#REF!</definedName>
    <definedName name="docu">#REF!</definedName>
    <definedName name="DONGRE_ASSOCIATES______________PROJECT">'[6]MASTER_RATE ANALYSIS'!$B$184:$G$184</definedName>
    <definedName name="door">#REF!</definedName>
    <definedName name="Doors">#REF!</definedName>
    <definedName name="DOW_CORNING_789_SILICONE_SEALANT">#REF!</definedName>
    <definedName name="DP">#REF!</definedName>
    <definedName name="dq">#REF!</definedName>
    <definedName name="Drivers">#REF!</definedName>
    <definedName name="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>#REF!</definedName>
    <definedName name="Ds___13">#REF!</definedName>
    <definedName name="dsds">#REF!</definedName>
    <definedName name="dsdud">#REF!</definedName>
    <definedName name="DSF" localSheetId="0">[13]!_______________b1+Extra_Payment</definedName>
    <definedName name="DSF">[13]!_______________b1+Extra_Payment</definedName>
    <definedName name="dsf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>#REF!</definedName>
    <definedName name="dsfgsd">#REF!</definedName>
    <definedName name="dsfj" localSheetId="0" hidden="1">#REF!</definedName>
    <definedName name="dsfj" hidden="1">#REF!</definedName>
    <definedName name="dsfsd">#REF!</definedName>
    <definedName name="dsw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 localSheetId="0">IF(Loan_Amount*Interest_Rate*Loan_Years*Loan_Start&gt;0,1,0)</definedName>
    <definedName name="dtyu">IF(Loan_Amount*Interest_Rate*Loan_Years*Loan_Start&gt;0,1,0)</definedName>
    <definedName name="Duct_Plaster">#REF!</definedName>
    <definedName name="e">#REF!</definedName>
    <definedName name="earth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dite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dit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>#REF!</definedName>
    <definedName name="eeee">#REF!</definedName>
    <definedName name="eeeeeeeeeee">#REF!</definedName>
    <definedName name="ees">#REF!</definedName>
    <definedName name="em">#REF!</definedName>
    <definedName name="Em___0">#REF!</definedName>
    <definedName name="Em___13">#REF!</definedName>
    <definedName name="enckcolumn">#REF!</definedName>
    <definedName name="End_Bal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er">#REF!</definedName>
    <definedName name="eqw">#REF!</definedName>
    <definedName name="er">#REF!</definedName>
    <definedName name="ererer">#REF!</definedName>
    <definedName name="ererwtert">#REF!</definedName>
    <definedName name="eret">#REF!</definedName>
    <definedName name="erhrhjurt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>#REF!</definedName>
    <definedName name="erretr">#REF!</definedName>
    <definedName name="ert">#REF!</definedName>
    <definedName name="erterterty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erterty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">#REF!</definedName>
    <definedName name="Es___0">#REF!</definedName>
    <definedName name="Es___13">#REF!</definedName>
    <definedName name="est">#N/A</definedName>
    <definedName name="EstCost">#REF!</definedName>
    <definedName name="EstCost_4">#REF!</definedName>
    <definedName name="EstCost_6">#REF!</definedName>
    <definedName name="esti">#REF!</definedName>
    <definedName name="estim">#REF!</definedName>
    <definedName name="estimate">#REF!</definedName>
    <definedName name="estimate1">#REF!</definedName>
    <definedName name="Estimation">#REF!</definedName>
    <definedName name="estimation1">#REF!</definedName>
    <definedName name="et">#REF!</definedName>
    <definedName name="Et___0">#REF!</definedName>
    <definedName name="Et___13">#REF!</definedName>
    <definedName name="etew">#REF!</definedName>
    <definedName name="etewt">#REF!</definedName>
    <definedName name="E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>#REF!</definedName>
    <definedName name="eu_4">#REF!</definedName>
    <definedName name="eu_6">#REF!</definedName>
    <definedName name="eur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>#REF!</definedName>
    <definedName name="ewtetter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tetter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tew">#REF!</definedName>
    <definedName name="exc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Titles">#REF!</definedName>
    <definedName name="Excel_BuiltIn_Print_Titles_1_1">#REF!</definedName>
    <definedName name="Excel_BuiltIn_Print_Titles_3">#REF!</definedName>
    <definedName name="Excel_BuiltIn_Print_Titles_3_16">#REF!</definedName>
    <definedName name="Excel_BuiltIn_Print_Titles_3_3">#REF!</definedName>
    <definedName name="Excel_BuiltIn_Print_Titles_3_4">#REF!</definedName>
    <definedName name="Excel_BuiltIn_Print_Titles_3_6">#REF!</definedName>
    <definedName name="Excel_BuiltIn_Print_Titles_3_9">#REF!</definedName>
    <definedName name="Excel_BuiltIn_Print_Titles_4">#REF!</definedName>
    <definedName name="Excel_BuiltIn_Recorder">#REF!</definedName>
    <definedName name="Exchange_rate">#REF!</definedName>
    <definedName name="EXIT">#REF!</definedName>
    <definedName name="ext">#REF!</definedName>
    <definedName name="External_Plaster">#REF!</definedName>
    <definedName name="Extra_Pay">#REF!</definedName>
    <definedName name="eyrlp">#REF!</definedName>
    <definedName name="f" localSheetId="0" hidden="1">#REF!</definedName>
    <definedName name="f" hidden="1">#REF!</definedName>
    <definedName name="f534.">#REF!</definedName>
    <definedName name="facom">'[17]TBAL9697 -group wise  sdpl'!$A$34</definedName>
    <definedName name="fafur">'[17]TBAL9697 -group wise  sdpl'!$A$34</definedName>
    <definedName name="faofeq">'[17]TBAL9697 -group wise  sdpl'!$A$34</definedName>
    <definedName name="faplm">'[17]TBAL9697 -group wise  sdpl'!$A$34</definedName>
    <definedName name="fapms">'[17]TBAL9697 -group wise  sdpl'!$A$34</definedName>
    <definedName name="faveh">'[17]TBAL9697 -group wise  sdpl'!$A$34</definedName>
    <definedName name="Fb">#REF!</definedName>
    <definedName name="fd">#REF!</definedName>
    <definedName name="fdasds">#REF!</definedName>
    <definedName name="fdghdgfh">#REF!</definedName>
    <definedName name="fdhjfju">#REF!</definedName>
    <definedName name="FF">#REF!</definedName>
    <definedName name="FFGTET">MATCH(0.01,#REF!,-1)+1</definedName>
    <definedName name="FFL">'[5]Column Blk 1'!$C$650</definedName>
    <definedName name="fg">#REF!</definedName>
    <definedName name="fgececf">#REF!</definedName>
    <definedName name="fgf">#REF!</definedName>
    <definedName name="fgfdg" localSheetId="0" hidden="1">#REF!</definedName>
    <definedName name="fgfdg" hidden="1">#REF!</definedName>
    <definedName name="fgh">#REF!</definedName>
    <definedName name="FGH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>#REF!</definedName>
    <definedName name="FGHGFH">#REF!</definedName>
    <definedName name="fgsadgsgfd">#REF!</definedName>
    <definedName name="fgty">#REF!</definedName>
    <definedName name="FH">#REF!</definedName>
    <definedName name="fhdsgbh">#REF!</definedName>
    <definedName name="FHFGHFF">#REF!</definedName>
    <definedName name="FHFGHGFH">#REF!</definedName>
    <definedName name="FHGFHFF">#REF!</definedName>
    <definedName name="FHGFHGFH">#REF!</definedName>
    <definedName name="fhj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j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JFHGFH">#REF!</definedName>
    <definedName name="FHNFHFHF">#REF!</definedName>
    <definedName name="fhryu">#REF!</definedName>
    <definedName name="Fhwl">#REF!</definedName>
    <definedName name="fin">#REF!</definedName>
    <definedName name="Final" localSheetId="0" hidden="1">#REF!</definedName>
    <definedName name="Final" hidden="1">#REF!</definedName>
    <definedName name="finish">#REF!</definedName>
    <definedName name="FINISHES">#REF!</definedName>
    <definedName name="first">#REF!</definedName>
    <definedName name="firstfloor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">#REF!</definedName>
    <definedName name="fixed_asset">#REF!</definedName>
    <definedName name="fj">#REF!</definedName>
    <definedName name="flag1">#REF!</definedName>
    <definedName name="FLG">'[5]Column Blk 1'!$C$23</definedName>
    <definedName name="Floor">#REF!</definedName>
    <definedName name="flr.tile">#REF!</definedName>
    <definedName name="fn">#REF!</definedName>
    <definedName name="fo">#REF!</definedName>
    <definedName name="foo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>#REF!</definedName>
    <definedName name="FOOTING_COVER">#REF!</definedName>
    <definedName name="Footings">#REF!</definedName>
    <definedName name="ForestEdge" localSheetId="0" hidden="1">#REF!</definedName>
    <definedName name="ForestEdge" hidden="1">#REF!</definedName>
    <definedName name="FormTitle">#REF!</definedName>
    <definedName name="FormTitle_4">#REF!</definedName>
    <definedName name="FormTitle_6">#REF!</definedName>
    <definedName name="Fp">#REF!</definedName>
    <definedName name="FQAQ">#REF!</definedName>
    <definedName name="FR">#REF!</definedName>
    <definedName name="fRANCIS">#REF!</definedName>
    <definedName name="Francis.">#REF!</definedName>
    <definedName name="fRANCU">#REF!</definedName>
    <definedName name="frncis">#REF!</definedName>
    <definedName name="frt">#REF!</definedName>
    <definedName name="Fs">#REF!</definedName>
    <definedName name="fs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f">#REF!</definedName>
    <definedName name="f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ds">#REF!</definedName>
    <definedName name="fsdsdf">#REF!</definedName>
    <definedName name="fsfs" localSheetId="0" hidden="1">#REF!</definedName>
    <definedName name="fsfs" hidden="1">#REF!</definedName>
    <definedName name="fsg">#REF!</definedName>
    <definedName name="FSRVRFR">#REF!</definedName>
    <definedName name="FSSDD">#REF!</definedName>
    <definedName name="ft">#REF!</definedName>
    <definedName name="ftg">#REF!</definedName>
    <definedName name="Full_Print">#REF!</definedName>
    <definedName name="Funiture">#REF!</definedName>
    <definedName name="Fv">#REF!</definedName>
    <definedName name="FWS">#REF!</definedName>
    <definedName name="g">#REF!</definedName>
    <definedName name="g1622.">#REF!</definedName>
    <definedName name="g2669.">#REF!</definedName>
    <definedName name="g2707.">#REF!</definedName>
    <definedName name="G31j1620">#REF!</definedName>
    <definedName name="G345d58">#REF!</definedName>
    <definedName name="g452.">#REF!</definedName>
    <definedName name="GA_1">#REF!</definedName>
    <definedName name="GA_2">#REF!</definedName>
    <definedName name="gala135">#REF!</definedName>
    <definedName name="gama">#REF!</definedName>
    <definedName name="gamah">#REF!</definedName>
    <definedName name="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>#REF!</definedName>
    <definedName name="gdrye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rye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>#REF!</definedName>
    <definedName name="ger">#REF!</definedName>
    <definedName name="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>#REF!</definedName>
    <definedName name="gfu">'[10]Structure Bills Qty'!$A$6:$M$13</definedName>
    <definedName name="ggg" localSheetId="0" hidden="1">#REF!</definedName>
    <definedName name="ggg" hidden="1">#REF!</definedName>
    <definedName name="ggggggggggg">#REF!</definedName>
    <definedName name="ggrtr">#REF!</definedName>
    <definedName name="gh">#REF!</definedName>
    <definedName name="gherh" localSheetId="0">[13]!_______________b1+Extra_Payment</definedName>
    <definedName name="gherh">[13]!_______________b1+Extra_Payment</definedName>
    <definedName name="ghfghgfjfjgfjgfjgf" localSheetId="0" hidden="1">#REF!</definedName>
    <definedName name="ghfghgfjfjgfjgfjgf" hidden="1">#REF!</definedName>
    <definedName name="ghjfhfhl">#REF!</definedName>
    <definedName name="ghjhjh" localSheetId="0" hidden="1">#REF!</definedName>
    <definedName name="ghjhjh" hidden="1">#REF!</definedName>
    <definedName name="ghjkhkj">#N/A</definedName>
    <definedName name="GHJT">#REF!</definedName>
    <definedName name="gj">#REF!</definedName>
    <definedName name="gk">#REF!</definedName>
    <definedName name="GL">'[5]Swimming pool'!$D$16</definedName>
    <definedName name="GLAND">#REF!</definedName>
    <definedName name="gm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notes">[22]Conc!$A$1:$Q$55</definedName>
    <definedName name="gopi">#REF!</definedName>
    <definedName name="groov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oov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oup1">#REF!</definedName>
    <definedName name="Group2">#REF!</definedName>
    <definedName name="Group3">#REF!</definedName>
    <definedName name="Group4">#REF!</definedName>
    <definedName name="gs">#REF!</definedName>
    <definedName name="GSDFSDF">#REF!</definedName>
    <definedName name="gsgfrr" localSheetId="0">DATE(YEAR(Loan_Start),MONTH(Loan_Start)+Payment_Number,DAY(Loan_Start))</definedName>
    <definedName name="gsgfrr">DATE(YEAR(Loan_Start),MONTH(Loan_Start)+Payment_Number,DAY(Loan_Start))</definedName>
    <definedName name="gt">'[5]Column Blk 1'!$D$18</definedName>
    <definedName name="gyp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>#REF!</definedName>
    <definedName name="Hafeez">#REF!</definedName>
    <definedName name="handrail">#REF!</definedName>
    <definedName name="handrails">#REF!</definedName>
    <definedName name="handrails\">#REF!</definedName>
    <definedName name="HARI">#REF!</definedName>
    <definedName name="hatmy145">#REF!</definedName>
    <definedName name="hb">#REF!</definedName>
    <definedName name="head" localSheetId="0">DATE(YEAR(Loan_Start),MONTH(Loan_Start)+Payment_Number,DAY(Loan_Start))</definedName>
    <definedName name="head">DATE(YEAR(Loan_Start),MONTH(Loan_Start)+Payment_Number,DAY(Loan_Start))</definedName>
    <definedName name="Header_Row" localSheetId="0">ROW(#REF!)</definedName>
    <definedName name="Header_Row">ROW(#REF!)</definedName>
    <definedName name="Headings">[23]Headings!$A$2:$K$123</definedName>
    <definedName name="Headings_16">[23]Headings!$A$2:$K$123</definedName>
    <definedName name="Headings_3">[23]Headings!$A$2:$K$123</definedName>
    <definedName name="Headings_4">[7]Headings!$A$2:$K$123</definedName>
    <definedName name="Headings_6">[7]Headings!$A$2:$K$123</definedName>
    <definedName name="Headings_9">[23]Headings!$A$2:$K$123</definedName>
    <definedName name="hf">#REF!</definedName>
    <definedName name="hgg">#REF!</definedName>
    <definedName name="hgjjjgfj">#REF!</definedName>
    <definedName name="h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>#REF!</definedName>
    <definedName name="hhhh">#REF!</definedName>
    <definedName name="hhkhkh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>#REF!</definedName>
    <definedName name="HINDHUSTAN">#REF!</definedName>
    <definedName name="HIns">#REF!</definedName>
    <definedName name="hj" localSheetId="0" hidden="1">#REF!</definedName>
    <definedName name="hj" hidden="1">#REF!</definedName>
    <definedName name="HJGFJSDGHJ">#N/A</definedName>
    <definedName name="hjk">#REF!</definedName>
    <definedName name="hjkhjk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>#REF!</definedName>
    <definedName name="hr">#REF!</definedName>
    <definedName name="hS">#REF!</definedName>
    <definedName name="hS___0">#REF!</definedName>
    <definedName name="hS___13">#REF!</definedName>
    <definedName name="HTML_CodePage" hidden="1">1252</definedName>
    <definedName name="HTML_Control" localSheetId="0" hidden="1">{"'Sheet1'!$A$4386:$N$4591"}</definedName>
    <definedName name="HTML_Control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"Sheet1"</definedName>
    <definedName name="HTML_LastUpdate" hidden="1">"7/1/03"</definedName>
    <definedName name="HTML_LineAfter" hidden="1">FALSE</definedName>
    <definedName name="HTML_LineBefore" hidden="1">FALSE</definedName>
    <definedName name="HTML_Name" hidden="1">"m.p.raval"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"SGSDaily Progress Report Piyaj toDharoi Pipeline"</definedName>
    <definedName name="HU">#REF!</definedName>
    <definedName name="Hu___0">#REF!</definedName>
    <definedName name="Hu___13">#REF!</definedName>
    <definedName name="hxb">#REF!</definedName>
    <definedName name="hxi">#REF!</definedName>
    <definedName name="h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>#REF!</definedName>
    <definedName name="I___0">#REF!</definedName>
    <definedName name="I___13">#REF!</definedName>
    <definedName name="ie">#REF!</definedName>
    <definedName name="If">#REF!</definedName>
    <definedName name="Ig">#REF!</definedName>
    <definedName name="Ig___0">#REF!</definedName>
    <definedName name="Ig___13">#REF!</definedName>
    <definedName name="ihkjhkj">#REF!</definedName>
    <definedName name="iii">#REF!</definedName>
    <definedName name="iiiiiiiiiii">#REF!</definedName>
    <definedName name="iju">#REF!</definedName>
    <definedName name="ik">#REF!</definedName>
    <definedName name="IN">#REF!</definedName>
    <definedName name="income">#REF!</definedName>
    <definedName name="indf">#REF!</definedName>
    <definedName name="indf_4">#REF!</definedName>
    <definedName name="indf_6">#REF!</definedName>
    <definedName name="indu">#REF!</definedName>
    <definedName name="INFRASTRUCTURE_ENTRY">#REF!</definedName>
    <definedName name="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sert_rows_1">#REF!</definedName>
    <definedName name="InstBillingMethod">#REF!</definedName>
    <definedName name="InstBillingMethod_4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na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terna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ternal_Plaster">#REF!</definedName>
    <definedName name="inv">#REF!</definedName>
    <definedName name="INV_SCH">#REF!</definedName>
    <definedName name="investment">#REF!</definedName>
    <definedName name="ioio">#REF!</definedName>
    <definedName name="iop">#REF!</definedName>
    <definedName name="ipip">#REF!</definedName>
    <definedName name="ipu">#REF!</definedName>
    <definedName name="ipu___0">#REF!</definedName>
    <definedName name="ipu___13">#REF!</definedName>
    <definedName name="iri">#REF!</definedName>
    <definedName name="iris">#REF!</definedName>
    <definedName name="Is">#REF!</definedName>
    <definedName name="iui">#REF!</definedName>
    <definedName name="IV">#REF!</definedName>
    <definedName name="iyui">#REF!</definedName>
    <definedName name="j" localSheetId="0" hidden="1">#REF!</definedName>
    <definedName name="j" hidden="1">#REF!</definedName>
    <definedName name="jas">#REF!</definedName>
    <definedName name="jaspre">#REF!</definedName>
    <definedName name="jbhjb">#REF!</definedName>
    <definedName name="jbvhbvh">#REF!</definedName>
    <definedName name="jd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d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ri">#REF!</definedName>
    <definedName name="jfjh" localSheetId="0" hidden="1">#REF!</definedName>
    <definedName name="jfjh" hidden="1">#REF!</definedName>
    <definedName name="jfjy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>#REF!</definedName>
    <definedName name="jhjyhj">#REF!</definedName>
    <definedName name="jhkl">#REF!</definedName>
    <definedName name="jj">#REF!</definedName>
    <definedName name="jjj">#REF!</definedName>
    <definedName name="jjjjjjjjjj">#REF!</definedName>
    <definedName name="jjk">#REF!</definedName>
    <definedName name="jk">#REF!</definedName>
    <definedName name="jkdsashlhiueadaj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dsashlhiueada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h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h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kkj" localSheetId="0" hidden="1">#REF!</definedName>
    <definedName name="jkkkj" hidden="1">#REF!</definedName>
    <definedName name="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ui">#REF!</definedName>
    <definedName name="k">#REF!</definedName>
    <definedName name="K___0">#REF!</definedName>
    <definedName name="K___13">#REF!</definedName>
    <definedName name="k1_table">#REF!</definedName>
    <definedName name="k1x">#REF!</definedName>
    <definedName name="k1y">#REF!</definedName>
    <definedName name="k2x">#REF!</definedName>
    <definedName name="k2y">#REF!</definedName>
    <definedName name="ka">#REF!</definedName>
    <definedName name="kaja">#REF!</definedName>
    <definedName name="kan">#REF!</definedName>
    <definedName name="kanch">#REF!</definedName>
    <definedName name="KARNA">#REF!</definedName>
    <definedName name="kb">#REF!</definedName>
    <definedName name="kc">#REF!</definedName>
    <definedName name="Kh">#REF!</definedName>
    <definedName name="Kh___0">#REF!</definedName>
    <definedName name="Kh___13">#REF!</definedName>
    <definedName name="k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>#REF!</definedName>
    <definedName name="kj">'[14]Labor abs-PW'!$A$20:$IV$20</definedName>
    <definedName name="kjbkjh">#REF!</definedName>
    <definedName name="kjdnfdf">#REF!</definedName>
    <definedName name="kjh">#REF!</definedName>
    <definedName name="k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>#REF!</definedName>
    <definedName name="kkkj" localSheetId="0" hidden="1">#REF!</definedName>
    <definedName name="kkkj" hidden="1">#REF!</definedName>
    <definedName name="Km">#REF!</definedName>
    <definedName name="Km___0">#REF!</definedName>
    <definedName name="Km___13">#REF!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>#REF!</definedName>
    <definedName name="Ks___0">#REF!</definedName>
    <definedName name="Ks___13">#REF!</definedName>
    <definedName name="l">#REF!</definedName>
    <definedName name="L___0">#REF!</definedName>
    <definedName name="L___13">#REF!</definedName>
    <definedName name="labourrate">'[6]MASTER_RATE ANALYSIS'!$A$184:$G$345</definedName>
    <definedName name="LAMP">#REF!</definedName>
    <definedName name="LAMP___0">#REF!</definedName>
    <definedName name="LAMP___13">#REF!</definedName>
    <definedName name="Land_adv">#REF!</definedName>
    <definedName name="landscape">#REF!</definedName>
    <definedName name="landscpe">#REF!</definedName>
    <definedName name="lasdk">'[10]Structure Bills Qty'!$A$1:$IV$3</definedName>
    <definedName name="Last_Row" localSheetId="0">IF('Beam - Clubhouse '!Values_Entered,'Beam - Clubhouse '!Header_Row+'Beam - Clubhouse '!Number_of_Payments,'Beam - Clubhouse '!Header_Row)</definedName>
    <definedName name="Last_Row">IF(Values_Entered,Header_Row+Number_of_Payments,Header_Row)</definedName>
    <definedName name="Lc">#REF!</definedName>
    <definedName name="Lc___0">#REF!</definedName>
    <definedName name="Lc___13">#REF!</definedName>
    <definedName name="LCAR100">#REF!</definedName>
    <definedName name="Lead">#REF!</definedName>
    <definedName name="leela">#REF!</definedName>
    <definedName name="lef">#REF!</definedName>
    <definedName name="lel">#REF!</definedName>
    <definedName name="len">#REF!</definedName>
    <definedName name="LG_1">#REF!</definedName>
    <definedName name="LGF">'[5]Column Blk 1'!$C$324</definedName>
    <definedName name="lhuuioyhuyhui">#REF!</definedName>
    <definedName name="limcount" hidden="1">1</definedName>
    <definedName name="li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0" hidden="1">#REF!</definedName>
    <definedName name="lll" hidden="1">#REF!</definedName>
    <definedName name="lo">#REF!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r">#REF!</definedName>
    <definedName name="Lr___0">#REF!</definedName>
    <definedName name="Lr___13">#REF!</definedName>
    <definedName name="lrt">#REF!</definedName>
    <definedName name="LSD_4100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>#REF!</definedName>
    <definedName name="M1y">#REF!</definedName>
    <definedName name="M2x">#REF!</definedName>
    <definedName name="M2y">#REF!</definedName>
    <definedName name="MACHINE_EQUIPMENT">#REF!</definedName>
    <definedName name="MACHINE_EQUIPMENT_ENTRY">#REF!</definedName>
    <definedName name="Macro1">#REF!</definedName>
    <definedName name="Macro2">#REF!</definedName>
    <definedName name="macrocopy" localSheetId="0">IF(Loan_Amount*Interest_Rate*Loan_Years*Loan_Start&gt;0,1,0)</definedName>
    <definedName name="macrocopy">IF(Loan_Amount*Interest_Rate*Loan_Years*Loan_Start&gt;0,1,0)</definedName>
    <definedName name="m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>#REF!</definedName>
    <definedName name="manish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sonary">#REF!</definedName>
    <definedName name="masterlist">#N/A</definedName>
    <definedName name="Mat">#REF!</definedName>
    <definedName name="Material_rate_entry">#REF!</definedName>
    <definedName name="MATV">#REF!</definedName>
    <definedName name="mayflower">#REF!</definedName>
    <definedName name="MDF">#REF!</definedName>
    <definedName name="meest">#REF!</definedName>
    <definedName name="mehead">#REF!</definedName>
    <definedName name="mena">#REF!</definedName>
    <definedName name="MF">#REF!</definedName>
    <definedName name="MF___0">#REF!</definedName>
    <definedName name="MF___13">#REF!</definedName>
    <definedName name="MIS" localSheetId="0">DATE(YEAR(Loan_Start),MONTH(Loan_Start)+Payment_Number,DAY(Loan_Start))</definedName>
    <definedName name="MIS">DATE(YEAR(Loan_Start),MONTH(Loan_Start)+Payment_Number,DAY(Loan_Start))</definedName>
    <definedName name="mm">#REF!</definedName>
    <definedName name="mmm">#REF!</definedName>
    <definedName name="mmmmmmmmmm">#REF!</definedName>
    <definedName name="mnvgdg">#REF!</definedName>
    <definedName name="mobi">#REF!</definedName>
    <definedName name="Mobilization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P" localSheetId="0" hidden="1">#REF!</definedName>
    <definedName name="MP" hidden="1">#REF!</definedName>
    <definedName name="ms">'[10]Structure Bills Qty'!$A$1:$IV$3</definedName>
    <definedName name="MT_1">#REF!</definedName>
    <definedName name="MT_2">#REF!</definedName>
    <definedName name="MT_3">#REF!</definedName>
    <definedName name="MTV">#REF!</definedName>
    <definedName name="MV_1">#REF!</definedName>
    <definedName name="MV_2">#REF!</definedName>
    <definedName name="MV_3">#REF!</definedName>
    <definedName name="MV_4">#REF!</definedName>
    <definedName name="MV_5">#REF!</definedName>
    <definedName name="n" localSheetId="0">MATCH(0.01,[0]!End_Bal,-1)+1</definedName>
    <definedName name="n">MATCH(0.01,End_Bal,-1)+1</definedName>
    <definedName name="N___0">#REF!</definedName>
    <definedName name="N___13">#REF!</definedName>
    <definedName name="nagapp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>#REF!</definedName>
    <definedName name="Neck">#REF!</definedName>
    <definedName name="NEW">#REF!</definedName>
    <definedName name="nmmn">#REF!</definedName>
    <definedName name="NN">#REF!</definedName>
    <definedName name="NN___0">#REF!</definedName>
    <definedName name="NN___13">#REF!</definedName>
    <definedName name="nnn">#REF!</definedName>
    <definedName name="no">#REF!</definedName>
    <definedName name="nonmodular">#REF!</definedName>
    <definedName name="nonmodular_4">#REF!</definedName>
    <definedName name="nonmodular_6">#REF!</definedName>
    <definedName name="NOT_SPECIFIED">#REF!</definedName>
    <definedName name="not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>#REF!</definedName>
    <definedName name="Num_Pmt_Per_Year">#REF!</definedName>
    <definedName name="Number_of_Payments" localSheetId="0">MATCH(0.01,[0]!End_Bal,-1)+1</definedName>
    <definedName name="Number_of_Payments">MATCH(0.01,End_Bal,-1)+1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bpl">#REF!</definedName>
    <definedName name="octf">#REF!</definedName>
    <definedName name="OfficeBoys">#REF!</definedName>
    <definedName name="oio">#REF!</definedName>
    <definedName name="oipo">#REF!</definedName>
    <definedName name="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>#REF!</definedName>
    <definedName name="ooooooooo">#REF!</definedName>
    <definedName name="ooopp">#REF!</definedName>
    <definedName name="Open">#REF!</definedName>
    <definedName name="option22">#REF!</definedName>
    <definedName name="osdnvkls" localSheetId="0" hidden="1">#REF!</definedName>
    <definedName name="osdnvkls" hidden="1">#REF!</definedName>
    <definedName name="OVER_HEADS_ENTRY">#REF!</definedName>
    <definedName name="Overall_Summary_Title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ne2">#REF!</definedName>
    <definedName name="Pane2___0">#REF!</definedName>
    <definedName name="Pane2___13">#REF!</definedName>
    <definedName name="par">#N/A</definedName>
    <definedName name="part">'[18]RA-markate'!$A$389:$B$1034</definedName>
    <definedName name="paul">50000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b">#REF!</definedName>
    <definedName name="pb___0">#REF!</definedName>
    <definedName name="pb___11">#REF!</definedName>
    <definedName name="pb___12">#REF!</definedName>
    <definedName name="PBILL">#REF!</definedName>
    <definedName name="Pbx">#REF!</definedName>
    <definedName name="Pby">#REF!</definedName>
    <definedName name="PCC">#REF!</definedName>
    <definedName name="PCC_Depth">'[12]Retaining wall -1'!$C$13</definedName>
    <definedName name="PCC_offset">'[12]Retaining wall -1'!$C$12</definedName>
    <definedName name="pd">'[5]Beam FF,SF Blk 1'!$D$22</definedName>
    <definedName name="PD_1">#REF!</definedName>
    <definedName name="PEDESTAL">#REF!</definedName>
    <definedName name="pH">#REF!</definedName>
    <definedName name="pH___0">#REF!</definedName>
    <definedName name="pH___13">#REF!</definedName>
    <definedName name="PhaseCode">#REF!</definedName>
    <definedName name="pioi">#REF!</definedName>
    <definedName name="PL_1">#REF!</definedName>
    <definedName name="Plant">#REF!</definedName>
    <definedName name="plants">#REF!</definedName>
    <definedName name="Plinth_beam">#REF!</definedName>
    <definedName name="plsh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sh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>#REF!</definedName>
    <definedName name="PM">#REF!</definedName>
    <definedName name="p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>#REF!</definedName>
    <definedName name="PO.2">#REF!</definedName>
    <definedName name="PO_1">#REF!</definedName>
    <definedName name="PO_2">#REF!</definedName>
    <definedName name="PO_3">#REF!</definedName>
    <definedName name="po_4">#REF!</definedName>
    <definedName name="po_6">#REF!</definedName>
    <definedName name="poles">'[10]Structure Bills Qty'!$A$6:$M$13</definedName>
    <definedName name="pp" localSheetId="0" hidden="1">#REF!</definedName>
    <definedName name="pp" hidden="1">#REF!</definedName>
    <definedName name="pppppppppp">#REF!</definedName>
    <definedName name="pr">#REF!</definedName>
    <definedName name="prasad145">#REF!</definedName>
    <definedName name="prasad146">#REF!</definedName>
    <definedName name="pre">#REF!</definedName>
    <definedName name="preli">#REF!</definedName>
    <definedName name="PRELIM">#REF!</definedName>
    <definedName name="Preliminaries">#REF!</definedName>
    <definedName name="preliminary">#REF!</definedName>
    <definedName name="prelim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>#REF!</definedName>
    <definedName name="PREM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>#REF!</definedName>
    <definedName name="PrimeAddress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">#REF!</definedName>
    <definedName name="Princ">#REF!</definedName>
    <definedName name="Principal">#REF!</definedName>
    <definedName name="Print">#REF!</definedName>
    <definedName name="print_ar">#REF!</definedName>
    <definedName name="_xlnm.Print_Area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Area_Reset" localSheetId="0">OFFSET([0]!Full_Print,0,0,'Beam - Clubhouse '!Last_Row)</definedName>
    <definedName name="Print_Area_Reset">OFFSET(Full_Print,0,0,Last_Row)</definedName>
    <definedName name="_xlnm.Print_Titles">#REF!</definedName>
    <definedName name="priya">#REF!</definedName>
    <definedName name="priya1">'[24]Rate analysis'!$C$2</definedName>
    <definedName name="pro">#REF!</definedName>
    <definedName name="PROD">#REF!</definedName>
    <definedName name="PROD_4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S">#REF!</definedName>
    <definedName name="PS___0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>'[25]HF Blk 1'!#REF!</definedName>
    <definedName name="pun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>#REF!</definedName>
    <definedName name="PV">#REF!</definedName>
    <definedName name="q">#REF!</definedName>
    <definedName name="qa">[26]Sheet1!$A$2:$F$262</definedName>
    <definedName name="Qc">#REF!</definedName>
    <definedName name="Qc___0">#REF!</definedName>
    <definedName name="Qc___13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0" hidden="1">#REF!</definedName>
    <definedName name="qq" hidden="1">#REF!</definedName>
    <definedName name="QRQWD">#REF!</definedName>
    <definedName name="Qspan">#REF!</definedName>
    <definedName name="QTY">#REF!</definedName>
    <definedName name="qua">#REF!</definedName>
    <definedName name="Quantity">#REF!</definedName>
    <definedName name="QUANTITY1">#REF!</definedName>
    <definedName name="Quantity2">#REF!</definedName>
    <definedName name="quar">#REF!</definedName>
    <definedName name="QUARTZ">#REF!</definedName>
    <definedName name="quotient">"denominator"</definedName>
    <definedName name="qw">#REF!</definedName>
    <definedName name="qwe">[26]Sheet1!$A$2:$IV$2</definedName>
    <definedName name="qwerwqerwe">#REF!</definedName>
    <definedName name="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>#REF!</definedName>
    <definedName name="radhika">#REF!</definedName>
    <definedName name="rahaer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j" localSheetId="0" hidden="1">{"'Sheet1'!$A$4386:$N$4591"}</definedName>
    <definedName name="Raj" hidden="1">{"'Sheet1'!$A$4386:$N$4591"}</definedName>
    <definedName name="Ramp">#N/A</definedName>
    <definedName name="RANGE">#REF!</definedName>
    <definedName name="RANGE1">#REF!</definedName>
    <definedName name="RANGE2">#REF!</definedName>
    <definedName name="RANGE21">#REF!</definedName>
    <definedName name="range3">#REF!</definedName>
    <definedName name="RASH">#REF!</definedName>
    <definedName name="rashmi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>'[27]Rate analysis'!$C$2</definedName>
    <definedName name="Re___0">#REF!</definedName>
    <definedName name="Re___13">#REF!</definedName>
    <definedName name="rec">#REF!</definedName>
    <definedName name="Recon">#REF!</definedName>
    <definedName name="reconcilation">#REF!</definedName>
    <definedName name="reconcile">'[28]Rate analysis'!$C$2</definedName>
    <definedName name="Reconcole" localSheetId="0">DATE(YEAR([29]!Loan_Start),MONTH([29]!Loan_Start)+Payment_Number,DAY([29]!Loan_Start))</definedName>
    <definedName name="Reconcole">DATE(YEAR([29]!Loan_Start),MONTH([29]!Loan_Start)+Payment_Number,DAY([29]!Loan_Start))</definedName>
    <definedName name="_xlnm.Recorder">#REF!</definedName>
    <definedName name="rect_4_415">#REF!</definedName>
    <definedName name="reee">#REF!</definedName>
    <definedName name="re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>#REF!</definedName>
    <definedName name="REGULAR_STAFF_ENTRY">#REF!</definedName>
    <definedName name="rel">#REF!</definedName>
    <definedName name="RES">#REF!</definedName>
    <definedName name="resd">#REF!</definedName>
    <definedName name="reswe" localSheetId="0" hidden="1">#REF!</definedName>
    <definedName name="reswe" hidden="1">#REF!</definedName>
    <definedName name="Rev">#REF!</definedName>
    <definedName name="REVISED">#REF!</definedName>
    <definedName name="Revision">#REF!</definedName>
    <definedName name="REW">#REF!</definedName>
    <definedName name="Rg">#REF!</definedName>
    <definedName name="rg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>#REF!</definedName>
    <definedName name="rig">#REF!</definedName>
    <definedName name="rim4_4">#REF!</definedName>
    <definedName name="rim4_6">#REF!</definedName>
    <definedName name="Rl">#REF!</definedName>
    <definedName name="Rl___0">#REF!</definedName>
    <definedName name="Rl___13">#REF!</definedName>
    <definedName name="robot">#REF!</definedName>
    <definedName name="rosid">#REF!</definedName>
    <definedName name="RQQQ">#REF!</definedName>
    <definedName name="rr">#REF!</definedName>
    <definedName name="rr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">#REF!</definedName>
    <definedName name="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>#REF!</definedName>
    <definedName name="rrrrrrrrr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>#REF!</definedName>
    <definedName name="rtr">#REF!</definedName>
    <definedName name="rtrt">#REF!</definedName>
    <definedName name="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>#REF!</definedName>
    <definedName name="rttrt">#REF!</definedName>
    <definedName name="rty">#REF!</definedName>
    <definedName name="rtyu">#REF!</definedName>
    <definedName name="rule" hidden="1">'[30]final abstract'!#REF!</definedName>
    <definedName name="RUT">#REF!</definedName>
    <definedName name="ryy">#REF!</definedName>
    <definedName name="S">#REF!</definedName>
    <definedName name="S0">#REF!</definedName>
    <definedName name="s1c3">'[31]Stair-below podium'!#REF!</definedName>
    <definedName name="SA">#REF!</definedName>
    <definedName name="saa">#REF!</definedName>
    <definedName name="sadd">#REF!</definedName>
    <definedName name="sadfasdf">[32]Notes!$D$5:$K$265</definedName>
    <definedName name="sadfdasf" localSheetId="0" hidden="1">#REF!</definedName>
    <definedName name="sadfdasf" hidden="1">#REF!</definedName>
    <definedName name="sadfsadf">#REF!</definedName>
    <definedName name="sadfsdaf">#REF!</definedName>
    <definedName name="safe">#REF!</definedName>
    <definedName name="Safety">#REF!</definedName>
    <definedName name="salary">#REF!</definedName>
    <definedName name="SalesMgr">#REF!</definedName>
    <definedName name="SalesMgr_4">#REF!</definedName>
    <definedName name="SalesMgr_6">#REF!</definedName>
    <definedName name="SASDASD">#REF!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caffolding" localSheetId="0" hidden="1">#REF!</definedName>
    <definedName name="scaffolding" hidden="1">#REF!</definedName>
    <definedName name="SCC">#REF!</definedName>
    <definedName name="SCD">#REF!</definedName>
    <definedName name="SCE">#REF!</definedName>
    <definedName name="SCED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roll">#REF!</definedName>
    <definedName name="SD">#REF!</definedName>
    <definedName name="sdasd">[33]Notes!$D$3:$L$231</definedName>
    <definedName name="Sdate">#REF!</definedName>
    <definedName name="sddff">#REF!</definedName>
    <definedName name="sdfd">#REF!</definedName>
    <definedName name="sdfdf">#REF!</definedName>
    <definedName name="sdffggg">#REF!</definedName>
    <definedName name="sdffs">#REF!</definedName>
    <definedName name="sdffsd">#REF!</definedName>
    <definedName name="sdfgdsfgdf">#REF!</definedName>
    <definedName name="sdfgsdg" localSheetId="0">MATCH(0.01,End_Bal,-1)+1</definedName>
    <definedName name="sdfgsdg">MATCH(0.01,End_Bal,-1)+1</definedName>
    <definedName name="sdfgsdsdsdf">#REF!</definedName>
    <definedName name="sdfjasdfklj">#REF!</definedName>
    <definedName name="SDFS">#REF!</definedName>
    <definedName name="sdfsd">#REF!</definedName>
    <definedName name="sdfsdf">#REF!</definedName>
    <definedName name="sdggdsfgsdf">#REF!</definedName>
    <definedName name="sdgsdht">#REF!</definedName>
    <definedName name="sdgsdsdf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dsss">#REF!</definedName>
    <definedName name="SDW">#REF!</definedName>
    <definedName name="se">#REF!</definedName>
    <definedName name="SE_214B">'[34]Slab Blk-02'!$B$8</definedName>
    <definedName name="sec">#REF!</definedName>
    <definedName name="sec_deposit">#REF!</definedName>
    <definedName name="SECT">#REF!</definedName>
    <definedName name="sect1">'[35]RA-markate'!$A$389:$B$1034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ured">#REF!</definedName>
    <definedName name="securi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>#REF!</definedName>
    <definedName name="SelectedLanguage_4">#REF!</definedName>
    <definedName name="SelectedLanguage_6">#REF!</definedName>
    <definedName name="sencount" hidden="1">1</definedName>
    <definedName name="SER">#REF!</definedName>
    <definedName name="servf">#REF!</definedName>
    <definedName name="Setflag">#REF!</definedName>
    <definedName name="SF">#REF!</definedName>
    <definedName name="sfdfsd">#REF!</definedName>
    <definedName name="sfe" localSheetId="0" hidden="1">#REF!</definedName>
    <definedName name="sfe" hidden="1">#REF!</definedName>
    <definedName name="sfff">#REF!</definedName>
    <definedName name="SFFSDF">#REF!</definedName>
    <definedName name="sffsff">#REF!</definedName>
    <definedName name="sffssd">#REF!</definedName>
    <definedName name="SFL">'[5]Column Blk 1'!$C$950</definedName>
    <definedName name="sfsd">#REF!</definedName>
    <definedName name="SFSDFS">#REF!</definedName>
    <definedName name="SFSDFSD">#REF!</definedName>
    <definedName name="SFSDFSDF">#REF!</definedName>
    <definedName name="SFSDFSF">#REF!</definedName>
    <definedName name="sfsf">#REF!</definedName>
    <definedName name="sfsfs">'[14]Labor abs-NMR'!$A$20:$IV$20</definedName>
    <definedName name="sfssdfs">#REF!</definedName>
    <definedName name="sfssf" localSheetId="0" hidden="1">#REF!</definedName>
    <definedName name="sfssf" hidden="1">#REF!</definedName>
    <definedName name="SFWEWFRWER">#REF!</definedName>
    <definedName name="sg">#REF!</definedName>
    <definedName name="sgfe" localSheetId="0" hidden="1">#REF!</definedName>
    <definedName name="sgfe" hidden="1">#REF!</definedName>
    <definedName name="sgf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fssfs">#REF!</definedName>
    <definedName name="sgggggg" localSheetId="0" hidden="1">#REF!</definedName>
    <definedName name="sgggggg" hidden="1">#REF!</definedName>
    <definedName name="sg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>#REF!</definedName>
    <definedName name="shank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>#REF!</definedName>
    <definedName name="Shear" localSheetId="0" hidden="1">#REF!</definedName>
    <definedName name="Shear" hidden="1">#REF!</definedName>
    <definedName name="Sheet" localSheetId="0" hidden="1">#REF!</definedName>
    <definedName name="Sheet" hidden="1">#REF!</definedName>
    <definedName name="sheet1">#REF!</definedName>
    <definedName name="sheet1___0">#REF!</definedName>
    <definedName name="sheet1___13">#REF!</definedName>
    <definedName name="SHOPBOQ">#REF!</definedName>
    <definedName name="SHOPHED">#REF!</definedName>
    <definedName name="SHRLMR" localSheetId="0">[13]!_______________b1+Extra_Payment</definedName>
    <definedName name="SHRLMR">[13]!_______________b1+Extra_Payment</definedName>
    <definedName name="Sht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>#REF!</definedName>
    <definedName name="SiteID">#REF!</definedName>
    <definedName name="SiteID_4">#REF!</definedName>
    <definedName name="SiteID_6">#REF!</definedName>
    <definedName name="SiteType">#REF!</definedName>
    <definedName name="SiteType_4">#REF!</definedName>
    <definedName name="SiteType_6">#REF!</definedName>
    <definedName name="siva">#REF!</definedName>
    <definedName name="sk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">'[5]Column Blk 1'!$D$17</definedName>
    <definedName name="sla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mallProj">#REF!</definedName>
    <definedName name="SmallProj_4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asia" localSheetId="0" hidden="1">#REF!</definedName>
    <definedName name="soasia" hidden="1">#REF!</definedName>
    <definedName name="sob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>#REF!</definedName>
    <definedName name="SOL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>#REF!</definedName>
    <definedName name="solvents">#REF!</definedName>
    <definedName name="sond">#REF!</definedName>
    <definedName name="sondf">#REF!</definedName>
    <definedName name="soo" localSheetId="0" hidden="1">#REF!</definedName>
    <definedName name="soo" hidden="1">#REF!</definedName>
    <definedName name="sp">#REF!</definedName>
    <definedName name="SP_1">#REF!</definedName>
    <definedName name="SP_2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res">#REF!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are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0">DATE(YEAR(#REF!),MONTH(#REF!)+Payment_Number,DAY(#REF!))</definedName>
    <definedName name="SR">DATE(YEAR(#REF!),MONTH(#REF!)+Payment_Number,DAY(#REF!))</definedName>
    <definedName name="SR_NO.">'[6]MASTER_RATE ANALYSIS'!$B$190:$G$190</definedName>
    <definedName name="srasf">#REF!</definedName>
    <definedName name="SRRRRR">#REF!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s">#REF!</definedName>
    <definedName name="ssa">#REF!</definedName>
    <definedName name="ssfsfsf">'[15]Labor abs-NMR'!$A$2:$IV$2</definedName>
    <definedName name="ssfss">'[14]Labor abs-NMR'!$B$7645:$B$7693</definedName>
    <definedName name="ssfssf">'[15]Labor abs-NMR'!$A$2:$F$282</definedName>
    <definedName name="sss">#REF!</definedName>
    <definedName name="sssdsf">#REF!</definedName>
    <definedName name="sssss" localSheetId="0" hidden="1">#REF!</definedName>
    <definedName name="sssss" hidden="1">#REF!</definedName>
    <definedName name="SSWEWE" localSheetId="0" hidden="1">#REF!</definedName>
    <definedName name="SSWEWE" hidden="1">#REF!</definedName>
    <definedName name="ST">'[5]Swimming pool'!$D$17</definedName>
    <definedName name="staffing">#REF!</definedName>
    <definedName name="Stage">#REF!</definedName>
    <definedName name="Staircase">#REF!</definedName>
    <definedName name="Staircase2">#REF!</definedName>
    <definedName name="Standard_Length">'[12]Retaining wall -1'!$C$14</definedName>
    <definedName name="Start_Date">#REF!</definedName>
    <definedName name="StartDate">#REF!</definedName>
    <definedName name="StartDate_4">#REF!</definedName>
    <definedName name="StartDate_6">#REF!</definedName>
    <definedName name="steel">#REF!</definedName>
    <definedName name="steelc.b.d">#REF!</definedName>
    <definedName name="Steps" comment="STEPS">'[36]Plastering-CH'!#REF!</definedName>
    <definedName name="stetr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>#REF!</definedName>
    <definedName name="stoolag08">#REF!</definedName>
    <definedName name="stoolag50">#REF!</definedName>
    <definedName name="stoolag81">#REF!</definedName>
    <definedName name="StrID">#REF!</definedName>
    <definedName name="structure">#REF!</definedName>
    <definedName name="stt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>#REF!</definedName>
    <definedName name="SUMMARY">#REF!</definedName>
    <definedName name="suresh">#REF!</definedName>
    <definedName name="SURYA">#REF!</definedName>
    <definedName name="sushma">#REF!</definedName>
    <definedName name="swf">#REF!</definedName>
    <definedName name="swf_4">#REF!</definedName>
    <definedName name="swf_6">#REF!</definedName>
    <definedName name="swimmingpool">#REF!</definedName>
    <definedName name="sysysey" localSheetId="0">Scheduled_Payment+Extra_Payment</definedName>
    <definedName name="sysysey">Scheduled_Payment+Extra_Payment</definedName>
    <definedName name="sytey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>#REF!</definedName>
    <definedName name="t___0">#REF!</definedName>
    <definedName name="t___13">#REF!</definedName>
    <definedName name="T0">#REF!</definedName>
    <definedName name="TA_1">#REF!</definedName>
    <definedName name="TA_2">#REF!</definedName>
    <definedName name="Table">#REF!</definedName>
    <definedName name="table1">'[4]SPT vs PHI'!$E$2:$F$47</definedName>
    <definedName name="TABLE2">#REF!</definedName>
    <definedName name="table3">#REF!</definedName>
    <definedName name="TABLE4">#REF!</definedName>
    <definedName name="TableRange">#REF!</definedName>
    <definedName name="ta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>#REF!</definedName>
    <definedName name="tally">#REF!</definedName>
    <definedName name="tc">#REF!</definedName>
    <definedName name="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>#REF!</definedName>
    <definedName name="TechnoSpace">#REF!</definedName>
    <definedName name="tee">#REF!</definedName>
    <definedName name="tel">#REF!</definedName>
    <definedName name="TELEVISION">#REF!</definedName>
    <definedName name="te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>#REF!</definedName>
    <definedName name="TEs">#REF!</definedName>
    <definedName name="TEs___0">#REF!</definedName>
    <definedName name="TEs___13">#REF!</definedName>
    <definedName name="testse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>#REF!</definedName>
    <definedName name="TEt___0">#REF!</definedName>
    <definedName name="TEt___13">#REF!</definedName>
    <definedName name="TF">#REF!</definedName>
    <definedName name="TFL">'[5]Column Blk 1'!$C$1155</definedName>
    <definedName name="TierCode">#REF!</definedName>
    <definedName name="TierCode_4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leaq">#REF!</definedName>
    <definedName name="Timberstep">#REF!</definedName>
    <definedName name="Title">'[37]Civil Boq'!$D$3</definedName>
    <definedName name="Title1">#REF!</definedName>
    <definedName name="Title2">#REF!</definedName>
    <definedName name="tol">#REF!</definedName>
    <definedName name="tools">#REF!</definedName>
    <definedName name="tools1">#REF!</definedName>
    <definedName name="topl">#REF!</definedName>
    <definedName name="topn">#REF!</definedName>
    <definedName name="TOTAL_CONSUMPTION">#REF!</definedName>
    <definedName name="Total_Interest">#REF!</definedName>
    <definedName name="Total_Pay">#REF!</definedName>
    <definedName name="Total_Payment" localSheetId="0">[13]!_______________b1+Extra_Payment</definedName>
    <definedName name="Total_Payment">[13]!_______________b1+Extra_Payment</definedName>
    <definedName name="towre">#REF!</definedName>
    <definedName name="tr">#REF!</definedName>
    <definedName name="tranformer" localSheetId="0" hidden="1">#REF!</definedName>
    <definedName name="tranformer" hidden="1">#REF!</definedName>
    <definedName name="TRA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>#REF!</definedName>
    <definedName name="tS">#REF!</definedName>
    <definedName name="tS___0">#REF!</definedName>
    <definedName name="tS___13">#REF!</definedName>
    <definedName name="tt">#REF!</definedName>
    <definedName name="ttt" localSheetId="0" hidden="1">#REF!</definedName>
    <definedName name="ttt" hidden="1">#REF!</definedName>
    <definedName name="tttt">#REF!</definedName>
    <definedName name="ttttt">#REF!</definedName>
    <definedName name="tttttt">#REF!</definedName>
    <definedName name="tttttttt">#REF!</definedName>
    <definedName name="ttttttttt">#REF!</definedName>
    <definedName name="ttttttttttttttttt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tttttttttt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>#REF!</definedName>
    <definedName name="TUES1">#REF!</definedName>
    <definedName name="tulip">#REF!</definedName>
    <definedName name="tuti" localSheetId="0" hidden="1">#REF!</definedName>
    <definedName name="tuti" hidden="1">#REF!</definedName>
    <definedName name="tutyoiou">#N/A</definedName>
    <definedName name="TV">#REF!</definedName>
    <definedName name="TVV">#REF!</definedName>
    <definedName name="ty" localSheetId="0" hidden="1">#REF!</definedName>
    <definedName name="ty" hidden="1">#REF!</definedName>
    <definedName name="tyeesgy">#REF!</definedName>
    <definedName name="type">#REF!</definedName>
    <definedName name="Type1">#REF!</definedName>
    <definedName name="Type2">#REF!</definedName>
    <definedName name="Type3">#REF!</definedName>
    <definedName name="tyt">#REF!</definedName>
    <definedName name="tyy">#REF!</definedName>
    <definedName name="u">#REF!</definedName>
    <definedName name="UGF">'[5]Column Blk 1'!$C$323</definedName>
    <definedName name="uiui">#REF!</definedName>
    <definedName name="uiyo">#REF!</definedName>
    <definedName name="UNITS">#REF!</definedName>
    <definedName name="unsecured">#REF!</definedName>
    <definedName name="usd">#REF!</definedName>
    <definedName name="Use_Alternates">#REF!</definedName>
    <definedName name="uu">#REF!</definedName>
    <definedName name="uuu">#REF!</definedName>
    <definedName name="uuuuuuuu">#REF!</definedName>
    <definedName name="uyiui">#REF!</definedName>
    <definedName name="va">#REF!</definedName>
    <definedName name="va___0">#REF!</definedName>
    <definedName name="va___13">#REF!</definedName>
    <definedName name="VA_1">#REF!</definedName>
    <definedName name="VA_2">#REF!</definedName>
    <definedName name="VA_3">#REF!</definedName>
    <definedName name="VADODARA_________________________________CLIENT_______________M_s">'[6]MASTER_RATE ANALYSIS'!$B$185:$G$185</definedName>
    <definedName name="vahas">#REF!</definedName>
    <definedName name="Values_Entered" localSheetId="0">IF([0]!Loan_Amount*[0]!Interest_Rate*[0]!Loan_Years*[0]!Loan_Start&gt;0,1,0)</definedName>
    <definedName name="Values_Entered">IF(Loan_Amount*Interest_Rate*Loan_Years*Loan_Start&gt;0,1,0)</definedName>
    <definedName name="VANDEMATARAM">#REF!</definedName>
    <definedName name="variance">#REF!</definedName>
    <definedName name="variance..">#REF!</definedName>
    <definedName name="vatf">#REF!</definedName>
    <definedName name="vatf_4">#REF!</definedName>
    <definedName name="vatf_6">#REF!</definedName>
    <definedName name="VB">#REF!</definedName>
    <definedName name="vbv">#REF!</definedName>
    <definedName name="vbvb">#REF!</definedName>
    <definedName name="vc">#REF!</definedName>
    <definedName name="VD">#REF!</definedName>
    <definedName name="veh">#REF!</definedName>
    <definedName name="vehicle">#REF!</definedName>
    <definedName name="Velocity_DiCL">#REF!</definedName>
    <definedName name="Velocity_ORD">#REF!</definedName>
    <definedName name="Vend">#REF!</definedName>
    <definedName name="VENEER">#REF!</definedName>
    <definedName name="Vf">#REF!</definedName>
    <definedName name="vgj">'[10]Structure Bills Qty'!$A$1:$IV$3</definedName>
    <definedName name="vijay">#REF!</definedName>
    <definedName name="VIVEKANANDA">#REF!</definedName>
    <definedName name="vjj">#REF!</definedName>
    <definedName name="VNFVBDVFBZDSD">#REF!</definedName>
    <definedName name="Vsigma">#REF!</definedName>
    <definedName name="vv">#REF!</definedName>
    <definedName name="vxckbmjklbgjnklgbmjh" localSheetId="0" hidden="1">#REF!</definedName>
    <definedName name="vxckbmjklbgjnklgbmjh" hidden="1">#REF!</definedName>
    <definedName name="Vz">#REF!</definedName>
    <definedName name="w">#REF!</definedName>
    <definedName name="Waiting">"Picture 1"</definedName>
    <definedName name="Water_Proofing">#REF!</definedName>
    <definedName name="wdf">#REF!</definedName>
    <definedName name="we">#REF!</definedName>
    <definedName name="wee">#REF!</definedName>
    <definedName name="werwe">#REF!</definedName>
    <definedName name="wetewt">#REF!</definedName>
    <definedName name="wewe">#REF!</definedName>
    <definedName name="wfrwfrwefw">#REF!</definedName>
    <definedName name="WHITEWOOD">#REF!</definedName>
    <definedName name="wid">#REF!</definedName>
    <definedName name="wip">#REF!</definedName>
    <definedName name="WLP">#REF!</definedName>
    <definedName name="wood1344">#REF!</definedName>
    <definedName name="woodc.b.d">#REF!</definedName>
    <definedName name="woodenflooring">#REF!</definedName>
    <definedName name="work">#REF!</definedName>
    <definedName name="Working_offset">'[12]Retaining wall -1'!$C$11</definedName>
    <definedName name="WP">#REF!</definedName>
    <definedName name="wreqwrt">#REF!</definedName>
    <definedName name="wrftw">#REF!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rint._.Output." localSheetId="0" hidden="1">{#N/A,#N/A,FALSE,"OUTPUT SHEET "}</definedName>
    <definedName name="wrn.Print._.Output." hidden="1">{#N/A,#N/A,FALSE,"OUTPUT SHEET "}</definedName>
    <definedName name="wswww">#REF!</definedName>
    <definedName name="wtrwwefr">#REF!</definedName>
    <definedName name="ww" localSheetId="0" hidden="1">#REF!</definedName>
    <definedName name="ww" hidden="1">#REF!</definedName>
    <definedName name="wwwwww" localSheetId="0" hidden="1">#REF!</definedName>
    <definedName name="wwwwww" hidden="1">#REF!</definedName>
    <definedName name="wwwwwwe" localSheetId="0" hidden="1">#REF!</definedName>
    <definedName name="wwwwwwe" hidden="1">#REF!</definedName>
    <definedName name="x">#REF!</definedName>
    <definedName name="xc">#REF!</definedName>
    <definedName name="xcv">#REF!</definedName>
    <definedName name="xfs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fs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l">#REF!</definedName>
    <definedName name="Xl___0">#REF!</definedName>
    <definedName name="Xl___13">#REF!</definedName>
    <definedName name="x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>#REF!</definedName>
    <definedName name="xy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>#REF!</definedName>
    <definedName name="xzfvv">#REF!</definedName>
    <definedName name="y5ey">#REF!</definedName>
    <definedName name="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gdhdd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gdhd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>#REF!</definedName>
    <definedName name="yu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u">#REF!</definedName>
    <definedName name="ywerteqrt">#REF!</definedName>
    <definedName name="yyy">#REF!</definedName>
    <definedName name="yyyyyyyyyyy">#REF!</definedName>
    <definedName name="z">#REF!</definedName>
    <definedName name="Z_01EEECA8_52E8_4BA6_B221_CB6D3C468C80_.wvu.Cols" localSheetId="0" hidden="1">#REF!</definedName>
    <definedName name="Z_01EEECA8_52E8_4BA6_B221_CB6D3C468C80_.wvu.Cols" hidden="1">#REF!</definedName>
    <definedName name="Z_01EEECA8_52E8_4BA6_B221_CB6D3C468C80_.wvu.FilterData" localSheetId="0" hidden="1">#REF!</definedName>
    <definedName name="Z_01EEECA8_52E8_4BA6_B221_CB6D3C468C80_.wvu.FilterData" hidden="1">#REF!</definedName>
    <definedName name="Z_0B3EF283_BAAE_40DA_B109_606B8002D5D4_.wvu.FilterData" localSheetId="0" hidden="1">#REF!</definedName>
    <definedName name="Z_0B3EF283_BAAE_40DA_B109_606B8002D5D4_.wvu.FilterData" hidden="1">#REF!</definedName>
    <definedName name="Z_0C509CAE_4B28_497F_9463_E056D87AE422_.wvu.Rows" localSheetId="0" hidden="1">#REF!</definedName>
    <definedName name="Z_0C509CAE_4B28_497F_9463_E056D87AE422_.wvu.Rows" hidden="1">#REF!</definedName>
    <definedName name="Z_5A4CDE39_BC84_48C0_8208_6970E7A71896_.wvu.Cols" localSheetId="0" hidden="1">#REF!,#REF!,#REF!</definedName>
    <definedName name="Z_5A4CDE39_BC84_48C0_8208_6970E7A71896_.wvu.Cols" hidden="1">#REF!,#REF!,#REF!</definedName>
    <definedName name="Z_64FBE21F_D610_4122_B662_C1CA556F0E6B_.wvu.Rows" localSheetId="0" hidden="1">#REF!,#REF!</definedName>
    <definedName name="Z_64FBE21F_D610_4122_B662_C1CA556F0E6B_.wvu.Rows" hidden="1">#REF!,#REF!</definedName>
    <definedName name="Z_67879F2D_A365_4C5F_ACA2_06A222DC585F_.wvu.FilterData" localSheetId="0" hidden="1">#REF!</definedName>
    <definedName name="Z_67879F2D_A365_4C5F_ACA2_06A222DC585F_.wvu.FilterData" hidden="1">#REF!</definedName>
    <definedName name="Z_6CDCF69B_5AF1_4147_8314_DDC51BBAE13A_.wvu.FilterData" localSheetId="0" hidden="1">#REF!</definedName>
    <definedName name="Z_6CDCF69B_5AF1_4147_8314_DDC51BBAE13A_.wvu.FilterData" hidden="1">#REF!</definedName>
    <definedName name="Z_821080B5_A53F_46D5_A7A8_C550E9A6DB8E_.wvu.Rows" localSheetId="0" hidden="1">#REF!</definedName>
    <definedName name="Z_821080B5_A53F_46D5_A7A8_C550E9A6DB8E_.wvu.Rows" hidden="1">#REF!</definedName>
    <definedName name="Z_89FC4C3A_6586_42BA_B0E6_F0959042E6A0_.wvu.Rows" localSheetId="0" hidden="1">#REF!</definedName>
    <definedName name="Z_89FC4C3A_6586_42BA_B0E6_F0959042E6A0_.wvu.Rows" hidden="1">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#REF!,#REF!</definedName>
    <definedName name="Z_97AF8B62_D04D_48F2_A853_93998C7922D6_.wvu.FilterData" localSheetId="0" hidden="1">#REF!</definedName>
    <definedName name="Z_97AF8B62_D04D_48F2_A853_93998C7922D6_.wvu.FilterData" hidden="1">#REF!</definedName>
    <definedName name="Z_9F278A40_BF82_4E3D_9E8B_F7A34E58042E_.wvu.FilterData" localSheetId="0" hidden="1">#REF!</definedName>
    <definedName name="Z_9F278A40_BF82_4E3D_9E8B_F7A34E58042E_.wvu.FilterData" hidden="1">#REF!</definedName>
    <definedName name="Z_E61184E6_4A82_48AD_BD46_AD03682B9E61_.wvu.Rows" localSheetId="0" hidden="1">#REF!</definedName>
    <definedName name="Z_E61184E6_4A82_48AD_BD46_AD03682B9E61_.wvu.Rows" hidden="1">#REF!</definedName>
    <definedName name="Z_EA424862_9DB5_4158_B57E_464B76E20666_.wvu.FilterData" localSheetId="0" hidden="1">#REF!</definedName>
    <definedName name="Z_EA424862_9DB5_4158_B57E_464B76E20666_.wvu.FilterData" hidden="1">#REF!</definedName>
    <definedName name="Z_F56F135F_44F3_478B_BCC3_5E739B702BEF_.wvu.Cols" localSheetId="0" hidden="1">#REF!</definedName>
    <definedName name="Z_F56F135F_44F3_478B_BCC3_5E739B702BEF_.wvu.Cols" hidden="1">#REF!</definedName>
    <definedName name="Z_F56F135F_44F3_478B_BCC3_5E739B702BEF_.wvu.FilterData" localSheetId="0" hidden="1">#REF!</definedName>
    <definedName name="Z_F56F135F_44F3_478B_BCC3_5E739B702BEF_.wvu.FilterData" hidden="1">#REF!</definedName>
    <definedName name="Z_F56F135F_44F3_478B_BCC3_5E739B702BEF_.wvu.PrintTitles" localSheetId="0" hidden="1">#REF!,#REF!</definedName>
    <definedName name="Z_F56F135F_44F3_478B_BCC3_5E739B702BEF_.wvu.PrintTitles" hidden="1">#REF!,#REF!</definedName>
    <definedName name="ZAS">#REF!</definedName>
    <definedName name="za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>#REF!</definedName>
    <definedName name="zx">'[14]Labor abs-PW'!$A$1:$IV$3</definedName>
    <definedName name="zxv">#REF!</definedName>
    <definedName name="zxvxzcvb">#REF!</definedName>
    <definedName name="ZY">#REF!</definedName>
    <definedName name="ZY___0">#REF!</definedName>
    <definedName name="ZY___13">#REF!</definedName>
    <definedName name="zz">#REF!</definedName>
    <definedName name="zz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550" i="3" l="1"/>
  <c r="V550" i="3"/>
  <c r="U550" i="3"/>
  <c r="T550" i="3"/>
  <c r="S550" i="3"/>
  <c r="R550" i="3"/>
  <c r="F550" i="3"/>
  <c r="W549" i="3"/>
  <c r="V549" i="3"/>
  <c r="U549" i="3"/>
  <c r="T549" i="3"/>
  <c r="R549" i="3"/>
  <c r="Q549" i="3"/>
  <c r="G549" i="3"/>
  <c r="W548" i="3"/>
  <c r="V548" i="3"/>
  <c r="U548" i="3"/>
  <c r="T548" i="3"/>
  <c r="R548" i="3"/>
  <c r="Q548" i="3"/>
  <c r="G548" i="3"/>
  <c r="W547" i="3"/>
  <c r="V547" i="3"/>
  <c r="U547" i="3"/>
  <c r="T547" i="3"/>
  <c r="S547" i="3"/>
  <c r="R547" i="3"/>
  <c r="Q547" i="3"/>
  <c r="N547" i="3"/>
  <c r="M547" i="3"/>
  <c r="L547" i="3"/>
  <c r="K547" i="3"/>
  <c r="I547" i="3"/>
  <c r="H547" i="3"/>
  <c r="W546" i="3"/>
  <c r="V546" i="3"/>
  <c r="U546" i="3"/>
  <c r="T546" i="3"/>
  <c r="S546" i="3"/>
  <c r="R546" i="3"/>
  <c r="F546" i="3"/>
  <c r="W545" i="3"/>
  <c r="V545" i="3"/>
  <c r="U545" i="3"/>
  <c r="T545" i="3"/>
  <c r="R545" i="3"/>
  <c r="Q545" i="3"/>
  <c r="G545" i="3"/>
  <c r="W544" i="3"/>
  <c r="V544" i="3"/>
  <c r="U544" i="3"/>
  <c r="T544" i="3"/>
  <c r="R544" i="3"/>
  <c r="Q544" i="3"/>
  <c r="G544" i="3"/>
  <c r="W543" i="3"/>
  <c r="V543" i="3"/>
  <c r="U543" i="3"/>
  <c r="T543" i="3"/>
  <c r="S543" i="3"/>
  <c r="R543" i="3"/>
  <c r="Q543" i="3"/>
  <c r="N543" i="3"/>
  <c r="M543" i="3"/>
  <c r="K543" i="3"/>
  <c r="I543" i="3"/>
  <c r="H543" i="3"/>
  <c r="W542" i="3"/>
  <c r="V542" i="3"/>
  <c r="U542" i="3"/>
  <c r="T542" i="3"/>
  <c r="S542" i="3"/>
  <c r="R542" i="3"/>
  <c r="F542" i="3"/>
  <c r="W541" i="3"/>
  <c r="V541" i="3"/>
  <c r="U541" i="3"/>
  <c r="T541" i="3"/>
  <c r="R541" i="3"/>
  <c r="Q541" i="3"/>
  <c r="G541" i="3"/>
  <c r="W540" i="3"/>
  <c r="V540" i="3"/>
  <c r="U540" i="3"/>
  <c r="T540" i="3"/>
  <c r="R540" i="3"/>
  <c r="Q540" i="3"/>
  <c r="G540" i="3"/>
  <c r="W539" i="3"/>
  <c r="V539" i="3"/>
  <c r="U539" i="3"/>
  <c r="T539" i="3"/>
  <c r="S539" i="3"/>
  <c r="R539" i="3"/>
  <c r="Q539" i="3"/>
  <c r="N539" i="3"/>
  <c r="M539" i="3"/>
  <c r="L539" i="3"/>
  <c r="K539" i="3"/>
  <c r="I539" i="3"/>
  <c r="H539" i="3"/>
  <c r="E538" i="3"/>
  <c r="D538" i="3"/>
  <c r="W537" i="3"/>
  <c r="V537" i="3"/>
  <c r="U537" i="3"/>
  <c r="T537" i="3"/>
  <c r="S537" i="3"/>
  <c r="R537" i="3"/>
  <c r="F537" i="3"/>
  <c r="W536" i="3"/>
  <c r="V536" i="3"/>
  <c r="U536" i="3"/>
  <c r="T536" i="3"/>
  <c r="S536" i="3"/>
  <c r="R536" i="3"/>
  <c r="F536" i="3"/>
  <c r="W535" i="3"/>
  <c r="V535" i="3"/>
  <c r="U535" i="3"/>
  <c r="T535" i="3"/>
  <c r="R535" i="3"/>
  <c r="Q535" i="3"/>
  <c r="O535" i="3"/>
  <c r="G535" i="3"/>
  <c r="W534" i="3"/>
  <c r="V534" i="3"/>
  <c r="U534" i="3"/>
  <c r="S534" i="3"/>
  <c r="R534" i="3"/>
  <c r="Q534" i="3"/>
  <c r="G534" i="3"/>
  <c r="W533" i="3"/>
  <c r="V533" i="3"/>
  <c r="U533" i="3"/>
  <c r="S533" i="3"/>
  <c r="R533" i="3"/>
  <c r="Q533" i="3"/>
  <c r="G533" i="3"/>
  <c r="W532" i="3"/>
  <c r="V532" i="3"/>
  <c r="U532" i="3"/>
  <c r="S532" i="3"/>
  <c r="R532" i="3"/>
  <c r="Q532" i="3"/>
  <c r="G532" i="3"/>
  <c r="W531" i="3"/>
  <c r="V531" i="3"/>
  <c r="U531" i="3"/>
  <c r="T531" i="3"/>
  <c r="S531" i="3"/>
  <c r="R531" i="3"/>
  <c r="Q531" i="3"/>
  <c r="M531" i="3"/>
  <c r="L531" i="3"/>
  <c r="K531" i="3"/>
  <c r="I531" i="3"/>
  <c r="H531" i="3"/>
  <c r="E530" i="3"/>
  <c r="D530" i="3"/>
  <c r="E529" i="3"/>
  <c r="D529" i="3"/>
  <c r="E528" i="3"/>
  <c r="D528" i="3"/>
  <c r="W527" i="3"/>
  <c r="V527" i="3"/>
  <c r="U527" i="3"/>
  <c r="T527" i="3"/>
  <c r="S527" i="3"/>
  <c r="Q527" i="3"/>
  <c r="F527" i="3"/>
  <c r="E526" i="3"/>
  <c r="D526" i="3"/>
  <c r="W525" i="3"/>
  <c r="V525" i="3"/>
  <c r="U525" i="3"/>
  <c r="T525" i="3"/>
  <c r="S525" i="3"/>
  <c r="Q525" i="3"/>
  <c r="F525" i="3"/>
  <c r="W524" i="3"/>
  <c r="V524" i="3"/>
  <c r="T524" i="3"/>
  <c r="S524" i="3"/>
  <c r="R524" i="3"/>
  <c r="Q524" i="3"/>
  <c r="O524" i="3"/>
  <c r="G524" i="3"/>
  <c r="W523" i="3"/>
  <c r="V523" i="3"/>
  <c r="T523" i="3"/>
  <c r="S523" i="3"/>
  <c r="R523" i="3"/>
  <c r="Q523" i="3"/>
  <c r="G523" i="3"/>
  <c r="W522" i="3"/>
  <c r="V522" i="3"/>
  <c r="T522" i="3"/>
  <c r="S522" i="3"/>
  <c r="R522" i="3"/>
  <c r="Q522" i="3"/>
  <c r="O522" i="3"/>
  <c r="G522" i="3"/>
  <c r="W521" i="3"/>
  <c r="V521" i="3"/>
  <c r="U521" i="3"/>
  <c r="T521" i="3"/>
  <c r="R521" i="3"/>
  <c r="Q521" i="3"/>
  <c r="G521" i="3"/>
  <c r="W520" i="3"/>
  <c r="V520" i="3"/>
  <c r="U520" i="3"/>
  <c r="S520" i="3"/>
  <c r="R520" i="3"/>
  <c r="Q520" i="3"/>
  <c r="G520" i="3"/>
  <c r="W519" i="3"/>
  <c r="V519" i="3"/>
  <c r="U519" i="3"/>
  <c r="T519" i="3"/>
  <c r="S519" i="3"/>
  <c r="R519" i="3"/>
  <c r="Q519" i="3"/>
  <c r="M519" i="3"/>
  <c r="L519" i="3"/>
  <c r="K519" i="3"/>
  <c r="I519" i="3"/>
  <c r="H519" i="3"/>
  <c r="E518" i="3"/>
  <c r="D518" i="3"/>
  <c r="E517" i="3"/>
  <c r="D517" i="3"/>
  <c r="W516" i="3"/>
  <c r="V516" i="3"/>
  <c r="U516" i="3"/>
  <c r="T516" i="3"/>
  <c r="S516" i="3"/>
  <c r="Q516" i="3"/>
  <c r="F516" i="3"/>
  <c r="E515" i="3"/>
  <c r="D515" i="3"/>
  <c r="W514" i="3"/>
  <c r="V514" i="3"/>
  <c r="U514" i="3"/>
  <c r="T514" i="3"/>
  <c r="S514" i="3"/>
  <c r="Q514" i="3"/>
  <c r="F514" i="3"/>
  <c r="W513" i="3"/>
  <c r="V513" i="3"/>
  <c r="T513" i="3"/>
  <c r="S513" i="3"/>
  <c r="R513" i="3"/>
  <c r="Q513" i="3"/>
  <c r="O513" i="3"/>
  <c r="G513" i="3"/>
  <c r="W512" i="3"/>
  <c r="V512" i="3"/>
  <c r="T512" i="3"/>
  <c r="S512" i="3"/>
  <c r="R512" i="3"/>
  <c r="Q512" i="3"/>
  <c r="O512" i="3"/>
  <c r="G512" i="3"/>
  <c r="W511" i="3"/>
  <c r="V511" i="3"/>
  <c r="U511" i="3"/>
  <c r="S511" i="3"/>
  <c r="R511" i="3"/>
  <c r="Q511" i="3"/>
  <c r="O511" i="3"/>
  <c r="G511" i="3"/>
  <c r="W510" i="3"/>
  <c r="V510" i="3"/>
  <c r="U510" i="3"/>
  <c r="T510" i="3"/>
  <c r="S510" i="3"/>
  <c r="R510" i="3"/>
  <c r="Q510" i="3"/>
  <c r="M510" i="3"/>
  <c r="L510" i="3"/>
  <c r="K510" i="3"/>
  <c r="I510" i="3"/>
  <c r="H510" i="3"/>
  <c r="E509" i="3"/>
  <c r="D509" i="3"/>
  <c r="E508" i="3"/>
  <c r="D508" i="3"/>
  <c r="E507" i="3"/>
  <c r="D507" i="3"/>
  <c r="W506" i="3"/>
  <c r="V506" i="3"/>
  <c r="U506" i="3"/>
  <c r="T506" i="3"/>
  <c r="S506" i="3"/>
  <c r="Q506" i="3"/>
  <c r="F506" i="3"/>
  <c r="W505" i="3"/>
  <c r="V505" i="3"/>
  <c r="T505" i="3"/>
  <c r="S505" i="3"/>
  <c r="R505" i="3"/>
  <c r="Q505" i="3"/>
  <c r="O505" i="3"/>
  <c r="G505" i="3"/>
  <c r="W504" i="3"/>
  <c r="V504" i="3"/>
  <c r="U504" i="3"/>
  <c r="S504" i="3"/>
  <c r="R504" i="3"/>
  <c r="Q504" i="3"/>
  <c r="O504" i="3"/>
  <c r="G504" i="3"/>
  <c r="W503" i="3"/>
  <c r="V503" i="3"/>
  <c r="U503" i="3"/>
  <c r="S503" i="3"/>
  <c r="R503" i="3"/>
  <c r="Q503" i="3"/>
  <c r="O503" i="3"/>
  <c r="G503" i="3"/>
  <c r="W502" i="3"/>
  <c r="V502" i="3"/>
  <c r="U502" i="3"/>
  <c r="T502" i="3"/>
  <c r="S502" i="3"/>
  <c r="R502" i="3"/>
  <c r="Q502" i="3"/>
  <c r="M502" i="3"/>
  <c r="L502" i="3"/>
  <c r="K502" i="3"/>
  <c r="I502" i="3"/>
  <c r="H502" i="3"/>
  <c r="E501" i="3"/>
  <c r="D501" i="3"/>
  <c r="E500" i="3"/>
  <c r="D500" i="3"/>
  <c r="W499" i="3"/>
  <c r="V499" i="3"/>
  <c r="U499" i="3"/>
  <c r="T499" i="3"/>
  <c r="S499" i="3"/>
  <c r="Q499" i="3"/>
  <c r="F499" i="3"/>
  <c r="W498" i="3"/>
  <c r="V498" i="3"/>
  <c r="T498" i="3"/>
  <c r="S498" i="3"/>
  <c r="R498" i="3"/>
  <c r="Q498" i="3"/>
  <c r="G498" i="3"/>
  <c r="W497" i="3"/>
  <c r="V497" i="3"/>
  <c r="U497" i="3"/>
  <c r="S497" i="3"/>
  <c r="R497" i="3"/>
  <c r="Q497" i="3"/>
  <c r="O497" i="3"/>
  <c r="G497" i="3"/>
  <c r="W496" i="3"/>
  <c r="V496" i="3"/>
  <c r="U496" i="3"/>
  <c r="S496" i="3"/>
  <c r="R496" i="3"/>
  <c r="Q496" i="3"/>
  <c r="G496" i="3"/>
  <c r="W495" i="3"/>
  <c r="V495" i="3"/>
  <c r="U495" i="3"/>
  <c r="T495" i="3"/>
  <c r="S495" i="3"/>
  <c r="R495" i="3"/>
  <c r="Q495" i="3"/>
  <c r="M495" i="3"/>
  <c r="L495" i="3"/>
  <c r="K495" i="3"/>
  <c r="I495" i="3"/>
  <c r="H495" i="3"/>
  <c r="E494" i="3"/>
  <c r="F494" i="3" s="1"/>
  <c r="D494" i="3"/>
  <c r="E493" i="3"/>
  <c r="D493" i="3"/>
  <c r="E492" i="3"/>
  <c r="D492" i="3"/>
  <c r="W491" i="3"/>
  <c r="V491" i="3"/>
  <c r="U491" i="3"/>
  <c r="T491" i="3"/>
  <c r="S491" i="3"/>
  <c r="Q491" i="3"/>
  <c r="F491" i="3"/>
  <c r="E490" i="3"/>
  <c r="D490" i="3"/>
  <c r="W489" i="3"/>
  <c r="V489" i="3"/>
  <c r="U489" i="3"/>
  <c r="T489" i="3"/>
  <c r="S489" i="3"/>
  <c r="Q489" i="3"/>
  <c r="F489" i="3"/>
  <c r="W488" i="3"/>
  <c r="V488" i="3"/>
  <c r="T488" i="3"/>
  <c r="S488" i="3"/>
  <c r="R488" i="3"/>
  <c r="Q488" i="3"/>
  <c r="O488" i="3"/>
  <c r="G488" i="3"/>
  <c r="W487" i="3"/>
  <c r="V487" i="3"/>
  <c r="T487" i="3"/>
  <c r="S487" i="3"/>
  <c r="R487" i="3"/>
  <c r="Q487" i="3"/>
  <c r="G487" i="3"/>
  <c r="W486" i="3"/>
  <c r="V486" i="3"/>
  <c r="U486" i="3"/>
  <c r="S486" i="3"/>
  <c r="R486" i="3"/>
  <c r="Q486" i="3"/>
  <c r="O486" i="3"/>
  <c r="G486" i="3"/>
  <c r="W485" i="3"/>
  <c r="V485" i="3"/>
  <c r="U485" i="3"/>
  <c r="S485" i="3"/>
  <c r="R485" i="3"/>
  <c r="Q485" i="3"/>
  <c r="G485" i="3"/>
  <c r="W484" i="3"/>
  <c r="V484" i="3"/>
  <c r="U484" i="3"/>
  <c r="T484" i="3"/>
  <c r="S484" i="3"/>
  <c r="R484" i="3"/>
  <c r="Q484" i="3"/>
  <c r="M484" i="3"/>
  <c r="L484" i="3"/>
  <c r="K484" i="3"/>
  <c r="I484" i="3"/>
  <c r="H484" i="3"/>
  <c r="E483" i="3"/>
  <c r="D483" i="3"/>
  <c r="E482" i="3"/>
  <c r="D482" i="3"/>
  <c r="W481" i="3"/>
  <c r="V481" i="3"/>
  <c r="U481" i="3"/>
  <c r="T481" i="3"/>
  <c r="S481" i="3"/>
  <c r="Q481" i="3"/>
  <c r="F481" i="3"/>
  <c r="E480" i="3"/>
  <c r="D480" i="3"/>
  <c r="W479" i="3"/>
  <c r="V479" i="3"/>
  <c r="U479" i="3"/>
  <c r="T479" i="3"/>
  <c r="S479" i="3"/>
  <c r="Q479" i="3"/>
  <c r="F479" i="3"/>
  <c r="W478" i="3"/>
  <c r="V478" i="3"/>
  <c r="T478" i="3"/>
  <c r="S478" i="3"/>
  <c r="R478" i="3"/>
  <c r="Q478" i="3"/>
  <c r="O478" i="3"/>
  <c r="G478" i="3"/>
  <c r="W477" i="3"/>
  <c r="V477" i="3"/>
  <c r="T477" i="3"/>
  <c r="S477" i="3"/>
  <c r="R477" i="3"/>
  <c r="Q477" i="3"/>
  <c r="G477" i="3"/>
  <c r="W476" i="3"/>
  <c r="V476" i="3"/>
  <c r="U476" i="3"/>
  <c r="S476" i="3"/>
  <c r="R476" i="3"/>
  <c r="Q476" i="3"/>
  <c r="G476" i="3"/>
  <c r="W475" i="3"/>
  <c r="V475" i="3"/>
  <c r="U475" i="3"/>
  <c r="T475" i="3"/>
  <c r="S475" i="3"/>
  <c r="R475" i="3"/>
  <c r="Q475" i="3"/>
  <c r="M475" i="3"/>
  <c r="L475" i="3"/>
  <c r="K475" i="3"/>
  <c r="I475" i="3"/>
  <c r="H475" i="3"/>
  <c r="W474" i="3"/>
  <c r="V474" i="3"/>
  <c r="U474" i="3"/>
  <c r="T474" i="3"/>
  <c r="S474" i="3"/>
  <c r="R474" i="3"/>
  <c r="F474" i="3"/>
  <c r="W473" i="3"/>
  <c r="V473" i="3"/>
  <c r="U473" i="3"/>
  <c r="S473" i="3"/>
  <c r="R473" i="3"/>
  <c r="Q473" i="3"/>
  <c r="G473" i="3"/>
  <c r="W472" i="3"/>
  <c r="V472" i="3"/>
  <c r="U472" i="3"/>
  <c r="S472" i="3"/>
  <c r="R472" i="3"/>
  <c r="Q472" i="3"/>
  <c r="G472" i="3"/>
  <c r="W471" i="3"/>
  <c r="V471" i="3"/>
  <c r="U471" i="3"/>
  <c r="T471" i="3"/>
  <c r="S471" i="3"/>
  <c r="R471" i="3"/>
  <c r="Q471" i="3"/>
  <c r="N471" i="3"/>
  <c r="M471" i="3"/>
  <c r="K471" i="3"/>
  <c r="I471" i="3"/>
  <c r="H471" i="3"/>
  <c r="E470" i="3"/>
  <c r="D470" i="3"/>
  <c r="W469" i="3"/>
  <c r="V469" i="3"/>
  <c r="U469" i="3"/>
  <c r="T469" i="3"/>
  <c r="S469" i="3"/>
  <c r="R469" i="3"/>
  <c r="F469" i="3"/>
  <c r="W468" i="3"/>
  <c r="V468" i="3"/>
  <c r="T468" i="3"/>
  <c r="S468" i="3"/>
  <c r="R468" i="3"/>
  <c r="Q468" i="3"/>
  <c r="G468" i="3"/>
  <c r="W467" i="3"/>
  <c r="V467" i="3"/>
  <c r="U467" i="3"/>
  <c r="S467" i="3"/>
  <c r="R467" i="3"/>
  <c r="Q467" i="3"/>
  <c r="G467" i="3"/>
  <c r="W466" i="3"/>
  <c r="V466" i="3"/>
  <c r="U466" i="3"/>
  <c r="T466" i="3"/>
  <c r="S466" i="3"/>
  <c r="R466" i="3"/>
  <c r="Q466" i="3"/>
  <c r="M466" i="3"/>
  <c r="L466" i="3"/>
  <c r="K466" i="3"/>
  <c r="I466" i="3"/>
  <c r="H466" i="3"/>
  <c r="E465" i="3"/>
  <c r="D465" i="3"/>
  <c r="E464" i="3"/>
  <c r="D464" i="3"/>
  <c r="W463" i="3"/>
  <c r="V463" i="3"/>
  <c r="U463" i="3"/>
  <c r="T463" i="3"/>
  <c r="S463" i="3"/>
  <c r="R463" i="3"/>
  <c r="F463" i="3"/>
  <c r="W462" i="3"/>
  <c r="V462" i="3"/>
  <c r="T462" i="3"/>
  <c r="S462" i="3"/>
  <c r="R462" i="3"/>
  <c r="Q462" i="3"/>
  <c r="G462" i="3"/>
  <c r="W461" i="3"/>
  <c r="V461" i="3"/>
  <c r="U461" i="3"/>
  <c r="S461" i="3"/>
  <c r="R461" i="3"/>
  <c r="Q461" i="3"/>
  <c r="G461" i="3"/>
  <c r="W460" i="3"/>
  <c r="V460" i="3"/>
  <c r="U460" i="3"/>
  <c r="S460" i="3"/>
  <c r="R460" i="3"/>
  <c r="Q460" i="3"/>
  <c r="G460" i="3"/>
  <c r="W459" i="3"/>
  <c r="V459" i="3"/>
  <c r="U459" i="3"/>
  <c r="T459" i="3"/>
  <c r="S459" i="3"/>
  <c r="R459" i="3"/>
  <c r="Q459" i="3"/>
  <c r="M459" i="3"/>
  <c r="L459" i="3"/>
  <c r="K459" i="3"/>
  <c r="I459" i="3"/>
  <c r="H459" i="3"/>
  <c r="E458" i="3"/>
  <c r="D458" i="3"/>
  <c r="E457" i="3"/>
  <c r="D457" i="3"/>
  <c r="W456" i="3"/>
  <c r="V456" i="3"/>
  <c r="U456" i="3"/>
  <c r="T456" i="3"/>
  <c r="S456" i="3"/>
  <c r="R456" i="3"/>
  <c r="F456" i="3"/>
  <c r="W455" i="3"/>
  <c r="V455" i="3"/>
  <c r="U455" i="3"/>
  <c r="T455" i="3"/>
  <c r="R455" i="3"/>
  <c r="Q455" i="3"/>
  <c r="O455" i="3"/>
  <c r="G455" i="3"/>
  <c r="W454" i="3"/>
  <c r="V454" i="3"/>
  <c r="T454" i="3"/>
  <c r="S454" i="3"/>
  <c r="R454" i="3"/>
  <c r="Q454" i="3"/>
  <c r="O454" i="3"/>
  <c r="G454" i="3"/>
  <c r="W453" i="3"/>
  <c r="V453" i="3"/>
  <c r="U453" i="3"/>
  <c r="S453" i="3"/>
  <c r="R453" i="3"/>
  <c r="Q453" i="3"/>
  <c r="O453" i="3"/>
  <c r="G453" i="3"/>
  <c r="W452" i="3"/>
  <c r="V452" i="3"/>
  <c r="U452" i="3"/>
  <c r="T452" i="3"/>
  <c r="S452" i="3"/>
  <c r="R452" i="3"/>
  <c r="Q452" i="3"/>
  <c r="M452" i="3"/>
  <c r="L452" i="3"/>
  <c r="K452" i="3"/>
  <c r="I452" i="3"/>
  <c r="H452" i="3"/>
  <c r="E451" i="3"/>
  <c r="D451" i="3"/>
  <c r="E450" i="3"/>
  <c r="D450" i="3"/>
  <c r="W449" i="3"/>
  <c r="V449" i="3"/>
  <c r="U449" i="3"/>
  <c r="T449" i="3"/>
  <c r="S449" i="3"/>
  <c r="Q449" i="3"/>
  <c r="F449" i="3"/>
  <c r="W448" i="3"/>
  <c r="V448" i="3"/>
  <c r="U448" i="3"/>
  <c r="T448" i="3"/>
  <c r="R448" i="3"/>
  <c r="Q448" i="3"/>
  <c r="O448" i="3"/>
  <c r="G448" i="3"/>
  <c r="W447" i="3"/>
  <c r="V447" i="3"/>
  <c r="T447" i="3"/>
  <c r="S447" i="3"/>
  <c r="R447" i="3"/>
  <c r="Q447" i="3"/>
  <c r="G447" i="3"/>
  <c r="W446" i="3"/>
  <c r="V446" i="3"/>
  <c r="T446" i="3"/>
  <c r="S446" i="3"/>
  <c r="R446" i="3"/>
  <c r="Q446" i="3"/>
  <c r="G446" i="3"/>
  <c r="W445" i="3"/>
  <c r="V445" i="3"/>
  <c r="U445" i="3"/>
  <c r="S445" i="3"/>
  <c r="R445" i="3"/>
  <c r="Q445" i="3"/>
  <c r="G445" i="3"/>
  <c r="W444" i="3"/>
  <c r="V444" i="3"/>
  <c r="U444" i="3"/>
  <c r="T444" i="3"/>
  <c r="S444" i="3"/>
  <c r="R444" i="3"/>
  <c r="Q444" i="3"/>
  <c r="M444" i="3"/>
  <c r="L444" i="3"/>
  <c r="K444" i="3"/>
  <c r="I444" i="3"/>
  <c r="H444" i="3"/>
  <c r="E443" i="3"/>
  <c r="D443" i="3"/>
  <c r="E442" i="3"/>
  <c r="D442" i="3"/>
  <c r="W441" i="3"/>
  <c r="V441" i="3"/>
  <c r="U441" i="3"/>
  <c r="T441" i="3"/>
  <c r="S441" i="3"/>
  <c r="R441" i="3"/>
  <c r="F441" i="3"/>
  <c r="W440" i="3"/>
  <c r="V440" i="3"/>
  <c r="U440" i="3"/>
  <c r="T440" i="3"/>
  <c r="R440" i="3"/>
  <c r="Q440" i="3"/>
  <c r="O440" i="3"/>
  <c r="G440" i="3"/>
  <c r="W439" i="3"/>
  <c r="V439" i="3"/>
  <c r="T439" i="3"/>
  <c r="S439" i="3"/>
  <c r="R439" i="3"/>
  <c r="Q439" i="3"/>
  <c r="G439" i="3"/>
  <c r="W438" i="3"/>
  <c r="V438" i="3"/>
  <c r="U438" i="3"/>
  <c r="S438" i="3"/>
  <c r="R438" i="3"/>
  <c r="Q438" i="3"/>
  <c r="G438" i="3"/>
  <c r="W437" i="3"/>
  <c r="V437" i="3"/>
  <c r="U437" i="3"/>
  <c r="T437" i="3"/>
  <c r="S437" i="3"/>
  <c r="R437" i="3"/>
  <c r="Q437" i="3"/>
  <c r="M437" i="3"/>
  <c r="L437" i="3"/>
  <c r="K437" i="3"/>
  <c r="I437" i="3"/>
  <c r="H437" i="3"/>
  <c r="W436" i="3"/>
  <c r="V436" i="3"/>
  <c r="U436" i="3"/>
  <c r="T436" i="3"/>
  <c r="S436" i="3"/>
  <c r="R436" i="3"/>
  <c r="F436" i="3"/>
  <c r="W435" i="3"/>
  <c r="V435" i="3"/>
  <c r="U435" i="3"/>
  <c r="S435" i="3"/>
  <c r="R435" i="3"/>
  <c r="Q435" i="3"/>
  <c r="G435" i="3"/>
  <c r="W434" i="3"/>
  <c r="V434" i="3"/>
  <c r="U434" i="3"/>
  <c r="S434" i="3"/>
  <c r="R434" i="3"/>
  <c r="Q434" i="3"/>
  <c r="G434" i="3"/>
  <c r="W433" i="3"/>
  <c r="V433" i="3"/>
  <c r="U433" i="3"/>
  <c r="T433" i="3"/>
  <c r="S433" i="3"/>
  <c r="R433" i="3"/>
  <c r="Q433" i="3"/>
  <c r="M433" i="3"/>
  <c r="L433" i="3"/>
  <c r="K433" i="3"/>
  <c r="I433" i="3"/>
  <c r="H433" i="3"/>
  <c r="E432" i="3"/>
  <c r="D432" i="3"/>
  <c r="W431" i="3"/>
  <c r="V431" i="3"/>
  <c r="U431" i="3"/>
  <c r="T431" i="3"/>
  <c r="R431" i="3"/>
  <c r="Q431" i="3"/>
  <c r="O431" i="3"/>
  <c r="G431" i="3"/>
  <c r="F431" i="3"/>
  <c r="E430" i="3"/>
  <c r="D430" i="3"/>
  <c r="W429" i="3"/>
  <c r="V429" i="3"/>
  <c r="U429" i="3"/>
  <c r="T429" i="3"/>
  <c r="S429" i="3"/>
  <c r="R429" i="3"/>
  <c r="F429" i="3"/>
  <c r="E428" i="3"/>
  <c r="D428" i="3"/>
  <c r="W427" i="3"/>
  <c r="V427" i="3"/>
  <c r="U427" i="3"/>
  <c r="T427" i="3"/>
  <c r="S427" i="3"/>
  <c r="R427" i="3"/>
  <c r="F427" i="3"/>
  <c r="W426" i="3"/>
  <c r="V426" i="3"/>
  <c r="T426" i="3"/>
  <c r="S426" i="3"/>
  <c r="R426" i="3"/>
  <c r="Q426" i="3"/>
  <c r="O426" i="3"/>
  <c r="G426" i="3"/>
  <c r="W425" i="3"/>
  <c r="V425" i="3"/>
  <c r="T425" i="3"/>
  <c r="S425" i="3"/>
  <c r="R425" i="3"/>
  <c r="Q425" i="3"/>
  <c r="G425" i="3"/>
  <c r="W424" i="3"/>
  <c r="V424" i="3"/>
  <c r="T424" i="3"/>
  <c r="S424" i="3"/>
  <c r="R424" i="3"/>
  <c r="Q424" i="3"/>
  <c r="O424" i="3"/>
  <c r="G424" i="3"/>
  <c r="W423" i="3"/>
  <c r="V423" i="3"/>
  <c r="U423" i="3"/>
  <c r="S423" i="3"/>
  <c r="R423" i="3"/>
  <c r="Q423" i="3"/>
  <c r="G423" i="3"/>
  <c r="W422" i="3"/>
  <c r="V422" i="3"/>
  <c r="U422" i="3"/>
  <c r="T422" i="3"/>
  <c r="R422" i="3"/>
  <c r="Q422" i="3"/>
  <c r="G422" i="3"/>
  <c r="W421" i="3"/>
  <c r="V421" i="3"/>
  <c r="U421" i="3"/>
  <c r="T421" i="3"/>
  <c r="S421" i="3"/>
  <c r="R421" i="3"/>
  <c r="Q421" i="3"/>
  <c r="M421" i="3"/>
  <c r="L421" i="3"/>
  <c r="K421" i="3"/>
  <c r="I421" i="3"/>
  <c r="H421" i="3"/>
  <c r="E420" i="3"/>
  <c r="D420" i="3"/>
  <c r="E419" i="3"/>
  <c r="D419" i="3"/>
  <c r="W418" i="3"/>
  <c r="V418" i="3"/>
  <c r="U418" i="3"/>
  <c r="T418" i="3"/>
  <c r="S418" i="3"/>
  <c r="Q418" i="3"/>
  <c r="O418" i="3"/>
  <c r="G418" i="3"/>
  <c r="F418" i="3"/>
  <c r="E417" i="3"/>
  <c r="D417" i="3"/>
  <c r="W416" i="3"/>
  <c r="V416" i="3"/>
  <c r="U416" i="3"/>
  <c r="T416" i="3"/>
  <c r="R416" i="3"/>
  <c r="Q416" i="3"/>
  <c r="F416" i="3"/>
  <c r="E415" i="3"/>
  <c r="D415" i="3"/>
  <c r="W414" i="3"/>
  <c r="V414" i="3"/>
  <c r="U414" i="3"/>
  <c r="T414" i="3"/>
  <c r="R414" i="3"/>
  <c r="Q414" i="3"/>
  <c r="F414" i="3"/>
  <c r="W413" i="3"/>
  <c r="U413" i="3"/>
  <c r="T413" i="3"/>
  <c r="S413" i="3"/>
  <c r="R413" i="3"/>
  <c r="Q413" i="3"/>
  <c r="O413" i="3"/>
  <c r="G413" i="3"/>
  <c r="W412" i="3"/>
  <c r="U412" i="3"/>
  <c r="T412" i="3"/>
  <c r="S412" i="3"/>
  <c r="R412" i="3"/>
  <c r="Q412" i="3"/>
  <c r="G412" i="3"/>
  <c r="W411" i="3"/>
  <c r="V411" i="3"/>
  <c r="U411" i="3"/>
  <c r="S411" i="3"/>
  <c r="R411" i="3"/>
  <c r="Q411" i="3"/>
  <c r="G411" i="3"/>
  <c r="W410" i="3"/>
  <c r="V410" i="3"/>
  <c r="T410" i="3"/>
  <c r="S410" i="3"/>
  <c r="R410" i="3"/>
  <c r="Q410" i="3"/>
  <c r="G410" i="3"/>
  <c r="W409" i="3"/>
  <c r="V409" i="3"/>
  <c r="U409" i="3"/>
  <c r="T409" i="3"/>
  <c r="S409" i="3"/>
  <c r="R409" i="3"/>
  <c r="Q409" i="3"/>
  <c r="M409" i="3"/>
  <c r="L409" i="3"/>
  <c r="K409" i="3"/>
  <c r="I409" i="3"/>
  <c r="H409" i="3"/>
  <c r="E408" i="3"/>
  <c r="D408" i="3"/>
  <c r="E407" i="3"/>
  <c r="D407" i="3"/>
  <c r="W406" i="3"/>
  <c r="V406" i="3"/>
  <c r="U406" i="3"/>
  <c r="T406" i="3"/>
  <c r="S406" i="3"/>
  <c r="Q406" i="3"/>
  <c r="O406" i="3"/>
  <c r="G406" i="3"/>
  <c r="F406" i="3"/>
  <c r="F405" i="3"/>
  <c r="E405" i="3"/>
  <c r="D405" i="3"/>
  <c r="W404" i="3"/>
  <c r="V404" i="3"/>
  <c r="U404" i="3"/>
  <c r="T404" i="3"/>
  <c r="R404" i="3"/>
  <c r="Q404" i="3"/>
  <c r="E403" i="3"/>
  <c r="D403" i="3"/>
  <c r="W402" i="3"/>
  <c r="V402" i="3"/>
  <c r="U402" i="3"/>
  <c r="T402" i="3"/>
  <c r="R402" i="3"/>
  <c r="Q402" i="3"/>
  <c r="F402" i="3"/>
  <c r="W401" i="3"/>
  <c r="U401" i="3"/>
  <c r="T401" i="3"/>
  <c r="S401" i="3"/>
  <c r="R401" i="3"/>
  <c r="Q401" i="3"/>
  <c r="O401" i="3"/>
  <c r="G401" i="3"/>
  <c r="W400" i="3"/>
  <c r="U400" i="3"/>
  <c r="T400" i="3"/>
  <c r="S400" i="3"/>
  <c r="R400" i="3"/>
  <c r="Q400" i="3"/>
  <c r="G400" i="3"/>
  <c r="W399" i="3"/>
  <c r="V399" i="3"/>
  <c r="U399" i="3"/>
  <c r="T399" i="3"/>
  <c r="R399" i="3"/>
  <c r="Q399" i="3"/>
  <c r="P399" i="3"/>
  <c r="G399" i="3"/>
  <c r="W398" i="3"/>
  <c r="U398" i="3"/>
  <c r="T398" i="3"/>
  <c r="S398" i="3"/>
  <c r="R398" i="3"/>
  <c r="Q398" i="3"/>
  <c r="O398" i="3"/>
  <c r="G398" i="3"/>
  <c r="W397" i="3"/>
  <c r="U397" i="3"/>
  <c r="T397" i="3"/>
  <c r="S397" i="3"/>
  <c r="R397" i="3"/>
  <c r="Q397" i="3"/>
  <c r="G397" i="3"/>
  <c r="W396" i="3"/>
  <c r="V396" i="3"/>
  <c r="U396" i="3"/>
  <c r="T396" i="3"/>
  <c r="S396" i="3"/>
  <c r="R396" i="3"/>
  <c r="Q396" i="3"/>
  <c r="M396" i="3"/>
  <c r="L396" i="3"/>
  <c r="K396" i="3"/>
  <c r="I396" i="3"/>
  <c r="H396" i="3"/>
  <c r="E395" i="3"/>
  <c r="D395" i="3"/>
  <c r="E394" i="3"/>
  <c r="D394" i="3"/>
  <c r="W393" i="3"/>
  <c r="V393" i="3"/>
  <c r="U393" i="3"/>
  <c r="T393" i="3"/>
  <c r="R393" i="3"/>
  <c r="Q393" i="3"/>
  <c r="F393" i="3"/>
  <c r="E392" i="3"/>
  <c r="D392" i="3"/>
  <c r="W391" i="3"/>
  <c r="V391" i="3"/>
  <c r="U391" i="3"/>
  <c r="T391" i="3"/>
  <c r="R391" i="3"/>
  <c r="Q391" i="3"/>
  <c r="F391" i="3"/>
  <c r="W390" i="3"/>
  <c r="U390" i="3"/>
  <c r="T390" i="3"/>
  <c r="S390" i="3"/>
  <c r="R390" i="3"/>
  <c r="Q390" i="3"/>
  <c r="O390" i="3"/>
  <c r="G390" i="3"/>
  <c r="W389" i="3"/>
  <c r="U389" i="3"/>
  <c r="T389" i="3"/>
  <c r="S389" i="3"/>
  <c r="R389" i="3"/>
  <c r="Q389" i="3"/>
  <c r="G389" i="3"/>
  <c r="W388" i="3"/>
  <c r="U388" i="3"/>
  <c r="T388" i="3"/>
  <c r="S388" i="3"/>
  <c r="R388" i="3"/>
  <c r="Q388" i="3"/>
  <c r="G388" i="3"/>
  <c r="W387" i="3"/>
  <c r="V387" i="3"/>
  <c r="T387" i="3"/>
  <c r="S387" i="3"/>
  <c r="R387" i="3"/>
  <c r="Q387" i="3"/>
  <c r="G387" i="3"/>
  <c r="W386" i="3"/>
  <c r="V386" i="3"/>
  <c r="U386" i="3"/>
  <c r="S386" i="3"/>
  <c r="R386" i="3"/>
  <c r="Q386" i="3"/>
  <c r="G386" i="3"/>
  <c r="W385" i="3"/>
  <c r="V385" i="3"/>
  <c r="U385" i="3"/>
  <c r="T385" i="3"/>
  <c r="S385" i="3"/>
  <c r="R385" i="3"/>
  <c r="Q385" i="3"/>
  <c r="M385" i="3"/>
  <c r="L385" i="3"/>
  <c r="K385" i="3"/>
  <c r="I385" i="3"/>
  <c r="H385" i="3"/>
  <c r="E384" i="3"/>
  <c r="D384" i="3"/>
  <c r="W383" i="3"/>
  <c r="V383" i="3"/>
  <c r="U383" i="3"/>
  <c r="T383" i="3"/>
  <c r="S383" i="3"/>
  <c r="Q383" i="3"/>
  <c r="F383" i="3"/>
  <c r="W382" i="3"/>
  <c r="V382" i="3"/>
  <c r="U382" i="3"/>
  <c r="S382" i="3"/>
  <c r="R382" i="3"/>
  <c r="Q382" i="3"/>
  <c r="G382" i="3"/>
  <c r="W381" i="3"/>
  <c r="V381" i="3"/>
  <c r="U381" i="3"/>
  <c r="T381" i="3"/>
  <c r="R381" i="3"/>
  <c r="Q381" i="3"/>
  <c r="O381" i="3"/>
  <c r="G381" i="3"/>
  <c r="W380" i="3"/>
  <c r="V380" i="3"/>
  <c r="U380" i="3"/>
  <c r="S380" i="3"/>
  <c r="R380" i="3"/>
  <c r="Q380" i="3"/>
  <c r="G380" i="3"/>
  <c r="W379" i="3"/>
  <c r="V379" i="3"/>
  <c r="U379" i="3"/>
  <c r="S379" i="3"/>
  <c r="R379" i="3"/>
  <c r="Q379" i="3"/>
  <c r="G379" i="3"/>
  <c r="W378" i="3"/>
  <c r="V378" i="3"/>
  <c r="U378" i="3"/>
  <c r="T378" i="3"/>
  <c r="S378" i="3"/>
  <c r="R378" i="3"/>
  <c r="Q378" i="3"/>
  <c r="M378" i="3"/>
  <c r="L378" i="3"/>
  <c r="K378" i="3"/>
  <c r="I378" i="3"/>
  <c r="H378" i="3"/>
  <c r="W377" i="3"/>
  <c r="V377" i="3"/>
  <c r="U377" i="3"/>
  <c r="T377" i="3"/>
  <c r="S377" i="3"/>
  <c r="R377" i="3"/>
  <c r="F377" i="3"/>
  <c r="W376" i="3"/>
  <c r="V376" i="3"/>
  <c r="T376" i="3"/>
  <c r="S376" i="3"/>
  <c r="R376" i="3"/>
  <c r="Q376" i="3"/>
  <c r="G376" i="3"/>
  <c r="W375" i="3"/>
  <c r="V375" i="3"/>
  <c r="U375" i="3"/>
  <c r="S375" i="3"/>
  <c r="R375" i="3"/>
  <c r="Q375" i="3"/>
  <c r="G375" i="3"/>
  <c r="W374" i="3"/>
  <c r="V374" i="3"/>
  <c r="U374" i="3"/>
  <c r="T374" i="3"/>
  <c r="S374" i="3"/>
  <c r="R374" i="3"/>
  <c r="Q374" i="3"/>
  <c r="M374" i="3"/>
  <c r="L374" i="3"/>
  <c r="K374" i="3"/>
  <c r="I374" i="3"/>
  <c r="H374" i="3"/>
  <c r="E373" i="3"/>
  <c r="D373" i="3"/>
  <c r="E372" i="3"/>
  <c r="D372" i="3"/>
  <c r="W371" i="3"/>
  <c r="V371" i="3"/>
  <c r="U371" i="3"/>
  <c r="T371" i="3"/>
  <c r="S371" i="3"/>
  <c r="R371" i="3"/>
  <c r="F371" i="3"/>
  <c r="W370" i="3"/>
  <c r="V370" i="3"/>
  <c r="T370" i="3"/>
  <c r="S370" i="3"/>
  <c r="R370" i="3"/>
  <c r="Q370" i="3"/>
  <c r="O370" i="3"/>
  <c r="G370" i="3"/>
  <c r="W369" i="3"/>
  <c r="V369" i="3"/>
  <c r="T369" i="3"/>
  <c r="S369" i="3"/>
  <c r="R369" i="3"/>
  <c r="Q369" i="3"/>
  <c r="G369" i="3"/>
  <c r="W368" i="3"/>
  <c r="V368" i="3"/>
  <c r="U368" i="3"/>
  <c r="S368" i="3"/>
  <c r="R368" i="3"/>
  <c r="Q368" i="3"/>
  <c r="G368" i="3"/>
  <c r="W367" i="3"/>
  <c r="V367" i="3"/>
  <c r="U367" i="3"/>
  <c r="T367" i="3"/>
  <c r="S367" i="3"/>
  <c r="R367" i="3"/>
  <c r="Q367" i="3"/>
  <c r="M367" i="3"/>
  <c r="L367" i="3"/>
  <c r="K367" i="3"/>
  <c r="I367" i="3"/>
  <c r="H367" i="3"/>
  <c r="E366" i="3"/>
  <c r="D366" i="3"/>
  <c r="E365" i="3"/>
  <c r="D365" i="3"/>
  <c r="W364" i="3"/>
  <c r="V364" i="3"/>
  <c r="U364" i="3"/>
  <c r="T364" i="3"/>
  <c r="S364" i="3"/>
  <c r="Q364" i="3"/>
  <c r="F364" i="3"/>
  <c r="W363" i="3"/>
  <c r="V363" i="3"/>
  <c r="T363" i="3"/>
  <c r="S363" i="3"/>
  <c r="R363" i="3"/>
  <c r="Q363" i="3"/>
  <c r="G363" i="3"/>
  <c r="W362" i="3"/>
  <c r="V362" i="3"/>
  <c r="T362" i="3"/>
  <c r="S362" i="3"/>
  <c r="R362" i="3"/>
  <c r="Q362" i="3"/>
  <c r="G362" i="3"/>
  <c r="W361" i="3"/>
  <c r="V361" i="3"/>
  <c r="T361" i="3"/>
  <c r="S361" i="3"/>
  <c r="R361" i="3"/>
  <c r="Q361" i="3"/>
  <c r="G361" i="3"/>
  <c r="W360" i="3"/>
  <c r="V360" i="3"/>
  <c r="U360" i="3"/>
  <c r="T360" i="3"/>
  <c r="S360" i="3"/>
  <c r="R360" i="3"/>
  <c r="Q360" i="3"/>
  <c r="M360" i="3"/>
  <c r="L360" i="3"/>
  <c r="K360" i="3"/>
  <c r="I360" i="3"/>
  <c r="H360" i="3"/>
  <c r="E359" i="3"/>
  <c r="D359" i="3"/>
  <c r="E358" i="3"/>
  <c r="D358" i="3"/>
  <c r="W357" i="3"/>
  <c r="V357" i="3"/>
  <c r="U357" i="3"/>
  <c r="T357" i="3"/>
  <c r="S357" i="3"/>
  <c r="Q357" i="3"/>
  <c r="F357" i="3"/>
  <c r="W356" i="3"/>
  <c r="V356" i="3"/>
  <c r="T356" i="3"/>
  <c r="S356" i="3"/>
  <c r="R356" i="3"/>
  <c r="Q356" i="3"/>
  <c r="G356" i="3"/>
  <c r="W355" i="3"/>
  <c r="V355" i="3"/>
  <c r="T355" i="3"/>
  <c r="S355" i="3"/>
  <c r="R355" i="3"/>
  <c r="Q355" i="3"/>
  <c r="O355" i="3"/>
  <c r="G355" i="3"/>
  <c r="W354" i="3"/>
  <c r="V354" i="3"/>
  <c r="T354" i="3"/>
  <c r="S354" i="3"/>
  <c r="R354" i="3"/>
  <c r="Q354" i="3"/>
  <c r="G354" i="3"/>
  <c r="W353" i="3"/>
  <c r="V353" i="3"/>
  <c r="U353" i="3"/>
  <c r="T353" i="3"/>
  <c r="S353" i="3"/>
  <c r="R353" i="3"/>
  <c r="Q353" i="3"/>
  <c r="M353" i="3"/>
  <c r="L353" i="3"/>
  <c r="K353" i="3"/>
  <c r="I353" i="3"/>
  <c r="H353" i="3"/>
  <c r="W352" i="3"/>
  <c r="V352" i="3"/>
  <c r="U352" i="3"/>
  <c r="T352" i="3"/>
  <c r="S352" i="3"/>
  <c r="R352" i="3"/>
  <c r="F352" i="3"/>
  <c r="W351" i="3"/>
  <c r="V351" i="3"/>
  <c r="U351" i="3"/>
  <c r="S351" i="3"/>
  <c r="R351" i="3"/>
  <c r="Q351" i="3"/>
  <c r="G351" i="3"/>
  <c r="W350" i="3"/>
  <c r="V350" i="3"/>
  <c r="U350" i="3"/>
  <c r="S350" i="3"/>
  <c r="R350" i="3"/>
  <c r="Q350" i="3"/>
  <c r="G350" i="3"/>
  <c r="W349" i="3"/>
  <c r="V349" i="3"/>
  <c r="U349" i="3"/>
  <c r="T349" i="3"/>
  <c r="S349" i="3"/>
  <c r="R349" i="3"/>
  <c r="Q349" i="3"/>
  <c r="M349" i="3"/>
  <c r="L349" i="3"/>
  <c r="K349" i="3"/>
  <c r="I349" i="3"/>
  <c r="H349" i="3"/>
  <c r="W348" i="3"/>
  <c r="V348" i="3"/>
  <c r="U348" i="3"/>
  <c r="T348" i="3"/>
  <c r="S348" i="3"/>
  <c r="R348" i="3"/>
  <c r="O348" i="3"/>
  <c r="G348" i="3"/>
  <c r="F348" i="3"/>
  <c r="W347" i="3"/>
  <c r="V347" i="3"/>
  <c r="U347" i="3"/>
  <c r="T347" i="3"/>
  <c r="S347" i="3"/>
  <c r="R347" i="3"/>
  <c r="F347" i="3"/>
  <c r="W346" i="3"/>
  <c r="V346" i="3"/>
  <c r="T346" i="3"/>
  <c r="S346" i="3"/>
  <c r="R346" i="3"/>
  <c r="Q346" i="3"/>
  <c r="G346" i="3"/>
  <c r="W345" i="3"/>
  <c r="V345" i="3"/>
  <c r="T345" i="3"/>
  <c r="S345" i="3"/>
  <c r="R345" i="3"/>
  <c r="Q345" i="3"/>
  <c r="G345" i="3"/>
  <c r="W344" i="3"/>
  <c r="V344" i="3"/>
  <c r="U344" i="3"/>
  <c r="T344" i="3"/>
  <c r="S344" i="3"/>
  <c r="R344" i="3"/>
  <c r="Q344" i="3"/>
  <c r="M344" i="3"/>
  <c r="L344" i="3"/>
  <c r="K344" i="3"/>
  <c r="I344" i="3"/>
  <c r="H344" i="3"/>
  <c r="W343" i="3"/>
  <c r="V343" i="3"/>
  <c r="U343" i="3"/>
  <c r="T343" i="3"/>
  <c r="S343" i="3"/>
  <c r="R343" i="3"/>
  <c r="F343" i="3"/>
  <c r="W342" i="3"/>
  <c r="V342" i="3"/>
  <c r="U342" i="3"/>
  <c r="S342" i="3"/>
  <c r="R342" i="3"/>
  <c r="Q342" i="3"/>
  <c r="G342" i="3"/>
  <c r="W341" i="3"/>
  <c r="V341" i="3"/>
  <c r="T341" i="3"/>
  <c r="S341" i="3"/>
  <c r="R341" i="3"/>
  <c r="Q341" i="3"/>
  <c r="G341" i="3"/>
  <c r="W340" i="3"/>
  <c r="V340" i="3"/>
  <c r="U340" i="3"/>
  <c r="T340" i="3"/>
  <c r="S340" i="3"/>
  <c r="R340" i="3"/>
  <c r="Q340" i="3"/>
  <c r="M340" i="3"/>
  <c r="L340" i="3"/>
  <c r="K340" i="3"/>
  <c r="I340" i="3"/>
  <c r="H340" i="3"/>
  <c r="W339" i="3"/>
  <c r="V339" i="3"/>
  <c r="U339" i="3"/>
  <c r="T339" i="3"/>
  <c r="S339" i="3"/>
  <c r="R339" i="3"/>
  <c r="F339" i="3"/>
  <c r="W338" i="3"/>
  <c r="V338" i="3"/>
  <c r="U338" i="3"/>
  <c r="S338" i="3"/>
  <c r="R338" i="3"/>
  <c r="Q338" i="3"/>
  <c r="G338" i="3"/>
  <c r="W337" i="3"/>
  <c r="V337" i="3"/>
  <c r="T337" i="3"/>
  <c r="S337" i="3"/>
  <c r="R337" i="3"/>
  <c r="Q337" i="3"/>
  <c r="G337" i="3"/>
  <c r="W336" i="3"/>
  <c r="V336" i="3"/>
  <c r="U336" i="3"/>
  <c r="T336" i="3"/>
  <c r="S336" i="3"/>
  <c r="R336" i="3"/>
  <c r="Q336" i="3"/>
  <c r="N336" i="3"/>
  <c r="M336" i="3"/>
  <c r="K336" i="3"/>
  <c r="I336" i="3"/>
  <c r="H336" i="3"/>
  <c r="E335" i="3"/>
  <c r="D335" i="3"/>
  <c r="W334" i="3"/>
  <c r="V334" i="3"/>
  <c r="U334" i="3"/>
  <c r="T334" i="3"/>
  <c r="S334" i="3"/>
  <c r="R334" i="3"/>
  <c r="F334" i="3"/>
  <c r="W333" i="3"/>
  <c r="V333" i="3"/>
  <c r="U333" i="3"/>
  <c r="S333" i="3"/>
  <c r="R333" i="3"/>
  <c r="Q333" i="3"/>
  <c r="G333" i="3"/>
  <c r="W332" i="3"/>
  <c r="V332" i="3"/>
  <c r="U332" i="3"/>
  <c r="S332" i="3"/>
  <c r="R332" i="3"/>
  <c r="Q332" i="3"/>
  <c r="G332" i="3"/>
  <c r="W331" i="3"/>
  <c r="V331" i="3"/>
  <c r="U331" i="3"/>
  <c r="T331" i="3"/>
  <c r="S331" i="3"/>
  <c r="R331" i="3"/>
  <c r="Q331" i="3"/>
  <c r="N331" i="3"/>
  <c r="M331" i="3"/>
  <c r="K331" i="3"/>
  <c r="I331" i="3"/>
  <c r="H331" i="3"/>
  <c r="W330" i="3"/>
  <c r="V330" i="3"/>
  <c r="U330" i="3"/>
  <c r="T330" i="3"/>
  <c r="S330" i="3"/>
  <c r="R330" i="3"/>
  <c r="O330" i="3"/>
  <c r="G330" i="3"/>
  <c r="F330" i="3"/>
  <c r="E329" i="3"/>
  <c r="D329" i="3"/>
  <c r="W328" i="3"/>
  <c r="V328" i="3"/>
  <c r="U328" i="3"/>
  <c r="T328" i="3"/>
  <c r="S328" i="3"/>
  <c r="R328" i="3"/>
  <c r="F328" i="3"/>
  <c r="W327" i="3"/>
  <c r="V327" i="3"/>
  <c r="T327" i="3"/>
  <c r="S327" i="3"/>
  <c r="R327" i="3"/>
  <c r="Q327" i="3"/>
  <c r="G327" i="3"/>
  <c r="W326" i="3"/>
  <c r="V326" i="3"/>
  <c r="U326" i="3"/>
  <c r="S326" i="3"/>
  <c r="R326" i="3"/>
  <c r="Q326" i="3"/>
  <c r="O326" i="3"/>
  <c r="G326" i="3"/>
  <c r="W325" i="3"/>
  <c r="V325" i="3"/>
  <c r="U325" i="3"/>
  <c r="S325" i="3"/>
  <c r="R325" i="3"/>
  <c r="Q325" i="3"/>
  <c r="O325" i="3"/>
  <c r="G325" i="3"/>
  <c r="W324" i="3"/>
  <c r="V324" i="3"/>
  <c r="U324" i="3"/>
  <c r="T324" i="3"/>
  <c r="S324" i="3"/>
  <c r="R324" i="3"/>
  <c r="Q324" i="3"/>
  <c r="M324" i="3"/>
  <c r="L324" i="3"/>
  <c r="K324" i="3"/>
  <c r="I324" i="3"/>
  <c r="H324" i="3"/>
  <c r="W323" i="3"/>
  <c r="V323" i="3"/>
  <c r="U323" i="3"/>
  <c r="T323" i="3"/>
  <c r="S323" i="3"/>
  <c r="R323" i="3"/>
  <c r="O323" i="3"/>
  <c r="G323" i="3"/>
  <c r="F323" i="3"/>
  <c r="E322" i="3"/>
  <c r="D322" i="3"/>
  <c r="W321" i="3"/>
  <c r="V321" i="3"/>
  <c r="U321" i="3"/>
  <c r="T321" i="3"/>
  <c r="S321" i="3"/>
  <c r="R321" i="3"/>
  <c r="F321" i="3"/>
  <c r="W320" i="3"/>
  <c r="V320" i="3"/>
  <c r="T320" i="3"/>
  <c r="S320" i="3"/>
  <c r="R320" i="3"/>
  <c r="Q320" i="3"/>
  <c r="G320" i="3"/>
  <c r="W319" i="3"/>
  <c r="V319" i="3"/>
  <c r="U319" i="3"/>
  <c r="S319" i="3"/>
  <c r="R319" i="3"/>
  <c r="Q319" i="3"/>
  <c r="O319" i="3"/>
  <c r="G319" i="3"/>
  <c r="W318" i="3"/>
  <c r="V318" i="3"/>
  <c r="U318" i="3"/>
  <c r="S318" i="3"/>
  <c r="R318" i="3"/>
  <c r="Q318" i="3"/>
  <c r="O318" i="3"/>
  <c r="G318" i="3"/>
  <c r="W317" i="3"/>
  <c r="V317" i="3"/>
  <c r="U317" i="3"/>
  <c r="T317" i="3"/>
  <c r="S317" i="3"/>
  <c r="R317" i="3"/>
  <c r="Q317" i="3"/>
  <c r="M317" i="3"/>
  <c r="L317" i="3"/>
  <c r="K317" i="3"/>
  <c r="I317" i="3"/>
  <c r="H317" i="3"/>
  <c r="W316" i="3"/>
  <c r="V316" i="3"/>
  <c r="U316" i="3"/>
  <c r="T316" i="3"/>
  <c r="S316" i="3"/>
  <c r="R316" i="3"/>
  <c r="O316" i="3"/>
  <c r="G316" i="3"/>
  <c r="F316" i="3"/>
  <c r="E315" i="3"/>
  <c r="D315" i="3"/>
  <c r="W314" i="3"/>
  <c r="V314" i="3"/>
  <c r="U314" i="3"/>
  <c r="T314" i="3"/>
  <c r="S314" i="3"/>
  <c r="R314" i="3"/>
  <c r="F314" i="3"/>
  <c r="W313" i="3"/>
  <c r="V313" i="3"/>
  <c r="T313" i="3"/>
  <c r="S313" i="3"/>
  <c r="R313" i="3"/>
  <c r="Q313" i="3"/>
  <c r="G313" i="3"/>
  <c r="W312" i="3"/>
  <c r="V312" i="3"/>
  <c r="U312" i="3"/>
  <c r="S312" i="3"/>
  <c r="R312" i="3"/>
  <c r="Q312" i="3"/>
  <c r="O312" i="3"/>
  <c r="G312" i="3"/>
  <c r="W311" i="3"/>
  <c r="V311" i="3"/>
  <c r="U311" i="3"/>
  <c r="S311" i="3"/>
  <c r="R311" i="3"/>
  <c r="Q311" i="3"/>
  <c r="O311" i="3"/>
  <c r="G311" i="3"/>
  <c r="W310" i="3"/>
  <c r="V310" i="3"/>
  <c r="U310" i="3"/>
  <c r="T310" i="3"/>
  <c r="S310" i="3"/>
  <c r="R310" i="3"/>
  <c r="Q310" i="3"/>
  <c r="M310" i="3"/>
  <c r="L310" i="3"/>
  <c r="K310" i="3"/>
  <c r="I310" i="3"/>
  <c r="H310" i="3"/>
  <c r="W309" i="3"/>
  <c r="V309" i="3"/>
  <c r="U309" i="3"/>
  <c r="T309" i="3"/>
  <c r="S309" i="3"/>
  <c r="R309" i="3"/>
  <c r="O309" i="3"/>
  <c r="G309" i="3"/>
  <c r="F309" i="3"/>
  <c r="E308" i="3"/>
  <c r="D308" i="3"/>
  <c r="W307" i="3"/>
  <c r="V307" i="3"/>
  <c r="U307" i="3"/>
  <c r="T307" i="3"/>
  <c r="S307" i="3"/>
  <c r="R307" i="3"/>
  <c r="F307" i="3"/>
  <c r="W306" i="3"/>
  <c r="V306" i="3"/>
  <c r="T306" i="3"/>
  <c r="S306" i="3"/>
  <c r="R306" i="3"/>
  <c r="Q306" i="3"/>
  <c r="O306" i="3"/>
  <c r="G306" i="3"/>
  <c r="W305" i="3"/>
  <c r="V305" i="3"/>
  <c r="U305" i="3"/>
  <c r="S305" i="3"/>
  <c r="R305" i="3"/>
  <c r="Q305" i="3"/>
  <c r="O305" i="3"/>
  <c r="G305" i="3"/>
  <c r="W304" i="3"/>
  <c r="V304" i="3"/>
  <c r="U304" i="3"/>
  <c r="S304" i="3"/>
  <c r="R304" i="3"/>
  <c r="Q304" i="3"/>
  <c r="O304" i="3"/>
  <c r="G304" i="3"/>
  <c r="W303" i="3"/>
  <c r="V303" i="3"/>
  <c r="U303" i="3"/>
  <c r="T303" i="3"/>
  <c r="S303" i="3"/>
  <c r="R303" i="3"/>
  <c r="Q303" i="3"/>
  <c r="M303" i="3"/>
  <c r="L303" i="3"/>
  <c r="K303" i="3"/>
  <c r="I303" i="3"/>
  <c r="H303" i="3"/>
  <c r="W302" i="3"/>
  <c r="V302" i="3"/>
  <c r="U302" i="3"/>
  <c r="T302" i="3"/>
  <c r="S302" i="3"/>
  <c r="R302" i="3"/>
  <c r="O302" i="3"/>
  <c r="G302" i="3"/>
  <c r="F302" i="3"/>
  <c r="E301" i="3"/>
  <c r="D301" i="3"/>
  <c r="W300" i="3"/>
  <c r="V300" i="3"/>
  <c r="U300" i="3"/>
  <c r="T300" i="3"/>
  <c r="S300" i="3"/>
  <c r="R300" i="3"/>
  <c r="F300" i="3"/>
  <c r="W299" i="3"/>
  <c r="V299" i="3"/>
  <c r="T299" i="3"/>
  <c r="S299" i="3"/>
  <c r="R299" i="3"/>
  <c r="Q299" i="3"/>
  <c r="G299" i="3"/>
  <c r="W298" i="3"/>
  <c r="V298" i="3"/>
  <c r="U298" i="3"/>
  <c r="S298" i="3"/>
  <c r="R298" i="3"/>
  <c r="Q298" i="3"/>
  <c r="G298" i="3"/>
  <c r="W297" i="3"/>
  <c r="V297" i="3"/>
  <c r="U297" i="3"/>
  <c r="S297" i="3"/>
  <c r="R297" i="3"/>
  <c r="Q297" i="3"/>
  <c r="G297" i="3"/>
  <c r="W296" i="3"/>
  <c r="V296" i="3"/>
  <c r="U296" i="3"/>
  <c r="T296" i="3"/>
  <c r="S296" i="3"/>
  <c r="R296" i="3"/>
  <c r="Q296" i="3"/>
  <c r="M296" i="3"/>
  <c r="L296" i="3"/>
  <c r="K296" i="3"/>
  <c r="I296" i="3"/>
  <c r="H296" i="3"/>
  <c r="E295" i="3"/>
  <c r="F295" i="3" s="1"/>
  <c r="D295" i="3"/>
  <c r="W294" i="3"/>
  <c r="V294" i="3"/>
  <c r="U294" i="3"/>
  <c r="T294" i="3"/>
  <c r="S294" i="3"/>
  <c r="R294" i="3"/>
  <c r="F294" i="3"/>
  <c r="W293" i="3"/>
  <c r="V293" i="3"/>
  <c r="U293" i="3"/>
  <c r="S293" i="3"/>
  <c r="R293" i="3"/>
  <c r="Q293" i="3"/>
  <c r="G293" i="3"/>
  <c r="W292" i="3"/>
  <c r="V292" i="3"/>
  <c r="U292" i="3"/>
  <c r="S292" i="3"/>
  <c r="R292" i="3"/>
  <c r="Q292" i="3"/>
  <c r="G292" i="3"/>
  <c r="W291" i="3"/>
  <c r="V291" i="3"/>
  <c r="U291" i="3"/>
  <c r="T291" i="3"/>
  <c r="S291" i="3"/>
  <c r="R291" i="3"/>
  <c r="Q291" i="3"/>
  <c r="N291" i="3"/>
  <c r="M291" i="3"/>
  <c r="K291" i="3"/>
  <c r="I291" i="3"/>
  <c r="H291" i="3"/>
  <c r="W290" i="3"/>
  <c r="V290" i="3"/>
  <c r="U290" i="3"/>
  <c r="T290" i="3"/>
  <c r="S290" i="3"/>
  <c r="R290" i="3"/>
  <c r="F290" i="3"/>
  <c r="W289" i="3"/>
  <c r="V289" i="3"/>
  <c r="T289" i="3"/>
  <c r="S289" i="3"/>
  <c r="R289" i="3"/>
  <c r="Q289" i="3"/>
  <c r="G289" i="3"/>
  <c r="W288" i="3"/>
  <c r="V288" i="3"/>
  <c r="U288" i="3"/>
  <c r="S288" i="3"/>
  <c r="R288" i="3"/>
  <c r="Q288" i="3"/>
  <c r="G288" i="3"/>
  <c r="W287" i="3"/>
  <c r="V287" i="3"/>
  <c r="U287" i="3"/>
  <c r="T287" i="3"/>
  <c r="S287" i="3"/>
  <c r="R287" i="3"/>
  <c r="Q287" i="3"/>
  <c r="M287" i="3"/>
  <c r="L287" i="3"/>
  <c r="K287" i="3"/>
  <c r="I287" i="3"/>
  <c r="H287" i="3"/>
  <c r="W286" i="3"/>
  <c r="V286" i="3"/>
  <c r="U286" i="3"/>
  <c r="T286" i="3"/>
  <c r="S286" i="3"/>
  <c r="R286" i="3"/>
  <c r="F286" i="3"/>
  <c r="W285" i="3"/>
  <c r="V285" i="3"/>
  <c r="U285" i="3"/>
  <c r="S285" i="3"/>
  <c r="R285" i="3"/>
  <c r="Q285" i="3"/>
  <c r="G285" i="3"/>
  <c r="W284" i="3"/>
  <c r="V284" i="3"/>
  <c r="U284" i="3"/>
  <c r="S284" i="3"/>
  <c r="R284" i="3"/>
  <c r="Q284" i="3"/>
  <c r="G284" i="3"/>
  <c r="W283" i="3"/>
  <c r="V283" i="3"/>
  <c r="U283" i="3"/>
  <c r="T283" i="3"/>
  <c r="S283" i="3"/>
  <c r="R283" i="3"/>
  <c r="Q283" i="3"/>
  <c r="N283" i="3"/>
  <c r="L283" i="3"/>
  <c r="K283" i="3"/>
  <c r="I283" i="3"/>
  <c r="H283" i="3"/>
  <c r="E282" i="3"/>
  <c r="D282" i="3"/>
  <c r="E281" i="3"/>
  <c r="D281" i="3"/>
  <c r="W280" i="3"/>
  <c r="V280" i="3"/>
  <c r="U280" i="3"/>
  <c r="T280" i="3"/>
  <c r="S280" i="3"/>
  <c r="R280" i="3"/>
  <c r="F280" i="3"/>
  <c r="W279" i="3"/>
  <c r="V279" i="3"/>
  <c r="T279" i="3"/>
  <c r="S279" i="3"/>
  <c r="R279" i="3"/>
  <c r="Q279" i="3"/>
  <c r="G279" i="3"/>
  <c r="W278" i="3"/>
  <c r="V278" i="3"/>
  <c r="U278" i="3"/>
  <c r="S278" i="3"/>
  <c r="R278" i="3"/>
  <c r="Q278" i="3"/>
  <c r="G278" i="3"/>
  <c r="W277" i="3"/>
  <c r="V277" i="3"/>
  <c r="U277" i="3"/>
  <c r="S277" i="3"/>
  <c r="R277" i="3"/>
  <c r="Q277" i="3"/>
  <c r="O277" i="3"/>
  <c r="G277" i="3"/>
  <c r="W276" i="3"/>
  <c r="V276" i="3"/>
  <c r="U276" i="3"/>
  <c r="S276" i="3"/>
  <c r="R276" i="3"/>
  <c r="Q276" i="3"/>
  <c r="G276" i="3"/>
  <c r="W275" i="3"/>
  <c r="V275" i="3"/>
  <c r="U275" i="3"/>
  <c r="T275" i="3"/>
  <c r="S275" i="3"/>
  <c r="R275" i="3"/>
  <c r="Q275" i="3"/>
  <c r="M275" i="3"/>
  <c r="L275" i="3"/>
  <c r="K275" i="3"/>
  <c r="I275" i="3"/>
  <c r="H275" i="3"/>
  <c r="E274" i="3"/>
  <c r="D274" i="3"/>
  <c r="E273" i="3"/>
  <c r="D273" i="3"/>
  <c r="W272" i="3"/>
  <c r="V272" i="3"/>
  <c r="U272" i="3"/>
  <c r="T272" i="3"/>
  <c r="S272" i="3"/>
  <c r="Q272" i="3"/>
  <c r="F272" i="3"/>
  <c r="W271" i="3"/>
  <c r="V271" i="3"/>
  <c r="T271" i="3"/>
  <c r="S271" i="3"/>
  <c r="R271" i="3"/>
  <c r="Q271" i="3"/>
  <c r="O271" i="3"/>
  <c r="G271" i="3"/>
  <c r="W270" i="3"/>
  <c r="V270" i="3"/>
  <c r="U270" i="3"/>
  <c r="S270" i="3"/>
  <c r="R270" i="3"/>
  <c r="Q270" i="3"/>
  <c r="O270" i="3"/>
  <c r="G270" i="3"/>
  <c r="W269" i="3"/>
  <c r="V269" i="3"/>
  <c r="U269" i="3"/>
  <c r="S269" i="3"/>
  <c r="R269" i="3"/>
  <c r="Q269" i="3"/>
  <c r="G269" i="3"/>
  <c r="W268" i="3"/>
  <c r="V268" i="3"/>
  <c r="U268" i="3"/>
  <c r="T268" i="3"/>
  <c r="S268" i="3"/>
  <c r="R268" i="3"/>
  <c r="Q268" i="3"/>
  <c r="M268" i="3"/>
  <c r="L268" i="3"/>
  <c r="K268" i="3"/>
  <c r="I268" i="3"/>
  <c r="H268" i="3"/>
  <c r="E267" i="3"/>
  <c r="D267" i="3"/>
  <c r="E266" i="3"/>
  <c r="D266" i="3"/>
  <c r="W265" i="3"/>
  <c r="V265" i="3"/>
  <c r="U265" i="3"/>
  <c r="T265" i="3"/>
  <c r="S265" i="3"/>
  <c r="Q265" i="3"/>
  <c r="F265" i="3"/>
  <c r="E264" i="3"/>
  <c r="D264" i="3"/>
  <c r="W263" i="3"/>
  <c r="V263" i="3"/>
  <c r="U263" i="3"/>
  <c r="T263" i="3"/>
  <c r="S263" i="3"/>
  <c r="Q263" i="3"/>
  <c r="F263" i="3"/>
  <c r="W262" i="3"/>
  <c r="V262" i="3"/>
  <c r="T262" i="3"/>
  <c r="S262" i="3"/>
  <c r="R262" i="3"/>
  <c r="Q262" i="3"/>
  <c r="O262" i="3"/>
  <c r="G262" i="3"/>
  <c r="W261" i="3"/>
  <c r="V261" i="3"/>
  <c r="T261" i="3"/>
  <c r="S261" i="3"/>
  <c r="R261" i="3"/>
  <c r="Q261" i="3"/>
  <c r="G261" i="3"/>
  <c r="W260" i="3"/>
  <c r="V260" i="3"/>
  <c r="U260" i="3"/>
  <c r="S260" i="3"/>
  <c r="R260" i="3"/>
  <c r="Q260" i="3"/>
  <c r="G260" i="3"/>
  <c r="W259" i="3"/>
  <c r="V259" i="3"/>
  <c r="U259" i="3"/>
  <c r="S259" i="3"/>
  <c r="R259" i="3"/>
  <c r="Q259" i="3"/>
  <c r="G259" i="3"/>
  <c r="W258" i="3"/>
  <c r="V258" i="3"/>
  <c r="U258" i="3"/>
  <c r="T258" i="3"/>
  <c r="S258" i="3"/>
  <c r="R258" i="3"/>
  <c r="Q258" i="3"/>
  <c r="M258" i="3"/>
  <c r="L258" i="3"/>
  <c r="K258" i="3"/>
  <c r="I258" i="3"/>
  <c r="H258" i="3"/>
  <c r="E257" i="3"/>
  <c r="F257" i="3" s="1"/>
  <c r="D257" i="3"/>
  <c r="E256" i="3"/>
  <c r="D256" i="3"/>
  <c r="E255" i="3"/>
  <c r="D255" i="3"/>
  <c r="W254" i="3"/>
  <c r="V254" i="3"/>
  <c r="U254" i="3"/>
  <c r="T254" i="3"/>
  <c r="S254" i="3"/>
  <c r="Q254" i="3"/>
  <c r="F254" i="3"/>
  <c r="E253" i="3"/>
  <c r="D253" i="3"/>
  <c r="W252" i="3"/>
  <c r="V252" i="3"/>
  <c r="U252" i="3"/>
  <c r="T252" i="3"/>
  <c r="S252" i="3"/>
  <c r="Q252" i="3"/>
  <c r="F252" i="3"/>
  <c r="W251" i="3"/>
  <c r="V251" i="3"/>
  <c r="T251" i="3"/>
  <c r="S251" i="3"/>
  <c r="R251" i="3"/>
  <c r="Q251" i="3"/>
  <c r="O251" i="3"/>
  <c r="G251" i="3"/>
  <c r="W250" i="3"/>
  <c r="V250" i="3"/>
  <c r="T250" i="3"/>
  <c r="S250" i="3"/>
  <c r="R250" i="3"/>
  <c r="Q250" i="3"/>
  <c r="G250" i="3"/>
  <c r="W249" i="3"/>
  <c r="V249" i="3"/>
  <c r="U249" i="3"/>
  <c r="S249" i="3"/>
  <c r="R249" i="3"/>
  <c r="Q249" i="3"/>
  <c r="G249" i="3"/>
  <c r="W248" i="3"/>
  <c r="V248" i="3"/>
  <c r="U248" i="3"/>
  <c r="S248" i="3"/>
  <c r="R248" i="3"/>
  <c r="Q248" i="3"/>
  <c r="G248" i="3"/>
  <c r="W247" i="3"/>
  <c r="V247" i="3"/>
  <c r="U247" i="3"/>
  <c r="T247" i="3"/>
  <c r="S247" i="3"/>
  <c r="R247" i="3"/>
  <c r="Q247" i="3"/>
  <c r="M247" i="3"/>
  <c r="L247" i="3"/>
  <c r="K247" i="3"/>
  <c r="I247" i="3"/>
  <c r="H247" i="3"/>
  <c r="W246" i="3"/>
  <c r="V246" i="3"/>
  <c r="U246" i="3"/>
  <c r="T246" i="3"/>
  <c r="S246" i="3"/>
  <c r="R246" i="3"/>
  <c r="F246" i="3"/>
  <c r="W245" i="3"/>
  <c r="V245" i="3"/>
  <c r="U245" i="3"/>
  <c r="T245" i="3"/>
  <c r="R245" i="3"/>
  <c r="Q245" i="3"/>
  <c r="G245" i="3"/>
  <c r="W244" i="3"/>
  <c r="V244" i="3"/>
  <c r="U244" i="3"/>
  <c r="T244" i="3"/>
  <c r="R244" i="3"/>
  <c r="Q244" i="3"/>
  <c r="G244" i="3"/>
  <c r="W243" i="3"/>
  <c r="V243" i="3"/>
  <c r="U243" i="3"/>
  <c r="T243" i="3"/>
  <c r="S243" i="3"/>
  <c r="R243" i="3"/>
  <c r="Q243" i="3"/>
  <c r="M243" i="3"/>
  <c r="L243" i="3"/>
  <c r="K243" i="3"/>
  <c r="I243" i="3"/>
  <c r="H243" i="3"/>
  <c r="W242" i="3"/>
  <c r="V242" i="3"/>
  <c r="U242" i="3"/>
  <c r="T242" i="3"/>
  <c r="S242" i="3"/>
  <c r="R242" i="3"/>
  <c r="F242" i="3"/>
  <c r="W241" i="3"/>
  <c r="V241" i="3"/>
  <c r="U241" i="3"/>
  <c r="S241" i="3"/>
  <c r="R241" i="3"/>
  <c r="Q241" i="3"/>
  <c r="G241" i="3"/>
  <c r="W240" i="3"/>
  <c r="V240" i="3"/>
  <c r="U240" i="3"/>
  <c r="S240" i="3"/>
  <c r="R240" i="3"/>
  <c r="Q240" i="3"/>
  <c r="G240" i="3"/>
  <c r="W239" i="3"/>
  <c r="V239" i="3"/>
  <c r="U239" i="3"/>
  <c r="T239" i="3"/>
  <c r="S239" i="3"/>
  <c r="R239" i="3"/>
  <c r="Q239" i="3"/>
  <c r="M239" i="3"/>
  <c r="L239" i="3"/>
  <c r="K239" i="3"/>
  <c r="I239" i="3"/>
  <c r="H239" i="3"/>
  <c r="W238" i="3"/>
  <c r="V238" i="3"/>
  <c r="U238" i="3"/>
  <c r="T238" i="3"/>
  <c r="S238" i="3"/>
  <c r="R238" i="3"/>
  <c r="F238" i="3"/>
  <c r="W237" i="3"/>
  <c r="V237" i="3"/>
  <c r="T237" i="3"/>
  <c r="S237" i="3"/>
  <c r="R237" i="3"/>
  <c r="Q237" i="3"/>
  <c r="G237" i="3"/>
  <c r="W236" i="3"/>
  <c r="V236" i="3"/>
  <c r="U236" i="3"/>
  <c r="S236" i="3"/>
  <c r="R236" i="3"/>
  <c r="Q236" i="3"/>
  <c r="G236" i="3"/>
  <c r="W235" i="3"/>
  <c r="V235" i="3"/>
  <c r="U235" i="3"/>
  <c r="T235" i="3"/>
  <c r="S235" i="3"/>
  <c r="R235" i="3"/>
  <c r="Q235" i="3"/>
  <c r="M235" i="3"/>
  <c r="L235" i="3"/>
  <c r="K235" i="3"/>
  <c r="I235" i="3"/>
  <c r="H235" i="3"/>
  <c r="W234" i="3"/>
  <c r="V234" i="3"/>
  <c r="U234" i="3"/>
  <c r="T234" i="3"/>
  <c r="S234" i="3"/>
  <c r="R234" i="3"/>
  <c r="F234" i="3"/>
  <c r="W233" i="3"/>
  <c r="V233" i="3"/>
  <c r="T233" i="3"/>
  <c r="S233" i="3"/>
  <c r="R233" i="3"/>
  <c r="Q233" i="3"/>
  <c r="G233" i="3"/>
  <c r="W232" i="3"/>
  <c r="V232" i="3"/>
  <c r="U232" i="3"/>
  <c r="S232" i="3"/>
  <c r="R232" i="3"/>
  <c r="Q232" i="3"/>
  <c r="G232" i="3"/>
  <c r="W231" i="3"/>
  <c r="V231" i="3"/>
  <c r="U231" i="3"/>
  <c r="T231" i="3"/>
  <c r="S231" i="3"/>
  <c r="R231" i="3"/>
  <c r="Q231" i="3"/>
  <c r="M231" i="3"/>
  <c r="L231" i="3"/>
  <c r="K231" i="3"/>
  <c r="I231" i="3"/>
  <c r="H231" i="3"/>
  <c r="E230" i="3"/>
  <c r="D230" i="3"/>
  <c r="E229" i="3"/>
  <c r="D229" i="3"/>
  <c r="W228" i="3"/>
  <c r="V228" i="3"/>
  <c r="U228" i="3"/>
  <c r="T228" i="3"/>
  <c r="S228" i="3"/>
  <c r="R228" i="3"/>
  <c r="F228" i="3"/>
  <c r="E227" i="3"/>
  <c r="D227" i="3"/>
  <c r="W226" i="3"/>
  <c r="V226" i="3"/>
  <c r="U226" i="3"/>
  <c r="T226" i="3"/>
  <c r="S226" i="3"/>
  <c r="R226" i="3"/>
  <c r="F226" i="3"/>
  <c r="W225" i="3"/>
  <c r="V225" i="3"/>
  <c r="T225" i="3"/>
  <c r="S225" i="3"/>
  <c r="R225" i="3"/>
  <c r="Q225" i="3"/>
  <c r="O225" i="3"/>
  <c r="G225" i="3"/>
  <c r="W224" i="3"/>
  <c r="V224" i="3"/>
  <c r="T224" i="3"/>
  <c r="S224" i="3"/>
  <c r="R224" i="3"/>
  <c r="Q224" i="3"/>
  <c r="G224" i="3"/>
  <c r="W223" i="3"/>
  <c r="V223" i="3"/>
  <c r="U223" i="3"/>
  <c r="S223" i="3"/>
  <c r="R223" i="3"/>
  <c r="Q223" i="3"/>
  <c r="G223" i="3"/>
  <c r="W222" i="3"/>
  <c r="V222" i="3"/>
  <c r="U222" i="3"/>
  <c r="T222" i="3"/>
  <c r="S222" i="3"/>
  <c r="R222" i="3"/>
  <c r="Q222" i="3"/>
  <c r="M222" i="3"/>
  <c r="L222" i="3"/>
  <c r="K222" i="3"/>
  <c r="I222" i="3"/>
  <c r="H222" i="3"/>
  <c r="E221" i="3"/>
  <c r="D221" i="3"/>
  <c r="E220" i="3"/>
  <c r="D220" i="3"/>
  <c r="W219" i="3"/>
  <c r="V219" i="3"/>
  <c r="U219" i="3"/>
  <c r="T219" i="3"/>
  <c r="S219" i="3"/>
  <c r="Q219" i="3"/>
  <c r="F219" i="3"/>
  <c r="E218" i="3"/>
  <c r="D218" i="3"/>
  <c r="W217" i="3"/>
  <c r="V217" i="3"/>
  <c r="U217" i="3"/>
  <c r="T217" i="3"/>
  <c r="S217" i="3"/>
  <c r="Q217" i="3"/>
  <c r="F217" i="3"/>
  <c r="W216" i="3"/>
  <c r="V216" i="3"/>
  <c r="U216" i="3"/>
  <c r="S216" i="3"/>
  <c r="R216" i="3"/>
  <c r="Q216" i="3"/>
  <c r="O216" i="3"/>
  <c r="G216" i="3"/>
  <c r="W215" i="3"/>
  <c r="V215" i="3"/>
  <c r="T215" i="3"/>
  <c r="S215" i="3"/>
  <c r="R215" i="3"/>
  <c r="Q215" i="3"/>
  <c r="G215" i="3"/>
  <c r="W214" i="3"/>
  <c r="V214" i="3"/>
  <c r="U214" i="3"/>
  <c r="S214" i="3"/>
  <c r="R214" i="3"/>
  <c r="Q214" i="3"/>
  <c r="P214" i="3"/>
  <c r="G214" i="3"/>
  <c r="W213" i="3"/>
  <c r="V213" i="3"/>
  <c r="U213" i="3"/>
  <c r="S213" i="3"/>
  <c r="R213" i="3"/>
  <c r="Q213" i="3"/>
  <c r="G213" i="3"/>
  <c r="W212" i="3"/>
  <c r="V212" i="3"/>
  <c r="U212" i="3"/>
  <c r="T212" i="3"/>
  <c r="S212" i="3"/>
  <c r="R212" i="3"/>
  <c r="Q212" i="3"/>
  <c r="M212" i="3"/>
  <c r="L212" i="3"/>
  <c r="K212" i="3"/>
  <c r="I212" i="3"/>
  <c r="H212" i="3"/>
  <c r="W211" i="3"/>
  <c r="V211" i="3"/>
  <c r="U211" i="3"/>
  <c r="T211" i="3"/>
  <c r="S211" i="3"/>
  <c r="R211" i="3"/>
  <c r="F211" i="3"/>
  <c r="W210" i="3"/>
  <c r="V210" i="3"/>
  <c r="U210" i="3"/>
  <c r="S210" i="3"/>
  <c r="R210" i="3"/>
  <c r="Q210" i="3"/>
  <c r="O210" i="3"/>
  <c r="G210" i="3"/>
  <c r="W209" i="3"/>
  <c r="V209" i="3"/>
  <c r="U209" i="3"/>
  <c r="S209" i="3"/>
  <c r="R209" i="3"/>
  <c r="Q209" i="3"/>
  <c r="G209" i="3"/>
  <c r="W208" i="3"/>
  <c r="V208" i="3"/>
  <c r="T208" i="3"/>
  <c r="S208" i="3"/>
  <c r="R208" i="3"/>
  <c r="Q208" i="3"/>
  <c r="G208" i="3"/>
  <c r="W207" i="3"/>
  <c r="V207" i="3"/>
  <c r="U207" i="3"/>
  <c r="T207" i="3"/>
  <c r="S207" i="3"/>
  <c r="R207" i="3"/>
  <c r="Q207" i="3"/>
  <c r="N207" i="3"/>
  <c r="L207" i="3"/>
  <c r="K207" i="3"/>
  <c r="I207" i="3"/>
  <c r="H207" i="3"/>
  <c r="E206" i="3"/>
  <c r="D206" i="3"/>
  <c r="E205" i="3"/>
  <c r="D205" i="3"/>
  <c r="W204" i="3"/>
  <c r="V204" i="3"/>
  <c r="U204" i="3"/>
  <c r="T204" i="3"/>
  <c r="S204" i="3"/>
  <c r="Q204" i="3"/>
  <c r="F204" i="3"/>
  <c r="E203" i="3"/>
  <c r="D203" i="3"/>
  <c r="W202" i="3"/>
  <c r="V202" i="3"/>
  <c r="U202" i="3"/>
  <c r="T202" i="3"/>
  <c r="S202" i="3"/>
  <c r="Q202" i="3"/>
  <c r="F202" i="3"/>
  <c r="W201" i="3"/>
  <c r="V201" i="3"/>
  <c r="T201" i="3"/>
  <c r="S201" i="3"/>
  <c r="R201" i="3"/>
  <c r="Q201" i="3"/>
  <c r="O201" i="3"/>
  <c r="G201" i="3"/>
  <c r="W200" i="3"/>
  <c r="V200" i="3"/>
  <c r="T200" i="3"/>
  <c r="S200" i="3"/>
  <c r="R200" i="3"/>
  <c r="Q200" i="3"/>
  <c r="G200" i="3"/>
  <c r="W199" i="3"/>
  <c r="V199" i="3"/>
  <c r="U199" i="3"/>
  <c r="S199" i="3"/>
  <c r="R199" i="3"/>
  <c r="Q199" i="3"/>
  <c r="G199" i="3"/>
  <c r="W198" i="3"/>
  <c r="V198" i="3"/>
  <c r="U198" i="3"/>
  <c r="S198" i="3"/>
  <c r="R198" i="3"/>
  <c r="Q198" i="3"/>
  <c r="G198" i="3"/>
  <c r="W197" i="3"/>
  <c r="V197" i="3"/>
  <c r="U197" i="3"/>
  <c r="T197" i="3"/>
  <c r="S197" i="3"/>
  <c r="R197" i="3"/>
  <c r="Q197" i="3"/>
  <c r="M197" i="3"/>
  <c r="L197" i="3"/>
  <c r="K197" i="3"/>
  <c r="I197" i="3"/>
  <c r="H197" i="3"/>
  <c r="W196" i="3"/>
  <c r="V196" i="3"/>
  <c r="U196" i="3"/>
  <c r="T196" i="3"/>
  <c r="S196" i="3"/>
  <c r="R196" i="3"/>
  <c r="F196" i="3"/>
  <c r="W195" i="3"/>
  <c r="V195" i="3"/>
  <c r="T195" i="3"/>
  <c r="S195" i="3"/>
  <c r="R195" i="3"/>
  <c r="Q195" i="3"/>
  <c r="G195" i="3"/>
  <c r="W194" i="3"/>
  <c r="V194" i="3"/>
  <c r="U194" i="3"/>
  <c r="S194" i="3"/>
  <c r="R194" i="3"/>
  <c r="Q194" i="3"/>
  <c r="G194" i="3"/>
  <c r="W193" i="3"/>
  <c r="V193" i="3"/>
  <c r="U193" i="3"/>
  <c r="T193" i="3"/>
  <c r="S193" i="3"/>
  <c r="R193" i="3"/>
  <c r="Q193" i="3"/>
  <c r="N193" i="3"/>
  <c r="M193" i="3"/>
  <c r="L193" i="3"/>
  <c r="I193" i="3"/>
  <c r="H193" i="3"/>
  <c r="W192" i="3"/>
  <c r="V192" i="3"/>
  <c r="U192" i="3"/>
  <c r="T192" i="3"/>
  <c r="S192" i="3"/>
  <c r="R192" i="3"/>
  <c r="F192" i="3"/>
  <c r="W191" i="3"/>
  <c r="V191" i="3"/>
  <c r="U191" i="3"/>
  <c r="T191" i="3"/>
  <c r="S191" i="3"/>
  <c r="R191" i="3"/>
  <c r="O191" i="3"/>
  <c r="G191" i="3"/>
  <c r="F191" i="3"/>
  <c r="W190" i="3"/>
  <c r="V190" i="3"/>
  <c r="T190" i="3"/>
  <c r="S190" i="3"/>
  <c r="R190" i="3"/>
  <c r="Q190" i="3"/>
  <c r="O190" i="3"/>
  <c r="G190" i="3"/>
  <c r="W189" i="3"/>
  <c r="V189" i="3"/>
  <c r="T189" i="3"/>
  <c r="S189" i="3"/>
  <c r="R189" i="3"/>
  <c r="Q189" i="3"/>
  <c r="O189" i="3"/>
  <c r="G189" i="3"/>
  <c r="W188" i="3"/>
  <c r="V188" i="3"/>
  <c r="T188" i="3"/>
  <c r="S188" i="3"/>
  <c r="R188" i="3"/>
  <c r="Q188" i="3"/>
  <c r="O188" i="3"/>
  <c r="G188" i="3"/>
  <c r="W187" i="3"/>
  <c r="V187" i="3"/>
  <c r="T187" i="3"/>
  <c r="S187" i="3"/>
  <c r="R187" i="3"/>
  <c r="Q187" i="3"/>
  <c r="O187" i="3"/>
  <c r="G187" i="3"/>
  <c r="W186" i="3"/>
  <c r="V186" i="3"/>
  <c r="U186" i="3"/>
  <c r="S186" i="3"/>
  <c r="R186" i="3"/>
  <c r="Q186" i="3"/>
  <c r="O186" i="3"/>
  <c r="G186" i="3"/>
  <c r="W185" i="3"/>
  <c r="V185" i="3"/>
  <c r="U185" i="3"/>
  <c r="T185" i="3"/>
  <c r="S185" i="3"/>
  <c r="R185" i="3"/>
  <c r="Q185" i="3"/>
  <c r="M185" i="3"/>
  <c r="L185" i="3"/>
  <c r="K185" i="3"/>
  <c r="I185" i="3"/>
  <c r="H185" i="3"/>
  <c r="W184" i="3"/>
  <c r="V184" i="3"/>
  <c r="U184" i="3"/>
  <c r="T184" i="3"/>
  <c r="S184" i="3"/>
  <c r="R184" i="3"/>
  <c r="F184" i="3"/>
  <c r="W183" i="3"/>
  <c r="V183" i="3"/>
  <c r="U183" i="3"/>
  <c r="S183" i="3"/>
  <c r="R183" i="3"/>
  <c r="Q183" i="3"/>
  <c r="G183" i="3"/>
  <c r="W182" i="3"/>
  <c r="V182" i="3"/>
  <c r="T182" i="3"/>
  <c r="S182" i="3"/>
  <c r="R182" i="3"/>
  <c r="Q182" i="3"/>
  <c r="G182" i="3"/>
  <c r="W181" i="3"/>
  <c r="V181" i="3"/>
  <c r="U181" i="3"/>
  <c r="T181" i="3"/>
  <c r="S181" i="3"/>
  <c r="R181" i="3"/>
  <c r="Q181" i="3"/>
  <c r="N181" i="3"/>
  <c r="L181" i="3"/>
  <c r="K181" i="3"/>
  <c r="I181" i="3"/>
  <c r="H181" i="3"/>
  <c r="W180" i="3"/>
  <c r="V180" i="3"/>
  <c r="U180" i="3"/>
  <c r="T180" i="3"/>
  <c r="S180" i="3"/>
  <c r="R180" i="3"/>
  <c r="F180" i="3"/>
  <c r="W179" i="3"/>
  <c r="V179" i="3"/>
  <c r="U179" i="3"/>
  <c r="S179" i="3"/>
  <c r="R179" i="3"/>
  <c r="Q179" i="3"/>
  <c r="G179" i="3"/>
  <c r="W178" i="3"/>
  <c r="V178" i="3"/>
  <c r="U178" i="3"/>
  <c r="S178" i="3"/>
  <c r="R178" i="3"/>
  <c r="Q178" i="3"/>
  <c r="G178" i="3"/>
  <c r="W177" i="3"/>
  <c r="V177" i="3"/>
  <c r="U177" i="3"/>
  <c r="T177" i="3"/>
  <c r="S177" i="3"/>
  <c r="R177" i="3"/>
  <c r="Q177" i="3"/>
  <c r="M177" i="3"/>
  <c r="L177" i="3"/>
  <c r="K177" i="3"/>
  <c r="I177" i="3"/>
  <c r="H177" i="3"/>
  <c r="W176" i="3"/>
  <c r="V176" i="3"/>
  <c r="U176" i="3"/>
  <c r="T176" i="3"/>
  <c r="S176" i="3"/>
  <c r="R176" i="3"/>
  <c r="F176" i="3"/>
  <c r="W175" i="3"/>
  <c r="V175" i="3"/>
  <c r="U175" i="3"/>
  <c r="S175" i="3"/>
  <c r="R175" i="3"/>
  <c r="Q175" i="3"/>
  <c r="G175" i="3"/>
  <c r="W174" i="3"/>
  <c r="V174" i="3"/>
  <c r="U174" i="3"/>
  <c r="S174" i="3"/>
  <c r="R174" i="3"/>
  <c r="Q174" i="3"/>
  <c r="G174" i="3"/>
  <c r="W173" i="3"/>
  <c r="V173" i="3"/>
  <c r="U173" i="3"/>
  <c r="T173" i="3"/>
  <c r="S173" i="3"/>
  <c r="R173" i="3"/>
  <c r="Q173" i="3"/>
  <c r="N173" i="3"/>
  <c r="L173" i="3"/>
  <c r="K173" i="3"/>
  <c r="I173" i="3"/>
  <c r="H173" i="3"/>
  <c r="E172" i="3"/>
  <c r="D172" i="3"/>
  <c r="E171" i="3"/>
  <c r="D171" i="3"/>
  <c r="W170" i="3"/>
  <c r="V170" i="3"/>
  <c r="U170" i="3"/>
  <c r="T170" i="3"/>
  <c r="S170" i="3"/>
  <c r="Q170" i="3"/>
  <c r="F170" i="3"/>
  <c r="E169" i="3"/>
  <c r="D169" i="3"/>
  <c r="W168" i="3"/>
  <c r="V168" i="3"/>
  <c r="U168" i="3"/>
  <c r="T168" i="3"/>
  <c r="S168" i="3"/>
  <c r="Q168" i="3"/>
  <c r="F168" i="3"/>
  <c r="W167" i="3"/>
  <c r="V167" i="3"/>
  <c r="T167" i="3"/>
  <c r="S167" i="3"/>
  <c r="R167" i="3"/>
  <c r="Q167" i="3"/>
  <c r="O167" i="3"/>
  <c r="G167" i="3"/>
  <c r="W166" i="3"/>
  <c r="V166" i="3"/>
  <c r="T166" i="3"/>
  <c r="S166" i="3"/>
  <c r="R166" i="3"/>
  <c r="Q166" i="3"/>
  <c r="G166" i="3"/>
  <c r="W165" i="3"/>
  <c r="V165" i="3"/>
  <c r="T165" i="3"/>
  <c r="S165" i="3"/>
  <c r="R165" i="3"/>
  <c r="Q165" i="3"/>
  <c r="G165" i="3"/>
  <c r="W164" i="3"/>
  <c r="V164" i="3"/>
  <c r="T164" i="3"/>
  <c r="S164" i="3"/>
  <c r="R164" i="3"/>
  <c r="Q164" i="3"/>
  <c r="G164" i="3"/>
  <c r="W163" i="3"/>
  <c r="V163" i="3"/>
  <c r="U163" i="3"/>
  <c r="S163" i="3"/>
  <c r="R163" i="3"/>
  <c r="Q163" i="3"/>
  <c r="G163" i="3"/>
  <c r="W162" i="3"/>
  <c r="V162" i="3"/>
  <c r="U162" i="3"/>
  <c r="T162" i="3"/>
  <c r="S162" i="3"/>
  <c r="R162" i="3"/>
  <c r="Q162" i="3"/>
  <c r="M162" i="3"/>
  <c r="L162" i="3"/>
  <c r="K162" i="3"/>
  <c r="I162" i="3"/>
  <c r="H162" i="3"/>
  <c r="E161" i="3"/>
  <c r="D161" i="3"/>
  <c r="W160" i="3"/>
  <c r="V160" i="3"/>
  <c r="U160" i="3"/>
  <c r="T160" i="3"/>
  <c r="S160" i="3"/>
  <c r="R160" i="3"/>
  <c r="F160" i="3"/>
  <c r="W159" i="3"/>
  <c r="V159" i="3"/>
  <c r="U159" i="3"/>
  <c r="S159" i="3"/>
  <c r="R159" i="3"/>
  <c r="Q159" i="3"/>
  <c r="G159" i="3"/>
  <c r="W158" i="3"/>
  <c r="V158" i="3"/>
  <c r="U158" i="3"/>
  <c r="S158" i="3"/>
  <c r="R158" i="3"/>
  <c r="Q158" i="3"/>
  <c r="G158" i="3"/>
  <c r="W157" i="3"/>
  <c r="V157" i="3"/>
  <c r="U157" i="3"/>
  <c r="S157" i="3"/>
  <c r="R157" i="3"/>
  <c r="Q157" i="3"/>
  <c r="G157" i="3"/>
  <c r="W156" i="3"/>
  <c r="V156" i="3"/>
  <c r="U156" i="3"/>
  <c r="T156" i="3"/>
  <c r="S156" i="3"/>
  <c r="R156" i="3"/>
  <c r="Q156" i="3"/>
  <c r="M156" i="3"/>
  <c r="L156" i="3"/>
  <c r="K156" i="3"/>
  <c r="I156" i="3"/>
  <c r="H156" i="3"/>
  <c r="E155" i="3"/>
  <c r="D155" i="3"/>
  <c r="E154" i="3"/>
  <c r="D154" i="3"/>
  <c r="W153" i="3"/>
  <c r="V153" i="3"/>
  <c r="U153" i="3"/>
  <c r="T153" i="3"/>
  <c r="R153" i="3"/>
  <c r="Q153" i="3"/>
  <c r="E152" i="3"/>
  <c r="D152" i="3"/>
  <c r="W151" i="3"/>
  <c r="V151" i="3"/>
  <c r="U151" i="3"/>
  <c r="T151" i="3"/>
  <c r="R151" i="3"/>
  <c r="Q151" i="3"/>
  <c r="W150" i="3"/>
  <c r="V150" i="3"/>
  <c r="T150" i="3"/>
  <c r="S150" i="3"/>
  <c r="R150" i="3"/>
  <c r="Q150" i="3"/>
  <c r="O150" i="3"/>
  <c r="G150" i="3"/>
  <c r="W149" i="3"/>
  <c r="U149" i="3"/>
  <c r="T149" i="3"/>
  <c r="S149" i="3"/>
  <c r="R149" i="3"/>
  <c r="Q149" i="3"/>
  <c r="G149" i="3"/>
  <c r="W148" i="3"/>
  <c r="V148" i="3"/>
  <c r="U148" i="3"/>
  <c r="S148" i="3"/>
  <c r="R148" i="3"/>
  <c r="Q148" i="3"/>
  <c r="G148" i="3"/>
  <c r="W147" i="3"/>
  <c r="V147" i="3"/>
  <c r="U147" i="3"/>
  <c r="S147" i="3"/>
  <c r="R147" i="3"/>
  <c r="Q147" i="3"/>
  <c r="G147" i="3"/>
  <c r="W146" i="3"/>
  <c r="V146" i="3"/>
  <c r="U146" i="3"/>
  <c r="T146" i="3"/>
  <c r="S146" i="3"/>
  <c r="R146" i="3"/>
  <c r="Q146" i="3"/>
  <c r="M146" i="3"/>
  <c r="L146" i="3"/>
  <c r="K146" i="3"/>
  <c r="I146" i="3"/>
  <c r="H146" i="3"/>
  <c r="E145" i="3"/>
  <c r="D145" i="3"/>
  <c r="E144" i="3"/>
  <c r="D144" i="3"/>
  <c r="W143" i="3"/>
  <c r="V143" i="3"/>
  <c r="U143" i="3"/>
  <c r="T143" i="3"/>
  <c r="S143" i="3"/>
  <c r="Q143" i="3"/>
  <c r="F143" i="3"/>
  <c r="E142" i="3"/>
  <c r="D142" i="3"/>
  <c r="W141" i="3"/>
  <c r="V141" i="3"/>
  <c r="U141" i="3"/>
  <c r="T141" i="3"/>
  <c r="S141" i="3"/>
  <c r="Q141" i="3"/>
  <c r="F141" i="3"/>
  <c r="W140" i="3"/>
  <c r="V140" i="3"/>
  <c r="T140" i="3"/>
  <c r="S140" i="3"/>
  <c r="R140" i="3"/>
  <c r="Q140" i="3"/>
  <c r="O140" i="3"/>
  <c r="G140" i="3"/>
  <c r="W139" i="3"/>
  <c r="U139" i="3"/>
  <c r="T139" i="3"/>
  <c r="S139" i="3"/>
  <c r="R139" i="3"/>
  <c r="Q139" i="3"/>
  <c r="G139" i="3"/>
  <c r="W138" i="3"/>
  <c r="V138" i="3"/>
  <c r="U138" i="3"/>
  <c r="T138" i="3"/>
  <c r="R138" i="3"/>
  <c r="Q138" i="3"/>
  <c r="G138" i="3"/>
  <c r="W137" i="3"/>
  <c r="V137" i="3"/>
  <c r="U137" i="3"/>
  <c r="T137" i="3"/>
  <c r="R137" i="3"/>
  <c r="Q137" i="3"/>
  <c r="G137" i="3"/>
  <c r="W136" i="3"/>
  <c r="V136" i="3"/>
  <c r="U136" i="3"/>
  <c r="S136" i="3"/>
  <c r="R136" i="3"/>
  <c r="Q136" i="3"/>
  <c r="G136" i="3"/>
  <c r="W135" i="3"/>
  <c r="V135" i="3"/>
  <c r="U135" i="3"/>
  <c r="T135" i="3"/>
  <c r="S135" i="3"/>
  <c r="R135" i="3"/>
  <c r="Q135" i="3"/>
  <c r="M135" i="3"/>
  <c r="L135" i="3"/>
  <c r="K135" i="3"/>
  <c r="I135" i="3"/>
  <c r="H135" i="3"/>
  <c r="E134" i="3"/>
  <c r="D134" i="3"/>
  <c r="E133" i="3"/>
  <c r="D133" i="3"/>
  <c r="W132" i="3"/>
  <c r="V132" i="3"/>
  <c r="U132" i="3"/>
  <c r="T132" i="3"/>
  <c r="R132" i="3"/>
  <c r="Q132" i="3"/>
  <c r="E131" i="3"/>
  <c r="D131" i="3"/>
  <c r="W130" i="3"/>
  <c r="V130" i="3"/>
  <c r="U130" i="3"/>
  <c r="T130" i="3"/>
  <c r="R130" i="3"/>
  <c r="Q130" i="3"/>
  <c r="W129" i="3"/>
  <c r="V129" i="3"/>
  <c r="T129" i="3"/>
  <c r="S129" i="3"/>
  <c r="R129" i="3"/>
  <c r="Q129" i="3"/>
  <c r="O129" i="3"/>
  <c r="G129" i="3"/>
  <c r="W128" i="3"/>
  <c r="U128" i="3"/>
  <c r="T128" i="3"/>
  <c r="S128" i="3"/>
  <c r="R128" i="3"/>
  <c r="Q128" i="3"/>
  <c r="G128" i="3"/>
  <c r="W127" i="3"/>
  <c r="V127" i="3"/>
  <c r="U127" i="3"/>
  <c r="T127" i="3"/>
  <c r="R127" i="3"/>
  <c r="Q127" i="3"/>
  <c r="G127" i="3"/>
  <c r="W126" i="3"/>
  <c r="U126" i="3"/>
  <c r="T126" i="3"/>
  <c r="S126" i="3"/>
  <c r="R126" i="3"/>
  <c r="Q126" i="3"/>
  <c r="G126" i="3"/>
  <c r="W125" i="3"/>
  <c r="V125" i="3"/>
  <c r="T125" i="3"/>
  <c r="S125" i="3"/>
  <c r="R125" i="3"/>
  <c r="Q125" i="3"/>
  <c r="G125" i="3"/>
  <c r="W124" i="3"/>
  <c r="V124" i="3"/>
  <c r="U124" i="3"/>
  <c r="T124" i="3"/>
  <c r="S124" i="3"/>
  <c r="R124" i="3"/>
  <c r="Q124" i="3"/>
  <c r="M124" i="3"/>
  <c r="L124" i="3"/>
  <c r="K124" i="3"/>
  <c r="G124" i="3"/>
  <c r="E123" i="3"/>
  <c r="D123" i="3"/>
  <c r="W122" i="3"/>
  <c r="V122" i="3"/>
  <c r="U122" i="3"/>
  <c r="T122" i="3"/>
  <c r="S122" i="3"/>
  <c r="R122" i="3"/>
  <c r="F122" i="3"/>
  <c r="W121" i="3"/>
  <c r="V121" i="3"/>
  <c r="U121" i="3"/>
  <c r="S121" i="3"/>
  <c r="R121" i="3"/>
  <c r="Q121" i="3"/>
  <c r="G121" i="3"/>
  <c r="W120" i="3"/>
  <c r="V120" i="3"/>
  <c r="T120" i="3"/>
  <c r="S120" i="3"/>
  <c r="R120" i="3"/>
  <c r="Q120" i="3"/>
  <c r="G120" i="3"/>
  <c r="W119" i="3"/>
  <c r="V119" i="3"/>
  <c r="U119" i="3"/>
  <c r="S119" i="3"/>
  <c r="R119" i="3"/>
  <c r="Q119" i="3"/>
  <c r="G119" i="3"/>
  <c r="W118" i="3"/>
  <c r="V118" i="3"/>
  <c r="U118" i="3"/>
  <c r="T118" i="3"/>
  <c r="S118" i="3"/>
  <c r="R118" i="3"/>
  <c r="Q118" i="3"/>
  <c r="M118" i="3"/>
  <c r="L118" i="3"/>
  <c r="K118" i="3"/>
  <c r="I118" i="3"/>
  <c r="H118" i="3"/>
  <c r="E117" i="3"/>
  <c r="D117" i="3"/>
  <c r="W116" i="3"/>
  <c r="V116" i="3"/>
  <c r="U116" i="3"/>
  <c r="T116" i="3"/>
  <c r="S116" i="3"/>
  <c r="Q116" i="3"/>
  <c r="O116" i="3"/>
  <c r="G116" i="3"/>
  <c r="F116" i="3"/>
  <c r="E115" i="3"/>
  <c r="D115" i="3"/>
  <c r="W114" i="3"/>
  <c r="V114" i="3"/>
  <c r="U114" i="3"/>
  <c r="T114" i="3"/>
  <c r="S114" i="3"/>
  <c r="R114" i="3"/>
  <c r="F114" i="3"/>
  <c r="W113" i="3"/>
  <c r="V113" i="3"/>
  <c r="U113" i="3"/>
  <c r="S113" i="3"/>
  <c r="R113" i="3"/>
  <c r="Q113" i="3"/>
  <c r="O113" i="3"/>
  <c r="G113" i="3"/>
  <c r="W112" i="3"/>
  <c r="V112" i="3"/>
  <c r="T112" i="3"/>
  <c r="S112" i="3"/>
  <c r="R112" i="3"/>
  <c r="Q112" i="3"/>
  <c r="G112" i="3"/>
  <c r="W111" i="3"/>
  <c r="V111" i="3"/>
  <c r="T111" i="3"/>
  <c r="S111" i="3"/>
  <c r="R111" i="3"/>
  <c r="Q111" i="3"/>
  <c r="G111" i="3"/>
  <c r="W110" i="3"/>
  <c r="V110" i="3"/>
  <c r="U110" i="3"/>
  <c r="S110" i="3"/>
  <c r="R110" i="3"/>
  <c r="Q110" i="3"/>
  <c r="G110" i="3"/>
  <c r="W109" i="3"/>
  <c r="V109" i="3"/>
  <c r="U109" i="3"/>
  <c r="T109" i="3"/>
  <c r="S109" i="3"/>
  <c r="R109" i="3"/>
  <c r="Q109" i="3"/>
  <c r="M109" i="3"/>
  <c r="L109" i="3"/>
  <c r="K109" i="3"/>
  <c r="I109" i="3"/>
  <c r="H109" i="3"/>
  <c r="E108" i="3"/>
  <c r="D108" i="3"/>
  <c r="E107" i="3"/>
  <c r="D107" i="3"/>
  <c r="W106" i="3"/>
  <c r="V106" i="3"/>
  <c r="U106" i="3"/>
  <c r="T106" i="3"/>
  <c r="S106" i="3"/>
  <c r="Q106" i="3"/>
  <c r="F106" i="3"/>
  <c r="E105" i="3"/>
  <c r="D105" i="3"/>
  <c r="W104" i="3"/>
  <c r="V104" i="3"/>
  <c r="U104" i="3"/>
  <c r="T104" i="3"/>
  <c r="S104" i="3"/>
  <c r="Q104" i="3"/>
  <c r="F104" i="3"/>
  <c r="W103" i="3"/>
  <c r="V103" i="3"/>
  <c r="U103" i="3"/>
  <c r="S103" i="3"/>
  <c r="R103" i="3"/>
  <c r="Q103" i="3"/>
  <c r="O103" i="3"/>
  <c r="G103" i="3"/>
  <c r="W102" i="3"/>
  <c r="V102" i="3"/>
  <c r="T102" i="3"/>
  <c r="S102" i="3"/>
  <c r="R102" i="3"/>
  <c r="Q102" i="3"/>
  <c r="G102" i="3"/>
  <c r="W101" i="3"/>
  <c r="V101" i="3"/>
  <c r="U101" i="3"/>
  <c r="S101" i="3"/>
  <c r="R101" i="3"/>
  <c r="Q101" i="3"/>
  <c r="G101" i="3"/>
  <c r="W100" i="3"/>
  <c r="V100" i="3"/>
  <c r="U100" i="3"/>
  <c r="S100" i="3"/>
  <c r="R100" i="3"/>
  <c r="Q100" i="3"/>
  <c r="G100" i="3"/>
  <c r="W99" i="3"/>
  <c r="V99" i="3"/>
  <c r="U99" i="3"/>
  <c r="T99" i="3"/>
  <c r="S99" i="3"/>
  <c r="R99" i="3"/>
  <c r="Q99" i="3"/>
  <c r="M99" i="3"/>
  <c r="L99" i="3"/>
  <c r="K99" i="3"/>
  <c r="I99" i="3"/>
  <c r="H99" i="3"/>
  <c r="E98" i="3"/>
  <c r="D98" i="3"/>
  <c r="W97" i="3"/>
  <c r="V97" i="3"/>
  <c r="U97" i="3"/>
  <c r="T97" i="3"/>
  <c r="S97" i="3"/>
  <c r="R97" i="3"/>
  <c r="F97" i="3"/>
  <c r="W96" i="3"/>
  <c r="V96" i="3"/>
  <c r="T96" i="3"/>
  <c r="S96" i="3"/>
  <c r="R96" i="3"/>
  <c r="Q96" i="3"/>
  <c r="G96" i="3"/>
  <c r="W95" i="3"/>
  <c r="V95" i="3"/>
  <c r="U95" i="3"/>
  <c r="S95" i="3"/>
  <c r="R95" i="3"/>
  <c r="Q95" i="3"/>
  <c r="G95" i="3"/>
  <c r="W94" i="3"/>
  <c r="V94" i="3"/>
  <c r="U94" i="3"/>
  <c r="T94" i="3"/>
  <c r="S94" i="3"/>
  <c r="R94" i="3"/>
  <c r="Q94" i="3"/>
  <c r="M94" i="3"/>
  <c r="L94" i="3"/>
  <c r="K94" i="3"/>
  <c r="I94" i="3"/>
  <c r="H94" i="3"/>
  <c r="W93" i="3"/>
  <c r="V93" i="3"/>
  <c r="U93" i="3"/>
  <c r="T93" i="3"/>
  <c r="S93" i="3"/>
  <c r="Q93" i="3"/>
  <c r="F93" i="3"/>
  <c r="W92" i="3"/>
  <c r="V92" i="3"/>
  <c r="U92" i="3"/>
  <c r="S92" i="3"/>
  <c r="R92" i="3"/>
  <c r="Q92" i="3"/>
  <c r="O92" i="3"/>
  <c r="G92" i="3"/>
  <c r="W91" i="3"/>
  <c r="V91" i="3"/>
  <c r="T91" i="3"/>
  <c r="S91" i="3"/>
  <c r="R91" i="3"/>
  <c r="Q91" i="3"/>
  <c r="G91" i="3"/>
  <c r="W90" i="3"/>
  <c r="V90" i="3"/>
  <c r="U90" i="3"/>
  <c r="S90" i="3"/>
  <c r="R90" i="3"/>
  <c r="Q90" i="3"/>
  <c r="G90" i="3"/>
  <c r="W89" i="3"/>
  <c r="V89" i="3"/>
  <c r="T89" i="3"/>
  <c r="S89" i="3"/>
  <c r="R89" i="3"/>
  <c r="Q89" i="3"/>
  <c r="G89" i="3"/>
  <c r="W88" i="3"/>
  <c r="V88" i="3"/>
  <c r="U88" i="3"/>
  <c r="T88" i="3"/>
  <c r="S88" i="3"/>
  <c r="R88" i="3"/>
  <c r="Q88" i="3"/>
  <c r="M88" i="3"/>
  <c r="L88" i="3"/>
  <c r="K88" i="3"/>
  <c r="I88" i="3"/>
  <c r="H88" i="3"/>
  <c r="E87" i="3"/>
  <c r="D87" i="3"/>
  <c r="W86" i="3"/>
  <c r="V86" i="3"/>
  <c r="U86" i="3"/>
  <c r="T86" i="3"/>
  <c r="S86" i="3"/>
  <c r="Q86" i="3"/>
  <c r="F86" i="3"/>
  <c r="W85" i="3"/>
  <c r="V85" i="3"/>
  <c r="T85" i="3"/>
  <c r="S85" i="3"/>
  <c r="R85" i="3"/>
  <c r="Q85" i="3"/>
  <c r="G85" i="3"/>
  <c r="W84" i="3"/>
  <c r="U84" i="3"/>
  <c r="T84" i="3"/>
  <c r="S84" i="3"/>
  <c r="R84" i="3"/>
  <c r="Q84" i="3"/>
  <c r="G84" i="3"/>
  <c r="W83" i="3"/>
  <c r="U83" i="3"/>
  <c r="T83" i="3"/>
  <c r="S83" i="3"/>
  <c r="R83" i="3"/>
  <c r="Q83" i="3"/>
  <c r="G83" i="3"/>
  <c r="W82" i="3"/>
  <c r="V82" i="3"/>
  <c r="U82" i="3"/>
  <c r="T82" i="3"/>
  <c r="S82" i="3"/>
  <c r="R82" i="3"/>
  <c r="Q82" i="3"/>
  <c r="M82" i="3"/>
  <c r="L82" i="3"/>
  <c r="K82" i="3"/>
  <c r="I82" i="3"/>
  <c r="H82" i="3"/>
  <c r="E81" i="3"/>
  <c r="D81" i="3"/>
  <c r="E80" i="3"/>
  <c r="D80" i="3"/>
  <c r="W79" i="3"/>
  <c r="V79" i="3"/>
  <c r="U79" i="3"/>
  <c r="T79" i="3"/>
  <c r="S79" i="3"/>
  <c r="Q79" i="3"/>
  <c r="F79" i="3"/>
  <c r="E78" i="3"/>
  <c r="D78" i="3"/>
  <c r="W77" i="3"/>
  <c r="V77" i="3"/>
  <c r="U77" i="3"/>
  <c r="T77" i="3"/>
  <c r="S77" i="3"/>
  <c r="Q77" i="3"/>
  <c r="F77" i="3"/>
  <c r="W76" i="3"/>
  <c r="V76" i="3"/>
  <c r="T76" i="3"/>
  <c r="S76" i="3"/>
  <c r="R76" i="3"/>
  <c r="Q76" i="3"/>
  <c r="O76" i="3"/>
  <c r="G76" i="3"/>
  <c r="W75" i="3"/>
  <c r="U75" i="3"/>
  <c r="T75" i="3"/>
  <c r="S75" i="3"/>
  <c r="R75" i="3"/>
  <c r="Q75" i="3"/>
  <c r="G75" i="3"/>
  <c r="W74" i="3"/>
  <c r="V74" i="3"/>
  <c r="T74" i="3"/>
  <c r="S74" i="3"/>
  <c r="R74" i="3"/>
  <c r="Q74" i="3"/>
  <c r="G74" i="3"/>
  <c r="W73" i="3"/>
  <c r="V73" i="3"/>
  <c r="U73" i="3"/>
  <c r="S73" i="3"/>
  <c r="R73" i="3"/>
  <c r="Q73" i="3"/>
  <c r="G73" i="3"/>
  <c r="W72" i="3"/>
  <c r="V72" i="3"/>
  <c r="U72" i="3"/>
  <c r="S72" i="3"/>
  <c r="R72" i="3"/>
  <c r="Q72" i="3"/>
  <c r="G72" i="3"/>
  <c r="W71" i="3"/>
  <c r="V71" i="3"/>
  <c r="U71" i="3"/>
  <c r="T71" i="3"/>
  <c r="S71" i="3"/>
  <c r="R71" i="3"/>
  <c r="Q71" i="3"/>
  <c r="M71" i="3"/>
  <c r="L71" i="3"/>
  <c r="K71" i="3"/>
  <c r="I71" i="3"/>
  <c r="H71" i="3"/>
  <c r="E70" i="3"/>
  <c r="D70" i="3"/>
  <c r="E69" i="3"/>
  <c r="D69" i="3"/>
  <c r="E68" i="3"/>
  <c r="D68" i="3"/>
  <c r="W67" i="3"/>
  <c r="V67" i="3"/>
  <c r="U67" i="3"/>
  <c r="T67" i="3"/>
  <c r="S67" i="3"/>
  <c r="Q67" i="3"/>
  <c r="F67" i="3"/>
  <c r="E66" i="3"/>
  <c r="D66" i="3"/>
  <c r="W65" i="3"/>
  <c r="V65" i="3"/>
  <c r="U65" i="3"/>
  <c r="T65" i="3"/>
  <c r="S65" i="3"/>
  <c r="Q65" i="3"/>
  <c r="F65" i="3"/>
  <c r="W64" i="3"/>
  <c r="V64" i="3"/>
  <c r="T64" i="3"/>
  <c r="S64" i="3"/>
  <c r="R64" i="3"/>
  <c r="Q64" i="3"/>
  <c r="G64" i="3"/>
  <c r="W63" i="3"/>
  <c r="U63" i="3"/>
  <c r="T63" i="3"/>
  <c r="S63" i="3"/>
  <c r="R63" i="3"/>
  <c r="Q63" i="3"/>
  <c r="G63" i="3"/>
  <c r="W62" i="3"/>
  <c r="V62" i="3"/>
  <c r="U62" i="3"/>
  <c r="S62" i="3"/>
  <c r="R62" i="3"/>
  <c r="Q62" i="3"/>
  <c r="G62" i="3"/>
  <c r="W61" i="3"/>
  <c r="V61" i="3"/>
  <c r="U61" i="3"/>
  <c r="S61" i="3"/>
  <c r="R61" i="3"/>
  <c r="Q61" i="3"/>
  <c r="G61" i="3"/>
  <c r="W60" i="3"/>
  <c r="V60" i="3"/>
  <c r="U60" i="3"/>
  <c r="T60" i="3"/>
  <c r="S60" i="3"/>
  <c r="R60" i="3"/>
  <c r="Q60" i="3"/>
  <c r="M60" i="3"/>
  <c r="L60" i="3"/>
  <c r="K60" i="3"/>
  <c r="I60" i="3"/>
  <c r="H60" i="3"/>
  <c r="E59" i="3"/>
  <c r="D59" i="3"/>
  <c r="E58" i="3"/>
  <c r="D58" i="3"/>
  <c r="E57" i="3"/>
  <c r="D57" i="3"/>
  <c r="W56" i="3"/>
  <c r="V56" i="3"/>
  <c r="U56" i="3"/>
  <c r="T56" i="3"/>
  <c r="S56" i="3"/>
  <c r="Q56" i="3"/>
  <c r="F56" i="3"/>
  <c r="W55" i="3"/>
  <c r="V55" i="3"/>
  <c r="U55" i="3"/>
  <c r="S55" i="3"/>
  <c r="R55" i="3"/>
  <c r="Q55" i="3"/>
  <c r="G55" i="3"/>
  <c r="W54" i="3"/>
  <c r="V54" i="3"/>
  <c r="U54" i="3"/>
  <c r="S54" i="3"/>
  <c r="R54" i="3"/>
  <c r="Q54" i="3"/>
  <c r="G54" i="3"/>
  <c r="W53" i="3"/>
  <c r="V53" i="3"/>
  <c r="T53" i="3"/>
  <c r="S53" i="3"/>
  <c r="R53" i="3"/>
  <c r="Q53" i="3"/>
  <c r="G53" i="3"/>
  <c r="W52" i="3"/>
  <c r="V52" i="3"/>
  <c r="U52" i="3"/>
  <c r="S52" i="3"/>
  <c r="R52" i="3"/>
  <c r="Q52" i="3"/>
  <c r="O52" i="3"/>
  <c r="G52" i="3"/>
  <c r="W51" i="3"/>
  <c r="V51" i="3"/>
  <c r="U51" i="3"/>
  <c r="S51" i="3"/>
  <c r="R51" i="3"/>
  <c r="Q51" i="3"/>
  <c r="G51" i="3"/>
  <c r="W50" i="3"/>
  <c r="V50" i="3"/>
  <c r="U50" i="3"/>
  <c r="T50" i="3"/>
  <c r="S50" i="3"/>
  <c r="R50" i="3"/>
  <c r="Q50" i="3"/>
  <c r="M50" i="3"/>
  <c r="L50" i="3"/>
  <c r="K50" i="3"/>
  <c r="I50" i="3"/>
  <c r="H50" i="3"/>
  <c r="A50" i="3"/>
  <c r="W49" i="3"/>
  <c r="V49" i="3"/>
  <c r="U49" i="3"/>
  <c r="T49" i="3"/>
  <c r="S49" i="3"/>
  <c r="Q49" i="3"/>
  <c r="G49" i="3"/>
  <c r="E48" i="3"/>
  <c r="D48" i="3"/>
  <c r="E47" i="3"/>
  <c r="D47" i="3"/>
  <c r="W46" i="3"/>
  <c r="V46" i="3"/>
  <c r="U46" i="3"/>
  <c r="T46" i="3"/>
  <c r="S46" i="3"/>
  <c r="Q46" i="3"/>
  <c r="F46" i="3"/>
  <c r="W45" i="3"/>
  <c r="V45" i="3"/>
  <c r="T45" i="3"/>
  <c r="S45" i="3"/>
  <c r="R45" i="3"/>
  <c r="Q45" i="3"/>
  <c r="G45" i="3"/>
  <c r="W44" i="3"/>
  <c r="V44" i="3"/>
  <c r="T44" i="3"/>
  <c r="S44" i="3"/>
  <c r="R44" i="3"/>
  <c r="Q44" i="3"/>
  <c r="O44" i="3"/>
  <c r="G44" i="3"/>
  <c r="W43" i="3"/>
  <c r="V43" i="3"/>
  <c r="U43" i="3"/>
  <c r="S43" i="3"/>
  <c r="R43" i="3"/>
  <c r="Q43" i="3"/>
  <c r="O43" i="3"/>
  <c r="G43" i="3"/>
  <c r="M42" i="3"/>
  <c r="L42" i="3"/>
  <c r="K42" i="3"/>
  <c r="I42" i="3"/>
  <c r="H42" i="3"/>
  <c r="W37" i="3"/>
  <c r="V37" i="3"/>
  <c r="U37" i="3"/>
  <c r="T37" i="3"/>
  <c r="S37" i="3"/>
  <c r="R37" i="3"/>
  <c r="Q37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N13" i="3"/>
  <c r="L13" i="3"/>
  <c r="N12" i="3"/>
  <c r="L12" i="3"/>
  <c r="D11" i="3"/>
  <c r="W8" i="3"/>
  <c r="V8" i="3"/>
  <c r="U8" i="3"/>
  <c r="T8" i="3"/>
  <c r="S8" i="3"/>
  <c r="R8" i="3"/>
  <c r="Q8" i="3"/>
  <c r="O272" i="3" l="1"/>
  <c r="P272" i="3" s="1"/>
  <c r="R272" i="3" s="1"/>
  <c r="O211" i="3"/>
  <c r="O48" i="3"/>
  <c r="O46" i="3"/>
  <c r="O544" i="3"/>
  <c r="P544" i="3" s="1"/>
  <c r="S544" i="3" s="1"/>
  <c r="O257" i="3"/>
  <c r="P257" i="3" s="1"/>
  <c r="O252" i="3"/>
  <c r="P252" i="3" s="1"/>
  <c r="R252" i="3" s="1"/>
  <c r="O242" i="3"/>
  <c r="O234" i="3"/>
  <c r="P234" i="3" s="1"/>
  <c r="Q234" i="3" s="1"/>
  <c r="X234" i="3" s="1"/>
  <c r="O265" i="3"/>
  <c r="P265" i="3" s="1"/>
  <c r="R265" i="3" s="1"/>
  <c r="O256" i="3"/>
  <c r="O228" i="3"/>
  <c r="P228" i="3" s="1"/>
  <c r="Q228" i="3" s="1"/>
  <c r="O221" i="3"/>
  <c r="O274" i="3"/>
  <c r="O267" i="3"/>
  <c r="O263" i="3"/>
  <c r="O254" i="3"/>
  <c r="O219" i="3"/>
  <c r="P219" i="3" s="1"/>
  <c r="R219" i="3" s="1"/>
  <c r="O282" i="3"/>
  <c r="O280" i="3"/>
  <c r="P280" i="3" s="1"/>
  <c r="Q280" i="3" s="1"/>
  <c r="O246" i="3"/>
  <c r="O238" i="3"/>
  <c r="P238" i="3" s="1"/>
  <c r="Q238" i="3" s="1"/>
  <c r="X238" i="3" s="1"/>
  <c r="O230" i="3"/>
  <c r="O226" i="3"/>
  <c r="P226" i="3" s="1"/>
  <c r="Q226" i="3" s="1"/>
  <c r="X226" i="3" s="1"/>
  <c r="O217" i="3"/>
  <c r="P217" i="3" s="1"/>
  <c r="R217" i="3" s="1"/>
  <c r="O542" i="3"/>
  <c r="P542" i="3" s="1"/>
  <c r="Q542" i="3" s="1"/>
  <c r="X542" i="3" s="1"/>
  <c r="O541" i="3"/>
  <c r="P541" i="3" s="1"/>
  <c r="R538" i="3"/>
  <c r="O538" i="3"/>
  <c r="O532" i="3"/>
  <c r="P532" i="3" s="1"/>
  <c r="T532" i="3" s="1"/>
  <c r="J531" i="3"/>
  <c r="N531" i="3" s="1"/>
  <c r="U530" i="3"/>
  <c r="R530" i="3"/>
  <c r="F530" i="3"/>
  <c r="T529" i="3"/>
  <c r="Q529" i="3"/>
  <c r="F529" i="3"/>
  <c r="U528" i="3"/>
  <c r="T528" i="3"/>
  <c r="O527" i="3"/>
  <c r="P527" i="3" s="1"/>
  <c r="R527" i="3" s="1"/>
  <c r="V526" i="3"/>
  <c r="S526" i="3"/>
  <c r="Q526" i="3"/>
  <c r="F526" i="3"/>
  <c r="O525" i="3"/>
  <c r="P525" i="3" s="1"/>
  <c r="R525" i="3" s="1"/>
  <c r="P524" i="3"/>
  <c r="U524" i="3" s="1"/>
  <c r="X524" i="3" s="1"/>
  <c r="O523" i="3"/>
  <c r="P523" i="3" s="1"/>
  <c r="U523" i="3" s="1"/>
  <c r="P522" i="3"/>
  <c r="U522" i="3" s="1"/>
  <c r="X522" i="3" s="1"/>
  <c r="X519" i="3"/>
  <c r="W518" i="3"/>
  <c r="T518" i="3"/>
  <c r="S517" i="3"/>
  <c r="O517" i="3"/>
  <c r="S515" i="3"/>
  <c r="P513" i="3"/>
  <c r="U513" i="3" s="1"/>
  <c r="X513" i="3" s="1"/>
  <c r="P512" i="3"/>
  <c r="U512" i="3" s="1"/>
  <c r="P511" i="3"/>
  <c r="T511" i="3" s="1"/>
  <c r="X511" i="3" s="1"/>
  <c r="T509" i="3"/>
  <c r="Q509" i="3"/>
  <c r="F509" i="3"/>
  <c r="W508" i="3"/>
  <c r="T508" i="3"/>
  <c r="V507" i="3"/>
  <c r="S507" i="3"/>
  <c r="P504" i="3"/>
  <c r="T504" i="3" s="1"/>
  <c r="X504" i="3" s="1"/>
  <c r="X502" i="3"/>
  <c r="J502" i="3"/>
  <c r="N502" i="3" s="1"/>
  <c r="U501" i="3"/>
  <c r="T501" i="3"/>
  <c r="Q500" i="3"/>
  <c r="F500" i="3"/>
  <c r="S494" i="3"/>
  <c r="O494" i="3"/>
  <c r="P494" i="3" s="1"/>
  <c r="F490" i="3"/>
  <c r="O489" i="3"/>
  <c r="P489" i="3" s="1"/>
  <c r="R489" i="3" s="1"/>
  <c r="X484" i="3"/>
  <c r="J484" i="3"/>
  <c r="N484" i="3" s="1"/>
  <c r="R483" i="3"/>
  <c r="F483" i="3"/>
  <c r="Q482" i="3"/>
  <c r="W480" i="3"/>
  <c r="U480" i="3"/>
  <c r="S480" i="3"/>
  <c r="O479" i="3"/>
  <c r="P479" i="3" s="1"/>
  <c r="R479" i="3" s="1"/>
  <c r="X479" i="3" s="1"/>
  <c r="X475" i="3"/>
  <c r="U470" i="3"/>
  <c r="R470" i="3"/>
  <c r="O470" i="3"/>
  <c r="O467" i="3"/>
  <c r="P467" i="3" s="1"/>
  <c r="T467" i="3" s="1"/>
  <c r="Q465" i="3"/>
  <c r="F465" i="3"/>
  <c r="W464" i="3"/>
  <c r="T464" i="3"/>
  <c r="S458" i="3"/>
  <c r="W457" i="3"/>
  <c r="U457" i="3"/>
  <c r="R457" i="3"/>
  <c r="O457" i="3"/>
  <c r="O456" i="3"/>
  <c r="P456" i="3" s="1"/>
  <c r="Q456" i="3" s="1"/>
  <c r="X456" i="3" s="1"/>
  <c r="P454" i="3"/>
  <c r="U454" i="3" s="1"/>
  <c r="X452" i="3"/>
  <c r="T451" i="3"/>
  <c r="U450" i="3"/>
  <c r="T450" i="3"/>
  <c r="J444" i="3"/>
  <c r="N444" i="3" s="1"/>
  <c r="T443" i="3"/>
  <c r="V442" i="3"/>
  <c r="S442" i="3"/>
  <c r="X437" i="3"/>
  <c r="J437" i="3"/>
  <c r="N437" i="3" s="1"/>
  <c r="O436" i="3"/>
  <c r="P436" i="3" s="1"/>
  <c r="Q436" i="3" s="1"/>
  <c r="X436" i="3" s="1"/>
  <c r="O435" i="3"/>
  <c r="P435" i="3" s="1"/>
  <c r="T435" i="3" s="1"/>
  <c r="U432" i="3"/>
  <c r="S432" i="3"/>
  <c r="O432" i="3"/>
  <c r="P431" i="3"/>
  <c r="S431" i="3" s="1"/>
  <c r="R430" i="3"/>
  <c r="O430" i="3"/>
  <c r="T428" i="3"/>
  <c r="F428" i="3"/>
  <c r="P426" i="3"/>
  <c r="U426" i="3" s="1"/>
  <c r="X426" i="3" s="1"/>
  <c r="R420" i="3"/>
  <c r="R419" i="3"/>
  <c r="O419" i="3"/>
  <c r="U417" i="3"/>
  <c r="R417" i="3"/>
  <c r="T415" i="3"/>
  <c r="O415" i="3"/>
  <c r="O414" i="3"/>
  <c r="P414" i="3" s="1"/>
  <c r="S414" i="3" s="1"/>
  <c r="W408" i="3"/>
  <c r="T408" i="3"/>
  <c r="U407" i="3"/>
  <c r="R407" i="3"/>
  <c r="W405" i="3"/>
  <c r="T405" i="3"/>
  <c r="R405" i="3"/>
  <c r="O405" i="3"/>
  <c r="P405" i="3" s="1"/>
  <c r="S405" i="3" s="1"/>
  <c r="R403" i="3"/>
  <c r="F403" i="3"/>
  <c r="O402" i="3"/>
  <c r="P402" i="3" s="1"/>
  <c r="O397" i="3"/>
  <c r="P397" i="3" s="1"/>
  <c r="X396" i="3"/>
  <c r="U395" i="3"/>
  <c r="U394" i="3"/>
  <c r="O394" i="3"/>
  <c r="O391" i="3"/>
  <c r="P391" i="3" s="1"/>
  <c r="S391" i="3" s="1"/>
  <c r="J385" i="3"/>
  <c r="N385" i="3" s="1"/>
  <c r="T384" i="3"/>
  <c r="P381" i="3"/>
  <c r="S381" i="3" s="1"/>
  <c r="J374" i="3"/>
  <c r="N374" i="3" s="1"/>
  <c r="S373" i="3"/>
  <c r="O373" i="3"/>
  <c r="W372" i="3"/>
  <c r="T372" i="3"/>
  <c r="O368" i="3"/>
  <c r="P368" i="3" s="1"/>
  <c r="O366" i="3"/>
  <c r="V365" i="3"/>
  <c r="S365" i="3"/>
  <c r="O365" i="3"/>
  <c r="O362" i="3"/>
  <c r="P362" i="3" s="1"/>
  <c r="U362" i="3" s="1"/>
  <c r="X360" i="3"/>
  <c r="U358" i="3"/>
  <c r="O354" i="3"/>
  <c r="P354" i="3" s="1"/>
  <c r="U354" i="3" s="1"/>
  <c r="X353" i="3"/>
  <c r="P348" i="3"/>
  <c r="Q348" i="3" s="1"/>
  <c r="X348" i="3" s="1"/>
  <c r="X344" i="3"/>
  <c r="J344" i="3"/>
  <c r="N344" i="3" s="1"/>
  <c r="O343" i="3"/>
  <c r="P343" i="3" s="1"/>
  <c r="Q343" i="3" s="1"/>
  <c r="X343" i="3" s="1"/>
  <c r="O342" i="3"/>
  <c r="P342" i="3" s="1"/>
  <c r="T342" i="3" s="1"/>
  <c r="O337" i="3"/>
  <c r="P337" i="3" s="1"/>
  <c r="W335" i="3"/>
  <c r="T335" i="3"/>
  <c r="Q335" i="3"/>
  <c r="O332" i="3"/>
  <c r="P332" i="3" s="1"/>
  <c r="T332" i="3" s="1"/>
  <c r="J331" i="3"/>
  <c r="L331" i="3" s="1"/>
  <c r="P330" i="3"/>
  <c r="Q330" i="3" s="1"/>
  <c r="X330" i="3" s="1"/>
  <c r="R329" i="3"/>
  <c r="O329" i="3"/>
  <c r="P323" i="3"/>
  <c r="Q323" i="3" s="1"/>
  <c r="X323" i="3" s="1"/>
  <c r="Q322" i="3"/>
  <c r="O321" i="3"/>
  <c r="P321" i="3" s="1"/>
  <c r="Q321" i="3" s="1"/>
  <c r="X321" i="3" s="1"/>
  <c r="O320" i="3"/>
  <c r="P320" i="3" s="1"/>
  <c r="U320" i="3" s="1"/>
  <c r="W315" i="3"/>
  <c r="U315" i="3"/>
  <c r="S315" i="3"/>
  <c r="O314" i="3"/>
  <c r="P314" i="3" s="1"/>
  <c r="O313" i="3"/>
  <c r="P313" i="3" s="1"/>
  <c r="U313" i="3" s="1"/>
  <c r="P312" i="3"/>
  <c r="T312" i="3" s="1"/>
  <c r="X310" i="3"/>
  <c r="O308" i="3"/>
  <c r="X303" i="3"/>
  <c r="J303" i="3"/>
  <c r="N303" i="3" s="1"/>
  <c r="S301" i="3"/>
  <c r="O301" i="3"/>
  <c r="O300" i="3"/>
  <c r="P300" i="3" s="1"/>
  <c r="Q300" i="3" s="1"/>
  <c r="X300" i="3" s="1"/>
  <c r="U295" i="3"/>
  <c r="X291" i="3"/>
  <c r="J287" i="3"/>
  <c r="N287" i="3" s="1"/>
  <c r="X283" i="3"/>
  <c r="W282" i="3"/>
  <c r="T282" i="3"/>
  <c r="Q282" i="3"/>
  <c r="W281" i="3"/>
  <c r="S281" i="3"/>
  <c r="O281" i="3"/>
  <c r="J275" i="3"/>
  <c r="N275" i="3" s="1"/>
  <c r="U274" i="3"/>
  <c r="R274" i="3"/>
  <c r="F274" i="3"/>
  <c r="V273" i="3"/>
  <c r="O273" i="3"/>
  <c r="T267" i="3"/>
  <c r="U266" i="3"/>
  <c r="S266" i="3"/>
  <c r="O266" i="3"/>
  <c r="V264" i="3"/>
  <c r="U264" i="3"/>
  <c r="O261" i="3"/>
  <c r="P261" i="3" s="1"/>
  <c r="U261" i="3" s="1"/>
  <c r="O260" i="3"/>
  <c r="P260" i="3" s="1"/>
  <c r="J258" i="3"/>
  <c r="N258" i="3" s="1"/>
  <c r="U257" i="3"/>
  <c r="R257" i="3"/>
  <c r="T255" i="3"/>
  <c r="Q255" i="3"/>
  <c r="V253" i="3"/>
  <c r="U253" i="3"/>
  <c r="O253" i="3"/>
  <c r="X247" i="3"/>
  <c r="O244" i="3"/>
  <c r="P244" i="3" s="1"/>
  <c r="S244" i="3" s="1"/>
  <c r="J231" i="3"/>
  <c r="N231" i="3" s="1"/>
  <c r="T230" i="3"/>
  <c r="T229" i="3"/>
  <c r="P216" i="3"/>
  <c r="T216" i="3" s="1"/>
  <c r="O215" i="3"/>
  <c r="P215" i="3" s="1"/>
  <c r="U215" i="3" s="1"/>
  <c r="O213" i="3"/>
  <c r="P213" i="3" s="1"/>
  <c r="T213" i="3" s="1"/>
  <c r="X213" i="3" s="1"/>
  <c r="P210" i="3"/>
  <c r="T210" i="3" s="1"/>
  <c r="O209" i="3"/>
  <c r="P209" i="3" s="1"/>
  <c r="T209" i="3" s="1"/>
  <c r="O208" i="3"/>
  <c r="P208" i="3" s="1"/>
  <c r="U208" i="3" s="1"/>
  <c r="X208" i="3" s="1"/>
  <c r="X207" i="3"/>
  <c r="J207" i="3"/>
  <c r="M207" i="3" s="1"/>
  <c r="W206" i="3"/>
  <c r="U206" i="3"/>
  <c r="T206" i="3"/>
  <c r="S206" i="3"/>
  <c r="R206" i="3"/>
  <c r="Q206" i="3"/>
  <c r="O206" i="3"/>
  <c r="F206" i="3"/>
  <c r="W205" i="3"/>
  <c r="V205" i="3"/>
  <c r="U205" i="3"/>
  <c r="T205" i="3"/>
  <c r="S205" i="3"/>
  <c r="Q205" i="3"/>
  <c r="O205" i="3"/>
  <c r="F205" i="3"/>
  <c r="O204" i="3"/>
  <c r="P204" i="3" s="1"/>
  <c r="R204" i="3" s="1"/>
  <c r="W203" i="3"/>
  <c r="V203" i="3"/>
  <c r="U203" i="3"/>
  <c r="T203" i="3"/>
  <c r="S203" i="3"/>
  <c r="Q203" i="3"/>
  <c r="O203" i="3"/>
  <c r="F203" i="3"/>
  <c r="O202" i="3"/>
  <c r="P202" i="3" s="1"/>
  <c r="R202" i="3" s="1"/>
  <c r="P201" i="3"/>
  <c r="U201" i="3" s="1"/>
  <c r="O200" i="3"/>
  <c r="P200" i="3" s="1"/>
  <c r="U200" i="3" s="1"/>
  <c r="O199" i="3"/>
  <c r="P199" i="3" s="1"/>
  <c r="T199" i="3" s="1"/>
  <c r="O198" i="3"/>
  <c r="P198" i="3" s="1"/>
  <c r="T198" i="3" s="1"/>
  <c r="X197" i="3"/>
  <c r="J197" i="3"/>
  <c r="N197" i="3" s="1"/>
  <c r="O196" i="3"/>
  <c r="P196" i="3" s="1"/>
  <c r="Q196" i="3" s="1"/>
  <c r="X196" i="3" s="1"/>
  <c r="O195" i="3"/>
  <c r="P195" i="3" s="1"/>
  <c r="U195" i="3" s="1"/>
  <c r="O194" i="3"/>
  <c r="P194" i="3" s="1"/>
  <c r="T194" i="3" s="1"/>
  <c r="X193" i="3"/>
  <c r="J193" i="3"/>
  <c r="K193" i="3" s="1"/>
  <c r="K39" i="3" s="1"/>
  <c r="O192" i="3"/>
  <c r="P192" i="3" s="1"/>
  <c r="Q192" i="3" s="1"/>
  <c r="X192" i="3" s="1"/>
  <c r="P191" i="3"/>
  <c r="Q191" i="3" s="1"/>
  <c r="X191" i="3" s="1"/>
  <c r="P190" i="3"/>
  <c r="U190" i="3" s="1"/>
  <c r="P189" i="3"/>
  <c r="U189" i="3" s="1"/>
  <c r="P188" i="3"/>
  <c r="U188" i="3" s="1"/>
  <c r="P187" i="3"/>
  <c r="U187" i="3" s="1"/>
  <c r="P186" i="3"/>
  <c r="T186" i="3" s="1"/>
  <c r="X185" i="3"/>
  <c r="J185" i="3"/>
  <c r="N185" i="3" s="1"/>
  <c r="O184" i="3"/>
  <c r="P184" i="3" s="1"/>
  <c r="Q184" i="3" s="1"/>
  <c r="X184" i="3" s="1"/>
  <c r="O183" i="3"/>
  <c r="P183" i="3" s="1"/>
  <c r="T183" i="3" s="1"/>
  <c r="O182" i="3"/>
  <c r="P182" i="3" s="1"/>
  <c r="U182" i="3" s="1"/>
  <c r="X181" i="3"/>
  <c r="J181" i="3"/>
  <c r="M181" i="3" s="1"/>
  <c r="O180" i="3"/>
  <c r="P180" i="3" s="1"/>
  <c r="Q180" i="3" s="1"/>
  <c r="X180" i="3" s="1"/>
  <c r="O179" i="3"/>
  <c r="P179" i="3" s="1"/>
  <c r="T179" i="3" s="1"/>
  <c r="O178" i="3"/>
  <c r="P178" i="3" s="1"/>
  <c r="T178" i="3" s="1"/>
  <c r="X177" i="3"/>
  <c r="J177" i="3"/>
  <c r="N177" i="3" s="1"/>
  <c r="O176" i="3"/>
  <c r="P176" i="3" s="1"/>
  <c r="Q176" i="3" s="1"/>
  <c r="X176" i="3" s="1"/>
  <c r="O175" i="3"/>
  <c r="P175" i="3" s="1"/>
  <c r="T175" i="3" s="1"/>
  <c r="O174" i="3"/>
  <c r="P174" i="3" s="1"/>
  <c r="T174" i="3" s="1"/>
  <c r="X173" i="3"/>
  <c r="J173" i="3"/>
  <c r="M173" i="3" s="1"/>
  <c r="W172" i="3"/>
  <c r="U172" i="3"/>
  <c r="T172" i="3"/>
  <c r="S172" i="3"/>
  <c r="R172" i="3"/>
  <c r="Q172" i="3"/>
  <c r="O172" i="3"/>
  <c r="F172" i="3"/>
  <c r="W171" i="3"/>
  <c r="V171" i="3"/>
  <c r="U171" i="3"/>
  <c r="T171" i="3"/>
  <c r="S171" i="3"/>
  <c r="Q171" i="3"/>
  <c r="O171" i="3"/>
  <c r="F171" i="3"/>
  <c r="O170" i="3"/>
  <c r="P170" i="3" s="1"/>
  <c r="R170" i="3" s="1"/>
  <c r="W169" i="3"/>
  <c r="V169" i="3"/>
  <c r="U169" i="3"/>
  <c r="T169" i="3"/>
  <c r="S169" i="3"/>
  <c r="Q169" i="3"/>
  <c r="O169" i="3"/>
  <c r="F169" i="3"/>
  <c r="O168" i="3"/>
  <c r="P168" i="3" s="1"/>
  <c r="R168" i="3" s="1"/>
  <c r="P167" i="3"/>
  <c r="U167" i="3" s="1"/>
  <c r="O166" i="3"/>
  <c r="P166" i="3" s="1"/>
  <c r="U166" i="3" s="1"/>
  <c r="O165" i="3"/>
  <c r="P165" i="3" s="1"/>
  <c r="U165" i="3" s="1"/>
  <c r="O164" i="3"/>
  <c r="P164" i="3" s="1"/>
  <c r="U164" i="3" s="1"/>
  <c r="O163" i="3"/>
  <c r="P163" i="3" s="1"/>
  <c r="T163" i="3" s="1"/>
  <c r="X162" i="3"/>
  <c r="J162" i="3"/>
  <c r="N162" i="3" s="1"/>
  <c r="W161" i="3"/>
  <c r="V161" i="3"/>
  <c r="U161" i="3"/>
  <c r="T161" i="3"/>
  <c r="S161" i="3"/>
  <c r="R161" i="3"/>
  <c r="O161" i="3"/>
  <c r="F161" i="3"/>
  <c r="O160" i="3"/>
  <c r="P160" i="3" s="1"/>
  <c r="Q160" i="3" s="1"/>
  <c r="X160" i="3" s="1"/>
  <c r="O159" i="3"/>
  <c r="P159" i="3" s="1"/>
  <c r="T159" i="3" s="1"/>
  <c r="O158" i="3"/>
  <c r="P158" i="3" s="1"/>
  <c r="T158" i="3" s="1"/>
  <c r="O157" i="3"/>
  <c r="P157" i="3" s="1"/>
  <c r="T157" i="3" s="1"/>
  <c r="X156" i="3"/>
  <c r="J156" i="3"/>
  <c r="N156" i="3" s="1"/>
  <c r="W155" i="3"/>
  <c r="U155" i="3"/>
  <c r="T155" i="3"/>
  <c r="S155" i="3"/>
  <c r="R155" i="3"/>
  <c r="Q155" i="3"/>
  <c r="O155" i="3"/>
  <c r="F155" i="3"/>
  <c r="W154" i="3"/>
  <c r="V154" i="3"/>
  <c r="U154" i="3"/>
  <c r="T154" i="3"/>
  <c r="R154" i="3"/>
  <c r="Q154" i="3"/>
  <c r="O154" i="3"/>
  <c r="O153" i="3"/>
  <c r="F153" i="3"/>
  <c r="F154" i="3" s="1"/>
  <c r="W152" i="3"/>
  <c r="V152" i="3"/>
  <c r="U152" i="3"/>
  <c r="T152" i="3"/>
  <c r="R152" i="3"/>
  <c r="Q152" i="3"/>
  <c r="O152" i="3"/>
  <c r="O151" i="3"/>
  <c r="F151" i="3"/>
  <c r="F152" i="3" s="1"/>
  <c r="P150" i="3"/>
  <c r="U150" i="3" s="1"/>
  <c r="O149" i="3"/>
  <c r="P149" i="3" s="1"/>
  <c r="V149" i="3" s="1"/>
  <c r="O148" i="3"/>
  <c r="P148" i="3" s="1"/>
  <c r="T148" i="3" s="1"/>
  <c r="O147" i="3"/>
  <c r="P147" i="3" s="1"/>
  <c r="T147" i="3" s="1"/>
  <c r="X146" i="3"/>
  <c r="J146" i="3"/>
  <c r="N146" i="3" s="1"/>
  <c r="W145" i="3"/>
  <c r="U145" i="3"/>
  <c r="T145" i="3"/>
  <c r="S145" i="3"/>
  <c r="R145" i="3"/>
  <c r="Q145" i="3"/>
  <c r="O145" i="3"/>
  <c r="F145" i="3"/>
  <c r="W144" i="3"/>
  <c r="V144" i="3"/>
  <c r="U144" i="3"/>
  <c r="T144" i="3"/>
  <c r="S144" i="3"/>
  <c r="Q144" i="3"/>
  <c r="O144" i="3"/>
  <c r="F144" i="3"/>
  <c r="O143" i="3"/>
  <c r="P143" i="3" s="1"/>
  <c r="R143" i="3" s="1"/>
  <c r="W142" i="3"/>
  <c r="V142" i="3"/>
  <c r="U142" i="3"/>
  <c r="T142" i="3"/>
  <c r="S142" i="3"/>
  <c r="Q142" i="3"/>
  <c r="O142" i="3"/>
  <c r="F142" i="3"/>
  <c r="O141" i="3"/>
  <c r="P141" i="3" s="1"/>
  <c r="R141" i="3" s="1"/>
  <c r="P140" i="3"/>
  <c r="U140" i="3" s="1"/>
  <c r="O139" i="3"/>
  <c r="P139" i="3" s="1"/>
  <c r="V139" i="3" s="1"/>
  <c r="O138" i="3"/>
  <c r="P138" i="3" s="1"/>
  <c r="S138" i="3" s="1"/>
  <c r="O137" i="3"/>
  <c r="P137" i="3" s="1"/>
  <c r="S137" i="3" s="1"/>
  <c r="O136" i="3"/>
  <c r="P136" i="3" s="1"/>
  <c r="T136" i="3" s="1"/>
  <c r="X135" i="3"/>
  <c r="J135" i="3"/>
  <c r="N135" i="3" s="1"/>
  <c r="W134" i="3"/>
  <c r="U134" i="3"/>
  <c r="T134" i="3"/>
  <c r="S134" i="3"/>
  <c r="R134" i="3"/>
  <c r="Q134" i="3"/>
  <c r="O134" i="3"/>
  <c r="F134" i="3"/>
  <c r="W133" i="3"/>
  <c r="V133" i="3"/>
  <c r="U133" i="3"/>
  <c r="T133" i="3"/>
  <c r="R133" i="3"/>
  <c r="Q133" i="3"/>
  <c r="O133" i="3"/>
  <c r="O132" i="3"/>
  <c r="F132" i="3"/>
  <c r="F133" i="3" s="1"/>
  <c r="W131" i="3"/>
  <c r="V131" i="3"/>
  <c r="U131" i="3"/>
  <c r="T131" i="3"/>
  <c r="R131" i="3"/>
  <c r="Q131" i="3"/>
  <c r="O131" i="3"/>
  <c r="O130" i="3"/>
  <c r="F130" i="3"/>
  <c r="F131" i="3" s="1"/>
  <c r="P129" i="3"/>
  <c r="U129" i="3" s="1"/>
  <c r="O128" i="3"/>
  <c r="P128" i="3" s="1"/>
  <c r="V128" i="3" s="1"/>
  <c r="O127" i="3"/>
  <c r="P127" i="3" s="1"/>
  <c r="S127" i="3" s="1"/>
  <c r="O126" i="3"/>
  <c r="P126" i="3" s="1"/>
  <c r="V126" i="3" s="1"/>
  <c r="O125" i="3"/>
  <c r="P125" i="3" s="1"/>
  <c r="U125" i="3" s="1"/>
  <c r="X124" i="3"/>
  <c r="I124" i="3"/>
  <c r="I39" i="3" s="1"/>
  <c r="H124" i="3"/>
  <c r="J124" i="3" s="1"/>
  <c r="N124" i="3" s="1"/>
  <c r="W123" i="3"/>
  <c r="V123" i="3"/>
  <c r="U123" i="3"/>
  <c r="T123" i="3"/>
  <c r="S123" i="3"/>
  <c r="R123" i="3"/>
  <c r="O123" i="3"/>
  <c r="F123" i="3"/>
  <c r="O122" i="3"/>
  <c r="P122" i="3" s="1"/>
  <c r="Q122" i="3" s="1"/>
  <c r="X122" i="3" s="1"/>
  <c r="O121" i="3"/>
  <c r="P121" i="3" s="1"/>
  <c r="T121" i="3" s="1"/>
  <c r="O120" i="3"/>
  <c r="P120" i="3" s="1"/>
  <c r="U120" i="3" s="1"/>
  <c r="O119" i="3"/>
  <c r="P119" i="3" s="1"/>
  <c r="T119" i="3" s="1"/>
  <c r="X118" i="3"/>
  <c r="J118" i="3"/>
  <c r="N118" i="3" s="1"/>
  <c r="W117" i="3"/>
  <c r="U117" i="3"/>
  <c r="T117" i="3"/>
  <c r="S117" i="3"/>
  <c r="R117" i="3"/>
  <c r="Q117" i="3"/>
  <c r="O117" i="3"/>
  <c r="F117" i="3"/>
  <c r="P116" i="3"/>
  <c r="R116" i="3" s="1"/>
  <c r="W115" i="3"/>
  <c r="V115" i="3"/>
  <c r="U115" i="3"/>
  <c r="T115" i="3"/>
  <c r="S115" i="3"/>
  <c r="R115" i="3"/>
  <c r="O115" i="3"/>
  <c r="F115" i="3"/>
  <c r="O114" i="3"/>
  <c r="P114" i="3" s="1"/>
  <c r="Q114" i="3" s="1"/>
  <c r="X114" i="3" s="1"/>
  <c r="P113" i="3"/>
  <c r="T113" i="3" s="1"/>
  <c r="O112" i="3"/>
  <c r="P112" i="3" s="1"/>
  <c r="U112" i="3" s="1"/>
  <c r="O111" i="3"/>
  <c r="P111" i="3" s="1"/>
  <c r="U111" i="3" s="1"/>
  <c r="O110" i="3"/>
  <c r="P110" i="3" s="1"/>
  <c r="T110" i="3" s="1"/>
  <c r="X109" i="3"/>
  <c r="J109" i="3"/>
  <c r="N109" i="3" s="1"/>
  <c r="W108" i="3"/>
  <c r="U108" i="3"/>
  <c r="T108" i="3"/>
  <c r="S108" i="3"/>
  <c r="R108" i="3"/>
  <c r="Q108" i="3"/>
  <c r="O108" i="3"/>
  <c r="F108" i="3"/>
  <c r="W107" i="3"/>
  <c r="V107" i="3"/>
  <c r="U107" i="3"/>
  <c r="T107" i="3"/>
  <c r="S107" i="3"/>
  <c r="Q107" i="3"/>
  <c r="O107" i="3"/>
  <c r="F107" i="3"/>
  <c r="O106" i="3"/>
  <c r="P106" i="3" s="1"/>
  <c r="R106" i="3" s="1"/>
  <c r="W105" i="3"/>
  <c r="V105" i="3"/>
  <c r="U105" i="3"/>
  <c r="T105" i="3"/>
  <c r="S105" i="3"/>
  <c r="Q105" i="3"/>
  <c r="O105" i="3"/>
  <c r="F105" i="3"/>
  <c r="O104" i="3"/>
  <c r="P104" i="3" s="1"/>
  <c r="R104" i="3" s="1"/>
  <c r="P103" i="3"/>
  <c r="T103" i="3" s="1"/>
  <c r="O102" i="3"/>
  <c r="P102" i="3" s="1"/>
  <c r="U102" i="3" s="1"/>
  <c r="O101" i="3"/>
  <c r="P101" i="3" s="1"/>
  <c r="T101" i="3" s="1"/>
  <c r="O100" i="3"/>
  <c r="P100" i="3" s="1"/>
  <c r="T100" i="3" s="1"/>
  <c r="X99" i="3"/>
  <c r="J99" i="3"/>
  <c r="N99" i="3" s="1"/>
  <c r="W98" i="3"/>
  <c r="V98" i="3"/>
  <c r="U98" i="3"/>
  <c r="T98" i="3"/>
  <c r="S98" i="3"/>
  <c r="R98" i="3"/>
  <c r="O98" i="3"/>
  <c r="F98" i="3"/>
  <c r="O97" i="3"/>
  <c r="P97" i="3" s="1"/>
  <c r="Q97" i="3" s="1"/>
  <c r="X97" i="3" s="1"/>
  <c r="O96" i="3"/>
  <c r="P96" i="3" s="1"/>
  <c r="U96" i="3" s="1"/>
  <c r="O95" i="3"/>
  <c r="P95" i="3" s="1"/>
  <c r="T95" i="3" s="1"/>
  <c r="X94" i="3"/>
  <c r="J94" i="3"/>
  <c r="N94" i="3" s="1"/>
  <c r="O93" i="3"/>
  <c r="P93" i="3" s="1"/>
  <c r="R93" i="3" s="1"/>
  <c r="P92" i="3"/>
  <c r="T92" i="3" s="1"/>
  <c r="O91" i="3"/>
  <c r="P91" i="3" s="1"/>
  <c r="U91" i="3" s="1"/>
  <c r="O90" i="3"/>
  <c r="P90" i="3" s="1"/>
  <c r="T90" i="3" s="1"/>
  <c r="O89" i="3"/>
  <c r="P89" i="3" s="1"/>
  <c r="U89" i="3" s="1"/>
  <c r="X88" i="3"/>
  <c r="J88" i="3"/>
  <c r="N88" i="3" s="1"/>
  <c r="W87" i="3"/>
  <c r="U87" i="3"/>
  <c r="T87" i="3"/>
  <c r="S87" i="3"/>
  <c r="R87" i="3"/>
  <c r="Q87" i="3"/>
  <c r="O87" i="3"/>
  <c r="F87" i="3"/>
  <c r="O86" i="3"/>
  <c r="P86" i="3" s="1"/>
  <c r="R86" i="3" s="1"/>
  <c r="O85" i="3"/>
  <c r="P85" i="3" s="1"/>
  <c r="U85" i="3" s="1"/>
  <c r="O84" i="3"/>
  <c r="P84" i="3" s="1"/>
  <c r="V84" i="3" s="1"/>
  <c r="O83" i="3"/>
  <c r="P83" i="3" s="1"/>
  <c r="V83" i="3" s="1"/>
  <c r="X82" i="3"/>
  <c r="J82" i="3"/>
  <c r="N82" i="3" s="1"/>
  <c r="W81" i="3"/>
  <c r="U81" i="3"/>
  <c r="T81" i="3"/>
  <c r="S81" i="3"/>
  <c r="R81" i="3"/>
  <c r="Q81" i="3"/>
  <c r="O81" i="3"/>
  <c r="F81" i="3"/>
  <c r="W80" i="3"/>
  <c r="V80" i="3"/>
  <c r="U80" i="3"/>
  <c r="T80" i="3"/>
  <c r="S80" i="3"/>
  <c r="Q80" i="3"/>
  <c r="O80" i="3"/>
  <c r="F80" i="3"/>
  <c r="O79" i="3"/>
  <c r="P79" i="3" s="1"/>
  <c r="R79" i="3" s="1"/>
  <c r="W78" i="3"/>
  <c r="V78" i="3"/>
  <c r="U78" i="3"/>
  <c r="T78" i="3"/>
  <c r="S78" i="3"/>
  <c r="Q78" i="3"/>
  <c r="O78" i="3"/>
  <c r="F78" i="3"/>
  <c r="O77" i="3"/>
  <c r="P77" i="3" s="1"/>
  <c r="R77" i="3" s="1"/>
  <c r="P76" i="3"/>
  <c r="U76" i="3" s="1"/>
  <c r="O75" i="3"/>
  <c r="P75" i="3" s="1"/>
  <c r="V75" i="3" s="1"/>
  <c r="O74" i="3"/>
  <c r="P74" i="3" s="1"/>
  <c r="U74" i="3" s="1"/>
  <c r="O73" i="3"/>
  <c r="P73" i="3" s="1"/>
  <c r="T73" i="3" s="1"/>
  <c r="O72" i="3"/>
  <c r="P72" i="3" s="1"/>
  <c r="T72" i="3" s="1"/>
  <c r="X71" i="3"/>
  <c r="J71" i="3"/>
  <c r="N71" i="3" s="1"/>
  <c r="W70" i="3"/>
  <c r="U70" i="3"/>
  <c r="T70" i="3"/>
  <c r="S70" i="3"/>
  <c r="R70" i="3"/>
  <c r="Q70" i="3"/>
  <c r="O70" i="3"/>
  <c r="F70" i="3"/>
  <c r="W69" i="3"/>
  <c r="U69" i="3"/>
  <c r="T69" i="3"/>
  <c r="S69" i="3"/>
  <c r="R69" i="3"/>
  <c r="Q69" i="3"/>
  <c r="O69" i="3"/>
  <c r="F69" i="3"/>
  <c r="W68" i="3"/>
  <c r="V68" i="3"/>
  <c r="U68" i="3"/>
  <c r="T68" i="3"/>
  <c r="S68" i="3"/>
  <c r="Q68" i="3"/>
  <c r="O68" i="3"/>
  <c r="F68" i="3"/>
  <c r="O67" i="3"/>
  <c r="P67" i="3" s="1"/>
  <c r="R67" i="3" s="1"/>
  <c r="W66" i="3"/>
  <c r="V66" i="3"/>
  <c r="U66" i="3"/>
  <c r="T66" i="3"/>
  <c r="S66" i="3"/>
  <c r="Q66" i="3"/>
  <c r="O66" i="3"/>
  <c r="F66" i="3"/>
  <c r="O65" i="3"/>
  <c r="P65" i="3" s="1"/>
  <c r="R65" i="3" s="1"/>
  <c r="O64" i="3"/>
  <c r="P64" i="3" s="1"/>
  <c r="U64" i="3" s="1"/>
  <c r="O63" i="3"/>
  <c r="P63" i="3" s="1"/>
  <c r="V63" i="3" s="1"/>
  <c r="O62" i="3"/>
  <c r="P62" i="3" s="1"/>
  <c r="T62" i="3" s="1"/>
  <c r="O61" i="3"/>
  <c r="P61" i="3" s="1"/>
  <c r="T61" i="3" s="1"/>
  <c r="X60" i="3"/>
  <c r="J60" i="3"/>
  <c r="N60" i="3" s="1"/>
  <c r="A60" i="3"/>
  <c r="A71" i="3" s="1"/>
  <c r="A82" i="3" s="1"/>
  <c r="A88" i="3" s="1"/>
  <c r="A94" i="3" s="1"/>
  <c r="A99" i="3" s="1"/>
  <c r="A109" i="3" s="1"/>
  <c r="A118" i="3" s="1"/>
  <c r="A124" i="3" s="1"/>
  <c r="A135" i="3" s="1"/>
  <c r="A146" i="3" s="1"/>
  <c r="A156" i="3" s="1"/>
  <c r="A162" i="3" s="1"/>
  <c r="A173" i="3" s="1"/>
  <c r="A177" i="3" s="1"/>
  <c r="A181" i="3" s="1"/>
  <c r="A185" i="3" s="1"/>
  <c r="A193" i="3" s="1"/>
  <c r="A197" i="3" s="1"/>
  <c r="A207" i="3" s="1"/>
  <c r="A212" i="3" s="1"/>
  <c r="W59" i="3"/>
  <c r="U59" i="3"/>
  <c r="T59" i="3"/>
  <c r="S59" i="3"/>
  <c r="R59" i="3"/>
  <c r="Q59" i="3"/>
  <c r="O59" i="3"/>
  <c r="F59" i="3"/>
  <c r="W58" i="3"/>
  <c r="U58" i="3"/>
  <c r="T58" i="3"/>
  <c r="S58" i="3"/>
  <c r="R58" i="3"/>
  <c r="Q58" i="3"/>
  <c r="O58" i="3"/>
  <c r="F58" i="3"/>
  <c r="W57" i="3"/>
  <c r="V57" i="3"/>
  <c r="U57" i="3"/>
  <c r="T57" i="3"/>
  <c r="S57" i="3"/>
  <c r="Q57" i="3"/>
  <c r="O57" i="3"/>
  <c r="F57" i="3"/>
  <c r="O56" i="3"/>
  <c r="P56" i="3" s="1"/>
  <c r="R56" i="3" s="1"/>
  <c r="O55" i="3"/>
  <c r="P55" i="3" s="1"/>
  <c r="T55" i="3" s="1"/>
  <c r="O54" i="3"/>
  <c r="P54" i="3" s="1"/>
  <c r="T54" i="3" s="1"/>
  <c r="O53" i="3"/>
  <c r="P53" i="3" s="1"/>
  <c r="U53" i="3" s="1"/>
  <c r="P52" i="3"/>
  <c r="T52" i="3" s="1"/>
  <c r="O51" i="3"/>
  <c r="P51" i="3" s="1"/>
  <c r="T51" i="3" s="1"/>
  <c r="X50" i="3"/>
  <c r="J50" i="3"/>
  <c r="N50" i="3" s="1"/>
  <c r="O49" i="3"/>
  <c r="P49" i="3" s="1"/>
  <c r="R49" i="3" s="1"/>
  <c r="W48" i="3"/>
  <c r="U48" i="3"/>
  <c r="T48" i="3"/>
  <c r="S48" i="3"/>
  <c r="R48" i="3"/>
  <c r="Q48" i="3"/>
  <c r="F48" i="3"/>
  <c r="W47" i="3"/>
  <c r="V47" i="3"/>
  <c r="U47" i="3"/>
  <c r="T47" i="3"/>
  <c r="S47" i="3"/>
  <c r="Q47" i="3"/>
  <c r="O47" i="3"/>
  <c r="F47" i="3"/>
  <c r="P46" i="3"/>
  <c r="R46" i="3" s="1"/>
  <c r="O45" i="3"/>
  <c r="P44" i="3"/>
  <c r="U44" i="3" s="1"/>
  <c r="P43" i="3"/>
  <c r="J42" i="3"/>
  <c r="F15" i="3"/>
  <c r="O13" i="3"/>
  <c r="O12" i="3"/>
  <c r="Q267" i="3"/>
  <c r="W266" i="3"/>
  <c r="S264" i="3"/>
  <c r="O264" i="3"/>
  <c r="P263" i="3"/>
  <c r="R263" i="3" s="1"/>
  <c r="T260" i="3"/>
  <c r="X258" i="3"/>
  <c r="T257" i="3"/>
  <c r="R256" i="3"/>
  <c r="V255" i="3"/>
  <c r="S255" i="3"/>
  <c r="F255" i="3"/>
  <c r="J247" i="3"/>
  <c r="N247" i="3" s="1"/>
  <c r="P246" i="3"/>
  <c r="Q246" i="3" s="1"/>
  <c r="X246" i="3" s="1"/>
  <c r="O240" i="3"/>
  <c r="P240" i="3" s="1"/>
  <c r="T240" i="3" s="1"/>
  <c r="O236" i="3"/>
  <c r="P236" i="3" s="1"/>
  <c r="T236" i="3" s="1"/>
  <c r="X235" i="3"/>
  <c r="X231" i="3"/>
  <c r="S230" i="3"/>
  <c r="V229" i="3"/>
  <c r="S229" i="3"/>
  <c r="O229" i="3"/>
  <c r="U227" i="3"/>
  <c r="R227" i="3"/>
  <c r="O224" i="3"/>
  <c r="P224" i="3" s="1"/>
  <c r="U224" i="3" s="1"/>
  <c r="W221" i="3"/>
  <c r="S221" i="3"/>
  <c r="Q221" i="3"/>
  <c r="F221" i="3"/>
  <c r="W220" i="3"/>
  <c r="S220" i="3"/>
  <c r="F220" i="3"/>
  <c r="W218" i="3"/>
  <c r="U218" i="3"/>
  <c r="F218" i="3"/>
  <c r="T214" i="3"/>
  <c r="O550" i="3"/>
  <c r="P550" i="3" s="1"/>
  <c r="Q550" i="3" s="1"/>
  <c r="X550" i="3" s="1"/>
  <c r="O549" i="3"/>
  <c r="P549" i="3" s="1"/>
  <c r="J547" i="3"/>
  <c r="J543" i="3"/>
  <c r="L543" i="3" s="1"/>
  <c r="X539" i="3"/>
  <c r="J539" i="3"/>
  <c r="W538" i="3"/>
  <c r="U538" i="3"/>
  <c r="S538" i="3"/>
  <c r="P535" i="3"/>
  <c r="S535" i="3" s="1"/>
  <c r="O534" i="3"/>
  <c r="P534" i="3" s="1"/>
  <c r="T534" i="3" s="1"/>
  <c r="O533" i="3"/>
  <c r="P533" i="3" s="1"/>
  <c r="T533" i="3" s="1"/>
  <c r="O530" i="3"/>
  <c r="U529" i="3"/>
  <c r="S529" i="3"/>
  <c r="W528" i="3"/>
  <c r="S528" i="3"/>
  <c r="T526" i="3"/>
  <c r="O526" i="3"/>
  <c r="R518" i="3"/>
  <c r="F518" i="3"/>
  <c r="W517" i="3"/>
  <c r="F517" i="3"/>
  <c r="O516" i="3"/>
  <c r="P516" i="3" s="1"/>
  <c r="R516" i="3" s="1"/>
  <c r="V515" i="3"/>
  <c r="T515" i="3"/>
  <c r="Q515" i="3"/>
  <c r="F515" i="3"/>
  <c r="S509" i="3"/>
  <c r="U508" i="3"/>
  <c r="R508" i="3"/>
  <c r="W507" i="3"/>
  <c r="T507" i="3"/>
  <c r="Q507" i="3"/>
  <c r="F507" i="3"/>
  <c r="O506" i="3"/>
  <c r="P506" i="3" s="1"/>
  <c r="R506" i="3" s="1"/>
  <c r="Q501" i="3"/>
  <c r="F501" i="3"/>
  <c r="U500" i="3"/>
  <c r="S500" i="3"/>
  <c r="O500" i="3"/>
  <c r="O499" i="3"/>
  <c r="P499" i="3" s="1"/>
  <c r="R499" i="3" s="1"/>
  <c r="O498" i="3"/>
  <c r="P498" i="3" s="1"/>
  <c r="U498" i="3" s="1"/>
  <c r="P497" i="3"/>
  <c r="T497" i="3" s="1"/>
  <c r="U494" i="3"/>
  <c r="U493" i="3"/>
  <c r="R493" i="3"/>
  <c r="T492" i="3"/>
  <c r="Q492" i="3"/>
  <c r="O485" i="3"/>
  <c r="P485" i="3" s="1"/>
  <c r="U483" i="3"/>
  <c r="Q483" i="3"/>
  <c r="O483" i="3"/>
  <c r="W482" i="3"/>
  <c r="S482" i="3"/>
  <c r="O481" i="3"/>
  <c r="P481" i="3" s="1"/>
  <c r="R481" i="3" s="1"/>
  <c r="V480" i="3"/>
  <c r="T480" i="3"/>
  <c r="O480" i="3"/>
  <c r="O476" i="3"/>
  <c r="P476" i="3" s="1"/>
  <c r="T476" i="3" s="1"/>
  <c r="O473" i="3"/>
  <c r="P473" i="3" s="1"/>
  <c r="W470" i="3"/>
  <c r="T470" i="3"/>
  <c r="F470" i="3"/>
  <c r="O469" i="3"/>
  <c r="P469" i="3" s="1"/>
  <c r="Q469" i="3" s="1"/>
  <c r="X469" i="3" s="1"/>
  <c r="U465" i="3"/>
  <c r="R465" i="3"/>
  <c r="V464" i="3"/>
  <c r="S464" i="3"/>
  <c r="X459" i="3"/>
  <c r="T458" i="3"/>
  <c r="Q458" i="3"/>
  <c r="F458" i="3"/>
  <c r="V457" i="3"/>
  <c r="T457" i="3"/>
  <c r="F457" i="3"/>
  <c r="W451" i="3"/>
  <c r="S451" i="3"/>
  <c r="O451" i="3"/>
  <c r="S443" i="3"/>
  <c r="O443" i="3"/>
  <c r="O441" i="3"/>
  <c r="P441" i="3" s="1"/>
  <c r="Q441" i="3" s="1"/>
  <c r="X441" i="3" s="1"/>
  <c r="P440" i="3"/>
  <c r="S440" i="3" s="1"/>
  <c r="O438" i="3"/>
  <c r="P438" i="3" s="1"/>
  <c r="T438" i="3" s="1"/>
  <c r="O434" i="3"/>
  <c r="P434" i="3" s="1"/>
  <c r="X433" i="3"/>
  <c r="Q432" i="3"/>
  <c r="W430" i="3"/>
  <c r="U430" i="3"/>
  <c r="S430" i="3"/>
  <c r="O425" i="3"/>
  <c r="P425" i="3" s="1"/>
  <c r="U425" i="3" s="1"/>
  <c r="O423" i="3"/>
  <c r="P423" i="3" s="1"/>
  <c r="T423" i="3" s="1"/>
  <c r="S420" i="3"/>
  <c r="Q420" i="3"/>
  <c r="O420" i="3"/>
  <c r="U419" i="3"/>
  <c r="Q419" i="3"/>
  <c r="F419" i="3"/>
  <c r="P418" i="3"/>
  <c r="R418" i="3" s="1"/>
  <c r="W415" i="3"/>
  <c r="U415" i="3"/>
  <c r="Q415" i="3"/>
  <c r="F415" i="3"/>
  <c r="O412" i="3"/>
  <c r="P412" i="3" s="1"/>
  <c r="U408" i="3"/>
  <c r="R408" i="3"/>
  <c r="F408" i="3"/>
  <c r="W407" i="3"/>
  <c r="T407" i="3"/>
  <c r="Q407" i="3"/>
  <c r="F407" i="3"/>
  <c r="O404" i="3"/>
  <c r="P404" i="3" s="1"/>
  <c r="S404" i="3" s="1"/>
  <c r="U403" i="3"/>
  <c r="T403" i="3"/>
  <c r="Q403" i="3"/>
  <c r="O400" i="3"/>
  <c r="P400" i="3" s="1"/>
  <c r="S399" i="3"/>
  <c r="P398" i="3"/>
  <c r="V398" i="3" s="1"/>
  <c r="J396" i="3"/>
  <c r="N396" i="3" s="1"/>
  <c r="W395" i="3"/>
  <c r="T395" i="3"/>
  <c r="Q395" i="3"/>
  <c r="V394" i="3"/>
  <c r="Q394" i="3"/>
  <c r="O389" i="3"/>
  <c r="P389" i="3" s="1"/>
  <c r="V389" i="3" s="1"/>
  <c r="O388" i="3"/>
  <c r="P388" i="3" s="1"/>
  <c r="V388" i="3" s="1"/>
  <c r="O387" i="3"/>
  <c r="P387" i="3" s="1"/>
  <c r="U387" i="3" s="1"/>
  <c r="Q384" i="3"/>
  <c r="O380" i="3"/>
  <c r="P380" i="3" s="1"/>
  <c r="O379" i="3"/>
  <c r="P379" i="3" s="1"/>
  <c r="X378" i="3"/>
  <c r="O377" i="3"/>
  <c r="P377" i="3" s="1"/>
  <c r="Q377" i="3" s="1"/>
  <c r="X377" i="3" s="1"/>
  <c r="O376" i="3"/>
  <c r="P376" i="3" s="1"/>
  <c r="U376" i="3" s="1"/>
  <c r="O375" i="3"/>
  <c r="P375" i="3" s="1"/>
  <c r="T375" i="3" s="1"/>
  <c r="Q373" i="3"/>
  <c r="J367" i="3"/>
  <c r="N367" i="3" s="1"/>
  <c r="T366" i="3"/>
  <c r="Q366" i="3"/>
  <c r="W365" i="3"/>
  <c r="F365" i="3"/>
  <c r="O364" i="3"/>
  <c r="P364" i="3" s="1"/>
  <c r="R364" i="3" s="1"/>
  <c r="O363" i="3"/>
  <c r="P363" i="3" s="1"/>
  <c r="U363" i="3" s="1"/>
  <c r="O361" i="3"/>
  <c r="P361" i="3" s="1"/>
  <c r="W359" i="3"/>
  <c r="T359" i="3"/>
  <c r="Q359" i="3"/>
  <c r="V358" i="3"/>
  <c r="T358" i="3"/>
  <c r="Q358" i="3"/>
  <c r="F358" i="3"/>
  <c r="X349" i="3"/>
  <c r="J349" i="3"/>
  <c r="N349" i="3" s="1"/>
  <c r="J336" i="3"/>
  <c r="L336" i="3" s="1"/>
  <c r="L39" i="3" s="1"/>
  <c r="O335" i="3"/>
  <c r="W329" i="3"/>
  <c r="U329" i="3"/>
  <c r="S329" i="3"/>
  <c r="O322" i="3"/>
  <c r="P319" i="3"/>
  <c r="T319" i="3" s="1"/>
  <c r="P318" i="3"/>
  <c r="T318" i="3" s="1"/>
  <c r="X317" i="3"/>
  <c r="R315" i="3"/>
  <c r="O315" i="3"/>
  <c r="Q314" i="3"/>
  <c r="X314" i="3" s="1"/>
  <c r="P311" i="3"/>
  <c r="T311" i="3" s="1"/>
  <c r="J310" i="3"/>
  <c r="N310" i="3" s="1"/>
  <c r="W308" i="3"/>
  <c r="U308" i="3"/>
  <c r="R308" i="3"/>
  <c r="O307" i="3"/>
  <c r="P307" i="3" s="1"/>
  <c r="Q307" i="3" s="1"/>
  <c r="P306" i="3"/>
  <c r="U306" i="3" s="1"/>
  <c r="P302" i="3"/>
  <c r="Q302" i="3" s="1"/>
  <c r="X302" i="3" s="1"/>
  <c r="U301" i="3"/>
  <c r="Q301" i="3"/>
  <c r="O299" i="3"/>
  <c r="P299" i="3" s="1"/>
  <c r="U299" i="3" s="1"/>
  <c r="O297" i="3"/>
  <c r="P297" i="3" s="1"/>
  <c r="T297" i="3" s="1"/>
  <c r="W295" i="3"/>
  <c r="T295" i="3"/>
  <c r="Q295" i="3"/>
  <c r="O294" i="3"/>
  <c r="P294" i="3" s="1"/>
  <c r="Q294" i="3" s="1"/>
  <c r="X294" i="3" s="1"/>
  <c r="O293" i="3"/>
  <c r="P293" i="3" s="1"/>
  <c r="T293" i="3" s="1"/>
  <c r="O290" i="3"/>
  <c r="P290" i="3" s="1"/>
  <c r="O289" i="3"/>
  <c r="P289" i="3" s="1"/>
  <c r="O286" i="3"/>
  <c r="P286" i="3" s="1"/>
  <c r="Q286" i="3" s="1"/>
  <c r="X286" i="3" s="1"/>
  <c r="O285" i="3"/>
  <c r="P285" i="3" s="1"/>
  <c r="O284" i="3"/>
  <c r="P284" i="3" s="1"/>
  <c r="V281" i="3"/>
  <c r="T281" i="3"/>
  <c r="U273" i="3"/>
  <c r="P271" i="3"/>
  <c r="U271" i="3" s="1"/>
  <c r="X268" i="3"/>
  <c r="J268" i="3"/>
  <c r="N268" i="3" s="1"/>
  <c r="S267" i="3"/>
  <c r="F267" i="3"/>
  <c r="T266" i="3"/>
  <c r="P262" i="3"/>
  <c r="U262" i="3" s="1"/>
  <c r="W257" i="3"/>
  <c r="S257" i="3"/>
  <c r="T256" i="3"/>
  <c r="S253" i="3"/>
  <c r="O248" i="3"/>
  <c r="P248" i="3" s="1"/>
  <c r="T248" i="3" s="1"/>
  <c r="J239" i="3"/>
  <c r="N239" i="3" s="1"/>
  <c r="O237" i="3"/>
  <c r="P237" i="3" s="1"/>
  <c r="U237" i="3" s="1"/>
  <c r="O233" i="3"/>
  <c r="P233" i="3" s="1"/>
  <c r="U230" i="3"/>
  <c r="U229" i="3"/>
  <c r="W227" i="3"/>
  <c r="T227" i="3"/>
  <c r="F227" i="3"/>
  <c r="O223" i="3"/>
  <c r="P223" i="3" s="1"/>
  <c r="T223" i="3" s="1"/>
  <c r="T221" i="3"/>
  <c r="V220" i="3"/>
  <c r="Q220" i="3"/>
  <c r="O548" i="3"/>
  <c r="P548" i="3" s="1"/>
  <c r="S548" i="3" s="1"/>
  <c r="X547" i="3"/>
  <c r="O546" i="3"/>
  <c r="P546" i="3" s="1"/>
  <c r="Q546" i="3" s="1"/>
  <c r="X546" i="3" s="1"/>
  <c r="O545" i="3"/>
  <c r="P545" i="3" s="1"/>
  <c r="S545" i="3" s="1"/>
  <c r="X543" i="3"/>
  <c r="S541" i="3"/>
  <c r="O540" i="3"/>
  <c r="P540" i="3" s="1"/>
  <c r="S540" i="3" s="1"/>
  <c r="T538" i="3"/>
  <c r="Q538" i="3"/>
  <c r="F538" i="3"/>
  <c r="O537" i="3"/>
  <c r="P537" i="3" s="1"/>
  <c r="Q537" i="3" s="1"/>
  <c r="X537" i="3" s="1"/>
  <c r="O536" i="3"/>
  <c r="P536" i="3" s="1"/>
  <c r="Q536" i="3" s="1"/>
  <c r="X536" i="3" s="1"/>
  <c r="W530" i="3"/>
  <c r="T530" i="3"/>
  <c r="Q530" i="3"/>
  <c r="W529" i="3"/>
  <c r="R529" i="3"/>
  <c r="O529" i="3"/>
  <c r="Q528" i="3"/>
  <c r="F528" i="3"/>
  <c r="J519" i="3"/>
  <c r="N519" i="3" s="1"/>
  <c r="Q518" i="3"/>
  <c r="V517" i="3"/>
  <c r="T517" i="3"/>
  <c r="Q517" i="3"/>
  <c r="O514" i="3"/>
  <c r="P514" i="3" s="1"/>
  <c r="R514" i="3" s="1"/>
  <c r="J510" i="3"/>
  <c r="N510" i="3" s="1"/>
  <c r="R509" i="3"/>
  <c r="S508" i="3"/>
  <c r="O508" i="3"/>
  <c r="O507" i="3"/>
  <c r="P505" i="3"/>
  <c r="U505" i="3" s="1"/>
  <c r="P503" i="3"/>
  <c r="T503" i="3" s="1"/>
  <c r="R501" i="3"/>
  <c r="W500" i="3"/>
  <c r="T500" i="3"/>
  <c r="O496" i="3"/>
  <c r="P496" i="3" s="1"/>
  <c r="T496" i="3" s="1"/>
  <c r="X495" i="3"/>
  <c r="J495" i="3"/>
  <c r="N495" i="3" s="1"/>
  <c r="W494" i="3"/>
  <c r="T494" i="3"/>
  <c r="Q494" i="3"/>
  <c r="W493" i="3"/>
  <c r="T493" i="3"/>
  <c r="S493" i="3"/>
  <c r="Q493" i="3"/>
  <c r="F493" i="3"/>
  <c r="W492" i="3"/>
  <c r="U492" i="3"/>
  <c r="O492" i="3"/>
  <c r="O491" i="3"/>
  <c r="P491" i="3" s="1"/>
  <c r="R491" i="3" s="1"/>
  <c r="W490" i="3"/>
  <c r="V490" i="3"/>
  <c r="U490" i="3"/>
  <c r="S490" i="3"/>
  <c r="Q490" i="3"/>
  <c r="O490" i="3"/>
  <c r="P488" i="3"/>
  <c r="U488" i="3" s="1"/>
  <c r="O487" i="3"/>
  <c r="P487" i="3" s="1"/>
  <c r="U487" i="3" s="1"/>
  <c r="W483" i="3"/>
  <c r="T483" i="3"/>
  <c r="U482" i="3"/>
  <c r="T482" i="3"/>
  <c r="O482" i="3"/>
  <c r="P478" i="3"/>
  <c r="U478" i="3" s="1"/>
  <c r="O477" i="3"/>
  <c r="P477" i="3" s="1"/>
  <c r="U477" i="3" s="1"/>
  <c r="J475" i="3"/>
  <c r="N475" i="3" s="1"/>
  <c r="J471" i="3"/>
  <c r="L471" i="3" s="1"/>
  <c r="O468" i="3"/>
  <c r="P468" i="3" s="1"/>
  <c r="U468" i="3" s="1"/>
  <c r="W465" i="3"/>
  <c r="T465" i="3"/>
  <c r="U464" i="3"/>
  <c r="R464" i="3"/>
  <c r="F464" i="3"/>
  <c r="O461" i="3"/>
  <c r="P461" i="3" s="1"/>
  <c r="O460" i="3"/>
  <c r="P460" i="3" s="1"/>
  <c r="T460" i="3" s="1"/>
  <c r="J459" i="3"/>
  <c r="N459" i="3" s="1"/>
  <c r="P455" i="3"/>
  <c r="S455" i="3" s="1"/>
  <c r="X454" i="3"/>
  <c r="Q451" i="3"/>
  <c r="W450" i="3"/>
  <c r="Q450" i="3"/>
  <c r="F450" i="3"/>
  <c r="O449" i="3"/>
  <c r="P449" i="3" s="1"/>
  <c r="R449" i="3" s="1"/>
  <c r="P448" i="3"/>
  <c r="S448" i="3" s="1"/>
  <c r="O446" i="3"/>
  <c r="P446" i="3" s="1"/>
  <c r="U446" i="3" s="1"/>
  <c r="O445" i="3"/>
  <c r="P445" i="3" s="1"/>
  <c r="T445" i="3" s="1"/>
  <c r="X444" i="3"/>
  <c r="W443" i="3"/>
  <c r="U443" i="3"/>
  <c r="R443" i="3"/>
  <c r="F443" i="3"/>
  <c r="W442" i="3"/>
  <c r="T442" i="3"/>
  <c r="R442" i="3"/>
  <c r="O442" i="3"/>
  <c r="X435" i="3"/>
  <c r="T434" i="3"/>
  <c r="W432" i="3"/>
  <c r="R432" i="3"/>
  <c r="F432" i="3"/>
  <c r="V430" i="3"/>
  <c r="T430" i="3"/>
  <c r="F430" i="3"/>
  <c r="O429" i="3"/>
  <c r="P429" i="3" s="1"/>
  <c r="Q429" i="3" s="1"/>
  <c r="X429" i="3" s="1"/>
  <c r="V428" i="3"/>
  <c r="S428" i="3"/>
  <c r="O427" i="3"/>
  <c r="P427" i="3" s="1"/>
  <c r="Q427" i="3" s="1"/>
  <c r="X427" i="3" s="1"/>
  <c r="P424" i="3"/>
  <c r="U424" i="3" s="1"/>
  <c r="O422" i="3"/>
  <c r="P422" i="3" s="1"/>
  <c r="S422" i="3" s="1"/>
  <c r="J421" i="3"/>
  <c r="N421" i="3" s="1"/>
  <c r="W420" i="3"/>
  <c r="U420" i="3"/>
  <c r="F420" i="3"/>
  <c r="W419" i="3"/>
  <c r="T419" i="3"/>
  <c r="O417" i="3"/>
  <c r="V415" i="3"/>
  <c r="P413" i="3"/>
  <c r="V413" i="3" s="1"/>
  <c r="O411" i="3"/>
  <c r="P411" i="3" s="1"/>
  <c r="T411" i="3" s="1"/>
  <c r="O410" i="3"/>
  <c r="P410" i="3" s="1"/>
  <c r="U410" i="3" s="1"/>
  <c r="J409" i="3"/>
  <c r="N409" i="3" s="1"/>
  <c r="S408" i="3"/>
  <c r="O408" i="3"/>
  <c r="V405" i="3"/>
  <c r="U405" i="3"/>
  <c r="Q405" i="3"/>
  <c r="W403" i="3"/>
  <c r="O403" i="3"/>
  <c r="R395" i="3"/>
  <c r="F395" i="3"/>
  <c r="W394" i="3"/>
  <c r="R394" i="3"/>
  <c r="F394" i="3"/>
  <c r="O393" i="3"/>
  <c r="P393" i="3" s="1"/>
  <c r="S393" i="3" s="1"/>
  <c r="V392" i="3"/>
  <c r="U392" i="3"/>
  <c r="R392" i="3"/>
  <c r="O392" i="3"/>
  <c r="P390" i="3"/>
  <c r="V390" i="3" s="1"/>
  <c r="O386" i="3"/>
  <c r="P386" i="3" s="1"/>
  <c r="T386" i="3" s="1"/>
  <c r="X385" i="3"/>
  <c r="W384" i="3"/>
  <c r="U384" i="3"/>
  <c r="R384" i="3"/>
  <c r="F384" i="3"/>
  <c r="O382" i="3"/>
  <c r="P382" i="3" s="1"/>
  <c r="J378" i="3"/>
  <c r="N378" i="3" s="1"/>
  <c r="X374" i="3"/>
  <c r="W373" i="3"/>
  <c r="T373" i="3"/>
  <c r="U372" i="3"/>
  <c r="R372" i="3"/>
  <c r="F372" i="3"/>
  <c r="O371" i="3"/>
  <c r="P371" i="3" s="1"/>
  <c r="Q371" i="3" s="1"/>
  <c r="X371" i="3" s="1"/>
  <c r="X367" i="3"/>
  <c r="U366" i="3"/>
  <c r="R366" i="3"/>
  <c r="F366" i="3"/>
  <c r="Q365" i="3"/>
  <c r="U359" i="3"/>
  <c r="R359" i="3"/>
  <c r="F359" i="3"/>
  <c r="W358" i="3"/>
  <c r="S358" i="3"/>
  <c r="O358" i="3"/>
  <c r="O352" i="3"/>
  <c r="P352" i="3" s="1"/>
  <c r="Q352" i="3" s="1"/>
  <c r="X352" i="3" s="1"/>
  <c r="O351" i="3"/>
  <c r="P351" i="3" s="1"/>
  <c r="O345" i="3"/>
  <c r="P345" i="3" s="1"/>
  <c r="U345" i="3" s="1"/>
  <c r="O341" i="3"/>
  <c r="P341" i="3" s="1"/>
  <c r="U341" i="3" s="1"/>
  <c r="X340" i="3"/>
  <c r="J340" i="3"/>
  <c r="N340" i="3" s="1"/>
  <c r="R335" i="3"/>
  <c r="F335" i="3"/>
  <c r="O334" i="3"/>
  <c r="P334" i="3" s="1"/>
  <c r="Q334" i="3" s="1"/>
  <c r="X334" i="3" s="1"/>
  <c r="O333" i="3"/>
  <c r="P333" i="3" s="1"/>
  <c r="T333" i="3" s="1"/>
  <c r="X331" i="3"/>
  <c r="O328" i="3"/>
  <c r="P328" i="3" s="1"/>
  <c r="Q328" i="3" s="1"/>
  <c r="X328" i="3" s="1"/>
  <c r="O327" i="3"/>
  <c r="P327" i="3" s="1"/>
  <c r="U327" i="3" s="1"/>
  <c r="P326" i="3"/>
  <c r="T326" i="3" s="1"/>
  <c r="X324" i="3"/>
  <c r="J324" i="3"/>
  <c r="N324" i="3" s="1"/>
  <c r="W322" i="3"/>
  <c r="U322" i="3"/>
  <c r="S322" i="3"/>
  <c r="P316" i="3"/>
  <c r="Q316" i="3" s="1"/>
  <c r="X316" i="3" s="1"/>
  <c r="T315" i="3"/>
  <c r="Q315" i="3"/>
  <c r="P309" i="3"/>
  <c r="Q309" i="3" s="1"/>
  <c r="X309" i="3" s="1"/>
  <c r="S308" i="3"/>
  <c r="F308" i="3"/>
  <c r="P305" i="3"/>
  <c r="T305" i="3" s="1"/>
  <c r="R301" i="3"/>
  <c r="F301" i="3"/>
  <c r="X296" i="3"/>
  <c r="J296" i="3"/>
  <c r="N296" i="3" s="1"/>
  <c r="S295" i="3"/>
  <c r="J291" i="3"/>
  <c r="L291" i="3" s="1"/>
  <c r="J283" i="3"/>
  <c r="M283" i="3" s="1"/>
  <c r="U282" i="3"/>
  <c r="S282" i="3"/>
  <c r="U281" i="3"/>
  <c r="F281" i="3"/>
  <c r="O279" i="3"/>
  <c r="P279" i="3" s="1"/>
  <c r="U279" i="3" s="1"/>
  <c r="X275" i="3"/>
  <c r="W274" i="3"/>
  <c r="T274" i="3"/>
  <c r="Q274" i="3"/>
  <c r="S273" i="3"/>
  <c r="F273" i="3"/>
  <c r="W267" i="3"/>
  <c r="R267" i="3"/>
  <c r="V266" i="3"/>
  <c r="F266" i="3"/>
  <c r="W264" i="3"/>
  <c r="T264" i="3"/>
  <c r="Q264" i="3"/>
  <c r="F264" i="3"/>
  <c r="Q257" i="3"/>
  <c r="S256" i="3"/>
  <c r="U255" i="3"/>
  <c r="W253" i="3"/>
  <c r="T253" i="3"/>
  <c r="Q253" i="3"/>
  <c r="F253" i="3"/>
  <c r="P251" i="3"/>
  <c r="U251" i="3" s="1"/>
  <c r="O249" i="3"/>
  <c r="P249" i="3" s="1"/>
  <c r="T249" i="3" s="1"/>
  <c r="O245" i="3"/>
  <c r="P245" i="3" s="1"/>
  <c r="S245" i="3" s="1"/>
  <c r="P242" i="3"/>
  <c r="Q242" i="3" s="1"/>
  <c r="X242" i="3" s="1"/>
  <c r="J235" i="3"/>
  <c r="N235" i="3" s="1"/>
  <c r="O232" i="3"/>
  <c r="P232" i="3" s="1"/>
  <c r="T232" i="3" s="1"/>
  <c r="Q230" i="3"/>
  <c r="W229" i="3"/>
  <c r="R229" i="3"/>
  <c r="O227" i="3"/>
  <c r="X222" i="3"/>
  <c r="U221" i="3"/>
  <c r="R221" i="3"/>
  <c r="T220" i="3"/>
  <c r="S218" i="3"/>
  <c r="O218" i="3"/>
  <c r="X215" i="3"/>
  <c r="X212" i="3"/>
  <c r="X531" i="3"/>
  <c r="S530" i="3"/>
  <c r="V528" i="3"/>
  <c r="O528" i="3"/>
  <c r="X527" i="3"/>
  <c r="W526" i="3"/>
  <c r="U526" i="3"/>
  <c r="O521" i="3"/>
  <c r="P521" i="3" s="1"/>
  <c r="S521" i="3" s="1"/>
  <c r="O520" i="3"/>
  <c r="P520" i="3" s="1"/>
  <c r="T520" i="3" s="1"/>
  <c r="U518" i="3"/>
  <c r="S518" i="3"/>
  <c r="O518" i="3"/>
  <c r="U517" i="3"/>
  <c r="W515" i="3"/>
  <c r="U515" i="3"/>
  <c r="O515" i="3"/>
  <c r="X510" i="3"/>
  <c r="W509" i="3"/>
  <c r="U509" i="3"/>
  <c r="O509" i="3"/>
  <c r="Q508" i="3"/>
  <c r="F508" i="3"/>
  <c r="U507" i="3"/>
  <c r="W501" i="3"/>
  <c r="S501" i="3"/>
  <c r="O501" i="3"/>
  <c r="V500" i="3"/>
  <c r="R494" i="3"/>
  <c r="O493" i="3"/>
  <c r="V492" i="3"/>
  <c r="S492" i="3"/>
  <c r="F492" i="3"/>
  <c r="T490" i="3"/>
  <c r="P486" i="3"/>
  <c r="T486" i="3" s="1"/>
  <c r="S483" i="3"/>
  <c r="V482" i="3"/>
  <c r="F482" i="3"/>
  <c r="Q480" i="3"/>
  <c r="F480" i="3"/>
  <c r="O474" i="3"/>
  <c r="P474" i="3" s="1"/>
  <c r="Q474" i="3" s="1"/>
  <c r="X474" i="3" s="1"/>
  <c r="O472" i="3"/>
  <c r="P472" i="3" s="1"/>
  <c r="T472" i="3" s="1"/>
  <c r="X471" i="3"/>
  <c r="V470" i="3"/>
  <c r="S470" i="3"/>
  <c r="X467" i="3"/>
  <c r="X466" i="3"/>
  <c r="J466" i="3"/>
  <c r="N466" i="3" s="1"/>
  <c r="S465" i="3"/>
  <c r="O465" i="3"/>
  <c r="O464" i="3"/>
  <c r="O463" i="3"/>
  <c r="P463" i="3" s="1"/>
  <c r="Q463" i="3" s="1"/>
  <c r="X463" i="3" s="1"/>
  <c r="O462" i="3"/>
  <c r="P462" i="3" s="1"/>
  <c r="U462" i="3" s="1"/>
  <c r="W458" i="3"/>
  <c r="U458" i="3"/>
  <c r="R458" i="3"/>
  <c r="O458" i="3"/>
  <c r="S457" i="3"/>
  <c r="P453" i="3"/>
  <c r="T453" i="3" s="1"/>
  <c r="J452" i="3"/>
  <c r="N452" i="3" s="1"/>
  <c r="U451" i="3"/>
  <c r="R451" i="3"/>
  <c r="F451" i="3"/>
  <c r="V450" i="3"/>
  <c r="S450" i="3"/>
  <c r="O450" i="3"/>
  <c r="O447" i="3"/>
  <c r="P447" i="3" s="1"/>
  <c r="U447" i="3" s="1"/>
  <c r="Q443" i="3"/>
  <c r="U442" i="3"/>
  <c r="F442" i="3"/>
  <c r="O439" i="3"/>
  <c r="P439" i="3" s="1"/>
  <c r="U439" i="3" s="1"/>
  <c r="J433" i="3"/>
  <c r="N433" i="3" s="1"/>
  <c r="T432" i="3"/>
  <c r="W428" i="3"/>
  <c r="U428" i="3"/>
  <c r="R428" i="3"/>
  <c r="O428" i="3"/>
  <c r="X421" i="3"/>
  <c r="T420" i="3"/>
  <c r="S419" i="3"/>
  <c r="W417" i="3"/>
  <c r="V417" i="3"/>
  <c r="T417" i="3"/>
  <c r="Q417" i="3"/>
  <c r="F417" i="3"/>
  <c r="O416" i="3"/>
  <c r="P416" i="3" s="1"/>
  <c r="S416" i="3" s="1"/>
  <c r="R415" i="3"/>
  <c r="X409" i="3"/>
  <c r="Q408" i="3"/>
  <c r="S407" i="3"/>
  <c r="O407" i="3"/>
  <c r="P406" i="3"/>
  <c r="R406" i="3" s="1"/>
  <c r="V403" i="3"/>
  <c r="P401" i="3"/>
  <c r="V401" i="3" s="1"/>
  <c r="S395" i="3"/>
  <c r="O395" i="3"/>
  <c r="T394" i="3"/>
  <c r="W392" i="3"/>
  <c r="T392" i="3"/>
  <c r="Q392" i="3"/>
  <c r="F392" i="3"/>
  <c r="S384" i="3"/>
  <c r="O384" i="3"/>
  <c r="O383" i="3"/>
  <c r="P383" i="3" s="1"/>
  <c r="R383" i="3" s="1"/>
  <c r="U373" i="3"/>
  <c r="R373" i="3"/>
  <c r="F373" i="3"/>
  <c r="V372" i="3"/>
  <c r="S372" i="3"/>
  <c r="O372" i="3"/>
  <c r="P370" i="3"/>
  <c r="U370" i="3" s="1"/>
  <c r="O369" i="3"/>
  <c r="P369" i="3" s="1"/>
  <c r="U369" i="3" s="1"/>
  <c r="W366" i="3"/>
  <c r="S366" i="3"/>
  <c r="U365" i="3"/>
  <c r="T365" i="3"/>
  <c r="J360" i="3"/>
  <c r="N360" i="3" s="1"/>
  <c r="S359" i="3"/>
  <c r="O359" i="3"/>
  <c r="O357" i="3"/>
  <c r="P357" i="3" s="1"/>
  <c r="R357" i="3" s="1"/>
  <c r="O356" i="3"/>
  <c r="P356" i="3" s="1"/>
  <c r="U356" i="3" s="1"/>
  <c r="P355" i="3"/>
  <c r="U355" i="3" s="1"/>
  <c r="J353" i="3"/>
  <c r="N353" i="3" s="1"/>
  <c r="O350" i="3"/>
  <c r="P350" i="3" s="1"/>
  <c r="T350" i="3" s="1"/>
  <c r="O347" i="3"/>
  <c r="P347" i="3" s="1"/>
  <c r="Q347" i="3" s="1"/>
  <c r="X347" i="3" s="1"/>
  <c r="O346" i="3"/>
  <c r="P346" i="3" s="1"/>
  <c r="U346" i="3" s="1"/>
  <c r="O339" i="3"/>
  <c r="P339" i="3" s="1"/>
  <c r="Q339" i="3" s="1"/>
  <c r="X339" i="3" s="1"/>
  <c r="O338" i="3"/>
  <c r="P338" i="3" s="1"/>
  <c r="T338" i="3" s="1"/>
  <c r="X336" i="3"/>
  <c r="U335" i="3"/>
  <c r="S335" i="3"/>
  <c r="T329" i="3"/>
  <c r="Q329" i="3"/>
  <c r="F329" i="3"/>
  <c r="P325" i="3"/>
  <c r="T325" i="3" s="1"/>
  <c r="T322" i="3"/>
  <c r="R322" i="3"/>
  <c r="F322" i="3"/>
  <c r="J317" i="3"/>
  <c r="N317" i="3" s="1"/>
  <c r="F315" i="3"/>
  <c r="T308" i="3"/>
  <c r="Q308" i="3"/>
  <c r="P304" i="3"/>
  <c r="T304" i="3" s="1"/>
  <c r="W301" i="3"/>
  <c r="T301" i="3"/>
  <c r="O298" i="3"/>
  <c r="P298" i="3" s="1"/>
  <c r="T298" i="3" s="1"/>
  <c r="R295" i="3"/>
  <c r="O295" i="3"/>
  <c r="P295" i="3" s="1"/>
  <c r="O292" i="3"/>
  <c r="P292" i="3" s="1"/>
  <c r="T292" i="3" s="1"/>
  <c r="O288" i="3"/>
  <c r="P288" i="3" s="1"/>
  <c r="T288" i="3" s="1"/>
  <c r="X287" i="3"/>
  <c r="R282" i="3"/>
  <c r="F282" i="3"/>
  <c r="R281" i="3"/>
  <c r="O278" i="3"/>
  <c r="P278" i="3" s="1"/>
  <c r="T278" i="3" s="1"/>
  <c r="P277" i="3"/>
  <c r="T277" i="3" s="1"/>
  <c r="O276" i="3"/>
  <c r="P276" i="3" s="1"/>
  <c r="T276" i="3" s="1"/>
  <c r="S274" i="3"/>
  <c r="W273" i="3"/>
  <c r="T273" i="3"/>
  <c r="Q273" i="3"/>
  <c r="P270" i="3"/>
  <c r="T270" i="3" s="1"/>
  <c r="O269" i="3"/>
  <c r="P269" i="3" s="1"/>
  <c r="T269" i="3" s="1"/>
  <c r="U267" i="3"/>
  <c r="Q266" i="3"/>
  <c r="O259" i="3"/>
  <c r="P259" i="3" s="1"/>
  <c r="T259" i="3" s="1"/>
  <c r="W256" i="3"/>
  <c r="U256" i="3"/>
  <c r="Q256" i="3"/>
  <c r="F256" i="3"/>
  <c r="W255" i="3"/>
  <c r="O255" i="3"/>
  <c r="O250" i="3"/>
  <c r="P250" i="3" s="1"/>
  <c r="U250" i="3" s="1"/>
  <c r="X243" i="3"/>
  <c r="J243" i="3"/>
  <c r="N243" i="3" s="1"/>
  <c r="O241" i="3"/>
  <c r="P241" i="3" s="1"/>
  <c r="T241" i="3" s="1"/>
  <c r="X239" i="3"/>
  <c r="W230" i="3"/>
  <c r="R230" i="3"/>
  <c r="F230" i="3"/>
  <c r="F229" i="3"/>
  <c r="V227" i="3"/>
  <c r="S227" i="3"/>
  <c r="P225" i="3"/>
  <c r="U225" i="3" s="1"/>
  <c r="J222" i="3"/>
  <c r="N222" i="3" s="1"/>
  <c r="U220" i="3"/>
  <c r="O220" i="3"/>
  <c r="V218" i="3"/>
  <c r="T218" i="3"/>
  <c r="Q218" i="3"/>
  <c r="X216" i="3"/>
  <c r="J212" i="3"/>
  <c r="N212" i="3" s="1"/>
  <c r="P211" i="3"/>
  <c r="Q211" i="3" s="1"/>
  <c r="X211" i="3" s="1"/>
  <c r="P483" i="3" l="1"/>
  <c r="O39" i="3"/>
  <c r="W39" i="3"/>
  <c r="M39" i="3"/>
  <c r="P169" i="3"/>
  <c r="P526" i="3"/>
  <c r="J39" i="3"/>
  <c r="E31" i="3" s="1"/>
  <c r="P205" i="3"/>
  <c r="R205" i="3" s="1"/>
  <c r="X205" i="3" s="1"/>
  <c r="P230" i="3"/>
  <c r="V230" i="3" s="1"/>
  <c r="P229" i="3"/>
  <c r="Q229" i="3" s="1"/>
  <c r="X229" i="3" s="1"/>
  <c r="P465" i="3"/>
  <c r="V465" i="3" s="1"/>
  <c r="P530" i="3"/>
  <c r="V530" i="3" s="1"/>
  <c r="X530" i="3" s="1"/>
  <c r="P490" i="3"/>
  <c r="R490" i="3" s="1"/>
  <c r="P203" i="3"/>
  <c r="R203" i="3" s="1"/>
  <c r="X203" i="3" s="1"/>
  <c r="P428" i="3"/>
  <c r="Q428" i="3" s="1"/>
  <c r="X428" i="3" s="1"/>
  <c r="P500" i="3"/>
  <c r="R500" i="3" s="1"/>
  <c r="X500" i="3" s="1"/>
  <c r="P144" i="3"/>
  <c r="R144" i="3" s="1"/>
  <c r="X144" i="3" s="1"/>
  <c r="P123" i="3"/>
  <c r="Q123" i="3" s="1"/>
  <c r="X123" i="3" s="1"/>
  <c r="P161" i="3"/>
  <c r="Q161" i="3" s="1"/>
  <c r="X161" i="3" s="1"/>
  <c r="P529" i="3"/>
  <c r="V529" i="3" s="1"/>
  <c r="P509" i="3"/>
  <c r="V509" i="3" s="1"/>
  <c r="X509" i="3" s="1"/>
  <c r="P107" i="3"/>
  <c r="R107" i="3" s="1"/>
  <c r="X107" i="3" s="1"/>
  <c r="P254" i="3"/>
  <c r="R254" i="3" s="1"/>
  <c r="X254" i="3" s="1"/>
  <c r="X228" i="3"/>
  <c r="X210" i="3"/>
  <c r="S549" i="3"/>
  <c r="X549" i="3" s="1"/>
  <c r="X534" i="3"/>
  <c r="X533" i="3"/>
  <c r="X521" i="3"/>
  <c r="P508" i="3"/>
  <c r="V508" i="3" s="1"/>
  <c r="X508" i="3" s="1"/>
  <c r="P507" i="3"/>
  <c r="R507" i="3" s="1"/>
  <c r="X507" i="3" s="1"/>
  <c r="X506" i="3"/>
  <c r="X498" i="3"/>
  <c r="X497" i="3"/>
  <c r="P492" i="3"/>
  <c r="R492" i="3" s="1"/>
  <c r="X492" i="3" s="1"/>
  <c r="X489" i="3"/>
  <c r="T485" i="3"/>
  <c r="X485" i="3" s="1"/>
  <c r="P482" i="3"/>
  <c r="R482" i="3" s="1"/>
  <c r="X482" i="3" s="1"/>
  <c r="X481" i="3"/>
  <c r="X462" i="3"/>
  <c r="X453" i="3"/>
  <c r="P442" i="3"/>
  <c r="Q442" i="3" s="1"/>
  <c r="X442" i="3" s="1"/>
  <c r="V397" i="3"/>
  <c r="X397" i="3" s="1"/>
  <c r="X391" i="3"/>
  <c r="U337" i="3"/>
  <c r="X337" i="3" s="1"/>
  <c r="X313" i="3"/>
  <c r="X312" i="3"/>
  <c r="P274" i="3"/>
  <c r="V274" i="3" s="1"/>
  <c r="A222" i="3"/>
  <c r="A231" i="3" s="1"/>
  <c r="A235" i="3" s="1"/>
  <c r="A239" i="3" s="1"/>
  <c r="A243" i="3" s="1"/>
  <c r="A247" i="3" s="1"/>
  <c r="A258" i="3" s="1"/>
  <c r="A268" i="3" s="1"/>
  <c r="A275" i="3" s="1"/>
  <c r="A283" i="3" s="1"/>
  <c r="A287" i="3" s="1"/>
  <c r="A291" i="3" s="1"/>
  <c r="A296" i="3" s="1"/>
  <c r="A303" i="3" s="1"/>
  <c r="A310" i="3" s="1"/>
  <c r="A317" i="3" s="1"/>
  <c r="A324" i="3" s="1"/>
  <c r="A331" i="3" s="1"/>
  <c r="A336" i="3" s="1"/>
  <c r="A340" i="3" s="1"/>
  <c r="A344" i="3" s="1"/>
  <c r="A349" i="3" s="1"/>
  <c r="A353" i="3" s="1"/>
  <c r="A360" i="3" s="1"/>
  <c r="A367" i="3" s="1"/>
  <c r="A374" i="3" s="1"/>
  <c r="A378" i="3" s="1"/>
  <c r="A385" i="3" s="1"/>
  <c r="A396" i="3" s="1"/>
  <c r="A409" i="3" s="1"/>
  <c r="A421" i="3" s="1"/>
  <c r="A433" i="3" s="1"/>
  <c r="A437" i="3" s="1"/>
  <c r="A444" i="3" s="1"/>
  <c r="A452" i="3" s="1"/>
  <c r="A459" i="3" s="1"/>
  <c r="A466" i="3" s="1"/>
  <c r="A471" i="3" s="1"/>
  <c r="A475" i="3" s="1"/>
  <c r="A484" i="3" s="1"/>
  <c r="A495" i="3" s="1"/>
  <c r="A502" i="3" s="1"/>
  <c r="A510" i="3" s="1"/>
  <c r="A519" i="3" s="1"/>
  <c r="A531" i="3" s="1"/>
  <c r="A539" i="3" s="1"/>
  <c r="A543" i="3" s="1"/>
  <c r="A547" i="3" s="1"/>
  <c r="P220" i="3"/>
  <c r="R220" i="3" s="1"/>
  <c r="X220" i="3" s="1"/>
  <c r="X214" i="3"/>
  <c r="P115" i="3"/>
  <c r="Q115" i="3" s="1"/>
  <c r="X115" i="3" s="1"/>
  <c r="X512" i="3"/>
  <c r="P171" i="3"/>
  <c r="R171" i="3" s="1"/>
  <c r="X171" i="3" s="1"/>
  <c r="P105" i="3"/>
  <c r="R105" i="3" s="1"/>
  <c r="X105" i="3" s="1"/>
  <c r="P98" i="3"/>
  <c r="Q98" i="3" s="1"/>
  <c r="X98" i="3" s="1"/>
  <c r="P80" i="3"/>
  <c r="R80" i="3" s="1"/>
  <c r="X80" i="3" s="1"/>
  <c r="P78" i="3"/>
  <c r="R78" i="3" s="1"/>
  <c r="X78" i="3" s="1"/>
  <c r="P68" i="3"/>
  <c r="R68" i="3" s="1"/>
  <c r="X68" i="3" s="1"/>
  <c r="X486" i="3"/>
  <c r="P480" i="3"/>
  <c r="R480" i="3" s="1"/>
  <c r="X480" i="3" s="1"/>
  <c r="P451" i="3"/>
  <c r="V451" i="3" s="1"/>
  <c r="X451" i="3" s="1"/>
  <c r="X447" i="3"/>
  <c r="X356" i="3"/>
  <c r="X350" i="3"/>
  <c r="X346" i="3"/>
  <c r="P322" i="3"/>
  <c r="V322" i="3" s="1"/>
  <c r="P315" i="3"/>
  <c r="V315" i="3" s="1"/>
  <c r="X315" i="3" s="1"/>
  <c r="P282" i="3"/>
  <c r="V282" i="3" s="1"/>
  <c r="X277" i="3"/>
  <c r="X240" i="3"/>
  <c r="X225" i="3"/>
  <c r="P417" i="3"/>
  <c r="S417" i="3" s="1"/>
  <c r="X417" i="3" s="1"/>
  <c r="V412" i="3"/>
  <c r="P408" i="3"/>
  <c r="V408" i="3" s="1"/>
  <c r="X405" i="3"/>
  <c r="P403" i="3"/>
  <c r="S403" i="3" s="1"/>
  <c r="X403" i="3" s="1"/>
  <c r="S402" i="3"/>
  <c r="X402" i="3" s="1"/>
  <c r="V400" i="3"/>
  <c r="X400" i="3" s="1"/>
  <c r="P392" i="3"/>
  <c r="S392" i="3" s="1"/>
  <c r="X389" i="3"/>
  <c r="X383" i="3"/>
  <c r="T380" i="3"/>
  <c r="X380" i="3" s="1"/>
  <c r="X375" i="3"/>
  <c r="T368" i="3"/>
  <c r="X368" i="3" s="1"/>
  <c r="U361" i="3"/>
  <c r="X361" i="3" s="1"/>
  <c r="P358" i="3"/>
  <c r="R358" i="3" s="1"/>
  <c r="X358" i="3" s="1"/>
  <c r="X357" i="3"/>
  <c r="X342" i="3"/>
  <c r="X307" i="3"/>
  <c r="X304" i="3"/>
  <c r="V295" i="3"/>
  <c r="X295" i="3" s="1"/>
  <c r="X292" i="3"/>
  <c r="Q290" i="3"/>
  <c r="X290" i="3" s="1"/>
  <c r="U289" i="3"/>
  <c r="X289" i="3" s="1"/>
  <c r="X280" i="3"/>
  <c r="X272" i="3"/>
  <c r="X269" i="3"/>
  <c r="X263" i="3"/>
  <c r="X262" i="3"/>
  <c r="V257" i="3"/>
  <c r="X257" i="3" s="1"/>
  <c r="P256" i="3"/>
  <c r="V256" i="3" s="1"/>
  <c r="X241" i="3"/>
  <c r="P227" i="3"/>
  <c r="Q227" i="3" s="1"/>
  <c r="X227" i="3" s="1"/>
  <c r="X219" i="3"/>
  <c r="P218" i="3"/>
  <c r="R218" i="3" s="1"/>
  <c r="X218" i="3" s="1"/>
  <c r="P142" i="3"/>
  <c r="R142" i="3" s="1"/>
  <c r="X142" i="3" s="1"/>
  <c r="X126" i="3"/>
  <c r="D31" i="3"/>
  <c r="P45" i="3"/>
  <c r="U45" i="3" s="1"/>
  <c r="T43" i="3"/>
  <c r="N42" i="3"/>
  <c r="N39" i="3" s="1"/>
  <c r="P538" i="3"/>
  <c r="V538" i="3" s="1"/>
  <c r="X538" i="3" s="1"/>
  <c r="X523" i="3"/>
  <c r="P457" i="3"/>
  <c r="Q457" i="3" s="1"/>
  <c r="X457" i="3" s="1"/>
  <c r="X414" i="3"/>
  <c r="X404" i="3"/>
  <c r="P366" i="3"/>
  <c r="V366" i="3" s="1"/>
  <c r="X363" i="3"/>
  <c r="X338" i="3"/>
  <c r="P329" i="3"/>
  <c r="V329" i="3" s="1"/>
  <c r="X327" i="3"/>
  <c r="P308" i="3"/>
  <c r="V308" i="3" s="1"/>
  <c r="X270" i="3"/>
  <c r="P253" i="3"/>
  <c r="R253" i="3" s="1"/>
  <c r="X253" i="3" s="1"/>
  <c r="X204" i="3"/>
  <c r="X202" i="3"/>
  <c r="X201" i="3"/>
  <c r="X200" i="3"/>
  <c r="X199" i="3"/>
  <c r="X198" i="3"/>
  <c r="X195" i="3"/>
  <c r="X190" i="3"/>
  <c r="X183" i="3"/>
  <c r="X175" i="3"/>
  <c r="R169" i="3"/>
  <c r="X169" i="3" s="1"/>
  <c r="X168" i="3"/>
  <c r="X165" i="3"/>
  <c r="X164" i="3"/>
  <c r="X163" i="3"/>
  <c r="P155" i="3"/>
  <c r="V155" i="3" s="1"/>
  <c r="X155" i="3" s="1"/>
  <c r="P154" i="3"/>
  <c r="S154" i="3" s="1"/>
  <c r="X154" i="3" s="1"/>
  <c r="P151" i="3"/>
  <c r="S151" i="3" s="1"/>
  <c r="X151" i="3" s="1"/>
  <c r="X147" i="3"/>
  <c r="X138" i="3"/>
  <c r="X137" i="3"/>
  <c r="X136" i="3"/>
  <c r="P131" i="3"/>
  <c r="S131" i="3" s="1"/>
  <c r="X131" i="3" s="1"/>
  <c r="X129" i="3"/>
  <c r="X128" i="3"/>
  <c r="X125" i="3"/>
  <c r="P117" i="3"/>
  <c r="V117" i="3" s="1"/>
  <c r="X117" i="3" s="1"/>
  <c r="X116" i="3"/>
  <c r="X110" i="3"/>
  <c r="X106" i="3"/>
  <c r="X260" i="3"/>
  <c r="X209" i="3"/>
  <c r="X544" i="3"/>
  <c r="X535" i="3"/>
  <c r="X496" i="3"/>
  <c r="X448" i="3"/>
  <c r="X249" i="3"/>
  <c r="X487" i="3"/>
  <c r="P66" i="3"/>
  <c r="R66" i="3" s="1"/>
  <c r="X66" i="3" s="1"/>
  <c r="X65" i="3"/>
  <c r="X64" i="3"/>
  <c r="X63" i="3"/>
  <c r="X62" i="3"/>
  <c r="X61" i="3"/>
  <c r="P59" i="3"/>
  <c r="V59" i="3" s="1"/>
  <c r="X59" i="3" s="1"/>
  <c r="P58" i="3"/>
  <c r="V58" i="3" s="1"/>
  <c r="X58" i="3" s="1"/>
  <c r="P57" i="3"/>
  <c r="R57" i="3" s="1"/>
  <c r="X57" i="3" s="1"/>
  <c r="X56" i="3"/>
  <c r="X55" i="3"/>
  <c r="X54" i="3"/>
  <c r="X53" i="3"/>
  <c r="X52" i="3"/>
  <c r="X51" i="3"/>
  <c r="X49" i="3"/>
  <c r="P48" i="3"/>
  <c r="V48" i="3" s="1"/>
  <c r="L31" i="3"/>
  <c r="P47" i="3"/>
  <c r="R47" i="3" s="1"/>
  <c r="X46" i="3"/>
  <c r="X44" i="3"/>
  <c r="X236" i="3"/>
  <c r="X232" i="3"/>
  <c r="X514" i="3"/>
  <c r="X446" i="3"/>
  <c r="X326" i="3"/>
  <c r="X297" i="3"/>
  <c r="X478" i="3"/>
  <c r="X545" i="3"/>
  <c r="P443" i="3"/>
  <c r="V443" i="3" s="1"/>
  <c r="P420" i="3"/>
  <c r="V420" i="3" s="1"/>
  <c r="X420" i="3" s="1"/>
  <c r="X477" i="3"/>
  <c r="X424" i="3"/>
  <c r="X532" i="3"/>
  <c r="P528" i="3"/>
  <c r="R528" i="3" s="1"/>
  <c r="X528" i="3" s="1"/>
  <c r="R526" i="3"/>
  <c r="X526" i="3" s="1"/>
  <c r="X525" i="3"/>
  <c r="P518" i="3"/>
  <c r="V518" i="3" s="1"/>
  <c r="X518" i="3" s="1"/>
  <c r="P515" i="3"/>
  <c r="R515" i="3" s="1"/>
  <c r="X515" i="3" s="1"/>
  <c r="X505" i="3"/>
  <c r="P501" i="3"/>
  <c r="V501" i="3" s="1"/>
  <c r="P493" i="3"/>
  <c r="V493" i="3" s="1"/>
  <c r="X493" i="3" s="1"/>
  <c r="X491" i="3"/>
  <c r="X488" i="3"/>
  <c r="V483" i="3"/>
  <c r="T473" i="3"/>
  <c r="X473" i="3" s="1"/>
  <c r="X472" i="3"/>
  <c r="X468" i="3"/>
  <c r="Y466" i="3" s="1"/>
  <c r="P464" i="3"/>
  <c r="Q464" i="3" s="1"/>
  <c r="X464" i="3" s="1"/>
  <c r="T461" i="3"/>
  <c r="X461" i="3" s="1"/>
  <c r="X460" i="3"/>
  <c r="P458" i="3"/>
  <c r="V458" i="3" s="1"/>
  <c r="X458" i="3" s="1"/>
  <c r="P450" i="3"/>
  <c r="R450" i="3" s="1"/>
  <c r="X450" i="3" s="1"/>
  <c r="X449" i="3"/>
  <c r="X425" i="3"/>
  <c r="X422" i="3"/>
  <c r="X416" i="3"/>
  <c r="X411" i="3"/>
  <c r="P407" i="3"/>
  <c r="V407" i="3" s="1"/>
  <c r="X407" i="3" s="1"/>
  <c r="X406" i="3"/>
  <c r="X401" i="3"/>
  <c r="P395" i="3"/>
  <c r="V395" i="3" s="1"/>
  <c r="X393" i="3"/>
  <c r="X390" i="3"/>
  <c r="X388" i="3"/>
  <c r="P384" i="3"/>
  <c r="V384" i="3" s="1"/>
  <c r="X384" i="3" s="1"/>
  <c r="T382" i="3"/>
  <c r="X382" i="3" s="1"/>
  <c r="T379" i="3"/>
  <c r="X379" i="3" s="1"/>
  <c r="X376" i="3"/>
  <c r="P372" i="3"/>
  <c r="Q372" i="3" s="1"/>
  <c r="X372" i="3" s="1"/>
  <c r="P359" i="3"/>
  <c r="V359" i="3" s="1"/>
  <c r="T351" i="3"/>
  <c r="X351" i="3" s="1"/>
  <c r="X341" i="3"/>
  <c r="X319" i="3"/>
  <c r="X318" i="3"/>
  <c r="X306" i="3"/>
  <c r="X298" i="3"/>
  <c r="X288" i="3"/>
  <c r="T285" i="3"/>
  <c r="X285" i="3" s="1"/>
  <c r="T284" i="3"/>
  <c r="X284" i="3" s="1"/>
  <c r="X279" i="3"/>
  <c r="P267" i="3"/>
  <c r="V267" i="3" s="1"/>
  <c r="X265" i="3"/>
  <c r="X259" i="3"/>
  <c r="P255" i="3"/>
  <c r="R255" i="3" s="1"/>
  <c r="X255" i="3" s="1"/>
  <c r="X251" i="3"/>
  <c r="X250" i="3"/>
  <c r="U233" i="3"/>
  <c r="X233" i="3" s="1"/>
  <c r="X223" i="3"/>
  <c r="X345" i="3"/>
  <c r="X245" i="3"/>
  <c r="X520" i="3"/>
  <c r="X516" i="3"/>
  <c r="V494" i="3"/>
  <c r="X494" i="3" s="1"/>
  <c r="P470" i="3"/>
  <c r="Q470" i="3" s="1"/>
  <c r="X470" i="3" s="1"/>
  <c r="X439" i="3"/>
  <c r="X418" i="3"/>
  <c r="X399" i="3"/>
  <c r="X381" i="3"/>
  <c r="X369" i="3"/>
  <c r="X362" i="3"/>
  <c r="X325" i="3"/>
  <c r="P301" i="3"/>
  <c r="V301" i="3" s="1"/>
  <c r="X301" i="3" s="1"/>
  <c r="X276" i="3"/>
  <c r="X244" i="3"/>
  <c r="X194" i="3"/>
  <c r="X79" i="3"/>
  <c r="X77" i="3"/>
  <c r="X76" i="3"/>
  <c r="X75" i="3"/>
  <c r="X67" i="3"/>
  <c r="X224" i="3"/>
  <c r="X410" i="3"/>
  <c r="X386" i="3"/>
  <c r="P335" i="3"/>
  <c r="V335" i="3" s="1"/>
  <c r="X305" i="3"/>
  <c r="X271" i="3"/>
  <c r="X248" i="3"/>
  <c r="X445" i="3"/>
  <c r="X438" i="3"/>
  <c r="X431" i="3"/>
  <c r="P394" i="3"/>
  <c r="S394" i="3" s="1"/>
  <c r="X370" i="3"/>
  <c r="X364" i="3"/>
  <c r="X332" i="3"/>
  <c r="X293" i="3"/>
  <c r="X278" i="3"/>
  <c r="P266" i="3"/>
  <c r="R266" i="3" s="1"/>
  <c r="X266" i="3" s="1"/>
  <c r="X252" i="3"/>
  <c r="P221" i="3"/>
  <c r="V221" i="3" s="1"/>
  <c r="X217" i="3"/>
  <c r="P206" i="3"/>
  <c r="V206" i="3" s="1"/>
  <c r="X206" i="3" s="1"/>
  <c r="X188" i="3"/>
  <c r="X187" i="3"/>
  <c r="X182" i="3"/>
  <c r="X179" i="3"/>
  <c r="P172" i="3"/>
  <c r="V172" i="3" s="1"/>
  <c r="X172" i="3" s="1"/>
  <c r="X170" i="3"/>
  <c r="X157" i="3"/>
  <c r="X150" i="3"/>
  <c r="X149" i="3"/>
  <c r="X148" i="3"/>
  <c r="P145" i="3"/>
  <c r="V145" i="3" s="1"/>
  <c r="X145" i="3" s="1"/>
  <c r="X143" i="3"/>
  <c r="X140" i="3"/>
  <c r="X139" i="3"/>
  <c r="P132" i="3"/>
  <c r="S132" i="3" s="1"/>
  <c r="X132" i="3" s="1"/>
  <c r="P130" i="3"/>
  <c r="S130" i="3" s="1"/>
  <c r="X130" i="3" s="1"/>
  <c r="X121" i="3"/>
  <c r="X120" i="3"/>
  <c r="X119" i="3"/>
  <c r="X113" i="3"/>
  <c r="X112" i="3"/>
  <c r="X111" i="3"/>
  <c r="P108" i="3"/>
  <c r="V108" i="3" s="1"/>
  <c r="X108" i="3" s="1"/>
  <c r="X104" i="3"/>
  <c r="X101" i="3"/>
  <c r="X100" i="3"/>
  <c r="X93" i="3"/>
  <c r="X92" i="3"/>
  <c r="X91" i="3"/>
  <c r="X90" i="3"/>
  <c r="X89" i="3"/>
  <c r="X86" i="3"/>
  <c r="X85" i="3"/>
  <c r="X83" i="3"/>
  <c r="P81" i="3"/>
  <c r="V81" i="3" s="1"/>
  <c r="X81" i="3" s="1"/>
  <c r="X74" i="3"/>
  <c r="X73" i="3"/>
  <c r="X261" i="3"/>
  <c r="X237" i="3"/>
  <c r="X540" i="3"/>
  <c r="X499" i="3"/>
  <c r="X434" i="3"/>
  <c r="Y433" i="3" s="1"/>
  <c r="X413" i="3"/>
  <c r="X387" i="3"/>
  <c r="X354" i="3"/>
  <c r="P517" i="3"/>
  <c r="R517" i="3" s="1"/>
  <c r="X517" i="3" s="1"/>
  <c r="X476" i="3"/>
  <c r="X440" i="3"/>
  <c r="P432" i="3"/>
  <c r="V432" i="3" s="1"/>
  <c r="P430" i="3"/>
  <c r="Q430" i="3" s="1"/>
  <c r="X430" i="3" s="1"/>
  <c r="P419" i="3"/>
  <c r="V419" i="3" s="1"/>
  <c r="P415" i="3"/>
  <c r="S415" i="3" s="1"/>
  <c r="X415" i="3" s="1"/>
  <c r="X398" i="3"/>
  <c r="P373" i="3"/>
  <c r="V373" i="3" s="1"/>
  <c r="P365" i="3"/>
  <c r="R365" i="3" s="1"/>
  <c r="X365" i="3" s="1"/>
  <c r="X355" i="3"/>
  <c r="X311" i="3"/>
  <c r="P281" i="3"/>
  <c r="Q281" i="3" s="1"/>
  <c r="X281" i="3" s="1"/>
  <c r="P273" i="3"/>
  <c r="R273" i="3" s="1"/>
  <c r="X273" i="3" s="1"/>
  <c r="X189" i="3"/>
  <c r="X186" i="3"/>
  <c r="X178" i="3"/>
  <c r="X174" i="3"/>
  <c r="X167" i="3"/>
  <c r="X166" i="3"/>
  <c r="X159" i="3"/>
  <c r="X158" i="3"/>
  <c r="P153" i="3"/>
  <c r="S153" i="3" s="1"/>
  <c r="X153" i="3" s="1"/>
  <c r="P152" i="3"/>
  <c r="S152" i="3" s="1"/>
  <c r="X152" i="3" s="1"/>
  <c r="X141" i="3"/>
  <c r="P134" i="3"/>
  <c r="V134" i="3" s="1"/>
  <c r="X134" i="3" s="1"/>
  <c r="P133" i="3"/>
  <c r="S133" i="3" s="1"/>
  <c r="X133" i="3" s="1"/>
  <c r="X127" i="3"/>
  <c r="X103" i="3"/>
  <c r="X102" i="3"/>
  <c r="X96" i="3"/>
  <c r="X95" i="3"/>
  <c r="Y94" i="3" s="1"/>
  <c r="P87" i="3"/>
  <c r="V87" i="3" s="1"/>
  <c r="X87" i="3" s="1"/>
  <c r="X84" i="3"/>
  <c r="X72" i="3"/>
  <c r="P70" i="3"/>
  <c r="V70" i="3" s="1"/>
  <c r="X70" i="3" s="1"/>
  <c r="P69" i="3"/>
  <c r="V69" i="3" s="1"/>
  <c r="X69" i="3" s="1"/>
  <c r="P264" i="3"/>
  <c r="R264" i="3" s="1"/>
  <c r="X264" i="3" s="1"/>
  <c r="X423" i="3"/>
  <c r="X333" i="3"/>
  <c r="X320" i="3"/>
  <c r="X299" i="3"/>
  <c r="X548" i="3"/>
  <c r="X541" i="3"/>
  <c r="X503" i="3"/>
  <c r="X455" i="3"/>
  <c r="S39" i="3" l="1"/>
  <c r="H31" i="3" s="1"/>
  <c r="Q39" i="3"/>
  <c r="F31" i="3" s="1"/>
  <c r="X490" i="3"/>
  <c r="Y484" i="3" s="1"/>
  <c r="R39" i="3"/>
  <c r="G31" i="3" s="1"/>
  <c r="X274" i="3"/>
  <c r="Y268" i="3" s="1"/>
  <c r="V39" i="3"/>
  <c r="K31" i="3" s="1"/>
  <c r="Y243" i="3"/>
  <c r="Y207" i="3"/>
  <c r="T39" i="3"/>
  <c r="I31" i="3" s="1"/>
  <c r="P39" i="3"/>
  <c r="U39" i="3"/>
  <c r="J31" i="3" s="1"/>
  <c r="Y239" i="3"/>
  <c r="Y177" i="3"/>
  <c r="Y88" i="3"/>
  <c r="Y344" i="3"/>
  <c r="Y283" i="3"/>
  <c r="Y471" i="3"/>
  <c r="Y173" i="3"/>
  <c r="Y287" i="3"/>
  <c r="Y118" i="3"/>
  <c r="Y336" i="3"/>
  <c r="Y71" i="3"/>
  <c r="Y185" i="3"/>
  <c r="Y181" i="3"/>
  <c r="Y531" i="3"/>
  <c r="Y340" i="3"/>
  <c r="Y310" i="3"/>
  <c r="Y50" i="3"/>
  <c r="X394" i="3"/>
  <c r="X443" i="3"/>
  <c r="Y437" i="3" s="1"/>
  <c r="X412" i="3"/>
  <c r="X408" i="3"/>
  <c r="Y396" i="3" s="1"/>
  <c r="X329" i="3"/>
  <c r="Y324" i="3" s="1"/>
  <c r="X308" i="3"/>
  <c r="Y303" i="3" s="1"/>
  <c r="X366" i="3"/>
  <c r="Y360" i="3" s="1"/>
  <c r="Y547" i="3"/>
  <c r="Y502" i="3"/>
  <c r="X230" i="3"/>
  <c r="X45" i="3"/>
  <c r="X43" i="3"/>
  <c r="X48" i="3"/>
  <c r="X335" i="3"/>
  <c r="X322" i="3"/>
  <c r="X282" i="3"/>
  <c r="Y197" i="3"/>
  <c r="Y231" i="3"/>
  <c r="X256" i="3"/>
  <c r="X501" i="3"/>
  <c r="X483" i="3"/>
  <c r="Y475" i="3" s="1"/>
  <c r="X359" i="3"/>
  <c r="Y378" i="3"/>
  <c r="Y539" i="3"/>
  <c r="X529" i="3"/>
  <c r="Y519" i="3" s="1"/>
  <c r="Y510" i="3"/>
  <c r="Y193" i="3"/>
  <c r="X267" i="3"/>
  <c r="X395" i="3"/>
  <c r="Y444" i="3"/>
  <c r="X465" i="3"/>
  <c r="Y459" i="3" s="1"/>
  <c r="Y349" i="3"/>
  <c r="Y156" i="3"/>
  <c r="Y99" i="3"/>
  <c r="Y82" i="3"/>
  <c r="X419" i="3"/>
  <c r="X47" i="3"/>
  <c r="Y135" i="3"/>
  <c r="Y452" i="3"/>
  <c r="X392" i="3"/>
  <c r="Y124" i="3"/>
  <c r="Y374" i="3"/>
  <c r="Y162" i="3"/>
  <c r="Y146" i="3"/>
  <c r="X221" i="3"/>
  <c r="X373" i="3"/>
  <c r="Y367" i="3" s="1"/>
  <c r="Y60" i="3"/>
  <c r="X432" i="3"/>
  <c r="Y109" i="3"/>
  <c r="Y543" i="3"/>
  <c r="Y291" i="3"/>
  <c r="Y235" i="3"/>
  <c r="Y296" i="3"/>
  <c r="X551" i="3" l="1"/>
  <c r="X39" i="3"/>
  <c r="Y39" i="3" s="1"/>
  <c r="Y258" i="3"/>
  <c r="Y222" i="3"/>
  <c r="Y42" i="3"/>
  <c r="Y275" i="3"/>
  <c r="Y409" i="3"/>
  <c r="Y385" i="3"/>
  <c r="Y247" i="3"/>
  <c r="Y331" i="3"/>
  <c r="Y353" i="3"/>
  <c r="Y495" i="3"/>
  <c r="Y317" i="3"/>
  <c r="M31" i="3"/>
  <c r="Y212" i="3"/>
  <c r="Y421" i="3"/>
  <c r="N3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Sruthy Maria Jose</author>
  </authors>
  <commentList>
    <comment ref="M11" authorId="0" shapeId="0" xr:uid="{2D9AB02C-C164-4F64-94BF-ED824CBAF539}">
      <text>
        <r>
          <rPr>
            <b/>
            <sz val="9"/>
            <color indexed="81"/>
            <rFont val="Tahoma"/>
            <family val="2"/>
          </rPr>
          <t>Sruthy Maria Jose:</t>
        </r>
        <r>
          <rPr>
            <sz val="9"/>
            <color indexed="81"/>
            <rFont val="Tahoma"/>
            <family val="2"/>
          </rPr>
          <t xml:space="preserve">
As per general notes SE100, clause 13.04</t>
        </r>
      </text>
    </comment>
  </commentList>
</comments>
</file>

<file path=xl/sharedStrings.xml><?xml version="1.0" encoding="utf-8"?>
<sst xmlns="http://schemas.openxmlformats.org/spreadsheetml/2006/main" count="1113" uniqueCount="154">
  <si>
    <t xml:space="preserve">Stirupps </t>
  </si>
  <si>
    <t xml:space="preserve">Bottom bars </t>
  </si>
  <si>
    <t>Top bars</t>
  </si>
  <si>
    <t>B18</t>
  </si>
  <si>
    <t>B17</t>
  </si>
  <si>
    <t>B15</t>
  </si>
  <si>
    <t>SFR</t>
  </si>
  <si>
    <t>B14</t>
  </si>
  <si>
    <t>B13</t>
  </si>
  <si>
    <t>B12</t>
  </si>
  <si>
    <t>B11</t>
  </si>
  <si>
    <t>B10</t>
  </si>
  <si>
    <t>B9</t>
  </si>
  <si>
    <t>B8</t>
  </si>
  <si>
    <t>Top bars -extra</t>
  </si>
  <si>
    <t>B7</t>
  </si>
  <si>
    <t>B6</t>
  </si>
  <si>
    <t>Spacer bars</t>
  </si>
  <si>
    <t>Bottom bars -extra</t>
  </si>
  <si>
    <t>B5</t>
  </si>
  <si>
    <t>B4</t>
  </si>
  <si>
    <t>B3</t>
  </si>
  <si>
    <t>B2</t>
  </si>
  <si>
    <t>B1</t>
  </si>
  <si>
    <t>B29A</t>
  </si>
  <si>
    <t>C - Hook</t>
  </si>
  <si>
    <t>Top bars-extra</t>
  </si>
  <si>
    <t>B60</t>
  </si>
  <si>
    <t>B59</t>
  </si>
  <si>
    <t>B58</t>
  </si>
  <si>
    <t>B57</t>
  </si>
  <si>
    <t>B56</t>
  </si>
  <si>
    <t>B55</t>
  </si>
  <si>
    <t>B54</t>
  </si>
  <si>
    <t>B53</t>
  </si>
  <si>
    <t>B52</t>
  </si>
  <si>
    <t>Bottom bars-extra</t>
  </si>
  <si>
    <t>B51</t>
  </si>
  <si>
    <t>B50</t>
  </si>
  <si>
    <t>B49</t>
  </si>
  <si>
    <t>B48</t>
  </si>
  <si>
    <t>B47</t>
  </si>
  <si>
    <t>B43</t>
  </si>
  <si>
    <t>B45</t>
  </si>
  <si>
    <t>B42</t>
  </si>
  <si>
    <t>B41</t>
  </si>
  <si>
    <t>B40</t>
  </si>
  <si>
    <t>B39</t>
  </si>
  <si>
    <t>B38</t>
  </si>
  <si>
    <t>B34</t>
  </si>
  <si>
    <t>B33</t>
  </si>
  <si>
    <t>B32</t>
  </si>
  <si>
    <t>B31</t>
  </si>
  <si>
    <t>B30</t>
  </si>
  <si>
    <t>B29</t>
  </si>
  <si>
    <t>B28</t>
  </si>
  <si>
    <t>B27</t>
  </si>
  <si>
    <t>B26</t>
  </si>
  <si>
    <t>B25</t>
  </si>
  <si>
    <t>B21</t>
  </si>
  <si>
    <t>B23</t>
  </si>
  <si>
    <t>B22</t>
  </si>
  <si>
    <t>B20</t>
  </si>
  <si>
    <t>B19</t>
  </si>
  <si>
    <t>Bottom bars - extra</t>
  </si>
  <si>
    <t>B46</t>
  </si>
  <si>
    <t>L &gt; 1.2</t>
  </si>
  <si>
    <t>0.75 &lt; L &lt;= 1.2</t>
  </si>
  <si>
    <t>0.3 &lt; L &lt;= 0.75</t>
  </si>
  <si>
    <t>L = 0.3</t>
  </si>
  <si>
    <t>Concrete (m³)</t>
  </si>
  <si>
    <t>Conc/Shtr</t>
  </si>
  <si>
    <t>Reinf.</t>
  </si>
  <si>
    <t>Kg/Cum</t>
  </si>
  <si>
    <t>Steel in KG</t>
  </si>
  <si>
    <t>Total Length</t>
  </si>
  <si>
    <t>Cutting Length</t>
  </si>
  <si>
    <t>Shuttering Size wise Splitup</t>
  </si>
  <si>
    <t>Shuttering (m²)</t>
  </si>
  <si>
    <t>Quantity</t>
  </si>
  <si>
    <t>D (m)</t>
  </si>
  <si>
    <t>D/Dvlp L (m)</t>
  </si>
  <si>
    <t>B(m)/ No.</t>
  </si>
  <si>
    <t>L/ Spcng (m)</t>
  </si>
  <si>
    <t>No./Dia.</t>
  </si>
  <si>
    <t>Description</t>
  </si>
  <si>
    <t>SI no</t>
  </si>
  <si>
    <t>Clubhouse</t>
  </si>
  <si>
    <t>Concrete, Shuttering and Reinforcement Quantity Breakup :</t>
  </si>
  <si>
    <t>M30</t>
  </si>
  <si>
    <t>CLUBHOUSE</t>
  </si>
  <si>
    <t>PVC PIPE</t>
  </si>
  <si>
    <t>TIE ROD</t>
  </si>
  <si>
    <t>GAUGE PIECE</t>
  </si>
  <si>
    <t>Grade of concrete</t>
  </si>
  <si>
    <t>TOTAL-MT</t>
  </si>
  <si>
    <t>32mm</t>
  </si>
  <si>
    <t>25mm</t>
  </si>
  <si>
    <t>20mm</t>
  </si>
  <si>
    <t>16mm</t>
  </si>
  <si>
    <t>12mm</t>
  </si>
  <si>
    <t>10mm</t>
  </si>
  <si>
    <t>8 mm</t>
  </si>
  <si>
    <t>Shuttering</t>
  </si>
  <si>
    <t>Concrete</t>
  </si>
  <si>
    <t>ABSTRACT</t>
  </si>
  <si>
    <t>M40 &amp; &gt;</t>
  </si>
  <si>
    <t>M35</t>
  </si>
  <si>
    <t>M25</t>
  </si>
  <si>
    <t>M20</t>
  </si>
  <si>
    <t>Dia (mm)</t>
  </si>
  <si>
    <t>Fe500-D</t>
  </si>
  <si>
    <t>Development Length &amp; Anchorage</t>
  </si>
  <si>
    <t xml:space="preserve">Spacer bar </t>
  </si>
  <si>
    <t>Fe500D</t>
  </si>
  <si>
    <t xml:space="preserve">Grade of Steel </t>
  </si>
  <si>
    <t>thickness of slab in (m)</t>
  </si>
  <si>
    <t>PIN BAR LENGTH (M)</t>
  </si>
  <si>
    <t>PIN BAR SPACING (M)</t>
  </si>
  <si>
    <t>PIN BAR DIAMETER (M)</t>
  </si>
  <si>
    <t xml:space="preserve">WIDTH OF BEAM </t>
  </si>
  <si>
    <t>Cover in (m)</t>
  </si>
  <si>
    <t>PIN BAR LENGTH :</t>
  </si>
  <si>
    <t>Details :</t>
  </si>
  <si>
    <t>B(m)/ No</t>
  </si>
  <si>
    <t>CLUBHOUSE - ALL FLOORS</t>
  </si>
  <si>
    <t>Dwg referred</t>
  </si>
  <si>
    <t>SBA</t>
  </si>
  <si>
    <t>Sobha Galera Clubhouse</t>
  </si>
  <si>
    <t xml:space="preserve">Project : </t>
  </si>
  <si>
    <t>TERRACE FLOOR &amp; ABOVE TERRACE</t>
  </si>
  <si>
    <t>FF</t>
  </si>
  <si>
    <t xml:space="preserve">Bottom bars -extra  </t>
  </si>
  <si>
    <t>B24</t>
  </si>
  <si>
    <t>B37</t>
  </si>
  <si>
    <t>B44</t>
  </si>
  <si>
    <t>BR1</t>
  </si>
  <si>
    <t>BR2</t>
  </si>
  <si>
    <t>Total - CH- TF</t>
  </si>
  <si>
    <t>Clubhouse -Terrace floor beam</t>
  </si>
  <si>
    <t>TF</t>
  </si>
  <si>
    <t>B15A</t>
  </si>
  <si>
    <t>B16(CANTI)</t>
  </si>
  <si>
    <t>B19A</t>
  </si>
  <si>
    <t xml:space="preserve">Bottom bars -extra </t>
  </si>
  <si>
    <t>B25A</t>
  </si>
  <si>
    <t xml:space="preserve">                               </t>
  </si>
  <si>
    <t>B30A (CANTI)</t>
  </si>
  <si>
    <t>B34A (CANTI)</t>
  </si>
  <si>
    <t>B35 (CANTI)</t>
  </si>
  <si>
    <t>B36 (CANTI)</t>
  </si>
  <si>
    <t>Reinforcement-in MT&amp;KG</t>
  </si>
  <si>
    <t>kg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</si>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</sst>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.000_);_(* \(#,##0.0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0070C0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color theme="3" tint="-0.499984740745262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32">
    <xf numFmtId="0" fontId="0" fillId="0" borderId="0" xfId="0"/>
    <xf numFmtId="164" fontId="2" fillId="0" borderId="0" xfId="1" applyFont="1" applyFill="1"/>
    <xf numFmtId="164" fontId="2" fillId="0" borderId="0" xfId="1" applyFont="1" applyFill="1" applyAlignment="1">
      <alignment vertical="center"/>
    </xf>
    <xf numFmtId="164" fontId="2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left" vertical="center"/>
    </xf>
    <xf numFmtId="164" fontId="2" fillId="0" borderId="0" xfId="1" applyFont="1"/>
    <xf numFmtId="164" fontId="2" fillId="0" borderId="0" xfId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2" fillId="0" borderId="0" xfId="1" applyFont="1" applyAlignment="1">
      <alignment horizontal="center" vertical="center" wrapText="1"/>
    </xf>
    <xf numFmtId="164" fontId="2" fillId="0" borderId="0" xfId="1" applyFont="1" applyAlignment="1">
      <alignment horizontal="left" vertical="center"/>
    </xf>
    <xf numFmtId="164" fontId="4" fillId="0" borderId="0" xfId="1" applyFont="1" applyAlignment="1">
      <alignment horizontal="center" vertical="center" wrapText="1"/>
    </xf>
    <xf numFmtId="164" fontId="2" fillId="2" borderId="0" xfId="1" applyFont="1" applyFill="1" applyAlignment="1">
      <alignment horizontal="center" vertical="center"/>
    </xf>
    <xf numFmtId="164" fontId="2" fillId="0" borderId="0" xfId="1" applyFont="1" applyAlignment="1">
      <alignment vertical="center"/>
    </xf>
    <xf numFmtId="164" fontId="2" fillId="3" borderId="0" xfId="1" applyFont="1" applyFill="1" applyAlignment="1">
      <alignment horizontal="center" vertical="center"/>
    </xf>
    <xf numFmtId="164" fontId="2" fillId="4" borderId="0" xfId="1" applyFont="1" applyFill="1" applyAlignment="1">
      <alignment horizontal="center" vertical="center"/>
    </xf>
    <xf numFmtId="164" fontId="2" fillId="5" borderId="0" xfId="1" applyFont="1" applyFill="1" applyAlignment="1">
      <alignment horizontal="center" vertical="center"/>
    </xf>
    <xf numFmtId="164" fontId="3" fillId="5" borderId="0" xfId="1" applyFont="1" applyFill="1" applyAlignment="1">
      <alignment horizontal="left" vertical="center"/>
    </xf>
    <xf numFmtId="164" fontId="7" fillId="0" borderId="0" xfId="1" applyFont="1" applyFill="1" applyBorder="1" applyAlignment="1">
      <alignment horizontal="center" vertical="center"/>
    </xf>
    <xf numFmtId="164" fontId="7" fillId="0" borderId="0" xfId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4" fontId="3" fillId="0" borderId="0" xfId="1" applyFont="1" applyFill="1" applyBorder="1" applyAlignment="1">
      <alignment horizontal="center" vertical="center" wrapText="1"/>
    </xf>
    <xf numFmtId="164" fontId="7" fillId="6" borderId="2" xfId="1" applyFont="1" applyFill="1" applyBorder="1" applyAlignment="1">
      <alignment horizontal="center" vertical="center" wrapText="1"/>
    </xf>
    <xf numFmtId="2" fontId="3" fillId="6" borderId="2" xfId="0" applyNumberFormat="1" applyFont="1" applyFill="1" applyBorder="1" applyAlignment="1">
      <alignment horizontal="center" vertical="center" wrapText="1"/>
    </xf>
    <xf numFmtId="1" fontId="3" fillId="6" borderId="4" xfId="0" applyNumberFormat="1" applyFont="1" applyFill="1" applyBorder="1" applyAlignment="1">
      <alignment horizontal="center" vertical="center" wrapText="1"/>
    </xf>
    <xf numFmtId="164" fontId="7" fillId="6" borderId="7" xfId="1" applyFont="1" applyFill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 wrapText="1"/>
    </xf>
    <xf numFmtId="1" fontId="3" fillId="6" borderId="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3" fillId="9" borderId="13" xfId="0" applyNumberFormat="1" applyFont="1" applyFill="1" applyBorder="1" applyAlignment="1">
      <alignment horizontal="center" vertical="center" wrapText="1"/>
    </xf>
    <xf numFmtId="164" fontId="7" fillId="9" borderId="13" xfId="2" applyFont="1" applyFill="1" applyBorder="1" applyAlignment="1">
      <alignment horizontal="left" vertical="center"/>
    </xf>
    <xf numFmtId="164" fontId="2" fillId="0" borderId="0" xfId="1" applyFont="1" applyFill="1" applyBorder="1" applyAlignment="1">
      <alignment horizontal="center" vertical="center" wrapText="1"/>
    </xf>
    <xf numFmtId="164" fontId="2" fillId="0" borderId="13" xfId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 wrapText="1"/>
    </xf>
    <xf numFmtId="164" fontId="3" fillId="0" borderId="13" xfId="1" applyFont="1" applyFill="1" applyBorder="1" applyAlignment="1">
      <alignment horizontal="center" vertical="center" wrapText="1"/>
    </xf>
    <xf numFmtId="165" fontId="2" fillId="0" borderId="13" xfId="1" applyNumberFormat="1" applyFont="1" applyFill="1" applyBorder="1" applyAlignment="1">
      <alignment horizontal="center" vertical="center"/>
    </xf>
    <xf numFmtId="164" fontId="6" fillId="0" borderId="13" xfId="2" applyFont="1" applyFill="1" applyBorder="1" applyAlignment="1">
      <alignment horizontal="center" vertical="center"/>
    </xf>
    <xf numFmtId="164" fontId="6" fillId="0" borderId="13" xfId="2" applyFont="1" applyFill="1" applyBorder="1" applyAlignment="1">
      <alignment horizontal="left" vertical="center"/>
    </xf>
    <xf numFmtId="39" fontId="6" fillId="0" borderId="13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2" fontId="2" fillId="9" borderId="13" xfId="0" applyNumberFormat="1" applyFont="1" applyFill="1" applyBorder="1" applyAlignment="1">
      <alignment horizontal="center" vertical="center" wrapText="1"/>
    </xf>
    <xf numFmtId="165" fontId="2" fillId="9" borderId="13" xfId="1" applyNumberFormat="1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 wrapText="1"/>
    </xf>
    <xf numFmtId="39" fontId="7" fillId="9" borderId="13" xfId="2" applyNumberFormat="1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2" fontId="3" fillId="9" borderId="16" xfId="0" applyNumberFormat="1" applyFont="1" applyFill="1" applyBorder="1" applyAlignment="1">
      <alignment horizontal="center" vertical="center" wrapText="1"/>
    </xf>
    <xf numFmtId="164" fontId="7" fillId="9" borderId="18" xfId="2" applyFont="1" applyFill="1" applyBorder="1" applyAlignment="1">
      <alignment horizontal="left" vertical="center"/>
    </xf>
    <xf numFmtId="39" fontId="7" fillId="9" borderId="18" xfId="2" applyNumberFormat="1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2" fontId="2" fillId="9" borderId="16" xfId="0" applyNumberFormat="1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vertical="center"/>
    </xf>
    <xf numFmtId="0" fontId="3" fillId="9" borderId="19" xfId="0" applyFont="1" applyFill="1" applyBorder="1" applyAlignment="1">
      <alignment vertical="center"/>
    </xf>
    <xf numFmtId="0" fontId="2" fillId="9" borderId="19" xfId="0" applyFont="1" applyFill="1" applyBorder="1" applyAlignment="1">
      <alignment vertical="center"/>
    </xf>
    <xf numFmtId="0" fontId="2" fillId="9" borderId="18" xfId="0" applyFont="1" applyFill="1" applyBorder="1" applyAlignment="1">
      <alignment vertical="center"/>
    </xf>
    <xf numFmtId="164" fontId="6" fillId="9" borderId="19" xfId="2" applyFont="1" applyFill="1" applyBorder="1" applyAlignment="1">
      <alignment horizontal="center" vertical="center"/>
    </xf>
    <xf numFmtId="164" fontId="6" fillId="9" borderId="19" xfId="2" applyFont="1" applyFill="1" applyBorder="1" applyAlignment="1">
      <alignment horizontal="left" vertical="center"/>
    </xf>
    <xf numFmtId="39" fontId="7" fillId="9" borderId="19" xfId="2" applyNumberFormat="1" applyFont="1" applyFill="1" applyBorder="1" applyAlignment="1">
      <alignment horizontal="left" vertical="center"/>
    </xf>
    <xf numFmtId="39" fontId="7" fillId="9" borderId="18" xfId="2" applyNumberFormat="1" applyFont="1" applyFill="1" applyBorder="1" applyAlignment="1">
      <alignment horizontal="left" vertical="center"/>
    </xf>
    <xf numFmtId="164" fontId="10" fillId="3" borderId="13" xfId="3" applyFont="1" applyFill="1" applyBorder="1" applyAlignment="1">
      <alignment horizontal="center" vertical="center"/>
    </xf>
    <xf numFmtId="164" fontId="10" fillId="0" borderId="13" xfId="3" applyFont="1" applyFill="1" applyBorder="1" applyAlignment="1">
      <alignment horizontal="center" vertical="center"/>
    </xf>
    <xf numFmtId="164" fontId="10" fillId="2" borderId="13" xfId="3" applyFont="1" applyFill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  <xf numFmtId="164" fontId="2" fillId="0" borderId="23" xfId="1" applyFont="1" applyBorder="1" applyAlignment="1">
      <alignment horizontal="center" vertical="center" wrapText="1"/>
    </xf>
    <xf numFmtId="164" fontId="2" fillId="0" borderId="20" xfId="1" applyFont="1" applyBorder="1" applyAlignment="1">
      <alignment horizontal="center" vertical="center" wrapText="1"/>
    </xf>
    <xf numFmtId="164" fontId="2" fillId="0" borderId="22" xfId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 wrapText="1"/>
    </xf>
    <xf numFmtId="164" fontId="2" fillId="0" borderId="27" xfId="1" applyFont="1" applyBorder="1" applyAlignment="1">
      <alignment horizontal="center" vertical="center" wrapText="1"/>
    </xf>
    <xf numFmtId="164" fontId="2" fillId="0" borderId="24" xfId="1" applyFont="1" applyBorder="1" applyAlignment="1">
      <alignment horizontal="center" vertical="center" wrapText="1"/>
    </xf>
    <xf numFmtId="164" fontId="2" fillId="0" borderId="26" xfId="1" applyFont="1" applyBorder="1" applyAlignment="1">
      <alignment horizontal="center" vertical="center" wrapText="1"/>
    </xf>
    <xf numFmtId="2" fontId="3" fillId="2" borderId="28" xfId="0" applyNumberFormat="1" applyFont="1" applyFill="1" applyBorder="1" applyAlignment="1">
      <alignment horizontal="center" vertical="center" wrapText="1"/>
    </xf>
    <xf numFmtId="2" fontId="3" fillId="2" borderId="29" xfId="0" applyNumberFormat="1" applyFont="1" applyFill="1" applyBorder="1" applyAlignment="1">
      <alignment horizontal="center" vertical="center" wrapText="1"/>
    </xf>
    <xf numFmtId="164" fontId="3" fillId="2" borderId="29" xfId="1" applyFont="1" applyFill="1" applyBorder="1" applyAlignment="1">
      <alignment horizontal="center" vertical="center" wrapText="1"/>
    </xf>
    <xf numFmtId="1" fontId="3" fillId="2" borderId="29" xfId="0" applyNumberFormat="1" applyFont="1" applyFill="1" applyBorder="1" applyAlignment="1">
      <alignment horizontal="center" vertical="center" wrapText="1"/>
    </xf>
    <xf numFmtId="1" fontId="3" fillId="2" borderId="30" xfId="0" applyNumberFormat="1" applyFont="1" applyFill="1" applyBorder="1" applyAlignment="1">
      <alignment horizontal="center" vertical="center" wrapText="1"/>
    </xf>
    <xf numFmtId="1" fontId="3" fillId="2" borderId="31" xfId="0" applyNumberFormat="1" applyFont="1" applyFill="1" applyBorder="1" applyAlignment="1">
      <alignment horizontal="center" vertical="center" wrapText="1"/>
    </xf>
    <xf numFmtId="164" fontId="5" fillId="0" borderId="0" xfId="1" applyFont="1" applyAlignment="1">
      <alignment vertical="center"/>
    </xf>
    <xf numFmtId="165" fontId="2" fillId="0" borderId="0" xfId="1" applyNumberFormat="1" applyFont="1" applyAlignment="1">
      <alignment vertical="center"/>
    </xf>
    <xf numFmtId="164" fontId="11" fillId="0" borderId="28" xfId="1" applyFont="1" applyBorder="1" applyAlignment="1">
      <alignment horizontal="center" vertical="center" wrapText="1"/>
    </xf>
    <xf numFmtId="164" fontId="11" fillId="0" borderId="29" xfId="1" applyFont="1" applyBorder="1" applyAlignment="1">
      <alignment horizontal="center" vertical="center" wrapText="1"/>
    </xf>
    <xf numFmtId="164" fontId="11" fillId="0" borderId="31" xfId="1" applyFont="1" applyBorder="1" applyAlignment="1">
      <alignment horizontal="center" vertical="center" wrapText="1"/>
    </xf>
    <xf numFmtId="164" fontId="3" fillId="0" borderId="0" xfId="1" applyFont="1"/>
    <xf numFmtId="164" fontId="6" fillId="0" borderId="0" xfId="1" applyFont="1" applyAlignment="1">
      <alignment horizontal="center" vertical="center"/>
    </xf>
    <xf numFmtId="164" fontId="2" fillId="4" borderId="0" xfId="1" applyFont="1" applyFill="1" applyAlignment="1">
      <alignment horizontal="left" vertical="center"/>
    </xf>
    <xf numFmtId="164" fontId="6" fillId="4" borderId="0" xfId="1" applyFont="1" applyFill="1" applyAlignment="1">
      <alignment horizontal="center" vertical="center"/>
    </xf>
    <xf numFmtId="164" fontId="5" fillId="0" borderId="0" xfId="1" applyFont="1" applyAlignment="1">
      <alignment horizontal="center" vertical="center"/>
    </xf>
    <xf numFmtId="164" fontId="3" fillId="11" borderId="0" xfId="1" applyFont="1" applyFill="1" applyAlignment="1">
      <alignment horizontal="center" vertical="center"/>
    </xf>
    <xf numFmtId="164" fontId="2" fillId="11" borderId="0" xfId="1" applyFont="1" applyFill="1" applyAlignment="1">
      <alignment horizontal="center" vertical="center"/>
    </xf>
    <xf numFmtId="164" fontId="2" fillId="11" borderId="0" xfId="1" applyFont="1" applyFill="1" applyAlignment="1">
      <alignment horizontal="left" vertical="center"/>
    </xf>
    <xf numFmtId="164" fontId="2" fillId="11" borderId="0" xfId="1" applyFont="1" applyFill="1" applyAlignment="1">
      <alignment horizontal="center" vertical="center" wrapText="1"/>
    </xf>
    <xf numFmtId="164" fontId="2" fillId="11" borderId="0" xfId="1" applyFont="1" applyFill="1"/>
    <xf numFmtId="164" fontId="4" fillId="0" borderId="0" xfId="1" applyFont="1" applyFill="1" applyAlignment="1">
      <alignment horizontal="center" vertical="center" wrapText="1"/>
    </xf>
    <xf numFmtId="164" fontId="3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center" vertical="center" wrapText="1"/>
    </xf>
    <xf numFmtId="2" fontId="3" fillId="8" borderId="13" xfId="0" applyNumberFormat="1" applyFont="1" applyFill="1" applyBorder="1" applyAlignment="1">
      <alignment horizontal="center" vertical="center" wrapText="1"/>
    </xf>
    <xf numFmtId="2" fontId="3" fillId="7" borderId="12" xfId="0" applyNumberFormat="1" applyFont="1" applyFill="1" applyBorder="1" applyAlignment="1">
      <alignment horizontal="center" vertical="center" wrapText="1"/>
    </xf>
    <xf numFmtId="2" fontId="3" fillId="7" borderId="0" xfId="0" applyNumberFormat="1" applyFont="1" applyFill="1" applyAlignment="1">
      <alignment horizontal="center" vertical="center" wrapText="1"/>
    </xf>
    <xf numFmtId="2" fontId="3" fillId="7" borderId="11" xfId="0" applyNumberFormat="1" applyFont="1" applyFill="1" applyBorder="1" applyAlignment="1">
      <alignment horizontal="center" vertical="center" wrapText="1"/>
    </xf>
    <xf numFmtId="1" fontId="3" fillId="6" borderId="10" xfId="0" applyNumberFormat="1" applyFont="1" applyFill="1" applyBorder="1" applyAlignment="1">
      <alignment horizontal="center" vertical="center" wrapText="1"/>
    </xf>
    <xf numFmtId="1" fontId="3" fillId="6" borderId="5" xfId="0" applyNumberFormat="1" applyFont="1" applyFill="1" applyBorder="1" applyAlignment="1">
      <alignment horizontal="center" vertical="center" wrapText="1"/>
    </xf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2" xfId="0" applyNumberFormat="1" applyFont="1" applyFill="1" applyBorder="1" applyAlignment="1">
      <alignment horizontal="center" vertical="center" wrapText="1"/>
    </xf>
    <xf numFmtId="1" fontId="3" fillId="6" borderId="7" xfId="0" applyNumberFormat="1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2" fontId="3" fillId="6" borderId="8" xfId="0" applyNumberFormat="1" applyFont="1" applyFill="1" applyBorder="1" applyAlignment="1">
      <alignment horizontal="center" vertical="center" wrapText="1"/>
    </xf>
    <xf numFmtId="2" fontId="3" fillId="6" borderId="3" xfId="0" applyNumberFormat="1" applyFont="1" applyFill="1" applyBorder="1" applyAlignment="1">
      <alignment horizontal="center" vertical="center" wrapText="1"/>
    </xf>
    <xf numFmtId="164" fontId="7" fillId="6" borderId="7" xfId="1" applyFont="1" applyFill="1" applyBorder="1" applyAlignment="1">
      <alignment horizontal="center" vertical="center" wrapText="1"/>
    </xf>
    <xf numFmtId="164" fontId="7" fillId="6" borderId="2" xfId="1" applyFont="1" applyFill="1" applyBorder="1" applyAlignment="1">
      <alignment horizontal="center" vertical="center" wrapText="1"/>
    </xf>
    <xf numFmtId="164" fontId="7" fillId="6" borderId="6" xfId="1" applyFont="1" applyFill="1" applyBorder="1" applyAlignment="1">
      <alignment horizontal="center" vertical="center"/>
    </xf>
    <xf numFmtId="164" fontId="7" fillId="6" borderId="1" xfId="1" applyFont="1" applyFill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 wrapText="1"/>
    </xf>
    <xf numFmtId="164" fontId="11" fillId="0" borderId="19" xfId="1" applyFont="1" applyBorder="1" applyAlignment="1">
      <alignment horizontal="center" vertical="center" wrapText="1"/>
    </xf>
    <xf numFmtId="164" fontId="11" fillId="0" borderId="16" xfId="1" applyFont="1" applyBorder="1" applyAlignment="1">
      <alignment horizontal="center" vertical="center" wrapText="1"/>
    </xf>
    <xf numFmtId="1" fontId="2" fillId="10" borderId="1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9" borderId="17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2" fontId="3" fillId="9" borderId="13" xfId="0" applyNumberFormat="1" applyFont="1" applyFill="1" applyBorder="1" applyAlignment="1">
      <alignment horizontal="center" vertical="center" wrapText="1"/>
    </xf>
    <xf numFmtId="164" fontId="3" fillId="9" borderId="13" xfId="1" applyFont="1" applyFill="1" applyBorder="1" applyAlignment="1">
      <alignment horizontal="center" vertical="center" wrapText="1"/>
    </xf>
    <xf numFmtId="2" fontId="3" fillId="9" borderId="17" xfId="0" applyNumberFormat="1" applyFont="1" applyFill="1" applyBorder="1" applyAlignment="1">
      <alignment horizontal="center" vertical="center" wrapText="1"/>
    </xf>
    <xf numFmtId="2" fontId="3" fillId="9" borderId="14" xfId="0" applyNumberFormat="1" applyFont="1" applyFill="1" applyBorder="1" applyAlignment="1">
      <alignment horizontal="center" vertical="center" wrapText="1"/>
    </xf>
  </cellXfs>
  <cellStyles count="7">
    <cellStyle name="Comma" xfId="1" builtinId="3"/>
    <cellStyle name="Comma 10" xfId="2" xr:uid="{1C5FDF23-176B-474D-A7F2-18039BE22019}"/>
    <cellStyle name="Comma 10 2" xfId="6" xr:uid="{1597D09E-4921-41C9-A8DC-E9345172B611}"/>
    <cellStyle name="Comma 2" xfId="4" xr:uid="{C2CFAE94-24B1-469C-8270-A845B01BDA49}"/>
    <cellStyle name="Comma 4 3" xfId="3" xr:uid="{056EE840-8421-4EAF-BA2D-8B9233E7ADFF}"/>
    <cellStyle name="Comma 4 3 2" xfId="5" xr:uid="{862B88A7-B19C-4905-985A-AAC52EC94E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ivya\DIVYA\Sobha%20Amethyst\DETAILED%20WORKINGS\Estimate%20for%20approval\Detail%20Estimate-Sobha%20Amethyst-Divya-13.11.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My%20Documents\ESHWARI\jan-06\Documents%20and%20Settings\administrator\Desktop\Costing%20Aug-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TC_VOL2.ho\temp%20J\Final%20Account\Barakah\BAB_9010B_va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AHARA-CITY-HOMES\GWALIOR\OTH-AMEN\BLOCK%20ESTIMATE\MA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Pentahouse\B.O.Q%2004-05-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KNOWLEDGE-PARK-CHANDIGRH-AHC\BLOCK%20EST\BLOCK%20A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armalake%20lands\2%20Structure.xlsx" TargetMode="External"/><Relationship Id="rId1" Type="http://schemas.openxmlformats.org/officeDocument/2006/relationships/externalLinkPath" Target="file:///\\datasvm01.sobha.com\Data_003\Karmalake%20lands\2%20Structur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n-server\VOL3\BandF\Housing\kkp\KKP-ISO\KKP-ISO-9001-1994\stds\GN-ST-06(2)(Design%20Sheet-Ruled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sting%20Aug%2031%20recon%20-%20Tulip-pq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DT-069Q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06\SobhaData\Users\santha.moorthy\Documents\Rio%20vista%20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quantity\QCS\003.03%20qc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%20Folder\Projecteed%20Cost%20Mayflower\28.03.07%20Mayflower%20Projected%20cost%20(%2005-04-07)\Labour%20Bills%2028.03.07\Labour%20Bills%20Abstrac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radha\mis9899\consoli\sept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SAKAL%20CHARITY\Comaparative%20statement\Comparative-3-05-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6jisha\e\Documents%20and%20Settings\cs1482\Desktop\RENT%20MASTER%20FIL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Kerala\05_Ca_Riovista\02_Detailed\02_Detailed_Est\Detailed%20Estimate\Column%20schedule%20-%20Rio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2\Tulip%20ajitha\Documents%20and%20Settings\sevvel\Local%20Settings\Temp\TULIP%20new%20PQ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tahouse\B.O.Q%2004-05-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mwig\AppData\Local\Microsoft\Windows\Temporary%20Internet%20Files\Low\Content.IE5\U3G3UDA7\WORD%20FILES%20TENDER%2011%20DEC%202010\VOLUME-III%20-%2010%20jan%202011\I.T.%20PARK-S.KUMAR\ESTIMATE-15.10.0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%20%20drive\meera\Prelaunch%20Estimates\Sobha%20Dewflower\Dew%20flower%20new\Prelaunch%20Est%20-%20Dewflower%20(rev%20after%20launch%20meetng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499uma\PROJECTS%20&amp;%20COSTING%20SHEETS\hybiscus\New%20Hybiscus\MASTER%20WORK%20SHEET%20-%20ESTIMATE%20HIBISCU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hana\Sobha%20Rose\Documents%20and%20Settings\sheshagiriacc\Desktop\Tulip%20Reco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gha\d\hybiscus\New%20Hybiscus\MASTER%20WORK%20SHEET%20-%20ESTIMATE%20HIBISCU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Drawing1.dwg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ract-aruna\public_aruna\Public_Aruna\contracts(ak)\Hyderabad\Mes\MES-SEC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16.0.119\SobhaData\EST-Data\Karnataka\46_BrooklynTower\02_Detailed\02_Detailed_Est\Detailed%20Estimate\02%20Structure.xlsx" TargetMode="External"/><Relationship Id="rId1" Type="http://schemas.openxmlformats.org/officeDocument/2006/relationships/externalLinkPath" Target="file:///\\172.16.0.119\SobhaData\EST-Data\Karnataka\46_BrooklynTower\02_Detailed\02_Detailed_Est\Detailed%20Estimate\02%20Structur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suraj\Local%20Settings\Temp\30.06.07-Taj%20Residency%20at%20ITPL,%20Bangalore-acct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vm01.sobha.com\Data_003\winchester%20backup\18-1-18\Winchester-%20flat%20slab%20&amp;%20Slab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36\e%20share\SOBHA%20DAHLIA\RECONCILIATION\MARCH\hybiscus\New%20Hybiscus\MASTER%20WORK%20SHEET%20-%20ESTIMATE%20HIBISCU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Common\04_Est_Ref\Dinesh\Royal%20Pavilion%20Club%20house\Clubhouse%20-%20Royal%20Pavilion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46\Shared%20Folder\hybiscus\New%20Hybiscus\MASTER%20WORK%20SHEET%20-%20ESTIMATE%20HIBISCU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rmation"/>
      <sheetName val="Material resource"/>
      <sheetName val="Labour resource"/>
      <sheetName val="Estimate for approval"/>
      <sheetName val="Total Quantity"/>
      <sheetName val="Material rates (June-08)"/>
      <sheetName val="Material rates (July-08)"/>
      <sheetName val="Material rates (October-08)"/>
      <sheetName val="Material rates (Jan-09)"/>
      <sheetName val="Price list-Blocks"/>
      <sheetName val="08-09 SLR"/>
      <sheetName val="ABSTR-Plumbing Estimate"/>
      <sheetName val="Tower crane SLR"/>
      <sheetName val="PlasteringOther-SLR"/>
      <sheetName val="P &amp; M avilability"/>
      <sheetName val="P&amp;M -Final"/>
      <sheetName val="07-08 SLR"/>
      <sheetName val="Anti Termite"/>
      <sheetName val="Steel weighted average"/>
      <sheetName val="Abstract- All Reinforcement"/>
      <sheetName val="Reinf-Footing"/>
      <sheetName val="Isolated Footing"/>
      <sheetName val="Raft Footing"/>
      <sheetName val="Pedestal"/>
      <sheetName val="Slope Cutting"/>
      <sheetName val="Excavation-Abs"/>
      <sheetName val="Podium-Exc"/>
      <sheetName val="Tower Mass Exc"/>
      <sheetName val="Backfill"/>
      <sheetName val="Excavation "/>
      <sheetName val="PCC &amp; RCC for footing"/>
      <sheetName val="Retaining Wall"/>
      <sheetName val="Ret wall reft"/>
      <sheetName val="vdf flooring"/>
      <sheetName val="Abstract-Colums"/>
      <sheetName val="Below Lower Basement-Col"/>
      <sheetName val="From LB floor to UB floor-Col"/>
      <sheetName val="From UB floor to G floor-Col"/>
      <sheetName val="From G floor to F floor-Col"/>
      <sheetName val="From F floor to S floor-Col"/>
      <sheetName val="From S floor to T floor-Col"/>
      <sheetName val="From T floor to F floor-Col"/>
      <sheetName val="From F floor to Fif  floor-Col"/>
      <sheetName val="From Fi floor to Six floor-Col"/>
      <sheetName val="From Six  floor to Se floor-Col"/>
      <sheetName val="From Se floor to Eig floor-Col"/>
      <sheetName val="From Ei floor to Nin floor-Col"/>
      <sheetName val="From Ni floor to Ten floor-Col"/>
      <sheetName val="Tenth to 11th floor"/>
      <sheetName val="11th to 12th floor"/>
      <sheetName val="12th to 13th floor"/>
      <sheetName val="13th to 14th floor"/>
      <sheetName val="14th to 15th floor"/>
      <sheetName val="15th to 16th floor"/>
      <sheetName val="16th to 17th floor"/>
      <sheetName val="17th to 18th floor"/>
      <sheetName val="columns in terrace floor"/>
      <sheetName val="Column Splicing"/>
      <sheetName val="Cover Blocks"/>
      <sheetName val="Abstract-Slab LB"/>
      <sheetName val="L.B. Roof Slab- Block 1&amp;4"/>
      <sheetName val="L.B. Roof Slab-Block 2&amp;3"/>
      <sheetName val="ABSTRACT-slab UB"/>
      <sheetName val="U.B. Roof Slab block1&amp;4"/>
      <sheetName val="U.B. Roof Slab block2"/>
      <sheetName val="ABSTRACT slab GF"/>
      <sheetName val="Ground floor slab -Blk1&amp;4"/>
      <sheetName val="Ground floor slab -Blk2&amp;3"/>
      <sheetName val="ABSTRACT slab 1st floor"/>
      <sheetName val="First floor slab -Blk1&amp;4"/>
      <sheetName val="First floor slab -Blk2&amp;3"/>
      <sheetName val="ABSTRACT slab typ flr"/>
      <sheetName val="Typical floor slab -Blk1&amp;4"/>
      <sheetName val="Typical floor slab -Blk2&amp;3"/>
      <sheetName val="Typ flr slab-II lvl -B1&amp;4"/>
      <sheetName val="Abstract-Beams LB"/>
      <sheetName val="L.B.Roof Beams-Block 1&amp;4"/>
      <sheetName val="L.B. Roof beams-Block 2&amp;3"/>
      <sheetName val="ABSTRACT beams UB"/>
      <sheetName val="Upper Basement floor-B1&amp;4"/>
      <sheetName val="Upper Basement-Beams-Block2"/>
      <sheetName val="Upper Basement-Block3"/>
      <sheetName val="ABSTRACT beam GF"/>
      <sheetName val="Ground floor-B1&amp;4"/>
      <sheetName val="Ground Floor-Beams-Block2&amp;3"/>
      <sheetName val="ABSTRACT beams 1st flr"/>
      <sheetName val="first floor-B1&amp;4"/>
      <sheetName val="first Floor-Beams-Block2&amp;3"/>
      <sheetName val="ABSTRACT beam typ floor"/>
      <sheetName val="Typ floor-B1&amp;4"/>
      <sheetName val="Typ Floor-Beams-Block2&amp;3"/>
      <sheetName val="13th flr roof beam B1&amp;4"/>
      <sheetName val="13th Flr roof-Beams-B2&amp;3 "/>
      <sheetName val="14th-18t flr roof beam B1&amp;4"/>
      <sheetName val="14th-18 Flr roof-Beams-B2&amp;3"/>
      <sheetName val="ABSTRACT staircase"/>
      <sheetName val="Staircase block-1A"/>
      <sheetName val="Staircase-1A(Reif)"/>
      <sheetName val="Staircase block-1B"/>
      <sheetName val="Staircase-1B(Reif) "/>
      <sheetName val="Staircase block-2"/>
      <sheetName val="Staircase block-2(Reif)"/>
      <sheetName val="Abstract lift wall"/>
      <sheetName val="Lift wall Shuttering"/>
      <sheetName val="lift wall-reinf"/>
      <sheetName val="lift wall-Block2 &amp; 3"/>
      <sheetName val="LMR"/>
      <sheetName val="lift wall-Block1 &amp; 4"/>
      <sheetName val="Lintel, chejja,sill"/>
      <sheetName val="Sheet1"/>
      <sheetName val="plastering"/>
      <sheetName val="Plaster Band"/>
      <sheetName val="waterproofing"/>
      <sheetName val="flooring"/>
      <sheetName val="painting"/>
      <sheetName val="Plastering Floorwise "/>
      <sheetName val="blockwork"/>
      <sheetName val="balcony grill  "/>
      <sheetName val="Cello Bubble"/>
      <sheetName val="Tiling-Breakups"/>
      <sheetName val="staircase railing"/>
      <sheetName val="Extra bars"/>
      <sheetName val="doors&amp;windows-others"/>
      <sheetName val="doors&amp;windows-flats"/>
      <sheetName val="sanitary shafts DOORS"/>
      <sheetName val="Al templates &amp; c beads"/>
      <sheetName val="POP fin"/>
      <sheetName val="Al. BOQ"/>
      <sheetName val="Bore"/>
      <sheetName val="Breakup-POP"/>
      <sheetName val="Ramp"/>
      <sheetName val="nib columns"/>
      <sheetName val="Shutt mater"/>
      <sheetName val="food allowance"/>
      <sheetName val="Calciumsilicate encasing"/>
      <sheetName val="UG sump"/>
      <sheetName val="OHT"/>
      <sheetName val="Abstract-Arch.feat."/>
      <sheetName val="Window box"/>
      <sheetName val="Rcc cornice &amp; facia"/>
      <sheetName val="Pls. Grooves"/>
      <sheetName val="Fin wall"/>
      <sheetName val="pergola beams"/>
      <sheetName val="Feature at entrance of each blk"/>
      <sheetName val="Summary( Amethyst) "/>
      <sheetName val="Summary(3Bed)"/>
      <sheetName val="without accomod"/>
      <sheetName val="MS Door"/>
      <sheetName val="Boq"/>
      <sheetName val="Rungs"/>
      <sheetName val="CWD-LB"/>
      <sheetName val="CWD-UB"/>
      <sheetName val="car wash sump-LB-3,4,5"/>
      <sheetName val="CLOTH LINE"/>
      <sheetName val="cement slurry"/>
      <sheetName val="Tiling Labour Costs"/>
      <sheetName val="Fire rated door"/>
      <sheetName val="BOQ- Wooden door"/>
      <sheetName val="Al D -Tower Bolt R1 BOQ"/>
      <sheetName val="ceralatex"/>
      <sheetName val="Amethyst vsMagnolia"/>
      <sheetName val="14th-18t ft_x0000_-_x0000_oof beam B1&amp;4"/>
      <sheetName val="14th-18t ft"/>
      <sheetName val="Project_Information"/>
      <sheetName val="Material_resource"/>
      <sheetName val="Labour_resource"/>
      <sheetName val="Estimate_for_approval"/>
      <sheetName val="Total_Quantity"/>
      <sheetName val="Material_rates_(June-08)"/>
      <sheetName val="Material_rates_(July-08)"/>
      <sheetName val="Material_rates_(October-08)"/>
      <sheetName val="Material_rates_(Jan-09)"/>
      <sheetName val="Price_list-Blocks"/>
      <sheetName val="08-09_SLR"/>
      <sheetName val="ABSTR-Plumbing_Estimate"/>
      <sheetName val="Tower_crane_SLR"/>
      <sheetName val="P_&amp;_M_avilability"/>
      <sheetName val="P&amp;M_-Final"/>
      <sheetName val="07-08_SLR"/>
      <sheetName val="Anti_Termite"/>
      <sheetName val="Steel_weighted_average"/>
      <sheetName val="Abstract-_All_Reinforcement"/>
      <sheetName val="Isolated_Footing"/>
      <sheetName val="Raft_Footing"/>
      <sheetName val="Slope_Cutting"/>
      <sheetName val="Tower_Mass_Exc"/>
      <sheetName val="Excavation_"/>
      <sheetName val="PCC_&amp;_RCC_for_footing"/>
      <sheetName val="Retaining_Wall"/>
      <sheetName val="Ret_wall_reft"/>
      <sheetName val="vdf_flooring"/>
      <sheetName val="Below_Lower_Basement-Col"/>
      <sheetName val="From_LB_floor_to_UB_floor-Col"/>
      <sheetName val="From_UB_floor_to_G_floor-Col"/>
      <sheetName val="From_G_floor_to_F_floor-Col"/>
      <sheetName val="From_F_floor_to_S_floor-Col"/>
      <sheetName val="From_S_floor_to_T_floor-Col"/>
      <sheetName val="From_T_floor_to_F_floor-Col"/>
      <sheetName val="From_F_floor_to_Fif__floor-Col"/>
      <sheetName val="From_Fi_floor_to_Six_floor-Col"/>
      <sheetName val="From_Six__floor_to_Se_floor-Col"/>
      <sheetName val="From_Se_floor_to_Eig_floor-Col"/>
      <sheetName val="From_Ei_floor_to_Nin_floor-Col"/>
      <sheetName val="From_Ni_floor_to_Ten_floor-Col"/>
      <sheetName val="Tenth_to_11th_floor"/>
      <sheetName val="11th_to_12th_floor"/>
      <sheetName val="12th_to_13th_floor"/>
      <sheetName val="13th_to_14th_floor"/>
      <sheetName val="14th_to_15th_floor"/>
      <sheetName val="15th_to_16th_floor"/>
      <sheetName val="16th_to_17th_floor"/>
      <sheetName val="17th_to_18th_floor"/>
      <sheetName val="columns_in_terrace_floor"/>
      <sheetName val="Column_Splicing"/>
      <sheetName val="Cover_Blocks"/>
      <sheetName val="Abstract-Slab_LB"/>
      <sheetName val="L_B__Roof_Slab-_Block_1&amp;4"/>
      <sheetName val="L_B__Roof_Slab-Block_2&amp;3"/>
      <sheetName val="ABSTRACT-slab_UB"/>
      <sheetName val="U_B__Roof_Slab_block1&amp;4"/>
      <sheetName val="U_B__Roof_Slab_block2"/>
      <sheetName val="ABSTRACT_slab_GF"/>
      <sheetName val="Ground_floor_slab_-Blk1&amp;4"/>
      <sheetName val="Ground_floor_slab_-Blk2&amp;3"/>
      <sheetName val="ABSTRACT_slab_1st_floor"/>
      <sheetName val="First_floor_slab_-Blk1&amp;4"/>
      <sheetName val="First_floor_slab_-Blk2&amp;3"/>
      <sheetName val="ABSTRACT_slab_typ_flr"/>
      <sheetName val="Typical_floor_slab_-Blk1&amp;4"/>
      <sheetName val="Typical_floor_slab_-Blk2&amp;3"/>
      <sheetName val="Typ_flr_slab-II_lvl_-B1&amp;4"/>
      <sheetName val="Abstract-Beams_LB"/>
      <sheetName val="L_B_Roof_Beams-Block_1&amp;4"/>
      <sheetName val="L_B__Roof_beams-Block_2&amp;3"/>
      <sheetName val="ABSTRACT_beams_UB"/>
      <sheetName val="Upper_Basement_floor-B1&amp;4"/>
      <sheetName val="Upper_Basement-Beams-Block2"/>
      <sheetName val="Upper_Basement-Block3"/>
      <sheetName val="ABSTRACT_beam_GF"/>
      <sheetName val="Ground_floor-B1&amp;4"/>
      <sheetName val="Ground_Floor-Beams-Block2&amp;3"/>
      <sheetName val="ABSTRACT_beams_1st_flr"/>
      <sheetName val="first_floor-B1&amp;4"/>
      <sheetName val="first_Floor-Beams-Block2&amp;3"/>
      <sheetName val="ABSTRACT_beam_typ_floor"/>
      <sheetName val="Typ_floor-B1&amp;4"/>
      <sheetName val="Typ_Floor-Beams-Block2&amp;3"/>
      <sheetName val="13th_flr_roof_beam_B1&amp;4"/>
      <sheetName val="13th_Flr_roof-Beams-B2&amp;3_"/>
      <sheetName val="14th-18t_flr_roof_beam_B1&amp;4"/>
      <sheetName val="14th-18_Flr_roof-Beams-B2&amp;3"/>
      <sheetName val="ABSTRACT_staircase"/>
      <sheetName val="Staircase_block-1A"/>
      <sheetName val="Staircase_block-1B"/>
      <sheetName val="Staircase-1B(Reif)_"/>
      <sheetName val="Staircase_block-2"/>
      <sheetName val="Staircase_block-2(Reif)"/>
      <sheetName val="Abstract_lift_wall"/>
      <sheetName val="Lift_wall_Shuttering"/>
      <sheetName val="lift_wall-reinf"/>
      <sheetName val="lift_wall-Block2_&amp;_3"/>
      <sheetName val="lift_wall-Block1_&amp;_4"/>
      <sheetName val="Lintel,_chejja,sill"/>
      <sheetName val="Plaster_Band"/>
      <sheetName val="Plastering_Floorwise_"/>
      <sheetName val="balcony_grill__"/>
      <sheetName val="Cello_Bubble"/>
      <sheetName val="staircase_railing"/>
      <sheetName val="Extra_bars"/>
      <sheetName val="sanitary_shafts_DOORS"/>
      <sheetName val="Al_templates_&amp;_c_beads"/>
      <sheetName val="POP_fin"/>
      <sheetName val="Al__BOQ"/>
      <sheetName val="nib_columns"/>
      <sheetName val="Shutt_mater"/>
      <sheetName val="food_allowance"/>
      <sheetName val="Calciumsilicate_encasing"/>
      <sheetName val="UG_sump"/>
      <sheetName val="Abstract-Arch_feat_"/>
      <sheetName val="Window_box"/>
      <sheetName val="Rcc_cornice_&amp;_facia"/>
      <sheetName val="Pls__Grooves"/>
      <sheetName val="Fin_wall"/>
      <sheetName val="pergola_beams"/>
      <sheetName val="Feature_at_entrance_of_each_blk"/>
      <sheetName val="Summary(_Amethyst)_"/>
      <sheetName val="without_accomod"/>
      <sheetName val="MS_Door"/>
      <sheetName val="car_wash_sump-LB-3,4,5"/>
      <sheetName val="CLOTH_LINE"/>
      <sheetName val="cement_slurry"/>
      <sheetName val="Tiling_Labour_Costs"/>
      <sheetName val="Fire_rated_door"/>
      <sheetName val="BOQ-_Wooden_door"/>
      <sheetName val="Al_D_-Tower_Bolt_R1_BOQ"/>
      <sheetName val="Amethyst_vsMagnolia"/>
      <sheetName val="14th-18t_ft-oof_beam_B1&amp;4"/>
      <sheetName val="14th-18t_ft"/>
      <sheetName val="B &amp; C class items "/>
      <sheetName val="SPT vs PHI"/>
      <sheetName val="Rate analysis"/>
      <sheetName val="BILL COV"/>
      <sheetName val="intr stool brkup"/>
      <sheetName val="Project_Information6"/>
      <sheetName val="Material_resource6"/>
      <sheetName val="Labour_resource6"/>
      <sheetName val="Estimate_for_approval6"/>
      <sheetName val="Total_Quantity6"/>
      <sheetName val="Material_rates_(June-08)6"/>
      <sheetName val="Material_rates_(July-08)6"/>
      <sheetName val="Material_rates_(October-08)6"/>
      <sheetName val="Material_rates_(Jan-09)6"/>
      <sheetName val="Price_list-Blocks6"/>
      <sheetName val="08-09_SLR6"/>
      <sheetName val="ABSTR-Plumbing_Estimate6"/>
      <sheetName val="Tower_crane_SLR6"/>
      <sheetName val="P_&amp;_M_avilability6"/>
      <sheetName val="P&amp;M_-Final6"/>
      <sheetName val="07-08_SLR6"/>
      <sheetName val="Anti_Termite6"/>
      <sheetName val="Steel_weighted_average6"/>
      <sheetName val="Abstract-_All_Reinforcement6"/>
      <sheetName val="Isolated_Footing6"/>
      <sheetName val="Raft_Footing6"/>
      <sheetName val="Slope_Cutting6"/>
      <sheetName val="Tower_Mass_Exc6"/>
      <sheetName val="Excavation_6"/>
      <sheetName val="PCC_&amp;_RCC_for_footing6"/>
      <sheetName val="Retaining_Wall6"/>
      <sheetName val="Ret_wall_reft6"/>
      <sheetName val="vdf_flooring6"/>
      <sheetName val="Below_Lower_Basement-Col6"/>
      <sheetName val="From_LB_floor_to_UB_floor-Col6"/>
      <sheetName val="From_UB_floor_to_G_floor-Col6"/>
      <sheetName val="From_G_floor_to_F_floor-Col6"/>
      <sheetName val="From_F_floor_to_S_floor-Col6"/>
      <sheetName val="From_S_floor_to_T_floor-Col6"/>
      <sheetName val="From_T_floor_to_F_floor-Col6"/>
      <sheetName val="From_F_floor_to_Fif__floor-Col6"/>
      <sheetName val="From_Fi_floor_to_Six_floor-Col6"/>
      <sheetName val="From_Six__floor_to_Se_floor-Co6"/>
      <sheetName val="From_Se_floor_to_Eig_floor-Col6"/>
      <sheetName val="From_Ei_floor_to_Nin_floor-Col6"/>
      <sheetName val="From_Ni_floor_to_Ten_floor-Col6"/>
      <sheetName val="Tenth_to_11th_floor6"/>
      <sheetName val="11th_to_12th_floor6"/>
      <sheetName val="12th_to_13th_floor6"/>
      <sheetName val="13th_to_14th_floor6"/>
      <sheetName val="14th_to_15th_floor6"/>
      <sheetName val="15th_to_16th_floor6"/>
      <sheetName val="16th_to_17th_floor6"/>
      <sheetName val="17th_to_18th_floor6"/>
      <sheetName val="columns_in_terrace_floor6"/>
      <sheetName val="Column_Splicing6"/>
      <sheetName val="Cover_Blocks6"/>
      <sheetName val="Abstract-Slab_LB6"/>
      <sheetName val="L_B__Roof_Slab-_Block_1&amp;46"/>
      <sheetName val="L_B__Roof_Slab-Block_2&amp;36"/>
      <sheetName val="ABSTRACT-slab_UB6"/>
      <sheetName val="U_B__Roof_Slab_block1&amp;46"/>
      <sheetName val="U_B__Roof_Slab_block26"/>
      <sheetName val="ABSTRACT_slab_GF6"/>
      <sheetName val="Ground_floor_slab_-Blk1&amp;46"/>
      <sheetName val="Ground_floor_slab_-Blk2&amp;36"/>
      <sheetName val="ABSTRACT_slab_1st_floor6"/>
      <sheetName val="First_floor_slab_-Blk1&amp;46"/>
      <sheetName val="First_floor_slab_-Blk2&amp;36"/>
      <sheetName val="ABSTRACT_slab_typ_flr6"/>
      <sheetName val="RO Plant"/>
      <sheetName val="Typical_floor_slab_-Blk1&amp;46"/>
      <sheetName val="Typical_floor_slab_-Blk2&amp;36"/>
      <sheetName val="Typ_flr_slab-II_lvl_-B1&amp;46"/>
      <sheetName val="Abstract-Beams_LB6"/>
      <sheetName val="L_B_Roof_Beams-Block_1&amp;46"/>
      <sheetName val="L_B__Roof_beams-Block_2&amp;36"/>
      <sheetName val="ABSTRACT_beams_UB6"/>
      <sheetName val="Upper_Basement_floor-B1&amp;46"/>
      <sheetName val="Upper_Basement-Beams-Block26"/>
      <sheetName val="Upper_Basement-Block36"/>
      <sheetName val="ABSTRACT_beam_GF6"/>
      <sheetName val="Ground_floor-B1&amp;46"/>
      <sheetName val="Ground_Floor-Beams-Block2&amp;36"/>
      <sheetName val="ABSTRACT_beams_1st_flr6"/>
      <sheetName val="first_floor-B1&amp;46"/>
      <sheetName val="first_Floor-Beams-Block2&amp;36"/>
      <sheetName val="ABSTRACT_beam_typ_floor6"/>
      <sheetName val="Typ_floor-B1&amp;46"/>
      <sheetName val="Typ_Floor-Beams-Block2&amp;36"/>
      <sheetName val="13th_flr_roof_beam_B1&amp;46"/>
      <sheetName val="13th_Flr_roof-Beams-B2&amp;3_6"/>
      <sheetName val="14th-18t_flr_roof_beam_B1&amp;46"/>
      <sheetName val="14th-18_Flr_roof-Beams-B2&amp;36"/>
      <sheetName val="ABSTRACT_staircase6"/>
      <sheetName val="Staircase_block-1A6"/>
      <sheetName val="Staircase_block-1B6"/>
      <sheetName val="Staircase-1B(Reif)_6"/>
      <sheetName val="Staircase_block-26"/>
      <sheetName val="Staircase_block-2(Reif)6"/>
      <sheetName val="Abstract_lift_wall6"/>
      <sheetName val="Lift_wall_Shuttering6"/>
      <sheetName val="lift_wall-reinf6"/>
      <sheetName val="lift_wall-Block2_&amp;_36"/>
      <sheetName val="lift_wall-Block1_&amp;_46"/>
      <sheetName val="Lintel,_chejja,sill6"/>
      <sheetName val="Plaster_Band6"/>
      <sheetName val="Plastering_Floorwise_6"/>
      <sheetName val="balcony_grill__6"/>
      <sheetName val="Cello_Bubble6"/>
      <sheetName val="staircase_railing6"/>
      <sheetName val="Extra_bars6"/>
      <sheetName val="sanitary_shafts_DOORS6"/>
      <sheetName val="Al_templates_&amp;_c_beads6"/>
      <sheetName val="POP_fin6"/>
      <sheetName val="Al__BOQ6"/>
      <sheetName val="nib_columns6"/>
      <sheetName val="Shutt_mater6"/>
      <sheetName val="food_allowance6"/>
      <sheetName val="Calciumsilicate_encasing6"/>
      <sheetName val="UG_sump6"/>
      <sheetName val="Abstract-Arch_feat_6"/>
      <sheetName val="Window_box6"/>
      <sheetName val="Rcc_cornice_&amp;_facia6"/>
      <sheetName val="Pls__Grooves6"/>
      <sheetName val="Fin_wall6"/>
      <sheetName val="pergola_beams6"/>
      <sheetName val="Feature_at_entrance_of_each_bl6"/>
      <sheetName val="Summary(_Amethyst)_6"/>
      <sheetName val="without_accomod6"/>
      <sheetName val="MS_Door6"/>
      <sheetName val="car_wash_sump-LB-3,4,56"/>
      <sheetName val="CLOTH_LINE6"/>
      <sheetName val="cement_slurry6"/>
      <sheetName val="Tiling_Labour_Costs6"/>
      <sheetName val="Fire_rated_door6"/>
      <sheetName val="BOQ-_Wooden_door6"/>
      <sheetName val="Al_D_-Tower_Bolt_R1_BOQ6"/>
      <sheetName val="Amethyst_vsMagnolia6"/>
      <sheetName val="14th-18t_ft6"/>
      <sheetName val="B_&amp;_C_class_items_5"/>
      <sheetName val="SPT_vs_PHI5"/>
      <sheetName val="BILL_COV5"/>
      <sheetName val="Rate_analysis5"/>
      <sheetName val="intr_stool_brkup5"/>
      <sheetName val="Project_Information4"/>
      <sheetName val="Material_resource4"/>
      <sheetName val="Labour_resource4"/>
      <sheetName val="Estimate_for_approval4"/>
      <sheetName val="Total_Quantity4"/>
      <sheetName val="Material_rates_(June-08)4"/>
      <sheetName val="Material_rates_(July-08)4"/>
      <sheetName val="Material_rates_(October-08)4"/>
      <sheetName val="Material_rates_(Jan-09)4"/>
      <sheetName val="Price_list-Blocks4"/>
      <sheetName val="08-09_SLR4"/>
      <sheetName val="ABSTR-Plumbing_Estimate4"/>
      <sheetName val="Tower_crane_SLR4"/>
      <sheetName val="P_&amp;_M_avilability4"/>
      <sheetName val="P&amp;M_-Final4"/>
      <sheetName val="07-08_SLR4"/>
      <sheetName val="Anti_Termite4"/>
      <sheetName val="Steel_weighted_average4"/>
      <sheetName val="Abstract-_All_Reinforcement4"/>
      <sheetName val="Isolated_Footing4"/>
      <sheetName val="Raft_Footing4"/>
      <sheetName val="Slope_Cutting4"/>
      <sheetName val="Tower_Mass_Exc4"/>
      <sheetName val="Excavation_4"/>
      <sheetName val="PCC_&amp;_RCC_for_footing4"/>
      <sheetName val="Retaining_Wall4"/>
      <sheetName val="Ret_wall_reft4"/>
      <sheetName val="vdf_flooring4"/>
      <sheetName val="Below_Lower_Basement-Col4"/>
      <sheetName val="From_LB_floor_to_UB_floor-Col4"/>
      <sheetName val="From_UB_floor_to_G_floor-Col4"/>
      <sheetName val="From_G_floor_to_F_floor-Col4"/>
      <sheetName val="From_F_floor_to_S_floor-Col4"/>
      <sheetName val="From_S_floor_to_T_floor-Col4"/>
      <sheetName val="From_T_floor_to_F_floor-Col4"/>
      <sheetName val="From_F_floor_to_Fif__floor-Col4"/>
      <sheetName val="From_Fi_floor_to_Six_floor-Col4"/>
      <sheetName val="From_Six__floor_to_Se_floor-Co4"/>
      <sheetName val="From_Se_floor_to_Eig_floor-Col4"/>
      <sheetName val="From_Ei_floor_to_Nin_floor-Col4"/>
      <sheetName val="From_Ni_floor_to_Ten_floor-Col4"/>
      <sheetName val="Tenth_to_11th_floor4"/>
      <sheetName val="11th_to_12th_floor4"/>
      <sheetName val="12th_to_13th_floor4"/>
      <sheetName val="13th_to_14th_floor4"/>
      <sheetName val="14th_to_15th_floor4"/>
      <sheetName val="15th_to_16th_floor4"/>
      <sheetName val="16th_to_17th_floor4"/>
      <sheetName val="17th_to_18th_floor4"/>
      <sheetName val="columns_in_terrace_floor4"/>
      <sheetName val="Column_Splicing4"/>
      <sheetName val="Cover_Blocks4"/>
      <sheetName val="Abstract-Slab_LB4"/>
      <sheetName val="L_B__Roof_Slab-_Block_1&amp;44"/>
      <sheetName val="L_B__Roof_Slab-Block_2&amp;34"/>
      <sheetName val="ABSTRACT-slab_UB4"/>
      <sheetName val="U_B__Roof_Slab_block1&amp;44"/>
      <sheetName val="U_B__Roof_Slab_block24"/>
      <sheetName val="ABSTRACT_slab_GF4"/>
      <sheetName val="Ground_floor_slab_-Blk1&amp;44"/>
      <sheetName val="Ground_floor_slab_-Blk2&amp;34"/>
      <sheetName val="ABSTRACT_slab_1st_floor4"/>
      <sheetName val="First_floor_slab_-Blk1&amp;44"/>
      <sheetName val="First_floor_slab_-Blk2&amp;34"/>
      <sheetName val="ABSTRACT_slab_typ_flr4"/>
      <sheetName val="Typical_floor_slab_-Blk1&amp;44"/>
      <sheetName val="Typical_floor_slab_-Blk2&amp;34"/>
      <sheetName val="Typ_flr_slab-II_lvl_-B1&amp;44"/>
      <sheetName val="Abstract-Beams_LB4"/>
      <sheetName val="L_B_Roof_Beams-Block_1&amp;44"/>
      <sheetName val="L_B__Roof_beams-Block_2&amp;34"/>
      <sheetName val="ABSTRACT_beams_UB4"/>
      <sheetName val="Upper_Basement_floor-B1&amp;44"/>
      <sheetName val="Upper_Basement-Beams-Block24"/>
      <sheetName val="Upper_Basement-Block34"/>
      <sheetName val="ABSTRACT_beam_GF4"/>
      <sheetName val="Ground_floor-B1&amp;44"/>
      <sheetName val="Ground_Floor-Beams-Block2&amp;34"/>
      <sheetName val="ABSTRACT_beams_1st_flr4"/>
      <sheetName val="first_floor-B1&amp;44"/>
      <sheetName val="first_Floor-Beams-Block2&amp;34"/>
      <sheetName val="ABSTRACT_beam_typ_floor4"/>
      <sheetName val="Typ_floor-B1&amp;44"/>
      <sheetName val="Typ_Floor-Beams-Block2&amp;34"/>
      <sheetName val="13th_flr_roof_beam_B1&amp;44"/>
      <sheetName val="13th_Flr_roof-Beams-B2&amp;3_4"/>
      <sheetName val="14th-18t_flr_roof_beam_B1&amp;44"/>
      <sheetName val="14th-18_Flr_roof-Beams-B2&amp;34"/>
      <sheetName val="ABSTRACT_staircase4"/>
      <sheetName val="Staircase_block-1A4"/>
      <sheetName val="Staircase_block-1B4"/>
      <sheetName val="Staircase-1B(Reif)_4"/>
      <sheetName val="Staircase_block-24"/>
      <sheetName val="Staircase_block-2(Reif)4"/>
      <sheetName val="Abstract_lift_wall4"/>
      <sheetName val="Lift_wall_Shuttering4"/>
      <sheetName val="lift_wall-reinf4"/>
      <sheetName val="lift_wall-Block2_&amp;_34"/>
      <sheetName val="lift_wall-Block1_&amp;_44"/>
      <sheetName val="Lintel,_chejja,sill4"/>
      <sheetName val="Plaster_Band4"/>
      <sheetName val="Plastering_Floorwise_4"/>
      <sheetName val="balcony_grill__4"/>
      <sheetName val="Cello_Bubble4"/>
      <sheetName val="staircase_railing4"/>
      <sheetName val="Extra_bars4"/>
      <sheetName val="sanitary_shafts_DOORS4"/>
      <sheetName val="Al_templates_&amp;_c_beads4"/>
      <sheetName val="POP_fin4"/>
      <sheetName val="Al__BOQ4"/>
      <sheetName val="nib_columns4"/>
      <sheetName val="Shutt_mater4"/>
      <sheetName val="food_allowance4"/>
      <sheetName val="Calciumsilicate_encasing4"/>
      <sheetName val="UG_sump4"/>
      <sheetName val="Abstract-Arch_feat_4"/>
      <sheetName val="Window_box4"/>
      <sheetName val="Rcc_cornice_&amp;_facia4"/>
      <sheetName val="Pls__Grooves4"/>
      <sheetName val="Fin_wall4"/>
      <sheetName val="pergola_beams4"/>
      <sheetName val="Feature_at_entrance_of_each_bl4"/>
      <sheetName val="Summary(_Amethyst)_4"/>
      <sheetName val="without_accomod4"/>
      <sheetName val="MS_Door4"/>
      <sheetName val="car_wash_sump-LB-3,4,54"/>
      <sheetName val="CLOTH_LINE4"/>
      <sheetName val="cement_slurry4"/>
      <sheetName val="Tiling_Labour_Costs4"/>
      <sheetName val="Fire_rated_door4"/>
      <sheetName val="BOQ-_Wooden_door4"/>
      <sheetName val="Al_D_-Tower_Bolt_R1_BOQ4"/>
      <sheetName val="Amethyst_vsMagnolia4"/>
      <sheetName val="14th-18t_ft4"/>
      <sheetName val="B_&amp;_C_class_items_3"/>
      <sheetName val="SPT_vs_PHI3"/>
      <sheetName val="BILL_COV3"/>
      <sheetName val="Rate_analysis3"/>
      <sheetName val="intr_stool_brkup3"/>
      <sheetName val="Project_Information3"/>
      <sheetName val="Material_resource3"/>
      <sheetName val="Labour_resource3"/>
      <sheetName val="Estimate_for_approval3"/>
      <sheetName val="Total_Quantity3"/>
      <sheetName val="Material_rates_(June-08)3"/>
      <sheetName val="Material_rates_(July-08)3"/>
      <sheetName val="Material_rates_(October-08)3"/>
      <sheetName val="Material_rates_(Jan-09)3"/>
      <sheetName val="Price_list-Blocks3"/>
      <sheetName val="08-09_SLR3"/>
      <sheetName val="ABSTR-Plumbing_Estimate3"/>
      <sheetName val="Tower_crane_SLR3"/>
      <sheetName val="P_&amp;_M_avilability3"/>
      <sheetName val="P&amp;M_-Final3"/>
      <sheetName val="07-08_SLR3"/>
      <sheetName val="Anti_Termite3"/>
      <sheetName val="Steel_weighted_average3"/>
      <sheetName val="Abstract-_All_Reinforcement3"/>
      <sheetName val="Isolated_Footing3"/>
      <sheetName val="Raft_Footing3"/>
      <sheetName val="Slope_Cutting3"/>
      <sheetName val="Tower_Mass_Exc3"/>
      <sheetName val="Excavation_3"/>
      <sheetName val="PCC_&amp;_RCC_for_footing3"/>
      <sheetName val="Retaining_Wall3"/>
      <sheetName val="Ret_wall_reft3"/>
      <sheetName val="vdf_flooring3"/>
      <sheetName val="Below_Lower_Basement-Col3"/>
      <sheetName val="From_LB_floor_to_UB_floor-Col3"/>
      <sheetName val="From_UB_floor_to_G_floor-Col3"/>
      <sheetName val="From_G_floor_to_F_floor-Col3"/>
      <sheetName val="From_F_floor_to_S_floor-Col3"/>
      <sheetName val="From_S_floor_to_T_floor-Col3"/>
      <sheetName val="From_T_floor_to_F_floor-Col3"/>
      <sheetName val="From_F_floor_to_Fif__floor-Col3"/>
      <sheetName val="From_Fi_floor_to_Six_floor-Col3"/>
      <sheetName val="From_Six__floor_to_Se_floor-Co3"/>
      <sheetName val="From_Se_floor_to_Eig_floor-Col3"/>
      <sheetName val="From_Ei_floor_to_Nin_floor-Col3"/>
      <sheetName val="From_Ni_floor_to_Ten_floor-Col3"/>
      <sheetName val="Tenth_to_11th_floor3"/>
      <sheetName val="11th_to_12th_floor3"/>
      <sheetName val="12th_to_13th_floor3"/>
      <sheetName val="13th_to_14th_floor3"/>
      <sheetName val="14th_to_15th_floor3"/>
      <sheetName val="15th_to_16th_floor3"/>
      <sheetName val="16th_to_17th_floor3"/>
      <sheetName val="17th_to_18th_floor3"/>
      <sheetName val="columns_in_terrace_floor3"/>
      <sheetName val="Column_Splicing3"/>
      <sheetName val="Cover_Blocks3"/>
      <sheetName val="Abstract-Slab_LB3"/>
      <sheetName val="L_B__Roof_Slab-_Block_1&amp;43"/>
      <sheetName val="L_B__Roof_Slab-Block_2&amp;33"/>
      <sheetName val="ABSTRACT-slab_UB3"/>
      <sheetName val="U_B__Roof_Slab_block1&amp;43"/>
      <sheetName val="U_B__Roof_Slab_block23"/>
      <sheetName val="ABSTRACT_slab_GF3"/>
      <sheetName val="Ground_floor_slab_-Blk1&amp;43"/>
      <sheetName val="Ground_floor_slab_-Blk2&amp;33"/>
      <sheetName val="ABSTRACT_slab_1st_floor3"/>
      <sheetName val="First_floor_slab_-Blk1&amp;43"/>
      <sheetName val="First_floor_slab_-Blk2&amp;33"/>
      <sheetName val="ABSTRACT_slab_typ_flr3"/>
      <sheetName val="Typical_floor_slab_-Blk1&amp;43"/>
      <sheetName val="Typical_floor_slab_-Blk2&amp;33"/>
      <sheetName val="Typ_flr_slab-II_lvl_-B1&amp;43"/>
      <sheetName val="Abstract-Beams_LB3"/>
      <sheetName val="L_B_Roof_Beams-Block_1&amp;43"/>
      <sheetName val="L_B__Roof_beams-Block_2&amp;33"/>
      <sheetName val="ABSTRACT_beams_UB3"/>
      <sheetName val="Upper_Basement_floor-B1&amp;43"/>
      <sheetName val="Upper_Basement-Beams-Block23"/>
      <sheetName val="Upper_Basement-Block33"/>
      <sheetName val="ABSTRACT_beam_GF3"/>
      <sheetName val="Ground_floor-B1&amp;43"/>
      <sheetName val="Ground_Floor-Beams-Block2&amp;33"/>
      <sheetName val="ABSTRACT_beams_1st_flr3"/>
      <sheetName val="first_floor-B1&amp;43"/>
      <sheetName val="first_Floor-Beams-Block2&amp;33"/>
      <sheetName val="ABSTRACT_beam_typ_floor3"/>
      <sheetName val="Typ_floor-B1&amp;43"/>
      <sheetName val="Typ_Floor-Beams-Block2&amp;33"/>
      <sheetName val="13th_flr_roof_beam_B1&amp;43"/>
      <sheetName val="13th_Flr_roof-Beams-B2&amp;3_3"/>
      <sheetName val="14th-18t_flr_roof_beam_B1&amp;43"/>
      <sheetName val="14th-18_Flr_roof-Beams-B2&amp;33"/>
      <sheetName val="ABSTRACT_staircase3"/>
      <sheetName val="Staircase_block-1A3"/>
      <sheetName val="Staircase_block-1B3"/>
      <sheetName val="Staircase-1B(Reif)_3"/>
      <sheetName val="Staircase_block-23"/>
      <sheetName val="Staircase_block-2(Reif)3"/>
      <sheetName val="Abstract_lift_wall3"/>
      <sheetName val="Lift_wall_Shuttering3"/>
      <sheetName val="lift_wall-reinf3"/>
      <sheetName val="lift_wall-Block2_&amp;_33"/>
      <sheetName val="lift_wall-Block1_&amp;_43"/>
      <sheetName val="Lintel,_chejja,sill3"/>
      <sheetName val="Plaster_Band3"/>
      <sheetName val="Plastering_Floorwise_3"/>
      <sheetName val="balcony_grill__3"/>
      <sheetName val="Cello_Bubble3"/>
      <sheetName val="staircase_railing3"/>
      <sheetName val="Extra_bars3"/>
      <sheetName val="sanitary_shafts_DOORS3"/>
      <sheetName val="Al_templates_&amp;_c_beads3"/>
      <sheetName val="POP_fin3"/>
      <sheetName val="Al__BOQ3"/>
      <sheetName val="nib_columns3"/>
      <sheetName val="Shutt_mater3"/>
      <sheetName val="food_allowance3"/>
      <sheetName val="Calciumsilicate_encasing3"/>
      <sheetName val="UG_sump3"/>
      <sheetName val="Abstract-Arch_feat_3"/>
      <sheetName val="Window_box3"/>
      <sheetName val="Rcc_cornice_&amp;_facia3"/>
      <sheetName val="Pls__Grooves3"/>
      <sheetName val="Fin_wall3"/>
      <sheetName val="pergola_beams3"/>
      <sheetName val="Feature_at_entrance_of_each_bl3"/>
      <sheetName val="Summary(_Amethyst)_3"/>
      <sheetName val="without_accomod3"/>
      <sheetName val="MS_Door3"/>
      <sheetName val="car_wash_sump-LB-3,4,53"/>
      <sheetName val="CLOTH_LINE3"/>
      <sheetName val="cement_slurry3"/>
      <sheetName val="Tiling_Labour_Costs3"/>
      <sheetName val="Fire_rated_door3"/>
      <sheetName val="BOQ-_Wooden_door3"/>
      <sheetName val="Al_D_-Tower_Bolt_R1_BOQ3"/>
      <sheetName val="Amethyst_vsMagnolia3"/>
      <sheetName val="14th-18t_ft3"/>
      <sheetName val="B_&amp;_C_class_items_2"/>
      <sheetName val="SPT_vs_PHI2"/>
      <sheetName val="BILL_COV2"/>
      <sheetName val="Rate_analysis2"/>
      <sheetName val="intr_stool_brkup2"/>
      <sheetName val="Project_Information1"/>
      <sheetName val="Material_resource1"/>
      <sheetName val="Labour_resource1"/>
      <sheetName val="Estimate_for_approval1"/>
      <sheetName val="Total_Quantity1"/>
      <sheetName val="Material_rates_(June-08)1"/>
      <sheetName val="Material_rates_(July-08)1"/>
      <sheetName val="Material_rates_(October-08)1"/>
      <sheetName val="Material_rates_(Jan-09)1"/>
      <sheetName val="Price_list-Blocks1"/>
      <sheetName val="08-09_SLR1"/>
      <sheetName val="ABSTR-Plumbing_Estimate1"/>
      <sheetName val="Tower_crane_SLR1"/>
      <sheetName val="P_&amp;_M_avilability1"/>
      <sheetName val="P&amp;M_-Final1"/>
      <sheetName val="07-08_SLR1"/>
      <sheetName val="Anti_Termite1"/>
      <sheetName val="Steel_weighted_average1"/>
      <sheetName val="Abstract-_All_Reinforcement1"/>
      <sheetName val="Isolated_Footing1"/>
      <sheetName val="Raft_Footing1"/>
      <sheetName val="Slope_Cutting1"/>
      <sheetName val="Tower_Mass_Exc1"/>
      <sheetName val="Excavation_1"/>
      <sheetName val="PCC_&amp;_RCC_for_footing1"/>
      <sheetName val="Retaining_Wall1"/>
      <sheetName val="Ret_wall_reft1"/>
      <sheetName val="vdf_flooring1"/>
      <sheetName val="Below_Lower_Basement-Col1"/>
      <sheetName val="From_LB_floor_to_UB_floor-Col1"/>
      <sheetName val="From_UB_floor_to_G_floor-Col1"/>
      <sheetName val="From_G_floor_to_F_floor-Col1"/>
      <sheetName val="From_F_floor_to_S_floor-Col1"/>
      <sheetName val="From_S_floor_to_T_floor-Col1"/>
      <sheetName val="From_T_floor_to_F_floor-Col1"/>
      <sheetName val="From_F_floor_to_Fif__floor-Col1"/>
      <sheetName val="From_Fi_floor_to_Six_floor-Col1"/>
      <sheetName val="From_Six__floor_to_Se_floor-Co1"/>
      <sheetName val="From_Se_floor_to_Eig_floor-Col1"/>
      <sheetName val="From_Ei_floor_to_Nin_floor-Col1"/>
      <sheetName val="From_Ni_floor_to_Ten_floor-Col1"/>
      <sheetName val="Tenth_to_11th_floor1"/>
      <sheetName val="11th_to_12th_floor1"/>
      <sheetName val="12th_to_13th_floor1"/>
      <sheetName val="13th_to_14th_floor1"/>
      <sheetName val="14th_to_15th_floor1"/>
      <sheetName val="15th_to_16th_floor1"/>
      <sheetName val="16th_to_17th_floor1"/>
      <sheetName val="17th_to_18th_floor1"/>
      <sheetName val="columns_in_terrace_floor1"/>
      <sheetName val="Column_Splicing1"/>
      <sheetName val="Cover_Blocks1"/>
      <sheetName val="Abstract-Slab_LB1"/>
      <sheetName val="L_B__Roof_Slab-_Block_1&amp;41"/>
      <sheetName val="L_B__Roof_Slab-Block_2&amp;31"/>
      <sheetName val="ABSTRACT-slab_UB1"/>
      <sheetName val="U_B__Roof_Slab_block1&amp;41"/>
      <sheetName val="U_B__Roof_Slab_block21"/>
      <sheetName val="ABSTRACT_slab_GF1"/>
      <sheetName val="Ground_floor_slab_-Blk1&amp;41"/>
      <sheetName val="Ground_floor_slab_-Blk2&amp;31"/>
      <sheetName val="ABSTRACT_slab_1st_floor1"/>
      <sheetName val="First_floor_slab_-Blk1&amp;41"/>
      <sheetName val="First_floor_slab_-Blk2&amp;31"/>
      <sheetName val="ABSTRACT_slab_typ_flr1"/>
      <sheetName val="Typical_floor_slab_-Blk1&amp;41"/>
      <sheetName val="Typical_floor_slab_-Blk2&amp;31"/>
      <sheetName val="Typ_flr_slab-II_lvl_-B1&amp;41"/>
      <sheetName val="Abstract-Beams_LB1"/>
      <sheetName val="L_B_Roof_Beams-Block_1&amp;41"/>
      <sheetName val="L_B__Roof_beams-Block_2&amp;31"/>
      <sheetName val="ABSTRACT_beams_UB1"/>
      <sheetName val="Upper_Basement_floor-B1&amp;41"/>
      <sheetName val="Upper_Basement-Beams-Block21"/>
      <sheetName val="Upper_Basement-Block31"/>
      <sheetName val="ABSTRACT_beam_GF1"/>
      <sheetName val="Ground_floor-B1&amp;41"/>
      <sheetName val="Ground_Floor-Beams-Block2&amp;31"/>
      <sheetName val="ABSTRACT_beams_1st_flr1"/>
      <sheetName val="first_floor-B1&amp;41"/>
      <sheetName val="first_Floor-Beams-Block2&amp;31"/>
      <sheetName val="ABSTRACT_beam_typ_floor1"/>
      <sheetName val="Typ_floor-B1&amp;41"/>
      <sheetName val="Typ_Floor-Beams-Block2&amp;31"/>
      <sheetName val="13th_flr_roof_beam_B1&amp;41"/>
      <sheetName val="13th_Flr_roof-Beams-B2&amp;3_1"/>
      <sheetName val="14th-18t_flr_roof_beam_B1&amp;41"/>
      <sheetName val="14th-18_Flr_roof-Beams-B2&amp;31"/>
      <sheetName val="ABSTRACT_staircase1"/>
      <sheetName val="Staircase_block-1A1"/>
      <sheetName val="Staircase_block-1B1"/>
      <sheetName val="Staircase-1B(Reif)_1"/>
      <sheetName val="Staircase_block-21"/>
      <sheetName val="Staircase_block-2(Reif)1"/>
      <sheetName val="Abstract_lift_wall1"/>
      <sheetName val="Lift_wall_Shuttering1"/>
      <sheetName val="lift_wall-reinf1"/>
      <sheetName val="lift_wall-Block2_&amp;_31"/>
      <sheetName val="lift_wall-Block1_&amp;_41"/>
      <sheetName val="Lintel,_chejja,sill1"/>
      <sheetName val="Plaster_Band1"/>
      <sheetName val="Plastering_Floorwise_1"/>
      <sheetName val="balcony_grill__1"/>
      <sheetName val="Cello_Bubble1"/>
      <sheetName val="staircase_railing1"/>
      <sheetName val="Extra_bars1"/>
      <sheetName val="sanitary_shafts_DOORS1"/>
      <sheetName val="Al_templates_&amp;_c_beads1"/>
      <sheetName val="POP_fin1"/>
      <sheetName val="Al__BOQ1"/>
      <sheetName val="nib_columns1"/>
      <sheetName val="Shutt_mater1"/>
      <sheetName val="food_allowance1"/>
      <sheetName val="Calciumsilicate_encasing1"/>
      <sheetName val="UG_sump1"/>
      <sheetName val="Abstract-Arch_feat_1"/>
      <sheetName val="Window_box1"/>
      <sheetName val="Rcc_cornice_&amp;_facia1"/>
      <sheetName val="Pls__Grooves1"/>
      <sheetName val="Fin_wall1"/>
      <sheetName val="pergola_beams1"/>
      <sheetName val="Feature_at_entrance_of_each_bl1"/>
      <sheetName val="Summary(_Amethyst)_1"/>
      <sheetName val="without_accomod1"/>
      <sheetName val="MS_Door1"/>
      <sheetName val="car_wash_sump-LB-3,4,51"/>
      <sheetName val="CLOTH_LINE1"/>
      <sheetName val="cement_slurry1"/>
      <sheetName val="Tiling_Labour_Costs1"/>
      <sheetName val="Fire_rated_door1"/>
      <sheetName val="BOQ-_Wooden_door1"/>
      <sheetName val="Al_D_-Tower_Bolt_R1_BOQ1"/>
      <sheetName val="Amethyst_vsMagnolia1"/>
      <sheetName val="14th-18t_ft1"/>
      <sheetName val="B_&amp;_C_class_items_"/>
      <sheetName val="SPT_vs_PHI"/>
      <sheetName val="BILL_COV"/>
      <sheetName val="Rate_analysis"/>
      <sheetName val="intr_stool_brkup"/>
      <sheetName val="Project_Information2"/>
      <sheetName val="Material_resource2"/>
      <sheetName val="Labour_resource2"/>
      <sheetName val="Estimate_for_approval2"/>
      <sheetName val="Total_Quantity2"/>
      <sheetName val="Material_rates_(June-08)2"/>
      <sheetName val="Material_rates_(July-08)2"/>
      <sheetName val="Material_rates_(October-08)2"/>
      <sheetName val="Material_rates_(Jan-09)2"/>
      <sheetName val="Price_list-Blocks2"/>
      <sheetName val="08-09_SLR2"/>
      <sheetName val="ABSTR-Plumbing_Estimate2"/>
      <sheetName val="Tower_crane_SLR2"/>
      <sheetName val="P_&amp;_M_avilability2"/>
      <sheetName val="P&amp;M_-Final2"/>
      <sheetName val="07-08_SLR2"/>
      <sheetName val="Anti_Termite2"/>
      <sheetName val="Steel_weighted_average2"/>
      <sheetName val="Abstract-_All_Reinforcement2"/>
      <sheetName val="Isolated_Footing2"/>
      <sheetName val="Raft_Footing2"/>
      <sheetName val="Slope_Cutting2"/>
      <sheetName val="Tower_Mass_Exc2"/>
      <sheetName val="Excavation_2"/>
      <sheetName val="PCC_&amp;_RCC_for_footing2"/>
      <sheetName val="Retaining_Wall2"/>
      <sheetName val="Ret_wall_reft2"/>
      <sheetName val="vdf_flooring2"/>
      <sheetName val="Below_Lower_Basement-Col2"/>
      <sheetName val="From_LB_floor_to_UB_floor-Col2"/>
      <sheetName val="From_UB_floor_to_G_floor-Col2"/>
      <sheetName val="From_G_floor_to_F_floor-Col2"/>
      <sheetName val="From_F_floor_to_S_floor-Col2"/>
      <sheetName val="From_S_floor_to_T_floor-Col2"/>
      <sheetName val="From_T_floor_to_F_floor-Col2"/>
      <sheetName val="From_F_floor_to_Fif__floor-Col2"/>
      <sheetName val="From_Fi_floor_to_Six_floor-Col2"/>
      <sheetName val="From_Six__floor_to_Se_floor-Co2"/>
      <sheetName val="From_Se_floor_to_Eig_floor-Col2"/>
      <sheetName val="From_Ei_floor_to_Nin_floor-Col2"/>
      <sheetName val="From_Ni_floor_to_Ten_floor-Col2"/>
      <sheetName val="Tenth_to_11th_floor2"/>
      <sheetName val="11th_to_12th_floor2"/>
      <sheetName val="12th_to_13th_floor2"/>
      <sheetName val="13th_to_14th_floor2"/>
      <sheetName val="14th_to_15th_floor2"/>
      <sheetName val="15th_to_16th_floor2"/>
      <sheetName val="16th_to_17th_floor2"/>
      <sheetName val="17th_to_18th_floor2"/>
      <sheetName val="columns_in_terrace_floor2"/>
      <sheetName val="Column_Splicing2"/>
      <sheetName val="Cover_Blocks2"/>
      <sheetName val="Abstract-Slab_LB2"/>
      <sheetName val="L_B__Roof_Slab-_Block_1&amp;42"/>
      <sheetName val="L_B__Roof_Slab-Block_2&amp;32"/>
      <sheetName val="ABSTRACT-slab_UB2"/>
      <sheetName val="U_B__Roof_Slab_block1&amp;42"/>
      <sheetName val="U_B__Roof_Slab_block22"/>
      <sheetName val="ABSTRACT_slab_GF2"/>
      <sheetName val="Ground_floor_slab_-Blk1&amp;42"/>
      <sheetName val="Ground_floor_slab_-Blk2&amp;32"/>
      <sheetName val="ABSTRACT_slab_1st_floor2"/>
      <sheetName val="First_floor_slab_-Blk1&amp;42"/>
      <sheetName val="First_floor_slab_-Blk2&amp;32"/>
      <sheetName val="ABSTRACT_slab_typ_flr2"/>
      <sheetName val="Typical_floor_slab_-Blk1&amp;42"/>
      <sheetName val="Typical_floor_slab_-Blk2&amp;32"/>
      <sheetName val="Typ_flr_slab-II_lvl_-B1&amp;42"/>
      <sheetName val="Abstract-Beams_LB2"/>
      <sheetName val="L_B_Roof_Beams-Block_1&amp;42"/>
      <sheetName val="L_B__Roof_beams-Block_2&amp;32"/>
      <sheetName val="ABSTRACT_beams_UB2"/>
      <sheetName val="Upper_Basement_floor-B1&amp;42"/>
      <sheetName val="Upper_Basement-Beams-Block22"/>
      <sheetName val="Upper_Basement-Block32"/>
      <sheetName val="ABSTRACT_beam_GF2"/>
      <sheetName val="Ground_floor-B1&amp;42"/>
      <sheetName val="Ground_Floor-Beams-Block2&amp;32"/>
      <sheetName val="ABSTRACT_beams_1st_flr2"/>
      <sheetName val="first_floor-B1&amp;42"/>
      <sheetName val="first_Floor-Beams-Block2&amp;32"/>
      <sheetName val="ABSTRACT_beam_typ_floor2"/>
      <sheetName val="Typ_floor-B1&amp;42"/>
      <sheetName val="Typ_Floor-Beams-Block2&amp;32"/>
      <sheetName val="13th_flr_roof_beam_B1&amp;42"/>
      <sheetName val="13th_Flr_roof-Beams-B2&amp;3_2"/>
      <sheetName val="14th-18t_flr_roof_beam_B1&amp;42"/>
      <sheetName val="14th-18_Flr_roof-Beams-B2&amp;32"/>
      <sheetName val="ABSTRACT_staircase2"/>
      <sheetName val="Staircase_block-1A2"/>
      <sheetName val="Staircase_block-1B2"/>
      <sheetName val="Staircase-1B(Reif)_2"/>
      <sheetName val="Staircase_block-22"/>
      <sheetName val="Staircase_block-2(Reif)2"/>
      <sheetName val="Abstract_lift_wall2"/>
      <sheetName val="Lift_wall_Shuttering2"/>
      <sheetName val="lift_wall-reinf2"/>
      <sheetName val="lift_wall-Block2_&amp;_32"/>
      <sheetName val="lift_wall-Block1_&amp;_42"/>
      <sheetName val="Lintel,_chejja,sill2"/>
      <sheetName val="Plaster_Band2"/>
      <sheetName val="Plastering_Floorwise_2"/>
      <sheetName val="balcony_grill__2"/>
      <sheetName val="Cello_Bubble2"/>
      <sheetName val="staircase_railing2"/>
      <sheetName val="Extra_bars2"/>
      <sheetName val="sanitary_shafts_DOORS2"/>
      <sheetName val="Al_templates_&amp;_c_beads2"/>
      <sheetName val="POP_fin2"/>
      <sheetName val="Al__BOQ2"/>
      <sheetName val="nib_columns2"/>
      <sheetName val="Shutt_mater2"/>
      <sheetName val="food_allowance2"/>
      <sheetName val="Calciumsilicate_encasing2"/>
      <sheetName val="UG_sump2"/>
      <sheetName val="Abstract-Arch_feat_2"/>
      <sheetName val="Window_box2"/>
      <sheetName val="Rcc_cornice_&amp;_facia2"/>
      <sheetName val="Pls__Grooves2"/>
      <sheetName val="Fin_wall2"/>
      <sheetName val="pergola_beams2"/>
      <sheetName val="Feature_at_entrance_of_each_bl2"/>
      <sheetName val="Summary(_Amethyst)_2"/>
      <sheetName val="without_accomod2"/>
      <sheetName val="MS_Door2"/>
      <sheetName val="car_wash_sump-LB-3,4,52"/>
      <sheetName val="CLOTH_LINE2"/>
      <sheetName val="cement_slurry2"/>
      <sheetName val="Tiling_Labour_Costs2"/>
      <sheetName val="Fire_rated_door2"/>
      <sheetName val="BOQ-_Wooden_door2"/>
      <sheetName val="Al_D_-Tower_Bolt_R1_BOQ2"/>
      <sheetName val="Amethyst_vsMagnolia2"/>
      <sheetName val="14th-18t_ft2"/>
      <sheetName val="B_&amp;_C_class_items_1"/>
      <sheetName val="SPT_vs_PHI1"/>
      <sheetName val="BILL_COV1"/>
      <sheetName val="Rate_analysis1"/>
      <sheetName val="intr_stool_brkup1"/>
      <sheetName val="Project_Information5"/>
      <sheetName val="Material_resource5"/>
      <sheetName val="Labour_resource5"/>
      <sheetName val="Estimate_for_approval5"/>
      <sheetName val="Total_Quantity5"/>
      <sheetName val="Material_rates_(June-08)5"/>
      <sheetName val="Material_rates_(July-08)5"/>
      <sheetName val="Material_rates_(October-08)5"/>
      <sheetName val="Material_rates_(Jan-09)5"/>
      <sheetName val="Price_list-Blocks5"/>
      <sheetName val="08-09_SLR5"/>
      <sheetName val="ABSTR-Plumbing_Estimate5"/>
      <sheetName val="Tower_crane_SLR5"/>
      <sheetName val="P_&amp;_M_avilability5"/>
      <sheetName val="P&amp;M_-Final5"/>
      <sheetName val="07-08_SLR5"/>
      <sheetName val="Anti_Termite5"/>
      <sheetName val="Steel_weighted_average5"/>
      <sheetName val="Abstract-_All_Reinforcement5"/>
      <sheetName val="Isolated_Footing5"/>
      <sheetName val="Raft_Footing5"/>
      <sheetName val="Slope_Cutting5"/>
      <sheetName val="Tower_Mass_Exc5"/>
      <sheetName val="Excavation_5"/>
      <sheetName val="PCC_&amp;_RCC_for_footing5"/>
      <sheetName val="Retaining_Wall5"/>
      <sheetName val="Ret_wall_reft5"/>
      <sheetName val="vdf_flooring5"/>
      <sheetName val="Below_Lower_Basement-Col5"/>
      <sheetName val="From_LB_floor_to_UB_floor-Col5"/>
      <sheetName val="From_UB_floor_to_G_floor-Col5"/>
      <sheetName val="From_G_floor_to_F_floor-Col5"/>
      <sheetName val="From_F_floor_to_S_floor-Col5"/>
      <sheetName val="From_S_floor_to_T_floor-Col5"/>
      <sheetName val="From_T_floor_to_F_floor-Col5"/>
      <sheetName val="From_F_floor_to_Fif__floor-Col5"/>
      <sheetName val="From_Fi_floor_to_Six_floor-Col5"/>
      <sheetName val="From_Six__floor_to_Se_floor-Co5"/>
      <sheetName val="From_Se_floor_to_Eig_floor-Col5"/>
      <sheetName val="From_Ei_floor_to_Nin_floor-Col5"/>
      <sheetName val="From_Ni_floor_to_Ten_floor-Col5"/>
      <sheetName val="Tenth_to_11th_floor5"/>
      <sheetName val="11th_to_12th_floor5"/>
      <sheetName val="12th_to_13th_floor5"/>
      <sheetName val="13th_to_14th_floor5"/>
      <sheetName val="14th_to_15th_floor5"/>
      <sheetName val="15th_to_16th_floor5"/>
      <sheetName val="16th_to_17th_floor5"/>
      <sheetName val="17th_to_18th_floor5"/>
      <sheetName val="columns_in_terrace_floor5"/>
      <sheetName val="Column_Splicing5"/>
      <sheetName val="Cover_Blocks5"/>
      <sheetName val="Abstract-Slab_LB5"/>
      <sheetName val="L_B__Roof_Slab-_Block_1&amp;45"/>
      <sheetName val="L_B__Roof_Slab-Block_2&amp;35"/>
      <sheetName val="ABSTRACT-slab_UB5"/>
      <sheetName val="U_B__Roof_Slab_block1&amp;45"/>
      <sheetName val="U_B__Roof_Slab_block25"/>
      <sheetName val="ABSTRACT_slab_GF5"/>
      <sheetName val="Ground_floor_slab_-Blk1&amp;45"/>
      <sheetName val="Ground_floor_slab_-Blk2&amp;35"/>
      <sheetName val="ABSTRACT_slab_1st_floor5"/>
      <sheetName val="First_floor_slab_-Blk1&amp;45"/>
      <sheetName val="First_floor_slab_-Blk2&amp;35"/>
      <sheetName val="ABSTRACT_slab_typ_flr5"/>
      <sheetName val="Typical_floor_slab_-Blk1&amp;45"/>
      <sheetName val="Typical_floor_slab_-Blk2&amp;35"/>
      <sheetName val="Typ_flr_slab-II_lvl_-B1&amp;45"/>
      <sheetName val="Abstract-Beams_LB5"/>
      <sheetName val="L_B_Roof_Beams-Block_1&amp;45"/>
      <sheetName val="L_B__Roof_beams-Block_2&amp;35"/>
      <sheetName val="ABSTRACT_beams_UB5"/>
      <sheetName val="Upper_Basement_floor-B1&amp;45"/>
      <sheetName val="Upper_Basement-Beams-Block25"/>
      <sheetName val="Upper_Basement-Block35"/>
      <sheetName val="ABSTRACT_beam_GF5"/>
      <sheetName val="Ground_floor-B1&amp;45"/>
      <sheetName val="Ground_Floor-Beams-Block2&amp;35"/>
      <sheetName val="ABSTRACT_beams_1st_flr5"/>
      <sheetName val="first_floor-B1&amp;45"/>
      <sheetName val="first_Floor-Beams-Block2&amp;35"/>
      <sheetName val="ABSTRACT_beam_typ_floor5"/>
      <sheetName val="Typ_floor-B1&amp;45"/>
      <sheetName val="Typ_Floor-Beams-Block2&amp;35"/>
      <sheetName val="13th_flr_roof_beam_B1&amp;45"/>
      <sheetName val="13th_Flr_roof-Beams-B2&amp;3_5"/>
      <sheetName val="14th-18t_flr_roof_beam_B1&amp;45"/>
      <sheetName val="14th-18_Flr_roof-Beams-B2&amp;35"/>
      <sheetName val="ABSTRACT_staircase5"/>
      <sheetName val="Staircase_block-1A5"/>
      <sheetName val="Staircase_block-1B5"/>
      <sheetName val="Staircase-1B(Reif)_5"/>
      <sheetName val="Staircase_block-25"/>
      <sheetName val="Staircase_block-2(Reif)5"/>
      <sheetName val="Abstract_lift_wall5"/>
      <sheetName val="Lift_wall_Shuttering5"/>
      <sheetName val="lift_wall-reinf5"/>
      <sheetName val="lift_wall-Block2_&amp;_35"/>
      <sheetName val="lift_wall-Block1_&amp;_45"/>
      <sheetName val="Lintel,_chejja,sill5"/>
      <sheetName val="Plaster_Band5"/>
      <sheetName val="Plastering_Floorwise_5"/>
      <sheetName val="balcony_grill__5"/>
      <sheetName val="Cello_Bubble5"/>
      <sheetName val="staircase_railing5"/>
      <sheetName val="Extra_bars5"/>
      <sheetName val="sanitary_shafts_DOORS5"/>
      <sheetName val="Al_templates_&amp;_c_beads5"/>
      <sheetName val="POP_fin5"/>
      <sheetName val="Al__BOQ5"/>
      <sheetName val="nib_columns5"/>
      <sheetName val="Shutt_mater5"/>
      <sheetName val="food_allowance5"/>
      <sheetName val="Calciumsilicate_encasing5"/>
      <sheetName val="UG_sump5"/>
      <sheetName val="Abstract-Arch_feat_5"/>
      <sheetName val="Window_box5"/>
      <sheetName val="Rcc_cornice_&amp;_facia5"/>
      <sheetName val="Pls__Grooves5"/>
      <sheetName val="Fin_wall5"/>
      <sheetName val="pergola_beams5"/>
      <sheetName val="Feature_at_entrance_of_each_bl5"/>
      <sheetName val="Summary(_Amethyst)_5"/>
      <sheetName val="without_accomod5"/>
      <sheetName val="MS_Door5"/>
      <sheetName val="car_wash_sump-LB-3,4,55"/>
      <sheetName val="CLOTH_LINE5"/>
      <sheetName val="cement_slurry5"/>
      <sheetName val="Tiling_Labour_Costs5"/>
      <sheetName val="Fire_rated_door5"/>
      <sheetName val="BOQ-_Wooden_door5"/>
      <sheetName val="Al_D_-Tower_Bolt_R1_BOQ5"/>
      <sheetName val="Amethyst_vsMagnolia5"/>
      <sheetName val="14th-18t_ft5"/>
      <sheetName val="B_&amp;_C_class_items_4"/>
      <sheetName val="SPT_vs_PHI4"/>
      <sheetName val="BILL_COV4"/>
      <sheetName val="Rate_analysis4"/>
      <sheetName val="intr_stool_brkup4"/>
      <sheetName val="Abstract New "/>
      <sheetName val="BLK2"/>
      <sheetName val="BLK3"/>
      <sheetName val="E &amp; R"/>
      <sheetName val="radar"/>
      <sheetName val="UG"/>
      <sheetName val="Project_Information7"/>
      <sheetName val="Material_resource7"/>
      <sheetName val="Labour_resource7"/>
      <sheetName val="Estimate_for_approval7"/>
      <sheetName val="Total_Quantity7"/>
      <sheetName val="Material_rates_(June-08)7"/>
      <sheetName val="Material_rates_(July-08)7"/>
      <sheetName val="Material_rates_(October-08)7"/>
      <sheetName val="Material_rates_(Jan-09)7"/>
      <sheetName val="Price_list-Blocks7"/>
      <sheetName val="08-09_SLR7"/>
      <sheetName val="ABSTR-Plumbing_Estimate7"/>
      <sheetName val="Tower_crane_SLR7"/>
      <sheetName val="P_&amp;_M_avilability7"/>
      <sheetName val="P&amp;M_-Final7"/>
      <sheetName val="07-08_SLR7"/>
      <sheetName val="Anti_Termite7"/>
      <sheetName val="Steel_weighted_average7"/>
      <sheetName val="Abstract-_All_Reinforcement7"/>
      <sheetName val="Isolated_Footing7"/>
      <sheetName val="Raft_Footing7"/>
      <sheetName val="Slope_Cutting7"/>
      <sheetName val="Tower_Mass_Exc7"/>
      <sheetName val="Excavation_7"/>
      <sheetName val="PCC_&amp;_RCC_for_footing7"/>
      <sheetName val="Retaining_Wall7"/>
      <sheetName val="Ret_wall_reft7"/>
      <sheetName val="vdf_flooring7"/>
      <sheetName val="Below_Lower_Basement-Col7"/>
      <sheetName val="From_LB_floor_to_UB_floor-Col7"/>
      <sheetName val="From_UB_floor_to_G_floor-Col7"/>
      <sheetName val="From_G_floor_to_F_floor-Col7"/>
      <sheetName val="From_F_floor_to_S_floor-Col7"/>
      <sheetName val="From_S_floor_to_T_floor-Col7"/>
      <sheetName val="From_T_floor_to_F_floor-Col7"/>
      <sheetName val="From_F_floor_to_Fif__floor-Col7"/>
      <sheetName val="From_Fi_floor_to_Six_floor-Col7"/>
      <sheetName val="From_Six__floor_to_Se_floor-Co7"/>
      <sheetName val="From_Se_floor_to_Eig_floor-Col7"/>
      <sheetName val="From_Ei_floor_to_Nin_floor-Col7"/>
      <sheetName val="From_Ni_floor_to_Ten_floor-Col7"/>
      <sheetName val="Tenth_to_11th_floor7"/>
      <sheetName val="11th_to_12th_floor7"/>
      <sheetName val="12th_to_13th_floor7"/>
      <sheetName val="13th_to_14th_floor7"/>
      <sheetName val="14th_to_15th_floor7"/>
      <sheetName val="15th_to_16th_floor7"/>
      <sheetName val="16th_to_17th_floor7"/>
      <sheetName val="17th_to_18th_floor7"/>
      <sheetName val="columns_in_terrace_floor7"/>
      <sheetName val="Column_Splicing7"/>
      <sheetName val="Cover_Blocks7"/>
      <sheetName val="Abstract-Slab_LB7"/>
      <sheetName val="L_B__Roof_Slab-_Block_1&amp;47"/>
      <sheetName val="L_B__Roof_Slab-Block_2&amp;37"/>
      <sheetName val="ABSTRACT-slab_UB7"/>
      <sheetName val="U_B__Roof_Slab_block1&amp;47"/>
      <sheetName val="U_B__Roof_Slab_block27"/>
      <sheetName val="ABSTRACT_slab_GF7"/>
      <sheetName val="Ground_floor_slab_-Blk1&amp;47"/>
      <sheetName val="Ground_floor_slab_-Blk2&amp;37"/>
      <sheetName val="ABSTRACT_slab_1st_floor7"/>
      <sheetName val="First_floor_slab_-Blk1&amp;47"/>
      <sheetName val="First_floor_slab_-Blk2&amp;37"/>
      <sheetName val="ABSTRACT_slab_typ_flr7"/>
      <sheetName val="Typical_floor_slab_-Blk1&amp;47"/>
      <sheetName val="Typical_floor_slab_-Blk2&amp;37"/>
      <sheetName val="Typ_flr_slab-II_lvl_-B1&amp;47"/>
      <sheetName val="Abstract-Beams_LB7"/>
      <sheetName val="L_B_Roof_Beams-Block_1&amp;47"/>
      <sheetName val="L_B__Roof_beams-Block_2&amp;37"/>
      <sheetName val="ABSTRACT_beams_UB7"/>
      <sheetName val="Upper_Basement_floor-B1&amp;47"/>
      <sheetName val="Upper_Basement-Beams-Block27"/>
      <sheetName val="Upper_Basement-Block37"/>
      <sheetName val="ABSTRACT_beam_GF7"/>
      <sheetName val="Ground_floor-B1&amp;47"/>
      <sheetName val="Ground_Floor-Beams-Block2&amp;37"/>
      <sheetName val="ABSTRACT_beams_1st_flr7"/>
      <sheetName val="first_floor-B1&amp;47"/>
      <sheetName val="first_Floor-Beams-Block2&amp;37"/>
      <sheetName val="ABSTRACT_beam_typ_floor7"/>
      <sheetName val="Typ_floor-B1&amp;47"/>
      <sheetName val="Typ_Floor-Beams-Block2&amp;37"/>
      <sheetName val="13th_flr_roof_beam_B1&amp;47"/>
      <sheetName val="13th_Flr_roof-Beams-B2&amp;3_7"/>
      <sheetName val="14th-18t_flr_roof_beam_B1&amp;47"/>
      <sheetName val="14th-18_Flr_roof-Beams-B2&amp;37"/>
      <sheetName val="ABSTRACT_staircase7"/>
      <sheetName val="Staircase_block-1A7"/>
      <sheetName val="Staircase_block-1B7"/>
      <sheetName val="Staircase-1B(Reif)_7"/>
      <sheetName val="Staircase_block-27"/>
      <sheetName val="Staircase_block-2(Reif)7"/>
      <sheetName val="Abstract_lift_wall7"/>
      <sheetName val="Lift_wall_Shuttering7"/>
      <sheetName val="lift_wall-reinf7"/>
      <sheetName val="lift_wall-Block2_&amp;_37"/>
      <sheetName val="lift_wall-Block1_&amp;_47"/>
      <sheetName val="Lintel,_chejja,sill7"/>
      <sheetName val="Plaster_Band7"/>
      <sheetName val="Plastering_Floorwise_7"/>
      <sheetName val="balcony_grill__7"/>
      <sheetName val="Cello_Bubble7"/>
      <sheetName val="staircase_railing7"/>
      <sheetName val="Extra_bars7"/>
      <sheetName val="sanitary_shafts_DOORS7"/>
      <sheetName val="Al_templates_&amp;_c_beads7"/>
      <sheetName val="POP_fin7"/>
      <sheetName val="Al__BOQ7"/>
      <sheetName val="nib_columns7"/>
      <sheetName val="Shutt_mater7"/>
      <sheetName val="food_allowance7"/>
      <sheetName val="Calciumsilicate_encasing7"/>
      <sheetName val="UG_sump7"/>
      <sheetName val="Abstract-Arch_feat_7"/>
      <sheetName val="Window_box7"/>
      <sheetName val="Rcc_cornice_&amp;_facia7"/>
      <sheetName val="Pls__Grooves7"/>
      <sheetName val="Fin_wall7"/>
      <sheetName val="pergola_beams7"/>
      <sheetName val="Feature_at_entrance_of_each_bl7"/>
      <sheetName val="Summary(_Amethyst)_7"/>
      <sheetName val="without_accomod7"/>
      <sheetName val="MS_Door7"/>
      <sheetName val="car_wash_sump-LB-3,4,57"/>
      <sheetName val="CLOTH_LINE7"/>
      <sheetName val="cement_slurry7"/>
      <sheetName val="Tiling_Labour_Costs7"/>
      <sheetName val="Fire_rated_door7"/>
      <sheetName val="BOQ-_Wooden_door7"/>
      <sheetName val="Al_D_-Tower_Bolt_R1_BOQ7"/>
      <sheetName val="Amethyst_vsMagnolia7"/>
      <sheetName val="14th-18t_ft7"/>
      <sheetName val="B_&amp;_C_class_items_6"/>
      <sheetName val="SPT_vs_PHI6"/>
      <sheetName val="BILL_COV6"/>
      <sheetName val="Rate_analysis6"/>
      <sheetName val="intr_stool_brkup6"/>
      <sheetName val="RO_Plant"/>
      <sheetName val="Abstract_New_"/>
      <sheetName val="______________________________2"/>
      <sheetName val="Slope_CutLatit"/>
      <sheetName val="14th-18t ft-oof beam B1&amp;4"/>
      <sheetName val="TCR SLR - 2024 REV"/>
      <sheetName val="입찰내역 발주처 양식"/>
    </sheetNames>
    <sheetDataSet>
      <sheetData sheetId="0">
        <row r="2">
          <cell r="BQ2" t="str">
            <v>Red Oxide/ Colouring Pigment</v>
          </cell>
        </row>
      </sheetData>
      <sheetData sheetId="1"/>
      <sheetData sheetId="2"/>
      <sheetData sheetId="3" refreshError="1">
        <row r="2">
          <cell r="BQ2" t="str">
            <v>Red Oxide/ Colouring Pigment</v>
          </cell>
        </row>
        <row r="9">
          <cell r="BQ9" t="str">
            <v>kg</v>
          </cell>
        </row>
        <row r="10">
          <cell r="BQ10">
            <v>80</v>
          </cell>
        </row>
        <row r="200">
          <cell r="BQ200">
            <v>0.4</v>
          </cell>
        </row>
        <row r="201">
          <cell r="BQ201">
            <v>0.04</v>
          </cell>
        </row>
        <row r="202">
          <cell r="BQ202">
            <v>0.04</v>
          </cell>
        </row>
        <row r="203">
          <cell r="BQ203">
            <v>0.04</v>
          </cell>
        </row>
        <row r="204">
          <cell r="BQ204">
            <v>0.04</v>
          </cell>
        </row>
        <row r="205">
          <cell r="BQ205">
            <v>6.0000000000000001E-3</v>
          </cell>
        </row>
        <row r="208">
          <cell r="BQ208">
            <v>0.04</v>
          </cell>
        </row>
        <row r="209">
          <cell r="BQ209">
            <v>1.5900000000000001E-2</v>
          </cell>
        </row>
        <row r="210">
          <cell r="BQ210">
            <v>1.5900000000000001E-2</v>
          </cell>
        </row>
        <row r="211">
          <cell r="BQ211">
            <v>1.5900000000000001E-2</v>
          </cell>
        </row>
        <row r="212">
          <cell r="BQ212">
            <v>9.9000000000000008E-3</v>
          </cell>
        </row>
        <row r="213">
          <cell r="BQ213">
            <v>1.176E-2</v>
          </cell>
        </row>
        <row r="214">
          <cell r="BQ214">
            <v>2.7000000000000001E-3</v>
          </cell>
        </row>
        <row r="215">
          <cell r="BQ215">
            <v>3.0000000000000001E-3</v>
          </cell>
        </row>
        <row r="216">
          <cell r="BQ216">
            <v>1.8E-3</v>
          </cell>
        </row>
        <row r="342">
          <cell r="BQ342">
            <v>1712.7442290752688</v>
          </cell>
        </row>
        <row r="343">
          <cell r="BQ343">
            <v>60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813">
          <cell r="D813">
            <v>0.2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>
        <row r="2">
          <cell r="BQ2" t="str">
            <v>Red Oxide/ Colouring Pigment</v>
          </cell>
        </row>
      </sheetData>
      <sheetData sheetId="725">
        <row r="2">
          <cell r="BQ2" t="str">
            <v>Red Oxide/ Colouring Pigment</v>
          </cell>
        </row>
      </sheetData>
      <sheetData sheetId="726">
        <row r="2">
          <cell r="BQ2" t="str">
            <v>Red Oxide/ Colouring Pigment</v>
          </cell>
        </row>
      </sheetData>
      <sheetData sheetId="727"/>
      <sheetData sheetId="728"/>
      <sheetData sheetId="729"/>
      <sheetData sheetId="730"/>
      <sheetData sheetId="731">
        <row r="813">
          <cell r="D813">
            <v>0.2</v>
          </cell>
        </row>
      </sheetData>
      <sheetData sheetId="732">
        <row r="813">
          <cell r="D813">
            <v>0.2</v>
          </cell>
        </row>
      </sheetData>
      <sheetData sheetId="733">
        <row r="813">
          <cell r="D813">
            <v>0.2</v>
          </cell>
        </row>
      </sheetData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813">
          <cell r="D813">
            <v>0.2</v>
          </cell>
        </row>
      </sheetData>
      <sheetData sheetId="871">
        <row r="813">
          <cell r="D813">
            <v>0.2</v>
          </cell>
        </row>
      </sheetData>
      <sheetData sheetId="872">
        <row r="813">
          <cell r="D813">
            <v>0.2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2">
          <cell r="BQ2" t="str">
            <v>Red Oxide/ Colouring Pigment</v>
          </cell>
        </row>
      </sheetData>
      <sheetData sheetId="1145"/>
      <sheetData sheetId="1146"/>
      <sheetData sheetId="1147">
        <row r="2">
          <cell r="BQ2" t="str">
            <v>Red Oxide/ Colouring Pigment</v>
          </cell>
        </row>
      </sheetData>
      <sheetData sheetId="1148"/>
      <sheetData sheetId="1149">
        <row r="2">
          <cell r="BQ2" t="str">
            <v>Red Oxide/ Colouring Pigment</v>
          </cell>
        </row>
      </sheetData>
      <sheetData sheetId="1150"/>
      <sheetData sheetId="1151"/>
      <sheetData sheetId="1152">
        <row r="2">
          <cell r="BQ2" t="str">
            <v>Red Oxide/ Colouring Pigment</v>
          </cell>
        </row>
      </sheetData>
      <sheetData sheetId="1153"/>
      <sheetData sheetId="1154">
        <row r="2">
          <cell r="BQ2" t="str">
            <v>Red Oxide/ Colouring Pigment</v>
          </cell>
        </row>
      </sheetData>
      <sheetData sheetId="1155"/>
      <sheetData sheetId="1156"/>
      <sheetData sheetId="1157">
        <row r="2">
          <cell r="BQ2" t="str">
            <v>Red Oxide/ Colouring Pigment</v>
          </cell>
        </row>
      </sheetData>
      <sheetData sheetId="1158"/>
      <sheetData sheetId="1159">
        <row r="2">
          <cell r="BQ2" t="str">
            <v>Red Oxide/ Colouring Pigment</v>
          </cell>
        </row>
      </sheetData>
      <sheetData sheetId="1160"/>
      <sheetData sheetId="1161"/>
      <sheetData sheetId="1162">
        <row r="2">
          <cell r="BQ2" t="str">
            <v>Red Oxide/ Colouring Pigment</v>
          </cell>
        </row>
      </sheetData>
      <sheetData sheetId="1163"/>
      <sheetData sheetId="1164">
        <row r="813">
          <cell r="D813">
            <v>0.2</v>
          </cell>
        </row>
      </sheetData>
      <sheetData sheetId="1165"/>
      <sheetData sheetId="1166"/>
      <sheetData sheetId="1167"/>
      <sheetData sheetId="1168"/>
      <sheetData sheetId="1169">
        <row r="813">
          <cell r="D813">
            <v>0.2</v>
          </cell>
        </row>
      </sheetData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 refreshError="1"/>
      <sheetData sheetId="12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ffolding  (2)"/>
      <sheetName val="PM"/>
      <sheetName val="RMC20 "/>
      <sheetName val="ABs Sheet"/>
      <sheetName val="Training sheet"/>
      <sheetName val="per m3"/>
      <sheetName val="Mobi (Latest)"/>
      <sheetName val="Preliminaries (as per Site)"/>
      <sheetName val="Staff Salar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Tower Crane Operation"/>
      <sheetName val=" NET ADDITONAL C (10years))"/>
      <sheetName val="TOWER CRANE COST 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afety items  "/>
      <sheetName val="Tools "/>
      <sheetName val="Spares"/>
      <sheetName val="c-class"/>
      <sheetName val="Rate analysis"/>
      <sheetName val="PM(revised) (as per site)"/>
      <sheetName val="RMC10 "/>
      <sheetName val="RMC 7.5 "/>
      <sheetName val="RMC30"/>
      <sheetName val="RMC40 "/>
      <sheetName val="RMC25 "/>
      <sheetName val="master QTY"/>
      <sheetName val="preliminaries"/>
      <sheetName val="Micro 13"/>
      <sheetName val="Mobalisation"/>
      <sheetName val="Labour"/>
      <sheetName val="TBAL9697 -group wise  sdpl"/>
      <sheetName val="CASHFLOWS"/>
      <sheetName val="SUMMARY"/>
      <sheetName val="Costing Aug-13"/>
      <sheetName val="BLK2"/>
      <sheetName val="BLK3"/>
      <sheetName val="jobhist"/>
      <sheetName val="Civil Boq"/>
      <sheetName val="B &amp; C class items "/>
      <sheetName val="Abstract"/>
      <sheetName val="Scaffolding__(2)"/>
      <sheetName val="RMC20_"/>
      <sheetName val="ABs_Sheet"/>
      <sheetName val="Training_sheet"/>
      <sheetName val="per_m3"/>
      <sheetName val="Mobi_(Latest)"/>
      <sheetName val="Preliminaries_(as_per_Site)"/>
      <sheetName val="Staff_Salary"/>
      <sheetName val="steel_"/>
      <sheetName val="MS_Items"/>
      <sheetName val="Tower_Crane_Operation"/>
      <sheetName val="_NET_ADDITONAL_C_(10years))"/>
      <sheetName val="TOWER_CRANE_COST_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afety_items__"/>
      <sheetName val="Tools_"/>
      <sheetName val="Rate_analysis"/>
      <sheetName val="PM(revised)_(as_per_site)"/>
      <sheetName val="RMC10_"/>
      <sheetName val="RMC_7_5_"/>
      <sheetName val="RMC40_"/>
      <sheetName val="RMC25_"/>
      <sheetName val="master_QTY"/>
      <sheetName val="Micro_13"/>
      <sheetName val="TBAL9697_-group_wise__sdpl"/>
      <sheetName val="Costing_Aug-13"/>
      <sheetName val="Civil_Boq"/>
      <sheetName val="B_&amp;_C_class_items_"/>
      <sheetName val="Materials Cost(PCC)"/>
      <sheetName val="SPT vs PHI"/>
      <sheetName val="girder"/>
      <sheetName val="Rocker"/>
      <sheetName val="Fin Sum"/>
      <sheetName val="COLUMN"/>
      <sheetName val="Scaffolding__(2)1"/>
      <sheetName val="RMC20_1"/>
      <sheetName val="ABs_Sheet1"/>
      <sheetName val="Training_sheet1"/>
      <sheetName val="per_m31"/>
      <sheetName val="Mobi_(Latest)1"/>
      <sheetName val="Preliminaries_(as_per_Site)1"/>
      <sheetName val="Staff_Salary1"/>
      <sheetName val="steel_1"/>
      <sheetName val="MS_Items1"/>
      <sheetName val="Tower_Crane_Operation1"/>
      <sheetName val="_NET_ADDITONAL_C_(10years))1"/>
      <sheetName val="TOWER_CRANE_COST_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afety_items__1"/>
      <sheetName val="Tools_1"/>
      <sheetName val="Rate_analysis1"/>
      <sheetName val="PM(revised)_(as_per_site)1"/>
      <sheetName val="RMC10_1"/>
      <sheetName val="RMC_7_5_1"/>
      <sheetName val="RMC40_1"/>
      <sheetName val="RMC25_1"/>
      <sheetName val="master_QTY1"/>
      <sheetName val="Micro_131"/>
      <sheetName val="TBAL9697_-group_wise__sdpl1"/>
      <sheetName val="Costing_Aug-131"/>
      <sheetName val="Civil_Boq1"/>
      <sheetName val="B_&amp;_C_class_items_1"/>
      <sheetName val="Materials_Cost(PCC)"/>
      <sheetName val="SPT_vs_PHI"/>
      <sheetName val="Fin_Sum"/>
      <sheetName val="concrete"/>
      <sheetName val="beam-reinft-IIInd floor"/>
      <sheetName val="Design"/>
      <sheetName val="beam-reinft-IIInd_floor"/>
      <sheetName val="beam-reinft-IIInd_floor1"/>
      <sheetName val="Fee Rate Summary"/>
      <sheetName val="BLN Detail 2000"/>
      <sheetName val="CIP Summary 0012"/>
      <sheetName val="CIP Detail 0011"/>
      <sheetName val="VLOOK"/>
      <sheetName val="99 to 00 blns"/>
      <sheetName val="98Price"/>
      <sheetName val="horizontal"/>
      <sheetName val="Sheet1"/>
      <sheetName val="#REF"/>
      <sheetName val="E &amp; R"/>
      <sheetName val="radar"/>
      <sheetName val="UG"/>
      <sheetName val="PRECAST lightconc-II"/>
      <sheetName val="R20_R30_work"/>
      <sheetName val="Materials Cost"/>
      <sheetName val="strand"/>
      <sheetName val="Headings"/>
      <sheetName val="Scaffolding__(2)2"/>
      <sheetName val="RMC20_2"/>
      <sheetName val="ABs_Sheet2"/>
      <sheetName val="Training_sheet2"/>
      <sheetName val="per_m32"/>
      <sheetName val="Mobi_(Latest)2"/>
      <sheetName val="Preliminaries_(as_per_Site)2"/>
      <sheetName val="Staff_Salary2"/>
      <sheetName val="steel_2"/>
      <sheetName val="MS_Items2"/>
      <sheetName val="Tower_Crane_Operation2"/>
      <sheetName val="_NET_ADDITONAL_C_(10years))2"/>
      <sheetName val="TOWER_CRANE_COST_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afety_items__2"/>
      <sheetName val="Tools_2"/>
      <sheetName val="Rate_analysis2"/>
      <sheetName val="PM(revised)_(as_per_site)2"/>
      <sheetName val="RMC10_2"/>
      <sheetName val="RMC_7_5_2"/>
      <sheetName val="RMC40_2"/>
      <sheetName val="RMC25_2"/>
      <sheetName val="master_QTY2"/>
      <sheetName val="Micro_132"/>
      <sheetName val="TBAL9697_-group_wise__sdpl2"/>
      <sheetName val="Costing_Aug-132"/>
      <sheetName val="Keyword"/>
      <sheetName val="Boq"/>
      <sheetName val="Abstract Sheet"/>
      <sheetName val="Scaffolding__(2)8"/>
      <sheetName val="RMC20_8"/>
      <sheetName val="ABs_Sheet8"/>
      <sheetName val="Training_sheet8"/>
      <sheetName val="per_m38"/>
      <sheetName val="Mobi_(Latest)8"/>
      <sheetName val="Preliminaries_(as_per_Site)8"/>
      <sheetName val="Staff_Salary8"/>
      <sheetName val="steel_8"/>
      <sheetName val="MS_Items8"/>
      <sheetName val="Tower_Crane_Operation8"/>
      <sheetName val="_NET_ADDITONAL_C_(10years))8"/>
      <sheetName val="TOWER_CRANE_COST_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afety_items__8"/>
      <sheetName val="Tools_8"/>
      <sheetName val="Rate_analysis8"/>
      <sheetName val="PM(revised)_(as_per_site)8"/>
      <sheetName val="RMC10_8"/>
      <sheetName val="RMC_7_5_8"/>
      <sheetName val="RMC40_8"/>
      <sheetName val="RMC25_8"/>
      <sheetName val="master_QTY8"/>
      <sheetName val="Micro_138"/>
      <sheetName val="TBAL9697_-group_wise__sdpl8"/>
      <sheetName val="Costing_Aug-138"/>
      <sheetName val="Civil_Boq7"/>
      <sheetName val="B_&amp;_C_class_items_7"/>
      <sheetName val="Materials_Cost(PCC)6"/>
      <sheetName val="SPT_vs_PHI6"/>
      <sheetName val="Fin_Sum6"/>
      <sheetName val="beam-reinft-IIInd_floor7"/>
      <sheetName val="Fee_Rate_Summary5"/>
      <sheetName val="BLN_Detail_20005"/>
      <sheetName val="CIP_Summary_00125"/>
      <sheetName val="CIP_Detail_00115"/>
      <sheetName val="99_to_00_blns5"/>
      <sheetName val="E_&amp;_R5"/>
      <sheetName val="PRECAST_lightconc-II5"/>
      <sheetName val="Materials_Cost5"/>
      <sheetName val="Abstract_Sheet5"/>
      <sheetName val="Scaffolding__(2)6"/>
      <sheetName val="RMC20_6"/>
      <sheetName val="ABs_Sheet6"/>
      <sheetName val="Training_sheet6"/>
      <sheetName val="per_m36"/>
      <sheetName val="Mobi_(Latest)6"/>
      <sheetName val="Preliminaries_(as_per_Site)6"/>
      <sheetName val="Staff_Salary6"/>
      <sheetName val="steel_6"/>
      <sheetName val="MS_Items6"/>
      <sheetName val="Tower_Crane_Operation6"/>
      <sheetName val="_NET_ADDITONAL_C_(10years))6"/>
      <sheetName val="TOWER_CRANE_COST_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afety_items__6"/>
      <sheetName val="Tools_6"/>
      <sheetName val="Rate_analysis6"/>
      <sheetName val="PM(revised)_(as_per_site)6"/>
      <sheetName val="RMC10_6"/>
      <sheetName val="RMC_7_5_6"/>
      <sheetName val="RMC40_6"/>
      <sheetName val="RMC25_6"/>
      <sheetName val="master_QTY6"/>
      <sheetName val="Micro_136"/>
      <sheetName val="TBAL9697_-group_wise__sdpl6"/>
      <sheetName val="Costing_Aug-136"/>
      <sheetName val="Civil_Boq5"/>
      <sheetName val="B_&amp;_C_class_items_5"/>
      <sheetName val="Materials_Cost(PCC)4"/>
      <sheetName val="SPT_vs_PHI4"/>
      <sheetName val="Fin_Sum4"/>
      <sheetName val="beam-reinft-IIInd_floor5"/>
      <sheetName val="Fee_Rate_Summary3"/>
      <sheetName val="BLN_Detail_20003"/>
      <sheetName val="CIP_Summary_00123"/>
      <sheetName val="CIP_Detail_00113"/>
      <sheetName val="99_to_00_blns3"/>
      <sheetName val="E_&amp;_R3"/>
      <sheetName val="PRECAST_lightconc-II3"/>
      <sheetName val="Materials_Cost3"/>
      <sheetName val="Scaffolding__(2)5"/>
      <sheetName val="RMC20_5"/>
      <sheetName val="ABs_Sheet5"/>
      <sheetName val="Training_sheet5"/>
      <sheetName val="per_m35"/>
      <sheetName val="Mobi_(Latest)5"/>
      <sheetName val="Preliminaries_(as_per_Site)5"/>
      <sheetName val="Staff_Salary5"/>
      <sheetName val="steel_5"/>
      <sheetName val="MS_Items5"/>
      <sheetName val="Tower_Crane_Operation5"/>
      <sheetName val="_NET_ADDITONAL_C_(10years))5"/>
      <sheetName val="TOWER_CRANE_COST_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afety_items__5"/>
      <sheetName val="Tools_5"/>
      <sheetName val="Rate_analysis5"/>
      <sheetName val="PM(revised)_(as_per_site)5"/>
      <sheetName val="RMC10_5"/>
      <sheetName val="RMC_7_5_5"/>
      <sheetName val="RMC40_5"/>
      <sheetName val="RMC25_5"/>
      <sheetName val="master_QTY5"/>
      <sheetName val="Micro_135"/>
      <sheetName val="TBAL9697_-group_wise__sdpl5"/>
      <sheetName val="Costing_Aug-135"/>
      <sheetName val="Civil_Boq4"/>
      <sheetName val="B_&amp;_C_class_items_4"/>
      <sheetName val="Materials_Cost(PCC)3"/>
      <sheetName val="SPT_vs_PHI3"/>
      <sheetName val="Fin_Sum3"/>
      <sheetName val="beam-reinft-IIInd_floor4"/>
      <sheetName val="Fee_Rate_Summary2"/>
      <sheetName val="BLN_Detail_20002"/>
      <sheetName val="CIP_Summary_00122"/>
      <sheetName val="CIP_Detail_00112"/>
      <sheetName val="99_to_00_blns2"/>
      <sheetName val="E_&amp;_R2"/>
      <sheetName val="PRECAST_lightconc-II2"/>
      <sheetName val="Materials_Cost2"/>
      <sheetName val="Abstract_Sheet2"/>
      <sheetName val="Scaffolding__(2)3"/>
      <sheetName val="RMC20_3"/>
      <sheetName val="ABs_Sheet3"/>
      <sheetName val="Training_sheet3"/>
      <sheetName val="per_m33"/>
      <sheetName val="Mobi_(Latest)3"/>
      <sheetName val="Preliminaries_(as_per_Site)3"/>
      <sheetName val="Staff_Salary3"/>
      <sheetName val="steel_3"/>
      <sheetName val="MS_Items3"/>
      <sheetName val="Tower_Crane_Operation3"/>
      <sheetName val="_NET_ADDITONAL_C_(10years))3"/>
      <sheetName val="TOWER_CRANE_COST_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afety_items__3"/>
      <sheetName val="Tools_3"/>
      <sheetName val="Rate_analysis3"/>
      <sheetName val="PM(revised)_(as_per_site)3"/>
      <sheetName val="RMC10_3"/>
      <sheetName val="RMC_7_5_3"/>
      <sheetName val="RMC40_3"/>
      <sheetName val="RMC25_3"/>
      <sheetName val="master_QTY3"/>
      <sheetName val="Micro_133"/>
      <sheetName val="TBAL9697_-group_wise__sdpl3"/>
      <sheetName val="Costing_Aug-133"/>
      <sheetName val="Civil_Boq2"/>
      <sheetName val="B_&amp;_C_class_items_2"/>
      <sheetName val="Materials_Cost(PCC)1"/>
      <sheetName val="SPT_vs_PHI1"/>
      <sheetName val="Fin_Sum1"/>
      <sheetName val="beam-reinft-IIInd_floor2"/>
      <sheetName val="Fee_Rate_Summary"/>
      <sheetName val="BLN_Detail_2000"/>
      <sheetName val="CIP_Summary_0012"/>
      <sheetName val="CIP_Detail_0011"/>
      <sheetName val="99_to_00_blns"/>
      <sheetName val="E_&amp;_R"/>
      <sheetName val="PRECAST_lightconc-II"/>
      <sheetName val="Materials_Cost"/>
      <sheetName val="Abstract_Sheet"/>
      <sheetName val="Scaffolding__(2)4"/>
      <sheetName val="RMC20_4"/>
      <sheetName val="ABs_Sheet4"/>
      <sheetName val="Training_sheet4"/>
      <sheetName val="per_m34"/>
      <sheetName val="Mobi_(Latest)4"/>
      <sheetName val="Preliminaries_(as_per_Site)4"/>
      <sheetName val="Staff_Salary4"/>
      <sheetName val="steel_4"/>
      <sheetName val="MS_Items4"/>
      <sheetName val="Tower_Crane_Operation4"/>
      <sheetName val="_NET_ADDITONAL_C_(10years))4"/>
      <sheetName val="TOWER_CRANE_COST_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afety_items__4"/>
      <sheetName val="Tools_4"/>
      <sheetName val="Rate_analysis4"/>
      <sheetName val="PM(revised)_(as_per_site)4"/>
      <sheetName val="RMC10_4"/>
      <sheetName val="RMC_7_5_4"/>
      <sheetName val="RMC40_4"/>
      <sheetName val="RMC25_4"/>
      <sheetName val="master_QTY4"/>
      <sheetName val="Micro_134"/>
      <sheetName val="TBAL9697_-group_wise__sdpl4"/>
      <sheetName val="Costing_Aug-134"/>
      <sheetName val="Civil_Boq3"/>
      <sheetName val="B_&amp;_C_class_items_3"/>
      <sheetName val="Materials_Cost(PCC)2"/>
      <sheetName val="SPT_vs_PHI2"/>
      <sheetName val="Fin_Sum2"/>
      <sheetName val="beam-reinft-IIInd_floor3"/>
      <sheetName val="Fee_Rate_Summary1"/>
      <sheetName val="BLN_Detail_20001"/>
      <sheetName val="CIP_Summary_00121"/>
      <sheetName val="CIP_Detail_00111"/>
      <sheetName val="99_to_00_blns1"/>
      <sheetName val="E_&amp;_R1"/>
      <sheetName val="PRECAST_lightconc-II1"/>
      <sheetName val="Materials_Cost1"/>
      <sheetName val="Abstract_Sheet1"/>
      <sheetName val="Abstract_Sheet3"/>
      <sheetName val="Scaffolding__(2)7"/>
      <sheetName val="RMC20_7"/>
      <sheetName val="ABs_Sheet7"/>
      <sheetName val="Training_sheet7"/>
      <sheetName val="per_m37"/>
      <sheetName val="Mobi_(Latest)7"/>
      <sheetName val="Preliminaries_(as_per_Site)7"/>
      <sheetName val="Staff_Salary7"/>
      <sheetName val="steel_7"/>
      <sheetName val="MS_Items7"/>
      <sheetName val="Tower_Crane_Operation7"/>
      <sheetName val="_NET_ADDITONAL_C_(10years))7"/>
      <sheetName val="TOWER_CRANE_COST_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afety_items__7"/>
      <sheetName val="Tools_7"/>
      <sheetName val="Rate_analysis7"/>
      <sheetName val="PM(revised)_(as_per_site)7"/>
      <sheetName val="RMC10_7"/>
      <sheetName val="RMC_7_5_7"/>
      <sheetName val="RMC40_7"/>
      <sheetName val="RMC25_7"/>
      <sheetName val="master_QTY7"/>
      <sheetName val="Micro_137"/>
      <sheetName val="TBAL9697_-group_wise__sdpl7"/>
      <sheetName val="Costing_Aug-137"/>
      <sheetName val="Civil_Boq6"/>
      <sheetName val="B_&amp;_C_class_items_6"/>
      <sheetName val="Materials_Cost(PCC)5"/>
      <sheetName val="SPT_vs_PHI5"/>
      <sheetName val="Fin_Sum5"/>
      <sheetName val="beam-reinft-IIInd_floor6"/>
      <sheetName val="Fee_Rate_Summary4"/>
      <sheetName val="BLN_Detail_20004"/>
      <sheetName val="CIP_Summary_00124"/>
      <sheetName val="CIP_Detail_00114"/>
      <sheetName val="99_to_00_blns4"/>
      <sheetName val="E_&amp;_R4"/>
      <sheetName val="PRECAST_lightconc-II4"/>
      <sheetName val="Materials_Cost4"/>
      <sheetName val="Abstract_Sheet4"/>
      <sheetName val="Micro Ext.Devlop"/>
      <sheetName val="Micro Mock Up"/>
      <sheetName val="RD Mock Up"/>
      <sheetName val="Sheet2"/>
      <sheetName val="Old"/>
      <sheetName val="Introduction"/>
      <sheetName val="Sheet3"/>
      <sheetName val="Operating Statistics"/>
      <sheetName val="Financials"/>
      <sheetName val="PCS DATA"/>
      <sheetName val="INPUT SHEET"/>
      <sheetName val="RES-PLANNING"/>
      <sheetName val="Project Budget Workshe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alustrade"/>
      <sheetName val="Basic Rate"/>
      <sheetName val="INFLUENCES ON GM"/>
      <sheetName val="acevsSp (ABC)"/>
      <sheetName val="Insurance &amp; Taxes(B1-2)"/>
      <sheetName val="Staff OH facility &amp; Maint(A1-6)"/>
      <sheetName val="Admin,survy,test(A7-9)"/>
      <sheetName val="PMC REQ(C)"/>
      <sheetName val="기계내역서"/>
      <sheetName val="Actuals_by_Job"/>
      <sheetName val="Heads_Equiv_QI"/>
      <sheetName val="PT_Heads_SD"/>
      <sheetName val="Month"/>
      <sheetName val="Outlook"/>
      <sheetName val="beam-reinft-machine rm"/>
      <sheetName val="SOR"/>
      <sheetName val="Cash Flow"/>
      <sheetName val="PRSH"/>
      <sheetName val="Scaffolding__(2)9"/>
      <sheetName val="RMC20_9"/>
      <sheetName val="ABs_Sheet9"/>
      <sheetName val="Training_sheet9"/>
      <sheetName val="per_m39"/>
      <sheetName val="Mobi_(Latest)9"/>
      <sheetName val="Preliminaries_(as_per_Site)9"/>
      <sheetName val="Staff_Salary9"/>
      <sheetName val="steel_9"/>
      <sheetName val="MS_Items9"/>
      <sheetName val="Tower_Crane_Operation9"/>
      <sheetName val="_NET_ADDITONAL_C_(10years))9"/>
      <sheetName val="TOWER_CRANE_COST_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afety_items__9"/>
      <sheetName val="Tools_9"/>
      <sheetName val="Rate_analysis9"/>
      <sheetName val="PM(revised)_(as_per_site)9"/>
      <sheetName val="RMC10_9"/>
      <sheetName val="RMC_7_5_9"/>
      <sheetName val="RMC40_9"/>
      <sheetName val="RMC25_9"/>
      <sheetName val="master_QTY9"/>
      <sheetName val="Micro_139"/>
      <sheetName val="TBAL9697_-group_wise__sdpl9"/>
      <sheetName val="Costing_Aug-139"/>
      <sheetName val="Civil_Boq8"/>
      <sheetName val="B_&amp;_C_class_items_8"/>
      <sheetName val="Materials_Cost(PCC)7"/>
      <sheetName val="SPT_vs_PHI7"/>
      <sheetName val="Fin_Sum7"/>
      <sheetName val="beam-reinft-IIInd_floor8"/>
      <sheetName val="Fee_Rate_Summary6"/>
      <sheetName val="BLN_Detail_20006"/>
      <sheetName val="CIP_Summary_00126"/>
      <sheetName val="CIP_Detail_00116"/>
      <sheetName val="99_to_00_blns6"/>
      <sheetName val="E_&amp;_R6"/>
      <sheetName val="PRECAST_lightconc-II6"/>
      <sheetName val="Materials_Cost6"/>
      <sheetName val="Abstract_Sheet6"/>
      <sheetName val="Micro_Ext_Devlop"/>
      <sheetName val="Micro_Mock_Up"/>
      <sheetName val="RD_Mock_Up"/>
      <sheetName val="Structure_Bills_Qty2"/>
      <sheetName val="Data"/>
      <sheetName val="Labels"/>
      <sheetName val="Parameter"/>
      <sheetName val="Labor_abs-PW3"/>
      <sheetName val="Labor_abs-NMR3"/>
      <sheetName val="gen"/>
      <sheetName val="Civil_Works8"/>
      <sheetName val="factors"/>
      <sheetName val="dBase"/>
      <sheetName val="IO_LIST"/>
      <sheetName val="Formulas"/>
      <sheetName val="conc-foot-gradeslab"/>
      <sheetName val="PCC"/>
      <sheetName val="1_Project_Profile"/>
      <sheetName val="CABLE_DATA"/>
      <sheetName val="Notes"/>
      <sheetName val="Quote_Sheet"/>
      <sheetName val="A"/>
      <sheetName val="ABSTRACT-RA07"/>
      <sheetName val="ABSTRACT RECON"/>
      <sheetName val="Micro"/>
      <sheetName val="Macro"/>
      <sheetName val="Scaff-Rose"/>
      <sheetName val="p&amp;m"/>
      <sheetName val="BFS"/>
      <sheetName val="TB"/>
      <sheetName val="MN T.B."/>
      <sheetName val="BS"/>
      <sheetName val="Internet"/>
      <sheetName val="SC Cost FEB 03"/>
      <sheetName val="sheet6"/>
      <sheetName val="Footings"/>
      <sheetName val="Main-Material"/>
      <sheetName val="Set"/>
      <sheetName val="BLOCK-A (MEA.SHEET)"/>
      <sheetName val="Break up Sheet"/>
      <sheetName val="Costing"/>
      <sheetName val="BORDGC"/>
      <sheetName val="Bin"/>
      <sheetName val="Estimate for approval"/>
      <sheetName val="FitOutConfCentre"/>
      <sheetName val="TBEAM"/>
      <sheetName val="COMPLEXALL"/>
      <sheetName val="Consolidated"/>
      <sheetName val="선수금"/>
      <sheetName val="Sump"/>
      <sheetName val="ABSTRACT_RECON"/>
      <sheetName val="ABSTRACT_RECON1"/>
      <sheetName val="EAS"/>
      <sheetName val="Sheet14"/>
      <sheetName val="Sheet15"/>
      <sheetName val="final abstract"/>
      <sheetName val="INTERNAL PAINTING BOQ"/>
      <sheetName val="India F&amp;S Template"/>
      <sheetName val="MASTER_RATE ANALYSIS"/>
      <sheetName val="Basic_Rate"/>
      <sheetName val="Direct cost shed A-2 "/>
      <sheetName val="01"/>
      <sheetName val="04"/>
      <sheetName val="02"/>
      <sheetName val="03"/>
      <sheetName val="VCH-SLC"/>
      <sheetName val="upa"/>
      <sheetName val="Package-2"/>
      <sheetName val="abst-of -cost"/>
      <sheetName val="Sqn-Abs(G+6) "/>
      <sheetName val="WO-Abs (G+2) 6 DUs"/>
      <sheetName val="Air-Abs(G+6) 23 DUs"/>
      <sheetName val="Detail In Door Stad"/>
      <sheetName val="Background"/>
      <sheetName val="beam-reinft-machine_rm"/>
      <sheetName val="ABSTRACT_RECON2"/>
      <sheetName val="PCS_DATA"/>
      <sheetName val="INPUT_SHEET"/>
      <sheetName val="Project_Budget_Worksheet"/>
      <sheetName val="ACAD_Finishes"/>
      <sheetName val="Site_Details"/>
      <sheetName val="Site_Area_Statement"/>
      <sheetName val="Operating_Statistics"/>
      <sheetName val="beam-reinft-machine_rm1"/>
      <sheetName val="ABSTRACT_RECON3"/>
      <sheetName val="PCS_DATA1"/>
      <sheetName val="INPUT_SHEET1"/>
      <sheetName val="Project_Budget_Worksheet1"/>
      <sheetName val="ACAD_Finishes1"/>
      <sheetName val="Site_Details1"/>
      <sheetName val="Site_Area_Statement1"/>
      <sheetName val="Operating_Statistics1"/>
      <sheetName val="PointNo.5"/>
      <sheetName val="#REF!"/>
      <sheetName val="Equipment List"/>
      <sheetName val="currency (2)"/>
      <sheetName val="Staff Acco."/>
      <sheetName val="Executive Summary -Thermal"/>
      <sheetName val="Stationwise Thermal &amp; Hydel Gen"/>
      <sheetName val="TWELVE"/>
      <sheetName val="Bill No 2 to 8 (Rev)"/>
      <sheetName val="Publicbuilding"/>
      <sheetName val="Wall"/>
      <sheetName val="Rate analysis civil"/>
      <sheetName val="material and Labour rate"/>
      <sheetName val="office"/>
      <sheetName val="Lab"/>
      <sheetName val="Material&amp;equipment"/>
      <sheetName val="A.O.R."/>
      <sheetName val="Summary_Local"/>
      <sheetName val="boq revised"/>
      <sheetName val="intr stool brkup"/>
      <sheetName val="BILL COV"/>
      <sheetName val="Scaffolding__(2)12"/>
      <sheetName val="RMC20_12"/>
      <sheetName val="ABs_Sheet12"/>
      <sheetName val="Training_sheet12"/>
      <sheetName val="per_m312"/>
      <sheetName val="Mobi_(Latest)12"/>
      <sheetName val="Preliminaries_(as_per_Site)12"/>
      <sheetName val="Staff_Salary12"/>
      <sheetName val="steel_12"/>
      <sheetName val="MS_Items12"/>
      <sheetName val="Tower_Crane_Operation12"/>
      <sheetName val="_NET_ADDITONAL_C_(10years))12"/>
      <sheetName val="TOWER_CRANE_COST_12"/>
      <sheetName val="Abs_pile_12"/>
      <sheetName val="costing_pile_12"/>
      <sheetName val="cutting_final12"/>
      <sheetName val="Block_B12"/>
      <sheetName val="Block_A_12"/>
      <sheetName val="GERMAN_TOOL12"/>
      <sheetName val="C_class_cumulative12"/>
      <sheetName val="Tower_cra-det12"/>
      <sheetName val="Tower_cra_Found12"/>
      <sheetName val="Tower_Crane_Final12"/>
      <sheetName val="safety_items__12"/>
      <sheetName val="Tools_12"/>
      <sheetName val="Rate_analysis12"/>
      <sheetName val="PM(revised)_(as_per_site)12"/>
      <sheetName val="RMC10_12"/>
      <sheetName val="RMC_7_5_12"/>
      <sheetName val="RMC40_12"/>
      <sheetName val="RMC25_12"/>
      <sheetName val="master_QTY12"/>
      <sheetName val="Micro_1312"/>
      <sheetName val="beam-reinft-IIInd_floor11"/>
      <sheetName val="TBAL9697_-group_wise__sdpl12"/>
      <sheetName val="Costing_Aug-1312"/>
      <sheetName val="Civil_Boq11"/>
      <sheetName val="B_&amp;_C_class_items_11"/>
      <sheetName val="SPT_vs_PHI10"/>
      <sheetName val="Fin_Sum10"/>
      <sheetName val="Materials_Cost(PCC)10"/>
      <sheetName val="Materials_Cost9"/>
      <sheetName val="Fee_Rate_Summary9"/>
      <sheetName val="BLN_Detail_20009"/>
      <sheetName val="CIP_Summary_00129"/>
      <sheetName val="CIP_Detail_00119"/>
      <sheetName val="99_to_00_blns9"/>
      <sheetName val="E_&amp;_R9"/>
      <sheetName val="PRECAST_lightconc-II9"/>
      <sheetName val="Abstract_Sheet9"/>
      <sheetName val="ABSTRACT_RECON6"/>
      <sheetName val="Operating_Statistics4"/>
      <sheetName val="PCS_DATA4"/>
      <sheetName val="INPUT_SHEET4"/>
      <sheetName val="Project_Budget_Worksheet4"/>
      <sheetName val="ACAD_Finishes4"/>
      <sheetName val="Site_Details4"/>
      <sheetName val="Site_Area_Statement4"/>
      <sheetName val="beam-reinft-machine_rm4"/>
      <sheetName val="Cash_Flow2"/>
      <sheetName val="Insurance_&amp;_Taxes(B1-2)2"/>
      <sheetName val="Staff_OH_facility_&amp;_Maint(A1-62"/>
      <sheetName val="PMC_REQ(C)2"/>
      <sheetName val="Basic_Rate3"/>
      <sheetName val="INFLUENCES_ON_GM2"/>
      <sheetName val="acevsSp_(ABC)2"/>
      <sheetName val="MN_T_B_2"/>
      <sheetName val="final_abstract2"/>
      <sheetName val="Micro_Ext_Devlop3"/>
      <sheetName val="Micro_Mock_Up3"/>
      <sheetName val="RD_Mock_Up3"/>
      <sheetName val="Break_up_Sheet2"/>
      <sheetName val="Estimate_for_approval2"/>
      <sheetName val="Sqn-Abs(G+6)_2"/>
      <sheetName val="WO-Abs_(G+2)_6_DUs2"/>
      <sheetName val="Air-Abs(G+6)_23_DUs2"/>
      <sheetName val="MASTER_RATE_ANALYSIS2"/>
      <sheetName val="SC_Cost_FEB_032"/>
      <sheetName val="BLOCK-A_(MEA_SHEET)2"/>
      <sheetName val="Detail_In_Door_Stad2"/>
      <sheetName val="India_F&amp;S_Template2"/>
      <sheetName val="PointNo_52"/>
      <sheetName val="INTERNAL_PAINTING_BOQ2"/>
      <sheetName val="Direct_cost_shed_A-2_2"/>
      <sheetName val="abst-of_-cost2"/>
      <sheetName val="Scaffolding__(2)11"/>
      <sheetName val="RMC20_11"/>
      <sheetName val="ABs_Sheet11"/>
      <sheetName val="Training_sheet11"/>
      <sheetName val="per_m311"/>
      <sheetName val="Mobi_(Latest)11"/>
      <sheetName val="Preliminaries_(as_per_Site)11"/>
      <sheetName val="Staff_Salary11"/>
      <sheetName val="steel_11"/>
      <sheetName val="MS_Items11"/>
      <sheetName val="Tower_Crane_Operation11"/>
      <sheetName val="_NET_ADDITONAL_C_(10years))11"/>
      <sheetName val="TOWER_CRANE_COST_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afety_items__11"/>
      <sheetName val="Tools_11"/>
      <sheetName val="Rate_analysis11"/>
      <sheetName val="PM(revised)_(as_per_site)11"/>
      <sheetName val="RMC10_11"/>
      <sheetName val="RMC_7_5_11"/>
      <sheetName val="RMC40_11"/>
      <sheetName val="RMC25_11"/>
      <sheetName val="master_QTY11"/>
      <sheetName val="Micro_1311"/>
      <sheetName val="TBAL9697_-group_wise__sdpl11"/>
      <sheetName val="Costing_Aug-1311"/>
      <sheetName val="Civil_Boq10"/>
      <sheetName val="B_&amp;_C_class_items_10"/>
      <sheetName val="Materials_Cost(PCC)9"/>
      <sheetName val="SPT_vs_PHI9"/>
      <sheetName val="Fin_Sum9"/>
      <sheetName val="beam-reinft-IIInd_floor10"/>
      <sheetName val="Fee_Rate_Summary8"/>
      <sheetName val="BLN_Detail_20008"/>
      <sheetName val="CIP_Summary_00128"/>
      <sheetName val="CIP_Detail_00118"/>
      <sheetName val="99_to_00_blns8"/>
      <sheetName val="E_&amp;_R8"/>
      <sheetName val="PRECAST_lightconc-II8"/>
      <sheetName val="Materials_Cost8"/>
      <sheetName val="Abstract_Sheet8"/>
      <sheetName val="Micro_Ext_Devlop2"/>
      <sheetName val="Micro_Mock_Up2"/>
      <sheetName val="RD_Mock_Up2"/>
      <sheetName val="Basic_Rate2"/>
      <sheetName val="INFLUENCES_ON_GM1"/>
      <sheetName val="acevsSp_(ABC)1"/>
      <sheetName val="Insurance_&amp;_Taxes(B1-2)1"/>
      <sheetName val="Staff_OH_facility_&amp;_Maint(A1-61"/>
      <sheetName val="PMC_REQ(C)1"/>
      <sheetName val="beam-reinft-machine_rm3"/>
      <sheetName val="Cash_Flow1"/>
      <sheetName val="ABSTRACT_RECON5"/>
      <sheetName val="Operating_Statistics3"/>
      <sheetName val="PCS_DATA3"/>
      <sheetName val="INPUT_SHEET3"/>
      <sheetName val="Project_Budget_Worksheet3"/>
      <sheetName val="ACAD_Finishes3"/>
      <sheetName val="Site_Details3"/>
      <sheetName val="Site_Area_Statement3"/>
      <sheetName val="MN_T_B_1"/>
      <sheetName val="SC_Cost_FEB_031"/>
      <sheetName val="BLOCK-A_(MEA_SHEET)1"/>
      <sheetName val="Break_up_Sheet1"/>
      <sheetName val="Estimate_for_approval1"/>
      <sheetName val="final_abstract1"/>
      <sheetName val="INTERNAL_PAINTING_BOQ1"/>
      <sheetName val="India_F&amp;S_Template1"/>
      <sheetName val="MASTER_RATE_ANALYSIS1"/>
      <sheetName val="Sqn-Abs(G+6)_1"/>
      <sheetName val="WO-Abs_(G+2)_6_DUs1"/>
      <sheetName val="Air-Abs(G+6)_23_DUs1"/>
      <sheetName val="Detail_In_Door_Stad1"/>
      <sheetName val="PointNo_51"/>
      <sheetName val="Direct_cost_shed_A-2_1"/>
      <sheetName val="abst-of_-cost1"/>
      <sheetName val="Equipment_List1"/>
      <sheetName val="currency_(2)1"/>
      <sheetName val="Staff_Acco_1"/>
      <sheetName val="Executive_Summary_-Thermal1"/>
      <sheetName val="Stationwise_Thermal_&amp;_Hydel_Ge1"/>
      <sheetName val="Bill_No_2_to_8_(Rev)1"/>
      <sheetName val="Rate_analysis_civil1"/>
      <sheetName val="material_and_Labour_rate1"/>
      <sheetName val="A_O_R_1"/>
      <sheetName val="boq_revised1"/>
      <sheetName val="Scaffolding__(2)10"/>
      <sheetName val="RMC20_10"/>
      <sheetName val="ABs_Sheet10"/>
      <sheetName val="Training_sheet10"/>
      <sheetName val="per_m310"/>
      <sheetName val="Mobi_(Latest)10"/>
      <sheetName val="Preliminaries_(as_per_Site)10"/>
      <sheetName val="Staff_Salary10"/>
      <sheetName val="steel_10"/>
      <sheetName val="MS_Items10"/>
      <sheetName val="Tower_Crane_Operation10"/>
      <sheetName val="_NET_ADDITONAL_C_(10years))10"/>
      <sheetName val="TOWER_CRANE_COST_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afety_items__10"/>
      <sheetName val="Tools_10"/>
      <sheetName val="Rate_analysis10"/>
      <sheetName val="PM(revised)_(as_per_site)10"/>
      <sheetName val="RMC10_10"/>
      <sheetName val="RMC_7_5_10"/>
      <sheetName val="RMC40_10"/>
      <sheetName val="RMC25_10"/>
      <sheetName val="master_QTY10"/>
      <sheetName val="Micro_1310"/>
      <sheetName val="TBAL9697_-group_wise__sdpl10"/>
      <sheetName val="Costing_Aug-1310"/>
      <sheetName val="Civil_Boq9"/>
      <sheetName val="B_&amp;_C_class_items_9"/>
      <sheetName val="Materials_Cost(PCC)8"/>
      <sheetName val="SPT_vs_PHI8"/>
      <sheetName val="Fin_Sum8"/>
      <sheetName val="beam-reinft-IIInd_floor9"/>
      <sheetName val="Fee_Rate_Summary7"/>
      <sheetName val="BLN_Detail_20007"/>
      <sheetName val="CIP_Summary_00127"/>
      <sheetName val="CIP_Detail_00117"/>
      <sheetName val="99_to_00_blns7"/>
      <sheetName val="E_&amp;_R7"/>
      <sheetName val="PRECAST_lightconc-II7"/>
      <sheetName val="Materials_Cost7"/>
      <sheetName val="Abstract_Sheet7"/>
      <sheetName val="Micro_Ext_Devlop1"/>
      <sheetName val="Micro_Mock_Up1"/>
      <sheetName val="RD_Mock_Up1"/>
      <sheetName val="Basic_Rate1"/>
      <sheetName val="INFLUENCES_ON_GM"/>
      <sheetName val="acevsSp_(ABC)"/>
      <sheetName val="Insurance_&amp;_Taxes(B1-2)"/>
      <sheetName val="Staff_OH_facility_&amp;_Maint(A1-6)"/>
      <sheetName val="PMC_REQ(C)"/>
      <sheetName val="beam-reinft-machine_rm2"/>
      <sheetName val="Cash_Flow"/>
      <sheetName val="ABSTRACT_RECON4"/>
      <sheetName val="Operating_Statistics2"/>
      <sheetName val="PCS_DATA2"/>
      <sheetName val="INPUT_SHEET2"/>
      <sheetName val="Project_Budget_Worksheet2"/>
      <sheetName val="ACAD_Finishes2"/>
      <sheetName val="Site_Details2"/>
      <sheetName val="Site_Area_Statement2"/>
      <sheetName val="MN_T_B_"/>
      <sheetName val="SC_Cost_FEB_03"/>
      <sheetName val="BLOCK-A_(MEA_SHEET)"/>
      <sheetName val="Break_up_Sheet"/>
      <sheetName val="Estimate_for_approval"/>
      <sheetName val="final_abstract"/>
      <sheetName val="INTERNAL_PAINTING_BOQ"/>
      <sheetName val="India_F&amp;S_Template"/>
      <sheetName val="MASTER_RATE_ANALYSIS"/>
      <sheetName val="Sqn-Abs(G+6)_"/>
      <sheetName val="WO-Abs_(G+2)_6_DUs"/>
      <sheetName val="Air-Abs(G+6)_23_DUs"/>
      <sheetName val="Detail_In_Door_Stad"/>
      <sheetName val="PointNo_5"/>
      <sheetName val="Direct_cost_shed_A-2_"/>
      <sheetName val="abst-of_-cost"/>
      <sheetName val="Equipment_List"/>
      <sheetName val="currency_(2)"/>
      <sheetName val="Staff_Acco_"/>
      <sheetName val="Executive_Summary_-Thermal"/>
      <sheetName val="Stationwise_Thermal_&amp;_Hydel_Gen"/>
      <sheetName val="Bill_No_2_to_8_(Rev)"/>
      <sheetName val="Rate_analysis_civil"/>
      <sheetName val="material_and_Labour_rate"/>
      <sheetName val="A_O_R_"/>
      <sheetName val="boq_revised"/>
      <sheetName val="Materials "/>
      <sheetName val="MAchinery(R1)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Summary 0506"/>
      <sheetName val="Summary 0607- 31.MAR"/>
      <sheetName val="Lab"/>
      <sheetName val="office"/>
      <sheetName val="Material&amp;equipment"/>
      <sheetName val="Boq"/>
      <sheetName val="Civil Boq"/>
      <sheetName val="#REF!"/>
      <sheetName val="Qty"/>
      <sheetName val="Break up Shee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Rate Analysis"/>
      <sheetName val="TBAL9697 -group wise  sdpl"/>
      <sheetName val="sept-plan"/>
      <sheetName val="Other"/>
      <sheetName val="Summary"/>
      <sheetName val="Abstract Sheet"/>
      <sheetName val="Spt-BH"/>
      <sheetName val="Pile cap"/>
      <sheetName val="V.O.4 - PCC Qty"/>
      <sheetName val="Legal Risk Analysis"/>
      <sheetName val="FitOutConfCentre"/>
      <sheetName val="SPT_vs_PHI"/>
      <sheetName val="glass_project_concrete"/>
      <sheetName val="glass_project_reift"/>
      <sheetName val="glass_project_indices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d-safe DELUXE"/>
      <sheetName val="PRECAST lightconc-II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RCC,Ret. Wall"/>
      <sheetName val="Form 6"/>
      <sheetName val="PointNo.5"/>
      <sheetName val="BLK2"/>
      <sheetName val="BLK3"/>
      <sheetName val="E &amp; R"/>
      <sheetName val="radar"/>
      <sheetName val="UG"/>
      <sheetName val="Design"/>
      <sheetName val="Mix Design"/>
      <sheetName val="std-rates"/>
      <sheetName val="Fill this out first..."/>
      <sheetName val="LABOUR"/>
      <sheetName val="REVISED4A PROG PERF-SITE 1"/>
      <sheetName val="WWR"/>
      <sheetName val="CABLE DATA"/>
      <sheetName val="BOQ_Direct_selling cost"/>
      <sheetName val="BOQ (2)"/>
      <sheetName val="GBW"/>
      <sheetName val="Stock-II"/>
      <sheetName val="R20_R30_work"/>
      <sheetName val="8"/>
      <sheetName val="Flight-1"/>
      <sheetName val="Publicbuilding"/>
      <sheetName val="FT-05-02IsoBOM"/>
      <sheetName val="final abstract"/>
      <sheetName val="Rev S1 Abstract"/>
      <sheetName val="Quantity Abstract"/>
      <sheetName val="Input"/>
      <sheetName val="Activity"/>
      <sheetName val="Staff Acco."/>
      <sheetName val="Crew"/>
      <sheetName val="Piping"/>
      <sheetName val="Pipe Supports"/>
      <sheetName val="[Spt-BH.xls][Spt-BH.xls]B__1505"/>
      <sheetName val=""/>
      <sheetName val="Abstract"/>
      <sheetName val="RA-markate"/>
      <sheetName val="M-Book for Conc"/>
      <sheetName val="M-Book for FW"/>
      <sheetName val="VCH-SLC"/>
      <sheetName val="Supplier"/>
      <sheetName val="Parapet"/>
      <sheetName val="Load Details-220kV"/>
      <sheetName val="sheet6"/>
      <sheetName val="beam-reinft-IIInd floor"/>
      <sheetName val="[Spt-BH.xls][Spt-BH.xls]B__1506"/>
      <sheetName val="INPUT SHEET"/>
      <sheetName val="RES-PLANNING"/>
      <sheetName val="Footings"/>
      <sheetName val="Formulas"/>
      <sheetName val="B@_"/>
      <sheetName val="cubes_M20"/>
      <sheetName val="B@__x005f_x0000__x005f_x0004_@_x005f_x0000__x0000"/>
      <sheetName val="Project Budget Worksheet"/>
      <sheetName val="Summary_0506"/>
      <sheetName val="Summary_0607-_31_MAR"/>
      <sheetName val="Form_6"/>
      <sheetName val="COLUMN"/>
      <sheetName val="Sump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#REF"/>
      <sheetName val="BOQ -II ph 2"/>
      <sheetName val="A-General"/>
      <sheetName val="B@___x0004_@_____$__"/>
      <sheetName val="BS1"/>
      <sheetName val="RA"/>
      <sheetName val="11-hsd"/>
      <sheetName val="13-septic"/>
      <sheetName val="7-ug"/>
      <sheetName val="2-utility"/>
      <sheetName val="18-misc"/>
      <sheetName val="5-pipe"/>
      <sheetName val="switch"/>
      <sheetName val="STAFFSCHED "/>
      <sheetName val="SUMM"/>
      <sheetName val="Macro1"/>
      <sheetName val="Sheet3"/>
      <sheetName val="Lead"/>
      <sheetName val="Fee Rate Summary"/>
      <sheetName val="DADAN-1"/>
      <sheetName val="dummy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SPT_vs_PHI2"/>
      <sheetName val="glass_project_concrete2"/>
      <sheetName val="glass_project_reift2"/>
      <sheetName val="glass_project_indices2"/>
      <sheetName val="Summary_05061"/>
      <sheetName val="Summary_0607-_31_MAR1"/>
      <sheetName val="Civil_Boq"/>
      <sheetName val="SBC-BH_191"/>
      <sheetName val="Break_up_Sheet"/>
      <sheetName val="Rate_Analysis1"/>
      <sheetName val="TBAL9697_-group_wise__sdpl"/>
      <sheetName val="Abstract_Sheet"/>
      <sheetName val="BH_12-11-10-131"/>
      <sheetName val="BH_12-11-10-91"/>
      <sheetName val="BH_36-15-371"/>
      <sheetName val="BH_16-35-25-171"/>
      <sheetName val="BH_35-25-171"/>
      <sheetName val="Sheet1_(2)1"/>
      <sheetName val="d-safe_DELUXE"/>
      <sheetName val="Pile_cap"/>
      <sheetName val="PRECAST_lightconc-II"/>
      <sheetName val="V_O_4_-_PCC_Qty"/>
      <sheetName val="Legal_Risk_Analysis"/>
      <sheetName val="RCC,Ret__Wall"/>
      <sheetName val="Form_61"/>
      <sheetName val="PointNo_5"/>
      <sheetName val="E_&amp;_R"/>
      <sheetName val="Mix_Design"/>
      <sheetName val="CABLE_DATA"/>
      <sheetName val="Fill_this_out_first___"/>
      <sheetName val="REVISED4A_PROG_PERF-SITE_1"/>
      <sheetName val="Rev_S1_Abstract"/>
      <sheetName val="Quantity_Abstract"/>
      <sheetName val="BOQ_Direct_selling_cost"/>
      <sheetName val="BOQ_(2)"/>
      <sheetName val="final_abstract"/>
      <sheetName val="[Spt-BH.xls][Spt-BH.xls]_Sp_509"/>
      <sheetName val="Staff_Acco_"/>
      <sheetName val="Pipe_Supports"/>
      <sheetName val="M-Book_for_Conc"/>
      <sheetName val="M-Book_for_FW"/>
      <sheetName val="beam-reinft-IIInd_floor"/>
      <sheetName val="Load_Details-220kV"/>
      <sheetName val="[Spt-BH.xls][Spt-BH.xls]B__1507"/>
      <sheetName val="INPUT_SHEET"/>
      <sheetName val="B@__@_____$__"/>
      <sheetName val="Project_Budget_Work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OQ_-II_ph_2"/>
      <sheetName val="Metso_-_Forth_&amp;_Slurry_11_02_10"/>
      <sheetName val="HPL"/>
      <sheetName val="Costing"/>
      <sheetName val="col-reinft1"/>
      <sheetName val="220 11  BS "/>
      <sheetName val="Coefficients"/>
      <sheetName val="IS3370"/>
      <sheetName val="IS456"/>
      <sheetName val="FUNDFLOW"/>
      <sheetName val="Build-up"/>
      <sheetName val="AOR"/>
      <sheetName val="SSR &amp; NSSR Market final"/>
      <sheetName val="p&amp;m"/>
      <sheetName val="[Spt-BH.xls][Spt-BH.xls]B__1508"/>
      <sheetName val="India F&amp;S Template"/>
      <sheetName val="Quote Sheet"/>
      <sheetName val="Site wise NADs"/>
      <sheetName val="Headings"/>
      <sheetName val="2gii"/>
      <sheetName val="MGS"/>
      <sheetName val="attach(2)"/>
      <sheetName val="maingirder"/>
      <sheetName val="basic-data"/>
      <sheetName val="precast RC element"/>
      <sheetName val="EDWise"/>
      <sheetName val="ComboSheet"/>
      <sheetName val="B@__x005f_x005f_x005f_x0000__x005f_x005f_x005f_x0004_@_"/>
      <sheetName val="B@___x005f_x0004_@_____$__"/>
      <sheetName val="Debits as on 12.04.08"/>
      <sheetName val="B@[_x005f_x0000__x005f_x0004_@_x005f_x0000__x0000"/>
      <sheetName val="Qty-Opt1"/>
      <sheetName val="Assmpns"/>
      <sheetName val="合成単価作成表-BLDG"/>
      <sheetName val="Cal"/>
      <sheetName val="Data"/>
      <sheetName val="Voucher"/>
      <sheetName val="Materials Cost(PCC)"/>
      <sheetName val="NPV"/>
      <sheetName val="Stress Calculation"/>
      <sheetName val="x-items"/>
      <sheetName val="RA RCC F"/>
      <sheetName val="PRRM Dashboard"/>
      <sheetName val="Mappings"/>
      <sheetName val="Title"/>
      <sheetName val="T&amp;M"/>
      <sheetName val="SOR"/>
      <sheetName val="PriceSummary"/>
      <sheetName val="Back"/>
      <sheetName val="FT-05-02Is-_x0000_5y"/>
      <sheetName val="Abstract for Variation"/>
      <sheetName val="LBD VARIATION"/>
      <sheetName val="B@_@__$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Report"/>
      <sheetName val="C"/>
      <sheetName val="B"/>
      <sheetName val="Mx1012a"/>
      <sheetName val="Material List "/>
      <sheetName val="Detail"/>
      <sheetName val="SPT_vs_PHI3"/>
      <sheetName val="glass_project_concrete3"/>
      <sheetName val="glass_project_reift3"/>
      <sheetName val="glass_project_indices3"/>
      <sheetName val="Summary_05062"/>
      <sheetName val="Summary_0607-_31_MAR2"/>
      <sheetName val="Civil_Boq1"/>
      <sheetName val="Break_up_Sheet1"/>
      <sheetName val="SBC-BH_192"/>
      <sheetName val="Rate_Analysis2"/>
      <sheetName val="TBAL9697_-group_wise__sdpl1"/>
      <sheetName val="Abstract_Sheet1"/>
      <sheetName val="Pile_cap1"/>
      <sheetName val="V_O_4_-_PCC_Qty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d-safe_DELUXE1"/>
      <sheetName val="PRECAST_lightconc-II1"/>
      <sheetName val="RCC,Ret__Wall1"/>
      <sheetName val="Form_62"/>
      <sheetName val="PointNo_51"/>
      <sheetName val="E_&amp;_R1"/>
      <sheetName val="Mix_Design1"/>
      <sheetName val="Fill_this_out_first___1"/>
      <sheetName val="REVISED4A_PROG_PERF-SITE_11"/>
      <sheetName val="CABLE_DATA1"/>
      <sheetName val="BOQ_Direct_selling_cost1"/>
      <sheetName val="BOQ_(2)1"/>
      <sheetName val="final_abstract1"/>
      <sheetName val="Rev_S1_Abstract1"/>
      <sheetName val="Quantity_Abstract1"/>
      <sheetName val="Staff_Acco_1"/>
      <sheetName val="Pipe_Supports1"/>
      <sheetName val="M-Book_for_Conc1"/>
      <sheetName val="M-Book_for_FW1"/>
      <sheetName val="Load_Details-220kV1"/>
      <sheetName val="beam-reinft-IIInd_floor1"/>
      <sheetName val="INPUT_SHEET1"/>
      <sheetName val="Project_Budget_Worksheet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BOQ_-II_ph_21"/>
      <sheetName val="STAFFSCHED_"/>
      <sheetName val="Fee_Rate_Summary"/>
      <sheetName val="d-safe_specs"/>
      <sheetName val="class_&amp;_category"/>
      <sheetName val="Rein-Final_(Ph_1+Ph2)"/>
      <sheetName val="Metso_-_Forth_&amp;_Slurry_11_02_11"/>
      <sheetName val="220_11__BS_"/>
      <sheetName val="SSR_&amp;_NSSR_Market_final"/>
      <sheetName val="India_F&amp;S_Template"/>
      <sheetName val="Quote_Sheet"/>
      <sheetName val="Site_wise_NADs"/>
      <sheetName val="precast_RC_element"/>
      <sheetName val="Debits_as_on_12_04_08"/>
      <sheetName val="Materials_Cost(PCC)"/>
      <sheetName val="Stress_Calculation"/>
      <sheetName val="RA_RCC_F"/>
      <sheetName val="PRRM_Dashboard"/>
      <sheetName val="FT-05-02Is-5y"/>
      <sheetName val="Abstract_for_Variation"/>
      <sheetName val="LBD_VARI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Material_List_"/>
      <sheetName val="Inputs &amp; Summary Output"/>
      <sheetName val="Broad Refresher Model"/>
      <sheetName val="LT Motor catalog"/>
      <sheetName val="Cable cat"/>
      <sheetName val="Ra  stair"/>
      <sheetName val="Joints"/>
      <sheetName val="SubmitCal"/>
      <sheetName val="钢筋"/>
      <sheetName val="inWords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SàQa_x0005_@_x0000__x0000__x0000_²"/>
      <sheetName val="upa"/>
      <sheetName val="2.2 띠장의 설계"/>
      <sheetName val="HVAC"/>
      <sheetName val="LT_Motor_catalog"/>
      <sheetName val="Cable_cat"/>
      <sheetName val="SPT_vs_PHI4"/>
      <sheetName val="3"/>
      <sheetName val="B@__x0000__x0004_@_x0000__x0000"/>
      <sheetName val="B@__x005f_x0000__x005f_x0004_@_"/>
      <sheetName val="BHANDUP"/>
      <sheetName val="[Spt-BH.xls]B____x005f_x0004______117"/>
      <sheetName val="[Spt-BH.xls]B___x005f_x0000__x000_114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Direct cost shed A-2 "/>
      <sheetName val="[Spt-BH.xls][Spt-BH.xls]B__1509"/>
      <sheetName val="Cost of O &amp; O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Staff Forecast spread"/>
      <sheetName val="B@__x005f_x0000__x005f_x0004_@_x005f_x0000___$_x0"/>
      <sheetName val="IDCCALHYD-GOO"/>
      <sheetName val="BLOCK-E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bricks"/>
      <sheetName val="BH_12-11-10-134"/>
      <sheetName val="BH_12-11-10-94"/>
      <sheetName val="BH_36-15-374"/>
      <sheetName val="BH_16-35-25-174"/>
      <sheetName val="BH_35-25-174"/>
      <sheetName val="Sheet1_(2)4"/>
      <sheetName val="d-safe_DELUXE3"/>
      <sheetName val="PRECAST_lightconc-II3"/>
      <sheetName val="Legal_Risk_Analysis3"/>
      <sheetName val="Mix_Design3"/>
      <sheetName val="Form_64"/>
      <sheetName val="PointNo_53"/>
      <sheetName val="RCC,Ret__Wall3"/>
      <sheetName val="E_&amp;_R3"/>
      <sheetName val="Break_up_Sheet3"/>
      <sheetName val="Abstract_Sheet3"/>
      <sheetName val="Fill_this_out_first___3"/>
      <sheetName val="REVISED4A_PROG_PERF-SITE_13"/>
      <sheetName val="BOQ_Direct_selling_cost3"/>
      <sheetName val="BOQ_(2)3"/>
      <sheetName val="CABLE_DATA3"/>
      <sheetName val="Staff_Acco_3"/>
      <sheetName val="Pipe_Supports3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PRECAST_lightconc-II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Direct_selling_cost2"/>
      <sheetName val="BOQ_(2)2"/>
      <sheetName val="CABLE_DATA2"/>
      <sheetName val="Staff_Acco_2"/>
      <sheetName val="Pipe_Supports2"/>
      <sheetName val="final_abstract2"/>
      <sheetName val="Rev_S1_Abstract2"/>
      <sheetName val="Quantity_Abstract2"/>
      <sheetName val="M-Book_for_Conc2"/>
      <sheetName val="M-Book_for_FW2"/>
      <sheetName val="Load_Details-220kV2"/>
      <sheetName val="beam-reinft-IIInd_floor2"/>
      <sheetName val="INPUT_SHEET2"/>
      <sheetName val="Project_Budget_Worksheet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BOQ_-II_ph_22"/>
      <sheetName val="STAFFSCHED_1"/>
      <sheetName val="Fee_Rate_Summary1"/>
      <sheetName val="d-safe_specs1"/>
      <sheetName val="Quote_Sheet1"/>
      <sheetName val="class_&amp;_category1"/>
      <sheetName val="Rein-Final_(Ph_1+Ph2)1"/>
      <sheetName val="Materials_Cost(PCC)1"/>
      <sheetName val="220_11__BS_1"/>
      <sheetName val="SSR_&amp;_NSSR_Market_final1"/>
      <sheetName val="Site_wise_NADs1"/>
      <sheetName val="RA_RCC_F1"/>
      <sheetName val="India_F&amp;S_Template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[Spt-BH.xls][Spt-BH.xls]B__1498"/>
      <sheetName val="[Spt-BH.xls][Spt-BH.xls]B__1499"/>
      <sheetName val="[Spt-BH.xls][Spt-BH.xls]_Sp_507"/>
      <sheetName val="[Spt-BH.xls][Spt-BH.xls]B__1500"/>
      <sheetName val="[Spt-BH.xls][Spt-BH.xls]B__1501"/>
      <sheetName val="[Spt-BH.xls][Spt-BH.xls]B@[_x0000__x0004_@_x0000_"/>
      <sheetName val="[Spt-BH.xls][Spt-BH.xls]B@[?_x0004_@?"/>
      <sheetName val="[Spt-BH.xls][Spt-BH.xls][Spt-BH"/>
      <sheetName val="[Spt-BH.xls][Spt-BH.xls]B@[?@??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IO List"/>
      <sheetName val="Basicrate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yndicate codes"/>
      <sheetName val="B@["/>
      <sheetName val="Basic Rate"/>
      <sheetName val="INFLUENCES ON GM"/>
      <sheetName val="B@__x0000__x0004_@_x0000___$_x0"/>
      <sheetName val="B@__x005f_x005f_x005f_x0000__x0"/>
      <sheetName val="B@___x0004_@___$_"/>
      <sheetName val="measurement"/>
      <sheetName val="Break_Up (bc)"/>
      <sheetName val="Break_Up (bc1)"/>
      <sheetName val="Break_Up (bc2)"/>
      <sheetName val="Fin Sum"/>
      <sheetName val="Steel Payment Doc"/>
      <sheetName val=" AT-1-220 "/>
      <sheetName val=" BC-220"/>
      <sheetName val="Components"/>
      <sheetName val="DETAILED  BOQ"/>
      <sheetName val="Pay_Sep06"/>
      <sheetName val="Code"/>
      <sheetName val="database"/>
      <sheetName val="ISA"/>
      <sheetName val="B@___x005f_x005f_x005f_x005f_x005f_x005f_x005f_x0004_@_"/>
      <sheetName val="B@__x005f_x005f_x005f_x005f_x005f_x005f_x005f_x005f_x00"/>
      <sheetName val="B@___x005f_x005f_x005f_x005f_x005f_x005f_x005f_x005f_x0"/>
      <sheetName val="Works - Quote Sheet"/>
      <sheetName val="02"/>
      <sheetName val="03"/>
      <sheetName val="04"/>
      <sheetName val="05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SàQa_x0005_@"/>
      <sheetName val="estimate"/>
      <sheetName val="Havells  LT (XLPE)"/>
      <sheetName val="PL-ST-6"/>
      <sheetName val="Coalmine"/>
      <sheetName val="PL Inst RA 12"/>
      <sheetName val="PACK (B)"/>
      <sheetName val="B@___x005f_x005f_x005f_x0004_@_"/>
      <sheetName val="B@__x005f_x005f_x005f_x005f_x00"/>
      <sheetName val="Staff_Forecast_spread"/>
      <sheetName val="Direct_cost_shed_A-2_"/>
      <sheetName val="[Spt-BH.xls][Spt-BH.xls]B__1510"/>
      <sheetName val="Notes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Mat.Cost"/>
      <sheetName val="4NEXRA"/>
      <sheetName val=" "/>
      <sheetName val="commercial"/>
      <sheetName val="Tender Appraisal"/>
      <sheetName val="Ins &amp; Bonds"/>
      <sheetName val="Site facilities"/>
      <sheetName val="Clients Requirements"/>
      <sheetName val="Pipe_SupportÈ"/>
      <sheetName val="DB_ET200(R. A)"/>
      <sheetName val="[Spt-BH.xls][Spt-BH.xls]_Sp_505"/>
      <sheetName val="[Spt-BH.xls][Spt-BH.xls]B__1502"/>
      <sheetName val="[Spt-BH.xls]B@[_x005f_x0000__x005f_x0004_@_"/>
      <sheetName val="[Spt-BH.xls][Spt-BH.xls]B__1503"/>
      <sheetName val="inter"/>
      <sheetName val="見積書"/>
      <sheetName val="Labour Rate "/>
      <sheetName val="(M+L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1.01 (a)"/>
      <sheetName val="[Spt-BH.xls][Spt-BH.xls]B__1504"/>
      <sheetName val="電気設備表"/>
      <sheetName val="2 BHK"/>
      <sheetName val="BALANCE-IOTL "/>
      <sheetName val="Rates"/>
      <sheetName val="para"/>
      <sheetName val="kppl pl"/>
      <sheetName val="LTG-STG"/>
      <sheetName val="_Spt-BH.xls__Spt-BH.xls_B@_"/>
      <sheetName val="_Spt-BH.xls__Spt-BH.xls_B@___x0004_@_"/>
      <sheetName val="_Spt-BH.xls__Spt-BH.xls__Spt-BH"/>
      <sheetName val="_Spt-BH.xls__Spt-BH.xls_B@__@__"/>
      <sheetName val="LIST-SUB-CON"/>
      <sheetName val="Prelims Breakup"/>
      <sheetName val="Staff planning"/>
      <sheetName val="1 yr maintainance"/>
      <sheetName val="SàQa_x005f_x0005_@_x005f_x0000__x005f_x0000__x000"/>
      <sheetName val="HOSPI-01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Steel-Circular"/>
      <sheetName val="SP Break Up"/>
      <sheetName val="Basic Rates"/>
      <sheetName val="activit-graph  "/>
      <sheetName val="pr_cal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매크로"/>
      <sheetName val="2_2_띠장의_설계"/>
      <sheetName val="Abstract_for_Variation1"/>
      <sheetName val="LBD_VARIATION1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t"/>
      <sheetName val="SPT_vs_PHI35"/>
      <sheetName val="glass_project_concrete35"/>
      <sheetName val="glass_project_reift35"/>
      <sheetName val="glass_project_indices35"/>
      <sheetName val="Summary_050634"/>
      <sheetName val="Summary_0607-_31_MAR34"/>
      <sheetName val="Civil_Boq33"/>
      <sheetName val="Break_up_Sheet33"/>
      <sheetName val="SBC-BH_1934"/>
      <sheetName val="Rate_Analysis34"/>
      <sheetName val="TBAL9697_-group_wise__sdpl33"/>
      <sheetName val="Abstract_Sheet33"/>
      <sheetName val="Pile_cap33"/>
      <sheetName val="V_O_4_-_PCC_Qty33"/>
      <sheetName val="Legal_Risk_Analysis33"/>
      <sheetName val="BH_12-11-10-1334"/>
      <sheetName val="BH_12-11-10-934"/>
      <sheetName val="BH_36-15-3734"/>
      <sheetName val="BH_16-35-25-1734"/>
      <sheetName val="BH_35-25-1734"/>
      <sheetName val="Sheet1_(2)34"/>
      <sheetName val="d-safe_DELUXE33"/>
      <sheetName val="PRECAST_lightconc-II33"/>
      <sheetName val="RCC,Ret__Wall33"/>
      <sheetName val="Form_634"/>
      <sheetName val="PointNo_533"/>
      <sheetName val="E_&amp;_R33"/>
      <sheetName val="Mix_Design33"/>
      <sheetName val="Fill_this_out_first___33"/>
      <sheetName val="REVISED4A_PROG_PERF-SITE_133"/>
      <sheetName val="CABLE_DATA33"/>
      <sheetName val="BOQ_Direct_selling_cost33"/>
      <sheetName val="BOQ_(2)33"/>
      <sheetName val="final_abstract33"/>
      <sheetName val="Rev_S1_Abstract33"/>
      <sheetName val="Quantity_Abstract33"/>
      <sheetName val="Staff_Acco_33"/>
      <sheetName val="Pipe_Supports33"/>
      <sheetName val="M-Book_for_Conc33"/>
      <sheetName val="M-Book_for_FW33"/>
      <sheetName val="Load_Details-220kV33"/>
      <sheetName val="beam-reinft-IIInd_floor33"/>
      <sheetName val="INPUT_SHEET33"/>
      <sheetName val="Project_Budget_Worksheet33"/>
      <sheetName val="SANJAY_PAL33"/>
      <sheetName val="P_A_SELVAM33"/>
      <sheetName val="ANSARI_33"/>
      <sheetName val="abdesh_pal33"/>
      <sheetName val="sujay_bagchi33"/>
      <sheetName val="S_K_SINHA_BASU33"/>
      <sheetName val="KRISHNA_PRASAD33"/>
      <sheetName val="BARATH_&amp;_CO33"/>
      <sheetName val="L_B_YADAV33"/>
      <sheetName val="DEEPAK_KUMAR33"/>
      <sheetName val="MUKLAL_YADAV33"/>
      <sheetName val="MADHU_SUDHAN33"/>
      <sheetName val="SAUD_ALAM_33"/>
      <sheetName val="RAMESH_BABU33"/>
      <sheetName val="SAILEN_SARKAR33"/>
      <sheetName val="SANJAY_JENA133"/>
      <sheetName val="upendra_saw_33"/>
      <sheetName val="ALLOK_KUMAR_33"/>
      <sheetName val="except_wiring33"/>
      <sheetName val="BOQ_-II_ph_233"/>
      <sheetName val="STAFFSCHED_32"/>
      <sheetName val="Fee_Rate_Summary32"/>
      <sheetName val="d-safe_specs32"/>
      <sheetName val="class_&amp;_category32"/>
      <sheetName val="Rein-Final_(Ph_1+Ph2)32"/>
      <sheetName val="Metso_-_Forth_&amp;_Slurry_11_02_42"/>
      <sheetName val="220_11__BS_32"/>
      <sheetName val="SSR_&amp;_NSSR_Market_final32"/>
      <sheetName val="India_F&amp;S_Template32"/>
      <sheetName val="Quote_Sheet32"/>
      <sheetName val="Site_wise_NADs32"/>
      <sheetName val="precast_RC_element32"/>
      <sheetName val="Debits_as_on_12_04_0815"/>
      <sheetName val="Materials_Cost(PCC)32"/>
      <sheetName val="Stress_Calculation32"/>
      <sheetName val="RA_RCC_F32"/>
      <sheetName val="PRRM_Dashboard15"/>
      <sheetName val="Inputs_&amp;_Summary_Output7"/>
      <sheetName val="Broad_Refresher_Model7"/>
      <sheetName val="LT_Motor_catalog6"/>
      <sheetName val="Cable_cat6"/>
      <sheetName val="Abstract_for_Variation6"/>
      <sheetName val="LBD_VARIATION6"/>
      <sheetName val="plinth_Beam_+_Stirrups_32"/>
      <sheetName val="GF_COLUMNS32"/>
      <sheetName val="G_F_ROOF_BEAM_32"/>
      <sheetName val="GF_SLAB_STEEL32"/>
      <sheetName val="GF_Lintel32"/>
      <sheetName val="GF_Stair32"/>
      <sheetName val="FF_COLUMNS32"/>
      <sheetName val="F_F__Steel_FINAL_(2)32"/>
      <sheetName val="FF_Lintel32"/>
      <sheetName val="FF_Stair32"/>
      <sheetName val="S_F__Steel_FINAL_32"/>
      <sheetName val="SF_Lintel32"/>
      <sheetName val="Material_List_6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SàQa@²"/>
      <sheetName val="2_2_띠장의_설계5"/>
      <sheetName val="Ra__stair5"/>
      <sheetName val="Direct_cost_shed_A-2_6"/>
      <sheetName val="SPT_vs_PHI33"/>
      <sheetName val="glass_project_concrete33"/>
      <sheetName val="glass_project_reift33"/>
      <sheetName val="glass_project_indices33"/>
      <sheetName val="Summary_050632"/>
      <sheetName val="Summary_0607-_31_MAR32"/>
      <sheetName val="Civil_Boq31"/>
      <sheetName val="Break_up_Sheet31"/>
      <sheetName val="SBC-BH_1932"/>
      <sheetName val="Rate_Analysis32"/>
      <sheetName val="TBAL9697_-group_wise__sdpl31"/>
      <sheetName val="Abstract_Sheet31"/>
      <sheetName val="Pile_cap31"/>
      <sheetName val="V_O_4_-_PCC_Qty31"/>
      <sheetName val="Legal_Risk_Analysis31"/>
      <sheetName val="BH_12-11-10-1332"/>
      <sheetName val="BH_12-11-10-932"/>
      <sheetName val="BH_36-15-3732"/>
      <sheetName val="BH_16-35-25-1732"/>
      <sheetName val="BH_35-25-1732"/>
      <sheetName val="Sheet1_(2)32"/>
      <sheetName val="d-safe_DELUXE31"/>
      <sheetName val="PRECAST_lightconc-II31"/>
      <sheetName val="RCC,Ret__Wall31"/>
      <sheetName val="Form_632"/>
      <sheetName val="PointNo_531"/>
      <sheetName val="E_&amp;_R31"/>
      <sheetName val="Mix_Design31"/>
      <sheetName val="Fill_this_out_first___31"/>
      <sheetName val="REVISED4A_PROG_PERF-SITE_131"/>
      <sheetName val="CABLE_DATA31"/>
      <sheetName val="BOQ_Direct_selling_cost31"/>
      <sheetName val="BOQ_(2)31"/>
      <sheetName val="final_abstract31"/>
      <sheetName val="Rev_S1_Abstract31"/>
      <sheetName val="Quantity_Abstract31"/>
      <sheetName val="Staff_Acco_31"/>
      <sheetName val="Pipe_Supports31"/>
      <sheetName val="M-Book_for_Conc31"/>
      <sheetName val="M-Book_for_FW31"/>
      <sheetName val="Load_Details-220kV31"/>
      <sheetName val="beam-reinft-IIInd_floor31"/>
      <sheetName val="INPUT_SHEET31"/>
      <sheetName val="Project_Budget_Worksheet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BOQ_-II_ph_231"/>
      <sheetName val="STAFFSCHED_30"/>
      <sheetName val="Fee_Rate_Summary30"/>
      <sheetName val="d-safe_specs30"/>
      <sheetName val="class_&amp;_category30"/>
      <sheetName val="Rein-Final_(Ph_1+Ph2)30"/>
      <sheetName val="Metso_-_Forth_&amp;_Slurry_11_02_40"/>
      <sheetName val="220_11__BS_30"/>
      <sheetName val="SSR_&amp;_NSSR_Market_final30"/>
      <sheetName val="India_F&amp;S_Template30"/>
      <sheetName val="Quote_Sheet30"/>
      <sheetName val="Site_wise_NADs30"/>
      <sheetName val="precast_RC_element30"/>
      <sheetName val="Debits_as_on_12_04_0813"/>
      <sheetName val="Materials_Cost(PCC)30"/>
      <sheetName val="Stress_Calculation30"/>
      <sheetName val="RA_RCC_F30"/>
      <sheetName val="PRRM_Dashboard1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Inputs_&amp;_Summary_Output5"/>
      <sheetName val="Broad_Refresher_Model5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Ra__stair3"/>
      <sheetName val="Direct_cost_shed_A-2_4"/>
      <sheetName val="Cost_of_O_&amp;_O4"/>
      <sheetName val="Material_3"/>
      <sheetName val="Labour_&amp;_Plant3"/>
      <sheetName val="Materials_Cost3"/>
      <sheetName val="pr_cal3"/>
      <sheetName val="TRF_details3"/>
      <sheetName val="Staff_Forecast_spread4"/>
      <sheetName val="[Spt-BH.xls][Spt-BH.xls]_Sp_508"/>
      <sheetName val="[Spt-BH.xls][Spt-BH_xls]B__1423"/>
      <sheetName val="[Spt-BH.xls][Spt-BH_xls]B__1424"/>
      <sheetName val="[Spt-BH.xls][Spt-BH_xls]B__1425"/>
      <sheetName val="SPT_vs_PHI32"/>
      <sheetName val="glass_project_concrete32"/>
      <sheetName val="glass_project_reift32"/>
      <sheetName val="glass_project_indices32"/>
      <sheetName val="Summary_050631"/>
      <sheetName val="Summary_0607-_31_MAR31"/>
      <sheetName val="Civil_Boq30"/>
      <sheetName val="Break_up_Sheet30"/>
      <sheetName val="SBC-BH_1931"/>
      <sheetName val="Rate_Analysis31"/>
      <sheetName val="TBAL9697_-group_wise__sdpl30"/>
      <sheetName val="Abstract_Sheet30"/>
      <sheetName val="Pile_cap30"/>
      <sheetName val="V_O_4_-_PCC_Qty30"/>
      <sheetName val="Legal_Risk_Analysis30"/>
      <sheetName val="BH_12-11-10-1331"/>
      <sheetName val="BH_12-11-10-931"/>
      <sheetName val="BH_36-15-3731"/>
      <sheetName val="BH_16-35-25-1731"/>
      <sheetName val="BH_35-25-1731"/>
      <sheetName val="Sheet1_(2)31"/>
      <sheetName val="d-safe_DELUXE30"/>
      <sheetName val="PRECAST_lightconc-II30"/>
      <sheetName val="RCC,Ret__Wall30"/>
      <sheetName val="Form_631"/>
      <sheetName val="PointNo_530"/>
      <sheetName val="E_&amp;_R30"/>
      <sheetName val="Mix_Design30"/>
      <sheetName val="Fill_this_out_first___30"/>
      <sheetName val="REVISED4A_PROG_PERF-SITE_130"/>
      <sheetName val="CABLE_DATA30"/>
      <sheetName val="BOQ_Direct_selling_cost30"/>
      <sheetName val="BOQ_(2)30"/>
      <sheetName val="final_abstract30"/>
      <sheetName val="Rev_S1_Abstract30"/>
      <sheetName val="Quantity_Abstract30"/>
      <sheetName val="Staff_Acco_30"/>
      <sheetName val="Pipe_Supports30"/>
      <sheetName val="M-Book_for_Conc30"/>
      <sheetName val="M-Book_for_FW30"/>
      <sheetName val="Load_Details-220kV30"/>
      <sheetName val="beam-reinft-IIInd_floor30"/>
      <sheetName val="INPUT_SHEET30"/>
      <sheetName val="Project_Budget_Worksheet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BOQ_-II_ph_230"/>
      <sheetName val="STAFFSCHED_29"/>
      <sheetName val="Fee_Rate_Summary29"/>
      <sheetName val="d-safe_specs29"/>
      <sheetName val="class_&amp;_category29"/>
      <sheetName val="Rein-Final_(Ph_1+Ph2)29"/>
      <sheetName val="Metso_-_Forth_&amp;_Slurry_11_02_39"/>
      <sheetName val="220_11__BS_29"/>
      <sheetName val="SSR_&amp;_NSSR_Market_final29"/>
      <sheetName val="India_F&amp;S_Template29"/>
      <sheetName val="Quote_Sheet29"/>
      <sheetName val="Site_wise_NADs29"/>
      <sheetName val="precast_RC_element29"/>
      <sheetName val="Debits_as_on_12_04_0812"/>
      <sheetName val="Materials_Cost(PCC)29"/>
      <sheetName val="Stress_Calculation29"/>
      <sheetName val="RA_RCC_F29"/>
      <sheetName val="PRRM_Dashboard1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Inputs_&amp;_Summary_Output4"/>
      <sheetName val="Broad_Refresher_Model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Ra__stair2"/>
      <sheetName val="Direct_cost_shed_A-2_3"/>
      <sheetName val="SPT_vs_PHI30"/>
      <sheetName val="glass_project_concrete30"/>
      <sheetName val="glass_project_reift30"/>
      <sheetName val="glass_project_indices30"/>
      <sheetName val="Summary_050629"/>
      <sheetName val="Summary_0607-_31_MAR29"/>
      <sheetName val="Civil_Boq28"/>
      <sheetName val="Break_up_Sheet28"/>
      <sheetName val="SBC-BH_1929"/>
      <sheetName val="Rate_Analysis29"/>
      <sheetName val="TBAL9697_-group_wise__sdpl28"/>
      <sheetName val="Abstract_Sheet28"/>
      <sheetName val="Pile_cap28"/>
      <sheetName val="V_O_4_-_PCC_Qty28"/>
      <sheetName val="Legal_Risk_Analysis28"/>
      <sheetName val="BH_12-11-10-1329"/>
      <sheetName val="BH_12-11-10-929"/>
      <sheetName val="BH_36-15-3729"/>
      <sheetName val="BH_16-35-25-1729"/>
      <sheetName val="BH_35-25-1729"/>
      <sheetName val="Sheet1_(2)29"/>
      <sheetName val="d-safe_DELUXE28"/>
      <sheetName val="PRECAST_lightconc-II28"/>
      <sheetName val="RCC,Ret__Wall28"/>
      <sheetName val="Form_629"/>
      <sheetName val="PointNo_528"/>
      <sheetName val="E_&amp;_R28"/>
      <sheetName val="Mix_Design28"/>
      <sheetName val="Fill_this_out_first___28"/>
      <sheetName val="REVISED4A_PROG_PERF-SITE_128"/>
      <sheetName val="CABLE_DATA28"/>
      <sheetName val="BOQ_Direct_selling_cost28"/>
      <sheetName val="BOQ_(2)28"/>
      <sheetName val="final_abstrac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INPUT_SHEET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STAFFSCHED_27"/>
      <sheetName val="Fee_Rate_Summary27"/>
      <sheetName val="d-safe_specs27"/>
      <sheetName val="class_&amp;_category27"/>
      <sheetName val="Rein-Final_(Ph_1+Ph2)27"/>
      <sheetName val="Metso_-_Forth_&amp;_Slurry_11_02_37"/>
      <sheetName val="220_11__BS_27"/>
      <sheetName val="SSR_&amp;_NSSR_Market_final27"/>
      <sheetName val="India_F&amp;S_Template27"/>
      <sheetName val="Quote_Sheet27"/>
      <sheetName val="Site_wise_NADs27"/>
      <sheetName val="precast_RC_element27"/>
      <sheetName val="Debits_as_on_12_04_0810"/>
      <sheetName val="Materials_Cost(PCC)27"/>
      <sheetName val="Stress_Calculation27"/>
      <sheetName val="RA_RCC_F27"/>
      <sheetName val="PRRM_Dashboard10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Material_List_1"/>
      <sheetName val="Inputs_&amp;_Summary_Output2"/>
      <sheetName val="Broad_Refresher_Model2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Ra__stair"/>
      <sheetName val="Direct_cost_shed_A-2_1"/>
      <sheetName val="[Spt-BH.xls][Spt-BH_xls]B__1426"/>
      <sheetName val="Cost_of_O_&amp;_O1"/>
      <sheetName val="Material_"/>
      <sheetName val="Labour_&amp;_Plant"/>
      <sheetName val="Materials_Cost"/>
      <sheetName val="TRF_details"/>
      <sheetName val="Staff_Forecast_spread1"/>
      <sheetName val="[Spt-BH.xls][Spt-BH_xls]_Sp_465"/>
      <sheetName val="[Spt-BH_xls][Spt-BH_xls]B@[@"/>
      <sheetName val="[Spt-BH_xls][Spt-BH_xls]B@[?@?"/>
      <sheetName val="[Spt-BH_xls][Spt-BH_xls][Spt-BH"/>
      <sheetName val="[Spt-BH_xls][Spt-BH_xls]B@[?@??"/>
      <sheetName val="IO_List"/>
      <sheetName val="syndicate_codes"/>
      <sheetName val="Basic_Rate"/>
      <sheetName val="INFLUENCES_ON_GM"/>
      <sheetName val="B@_@__$_x0"/>
      <sheetName val="Break_Up_(bc)"/>
      <sheetName val="Break_Up_(bc1)"/>
      <sheetName val="Break_Up_(bc2)"/>
      <sheetName val="Fin_Sum"/>
      <sheetName val="Steel_Payment_Doc"/>
      <sheetName val="_AT-1-220_"/>
      <sheetName val="_BC-220"/>
      <sheetName val="DETAILED__BOQ"/>
      <sheetName val="Works_-_Quote_Shee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SàQa@"/>
      <sheetName val="Havells__LT_(XLPE)"/>
      <sheetName val="PL_Inst_RA_12"/>
      <sheetName val="PACK_(B)"/>
      <sheetName val="Assumption_Inputs"/>
      <sheetName val="Mat_Cost"/>
      <sheetName val="_"/>
      <sheetName val="Tender_Appraisal"/>
      <sheetName val="Ins_&amp;_Bonds"/>
      <sheetName val="Site_facilities"/>
      <sheetName val="Clients_Requirements"/>
      <sheetName val="DB_ET200(R__A)"/>
      <sheetName val="[Spt-BH_xls]B@[_x005f_x0000__x005f_x0004_@_"/>
      <sheetName val="Labour_Rate_"/>
      <sheetName val="1_01_(a)"/>
      <sheetName val="[Spt-BH.xls][Spt-BH_xls]B__1427"/>
      <sheetName val="SPT_vs_PHI31"/>
      <sheetName val="glass_project_concrete31"/>
      <sheetName val="glass_project_reift31"/>
      <sheetName val="glass_project_indices31"/>
      <sheetName val="Summary_050630"/>
      <sheetName val="Summary_0607-_31_MAR30"/>
      <sheetName val="Civil_Boq29"/>
      <sheetName val="Break_up_Sheet29"/>
      <sheetName val="SBC-BH_1930"/>
      <sheetName val="Rate_Analysis30"/>
      <sheetName val="TBAL9697_-group_wise__sdpl29"/>
      <sheetName val="Abstract_Sheet29"/>
      <sheetName val="Pile_cap29"/>
      <sheetName val="V_O_4_-_PCC_Qty29"/>
      <sheetName val="Legal_Risk_Analysis29"/>
      <sheetName val="BH_12-11-10-1330"/>
      <sheetName val="BH_12-11-10-930"/>
      <sheetName val="BH_36-15-3730"/>
      <sheetName val="BH_16-35-25-1730"/>
      <sheetName val="BH_35-25-1730"/>
      <sheetName val="Sheet1_(2)30"/>
      <sheetName val="d-safe_DELUXE29"/>
      <sheetName val="PRECAST_lightconc-II29"/>
      <sheetName val="RCC,Ret__Wall29"/>
      <sheetName val="Form_630"/>
      <sheetName val="PointNo_529"/>
      <sheetName val="E_&amp;_R29"/>
      <sheetName val="Mix_Design29"/>
      <sheetName val="Fill_this_out_first___29"/>
      <sheetName val="REVISED4A_PROG_PERF-SITE_129"/>
      <sheetName val="CABLE_DATA29"/>
      <sheetName val="BOQ_Direct_selling_cost29"/>
      <sheetName val="BOQ_(2)29"/>
      <sheetName val="final_abstract29"/>
      <sheetName val="Rev_S1_Abstract29"/>
      <sheetName val="Quantity_Abstract29"/>
      <sheetName val="Staff_Acco_29"/>
      <sheetName val="Pipe_Supports29"/>
      <sheetName val="M-Book_for_Conc29"/>
      <sheetName val="M-Book_for_FW29"/>
      <sheetName val="Load_Details-220kV29"/>
      <sheetName val="beam-reinft-IIInd_floor29"/>
      <sheetName val="INPUT_SHEET29"/>
      <sheetName val="Project_Budget_Worksheet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BOQ_-II_ph_229"/>
      <sheetName val="STAFFSCHED_28"/>
      <sheetName val="Fee_Rate_Summary28"/>
      <sheetName val="d-safe_specs28"/>
      <sheetName val="class_&amp;_category28"/>
      <sheetName val="Rein-Final_(Ph_1+Ph2)28"/>
      <sheetName val="Metso_-_Forth_&amp;_Slurry_11_02_38"/>
      <sheetName val="220_11__BS_28"/>
      <sheetName val="SSR_&amp;_NSSR_Market_final28"/>
      <sheetName val="India_F&amp;S_Template28"/>
      <sheetName val="Quote_Sheet28"/>
      <sheetName val="Site_wise_NADs28"/>
      <sheetName val="precast_RC_element28"/>
      <sheetName val="Debits_as_on_12_04_0811"/>
      <sheetName val="Materials_Cost(PCC)28"/>
      <sheetName val="Stress_Calculation28"/>
      <sheetName val="RA_RCC_F28"/>
      <sheetName val="PRRM_Dashboard1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Inputs_&amp;_Summary_Output3"/>
      <sheetName val="Broad_Refresher_Model3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Ra__stair1"/>
      <sheetName val="Direct_cost_shed_A-2_2"/>
      <sheetName val="[Spt-BH.xls][Spt-BH_xls]B__1428"/>
      <sheetName val="[Spt-BH.xls][Spt-BH_xls]B__1429"/>
      <sheetName val="Cost_of_O_&amp;_O2"/>
      <sheetName val="Material_1"/>
      <sheetName val="Labour_&amp;_Plant1"/>
      <sheetName val="Materials_Cost1"/>
      <sheetName val="pr_cal1"/>
      <sheetName val="TRF_details1"/>
      <sheetName val="Staff_Forecast_spread2"/>
      <sheetName val="[Spt-BH.xls][Spt-BH_xls]_Sp_466"/>
      <sheetName val="[Spt-BH_xls][Spt-BH_xls][Spt-B1"/>
      <sheetName val="[Spt-BH_xls][Spt-BH_xls]B@[?@?1"/>
      <sheetName val="IO_List1"/>
      <sheetName val="syndicate_codes1"/>
      <sheetName val="Basic_Rate1"/>
      <sheetName val="INFLUENCES_ON_GM1"/>
      <sheetName val="Break_Up_(bc)1"/>
      <sheetName val="Break_Up_(bc1)1"/>
      <sheetName val="Break_Up_(bc2)1"/>
      <sheetName val="Fin_Sum1"/>
      <sheetName val="Steel_Payment_Doc1"/>
      <sheetName val="_AT-1-220_1"/>
      <sheetName val="_BC-2201"/>
      <sheetName val="DETAILED__BOQ1"/>
      <sheetName val="Works_-_Quote_Sheet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Havells__LT_(XLPE)1"/>
      <sheetName val="PL_Inst_RA_121"/>
      <sheetName val="PACK_(B)1"/>
      <sheetName val="[Spt-BH.xls][Spt-BH_xls]B__1430"/>
      <sheetName val="Assumption_Inputs1"/>
      <sheetName val="Mat_Cost1"/>
      <sheetName val="_1"/>
      <sheetName val="Tender_Appraisal1"/>
      <sheetName val="Ins_&amp;_Bonds1"/>
      <sheetName val="Site_facilities1"/>
      <sheetName val="Clients_Requirements1"/>
      <sheetName val="DB_ET200(R__A)1"/>
      <sheetName val="[Spt-BH_xls]B@[_x005f_x0000__x005f_x0004_@1"/>
      <sheetName val="Labour_Rate_1"/>
      <sheetName val="1_01_(a)1"/>
      <sheetName val="[Spt-BH.xls][Spt-BH_xls]B__1431"/>
      <sheetName val="[Spt-BH.xls][Spt-BH_xls]B__1432"/>
      <sheetName val="[Spt-BH.xls][Spt-BH_xls]B__1433"/>
      <sheetName val="Cost_of_O_&amp;_O3"/>
      <sheetName val="Material_2"/>
      <sheetName val="Labour_&amp;_Plant2"/>
      <sheetName val="Materials_Cost2"/>
      <sheetName val="pr_cal2"/>
      <sheetName val="TRF_details2"/>
      <sheetName val="Staff_Forecast_spread3"/>
      <sheetName val="[Spt-BH_xls][Spt-BH_xls][Spt-B2"/>
      <sheetName val="[Spt-BH_xls][Spt-BH_xls]B@[?@?2"/>
      <sheetName val="IO_List2"/>
      <sheetName val="syndicate_codes2"/>
      <sheetName val="Basic_Rate2"/>
      <sheetName val="INFLUENCES_ON_GM2"/>
      <sheetName val="Break_Up_(bc)2"/>
      <sheetName val="Break_Up_(bc1)2"/>
      <sheetName val="Break_Up_(bc2)2"/>
      <sheetName val="Fin_Sum2"/>
      <sheetName val="Steel_Payment_Doc2"/>
      <sheetName val="_AT-1-220_2"/>
      <sheetName val="_BC-2202"/>
      <sheetName val="DETAILED__BOQ2"/>
      <sheetName val="Works_-_Quote_Sheet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Havells__LT_(XLPE)2"/>
      <sheetName val="PL_Inst_RA_122"/>
      <sheetName val="PACK_(B)2"/>
      <sheetName val="Assumption_Inputs2"/>
      <sheetName val="Mat_Cost2"/>
      <sheetName val="_2"/>
      <sheetName val="Tender_Appraisal2"/>
      <sheetName val="Ins_&amp;_Bonds2"/>
      <sheetName val="Site_facilities2"/>
      <sheetName val="Clients_Requirements2"/>
      <sheetName val="DB_ET200(R__A)2"/>
      <sheetName val="[Spt-BH_xls]B@[_x005f_x0000__x005f_x0004_@2"/>
      <sheetName val="Labour_Rate_2"/>
      <sheetName val="1_01_(a)2"/>
      <sheetName val="[Spt-BH.xls][Spt-BH_xls]_Sp_467"/>
      <sheetName val="SPT_vs_PHI34"/>
      <sheetName val="glass_project_concrete34"/>
      <sheetName val="glass_project_reift34"/>
      <sheetName val="glass_project_indices34"/>
      <sheetName val="Summary_050633"/>
      <sheetName val="Summary_0607-_31_MAR33"/>
      <sheetName val="Civil_Boq32"/>
      <sheetName val="Break_up_Sheet32"/>
      <sheetName val="SBC-BH_1933"/>
      <sheetName val="Rate_Analysis33"/>
      <sheetName val="TBAL9697_-group_wise__sdpl32"/>
      <sheetName val="Abstract_Sheet32"/>
      <sheetName val="Pile_cap32"/>
      <sheetName val="V_O_4_-_PCC_Qty32"/>
      <sheetName val="Legal_Risk_Analysis32"/>
      <sheetName val="BH_12-11-10-1333"/>
      <sheetName val="BH_12-11-10-933"/>
      <sheetName val="BH_36-15-3733"/>
      <sheetName val="BH_16-35-25-1733"/>
      <sheetName val="BH_35-25-1733"/>
      <sheetName val="Sheet1_(2)33"/>
      <sheetName val="d-safe_DELUXE32"/>
      <sheetName val="PRECAST_lightconc-II32"/>
      <sheetName val="RCC,Ret__Wall32"/>
      <sheetName val="Form_633"/>
      <sheetName val="PointNo_532"/>
      <sheetName val="E_&amp;_R32"/>
      <sheetName val="Mix_Design32"/>
      <sheetName val="Fill_this_out_first___32"/>
      <sheetName val="REVISED4A_PROG_PERF-SITE_132"/>
      <sheetName val="CABLE_DATA32"/>
      <sheetName val="BOQ_Direct_selling_cost32"/>
      <sheetName val="BOQ_(2)32"/>
      <sheetName val="final_abstract32"/>
      <sheetName val="Rev_S1_Abstract32"/>
      <sheetName val="Quantity_Abstract32"/>
      <sheetName val="Staff_Acco_32"/>
      <sheetName val="Pipe_Supports32"/>
      <sheetName val="M-Book_for_Conc32"/>
      <sheetName val="M-Book_for_FW32"/>
      <sheetName val="Load_Details-220kV32"/>
      <sheetName val="beam-reinft-IIInd_floor32"/>
      <sheetName val="INPUT_SHEET32"/>
      <sheetName val="Project_Budget_Worksheet32"/>
      <sheetName val="SANJAY_PAL32"/>
      <sheetName val="P_A_SELVAM32"/>
      <sheetName val="ANSARI_32"/>
      <sheetName val="abdesh_pal32"/>
      <sheetName val="sujay_bagchi32"/>
      <sheetName val="S_K_SINHA_BASU32"/>
      <sheetName val="KRISHNA_PRASAD32"/>
      <sheetName val="BARATH_&amp;_CO32"/>
      <sheetName val="L_B_YADAV32"/>
      <sheetName val="DEEPAK_KUMAR32"/>
      <sheetName val="MUKLAL_YADAV32"/>
      <sheetName val="MADHU_SUDHAN32"/>
      <sheetName val="SAUD_ALAM_32"/>
      <sheetName val="RAMESH_BABU32"/>
      <sheetName val="SAILEN_SARKAR32"/>
      <sheetName val="SANJAY_JENA132"/>
      <sheetName val="upendra_saw_32"/>
      <sheetName val="ALLOK_KUMAR_32"/>
      <sheetName val="except_wiring32"/>
      <sheetName val="BOQ_-II_ph_232"/>
      <sheetName val="STAFFSCHED_31"/>
      <sheetName val="Fee_Rate_Summary31"/>
      <sheetName val="d-safe_specs31"/>
      <sheetName val="class_&amp;_category31"/>
      <sheetName val="Rein-Final_(Ph_1+Ph2)31"/>
      <sheetName val="Metso_-_Forth_&amp;_Slurry_11_02_41"/>
      <sheetName val="220_11__BS_31"/>
      <sheetName val="SSR_&amp;_NSSR_Market_final31"/>
      <sheetName val="India_F&amp;S_Template31"/>
      <sheetName val="Quote_Sheet31"/>
      <sheetName val="Site_wise_NADs31"/>
      <sheetName val="precast_RC_element31"/>
      <sheetName val="Debits_as_on_12_04_0814"/>
      <sheetName val="Materials_Cost(PCC)31"/>
      <sheetName val="Stress_Calculation31"/>
      <sheetName val="RA_RCC_F31"/>
      <sheetName val="PRRM_Dashboard14"/>
      <sheetName val="Abstract_for_Variation5"/>
      <sheetName val="LBD_VARIATION5"/>
      <sheetName val="plinth_Beam_+_Stirrups_31"/>
      <sheetName val="GF_COLUMNS31"/>
      <sheetName val="G_F_ROOF_BEAM_31"/>
      <sheetName val="GF_SLAB_STEEL31"/>
      <sheetName val="GF_Lintel31"/>
      <sheetName val="GF_Stair31"/>
      <sheetName val="FF_COLUMNS31"/>
      <sheetName val="F_F__Steel_FINAL_(2)31"/>
      <sheetName val="FF_Lintel31"/>
      <sheetName val="FF_Stair31"/>
      <sheetName val="S_F__Steel_FINAL_31"/>
      <sheetName val="SF_Lintel31"/>
      <sheetName val="Material_List_5"/>
      <sheetName val="Inputs_&amp;_Summary_Output6"/>
      <sheetName val="Broad_Refresher_Model6"/>
      <sheetName val="LT_Motor_catalog5"/>
      <sheetName val="Cable_cat5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Ra__stair4"/>
      <sheetName val="Direct_cost_shed_A-2_5"/>
      <sheetName val="[Spt-BH.xls][Spt-BH.xls]_Sp_506"/>
      <sheetName val="SPT_vs_PHI36"/>
      <sheetName val="glass_project_concrete36"/>
      <sheetName val="glass_project_reift36"/>
      <sheetName val="glass_project_indices36"/>
      <sheetName val="Summary_050635"/>
      <sheetName val="Summary_0607-_31_MAR35"/>
      <sheetName val="Civil_Boq34"/>
      <sheetName val="Break_up_Sheet34"/>
      <sheetName val="SBC-BH_1935"/>
      <sheetName val="Rate_Analysis35"/>
      <sheetName val="Pile_cap34"/>
      <sheetName val="V_O_4_-_PCC_Qty34"/>
      <sheetName val="TBAL9697_-group_wise__sdpl34"/>
      <sheetName val="Abstract_Sheet34"/>
      <sheetName val="Legal_Risk_Analysis34"/>
      <sheetName val="BH_12-11-10-1335"/>
      <sheetName val="BH_12-11-10-935"/>
      <sheetName val="BH_36-15-3735"/>
      <sheetName val="BH_16-35-25-1735"/>
      <sheetName val="BH_35-25-1735"/>
      <sheetName val="Sheet1_(2)35"/>
      <sheetName val="d-safe_DELUXE34"/>
      <sheetName val="PRECAST_lightconc-II34"/>
      <sheetName val="RCC,Ret__Wall34"/>
      <sheetName val="Form_635"/>
      <sheetName val="PointNo_534"/>
      <sheetName val="E_&amp;_R34"/>
      <sheetName val="Mix_Design34"/>
      <sheetName val="CABLE_DATA34"/>
      <sheetName val="Fill_this_out_first___34"/>
      <sheetName val="REVISED4A_PROG_PERF-SITE_134"/>
      <sheetName val="BOQ_Direct_selling_cost34"/>
      <sheetName val="BOQ_(2)34"/>
      <sheetName val="final_abstract34"/>
      <sheetName val="Rev_S1_Abstract34"/>
      <sheetName val="Quantity_Abstract34"/>
      <sheetName val="Staff_Acco_34"/>
      <sheetName val="Pipe_Supports34"/>
      <sheetName val="M-Book_for_Conc34"/>
      <sheetName val="M-Book_for_FW34"/>
      <sheetName val="Load_Details-220kV34"/>
      <sheetName val="beam-reinft-IIInd_floor34"/>
      <sheetName val="INPUT_SHEET34"/>
      <sheetName val="Project_Budget_Worksheet34"/>
      <sheetName val="SANJAY_PAL34"/>
      <sheetName val="P_A_SELVAM34"/>
      <sheetName val="ANSARI_34"/>
      <sheetName val="abdesh_pal34"/>
      <sheetName val="sujay_bagchi34"/>
      <sheetName val="S_K_SINHA_BASU34"/>
      <sheetName val="KRISHNA_PRASAD34"/>
      <sheetName val="BARATH_&amp;_CO34"/>
      <sheetName val="L_B_YADAV34"/>
      <sheetName val="DEEPAK_KUMAR34"/>
      <sheetName val="MUKLAL_YADAV34"/>
      <sheetName val="MADHU_SUDHAN34"/>
      <sheetName val="SAUD_ALAM_34"/>
      <sheetName val="RAMESH_BABU34"/>
      <sheetName val="SAILEN_SARKAR34"/>
      <sheetName val="SANJAY_JENA134"/>
      <sheetName val="upendra_saw_34"/>
      <sheetName val="ALLOK_KUMAR_34"/>
      <sheetName val="except_wiring34"/>
      <sheetName val="BOQ_-II_ph_234"/>
      <sheetName val="STAFFSCHED_33"/>
      <sheetName val="Fee_Rate_Summary33"/>
      <sheetName val="d-safe_specs33"/>
      <sheetName val="class_&amp;_category33"/>
      <sheetName val="Rein-Final_(Ph_1+Ph2)33"/>
      <sheetName val="Metso_-_Forth_&amp;_Slurry_11_02_43"/>
      <sheetName val="220_11__BS_33"/>
      <sheetName val="SSR_&amp;_NSSR_Market_final33"/>
      <sheetName val="India_F&amp;S_Template33"/>
      <sheetName val="Quote_Sheet33"/>
      <sheetName val="Site_wise_NADs33"/>
      <sheetName val="precast_RC_element33"/>
      <sheetName val="Debits_as_on_12_04_0816"/>
      <sheetName val="Materials_Cost(PCC)33"/>
      <sheetName val="Stress_Calculation33"/>
      <sheetName val="RA_RCC_F33"/>
      <sheetName val="PRRM_Dashboard16"/>
      <sheetName val="Abstract_for_Variation7"/>
      <sheetName val="LBD_VARIATION7"/>
      <sheetName val="plinth_Beam_+_Stirrups_33"/>
      <sheetName val="GF_COLUMNS33"/>
      <sheetName val="G_F_ROOF_BEAM_33"/>
      <sheetName val="GF_SLAB_STEEL33"/>
      <sheetName val="GF_Lintel33"/>
      <sheetName val="GF_Stair33"/>
      <sheetName val="FF_COLUMNS33"/>
      <sheetName val="F_F__Steel_FINAL_(2)33"/>
      <sheetName val="FF_Lintel33"/>
      <sheetName val="FF_Stair33"/>
      <sheetName val="S_F__Steel_FINAL_33"/>
      <sheetName val="SF_Lintel33"/>
      <sheetName val="Material_List_7"/>
      <sheetName val="Inputs_&amp;_Summary_Output8"/>
      <sheetName val="Broad_Refresher_Model8"/>
      <sheetName val="LT_Motor_catalog7"/>
      <sheetName val="Cable_cat7"/>
      <sheetName val="Direct_cost_shed_A-2_7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2_2_띠장의_설계6"/>
      <sheetName val="Ra__stair6"/>
      <sheetName val="[Spt-BH.xls][Spt-BH_xls]B__1434"/>
      <sheetName val="[Spt-BH.xls][Spt-BH_xls]B__1435"/>
      <sheetName val="Cost_of_O_&amp;_O5"/>
      <sheetName val="Material_4"/>
      <sheetName val="Labour_&amp;_Plant4"/>
      <sheetName val="Materials_Cost4"/>
      <sheetName val="pr_cal4"/>
      <sheetName val="TRF_details4"/>
      <sheetName val="Staff_Forecast_spread5"/>
      <sheetName val="[Spt-BH.xls][Spt-BH_xls]_Sp_468"/>
      <sheetName val="[Spt-BH_xls][Spt-BH_xls][Spt-B3"/>
      <sheetName val="[Spt-BH_xls][Spt-BH_xls]B@[?@?3"/>
      <sheetName val="IO_List3"/>
      <sheetName val="syndicate_codes3"/>
      <sheetName val="Basic_Rate3"/>
      <sheetName val="INFLUENCES_ON_GM3"/>
      <sheetName val="Break_Up_(bc)3"/>
      <sheetName val="Break_Up_(bc1)3"/>
      <sheetName val="Break_Up_(bc2)3"/>
      <sheetName val="Fin_Sum3"/>
      <sheetName val="Steel_Payment_Doc3"/>
      <sheetName val="_AT-1-220_3"/>
      <sheetName val="_BC-2203"/>
      <sheetName val="DETAILED__BOQ3"/>
      <sheetName val="Works_-_Quote_Sheet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Havells__LT_(XLPE)3"/>
      <sheetName val="PL_Inst_RA_123"/>
      <sheetName val="PACK_(B)3"/>
      <sheetName val="[Spt-BH.xls][Spt-BH_xls]B__1436"/>
      <sheetName val="Assumption_Inputs3"/>
      <sheetName val="Mat_Cost3"/>
      <sheetName val="_3"/>
      <sheetName val="Tender_Appraisal3"/>
      <sheetName val="Ins_&amp;_Bonds3"/>
      <sheetName val="Site_facilities3"/>
      <sheetName val="Clients_Requirements3"/>
      <sheetName val="DB_ET200(R__A)3"/>
      <sheetName val="[Spt-BH_xls]B@[_x005f_x0000__x005f_x0004_@3"/>
      <sheetName val="Labour_Rate_3"/>
      <sheetName val="1_01_(a)3"/>
      <sheetName val="[Spt-BH.xls][Spt-BH_xls]B__1437"/>
      <sheetName val="2_BHK"/>
      <sheetName val="BALANCE-IOTL_"/>
      <sheetName val="kppl_pl"/>
      <sheetName val="_Spt-BH_xls__Spt-BH_xls_B@_"/>
      <sheetName val="_Spt-BH_xls__Spt-BH_xls_B@__@_"/>
      <sheetName val="_Spt-BH_xls__Spt-BH_xls__Spt-BH"/>
      <sheetName val="_Spt-BH_xls__Spt-BH_xls_B@__@__"/>
      <sheetName val="Prelims_Breakup"/>
      <sheetName val="Staff_planning"/>
      <sheetName val="1_yr_maintainance"/>
      <sheetName val="SP&amp;ST_제출가"/>
      <sheetName val="SP_Break_Up"/>
      <sheetName val="Basic_Rates"/>
      <sheetName val="activit-graph__"/>
      <sheetName val="B@_@_"/>
      <sheetName val="ACAD_Finishes"/>
      <sheetName val="Site_Details"/>
      <sheetName val="Site_Area_Statement"/>
      <sheetName val="SàQa@_x000"/>
      <sheetName val="MASTER_RATE_ANALYSIS"/>
      <sheetName val="[Spt-BH.xls][Spt-BH_xls]_Sp_469"/>
      <sheetName val="[Spt-BH.xls][Spt-BH.xls]B_____9"/>
      <sheetName val="[Spt-BH.xls][Spt-BH.xls]B____10"/>
      <sheetName val="[Spt-BH.xls][Spt-BH.xls]_Spt__6"/>
      <sheetName val="[Spt-BH.xls][Spt-BH.xls]B____11"/>
      <sheetName val="[Spt-BH.xls][Spt-BH.xls]B____12"/>
      <sheetName val="[Spt-BH.xls]B____x005f_x0004________2"/>
      <sheetName val="[Spt-BH.xls][Spt-BH.xls]B_____2"/>
      <sheetName val="[Spt-BH.xls][Spt-BH.xls]B_____3"/>
      <sheetName val="[Spt-BH.xls][Spt-BH.xls]_Spt__4"/>
      <sheetName val="[Spt-BH.xls][Spt-BH.xls]B_____4"/>
      <sheetName val="[Spt-BH.xls][Spt-BH.xls]B_____5"/>
      <sheetName val="[Spt-BH.xls]B___x005f_x0000__x005f_x0004__2"/>
      <sheetName val="[Spt-BH.xls][Spt-BH.xls]B____13"/>
      <sheetName val="[Spt-BH.xls][Spt-BH.xls]B____14"/>
      <sheetName val="[Spt-BH.xls][Spt-BH.xls]_Spt__2"/>
      <sheetName val="[Spt-BH.xls][Spt-BH.xls]B_____6"/>
      <sheetName val="[Spt-BH.xls][Spt-BH.xls]B_____7"/>
      <sheetName val="[Spt-BH.xls][Spt-BH.xls]B_____8"/>
      <sheetName val="[Spt-BH.xls][Spt-BH.xls]_Spt__3"/>
      <sheetName val="[Spt-BH.xls][Spt-BH.xls]_Spt__5"/>
      <sheetName val="[Spt-BH.xls][Spt-BH_xls]B_____2"/>
      <sheetName val="[Spt-BH.xls][Spt-BH_xls]B_____3"/>
      <sheetName val="[Spt-BH.xls][Spt-BH_xls]B_____4"/>
      <sheetName val="[Spt-BH.xls][Spt-BH_xls]B_____5"/>
      <sheetName val="[Spt-BH.xls][Spt-BH_xls]_Spt__2"/>
      <sheetName val="[Spt-BH.xls][Spt-BH_xls]B_____6"/>
      <sheetName val="[Spt-BH.xls][Spt-BH_xls]B_____7"/>
      <sheetName val="[Spt-BH.xls][Spt-BH_xls]B_____8"/>
      <sheetName val="[Spt-BH.xls][Spt-BH_xls]_Spt__3"/>
      <sheetName val="[Spt-BH.xls][Spt-BH_xls]B_____9"/>
      <sheetName val="[Spt-BH.xls][Spt-BH_xls]B____10"/>
      <sheetName val="[Spt-BH.xls][Spt-BH_xls]B____11"/>
      <sheetName val="[Spt-BH.xls][Spt-BH_xls]B____12"/>
      <sheetName val="[Spt-BH.xls][Spt-BH_xls]_Spt__4"/>
      <sheetName val="[Spt-BH.xls][Spt-BH.xls]_Spt__9"/>
      <sheetName val="[Spt-BH.xls][Spt-BH.xls]_Spt__7"/>
      <sheetName val="[Spt-BH.xls][Spt-BH.xls]_Spt__8"/>
      <sheetName val="[Spt-BH.xls][Spt-BH.xls]_Spt_10"/>
      <sheetName val="[Spt-BH.xls]B____x005f_x0004______116"/>
      <sheetName val="[Spt-BH.xls]B___x005f_x0000__x000_113"/>
      <sheetName val="[Spt-BH.xls][Spt-BH.xls]B__1491"/>
      <sheetName val="[Spt-BH.xls][Spt-BH.xls]B__1492"/>
      <sheetName val="[Spt-BH.xls][Spt-BH.xls]B__1493"/>
      <sheetName val="[Spt-BH.xls][Spt-BH.xls]B__1494"/>
      <sheetName val="[Spt-BH.xls][Spt-BH.xls]_Sp_503"/>
      <sheetName val="[Spt-BH.xls][Spt-BH.xls]_Spt_11"/>
      <sheetName val="[Spt-BH.xls][Spt-BH.xls]B@[?_x0"/>
      <sheetName val="[Spt-BH.xls][Spt-BH.xls]B____16"/>
      <sheetName val="[Spt-BH.xls][Spt-BH.xls]B____17"/>
      <sheetName val="[Spt-BH.xls][Spt-BH.xls]B____18"/>
      <sheetName val="[Spt-BH.xls][Spt-BH.xls]B____19"/>
      <sheetName val="[Spt-BH.xls]B____x005f_x0004________3"/>
      <sheetName val="[Spt-BH.xls]B___x005f_x0000__x005f_x0004__3"/>
      <sheetName val="[Spt-BH.xls][Spt-BH.xls]B____20"/>
      <sheetName val="[Spt-BH.xls][Spt-BH.xls]B____21"/>
      <sheetName val="[Spt-BH.xls][Spt-BH.xls]B____15"/>
      <sheetName val="[Spt-BH.xls][Spt-BH_xls]B____13"/>
      <sheetName val="[Spt-BH.xls][Spt-BH_xls]B____14"/>
      <sheetName val="[Spt-BH.xls][Spt-BH_xls]B____15"/>
      <sheetName val="[Spt-BH.xls][Spt-BH_xls]B____16"/>
      <sheetName val="[Spt-BH.xls][Spt-BH_xls]_Spt__5"/>
      <sheetName val="[Spt-BH.xls][Spt-BH_xls]B____17"/>
      <sheetName val="[Spt-BH.xls][Spt-BH_xls]B____18"/>
      <sheetName val="[Spt-BH.xls][Spt-BH_xls]B____19"/>
      <sheetName val="[Spt-BH.xls][Spt-BH_xls]_Spt__6"/>
      <sheetName val="[Spt-BH.xls][Spt-BH_xls]B____20"/>
      <sheetName val="[Spt-BH.xls][Spt-BH_xls]B____21"/>
      <sheetName val="[Spt-BH.xls][Spt-BH_xls]B____22"/>
      <sheetName val="[Spt-BH.xls][Spt-BH_xls]B____23"/>
      <sheetName val="[Spt-BH.xls][Spt-BH_xls]_Spt__7"/>
      <sheetName val="[Spt-BH.xls][Spt-BH.xls]B____29"/>
      <sheetName val="[Spt-BH.xls][Spt-BH.xls]B____30"/>
      <sheetName val="[Spt-BH.xls][Spt-BH.xls]_Sp_165"/>
      <sheetName val="[Spt-BH.xls][Spt-BH.xls]B____31"/>
      <sheetName val="[Spt-BH.xls][Spt-BH.xls]B____32"/>
      <sheetName val="[Spt-BH.xls]B____x005f_x0004________4"/>
      <sheetName val="[Spt-BH.xls][Spt-BH.xls]B____22"/>
      <sheetName val="[Spt-BH.xls][Spt-BH.xls]B____23"/>
      <sheetName val="[Spt-BH.xls][Spt-BH.xls]B____24"/>
      <sheetName val="[Spt-BH.xls][Spt-BH.xls]B____25"/>
      <sheetName val="[Spt-BH.xls]B___x005f_x0000__x005f_x0004__4"/>
      <sheetName val="[Spt-BH.xls][Spt-BH.xls]B____33"/>
      <sheetName val="[Spt-BH.xls][Spt-BH.xls]B____34"/>
      <sheetName val="[Spt-BH.xls][Spt-BH.xls]B____26"/>
      <sheetName val="[Spt-BH.xls][Spt-BH.xls]B____27"/>
      <sheetName val="[Spt-BH.xls][Spt-BH.xls]B____28"/>
      <sheetName val="[Spt-BH.xls][Spt-BH.xls]_Spt_12"/>
      <sheetName val="[Spt-BH.xls][Spt-BH_xls]B____24"/>
      <sheetName val="[Spt-BH.xls][Spt-BH_xls]B____25"/>
      <sheetName val="[Spt-BH.xls][Spt-BH_xls]B____26"/>
      <sheetName val="[Spt-BH.xls][Spt-BH_xls]B____27"/>
      <sheetName val="[Spt-BH.xls][Spt-BH_xls]_Spt__8"/>
      <sheetName val="[Spt-BH.xls][Spt-BH_xls]B____28"/>
      <sheetName val="[Spt-BH.xls][Spt-BH_xls]B____29"/>
      <sheetName val="[Spt-BH.xls][Spt-BH_xls]B____30"/>
      <sheetName val="[Spt-BH.xls][Spt-BH_xls]_Spt__9"/>
      <sheetName val="[Spt-BH.xls][Spt-BH_xls]B____31"/>
      <sheetName val="[Spt-BH.xls][Spt-BH_xls]B____32"/>
      <sheetName val="[Spt-BH.xls][Spt-BH_xls]B____33"/>
      <sheetName val="[Spt-BH.xls][Spt-BH_xls]B____34"/>
      <sheetName val="[Spt-BH.xls][Spt-BH_xls]_Spt_10"/>
      <sheetName val="[Spt-BH.xls][Spt-BH.xls]B___477"/>
      <sheetName val="[Spt-BH.xls][Spt-BH.xls]B___478"/>
      <sheetName val="[Spt-BH.xls][Spt-BH.xls]_Sp_166"/>
      <sheetName val="[Spt-BH.xls][Spt-BH.xls]B___479"/>
      <sheetName val="[Spt-BH.xls][Spt-BH.xls]B___480"/>
      <sheetName val="[Spt-BH.xls]B____x005f_x0004________5"/>
      <sheetName val="[Spt-BH.xls]B___x005f_x0000__x005f_x0004__5"/>
      <sheetName val="[Spt-BH.xls][Spt-BH.xls]B___481"/>
      <sheetName val="[Spt-BH.xls][Spt-BH.xls]B___482"/>
      <sheetName val="[Spt-BH.xls][Spt-BH.xls]B____35"/>
      <sheetName val="[Spt-BH.xls][Spt-BH.xls]B___471"/>
      <sheetName val="[Spt-BH.xls][Spt-BH.xls]B___472"/>
      <sheetName val="[Spt-BH.xls][Spt-BH.xls]_Sp_164"/>
      <sheetName val="[Spt-BH.xls][Spt-BH.xls]B___473"/>
      <sheetName val="[Spt-BH.xls][Spt-BH.xls]B___474"/>
      <sheetName val="[Spt-BH.xls][Spt-BH.xls]_Sp_159"/>
      <sheetName val="[Spt-BH.xls][Spt-BH.xls]B___464"/>
      <sheetName val="[Spt-BH.xls][Spt-BH.xls]B___465"/>
      <sheetName val="[Spt-BH.xls][Spt-BH.xls]_Sp_161"/>
      <sheetName val="[Spt-BH.xls][Spt-BH.xls]B___466"/>
      <sheetName val="[Spt-BH.xls][Spt-BH.xls]B___467"/>
      <sheetName val="[Spt-BH.xls][Spt-BH.xls]B___468"/>
      <sheetName val="[Spt-BH.xls]B____x005f_x0004_______42"/>
      <sheetName val="[Spt-BH.xls]B___x005f_x0000__x005f_x0004_39"/>
      <sheetName val="[Spt-BH.xls][Spt-BH.xls]B___475"/>
      <sheetName val="[Spt-BH.xls][Spt-BH.xls]B___476"/>
      <sheetName val="[Spt-BH.xls][Spt-BH.xls]B___469"/>
      <sheetName val="[Spt-BH.xls][Spt-BH.xls]B___470"/>
      <sheetName val="[Spt-BH.xls][Spt-BH.xls]_Sp_162"/>
      <sheetName val="[Spt-BH.xls][Spt-BH_xls]B___351"/>
      <sheetName val="[Spt-BH.xls][Spt-BH_xls]B___352"/>
      <sheetName val="[Spt-BH.xls][Spt-BH_xls]B___353"/>
      <sheetName val="[Spt-BH.xls][Spt-BH_xls]B___354"/>
      <sheetName val="[Spt-BH.xls][Spt-BH_xls]_Sp_109"/>
      <sheetName val="[Spt-BH.xls][Spt-BH_xls]B___355"/>
      <sheetName val="[Spt-BH.xls][Spt-BH_xls]B___356"/>
      <sheetName val="[Spt-BH.xls][Spt-BH_xls]B___357"/>
      <sheetName val="[Spt-BH.xls][Spt-BH_xls]_Sp_110"/>
      <sheetName val="[Spt-BH.xls][Spt-BH_xls]B___358"/>
      <sheetName val="[Spt-BH.xls][Spt-BH_xls]B___359"/>
      <sheetName val="[Spt-BH.xls][Spt-BH_xls]B___360"/>
      <sheetName val="[Spt-BH.xls][Spt-BH_xls]B___361"/>
      <sheetName val="[Spt-BH.xls][Spt-BH_xls]_Sp_111"/>
      <sheetName val="[Spt-BH.xls][Spt-BH.xls]_Sp_160"/>
      <sheetName val="[Spt-BH.xls][Spt-BH_xls]B___362"/>
      <sheetName val="[Spt-BH.xls][Spt-BH_xls]B___363"/>
      <sheetName val="[Spt-BH.xls][Spt-BH_xls]_Sp_112"/>
      <sheetName val="[Spt-BH.xls][Spt-BH_xls]B___364"/>
      <sheetName val="[Spt-BH.xls][Spt-BH_xls]B___365"/>
      <sheetName val="[Spt-BH.xls][Spt-BH_xls]_Sp_113"/>
      <sheetName val="[Spt-BH.xls][Spt-BH.xls]_Spt_13"/>
      <sheetName val="[Spt-BH.xls][Spt-BH.xls]B____36"/>
      <sheetName val="[Spt-BH.xls][Spt-BH.xls]_Spt_20"/>
      <sheetName val="[Spt-BH.xls][Spt-BH.xls]B____37"/>
      <sheetName val="[Spt-BH.xls][Spt-BH.xls]B____38"/>
      <sheetName val="[Spt-BH.xls][Spt-BH.xls]_Spt_18"/>
      <sheetName val="[Spt-BH.xls][Spt-BH.xls]B____39"/>
      <sheetName val="[Spt-BH.xls][Spt-BH.xls]B____40"/>
      <sheetName val="[Spt-BH.xls][Spt-BH.xls]_Spt_16"/>
      <sheetName val="[Spt-BH.xls][Spt-BH.xls]_Spt_17"/>
      <sheetName val="[Spt-BH.xls][Spt-BH.xls]_Spt_19"/>
      <sheetName val="[Spt-BH.xls][Spt-BH_xls]B____35"/>
      <sheetName val="[Spt-BH.xls][Spt-BH_xls]_Spt_12"/>
      <sheetName val="[Spt-BH.xls][Spt-BH_xls]B____36"/>
      <sheetName val="[Spt-BH.xls][Spt-BH_xls]B____37"/>
      <sheetName val="[Spt-BH.xls][Spt-BH_xls]B____38"/>
      <sheetName val="[Spt-BH.xls][Spt-BH_xls]_Spt_13"/>
      <sheetName val="[Spt-BH.xls][Spt-BH_xls]B____39"/>
      <sheetName val="[Spt-BH.xls][Spt-BH_xls]B____40"/>
      <sheetName val="[Spt-BH.xls][Spt-BH_xls]B____41"/>
      <sheetName val="[Spt-BH.xls][Spt-BH_xls]B____42"/>
      <sheetName val="[Spt-BH.xls][Spt-BH_xls]_Spt_14"/>
      <sheetName val="[Spt-BH.xls][Spt-BH_xls]B____43"/>
      <sheetName val="[Spt-BH.xls][Spt-BH_xls]B____44"/>
      <sheetName val="[Spt-BH.xls][Spt-BH_xls]_Spt_15"/>
      <sheetName val="[Spt-BH.xls][Spt-BH_xls]B____45"/>
      <sheetName val="[Spt-BH.xls][Spt-BH_xls]B____46"/>
      <sheetName val="[Spt-BH.xls][Spt-BH_xls]_Spt_16"/>
      <sheetName val="[Spt-BH.xls][Spt-BH.xls]_Spt_14"/>
      <sheetName val="[Spt-BH.xls][Spt-BH.xls]_Spt_15"/>
      <sheetName val="[Spt-BH.xls][Spt-BH_xls]_Spt_11"/>
      <sheetName val="[Spt-BH.xls][Spt-BH.xls]B____41"/>
      <sheetName val="[Spt-BH.xls][Spt-BH.xls]B____42"/>
      <sheetName val="[Spt-BH.xls][Spt-BH.xls]_Spt_22"/>
      <sheetName val="[Spt-BH.xls][Spt-BH.xls]B____43"/>
      <sheetName val="[Spt-BH.xls][Spt-BH.xls]B____44"/>
      <sheetName val="[Spt-BH.xls][Spt-BH.xls]B____45"/>
      <sheetName val="[Spt-BH.xls][Spt-BH.xls]B____46"/>
      <sheetName val="[Spt-BH.xls][Spt-BH.xls]_Spt_21"/>
      <sheetName val="[Spt-BH.xls][Spt-BH.xls]B____47"/>
      <sheetName val="[Spt-BH.xls][Spt-BH.xls]B____48"/>
      <sheetName val="[Spt-BH.xls][Spt-BH.xls]_Spt_23"/>
      <sheetName val="[Spt-BH.xls][Spt-BH.xls]B____49"/>
      <sheetName val="[Spt-BH.xls][Spt-BH.xls]B____50"/>
      <sheetName val="[Spt-BH.xls][Spt-BH.xls]_Spt_24"/>
      <sheetName val="[Spt-BH.xls][Spt-BH.xls]B____51"/>
      <sheetName val="[Spt-BH.xls][Spt-BH.xls]B____52"/>
      <sheetName val="[Spt-BH.xls][Spt-BH.xls]_Spt_25"/>
      <sheetName val="[Spt-BH.xls][Spt-BH.xls]B____53"/>
      <sheetName val="[Spt-BH.xls][Spt-BH.xls]B____54"/>
      <sheetName val="[Spt-BH.xls][Spt-BH.xls]B____55"/>
      <sheetName val="[Spt-BH.xls][Spt-BH.xls]B____56"/>
      <sheetName val="[Spt-BH.xls][Spt-BH.xls]_Spt_26"/>
      <sheetName val="[Spt-BH.xls]B____x005f_x0004________7"/>
      <sheetName val="[Spt-BH.xls]B___x005f_x0000__x005f_x0004__7"/>
      <sheetName val="conc-foot-gradeslab"/>
      <sheetName val="B@___x0004_@__x0000"/>
      <sheetName val="foot-slab reinft"/>
      <sheetName val="HDPE"/>
      <sheetName val="DI"/>
      <sheetName val="pvc"/>
      <sheetName val="Civil-works"/>
      <sheetName val="ALL"/>
      <sheetName val="ANAL"/>
      <sheetName val="Data sheet"/>
      <sheetName val="BPL"/>
      <sheetName val="PCS DATA"/>
      <sheetName val="GR.slab-reinft"/>
      <sheetName val="dummy2"/>
      <sheetName val="SCHEDULE"/>
      <sheetName val="CPIPE"/>
      <sheetName val="기계내역서"/>
      <sheetName val="girder"/>
      <sheetName val="Rocker"/>
      <sheetName val="SàQa_x005f_x0005_@_x005f_x0000_"/>
      <sheetName val="간접비내역-1"/>
      <sheetName val="95삼성급(본사)"/>
      <sheetName val="BQ List"/>
      <sheetName val="OVERHEADS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Staff_Forecast_spread7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irect_cost_shed_A-2_13"/>
      <sheetName val="Staff_Forecast_sprea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irect_cost_shed_A-2_11"/>
      <sheetName val="Staff_Forecast_spread11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PRRM_Dashboard26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PRRM_Dashboard27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MFG"/>
      <sheetName val="Contract Status"/>
      <sheetName val="Budget"/>
      <sheetName val="ENCL9"/>
      <sheetName val="B@__x005f_x005f_x005f_x005F_x005f_x0000__x0"/>
      <sheetName val="PANEL ANNEXURE"/>
      <sheetName val="SANJAY_JENE120"/>
      <sheetName val="sujay_fagchi20"/>
      <sheetName val="B@_?_x0004_@?_x0000"/>
      <sheetName val="RCC-Rates"/>
      <sheetName val="Schd 8 Input"/>
      <sheetName val="Emp &amp; Trng"/>
      <sheetName val="Rate analysis- BOQ 1 "/>
      <sheetName val="p_m"/>
      <sheetName val="B@___x005f_x0004_@___$_"/>
      <sheetName val="[Spt-BH.xls]B____x005f_x0004________6"/>
      <sheetName val="[Spt-BH.xls]B___x005f_x0000__x005f_x0004__6"/>
      <sheetName val="[Spt-BH.xls][Spt-BH.xls]B____68"/>
      <sheetName val="[Spt-BH.xls][Spt-BH.xls]B____69"/>
      <sheetName val="[Spt-BH.xls][Spt-BH.xls]B____70"/>
      <sheetName val="[Spt-BH.xls][Spt-BH.xls]B____71"/>
      <sheetName val="[Spt-BH.xls]B____x005f_x0004________8"/>
      <sheetName val="[Spt-BH.xls][Spt-BH.xls]B____61"/>
      <sheetName val="[Spt-BH.xls][Spt-BH.xls]B____62"/>
      <sheetName val="[Spt-BH.xls][Spt-BH.xls]B____63"/>
      <sheetName val="[Spt-BH.xls][Spt-BH.xls]B____64"/>
      <sheetName val="[Spt-BH.xls][Spt-BH.xls]B____65"/>
      <sheetName val="[Spt-BH.xls]B___x005f_x0000__x005f_x0004__8"/>
      <sheetName val="[Spt-BH.xls][Spt-BH.xls]B____72"/>
      <sheetName val="[Spt-BH.xls][Spt-BH.xls]B____73"/>
      <sheetName val="[Spt-BH.xls][Spt-BH.xls]B____66"/>
      <sheetName val="[Spt-BH.xls][Spt-BH.xls]B____67"/>
      <sheetName val="[Spt-BH.xls][Spt-BH_xls]B____47"/>
      <sheetName val="[Spt-BH.xls][Spt-BH_xls]B____48"/>
      <sheetName val="[Spt-BH.xls][Spt-BH_xls]B____49"/>
      <sheetName val="[Spt-BH.xls][Spt-BH_xls]B____50"/>
      <sheetName val="[Spt-BH.xls][Spt-BH_xls]_Spt_17"/>
      <sheetName val="[Spt-BH.xls][Spt-BH_xls]B____51"/>
      <sheetName val="[Spt-BH.xls][Spt-BH_xls]B____52"/>
      <sheetName val="[Spt-BH.xls][Spt-BH_xls]B____53"/>
      <sheetName val="[Spt-BH.xls][Spt-BH_xls]_Spt_18"/>
      <sheetName val="[Spt-BH.xls][Spt-BH_xls]B____54"/>
      <sheetName val="[Spt-BH.xls][Spt-BH_xls]B____55"/>
      <sheetName val="[Spt-BH.xls][Spt-BH_xls]B____56"/>
      <sheetName val="[Spt-BH.xls][Spt-BH_xls]B____57"/>
      <sheetName val="[Spt-BH.xls][Spt-BH_xls]_Spt_19"/>
      <sheetName val="[Spt-BH.xls][Spt-BH_xls]B____58"/>
      <sheetName val="[Spt-BH.xls][Spt-BH_xls]B____59"/>
      <sheetName val="[Spt-BH.xls][Spt-BH_xls]_Spt_20"/>
      <sheetName val="[Spt-BH.xls][Spt-BH_xls]B____60"/>
      <sheetName val="[Spt-BH.xls][Spt-BH_xls]B____61"/>
      <sheetName val="[Spt-BH.xls][Spt-BH_xls]_Spt_21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74"/>
      <sheetName val="[Spt-BH.xls][Spt-BH.xls]B____75"/>
      <sheetName val="[Spt-BH.xls][Spt-BH.xls]_Spt_28"/>
      <sheetName val="[Spt-BH.xls][Spt-BH.xls]B____76"/>
      <sheetName val="[Spt-BH.xls][Spt-BH.xls]B____77"/>
      <sheetName val="[Spt-BH.xls][Spt-BH.xls]B____78"/>
      <sheetName val="[Spt-BH.xls][Spt-BH.xls]B____79"/>
      <sheetName val="[Spt-BH.xls][Spt-BH.xls]_Spt_27"/>
      <sheetName val="[Spt-BH.xls][Spt-BH.xls]B____81"/>
      <sheetName val="[Spt-BH.xls][Spt-BH.xls]B____82"/>
      <sheetName val="[Spt-BH.xls][Spt-BH.xls]_Spt_30"/>
      <sheetName val="[Spt-BH.xls][Spt-BH.xls]B____83"/>
      <sheetName val="[Spt-BH.xls][Spt-BH.xls]B____84"/>
      <sheetName val="[Spt-BH.xls]B____x005f_x0004________9"/>
      <sheetName val="[Spt-BH.xls]B___x005f_x0000__x005f_x0004__9"/>
      <sheetName val="[Spt-BH.xls][Spt-BH.xls]B____85"/>
      <sheetName val="[Spt-BH.xls][Spt-BH.xls]B____86"/>
      <sheetName val="[Spt-BH.xls][Spt-BH.xls]B____80"/>
      <sheetName val="[Spt-BH.xls][Spt-BH.xls]_Spt_29"/>
      <sheetName val="[Spt-BH.xls][Spt-BH_xls]B____62"/>
      <sheetName val="[Spt-BH.xls][Spt-BH_xls]B____63"/>
      <sheetName val="[Spt-BH.xls][Spt-BH_xls]B____64"/>
      <sheetName val="[Spt-BH.xls][Spt-BH_xls]B____65"/>
      <sheetName val="[Spt-BH.xls][Spt-BH_xls]_Spt_22"/>
      <sheetName val="[Spt-BH.xls][Spt-BH_xls]B____66"/>
      <sheetName val="[Spt-BH.xls][Spt-BH_xls]B____67"/>
      <sheetName val="[Spt-BH.xls][Spt-BH_xls]B____68"/>
      <sheetName val="[Spt-BH.xls][Spt-BH_xls]_Spt_23"/>
      <sheetName val="[Spt-BH.xls][Spt-BH_xls]B____69"/>
      <sheetName val="[Spt-BH.xls][Spt-BH_xls]B____70"/>
      <sheetName val="[Spt-BH.xls][Spt-BH_xls]B____71"/>
      <sheetName val="[Spt-BH.xls][Spt-BH_xls]B____72"/>
      <sheetName val="[Spt-BH.xls][Spt-BH_xls]_Spt_24"/>
      <sheetName val="[Spt-BH.xls][Spt-BH_xls]B____73"/>
      <sheetName val="[Spt-BH.xls][Spt-BH_xls]B____74"/>
      <sheetName val="[Spt-BH.xls][Spt-BH_xls]_Spt_25"/>
      <sheetName val="[Spt-BH.xls][Spt-BH_xls]B____75"/>
      <sheetName val="[Spt-BH.xls][Spt-BH_xls]B____76"/>
      <sheetName val="[Spt-BH.xls][Spt-BH_xls]_Spt_26"/>
      <sheetName val="[Spt-BH.xls][Spt-BH.xls]_Spt_33"/>
      <sheetName val="[Spt-BH.xls][Spt-BH.xls]_Spt_31"/>
      <sheetName val="[Spt-BH.xls][Spt-BH.xls]_Spt_32"/>
      <sheetName val="[Spt-BH.xls][Spt-BH.xls]_Spt_34"/>
      <sheetName val="[Spt-BH.xls][Spt-BH.xls]_Spt_35"/>
      <sheetName val="[Spt-BH.xls][Spt-BH.xls]B____87"/>
      <sheetName val="[Spt-BH.xls][Spt-BH.xls]B____88"/>
      <sheetName val="[Spt-BH.xls][Spt-BH.xls]B____89"/>
      <sheetName val="[Spt-BH.xls][Spt-BH.xls]B____90"/>
      <sheetName val="[Spt-BH.xls][Spt-BH.xls]B____91"/>
      <sheetName val="[Spt-BH.xls]B____x005f_x0004_______10"/>
      <sheetName val="[Spt-BH.xls]B___x005f_x0000__x005f_x0004_10"/>
      <sheetName val="[Spt-BH.xls][Spt-BH.xls]B____92"/>
      <sheetName val="[Spt-BH.xls][Spt-BH.xls]B____93"/>
      <sheetName val="[Spt-BH.xls][Spt-BH_xls]B____77"/>
      <sheetName val="[Spt-BH.xls][Spt-BH_xls]B____78"/>
      <sheetName val="[Spt-BH.xls][Spt-BH_xls]B____79"/>
      <sheetName val="[Spt-BH.xls][Spt-BH_xls]B____80"/>
      <sheetName val="[Spt-BH.xls][Spt-BH_xls]_Spt_27"/>
      <sheetName val="[Spt-BH.xls][Spt-BH_xls]B____81"/>
      <sheetName val="[Spt-BH.xls][Spt-BH_xls]B____82"/>
      <sheetName val="[Spt-BH.xls][Spt-BH_xls]B____83"/>
      <sheetName val="[Spt-BH.xls][Spt-BH_xls]_Spt_28"/>
      <sheetName val="[Spt-BH.xls][Spt-BH_xls]B____84"/>
      <sheetName val="[Spt-BH.xls][Spt-BH_xls]B____85"/>
      <sheetName val="[Spt-BH.xls][Spt-BH_xls]B____86"/>
      <sheetName val="[Spt-BH.xls][Spt-BH_xls]B____87"/>
      <sheetName val="[Spt-BH.xls][Spt-BH_xls]_Spt_29"/>
      <sheetName val="[Spt-BH.xls][Spt-BH.xls]_Spt_36"/>
      <sheetName val="[Spt-BH.xls][Spt-BH_xls]B____88"/>
      <sheetName val="[Spt-BH.xls][Spt-BH_xls]B____89"/>
      <sheetName val="[Spt-BH.xls][Spt-BH_xls]_Spt_30"/>
      <sheetName val="[Spt-BH.xls][Spt-BH_xls]B____90"/>
      <sheetName val="[Spt-BH.xls][Spt-BH_xls]B____91"/>
      <sheetName val="[Spt-BH.xls][Spt-BH_xls]_Spt_31"/>
      <sheetName val="[Spt-BH.xls][Spt-BH.xls]_Sp_103"/>
      <sheetName val="[Spt-BH.xls][Spt-BH.xls]B___363"/>
      <sheetName val="[Spt-BH.xls][Spt-BH.xls]B___318"/>
      <sheetName val="[Spt-BH.xls][Spt-BH.xls]B___319"/>
      <sheetName val="[Spt-BH.xls][Spt-BH.xls]_Sp_118"/>
      <sheetName val="[Spt-BH.xls][Spt-BH.xls]B___320"/>
      <sheetName val="[Spt-BH.xls][Spt-BH.xls]B___321"/>
      <sheetName val="[Spt-BH.xls][Spt-BH.xls]B___364"/>
      <sheetName val="[Spt-BH.xls][Spt-BH.xls]B___322"/>
      <sheetName val="[Spt-BH.xls][Spt-BH.xls]B___323"/>
      <sheetName val="[Spt-BH.xls][Spt-BH.xls]_Sp_104"/>
      <sheetName val="[Spt-BH.xls][Spt-BH.xls]_Sp_120"/>
      <sheetName val="[Spt-BH.xls][Spt-BH.xls]B___365"/>
      <sheetName val="[Spt-BH.xls][Spt-BH.xls]B___366"/>
      <sheetName val="[Spt-BH.xls]B____x005f_x0004_______32"/>
      <sheetName val="[Spt-BH.xls]B___x005f_x0000__x005f_x0004_29"/>
      <sheetName val="[Spt-BH.xls][Spt-BH.xls]B___367"/>
      <sheetName val="[Spt-BH.xls][Spt-BH.xls]B___368"/>
      <sheetName val="[Spt-BH.xls][Spt-BH.xls]B___324"/>
      <sheetName val="[Spt-BH.xls][Spt-BH.xls]_Sp_119"/>
      <sheetName val="[Spt-BH.xls][Spt-BH_xls]B___213"/>
      <sheetName val="[Spt-BH.xls][Spt-BH_xls]B___214"/>
      <sheetName val="[Spt-BH.xls][Spt-BH_xls]B___215"/>
      <sheetName val="[Spt-BH.xls][Spt-BH_xls]B___216"/>
      <sheetName val="[Spt-BH.xls][Spt-BH_xls]_Spt_65"/>
      <sheetName val="[Spt-BH.xls][Spt-BH_xls]B___217"/>
      <sheetName val="[Spt-BH.xls][Spt-BH_xls]B___218"/>
      <sheetName val="[Spt-BH.xls][Spt-BH_xls]B___219"/>
      <sheetName val="[Spt-BH.xls][Spt-BH_xls]_Spt_66"/>
      <sheetName val="[Spt-BH.xls][Spt-BH_xls]B___220"/>
      <sheetName val="[Spt-BH.xls][Spt-BH_xls]B___221"/>
      <sheetName val="[Spt-BH.xls][Spt-BH_xls]B___222"/>
      <sheetName val="[Spt-BH.xls][Spt-BH_xls]B___223"/>
      <sheetName val="[Spt-BH.xls][Spt-BH_xls]_Spt_67"/>
      <sheetName val="[Spt-BH.xls][Spt-BH.xls]B___111"/>
      <sheetName val="[Spt-BH.xls][Spt-BH.xls]B___112"/>
      <sheetName val="[Spt-BH.xls][Spt-BH.xls]B___113"/>
      <sheetName val="[Spt-BH.xls][Spt-BH.xls]B___114"/>
      <sheetName val="[Spt-BH.xls][Spt-BH.xls]B___115"/>
      <sheetName val="[Spt-BH.xls][Spt-BH.xls]B___116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98"/>
      <sheetName val="[Spt-BH.xls][Spt-BH.xls]B____99"/>
      <sheetName val="[Spt-BH.xls][Spt-BH.xls]B___101"/>
      <sheetName val="[Spt-BH.xls][Spt-BH.xls]B___102"/>
      <sheetName val="[Spt-BH.xls][Spt-BH.xls]B___103"/>
      <sheetName val="[Spt-BH.xls][Spt-BH.xls]B___104"/>
      <sheetName val="[Spt-BH.xls]B____x005f_x0004_______11"/>
      <sheetName val="[Spt-BH.xls]B___x005f_x0000__x005f_x0004_11"/>
      <sheetName val="[Spt-BH.xls][Spt-BH.xls]B___105"/>
      <sheetName val="[Spt-BH.xls][Spt-BH.xls]B___106"/>
      <sheetName val="[Spt-BH.xls][Spt-BH.xls]B___100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7"/>
      <sheetName val="[Spt-BH.xls][Spt-BH.xls]B___118"/>
      <sheetName val="[Spt-BH.xls][Spt-BH.xls]B___119"/>
      <sheetName val="[Spt-BH.xls][Spt-BH.xls]B___120"/>
      <sheetName val="[Spt-BH.xls][Spt-BH.xls]_Spt_38"/>
      <sheetName val="[Spt-BH.xls][Spt-BH.xls]B___121"/>
      <sheetName val="[Spt-BH.xls][Spt-BH.xls]B___122"/>
      <sheetName val="[Spt-BH.xls][Spt-BH.xls]B___123"/>
      <sheetName val="[Spt-BH.xls][Spt-BH.xls]B___124"/>
      <sheetName val="[Spt-BH.xls][Spt-BH.xls]_Spt_37"/>
      <sheetName val="[Spt-BH.xls][Spt-BH.xls]B___129"/>
      <sheetName val="[Spt-BH.xls][Spt-BH.xls]B___130"/>
      <sheetName val="[Spt-BH.xls][Spt-BH.xls]_Spt_41"/>
      <sheetName val="[Spt-BH.xls][Spt-BH.xls]B___131"/>
      <sheetName val="[Spt-BH.xls][Spt-BH.xls]B___132"/>
      <sheetName val="[Spt-BH.xls]B____x005f_x0004_______13"/>
      <sheetName val="[Spt-BH.xls][Spt-BH.xls]B___125"/>
      <sheetName val="[Spt-BH.xls][Spt-BH.xls]B___126"/>
      <sheetName val="[Spt-BH.xls][Spt-BH.xls]_Spt_39"/>
      <sheetName val="[Spt-BH.xls][Spt-BH.xls]B___127"/>
      <sheetName val="[Spt-BH.xls][Spt-BH.xls]B___128"/>
      <sheetName val="[Spt-BH.xls]B____x005f_x0004_______12"/>
      <sheetName val="[Spt-BH.xls][Spt-BH.xls]B___136"/>
      <sheetName val="[Spt-BH.xls][Spt-BH.xls]B___137"/>
      <sheetName val="[Spt-BH.xls][Spt-BH.xls]_Spt_43"/>
      <sheetName val="[Spt-BH.xls][Spt-BH.xls]B___133"/>
      <sheetName val="[Spt-BH.xls][Spt-BH.xls]B___134"/>
      <sheetName val="[Spt-BH.xls][Spt-BH.xls]B___138"/>
      <sheetName val="[Spt-BH.xls][Spt-BH.xls]B___139"/>
      <sheetName val="[Spt-BH.xls]B____x005f_x0004_______14"/>
      <sheetName val="[Spt-BH.xls]B___x005f_x0000__x005f_x0004_12"/>
      <sheetName val="[Spt-BH.xls][Spt-BH.xls]B___140"/>
      <sheetName val="[Spt-BH.xls][Spt-BH.xls]B___141"/>
      <sheetName val="[Spt-BH.xls][Spt-BH.xls]B___135"/>
      <sheetName val="[Spt-BH.xls][Spt-BH.xls]_Spt_40"/>
      <sheetName val="[Spt-BH.xls][Spt-BH.xls]_Spt_42"/>
      <sheetName val="[Spt-BH.xls][Spt-BH.xls]B___144"/>
      <sheetName val="[Spt-BH.xls][Spt-BH.xls]B___145"/>
      <sheetName val="[Spt-BH.xls][Spt-BH.xls]_Spt_46"/>
      <sheetName val="[Spt-BH.xls][Spt-BH.xls]B___146"/>
      <sheetName val="[Spt-BH.xls][Spt-BH.xls]B___147"/>
      <sheetName val="[Spt-BH.xls][Spt-BH.xls]B___142"/>
      <sheetName val="[Spt-BH.xls][Spt-BH.xls]_Spt_44"/>
      <sheetName val="[Spt-BH.xls][Spt-BH.xls]B___143"/>
      <sheetName val="[Spt-BH.xls][Spt-BH.xls]_Spt_45"/>
      <sheetName val="[Spt-BH.xls][Spt-BH.xls]B___148"/>
      <sheetName val="[Spt-BH.xls][Spt-BH.xls]B___214"/>
      <sheetName val="[Spt-BH.xls][Spt-BH.xls]B___215"/>
      <sheetName val="[Spt-BH.xls][Spt-BH.xls]_Spt_98"/>
      <sheetName val="[Spt-BH.xls][Spt-BH.xls]B___216"/>
      <sheetName val="[Spt-BH.xls][Spt-BH.xls]B___217"/>
      <sheetName val="[Spt-BH.xls]B____x005f_x0004_______15"/>
      <sheetName val="[Spt-BH.xls]B___x005f_x0000__x005f_x0004_13"/>
      <sheetName val="[Spt-BH.xls][Spt-BH.xls]B___218"/>
      <sheetName val="[Spt-BH.xls][Spt-BH.xls]B___149"/>
      <sheetName val="[Spt-BH.xls][Spt-BH.xls]B___150"/>
      <sheetName val="[Spt-BH.xls][Spt-BH.xls]_Spt_68"/>
      <sheetName val="[Spt-BH.xls][Spt-BH.xls]B___151"/>
      <sheetName val="[Spt-BH.xls][Spt-BH.xls]B___152"/>
      <sheetName val="[Spt-BH.xls][Spt-BH.xls]B___219"/>
      <sheetName val="[Spt-BH.xls][Spt-BH.xls]_Spt_47"/>
      <sheetName val="[Spt-BH.xls][Spt-BH.xls]B___153"/>
      <sheetName val="[Spt-BH.xls][Spt-BH.xls]B___154"/>
      <sheetName val="[Spt-BH.xls][Spt-BH.xls]B___155"/>
      <sheetName val="[Spt-BH.xls][Spt-BH.xls]_Spt_48"/>
      <sheetName val="[Spt-BH.xls][Spt-BH.xls]_Spt_69"/>
      <sheetName val="[Spt-BH.xls][Spt-BH_xls]B____92"/>
      <sheetName val="[Spt-BH.xls][Spt-BH_xls]B____93"/>
      <sheetName val="[Spt-BH.xls][Spt-BH_xls]B____94"/>
      <sheetName val="[Spt-BH.xls][Spt-BH_xls]B____95"/>
      <sheetName val="[Spt-BH.xls][Spt-BH_xls]B____96"/>
      <sheetName val="[Spt-BH.xls][Spt-BH_xls]B____97"/>
      <sheetName val="[Spt-BH.xls][Spt-BH_xls]B____98"/>
      <sheetName val="[Spt-BH.xls][Spt-BH_xls]_Spt_32"/>
      <sheetName val="[Spt-BH.xls][Spt-BH_xls]B____99"/>
      <sheetName val="[Spt-BH.xls][Spt-BH_xls]B___100"/>
      <sheetName val="[Spt-BH.xls][Spt-BH_xls]_Spt_33"/>
      <sheetName val="[Spt-BH.xls][Spt-BH_xls]B___101"/>
      <sheetName val="[Spt-BH.xls][Spt-BH_xls]B___102"/>
      <sheetName val="[Spt-BH.xls][Spt-BH_xls]_Spt_34"/>
      <sheetName val="[Spt-BH.xls][Spt-BH.xls]B___305"/>
      <sheetName val="[Spt-BH.xls][Spt-BH.xls]B___306"/>
      <sheetName val="[Spt-BH.xls][Spt-BH.xls]B___307"/>
      <sheetName val="[Spt-BH.xls][Spt-BH.xls]B___308"/>
      <sheetName val="[Spt-BH.xls]B____x005f_x0004_______22"/>
      <sheetName val="[Spt-BH.xls]B___x005f_x0000__x005f_x0004_20"/>
      <sheetName val="[Spt-BH.xls][Spt-BH.xls]B___309"/>
      <sheetName val="[Spt-BH.xls][Spt-BH.xls]B___310"/>
      <sheetName val="[Spt-BH.xls][Spt-BH.xls]B___220"/>
      <sheetName val="[Spt-BH.xls][Spt-BH.xls]B___174"/>
      <sheetName val="[Spt-BH.xls][Spt-BH.xls]B___175"/>
      <sheetName val="[Spt-BH.xls][Spt-BH.xls]B___176"/>
      <sheetName val="[Spt-BH.xls][Spt-BH.xls]B___177"/>
      <sheetName val="[Spt-BH.xls][Spt-BH.xls]B___178"/>
      <sheetName val="[Spt-BH.xls][Spt-BH.xls]_Spt_55"/>
      <sheetName val="[Spt-BH.xls][Spt-BH.xls]B___179"/>
      <sheetName val="[Spt-BH.xls][Spt-BH.xls]_Spt_56"/>
      <sheetName val="[Spt-BH.xls][Spt-BH.xls]B___156"/>
      <sheetName val="[Spt-BH.xls][Spt-BH.xls]B___157"/>
      <sheetName val="[Spt-BH.xls][Spt-BH.xls]_Spt_49"/>
      <sheetName val="[Spt-BH.xls][Spt-BH.xls]B___158"/>
      <sheetName val="[Spt-BH.xls][Spt-BH.xls]B___159"/>
      <sheetName val="[Spt-BH.xls]B____x005f_x0004_______16"/>
      <sheetName val="[Spt-BH.xls]B___x005f_x0000__x005f_x0004_14"/>
      <sheetName val="[Spt-BH.xls][Spt-BH.xls]B___160"/>
      <sheetName val="[Spt-BH.xls][Spt-BH.xls]B___161"/>
      <sheetName val="[Spt-BH.xls][Spt-BH.xls]_Spt_50"/>
      <sheetName val="[Spt-BH.xls][Spt-BH.xls]B___162"/>
      <sheetName val="[Spt-BH.xls][Spt-BH.xls]B___163"/>
      <sheetName val="[Spt-BH.xls][Spt-BH.xls]_Spt_52"/>
      <sheetName val="[Spt-BH.xls][Spt-BH.xls]B___164"/>
      <sheetName val="[Spt-BH.xls][Spt-BH.xls]B___165"/>
      <sheetName val="[Spt-BH.xls][Spt-BH.xls]B___166"/>
      <sheetName val="[Spt-BH.xls][Spt-BH.xls]B___167"/>
      <sheetName val="[Spt-BH.xls][Spt-BH.xls]_Spt_51"/>
      <sheetName val="[Spt-BH.xls][Spt-BH.xls]B___168"/>
      <sheetName val="[Spt-BH.xls][Spt-BH.xls]B___169"/>
      <sheetName val="[Spt-BH.xls][Spt-BH.xls]B___170"/>
      <sheetName val="[Spt-BH.xls][Spt-BH.xls]B___171"/>
      <sheetName val="[Spt-BH.xls][Spt-BH.xls]B___172"/>
      <sheetName val="[Spt-BH.xls][Spt-BH.xls]_Spt_53"/>
      <sheetName val="[Spt-BH.xls][Spt-BH.xls]B___173"/>
      <sheetName val="[Spt-BH.xls][Spt-BH.xls]_Spt_54"/>
      <sheetName val="[Spt-BH.xls]B____x005f_x0004_______17"/>
      <sheetName val="[Spt-BH.xls]B___x005f_x0000__x005f_x0004_15"/>
      <sheetName val="[Spt-BH.xls][Spt-BH.xls]_Spt_57"/>
      <sheetName val="[Spt-BH.xls][Spt-BH.xls]B___180"/>
      <sheetName val="[Spt-BH.xls][Spt-BH.xls]B___181"/>
      <sheetName val="[Spt-BH.xls][Spt-BH.xls]B___182"/>
      <sheetName val="[Spt-BH.xls][Spt-BH.xls]B___183"/>
      <sheetName val="[Spt-BH.xls][Spt-BH.xls]B___184"/>
      <sheetName val="[Spt-BH.xls][Spt-BH.xls]B___185"/>
      <sheetName val="[Spt-BH.xls][Spt-BH.xls]_Spt_58"/>
      <sheetName val="[Spt-BH.xls]B____x005f_x0004_______18"/>
      <sheetName val="[Spt-BH.xls]B___x005f_x0000__x005f_x0004_16"/>
      <sheetName val="[Spt-BH.xls][Spt-BH.xls]B___186"/>
      <sheetName val="[Spt-BH.xls][Spt-BH.xls]_Spt_99"/>
      <sheetName val="[Spt-BH.xls][Spt-BH_xls]B___136"/>
      <sheetName val="[Spt-BH.xls][Spt-BH_xls]B___137"/>
      <sheetName val="[Spt-BH.xls][Spt-BH_xls]B___138"/>
      <sheetName val="[Spt-BH.xls][Spt-BH_xls]B___139"/>
      <sheetName val="[Spt-BH.xls][Spt-BH_xls]_Spt_44"/>
      <sheetName val="[Spt-BH.xls][Spt-BH_xls]B___140"/>
      <sheetName val="[Spt-BH.xls][Spt-BH_xls]B___141"/>
      <sheetName val="[Spt-BH.xls][Spt-BH_xls]B___142"/>
      <sheetName val="[Spt-BH.xls][Spt-BH_xls]_Spt_45"/>
      <sheetName val="[Spt-BH.xls][Spt-BH_xls]B___143"/>
      <sheetName val="[Spt-BH.xls][Spt-BH_xls]B___144"/>
      <sheetName val="[Spt-BH.xls][Spt-BH_xls]B___145"/>
      <sheetName val="[Spt-BH.xls][Spt-BH_xls]B___146"/>
      <sheetName val="[Spt-BH.xls][Spt-BH_xls]_Spt_46"/>
      <sheetName val="[Spt-BH.xls][Spt-BH.xls]_Spt_60"/>
      <sheetName val="[Spt-BH.xls][Spt-BH.xls]_Spt_59"/>
      <sheetName val="[Spt-BH.xls][Spt-BH.xls]B___187"/>
      <sheetName val="[Spt-BH.xls][Spt-BH.xls]B___188"/>
      <sheetName val="[Spt-BH.xls][Spt-BH.xls]_Spt_61"/>
      <sheetName val="[Spt-BH.xls][Spt-BH.xls]B___189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B___195"/>
      <sheetName val="[Spt-BH.xls][Spt-BH.xls]B___196"/>
      <sheetName val="[Spt-BH.xls][Spt-BH.xls]B___197"/>
      <sheetName val="[Spt-BH.xls][Spt-BH.xls]_Spt_62"/>
      <sheetName val="[Spt-BH.xls][Spt-BH.xls]B___198"/>
      <sheetName val="[Spt-BH.xls][Spt-BH.xls]_Spt_63"/>
      <sheetName val="[Spt-BH.xls]B____x005f_x0004_______19"/>
      <sheetName val="[Spt-BH.xls]B___x005f_x0000__x005f_x0004_17"/>
      <sheetName val="[Spt-BH.xls][Spt-BH.xls]B___199"/>
      <sheetName val="[Spt-BH.xls][Spt-BH_xls]B___103"/>
      <sheetName val="[Spt-BH.xls][Spt-BH_xls]B___104"/>
      <sheetName val="[Spt-BH.xls][Spt-BH_xls]B___105"/>
      <sheetName val="[Spt-BH.xls][Spt-BH_xls]B___106"/>
      <sheetName val="[Spt-BH.xls][Spt-BH_xls]_Spt_35"/>
      <sheetName val="[Spt-BH.xls][Spt-BH_xls]B___107"/>
      <sheetName val="[Spt-BH.xls][Spt-BH_xls]B___108"/>
      <sheetName val="[Spt-BH.xls][Spt-BH_xls]B___109"/>
      <sheetName val="[Spt-BH.xls][Spt-BH_xls]_Spt_36"/>
      <sheetName val="[Spt-BH.xls][Spt-BH_xls]B___110"/>
      <sheetName val="[Spt-BH.xls][Spt-BH_xls]B___111"/>
      <sheetName val="[Spt-BH.xls][Spt-BH_xls]B___112"/>
      <sheetName val="[Spt-BH.xls][Spt-BH_xls]B___113"/>
      <sheetName val="[Spt-BH.xls][Spt-BH_xls]_Spt_37"/>
      <sheetName val="[Spt-BH.xls][Spt-BH.xls]B___200"/>
      <sheetName val="[Spt-BH.xls][Spt-BH.xls]B___201"/>
      <sheetName val="[Spt-BH.xls][Spt-BH.xls]B___202"/>
      <sheetName val="[Spt-BH.xls][Spt-BH.xls]B___203"/>
      <sheetName val="[Spt-BH.xls][Spt-BH.xls]B___204"/>
      <sheetName val="[Spt-BH.xls][Spt-BH.xls]_Spt_64"/>
      <sheetName val="[Spt-BH.xls][Spt-BH.xls]B___205"/>
      <sheetName val="[Spt-BH.xls][Spt-BH.xls]_Spt_65"/>
      <sheetName val="[Spt-BH.xls]B____x005f_x0004_______20"/>
      <sheetName val="[Spt-BH.xls]B___x005f_x0000__x005f_x0004_18"/>
      <sheetName val="[Spt-BH.xls][Spt-BH.xls]B___206"/>
      <sheetName val="[Spt-BH.xls][Spt-BH_xls]B___114"/>
      <sheetName val="[Spt-BH.xls][Spt-BH_xls]B___115"/>
      <sheetName val="[Spt-BH.xls][Spt-BH_xls]B___116"/>
      <sheetName val="[Spt-BH.xls][Spt-BH_xls]B___117"/>
      <sheetName val="[Spt-BH.xls][Spt-BH_xls]_Spt_38"/>
      <sheetName val="[Spt-BH.xls][Spt-BH_xls]B___118"/>
      <sheetName val="[Spt-BH.xls][Spt-BH_xls]B___119"/>
      <sheetName val="[Spt-BH.xls][Spt-BH_xls]B___120"/>
      <sheetName val="[Spt-BH.xls][Spt-BH_xls]_Spt_39"/>
      <sheetName val="[Spt-BH.xls][Spt-BH_xls]B___121"/>
      <sheetName val="[Spt-BH.xls][Spt-BH_xls]B___122"/>
      <sheetName val="[Spt-BH.xls][Spt-BH_xls]B___123"/>
      <sheetName val="[Spt-BH.xls][Spt-BH_xls]B___124"/>
      <sheetName val="[Spt-BH.xls][Spt-BH_xls]_Spt_40"/>
      <sheetName val="[Spt-BH.xls][Spt-BH.xls]B___207"/>
      <sheetName val="[Spt-BH.xls][Spt-BH.xls]B___208"/>
      <sheetName val="[Spt-BH.xls][Spt-BH.xls]B___209"/>
      <sheetName val="[Spt-BH.xls][Spt-BH.xls]B___210"/>
      <sheetName val="[Spt-BH.xls][Spt-BH.xls]B___211"/>
      <sheetName val="[Spt-BH.xls][Spt-BH.xls]_Spt_66"/>
      <sheetName val="[Spt-BH.xls][Spt-BH.xls]B___212"/>
      <sheetName val="[Spt-BH.xls][Spt-BH.xls]_Spt_67"/>
      <sheetName val="[Spt-BH.xls]B____x005f_x0004_______21"/>
      <sheetName val="[Spt-BH.xls]B___x005f_x0000__x005f_x0004_19"/>
      <sheetName val="[Spt-BH.xls][Spt-BH.xls]B___213"/>
      <sheetName val="[Spt-BH.xls][Spt-BH_xls]B___125"/>
      <sheetName val="[Spt-BH.xls][Spt-BH_xls]B___126"/>
      <sheetName val="[Spt-BH.xls][Spt-BH_xls]B___127"/>
      <sheetName val="[Spt-BH.xls][Spt-BH_xls]B___128"/>
      <sheetName val="[Spt-BH.xls][Spt-BH_xls]_Spt_41"/>
      <sheetName val="[Spt-BH.xls][Spt-BH_xls]B___129"/>
      <sheetName val="[Spt-BH.xls][Spt-BH_xls]B___130"/>
      <sheetName val="[Spt-BH.xls][Spt-BH_xls]B___131"/>
      <sheetName val="[Spt-BH.xls][Spt-BH_xls]_Spt_42"/>
      <sheetName val="[Spt-BH.xls][Spt-BH_xls]B___132"/>
      <sheetName val="[Spt-BH.xls][Spt-BH_xls]B___133"/>
      <sheetName val="[Spt-BH.xls][Spt-BH_xls]B___134"/>
      <sheetName val="[Spt-BH.xls][Spt-BH_xls]B___135"/>
      <sheetName val="[Spt-BH.xls][Spt-BH_xls]_Spt_43"/>
      <sheetName val="[Spt-BH.xls][Spt-BH.xls]_Spt_81"/>
      <sheetName val="[Spt-BH.xls][Spt-BH.xls]B___245"/>
      <sheetName val="[Spt-BH.xls][Spt-BH.xls]B___246"/>
      <sheetName val="[Spt-BH.xls][Spt-BH.xls]_Spt_83"/>
      <sheetName val="[Spt-BH.xls][Spt-BH.xls]B___247"/>
      <sheetName val="[Spt-BH.xls][Spt-BH.xls]B___248"/>
      <sheetName val="[Spt-BH.xls][Spt-BH.xls]B___249"/>
      <sheetName val="[Spt-BH.xls][Spt-BH.xls]B___250"/>
      <sheetName val="[Spt-BH.xls][Spt-BH.xls]_Spt_82"/>
      <sheetName val="[Spt-BH.xls][Spt-BH.xls]_Spt_79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B___244"/>
      <sheetName val="[Spt-BH.xls][Spt-BH.xls]_Spt_80"/>
      <sheetName val="[Spt-BH.xls][Spt-BH.xls]_Spt_74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[Spt-BH.xls]B___232"/>
      <sheetName val="[Spt-BH.xls][Spt-BH.xls]_Spt_75"/>
      <sheetName val="[Spt-BH.xls]B____x005f_x0004_______24"/>
      <sheetName val="[Spt-BH.xls]B____x005f_x0004_______23"/>
      <sheetName val="[Spt-BH.xls]B___x005f_x0000__x005f_x0004_21"/>
      <sheetName val="[Spt-BH.xls][Spt-BH.xls]_Spt_70"/>
      <sheetName val="[Spt-BH.xls][Spt-BH.xls]_Spt_71"/>
      <sheetName val="[Spt-BH.xls][Spt-BH.xls]B___221"/>
      <sheetName val="[Spt-BH.xls][Spt-BH.xls]B___222"/>
      <sheetName val="[Spt-BH.xls][Spt-BH.xls]_Spt_73"/>
      <sheetName val="[Spt-BH.xls][Spt-BH.xls]B___223"/>
      <sheetName val="[Spt-BH.xls][Spt-BH.xls]B___224"/>
      <sheetName val="[Spt-BH.xls][Spt-BH.xls]B___225"/>
      <sheetName val="[Spt-BH.xls][Spt-BH.xls]B___226"/>
      <sheetName val="[Spt-BH.xls][Spt-BH.xls]_Spt_72"/>
      <sheetName val="[Spt-BH.xls][Spt-BH.xls]_Spt_76"/>
      <sheetName val="[Spt-BH.xls][Spt-BH.xls]B___233"/>
      <sheetName val="[Spt-BH.xls][Spt-BH.xls]B___234"/>
      <sheetName val="[Spt-BH.xls][Spt-BH.xls]_Spt_78"/>
      <sheetName val="[Spt-BH.xls][Spt-BH.xls]B___235"/>
      <sheetName val="[Spt-BH.xls][Spt-BH.xls]B___236"/>
      <sheetName val="[Spt-BH.xls][Spt-BH.xls]B___237"/>
      <sheetName val="[Spt-BH.xls][Spt-BH.xls]B___238"/>
      <sheetName val="[Spt-BH.xls][Spt-BH.xls]_Spt_77"/>
      <sheetName val="[Spt-BH.xls][Spt-BH.xls]B___252"/>
      <sheetName val="[Spt-BH.xls][Spt-BH.xls]B___253"/>
      <sheetName val="[Spt-BH.xls][Spt-BH.xls]B___254"/>
      <sheetName val="[Spt-BH.xls][Spt-BH.xls]B___255"/>
      <sheetName val="[Spt-BH.xls]B____x005f_x0004_______25"/>
      <sheetName val="[Spt-BH.xls]B___x005f_x0000__x005f_x0004_22"/>
      <sheetName val="[Spt-BH.xls][Spt-BH.xls]B___256"/>
      <sheetName val="[Spt-BH.xls][Spt-BH.xls]B___257"/>
      <sheetName val="[Spt-BH.xls][Spt-BH.xls]B___251"/>
      <sheetName val="[Spt-BH.xls]B____x005f_x0004_______31"/>
      <sheetName val="[Spt-BH.xls]B___x005f_x0000__x005f_x0004_28"/>
      <sheetName val="[Spt-BH.xls][Spt-BH.xls]B___311"/>
      <sheetName val="[Spt-BH.xls][Spt-BH_xls]B___202"/>
      <sheetName val="[Spt-BH.xls][Spt-BH_xls]B___203"/>
      <sheetName val="[Spt-BH.xls][Spt-BH_xls]B___204"/>
      <sheetName val="[Spt-BH.xls][Spt-BH_xls]B___205"/>
      <sheetName val="[Spt-BH.xls][Spt-BH_xls]_Spt_62"/>
      <sheetName val="[Spt-BH.xls][Spt-BH_xls]B___206"/>
      <sheetName val="[Spt-BH.xls][Spt-BH_xls]B___207"/>
      <sheetName val="[Spt-BH.xls][Spt-BH_xls]B___208"/>
      <sheetName val="[Spt-BH.xls][Spt-BH_xls]_Spt_63"/>
      <sheetName val="[Spt-BH.xls][Spt-BH_xls]B___209"/>
      <sheetName val="[Spt-BH.xls][Spt-BH_xls]B___210"/>
      <sheetName val="[Spt-BH.xls][Spt-BH_xls]B___211"/>
      <sheetName val="[Spt-BH.xls][Spt-BH_xls]B___212"/>
      <sheetName val="[Spt-BH.xls][Spt-BH_xls]_Spt_64"/>
      <sheetName val="[Spt-BH.xls][Spt-BH.xls]_Spt_84"/>
      <sheetName val="[Spt-BH.xls][Spt-BH.xls]B___258"/>
      <sheetName val="[Spt-BH.xls][Spt-BH.xls]B___259"/>
      <sheetName val="[Spt-BH.xls][Spt-BH.xls]B___260"/>
      <sheetName val="[Spt-BH.xls][Spt-BH.xls]B___261"/>
      <sheetName val="[Spt-BH.xls][Spt-BH.xls]B___262"/>
      <sheetName val="[Spt-BH.xls][Spt-BH.xls]B___263"/>
      <sheetName val="[Spt-BH.xls][Spt-BH.xls]_Spt_85"/>
      <sheetName val="[Spt-BH.xls]B____x005f_x0004_______26"/>
      <sheetName val="[Spt-BH.xls]B___x005f_x0000__x005f_x0004_23"/>
      <sheetName val="[Spt-BH.xls][Spt-BH.xls]B___264"/>
      <sheetName val="[Spt-BH.xls][Spt-BH_xls]B___147"/>
      <sheetName val="[Spt-BH.xls][Spt-BH_xls]B___148"/>
      <sheetName val="[Spt-BH.xls][Spt-BH_xls]B___149"/>
      <sheetName val="[Spt-BH.xls][Spt-BH_xls]B___150"/>
      <sheetName val="[Spt-BH.xls][Spt-BH_xls]_Spt_47"/>
      <sheetName val="[Spt-BH.xls][Spt-BH_xls]B___151"/>
      <sheetName val="[Spt-BH.xls][Spt-BH_xls]B___152"/>
      <sheetName val="[Spt-BH.xls][Spt-BH_xls]B___153"/>
      <sheetName val="[Spt-BH.xls][Spt-BH_xls]_Spt_48"/>
      <sheetName val="[Spt-BH.xls][Spt-BH_xls]B___154"/>
      <sheetName val="[Spt-BH.xls][Spt-BH_xls]B___155"/>
      <sheetName val="[Spt-BH.xls][Spt-BH_xls]B___156"/>
      <sheetName val="[Spt-BH.xls][Spt-BH_xls]B___157"/>
      <sheetName val="[Spt-BH.xls][Spt-BH_xls]_Spt_49"/>
      <sheetName val="[Spt-BH.xls][Spt-BH.xls]_Spt_86"/>
      <sheetName val="[Spt-BH.xls][Spt-BH.xls]B___265"/>
      <sheetName val="[Spt-BH.xls][Spt-BH.xls]B___266"/>
      <sheetName val="[Spt-BH.xls][Spt-BH.xls]B___267"/>
      <sheetName val="[Spt-BH.xls][Spt-BH.xls]B___268"/>
      <sheetName val="[Spt-BH.xls][Spt-BH.xls]B___269"/>
      <sheetName val="[Spt-BH.xls][Spt-BH.xls]B___270"/>
      <sheetName val="[Spt-BH.xls][Spt-BH.xls]_Spt_87"/>
      <sheetName val="[Spt-BH.xls]B____x005f_x0004_______27"/>
      <sheetName val="[Spt-BH.xls]B___x005f_x0000__x005f_x0004_24"/>
      <sheetName val="[Spt-BH.xls][Spt-BH.xls]B___271"/>
      <sheetName val="[Spt-BH.xls][Spt-BH_xls]B___158"/>
      <sheetName val="[Spt-BH.xls][Spt-BH_xls]B___159"/>
      <sheetName val="[Spt-BH.xls][Spt-BH_xls]B___160"/>
      <sheetName val="[Spt-BH.xls][Spt-BH_xls]B___161"/>
      <sheetName val="[Spt-BH.xls][Spt-BH_xls]_Spt_50"/>
      <sheetName val="[Spt-BH.xls][Spt-BH_xls]B___162"/>
      <sheetName val="[Spt-BH.xls][Spt-BH_xls]B___163"/>
      <sheetName val="[Spt-BH.xls][Spt-BH_xls]B___164"/>
      <sheetName val="[Spt-BH.xls][Spt-BH_xls]_Spt_51"/>
      <sheetName val="[Spt-BH.xls][Spt-BH_xls]B___165"/>
      <sheetName val="[Spt-BH.xls][Spt-BH_xls]B___166"/>
      <sheetName val="[Spt-BH.xls][Spt-BH_xls]B___167"/>
      <sheetName val="[Spt-BH.xls][Spt-BH_xls]B___168"/>
      <sheetName val="[Spt-BH.xls][Spt-BH_xls]_Spt_52"/>
      <sheetName val="[Spt-BH.xls][Spt-BH.xls]_Spt_88"/>
      <sheetName val="[Spt-BH.xls][Spt-BH.xls]B___272"/>
      <sheetName val="[Spt-BH.xls][Spt-BH.xls]B___273"/>
      <sheetName val="[Spt-BH.xls][Spt-BH.xls]B___274"/>
      <sheetName val="[Spt-BH.xls][Spt-BH.xls]B___275"/>
      <sheetName val="[Spt-BH.xls][Spt-BH.xls]B___276"/>
      <sheetName val="[Spt-BH.xls][Spt-BH.xls]B___277"/>
      <sheetName val="[Spt-BH.xls][Spt-BH.xls]_Spt_89"/>
      <sheetName val="[Spt-BH.xls]B____x005f_x0004_______28"/>
      <sheetName val="[Spt-BH.xls]B___x005f_x0000__x005f_x0004_25"/>
      <sheetName val="[Spt-BH.xls][Spt-BH.xls]B___278"/>
      <sheetName val="[Spt-BH.xls][Spt-BH_xls]B___169"/>
      <sheetName val="[Spt-BH.xls][Spt-BH_xls]B___170"/>
      <sheetName val="[Spt-BH.xls][Spt-BH_xls]B___171"/>
      <sheetName val="[Spt-BH.xls][Spt-BH_xls]B___172"/>
      <sheetName val="[Spt-BH.xls][Spt-BH_xls]_Spt_53"/>
      <sheetName val="[Spt-BH.xls][Spt-BH_xls]B___173"/>
      <sheetName val="[Spt-BH.xls][Spt-BH_xls]B___174"/>
      <sheetName val="[Spt-BH.xls][Spt-BH_xls]B___175"/>
      <sheetName val="[Spt-BH.xls][Spt-BH_xls]_Spt_54"/>
      <sheetName val="[Spt-BH.xls][Spt-BH_xls]B___176"/>
      <sheetName val="[Spt-BH.xls][Spt-BH_xls]B___177"/>
      <sheetName val="[Spt-BH.xls][Spt-BH_xls]B___178"/>
      <sheetName val="[Spt-BH.xls][Spt-BH_xls]B___179"/>
      <sheetName val="[Spt-BH.xls][Spt-BH_xls]_Spt_55"/>
      <sheetName val="[Spt-BH.xls][Spt-BH.xls]_Spt_90"/>
      <sheetName val="[Spt-BH.xls][Spt-BH.xls]B___279"/>
      <sheetName val="[Spt-BH.xls][Spt-BH.xls]B___280"/>
      <sheetName val="[Spt-BH.xls][Spt-BH.xls]B___281"/>
      <sheetName val="[Spt-BH.xls][Spt-BH.xls]B___282"/>
      <sheetName val="[Spt-BH.xls][Spt-BH.xls]B___283"/>
      <sheetName val="[Spt-BH.xls][Spt-BH.xls]B___284"/>
      <sheetName val="[Spt-BH.xls][Spt-BH.xls]_Spt_91"/>
      <sheetName val="[Spt-BH.xls]B____x005f_x0004_______29"/>
      <sheetName val="[Spt-BH.xls]B___x005f_x0000__x005f_x0004_26"/>
      <sheetName val="[Spt-BH.xls][Spt-BH.xls]B___285"/>
      <sheetName val="[Spt-BH.xls][Spt-BH_xls]B___180"/>
      <sheetName val="[Spt-BH.xls][Spt-BH_xls]B___181"/>
      <sheetName val="[Spt-BH.xls][Spt-BH_xls]B___182"/>
      <sheetName val="[Spt-BH.xls][Spt-BH_xls]B___183"/>
      <sheetName val="[Spt-BH.xls][Spt-BH_xls]_Spt_56"/>
      <sheetName val="[Spt-BH.xls][Spt-BH_xls]B___184"/>
      <sheetName val="[Spt-BH.xls][Spt-BH_xls]B___185"/>
      <sheetName val="[Spt-BH.xls][Spt-BH_xls]B___186"/>
      <sheetName val="[Spt-BH.xls][Spt-BH_xls]_Spt_57"/>
      <sheetName val="[Spt-BH.xls][Spt-BH_xls]B___187"/>
      <sheetName val="[Spt-BH.xls][Spt-BH_xls]B___188"/>
      <sheetName val="[Spt-BH.xls][Spt-BH_xls]B___189"/>
      <sheetName val="[Spt-BH.xls][Spt-BH_xls]B___190"/>
      <sheetName val="[Spt-BH.xls][Spt-BH_xls]_Spt_58"/>
      <sheetName val="[Spt-BH.xls][Spt-BH.xls]_Spt_92"/>
      <sheetName val="[Spt-BH.xls][Spt-BH.xls]B___286"/>
      <sheetName val="[Spt-BH.xls][Spt-BH.xls]B___287"/>
      <sheetName val="[Spt-BH.xls][Spt-BH.xls]_Spt_96"/>
      <sheetName val="[Spt-BH.xls][Spt-BH.xls]B___288"/>
      <sheetName val="[Spt-BH.xls][Spt-BH.xls]B___289"/>
      <sheetName val="[Spt-BH.xls][Spt-BH.xls]B___290"/>
      <sheetName val="[Spt-BH.xls][Spt-BH.xls]B___291"/>
      <sheetName val="[Spt-BH.xls][Spt-BH.xls]_Spt_93"/>
      <sheetName val="[Spt-BH.xls][Spt-BH.xls]B___299"/>
      <sheetName val="[Spt-BH.xls][Spt-BH.xls]B___300"/>
      <sheetName val="[Spt-BH.xls][Spt-BH.xls]B___301"/>
      <sheetName val="[Spt-BH.xls][Spt-BH.xls]B___302"/>
      <sheetName val="[Spt-BH.xls]B____x005f_x0004_______30"/>
      <sheetName val="[Spt-BH.xls]B___x005f_x0000__x005f_x0004_27"/>
      <sheetName val="[Spt-BH.xls][Spt-BH.xls]B___303"/>
      <sheetName val="[Spt-BH.xls][Spt-BH.xls]B___304"/>
      <sheetName val="[Spt-BH.xls][Spt-BH.xls]B___292"/>
      <sheetName val="[Spt-BH.xls][Spt-BH.xls]_Spt_97"/>
      <sheetName val="[Spt-BH.xls][Spt-BH_xls]B___191"/>
      <sheetName val="[Spt-BH.xls][Spt-BH_xls]B___192"/>
      <sheetName val="[Spt-BH.xls][Spt-BH_xls]B___193"/>
      <sheetName val="[Spt-BH.xls][Spt-BH_xls]B___194"/>
      <sheetName val="[Spt-BH.xls][Spt-BH_xls]_Spt_59"/>
      <sheetName val="[Spt-BH.xls][Spt-BH_xls]B___195"/>
      <sheetName val="[Spt-BH.xls][Spt-BH_xls]B___196"/>
      <sheetName val="[Spt-BH.xls][Spt-BH_xls]B___197"/>
      <sheetName val="[Spt-BH.xls][Spt-BH_xls]_Spt_60"/>
      <sheetName val="[Spt-BH.xls][Spt-BH_xls]B___198"/>
      <sheetName val="[Spt-BH.xls][Spt-BH_xls]B___199"/>
      <sheetName val="[Spt-BH.xls][Spt-BH_xls]B___200"/>
      <sheetName val="[Spt-BH.xls][Spt-BH_xls]B___201"/>
      <sheetName val="[Spt-BH.xls][Spt-BH_xls]_Spt_61"/>
      <sheetName val="[Spt-BH.xls][Spt-BH.xls]_Spt_94"/>
      <sheetName val="[Spt-BH.xls][Spt-BH.xls]B___293"/>
      <sheetName val="[Spt-BH.xls][Spt-BH.xls]B___294"/>
      <sheetName val="[Spt-BH.xls][Spt-BH.xls]B___295"/>
      <sheetName val="[Spt-BH.xls][Spt-BH.xls]B___296"/>
      <sheetName val="[Spt-BH.xls][Spt-BH.xls]B___297"/>
      <sheetName val="[Spt-BH.xls][Spt-BH.xls]B___298"/>
      <sheetName val="[Spt-BH.xls][Spt-BH.xls]_Spt_95"/>
      <sheetName val="[Spt-BH.xls][Spt-BH.xls]_Sp_100"/>
      <sheetName val="[Spt-BH.xls][Spt-BH.xls]B___312"/>
      <sheetName val="[Spt-BH.xls][Spt-BH.xls]B___313"/>
      <sheetName val="[Spt-BH.xls][Spt-BH.xls]_Sp_102"/>
      <sheetName val="[Spt-BH.xls][Spt-BH.xls]B___314"/>
      <sheetName val="[Spt-BH.xls][Spt-BH.xls]B___315"/>
      <sheetName val="[Spt-BH.xls][Spt-BH.xls]B___316"/>
      <sheetName val="[Spt-BH.xls][Spt-BH.xls]B___317"/>
      <sheetName val="[Spt-BH.xls][Spt-BH.xls]_Sp_101"/>
      <sheetName val="[Spt-BH.xls][Spt-BH.xls]_Sp_109"/>
      <sheetName val="[Spt-BH.xls][Spt-BH.xls]B___344"/>
      <sheetName val="[Spt-BH.xls][Spt-BH.xls]B___337"/>
      <sheetName val="[Spt-BH.xls][Spt-BH.xls]B___338"/>
      <sheetName val="[Spt-BH.xls][Spt-BH.xls]_Sp_111"/>
      <sheetName val="[Spt-BH.xls][Spt-BH.xls]B___339"/>
      <sheetName val="[Spt-BH.xls][Spt-BH.xls]B___340"/>
      <sheetName val="[Spt-BH.xls][Spt-BH.xls]B___345"/>
      <sheetName val="[Spt-BH.xls][Spt-BH.xls]B___341"/>
      <sheetName val="[Spt-BH.xls][Spt-BH.xls]B___342"/>
      <sheetName val="[Spt-BH.xls][Spt-BH.xls]_Sp_110"/>
      <sheetName val="[Spt-BH.xls][Spt-BH.xls]B___346"/>
      <sheetName val="[Spt-BH.xls][Spt-BH.xls]B___347"/>
      <sheetName val="[Spt-BH.xls]B____x005f_x0004_______33"/>
      <sheetName val="[Spt-BH.xls]B___x005f_x0000__x005f_x0004_30"/>
      <sheetName val="[Spt-BH.xls][Spt-BH.xls]B___348"/>
      <sheetName val="[Spt-BH.xls][Spt-BH.xls]B___349"/>
      <sheetName val="[Spt-BH.xls][Spt-BH.xls]B___343"/>
      <sheetName val="[Spt-BH.xls][Spt-BH.xls]_Sp_112"/>
      <sheetName val="[Spt-BH.xls][Spt-BH_xls]B___224"/>
      <sheetName val="[Spt-BH.xls][Spt-BH_xls]B___225"/>
      <sheetName val="[Spt-BH.xls][Spt-BH_xls]B___226"/>
      <sheetName val="[Spt-BH.xls][Spt-BH_xls]B___227"/>
      <sheetName val="[Spt-BH.xls][Spt-BH_xls]_Spt_68"/>
      <sheetName val="[Spt-BH.xls][Spt-BH_xls]B___228"/>
      <sheetName val="[Spt-BH.xls][Spt-BH_xls]B___229"/>
      <sheetName val="[Spt-BH.xls][Spt-BH_xls]B___230"/>
      <sheetName val="[Spt-BH.xls][Spt-BH_xls]_Spt_69"/>
      <sheetName val="[Spt-BH.xls][Spt-BH_xls]B___231"/>
      <sheetName val="[Spt-BH.xls][Spt-BH_xls]B___232"/>
      <sheetName val="[Spt-BH.xls][Spt-BH_xls]B___233"/>
      <sheetName val="[Spt-BH.xls][Spt-BH_xls]B___234"/>
      <sheetName val="[Spt-BH.xls][Spt-BH_xls]_Spt_70"/>
      <sheetName val="[Spt-BH.xls][Spt-BH.xls]B___331"/>
      <sheetName val="[Spt-BH.xls][Spt-BH.xls]_Sp_107"/>
      <sheetName val="[Spt-BH.xls][Spt-BH.xls]B___332"/>
      <sheetName val="[Spt-BH.xls][Spt-BH.xls]B___333"/>
      <sheetName val="[Spt-BH.xls][Spt-BH.xls]B___334"/>
      <sheetName val="[Spt-BH.xls][Spt-BH.xls]B___335"/>
      <sheetName val="[Spt-BH.xls][Spt-BH.xls]B___336"/>
      <sheetName val="[Spt-BH.xls][Spt-BH.xls]_Sp_108"/>
      <sheetName val="[Spt-BH.xls][Spt-BH.xls]B___325"/>
      <sheetName val="[Spt-BH.xls][Spt-BH.xls]_Sp_105"/>
      <sheetName val="[Spt-BH.xls][Spt-BH.xls]B___326"/>
      <sheetName val="[Spt-BH.xls][Spt-BH.xls]B___327"/>
      <sheetName val="[Spt-BH.xls][Spt-BH.xls]B___328"/>
      <sheetName val="[Spt-BH.xls][Spt-BH.xls]B___329"/>
      <sheetName val="[Spt-BH.xls][Spt-BH.xls]B___330"/>
      <sheetName val="[Spt-BH.xls][Spt-BH.xls]_Sp_106"/>
      <sheetName val="[Spt-BH.xls][Spt-BH.xls]B___370"/>
      <sheetName val="[Spt-BH.xls][Spt-BH.xls]B___371"/>
      <sheetName val="[Spt-BH.xls][Spt-BH.xls]_Sp_122"/>
      <sheetName val="[Spt-BH.xls][Spt-BH.xls]B___372"/>
      <sheetName val="[Spt-BH.xls][Spt-BH.xls]B___373"/>
      <sheetName val="[Spt-BH.xls]B____x005f_x0004_______35"/>
      <sheetName val="[Spt-BH.xls]B___x005f_x0000__x005f_x0004_32"/>
      <sheetName val="[Spt-BH.xls][Spt-BH.xls]B___374"/>
      <sheetName val="[Spt-BH.xls][Spt-BH.xls]B___375"/>
      <sheetName val="[Spt-BH.xls][Spt-BH.xls]B___369"/>
      <sheetName val="[Spt-BH.xls][Spt-BH.xls]_Sp_121"/>
      <sheetName val="[Spt-BH.xls][Spt-BH_xls]B___246"/>
      <sheetName val="[Spt-BH.xls][Spt-BH_xls]B___247"/>
      <sheetName val="[Spt-BH.xls][Spt-BH_xls]B___248"/>
      <sheetName val="[Spt-BH.xls][Spt-BH_xls]B___249"/>
      <sheetName val="[Spt-BH.xls][Spt-BH_xls]_Spt_74"/>
      <sheetName val="[Spt-BH.xls][Spt-BH_xls]B___250"/>
      <sheetName val="[Spt-BH.xls][Spt-BH_xls]B___251"/>
      <sheetName val="[Spt-BH.xls][Spt-BH_xls]B___252"/>
      <sheetName val="[Spt-BH.xls][Spt-BH_xls]_Spt_75"/>
      <sheetName val="[Spt-BH.xls][Spt-BH_xls]B___253"/>
      <sheetName val="[Spt-BH.xls][Spt-BH_xls]B___254"/>
      <sheetName val="[Spt-BH.xls][Spt-BH_xls]B___255"/>
      <sheetName val="[Spt-BH.xls][Spt-BH_xls]B___256"/>
      <sheetName val="[Spt-BH.xls][Spt-BH_xls]_Spt_76"/>
      <sheetName val="[Spt-BH.xls][Spt-BH.xls]B___350"/>
      <sheetName val="[Spt-BH.xls][Spt-BH.xls]_Sp_113"/>
      <sheetName val="[Spt-BH.xls][Spt-BH.xls]B___351"/>
      <sheetName val="[Spt-BH.xls][Spt-BH.xls]_Sp_115"/>
      <sheetName val="[Spt-BH.xls][Spt-BH.xls]B___352"/>
      <sheetName val="[Spt-BH.xls][Spt-BH.xls]B___353"/>
      <sheetName val="[Spt-BH.xls][Spt-BH.xls]B___354"/>
      <sheetName val="[Spt-BH.xls][Spt-BH.xls]B___355"/>
      <sheetName val="[Spt-BH.xls][Spt-BH.xls]_Sp_114"/>
      <sheetName val="[Spt-BH.xls][Spt-BH.xls]B___357"/>
      <sheetName val="[Spt-BH.xls][Spt-BH.xls]B___358"/>
      <sheetName val="[Spt-BH.xls][Spt-BH.xls]_Sp_117"/>
      <sheetName val="[Spt-BH.xls][Spt-BH.xls]B___359"/>
      <sheetName val="[Spt-BH.xls][Spt-BH.xls]B___360"/>
      <sheetName val="[Spt-BH.xls]B____x005f_x0004_______34"/>
      <sheetName val="[Spt-BH.xls]B___x005f_x0000__x005f_x0004_31"/>
      <sheetName val="[Spt-BH.xls][Spt-BH.xls]B___361"/>
      <sheetName val="[Spt-BH.xls][Spt-BH.xls]B___362"/>
      <sheetName val="[Spt-BH.xls][Spt-BH.xls]B___356"/>
      <sheetName val="[Spt-BH.xls][Spt-BH.xls]_Sp_116"/>
      <sheetName val="[Spt-BH.xls][Spt-BH_xls]B___235"/>
      <sheetName val="[Spt-BH.xls][Spt-BH_xls]B___236"/>
      <sheetName val="[Spt-BH.xls][Spt-BH_xls]B___237"/>
      <sheetName val="[Spt-BH.xls][Spt-BH_xls]B___238"/>
      <sheetName val="[Spt-BH.xls][Spt-BH_xls]_Spt_71"/>
      <sheetName val="[Spt-BH.xls][Spt-BH_xls]B___239"/>
      <sheetName val="[Spt-BH.xls][Spt-BH_xls]B___240"/>
      <sheetName val="[Spt-BH.xls][Spt-BH_xls]B___241"/>
      <sheetName val="[Spt-BH.xls][Spt-BH_xls]_Spt_72"/>
      <sheetName val="[Spt-BH.xls][Spt-BH_xls]B___242"/>
      <sheetName val="[Spt-BH.xls][Spt-BH_xls]B___243"/>
      <sheetName val="[Spt-BH.xls][Spt-BH_xls]B___244"/>
      <sheetName val="[Spt-BH.xls][Spt-BH_xls]B___245"/>
      <sheetName val="[Spt-BH.xls][Spt-BH_xls]_Spt_73"/>
      <sheetName val="[Spt-BH.xls][Spt-BH.xls]_Sp_133"/>
      <sheetName val="[Spt-BH.xls][Spt-BH.xls]B___399"/>
      <sheetName val="[Spt-BH.xls][Spt-BH.xls]B___400"/>
      <sheetName val="[Spt-BH.xls][Spt-BH.xls]_Sp_138"/>
      <sheetName val="[Spt-BH.xls][Spt-BH.xls]B___401"/>
      <sheetName val="[Spt-BH.xls][Spt-BH.xls]B___402"/>
      <sheetName val="[Spt-BH.xls][Spt-BH.xls]B___403"/>
      <sheetName val="[Spt-BH.xls][Spt-BH.xls]B___404"/>
      <sheetName val="[Spt-BH.xls][Spt-BH.xls]B___412"/>
      <sheetName val="[Spt-BH.xls][Spt-BH.xls]B___413"/>
      <sheetName val="[Spt-BH.xls][Spt-BH.xls]_Sp_140"/>
      <sheetName val="[Spt-BH.xls][Spt-BH.xls]B___414"/>
      <sheetName val="[Spt-BH.xls][Spt-BH.xls]B___415"/>
      <sheetName val="[Spt-BH.xls]B____x005f_x0004_______37"/>
      <sheetName val="[Spt-BH.xls]B___x005f_x0000__x005f_x0004_34"/>
      <sheetName val="[Spt-BH.xls][Spt-BH.xls]B___416"/>
      <sheetName val="[Spt-BH.xls][Spt-BH.xls]B___417"/>
      <sheetName val="[Spt-BH.xls][Spt-BH.xls]B___405"/>
      <sheetName val="[Spt-BH.xls][Spt-BH.xls]_Sp_139"/>
      <sheetName val="[Spt-BH.xls][Spt-BH_xls]B___276"/>
      <sheetName val="[Spt-BH.xls][Spt-BH_xls]B___277"/>
      <sheetName val="[Spt-BH.xls][Spt-BH_xls]B___278"/>
      <sheetName val="[Spt-BH.xls][Spt-BH_xls]B___279"/>
      <sheetName val="[Spt-BH.xls][Spt-BH_xls]_Spt_84"/>
      <sheetName val="[Spt-BH.xls][Spt-BH_xls]B___280"/>
      <sheetName val="[Spt-BH.xls][Spt-BH_xls]B___281"/>
      <sheetName val="[Spt-BH.xls][Spt-BH_xls]B___282"/>
      <sheetName val="[Spt-BH.xls][Spt-BH_xls]_Spt_85"/>
      <sheetName val="[Spt-BH.xls][Spt-BH_xls]B___283"/>
      <sheetName val="[Spt-BH.xls][Spt-BH_xls]B___284"/>
      <sheetName val="[Spt-BH.xls][Spt-BH_xls]B___285"/>
      <sheetName val="[Spt-BH.xls][Spt-BH_xls]B___286"/>
      <sheetName val="[Spt-BH.xls][Spt-BH_xls]_Spt_86"/>
      <sheetName val="[Spt-BH.xls][Spt-BH.xls]_Sp_134"/>
      <sheetName val="[Spt-BH.xls][Spt-BH_xls]B___287"/>
      <sheetName val="[Spt-BH.xls][Spt-BH_xls]B___288"/>
      <sheetName val="[Spt-BH.xls][Spt-BH_xls]_Spt_87"/>
      <sheetName val="[Spt-BH.xls][Spt-BH_xls]B___289"/>
      <sheetName val="[Spt-BH.xls][Spt-BH_xls]B___290"/>
      <sheetName val="[Spt-BH.xls][Spt-BH_xls]_Spt_88"/>
      <sheetName val="[Spt-BH.xls][Spt-BH.xls]_Sp_124"/>
      <sheetName val="[Spt-BH.xls][Spt-BH.xls]B___376"/>
      <sheetName val="[Spt-BH.xls][Spt-BH.xls]B___377"/>
      <sheetName val="[Spt-BH.xls][Spt-BH.xls]B___378"/>
      <sheetName val="[Spt-BH.xls][Spt-BH.xls]_Sp_123"/>
      <sheetName val="[Spt-BH.xls][Spt-BH.xls]_Sp_125"/>
      <sheetName val="[Spt-BH.xls][Spt-BH.xls]_Sp_126"/>
      <sheetName val="[Spt-BH.xls][Spt-BH.xls]_Sp_127"/>
      <sheetName val="[Spt-BH.xls][Spt-BH.xls]B___379"/>
      <sheetName val="[Spt-BH.xls][Spt-BH.xls]B___380"/>
      <sheetName val="[Spt-BH.xls][Spt-BH.xls]B___381"/>
      <sheetName val="[Spt-BH.xls][Spt-BH.xls]B___382"/>
      <sheetName val="[Spt-BH.xls][Spt-BH.xls]B___383"/>
      <sheetName val="[Spt-BH.xls][Spt-BH.xls]B___384"/>
      <sheetName val="[Spt-BH.xls][Spt-BH.xls]B___385"/>
      <sheetName val="[Spt-BH.xls][Spt-BH.xls]_Sp_128"/>
      <sheetName val="[Spt-BH.xls][Spt-BH_xls]B___257"/>
      <sheetName val="[Spt-BH.xls][Spt-BH_xls]B___258"/>
      <sheetName val="[Spt-BH.xls][Spt-BH_xls]_Spt_77"/>
      <sheetName val="[Spt-BH.xls][Spt-BH_xls]B___259"/>
      <sheetName val="[Spt-BH.xls][Spt-BH_xls]B___260"/>
      <sheetName val="[Spt-BH.xls][Spt-BH_xls]_Spt_78"/>
      <sheetName val="[Spt-BH.xls][Spt-BH.xls]_Sp_131"/>
      <sheetName val="[Spt-BH.xls][Spt-BH.xls]_Sp_129"/>
      <sheetName val="[Spt-BH.xls][Spt-BH.xls]B___386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1"/>
      <sheetName val="[Spt-BH.xls][Spt-BH.xls]B___393"/>
      <sheetName val="[Spt-BH.xls][Spt-BH.xls]B___394"/>
      <sheetName val="[Spt-BH.xls][Spt-BH.xls]B___395"/>
      <sheetName val="[Spt-BH.xls][Spt-BH.xls]B___396"/>
      <sheetName val="[Spt-BH.xls]B____x005f_x0004_______36"/>
      <sheetName val="[Spt-BH.xls]B___x005f_x0000__x005f_x0004_33"/>
      <sheetName val="[Spt-BH.xls][Spt-BH.xls]B___397"/>
      <sheetName val="[Spt-BH.xls][Spt-BH.xls]B___398"/>
      <sheetName val="[Spt-BH.xls][Spt-BH.xls]B___392"/>
      <sheetName val="[Spt-BH.xls][Spt-BH.xls]_Sp_132"/>
      <sheetName val="[Spt-BH.xls][Spt-BH_xls]B___261"/>
      <sheetName val="[Spt-BH.xls][Spt-BH_xls]B___262"/>
      <sheetName val="[Spt-BH.xls][Spt-BH_xls]B___263"/>
      <sheetName val="[Spt-BH.xls][Spt-BH_xls]B___264"/>
      <sheetName val="[Spt-BH.xls][Spt-BH_xls]_Spt_79"/>
      <sheetName val="[Spt-BH.xls][Spt-BH_xls]B___265"/>
      <sheetName val="[Spt-BH.xls][Spt-BH_xls]B___266"/>
      <sheetName val="[Spt-BH.xls][Spt-BH_xls]B___267"/>
      <sheetName val="[Spt-BH.xls][Spt-BH_xls]_Spt_80"/>
      <sheetName val="[Spt-BH.xls][Spt-BH_xls]B___268"/>
      <sheetName val="[Spt-BH.xls][Spt-BH_xls]B___269"/>
      <sheetName val="[Spt-BH.xls][Spt-BH_xls]B___270"/>
      <sheetName val="[Spt-BH.xls][Spt-BH_xls]B___271"/>
      <sheetName val="[Spt-BH.xls][Spt-BH_xls]_Spt_81"/>
      <sheetName val="[Spt-BH.xls][Spt-BH.xls]_Sp_130"/>
      <sheetName val="[Spt-BH.xls][Spt-BH_xls]B___272"/>
      <sheetName val="[Spt-BH.xls][Spt-BH_xls]B___273"/>
      <sheetName val="[Spt-BH.xls][Spt-BH_xls]_Spt_82"/>
      <sheetName val="[Spt-BH.xls][Spt-BH_xls]B___274"/>
      <sheetName val="[Spt-BH.xls][Spt-BH_xls]B___275"/>
      <sheetName val="[Spt-BH.xls][Spt-BH_xls]_Spt_83"/>
      <sheetName val="[Spt-BH.xls][Spt-BH.xls]_Sp_135"/>
      <sheetName val="[Spt-BH.xls][Spt-BH.xls]B___406"/>
      <sheetName val="[Spt-BH.xls][Spt-BH.xls]B___407"/>
      <sheetName val="[Spt-BH.xls][Spt-BH.xls]_Sp_137"/>
      <sheetName val="[Spt-BH.xls][Spt-BH.xls]B___408"/>
      <sheetName val="[Spt-BH.xls][Spt-BH.xls]B___409"/>
      <sheetName val="[Spt-BH.xls][Spt-BH.xls]B___410"/>
      <sheetName val="[Spt-BH.xls][Spt-BH.xls]B___411"/>
      <sheetName val="[Spt-BH.xls][Spt-BH.xls]_Sp_136"/>
      <sheetName val="[Spt-BH.xls][Spt-BH.xls]_Sp_141"/>
      <sheetName val="[Spt-BH.xls][Spt-BH.xls]B___418"/>
      <sheetName val="[Spt-BH.xls][Spt-BH.xls]B___419"/>
      <sheetName val="[Spt-BH.xls][Spt-BH.xls]_Sp_143"/>
      <sheetName val="[Spt-BH.xls][Spt-BH.xls]B___420"/>
      <sheetName val="[Spt-BH.xls][Spt-BH.xls]B___421"/>
      <sheetName val="[Spt-BH.xls][Spt-BH.xls]B___422"/>
      <sheetName val="[Spt-BH.xls][Spt-BH.xls]B___423"/>
      <sheetName val="[Spt-BH.xls][Spt-BH.xls]_Sp_142"/>
      <sheetName val="[Spt-BH.xls]B____x005f_x0004_______38"/>
      <sheetName val="[Spt-BH.xls]B___x005f_x0000__x005f_x0004_35"/>
      <sheetName val="[Spt-BH.xls][Spt-BH.xls]B___424"/>
      <sheetName val="[Spt-BH.xls][Spt-BH.xls]B___425"/>
      <sheetName val="[Spt-BH.xls][Spt-BH.xls]B___426"/>
      <sheetName val="[Spt-BH.xls][Spt-BH.xls]B___427"/>
      <sheetName val="[Spt-BH.xls][Spt-BH.xls]B___428"/>
      <sheetName val="[Spt-BH.xls][Spt-BH.xls]B___429"/>
      <sheetName val="[Spt-BH.xls][Spt-BH.xls]_Sp_144"/>
      <sheetName val="[Spt-BH.xls][Spt-BH.xls]_Sp_145"/>
      <sheetName val="[Spt-BH.xls][Spt-BH.xls]B___430"/>
      <sheetName val="[Spt-BH.xls][Spt-BH_xls]B___291"/>
      <sheetName val="[Spt-BH.xls][Spt-BH_xls]B___292"/>
      <sheetName val="[Spt-BH.xls][Spt-BH_xls]B___293"/>
      <sheetName val="[Spt-BH.xls][Spt-BH_xls]B___294"/>
      <sheetName val="[Spt-BH.xls][Spt-BH_xls]_Spt_89"/>
      <sheetName val="[Spt-BH.xls][Spt-BH_xls]B___295"/>
      <sheetName val="[Spt-BH.xls][Spt-BH_xls]B___296"/>
      <sheetName val="[Spt-BH.xls][Spt-BH_xls]B___297"/>
      <sheetName val="[Spt-BH.xls][Spt-BH_xls]_Spt_90"/>
      <sheetName val="[Spt-BH.xls][Spt-BH_xls]B___298"/>
      <sheetName val="[Spt-BH.xls][Spt-BH_xls]B___299"/>
      <sheetName val="[Spt-BH.xls][Spt-BH_xls]B___300"/>
      <sheetName val="[Spt-BH.xls][Spt-BH_xls]B___301"/>
      <sheetName val="[Spt-BH.xls][Spt-BH_xls]_Spt_91"/>
      <sheetName val="[Spt-BH.xls][Spt-BH_xls]B___302"/>
      <sheetName val="[Spt-BH.xls][Spt-BH_xls]B___303"/>
      <sheetName val="[Spt-BH.xls][Spt-BH_xls]_Spt_92"/>
      <sheetName val="[Spt-BH.xls][Spt-BH_xls]B___304"/>
      <sheetName val="[Spt-BH.xls][Spt-BH_xls]B___305"/>
      <sheetName val="[Spt-BH.xls][Spt-BH_xls]_Spt_93"/>
      <sheetName val="[Spt-BH.xls][Spt-BH.xls]_Sp_146"/>
      <sheetName val="[Spt-BH.xls][Spt-BH.xls]B___438"/>
      <sheetName val="[Spt-BH.xls][Spt-BH.xls]B___439"/>
      <sheetName val="[Spt-BH.xls][Spt-BH.xls]_Sp_151"/>
      <sheetName val="[Spt-BH.xls][Spt-BH.xls]B___440"/>
      <sheetName val="[Spt-BH.xls][Spt-BH.xls]B___441"/>
      <sheetName val="[Spt-BH.xls]B____x005f_x0004_______39"/>
      <sheetName val="[Spt-BH.xls]B___x005f_x0000__x005f_x0004_36"/>
      <sheetName val="[Spt-BH.xls][Spt-BH.xls]B___442"/>
      <sheetName val="[Spt-BH.xls][Spt-BH.xls]B___431"/>
      <sheetName val="[Spt-BH.xls][Spt-BH.xls]B___432"/>
      <sheetName val="[Spt-BH.xls][Spt-BH.xls]_Sp_149"/>
      <sheetName val="[Spt-BH.xls][Spt-BH.xls]B___433"/>
      <sheetName val="[Spt-BH.xls][Spt-BH.xls]B___434"/>
      <sheetName val="[Spt-BH.xls][Spt-BH.xls]B___443"/>
      <sheetName val="[Spt-BH.xls][Spt-BH.xls]_Sp_147"/>
      <sheetName val="[Spt-BH.xls][Spt-BH.xls]B___435"/>
      <sheetName val="[Spt-BH.xls][Spt-BH.xls]B___436"/>
      <sheetName val="[Spt-BH.xls][Spt-BH.xls]B___437"/>
      <sheetName val="[Spt-BH.xls][Spt-BH.xls]_Sp_148"/>
      <sheetName val="[Spt-BH.xls][Spt-BH.xls]_Sp_150"/>
      <sheetName val="[Spt-BH.xls][Spt-BH_xls]B___306"/>
      <sheetName val="[Spt-BH.xls][Spt-BH_xls]B___307"/>
      <sheetName val="[Spt-BH.xls][Spt-BH_xls]B___308"/>
      <sheetName val="[Spt-BH.xls][Spt-BH_xls]B___309"/>
      <sheetName val="[Spt-BH.xls][Spt-BH_xls]_Spt_94"/>
      <sheetName val="[Spt-BH.xls][Spt-BH_xls]B___310"/>
      <sheetName val="[Spt-BH.xls][Spt-BH_xls]B___311"/>
      <sheetName val="[Spt-BH.xls][Spt-BH_xls]B___312"/>
      <sheetName val="[Spt-BH.xls][Spt-BH_xls]_Spt_95"/>
      <sheetName val="[Spt-BH.xls][Spt-BH_xls]B___313"/>
      <sheetName val="[Spt-BH.xls][Spt-BH_xls]B___314"/>
      <sheetName val="[Spt-BH.xls][Spt-BH_xls]B___315"/>
      <sheetName val="[Spt-BH.xls][Spt-BH_xls]B___316"/>
      <sheetName val="[Spt-BH.xls][Spt-BH_xls]_Spt_96"/>
      <sheetName val="[Spt-BH.xls][Spt-BH_xls]B___317"/>
      <sheetName val="[Spt-BH.xls][Spt-BH_xls]B___318"/>
      <sheetName val="[Spt-BH.xls][Spt-BH_xls]_Spt_97"/>
      <sheetName val="[Spt-BH.xls][Spt-BH_xls]B___319"/>
      <sheetName val="[Spt-BH.xls][Spt-BH_xls]B___320"/>
      <sheetName val="[Spt-BH.xls][Spt-BH_xls]_Spt_98"/>
      <sheetName val="[Spt-BH.xls][Spt-BH.xls]B___445"/>
      <sheetName val="[Spt-BH.xls][Spt-BH.xls]B___446"/>
      <sheetName val="[Spt-BH.xls][Spt-BH.xls]_Sp_153"/>
      <sheetName val="[Spt-BH.xls][Spt-BH.xls]B___447"/>
      <sheetName val="[Spt-BH.xls][Spt-BH.xls]B___448"/>
      <sheetName val="[Spt-BH.xls]B____x005f_x0004_______40"/>
      <sheetName val="[Spt-BH.xls]B___x005f_x0000__x005f_x0004_37"/>
      <sheetName val="[Spt-BH.xls][Spt-BH.xls]B___449"/>
      <sheetName val="[Spt-BH.xls][Spt-BH.xls]B___450"/>
      <sheetName val="[Spt-BH.xls][Spt-BH.xls]B___444"/>
      <sheetName val="[Spt-BH.xls][Spt-BH.xls]_Sp_152"/>
      <sheetName val="[Spt-BH.xls][Spt-BH_xls]B___321"/>
      <sheetName val="[Spt-BH.xls][Spt-BH_xls]B___322"/>
      <sheetName val="[Spt-BH.xls][Spt-BH_xls]B___323"/>
      <sheetName val="[Spt-BH.xls][Spt-BH_xls]B___324"/>
      <sheetName val="[Spt-BH.xls][Spt-BH_xls]_Spt_99"/>
      <sheetName val="[Spt-BH.xls][Spt-BH_xls]B___325"/>
      <sheetName val="[Spt-BH.xls][Spt-BH_xls]B___326"/>
      <sheetName val="[Spt-BH.xls][Spt-BH_xls]B___327"/>
      <sheetName val="[Spt-BH.xls][Spt-BH_xls]_Sp_100"/>
      <sheetName val="[Spt-BH.xls][Spt-BH_xls]B___328"/>
      <sheetName val="[Spt-BH.xls][Spt-BH_xls]B___329"/>
      <sheetName val="[Spt-BH.xls][Spt-BH_xls]B___330"/>
      <sheetName val="[Spt-BH.xls][Spt-BH_xls]B___331"/>
      <sheetName val="[Spt-BH.xls][Spt-BH_xls]_Sp_101"/>
      <sheetName val="[Spt-BH.xls][Spt-BH_xls]B___332"/>
      <sheetName val="[Spt-BH.xls][Spt-BH_xls]B___333"/>
      <sheetName val="[Spt-BH.xls][Spt-BH_xls]_Sp_102"/>
      <sheetName val="[Spt-BH.xls][Spt-BH_xls]B___334"/>
      <sheetName val="[Spt-BH.xls][Spt-BH_xls]B___335"/>
      <sheetName val="[Spt-BH.xls][Spt-BH_xls]_Sp_103"/>
      <sheetName val="[Spt-BH.xls][Spt-BH.xls]_Sp_154"/>
      <sheetName val="[Spt-BH.xls][Spt-BH.xls]B___451"/>
      <sheetName val="[Spt-BH.xls][Spt-BH.xls]B___452"/>
      <sheetName val="[Spt-BH.xls][Spt-BH.xls]_Sp_157"/>
      <sheetName val="[Spt-BH.xls][Spt-BH.xls]B___453"/>
      <sheetName val="[Spt-BH.xls][Spt-BH.xls]B___454"/>
      <sheetName val="[Spt-BH.xls][Spt-BH.xls]_Sp_155"/>
      <sheetName val="[Spt-BH.xls][Spt-BH.xls]B___455"/>
      <sheetName val="[Spt-BH.xls][Spt-BH.xls]B___456"/>
      <sheetName val="[Spt-BH.xls][Spt-BH.xls]_Sp_156"/>
      <sheetName val="[Spt-BH.xls][Spt-BH.xls]B___458"/>
      <sheetName val="[Spt-BH.xls][Spt-BH.xls]B___459"/>
      <sheetName val="[Spt-BH.xls][Spt-BH.xls]B___460"/>
      <sheetName val="[Spt-BH.xls][Spt-BH.xls]B___461"/>
      <sheetName val="[Spt-BH.xls]B____x005f_x0004_______41"/>
      <sheetName val="[Spt-BH.xls]B___x005f_x0000__x005f_x0004_38"/>
      <sheetName val="[Spt-BH.xls][Spt-BH.xls]B___462"/>
      <sheetName val="[Spt-BH.xls][Spt-BH.xls]B___463"/>
      <sheetName val="[Spt-BH.xls][Spt-BH.xls]B___457"/>
      <sheetName val="[Spt-BH.xls][Spt-BH.xls]_Sp_158"/>
      <sheetName val="[Spt-BH.xls][Spt-BH_xls]B___336"/>
      <sheetName val="[Spt-BH.xls][Spt-BH_xls]B___337"/>
      <sheetName val="[Spt-BH.xls][Spt-BH_xls]B___338"/>
      <sheetName val="[Spt-BH.xls][Spt-BH_xls]B___339"/>
      <sheetName val="[Spt-BH.xls][Spt-BH_xls]_Sp_104"/>
      <sheetName val="[Spt-BH.xls][Spt-BH_xls]B___340"/>
      <sheetName val="[Spt-BH.xls][Spt-BH_xls]B___341"/>
      <sheetName val="[Spt-BH.xls][Spt-BH_xls]B___342"/>
      <sheetName val="[Spt-BH.xls][Spt-BH_xls]_Sp_105"/>
      <sheetName val="[Spt-BH.xls][Spt-BH_xls]B___343"/>
      <sheetName val="[Spt-BH.xls][Spt-BH_xls]B___344"/>
      <sheetName val="[Spt-BH.xls][Spt-BH_xls]B___345"/>
      <sheetName val="[Spt-BH.xls][Spt-BH_xls]B___346"/>
      <sheetName val="[Spt-BH.xls][Spt-BH_xls]_Sp_106"/>
      <sheetName val="[Spt-BH.xls][Spt-BH_xls]B___347"/>
      <sheetName val="[Spt-BH.xls][Spt-BH_xls]B___348"/>
      <sheetName val="[Spt-BH.xls][Spt-BH_xls]_Sp_107"/>
      <sheetName val="[Spt-BH.xls][Spt-BH_xls]B___349"/>
      <sheetName val="[Spt-BH.xls][Spt-BH_xls]B___350"/>
      <sheetName val="[Spt-BH.xls][Spt-BH_xls]_Sp_108"/>
      <sheetName val="[Spt-BH.xls][Spt-BH.xls]_Sp_163"/>
      <sheetName val="FT-05-02Is-"/>
      <sheetName val="[Spt-BH.xls][Spt-BH.xls]B@["/>
      <sheetName val="[Spt-BH.xls][Spt-BH.xls]B___490"/>
      <sheetName val="[Spt-BH.xls][Spt-BH.xls]B___491"/>
      <sheetName val="[Spt-BH.xls][Spt-BH.xls]_Sp_169"/>
      <sheetName val="[Spt-BH.xls][Spt-BH.xls]B___492"/>
      <sheetName val="[Spt-BH.xls][Spt-BH.xls]B___493"/>
      <sheetName val="[Spt-BH.xls]B____x005f_x0004_______43"/>
      <sheetName val="[Spt-BH.xls][Spt-BH.xls]B___483"/>
      <sheetName val="[Spt-BH.xls][Spt-BH.xls]B___484"/>
      <sheetName val="[Spt-BH.xls][Spt-BH.xls]_Sp_167"/>
      <sheetName val="[Spt-BH.xls][Spt-BH.xls]B___485"/>
      <sheetName val="[Spt-BH.xls][Spt-BH.xls]B___486"/>
      <sheetName val="[Spt-BH.xls][Spt-BH.xls]B___487"/>
      <sheetName val="[Spt-BH.xls][Spt-BH.xls]B___488"/>
      <sheetName val="[Spt-BH.xls]B___x005f_x0000__x005f_x0004_40"/>
      <sheetName val="[Spt-BH.xls][Spt-BH.xls]B___494"/>
      <sheetName val="[Spt-BH.xls][Spt-BH.xls]B___495"/>
      <sheetName val="[Spt-BH.xls][Spt-BH.xls]B___489"/>
      <sheetName val="[Spt-BH.xls][Spt-BH.xls]_Sp_168"/>
      <sheetName val="[Spt-BH.xls][Spt-BH_xls]B___366"/>
      <sheetName val="[Spt-BH.xls][Spt-BH_xls]B___367"/>
      <sheetName val="[Spt-BH.xls][Spt-BH_xls]B___368"/>
      <sheetName val="[Spt-BH.xls][Spt-BH_xls]B___369"/>
      <sheetName val="[Spt-BH.xls][Spt-BH_xls]B___370"/>
      <sheetName val="[Spt-BH.xls][Spt-BH_xls]B___371"/>
      <sheetName val="[Spt-BH.xls][Spt-BH_xls]B___372"/>
      <sheetName val="[Spt-BH.xls][Spt-BH_xls]_Sp_114"/>
      <sheetName val="[Spt-BH.xls][Spt-BH_xls]B___373"/>
      <sheetName val="[Spt-BH.xls][Spt-BH_xls]B___374"/>
      <sheetName val="[Spt-BH.xls][Spt-BH_xls]_Sp_115"/>
      <sheetName val="[Spt-BH.xls][Spt-BH_xls]B___375"/>
      <sheetName val="[Spt-BH.xls][Spt-BH_xls]B___376"/>
      <sheetName val="[Spt-BH.xls][Spt-BH_xls]_Sp_116"/>
      <sheetName val="[Spt-BH.xls][Spt-BH.xls]B___496"/>
      <sheetName val="[Spt-BH.xls][Spt-BH.xls]B___497"/>
      <sheetName val="[Spt-BH.xls][Spt-BH.xls]_Sp_171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70"/>
      <sheetName val="[Spt-BH.xls][Spt-BH.xls]B___502"/>
      <sheetName val="[Spt-BH.xls][Spt-BH.xls]B___503"/>
      <sheetName val="[Spt-BH.xls][Spt-BH.xls]_Sp_176"/>
      <sheetName val="[Spt-BH.xls][Spt-BH.xls]B___504"/>
      <sheetName val="[Spt-BH.xls][Spt-BH.xls]B___505"/>
      <sheetName val="[Spt-BH.xls][Spt-BH.xls]B___506"/>
      <sheetName val="[Spt-BH.xls][Spt-BH.xls]B___507"/>
      <sheetName val="[Spt-BH.xls][Spt-BH.xls]_Sp_172"/>
      <sheetName val="[Spt-BH.xls][Spt-BH.xls]B___519"/>
      <sheetName val="[Spt-BH.xls][Spt-BH.xls]B___520"/>
      <sheetName val="[Spt-BH.xls][Spt-BH.xls]_Sp_178"/>
      <sheetName val="[Spt-BH.xls][Spt-BH.xls]B___521"/>
      <sheetName val="[Spt-BH.xls][Spt-BH.xls]B___522"/>
      <sheetName val="[Spt-BH.xls]B____x005f_x0004_______44"/>
      <sheetName val="[Spt-BH.xls]B___x005f_x0000__x005f_x0004_41"/>
      <sheetName val="[Spt-BH.xls][Spt-BH.xls]B___523"/>
      <sheetName val="[Spt-BH.xls][Spt-BH.xls]B___524"/>
      <sheetName val="[Spt-BH.xls][Spt-BH.xls]_Sp_177"/>
      <sheetName val="[Spt-BH.xls][Spt-BH_xls]B___377"/>
      <sheetName val="[Spt-BH.xls][Spt-BH_xls]B___378"/>
      <sheetName val="[Spt-BH.xls][Spt-BH_xls]B___379"/>
      <sheetName val="[Spt-BH.xls][Spt-BH_xls]B___380"/>
      <sheetName val="[Spt-BH.xls][Spt-BH_xls]_Sp_117"/>
      <sheetName val="[Spt-BH.xls][Spt-BH_xls]B___381"/>
      <sheetName val="[Spt-BH.xls][Spt-BH_xls]B___382"/>
      <sheetName val="[Spt-BH.xls][Spt-BH_xls]B___383"/>
      <sheetName val="[Spt-BH.xls][Spt-BH_xls]_Sp_118"/>
      <sheetName val="[Spt-BH.xls][Spt-BH_xls]B___384"/>
      <sheetName val="[Spt-BH.xls][Spt-BH_xls]B___385"/>
      <sheetName val="[Spt-BH.xls][Spt-BH_xls]B___386"/>
      <sheetName val="[Spt-BH.xls][Spt-BH_xls]B___387"/>
      <sheetName val="[Spt-BH.xls][Spt-BH_xls]_Sp_119"/>
      <sheetName val="[Spt-BH.xls][Spt-BH_xls]B___388"/>
      <sheetName val="[Spt-BH.xls][Spt-BH_xls]B___389"/>
      <sheetName val="[Spt-BH.xls][Spt-BH_xls]_Sp_120"/>
      <sheetName val="[Spt-BH.xls][Spt-BH_xls]B___390"/>
      <sheetName val="[Spt-BH.xls][Spt-BH_xls]B___391"/>
      <sheetName val="[Spt-BH.xls][Spt-BH_xls]_Sp_121"/>
      <sheetName val="[Spt-BH.xls][Spt-BH.xls]_Sp_173"/>
      <sheetName val="[Spt-BH.xls][Spt-BH.xls]B___508"/>
      <sheetName val="[Spt-BH.xls][Spt-BH.xls]B___509"/>
      <sheetName val="[Spt-BH.xls][Spt-BH.xls]_Sp_174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B___518"/>
      <sheetName val="[Spt-BH.xls][Spt-BH.xls]_Sp_175"/>
      <sheetName val="[Spt-BH.xls][Spt-BH.xls]_Sp_179"/>
      <sheetName val="[Spt-BH.xls][Spt-BH.xls]_Sp_182"/>
      <sheetName val="[Spt-BH.xls][Spt-BH.xls]B___539"/>
      <sheetName val="[Spt-BH.xls][Spt-BH.xls]B___540"/>
      <sheetName val="[Spt-BH.xls][Spt-BH.xls]_Sp_188"/>
      <sheetName val="[Spt-BH.xls][Spt-BH.xls]B___541"/>
      <sheetName val="[Spt-BH.xls][Spt-BH.xls]B___542"/>
      <sheetName val="[Spt-BH.xls]B____x005f_x0004_______46"/>
      <sheetName val="[Spt-BH.xls]B___x005f_x0000__x005f_x0004_43"/>
      <sheetName val="[Spt-BH.xls][Spt-BH.xls]B___543"/>
      <sheetName val="[Spt-BH.xls][Spt-BH.xls]B___532"/>
      <sheetName val="[Spt-BH.xls][Spt-BH.xls]B___533"/>
      <sheetName val="[Spt-BH.xls][Spt-BH.xls]B___534"/>
      <sheetName val="[Spt-BH.xls][Spt-BH.xls]_Sp_184"/>
      <sheetName val="[Spt-BH.xls][Spt-BH.xls]B___535"/>
      <sheetName val="[Spt-BH.xls][Spt-BH.xls]B___536"/>
      <sheetName val="[Spt-BH.xls][Spt-BH.xls]B___537"/>
      <sheetName val="[Spt-BH.xls][Spt-BH.xls]_Sp_183"/>
      <sheetName val="[Spt-BH.xls][Spt-BH.xls]B___544"/>
      <sheetName val="[Spt-BH.xls][Spt-BH.xls]B___538"/>
      <sheetName val="[Spt-BH.xls][Spt-BH.xls]_Sp_185"/>
      <sheetName val="[Spt-BH.xls][Spt-BH_xls]B___407"/>
      <sheetName val="[Spt-BH.xls][Spt-BH_xls]B___408"/>
      <sheetName val="[Spt-BH.xls][Spt-BH_xls]B___409"/>
      <sheetName val="[Spt-BH.xls][Spt-BH_xls]B___410"/>
      <sheetName val="[Spt-BH.xls][Spt-BH_xls]_Sp_127"/>
      <sheetName val="[Spt-BH.xls][Spt-BH_xls]B___411"/>
      <sheetName val="[Spt-BH.xls][Spt-BH_xls]B___412"/>
      <sheetName val="[Spt-BH.xls][Spt-BH_xls]B___413"/>
      <sheetName val="[Spt-BH.xls][Spt-BH_xls]_Sp_128"/>
      <sheetName val="[Spt-BH.xls][Spt-BH_xls]B___414"/>
      <sheetName val="[Spt-BH.xls][Spt-BH_xls]B___415"/>
      <sheetName val="[Spt-BH.xls][Spt-BH_xls]B___416"/>
      <sheetName val="[Spt-BH.xls][Spt-BH_xls]B___417"/>
      <sheetName val="[Spt-BH.xls][Spt-BH_xls]_Sp_129"/>
      <sheetName val="[Spt-BH.xls][Spt-BH_xls]B___418"/>
      <sheetName val="[Spt-BH.xls][Spt-BH_xls]B___419"/>
      <sheetName val="[Spt-BH.xls][Spt-BH_xls]_Sp_130"/>
      <sheetName val="[Spt-BH.xls][Spt-BH_xls]B___420"/>
      <sheetName val="[Spt-BH.xls][Spt-BH_xls]B___421"/>
      <sheetName val="[Spt-BH.xls][Spt-BH_xls]_Sp_131"/>
      <sheetName val="[Spt-BH.xls][Spt-BH.xls]_Sp_180"/>
      <sheetName val="[Spt-BH.xls]B____x005f_x0004_______45"/>
      <sheetName val="[Spt-BH.xls]B___x005f_x0000__x005f_x0004_42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530"/>
      <sheetName val="[Spt-BH.xls][Spt-BH.xls]_Sp_181"/>
      <sheetName val="[Spt-BH.xls][Spt-BH.xls]B___531"/>
      <sheetName val="[Spt-BH.xls][Spt-BH_xls]B___392"/>
      <sheetName val="[Spt-BH.xls][Spt-BH_xls]B___393"/>
      <sheetName val="[Spt-BH.xls][Spt-BH_xls]B___394"/>
      <sheetName val="[Spt-BH.xls][Spt-BH_xls]B___395"/>
      <sheetName val="[Spt-BH.xls][Spt-BH_xls]_Sp_122"/>
      <sheetName val="[Spt-BH.xls][Spt-BH_xls]B___396"/>
      <sheetName val="[Spt-BH.xls][Spt-BH_xls]B___397"/>
      <sheetName val="[Spt-BH.xls][Spt-BH_xls]B___398"/>
      <sheetName val="[Spt-BH.xls][Spt-BH_xls]_Sp_123"/>
      <sheetName val="[Spt-BH.xls][Spt-BH_xls]B___399"/>
      <sheetName val="[Spt-BH.xls][Spt-BH_xls]B___400"/>
      <sheetName val="[Spt-BH.xls][Spt-BH_xls]B___401"/>
      <sheetName val="[Spt-BH.xls][Spt-BH_xls]B___402"/>
      <sheetName val="[Spt-BH.xls][Spt-BH_xls]_Sp_124"/>
      <sheetName val="[Spt-BH.xls][Spt-BH_xls]B___403"/>
      <sheetName val="[Spt-BH.xls][Spt-BH_xls]B___404"/>
      <sheetName val="[Spt-BH.xls][Spt-BH_xls]_Sp_125"/>
      <sheetName val="[Spt-BH.xls][Spt-BH_xls]B___405"/>
      <sheetName val="[Spt-BH.xls][Spt-BH_xls]B___406"/>
      <sheetName val="[Spt-BH.xls][Spt-BH_xls]_Sp_126"/>
      <sheetName val="[Spt-BH.xls][Spt-BH.xls]B___559"/>
      <sheetName val="[Spt-BH.xls][Spt-BH.xls]B___560"/>
      <sheetName val="[Spt-BH.xls][Spt-BH.xls]_Sp_193"/>
      <sheetName val="[Spt-BH.xls][Spt-BH.xls]B___561"/>
      <sheetName val="[Spt-BH.xls][Spt-BH.xls]B___562"/>
      <sheetName val="[Spt-BH.xls]B____x005f_x0004_______48"/>
      <sheetName val="[Spt-BH.xls]B___x005f_x0000__x005f_x0004_45"/>
      <sheetName val="[Spt-BH.xls][Spt-BH.xls]B___563"/>
      <sheetName val="[Spt-BH.xls][Spt-BH.xls]B___552"/>
      <sheetName val="[Spt-BH.xls][Spt-BH.xls]B___553"/>
      <sheetName val="[Spt-BH.xls][Spt-BH.xls]B___554"/>
      <sheetName val="[Spt-BH.xls][Spt-BH.xls]_Sp_190"/>
      <sheetName val="[Spt-BH.xls][Spt-BH.xls]B___555"/>
      <sheetName val="[Spt-BH.xls][Spt-BH.xls]B___556"/>
      <sheetName val="[Spt-BH.xls][Spt-BH.xls]B___557"/>
      <sheetName val="[Spt-BH.xls][Spt-BH.xls]_Sp_189"/>
      <sheetName val="[Spt-BH.xls][Spt-BH.xls]B___564"/>
      <sheetName val="[Spt-BH.xls][Spt-BH.xls]B___558"/>
      <sheetName val="[Spt-BH.xls][Spt-BH.xls]_Sp_191"/>
      <sheetName val="[Spt-BH.xls][Spt-BH_xls]B___437"/>
      <sheetName val="[Spt-BH.xls][Spt-BH_xls]B___438"/>
      <sheetName val="[Spt-BH.xls][Spt-BH_xls]B___439"/>
      <sheetName val="[Spt-BH.xls][Spt-BH_xls]B___440"/>
      <sheetName val="[Spt-BH.xls][Spt-BH_xls]_Sp_137"/>
      <sheetName val="[Spt-BH.xls][Spt-BH_xls]B___441"/>
      <sheetName val="[Spt-BH.xls][Spt-BH_xls]B___442"/>
      <sheetName val="[Spt-BH.xls][Spt-BH_xls]B___443"/>
      <sheetName val="[Spt-BH.xls][Spt-BH_xls]_Sp_138"/>
      <sheetName val="[Spt-BH.xls][Spt-BH_xls]B___444"/>
      <sheetName val="[Spt-BH.xls][Spt-BH_xls]B___445"/>
      <sheetName val="[Spt-BH.xls][Spt-BH_xls]B___446"/>
      <sheetName val="[Spt-BH.xls][Spt-BH_xls]B___447"/>
      <sheetName val="[Spt-BH.xls][Spt-BH_xls]_Sp_139"/>
      <sheetName val="[Spt-BH.xls][Spt-BH_xls]B___448"/>
      <sheetName val="[Spt-BH.xls][Spt-BH_xls]B___449"/>
      <sheetName val="[Spt-BH.xls][Spt-BH_xls]_Sp_140"/>
      <sheetName val="[Spt-BH.xls][Spt-BH_xls]B___450"/>
      <sheetName val="[Spt-BH.xls][Spt-BH_xls]B___451"/>
      <sheetName val="[Spt-BH.xls][Spt-BH_xls]_Sp_141"/>
      <sheetName val="[Spt-BH.xls][Spt-BH.xls]_Sp_186"/>
      <sheetName val="[Spt-BH.xls]B____x005f_x0004_______47"/>
      <sheetName val="[Spt-BH.xls]B___x005f_x0000__x005f_x0004_44"/>
      <sheetName val="[Spt-BH.xls][Spt-BH.xls]B___545"/>
      <sheetName val="[Spt-BH.xls][Spt-BH.xls]B___546"/>
      <sheetName val="[Spt-BH.xls][Spt-BH.xls]B___547"/>
      <sheetName val="[Spt-BH.xls][Spt-BH.xls]B___548"/>
      <sheetName val="[Spt-BH.xls][Spt-BH.xls]B___549"/>
      <sheetName val="[Spt-BH.xls][Spt-BH.xls]B___550"/>
      <sheetName val="[Spt-BH.xls][Spt-BH.xls]_Sp_187"/>
      <sheetName val="[Spt-BH.xls][Spt-BH.xls]B___551"/>
      <sheetName val="[Spt-BH.xls][Spt-BH_xls]B___422"/>
      <sheetName val="[Spt-BH.xls][Spt-BH_xls]B___423"/>
      <sheetName val="[Spt-BH.xls][Spt-BH_xls]B___424"/>
      <sheetName val="[Spt-BH.xls][Spt-BH_xls]B___425"/>
      <sheetName val="[Spt-BH.xls][Spt-BH_xls]_Sp_132"/>
      <sheetName val="[Spt-BH.xls][Spt-BH_xls]B___426"/>
      <sheetName val="[Spt-BH.xls][Spt-BH_xls]B___427"/>
      <sheetName val="[Spt-BH.xls][Spt-BH_xls]B___428"/>
      <sheetName val="[Spt-BH.xls][Spt-BH_xls]_Sp_133"/>
      <sheetName val="[Spt-BH.xls][Spt-BH_xls]B___429"/>
      <sheetName val="[Spt-BH.xls][Spt-BH_xls]B___430"/>
      <sheetName val="[Spt-BH.xls][Spt-BH_xls]B___431"/>
      <sheetName val="[Spt-BH.xls][Spt-BH_xls]B___432"/>
      <sheetName val="[Spt-BH.xls][Spt-BH_xls]_Sp_134"/>
      <sheetName val="[Spt-BH.xls][Spt-BH_xls]B___433"/>
      <sheetName val="[Spt-BH.xls][Spt-BH_xls]B___434"/>
      <sheetName val="[Spt-BH.xls][Spt-BH_xls]_Sp_135"/>
      <sheetName val="[Spt-BH.xls][Spt-BH_xls]B___435"/>
      <sheetName val="[Spt-BH.xls][Spt-BH_xls]B___436"/>
      <sheetName val="[Spt-BH.xls][Spt-BH_xls]_Sp_136"/>
      <sheetName val="[Spt-BH.xls][Spt-BH.xls]_Sp_192"/>
      <sheetName val="[Spt-BH.xls][Spt-BH.xls]B___565"/>
      <sheetName val="[Spt-BH.xls][Spt-BH.xls]B___566"/>
      <sheetName val="[Spt-BH.xls][Spt-BH.xls]_Sp_196"/>
      <sheetName val="[Spt-BH.xls][Spt-BH.xls]B___567"/>
      <sheetName val="[Spt-BH.xls][Spt-BH.xls]B___568"/>
      <sheetName val="[Spt-BH.xls][Spt-BH.xls]B___569"/>
      <sheetName val="[Spt-BH.xls][Spt-BH.xls]_Sp_194"/>
      <sheetName val="[Spt-BH.xls][Spt-BH.xls]B___570"/>
      <sheetName val="[Spt-BH.xls][Spt-BH.xls]_Sp_195"/>
      <sheetName val="[Spt-BH.xls][Spt-BH.xls]B___572"/>
      <sheetName val="[Spt-BH.xls][Spt-BH.xls]B___573"/>
      <sheetName val="[Spt-BH.xls][Spt-BH.xls]_Sp_198"/>
      <sheetName val="[Spt-BH.xls][Spt-BH.xls]B___574"/>
      <sheetName val="[Spt-BH.xls][Spt-BH.xls]B___575"/>
      <sheetName val="[Spt-BH.xls]B____x005f_x0004_______49"/>
      <sheetName val="[Spt-BH.xls]B___x005f_x0000__x005f_x0004_46"/>
      <sheetName val="[Spt-BH.xls][Spt-BH.xls]B___576"/>
      <sheetName val="[Spt-BH.xls][Spt-BH.xls]B___577"/>
      <sheetName val="[Spt-BH.xls][Spt-BH.xls]B___571"/>
      <sheetName val="[Spt-BH.xls][Spt-BH.xls]_Sp_197"/>
      <sheetName val="[Spt-BH.xls][Spt-BH_xls]B___452"/>
      <sheetName val="[Spt-BH.xls][Spt-BH_xls]B___453"/>
      <sheetName val="[Spt-BH.xls][Spt-BH_xls]B___454"/>
      <sheetName val="[Spt-BH.xls][Spt-BH_xls]B___455"/>
      <sheetName val="[Spt-BH.xls][Spt-BH_xls]_Sp_142"/>
      <sheetName val="[Spt-BH.xls][Spt-BH_xls]B___456"/>
      <sheetName val="[Spt-BH.xls][Spt-BH_xls]B___457"/>
      <sheetName val="[Spt-BH.xls][Spt-BH_xls]B___458"/>
      <sheetName val="[Spt-BH.xls][Spt-BH_xls]_Sp_143"/>
      <sheetName val="[Spt-BH.xls][Spt-BH_xls]B___459"/>
      <sheetName val="[Spt-BH.xls][Spt-BH_xls]B___460"/>
      <sheetName val="[Spt-BH.xls][Spt-BH_xls]B___461"/>
      <sheetName val="[Spt-BH.xls][Spt-BH_xls]B___462"/>
      <sheetName val="[Spt-BH.xls][Spt-BH_xls]_Sp_144"/>
      <sheetName val="[Spt-BH.xls][Spt-BH_xls]B___463"/>
      <sheetName val="[Spt-BH.xls][Spt-BH_xls]B___464"/>
      <sheetName val="[Spt-BH.xls][Spt-BH_xls]_Sp_145"/>
      <sheetName val="[Spt-BH.xls][Spt-BH_xls]B___465"/>
      <sheetName val="[Spt-BH.xls][Spt-BH_xls]B___466"/>
      <sheetName val="[Spt-BH.xls][Spt-BH_xls]_Sp_146"/>
      <sheetName val="[Spt-BH.xls][Spt-BH.xls]B___578"/>
      <sheetName val="[Spt-BH.xls][Spt-BH.xls]B___579"/>
      <sheetName val="[Spt-BH.xls][Spt-BH.xls]_Sp_201"/>
      <sheetName val="[Spt-BH.xls][Spt-BH.xls]B___580"/>
      <sheetName val="[Spt-BH.xls][Spt-BH.xls]B___581"/>
      <sheetName val="[Spt-BH.xls][Spt-BH.xls]B___582"/>
      <sheetName val="[Spt-BH.xls][Spt-BH.xls]B___583"/>
      <sheetName val="[Spt-BH.xls][Spt-BH.xls]_Sp_199"/>
      <sheetName val="[Spt-BH.xls][Spt-BH.xls]_Sp_200"/>
      <sheetName val="[Spt-BH.xls][Spt-BH.xls]B___584"/>
      <sheetName val="[Spt-BH.xls][Spt-BH.xls]B___585"/>
      <sheetName val="[Spt-BH.xls][Spt-BH.xls]_Sp_211"/>
      <sheetName val="[Spt-BH.xls][Spt-BH.xls]B___586"/>
      <sheetName val="[Spt-BH.xls][Spt-BH.xls]B___587"/>
      <sheetName val="[Spt-BH.xls][Spt-BH.xls]B___588"/>
      <sheetName val="[Spt-BH.xls][Spt-BH.xls]B___589"/>
      <sheetName val="[Spt-BH.xls][Spt-BH.xls]_Sp_202"/>
      <sheetName val="[Spt-BH.xls][Spt-BH.xls]B___615"/>
      <sheetName val="[Spt-BH.xls][Spt-BH.xls]B___616"/>
      <sheetName val="[Spt-BH.xls][Spt-BH.xls]_Sp_214"/>
      <sheetName val="[Spt-BH.xls][Spt-BH.xls]B___617"/>
      <sheetName val="[Spt-BH.xls][Spt-BH.xls]B___618"/>
      <sheetName val="[Spt-BH.xls]B____x005f_x0004_______50"/>
      <sheetName val="[Spt-BH.xls]B___x005f_x0000__x005f_x0004_47"/>
      <sheetName val="[Spt-BH.xls][Spt-BH.xls]B___619"/>
      <sheetName val="[Spt-BH.xls][Spt-BH.xls]B___620"/>
      <sheetName val="[Spt-BH.xls][Spt-BH.xls]B___590"/>
      <sheetName val="[Spt-BH.xls][Spt-BH.xls]_Sp_212"/>
      <sheetName val="[Spt-BH.xls][Spt-BH_xls]B___467"/>
      <sheetName val="[Spt-BH.xls][Spt-BH_xls]B___468"/>
      <sheetName val="[Spt-BH.xls][Spt-BH_xls]B___469"/>
      <sheetName val="[Spt-BH.xls][Spt-BH_xls]B___470"/>
      <sheetName val="[Spt-BH.xls][Spt-BH_xls]_Sp_147"/>
      <sheetName val="[Spt-BH.xls][Spt-BH_xls]B___471"/>
      <sheetName val="[Spt-BH.xls][Spt-BH_xls]B___472"/>
      <sheetName val="[Spt-BH.xls][Spt-BH_xls]B___473"/>
      <sheetName val="[Spt-BH.xls][Spt-BH_xls]_Sp_148"/>
      <sheetName val="[Spt-BH.xls][Spt-BH_xls]B___474"/>
      <sheetName val="[Spt-BH.xls][Spt-BH_xls]B___475"/>
      <sheetName val="[Spt-BH.xls][Spt-BH_xls]B___476"/>
      <sheetName val="[Spt-BH.xls][Spt-BH_xls]B___477"/>
      <sheetName val="[Spt-BH.xls][Spt-BH_xls]_Sp_149"/>
      <sheetName val="[Spt-BH.xls][Spt-BH_xls]B___478"/>
      <sheetName val="[Spt-BH.xls][Spt-BH_xls]B___479"/>
      <sheetName val="[Spt-BH.xls][Spt-BH_xls]_Sp_150"/>
      <sheetName val="[Spt-BH.xls][Spt-BH_xls]B___480"/>
      <sheetName val="[Spt-BH.xls][Spt-BH_xls]B___481"/>
      <sheetName val="[Spt-BH.xls][Spt-BH_xls]_Sp_151"/>
      <sheetName val="[Spt-BH.xls][Spt-BH.xls]_Sp_203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595"/>
      <sheetName val="[Spt-BH.xls][Spt-BH.xls]B___596"/>
      <sheetName val="[Spt-BH.xls][Spt-BH.xls]_Sp_204"/>
      <sheetName val="[Spt-BH.xls][Spt-BH.xls]_Sp_205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_Sp_206"/>
      <sheetName val="[Spt-BH.xls][Spt-BH.xls]_Sp_207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08"/>
      <sheetName val="[Spt-BH.xls][Spt-BH.xls]_Sp_208"/>
      <sheetName val="[Spt-BH.xls][Spt-BH.xls]_Sp_209"/>
      <sheetName val="[Spt-BH.xls][Spt-BH.xls]B___609"/>
      <sheetName val="[Spt-BH.xls][Spt-BH.xls]B___610"/>
      <sheetName val="[Spt-BH.xls][Spt-BH.xls]B___611"/>
      <sheetName val="[Spt-BH.xls][Spt-BH.xls]B___612"/>
      <sheetName val="[Spt-BH.xls][Spt-BH.xls]B___613"/>
      <sheetName val="[Spt-BH.xls][Spt-BH.xls]B___614"/>
      <sheetName val="[Spt-BH.xls][Spt-BH.xls]_Sp_210"/>
      <sheetName val="[Spt-BH.xls][Spt-BH.xls]_Sp_213"/>
      <sheetName val="[Spt-BH.xls][Spt-BH.xls]_Sp_215"/>
      <sheetName val="[Spt-BH.xls][Spt-BH.xls]_Sp_216"/>
      <sheetName val="[Spt-BH.xls][Spt-BH.xls]B___635"/>
      <sheetName val="[Spt-BH.xls][Spt-BH.xls]B___636"/>
      <sheetName val="[Spt-BH.xls][Spt-BH.xls]_Sp_223"/>
      <sheetName val="[Spt-BH.xls][Spt-BH.xls]B___637"/>
      <sheetName val="[Spt-BH.xls][Spt-BH.xls]B___638"/>
      <sheetName val="[Spt-BH.xls]B____x005f_x0004_______52"/>
      <sheetName val="[Spt-BH.xls]B___x005f_x0000__x005f_x0004_49"/>
      <sheetName val="[Spt-BH.xls][Spt-BH.xls]B___639"/>
      <sheetName val="[Spt-BH.xls][Spt-BH.xls]B___628"/>
      <sheetName val="[Spt-BH.xls][Spt-BH.xls]B___629"/>
      <sheetName val="[Spt-BH.xls][Spt-BH.xls]B___630"/>
      <sheetName val="[Spt-BH.xls][Spt-BH.xls]_Sp_221"/>
      <sheetName val="[Spt-BH.xls][Spt-BH.xls]B___631"/>
      <sheetName val="[Spt-BH.xls][Spt-BH.xls]B___632"/>
      <sheetName val="[Spt-BH.xls][Spt-BH.xls]B___633"/>
      <sheetName val="[Spt-BH.xls][Spt-BH.xls]_Sp_219"/>
      <sheetName val="[Spt-BH.xls][Spt-BH.xls]_Sp_220"/>
      <sheetName val="[Spt-BH.xls][Spt-BH.xls]B___640"/>
      <sheetName val="[Spt-BH.xls][Spt-BH.xls]B___634"/>
      <sheetName val="[Spt-BH.xls][Spt-BH.xls]_Sp_222"/>
      <sheetName val="[Spt-BH.xls][Spt-BH_xls]B___497"/>
      <sheetName val="[Spt-BH.xls][Spt-BH_xls]B___498"/>
      <sheetName val="[Spt-BH.xls][Spt-BH_xls]B___499"/>
      <sheetName val="[Spt-BH.xls][Spt-BH_xls]B___500"/>
      <sheetName val="[Spt-BH.xls][Spt-BH_xls]_Sp_157"/>
      <sheetName val="[Spt-BH.xls][Spt-BH_xls]B___501"/>
      <sheetName val="[Spt-BH.xls][Spt-BH_xls]B___502"/>
      <sheetName val="[Spt-BH.xls][Spt-BH_xls]B___503"/>
      <sheetName val="[Spt-BH.xls][Spt-BH_xls]_Sp_158"/>
      <sheetName val="[Spt-BH.xls][Spt-BH_xls]B___504"/>
      <sheetName val="[Spt-BH.xls][Spt-BH_xls]B___505"/>
      <sheetName val="[Spt-BH.xls][Spt-BH_xls]B___506"/>
      <sheetName val="[Spt-BH.xls][Spt-BH_xls]B___507"/>
      <sheetName val="[Spt-BH.xls][Spt-BH_xls]_Sp_159"/>
      <sheetName val="[Spt-BH.xls][Spt-BH_xls]B___508"/>
      <sheetName val="[Spt-BH.xls][Spt-BH_xls]B___509"/>
      <sheetName val="[Spt-BH.xls][Spt-BH_xls]_Sp_160"/>
      <sheetName val="[Spt-BH.xls][Spt-BH_xls]B___510"/>
      <sheetName val="[Spt-BH.xls][Spt-BH_xls]B___511"/>
      <sheetName val="[Spt-BH.xls][Spt-BH_xls]_Sp_161"/>
      <sheetName val="[Spt-BH.xls]B____x005f_x0004_______51"/>
      <sheetName val="[Spt-BH.xls]B___x005f_x0000__x005f_x0004_48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_Sp_217"/>
      <sheetName val="[Spt-BH.xls][Spt-BH.xls]_Sp_218"/>
      <sheetName val="[Spt-BH.xls][Spt-BH.xls]B___627"/>
      <sheetName val="[Spt-BH.xls][Spt-BH_xls]B___482"/>
      <sheetName val="[Spt-BH.xls][Spt-BH_xls]B___483"/>
      <sheetName val="[Spt-BH.xls][Spt-BH_xls]B___484"/>
      <sheetName val="[Spt-BH.xls][Spt-BH_xls]B___485"/>
      <sheetName val="[Spt-BH.xls][Spt-BH_xls]_Sp_152"/>
      <sheetName val="[Spt-BH.xls][Spt-BH_xls]B___486"/>
      <sheetName val="[Spt-BH.xls][Spt-BH_xls]B___487"/>
      <sheetName val="[Spt-BH.xls][Spt-BH_xls]B___488"/>
      <sheetName val="[Spt-BH.xls][Spt-BH_xls]_Sp_153"/>
      <sheetName val="[Spt-BH.xls][Spt-BH_xls]B___489"/>
      <sheetName val="[Spt-BH.xls][Spt-BH_xls]B___490"/>
      <sheetName val="[Spt-BH.xls][Spt-BH_xls]B___491"/>
      <sheetName val="[Spt-BH.xls][Spt-BH_xls]B___492"/>
      <sheetName val="[Spt-BH.xls][Spt-BH_xls]_Sp_154"/>
      <sheetName val="[Spt-BH.xls][Spt-BH_xls]B___493"/>
      <sheetName val="[Spt-BH.xls][Spt-BH_xls]B___494"/>
      <sheetName val="[Spt-BH.xls][Spt-BH_xls]_Sp_155"/>
      <sheetName val="[Spt-BH.xls][Spt-BH_xls]B___495"/>
      <sheetName val="[Spt-BH.xls][Spt-BH_xls]B___496"/>
      <sheetName val="[Spt-BH.xls][Spt-BH_xls]_Sp_156"/>
      <sheetName val="[Spt-BH.xls]B____x005f_x0004_______53"/>
      <sheetName val="[Spt-BH.xls]B___x005f_x0000__x005f_x0004_50"/>
      <sheetName val="[Spt-BH.xls][Spt-BH.xls]_Sp_225"/>
      <sheetName val="[Spt-BH.xls][Spt-BH.xls]B___648"/>
      <sheetName val="[Spt-BH.xls][Spt-BH.xls]B___649"/>
      <sheetName val="[Spt-BH.xls][Spt-BH.xls]_Sp_229"/>
      <sheetName val="[Spt-BH.xls][Spt-BH.xls]B___650"/>
      <sheetName val="[Spt-BH.xls][Spt-BH.xls]B___651"/>
      <sheetName val="[Spt-BH.xls][Spt-BH.xls]B___641"/>
      <sheetName val="[Spt-BH.xls][Spt-BH.xls]B___642"/>
      <sheetName val="[Spt-BH.xls][Spt-BH.xls]B___643"/>
      <sheetName val="[Spt-BH.xls][Spt-BH.xls]_Sp_227"/>
      <sheetName val="[Spt-BH.xls][Spt-BH.xls]B___644"/>
      <sheetName val="[Spt-BH.xls][Spt-BH.xls]B___645"/>
      <sheetName val="[Spt-BH.xls][Spt-BH.xls]B___646"/>
      <sheetName val="[Spt-BH.xls][Spt-BH.xls]_Sp_226"/>
      <sheetName val="[Spt-BH.xls][Spt-BH.xls]B___652"/>
      <sheetName val="[Spt-BH.xls][Spt-BH.xls]B___653"/>
      <sheetName val="[Spt-BH.xls][Spt-BH.xls]B___647"/>
      <sheetName val="[Spt-BH.xls][Spt-BH.xls]_Sp_228"/>
      <sheetName val="[Spt-BH.xls][Spt-BH_xls]B___512"/>
      <sheetName val="[Spt-BH.xls][Spt-BH_xls]B___513"/>
      <sheetName val="[Spt-BH.xls][Spt-BH_xls]B___514"/>
      <sheetName val="[Spt-BH.xls][Spt-BH_xls]B___515"/>
      <sheetName val="[Spt-BH.xls][Spt-BH_xls]_Sp_162"/>
      <sheetName val="[Spt-BH.xls][Spt-BH_xls]B___516"/>
      <sheetName val="[Spt-BH.xls][Spt-BH_xls]B___517"/>
      <sheetName val="[Spt-BH.xls][Spt-BH_xls]B___518"/>
      <sheetName val="[Spt-BH.xls][Spt-BH_xls]_Sp_163"/>
      <sheetName val="[Spt-BH.xls][Spt-BH_xls]B___519"/>
      <sheetName val="[Spt-BH.xls][Spt-BH_xls]B___520"/>
      <sheetName val="[Spt-BH.xls][Spt-BH_xls]B___521"/>
      <sheetName val="[Spt-BH.xls][Spt-BH_xls]B___522"/>
      <sheetName val="[Spt-BH.xls][Spt-BH_xls]_Sp_164"/>
      <sheetName val="[Spt-BH.xls][Spt-BH_xls]B___523"/>
      <sheetName val="[Spt-BH.xls][Spt-BH_xls]B___524"/>
      <sheetName val="[Spt-BH.xls][Spt-BH_xls]_Sp_165"/>
      <sheetName val="[Spt-BH.xls][Spt-BH_xls]B___525"/>
      <sheetName val="[Spt-BH.xls][Spt-BH_xls]B___526"/>
      <sheetName val="[Spt-BH.xls][Spt-BH_xls]_Sp_166"/>
      <sheetName val="[Spt-BH.xls][Spt-BH.xls]_Sp_224"/>
      <sheetName val="[Spt-BH.xls][Spt-BH.xls]B___661"/>
      <sheetName val="[Spt-BH.xls][Spt-BH.xls]B___662"/>
      <sheetName val="[Spt-BH.xls][Spt-BH.xls]_Sp_234"/>
      <sheetName val="[Spt-BH.xls][Spt-BH.xls]B___663"/>
      <sheetName val="[Spt-BH.xls][Spt-BH.xls]B___664"/>
      <sheetName val="[Spt-BH.xls][Spt-BH.xls]B___654"/>
      <sheetName val="[Spt-BH.xls][Spt-BH.xls]B___655"/>
      <sheetName val="[Spt-BH.xls][Spt-BH.xls]B___656"/>
      <sheetName val="[Spt-BH.xls][Spt-BH.xls]_Sp_232"/>
      <sheetName val="[Spt-BH.xls][Spt-BH.xls]B___657"/>
      <sheetName val="[Spt-BH.xls][Spt-BH.xls]B___658"/>
      <sheetName val="[Spt-BH.xls][Spt-BH.xls]B___659"/>
      <sheetName val="[Spt-BH.xls][Spt-BH.xls]_Sp_230"/>
      <sheetName val="[Spt-BH.xls][Spt-BH.xls]_Sp_231"/>
      <sheetName val="[Spt-BH.xls]B____x005f_x0004_______54"/>
      <sheetName val="[Spt-BH.xls]B___x005f_x0000__x005f_x0004_51"/>
      <sheetName val="[Spt-BH.xls][Spt-BH.xls]B___665"/>
      <sheetName val="[Spt-BH.xls][Spt-BH.xls]B___666"/>
      <sheetName val="[Spt-BH.xls][Spt-BH.xls]B___660"/>
      <sheetName val="[Spt-BH.xls][Spt-BH.xls]_Sp_233"/>
      <sheetName val="[Spt-BH.xls][Spt-BH_xls]B___527"/>
      <sheetName val="[Spt-BH.xls][Spt-BH_xls]B___528"/>
      <sheetName val="[Spt-BH.xls][Spt-BH_xls]B___529"/>
      <sheetName val="[Spt-BH.xls][Spt-BH_xls]B___530"/>
      <sheetName val="[Spt-BH.xls][Spt-BH_xls]_Sp_167"/>
      <sheetName val="[Spt-BH.xls][Spt-BH_xls]B___531"/>
      <sheetName val="[Spt-BH.xls][Spt-BH_xls]B___532"/>
      <sheetName val="[Spt-BH.xls][Spt-BH_xls]B___533"/>
      <sheetName val="[Spt-BH.xls][Spt-BH_xls]_Sp_168"/>
      <sheetName val="[Spt-BH.xls][Spt-BH_xls]B___534"/>
      <sheetName val="[Spt-BH.xls][Spt-BH_xls]B___535"/>
      <sheetName val="[Spt-BH.xls][Spt-BH_xls]B___536"/>
      <sheetName val="[Spt-BH.xls][Spt-BH_xls]B___537"/>
      <sheetName val="[Spt-BH.xls][Spt-BH_xls]_Sp_169"/>
      <sheetName val="[Spt-BH.xls][Spt-BH_xls]B___538"/>
      <sheetName val="[Spt-BH.xls][Spt-BH_xls]B___539"/>
      <sheetName val="[Spt-BH.xls][Spt-BH_xls]_Sp_170"/>
      <sheetName val="[Spt-BH.xls][Spt-BH_xls]B___540"/>
      <sheetName val="[Spt-BH.xls][Spt-BH_xls]B___541"/>
      <sheetName val="[Spt-BH.xls][Spt-BH_xls]_Sp_171"/>
      <sheetName val="[Spt-BH.xls][Spt-BH.xls]B___667"/>
      <sheetName val="[Spt-BH.xls][Spt-BH.xls]B___668"/>
      <sheetName val="[Spt-BH.xls][Spt-BH.xls]B___669"/>
      <sheetName val="[Spt-BH.xls][Spt-BH.xls]B___670"/>
      <sheetName val="[Spt-BH.xls][Spt-BH.xls]B___671"/>
      <sheetName val="[Spt-BH.xls][Spt-BH.xls]B___672"/>
      <sheetName val="[Spt-BH.xls][Spt-BH.xls]_Sp_235"/>
      <sheetName val="[Spt-BH.xls][Spt-BH.xls]B___673"/>
      <sheetName val="[Spt-BH.xls][Spt-BH.xls]B___674"/>
      <sheetName val="[Spt-BH.xls]B____x005f_x0004_______56"/>
      <sheetName val="[Spt-BH.xls]B___x005f_x0000__x005f_x0004_53"/>
      <sheetName val="[Spt-BH.xls][Spt-BH_xls]B___557"/>
      <sheetName val="[Spt-BH.xls][Spt-BH_xls]B___558"/>
      <sheetName val="[Spt-BH.xls][Spt-BH_xls]B___559"/>
      <sheetName val="[Spt-BH.xls][Spt-BH_xls]B___560"/>
      <sheetName val="[Spt-BH.xls][Spt-BH_xls]_Sp_177"/>
      <sheetName val="[Spt-BH.xls][Spt-BH_xls]B___561"/>
      <sheetName val="[Spt-BH.xls][Spt-BH_xls]B___562"/>
      <sheetName val="[Spt-BH.xls][Spt-BH_xls]B___563"/>
      <sheetName val="[Spt-BH.xls][Spt-BH_xls]_Sp_178"/>
      <sheetName val="[Spt-BH.xls][Spt-BH_xls]B___564"/>
      <sheetName val="[Spt-BH.xls][Spt-BH_xls]B___565"/>
      <sheetName val="[Spt-BH.xls][Spt-BH_xls]B___566"/>
      <sheetName val="[Spt-BH.xls][Spt-BH_xls]B___567"/>
      <sheetName val="[Spt-BH.xls][Spt-BH_xls]_Sp_179"/>
      <sheetName val="[Spt-BH.xls][Spt-BH_xls]B___568"/>
      <sheetName val="[Spt-BH.xls][Spt-BH_xls]B___569"/>
      <sheetName val="[Spt-BH.xls][Spt-BH_xls]_Sp_180"/>
      <sheetName val="[Spt-BH.xls][Spt-BH_xls]B___570"/>
      <sheetName val="[Spt-BH.xls][Spt-BH_xls]B___571"/>
      <sheetName val="[Spt-BH.xls][Spt-BH_xls]_Sp_181"/>
      <sheetName val="[Spt-BH.xls]B____x005f_x0004_______55"/>
      <sheetName val="[Spt-BH.xls]B___x005f_x0000__x005f_x0004_52"/>
      <sheetName val="[Spt-BH.xls][Spt-BH_xls]B___542"/>
      <sheetName val="[Spt-BH.xls][Spt-BH_xls]B___543"/>
      <sheetName val="[Spt-BH.xls][Spt-BH_xls]B___544"/>
      <sheetName val="[Spt-BH.xls][Spt-BH_xls]B___545"/>
      <sheetName val="[Spt-BH.xls][Spt-BH_xls]_Sp_172"/>
      <sheetName val="[Spt-BH.xls][Spt-BH_xls]B___546"/>
      <sheetName val="[Spt-BH.xls][Spt-BH_xls]B___547"/>
      <sheetName val="[Spt-BH.xls][Spt-BH_xls]B___548"/>
      <sheetName val="[Spt-BH.xls][Spt-BH_xls]_Sp_173"/>
      <sheetName val="[Spt-BH.xls][Spt-BH_xls]B___549"/>
      <sheetName val="[Spt-BH.xls][Spt-BH_xls]B___550"/>
      <sheetName val="[Spt-BH.xls][Spt-BH_xls]B___551"/>
      <sheetName val="[Spt-BH.xls][Spt-BH_xls]B___552"/>
      <sheetName val="[Spt-BH.xls][Spt-BH_xls]_Sp_174"/>
      <sheetName val="[Spt-BH.xls][Spt-BH_xls]B___553"/>
      <sheetName val="[Spt-BH.xls][Spt-BH_xls]B___554"/>
      <sheetName val="[Spt-BH.xls][Spt-BH_xls]_Sp_175"/>
      <sheetName val="[Spt-BH.xls][Spt-BH_xls]B___555"/>
      <sheetName val="[Spt-BH.xls][Spt-BH_xls]B___556"/>
      <sheetName val="[Spt-BH.xls][Spt-BH_xls]_Sp_176"/>
      <sheetName val="[Spt-BH.xls][Spt-BH.xls]_Sp_236"/>
      <sheetName val="[Spt-BH.xls][Spt-BH.xls]_Sp_238"/>
      <sheetName val="[Spt-BH.xls][Spt-BH.xls]_Sp_237"/>
      <sheetName val="[Spt-BH.xls][Spt-BH.xls]_Sp_239"/>
      <sheetName val="[Spt-BH.xls][Spt-BH.xls]B___682"/>
      <sheetName val="[Spt-BH.xls][Spt-BH.xls]B___683"/>
      <sheetName val="[Spt-BH.xls][Spt-BH.xls]_Sp_243"/>
      <sheetName val="[Spt-BH.xls][Spt-BH.xls]B___684"/>
      <sheetName val="[Spt-BH.xls][Spt-BH.xls]B___685"/>
      <sheetName val="[Spt-BH.xls][Spt-BH.xls]B___675"/>
      <sheetName val="[Spt-BH.xls][Spt-BH.xls]B___676"/>
      <sheetName val="[Spt-BH.xls][Spt-BH.xls]B___677"/>
      <sheetName val="[Spt-BH.xls][Spt-BH.xls]_Sp_241"/>
      <sheetName val="[Spt-BH.xls][Spt-BH.xls]B___678"/>
      <sheetName val="[Spt-BH.xls][Spt-BH.xls]B___679"/>
      <sheetName val="[Spt-BH.xls][Spt-BH.xls]B___680"/>
      <sheetName val="[Spt-BH.xls][Spt-BH.xls]_Sp_240"/>
      <sheetName val="[Spt-BH.xls]B____x005f_x0004_______57"/>
      <sheetName val="[Spt-BH.xls]B___x005f_x0000__x005f_x0004_54"/>
      <sheetName val="[Spt-BH.xls][Spt-BH.xls]B___686"/>
      <sheetName val="[Spt-BH.xls][Spt-BH.xls]B___687"/>
      <sheetName val="[Spt-BH.xls][Spt-BH.xls]B___681"/>
      <sheetName val="[Spt-BH.xls][Spt-BH.xls]_Sp_242"/>
      <sheetName val="[Spt-BH.xls][Spt-BH_xls]B___572"/>
      <sheetName val="[Spt-BH.xls][Spt-BH_xls]B___573"/>
      <sheetName val="[Spt-BH.xls][Spt-BH_xls]B___574"/>
      <sheetName val="[Spt-BH.xls][Spt-BH_xls]B___575"/>
      <sheetName val="[Spt-BH.xls][Spt-BH_xls]_Sp_182"/>
      <sheetName val="[Spt-BH.xls][Spt-BH_xls]B___576"/>
      <sheetName val="[Spt-BH.xls][Spt-BH_xls]B___577"/>
      <sheetName val="[Spt-BH.xls][Spt-BH_xls]B___578"/>
      <sheetName val="[Spt-BH.xls][Spt-BH_xls]_Sp_183"/>
      <sheetName val="[Spt-BH.xls][Spt-BH_xls]B___579"/>
      <sheetName val="[Spt-BH.xls][Spt-BH_xls]B___580"/>
      <sheetName val="[Spt-BH.xls][Spt-BH_xls]B___581"/>
      <sheetName val="[Spt-BH.xls][Spt-BH_xls]B___582"/>
      <sheetName val="[Spt-BH.xls][Spt-BH_xls]_Sp_184"/>
      <sheetName val="[Spt-BH.xls][Spt-BH_xls]B___583"/>
      <sheetName val="[Spt-BH.xls][Spt-BH_xls]B___584"/>
      <sheetName val="[Spt-BH.xls][Spt-BH_xls]_Sp_185"/>
      <sheetName val="[Spt-BH.xls][Spt-BH_xls]B___585"/>
      <sheetName val="[Spt-BH.xls][Spt-BH_xls]B___586"/>
      <sheetName val="[Spt-BH.xls][Spt-BH_xls]_Sp_186"/>
      <sheetName val="[Spt-BH.xls][Spt-BH.xls]_Sp_245"/>
      <sheetName val="[Spt-BH.xls][Spt-BH.xls]_Sp_244"/>
      <sheetName val="[Spt-BH.xls][Spt-BH.xls]B___695"/>
      <sheetName val="[Spt-BH.xls][Spt-BH.xls]B___696"/>
      <sheetName val="[Spt-BH.xls][Spt-BH.xls]_Sp_249"/>
      <sheetName val="[Spt-BH.xls][Spt-BH.xls]B___697"/>
      <sheetName val="[Spt-BH.xls][Spt-BH.xls]B___698"/>
      <sheetName val="[Spt-BH.xls]B____x005f_x0004_______58"/>
      <sheetName val="[Spt-BH.xls]B___x005f_x0000__x005f_x0004_55"/>
      <sheetName val="[Spt-BH.xls][Spt-BH.xls]B___699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[Spt-BH.xls]B___700"/>
      <sheetName val="[Spt-BH.xls][Spt-BH.xls]B___694"/>
      <sheetName val="[Spt-BH.xls][Spt-BH.xls]_Sp_246"/>
      <sheetName val="[Spt-BH.xls][Spt-BH_xls]B___587"/>
      <sheetName val="[Spt-BH.xls][Spt-BH_xls]B___588"/>
      <sheetName val="[Spt-BH.xls][Spt-BH_xls]B___589"/>
      <sheetName val="[Spt-BH.xls][Spt-BH_xls]B___590"/>
      <sheetName val="[Spt-BH.xls][Spt-BH_xls]_Sp_187"/>
      <sheetName val="[Spt-BH.xls][Spt-BH_xls]B___591"/>
      <sheetName val="[Spt-BH.xls][Spt-BH_xls]B___592"/>
      <sheetName val="[Spt-BH.xls][Spt-BH_xls]B___593"/>
      <sheetName val="[Spt-BH.xls][Spt-BH_xls]_Sp_188"/>
      <sheetName val="[Spt-BH.xls][Spt-BH_xls]B___594"/>
      <sheetName val="[Spt-BH.xls][Spt-BH_xls]B___595"/>
      <sheetName val="[Spt-BH.xls][Spt-BH_xls]B___596"/>
      <sheetName val="[Spt-BH.xls][Spt-BH_xls]B___597"/>
      <sheetName val="[Spt-BH.xls][Spt-BH_xls]_Sp_189"/>
      <sheetName val="[Spt-BH.xls][Spt-BH_xls]B___598"/>
      <sheetName val="[Spt-BH.xls][Spt-BH_xls]B___599"/>
      <sheetName val="[Spt-BH.xls][Spt-BH_xls]_Sp_190"/>
      <sheetName val="[Spt-BH.xls][Spt-BH_xls]B___600"/>
      <sheetName val="[Spt-BH.xls][Spt-BH_xls]B___601"/>
      <sheetName val="[Spt-BH.xls][Spt-BH_xls]_Sp_191"/>
      <sheetName val="[Spt-BH.xls][Spt-BH.xls]B___709"/>
      <sheetName val="[Spt-BH.xls][Spt-BH.xls]B___710"/>
      <sheetName val="[Spt-BH.xls][Spt-BH.xls]B___711"/>
      <sheetName val="[Spt-BH.xls][Spt-BH.xls]B___712"/>
      <sheetName val="[Spt-BH.xls]B____x005f_x0004_______59"/>
      <sheetName val="[Spt-BH.xls]B___x005f_x0000__x005f_x0004_56"/>
      <sheetName val="[Spt-BH.xls][Spt-BH.xls]B___713"/>
      <sheetName val="[Spt-BH.xls][Spt-BH.xls]B___701"/>
      <sheetName val="[Spt-BH.xls][Spt-BH.xls]B___714"/>
      <sheetName val="[Spt-BH.xls][Spt-BH.xls]_Sp_250"/>
      <sheetName val="[Spt-BH.xls][Spt-BH_xls]B___602"/>
      <sheetName val="[Spt-BH.xls][Spt-BH_xls]B___603"/>
      <sheetName val="[Spt-BH.xls][Spt-BH_xls]B___604"/>
      <sheetName val="[Spt-BH.xls][Spt-BH_xls]B___605"/>
      <sheetName val="[Spt-BH.xls][Spt-BH_xls]_Sp_192"/>
      <sheetName val="[Spt-BH.xls][Spt-BH_xls]B___606"/>
      <sheetName val="[Spt-BH.xls][Spt-BH_xls]B___607"/>
      <sheetName val="[Spt-BH.xls][Spt-BH_xls]B___608"/>
      <sheetName val="[Spt-BH.xls][Spt-BH_xls]_Sp_193"/>
      <sheetName val="[Spt-BH.xls][Spt-BH_xls]B___609"/>
      <sheetName val="[Spt-BH.xls][Spt-BH_xls]B___610"/>
      <sheetName val="[Spt-BH.xls][Spt-BH_xls]B___611"/>
      <sheetName val="[Spt-BH.xls][Spt-BH_xls]B___612"/>
      <sheetName val="[Spt-BH.xls][Spt-BH_xls]_Sp_194"/>
      <sheetName val="[Spt-BH.xls][Spt-BH_xls]B___613"/>
      <sheetName val="[Spt-BH.xls][Spt-BH_xls]B___614"/>
      <sheetName val="[Spt-BH.xls][Spt-BH_xls]_Sp_195"/>
      <sheetName val="[Spt-BH.xls][Spt-BH_xls]B___615"/>
      <sheetName val="[Spt-BH.xls][Spt-BH_xls]B___616"/>
      <sheetName val="[Spt-BH.xls][Spt-BH_xls]_Sp_196"/>
      <sheetName val="[Spt-BH.xls]B____x005f_x0004_______61"/>
      <sheetName val="[Spt-BH.xls]B___x005f_x0000__x005f_x0004_58"/>
      <sheetName val="[Spt-BH.xls][Spt-BH.xls]B___715"/>
      <sheetName val="[Spt-BH.xls][Spt-BH_xls]B___632"/>
      <sheetName val="[Spt-BH.xls][Spt-BH_xls]B___633"/>
      <sheetName val="[Spt-BH.xls][Spt-BH_xls]B___634"/>
      <sheetName val="[Spt-BH.xls][Spt-BH_xls]B___635"/>
      <sheetName val="[Spt-BH.xls][Spt-BH_xls]_Sp_202"/>
      <sheetName val="[Spt-BH.xls][Spt-BH_xls]B___636"/>
      <sheetName val="[Spt-BH.xls][Spt-BH_xls]B___637"/>
      <sheetName val="[Spt-BH.xls][Spt-BH_xls]B___638"/>
      <sheetName val="[Spt-BH.xls][Spt-BH_xls]_Sp_203"/>
      <sheetName val="[Spt-BH.xls][Spt-BH_xls]B___639"/>
      <sheetName val="[Spt-BH.xls][Spt-BH_xls]B___640"/>
      <sheetName val="[Spt-BH.xls][Spt-BH_xls]B___641"/>
      <sheetName val="[Spt-BH.xls][Spt-BH_xls]B___642"/>
      <sheetName val="[Spt-BH.xls][Spt-BH_xls]_Sp_204"/>
      <sheetName val="[Spt-BH.xls][Spt-BH_xls]B___643"/>
      <sheetName val="[Spt-BH.xls][Spt-BH_xls]B___644"/>
      <sheetName val="[Spt-BH.xls][Spt-BH_xls]_Sp_205"/>
      <sheetName val="[Spt-BH.xls][Spt-BH_xls]B___645"/>
      <sheetName val="[Spt-BH.xls][Spt-BH_xls]B___646"/>
      <sheetName val="[Spt-BH.xls][Spt-BH_xls]_Sp_206"/>
      <sheetName val="[Spt-BH.xls][Spt-BH.xls]_Sp_247"/>
      <sheetName val="[Spt-BH.xls][Spt-BH.xls]B___702"/>
      <sheetName val="[Spt-BH.xls][Spt-BH.xls]B___703"/>
      <sheetName val="[Spt-BH.xls][Spt-BH.xls]B___704"/>
      <sheetName val="[Spt-BH.xls][Spt-BH.xls]B___705"/>
      <sheetName val="[Spt-BH.xls][Spt-BH.xls]B___706"/>
      <sheetName val="[Spt-BH.xls][Spt-BH.xls]B___707"/>
      <sheetName val="[Spt-BH.xls][Spt-BH.xls]_Sp_248"/>
      <sheetName val="[Spt-BH.xls]B____x005f_x0004_______60"/>
      <sheetName val="[Spt-BH.xls]B___x005f_x0000__x005f_x0004_57"/>
      <sheetName val="[Spt-BH.xls][Spt-BH.xls]B___708"/>
      <sheetName val="[Spt-BH.xls][Spt-BH_xls]B___617"/>
      <sheetName val="[Spt-BH.xls][Spt-BH_xls]B___618"/>
      <sheetName val="[Spt-BH.xls][Spt-BH_xls]B___619"/>
      <sheetName val="[Spt-BH.xls][Spt-BH_xls]B___620"/>
      <sheetName val="[Spt-BH.xls][Spt-BH_xls]_Sp_197"/>
      <sheetName val="[Spt-BH.xls][Spt-BH_xls]B___621"/>
      <sheetName val="[Spt-BH.xls][Spt-BH_xls]B___622"/>
      <sheetName val="[Spt-BH.xls][Spt-BH_xls]B___623"/>
      <sheetName val="[Spt-BH.xls][Spt-BH_xls]_Sp_198"/>
      <sheetName val="[Spt-BH.xls][Spt-BH_xls]B___624"/>
      <sheetName val="[Spt-BH.xls][Spt-BH_xls]B___625"/>
      <sheetName val="[Spt-BH.xls][Spt-BH_xls]B___626"/>
      <sheetName val="[Spt-BH.xls][Spt-BH_xls]B___627"/>
      <sheetName val="[Spt-BH.xls][Spt-BH_xls]_Sp_199"/>
      <sheetName val="[Spt-BH.xls][Spt-BH_xls]B___628"/>
      <sheetName val="[Spt-BH.xls][Spt-BH_xls]B___629"/>
      <sheetName val="[Spt-BH.xls][Spt-BH_xls]_Sp_200"/>
      <sheetName val="[Spt-BH.xls][Spt-BH_xls]B___630"/>
      <sheetName val="[Spt-BH.xls][Spt-BH_xls]B___631"/>
      <sheetName val="[Spt-BH.xls][Spt-BH_xls]_Sp_201"/>
      <sheetName val="[Spt-BH.xls][Spt-BH.xls]_Sp_251"/>
      <sheetName val="[Spt-BH.xls][Spt-BH.xls]B___716"/>
      <sheetName val="[Spt-BH.xls][Spt-BH.xls]B___717"/>
      <sheetName val="[Spt-BH.xls][Spt-BH.xls]_Sp_253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252"/>
      <sheetName val="[Spt-BH.xls][Spt-BH.xls]B___722"/>
      <sheetName val="[Spt-BH.xls][Spt-BH.xls]B___723"/>
      <sheetName val="[Spt-BH.xls][Spt-BH.xls]B___724"/>
      <sheetName val="[Spt-BH.xls][Spt-BH.xls]B___725"/>
      <sheetName val="[Spt-BH.xls][Spt-BH.xls]B___726"/>
      <sheetName val="[Spt-BH.xls][Spt-BH.xls]B___727"/>
      <sheetName val="[Spt-BH.xls][Spt-BH.xls]_Sp_254"/>
      <sheetName val="[Spt-BH.xls][Spt-BH.xls]_Sp_255"/>
      <sheetName val="[Spt-BH.xls][Spt-BH.xls]_Sp_256"/>
      <sheetName val="[Spt-BH.xls][Spt-BH.xls]_Sp_257"/>
      <sheetName val="[Spt-BH.xls][Spt-BH.xls]B___728"/>
      <sheetName val="[Spt-BH.xls][Spt-BH.xls]B___729"/>
      <sheetName val="[Spt-BH.xls][Spt-BH.xls]_Sp_261"/>
      <sheetName val="[Spt-BH.xls][Spt-BH.xls]B___730"/>
      <sheetName val="[Spt-BH.xls][Spt-BH.xls]B___731"/>
      <sheetName val="[Spt-BH.xls][Spt-BH.xls]B___732"/>
      <sheetName val="[Spt-BH.xls][Spt-BH.xls]B___733"/>
      <sheetName val="[Spt-BH.xls][Spt-BH.xls]_Sp_258"/>
      <sheetName val="[Spt-BH.xls][Spt-BH.xls]B___741"/>
      <sheetName val="[Spt-BH.xls][Spt-BH.xls]B___742"/>
      <sheetName val="[Spt-BH.xls][Spt-BH.xls]_Sp_264"/>
      <sheetName val="[Spt-BH.xls][Spt-BH.xls]B___743"/>
      <sheetName val="[Spt-BH.xls][Spt-BH.xls]B___744"/>
      <sheetName val="[Spt-BH.xls]B____x005f_x0004_______62"/>
      <sheetName val="[Spt-BH.xls]B___x005f_x0000__x005f_x0004_59"/>
      <sheetName val="[Spt-BH.xls][Spt-BH.xls]B___745"/>
      <sheetName val="[Spt-BH.xls][Spt-BH.xls]B___746"/>
      <sheetName val="[Spt-BH.xls][Spt-BH.xls]B___734"/>
      <sheetName val="[Spt-BH.xls][Spt-BH.xls]_Sp_262"/>
      <sheetName val="[Spt-BH.xls][Spt-BH_xls]B___647"/>
      <sheetName val="[Spt-BH.xls][Spt-BH_xls]B___648"/>
      <sheetName val="[Spt-BH.xls][Spt-BH_xls]B___649"/>
      <sheetName val="[Spt-BH.xls][Spt-BH_xls]B___650"/>
      <sheetName val="[Spt-BH.xls][Spt-BH_xls]_Sp_207"/>
      <sheetName val="[Spt-BH.xls][Spt-BH_xls]B___651"/>
      <sheetName val="[Spt-BH.xls][Spt-BH_xls]B___652"/>
      <sheetName val="[Spt-BH.xls][Spt-BH_xls]B___653"/>
      <sheetName val="[Spt-BH.xls][Spt-BH_xls]_Sp_208"/>
      <sheetName val="[Spt-BH.xls][Spt-BH_xls]B___654"/>
      <sheetName val="[Spt-BH.xls][Spt-BH_xls]B___655"/>
      <sheetName val="[Spt-BH.xls][Spt-BH_xls]B___656"/>
      <sheetName val="[Spt-BH.xls][Spt-BH_xls]B___657"/>
      <sheetName val="[Spt-BH.xls][Spt-BH_xls]_Sp_209"/>
      <sheetName val="[Spt-BH.xls][Spt-BH_xls]B___658"/>
      <sheetName val="[Spt-BH.xls][Spt-BH_xls]B___659"/>
      <sheetName val="[Spt-BH.xls][Spt-BH_xls]_Sp_210"/>
      <sheetName val="[Spt-BH.xls][Spt-BH_xls]B___660"/>
      <sheetName val="[Spt-BH.xls][Spt-BH_xls]B___661"/>
      <sheetName val="[Spt-BH.xls][Spt-BH_xls]_Sp_211"/>
      <sheetName val="[Spt-BH.xls][Spt-BH.xls]_Sp_259"/>
      <sheetName val="[Spt-BH.xls][Spt-BH.xls]B___735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_Sp_260"/>
      <sheetName val="[Spt-BH.xls][Spt-BH.xls]_Sp_263"/>
      <sheetName val="[Spt-BH.xls][Spt-BH.xls]_Sp_265"/>
      <sheetName val="[Spt-BH.xls][Spt-BH.xls]B___747"/>
      <sheetName val="[Spt-BH.xls][Spt-BH.xls]B___748"/>
      <sheetName val="[Spt-BH.xls][Spt-BH.xls]_Sp_294"/>
      <sheetName val="[Spt-BH.xls][Spt-BH.xls]B___749"/>
      <sheetName val="[Spt-BH.xls][Spt-BH.xls]B___750"/>
      <sheetName val="[Spt-BH.xls][Spt-BH.xls]B___751"/>
      <sheetName val="[Spt-BH.xls][Spt-BH.xls]B___752"/>
      <sheetName val="[Spt-BH.xls][Spt-BH.xls]_Sp_266"/>
      <sheetName val="[Spt-BH.xls][Spt-BH.xls]B___817"/>
      <sheetName val="[Spt-BH.xls][Spt-BH.xls]B___818"/>
      <sheetName val="[Spt-BH.xls][Spt-BH.xls]_Sp_300"/>
      <sheetName val="[Spt-BH.xls][Spt-BH.xls]B___819"/>
      <sheetName val="[Spt-BH.xls][Spt-BH.xls]B___820"/>
      <sheetName val="[Spt-BH.xls]B____x005f_x0004_______63"/>
      <sheetName val="[Spt-BH.xls]B___x005f_x0000__x005f_x0004_60"/>
      <sheetName val="[Spt-BH.xls][Spt-BH.xls]B___821"/>
      <sheetName val="[Spt-BH.xls][Spt-BH.xls]B___822"/>
      <sheetName val="[Spt-BH.xls][Spt-BH.xls]B___753"/>
      <sheetName val="[Spt-BH.xls][Spt-BH.xls]_Sp_295"/>
      <sheetName val="[Spt-BH.xls][Spt-BH_xls]B___662"/>
      <sheetName val="[Spt-BH.xls][Spt-BH_xls]B___663"/>
      <sheetName val="[Spt-BH.xls][Spt-BH_xls]B___664"/>
      <sheetName val="[Spt-BH.xls][Spt-BH_xls]B___665"/>
      <sheetName val="[Spt-BH.xls][Spt-BH_xls]_Sp_212"/>
      <sheetName val="[Spt-BH.xls][Spt-BH_xls]B___666"/>
      <sheetName val="[Spt-BH.xls][Spt-BH_xls]B___667"/>
      <sheetName val="[Spt-BH.xls][Spt-BH_xls]B___668"/>
      <sheetName val="[Spt-BH.xls][Spt-BH_xls]_Sp_213"/>
      <sheetName val="[Spt-BH.xls][Spt-BH_xls]B___669"/>
      <sheetName val="[Spt-BH.xls][Spt-BH_xls]B___670"/>
      <sheetName val="[Spt-BH.xls][Spt-BH_xls]B___671"/>
      <sheetName val="[Spt-BH.xls][Spt-BH_xls]B___672"/>
      <sheetName val="[Spt-BH.xls][Spt-BH_xls]_Sp_214"/>
      <sheetName val="[Spt-BH.xls][Spt-BH.xls]_Sp_267"/>
      <sheetName val="[Spt-BH.xls][Spt-BH.xls]_Sp_270"/>
      <sheetName val="[Spt-BH.xls][Spt-BH.xls]B___754"/>
      <sheetName val="[Spt-BH.xls][Spt-BH.xls]B___755"/>
      <sheetName val="[Spt-BH.xls][Spt-BH.xls]_Sp_278"/>
      <sheetName val="[Spt-BH.xls][Spt-BH.xls]B___756"/>
      <sheetName val="[Spt-BH.xls][Spt-BH.xls]B___757"/>
      <sheetName val="[Spt-BH.xls][Spt-BH.xls]B___758"/>
      <sheetName val="[Spt-BH.xls][Spt-BH.xls]B___759"/>
      <sheetName val="[Spt-BH.xls][Spt-BH.xls]_Sp_271"/>
      <sheetName val="[Spt-BH.xls][Spt-BH.xls]B___779"/>
      <sheetName val="[Spt-BH.xls][Spt-BH.xls]B___780"/>
      <sheetName val="[Spt-BH.xls][Spt-BH.xls]_Sp_280"/>
      <sheetName val="[Spt-BH.xls][Spt-BH.xls]B___781"/>
      <sheetName val="[Spt-BH.xls][Spt-BH.xls]B___782"/>
      <sheetName val="[Spt-BH.xls]B____x005f_x0004_______64"/>
      <sheetName val="[Spt-BH.xls]B___x005f_x0000__x005f_x0004_61"/>
      <sheetName val="[Spt-BH.xls][Spt-BH.xls]B___783"/>
      <sheetName val="[Spt-BH.xls][Spt-BH.xls]B___784"/>
      <sheetName val="[Spt-BH.xls][Spt-BH.xls]B___760"/>
      <sheetName val="[Spt-BH.xls][Spt-BH.xls]_Sp_279"/>
      <sheetName val="[Spt-BH.xls][Spt-BH_xls]B___677"/>
      <sheetName val="[Spt-BH.xls][Spt-BH_xls]B___678"/>
      <sheetName val="[Spt-BH.xls][Spt-BH_xls]B___679"/>
      <sheetName val="[Spt-BH.xls][Spt-BH_xls]B___680"/>
      <sheetName val="[Spt-BH.xls][Spt-BH_xls]_Sp_217"/>
      <sheetName val="[Spt-BH.xls][Spt-BH_xls]B___681"/>
      <sheetName val="[Spt-BH.xls][Spt-BH_xls]B___682"/>
      <sheetName val="[Spt-BH.xls][Spt-BH_xls]B___683"/>
      <sheetName val="[Spt-BH.xls][Spt-BH_xls]_Sp_218"/>
      <sheetName val="[Spt-BH.xls][Spt-BH_xls]B___684"/>
      <sheetName val="[Spt-BH.xls][Spt-BH_xls]B___685"/>
      <sheetName val="[Spt-BH.xls][Spt-BH_xls]B___686"/>
      <sheetName val="[Spt-BH.xls][Spt-BH_xls]B___687"/>
      <sheetName val="[Spt-BH.xls][Spt-BH_xls]_Sp_219"/>
      <sheetName val="[Spt-BH.xls][Spt-BH_xls]B___688"/>
      <sheetName val="[Spt-BH.xls][Spt-BH_xls]B___689"/>
      <sheetName val="[Spt-BH.xls][Spt-BH_xls]_Sp_220"/>
      <sheetName val="[Spt-BH.xls][Spt-BH_xls]B___690"/>
      <sheetName val="[Spt-BH.xls][Spt-BH_xls]B___691"/>
      <sheetName val="[Spt-BH.xls][Spt-BH_xls]_Sp_221"/>
      <sheetName val="[Spt-BH.xls][Spt-BH.xls]_Sp_268"/>
      <sheetName val="[Spt-BH.xls][Spt-BH.xls]_Sp_269"/>
      <sheetName val="[Spt-BH.xls][Spt-BH_xls]B___673"/>
      <sheetName val="[Spt-BH.xls][Spt-BH_xls]B___674"/>
      <sheetName val="[Spt-BH.xls][Spt-BH_xls]_Sp_215"/>
      <sheetName val="[Spt-BH.xls][Spt-BH_xls]B___675"/>
      <sheetName val="[Spt-BH.xls][Spt-BH_xls]B___676"/>
      <sheetName val="[Spt-BH.xls][Spt-BH_xls]_Sp_216"/>
      <sheetName val="[Spt-BH.xls][Spt-BH.xls]_Sp_272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66"/>
      <sheetName val="[Spt-BH.xls][Spt-BH.xls]_Sp_273"/>
      <sheetName val="[Spt-BH.xls][Spt-BH.xls]_Sp_274"/>
      <sheetName val="[Spt-BH.xls][Spt-BH.xls]B___767"/>
      <sheetName val="[Spt-BH.xls][Spt-BH.xls]B___768"/>
      <sheetName val="[Spt-BH.xls][Spt-BH.xls]B___769"/>
      <sheetName val="[Spt-BH.xls][Spt-BH.xls]B___770"/>
      <sheetName val="[Spt-BH.xls][Spt-BH.xls]B___771"/>
      <sheetName val="[Spt-BH.xls][Spt-BH.xls]B___772"/>
      <sheetName val="[Spt-BH.xls][Spt-BH.xls]_Sp_275"/>
      <sheetName val="[Spt-BH.xls][Spt-BH.xls]_Sp_276"/>
      <sheetName val="[Spt-BH.xls][Spt-BH.xls]B___773"/>
      <sheetName val="[Spt-BH.xls][Spt-BH.xls]B___774"/>
      <sheetName val="[Spt-BH.xls][Spt-BH.xls]B___775"/>
      <sheetName val="[Spt-BH.xls][Spt-BH.xls]B___776"/>
      <sheetName val="[Spt-BH.xls][Spt-BH.xls]B___777"/>
      <sheetName val="[Spt-BH.xls][Spt-BH.xls]B___778"/>
      <sheetName val="[Spt-BH.xls][Spt-BH.xls]_Sp_277"/>
      <sheetName val="[Spt-BH.xls][Spt-BH.xls]_Sp_281"/>
      <sheetName val="[Spt-BH.xls][Spt-BH.xls]_Sp_282"/>
      <sheetName val="[Spt-BH.xls][Spt-BH.xls]B___792"/>
      <sheetName val="[Spt-BH.xls][Spt-BH.xls]B___793"/>
      <sheetName val="[Spt-BH.xls][Spt-BH.xls]_Sp_286"/>
      <sheetName val="[Spt-BH.xls][Spt-BH.xls]B___794"/>
      <sheetName val="[Spt-BH.xls][Spt-BH.xls]B___795"/>
      <sheetName val="[Spt-BH.xls]B____x005f_x0004_______65"/>
      <sheetName val="[Spt-BH.xls][Spt-BH.xls]B___785"/>
      <sheetName val="[Spt-BH.xls][Spt-BH.xls]B___786"/>
      <sheetName val="[Spt-BH.xls][Spt-BH.xls]_Sp_284"/>
      <sheetName val="[Spt-BH.xls][Spt-BH.xls]B___787"/>
      <sheetName val="[Spt-BH.xls][Spt-BH.xls]B___788"/>
      <sheetName val="[Spt-BH.xls][Spt-BH.xls]B___789"/>
      <sheetName val="[Spt-BH.xls][Spt-BH.xls]B___790"/>
      <sheetName val="[Spt-BH.xls]B___x005f_x0000__x005f_x0004_62"/>
      <sheetName val="[Spt-BH.xls][Spt-BH.xls]B___796"/>
      <sheetName val="[Spt-BH.xls][Spt-BH.xls]B___797"/>
      <sheetName val="[Spt-BH.xls][Spt-BH.xls]B___791"/>
      <sheetName val="[Spt-BH.xls][Spt-BH.xls]_Sp_285"/>
      <sheetName val="[Spt-BH.xls][Spt-BH_xls]B___692"/>
      <sheetName val="[Spt-BH.xls][Spt-BH_xls]B___693"/>
      <sheetName val="[Spt-BH.xls][Spt-BH_xls]B___694"/>
      <sheetName val="[Spt-BH.xls][Spt-BH_xls]B___695"/>
      <sheetName val="[Spt-BH.xls][Spt-BH_xls]_Sp_222"/>
      <sheetName val="[Spt-BH.xls][Spt-BH_xls]B___696"/>
      <sheetName val="[Spt-BH.xls][Spt-BH_xls]B___697"/>
      <sheetName val="[Spt-BH.xls][Spt-BH_xls]B___698"/>
      <sheetName val="[Spt-BH.xls][Spt-BH_xls]_Sp_223"/>
      <sheetName val="[Spt-BH.xls][Spt-BH_xls]B___699"/>
      <sheetName val="[Spt-BH.xls][Spt-BH_xls]B___700"/>
      <sheetName val="[Spt-BH.xls][Spt-BH_xls]B___701"/>
      <sheetName val="[Spt-BH.xls][Spt-BH_xls]B___702"/>
      <sheetName val="[Spt-BH.xls][Spt-BH_xls]_Sp_224"/>
      <sheetName val="[Spt-BH.xls][Spt-BH.xls]_Sp_283"/>
      <sheetName val="[Spt-BH.xls][Spt-BH_xls]B___703"/>
      <sheetName val="[Spt-BH.xls][Spt-BH_xls]B___704"/>
      <sheetName val="[Spt-BH.xls][Spt-BH_xls]_Sp_225"/>
      <sheetName val="[Spt-BH.xls][Spt-BH_xls]B___705"/>
      <sheetName val="[Spt-BH.xls][Spt-BH_xls]B___706"/>
      <sheetName val="[Spt-BH.xls][Spt-BH_xls]_Sp_226"/>
      <sheetName val="[Spt-BH.xls][Spt-BH.xls]B___799"/>
      <sheetName val="[Spt-BH.xls][Spt-BH.xls]B___800"/>
      <sheetName val="[Spt-BH.xls][Spt-BH.xls]_Sp_289"/>
      <sheetName val="[Spt-BH.xls][Spt-BH.xls]B___801"/>
      <sheetName val="[Spt-BH.xls][Spt-BH.xls]B___802"/>
      <sheetName val="[Spt-BH.xls]B____x005f_x0004_______66"/>
      <sheetName val="[Spt-BH.xls]B___x005f_x0000__x005f_x0004_63"/>
      <sheetName val="[Spt-BH.xls][Spt-BH.xls]B___803"/>
      <sheetName val="[Spt-BH.xls][Spt-BH.xls]B___804"/>
      <sheetName val="[Spt-BH.xls][Spt-BH.xls]B___798"/>
      <sheetName val="[Spt-BH.xls][Spt-BH.xls]_Sp_287"/>
      <sheetName val="[Spt-BH.xls][Spt-BH_xls]B___707"/>
      <sheetName val="[Spt-BH.xls][Spt-BH_xls]B___708"/>
      <sheetName val="[Spt-BH.xls][Spt-BH_xls]B___709"/>
      <sheetName val="[Spt-BH.xls][Spt-BH_xls]B___710"/>
      <sheetName val="[Spt-BH.xls][Spt-BH_xls]_Sp_227"/>
      <sheetName val="[Spt-BH.xls][Spt-BH_xls]B___711"/>
      <sheetName val="[Spt-BH.xls][Spt-BH_xls]B___712"/>
      <sheetName val="[Spt-BH.xls][Spt-BH_xls]B___713"/>
      <sheetName val="[Spt-BH.xls][Spt-BH_xls]_Sp_228"/>
      <sheetName val="[Spt-BH.xls][Spt-BH_xls]B___714"/>
      <sheetName val="[Spt-BH.xls][Spt-BH_xls]B___715"/>
      <sheetName val="[Spt-BH.xls][Spt-BH_xls]B___716"/>
      <sheetName val="[Spt-BH.xls][Spt-BH_xls]B___717"/>
      <sheetName val="[Spt-BH.xls][Spt-BH_xls]_Sp_229"/>
      <sheetName val="[Spt-BH.xls][Spt-BH_xls]B___718"/>
      <sheetName val="[Spt-BH.xls][Spt-BH_xls]B___719"/>
      <sheetName val="[Spt-BH.xls][Spt-BH_xls]_Sp_230"/>
      <sheetName val="[Spt-BH.xls][Spt-BH_xls]B___720"/>
      <sheetName val="[Spt-BH.xls][Spt-BH_xls]B___721"/>
      <sheetName val="[Spt-BH.xls][Spt-BH_xls]_Sp_231"/>
      <sheetName val="[Spt-BH.xls][Spt-BH.xls]_Sp_288"/>
      <sheetName val="[Spt-BH.xls][Spt-BH.xls]B___805"/>
      <sheetName val="[Spt-BH.xls][Spt-BH.xls]B___806"/>
      <sheetName val="[Spt-BH.xls][Spt-BH.xls]_Sp_292"/>
      <sheetName val="[Spt-BH.xls][Spt-BH.xls]B___807"/>
      <sheetName val="[Spt-BH.xls][Spt-BH.xls]B___808"/>
      <sheetName val="[Spt-BH.xls][Spt-BH.xls]_Sp_290"/>
      <sheetName val="[Spt-BH.xls][Spt-BH.xls]B___809"/>
      <sheetName val="[Spt-BH.xls][Spt-BH.xls]B___810"/>
      <sheetName val="[Spt-BH.xls][Spt-BH.xls]_Sp_291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293"/>
      <sheetName val="[Spt-BH.xls][Spt-BH.xls]B___837"/>
      <sheetName val="[Spt-BH.xls][Spt-BH.xls]B___838"/>
      <sheetName val="[Spt-BH.xls][Spt-BH.xls]_Sp_302"/>
      <sheetName val="[Spt-BH.xls][Spt-BH.xls]B___839"/>
      <sheetName val="[Spt-BH.xls][Spt-BH.xls]B___840"/>
      <sheetName val="[Spt-BH.xls]B____x005f_x0004_______67"/>
      <sheetName val="[Spt-BH.xls]B___x005f_x0000__x005f_x0004_64"/>
      <sheetName val="[Spt-BH.xls][Spt-BH.xls]B___841"/>
      <sheetName val="[Spt-BH.xls][Spt-BH.xls]B___842"/>
      <sheetName val="[Spt-BH.xls][Spt-BH.xls]B___823"/>
      <sheetName val="[Spt-BH.xls][Spt-BH.xls]_Sp_301"/>
      <sheetName val="[Spt-BH.xls][Spt-BH_xls]B___722"/>
      <sheetName val="[Spt-BH.xls][Spt-BH_xls]B___723"/>
      <sheetName val="[Spt-BH.xls][Spt-BH_xls]B___724"/>
      <sheetName val="[Spt-BH.xls][Spt-BH_xls]B___725"/>
      <sheetName val="[Spt-BH.xls][Spt-BH_xls]_Sp_232"/>
      <sheetName val="[Spt-BH.xls][Spt-BH_xls]B___726"/>
      <sheetName val="[Spt-BH.xls][Spt-BH_xls]B___727"/>
      <sheetName val="[Spt-BH.xls][Spt-BH_xls]B___728"/>
      <sheetName val="[Spt-BH.xls][Spt-BH_xls]_Sp_233"/>
      <sheetName val="[Spt-BH.xls][Spt-BH_xls]B___729"/>
      <sheetName val="[Spt-BH.xls][Spt-BH_xls]B___730"/>
      <sheetName val="[Spt-BH.xls][Spt-BH_xls]B___731"/>
      <sheetName val="[Spt-BH.xls][Spt-BH_xls]B___732"/>
      <sheetName val="[Spt-BH.xls][Spt-BH_xls]_Sp_234"/>
      <sheetName val="[Spt-BH.xls][Spt-BH.xls]B___844"/>
      <sheetName val="[Spt-BH.xls][Spt-BH.xls]B___845"/>
      <sheetName val="[Spt-BH.xls][Spt-BH.xls]_Sp_304"/>
      <sheetName val="[Spt-BH.xls][Spt-BH.xls]B___846"/>
      <sheetName val="[Spt-BH.xls][Spt-BH.xls]B___847"/>
      <sheetName val="[Spt-BH.xls]B____x005f_x0004_______70"/>
      <sheetName val="[Spt-BH.xls]B___x005f_x0000__x005f_x0004_67"/>
      <sheetName val="[Spt-BH.xls][Spt-BH.xls]B___848"/>
      <sheetName val="[Spt-BH.xls][Spt-BH.xls]B___849"/>
      <sheetName val="[Spt-BH.xls][Spt-BH.xls]B___843"/>
      <sheetName val="[Spt-BH.xls][Spt-BH.xls]_Sp_303"/>
      <sheetName val="[Spt-BH.xls][Spt-BH_xls]B___767"/>
      <sheetName val="[Spt-BH.xls][Spt-BH_xls]B___768"/>
      <sheetName val="[Spt-BH.xls][Spt-BH_xls]B___769"/>
      <sheetName val="[Spt-BH.xls][Spt-BH_xls]B___770"/>
      <sheetName val="[Spt-BH.xls][Spt-BH_xls]_Sp_247"/>
      <sheetName val="[Spt-BH.xls][Spt-BH_xls]B___771"/>
      <sheetName val="[Spt-BH.xls][Spt-BH_xls]B___772"/>
      <sheetName val="[Spt-BH.xls][Spt-BH_xls]B___773"/>
      <sheetName val="[Spt-BH.xls][Spt-BH_xls]_Sp_248"/>
      <sheetName val="[Spt-BH.xls][Spt-BH_xls]B___774"/>
      <sheetName val="[Spt-BH.xls][Spt-BH_xls]B___775"/>
      <sheetName val="[Spt-BH.xls][Spt-BH_xls]B___776"/>
      <sheetName val="[Spt-BH.xls][Spt-BH_xls]B___777"/>
      <sheetName val="[Spt-BH.xls][Spt-BH_xls]_Sp_249"/>
      <sheetName val="[Spt-BH.xls][Spt-BH.xls]_Sp_298"/>
      <sheetName val="[Spt-BH.xls][Spt-BH.xls]B___830"/>
      <sheetName val="[Spt-BH.xls][Spt-BH.xls]B___831"/>
      <sheetName val="[Spt-BH.xls][Spt-BH.xls]B___832"/>
      <sheetName val="[Spt-BH.xls][Spt-BH.xls]B___833"/>
      <sheetName val="[Spt-BH.xls]B____x005f_x0004_______68"/>
      <sheetName val="[Spt-BH.xls]B___x005f_x0000__x005f_x0004_65"/>
      <sheetName val="[Spt-BH.xls][Spt-BH.xls]B___834"/>
      <sheetName val="[Spt-BH.xls][Spt-BH.xls]B___835"/>
      <sheetName val="[Spt-BH.xls][Spt-BH.xls]_Sp_299"/>
      <sheetName val="[Spt-BH.xls][Spt-BH_xls]B___737"/>
      <sheetName val="[Spt-BH.xls][Spt-BH_xls]B___738"/>
      <sheetName val="[Spt-BH.xls][Spt-BH_xls]B___739"/>
      <sheetName val="[Spt-BH.xls][Spt-BH_xls]B___740"/>
      <sheetName val="[Spt-BH.xls][Spt-BH_xls]_Sp_237"/>
      <sheetName val="[Spt-BH.xls][Spt-BH_xls]B___741"/>
      <sheetName val="[Spt-BH.xls][Spt-BH_xls]B___742"/>
      <sheetName val="[Spt-BH.xls][Spt-BH_xls]B___743"/>
      <sheetName val="[Spt-BH.xls][Spt-BH_xls]_Sp_238"/>
      <sheetName val="[Spt-BH.xls][Spt-BH_xls]B___744"/>
      <sheetName val="[Spt-BH.xls][Spt-BH_xls]B___745"/>
      <sheetName val="[Spt-BH.xls][Spt-BH_xls]B___746"/>
      <sheetName val="[Spt-BH.xls][Spt-BH_xls]B___747"/>
      <sheetName val="[Spt-BH.xls][Spt-BH_xls]_Sp_239"/>
      <sheetName val="[Spt-BH.xls][Spt-BH_xls]B___748"/>
      <sheetName val="[Spt-BH.xls][Spt-BH_xls]B___749"/>
      <sheetName val="[Spt-BH.xls][Spt-BH_xls]_Sp_240"/>
      <sheetName val="[Spt-BH.xls][Spt-BH_xls]B___750"/>
      <sheetName val="[Spt-BH.xls][Spt-BH_xls]B___751"/>
      <sheetName val="[Spt-BH.xls][Spt-BH_xls]_Sp_241"/>
      <sheetName val="[Spt-BH.xls][Spt-BH_xls]B___733"/>
      <sheetName val="[Spt-BH.xls][Spt-BH_xls]B___734"/>
      <sheetName val="[Spt-BH.xls][Spt-BH_xls]_Sp_235"/>
      <sheetName val="[Spt-BH.xls][Spt-BH_xls]B___735"/>
      <sheetName val="[Spt-BH.xls][Spt-BH_xls]B___736"/>
      <sheetName val="[Spt-BH.xls][Spt-BH_xls]_Sp_236"/>
      <sheetName val="[Spt-BH.xls]B____x005f_x0004_______69"/>
      <sheetName val="[Spt-BH.xls]B___x005f_x0000__x005f_x0004_66"/>
      <sheetName val="[Spt-BH.xls][Spt-BH.xls]B___836"/>
      <sheetName val="[Spt-BH.xls][Spt-BH_xls]B___752"/>
      <sheetName val="[Spt-BH.xls][Spt-BH_xls]B___753"/>
      <sheetName val="[Spt-BH.xls][Spt-BH_xls]B___754"/>
      <sheetName val="[Spt-BH.xls][Spt-BH_xls]B___755"/>
      <sheetName val="[Spt-BH.xls][Spt-BH_xls]_Sp_242"/>
      <sheetName val="[Spt-BH.xls][Spt-BH_xls]B___756"/>
      <sheetName val="[Spt-BH.xls][Spt-BH_xls]B___757"/>
      <sheetName val="[Spt-BH.xls][Spt-BH_xls]B___758"/>
      <sheetName val="[Spt-BH.xls][Spt-BH_xls]_Sp_243"/>
      <sheetName val="[Spt-BH.xls][Spt-BH_xls]B___759"/>
      <sheetName val="[Spt-BH.xls][Spt-BH_xls]B___760"/>
      <sheetName val="[Spt-BH.xls][Spt-BH_xls]B___761"/>
      <sheetName val="[Spt-BH.xls][Spt-BH_xls]B___762"/>
      <sheetName val="[Spt-BH.xls][Spt-BH_xls]_Sp_244"/>
      <sheetName val="[Spt-BH.xls][Spt-BH_xls]B___763"/>
      <sheetName val="[Spt-BH.xls][Spt-BH_xls]B___764"/>
      <sheetName val="[Spt-BH.xls][Spt-BH_xls]_Sp_245"/>
      <sheetName val="[Spt-BH.xls][Spt-BH_xls]B___765"/>
      <sheetName val="[Spt-BH.xls][Spt-BH_xls]B___766"/>
      <sheetName val="[Spt-BH.xls][Spt-BH_xls]_Sp_246"/>
      <sheetName val="[Spt-BH.xls][Spt-BH.xls]_Sp_296"/>
      <sheetName val="[Spt-BH.xls][Spt-BH.xls]B___824"/>
      <sheetName val="[Spt-BH.xls][Spt-BH.xls]B___825"/>
      <sheetName val="[Spt-BH.xls][Spt-BH.xls]B___826"/>
      <sheetName val="[Spt-BH.xls][Spt-BH.xls]B___827"/>
      <sheetName val="[Spt-BH.xls][Spt-BH.xls]B___828"/>
      <sheetName val="[Spt-BH.xls][Spt-BH.xls]B___829"/>
      <sheetName val="[Spt-BH.xls][Spt-BH.xls]_Sp_297"/>
      <sheetName val="foot-slab_reinft"/>
      <sheetName val="[Spt-BH_xls][Spt-BH_xls]B@[?_x0"/>
      <sheetName val="[Spt-BH.xls][Spt-BH.xls]_Sp_306"/>
      <sheetName val="[Spt-BH.xls][Spt-BH.xls]_Sp_305"/>
      <sheetName val="[Spt-BH.xls][Spt-BH.xls]_Sp_307"/>
      <sheetName val="[Spt-BH.xls][Spt-BH.xls]_Sp_314"/>
      <sheetName val="[Spt-BH.xls][Spt-BH_xls]B___778"/>
      <sheetName val="[Spt-BH.xls][Spt-BH_xls]B___779"/>
      <sheetName val="[Spt-BH.xls][Spt-BH_xls]_Sp_250"/>
      <sheetName val="[Spt-BH.xls][Spt-BH_xls]B___780"/>
      <sheetName val="[Spt-BH.xls][Spt-BH_xls]B___781"/>
      <sheetName val="[Spt-BH.xls][Spt-BH_xls]_Sp_251"/>
      <sheetName val="[Spt-BH.xls][Spt-BH.xls]B___852"/>
      <sheetName val="[Spt-BH.xls][Spt-BH.xls]B___853"/>
      <sheetName val="[Spt-BH.xls][Spt-BH.xls]B___854"/>
      <sheetName val="[Spt-BH.xls][Spt-BH.xls]B___855"/>
      <sheetName val="[Spt-BH.xls]B____x005f_x0004_______71"/>
      <sheetName val="[Spt-BH.xls][Spt-BH.xls]B___850"/>
      <sheetName val="[Spt-BH.xls]B___x005f_x0000__x005f_x0004_68"/>
      <sheetName val="[Spt-BH.xls][Spt-BH.xls]B___856"/>
      <sheetName val="[Spt-BH.xls][Spt-BH.xls]B___857"/>
      <sheetName val="[Spt-BH.xls][Spt-BH.xls]B___851"/>
      <sheetName val="[Spt-BH.xls][Spt-BH_xls]B___782"/>
      <sheetName val="[Spt-BH.xls][Spt-BH_xls]B___783"/>
      <sheetName val="[Spt-BH.xls][Spt-BH_xls]B___784"/>
      <sheetName val="[Spt-BH.xls][Spt-BH_xls]B___785"/>
      <sheetName val="[Spt-BH.xls][Spt-BH_xls]_Sp_252"/>
      <sheetName val="[Spt-BH.xls][Spt-BH_xls]B___786"/>
      <sheetName val="[Spt-BH.xls][Spt-BH_xls]B___787"/>
      <sheetName val="[Spt-BH.xls][Spt-BH_xls]B___788"/>
      <sheetName val="[Spt-BH.xls][Spt-BH_xls]_Sp_253"/>
      <sheetName val="[Spt-BH.xls][Spt-BH_xls]B___789"/>
      <sheetName val="[Spt-BH.xls][Spt-BH_xls]B___790"/>
      <sheetName val="[Spt-BH.xls][Spt-BH_xls]B___791"/>
      <sheetName val="[Spt-BH.xls][Spt-BH_xls]B___792"/>
      <sheetName val="[Spt-BH.xls][Spt-BH_xls]_Sp_254"/>
      <sheetName val="[Spt-BH.xls][Spt-BH_xls]B___793"/>
      <sheetName val="[Spt-BH.xls][Spt-BH_xls]B___794"/>
      <sheetName val="[Spt-BH.xls][Spt-BH_xls]_Sp_255"/>
      <sheetName val="[Spt-BH.xls][Spt-BH_xls]B___795"/>
      <sheetName val="[Spt-BH.xls][Spt-BH_xls]B___796"/>
      <sheetName val="[Spt-BH.xls][Spt-BH_xls]_Sp_256"/>
      <sheetName val="[Spt-BH.xls][Spt-BH.xls]B___858"/>
      <sheetName val="[Spt-BH.xls][Spt-BH.xls]B___859"/>
      <sheetName val="[Spt-BH.xls][Spt-BH.xls]_Sp_309"/>
      <sheetName val="[Spt-BH.xls][Spt-BH.xls]B___860"/>
      <sheetName val="[Spt-BH.xls][Spt-BH.xls]B___861"/>
      <sheetName val="[Spt-BH.xls][Spt-BH.xls]B___862"/>
      <sheetName val="[Spt-BH.xls][Spt-BH.xls]_Sp_308"/>
      <sheetName val="[Spt-BH.xls][Spt-BH.xls]B___863"/>
      <sheetName val="[Spt-BH.xls][Spt-BH.xls]B___871"/>
      <sheetName val="[Spt-BH.xls][Spt-BH.xls]B___872"/>
      <sheetName val="[Spt-BH.xls][Spt-BH.xls]_Sp_313"/>
      <sheetName val="[Spt-BH.xls][Spt-BH.xls]B___873"/>
      <sheetName val="[Spt-BH.xls][Spt-BH.xls]B___874"/>
      <sheetName val="[Spt-BH.xls]B____x005f_x0004_______72"/>
      <sheetName val="[Spt-BH.xls][Spt-BH.xls]B___864"/>
      <sheetName val="[Spt-BH.xls][Spt-BH.xls]B___865"/>
      <sheetName val="[Spt-BH.xls][Spt-BH.xls]_Sp_311"/>
      <sheetName val="[Spt-BH.xls][Spt-BH.xls]B___866"/>
      <sheetName val="[Spt-BH.xls][Spt-BH.xls]B___867"/>
      <sheetName val="[Spt-BH.xls][Spt-BH.xls]B___868"/>
      <sheetName val="[Spt-BH.xls][Spt-BH.xls]B___869"/>
      <sheetName val="[Spt-BH.xls]B___x005f_x0000__x005f_x0004_69"/>
      <sheetName val="[Spt-BH.xls][Spt-BH.xls]B___875"/>
      <sheetName val="[Spt-BH.xls][Spt-BH.xls]B___876"/>
      <sheetName val="[Spt-BH.xls][Spt-BH.xls]B___870"/>
      <sheetName val="[Spt-BH.xls][Spt-BH.xls]_Sp_312"/>
      <sheetName val="[Spt-BH.xls][Spt-BH_xls]B___797"/>
      <sheetName val="[Spt-BH.xls][Spt-BH_xls]B___798"/>
      <sheetName val="[Spt-BH.xls][Spt-BH_xls]B___799"/>
      <sheetName val="[Spt-BH.xls][Spt-BH_xls]B___800"/>
      <sheetName val="[Spt-BH.xls][Spt-BH_xls]_Sp_257"/>
      <sheetName val="[Spt-BH.xls][Spt-BH_xls]B___801"/>
      <sheetName val="[Spt-BH.xls][Spt-BH_xls]B___802"/>
      <sheetName val="[Spt-BH.xls][Spt-BH_xls]B___803"/>
      <sheetName val="[Spt-BH.xls][Spt-BH_xls]_Sp_258"/>
      <sheetName val="[Spt-BH.xls][Spt-BH_xls]B___804"/>
      <sheetName val="[Spt-BH.xls][Spt-BH_xls]B___805"/>
      <sheetName val="[Spt-BH.xls][Spt-BH_xls]B___806"/>
      <sheetName val="[Spt-BH.xls][Spt-BH_xls]B___807"/>
      <sheetName val="[Spt-BH.xls][Spt-BH_xls]_Sp_259"/>
      <sheetName val="[Spt-BH.xls][Spt-BH.xls]_Sp_310"/>
      <sheetName val="[Spt-BH.xls][Spt-BH_xls]B___808"/>
      <sheetName val="[Spt-BH.xls][Spt-BH_xls]B___809"/>
      <sheetName val="[Spt-BH.xls][Spt-BH_xls]_Sp_260"/>
      <sheetName val="[Spt-BH.xls][Spt-BH_xls]B___810"/>
      <sheetName val="[Spt-BH.xls][Spt-BH_xls]B___811"/>
      <sheetName val="[Spt-BH.xls][Spt-BH_xls]_Sp_261"/>
      <sheetName val="[Spt-BH.xls][Spt-BH.xls]B___904"/>
      <sheetName val="[Spt-BH.xls][Spt-BH.xls]B___905"/>
      <sheetName val="[Spt-BH.xls][Spt-BH.xls]_Sp_327"/>
      <sheetName val="[Spt-BH.xls][Spt-BH.xls]B___906"/>
      <sheetName val="[Spt-BH.xls][Spt-BH.xls]B___907"/>
      <sheetName val="[Spt-BH.xls]B____x005f_x0004_______73"/>
      <sheetName val="[Spt-BH.xls]B___x005f_x0000__x005f_x0004_70"/>
      <sheetName val="[Spt-BH.xls][Spt-BH.xls]B___908"/>
      <sheetName val="[Spt-BH.xls][Spt-BH.xls]B___877"/>
      <sheetName val="[Spt-BH.xls][Spt-BH.xls]B___878"/>
      <sheetName val="[Spt-BH.xls][Spt-BH.xls]_Sp_325"/>
      <sheetName val="[Spt-BH.xls][Spt-BH.xls]B___879"/>
      <sheetName val="[Spt-BH.xls][Spt-BH.xls]B___880"/>
      <sheetName val="[Spt-BH.xls][Spt-BH.xls]B___909"/>
      <sheetName val="[Spt-BH.xls][Spt-BH.xls]_Sp_326"/>
      <sheetName val="[Spt-BH.xls][Spt-BH.xls]B___885"/>
      <sheetName val="[Spt-BH.xls][Spt-BH.xls]B___886"/>
      <sheetName val="[Spt-BH.xls][Spt-BH.xls]_Sp_324"/>
      <sheetName val="[Spt-BH.xls][Spt-BH.xls]B___887"/>
      <sheetName val="[Spt-BH.xls][Spt-BH.xls]B___888"/>
      <sheetName val="[Spt-BH.xls]B____x005f_x0004_______75"/>
      <sheetName val="[Spt-BH.xls][Spt-BH.xls]_Sp_316"/>
      <sheetName val="[Spt-BH.xls][Spt-BH.xls]B___881"/>
      <sheetName val="[Spt-BH.xls][Spt-BH.xls]B___882"/>
      <sheetName val="[Spt-BH.xls][Spt-BH.xls]B___883"/>
      <sheetName val="[Spt-BH.xls][Spt-BH.xls]_Sp_315"/>
      <sheetName val="[Spt-BH.xls]B___x005f_x0000__x005f_x0004_72"/>
      <sheetName val="[Spt-BH.xls][Spt-BH.xls]B___889"/>
      <sheetName val="[Spt-BH.xls][Spt-BH.xls]B___890"/>
      <sheetName val="[Spt-BH.xls][Spt-BH.xls]B___884"/>
      <sheetName val="[Spt-BH.xls]B____x005f_x0004_______74"/>
      <sheetName val="[Spt-BH.xls]B___x005f_x0000__x005f_x0004_71"/>
      <sheetName val="[Spt-BH.xls][Spt-BH.xls]_Sp_317"/>
      <sheetName val="[Spt-BH.xls][Spt-BH_xls]B___812"/>
      <sheetName val="[Spt-BH.xls][Spt-BH_xls]B___813"/>
      <sheetName val="[Spt-BH.xls][Spt-BH_xls]B___814"/>
      <sheetName val="[Spt-BH.xls][Spt-BH_xls]B___815"/>
      <sheetName val="[Spt-BH.xls][Spt-BH_xls]B___816"/>
      <sheetName val="[Spt-BH.xls][Spt-BH_xls]B___817"/>
      <sheetName val="[Spt-BH.xls][Spt-BH_xls]B___818"/>
      <sheetName val="[Spt-BH.xls][Spt-BH_xls]_Sp_262"/>
      <sheetName val="[Spt-BH.xls][Spt-BH.xls]_Sp_321"/>
      <sheetName val="[Spt-BH.xls][Spt-BH.xls]B___892"/>
      <sheetName val="[Spt-BH.xls][Spt-BH.xls]B___893"/>
      <sheetName val="[Spt-BH.xls][Spt-BH.xls]_Sp_320"/>
      <sheetName val="[Spt-BH.xls][Spt-BH.xls]B___894"/>
      <sheetName val="[Spt-BH.xls][Spt-BH.xls]B___895"/>
      <sheetName val="[Spt-BH.xls]B____x005f_x0004_______76"/>
      <sheetName val="[Spt-BH.xls][Spt-BH.xls]_Sp_318"/>
      <sheetName val="[Spt-BH.xls]B___x005f_x0000__x005f_x0004_73"/>
      <sheetName val="[Spt-BH.xls][Spt-BH.xls]B___896"/>
      <sheetName val="[Spt-BH.xls][Spt-BH.xls]B___897"/>
      <sheetName val="[Spt-BH.xls][Spt-BH.xls]B___891"/>
      <sheetName val="[Spt-BH.xls][Spt-BH.xls]_Sp_319"/>
      <sheetName val="[Spt-BH.xls][Spt-BH_xls]B___819"/>
      <sheetName val="[Spt-BH.xls][Spt-BH_xls]B___820"/>
      <sheetName val="[Spt-BH.xls][Spt-BH_xls]B___821"/>
      <sheetName val="[Spt-BH.xls][Spt-BH_xls]B___822"/>
      <sheetName val="[Spt-BH.xls][Spt-BH_xls]_Sp_263"/>
      <sheetName val="[Spt-BH.xls][Spt-BH_xls]B___823"/>
      <sheetName val="[Spt-BH.xls][Spt-BH_xls]B___824"/>
      <sheetName val="[Spt-BH.xls][Spt-BH_xls]B___825"/>
      <sheetName val="[Spt-BH.xls][Spt-BH_xls]_Sp_264"/>
      <sheetName val="[Spt-BH.xls][Spt-BH_xls]B___826"/>
      <sheetName val="[Spt-BH.xls][Spt-BH_xls]B___827"/>
      <sheetName val="[Spt-BH.xls][Spt-BH_xls]B___828"/>
      <sheetName val="[Spt-BH.xls][Spt-BH_xls]B___829"/>
      <sheetName val="[Spt-BH.xls][Spt-BH_xls]_Sp_265"/>
      <sheetName val="[Spt-BH.xls][Spt-BH_xls]B___830"/>
      <sheetName val="[Spt-BH.xls][Spt-BH_xls]B___831"/>
      <sheetName val="[Spt-BH.xls][Spt-BH_xls]_Sp_266"/>
      <sheetName val="[Spt-BH.xls][Spt-BH_xls]B___832"/>
      <sheetName val="[Spt-BH.xls][Spt-BH_xls]B___833"/>
      <sheetName val="[Spt-BH.xls][Spt-BH_xls]_Sp_267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322"/>
      <sheetName val="[Spt-BH.xls][Spt-BH.xls]B___902"/>
      <sheetName val="[Spt-BH.xls][Spt-BH.xls]B___903"/>
      <sheetName val="[Spt-BH.xls][Spt-BH.xls]_Sp_323"/>
      <sheetName val="[Spt-BH.xls][Spt-BH.xls]B___914"/>
      <sheetName val="[Spt-BH.xls][Spt-BH.xls]B___915"/>
      <sheetName val="[Spt-BH.xls][Spt-BH.xls]_Sp_330"/>
      <sheetName val="[Spt-BH.xls][Spt-BH.xls]B___916"/>
      <sheetName val="[Spt-BH.xls][Spt-BH.xls]B___917"/>
      <sheetName val="[Spt-BH.xls][Spt-BH.xls]_Sp_328"/>
      <sheetName val="[Spt-BH.xls][Spt-BH.xls]B___910"/>
      <sheetName val="[Spt-BH.xls][Spt-BH.xls]B___911"/>
      <sheetName val="[Spt-BH.xls][Spt-BH.xls]_Sp_329"/>
      <sheetName val="[Spt-BH.xls][Spt-BH.xls]B___912"/>
      <sheetName val="[Spt-BH.xls][Spt-BH.xls]B___913"/>
      <sheetName val="[Spt-BH.xls][Spt-BH.xls]B___918"/>
      <sheetName val="[Spt-BH.xls][Spt-BH.xls]B___919"/>
      <sheetName val="[Spt-BH.xls][Spt-BH.xls]_Sp_331"/>
      <sheetName val="[Spt-BH.xls][Spt-BH.xls]B___920"/>
      <sheetName val="[Spt-BH.xls][Spt-BH.xls]B___921"/>
      <sheetName val="[Spt-BH.xls][Spt-BH.xls]_Sp_333"/>
      <sheetName val="[Spt-BH.xls][Spt-BH.xls]_Sp_332"/>
      <sheetName val="[Spt-BH.xls][Spt-BH.xls]_Sp_334"/>
      <sheetName val="[Spt-BH.xls][Spt-BH.xls]B___922"/>
      <sheetName val="[Spt-BH.xls][Spt-BH.xls]B___923"/>
      <sheetName val="[Spt-BH.xls][Spt-BH.xls]_Sp_335"/>
      <sheetName val="[Spt-BH.xls][Spt-BH.xls]B___924"/>
      <sheetName val="[Spt-BH.xls][Spt-BH.xls]B___925"/>
      <sheetName val="[Spt-BH.xls]B____x005f_x0004_______77"/>
      <sheetName val="[Spt-BH.xls][Spt-BH.xls]_Sp_352"/>
      <sheetName val="[Spt-BH.xls][Spt-BH.xls]B___984"/>
      <sheetName val="[Spt-BH.xls][Spt-BH.xls]B___985"/>
      <sheetName val="[Spt-BH.xls][Spt-BH.xls]_Sp_354"/>
      <sheetName val="[Spt-BH.xls][Spt-BH.xls]B___986"/>
      <sheetName val="[Spt-BH.xls][Spt-BH.xls]B___987"/>
      <sheetName val="[Spt-BH.xls][Spt-BH.xls]B___988"/>
      <sheetName val="[Spt-BH.xls][Spt-BH.xls]B___989"/>
      <sheetName val="[Spt-BH.xls][Spt-BH.xls]_Sp_353"/>
      <sheetName val="[Spt-BH.xls][Spt-BH.xls]B___991"/>
      <sheetName val="[Spt-BH.xls][Spt-BH.xls]B___992"/>
      <sheetName val="[Spt-BH.xls][Spt-BH.xls]_Sp_356"/>
      <sheetName val="[Spt-BH.xls][Spt-BH.xls]B___993"/>
      <sheetName val="[Spt-BH.xls][Spt-BH.xls]B___994"/>
      <sheetName val="[Spt-BH.xls]B____x005f_x0004_______81"/>
      <sheetName val="[Spt-BH.xls]B___x005f_x0000__x005f_x0004_78"/>
      <sheetName val="[Spt-BH.xls][Spt-BH.xls]B___995"/>
      <sheetName val="[Spt-BH.xls][Spt-BH.xls]B___996"/>
      <sheetName val="[Spt-BH.xls][Spt-BH.xls]B___990"/>
      <sheetName val="[Spt-BH.xls][Spt-BH.xls]_Sp_355"/>
      <sheetName val="[Spt-BH.xls][Spt-BH_xls]B___913"/>
      <sheetName val="[Spt-BH.xls][Spt-BH_xls]B___914"/>
      <sheetName val="[Spt-BH.xls][Spt-BH_xls]B___915"/>
      <sheetName val="[Spt-BH.xls][Spt-BH_xls]B___916"/>
      <sheetName val="[Spt-BH.xls][Spt-BH_xls]_Sp_295"/>
      <sheetName val="[Spt-BH.xls][Spt-BH_xls]B___917"/>
      <sheetName val="[Spt-BH.xls][Spt-BH_xls]B___918"/>
      <sheetName val="[Spt-BH.xls][Spt-BH_xls]B___919"/>
      <sheetName val="[Spt-BH.xls][Spt-BH_xls]_Sp_296"/>
      <sheetName val="[Spt-BH.xls][Spt-BH_xls]B___920"/>
      <sheetName val="[Spt-BH.xls][Spt-BH_xls]B___921"/>
      <sheetName val="[Spt-BH.xls][Spt-BH_xls]B___922"/>
      <sheetName val="[Spt-BH.xls][Spt-BH_xls]B___923"/>
      <sheetName val="[Spt-BH.xls][Spt-BH_xls]_Sp_297"/>
      <sheetName val="[Spt-BH.xls][Spt-BH_xls]B___924"/>
      <sheetName val="[Spt-BH.xls][Spt-BH_xls]B___925"/>
      <sheetName val="[Spt-BH.xls][Spt-BH_xls]_Sp_298"/>
      <sheetName val="[Spt-BH.xls][Spt-BH_xls]B___926"/>
      <sheetName val="[Spt-BH.xls][Spt-BH_xls]B___927"/>
      <sheetName val="[Spt-BH.xls][Spt-BH_xls]_Sp_299"/>
      <sheetName val="[Spt-BH.xls][Spt-BH.xls]_Sp_336"/>
      <sheetName val="[Spt-BH.xls][Spt-BH.xls]B___926"/>
      <sheetName val="[Spt-BH.xls][Spt-BH.xls]B___927"/>
      <sheetName val="[Spt-BH.xls][Spt-BH.xls]B___928"/>
      <sheetName val="[Spt-BH.xls][Spt-BH.xls]B___929"/>
      <sheetName val="[Spt-BH.xls][Spt-BH.xls]B___930"/>
      <sheetName val="[Spt-BH.xls][Spt-BH.xls]B___931"/>
      <sheetName val="[Spt-BH.xls][Spt-BH.xls]_Sp_337"/>
      <sheetName val="[Spt-BH.xls]B____x005f_x0004_______78"/>
      <sheetName val="[Spt-BH.xls]B___x005f_x0000__x005f_x0004_74"/>
      <sheetName val="[Spt-BH.xls][Spt-BH.xls]B___932"/>
      <sheetName val="[Spt-BH.xls][Spt-BH_xls]B___834"/>
      <sheetName val="[Spt-BH.xls][Spt-BH_xls]B___835"/>
      <sheetName val="[Spt-BH.xls][Spt-BH_xls]B___836"/>
      <sheetName val="[Spt-BH.xls][Spt-BH_xls]B___837"/>
      <sheetName val="[Spt-BH.xls][Spt-BH_xls]_Sp_268"/>
      <sheetName val="[Spt-BH.xls][Spt-BH_xls]B___838"/>
      <sheetName val="[Spt-BH.xls][Spt-BH_xls]B___839"/>
      <sheetName val="[Spt-BH.xls][Spt-BH_xls]B___840"/>
      <sheetName val="[Spt-BH.xls][Spt-BH_xls]_Sp_269"/>
      <sheetName val="[Spt-BH.xls][Spt-BH_xls]B___841"/>
      <sheetName val="[Spt-BH.xls][Spt-BH_xls]B___842"/>
      <sheetName val="[Spt-BH.xls][Spt-BH_xls]B___843"/>
      <sheetName val="[Spt-BH.xls][Spt-BH_xls]B___844"/>
      <sheetName val="[Spt-BH.xls][Spt-BH_xls]_Sp_270"/>
      <sheetName val="[Spt-BH.xls][Spt-BH_xls]B___845"/>
      <sheetName val="[Spt-BH.xls][Spt-BH_xls]B___846"/>
      <sheetName val="[Spt-BH.xls][Spt-BH_xls]_Sp_271"/>
      <sheetName val="[Spt-BH.xls][Spt-BH_xls]B___847"/>
      <sheetName val="[Spt-BH.xls][Spt-BH_xls]B___848"/>
      <sheetName val="[Spt-BH.xls][Spt-BH_xls]_Sp_272"/>
      <sheetName val="ESSF-059 R7"/>
      <sheetName val="[Spt-BH.xls]B@["/>
      <sheetName val="_Spt-BH.xls__Spt-BH.xls_B@_@__$"/>
      <sheetName val="_Spt-BH.xls_B@_"/>
      <sheetName val="_Spt-BH.xls_B@___x0004_@_____$__"/>
      <sheetName val="_Spt-BH.xls_B@_@__$"/>
      <sheetName val="_Spt-BH.xls_B@__@_____$__"/>
      <sheetName val="_Spt-BH.xls_B@___x0004_@___$_"/>
      <sheetName val="JMR abstract"/>
      <sheetName val="DM tANK Allow"/>
      <sheetName val="CGL"/>
      <sheetName val="BTB"/>
      <sheetName val="cf"/>
      <sheetName val="orders"/>
      <sheetName val="Vind - BtB"/>
      <sheetName val="R2"/>
      <sheetName val="MG"/>
      <sheetName val="LANGUAGE"/>
      <sheetName val="B@__x0000__x0"/>
      <sheetName val="_Spt-BH.xls__Spt-BH.xls_B@__x00"/>
      <sheetName val="_Spt-BH.xls__Spt-BH.xls_B@___x0"/>
      <sheetName val="_Spt-BH.xls_B@__x0000__x0004_@_"/>
      <sheetName val="_Spt-BH.xls_B@___x0004_@_____$_"/>
      <sheetName val="beam-reinft-machine rm"/>
      <sheetName val="Schedule(4)"/>
      <sheetName val="1010"/>
      <sheetName val="1020"/>
      <sheetName val="1090"/>
      <sheetName val="Camp Power Cost"/>
      <sheetName val="Camp_Power_Cost"/>
      <sheetName val="Rate analysis civil"/>
      <sheetName val="material and Labour rate"/>
      <sheetName val="Sheet3 (2)"/>
      <sheetName val="Wing Wise Status"/>
      <sheetName val="PPA Summary"/>
      <sheetName val="B@___x005f_x0004_@_"/>
      <sheetName val="B@__x005f_x005f_x00"/>
      <sheetName val="B@___x005f_x005f_x0"/>
      <sheetName val="_Spt-BH.xls_B@__@___$_"/>
      <sheetName val="Detail In Door Stad"/>
      <sheetName val="B@[_x005f_x0000__x005f_x0004_@_"/>
      <sheetName val="13. Steel - Ratio"/>
      <sheetName val="Bill No 2 to 8 (Rev)"/>
      <sheetName val="COP"/>
      <sheetName val="INDIGINEOUS ITEMS "/>
      <sheetName val="intr stool brkup"/>
      <sheetName val="_Spt-BH_xls__Spt-BH_xls_B@_@"/>
      <sheetName val="B@[_x0000__x0004_@_x0000__x0000"/>
      <sheetName val="Lowside"/>
      <sheetName val="Sales"/>
      <sheetName val="master"/>
      <sheetName val="TB"/>
      <sheetName val="Day work"/>
      <sheetName val="CLAY"/>
      <sheetName val="SàQa_x0005_@???²"/>
      <sheetName val="Parameter"/>
      <sheetName val="CashFlow"/>
      <sheetName val="A01-A02-L&amp;T"/>
      <sheetName val="01"/>
      <sheetName val="TMT STEEL"/>
      <sheetName val="Extra Item"/>
      <sheetName val="SEW4"/>
      <sheetName val="Cost_Any."/>
      <sheetName val="acevsSp (ABC)"/>
      <sheetName val="Calculation Sheet"/>
      <sheetName val="SàQa_x0005_@_x0000_"/>
      <sheetName val="Data_sheet"/>
      <sheetName val="beam-reinft-machine_rm"/>
      <sheetName val="Vind_-_BtB"/>
      <sheetName val="Data_sheet1"/>
      <sheetName val="beam-reinft-machine_rm1"/>
      <sheetName val="Vind_-_BtB1"/>
      <sheetName val="2_BHK1"/>
      <sheetName val="BALANCE-IOTL_1"/>
      <sheetName val="SP&amp;ST_제출가1"/>
      <sheetName val="Basic_Rates1"/>
      <sheetName val="activit-graph__1"/>
      <sheetName val="kppl_pl1"/>
      <sheetName val="det_est"/>
      <sheetName val="CASHFLOWS"/>
      <sheetName val="선수금"/>
      <sheetName val="입찰내역 발주처 양식"/>
      <sheetName val="detail'02"/>
      <sheetName val="SC Cost FEB 03"/>
      <sheetName val="Internet"/>
      <sheetName val="Meas.-Hotel Part"/>
      <sheetName val="B@___x0004_@_"/>
      <sheetName val="B@__x00"/>
      <sheetName val="B@___x0"/>
      <sheetName val="B@__x005F"/>
      <sheetName val="[Spt-BH.xls][Spt-BH.xls]_Sp_338"/>
      <sheetName val="[Spt-BH.xls][Spt-BH.xls]B___938"/>
      <sheetName val="[Spt-BH.xls][Spt-BH.xls]B___939"/>
      <sheetName val="[Spt-BH.xls][Spt-BH.xls]B___940"/>
      <sheetName val="[Spt-BH.xls][Spt-BH.xls]B___941"/>
      <sheetName val="[Spt-BH.xls][Spt-BH.xls]B___942"/>
      <sheetName val="[Spt-BH.xls][Spt-BH.xls]B___943"/>
      <sheetName val="[Spt-BH.xls][Spt-BH.xls]B___933"/>
      <sheetName val="[Spt-BH.xls][Spt-BH.xls]B___934"/>
      <sheetName val="[Spt-BH.xls][Spt-BH.xls]B___935"/>
      <sheetName val="[Spt-BH.xls][Spt-BH.xls]B___936"/>
      <sheetName val="[Spt-BH.xls][Spt-BH.xls]B___937"/>
      <sheetName val="[Spt-BH.xls][Spt-BH.xls]B___951"/>
      <sheetName val="[Spt-BH.xls][Spt-BH.xls]B___952"/>
      <sheetName val="[Spt-BH.xls][Spt-BH.xls]_Sp_342"/>
      <sheetName val="[Spt-BH.xls][Spt-BH.xls]B___953"/>
      <sheetName val="[Spt-BH.xls][Spt-BH.xls]B___954"/>
      <sheetName val="[Spt-BH.xls][Spt-BH.xls]B___944"/>
      <sheetName val="[Spt-BH.xls][Spt-BH.xls]B___945"/>
      <sheetName val="[Spt-BH.xls][Spt-BH.xls]_Sp_340"/>
      <sheetName val="[Spt-BH.xls][Spt-BH.xls]B___946"/>
      <sheetName val="[Spt-BH.xls][Spt-BH.xls]B___947"/>
      <sheetName val="[Spt-BH.xls][Spt-BH.xls]B___948"/>
      <sheetName val="[Spt-BH.xls][Spt-BH.xls]B___949"/>
      <sheetName val="[Spt-BH.xls][Spt-BH.xls]B___955"/>
      <sheetName val="[Spt-BH.xls][Spt-BH.xls]B___956"/>
      <sheetName val="[Spt-BH.xls][Spt-BH.xls]B___950"/>
      <sheetName val="[Spt-BH.xls][Spt-BH.xls]_Sp_341"/>
      <sheetName val="[Spt-BH.xls][Spt-BH_xls]_Sp_273"/>
      <sheetName val="[Spt-BH.xls][Spt-BH_xls]B___849"/>
      <sheetName val="[Spt-BH.xls][Spt-BH_xls]B___850"/>
      <sheetName val="[Spt-BH.xls][Spt-BH_xls]B___851"/>
      <sheetName val="[Spt-BH.xls][Spt-BH_xls]B___852"/>
      <sheetName val="[Spt-BH.xls][Spt-BH_xls]_Sp_274"/>
      <sheetName val="[Spt-BH.xls][Spt-BH.xls]_Sp_339"/>
      <sheetName val="[Spt-BH.xls][Spt-BH_xls]B___853"/>
      <sheetName val="[Spt-BH.xls][Spt-BH_xls]B___854"/>
      <sheetName val="[Spt-BH.xls][Spt-BH_xls]_Sp_275"/>
      <sheetName val="[Spt-BH.xls][Spt-BH_xls]B___855"/>
      <sheetName val="[Spt-BH.xls][Spt-BH_xls]B___856"/>
      <sheetName val="[Spt-BH.xls][Spt-BH_xls]_Sp_276"/>
      <sheetName val="[Spt-BH.xls][Spt-BH.xls]B___958"/>
      <sheetName val="[Spt-BH.xls][Spt-BH.xls]B___959"/>
      <sheetName val="[Spt-BH.xls][Spt-BH.xls]_Sp_344"/>
      <sheetName val="[Spt-BH.xls][Spt-BH.xls]B___960"/>
      <sheetName val="[Spt-BH.xls][Spt-BH.xls]B___961"/>
      <sheetName val="[Spt-BH.xls][Spt-BH.xls]B___962"/>
      <sheetName val="[Spt-BH.xls][Spt-BH.xls]B___963"/>
      <sheetName val="[Spt-BH.xls][Spt-BH.xls]B___957"/>
      <sheetName val="[Spt-BH.xls][Spt-BH.xls]_Sp_343"/>
      <sheetName val="[Spt-BH.xls][Spt-BH_xls]B___857"/>
      <sheetName val="[Spt-BH.xls][Spt-BH_xls]B___858"/>
      <sheetName val="[Spt-BH.xls][Spt-BH_xls]B___859"/>
      <sheetName val="[Spt-BH.xls][Spt-BH_xls]B___860"/>
      <sheetName val="[Spt-BH.xls][Spt-BH_xls]_Sp_277"/>
      <sheetName val="[Spt-BH.xls][Spt-BH_xls]B___861"/>
      <sheetName val="[Spt-BH.xls][Spt-BH_xls]B___862"/>
      <sheetName val="[Spt-BH.xls][Spt-BH_xls]B___863"/>
      <sheetName val="[Spt-BH.xls][Spt-BH_xls]_Sp_278"/>
      <sheetName val="[Spt-BH.xls][Spt-BH_xls]B___864"/>
      <sheetName val="[Spt-BH.xls][Spt-BH_xls]B___865"/>
      <sheetName val="[Spt-BH.xls][Spt-BH_xls]B___866"/>
      <sheetName val="[Spt-BH.xls][Spt-BH_xls]B___867"/>
      <sheetName val="[Spt-BH.xls][Spt-BH_xls]_Sp_279"/>
      <sheetName val="[Spt-BH.xls][Spt-BH_xls]B___868"/>
      <sheetName val="[Spt-BH.xls][Spt-BH_xls]B___869"/>
      <sheetName val="[Spt-BH.xls][Spt-BH_xls]_Sp_280"/>
      <sheetName val="[Spt-BH.xls][Spt-BH_xls]B___870"/>
      <sheetName val="[Spt-BH.xls][Spt-BH_xls]B___871"/>
      <sheetName val="[Spt-BH.xls][Spt-BH_xls]_Sp_281"/>
      <sheetName val="[Spt-BH.xls][Spt-BH.xls]_Sp_345"/>
      <sheetName val="[Spt-BH.xls][Spt-BH.xls]B___964"/>
      <sheetName val="[Spt-BH.xls][Spt-BH.xls]B___965"/>
      <sheetName val="[Spt-BH.xls][Spt-BH.xls]_Sp_347"/>
      <sheetName val="[Spt-BH.xls][Spt-BH.xls]B___966"/>
      <sheetName val="[Spt-BH.xls][Spt-BH.xls]B___967"/>
      <sheetName val="[Spt-BH.xls][Spt-BH.xls]B___971"/>
      <sheetName val="[Spt-BH.xls][Spt-BH.xls]B___972"/>
      <sheetName val="[Spt-BH.xls][Spt-BH.xls]_Sp_349"/>
      <sheetName val="[Spt-BH.xls][Spt-BH.xls]B___973"/>
      <sheetName val="[Spt-BH.xls][Spt-BH.xls]B___974"/>
      <sheetName val="[Spt-BH.xls][Spt-BH.xls]B___968"/>
      <sheetName val="[Spt-BH.xls][Spt-BH.xls]B___969"/>
      <sheetName val="[Spt-BH.xls][Spt-BH.xls]B___975"/>
      <sheetName val="[Spt-BH.xls][Spt-BH.xls]B___976"/>
      <sheetName val="[Spt-BH.xls][Spt-BH.xls]B___970"/>
      <sheetName val="[Spt-BH.xls][Spt-BH.xls]_Sp_348"/>
      <sheetName val="[Spt-BH.xls][Spt-BH_xls]B___872"/>
      <sheetName val="[Spt-BH.xls][Spt-BH_xls]B___873"/>
      <sheetName val="[Spt-BH.xls][Spt-BH_xls]B___874"/>
      <sheetName val="[Spt-BH.xls][Spt-BH_xls]B___875"/>
      <sheetName val="[Spt-BH.xls][Spt-BH_xls]_Sp_282"/>
      <sheetName val="[Spt-BH.xls][Spt-BH_xls]B___876"/>
      <sheetName val="[Spt-BH.xls][Spt-BH_xls]B___877"/>
      <sheetName val="[Spt-BH.xls][Spt-BH_xls]B___878"/>
      <sheetName val="[Spt-BH.xls][Spt-BH_xls]_Sp_283"/>
      <sheetName val="[Spt-BH.xls][Spt-BH_xls]B___879"/>
      <sheetName val="[Spt-BH.xls][Spt-BH_xls]B___880"/>
      <sheetName val="[Spt-BH.xls][Spt-BH_xls]B___881"/>
      <sheetName val="[Spt-BH.xls][Spt-BH_xls]B___882"/>
      <sheetName val="[Spt-BH.xls][Spt-BH_xls]_Sp_284"/>
      <sheetName val="[Spt-BH.xls][Spt-BH.xls]_Sp_346"/>
      <sheetName val="[Spt-BH.xls][Spt-BH_xls]B___883"/>
      <sheetName val="[Spt-BH.xls][Spt-BH_xls]B___884"/>
      <sheetName val="[Spt-BH.xls][Spt-BH_xls]_Sp_285"/>
      <sheetName val="[Spt-BH.xls][Spt-BH_xls]B___885"/>
      <sheetName val="[Spt-BH.xls][Spt-BH_xls]B___886"/>
      <sheetName val="[Spt-BH.xls][Spt-BH_xls]_Sp_286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80"/>
      <sheetName val="[Spt-BH.xls]B___x005f_x0000__x005f_x0004_77"/>
      <sheetName val="[Spt-BH.xls][Spt-BH.xls]B___982"/>
      <sheetName val="[Spt-BH.xls][Spt-BH.xls]B___983"/>
      <sheetName val="[Spt-BH.xls][Spt-BH.xls]B___977"/>
      <sheetName val="[Spt-BH.xls][Spt-BH.xls]_Sp_350"/>
      <sheetName val="[Spt-BH.xls][Spt-BH_xls]B___887"/>
      <sheetName val="[Spt-BH.xls][Spt-BH_xls]B___888"/>
      <sheetName val="[Spt-BH.xls][Spt-BH_xls]B___889"/>
      <sheetName val="[Spt-BH.xls][Spt-BH_xls]B___890"/>
      <sheetName val="[Spt-BH.xls][Spt-BH_xls]_Sp_287"/>
      <sheetName val="[Spt-BH.xls][Spt-BH_xls]B___891"/>
      <sheetName val="[Spt-BH.xls][Spt-BH_xls]B___892"/>
      <sheetName val="[Spt-BH.xls][Spt-BH_xls]B___893"/>
      <sheetName val="[Spt-BH.xls][Spt-BH_xls]_Sp_288"/>
      <sheetName val="[Spt-BH.xls][Spt-BH_xls]B___894"/>
      <sheetName val="[Spt-BH.xls][Spt-BH_xls]B___895"/>
      <sheetName val="[Spt-BH.xls][Spt-BH_xls]B___896"/>
      <sheetName val="[Spt-BH.xls][Spt-BH_xls]B___897"/>
      <sheetName val="[Spt-BH.xls][Spt-BH_xls]_Sp_289"/>
      <sheetName val="[Spt-BH.xls][Spt-BH_xls]B___898"/>
      <sheetName val="[Spt-BH.xls][Spt-BH_xls]B___899"/>
      <sheetName val="[Spt-BH.xls][Spt-BH_xls]_Sp_290"/>
      <sheetName val="[Spt-BH.xls][Spt-BH_xls]B___900"/>
      <sheetName val="[Spt-BH.xls][Spt-BH_xls]B___901"/>
      <sheetName val="[Spt-BH.xls][Spt-BH_xls]_Sp_291"/>
      <sheetName val="[Spt-BH.xls]B____x005f_x0004_______79"/>
      <sheetName val="[Spt-BH.xls]B___x005f_x0000__x005f_x0004_76"/>
      <sheetName val="[Spt-BH.xls]B___x005f_x0000__x005f_x0004_75"/>
      <sheetName val="[Spt-BH.xls][Spt-BH_xls]B___902"/>
      <sheetName val="[Spt-BH.xls][Spt-BH_xls]B___903"/>
      <sheetName val="[Spt-BH.xls][Spt-BH_xls]B___904"/>
      <sheetName val="[Spt-BH.xls][Spt-BH_xls]B___905"/>
      <sheetName val="[Spt-BH.xls][Spt-BH_xls]B___906"/>
      <sheetName val="[Spt-BH.xls][Spt-BH_xls]B___907"/>
      <sheetName val="[Spt-BH.xls][Spt-BH_xls]B___908"/>
      <sheetName val="[Spt-BH.xls][Spt-BH_xls]_Sp_292"/>
      <sheetName val="[Spt-BH.xls][Spt-BH_xls]B___909"/>
      <sheetName val="[Spt-BH.xls][Spt-BH_xls]B___910"/>
      <sheetName val="[Spt-BH.xls][Spt-BH_xls]_Sp_293"/>
      <sheetName val="[Spt-BH.xls][Spt-BH_xls]B___911"/>
      <sheetName val="[Spt-BH.xls][Spt-BH_xls]B___912"/>
      <sheetName val="[Spt-BH.xls][Spt-BH_xls]_Sp_294"/>
      <sheetName val="[Spt-BH.xls][Spt-BH.xls]_Sp_351"/>
      <sheetName val="[Spt-BH.xls][Spt-BH.xls]_Sp_357"/>
      <sheetName val="[Spt-BH.xls][Spt-BH.xls]B___997"/>
      <sheetName val="[Spt-BH.xls][Spt-BH.xls]B___998"/>
      <sheetName val="[Spt-BH.xls][Spt-BH.xls]_Sp_361"/>
      <sheetName val="[Spt-BH.xls][Spt-BH.xls]B___999"/>
      <sheetName val="[Spt-BH.xls][Spt-BH.xls]B__1000"/>
      <sheetName val="[Spt-BH.xls][Spt-BH.xls]B__1001"/>
      <sheetName val="[Spt-BH.xls][Spt-BH.xls]B__1002"/>
      <sheetName val="[Spt-BH.xls][Spt-BH.xls]_Sp_358"/>
      <sheetName val="[Spt-BH.xls][Spt-BH.xls]_Sp_359"/>
      <sheetName val="[Spt-BH.xls][Spt-BH.xls]B__1004"/>
      <sheetName val="[Spt-BH.xls][Spt-BH.xls]B__1005"/>
      <sheetName val="[Spt-BH.xls][Spt-BH.xls]B__1006"/>
      <sheetName val="[Spt-BH.xls][Spt-BH.xls]B__1007"/>
      <sheetName val="[Spt-BH.xls][Spt-BH.xls]B__1008"/>
      <sheetName val="[Spt-BH.xls][Spt-BH.xls]B__1009"/>
      <sheetName val="[Spt-BH.xls][Spt-BH.xls]_Sp_360"/>
      <sheetName val="[Spt-BH.xls][Spt-BH.xls]B__1011"/>
      <sheetName val="[Spt-BH.xls][Spt-BH.xls]B__1012"/>
      <sheetName val="[Spt-BH.xls][Spt-BH.xls]_Sp_369"/>
      <sheetName val="[Spt-BH.xls][Spt-BH.xls]B__1013"/>
      <sheetName val="[Spt-BH.xls][Spt-BH.xls]B__1014"/>
      <sheetName val="[Spt-BH.xls]B____x005f_x0004_______83"/>
      <sheetName val="[Spt-BH.xls]B___x005f_x0000__x005f_x0004_80"/>
      <sheetName val="[Spt-BH.xls][Spt-BH.xls]B__1015"/>
      <sheetName val="[Spt-BH.xls][Spt-BH.xls]B__1016"/>
      <sheetName val="[Spt-BH.xls][Spt-BH.xls]B__1010"/>
      <sheetName val="[Spt-BH.xls][Spt-BH.xls]_Sp_362"/>
      <sheetName val="[Spt-BH.xls][Spt-BH_xls]B___943"/>
      <sheetName val="[Spt-BH.xls][Spt-BH_xls]B___944"/>
      <sheetName val="[Spt-BH.xls][Spt-BH_xls]B___945"/>
      <sheetName val="[Spt-BH.xls][Spt-BH_xls]B___946"/>
      <sheetName val="[Spt-BH.xls][Spt-BH_xls]_Sp_305"/>
      <sheetName val="[Spt-BH.xls][Spt-BH_xls]B___947"/>
      <sheetName val="[Spt-BH.xls][Spt-BH_xls]B___948"/>
      <sheetName val="[Spt-BH.xls][Spt-BH_xls]B___949"/>
      <sheetName val="[Spt-BH.xls][Spt-BH_xls]_Sp_306"/>
      <sheetName val="[Spt-BH.xls][Spt-BH_xls]B___950"/>
      <sheetName val="[Spt-BH.xls][Spt-BH_xls]B___951"/>
      <sheetName val="[Spt-BH.xls][Spt-BH_xls]B___952"/>
      <sheetName val="[Spt-BH.xls][Spt-BH_xls]B___953"/>
      <sheetName val="[Spt-BH.xls][Spt-BH_xls]_Sp_307"/>
      <sheetName val="[Spt-BH.xls][Spt-BH_xls]B___954"/>
      <sheetName val="[Spt-BH.xls][Spt-BH_xls]B___955"/>
      <sheetName val="[Spt-BH.xls][Spt-BH_xls]_Sp_308"/>
      <sheetName val="[Spt-BH.xls][Spt-BH_xls]B___956"/>
      <sheetName val="[Spt-BH.xls][Spt-BH_xls]B___957"/>
      <sheetName val="[Spt-BH.xls][Spt-BH_xls]_Sp_309"/>
      <sheetName val="[Spt-BH.xls]B____x005f_x0004_______82"/>
      <sheetName val="[Spt-BH.xls]B___x005f_x0000__x005f_x0004_79"/>
      <sheetName val="[Spt-BH.xls][Spt-BH.xls]B__1003"/>
      <sheetName val="[Spt-BH.xls][Spt-BH_xls]B___928"/>
      <sheetName val="[Spt-BH.xls][Spt-BH_xls]B___929"/>
      <sheetName val="[Spt-BH.xls][Spt-BH_xls]B___930"/>
      <sheetName val="[Spt-BH.xls][Spt-BH_xls]B___931"/>
      <sheetName val="[Spt-BH.xls][Spt-BH_xls]_Sp_300"/>
      <sheetName val="[Spt-BH.xls][Spt-BH_xls]B___932"/>
      <sheetName val="[Spt-BH.xls][Spt-BH_xls]B___933"/>
      <sheetName val="[Spt-BH.xls][Spt-BH_xls]B___934"/>
      <sheetName val="[Spt-BH.xls][Spt-BH_xls]_Sp_301"/>
      <sheetName val="[Spt-BH.xls][Spt-BH_xls]B___935"/>
      <sheetName val="[Spt-BH.xls][Spt-BH_xls]B___936"/>
      <sheetName val="[Spt-BH.xls][Spt-BH_xls]B___937"/>
      <sheetName val="[Spt-BH.xls][Spt-BH_xls]B___938"/>
      <sheetName val="[Spt-BH.xls][Spt-BH_xls]_Sp_302"/>
      <sheetName val="[Spt-BH.xls][Spt-BH_xls]B___939"/>
      <sheetName val="[Spt-BH.xls][Spt-BH_xls]B___940"/>
      <sheetName val="[Spt-BH.xls][Spt-BH_xls]_Sp_303"/>
      <sheetName val="[Spt-BH.xls][Spt-BH_xls]B___941"/>
      <sheetName val="[Spt-BH.xls][Spt-BH_xls]B___942"/>
      <sheetName val="[Spt-BH.xls][Spt-BH_xls]_Sp_304"/>
      <sheetName val="[Spt-BH.xls][Spt-BH.xls]B__1034"/>
      <sheetName val="[Spt-BH.xls][Spt-BH.xls]B__1035"/>
      <sheetName val="[Spt-BH.xls][Spt-BH.xls]_Sp_374"/>
      <sheetName val="[Spt-BH.xls][Spt-BH.xls]B__1036"/>
      <sheetName val="[Spt-BH.xls][Spt-BH.xls]B__1037"/>
      <sheetName val="[Spt-BH.xls][Spt-BH.xls]B__1038"/>
      <sheetName val="[Spt-BH.xls][Spt-BH.xls]B__1039"/>
      <sheetName val="[Spt-BH.xls][Spt-BH.xls]_Sp_370"/>
      <sheetName val="[Spt-BH.xls][Spt-BH.xls]B__1052"/>
      <sheetName val="[Spt-BH.xls][Spt-BH.xls]B__1053"/>
      <sheetName val="[Spt-BH.xls][Spt-BH.xls]B__1054"/>
      <sheetName val="[Spt-BH.xls][Spt-BH.xls]B__1055"/>
      <sheetName val="[Spt-BH.xls]B____x005f_x0004_______86"/>
      <sheetName val="[Spt-BH.xls]B___x005f_x0000__x005f_x0004_83"/>
      <sheetName val="[Spt-BH.xls][Spt-BH.xls]B__1056"/>
      <sheetName val="[Spt-BH.xls][Spt-BH.xls]B__1057"/>
      <sheetName val="[Spt-BH.xls][Spt-BH.xls]B__1040"/>
      <sheetName val="[Spt-BH.xls][Spt-BH.xls]_Sp_375"/>
      <sheetName val="[Spt-BH.xls][Spt-BH_xls]B___988"/>
      <sheetName val="[Spt-BH.xls][Spt-BH_xls]B___989"/>
      <sheetName val="[Spt-BH.xls][Spt-BH_xls]B___990"/>
      <sheetName val="[Spt-BH.xls][Spt-BH_xls]B___991"/>
      <sheetName val="[Spt-BH.xls][Spt-BH_xls]_Sp_320"/>
      <sheetName val="[Spt-BH.xls][Spt-BH_xls]B___992"/>
      <sheetName val="[Spt-BH.xls][Spt-BH_xls]B___993"/>
      <sheetName val="[Spt-BH.xls][Spt-BH_xls]B___994"/>
      <sheetName val="[Spt-BH.xls][Spt-BH_xls]_Sp_321"/>
      <sheetName val="[Spt-BH.xls][Spt-BH_xls]B___995"/>
      <sheetName val="[Spt-BH.xls][Spt-BH_xls]B___996"/>
      <sheetName val="[Spt-BH.xls][Spt-BH_xls]B___997"/>
      <sheetName val="[Spt-BH.xls][Spt-BH_xls]B___998"/>
      <sheetName val="[Spt-BH.xls][Spt-BH_xls]_Sp_322"/>
      <sheetName val="[Spt-BH.xls][Spt-BH_xls]B___999"/>
      <sheetName val="[Spt-BH.xls][Spt-BH_xls]B__1000"/>
      <sheetName val="[Spt-BH.xls][Spt-BH_xls]_Sp_323"/>
      <sheetName val="[Spt-BH.xls][Spt-BH_xls]B__1001"/>
      <sheetName val="[Spt-BH.xls][Spt-BH_xls]B__1002"/>
      <sheetName val="[Spt-BH.xls][Spt-BH_xls]_Sp_324"/>
      <sheetName val="[Spt-BH.xls][Spt-BH.xls]_Sp_363"/>
      <sheetName val="[Spt-BH.xls][Spt-BH.xls]B__1018"/>
      <sheetName val="[Spt-BH.xls][Spt-BH.xls]B__1019"/>
      <sheetName val="[Spt-BH.xls][Spt-BH.xls]B__1020"/>
      <sheetName val="[Spt-BH.xls][Spt-BH.xls]B__1021"/>
      <sheetName val="[Spt-BH.xls][Spt-BH.xls]B__1022"/>
      <sheetName val="[Spt-BH.xls][Spt-BH.xls]B__1023"/>
      <sheetName val="[Spt-BH.xls][Spt-BH.xls]_Sp_364"/>
      <sheetName val="[Spt-BH.xls]B____x005f_x0004_______85"/>
      <sheetName val="[Spt-BH.xls]B___x005f_x0000__x005f_x0004_82"/>
      <sheetName val="[Spt-BH.xls][Spt-BH.xls]B__1024"/>
      <sheetName val="[Spt-BH.xls][Spt-BH_xls]B___973"/>
      <sheetName val="[Spt-BH.xls][Spt-BH_xls]B___974"/>
      <sheetName val="[Spt-BH.xls][Spt-BH_xls]B___975"/>
      <sheetName val="[Spt-BH.xls][Spt-BH_xls]B___976"/>
      <sheetName val="[Spt-BH.xls][Spt-BH_xls]_Sp_315"/>
      <sheetName val="[Spt-BH.xls][Spt-BH_xls]B___977"/>
      <sheetName val="[Spt-BH.xls][Spt-BH_xls]B___978"/>
      <sheetName val="[Spt-BH.xls][Spt-BH_xls]B___979"/>
      <sheetName val="[Spt-BH.xls][Spt-BH_xls]_Sp_316"/>
      <sheetName val="[Spt-BH.xls][Spt-BH_xls]B___980"/>
      <sheetName val="[Spt-BH.xls][Spt-BH_xls]B___981"/>
      <sheetName val="[Spt-BH.xls][Spt-BH_xls]B___982"/>
      <sheetName val="[Spt-BH.xls][Spt-BH_xls]B___983"/>
      <sheetName val="[Spt-BH.xls][Spt-BH_xls]_Sp_317"/>
      <sheetName val="[Spt-BH.xls][Spt-BH_xls]B___984"/>
      <sheetName val="[Spt-BH.xls][Spt-BH_xls]B___985"/>
      <sheetName val="[Spt-BH.xls][Spt-BH_xls]_Sp_318"/>
      <sheetName val="[Spt-BH.xls][Spt-BH_xls]B___986"/>
      <sheetName val="[Spt-BH.xls][Spt-BH_xls]B___987"/>
      <sheetName val="[Spt-BH.xls][Spt-BH_xls]_Sp_319"/>
      <sheetName val="[Spt-BH.xls]B____x005f_x0004_______84"/>
      <sheetName val="[Spt-BH.xls]B___x005f_x0000__x005f_x0004_81"/>
      <sheetName val="[Spt-BH.xls][Spt-BH.xls]B__1017"/>
      <sheetName val="[Spt-BH.xls][Spt-BH_xls]B___958"/>
      <sheetName val="[Spt-BH.xls][Spt-BH_xls]B___959"/>
      <sheetName val="[Spt-BH.xls][Spt-BH_xls]B___960"/>
      <sheetName val="[Spt-BH.xls][Spt-BH_xls]B___961"/>
      <sheetName val="[Spt-BH.xls][Spt-BH_xls]_Sp_310"/>
      <sheetName val="[Spt-BH.xls][Spt-BH_xls]B___962"/>
      <sheetName val="[Spt-BH.xls][Spt-BH_xls]B___963"/>
      <sheetName val="[Spt-BH.xls][Spt-BH_xls]B___964"/>
      <sheetName val="[Spt-BH.xls][Spt-BH_xls]_Sp_311"/>
      <sheetName val="[Spt-BH.xls][Spt-BH_xls]B___965"/>
      <sheetName val="[Spt-BH.xls][Spt-BH_xls]B___966"/>
      <sheetName val="[Spt-BH.xls][Spt-BH_xls]B___967"/>
      <sheetName val="[Spt-BH.xls][Spt-BH_xls]B___968"/>
      <sheetName val="[Spt-BH.xls][Spt-BH_xls]_Sp_312"/>
      <sheetName val="[Spt-BH.xls][Spt-BH_xls]B___969"/>
      <sheetName val="[Spt-BH.xls][Spt-BH_xls]B___970"/>
      <sheetName val="[Spt-BH.xls][Spt-BH_xls]_Sp_313"/>
      <sheetName val="[Spt-BH.xls][Spt-BH_xls]B___971"/>
      <sheetName val="[Spt-BH.xls][Spt-BH_xls]B___972"/>
      <sheetName val="[Spt-BH.xls][Spt-BH_xls]_Sp_314"/>
      <sheetName val="[Spt-BH.xls][Spt-BH.xls]_Sp_366"/>
      <sheetName val="[Spt-BH.xls][Spt-BH.xls]B__1025"/>
      <sheetName val="[Spt-BH.xls][Spt-BH.xls]B__1026"/>
      <sheetName val="[Spt-BH.xls][Spt-BH.xls]_Sp_365"/>
      <sheetName val="[Spt-BH.xls][Spt-BH.xls]B__1028"/>
      <sheetName val="[Spt-BH.xls][Spt-BH.xls]B__1029"/>
      <sheetName val="[Spt-BH.xls][Spt-BH.xls]_Sp_368"/>
      <sheetName val="[Spt-BH.xls][Spt-BH.xls]B__1030"/>
      <sheetName val="[Spt-BH.xls][Spt-BH.xls]B__1031"/>
      <sheetName val="[Spt-BH.xls][Spt-BH.xls]B__1032"/>
      <sheetName val="[Spt-BH.xls][Spt-BH.xls]B__1033"/>
      <sheetName val="[Spt-BH.xls][Spt-BH.xls]B__1027"/>
      <sheetName val="[Spt-BH.xls][Spt-BH.xls]_Sp_367"/>
      <sheetName val="[Spt-BH.xls][Spt-BH.xls]_Sp_371"/>
      <sheetName val="[Spt-BH.xls][Spt-BH.xls]B__1041"/>
      <sheetName val="[Spt-BH.xls][Spt-BH.xls]_Sp_372"/>
      <sheetName val="[Spt-BH.xls][Spt-BH.xls]B__1042"/>
      <sheetName val="[Spt-BH.xls][Spt-BH.xls]B__1043"/>
      <sheetName val="[Spt-BH.xls]B____x005f_x0004_______87"/>
      <sheetName val="[Spt-BH.xls]B___x005f_x0000__x005f_x0004_84"/>
      <sheetName val="[Spt-BH.xls][Spt-BH.xls]B__1044"/>
      <sheetName val="[Spt-BH.xls][Spt-BH.xls]B__1045"/>
      <sheetName val="[Spt-BH.xls][Spt-BH.xls]B__1046"/>
      <sheetName val="[Spt-BH.xls][Spt-BH.xls]B__1047"/>
      <sheetName val="[Spt-BH.xls][Spt-BH.xls]B__1048"/>
      <sheetName val="[Spt-BH.xls][Spt-BH.xls]B__1049"/>
      <sheetName val="[Spt-BH.xls][Spt-BH.xls]B__1050"/>
      <sheetName val="[Spt-BH.xls][Spt-BH.xls]B__1051"/>
      <sheetName val="[Spt-BH.xls][Spt-BH.xls]_Sp_373"/>
      <sheetName val="[Spt-BH.xls][Spt-BH.xls]B__1495"/>
      <sheetName val="[Spt-BH.xls][Spt-BH.xls]B__1496"/>
      <sheetName val="[Spt-BH.xls][Spt-BH.xls]_Sp_504"/>
      <sheetName val="[Spt-BH.xls][Spt-BH.xls]B__1497"/>
      <sheetName val="[Spt-BH.xls][Spt-BH_xls]B__1408"/>
      <sheetName val="[Spt-BH.xls][Spt-BH_xls]B__1409"/>
      <sheetName val="[Spt-BH.xls][Spt-BH_xls]B__1410"/>
      <sheetName val="[Spt-BH.xls][Spt-BH_xls]B__1411"/>
      <sheetName val="[Spt-BH.xls][Spt-BH_xls]_Sp_460"/>
      <sheetName val="[Spt-BH.xls][Spt-BH_xls]B__1412"/>
      <sheetName val="[Spt-BH.xls][Spt-BH_xls]B__1413"/>
      <sheetName val="[Spt-BH.xls][Spt-BH_xls]B__1414"/>
      <sheetName val="[Spt-BH.xls][Spt-BH_xls]_Sp_461"/>
      <sheetName val="[Spt-BH.xls][Spt-BH_xls]B__1415"/>
      <sheetName val="[Spt-BH.xls][Spt-BH_xls]B__1416"/>
      <sheetName val="[Spt-BH.xls][Spt-BH_xls]B__1417"/>
      <sheetName val="[Spt-BH.xls][Spt-BH_xls]B__1418"/>
      <sheetName val="[Spt-BH.xls][Spt-BH_xls]_Sp_462"/>
      <sheetName val="[Spt-BH.xls][Spt-BH_xls]B__1419"/>
      <sheetName val="[Spt-BH.xls][Spt-BH_xls]B__1420"/>
      <sheetName val="[Spt-BH.xls][Spt-BH_xls]_Sp_463"/>
      <sheetName val="[Spt-BH.xls][Spt-BH_xls]B__1421"/>
      <sheetName val="[Spt-BH.xls][Spt-BH_xls]B__1422"/>
      <sheetName val="[Spt-BH.xls][Spt-BH_xls]_Sp_464"/>
      <sheetName val="[Spt-BH.xls][Spt-BH.xls]_Sp_489"/>
      <sheetName val="_Spt-BH.xls_B@__x005f_x0000__x005f_x0004_@_"/>
      <sheetName val="COMPLEXALL"/>
      <sheetName val="[Spt-BH.xls][Spt-BH.xls]B__1058"/>
      <sheetName val="[Spt-BH.xls][Spt-BH.xls]B__1059"/>
      <sheetName val="[Spt-BH.xls][Spt-BH.xls]B__1060"/>
      <sheetName val="[Spt-BH.xls][Spt-BH.xls]B__1061"/>
      <sheetName val="[Spt-BH.xls][Spt-BH.xls]B__1062"/>
      <sheetName val="[Spt-BH.xls][Spt-BH.xls]B__1063"/>
      <sheetName val="[Spt-BH.xls][Spt-BH.xls]B__1064"/>
      <sheetName val="[Spt-BH.xls][Spt-BH.xls]B__1076"/>
      <sheetName val="[Spt-BH.xls][Spt-BH.xls]B__1077"/>
      <sheetName val="[Spt-BH.xls][Spt-BH.xls]B__1078"/>
      <sheetName val="[Spt-BH.xls][Spt-BH.xls]B__1079"/>
      <sheetName val="[Spt-BH.xls][Spt-BH.xls]B__1080"/>
      <sheetName val="[Spt-BH.xls][Spt-BH.xls]B__1065"/>
      <sheetName val="[Spt-BH.xls][Spt-BH.xls]B__1066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82"/>
      <sheetName val="[Spt-BH.xls][Spt-BH.xls]B__1083"/>
      <sheetName val="[Spt-BH.xls][Spt-BH.xls]B__1084"/>
      <sheetName val="[Spt-BH.xls][Spt-BH.xls]B__1085"/>
      <sheetName val="[Spt-BH.xls][Spt-BH.xls]B__1086"/>
      <sheetName val="[Spt-BH.xls][Spt-BH.xls]B__1081"/>
      <sheetName val="[Spt-BH.xls][Spt-BH.xls]B__1098"/>
      <sheetName val="[Spt-BH.xls][Spt-BH.xls]B__1099"/>
      <sheetName val="[Spt-BH.xls][Spt-BH.xls]B__1100"/>
      <sheetName val="[Spt-BH.xls][Spt-BH.xls]B__1101"/>
      <sheetName val="[Spt-BH.xls][Spt-BH.xls]B__1102"/>
      <sheetName val="[Spt-BH.xls][Spt-BH.xls]B__1087"/>
      <sheetName val="[Spt-BH.xls][Spt-BH.xls]B__1088"/>
      <sheetName val="[Spt-BH.xls][Spt-BH.xls]B__1089"/>
      <sheetName val="[Spt-BH.xls][Spt-BH.xls]B__1090"/>
      <sheetName val="[Spt-BH.xls][Spt-BH.xls]B__1091"/>
      <sheetName val="[Spt-BH.xls][Spt-BH.xls]B__1092"/>
      <sheetName val="[Spt-BH.xls][Spt-BH.xls]B__1114"/>
      <sheetName val="[Spt-BH.xls][Spt-BH.xls]B__1115"/>
      <sheetName val="[Spt-BH.xls][Spt-BH.xls]B__1116"/>
      <sheetName val="[Spt-BH.xls][Spt-BH.xls]B__1117"/>
      <sheetName val="[Spt-BH.xls][Spt-BH.xls]B__1118"/>
      <sheetName val="[Spt-BH.xls][Spt-BH.xls]B__1103"/>
      <sheetName val="[Spt-BH.xls][Spt-BH.xls]B__1093"/>
      <sheetName val="[Spt-BH.xls][Spt-BH.xls]B__1094"/>
      <sheetName val="[Spt-BH.xls][Spt-BH.xls]B__1095"/>
      <sheetName val="[Spt-BH.xls][Spt-BH.xls]B__1096"/>
      <sheetName val="[Spt-BH.xls][Spt-BH.xls]B__1097"/>
      <sheetName val="[Spt-BH.xls][Spt-BH.xls]B__1104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B__1110"/>
      <sheetName val="[Spt-BH.xls][Spt-BH.xls]B__1111"/>
      <sheetName val="[Spt-BH.xls][Spt-BH.xls]B__1112"/>
      <sheetName val="[Spt-BH.xls][Spt-BH.xls]B__1113"/>
      <sheetName val="[Spt-BH.xls][Spt-BH.xls]B__1119"/>
      <sheetName val="[Spt-BH.xls][Spt-BH.xls]B__1120"/>
      <sheetName val="[Spt-BH.xls][Spt-BH.xls]B__1121"/>
      <sheetName val="[Spt-BH.xls][Spt-BH.xls]B__1122"/>
      <sheetName val="[Spt-BH.xls][Spt-BH.xls]B__1123"/>
      <sheetName val="[Spt-BH.xls][Spt-BH.xls]B__1124"/>
      <sheetName val="[Spt-BH.xls][Spt-BH.xls]B__1125"/>
      <sheetName val="[Spt-BH.xls][Spt-BH.xls]B__1126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B__1147"/>
      <sheetName val="[Spt-BH.xls][Spt-BH.xls]B__1148"/>
      <sheetName val="[Spt-BH.xls][Spt-BH.xls]B__1149"/>
      <sheetName val="[Spt-BH.xls][Spt-BH.xls]B__1150"/>
      <sheetName val="[Spt-BH.xls][Spt-BH.xls]B__1151"/>
      <sheetName val="[Spt-BH.xls][Spt-BH.xls]B__1152"/>
      <sheetName val="[Spt-BH.xls][Spt-BH.xls]B__1153"/>
      <sheetName val="[Spt-BH.xls][Spt-BH.xls]B__1154"/>
      <sheetName val="[Spt-BH.xls][Spt-BH.xls]B__1155"/>
      <sheetName val="[Spt-BH.xls][Spt-BH.xls]B__1175"/>
      <sheetName val="[Spt-BH.xls][Spt-BH.xls]B__1176"/>
      <sheetName val="[Spt-BH.xls][Spt-BH.xls]B__1177"/>
      <sheetName val="[Spt-BH.xls][Spt-BH.xls]B__1178"/>
      <sheetName val="[Spt-BH.xls]B___x005f_x0000__x005f_x0004_85"/>
      <sheetName val="[Spt-BH.xls][Spt-BH.xls]B__1179"/>
      <sheetName val="[Spt-BH.xls][Spt-BH.xls]B__1180"/>
      <sheetName val="[Spt-BH.xls][Spt-BH.xls]B__1168"/>
      <sheetName val="[Spt-BH.xls][Spt-BH.xls]B__1169"/>
      <sheetName val="[Spt-BH.xls][Spt-BH.xls]B__1170"/>
      <sheetName val="[Spt-BH.xls][Spt-BH.xls]B__1171"/>
      <sheetName val="[Spt-BH.xls][Spt-BH.xls]B__1172"/>
      <sheetName val="[Spt-BH.xls][Spt-BH.xls]B__1173"/>
      <sheetName val="[Spt-BH.xls][Spt-BH.xls]B__1174"/>
      <sheetName val="[Spt-BH.xls][Spt-BH.xls]B__1156"/>
      <sheetName val="[Spt-BH.xls][Spt-BH.xls]B__1157"/>
      <sheetName val="[Spt-BH.xls][Spt-BH.xls]B__1158"/>
      <sheetName val="[Spt-BH.xls][Spt-BH.xls]B__1159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[Spt-BH.xls]B__1167"/>
      <sheetName val="[Spt-BH.xls][Spt-BH.xls]B__1207"/>
      <sheetName val="[Spt-BH.xls][Spt-BH.xls]B__1208"/>
      <sheetName val="[Spt-BH.xls][Spt-BH.xls]B__1209"/>
      <sheetName val="[Spt-BH.xls][Spt-BH.xls]B__1210"/>
      <sheetName val="[Spt-BH.xls]B___x005f_x0000__x005f_x0004_87"/>
      <sheetName val="[Spt-BH.xls][Spt-BH.xls]B__1211"/>
      <sheetName val="[Spt-BH.xls][Spt-BH.xls]B__1212"/>
      <sheetName val="[Spt-BH.xls][Spt-BH.xls]B__1188"/>
      <sheetName val="[Spt-BH.xls][Spt-BH.xls]B__1189"/>
      <sheetName val="[Spt-BH.xls][Spt-BH.xls]B__1190"/>
      <sheetName val="[Spt-BH.xls][Spt-BH.xls]B__1191"/>
      <sheetName val="[Spt-BH.xls][Spt-BH.xls]B__1192"/>
      <sheetName val="[Spt-BH.xls][Spt-BH.xls]B__1193"/>
      <sheetName val="[Spt-BH.xls][Spt-BH.xls]B__1194"/>
      <sheetName val="[Spt-BH.xls]B___x005f_x0000__x005f_x0004_86"/>
      <sheetName val="[Spt-BH.xls][Spt-BH.xls]B__1181"/>
      <sheetName val="[Spt-BH.xls][Spt-BH.xls]B__1182"/>
      <sheetName val="[Spt-BH.xls][Spt-BH.xls]B__1183"/>
      <sheetName val="[Spt-BH.xls][Spt-BH.xls]B__1184"/>
      <sheetName val="[Spt-BH.xls][Spt-BH.xls]B__1185"/>
      <sheetName val="[Spt-BH.xls][Spt-BH.xls]B__1186"/>
      <sheetName val="[Spt-BH.xls][Spt-BH.xls]B__1187"/>
      <sheetName val="[Spt-BH.xls][Spt-BH.xls]B__1195"/>
      <sheetName val="[Spt-BH.xls][Spt-BH.xls]B__1196"/>
      <sheetName val="[Spt-BH.xls][Spt-BH.xls]B__1197"/>
      <sheetName val="[Spt-BH.xls][Spt-BH.xls]B__1198"/>
      <sheetName val="[Spt-BH.xls][Spt-BH.xls]B__1199"/>
      <sheetName val="[Spt-BH.xls][Spt-BH.xls]B__1200"/>
      <sheetName val="[Spt-BH.xls][Spt-BH.xls]B__1201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B__1218"/>
      <sheetName val="[Spt-BH.xls][Spt-BH.xls]B__1219"/>
      <sheetName val="[Spt-BH.xls][Spt-BH.xls]B__1220"/>
      <sheetName val="[Spt-BH.xls][Spt-BH.xls]B__1221"/>
      <sheetName val="[Spt-BH.xls][Spt-BH.xls]B__1222"/>
      <sheetName val="[Spt-BH.xls][Spt-BH.xls]B__1213"/>
      <sheetName val="[Spt-BH.xls][Spt-BH.xls]B__1214"/>
      <sheetName val="[Spt-BH.xls][Spt-BH.xls]B__1215"/>
      <sheetName val="[Spt-BH.xls][Spt-BH.xls]B__1216"/>
      <sheetName val="[Spt-BH.xls][Spt-BH.xls]B__1217"/>
      <sheetName val="[Spt-BH.xls][Spt-BH.xls]B__1223"/>
      <sheetName val="[Spt-BH.xls][Spt-BH.xls]B__1224"/>
      <sheetName val="[Spt-BH.xls][Spt-BH.xls]B__1225"/>
      <sheetName val="[Spt-BH.xls][Spt-BH.xls]B__1226"/>
      <sheetName val="[Spt-BH.xls][Spt-BH.xls]B__1227"/>
      <sheetName val="[Spt-BH.xls][Spt-BH.xls]B__1228"/>
      <sheetName val="[Spt-BH.xls][Spt-BH.xls]B__1241"/>
      <sheetName val="[Spt-BH.xls][Spt-BH.xls]B__1242"/>
      <sheetName val="[Spt-BH.xls][Spt-BH.xls]B__1243"/>
      <sheetName val="[Spt-BH.xls][Spt-BH.xls]B__1244"/>
      <sheetName val="[Spt-BH.xls][Spt-BH.xls]B__1245"/>
      <sheetName val="[Spt-BH.xls][Spt-BH.xls]B__1246"/>
      <sheetName val="[Spt-BH.xls][Spt-BH.xls]B__1229"/>
      <sheetName val="[Spt-BH.xls][Spt-BH.xls]B__1230"/>
      <sheetName val="[Spt-BH.xls][Spt-BH.xls]B__1231"/>
      <sheetName val="[Spt-BH.xls][Spt-BH.xls]B__1232"/>
      <sheetName val="[Spt-BH.xls][Spt-BH.xls]B__1233"/>
      <sheetName val="[Spt-BH.xls][Spt-BH.xls]B__1234"/>
      <sheetName val="[Spt-BH.xls][Spt-BH.xls]B__1235"/>
      <sheetName val="[Spt-BH.xls][Spt-BH.xls]B__1236"/>
      <sheetName val="[Spt-BH.xls][Spt-BH.xls]B__1237"/>
      <sheetName val="[Spt-BH.xls][Spt-BH.xls]B__1238"/>
      <sheetName val="[Spt-BH.xls][Spt-BH.xls]B__1239"/>
      <sheetName val="[Spt-BH.xls][Spt-BH.xls]B__1240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B__1257"/>
      <sheetName val="[Spt-BH.xls][Spt-BH.xls]B__1258"/>
      <sheetName val="[Spt-BH.xls][Spt-BH.xls]B__1272"/>
      <sheetName val="[Spt-BH.xls][Spt-BH.xls]B__1273"/>
      <sheetName val="[Spt-BH.xls][Spt-BH.xls]B__1274"/>
      <sheetName val="[Spt-BH.xls][Spt-BH.xls]B__1275"/>
      <sheetName val="[Spt-BH.xls]B____x005f_x0004_______89"/>
      <sheetName val="[Spt-BH.xls]B___x005f_x0000__x005f_x0004_89"/>
      <sheetName val="[Spt-BH.xls][Spt-BH.xls]B__1276"/>
      <sheetName val="[Spt-BH.xls][Spt-BH.xls]B__1277"/>
      <sheetName val="[Spt-BH.xls][Spt-BH.xls]B__1265"/>
      <sheetName val="[Spt-BH.xls][Spt-BH.xls]B__1266"/>
      <sheetName val="[Spt-BH.xls][Spt-BH.xls]B__1267"/>
      <sheetName val="[Spt-BH.xls][Spt-BH.xls]B__1268"/>
      <sheetName val="[Spt-BH.xls][Spt-BH.xls]B__1269"/>
      <sheetName val="[Spt-BH.xls][Spt-BH.xls]B__1270"/>
      <sheetName val="[Spt-BH.xls]B____x005f_x0004_______88"/>
      <sheetName val="[Spt-BH.xls]B___x005f_x0000__x005f_x0004_88"/>
      <sheetName val="[Spt-BH.xls][Spt-BH.xls]B__1271"/>
      <sheetName val="[Spt-BH.xls][Spt-BH.xls]B__1259"/>
      <sheetName val="[Spt-BH.xls][Spt-BH.xls]B__1260"/>
      <sheetName val="[Spt-BH.xls][Spt-BH.xls]B__1261"/>
      <sheetName val="[Spt-BH.xls][Spt-BH.xls]B__1262"/>
      <sheetName val="[Spt-BH.xls][Spt-BH.xls]B__1263"/>
      <sheetName val="[Spt-BH.xls][Spt-BH.xls]B__1264"/>
      <sheetName val="[Spt-BH.xls][Spt-BH.xls]B__1278"/>
      <sheetName val="[Spt-BH.xls][Spt-BH.xls]B__1279"/>
      <sheetName val="[Spt-BH.xls][Spt-BH.xls]B__1280"/>
      <sheetName val="[Spt-BH.xls][Spt-BH.xls]B__1281"/>
      <sheetName val="[Spt-BH.xls][Spt-BH.xls]B__1282"/>
      <sheetName val="[Spt-BH.xls][Spt-BH.xls]B__1283"/>
      <sheetName val="[Spt-BH.xls][Spt-BH.xls]B__1284"/>
      <sheetName val="[Spt-BH.xls][Spt-BH.xls]B__1285"/>
      <sheetName val="[Spt-BH.xls][Spt-BH.xls]B__1286"/>
      <sheetName val="[Spt-BH.xls][Spt-BH.xls]B__1287"/>
      <sheetName val="[Spt-BH.xls][Spt-BH.xls]B__1308"/>
      <sheetName val="[Spt-BH.xls][Spt-BH.xls]B__1309"/>
      <sheetName val="[Spt-BH.xls][Spt-BH.xls]B__1310"/>
      <sheetName val="[Spt-BH.xls][Spt-BH.xls]B__1311"/>
      <sheetName val="[Spt-BH.xls]B____x005f_x0004_______91"/>
      <sheetName val="[Spt-BH.xls]B___x005f_x0000__x005f_x0004_91"/>
      <sheetName val="[Spt-BH.xls][Spt-BH.xls]B__1312"/>
      <sheetName val="[Spt-BH.xls][Spt-BH.xls]B__1313"/>
      <sheetName val="[Spt-BH.xls][Spt-BH.xls]B__1295"/>
      <sheetName val="[Spt-BH.xls][Spt-BH.xls]B__1296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B____x005f_x0004_______90"/>
      <sheetName val="[Spt-BH.xls]B___x005f_x0000__x005f_x0004_90"/>
      <sheetName val="[Spt-BH.xls][Spt-BH.xls]B__1288"/>
      <sheetName val="[Spt-BH.xls][Spt-BH.xls]B__1289"/>
      <sheetName val="[Spt-BH.xls][Spt-BH.xls]B__1290"/>
      <sheetName val="[Spt-BH.xls][Spt-BH.xls]B__1291"/>
      <sheetName val="[Spt-BH.xls][Spt-BH.xls]B__1292"/>
      <sheetName val="[Spt-BH.xls][Spt-BH.xls]B__1293"/>
      <sheetName val="[Spt-BH.xls][Spt-BH.xls]B__1294"/>
      <sheetName val="[Spt-BH.xls][Spt-BH.xls]B__1302"/>
      <sheetName val="[Spt-BH.xls][Spt-BH.xls]B__1303"/>
      <sheetName val="[Spt-BH.xls][Spt-BH.xls]B__1304"/>
      <sheetName val="[Spt-BH.xls][Spt-BH.xls]B__1305"/>
      <sheetName val="[Spt-BH.xls][Spt-BH.xls]B__1306"/>
      <sheetName val="[Spt-BH.xls][Spt-BH.xls]B__1307"/>
      <sheetName val="[Spt-BH.xls][Spt-BH.xls]B__1314"/>
      <sheetName val="[Spt-BH.xls][Spt-BH.xls]B__1315"/>
      <sheetName val="[Spt-BH.xls][Spt-BH.xls]B__1316"/>
      <sheetName val="[Spt-BH.xls][Spt-BH.xls]B__1317"/>
      <sheetName val="[Spt-BH.xls][Spt-BH.xls]B__1318"/>
      <sheetName val="[Spt-BH.xls][Spt-BH.xls]B__1319"/>
      <sheetName val="[Spt-BH.xls][Spt-BH.xls]B__1320"/>
      <sheetName val="[Spt-BH.xls][Spt-BH.xls]B__1321"/>
      <sheetName val="[Spt-BH.xls][Spt-BH.xls]B__1322"/>
      <sheetName val="[Spt-BH.xls][Spt-BH.xls]B__1323"/>
      <sheetName val="[Spt-BH.xls][Spt-BH.xls]B__1324"/>
      <sheetName val="[Spt-BH.xls][Spt-BH.xls]B__1326"/>
      <sheetName val="[Spt-BH.xls][Spt-BH.xls]B__1327"/>
      <sheetName val="[Spt-BH.xls][Spt-BH.xls]B__1328"/>
      <sheetName val="[Spt-BH.xls][Spt-BH.xls]B__1329"/>
      <sheetName val="[Spt-BH.xls]B____x005f_x0004_______92"/>
      <sheetName val="[Spt-BH.xls]B___x005f_x0000__x005f_x0004_92"/>
      <sheetName val="[Spt-BH.xls][Spt-BH.xls]B__1330"/>
      <sheetName val="[Spt-BH.xls][Spt-BH.xls]B__1331"/>
      <sheetName val="[Spt-BH.xls][Spt-BH.xls]B__1325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[Spt-BH.xls]B__1337"/>
      <sheetName val="[Spt-BH.xls][Spt-BH.xls]B__1343"/>
      <sheetName val="[Spt-BH.xls][Spt-BH.xls]B__1344"/>
      <sheetName val="[Spt-BH.xls][Spt-BH.xls]B__1345"/>
      <sheetName val="[Spt-BH.xls][Spt-BH.xls]B__1346"/>
      <sheetName val="[Spt-BH.xls][Spt-BH.xls]B__1347"/>
      <sheetName val="[Spt-BH.xls][Spt-BH.xls]B__1338"/>
      <sheetName val="[Spt-BH.xls][Spt-BH.xls]B__1339"/>
      <sheetName val="[Spt-BH.xls][Spt-BH.xls]B__1340"/>
      <sheetName val="[Spt-BH.xls][Spt-BH.xls]B__1341"/>
      <sheetName val="[Spt-BH.xls][Spt-BH.xls]B__1342"/>
      <sheetName val="[Spt-BH.xls][Spt-BH.xls]B__1348"/>
      <sheetName val="[Spt-BH.xls][Spt-BH.xls]B__1349"/>
      <sheetName val="[Spt-BH.xls][Spt-BH.xls]B__1350"/>
      <sheetName val="[Spt-BH.xls][Spt-BH.xls]B__1351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57"/>
      <sheetName val="[Spt-BH.xls][Spt-BH.xls]B__1358"/>
      <sheetName val="[Spt-BH.xls][Spt-BH.xls]B__1373"/>
      <sheetName val="[Spt-BH.xls][Spt-BH.xls]B__1374"/>
      <sheetName val="[Spt-BH.xls][Spt-BH.xls]B__1375"/>
      <sheetName val="[Spt-BH.xls][Spt-BH.xls]B__1376"/>
      <sheetName val="[Spt-BH.xls][Spt-BH.xls]B__1377"/>
      <sheetName val="[Spt-BH.xls][Spt-BH.xls]B__1378"/>
      <sheetName val="[Spt-BH.xls][Spt-BH.xls]B__1364"/>
      <sheetName val="[Spt-BH.xls][Spt-BH.xls]B__1365"/>
      <sheetName val="[Spt-BH.xls][Spt-BH.xls]B__1366"/>
      <sheetName val="[Spt-BH.xls][Spt-BH.xls]B__1367"/>
      <sheetName val="[Spt-BH.xls]B____x005f_x0004_______93"/>
      <sheetName val="[Spt-BH.xls]B___x005f_x0000__x005f_x0004_93"/>
      <sheetName val="[Spt-BH.xls][Spt-BH.xls]B__1368"/>
      <sheetName val="[Spt-BH.xls][Spt-BH.xls]B__1359"/>
      <sheetName val="[Spt-BH.xls][Spt-BH.xls]B__1360"/>
      <sheetName val="[Spt-BH.xls][Spt-BH.xls]B__1361"/>
      <sheetName val="[Spt-BH.xls][Spt-BH.xls]B__1362"/>
      <sheetName val="[Spt-BH.xls][Spt-BH.xls]B__1363"/>
      <sheetName val="[Spt-BH.xls][Spt-BH.xls]B__1369"/>
      <sheetName val="[Spt-BH.xls][Spt-BH.xls]B__1370"/>
      <sheetName val="[Spt-BH.xls][Spt-BH.xls]B__1371"/>
      <sheetName val="[Spt-BH.xls][Spt-BH.xls]B__1372"/>
      <sheetName val="[Spt-BH.xls]B____x005f_x0004_______94"/>
      <sheetName val="[Spt-BH.xls]B___x005f_x0000__x005f_x0004_94"/>
      <sheetName val="[Spt-BH.xls][Spt-BH.xls]B__1379"/>
      <sheetName val="[Spt-BH.xls][Spt-BH.xls]B__1380"/>
      <sheetName val="[Spt-BH.xls][Spt-BH.xls]B__1381"/>
      <sheetName val="[Spt-BH.xls][Spt-BH.xls]B__1382"/>
      <sheetName val="[Spt-BH.xls][Spt-BH.xls]B__1383"/>
      <sheetName val="[Spt-BH.xls][Spt-BH.xls]B__1384"/>
      <sheetName val="[Spt-BH.xls][Spt-BH.xls]B__1385"/>
      <sheetName val="[Spt-BH.xls][Spt-BH.xls]B__1386"/>
      <sheetName val="[Spt-BH.xls][Spt-BH.xls]B__1387"/>
      <sheetName val="[Spt-BH.xls][Spt-BH.xls]B__1388"/>
      <sheetName val="[Spt-BH.xls]B____x005f_x0004_______95"/>
      <sheetName val="[Spt-BH.xls]B___x005f_x0000__x005f_x0004_95"/>
      <sheetName val="[Spt-BH.xls][Spt-BH.xls]B__1389"/>
      <sheetName val="[Spt-BH.xls]B____x005f_x0004_______96"/>
      <sheetName val="[Spt-BH.xls]B___x005f_x0000__x005f_x0004_96"/>
      <sheetName val="[Spt-BH.xls][Spt-BH.xls]B__1390"/>
      <sheetName val="[Spt-BH.xls][Spt-BH.xls]B__1391"/>
      <sheetName val="[Spt-BH.xls][Spt-BH.xls]B__1392"/>
      <sheetName val="[Spt-BH.xls][Spt-BH.xls]B__1393"/>
      <sheetName val="[Spt-BH.xls][Spt-BH.xls]B__1394"/>
      <sheetName val="[Spt-BH.xls][Spt-BH.xls]B__1395"/>
      <sheetName val="[Spt-BH.xls][Spt-BH.xls]B__1396"/>
      <sheetName val="[Spt-BH.xls]B____x005f_x0004_______97"/>
      <sheetName val="[Spt-BH.xls]B___x005f_x0000__x005f_x0004_97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B__1402"/>
      <sheetName val="[Spt-BH.xls][Spt-BH.xls]B__1403"/>
      <sheetName val="[Spt-BH.xls][Spt-BH.xls]B__1404"/>
      <sheetName val="[Spt-BH.xls][Spt-BH.xls]B__1405"/>
      <sheetName val="[Spt-BH.xls][Spt-BH.xls]B__1406"/>
      <sheetName val="[Spt-BH.xls]B____x005f_x0004_______98"/>
      <sheetName val="[Spt-BH.xls]B___x005f_x0000__x005f_x0004_98"/>
      <sheetName val="[Spt-BH.xls][Spt-BH.xls]B__1407"/>
      <sheetName val="[Spt-BH.xls][Spt-BH.xls]B__1415"/>
      <sheetName val="[Spt-BH.xls][Spt-BH.xls]B__1416"/>
      <sheetName val="[Spt-BH.xls][Spt-BH.xls]B__1417"/>
      <sheetName val="[Spt-BH.xls][Spt-BH.xls]B__1418"/>
      <sheetName val="[Spt-BH.xls]B____x005f_x0004_______99"/>
      <sheetName val="[Spt-BH.xls]B___x005f_x0000__x005f_x0004_99"/>
      <sheetName val="[Spt-BH.xls][Spt-BH.xls]B__1419"/>
      <sheetName val="[Spt-BH.xls][Spt-BH.xls]B__1420"/>
      <sheetName val="[Spt-BH.xls][Spt-BH.xls]B__1408"/>
      <sheetName val="[Spt-BH.xls][Spt-BH.xls]B__1409"/>
      <sheetName val="[Spt-BH.xls][Spt-BH.xls]B__1410"/>
      <sheetName val="[Spt-BH.xls][Spt-BH.xls]B__1411"/>
      <sheetName val="[Spt-BH.xls][Spt-BH.xls]B__1412"/>
      <sheetName val="[Spt-BH.xls][Spt-BH.xls]B__1413"/>
      <sheetName val="[Spt-BH.xls][Spt-BH.xls]B__1414"/>
      <sheetName val="[Spt-BH.xls][Spt-BH.xls]B__1444"/>
      <sheetName val="[Spt-BH.xls][Spt-BH.xls]B__1445"/>
      <sheetName val="[Spt-BH.xls][Spt-BH.xls]_Sp_491"/>
      <sheetName val="[Spt-BH.xls][Spt-BH.xls]B__1446"/>
      <sheetName val="[Spt-BH.xls][Spt-BH.xls]B__1421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459"/>
      <sheetName val="[Spt-BH.xls][Spt-BH.xls]_Sp_461"/>
      <sheetName val="[Spt-BH.xls][Spt-BH.xls]_Sp_460"/>
      <sheetName val="[Spt-BH.xls][Spt-BH.xls]_Sp_427"/>
      <sheetName val="[Spt-BH.xls][Spt-BH.xls]_Sp_433"/>
      <sheetName val="[Spt-BH.xls]B____x005f_x0004______102"/>
      <sheetName val="[Spt-BH.xls][Spt-BH.xls]_Sp_431"/>
      <sheetName val="[Spt-BH.xls][Spt-BH.xls]_Sp_428"/>
      <sheetName val="[Spt-BH.xls][Spt-BH.xls]_Sp_432"/>
      <sheetName val="[Spt-BH.xls][Spt-BH_xls]B__1198"/>
      <sheetName val="[Spt-BH.xls][Spt-BH_xls]B__1199"/>
      <sheetName val="[Spt-BH.xls][Spt-BH_xls]B__1200"/>
      <sheetName val="[Spt-BH.xls][Spt-BH_xls]B__1201"/>
      <sheetName val="[Spt-BH.xls][Spt-BH_xls]_Sp_390"/>
      <sheetName val="[Spt-BH.xls][Spt-BH_xls]B__1202"/>
      <sheetName val="[Spt-BH.xls][Spt-BH_xls]B__1203"/>
      <sheetName val="[Spt-BH.xls][Spt-BH_xls]B__1204"/>
      <sheetName val="[Spt-BH.xls][Spt-BH_xls]_Sp_391"/>
      <sheetName val="[Spt-BH.xls][Spt-BH_xls]B__1205"/>
      <sheetName val="[Spt-BH.xls][Spt-BH_xls]B__1206"/>
      <sheetName val="[Spt-BH.xls][Spt-BH_xls]B__1207"/>
      <sheetName val="[Spt-BH.xls][Spt-BH_xls]B__1208"/>
      <sheetName val="[Spt-BH.xls][Spt-BH_xls]_Sp_392"/>
      <sheetName val="[Spt-BH.xls][Spt-BH_xls]B__1209"/>
      <sheetName val="[Spt-BH.xls][Spt-BH_xls]B__1210"/>
      <sheetName val="[Spt-BH.xls][Spt-BH_xls]_Sp_393"/>
      <sheetName val="[Spt-BH.xls][Spt-BH_xls]B__1211"/>
      <sheetName val="[Spt-BH.xls][Spt-BH_xls]B__1212"/>
      <sheetName val="[Spt-BH.xls][Spt-BH_xls]_Sp_394"/>
      <sheetName val="[Spt-BH.xls][Spt-BH.xls]_Sp_406"/>
      <sheetName val="[Spt-BH.xls][Spt-BH.xls]_Sp_404"/>
      <sheetName val="[Spt-BH.xls][Spt-BH.xls]_Sp_405"/>
      <sheetName val="[Spt-BH.xls][Spt-BH.xls]_Sp_378"/>
      <sheetName val="[Spt-BH.xls][Spt-BH.xls]_Sp_376"/>
      <sheetName val="[Spt-BH.xls][Spt-BH.xls]_Sp_377"/>
      <sheetName val="[Spt-BH.xls][Spt-BH.xls]_Sp_390"/>
      <sheetName val="[Spt-BH.xls][Spt-BH.xls]_Sp_388"/>
      <sheetName val="[Spt-BH.xls][Spt-BH.xls]_Sp_381"/>
      <sheetName val="[Spt-BH.xls][Spt-BH.xls]_Sp_382"/>
      <sheetName val="[Spt-BH.xls][Spt-BH.xls]_Sp_389"/>
      <sheetName val="[Spt-BH.xls][Spt-BH.xls]_Sp_380"/>
      <sheetName val="[Spt-BH.xls][Spt-BH.xls]_Sp_379"/>
      <sheetName val="[Spt-BH.xls][Spt-BH.xls]_Sp_383"/>
      <sheetName val="[Spt-BH.xls][Spt-BH.xls]_Sp_384"/>
      <sheetName val="[Spt-BH.xls][Spt-BH.xls]_Sp_385"/>
      <sheetName val="[Spt-BH.xls][Spt-BH.xls]_Sp_386"/>
      <sheetName val="[Spt-BH.xls][Spt-BH.xls]_Sp_387"/>
      <sheetName val="[Spt-BH.xls][Spt-BH.xls]_Sp_397"/>
      <sheetName val="[Spt-BH.xls][Spt-BH.xls]_Sp_401"/>
      <sheetName val="[Spt-BH.xls][Spt-BH.xls]_Sp_399"/>
      <sheetName val="[Spt-BH.xls][Spt-BH.xls]_Sp_398"/>
      <sheetName val="[Spt-BH.xls][Spt-BH.xls]_Sp_400"/>
      <sheetName val="[Spt-BH.xls][Spt-BH_xls]B__1033"/>
      <sheetName val="[Spt-BH.xls][Spt-BH_xls]B__1034"/>
      <sheetName val="[Spt-BH.xls][Spt-BH_xls]B__1035"/>
      <sheetName val="[Spt-BH.xls][Spt-BH_xls]B__1036"/>
      <sheetName val="[Spt-BH.xls][Spt-BH_xls]_Sp_335"/>
      <sheetName val="[Spt-BH.xls][Spt-BH_xls]B__1037"/>
      <sheetName val="[Spt-BH.xls][Spt-BH_xls]B__1038"/>
      <sheetName val="[Spt-BH.xls][Spt-BH_xls]B__1039"/>
      <sheetName val="[Spt-BH.xls][Spt-BH_xls]_Sp_336"/>
      <sheetName val="[Spt-BH.xls][Spt-BH_xls]B__1040"/>
      <sheetName val="[Spt-BH.xls][Spt-BH_xls]B__1041"/>
      <sheetName val="[Spt-BH.xls][Spt-BH_xls]B__1042"/>
      <sheetName val="[Spt-BH.xls][Spt-BH_xls]B__1043"/>
      <sheetName val="[Spt-BH.xls][Spt-BH_xls]_Sp_337"/>
      <sheetName val="[Spt-BH.xls][Spt-BH_xls]B__1044"/>
      <sheetName val="[Spt-BH.xls][Spt-BH_xls]B__1045"/>
      <sheetName val="[Spt-BH.xls][Spt-BH_xls]_Sp_338"/>
      <sheetName val="[Spt-BH.xls][Spt-BH_xls]B__1046"/>
      <sheetName val="[Spt-BH.xls][Spt-BH_xls]B__1047"/>
      <sheetName val="[Spt-BH.xls][Spt-BH_xls]_Sp_339"/>
      <sheetName val="[Spt-BH.xls][Spt-BH.xls]_Sp_391"/>
      <sheetName val="[Spt-BH.xls][Spt-BH.xls]_Sp_392"/>
      <sheetName val="[Spt-BH.xls][Spt-BH.xls]_Sp_395"/>
      <sheetName val="[Spt-BH.xls][Spt-BH.xls]_Sp_396"/>
      <sheetName val="[Spt-BH.xls][Spt-BH.xls]_Sp_393"/>
      <sheetName val="[Spt-BH.xls][Spt-BH.xls]_Sp_394"/>
      <sheetName val="[Spt-BH.xls][Spt-BH_xls]B__1018"/>
      <sheetName val="[Spt-BH.xls][Spt-BH_xls]B__1019"/>
      <sheetName val="[Spt-BH.xls][Spt-BH_xls]B__1020"/>
      <sheetName val="[Spt-BH.xls][Spt-BH_xls]B__1021"/>
      <sheetName val="[Spt-BH.xls][Spt-BH_xls]_Sp_330"/>
      <sheetName val="[Spt-BH.xls][Spt-BH_xls]B__1022"/>
      <sheetName val="[Spt-BH.xls][Spt-BH_xls]B__1023"/>
      <sheetName val="[Spt-BH.xls][Spt-BH_xls]B__1024"/>
      <sheetName val="[Spt-BH.xls][Spt-BH_xls]_Sp_331"/>
      <sheetName val="[Spt-BH.xls][Spt-BH_xls]B__1025"/>
      <sheetName val="[Spt-BH.xls][Spt-BH_xls]B__1026"/>
      <sheetName val="[Spt-BH.xls][Spt-BH_xls]B__1027"/>
      <sheetName val="[Spt-BH.xls][Spt-BH_xls]B__1028"/>
      <sheetName val="[Spt-BH.xls][Spt-BH_xls]_Sp_332"/>
      <sheetName val="[Spt-BH.xls][Spt-BH_xls]B__1029"/>
      <sheetName val="[Spt-BH.xls][Spt-BH_xls]B__1030"/>
      <sheetName val="[Spt-BH.xls][Spt-BH_xls]_Sp_333"/>
      <sheetName val="[Spt-BH.xls][Spt-BH_xls]B__1031"/>
      <sheetName val="[Spt-BH.xls][Spt-BH_xls]B__1032"/>
      <sheetName val="[Spt-BH.xls][Spt-BH_xls]_Sp_334"/>
      <sheetName val="[Spt-BH.xls][Spt-BH_xls]B__1003"/>
      <sheetName val="[Spt-BH.xls][Spt-BH_xls]B__1004"/>
      <sheetName val="[Spt-BH.xls][Spt-BH_xls]B__1005"/>
      <sheetName val="[Spt-BH.xls][Spt-BH_xls]B__1006"/>
      <sheetName val="[Spt-BH.xls][Spt-BH_xls]_Sp_325"/>
      <sheetName val="[Spt-BH.xls][Spt-BH_xls]B__1007"/>
      <sheetName val="[Spt-BH.xls][Spt-BH_xls]B__1008"/>
      <sheetName val="[Spt-BH.xls][Spt-BH_xls]B__1009"/>
      <sheetName val="[Spt-BH.xls][Spt-BH_xls]_Sp_326"/>
      <sheetName val="[Spt-BH.xls][Spt-BH_xls]B__1010"/>
      <sheetName val="[Spt-BH.xls][Spt-BH_xls]B__1011"/>
      <sheetName val="[Spt-BH.xls][Spt-BH_xls]B__1012"/>
      <sheetName val="[Spt-BH.xls][Spt-BH_xls]B__1013"/>
      <sheetName val="[Spt-BH.xls][Spt-BH_xls]_Sp_327"/>
      <sheetName val="[Spt-BH.xls][Spt-BH_xls]B__1014"/>
      <sheetName val="[Spt-BH.xls][Spt-BH_xls]B__1015"/>
      <sheetName val="[Spt-BH.xls][Spt-BH_xls]_Sp_328"/>
      <sheetName val="[Spt-BH.xls][Spt-BH_xls]B__1016"/>
      <sheetName val="[Spt-BH.xls][Spt-BH_xls]B__1017"/>
      <sheetName val="[Spt-BH.xls][Spt-BH_xls]_Sp_329"/>
      <sheetName val="[Spt-BH.xls][Spt-BH.xls]_Sp_402"/>
      <sheetName val="[Spt-BH.xls][Spt-BH.xls]_Sp_403"/>
      <sheetName val="[Spt-BH.xls][Spt-BH.xls]_Sp_408"/>
      <sheetName val="[Spt-BH.xls][Spt-BH.xls]_Sp_407"/>
      <sheetName val="[Spt-BH.xls][Spt-BH.xls]_Sp_409"/>
      <sheetName val="[Spt-BH.xls][Spt-BH.xls]_Sp_410"/>
      <sheetName val="[Spt-BH.xls][Spt-BH_xls]B__1048"/>
      <sheetName val="[Spt-BH.xls][Spt-BH_xls]B__1049"/>
      <sheetName val="[Spt-BH.xls][Spt-BH_xls]B__1050"/>
      <sheetName val="[Spt-BH.xls][Spt-BH_xls]B__1051"/>
      <sheetName val="[Spt-BH.xls][Spt-BH_xls]_Sp_340"/>
      <sheetName val="[Spt-BH.xls][Spt-BH_xls]B__1052"/>
      <sheetName val="[Spt-BH.xls][Spt-BH_xls]B__1053"/>
      <sheetName val="[Spt-BH.xls][Spt-BH_xls]B__1054"/>
      <sheetName val="[Spt-BH.xls][Spt-BH_xls]_Sp_341"/>
      <sheetName val="[Spt-BH.xls][Spt-BH_xls]B__1055"/>
      <sheetName val="[Spt-BH.xls][Spt-BH_xls]B__1056"/>
      <sheetName val="[Spt-BH.xls][Spt-BH_xls]B__1057"/>
      <sheetName val="[Spt-BH.xls][Spt-BH_xls]B__1058"/>
      <sheetName val="[Spt-BH.xls][Spt-BH_xls]_Sp_342"/>
      <sheetName val="[Spt-BH.xls][Spt-BH_xls]B__1059"/>
      <sheetName val="[Spt-BH.xls][Spt-BH_xls]B__1060"/>
      <sheetName val="[Spt-BH.xls][Spt-BH_xls]_Sp_343"/>
      <sheetName val="[Spt-BH.xls][Spt-BH_xls]B__1061"/>
      <sheetName val="[Spt-BH.xls][Spt-BH_xls]B__1062"/>
      <sheetName val="[Spt-BH.xls][Spt-BH_xls]_Sp_344"/>
      <sheetName val="[Spt-BH.xls][Spt-BH.xls]_Sp_411"/>
      <sheetName val="[Spt-BH.xls][Spt-BH.xls]_Sp_412"/>
      <sheetName val="[Spt-BH.xls][Spt-BH.xls]_Sp_421"/>
      <sheetName val="[Spt-BH.xls][Spt-BH.xls]_Sp_423"/>
      <sheetName val="[Spt-BH.xls][Spt-BH.xls]_Sp_422"/>
      <sheetName val="[Spt-BH.xls][Spt-BH.xls]_Sp_425"/>
      <sheetName val="[Spt-BH.xls]B____x005f_x0004______101"/>
      <sheetName val="[Spt-BH.xls][Spt-BH.xls]_Sp_424"/>
      <sheetName val="[Spt-BH.xls][Spt-BH_xls]B__1183"/>
      <sheetName val="[Spt-BH.xls][Spt-BH_xls]B__1184"/>
      <sheetName val="[Spt-BH.xls][Spt-BH_xls]B__1185"/>
      <sheetName val="[Spt-BH.xls][Spt-BH_xls]B__1186"/>
      <sheetName val="[Spt-BH.xls][Spt-BH_xls]_Sp_385"/>
      <sheetName val="[Spt-BH.xls][Spt-BH_xls]B__1187"/>
      <sheetName val="[Spt-BH.xls][Spt-BH_xls]B__1188"/>
      <sheetName val="[Spt-BH.xls][Spt-BH_xls]B__1189"/>
      <sheetName val="[Spt-BH.xls][Spt-BH_xls]_Sp_386"/>
      <sheetName val="[Spt-BH.xls][Spt-BH_xls]B__1190"/>
      <sheetName val="[Spt-BH.xls][Spt-BH_xls]B__1191"/>
      <sheetName val="[Spt-BH.xls][Spt-BH_xls]B__1192"/>
      <sheetName val="[Spt-BH.xls][Spt-BH_xls]B__1193"/>
      <sheetName val="[Spt-BH.xls][Spt-BH_xls]_Sp_387"/>
      <sheetName val="[Spt-BH.xls][Spt-BH_xls]B__1194"/>
      <sheetName val="[Spt-BH.xls][Spt-BH_xls]B__1195"/>
      <sheetName val="[Spt-BH.xls][Spt-BH_xls]_Sp_388"/>
      <sheetName val="[Spt-BH.xls][Spt-BH_xls]B__1196"/>
      <sheetName val="[Spt-BH.xls][Spt-BH_xls]B__1197"/>
      <sheetName val="[Spt-BH.xls][Spt-BH_xls]_Sp_389"/>
      <sheetName val="[Spt-BH.xls][Spt-BH.xls]_Sp_416"/>
      <sheetName val="[Spt-BH.xls][Spt-BH.xls]_Sp_413"/>
      <sheetName val="[Spt-BH.xls][Spt-BH.xls]_Sp_418"/>
      <sheetName val="[Spt-BH.xls][Spt-BH.xls]_Sp_417"/>
      <sheetName val="[Spt-BH.xls][Spt-BH_xls]B__1153"/>
      <sheetName val="[Spt-BH.xls][Spt-BH_xls]B__1154"/>
      <sheetName val="[Spt-BH.xls][Spt-BH_xls]B__1155"/>
      <sheetName val="[Spt-BH.xls][Spt-BH_xls]B__1156"/>
      <sheetName val="[Spt-BH.xls][Spt-BH_xls]_Sp_375"/>
      <sheetName val="[Spt-BH.xls][Spt-BH_xls]B__1157"/>
      <sheetName val="[Spt-BH.xls][Spt-BH_xls]B__1158"/>
      <sheetName val="[Spt-BH.xls][Spt-BH_xls]B__1159"/>
      <sheetName val="[Spt-BH.xls][Spt-BH_xls]_Sp_376"/>
      <sheetName val="[Spt-BH.xls][Spt-BH_xls]B__1160"/>
      <sheetName val="[Spt-BH.xls][Spt-BH_xls]B__1161"/>
      <sheetName val="[Spt-BH.xls][Spt-BH_xls]B__1162"/>
      <sheetName val="[Spt-BH.xls][Spt-BH_xls]B__1163"/>
      <sheetName val="[Spt-BH.xls][Spt-BH_xls]_Sp_377"/>
      <sheetName val="[Spt-BH.xls][Spt-BH_xls]B__1164"/>
      <sheetName val="[Spt-BH.xls][Spt-BH_xls]B__1165"/>
      <sheetName val="[Spt-BH.xls][Spt-BH_xls]_Sp_378"/>
      <sheetName val="[Spt-BH.xls][Spt-BH_xls]B__1166"/>
      <sheetName val="[Spt-BH.xls][Spt-BH_xls]B__1167"/>
      <sheetName val="[Spt-BH.xls][Spt-BH_xls]_Sp_379"/>
      <sheetName val="[Spt-BH.xls][Spt-BH_xls]B__1093"/>
      <sheetName val="[Spt-BH.xls][Spt-BH_xls]B__1094"/>
      <sheetName val="[Spt-BH.xls][Spt-BH_xls]B__1095"/>
      <sheetName val="[Spt-BH.xls][Spt-BH_xls]B__1096"/>
      <sheetName val="[Spt-BH.xls][Spt-BH_xls]_Sp_355"/>
      <sheetName val="[Spt-BH.xls][Spt-BH_xls]B__1097"/>
      <sheetName val="[Spt-BH.xls][Spt-BH_xls]B__1098"/>
      <sheetName val="[Spt-BH.xls][Spt-BH_xls]B__1099"/>
      <sheetName val="[Spt-BH.xls][Spt-BH_xls]_Sp_356"/>
      <sheetName val="[Spt-BH.xls][Spt-BH_xls]B__1100"/>
      <sheetName val="[Spt-BH.xls][Spt-BH_xls]B__1101"/>
      <sheetName val="[Spt-BH.xls][Spt-BH_xls]B__1102"/>
      <sheetName val="[Spt-BH.xls][Spt-BH_xls]B__1103"/>
      <sheetName val="[Spt-BH.xls][Spt-BH_xls]_Sp_357"/>
      <sheetName val="[Spt-BH.xls][Spt-BH_xls]B__1104"/>
      <sheetName val="[Spt-BH.xls][Spt-BH_xls]B__1105"/>
      <sheetName val="[Spt-BH.xls][Spt-BH_xls]_Sp_358"/>
      <sheetName val="[Spt-BH.xls][Spt-BH_xls]B__1106"/>
      <sheetName val="[Spt-BH.xls][Spt-BH_xls]B__1107"/>
      <sheetName val="[Spt-BH.xls][Spt-BH_xls]_Sp_359"/>
      <sheetName val="[Spt-BH.xls][Spt-BH_xls]B__1063"/>
      <sheetName val="[Spt-BH.xls][Spt-BH_xls]B__1064"/>
      <sheetName val="[Spt-BH.xls][Spt-BH_xls]B__1065"/>
      <sheetName val="[Spt-BH.xls][Spt-BH_xls]B__1066"/>
      <sheetName val="[Spt-BH.xls][Spt-BH_xls]_Sp_345"/>
      <sheetName val="[Spt-BH.xls][Spt-BH_xls]B__1067"/>
      <sheetName val="[Spt-BH.xls][Spt-BH_xls]B__1068"/>
      <sheetName val="[Spt-BH.xls][Spt-BH_xls]B__1069"/>
      <sheetName val="[Spt-BH.xls][Spt-BH_xls]_Sp_346"/>
      <sheetName val="[Spt-BH.xls][Spt-BH_xls]B__1070"/>
      <sheetName val="[Spt-BH.xls][Spt-BH_xls]B__1071"/>
      <sheetName val="[Spt-BH.xls][Spt-BH_xls]B__1072"/>
      <sheetName val="[Spt-BH.xls][Spt-BH_xls]B__1073"/>
      <sheetName val="[Spt-BH.xls][Spt-BH_xls]_Sp_347"/>
      <sheetName val="[Spt-BH.xls][Spt-BH_xls]B__1074"/>
      <sheetName val="[Spt-BH.xls][Spt-BH_xls]B__1075"/>
      <sheetName val="[Spt-BH.xls][Spt-BH_xls]_Sp_348"/>
      <sheetName val="[Spt-BH.xls][Spt-BH_xls]B__1076"/>
      <sheetName val="[Spt-BH.xls][Spt-BH_xls]B__1077"/>
      <sheetName val="[Spt-BH.xls][Spt-BH_xls]_Sp_349"/>
      <sheetName val="[Spt-BH.xls][Spt-BH_xls]B__1078"/>
      <sheetName val="[Spt-BH.xls][Spt-BH_xls]B__1079"/>
      <sheetName val="[Spt-BH.xls][Spt-BH_xls]B__1080"/>
      <sheetName val="[Spt-BH.xls][Spt-BH_xls]B__1081"/>
      <sheetName val="[Spt-BH.xls][Spt-BH_xls]_Sp_350"/>
      <sheetName val="[Spt-BH.xls][Spt-BH_xls]B__1082"/>
      <sheetName val="[Spt-BH.xls][Spt-BH_xls]B__1083"/>
      <sheetName val="[Spt-BH.xls][Spt-BH_xls]B__1084"/>
      <sheetName val="[Spt-BH.xls][Spt-BH_xls]_Sp_351"/>
      <sheetName val="[Spt-BH.xls][Spt-BH_xls]B__1085"/>
      <sheetName val="[Spt-BH.xls][Spt-BH_xls]B__1086"/>
      <sheetName val="[Spt-BH.xls][Spt-BH_xls]B__1087"/>
      <sheetName val="[Spt-BH.xls][Spt-BH_xls]B__1088"/>
      <sheetName val="[Spt-BH.xls][Spt-BH_xls]_Sp_352"/>
      <sheetName val="[Spt-BH.xls][Spt-BH_xls]B__1089"/>
      <sheetName val="[Spt-BH.xls][Spt-BH_xls]B__1090"/>
      <sheetName val="[Spt-BH.xls][Spt-BH_xls]_Sp_353"/>
      <sheetName val="[Spt-BH.xls][Spt-BH_xls]B__1091"/>
      <sheetName val="[Spt-BH.xls][Spt-BH_xls]B__1092"/>
      <sheetName val="[Spt-BH.xls][Spt-BH_xls]_Sp_354"/>
      <sheetName val="[Spt-BH.xls][Spt-BH_xls]B__1108"/>
      <sheetName val="[Spt-BH.xls][Spt-BH_xls]B__1109"/>
      <sheetName val="[Spt-BH.xls][Spt-BH_xls]B__1110"/>
      <sheetName val="[Spt-BH.xls][Spt-BH_xls]B__1111"/>
      <sheetName val="[Spt-BH.xls][Spt-BH_xls]_Sp_360"/>
      <sheetName val="[Spt-BH.xls][Spt-BH_xls]B__1112"/>
      <sheetName val="[Spt-BH.xls][Spt-BH_xls]B__1113"/>
      <sheetName val="[Spt-BH.xls][Spt-BH_xls]B__1114"/>
      <sheetName val="[Spt-BH.xls][Spt-BH_xls]_Sp_361"/>
      <sheetName val="[Spt-BH.xls][Spt-BH_xls]B__1115"/>
      <sheetName val="[Spt-BH.xls][Spt-BH_xls]B__1116"/>
      <sheetName val="[Spt-BH.xls][Spt-BH_xls]B__1117"/>
      <sheetName val="[Spt-BH.xls][Spt-BH_xls]B__1118"/>
      <sheetName val="[Spt-BH.xls][Spt-BH_xls]_Sp_362"/>
      <sheetName val="[Spt-BH.xls][Spt-BH_xls]B__1119"/>
      <sheetName val="[Spt-BH.xls][Spt-BH_xls]B__1120"/>
      <sheetName val="[Spt-BH.xls][Spt-BH_xls]_Sp_363"/>
      <sheetName val="[Spt-BH.xls][Spt-BH_xls]B__1121"/>
      <sheetName val="[Spt-BH.xls][Spt-BH_xls]B__1122"/>
      <sheetName val="[Spt-BH.xls][Spt-BH_xls]_Sp_364"/>
      <sheetName val="[Spt-BH.xls][Spt-BH_xls]B__1123"/>
      <sheetName val="[Spt-BH.xls][Spt-BH_xls]B__1124"/>
      <sheetName val="[Spt-BH.xls][Spt-BH_xls]B__1125"/>
      <sheetName val="[Spt-BH.xls][Spt-BH_xls]B__1126"/>
      <sheetName val="[Spt-BH.xls][Spt-BH_xls]_Sp_365"/>
      <sheetName val="[Spt-BH.xls][Spt-BH_xls]B__1127"/>
      <sheetName val="[Spt-BH.xls][Spt-BH_xls]B__1128"/>
      <sheetName val="[Spt-BH.xls][Spt-BH_xls]B__1129"/>
      <sheetName val="[Spt-BH.xls][Spt-BH_xls]_Sp_366"/>
      <sheetName val="[Spt-BH.xls][Spt-BH_xls]B__1130"/>
      <sheetName val="[Spt-BH.xls][Spt-BH_xls]B__1131"/>
      <sheetName val="[Spt-BH.xls][Spt-BH_xls]B__1132"/>
      <sheetName val="[Spt-BH.xls][Spt-BH_xls]B__1133"/>
      <sheetName val="[Spt-BH.xls][Spt-BH_xls]_Sp_367"/>
      <sheetName val="[Spt-BH.xls][Spt-BH_xls]B__1134"/>
      <sheetName val="[Spt-BH.xls][Spt-BH_xls]B__1135"/>
      <sheetName val="[Spt-BH.xls][Spt-BH_xls]_Sp_368"/>
      <sheetName val="[Spt-BH.xls][Spt-BH_xls]B__1136"/>
      <sheetName val="[Spt-BH.xls][Spt-BH_xls]B__1137"/>
      <sheetName val="[Spt-BH.xls][Spt-BH_xls]_Sp_369"/>
      <sheetName val="[Spt-BH.xls][Spt-BH_xls]B__1138"/>
      <sheetName val="[Spt-BH.xls][Spt-BH_xls]B__1139"/>
      <sheetName val="[Spt-BH.xls][Spt-BH_xls]B__1140"/>
      <sheetName val="[Spt-BH.xls][Spt-BH_xls]B__1141"/>
      <sheetName val="[Spt-BH.xls][Spt-BH_xls]_Sp_370"/>
      <sheetName val="[Spt-BH.xls][Spt-BH_xls]B__1142"/>
      <sheetName val="[Spt-BH.xls][Spt-BH_xls]B__1143"/>
      <sheetName val="[Spt-BH.xls][Spt-BH_xls]B__1144"/>
      <sheetName val="[Spt-BH.xls][Spt-BH_xls]_Sp_371"/>
      <sheetName val="[Spt-BH.xls][Spt-BH_xls]B__1145"/>
      <sheetName val="[Spt-BH.xls][Spt-BH_xls]B__1146"/>
      <sheetName val="[Spt-BH.xls][Spt-BH_xls]B__1147"/>
      <sheetName val="[Spt-BH.xls][Spt-BH_xls]B__1148"/>
      <sheetName val="[Spt-BH.xls][Spt-BH_xls]_Sp_372"/>
      <sheetName val="[Spt-BH.xls][Spt-BH_xls]B__1149"/>
      <sheetName val="[Spt-BH.xls][Spt-BH_xls]B__1150"/>
      <sheetName val="[Spt-BH.xls][Spt-BH_xls]_Sp_373"/>
      <sheetName val="[Spt-BH.xls][Spt-BH_xls]B__1151"/>
      <sheetName val="[Spt-BH.xls][Spt-BH_xls]B__1152"/>
      <sheetName val="[Spt-BH.xls][Spt-BH_xls]_Sp_374"/>
      <sheetName val="[Spt-BH.xls][Spt-BH.xls]_Sp_414"/>
      <sheetName val="[Spt-BH.xls][Spt-BH.xls]_Sp_415"/>
      <sheetName val="[Spt-BH.xls]B____x005f_x0004______100"/>
      <sheetName val="[Spt-BH.xls][Spt-BH_xls]B__1168"/>
      <sheetName val="[Spt-BH.xls][Spt-BH_xls]B__1169"/>
      <sheetName val="[Spt-BH.xls][Spt-BH_xls]B__1170"/>
      <sheetName val="[Spt-BH.xls][Spt-BH_xls]B__1171"/>
      <sheetName val="[Spt-BH.xls][Spt-BH_xls]_Sp_380"/>
      <sheetName val="[Spt-BH.xls][Spt-BH_xls]B__1172"/>
      <sheetName val="[Spt-BH.xls][Spt-BH_xls]B__1173"/>
      <sheetName val="[Spt-BH.xls][Spt-BH_xls]B__1174"/>
      <sheetName val="[Spt-BH.xls][Spt-BH_xls]_Sp_381"/>
      <sheetName val="[Spt-BH.xls][Spt-BH_xls]B__1175"/>
      <sheetName val="[Spt-BH.xls][Spt-BH_xls]B__1176"/>
      <sheetName val="[Spt-BH.xls][Spt-BH_xls]B__1177"/>
      <sheetName val="[Spt-BH.xls][Spt-BH_xls]B__1178"/>
      <sheetName val="[Spt-BH.xls][Spt-BH_xls]_Sp_382"/>
      <sheetName val="[Spt-BH.xls][Spt-BH_xls]B__1179"/>
      <sheetName val="[Spt-BH.xls][Spt-BH_xls]B__1180"/>
      <sheetName val="[Spt-BH.xls][Spt-BH_xls]_Sp_383"/>
      <sheetName val="[Spt-BH.xls][Spt-BH_xls]B__1181"/>
      <sheetName val="[Spt-BH.xls][Spt-BH_xls]B__1182"/>
      <sheetName val="[Spt-BH.xls][Spt-BH_xls]_Sp_384"/>
      <sheetName val="[Spt-BH.xls][Spt-BH.xls]_Sp_419"/>
      <sheetName val="[Spt-BH.xls][Spt-BH.xls]_Sp_420"/>
      <sheetName val="[Spt-BH.xls][Spt-BH.xls]_Sp_426"/>
      <sheetName val="[Spt-BH.xls][Spt-BH.xls]_Sp_436"/>
      <sheetName val="[Spt-BH.xls]B____x005f_x0004______103"/>
      <sheetName val="[Spt-BH.xls]B___x005f_x0000__x000_100"/>
      <sheetName val="[Spt-BH.xls][Spt-BH.xls]_Sp_434"/>
      <sheetName val="[Spt-BH.xls][Spt-BH_xls]B__1213"/>
      <sheetName val="[Spt-BH.xls][Spt-BH_xls]B__1214"/>
      <sheetName val="[Spt-BH.xls][Spt-BH_xls]B__1215"/>
      <sheetName val="[Spt-BH.xls][Spt-BH_xls]B__1216"/>
      <sheetName val="[Spt-BH.xls][Spt-BH_xls]_Sp_395"/>
      <sheetName val="[Spt-BH.xls][Spt-BH_xls]B__1217"/>
      <sheetName val="[Spt-BH.xls][Spt-BH_xls]B__1218"/>
      <sheetName val="[Spt-BH.xls][Spt-BH_xls]B__1219"/>
      <sheetName val="[Spt-BH.xls][Spt-BH_xls]_Sp_396"/>
      <sheetName val="[Spt-BH.xls][Spt-BH_xls]B__1220"/>
      <sheetName val="[Spt-BH.xls][Spt-BH_xls]B__1221"/>
      <sheetName val="[Spt-BH.xls][Spt-BH_xls]B__1222"/>
      <sheetName val="[Spt-BH.xls][Spt-BH_xls]B__1223"/>
      <sheetName val="[Spt-BH.xls][Spt-BH_xls]_Sp_397"/>
      <sheetName val="[Spt-BH.xls][Spt-BH_xls]B__1224"/>
      <sheetName val="[Spt-BH.xls][Spt-BH_xls]B__1225"/>
      <sheetName val="[Spt-BH.xls][Spt-BH_xls]_Sp_398"/>
      <sheetName val="[Spt-BH.xls][Spt-BH_xls]B__1226"/>
      <sheetName val="[Spt-BH.xls][Spt-BH_xls]B__1227"/>
      <sheetName val="[Spt-BH.xls][Spt-BH_xls]_Sp_399"/>
      <sheetName val="[Spt-BH.xls][Spt-BH.xls]_Sp_429"/>
      <sheetName val="[Spt-BH.xls][Spt-BH.xls]_Sp_430"/>
      <sheetName val="[Spt-BH.xls][Spt-BH.xls]_Sp_438"/>
      <sheetName val="[Spt-BH.xls][Spt-BH.xls]_Sp_440"/>
      <sheetName val="[Spt-BH.xls]B____x005f_x0004______104"/>
      <sheetName val="[Spt-BH.xls]B___x005f_x0000__x000_101"/>
      <sheetName val="[Spt-BH.xls][Spt-BH.xls]_Sp_437"/>
      <sheetName val="[Spt-BH.xls][Spt-BH.xls]_Sp_439"/>
      <sheetName val="[Spt-BH.xls][Spt-BH_xls]B__1228"/>
      <sheetName val="[Spt-BH.xls][Spt-BH_xls]B__1229"/>
      <sheetName val="[Spt-BH.xls][Spt-BH_xls]B__1230"/>
      <sheetName val="[Spt-BH.xls][Spt-BH_xls]B__1231"/>
      <sheetName val="[Spt-BH.xls][Spt-BH_xls]_Sp_400"/>
      <sheetName val="[Spt-BH.xls][Spt-BH_xls]B__1232"/>
      <sheetName val="[Spt-BH.xls][Spt-BH_xls]B__1233"/>
      <sheetName val="[Spt-BH.xls][Spt-BH_xls]B__1234"/>
      <sheetName val="[Spt-BH.xls][Spt-BH_xls]_Sp_401"/>
      <sheetName val="[Spt-BH.xls][Spt-BH_xls]B__1235"/>
      <sheetName val="[Spt-BH.xls][Spt-BH_xls]B__1236"/>
      <sheetName val="[Spt-BH.xls][Spt-BH_xls]B__1237"/>
      <sheetName val="[Spt-BH.xls][Spt-BH_xls]B__1238"/>
      <sheetName val="[Spt-BH.xls][Spt-BH_xls]_Sp_402"/>
      <sheetName val="[Spt-BH.xls][Spt-BH_xls]B__1239"/>
      <sheetName val="[Spt-BH.xls][Spt-BH_xls]B__1240"/>
      <sheetName val="[Spt-BH.xls][Spt-BH_xls]_Sp_403"/>
      <sheetName val="[Spt-BH.xls][Spt-BH_xls]B__1241"/>
      <sheetName val="[Spt-BH.xls][Spt-BH_xls]B__1242"/>
      <sheetName val="[Spt-BH.xls][Spt-BH_xls]_Sp_404"/>
      <sheetName val="[Spt-BH.xls][Spt-BH.xls]_Sp_435"/>
      <sheetName val="[Spt-BH.xls][Spt-BH.xls]_Sp_441"/>
      <sheetName val="[Spt-BH.xls][Spt-BH.xls]_Sp_443"/>
      <sheetName val="[Spt-BH.xls][Spt-BH.xls]_Sp_442"/>
      <sheetName val="[Spt-BH.xls][Spt-BH.xls]_Sp_445"/>
      <sheetName val="[Spt-BH.xls]B____x005f_x0004______105"/>
      <sheetName val="[Spt-BH.xls]B___x005f_x0000__x000_102"/>
      <sheetName val="[Spt-BH.xls][Spt-BH.xls]_Sp_444"/>
      <sheetName val="[Spt-BH.xls][Spt-BH_xls]B__1243"/>
      <sheetName val="[Spt-BH.xls][Spt-BH_xls]B__1244"/>
      <sheetName val="[Spt-BH.xls][Spt-BH_xls]B__1245"/>
      <sheetName val="[Spt-BH.xls][Spt-BH_xls]B__1246"/>
      <sheetName val="[Spt-BH.xls][Spt-BH_xls]_Sp_405"/>
      <sheetName val="[Spt-BH.xls][Spt-BH_xls]B__1247"/>
      <sheetName val="[Spt-BH.xls][Spt-BH_xls]B__1248"/>
      <sheetName val="[Spt-BH.xls][Spt-BH_xls]B__1249"/>
      <sheetName val="[Spt-BH.xls][Spt-BH_xls]_Sp_406"/>
      <sheetName val="[Spt-BH.xls][Spt-BH_xls]B__1250"/>
      <sheetName val="[Spt-BH.xls][Spt-BH_xls]B__1251"/>
      <sheetName val="[Spt-BH.xls][Spt-BH_xls]B__1252"/>
      <sheetName val="[Spt-BH.xls][Spt-BH_xls]B__1253"/>
      <sheetName val="[Spt-BH.xls][Spt-BH_xls]_Sp_407"/>
      <sheetName val="[Spt-BH.xls][Spt-BH_xls]B__1254"/>
      <sheetName val="[Spt-BH.xls][Spt-BH_xls]B__1255"/>
      <sheetName val="[Spt-BH.xls][Spt-BH_xls]_Sp_408"/>
      <sheetName val="[Spt-BH.xls][Spt-BH_xls]B__1256"/>
      <sheetName val="[Spt-BH.xls][Spt-BH_xls]B__1257"/>
      <sheetName val="[Spt-BH.xls][Spt-BH_xls]_Sp_409"/>
      <sheetName val="[Spt-BH.xls][Spt-BH.xls]_Sp_447"/>
      <sheetName val="[Spt-BH.xls][Spt-BH.xls]_Sp_446"/>
      <sheetName val="[Spt-BH.xls][Spt-BH.xls]_Sp_448"/>
      <sheetName val="[Spt-BH.xls][Spt-BH.xls]_Sp_450"/>
      <sheetName val="[Spt-BH.xls][Spt-BH.xls]_Sp_449"/>
      <sheetName val="[Spt-BH.xls][Spt-BH.xls]_Sp_451"/>
      <sheetName val="[Spt-BH.xls][Spt-BH.xls]_Sp_455"/>
      <sheetName val="[Spt-BH.xls][Spt-BH.xls]_Sp_452"/>
      <sheetName val="[Spt-BH.xls][Spt-BH.xls]_Sp_453"/>
      <sheetName val="[Spt-BH.xls][Spt-BH.xls]_Sp_454"/>
      <sheetName val="[Spt-BH.xls][Spt-BH.xls]_Sp_458"/>
      <sheetName val="[Spt-BH.xls][Spt-BH.xls]_Sp_456"/>
      <sheetName val="[Spt-BH.xls][Spt-BH.xls]_Sp_457"/>
      <sheetName val="[Spt-BH.xls][Spt-BH.xls]_Sp_462"/>
      <sheetName val="[Spt-BH.xls][Spt-BH.xls]_Sp_464"/>
      <sheetName val="[Spt-BH.xls][Spt-BH.xls]_Sp_463"/>
      <sheetName val="[Spt-BH.xls][Spt-BH.xls]_Sp_466"/>
      <sheetName val="[Spt-BH.xls]B____x005f_x0004______106"/>
      <sheetName val="[Spt-BH.xls]B___x005f_x0000__x000_103"/>
      <sheetName val="[Spt-BH.xls][Spt-BH.xls]_Sp_465"/>
      <sheetName val="[Spt-BH.xls][Spt-BH_xls]B__1258"/>
      <sheetName val="[Spt-BH.xls][Spt-BH_xls]B__1259"/>
      <sheetName val="[Spt-BH.xls][Spt-BH_xls]B__1260"/>
      <sheetName val="[Spt-BH.xls][Spt-BH_xls]B__1261"/>
      <sheetName val="[Spt-BH.xls][Spt-BH_xls]_Sp_410"/>
      <sheetName val="[Spt-BH.xls][Spt-BH_xls]B__1262"/>
      <sheetName val="[Spt-BH.xls][Spt-BH_xls]B__1263"/>
      <sheetName val="[Spt-BH.xls][Spt-BH_xls]B__1264"/>
      <sheetName val="[Spt-BH.xls][Spt-BH_xls]_Sp_411"/>
      <sheetName val="[Spt-BH.xls][Spt-BH_xls]B__1265"/>
      <sheetName val="[Spt-BH.xls][Spt-BH_xls]B__1266"/>
      <sheetName val="[Spt-BH.xls][Spt-BH_xls]B__1267"/>
      <sheetName val="[Spt-BH.xls][Spt-BH_xls]B__1268"/>
      <sheetName val="[Spt-BH.xls][Spt-BH_xls]_Sp_412"/>
      <sheetName val="[Spt-BH.xls][Spt-BH_xls]B__1269"/>
      <sheetName val="[Spt-BH.xls][Spt-BH_xls]B__1270"/>
      <sheetName val="[Spt-BH.xls][Spt-BH_xls]_Sp_413"/>
      <sheetName val="[Spt-BH.xls][Spt-BH_xls]B__1271"/>
      <sheetName val="[Spt-BH.xls][Spt-BH_xls]B__1272"/>
      <sheetName val="[Spt-BH.xls][Spt-BH_xls]_Sp_414"/>
      <sheetName val="[Spt-BH.xls][Spt-BH.xls]_Sp_468"/>
      <sheetName val="[Spt-BH.xls][Spt-BH.xls]_Sp_467"/>
      <sheetName val="[Spt-BH.xls][Spt-BH.xls]_Sp_482"/>
      <sheetName val="[Spt-BH.xls][Spt-BH.xls]_Sp_474"/>
      <sheetName val="[Spt-BH.xls]B____x005f_x0004______107"/>
      <sheetName val="[Spt-BH.xls]B___x005f_x0000__x000_104"/>
      <sheetName val="[Spt-BH.xls][Spt-BH.xls]_Sp_472"/>
      <sheetName val="[Spt-BH.xls][Spt-BH.xls]_Sp_473"/>
      <sheetName val="[Spt-BH.xls][Spt-BH_xls]B__1273"/>
      <sheetName val="[Spt-BH.xls][Spt-BH_xls]B__1274"/>
      <sheetName val="[Spt-BH.xls][Spt-BH_xls]B__1275"/>
      <sheetName val="[Spt-BH.xls][Spt-BH_xls]B__1276"/>
      <sheetName val="[Spt-BH.xls][Spt-BH_xls]_Sp_415"/>
      <sheetName val="[Spt-BH.xls][Spt-BH_xls]B__1277"/>
      <sheetName val="[Spt-BH.xls][Spt-BH_xls]B__1278"/>
      <sheetName val="[Spt-BH.xls][Spt-BH_xls]B__1279"/>
      <sheetName val="[Spt-BH.xls][Spt-BH_xls]_Sp_416"/>
      <sheetName val="[Spt-BH.xls][Spt-BH_xls]B__1280"/>
      <sheetName val="[Spt-BH.xls][Spt-BH_xls]B__1281"/>
      <sheetName val="[Spt-BH.xls][Spt-BH_xls]B__1282"/>
      <sheetName val="[Spt-BH.xls][Spt-BH_xls]B__1283"/>
      <sheetName val="[Spt-BH.xls][Spt-BH_xls]_Sp_417"/>
      <sheetName val="[Spt-BH.xls][Spt-BH.xls]_Sp_469"/>
      <sheetName val="[Spt-BH.xls][Spt-BH_xls]B__1284"/>
      <sheetName val="[Spt-BH.xls][Spt-BH_xls]B__1285"/>
      <sheetName val="[Spt-BH.xls][Spt-BH_xls]_Sp_418"/>
      <sheetName val="[Spt-BH.xls][Spt-BH_xls]B__1286"/>
      <sheetName val="[Spt-BH.xls][Spt-BH_xls]B__1287"/>
      <sheetName val="[Spt-BH.xls][Spt-BH_xls]_Sp_419"/>
      <sheetName val="[Spt-BH.xls][Spt-BH.xls]_Sp_470"/>
      <sheetName val="[Spt-BH.xls][Spt-BH.xls]_Sp_471"/>
      <sheetName val="[Spt-BH.xls][Spt-BH.xls]_Sp_475"/>
      <sheetName val="[Spt-BH.xls]B____x005f_x0004______108"/>
      <sheetName val="[Spt-BH.xls]B___x005f_x0000__x000_105"/>
      <sheetName val="[Spt-BH.xls][Spt-BH.xls]_Sp_478"/>
      <sheetName val="[Spt-BH.xls][Spt-BH.xls]_Sp_476"/>
      <sheetName val="[Spt-BH.xls][Spt-BH.xls]_Sp_477"/>
      <sheetName val="[Spt-BH.xls][Spt-BH.xls]_Sp_479"/>
      <sheetName val="[Spt-BH.xls][Spt-BH_xls]B__1288"/>
      <sheetName val="[Spt-BH.xls][Spt-BH_xls]B__1289"/>
      <sheetName val="[Spt-BH.xls][Spt-BH_xls]B__1290"/>
      <sheetName val="[Spt-BH.xls][Spt-BH_xls]B__1291"/>
      <sheetName val="[Spt-BH.xls][Spt-BH_xls]_Sp_420"/>
      <sheetName val="[Spt-BH.xls][Spt-BH_xls]B__1292"/>
      <sheetName val="[Spt-BH.xls][Spt-BH_xls]B__1293"/>
      <sheetName val="[Spt-BH.xls][Spt-BH_xls]B__1294"/>
      <sheetName val="[Spt-BH.xls][Spt-BH_xls]_Sp_421"/>
      <sheetName val="[Spt-BH.xls][Spt-BH_xls]B__1295"/>
      <sheetName val="[Spt-BH.xls][Spt-BH_xls]B__1296"/>
      <sheetName val="[Spt-BH.xls][Spt-BH_xls]B__1297"/>
      <sheetName val="[Spt-BH.xls][Spt-BH_xls]B__1298"/>
      <sheetName val="[Spt-BH.xls][Spt-BH_xls]_Sp_422"/>
      <sheetName val="[Spt-BH.xls][Spt-BH_xls]B__1299"/>
      <sheetName val="[Spt-BH.xls][Spt-BH_xls]B__1300"/>
      <sheetName val="[Spt-BH.xls][Spt-BH_xls]_Sp_423"/>
      <sheetName val="[Spt-BH.xls][Spt-BH_xls]B__1301"/>
      <sheetName val="[Spt-BH.xls][Spt-BH_xls]B__1302"/>
      <sheetName val="[Spt-BH.xls][Spt-BH_xls]_Sp_424"/>
      <sheetName val="[Spt-BH.xls][Spt-BH.xls]_Sp_480"/>
      <sheetName val="[Spt-BH.xls][Spt-BH.xls]_Sp_481"/>
      <sheetName val="[Spt-BH.xls][Spt-BH.xls]_Sp_483"/>
      <sheetName val="[Spt-BH.xls][Spt-BH.xls]_Sp_484"/>
      <sheetName val="[Spt-BH.xls][Spt-BH.xls]B__1427"/>
      <sheetName val="[Spt-BH.xls][Spt-BH.xls]B__1428"/>
      <sheetName val="[Spt-BH.xls][Spt-BH.xls]B__1429"/>
      <sheetName val="[Spt-BH.xls][Spt-BH.xls]B__1447"/>
      <sheetName val="[Spt-BH.xls][Spt-BH.xls]B__1448"/>
      <sheetName val="[Spt-BH.xls][Spt-BH.xls]B__1449"/>
      <sheetName val="[Spt-BH.xls][Spt-BH.xls]_Sp_490"/>
      <sheetName val="[Spt-BH.xls][Spt-BH.xls]B__1451"/>
      <sheetName val="[Spt-BH.xls][Spt-BH.xls]B__1452"/>
      <sheetName val="[Spt-BH.xls][Spt-BH.xls]_Sp_493"/>
      <sheetName val="[Spt-BH.xls][Spt-BH.xls]B__1453"/>
      <sheetName val="[Spt-BH.xls][Spt-BH.xls]B__1454"/>
      <sheetName val="[Spt-BH.xls]B____x005f_x0004______111"/>
      <sheetName val="[Spt-BH.xls]B___x005f_x0000__x000_108"/>
      <sheetName val="[Spt-BH.xls][Spt-BH.xls]B__1455"/>
      <sheetName val="[Spt-BH.xls][Spt-BH.xls]B__1456"/>
      <sheetName val="[Spt-BH.xls][Spt-BH.xls]B__1450"/>
      <sheetName val="[Spt-BH.xls][Spt-BH.xls]_Sp_492"/>
      <sheetName val="[Spt-BH.xls][Spt-BH_xls]B__1333"/>
      <sheetName val="[Spt-BH.xls][Spt-BH_xls]B__1334"/>
      <sheetName val="[Spt-BH.xls][Spt-BH_xls]B__1335"/>
      <sheetName val="[Spt-BH.xls][Spt-BH_xls]B__1336"/>
      <sheetName val="[Spt-BH.xls][Spt-BH_xls]_Sp_435"/>
      <sheetName val="[Spt-BH.xls][Spt-BH_xls]B__1337"/>
      <sheetName val="[Spt-BH.xls][Spt-BH_xls]B__1338"/>
      <sheetName val="[Spt-BH.xls][Spt-BH_xls]B__1339"/>
      <sheetName val="[Spt-BH.xls][Spt-BH_xls]_Sp_436"/>
      <sheetName val="[Spt-BH.xls][Spt-BH_xls]B__1340"/>
      <sheetName val="[Spt-BH.xls][Spt-BH_xls]B__1341"/>
      <sheetName val="[Spt-BH.xls][Spt-BH_xls]B__1342"/>
      <sheetName val="[Spt-BH.xls][Spt-BH_xls]B__1343"/>
      <sheetName val="[Spt-BH.xls][Spt-BH_xls]_Sp_437"/>
      <sheetName val="[Spt-BH.xls][Spt-BH_xls]B__1344"/>
      <sheetName val="[Spt-BH.xls][Spt-BH_xls]B__1345"/>
      <sheetName val="[Spt-BH.xls][Spt-BH_xls]_Sp_438"/>
      <sheetName val="[Spt-BH.xls][Spt-BH_xls]B__1346"/>
      <sheetName val="[Spt-BH.xls][Spt-BH_xls]B__1347"/>
      <sheetName val="[Spt-BH.xls][Spt-BH_xls]_Sp_439"/>
      <sheetName val="[Spt-BH.xls][Spt-BH.xls]_Sp_485"/>
      <sheetName val="[Spt-BH.xls][Spt-BH.xls]B__1430"/>
      <sheetName val="[Spt-BH.xls][Spt-BH.xls]B__1431"/>
      <sheetName val="[Spt-BH.xls][Spt-BH.xls]B__1432"/>
      <sheetName val="[Spt-BH.xls][Spt-BH.xls]B__1433"/>
      <sheetName val="[Spt-BH.xls][Spt-BH.xls]B__1434"/>
      <sheetName val="[Spt-BH.xls][Spt-BH.xls]B__1435"/>
      <sheetName val="[Spt-BH.xls][Spt-BH.xls]_Sp_486"/>
      <sheetName val="[Spt-BH.xls]B____x005f_x0004______109"/>
      <sheetName val="[Spt-BH.xls]B___x005f_x0000__x000_106"/>
      <sheetName val="[Spt-BH.xls][Spt-BH.xls]B__1436"/>
      <sheetName val="[Spt-BH.xls][Spt-BH_xls]B__1303"/>
      <sheetName val="[Spt-BH.xls][Spt-BH_xls]B__1304"/>
      <sheetName val="[Spt-BH.xls][Spt-BH_xls]B__1305"/>
      <sheetName val="[Spt-BH.xls][Spt-BH_xls]B__1306"/>
      <sheetName val="[Spt-BH.xls][Spt-BH_xls]_Sp_425"/>
      <sheetName val="[Spt-BH.xls][Spt-BH_xls]B__1307"/>
      <sheetName val="[Spt-BH.xls][Spt-BH_xls]B__1308"/>
      <sheetName val="[Spt-BH.xls][Spt-BH_xls]B__1309"/>
      <sheetName val="[Spt-BH.xls][Spt-BH_xls]_Sp_426"/>
      <sheetName val="[Spt-BH.xls][Spt-BH_xls]B__1310"/>
      <sheetName val="[Spt-BH.xls][Spt-BH_xls]B__1311"/>
      <sheetName val="[Spt-BH.xls][Spt-BH_xls]B__1312"/>
      <sheetName val="[Spt-BH.xls][Spt-BH_xls]B__1313"/>
      <sheetName val="[Spt-BH.xls][Spt-BH_xls]_Sp_427"/>
      <sheetName val="[Spt-BH.xls][Spt-BH_xls]B__1314"/>
      <sheetName val="[Spt-BH.xls][Spt-BH_xls]B__1315"/>
      <sheetName val="[Spt-BH.xls][Spt-BH_xls]_Sp_428"/>
      <sheetName val="[Spt-BH.xls][Spt-BH_xls]B__1316"/>
      <sheetName val="[Spt-BH.xls][Spt-BH_xls]B__1317"/>
      <sheetName val="[Spt-BH.xls][Spt-BH_xls]_Sp_429"/>
      <sheetName val="[Spt-BH.xls][Spt-BH.xls]_Sp_487"/>
      <sheetName val="[Spt-BH.xls][Spt-BH.xls]B__1437"/>
      <sheetName val="[Spt-BH.xls][Spt-BH.xls]B__1438"/>
      <sheetName val="[Spt-BH.xls][Spt-BH.xls]B__1439"/>
      <sheetName val="[Spt-BH.xls][Spt-BH.xls]B__1440"/>
      <sheetName val="[Spt-BH.xls][Spt-BH.xls]B__1441"/>
      <sheetName val="[Spt-BH.xls][Spt-BH.xls]B__1442"/>
      <sheetName val="[Spt-BH.xls][Spt-BH.xls]_Sp_488"/>
      <sheetName val="[Spt-BH.xls]B____x005f_x0004______110"/>
      <sheetName val="[Spt-BH.xls]B___x005f_x0000__x000_107"/>
      <sheetName val="[Spt-BH.xls][Spt-BH.xls]B__1443"/>
      <sheetName val="[Spt-BH.xls][Spt-BH_xls]B__1318"/>
      <sheetName val="[Spt-BH.xls][Spt-BH_xls]B__1319"/>
      <sheetName val="[Spt-BH.xls][Spt-BH_xls]B__1320"/>
      <sheetName val="[Spt-BH.xls][Spt-BH_xls]B__1321"/>
      <sheetName val="[Spt-BH.xls][Spt-BH_xls]_Sp_430"/>
      <sheetName val="[Spt-BH.xls][Spt-BH_xls]B__1322"/>
      <sheetName val="[Spt-BH.xls][Spt-BH_xls]B__1323"/>
      <sheetName val="[Spt-BH.xls][Spt-BH_xls]B__1324"/>
      <sheetName val="[Spt-BH.xls][Spt-BH_xls]_Sp_431"/>
      <sheetName val="[Spt-BH.xls][Spt-BH_xls]B__1325"/>
      <sheetName val="[Spt-BH.xls][Spt-BH_xls]B__1326"/>
      <sheetName val="[Spt-BH.xls][Spt-BH_xls]B__1327"/>
      <sheetName val="[Spt-BH.xls][Spt-BH_xls]B__1328"/>
      <sheetName val="[Spt-BH.xls][Spt-BH_xls]_Sp_432"/>
      <sheetName val="[Spt-BH.xls][Spt-BH_xls]B__1329"/>
      <sheetName val="[Spt-BH.xls][Spt-BH_xls]B__1330"/>
      <sheetName val="[Spt-BH.xls][Spt-BH_xls]_Sp_433"/>
      <sheetName val="[Spt-BH.xls][Spt-BH_xls]B__1331"/>
      <sheetName val="[Spt-BH.xls][Spt-BH_xls]B__1332"/>
      <sheetName val="[Spt-BH.xls][Spt-BH_xls]_Sp_434"/>
      <sheetName val="[Spt-BH.xls][Spt-BH.xls]B__1457"/>
      <sheetName val="[Spt-BH.xls][Spt-BH.xls]B__1458"/>
      <sheetName val="[Spt-BH.xls][Spt-BH.xls]B__1459"/>
      <sheetName val="[Spt-BH.xls][Spt-BH.xls]B__1460"/>
      <sheetName val="[Spt-BH.xls][Spt-BH.xls]B__1461"/>
      <sheetName val="[Spt-BH.xls][Spt-BH.xls]B__1462"/>
      <sheetName val="[Spt-BH.xls][Spt-BH.xls]_Sp_494"/>
      <sheetName val="[Spt-BH.xls][Spt-BH.xls]_Sp_495"/>
      <sheetName val="[Spt-BH.xls][Spt-BH.xls]B__1464"/>
      <sheetName val="[Spt-BH.xls][Spt-BH.xls]B__1465"/>
      <sheetName val="[Spt-BH.xls][Spt-BH.xls]_Sp_497"/>
      <sheetName val="[Spt-BH.xls][Spt-BH.xls]B__1466"/>
      <sheetName val="[Spt-BH.xls][Spt-BH.xls]B__1467"/>
      <sheetName val="[Spt-BH.xls][Spt-BH.xls]B__1468"/>
      <sheetName val="[Spt-BH.xls][Spt-BH.xls]B__1469"/>
      <sheetName val="[Spt-BH.xls][Spt-BH.xls]_Sp_496"/>
      <sheetName val="[Spt-BH.xls][Spt-BH.xls]B__1471"/>
      <sheetName val="[Spt-BH.xls][Spt-BH.xls]B__1472"/>
      <sheetName val="[Spt-BH.xls][Spt-BH.xls]B__1473"/>
      <sheetName val="[Spt-BH.xls][Spt-BH.xls]B__1474"/>
      <sheetName val="[Spt-BH.xls]B____x005f_x0004______113"/>
      <sheetName val="[Spt-BH.xls]B___x005f_x0000__x000_110"/>
      <sheetName val="[Spt-BH.xls][Spt-BH.xls]B__1475"/>
      <sheetName val="[Spt-BH.xls][Spt-BH.xls]B__1476"/>
      <sheetName val="[Spt-BH.xls][Spt-BH.xls]B__1470"/>
      <sheetName val="[Spt-BH.xls][Spt-BH.xls]_Sp_498"/>
      <sheetName val="[Spt-BH.xls][Spt-BH_xls]B__1363"/>
      <sheetName val="[Spt-BH.xls][Spt-BH_xls]B__1364"/>
      <sheetName val="[Spt-BH.xls][Spt-BH_xls]B__1365"/>
      <sheetName val="[Spt-BH.xls][Spt-BH_xls]B__1366"/>
      <sheetName val="[Spt-BH.xls][Spt-BH_xls]_Sp_445"/>
      <sheetName val="[Spt-BH.xls][Spt-BH_xls]B__1367"/>
      <sheetName val="[Spt-BH.xls][Spt-BH_xls]B__1368"/>
      <sheetName val="[Spt-BH.xls][Spt-BH_xls]B__1369"/>
      <sheetName val="[Spt-BH.xls][Spt-BH_xls]_Sp_446"/>
      <sheetName val="[Spt-BH.xls][Spt-BH_xls]B__1370"/>
      <sheetName val="[Spt-BH.xls][Spt-BH_xls]B__1371"/>
      <sheetName val="[Spt-BH.xls][Spt-BH_xls]B__1372"/>
      <sheetName val="[Spt-BH.xls][Spt-BH_xls]B__1373"/>
      <sheetName val="[Spt-BH.xls][Spt-BH_xls]_Sp_447"/>
      <sheetName val="[Spt-BH.xls][Spt-BH_xls]B__1374"/>
      <sheetName val="[Spt-BH.xls][Spt-BH_xls]B__1375"/>
      <sheetName val="[Spt-BH.xls][Spt-BH_xls]_Sp_448"/>
      <sheetName val="[Spt-BH.xls][Spt-BH_xls]B__1376"/>
      <sheetName val="[Spt-BH.xls][Spt-BH_xls]B__1377"/>
      <sheetName val="[Spt-BH.xls][Spt-BH_xls]_Sp_449"/>
      <sheetName val="[Spt-BH.xls]B____x005f_x0004______112"/>
      <sheetName val="[Spt-BH.xls]B___x005f_x0000__x000_109"/>
      <sheetName val="[Spt-BH.xls][Spt-BH.xls]B__1463"/>
      <sheetName val="[Spt-BH.xls][Spt-BH_xls]B__1348"/>
      <sheetName val="[Spt-BH.xls][Spt-BH_xls]B__1349"/>
      <sheetName val="[Spt-BH.xls][Spt-BH_xls]B__1350"/>
      <sheetName val="[Spt-BH.xls][Spt-BH_xls]B__1351"/>
      <sheetName val="[Spt-BH.xls][Spt-BH_xls]_Sp_440"/>
      <sheetName val="[Spt-BH.xls][Spt-BH_xls]B__1352"/>
      <sheetName val="[Spt-BH.xls][Spt-BH_xls]B__1353"/>
      <sheetName val="[Spt-BH.xls][Spt-BH_xls]B__1354"/>
      <sheetName val="[Spt-BH.xls][Spt-BH_xls]_Sp_441"/>
      <sheetName val="[Spt-BH.xls][Spt-BH_xls]B__1355"/>
      <sheetName val="[Spt-BH.xls][Spt-BH_xls]B__1356"/>
      <sheetName val="[Spt-BH.xls][Spt-BH_xls]B__1357"/>
      <sheetName val="[Spt-BH.xls][Spt-BH_xls]B__1358"/>
      <sheetName val="[Spt-BH.xls][Spt-BH_xls]_Sp_442"/>
      <sheetName val="[Spt-BH.xls][Spt-BH_xls]B__1359"/>
      <sheetName val="[Spt-BH.xls][Spt-BH_xls]B__1360"/>
      <sheetName val="[Spt-BH.xls][Spt-BH_xls]_Sp_443"/>
      <sheetName val="[Spt-BH.xls][Spt-BH_xls]B__1361"/>
      <sheetName val="[Spt-BH.xls][Spt-BH_xls]B__1362"/>
      <sheetName val="[Spt-BH.xls][Spt-BH_xls]_Sp_444"/>
      <sheetName val="[Spt-BH.xls]B____x005f_x0004______114"/>
      <sheetName val="[Spt-BH.xls]B___x005f_x0000__x000_111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[Spt-BH.xls][Spt-BH.xls]_Sp_499"/>
      <sheetName val="[Spt-BH.xls][Spt-BH.xls]B__1482"/>
      <sheetName val="[Spt-BH.xls][Spt-BH.xls]_Sp_500"/>
      <sheetName val="[Spt-BH.xls][Spt-BH.xls]B__1483"/>
      <sheetName val="[Spt-BH.xls][Spt-BH_xls]B__1378"/>
      <sheetName val="[Spt-BH.xls][Spt-BH_xls]B__1379"/>
      <sheetName val="[Spt-BH.xls][Spt-BH_xls]B__1380"/>
      <sheetName val="[Spt-BH.xls][Spt-BH_xls]B__1381"/>
      <sheetName val="[Spt-BH.xls][Spt-BH_xls]_Sp_450"/>
      <sheetName val="[Spt-BH.xls][Spt-BH_xls]B__1382"/>
      <sheetName val="[Spt-BH.xls][Spt-BH_xls]B__1383"/>
      <sheetName val="[Spt-BH.xls][Spt-BH_xls]B__1384"/>
      <sheetName val="[Spt-BH.xls][Spt-BH_xls]_Sp_451"/>
      <sheetName val="[Spt-BH.xls][Spt-BH_xls]B__1385"/>
      <sheetName val="[Spt-BH.xls][Spt-BH_xls]B__1386"/>
      <sheetName val="[Spt-BH.xls][Spt-BH_xls]B__1387"/>
      <sheetName val="[Spt-BH.xls][Spt-BH_xls]B__1388"/>
      <sheetName val="[Spt-BH.xls][Spt-BH_xls]_Sp_452"/>
      <sheetName val="[Spt-BH.xls][Spt-BH_xls]B__1389"/>
      <sheetName val="[Spt-BH.xls][Spt-BH_xls]B__1390"/>
      <sheetName val="[Spt-BH.xls][Spt-BH_xls]_Sp_453"/>
      <sheetName val="[Spt-BH.xls][Spt-BH_xls]B__1391"/>
      <sheetName val="[Spt-BH.xls][Spt-BH_xls]B__1392"/>
      <sheetName val="[Spt-BH.xls][Spt-BH_xls]_Sp_454"/>
      <sheetName val="[Spt-BH.xls]B____x005f_x0004______115"/>
      <sheetName val="[Spt-BH.xls]B___x005f_x0000__x000_112"/>
      <sheetName val="[Spt-BH.xls][Spt-BH.xls]B__1484"/>
      <sheetName val="[Spt-BH.xls][Spt-BH.xls]B__1485"/>
      <sheetName val="[Spt-BH.xls][Spt-BH.xls]B__1486"/>
      <sheetName val="[Spt-BH.xls][Spt-BH.xls]B__1487"/>
      <sheetName val="[Spt-BH.xls][Spt-BH.xls]_Sp_501"/>
      <sheetName val="[Spt-BH.xls][Spt-BH.xls]B__1488"/>
      <sheetName val="[Spt-BH.xls][Spt-BH.xls]B__1489"/>
      <sheetName val="[Spt-BH.xls][Spt-BH.xls]_Sp_502"/>
      <sheetName val="[Spt-BH.xls][Spt-BH.xls]B__1490"/>
      <sheetName val="[Spt-BH.xls][Spt-BH_xls]B__1393"/>
      <sheetName val="[Spt-BH.xls][Spt-BH_xls]B__1394"/>
      <sheetName val="[Spt-BH.xls][Spt-BH_xls]B__1395"/>
      <sheetName val="[Spt-BH.xls][Spt-BH_xls]B__1396"/>
      <sheetName val="[Spt-BH.xls][Spt-BH_xls]_Sp_455"/>
      <sheetName val="[Spt-BH.xls][Spt-BH_xls]B__1397"/>
      <sheetName val="[Spt-BH.xls][Spt-BH_xls]B__1398"/>
      <sheetName val="[Spt-BH.xls][Spt-BH_xls]B__1399"/>
      <sheetName val="[Spt-BH.xls][Spt-BH_xls]_Sp_456"/>
      <sheetName val="[Spt-BH.xls][Spt-BH_xls]B__1400"/>
      <sheetName val="[Spt-BH.xls][Spt-BH_xls]B__1401"/>
      <sheetName val="[Spt-BH.xls][Spt-BH_xls]B__1402"/>
      <sheetName val="[Spt-BH.xls][Spt-BH_xls]B__1403"/>
      <sheetName val="[Spt-BH.xls][Spt-BH_xls]_Sp_457"/>
      <sheetName val="[Spt-BH.xls][Spt-BH_xls]B__1404"/>
      <sheetName val="[Spt-BH.xls][Spt-BH_xls]B__1405"/>
      <sheetName val="[Spt-BH.xls][Spt-BH_xls]_Sp_458"/>
      <sheetName val="[Spt-BH.xls][Spt-BH_xls]B__1406"/>
      <sheetName val="[Spt-BH.xls][Spt-BH_xls]B__1407"/>
      <sheetName val="[Spt-BH.xls][Spt-BH_xls]_Sp_459"/>
      <sheetName val="[Spt-BH.xls][Spt-BH.xls]_Sp_510"/>
      <sheetName val="[Spt-BH.xls][Spt-BH.xls]B__1511"/>
      <sheetName val="[Spt-BH.xls][Spt-BH.xls]B__1512"/>
      <sheetName val="[Spt-BH.xls][Spt-BH.xls]_Sp_511"/>
      <sheetName val="[Spt-BH.xls][Spt-BH.xls]B__1513"/>
      <sheetName val="[Spt-BH.xls][Spt-BH.xls]B__1514"/>
      <sheetName val="[Spt-BH.xls][Spt-BH.xls]B__1515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Door"/>
      <sheetName val="Facilites Master"/>
      <sheetName val="EQP Master"/>
      <sheetName val="INPUTS"/>
      <sheetName val="_Spt-BH.xls_B@__x005f_x0000__x0"/>
      <sheetName val="20th Office"/>
      <sheetName val="Bank Guarantee"/>
      <sheetName val="G2"/>
      <sheetName val="B2"/>
      <sheetName val="Demand"/>
      <sheetName val="Occ"/>
      <sheetName val="Introduction"/>
      <sheetName val="Old"/>
      <sheetName val="Operating Statistics"/>
      <sheetName val="Financials"/>
      <sheetName val="BP"/>
      <sheetName val="N.T-M-30 GDS"/>
      <sheetName val="PROVISIONAL SUMS"/>
      <sheetName val="JSSL BOQ"/>
      <sheetName val="N.T-M-45"/>
      <sheetName val="SILICATE"/>
      <sheetName val="PG-DIA.SEA"/>
      <sheetName val="CASH-FLOW"/>
      <sheetName val="FITZ MORT 94"/>
      <sheetName val="Fin_Sum4"/>
      <sheetName val="Fin_Sum5"/>
      <sheetName val="Material_5"/>
      <sheetName val="Labour_&amp;_Plant5"/>
      <sheetName val="pr_cal5"/>
      <sheetName val="TRF_details5"/>
      <sheetName val="Materials_Cost5"/>
      <sheetName val="Fin_Sum6"/>
      <sheetName val="Cost_of_O_&amp;_O6"/>
      <sheetName val="Material_6"/>
      <sheetName val="Labour_&amp;_Plant6"/>
      <sheetName val="pr_cal6"/>
      <sheetName val="TRF_details6"/>
      <sheetName val="Materials_Cost6"/>
      <sheetName val="factor sheet"/>
      <sheetName val="Insts"/>
      <sheetName val="_Spt-BH.xls_B@___x005f_x0004_@_____$_"/>
      <sheetName val="_Spt-BH_xls_B@_@__$"/>
      <sheetName val="_Spt-BH_xls_B@__@_____$__"/>
      <sheetName val="_Spt-BH_xls_B@__@___$_"/>
      <sheetName val="_Spt-BH.xls__Spt-BH_xls_B@_@__$"/>
      <sheetName val="_Spt-BH.xls__Spt-BH.xls_B_____9"/>
      <sheetName val="_Spt-BH.xls__Spt-BH.xls__Spt__6"/>
      <sheetName val="_Spt-BH.xls__Spt-BH.xls_B____10"/>
      <sheetName val="_Spt-BH.xls__Spt-BH.xls_B____11"/>
      <sheetName val="_Spt-BH.xls__Spt-BH.xls_B____12"/>
      <sheetName val="_Spt-BH.xls_B____x005f_x0004________2"/>
      <sheetName val="_Spt-BH.xls_B___x005f_x0000__x005f_x0004__2"/>
      <sheetName val="_Spt-BH.xls__Spt-BH.xls_B_____2"/>
      <sheetName val="_Spt-BH.xls__Spt-BH.xls__Spt__4"/>
      <sheetName val="_Spt-BH.xls__Spt-BH.xls_B_____3"/>
      <sheetName val="_Spt-BH.xls__Spt-BH.xls_B_____4"/>
      <sheetName val="_Spt-BH.xls__Spt-BH.xls_B_____5"/>
      <sheetName val="_Spt-BH.xls__Spt-BH.xls__Spt__2"/>
      <sheetName val="_Spt-BH.xls__Spt-BH.xls_B_____6"/>
      <sheetName val="_Spt-BH.xls__Spt-BH.xls__Spt__5"/>
      <sheetName val="_Spt-BH.xls__Spt-BH_xls_B_____2"/>
      <sheetName val="_Spt-BH.xls__Spt-BH_xls_B_____3"/>
      <sheetName val="_Spt-BH.xls__Spt-BH.xls__Spt__3"/>
      <sheetName val="_Spt-BH.xls__Spt-BH.xls_B_____7"/>
      <sheetName val="_Spt-BH.xls__Spt-BH.xls_B_____8"/>
      <sheetName val="_Spt-BH.xls__Spt-BH.xls_B____13"/>
      <sheetName val="_Spt-BH.xls__Spt-BH.xls_B____14"/>
      <sheetName val="starter"/>
      <sheetName val="A.O.R."/>
      <sheetName val="Income Statement"/>
      <sheetName val="RateAnalysis"/>
      <sheetName val="Boq (Main Building)"/>
      <sheetName val="Direct co_x0006__x0000__x0017__x0000__x000a__x0000__x000e__x0000__x000d__x0000__x0009__x0000_"/>
      <sheetName val="_x0000__x0009__x0000__x0008__x0000__x0011__x0000__x0009_"/>
      <sheetName val="Direct co_x0006__x0000__x0017__x0000__x000a__x0000__x000e__x0000__x000d__x0000_ _x0000_"/>
      <sheetName val="_x0000_ _x0000__x0008__x0000__x0011__x0000_ "/>
      <sheetName val="[Spt-BH.xls]B____x005f_x0004______118"/>
      <sheetName val="[Spt-BH.xls]B___x005f_x0000__x000_115"/>
      <sheetName val="[Spt-BH.xls]B____x005f_x0004______119"/>
      <sheetName val="[Spt-BH.xls]B___x005f_x0000__x000_116"/>
      <sheetName val="Current Bill MB ref"/>
      <sheetName val="[Spt-BH.xls][Spt-BH.xls]B__1516"/>
      <sheetName val="[Spt-BH.xls][Spt-BH.xls]B__1517"/>
      <sheetName val="[Spt-BH.xls][Spt-BH.xls]B__1518"/>
      <sheetName val="[Spt-BH.xls][Spt-BH.xls]B__1519"/>
      <sheetName val="[Spt-BH.xls][Spt-BH.xls]B__1520"/>
      <sheetName val="[Spt-BH.xls][Spt-BH.xls]B__1521"/>
      <sheetName val="[Spt-BH.xls][Spt-BH.xls]B__1522"/>
      <sheetName val="[Spt-BH.xls][Spt-BH.xls]B__1523"/>
      <sheetName val="[Spt-BH.xls][Spt-BH.xls]B__1524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B__1530"/>
      <sheetName val="[Spt-BH.xls][Spt-BH.xls]B__1531"/>
      <sheetName val="[Spt-BH.xls][Spt-BH.xls]B__1537"/>
      <sheetName val="[Spt-BH.xls][Spt-BH.xls]B__1538"/>
      <sheetName val="[Spt-BH.xls][Spt-BH.xls]B__1539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45"/>
      <sheetName val="[Spt-BH.xls][Spt-BH.xls]B__1546"/>
      <sheetName val="[Spt-BH.xls][Spt-BH.xls]B__1532"/>
      <sheetName val="[Spt-BH.xls][Spt-BH.xls]B__1533"/>
      <sheetName val="[Spt-BH.xls][Spt-BH.xls]B__1534"/>
      <sheetName val="[Spt-BH.xls][Spt-BH.xls]B__1535"/>
      <sheetName val="[Spt-BH.xls][Spt-BH.xls]B__1536"/>
      <sheetName val="[Spt-BH.xls][Spt-BH.xls]B__1547"/>
      <sheetName val="[Spt-BH.xls][Spt-BH.xls]B__1548"/>
      <sheetName val="[Spt-BH.xls][Spt-BH.xls]B__1549"/>
      <sheetName val="[Spt-BH.xls][Spt-BH.xls]B__1550"/>
      <sheetName val="[Spt-BH.xls][Spt-BH.xls]B__1551"/>
      <sheetName val="[Spt-BH.xls][Spt-BH.xls]B__1562"/>
      <sheetName val="[Spt-BH.xls][Spt-BH.xls]B__1563"/>
      <sheetName val="[Spt-BH.xls][Spt-BH.xls]B__1564"/>
      <sheetName val="[Spt-BH.xls][Spt-BH.xls]B__1565"/>
      <sheetName val="[Spt-BH.xls][Spt-BH.xls]B__1566"/>
      <sheetName val="[Spt-BH.xls][Spt-BH.xls]B__1552"/>
      <sheetName val="[Spt-BH.xls][Spt-BH.xls]B__1553"/>
      <sheetName val="[Spt-BH.xls][Spt-BH.xls]B__1554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7"/>
      <sheetName val="[Spt-BH.xls][Spt-BH.xls]B__1578"/>
      <sheetName val="[Spt-BH.xls][Spt-BH.xls]B__1579"/>
      <sheetName val="[Spt-BH.xls][Spt-BH.xls]B__1580"/>
      <sheetName val="[Spt-BH.xls][Spt-BH.xls]B__1581"/>
      <sheetName val="[Spt-BH.xls][Spt-BH.xls]B__1572"/>
      <sheetName val="[Spt-BH.xls][Spt-BH.xls]B__1573"/>
      <sheetName val="[Spt-BH.xls][Spt-BH.xls]B__1574"/>
      <sheetName val="[Spt-BH.xls][Spt-BH.xls]B__1575"/>
      <sheetName val="[Spt-BH.xls][Spt-BH.xls]B__1576"/>
      <sheetName val="[Spt-BH.xls][Spt-BH.xls]B__1594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88"/>
      <sheetName val="[Spt-BH.xls][Spt-BH.xls]B__1589"/>
      <sheetName val="[Spt-BH.xls][Spt-BH.xls]B__1590"/>
      <sheetName val="[Spt-BH.xls][Spt-BH.xls]B__1591"/>
      <sheetName val="[Spt-BH.xls][Spt-BH.xls]B__1592"/>
      <sheetName val="[Spt-BH.xls][Spt-BH.xls]B__1593"/>
      <sheetName val="[Spt-BH.xls][Spt-BH.xls]B__1582"/>
      <sheetName val="[Spt-BH.xls][Spt-BH.xls]B__1583"/>
      <sheetName val="[Spt-BH.xls][Spt-BH.xls]B__1584"/>
      <sheetName val="[Spt-BH.xls][Spt-BH.xls]B__1585"/>
      <sheetName val="[Spt-BH.xls][Spt-BH.xls]B__1586"/>
      <sheetName val="[Spt-BH.xls][Spt-BH.xls]B__1587"/>
      <sheetName val="[Spt-BH.xls][Spt-BH.xls]B__1599"/>
      <sheetName val="[Spt-BH.xls][Spt-BH.xls]B__1600"/>
      <sheetName val="[Spt-BH.xls][Spt-BH.xls]B__1601"/>
      <sheetName val="[Spt-BH.xls][Spt-BH.xls]B__1602"/>
      <sheetName val="[Spt-BH.xls][Spt-BH.xls]B__1603"/>
      <sheetName val="[Spt-BH.xls][Spt-BH.xls]_Sp_589"/>
      <sheetName val="[Spt-BH.xls][Spt-BH.xls]B__1684"/>
      <sheetName val="[Spt-BH.xls][Spt-BH.xls]B__1685"/>
      <sheetName val="[Spt-BH.xls][Spt-BH.xls]_Sp_590"/>
      <sheetName val="[Spt-BH.xls][Spt-BH.xls]B__1686"/>
      <sheetName val="[Spt-BH.xls][Spt-BH.xls]B__1687"/>
      <sheetName val="[Spt-BH.xls][Spt-BH.xls]_Sp_585"/>
      <sheetName val="[Spt-BH.xls][Spt-BH.xls]B__1671"/>
      <sheetName val="[Spt-BH.xls][Spt-BH.xls]B__1678"/>
      <sheetName val="[Spt-BH.xls][Spt-BH.xls]B__1679"/>
      <sheetName val="[Spt-BH.xls][Spt-BH.xls]B__1680"/>
      <sheetName val="[Spt-BH.xls][Spt-BH.xls]B__1681"/>
      <sheetName val="[Spt-BH.xls]B____x005f_x0004______143"/>
      <sheetName val="[Spt-BH.xls][Spt-BH.xls]B__1672"/>
      <sheetName val="[Spt-BH.xls][Spt-BH.xls]_Sp_587"/>
      <sheetName val="[Spt-BH.xls][Spt-BH.xls]B__1673"/>
      <sheetName val="[Spt-BH.xls][Spt-BH.xls]B__1674"/>
      <sheetName val="[Spt-BH.xls][Spt-BH.xls]B__1675"/>
      <sheetName val="[Spt-BH.xls]B___x005f_x0000__x000_140"/>
      <sheetName val="[Spt-BH.xls][Spt-BH.xls]B__1682"/>
      <sheetName val="[Spt-BH.xls][Spt-BH.xls]B__1683"/>
      <sheetName val="[Spt-BH.xls][Spt-BH.xls]B__1676"/>
      <sheetName val="[Spt-BH.xls][Spt-BH.xls]B__1677"/>
      <sheetName val="[Spt-BH.xls][Spt-BH.xls]_Sp_588"/>
      <sheetName val="[Spt-BH.xls][Spt-BH_xls]B__1663"/>
      <sheetName val="[Spt-BH.xls][Spt-BH_xls]B__1664"/>
      <sheetName val="[Spt-BH.xls][Spt-BH_xls]B__1665"/>
      <sheetName val="[Spt-BH.xls][Spt-BH_xls]B__1666"/>
      <sheetName val="[Spt-BH.xls][Spt-BH_xls]_Sp_545"/>
      <sheetName val="[Spt-BH.xls][Spt-BH_xls]B__1667"/>
      <sheetName val="[Spt-BH.xls][Spt-BH_xls]B__1668"/>
      <sheetName val="[Spt-BH.xls][Spt-BH_xls]B__1669"/>
      <sheetName val="[Spt-BH.xls][Spt-BH_xls]_Sp_546"/>
      <sheetName val="[Spt-BH.xls][Spt-BH_xls]B__1670"/>
      <sheetName val="[Spt-BH.xls][Spt-BH_xls]B__1671"/>
      <sheetName val="[Spt-BH.xls][Spt-BH_xls]B__1672"/>
      <sheetName val="[Spt-BH.xls][Spt-BH_xls]B__1673"/>
      <sheetName val="[Spt-BH.xls][Spt-BH_xls]_Sp_547"/>
      <sheetName val="[Spt-BH.xls][Spt-BH.xls]_Sp_586"/>
      <sheetName val="[Spt-BH.xls][Spt-BH_xls]B__1674"/>
      <sheetName val="[Spt-BH.xls][Spt-BH_xls]B__1675"/>
      <sheetName val="[Spt-BH.xls][Spt-BH_xls]_Sp_548"/>
      <sheetName val="[Spt-BH.xls][Spt-BH_xls]B__1676"/>
      <sheetName val="[Spt-BH.xls][Spt-BH_xls]B__1677"/>
      <sheetName val="[Spt-BH.xls][Spt-BH_xls]_Sp_549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21"/>
      <sheetName val="[Spt-BH.xls]B___x005f_x0000__x000_118"/>
      <sheetName val="[Spt-BH.xls]B____x005f_x0004______120"/>
      <sheetName val="[Spt-BH.xls]B___x005f_x0000__x000_117"/>
      <sheetName val="[Spt-BH.xls]B____x005f_x0004______122"/>
      <sheetName val="[Spt-BH.xls]B___x005f_x0000__x000_119"/>
      <sheetName val="[Spt-BH.xls]B____x005f_x0004______123"/>
      <sheetName val="[Spt-BH.xls]B___x005f_x0000__x000_120"/>
      <sheetName val="[Spt-BH.xls]B____x005f_x0004______124"/>
      <sheetName val="[Spt-BH.xls]B___x005f_x0000__x000_121"/>
      <sheetName val="[Spt-BH.xls][Spt-BH.xls]B__1615"/>
      <sheetName val="[Spt-BH.xls][Spt-BH.xls]B__1616"/>
      <sheetName val="[Spt-BH.xls][Spt-BH.xls]B__1617"/>
      <sheetName val="[Spt-BH.xls][Spt-BH.xls]B__1618"/>
      <sheetName val="[Spt-BH.xls]B____x005f_x0004______125"/>
      <sheetName val="[Spt-BH.xls]B___x005f_x0000__x000_122"/>
      <sheetName val="[Spt-BH.xls][Spt-BH.xls]B__1619"/>
      <sheetName val="[Spt-BH.xls][Spt-BH.xls]B__1620"/>
      <sheetName val="[Spt-BH.xls][Spt-BH.xls]B__1604"/>
      <sheetName val="[Spt-BH.xls][Spt-BH.xls]B__1605"/>
      <sheetName val="[Spt-BH.xls][Spt-BH.xls]B__1606"/>
      <sheetName val="[Spt-BH.xls][Spt-BH.xls]B__1607"/>
      <sheetName val="[Spt-BH.xls][Spt-BH.xls]B__1608"/>
      <sheetName val="[Spt-BH.xls][Spt-BH.xls]B__1609"/>
      <sheetName val="[Spt-BH.xls][Spt-BH.xls]B__1610"/>
      <sheetName val="[Spt-BH.xls][Spt-BH.xls]B__1611"/>
      <sheetName val="[Spt-BH.xls][Spt-BH.xls]B__1612"/>
      <sheetName val="[Spt-BH.xls][Spt-BH.xls]B__1613"/>
      <sheetName val="[Spt-BH.xls][Spt-BH.xls]B__1614"/>
      <sheetName val="[Spt-BH.xls][Spt-BH.xls]_Sp_529"/>
      <sheetName val="[Spt-BH.xls][Spt-BH.xls]_Sp_533"/>
      <sheetName val="[Spt-BH.xls][Spt-BH.xls]_Sp_530"/>
      <sheetName val="[Spt-BH.xls][Spt-BH.xls]_Sp_528"/>
      <sheetName val="[Spt-BH.xls][Spt-BH.xls]_Sp_526"/>
      <sheetName val="[Spt-BH.xls][Spt-BH.xls]_Sp_522"/>
      <sheetName val="[Spt-BH.xls][Spt-BH.xls]_Sp_520"/>
      <sheetName val="[Spt-BH.xls][Spt-BH.xls]_Sp_512"/>
      <sheetName val="[Spt-BH.xls][Spt-BH.xls]_Sp_513"/>
      <sheetName val="[Spt-BH.xls][Spt-BH.xls]_Sp_521"/>
      <sheetName val="[Spt-BH.xls][Spt-BH.xls]_Sp_516"/>
      <sheetName val="[Spt-BH.xls][Spt-BH.xls]_Sp_514"/>
      <sheetName val="[Spt-BH.xls][Spt-BH.xls]_Sp_515"/>
      <sheetName val="[Spt-BH.xls][Spt-BH.xls]_Sp_518"/>
      <sheetName val="[Spt-BH.xls][Spt-BH.xls]_Sp_517"/>
      <sheetName val="[Spt-BH.xls][Spt-BH.xls]_Sp_519"/>
      <sheetName val="[Spt-BH.xls][Spt-BH.xls]_Sp_523"/>
      <sheetName val="[Spt-BH.xls][Spt-BH.xls]_Sp_527"/>
      <sheetName val="[Spt-BH.xls][Spt-BH.xls]_Sp_524"/>
      <sheetName val="[Spt-BH.xls][Spt-BH.xls]_Sp_525"/>
      <sheetName val="[Spt-BH.xls][Spt-BH.xls]_Sp_535"/>
      <sheetName val="[Spt-BH.xls]B____x005f_x0004______127"/>
      <sheetName val="[Spt-BH.xls]B___x005f_x0000__x000_124"/>
      <sheetName val="[Spt-BH.xls][Spt-BH.xls]_Sp_534"/>
      <sheetName val="[Spt-BH.xls][Spt-BH.xls]_Sp_531"/>
      <sheetName val="[Spt-BH.xls]B____x005f_x0004______126"/>
      <sheetName val="[Spt-BH.xls]B___x005f_x0000__x000_123"/>
      <sheetName val="[Spt-BH.xls][Spt-BH.xls]_Sp_532"/>
      <sheetName val="[Spt-BH.xls][Spt-BH.xls]_Sp_536"/>
      <sheetName val="[Spt-BH.xls][Spt-BH.xls]_Sp_538"/>
      <sheetName val="[Spt-BH.xls][Spt-BH.xls]_Sp_549"/>
      <sheetName val="[Spt-BH.xls]B____x005f_x0004______128"/>
      <sheetName val="[Spt-BH.xls]B___x005f_x0000__x000_125"/>
      <sheetName val="[Spt-BH.xls][Spt-BH.xls]_Sp_537"/>
      <sheetName val="[Spt-BH.xls][Spt-BH.xls]_Sp_539"/>
      <sheetName val="[Spt-BH.xls][Spt-BH.xls]_Sp_544"/>
      <sheetName val="[Spt-BH.xls][Spt-BH.xls]_Sp_542"/>
      <sheetName val="[Spt-BH.xls][Spt-BH.xls]_Sp_540"/>
      <sheetName val="[Spt-BH.xls]B____x005f_x0004______129"/>
      <sheetName val="[Spt-BH.xls]B___x005f_x0000__x000_126"/>
      <sheetName val="[Spt-BH.xls][Spt-BH.xls]_Sp_541"/>
      <sheetName val="[Spt-BH.xls][Spt-BH.xls]_Sp_543"/>
      <sheetName val="[Spt-BH.xls][Spt-BH.xls]_Sp_546"/>
      <sheetName val="[Spt-BH.xls]B____x005f_x0004______132"/>
      <sheetName val="[Spt-BH.xls]B___x005f_x0000__x000_129"/>
      <sheetName val="[Spt-BH.xls][Spt-BH.xls]_Sp_545"/>
      <sheetName val="[Spt-BH.xls][Spt-BH_xls]B__1528"/>
      <sheetName val="[Spt-BH.xls][Spt-BH_xls]B__1529"/>
      <sheetName val="[Spt-BH.xls][Spt-BH_xls]B__1530"/>
      <sheetName val="[Spt-BH.xls][Spt-BH_xls]B__1531"/>
      <sheetName val="[Spt-BH.xls][Spt-BH_xls]_Sp_500"/>
      <sheetName val="[Spt-BH.xls][Spt-BH_xls]B__1532"/>
      <sheetName val="[Spt-BH.xls][Spt-BH_xls]B__1533"/>
      <sheetName val="[Spt-BH.xls][Spt-BH_xls]B__1534"/>
      <sheetName val="[Spt-BH.xls][Spt-BH_xls]_Sp_501"/>
      <sheetName val="[Spt-BH.xls][Spt-BH_xls]B__1535"/>
      <sheetName val="[Spt-BH.xls][Spt-BH_xls]B__1536"/>
      <sheetName val="[Spt-BH.xls][Spt-BH_xls]B__1537"/>
      <sheetName val="[Spt-BH.xls][Spt-BH_xls]B__1538"/>
      <sheetName val="[Spt-BH.xls][Spt-BH_xls]_Sp_502"/>
      <sheetName val="[Spt-BH.xls][Spt-BH_xls]B__1539"/>
      <sheetName val="[Spt-BH.xls][Spt-BH_xls]B__1540"/>
      <sheetName val="[Spt-BH.xls][Spt-BH_xls]_Sp_503"/>
      <sheetName val="[Spt-BH.xls][Spt-BH_xls]B__1541"/>
      <sheetName val="[Spt-BH.xls][Spt-BH_xls]B__1542"/>
      <sheetName val="[Spt-BH.xls][Spt-BH_xls]_Sp_504"/>
      <sheetName val="[Spt-BH.xls][Spt-BH_xls]B__1513"/>
      <sheetName val="[Spt-BH.xls][Spt-BH_xls]B__1514"/>
      <sheetName val="[Spt-BH.xls][Spt-BH_xls]B__1515"/>
      <sheetName val="[Spt-BH.xls][Spt-BH_xls]B__1516"/>
      <sheetName val="[Spt-BH.xls][Spt-BH_xls]_Sp_495"/>
      <sheetName val="[Spt-BH.xls][Spt-BH_xls]B__1517"/>
      <sheetName val="[Spt-BH.xls][Spt-BH_xls]B__1518"/>
      <sheetName val="[Spt-BH.xls][Spt-BH_xls]B__1519"/>
      <sheetName val="[Spt-BH.xls][Spt-BH_xls]_Sp_496"/>
      <sheetName val="[Spt-BH.xls][Spt-BH_xls]B__1520"/>
      <sheetName val="[Spt-BH.xls][Spt-BH_xls]B__1521"/>
      <sheetName val="[Spt-BH.xls][Spt-BH_xls]B__1522"/>
      <sheetName val="[Spt-BH.xls][Spt-BH_xls]B__1523"/>
      <sheetName val="[Spt-BH.xls][Spt-BH_xls]_Sp_497"/>
      <sheetName val="[Spt-BH.xls][Spt-BH_xls]B__1524"/>
      <sheetName val="[Spt-BH.xls][Spt-BH_xls]B__1525"/>
      <sheetName val="[Spt-BH.xls][Spt-BH_xls]_Sp_498"/>
      <sheetName val="[Spt-BH.xls][Spt-BH_xls]B__1526"/>
      <sheetName val="[Spt-BH.xls][Spt-BH_xls]B__1527"/>
      <sheetName val="[Spt-BH.xls][Spt-BH_xls]_Sp_499"/>
      <sheetName val="[Spt-BH.xls][Spt-BH_xls]B__1438"/>
      <sheetName val="[Spt-BH.xls][Spt-BH_xls]B__1439"/>
      <sheetName val="[Spt-BH.xls][Spt-BH_xls]B__1440"/>
      <sheetName val="[Spt-BH.xls][Spt-BH_xls]B__1441"/>
      <sheetName val="[Spt-BH.xls][Spt-BH_xls]_Sp_470"/>
      <sheetName val="[Spt-BH.xls][Spt-BH_xls]B__1442"/>
      <sheetName val="[Spt-BH.xls][Spt-BH_xls]B__1443"/>
      <sheetName val="[Spt-BH.xls][Spt-BH_xls]B__1444"/>
      <sheetName val="[Spt-BH.xls][Spt-BH_xls]_Sp_471"/>
      <sheetName val="[Spt-BH.xls][Spt-BH_xls]B__1445"/>
      <sheetName val="[Spt-BH.xls][Spt-BH_xls]B__1446"/>
      <sheetName val="[Spt-BH.xls][Spt-BH_xls]B__1447"/>
      <sheetName val="[Spt-BH.xls][Spt-BH_xls]B__1448"/>
      <sheetName val="[Spt-BH.xls][Spt-BH_xls]_Sp_472"/>
      <sheetName val="[Spt-BH.xls][Spt-BH_xls]B__1449"/>
      <sheetName val="[Spt-BH.xls][Spt-BH_xls]B__1450"/>
      <sheetName val="[Spt-BH.xls][Spt-BH_xls]_Sp_473"/>
      <sheetName val="[Spt-BH.xls][Spt-BH_xls]B__1451"/>
      <sheetName val="[Spt-BH.xls][Spt-BH_xls]B__1452"/>
      <sheetName val="[Spt-BH.xls][Spt-BH_xls]_Sp_474"/>
      <sheetName val="[Spt-BH.xls][Spt-BH_xls]B__1453"/>
      <sheetName val="[Spt-BH.xls][Spt-BH_xls]B__1454"/>
      <sheetName val="[Spt-BH.xls][Spt-BH_xls]B__1455"/>
      <sheetName val="[Spt-BH.xls][Spt-BH_xls]B__1456"/>
      <sheetName val="[Spt-BH.xls][Spt-BH_xls]_Sp_475"/>
      <sheetName val="[Spt-BH.xls][Spt-BH_xls]B__1457"/>
      <sheetName val="[Spt-BH.xls][Spt-BH_xls]B__1458"/>
      <sheetName val="[Spt-BH.xls][Spt-BH_xls]B__1459"/>
      <sheetName val="[Spt-BH.xls][Spt-BH_xls]_Sp_476"/>
      <sheetName val="[Spt-BH.xls][Spt-BH_xls]B__1460"/>
      <sheetName val="[Spt-BH.xls][Spt-BH_xls]B__1461"/>
      <sheetName val="[Spt-BH.xls][Spt-BH_xls]B__1462"/>
      <sheetName val="[Spt-BH.xls][Spt-BH_xls]B__1463"/>
      <sheetName val="[Spt-BH.xls][Spt-BH_xls]_Sp_477"/>
      <sheetName val="[Spt-BH.xls][Spt-BH_xls]B__1464"/>
      <sheetName val="[Spt-BH.xls][Spt-BH_xls]B__1465"/>
      <sheetName val="[Spt-BH.xls][Spt-BH_xls]_Sp_478"/>
      <sheetName val="[Spt-BH.xls][Spt-BH_xls]B__1466"/>
      <sheetName val="[Spt-BH.xls][Spt-BH_xls]B__1467"/>
      <sheetName val="[Spt-BH.xls][Spt-BH_xls]_Sp_479"/>
      <sheetName val="[Spt-BH.xls][Spt-BH_xls]B__1483"/>
      <sheetName val="[Spt-BH.xls][Spt-BH_xls]B__1484"/>
      <sheetName val="[Spt-BH.xls][Spt-BH_xls]B__1485"/>
      <sheetName val="[Spt-BH.xls][Spt-BH_xls]B__1486"/>
      <sheetName val="[Spt-BH.xls][Spt-BH_xls]_Sp_485"/>
      <sheetName val="[Spt-BH.xls][Spt-BH_xls]B__1487"/>
      <sheetName val="[Spt-BH.xls][Spt-BH_xls]B__1488"/>
      <sheetName val="[Spt-BH.xls][Spt-BH_xls]B__1489"/>
      <sheetName val="[Spt-BH.xls][Spt-BH_xls]_Sp_486"/>
      <sheetName val="[Spt-BH.xls][Spt-BH_xls]B__1490"/>
      <sheetName val="[Spt-BH.xls][Spt-BH_xls]B__1491"/>
      <sheetName val="[Spt-BH.xls][Spt-BH_xls]B__1492"/>
      <sheetName val="[Spt-BH.xls][Spt-BH_xls]B__1493"/>
      <sheetName val="[Spt-BH.xls][Spt-BH_xls]_Sp_487"/>
      <sheetName val="[Spt-BH.xls][Spt-BH_xls]B__1494"/>
      <sheetName val="[Spt-BH.xls][Spt-BH_xls]B__1495"/>
      <sheetName val="[Spt-BH.xls][Spt-BH_xls]_Sp_488"/>
      <sheetName val="[Spt-BH.xls][Spt-BH_xls]B__1496"/>
      <sheetName val="[Spt-BH.xls][Spt-BH_xls]B__1497"/>
      <sheetName val="[Spt-BH.xls][Spt-BH_xls]_Sp_489"/>
      <sheetName val="[Spt-BH.xls][Spt-BH_xls]B__1468"/>
      <sheetName val="[Spt-BH.xls][Spt-BH_xls]B__1469"/>
      <sheetName val="[Spt-BH.xls][Spt-BH_xls]B__1470"/>
      <sheetName val="[Spt-BH.xls][Spt-BH_xls]B__1471"/>
      <sheetName val="[Spt-BH.xls][Spt-BH_xls]_Sp_480"/>
      <sheetName val="[Spt-BH.xls][Spt-BH_xls]B__1472"/>
      <sheetName val="[Spt-BH.xls][Spt-BH_xls]B__1473"/>
      <sheetName val="[Spt-BH.xls][Spt-BH_xls]B__1474"/>
      <sheetName val="[Spt-BH.xls][Spt-BH_xls]_Sp_481"/>
      <sheetName val="[Spt-BH.xls][Spt-BH_xls]B__1475"/>
      <sheetName val="[Spt-BH.xls][Spt-BH_xls]B__1476"/>
      <sheetName val="[Spt-BH.xls][Spt-BH_xls]B__1477"/>
      <sheetName val="[Spt-BH.xls][Spt-BH_xls]B__1478"/>
      <sheetName val="[Spt-BH.xls][Spt-BH_xls]_Sp_482"/>
      <sheetName val="[Spt-BH.xls][Spt-BH_xls]B__1479"/>
      <sheetName val="[Spt-BH.xls][Spt-BH_xls]B__1480"/>
      <sheetName val="[Spt-BH.xls][Spt-BH_xls]_Sp_483"/>
      <sheetName val="[Spt-BH.xls][Spt-BH_xls]B__1481"/>
      <sheetName val="[Spt-BH.xls][Spt-BH_xls]B__1482"/>
      <sheetName val="[Spt-BH.xls][Spt-BH_xls]_Sp_484"/>
      <sheetName val="[Spt-BH.xls][Spt-BH_xls]B__1498"/>
      <sheetName val="[Spt-BH.xls][Spt-BH_xls]B__1499"/>
      <sheetName val="[Spt-BH.xls][Spt-BH_xls]B__1500"/>
      <sheetName val="[Spt-BH.xls][Spt-BH_xls]B__1501"/>
      <sheetName val="[Spt-BH.xls][Spt-BH_xls]_Sp_490"/>
      <sheetName val="[Spt-BH.xls][Spt-BH_xls]B__1502"/>
      <sheetName val="[Spt-BH.xls][Spt-BH_xls]B__1503"/>
      <sheetName val="[Spt-BH.xls][Spt-BH_xls]B__1504"/>
      <sheetName val="[Spt-BH.xls][Spt-BH_xls]_Sp_491"/>
      <sheetName val="[Spt-BH.xls][Spt-BH_xls]B__1505"/>
      <sheetName val="[Spt-BH.xls][Spt-BH_xls]B__1506"/>
      <sheetName val="[Spt-BH.xls][Spt-BH_xls]B__1507"/>
      <sheetName val="[Spt-BH.xls][Spt-BH_xls]B__1508"/>
      <sheetName val="[Spt-BH.xls][Spt-BH_xls]_Sp_492"/>
      <sheetName val="[Spt-BH.xls][Spt-BH_xls]B__1509"/>
      <sheetName val="[Spt-BH.xls][Spt-BH_xls]B__1510"/>
      <sheetName val="[Spt-BH.xls][Spt-BH_xls]_Sp_493"/>
      <sheetName val="[Spt-BH.xls][Spt-BH_xls]B__1511"/>
      <sheetName val="[Spt-BH.xls][Spt-BH_xls]B__1512"/>
      <sheetName val="[Spt-BH.xls][Spt-BH_xls]_Sp_494"/>
      <sheetName val="[Spt-BH.xls]B____x005f_x0004______131"/>
      <sheetName val="[Spt-BH.xls]B___x005f_x0000__x000_128"/>
      <sheetName val="[Spt-BH.xls]B____x005f_x0004______130"/>
      <sheetName val="[Spt-BH.xls]B___x005f_x0000__x000_127"/>
      <sheetName val="[Spt-BH.xls][Spt-BH.xls]_Sp_547"/>
      <sheetName val="[Spt-BH.xls][Spt-BH.xls]_Sp_548"/>
      <sheetName val="[Spt-BH.xls][Spt-BH.xls]_Sp_569"/>
      <sheetName val="[Spt-BH.xls][Spt-BH.xls]_Sp_559"/>
      <sheetName val="[Spt-BH.xls][Spt-BH.xls]_Sp_560"/>
      <sheetName val="[Spt-BH.xls][Spt-BH.xls]_Sp_550"/>
      <sheetName val="[Spt-BH.xls][Spt-BH.xls]B__1625"/>
      <sheetName val="[Spt-BH.xls][Spt-BH.xls]B__1626"/>
      <sheetName val="[Spt-BH.xls][Spt-BH.xls]_Sp_571"/>
      <sheetName val="[Spt-BH.xls][Spt-BH.xls]B__1627"/>
      <sheetName val="[Spt-BH.xls][Spt-BH.xls]B__1628"/>
      <sheetName val="[Spt-BH.xls]B____x005f_x0004______137"/>
      <sheetName val="[Spt-BH.xls]B___x005f_x0000__x000_134"/>
      <sheetName val="[Spt-BH.xls][Spt-BH.xls]B__1629"/>
      <sheetName val="[Spt-BH.xls][Spt-BH.xls]B__1630"/>
      <sheetName val="[Spt-BH.xls][Spt-BH.xls]_Sp_570"/>
      <sheetName val="[Spt-BH.xls][Spt-BH_xls]B__1573"/>
      <sheetName val="[Spt-BH.xls][Spt-BH_xls]B__1574"/>
      <sheetName val="[Spt-BH.xls][Spt-BH_xls]B__1575"/>
      <sheetName val="[Spt-BH.xls][Spt-BH_xls]B__1576"/>
      <sheetName val="[Spt-BH.xls][Spt-BH_xls]_Sp_515"/>
      <sheetName val="[Spt-BH.xls][Spt-BH_xls]B__1577"/>
      <sheetName val="[Spt-BH.xls][Spt-BH_xls]B__1578"/>
      <sheetName val="[Spt-BH.xls][Spt-BH_xls]B__1579"/>
      <sheetName val="[Spt-BH.xls][Spt-BH_xls]_Sp_516"/>
      <sheetName val="[Spt-BH.xls][Spt-BH_xls]B__1580"/>
      <sheetName val="[Spt-BH.xls][Spt-BH_xls]B__1581"/>
      <sheetName val="[Spt-BH.xls][Spt-BH_xls]B__1582"/>
      <sheetName val="[Spt-BH.xls][Spt-BH_xls]B__1583"/>
      <sheetName val="[Spt-BH.xls][Spt-BH_xls]_Sp_517"/>
      <sheetName val="[Spt-BH.xls][Spt-BH_xls]B__1584"/>
      <sheetName val="[Spt-BH.xls][Spt-BH_xls]B__1585"/>
      <sheetName val="[Spt-BH.xls][Spt-BH_xls]_Sp_518"/>
      <sheetName val="[Spt-BH.xls][Spt-BH_xls]B__1586"/>
      <sheetName val="[Spt-BH.xls][Spt-BH_xls]B__1587"/>
      <sheetName val="[Spt-BH.xls][Spt-BH_xls]_Sp_519"/>
      <sheetName val="[Spt-BH.xls][Spt-BH.xls]_Sp_557"/>
      <sheetName val="[Spt-BH.xls]B____x005f_x0004______133"/>
      <sheetName val="[Spt-BH.xls]B___x005f_x0000__x000_130"/>
      <sheetName val="[Spt-BH.xls][Spt-BH.xls]_Sp_556"/>
      <sheetName val="[Spt-BH.xls][Spt-BH_xls]B__1543"/>
      <sheetName val="[Spt-BH.xls][Spt-BH_xls]B__1544"/>
      <sheetName val="[Spt-BH.xls][Spt-BH_xls]B__1545"/>
      <sheetName val="[Spt-BH.xls][Spt-BH_xls]B__1546"/>
      <sheetName val="[Spt-BH.xls][Spt-BH_xls]_Sp_505"/>
      <sheetName val="[Spt-BH.xls][Spt-BH_xls]B__1547"/>
      <sheetName val="[Spt-BH.xls][Spt-BH_xls]B__1548"/>
      <sheetName val="[Spt-BH.xls][Spt-BH_xls]B__1549"/>
      <sheetName val="[Spt-BH.xls][Spt-BH_xls]_Sp_506"/>
      <sheetName val="[Spt-BH.xls][Spt-BH_xls]B__1550"/>
      <sheetName val="[Spt-BH.xls][Spt-BH_xls]B__1551"/>
      <sheetName val="[Spt-BH.xls][Spt-BH_xls]B__1552"/>
      <sheetName val="[Spt-BH.xls][Spt-BH_xls]B__1553"/>
      <sheetName val="[Spt-BH.xls][Spt-BH_xls]_Sp_507"/>
      <sheetName val="[Spt-BH.xls][Spt-BH_xls]B__1554"/>
      <sheetName val="[Spt-BH.xls][Spt-BH_xls]B__1555"/>
      <sheetName val="[Spt-BH.xls][Spt-BH_xls]_Sp_508"/>
      <sheetName val="[Spt-BH.xls][Spt-BH_xls]B__1556"/>
      <sheetName val="[Spt-BH.xls][Spt-BH_xls]B__1557"/>
      <sheetName val="[Spt-BH.xls][Spt-BH_xls]_Sp_509"/>
      <sheetName val="[Spt-BH.xls][Spt-BH.xls]_Sp_552"/>
      <sheetName val="[Spt-BH.xls][Spt-BH.xls]_Sp_554"/>
      <sheetName val="[Spt-BH.xls]B____x005f_x0004______134"/>
      <sheetName val="[Spt-BH.xls]B___x005f_x0000__x000_131"/>
      <sheetName val="[Spt-BH.xls][Spt-BH.xls]_Sp_553"/>
      <sheetName val="[Spt-BH.xls][Spt-BH_xls]B__1558"/>
      <sheetName val="[Spt-BH.xls][Spt-BH_xls]B__1559"/>
      <sheetName val="[Spt-BH.xls][Spt-BH_xls]B__1560"/>
      <sheetName val="[Spt-BH.xls][Spt-BH_xls]B__1561"/>
      <sheetName val="[Spt-BH.xls][Spt-BH_xls]_Sp_510"/>
      <sheetName val="[Spt-BH.xls][Spt-BH_xls]B__1562"/>
      <sheetName val="[Spt-BH.xls][Spt-BH_xls]B__1563"/>
      <sheetName val="[Spt-BH.xls][Spt-BH_xls]B__1564"/>
      <sheetName val="[Spt-BH.xls][Spt-BH_xls]_Sp_511"/>
      <sheetName val="[Spt-BH.xls][Spt-BH_xls]B__1565"/>
      <sheetName val="[Spt-BH.xls][Spt-BH_xls]B__1566"/>
      <sheetName val="[Spt-BH.xls][Spt-BH_xls]B__1567"/>
      <sheetName val="[Spt-BH.xls][Spt-BH_xls]B__1568"/>
      <sheetName val="[Spt-BH.xls][Spt-BH_xls]_Sp_512"/>
      <sheetName val="[Spt-BH.xls][Spt-BH_xls]B__1569"/>
      <sheetName val="[Spt-BH.xls][Spt-BH_xls]B__1570"/>
      <sheetName val="[Spt-BH.xls][Spt-BH_xls]_Sp_513"/>
      <sheetName val="[Spt-BH.xls][Spt-BH_xls]B__1571"/>
      <sheetName val="[Spt-BH.xls][Spt-BH_xls]B__1572"/>
      <sheetName val="[Spt-BH.xls][Spt-BH_xls]_Sp_514"/>
      <sheetName val="[Spt-BH.xls][Spt-BH.xls]_Sp_555"/>
      <sheetName val="[Spt-BH.xls]B____x005f_x0004______136"/>
      <sheetName val="[Spt-BH.xls]B___x005f_x0000__x000_133"/>
      <sheetName val="[Spt-BH.xls][Spt-BH.xls]_Sp_551"/>
      <sheetName val="[Spt-BH.xls]B____x005f_x0004______135"/>
      <sheetName val="[Spt-BH.xls]B___x005f_x0000__x000_132"/>
      <sheetName val="[Spt-BH.xls][Spt-BH.xls]_Sp_558"/>
      <sheetName val="[Spt-BH.xls][Spt-BH.xls]B__1632"/>
      <sheetName val="[Spt-BH.xls][Spt-BH.xls]B__1633"/>
      <sheetName val="[Spt-BH.xls][Spt-BH.xls]_Sp_573"/>
      <sheetName val="[Spt-BH.xls][Spt-BH.xls]B__1634"/>
      <sheetName val="[Spt-BH.xls][Spt-BH.xls]B__1635"/>
      <sheetName val="[Spt-BH.xls]B____x005f_x0004______139"/>
      <sheetName val="[Spt-BH.xls]B___x005f_x0000__x000_136"/>
      <sheetName val="[Spt-BH.xls][Spt-BH.xls]B__1636"/>
      <sheetName val="[Spt-BH.xls][Spt-BH.xls]B__1637"/>
      <sheetName val="[Spt-BH.xls][Spt-BH.xls]B__1631"/>
      <sheetName val="[Spt-BH.xls][Spt-BH.xls]_Sp_572"/>
      <sheetName val="[Spt-BH.xls][Spt-BH_xls]B__1603"/>
      <sheetName val="[Spt-BH.xls][Spt-BH_xls]B__1604"/>
      <sheetName val="[Spt-BH.xls][Spt-BH_xls]B__1605"/>
      <sheetName val="[Spt-BH.xls][Spt-BH_xls]B__1606"/>
      <sheetName val="[Spt-BH.xls][Spt-BH_xls]_Sp_525"/>
      <sheetName val="[Spt-BH.xls][Spt-BH_xls]B__1607"/>
      <sheetName val="[Spt-BH.xls][Spt-BH_xls]B__1608"/>
      <sheetName val="[Spt-BH.xls][Spt-BH_xls]B__1609"/>
      <sheetName val="[Spt-BH.xls][Spt-BH_xls]_Sp_526"/>
      <sheetName val="[Spt-BH.xls][Spt-BH_xls]B__1610"/>
      <sheetName val="[Spt-BH.xls][Spt-BH_xls]B__1611"/>
      <sheetName val="[Spt-BH.xls][Spt-BH_xls]B__1612"/>
      <sheetName val="[Spt-BH.xls][Spt-BH_xls]B__1613"/>
      <sheetName val="[Spt-BH.xls][Spt-BH_xls]_Sp_527"/>
      <sheetName val="[Spt-BH.xls][Spt-BH_xls]B__1614"/>
      <sheetName val="[Spt-BH.xls][Spt-BH_xls]B__1615"/>
      <sheetName val="[Spt-BH.xls][Spt-BH_xls]_Sp_528"/>
      <sheetName val="[Spt-BH.xls][Spt-BH_xls]B__1616"/>
      <sheetName val="[Spt-BH.xls][Spt-BH_xls]B__1617"/>
      <sheetName val="[Spt-BH.xls][Spt-BH_xls]_Sp_529"/>
      <sheetName val="[Spt-BH.xls][Spt-BH.xls]_Sp_561"/>
      <sheetName val="[Spt-BH.xls][Spt-BH.xls]_Sp_562"/>
      <sheetName val="[Spt-BH.xls]B____x005f_x0004______138"/>
      <sheetName val="[Spt-BH.xls]B___x005f_x0000__x000_135"/>
      <sheetName val="[Spt-BH.xls][Spt-BH_xls]B__1588"/>
      <sheetName val="[Spt-BH.xls][Spt-BH_xls]B__1589"/>
      <sheetName val="[Spt-BH.xls][Spt-BH_xls]B__1590"/>
      <sheetName val="[Spt-BH.xls][Spt-BH_xls]B__1591"/>
      <sheetName val="[Spt-BH.xls][Spt-BH_xls]_Sp_520"/>
      <sheetName val="[Spt-BH.xls][Spt-BH_xls]B__1592"/>
      <sheetName val="[Spt-BH.xls][Spt-BH_xls]B__1593"/>
      <sheetName val="[Spt-BH.xls][Spt-BH_xls]B__1594"/>
      <sheetName val="[Spt-BH.xls][Spt-BH_xls]_Sp_521"/>
      <sheetName val="[Spt-BH.xls][Spt-BH_xls]B__1595"/>
      <sheetName val="[Spt-BH.xls][Spt-BH_xls]B__1596"/>
      <sheetName val="[Spt-BH.xls][Spt-BH_xls]B__1597"/>
      <sheetName val="[Spt-BH.xls][Spt-BH_xls]B__1598"/>
      <sheetName val="[Spt-BH.xls][Spt-BH_xls]_Sp_522"/>
      <sheetName val="[Spt-BH.xls][Spt-BH_xls]B__1599"/>
      <sheetName val="[Spt-BH.xls][Spt-BH_xls]B__1600"/>
      <sheetName val="[Spt-BH.xls][Spt-BH_xls]_Sp_523"/>
      <sheetName val="[Spt-BH.xls][Spt-BH_xls]B__1601"/>
      <sheetName val="[Spt-BH.xls][Spt-BH_xls]B__1602"/>
      <sheetName val="[Spt-BH.xls][Spt-BH_xls]_Sp_524"/>
      <sheetName val="[Spt-BH.xls][Spt-BH.xls]_Sp_563"/>
      <sheetName val="[Spt-BH.xls][Spt-BH.xls]_Sp_568"/>
      <sheetName val="[Spt-BH.xls][Spt-BH.xls]_Sp_564"/>
      <sheetName val="[Spt-BH.xls][Spt-BH.xls]_Sp_565"/>
      <sheetName val="[Spt-BH.xls][Spt-BH.xls]_Sp_567"/>
      <sheetName val="[Spt-BH.xls][Spt-BH.xls]_Sp_566"/>
      <sheetName val="[Spt-BH.xls][Spt-BH.xls]_Sp_574"/>
      <sheetName val="[Spt-BH.xls][Spt-BH.xls]B__1638"/>
      <sheetName val="[Spt-BH.xls][Spt-BH.xls]B__1639"/>
      <sheetName val="[Spt-BH.xls][Spt-BH.xls]_Sp_576"/>
      <sheetName val="[Spt-BH.xls][Spt-BH.xls]B__1640"/>
      <sheetName val="[Spt-BH.xls][Spt-BH.xls]B__1641"/>
      <sheetName val="[Spt-BH.xls][Spt-BH.xls]B__1645"/>
      <sheetName val="[Spt-BH.xls][Spt-BH.xls]B__1646"/>
      <sheetName val="[Spt-BH.xls][Spt-BH.xls]_Sp_578"/>
      <sheetName val="[Spt-BH.xls][Spt-BH.xls]B__1647"/>
      <sheetName val="[Spt-BH.xls][Spt-BH.xls]B__1648"/>
      <sheetName val="[Spt-BH.xls]B____x005f_x0004______140"/>
      <sheetName val="[Spt-BH.xls]B___x005f_x0000__x000_137"/>
      <sheetName val="[Spt-BH.xls][Spt-BH.xls]B__1649"/>
      <sheetName val="[Spt-BH.xls][Spt-BH.xls]B__1650"/>
      <sheetName val="[Spt-BH.xls][Spt-BH.xls]B__1642"/>
      <sheetName val="[Spt-BH.xls][Spt-BH.xls]B__1643"/>
      <sheetName val="[Spt-BH.xls][Spt-BH.xls]B__1644"/>
      <sheetName val="[Spt-BH.xls][Spt-BH.xls]_Sp_575"/>
      <sheetName val="[Spt-BH.xls][Spt-BH.xls]_Sp_577"/>
      <sheetName val="[Spt-BH.xls][Spt-BH_xls]B__1618"/>
      <sheetName val="[Spt-BH.xls][Spt-BH_xls]B__1619"/>
      <sheetName val="[Spt-BH.xls][Spt-BH_xls]B__1620"/>
      <sheetName val="[Spt-BH.xls][Spt-BH_xls]B__1621"/>
      <sheetName val="[Spt-BH.xls][Spt-BH_xls]_Sp_530"/>
      <sheetName val="[Spt-BH.xls][Spt-BH_xls]B__1622"/>
      <sheetName val="[Spt-BH.xls][Spt-BH_xls]B__1623"/>
      <sheetName val="[Spt-BH.xls][Spt-BH_xls]B__1624"/>
      <sheetName val="[Spt-BH.xls][Spt-BH_xls]_Sp_531"/>
      <sheetName val="[Spt-BH.xls][Spt-BH_xls]B__1625"/>
      <sheetName val="[Spt-BH.xls][Spt-BH_xls]B__1626"/>
      <sheetName val="[Spt-BH.xls][Spt-BH_xls]B__1627"/>
      <sheetName val="[Spt-BH.xls][Spt-BH_xls]B__1628"/>
      <sheetName val="[Spt-BH.xls][Spt-BH_xls]_Sp_532"/>
      <sheetName val="[Spt-BH.xls][Spt-BH_xls]B__1629"/>
      <sheetName val="[Spt-BH.xls][Spt-BH_xls]B__1630"/>
      <sheetName val="[Spt-BH.xls][Spt-BH_xls]_Sp_533"/>
      <sheetName val="[Spt-BH.xls][Spt-BH_xls]B__1631"/>
      <sheetName val="[Spt-BH.xls][Spt-BH_xls]B__1632"/>
      <sheetName val="[Spt-BH.xls][Spt-BH_xls]_Sp_534"/>
      <sheetName val="[Spt-BH.xls][Spt-BH.xls]B__1652"/>
      <sheetName val="[Spt-BH.xls][Spt-BH.xls]B__1653"/>
      <sheetName val="[Spt-BH.xls][Spt-BH.xls]_Sp_580"/>
      <sheetName val="[Spt-BH.xls][Spt-BH.xls]B__1654"/>
      <sheetName val="[Spt-BH.xls][Spt-BH.xls]B__1655"/>
      <sheetName val="[Spt-BH.xls]B____x005f_x0004______141"/>
      <sheetName val="[Spt-BH.xls]B___x005f_x0000__x000_138"/>
      <sheetName val="[Spt-BH.xls][Spt-BH.xls]B__1656"/>
      <sheetName val="[Spt-BH.xls][Spt-BH.xls]B__1657"/>
      <sheetName val="[Spt-BH.xls][Spt-BH.xls]B__1651"/>
      <sheetName val="[Spt-BH.xls][Spt-BH.xls]_Sp_579"/>
      <sheetName val="[Spt-BH.xls][Spt-BH_xls]B__1633"/>
      <sheetName val="[Spt-BH.xls][Spt-BH_xls]B__1634"/>
      <sheetName val="[Spt-BH.xls][Spt-BH_xls]B__1635"/>
      <sheetName val="[Spt-BH.xls][Spt-BH_xls]B__1636"/>
      <sheetName val="[Spt-BH.xls][Spt-BH_xls]_Sp_535"/>
      <sheetName val="[Spt-BH.xls][Spt-BH_xls]B__1637"/>
      <sheetName val="[Spt-BH.xls][Spt-BH_xls]B__1638"/>
      <sheetName val="[Spt-BH.xls][Spt-BH_xls]B__1639"/>
      <sheetName val="[Spt-BH.xls][Spt-BH_xls]_Sp_536"/>
      <sheetName val="[Spt-BH.xls][Spt-BH_xls]B__1640"/>
      <sheetName val="[Spt-BH.xls][Spt-BH_xls]B__1641"/>
      <sheetName val="[Spt-BH.xls][Spt-BH_xls]B__1642"/>
      <sheetName val="[Spt-BH.xls][Spt-BH_xls]B__1643"/>
      <sheetName val="[Spt-BH.xls][Spt-BH_xls]_Sp_537"/>
      <sheetName val="[Spt-BH.xls][Spt-BH_xls]B__1644"/>
      <sheetName val="[Spt-BH.xls][Spt-BH_xls]B__1645"/>
      <sheetName val="[Spt-BH.xls][Spt-BH_xls]_Sp_538"/>
      <sheetName val="[Spt-BH.xls][Spt-BH_xls]B__1646"/>
      <sheetName val="[Spt-BH.xls][Spt-BH_xls]B__1647"/>
      <sheetName val="[Spt-BH.xls][Spt-BH_xls]_Sp_539"/>
      <sheetName val="[Spt-BH.xls][Spt-BH.xls]B__1658"/>
      <sheetName val="[Spt-BH.xls][Spt-BH.xls]B__1659"/>
      <sheetName val="[Spt-BH.xls][Spt-BH.xls]_Sp_582"/>
      <sheetName val="[Spt-BH.xls][Spt-BH.xls]B__1660"/>
      <sheetName val="[Spt-BH.xls][Spt-BH.xls]B__1661"/>
      <sheetName val="[Spt-BH.xls][Spt-BH.xls]B__1662"/>
      <sheetName val="[Spt-BH.xls][Spt-BH.xls]B__1663"/>
      <sheetName val="[Spt-BH.xls][Spt-BH.xls]_Sp_581"/>
      <sheetName val="[Spt-BH.xls][Spt-BH.xls]B__1665"/>
      <sheetName val="[Spt-BH.xls][Spt-BH.xls]B__1666"/>
      <sheetName val="[Spt-BH.xls][Spt-BH.xls]_Sp_584"/>
      <sheetName val="[Spt-BH.xls][Spt-BH.xls]B__1667"/>
      <sheetName val="[Spt-BH.xls][Spt-BH.xls]B__1668"/>
      <sheetName val="[Spt-BH.xls]B____x005f_x0004______142"/>
      <sheetName val="[Spt-BH.xls]B___x005f_x0000__x000_139"/>
      <sheetName val="[Spt-BH.xls][Spt-BH.xls]B__1669"/>
      <sheetName val="[Spt-BH.xls][Spt-BH.xls]B__1670"/>
      <sheetName val="[Spt-BH.xls][Spt-BH.xls]B__1664"/>
      <sheetName val="[Spt-BH.xls][Spt-BH.xls]_Sp_583"/>
      <sheetName val="[Spt-BH.xls][Spt-BH_xls]B__1648"/>
      <sheetName val="[Spt-BH.xls][Spt-BH_xls]B__1649"/>
      <sheetName val="[Spt-BH.xls][Spt-BH_xls]B__1650"/>
      <sheetName val="[Spt-BH.xls][Spt-BH_xls]B__1651"/>
      <sheetName val="[Spt-BH.xls][Spt-BH_xls]_Sp_540"/>
      <sheetName val="[Spt-BH.xls][Spt-BH_xls]B__1652"/>
      <sheetName val="[Spt-BH.xls][Spt-BH_xls]B__1653"/>
      <sheetName val="[Spt-BH.xls][Spt-BH_xls]B__1654"/>
      <sheetName val="[Spt-BH.xls][Spt-BH_xls]_Sp_541"/>
      <sheetName val="[Spt-BH.xls][Spt-BH_xls]B__1655"/>
      <sheetName val="[Spt-BH.xls][Spt-BH_xls]B__1656"/>
      <sheetName val="[Spt-BH.xls][Spt-BH_xls]B__1657"/>
      <sheetName val="[Spt-BH.xls][Spt-BH_xls]B__1658"/>
      <sheetName val="[Spt-BH.xls][Spt-BH_xls]_Sp_542"/>
      <sheetName val="[Spt-BH.xls][Spt-BH_xls]B__1659"/>
      <sheetName val="[Spt-BH.xls][Spt-BH_xls]B__1660"/>
      <sheetName val="[Spt-BH.xls][Spt-BH_xls]_Sp_543"/>
      <sheetName val="[Spt-BH.xls][Spt-BH_xls]B__1661"/>
      <sheetName val="[Spt-BH.xls][Spt-BH_xls]B__1662"/>
      <sheetName val="[Spt-BH.xls][Spt-BH_xls]_Sp_544"/>
      <sheetName val="[Spt-BH.xls][Spt-BH.xls]B__1692"/>
      <sheetName val="[Spt-BH.xls][Spt-BH.xls]B__1693"/>
      <sheetName val="[Spt-BH.xls][Spt-BH.xls]_Sp_601"/>
      <sheetName val="[Spt-BH.xls][Spt-BH.xls]B__1694"/>
      <sheetName val="[Spt-BH.xls][Spt-BH.xls]B__1695"/>
      <sheetName val="[Spt-BH.xls][Spt-BH.xls]B__1696"/>
      <sheetName val="[Spt-BH.xls][Spt-BH.xls]_Sp_595"/>
      <sheetName val="[Spt-BH.xls][Spt-BH.xls]B__1697"/>
      <sheetName val="[Spt-BH.xls][Spt-BH.xls]_Sp_596"/>
      <sheetName val="[Spt-BH.xls][Spt-BH.xls]_Sp_591"/>
      <sheetName val="[Spt-BH.xls][Spt-BH.xls]_Sp_592"/>
      <sheetName val="[Spt-BH.xls][Spt-BH.xls]B__1688"/>
      <sheetName val="[Spt-BH.xls][Spt-BH.xls]B__1689"/>
      <sheetName val="[Spt-BH.xls][Spt-BH.xls]B__1690"/>
      <sheetName val="[Spt-BH.xls][Spt-BH.xls]_Sp_593"/>
      <sheetName val="[Spt-BH.xls][Spt-BH.xls]B__1691"/>
      <sheetName val="[Spt-BH.xls][Spt-BH.xls]_Sp_594"/>
      <sheetName val="[Spt-BH.xls][Spt-BH.xls]B__1698"/>
      <sheetName val="[Spt-BH.xls][Spt-BH.xls]B__1699"/>
      <sheetName val="[Spt-BH.xls][Spt-BH.xls]B__1700"/>
      <sheetName val="[Spt-BH.xls][Spt-BH.xls]B__1701"/>
      <sheetName val="[Spt-BH.xls][Spt-BH.xls]B__1702"/>
      <sheetName val="[Spt-BH.xls][Spt-BH.xls]_Sp_598"/>
      <sheetName val="[Spt-BH.xls][Spt-BH.xls]B__1703"/>
      <sheetName val="[Spt-BH.xls][Spt-BH.xls]_Sp_599"/>
      <sheetName val="[Spt-BH.xls][Spt-BH.xls]_Sp_597"/>
      <sheetName val="[Spt-BH.xls][Spt-BH.xls]_Sp_600"/>
      <sheetName val="[Spt-BH.xls][Spt-BH.xls]_Sp_602"/>
      <sheetName val="[Spt-BH.xls][Spt-BH.xls]_Sp_603"/>
      <sheetName val="[Spt-BH.xls][Spt-BH.xls]_Sp_604"/>
      <sheetName val="[Spt-BH.xls][Spt-BH.xls]B__1704"/>
      <sheetName val="[Spt-BH.xls][Spt-BH.xls]B__1705"/>
      <sheetName val="[Spt-BH.xls][Spt-BH.xls]_Sp_606"/>
      <sheetName val="[Spt-BH.xls][Spt-BH.xls]B__1706"/>
      <sheetName val="[Spt-BH.xls][Spt-BH.xls]B__1707"/>
      <sheetName val="[Spt-BH.xls][Spt-BH.xls]B__1708"/>
      <sheetName val="[Spt-BH.xls][Spt-BH.xls]B__1709"/>
      <sheetName val="[Spt-BH.xls][Spt-BH.xls]_Sp_605"/>
      <sheetName val="[Spt-BH.xls][Spt-BH.xls]B__1711"/>
      <sheetName val="[Spt-BH.xls][Spt-BH.xls]B__1712"/>
      <sheetName val="[Spt-BH.xls][Spt-BH.xls]_Sp_608"/>
      <sheetName val="[Spt-BH.xls][Spt-BH.xls]B__1713"/>
      <sheetName val="[Spt-BH.xls][Spt-BH.xls]B__1714"/>
      <sheetName val="[Spt-BH.xls]B____x005f_x0004______144"/>
      <sheetName val="[Spt-BH.xls]B___x005f_x0000__x000_141"/>
      <sheetName val="[Spt-BH.xls][Spt-BH.xls]B__1715"/>
      <sheetName val="[Spt-BH.xls][Spt-BH.xls]B__1716"/>
      <sheetName val="[Spt-BH.xls][Spt-BH.xls]B__1710"/>
      <sheetName val="[Spt-BH.xls][Spt-BH.xls]_Sp_607"/>
      <sheetName val="[Spt-BH.xls][Spt-BH_xls]B__1678"/>
      <sheetName val="[Spt-BH.xls][Spt-BH_xls]B__1679"/>
      <sheetName val="[Spt-BH.xls][Spt-BH_xls]B__1680"/>
      <sheetName val="[Spt-BH.xls][Spt-BH_xls]B__1681"/>
      <sheetName val="[Spt-BH.xls][Spt-BH_xls]_Sp_550"/>
      <sheetName val="[Spt-BH.xls][Spt-BH_xls]B__1682"/>
      <sheetName val="[Spt-BH.xls][Spt-BH_xls]B__1683"/>
      <sheetName val="[Spt-BH.xls][Spt-BH_xls]B__1684"/>
      <sheetName val="[Spt-BH.xls][Spt-BH_xls]_Sp_551"/>
      <sheetName val="[Spt-BH.xls][Spt-BH_xls]B__1685"/>
      <sheetName val="[Spt-BH.xls][Spt-BH_xls]B__1686"/>
      <sheetName val="[Spt-BH.xls][Spt-BH_xls]B__1687"/>
      <sheetName val="[Spt-BH.xls][Spt-BH_xls]B__1688"/>
      <sheetName val="[Spt-BH.xls][Spt-BH_xls]_Sp_552"/>
      <sheetName val="[Spt-BH.xls][Spt-BH_xls]B__1689"/>
      <sheetName val="[Spt-BH.xls][Spt-BH_xls]B__1690"/>
      <sheetName val="[Spt-BH.xls][Spt-BH_xls]_Sp_553"/>
      <sheetName val="[Spt-BH.xls][Spt-BH_xls]B__1691"/>
      <sheetName val="[Spt-BH.xls][Spt-BH_xls]B__1692"/>
      <sheetName val="[Spt-BH.xls][Spt-BH_xls]_Sp_554"/>
      <sheetName val="[Spt-BH.xls][Spt-BH.xls]_Sp_609"/>
      <sheetName val="[Spt-BH.xls][Spt-BH.xls]B__1717"/>
      <sheetName val="[Spt-BH.xls][Spt-BH.xls]B__1718"/>
      <sheetName val="[Spt-BH.xls][Spt-BH.xls]_S_1192"/>
      <sheetName val="[Spt-BH.xls][Spt-BH.xls]B__1719"/>
      <sheetName val="[Spt-BH.xls][Spt-BH.xls]B__1720"/>
      <sheetName val="[Spt-BH.xls][Spt-BH.xls]B__1721"/>
      <sheetName val="[Spt-BH.xls][Spt-BH.xls]B__1722"/>
      <sheetName val="[Spt-BH.xls][Spt-BH.xls]_Sp_610"/>
      <sheetName val="[Spt-BH.xls][Spt-BH.xls]_Sp_611"/>
      <sheetName val="[Spt-BH.xls][Spt-BH.xls]_Sp_763"/>
      <sheetName val="[Spt-BH.xls][Spt-BH.xls]B__2191"/>
      <sheetName val="[Spt-BH.xls][Spt-BH.xls]B__2192"/>
      <sheetName val="[Spt-BH.xls][Spt-BH.xls]_Sp_765"/>
      <sheetName val="[Spt-BH.xls][Spt-BH.xls]B__2193"/>
      <sheetName val="[Spt-BH.xls][Spt-BH.xls]B__2194"/>
      <sheetName val="[Spt-BH.xls][Spt-BH.xls]B__2198"/>
      <sheetName val="[Spt-BH.xls][Spt-BH.xls]B__2199"/>
      <sheetName val="[Spt-BH.xls][Spt-BH.xls]_Sp_774"/>
      <sheetName val="[Spt-BH.xls][Spt-BH.xls]B__2200"/>
      <sheetName val="[Spt-BH.xls][Spt-BH.xls]B__2201"/>
      <sheetName val="[Spt-BH.xls]B____x005f_x0004______178"/>
      <sheetName val="[Spt-BH.xls]B___x005f_x0000__x000_175"/>
      <sheetName val="[Spt-BH.xls][Spt-BH.xls]B__2202"/>
      <sheetName val="[Spt-BH.xls][Spt-BH.xls]B__2203"/>
      <sheetName val="[Spt-BH.xls][Spt-BH.xls]B__2195"/>
      <sheetName val="[Spt-BH.xls][Spt-BH.xls]B__2196"/>
      <sheetName val="[Spt-BH.xls][Spt-BH.xls]B__2197"/>
      <sheetName val="[Spt-BH.xls][Spt-BH.xls]_Sp_764"/>
      <sheetName val="[Spt-BH.xls][Spt-BH.xls]_Sp_766"/>
      <sheetName val="[Spt-BH.xls][Spt-BH_xls]B__2158"/>
      <sheetName val="[Spt-BH.xls][Spt-BH_xls]B__2159"/>
      <sheetName val="[Spt-BH.xls][Spt-BH_xls]B__2160"/>
      <sheetName val="[Spt-BH.xls][Spt-BH_xls]B__2161"/>
      <sheetName val="[Spt-BH.xls][Spt-BH_xls]_Sp_710"/>
      <sheetName val="[Spt-BH.xls][Spt-BH_xls]B__2162"/>
      <sheetName val="[Spt-BH.xls][Spt-BH_xls]B__2163"/>
      <sheetName val="[Spt-BH.xls][Spt-BH_xls]B__2164"/>
      <sheetName val="[Spt-BH.xls][Spt-BH_xls]_Sp_711"/>
      <sheetName val="[Spt-BH.xls][Spt-BH_xls]B__2165"/>
      <sheetName val="[Spt-BH.xls][Spt-BH_xls]B__2166"/>
      <sheetName val="[Spt-BH.xls][Spt-BH_xls]B__2167"/>
      <sheetName val="[Spt-BH.xls][Spt-BH_xls]B__2168"/>
      <sheetName val="[Spt-BH.xls][Spt-BH_xls]_Sp_712"/>
      <sheetName val="[Spt-BH.xls][Spt-BH_xls]B__2169"/>
      <sheetName val="[Spt-BH.xls][Spt-BH_xls]B__2170"/>
      <sheetName val="[Spt-BH.xls][Spt-BH_xls]_Sp_713"/>
      <sheetName val="[Spt-BH.xls][Spt-BH_xls]B__2171"/>
      <sheetName val="[Spt-BH.xls][Spt-BH_xls]B__2172"/>
      <sheetName val="[Spt-BH.xls][Spt-BH_xls]_Sp_714"/>
      <sheetName val="[Spt-BH.xls][Spt-BH.xls]B__2149"/>
      <sheetName val="[Spt-BH.xls][Spt-BH.xls]B__2150"/>
      <sheetName val="[Spt-BH.xls][Spt-BH.xls]_Sp_756"/>
      <sheetName val="[Spt-BH.xls][Spt-BH.xls]B__2151"/>
      <sheetName val="[Spt-BH.xls][Spt-BH.xls]B__2152"/>
      <sheetName val="[Spt-BH.xls][Spt-BH.xls]B__2153"/>
      <sheetName val="[Spt-BH.xls][Spt-BH.xls]_Sp_755"/>
      <sheetName val="[Spt-BH.xls][Spt-BH.xls]B__2154"/>
      <sheetName val="[Spt-BH.xls][Spt-BH.xls]B__2090"/>
      <sheetName val="[Spt-BH.xls][Spt-BH.xls]B__2091"/>
      <sheetName val="[Spt-BH.xls][Spt-BH.xls]_Sp_739"/>
      <sheetName val="[Spt-BH.xls][Spt-BH.xls]B__2092"/>
      <sheetName val="[Spt-BH.xls][Spt-BH.xls]B__2093"/>
      <sheetName val="[Spt-BH.xls][Spt-BH.xls]B__2103"/>
      <sheetName val="[Spt-BH.xls][Spt-BH.xls]B__2104"/>
      <sheetName val="[Spt-BH.xls][Spt-BH.xls]_Sp_743"/>
      <sheetName val="[Spt-BH.xls][Spt-BH.xls]B__2105"/>
      <sheetName val="[Spt-BH.xls][Spt-BH.xls]B__2106"/>
      <sheetName val="[Spt-BH.xls]B____x005f_x0004______173"/>
      <sheetName val="[Spt-BH.xls]B___x005f_x0000__x000_170"/>
      <sheetName val="[Spt-BH.xls][Spt-BH.xls]B__2107"/>
      <sheetName val="[Spt-BH.xls][Spt-BH.xls]B__2108"/>
      <sheetName val="[Spt-BH.xls][Spt-BH.xls]_Sp_735"/>
      <sheetName val="[Spt-BH.xls][Spt-BH.xls]B__2094"/>
      <sheetName val="[Spt-BH.xls][Spt-BH.xls]B__2095"/>
      <sheetName val="[Spt-BH.xls][Spt-BH.xls]B__2096"/>
      <sheetName val="[Spt-BH.xls][Spt-BH.xls]_Sp_736"/>
      <sheetName val="[Spt-BH.xls][Spt-BH.xls]_Sp_740"/>
      <sheetName val="[Spt-BH.xls][Spt-BH_xls]B__2083"/>
      <sheetName val="[Spt-BH.xls][Spt-BH_xls]B__2084"/>
      <sheetName val="[Spt-BH.xls][Spt-BH_xls]B__2085"/>
      <sheetName val="[Spt-BH.xls][Spt-BH_xls]B__2086"/>
      <sheetName val="[Spt-BH.xls][Spt-BH_xls]_Sp_685"/>
      <sheetName val="[Spt-BH.xls][Spt-BH_xls]B__2087"/>
      <sheetName val="[Spt-BH.xls][Spt-BH_xls]B__2088"/>
      <sheetName val="[Spt-BH.xls][Spt-BH_xls]B__2089"/>
      <sheetName val="[Spt-BH.xls][Spt-BH_xls]_Sp_686"/>
      <sheetName val="[Spt-BH.xls][Spt-BH_xls]B__2090"/>
      <sheetName val="[Spt-BH.xls][Spt-BH_xls]B__2091"/>
      <sheetName val="[Spt-BH.xls][Spt-BH_xls]B__2092"/>
      <sheetName val="[Spt-BH.xls][Spt-BH_xls]B__2093"/>
      <sheetName val="[Spt-BH.xls][Spt-BH_xls]_Sp_687"/>
      <sheetName val="[Spt-BH.xls][Spt-BH_xls]B__2094"/>
      <sheetName val="[Spt-BH.xls][Spt-BH_xls]B__2095"/>
      <sheetName val="[Spt-BH.xls][Spt-BH_xls]_Sp_688"/>
      <sheetName val="[Spt-BH.xls][Spt-BH_xls]B__2096"/>
      <sheetName val="[Spt-BH.xls][Spt-BH_xls]B__2097"/>
      <sheetName val="[Spt-BH.xls][Spt-BH_xls]_Sp_689"/>
      <sheetName val="[Spt-BH.xls][Spt-BH.xls]B__1753"/>
      <sheetName val="[Spt-BH.xls][Spt-BH.xls]B__1754"/>
      <sheetName val="[Spt-BH.xls][Spt-BH.xls]B__1755"/>
      <sheetName val="[Spt-BH.xls][Spt-BH.xls]B__1756"/>
      <sheetName val="[Spt-BH.xls][Spt-BH.xls]B__1757"/>
      <sheetName val="[Spt-BH.xls][Spt-BH.xls]B__1758"/>
      <sheetName val="[Spt-BH.xls][Spt-BH.xls]B__1727"/>
      <sheetName val="[Spt-BH.xls][Spt-BH.xls]B__1728"/>
      <sheetName val="[Spt-BH.xls][Spt-BH.xls]B__1729"/>
      <sheetName val="[Spt-BH.xls][Spt-BH.xls]B__1730"/>
      <sheetName val="[Spt-BH.xls]B____x005f_x0004______147"/>
      <sheetName val="[Spt-BH.xls]B___x005f_x0000__x000_144"/>
      <sheetName val="[Spt-BH.xls][Spt-BH.xls]B__1731"/>
      <sheetName val="[Spt-BH.xls][Spt-BH.xls]B__1732"/>
      <sheetName val="[Spt-BH.xls][Spt-BH_xls]B__1708"/>
      <sheetName val="[Spt-BH.xls][Spt-BH_xls]B__1709"/>
      <sheetName val="[Spt-BH.xls][Spt-BH_xls]B__1710"/>
      <sheetName val="[Spt-BH.xls][Spt-BH_xls]B__1711"/>
      <sheetName val="[Spt-BH.xls][Spt-BH_xls]_Sp_560"/>
      <sheetName val="[Spt-BH.xls][Spt-BH_xls]B__1712"/>
      <sheetName val="[Spt-BH.xls][Spt-BH_xls]B__1713"/>
      <sheetName val="[Spt-BH.xls][Spt-BH_xls]B__1714"/>
      <sheetName val="[Spt-BH.xls][Spt-BH_xls]_Sp_561"/>
      <sheetName val="[Spt-BH.xls][Spt-BH_xls]B__1715"/>
      <sheetName val="[Spt-BH.xls][Spt-BH_xls]B__1716"/>
      <sheetName val="[Spt-BH.xls][Spt-BH_xls]B__1717"/>
      <sheetName val="[Spt-BH.xls][Spt-BH_xls]B__1718"/>
      <sheetName val="[Spt-BH.xls][Spt-BH_xls]_Sp_562"/>
      <sheetName val="[Spt-BH.xls][Spt-BH_xls]B__1719"/>
      <sheetName val="[Spt-BH.xls][Spt-BH_xls]B__1720"/>
      <sheetName val="[Spt-BH.xls][Spt-BH_xls]_Sp_563"/>
      <sheetName val="[Spt-BH.xls][Spt-BH_xls]B__1721"/>
      <sheetName val="[Spt-BH.xls][Spt-BH_xls]B__1722"/>
      <sheetName val="[Spt-BH.xls][Spt-BH_xls]_Sp_564"/>
      <sheetName val="[Spt-BH.xls]B____x005f_x0004______146"/>
      <sheetName val="[Spt-BH.xls]B___x005f_x0000__x000_143"/>
      <sheetName val="[Spt-BH.xls][Spt-BH_xls]B__1693"/>
      <sheetName val="[Spt-BH.xls][Spt-BH_xls]B__1694"/>
      <sheetName val="[Spt-BH.xls][Spt-BH_xls]B__1695"/>
      <sheetName val="[Spt-BH.xls][Spt-BH_xls]B__1696"/>
      <sheetName val="[Spt-BH.xls][Spt-BH_xls]_Sp_555"/>
      <sheetName val="[Spt-BH.xls][Spt-BH_xls]B__1697"/>
      <sheetName val="[Spt-BH.xls][Spt-BH_xls]B__1698"/>
      <sheetName val="[Spt-BH.xls][Spt-BH_xls]B__1699"/>
      <sheetName val="[Spt-BH.xls][Spt-BH_xls]_Sp_556"/>
      <sheetName val="[Spt-BH.xls][Spt-BH_xls]B__1700"/>
      <sheetName val="[Spt-BH.xls][Spt-BH_xls]B__1701"/>
      <sheetName val="[Spt-BH.xls][Spt-BH_xls]B__1702"/>
      <sheetName val="[Spt-BH.xls][Spt-BH_xls]B__1703"/>
      <sheetName val="[Spt-BH.xls][Spt-BH_xls]_Sp_557"/>
      <sheetName val="[Spt-BH.xls][Spt-BH_xls]B__1704"/>
      <sheetName val="[Spt-BH.xls][Spt-BH_xls]B__1705"/>
      <sheetName val="[Spt-BH.xls][Spt-BH_xls]_Sp_558"/>
      <sheetName val="[Spt-BH.xls][Spt-BH_xls]B__1706"/>
      <sheetName val="[Spt-BH.xls][Spt-BH_xls]B__1707"/>
      <sheetName val="[Spt-BH.xls][Spt-BH_xls]_Sp_559"/>
      <sheetName val="[Spt-BH.xls]B____x005f_x0004______145"/>
      <sheetName val="[Spt-BH.xls]B___x005f_x0000__x000_142"/>
      <sheetName val="[Spt-BH.xls][Spt-BH.xls]B__1740"/>
      <sheetName val="[Spt-BH.xls][Spt-BH.xls]B__1741"/>
      <sheetName val="[Spt-BH.xls][Spt-BH.xls]B__1742"/>
      <sheetName val="[Spt-BH.xls][Spt-BH.xls]B__1743"/>
      <sheetName val="[Spt-BH.xls]B____x005f_x0004______150"/>
      <sheetName val="[Spt-BH.xls]B___x005f_x0000__x000_147"/>
      <sheetName val="[Spt-BH.xls][Spt-BH.xls]B__1744"/>
      <sheetName val="[Spt-BH.xls][Spt-BH.xls]B__1745"/>
      <sheetName val="[Spt-BH.xls][Spt-BH.xls]B__1733"/>
      <sheetName val="[Spt-BH.xls][Spt-BH_xls]B__1753"/>
      <sheetName val="[Spt-BH.xls][Spt-BH_xls]B__1754"/>
      <sheetName val="[Spt-BH.xls][Spt-BH_xls]B__1755"/>
      <sheetName val="[Spt-BH.xls][Spt-BH_xls]B__1756"/>
      <sheetName val="[Spt-BH.xls][Spt-BH_xls]_Sp_575"/>
      <sheetName val="[Spt-BH.xls][Spt-BH_xls]B__1757"/>
      <sheetName val="[Spt-BH.xls][Spt-BH_xls]B__1758"/>
      <sheetName val="[Spt-BH.xls][Spt-BH_xls]B__1759"/>
      <sheetName val="[Spt-BH.xls][Spt-BH_xls]_Sp_576"/>
      <sheetName val="[Spt-BH.xls][Spt-BH_xls]B__1760"/>
      <sheetName val="[Spt-BH.xls][Spt-BH_xls]B__1761"/>
      <sheetName val="[Spt-BH.xls][Spt-BH_xls]B__1762"/>
      <sheetName val="[Spt-BH.xls][Spt-BH_xls]B__1763"/>
      <sheetName val="[Spt-BH.xls][Spt-BH_xls]_Sp_577"/>
      <sheetName val="[Spt-BH.xls][Spt-BH_xls]B__1764"/>
      <sheetName val="[Spt-BH.xls][Spt-BH_xls]B__1765"/>
      <sheetName val="[Spt-BH.xls][Spt-BH_xls]_Sp_578"/>
      <sheetName val="[Spt-BH.xls][Spt-BH_xls]B__1766"/>
      <sheetName val="[Spt-BH.xls][Spt-BH_xls]B__1767"/>
      <sheetName val="[Spt-BH.xls][Spt-BH_xls]_Sp_579"/>
      <sheetName val="[Spt-BH.xls]B____x005f_x0004______148"/>
      <sheetName val="[Spt-BH.xls]B___x005f_x0000__x000_145"/>
      <sheetName val="[Spt-BH.xls][Spt-BH_xls]B__1723"/>
      <sheetName val="[Spt-BH.xls][Spt-BH_xls]B__1724"/>
      <sheetName val="[Spt-BH.xls][Spt-BH_xls]B__1725"/>
      <sheetName val="[Spt-BH.xls][Spt-BH_xls]B__1726"/>
      <sheetName val="[Spt-BH.xls][Spt-BH_xls]_Sp_565"/>
      <sheetName val="[Spt-BH.xls][Spt-BH_xls]B__1727"/>
      <sheetName val="[Spt-BH.xls][Spt-BH_xls]B__1728"/>
      <sheetName val="[Spt-BH.xls][Spt-BH_xls]B__1729"/>
      <sheetName val="[Spt-BH.xls][Spt-BH_xls]_Sp_566"/>
      <sheetName val="[Spt-BH.xls][Spt-BH_xls]B__1730"/>
      <sheetName val="[Spt-BH.xls][Spt-BH_xls]B__1731"/>
      <sheetName val="[Spt-BH.xls][Spt-BH_xls]B__1732"/>
      <sheetName val="[Spt-BH.xls][Spt-BH_xls]B__1733"/>
      <sheetName val="[Spt-BH.xls][Spt-BH_xls]_Sp_567"/>
      <sheetName val="[Spt-BH.xls][Spt-BH_xls]B__1734"/>
      <sheetName val="[Spt-BH.xls][Spt-BH_xls]B__1735"/>
      <sheetName val="[Spt-BH.xls][Spt-BH_xls]_Sp_568"/>
      <sheetName val="[Spt-BH.xls][Spt-BH_xls]B__1736"/>
      <sheetName val="[Spt-BH.xls][Spt-BH_xls]B__1737"/>
      <sheetName val="[Spt-BH.xls][Spt-BH_xls]_Sp_569"/>
      <sheetName val="[Spt-BH.xls][Spt-BH.xls]B__1723"/>
      <sheetName val="[Spt-BH.xls][Spt-BH.xls]B__1724"/>
      <sheetName val="[Spt-BH.xls][Spt-BH.xls]B__1725"/>
      <sheetName val="[Spt-BH.xls]B____x005f_x0004______149"/>
      <sheetName val="[Spt-BH.xls]B___x005f_x0000__x000_146"/>
      <sheetName val="[Spt-BH.xls][Spt-BH.xls]B__1726"/>
      <sheetName val="[Spt-BH.xls][Spt-BH_xls]B__1738"/>
      <sheetName val="[Spt-BH.xls][Spt-BH_xls]B__1739"/>
      <sheetName val="[Spt-BH.xls][Spt-BH_xls]B__1740"/>
      <sheetName val="[Spt-BH.xls][Spt-BH_xls]B__1741"/>
      <sheetName val="[Spt-BH.xls][Spt-BH_xls]_Sp_570"/>
      <sheetName val="[Spt-BH.xls][Spt-BH_xls]B__1742"/>
      <sheetName val="[Spt-BH.xls][Spt-BH_xls]B__1743"/>
      <sheetName val="[Spt-BH.xls][Spt-BH_xls]B__1744"/>
      <sheetName val="[Spt-BH.xls][Spt-BH_xls]_Sp_571"/>
      <sheetName val="[Spt-BH.xls][Spt-BH_xls]B__1745"/>
      <sheetName val="[Spt-BH.xls][Spt-BH_xls]B__1746"/>
      <sheetName val="[Spt-BH.xls][Spt-BH_xls]B__1747"/>
      <sheetName val="[Spt-BH.xls][Spt-BH_xls]B__1748"/>
      <sheetName val="[Spt-BH.xls][Spt-BH_xls]_Sp_572"/>
      <sheetName val="[Spt-BH.xls][Spt-BH_xls]B__1749"/>
      <sheetName val="[Spt-BH.xls][Spt-BH_xls]B__1750"/>
      <sheetName val="[Spt-BH.xls][Spt-BH_xls]_Sp_573"/>
      <sheetName val="[Spt-BH.xls][Spt-BH_xls]B__1751"/>
      <sheetName val="[Spt-BH.xls][Spt-BH_xls]B__1752"/>
      <sheetName val="[Spt-BH.xls][Spt-BH_xls]_Sp_574"/>
      <sheetName val="[Spt-BH.xls][Spt-BH.xls]B__1734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46"/>
      <sheetName val="[Spt-BH.xls][Spt-BH.xls]B__1747"/>
      <sheetName val="[Spt-BH.xls][Spt-BH.xls]B__1748"/>
      <sheetName val="[Spt-BH.xls][Spt-BH.xls]B__1749"/>
      <sheetName val="[Spt-BH.xls][Spt-BH.xls]B__1750"/>
      <sheetName val="[Spt-BH.xls][Spt-BH.xls]B__1751"/>
      <sheetName val="[Spt-BH.xls]B____x005f_x0004______151"/>
      <sheetName val="[Spt-BH.xls]B___x005f_x0000__x000_148"/>
      <sheetName val="[Spt-BH.xls][Spt-BH.xls]B__1752"/>
      <sheetName val="[Spt-BH.xls][Spt-BH_xls]B__1768"/>
      <sheetName val="[Spt-BH.xls][Spt-BH_xls]B__1769"/>
      <sheetName val="[Spt-BH.xls][Spt-BH_xls]B__1770"/>
      <sheetName val="[Spt-BH.xls][Spt-BH_xls]B__1771"/>
      <sheetName val="[Spt-BH.xls][Spt-BH_xls]_Sp_580"/>
      <sheetName val="[Spt-BH.xls][Spt-BH_xls]B__1772"/>
      <sheetName val="[Spt-BH.xls][Spt-BH_xls]B__1773"/>
      <sheetName val="[Spt-BH.xls][Spt-BH_xls]B__1774"/>
      <sheetName val="[Spt-BH.xls][Spt-BH_xls]_Sp_581"/>
      <sheetName val="[Spt-BH.xls][Spt-BH_xls]B__1775"/>
      <sheetName val="[Spt-BH.xls][Spt-BH_xls]B__1776"/>
      <sheetName val="[Spt-BH.xls][Spt-BH_xls]B__1777"/>
      <sheetName val="[Spt-BH.xls][Spt-BH_xls]B__1778"/>
      <sheetName val="[Spt-BH.xls][Spt-BH_xls]_Sp_582"/>
      <sheetName val="[Spt-BH.xls][Spt-BH_xls]B__1779"/>
      <sheetName val="[Spt-BH.xls][Spt-BH_xls]B__1780"/>
      <sheetName val="[Spt-BH.xls][Spt-BH_xls]_Sp_583"/>
      <sheetName val="[Spt-BH.xls][Spt-BH_xls]B__1781"/>
      <sheetName val="[Spt-BH.xls][Spt-BH_xls]B__1782"/>
      <sheetName val="[Spt-BH.xls][Spt-BH_xls]_Sp_584"/>
      <sheetName val="[Spt-BH.xls][Spt-BH.xls]B__1772"/>
      <sheetName val="[Spt-BH.xls][Spt-BH.xls]B__1773"/>
      <sheetName val="[Spt-BH.xls][Spt-BH.xls]_Sp_613"/>
      <sheetName val="[Spt-BH.xls][Spt-BH.xls]B__1774"/>
      <sheetName val="[Spt-BH.xls][Spt-BH.xls]B__1775"/>
      <sheetName val="[Spt-BH.xls]B____x005f_x0004______152"/>
      <sheetName val="[Spt-BH.xls]B___x005f_x0000__x000_149"/>
      <sheetName val="[Spt-BH.xls][Spt-BH.xls]B__1776"/>
      <sheetName val="[Spt-BH.xls][Spt-BH.xls]B__1777"/>
      <sheetName val="[Spt-BH.xls][Spt-BH.xls]B__1759"/>
      <sheetName val="[Spt-BH.xls][Spt-BH.xls]_Sp_612"/>
      <sheetName val="[Spt-BH.xls][Spt-BH_xls]B__1783"/>
      <sheetName val="[Spt-BH.xls][Spt-BH_xls]B__1784"/>
      <sheetName val="[Spt-BH.xls][Spt-BH_xls]B__1785"/>
      <sheetName val="[Spt-BH.xls][Spt-BH_xls]B__1786"/>
      <sheetName val="[Spt-BH.xls][Spt-BH_xls]_Sp_585"/>
      <sheetName val="[Spt-BH.xls][Spt-BH_xls]B__1787"/>
      <sheetName val="[Spt-BH.xls][Spt-BH_xls]B__1788"/>
      <sheetName val="[Spt-BH.xls][Spt-BH_xls]B__1789"/>
      <sheetName val="[Spt-BH.xls][Spt-BH_xls]_Sp_586"/>
      <sheetName val="[Spt-BH.xls][Spt-BH_xls]B__1790"/>
      <sheetName val="[Spt-BH.xls][Spt-BH_xls]B__1791"/>
      <sheetName val="[Spt-BH.xls][Spt-BH_xls]B__1792"/>
      <sheetName val="[Spt-BH.xls][Spt-BH_xls]B__1793"/>
      <sheetName val="[Spt-BH.xls][Spt-BH_xls]_Sp_587"/>
      <sheetName val="[Spt-BH.xls][Spt-BH_xls]B__1794"/>
      <sheetName val="[Spt-BH.xls][Spt-BH_xls]B__1795"/>
      <sheetName val="[Spt-BH.xls][Spt-BH_xls]_Sp_588"/>
      <sheetName val="[Spt-BH.xls][Spt-BH_xls]B__1796"/>
      <sheetName val="[Spt-BH.xls][Spt-BH_xls]B__1797"/>
      <sheetName val="[Spt-BH.xls][Spt-BH_xls]_Sp_589"/>
      <sheetName val="[Spt-BH.xls][Spt-BH.xls]B__1766"/>
      <sheetName val="[Spt-BH.xls][Spt-BH.xls]B__1767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60"/>
      <sheetName val="[Spt-BH.xls][Spt-BH.xls]B__1761"/>
      <sheetName val="[Spt-BH.xls][Spt-BH.xls]B__1762"/>
      <sheetName val="[Spt-BH.xls][Spt-BH.xls]B__1763"/>
      <sheetName val="[Spt-BH.xls][Spt-BH.xls]B__1764"/>
      <sheetName val="[Spt-BH.xls][Spt-BH.xls]B__1765"/>
      <sheetName val="[Spt-BH.xls][Spt-BH.xls]_Sp_614"/>
      <sheetName val="[Spt-BH.xls][Spt-BH.xls]B__1778"/>
      <sheetName val="[Spt-BH.xls][Spt-BH.xls]B__1779"/>
      <sheetName val="[Spt-BH.xls][Spt-BH.xls]_Sp_616"/>
      <sheetName val="[Spt-BH.xls][Spt-BH.xls]B__1780"/>
      <sheetName val="[Spt-BH.xls][Spt-BH.xls]B__1781"/>
      <sheetName val="[Spt-BH.xls][Spt-BH.xls]B__1782"/>
      <sheetName val="[Spt-BH.xls][Spt-BH.xls]B__1783"/>
      <sheetName val="[Spt-BH.xls][Spt-BH.xls]_Sp_615"/>
      <sheetName val="[Spt-BH.xls][Spt-BH.xls]_Sp_617"/>
      <sheetName val="[Spt-BH.xls][Spt-BH.xls]B__1784"/>
      <sheetName val="[Spt-BH.xls][Spt-BH.xls]B__1785"/>
      <sheetName val="[Spt-BH.xls][Spt-BH.xls]_Sp_619"/>
      <sheetName val="[Spt-BH.xls][Spt-BH.xls]B__1786"/>
      <sheetName val="[Spt-BH.xls][Spt-BH.xls]B__1787"/>
      <sheetName val="[Spt-BH.xls][Spt-BH.xls]B__1788"/>
      <sheetName val="[Spt-BH.xls][Spt-BH.xls]B__1789"/>
      <sheetName val="[Spt-BH.xls][Spt-BH.xls]_Sp_618"/>
      <sheetName val="[Spt-BH.xls][Spt-BH.xls]B__1867"/>
      <sheetName val="[Spt-BH.xls][Spt-BH.xls]B__1874"/>
      <sheetName val="[Spt-BH.xls][Spt-BH.xls]B__1875"/>
      <sheetName val="[Spt-BH.xls][Spt-BH.xls]_Sp_662"/>
      <sheetName val="[Spt-BH.xls][Spt-BH.xls]B__1876"/>
      <sheetName val="[Spt-BH.xls][Spt-BH.xls]B__1877"/>
      <sheetName val="[Spt-BH.xls]B____x005f_x0004______159"/>
      <sheetName val="[Spt-BH.xls][Spt-BH.xls]_Sp_658"/>
      <sheetName val="[Spt-BH.xls][Spt-BH.xls]B__1868"/>
      <sheetName val="[Spt-BH.xls][Spt-BH.xls]_Sp_660"/>
      <sheetName val="[Spt-BH.xls][Spt-BH.xls]B__1869"/>
      <sheetName val="[Spt-BH.xls][Spt-BH.xls]B__1870"/>
      <sheetName val="[Spt-BH.xls][Spt-BH.xls]B__1871"/>
      <sheetName val="[Spt-BH.xls]B___x005f_x0000__x000_156"/>
      <sheetName val="[Spt-BH.xls][Spt-BH.xls]B__1878"/>
      <sheetName val="[Spt-BH.xls][Spt-BH.xls]B__1879"/>
      <sheetName val="[Spt-BH.xls][Spt-BH.xls]B__1872"/>
      <sheetName val="[Spt-BH.xls][Spt-BH.xls]B__1873"/>
      <sheetName val="[Spt-BH.xls][Spt-BH.xls]_Sp_661"/>
      <sheetName val="[Spt-BH.xls][Spt-BH_xls]B__1858"/>
      <sheetName val="[Spt-BH.xls][Spt-BH_xls]B__1859"/>
      <sheetName val="[Spt-BH.xls][Spt-BH_xls]B__1860"/>
      <sheetName val="[Spt-BH.xls][Spt-BH_xls]B__1861"/>
      <sheetName val="[Spt-BH.xls][Spt-BH_xls]_Sp_610"/>
      <sheetName val="[Spt-BH.xls][Spt-BH_xls]B__1862"/>
      <sheetName val="[Spt-BH.xls][Spt-BH_xls]B__1863"/>
      <sheetName val="[Spt-BH.xls][Spt-BH_xls]B__1864"/>
      <sheetName val="[Spt-BH.xls][Spt-BH_xls]_Sp_611"/>
      <sheetName val="[Spt-BH.xls][Spt-BH_xls]B__1865"/>
      <sheetName val="[Spt-BH.xls][Spt-BH_xls]B__1866"/>
      <sheetName val="[Spt-BH.xls][Spt-BH_xls]B__1867"/>
      <sheetName val="[Spt-BH.xls][Spt-BH_xls]B__1868"/>
      <sheetName val="[Spt-BH.xls][Spt-BH_xls]_Sp_612"/>
      <sheetName val="[Spt-BH.xls][Spt-BH.xls]_Sp_659"/>
      <sheetName val="[Spt-BH.xls][Spt-BH_xls]B__1869"/>
      <sheetName val="[Spt-BH.xls][Spt-BH_xls]B__1870"/>
      <sheetName val="[Spt-BH.xls][Spt-BH_xls]_Sp_613"/>
      <sheetName val="[Spt-BH.xls][Spt-BH_xls]B__1871"/>
      <sheetName val="[Spt-BH.xls][Spt-BH_xls]B__1872"/>
      <sheetName val="[Spt-BH.xls][Spt-BH_xls]_Sp_614"/>
      <sheetName val="[Spt-BH.xls][Spt-BH.xls]_Sp_620"/>
      <sheetName val="[Spt-BH.xls][Spt-BH.xls]_Sp_627"/>
      <sheetName val="[Spt-BH.xls][Spt-BH.xls]_Sp_622"/>
      <sheetName val="[Spt-BH.xls][Spt-BH.xls]_Sp_623"/>
      <sheetName val="[Spt-BH.xls][Spt-BH.xls]_Sp_621"/>
      <sheetName val="[Spt-BH.xls][Spt-BH.xls]_Sp_629"/>
      <sheetName val="[Spt-BH.xls][Spt-BH.xls]B__1790"/>
      <sheetName val="[Spt-BH.xls][Spt-BH.xls]B__1791"/>
      <sheetName val="[Spt-BH.xls][Spt-BH.xls]_Sp_628"/>
      <sheetName val="[Spt-BH.xls][Spt-BH.xls]_Sp_624"/>
      <sheetName val="[Spt-BH.xls][Spt-BH.xls]_Sp_625"/>
      <sheetName val="[Spt-BH.xls][Spt-BH.xls]_Sp_626"/>
      <sheetName val="[Spt-BH.xls][Spt-BH.xls]_Sp_630"/>
      <sheetName val="[Spt-BH.xls][Spt-BH.xls]B__1792"/>
      <sheetName val="[Spt-BH.xls][Spt-BH.xls]B__1793"/>
      <sheetName val="[Spt-BH.xls][Spt-BH.xls]_Sp_632"/>
      <sheetName val="[Spt-BH.xls][Spt-BH.xls]B__1794"/>
      <sheetName val="[Spt-BH.xls][Spt-BH.xls]B__1795"/>
      <sheetName val="[Spt-BH.xls][Spt-BH.xls]_Sp_631"/>
      <sheetName val="[Spt-BH.xls][Spt-BH.xls]_Sp_633"/>
      <sheetName val="[Spt-BH.xls][Spt-BH.xls]B__1803"/>
      <sheetName val="[Spt-BH.xls][Spt-BH.xls]B__1810"/>
      <sheetName val="[Spt-BH.xls][Spt-BH.xls]B__1811"/>
      <sheetName val="[Spt-BH.xls][Spt-BH.xls]_Sp_640"/>
      <sheetName val="[Spt-BH.xls][Spt-BH.xls]B__1812"/>
      <sheetName val="[Spt-BH.xls][Spt-BH.xls]B__1813"/>
      <sheetName val="[Spt-BH.xls]B____x005f_x0004______154"/>
      <sheetName val="[Spt-BH.xls][Spt-BH.xls]_Sp_636"/>
      <sheetName val="[Spt-BH.xls][Spt-BH.xls]B__1804"/>
      <sheetName val="[Spt-BH.xls][Spt-BH.xls]_Sp_638"/>
      <sheetName val="[Spt-BH.xls][Spt-BH.xls]B__1805"/>
      <sheetName val="[Spt-BH.xls][Spt-BH.xls]B__1806"/>
      <sheetName val="[Spt-BH.xls][Spt-BH.xls]B__1807"/>
      <sheetName val="[Spt-BH.xls]B___x005f_x0000__x000_151"/>
      <sheetName val="[Spt-BH.xls][Spt-BH.xls]B__1814"/>
      <sheetName val="[Spt-BH.xls][Spt-BH.xls]B__1815"/>
      <sheetName val="[Spt-BH.xls][Spt-BH.xls]B__1808"/>
      <sheetName val="[Spt-BH.xls][Spt-BH.xls]B__1809"/>
      <sheetName val="[Spt-BH.xls][Spt-BH.xls]_Sp_639"/>
      <sheetName val="[Spt-BH.xls][Spt-BH_xls]B__1798"/>
      <sheetName val="[Spt-BH.xls][Spt-BH_xls]B__1799"/>
      <sheetName val="[Spt-BH.xls][Spt-BH_xls]B__1800"/>
      <sheetName val="[Spt-BH.xls][Spt-BH_xls]B__1801"/>
      <sheetName val="[Spt-BH.xls][Spt-BH_xls]_Sp_590"/>
      <sheetName val="[Spt-BH.xls][Spt-BH_xls]B__1802"/>
      <sheetName val="[Spt-BH.xls][Spt-BH_xls]B__1803"/>
      <sheetName val="[Spt-BH.xls][Spt-BH_xls]B__1804"/>
      <sheetName val="[Spt-BH.xls][Spt-BH_xls]_Sp_591"/>
      <sheetName val="[Spt-BH.xls][Spt-BH_xls]B__1805"/>
      <sheetName val="[Spt-BH.xls][Spt-BH_xls]B__1806"/>
      <sheetName val="[Spt-BH.xls][Spt-BH_xls]B__1807"/>
      <sheetName val="[Spt-BH.xls][Spt-BH_xls]B__1808"/>
      <sheetName val="[Spt-BH.xls][Spt-BH_xls]_Sp_592"/>
      <sheetName val="[Spt-BH.xls][Spt-BH.xls]_Sp_637"/>
      <sheetName val="[Spt-BH.xls][Spt-BH_xls]B__1809"/>
      <sheetName val="[Spt-BH.xls][Spt-BH_xls]B__1810"/>
      <sheetName val="[Spt-BH.xls][Spt-BH_xls]_Sp_593"/>
      <sheetName val="[Spt-BH.xls][Spt-BH_xls]B__1811"/>
      <sheetName val="[Spt-BH.xls][Spt-BH_xls]B__1812"/>
      <sheetName val="[Spt-BH.xls][Spt-BH_xls]_Sp_594"/>
      <sheetName val="[Spt-BH.xls][Spt-BH.xls]B__1796"/>
      <sheetName val="[Spt-BH.xls]B____x005f_x0004______153"/>
      <sheetName val="[Spt-BH.xls][Spt-BH.xls]_Sp_634"/>
      <sheetName val="[Spt-BH.xls][Spt-BH.xls]B__1797"/>
      <sheetName val="[Spt-BH.xls][Spt-BH.xls]B__1798"/>
      <sheetName val="[Spt-BH.xls][Spt-BH.xls]B__1799"/>
      <sheetName val="[Spt-BH.xls][Spt-BH.xls]B__1800"/>
      <sheetName val="[Spt-BH.xls]B___x005f_x0000__x000_150"/>
      <sheetName val="[Spt-BH.xls][Spt-BH.xls]B__1801"/>
      <sheetName val="[Spt-BH.xls][Spt-BH.xls]B__1802"/>
      <sheetName val="[Spt-BH.xls][Spt-BH.xls]_Sp_635"/>
      <sheetName val="[Spt-BH.xls][Spt-BH.xls]B__1817"/>
      <sheetName val="[Spt-BH.xls][Spt-BH.xls]B__1818"/>
      <sheetName val="[Spt-BH.xls][Spt-BH.xls]_Sp_642"/>
      <sheetName val="[Spt-BH.xls][Spt-BH.xls]B__1819"/>
      <sheetName val="[Spt-BH.xls][Spt-BH.xls]B__1820"/>
      <sheetName val="[Spt-BH.xls]B____x005f_x0004______155"/>
      <sheetName val="[Spt-BH.xls]B___x005f_x0000__x000_152"/>
      <sheetName val="[Spt-BH.xls][Spt-BH.xls]B__1821"/>
      <sheetName val="[Spt-BH.xls][Spt-BH.xls]B__1822"/>
      <sheetName val="[Spt-BH.xls][Spt-BH.xls]B__1816"/>
      <sheetName val="[Spt-BH.xls][Spt-BH.xls]_Sp_641"/>
      <sheetName val="[Spt-BH.xls][Spt-BH_xls]B__1813"/>
      <sheetName val="[Spt-BH.xls][Spt-BH_xls]B__1814"/>
      <sheetName val="[Spt-BH.xls][Spt-BH_xls]B__1815"/>
      <sheetName val="[Spt-BH.xls][Spt-BH_xls]B__1816"/>
      <sheetName val="[Spt-BH.xls][Spt-BH_xls]_Sp_595"/>
      <sheetName val="[Spt-BH.xls][Spt-BH_xls]B__1817"/>
      <sheetName val="[Spt-BH.xls][Spt-BH_xls]B__1818"/>
      <sheetName val="[Spt-BH.xls][Spt-BH_xls]B__1819"/>
      <sheetName val="[Spt-BH.xls][Spt-BH_xls]_Sp_596"/>
      <sheetName val="[Spt-BH.xls][Spt-BH_xls]B__1820"/>
      <sheetName val="[Spt-BH.xls][Spt-BH_xls]B__1821"/>
      <sheetName val="[Spt-BH.xls][Spt-BH_xls]B__1822"/>
      <sheetName val="[Spt-BH.xls][Spt-BH_xls]B__1823"/>
      <sheetName val="[Spt-BH.xls][Spt-BH_xls]_Sp_597"/>
      <sheetName val="[Spt-BH.xls][Spt-BH_xls]B__1824"/>
      <sheetName val="[Spt-BH.xls][Spt-BH_xls]B__1825"/>
      <sheetName val="[Spt-BH.xls][Spt-BH_xls]_Sp_598"/>
      <sheetName val="[Spt-BH.xls][Spt-BH_xls]B__1826"/>
      <sheetName val="[Spt-BH.xls][Spt-BH_xls]B__1827"/>
      <sheetName val="[Spt-BH.xls][Spt-BH_xls]_Sp_599"/>
      <sheetName val="[Spt-BH.xls][Spt-BH.xls]B__1824"/>
      <sheetName val="[Spt-BH.xls][Spt-BH.xls]B__1825"/>
      <sheetName val="[Spt-BH.xls][Spt-BH.xls]_Sp_643"/>
      <sheetName val="[Spt-BH.xls][Spt-BH.xls]B__1826"/>
      <sheetName val="[Spt-BH.xls][Spt-BH.xls]B__1827"/>
      <sheetName val="[Spt-BH.xls]B____x005f_x0004______156"/>
      <sheetName val="[Spt-BH.xls]B___x005f_x0000__x000_153"/>
      <sheetName val="[Spt-BH.xls][Spt-BH.xls]B__1828"/>
      <sheetName val="[Spt-BH.xls][Spt-BH.xls]B__1829"/>
      <sheetName val="[Spt-BH.xls][Spt-BH.xls]B__1823"/>
      <sheetName val="[Spt-BH.xls][Spt-BH.xls]B__1830"/>
      <sheetName val="[Spt-BH.xls][Spt-BH.xls]B__1831"/>
      <sheetName val="[Spt-BH.xls][Spt-BH.xls]_Sp_648"/>
      <sheetName val="[Spt-BH.xls][Spt-BH.xls]B__1832"/>
      <sheetName val="[Spt-BH.xls][Spt-BH.xls]B__1833"/>
      <sheetName val="[Spt-BH.xls][Spt-BH.xls]B__1842"/>
      <sheetName val="[Spt-BH.xls][Spt-BH.xls]B__1843"/>
      <sheetName val="[Spt-BH.xls][Spt-BH.xls]_Sp_652"/>
      <sheetName val="[Spt-BH.xls][Spt-BH.xls]B__1844"/>
      <sheetName val="[Spt-BH.xls][Spt-BH.xls]B__1845"/>
      <sheetName val="[Spt-BH.xls]B____x005f_x0004______157"/>
      <sheetName val="[Spt-BH.xls][Spt-BH.xls]B__1835"/>
      <sheetName val="[Spt-BH.xls][Spt-BH.xls]B__1836"/>
      <sheetName val="[Spt-BH.xls][Spt-BH.xls]_Sp_650"/>
      <sheetName val="[Spt-BH.xls][Spt-BH.xls]B__1837"/>
      <sheetName val="[Spt-BH.xls][Spt-BH.xls]B__1838"/>
      <sheetName val="[Spt-BH.xls][Spt-BH.xls]B__1839"/>
      <sheetName val="[Spt-BH.xls]B___x005f_x0000__x000_154"/>
      <sheetName val="[Spt-BH.xls][Spt-BH.xls]B__1846"/>
      <sheetName val="[Spt-BH.xls][Spt-BH.xls]B__1847"/>
      <sheetName val="[Spt-BH.xls][Spt-BH.xls]B__1840"/>
      <sheetName val="[Spt-BH.xls][Spt-BH.xls]B__1841"/>
      <sheetName val="[Spt-BH.xls][Spt-BH.xls]_Sp_651"/>
      <sheetName val="[Spt-BH.xls][Spt-BH_xls]B__1828"/>
      <sheetName val="[Spt-BH.xls][Spt-BH_xls]B__1829"/>
      <sheetName val="[Spt-BH.xls][Spt-BH_xls]B__1830"/>
      <sheetName val="[Spt-BH.xls][Spt-BH_xls]B__1831"/>
      <sheetName val="[Spt-BH.xls][Spt-BH_xls]_Sp_600"/>
      <sheetName val="[Spt-BH.xls][Spt-BH_xls]B__1832"/>
      <sheetName val="[Spt-BH.xls][Spt-BH_xls]B__1833"/>
      <sheetName val="[Spt-BH.xls][Spt-BH_xls]B__1834"/>
      <sheetName val="[Spt-BH.xls][Spt-BH_xls]_Sp_601"/>
      <sheetName val="[Spt-BH.xls][Spt-BH_xls]B__1835"/>
      <sheetName val="[Spt-BH.xls][Spt-BH_xls]B__1836"/>
      <sheetName val="[Spt-BH.xls][Spt-BH_xls]B__1837"/>
      <sheetName val="[Spt-BH.xls][Spt-BH_xls]B__1838"/>
      <sheetName val="[Spt-BH.xls][Spt-BH_xls]_Sp_602"/>
      <sheetName val="[Spt-BH.xls][Spt-BH.xls]_Sp_649"/>
      <sheetName val="[Spt-BH.xls][Spt-BH_xls]B__1839"/>
      <sheetName val="[Spt-BH.xls][Spt-BH_xls]B__1840"/>
      <sheetName val="[Spt-BH.xls][Spt-BH_xls]_Sp_603"/>
      <sheetName val="[Spt-BH.xls][Spt-BH_xls]B__1841"/>
      <sheetName val="[Spt-BH.xls][Spt-BH_xls]B__1842"/>
      <sheetName val="[Spt-BH.xls][Spt-BH_xls]_Sp_604"/>
      <sheetName val="[Spt-BH.xls][Spt-BH.xls]_Sp_645"/>
      <sheetName val="[Spt-BH.xls][Spt-BH.xls]_Sp_644"/>
      <sheetName val="[Spt-BH.xls][Spt-BH.xls]_Sp_646"/>
      <sheetName val="[Spt-BH.xls][Spt-BH.xls]B__1834"/>
      <sheetName val="[Spt-BH.xls][Spt-BH.xls]_Sp_647"/>
      <sheetName val="[Spt-BH.xls][Spt-BH.xls]B__1848"/>
      <sheetName val="[Spt-BH.xls][Spt-BH.xls]B__1861"/>
      <sheetName val="[Spt-BH.xls][Spt-BH.xls]B__1862"/>
      <sheetName val="[Spt-BH.xls][Spt-BH.xls]B__1863"/>
      <sheetName val="[Spt-BH.xls][Spt-BH.xls]B__1864"/>
      <sheetName val="[Spt-BH.xls]B____x005f_x0004______158"/>
      <sheetName val="[Spt-BH.xls][Spt-BH.xls]B__1849"/>
      <sheetName val="[Spt-BH.xls][Spt-BH.xls]_Sp_656"/>
      <sheetName val="[Spt-BH.xls][Spt-BH.xls]B__1850"/>
      <sheetName val="[Spt-BH.xls][Spt-BH.xls]B__1851"/>
      <sheetName val="[Spt-BH.xls][Spt-BH.xls]B__1852"/>
      <sheetName val="[Spt-BH.xls]B___x005f_x0000__x000_155"/>
      <sheetName val="[Spt-BH.xls][Spt-BH.xls]B__1865"/>
      <sheetName val="[Spt-BH.xls][Spt-BH.xls]B__1866"/>
      <sheetName val="[Spt-BH.xls][Spt-BH.xls]B__1853"/>
      <sheetName val="[Spt-BH.xls][Spt-BH.xls]B__1854"/>
      <sheetName val="[Spt-BH.xls][Spt-BH.xls]_Sp_657"/>
      <sheetName val="[Spt-BH.xls][Spt-BH_xls]B__1843"/>
      <sheetName val="[Spt-BH.xls][Spt-BH_xls]B__1844"/>
      <sheetName val="[Spt-BH.xls][Spt-BH_xls]B__1845"/>
      <sheetName val="[Spt-BH.xls][Spt-BH_xls]B__1846"/>
      <sheetName val="[Spt-BH.xls][Spt-BH_xls]_Sp_605"/>
      <sheetName val="[Spt-BH.xls][Spt-BH_xls]B__1847"/>
      <sheetName val="[Spt-BH.xls][Spt-BH_xls]B__1848"/>
      <sheetName val="[Spt-BH.xls][Spt-BH_xls]B__1849"/>
      <sheetName val="[Spt-BH.xls][Spt-BH_xls]_Sp_606"/>
      <sheetName val="[Spt-BH.xls][Spt-BH_xls]B__1850"/>
      <sheetName val="[Spt-BH.xls][Spt-BH_xls]B__1851"/>
      <sheetName val="[Spt-BH.xls][Spt-BH_xls]B__1852"/>
      <sheetName val="[Spt-BH.xls][Spt-BH_xls]B__1853"/>
      <sheetName val="[Spt-BH.xls][Spt-BH_xls]_Sp_607"/>
      <sheetName val="[Spt-BH.xls][Spt-BH.xls]_Sp_653"/>
      <sheetName val="[Spt-BH.xls][Spt-BH_xls]B__1854"/>
      <sheetName val="[Spt-BH.xls][Spt-BH_xls]B__1855"/>
      <sheetName val="[Spt-BH.xls][Spt-BH_xls]_Sp_608"/>
      <sheetName val="[Spt-BH.xls][Spt-BH_xls]B__1856"/>
      <sheetName val="[Spt-BH.xls][Spt-BH_xls]B__1857"/>
      <sheetName val="[Spt-BH.xls][Spt-BH_xls]_Sp_609"/>
      <sheetName val="[Spt-BH.xls][Spt-BH.xls]B__1855"/>
      <sheetName val="[Spt-BH.xls][Spt-BH.xls]B__1856"/>
      <sheetName val="[Spt-BH.xls][Spt-BH.xls]B__1857"/>
      <sheetName val="[Spt-BH.xls][Spt-BH.xls]B__1858"/>
      <sheetName val="[Spt-BH.xls][Spt-BH.xls]_Sp_654"/>
      <sheetName val="[Spt-BH.xls][Spt-BH.xls]B__1859"/>
      <sheetName val="[Spt-BH.xls][Spt-BH.xls]B__1860"/>
      <sheetName val="[Spt-BH.xls][Spt-BH.xls]_Sp_655"/>
      <sheetName val="[Spt-BH.xls][Spt-BH.xls]B__1881"/>
      <sheetName val="[Spt-BH.xls][Spt-BH.xls]B__1882"/>
      <sheetName val="[Spt-BH.xls][Spt-BH.xls]_Sp_665"/>
      <sheetName val="[Spt-BH.xls][Spt-BH.xls]B__1883"/>
      <sheetName val="[Spt-BH.xls][Spt-BH.xls]B__1884"/>
      <sheetName val="[Spt-BH.xls]B____x005f_x0004______160"/>
      <sheetName val="[Spt-BH.xls]B___x005f_x0000__x000_157"/>
      <sheetName val="[Spt-BH.xls][Spt-BH.xls]B__1885"/>
      <sheetName val="[Spt-BH.xls][Spt-BH.xls]B__1886"/>
      <sheetName val="[Spt-BH.xls][Spt-BH.xls]B__1880"/>
      <sheetName val="[Spt-BH.xls][Spt-BH.xls]_Sp_663"/>
      <sheetName val="[Spt-BH.xls][Spt-BH_xls]B__1873"/>
      <sheetName val="[Spt-BH.xls][Spt-BH_xls]B__1874"/>
      <sheetName val="[Spt-BH.xls][Spt-BH_xls]B__1875"/>
      <sheetName val="[Spt-BH.xls][Spt-BH_xls]B__1876"/>
      <sheetName val="[Spt-BH.xls][Spt-BH_xls]_Sp_615"/>
      <sheetName val="[Spt-BH.xls][Spt-BH_xls]B__1877"/>
      <sheetName val="[Spt-BH.xls][Spt-BH_xls]B__1878"/>
      <sheetName val="[Spt-BH.xls][Spt-BH_xls]B__1879"/>
      <sheetName val="[Spt-BH.xls][Spt-BH_xls]_Sp_616"/>
      <sheetName val="[Spt-BH.xls][Spt-BH_xls]B__1880"/>
      <sheetName val="[Spt-BH.xls][Spt-BH_xls]B__1881"/>
      <sheetName val="[Spt-BH.xls][Spt-BH_xls]B__1882"/>
      <sheetName val="[Spt-BH.xls][Spt-BH_xls]B__1883"/>
      <sheetName val="[Spt-BH.xls][Spt-BH_xls]_Sp_617"/>
      <sheetName val="[Spt-BH.xls][Spt-BH_xls]B__1884"/>
      <sheetName val="[Spt-BH.xls][Spt-BH_xls]B__1885"/>
      <sheetName val="[Spt-BH.xls][Spt-BH_xls]_Sp_618"/>
      <sheetName val="[Spt-BH.xls][Spt-BH_xls]B__1886"/>
      <sheetName val="[Spt-BH.xls][Spt-BH_xls]B__1887"/>
      <sheetName val="[Spt-BH.xls][Spt-BH_xls]_Sp_619"/>
      <sheetName val="[Spt-BH.xls][Spt-BH.xls]_Sp_664"/>
      <sheetName val="[Spt-BH.xls][Spt-BH.xls]B__1887"/>
      <sheetName val="[Spt-BH.xls][Spt-BH.xls]B__1888"/>
      <sheetName val="[Spt-BH.xls][Spt-BH.xls]_Sp_667"/>
      <sheetName val="[Spt-BH.xls][Spt-BH.xls]B__1889"/>
      <sheetName val="[Spt-BH.xls][Spt-BH.xls]B__1890"/>
      <sheetName val="[Spt-BH.xls][Spt-BH.xls]_Sp_666"/>
      <sheetName val="[Spt-BH.xls][Spt-BH.xls]_Sp_668"/>
      <sheetName val="[Spt-BH.xls][Spt-BH.xls]B__1891"/>
      <sheetName val="[Spt-BH.xls][Spt-BH.xls]B__1892"/>
      <sheetName val="[Spt-BH.xls][Spt-BH.xls]_Sp_670"/>
      <sheetName val="[Spt-BH.xls][Spt-BH.xls]B__1893"/>
      <sheetName val="[Spt-BH.xls][Spt-BH.xls]B__1894"/>
      <sheetName val="[Spt-BH.xls][Spt-BH.xls]B__1895"/>
      <sheetName val="[Spt-BH.xls][Spt-BH.xls]B__1896"/>
      <sheetName val="[Spt-BH.xls][Spt-BH.xls]_Sp_669"/>
      <sheetName val="[Spt-BH.xls][Spt-BH.xls]_Sp_716"/>
      <sheetName val="[Spt-BH.xls][Spt-BH.xls]B__2033"/>
      <sheetName val="[Spt-BH.xls][Spt-BH.xls]B__2034"/>
      <sheetName val="[Spt-BH.xls][Spt-BH.xls]_Sp_726"/>
      <sheetName val="[Spt-BH.xls][Spt-BH.xls]B__2035"/>
      <sheetName val="[Spt-BH.xls][Spt-BH.xls]B__2036"/>
      <sheetName val="[Spt-BH.xls][Spt-BH.xls]B__2037"/>
      <sheetName val="[Spt-BH.xls][Spt-BH.xls]B__2038"/>
      <sheetName val="[Spt-BH.xls][Spt-BH.xls]_Sp_717"/>
      <sheetName val="[Spt-BH.xls][Spt-BH.xls]B__1925"/>
      <sheetName val="[Spt-BH.xls][Spt-BH.xls]B__1926"/>
      <sheetName val="[Spt-BH.xls][Spt-BH.xls]_Sp_681"/>
      <sheetName val="[Spt-BH.xls][Spt-BH.xls]B__1927"/>
      <sheetName val="[Spt-BH.xls][Spt-BH.xls]B__1928"/>
      <sheetName val="[Spt-BH.xls][Spt-BH.xls]B__1929"/>
      <sheetName val="[Spt-BH.xls][Spt-BH.xls]_Sp_679"/>
      <sheetName val="[Spt-BH.xls][Spt-BH.xls]B__1930"/>
      <sheetName val="[Spt-BH.xls][Spt-BH.xls]_Sp_680"/>
      <sheetName val="[Spt-BH.xls][Spt-BH.xls]_Sp_677"/>
      <sheetName val="[Spt-BH.xls][Spt-BH.xls]B__1919"/>
      <sheetName val="[Spt-BH.xls][Spt-BH.xls]B__1920"/>
      <sheetName val="[Spt-BH.xls][Spt-BH.xls]B__1921"/>
      <sheetName val="[Spt-BH.xls][Spt-BH.xls]B__1922"/>
      <sheetName val="[Spt-BH.xls]B____x005f_x0004______161"/>
      <sheetName val="[Spt-BH.xls]B___x005f_x0000__x000_158"/>
      <sheetName val="[Spt-BH.xls][Spt-BH.xls]B__1923"/>
      <sheetName val="[Spt-BH.xls][Spt-BH.xls]B__1924"/>
      <sheetName val="[Spt-BH.xls][Spt-BH.xls]_Sp_678"/>
      <sheetName val="[Spt-BH.xls][Spt-BH_xls]B__1903"/>
      <sheetName val="[Spt-BH.xls][Spt-BH_xls]B__1904"/>
      <sheetName val="[Spt-BH.xls][Spt-BH_xls]B__1905"/>
      <sheetName val="[Spt-BH.xls][Spt-BH_xls]B__1906"/>
      <sheetName val="[Spt-BH.xls][Spt-BH_xls]_Sp_625"/>
      <sheetName val="[Spt-BH.xls][Spt-BH_xls]B__1907"/>
      <sheetName val="[Spt-BH.xls][Spt-BH_xls]B__1908"/>
      <sheetName val="[Spt-BH.xls][Spt-BH_xls]B__1909"/>
      <sheetName val="[Spt-BH.xls][Spt-BH_xls]_Sp_626"/>
      <sheetName val="[Spt-BH.xls][Spt-BH_xls]B__1910"/>
      <sheetName val="[Spt-BH.xls][Spt-BH_xls]B__1911"/>
      <sheetName val="[Spt-BH.xls][Spt-BH_xls]B__1912"/>
      <sheetName val="[Spt-BH.xls][Spt-BH_xls]B__1913"/>
      <sheetName val="[Spt-BH.xls][Spt-BH_xls]_Sp_627"/>
      <sheetName val="[Spt-BH.xls][Spt-BH_xls]B__1914"/>
      <sheetName val="[Spt-BH.xls][Spt-BH_xls]B__1915"/>
      <sheetName val="[Spt-BH.xls][Spt-BH_xls]_Sp_628"/>
      <sheetName val="[Spt-BH.xls][Spt-BH_xls]B__1916"/>
      <sheetName val="[Spt-BH.xls][Spt-BH_xls]B__1917"/>
      <sheetName val="[Spt-BH.xls][Spt-BH_xls]_Sp_629"/>
      <sheetName val="[Spt-BH.xls][Spt-BH_xls]B__1888"/>
      <sheetName val="[Spt-BH.xls][Spt-BH_xls]B__1889"/>
      <sheetName val="[Spt-BH.xls][Spt-BH_xls]B__1890"/>
      <sheetName val="[Spt-BH.xls][Spt-BH_xls]B__1891"/>
      <sheetName val="[Spt-BH.xls][Spt-BH_xls]_Sp_620"/>
      <sheetName val="[Spt-BH.xls][Spt-BH_xls]B__1892"/>
      <sheetName val="[Spt-BH.xls][Spt-BH_xls]B__1893"/>
      <sheetName val="[Spt-BH.xls][Spt-BH_xls]B__1894"/>
      <sheetName val="[Spt-BH.xls][Spt-BH_xls]_Sp_621"/>
      <sheetName val="[Spt-BH.xls][Spt-BH_xls]B__1895"/>
      <sheetName val="[Spt-BH.xls][Spt-BH_xls]B__1896"/>
      <sheetName val="[Spt-BH.xls][Spt-BH_xls]B__1897"/>
      <sheetName val="[Spt-BH.xls][Spt-BH_xls]B__1898"/>
      <sheetName val="[Spt-BH.xls][Spt-BH_xls]_Sp_622"/>
      <sheetName val="[Spt-BH.xls][Spt-BH_xls]B__1899"/>
      <sheetName val="[Spt-BH.xls][Spt-BH_xls]B__1900"/>
      <sheetName val="[Spt-BH.xls][Spt-BH_xls]_Sp_623"/>
      <sheetName val="[Spt-BH.xls][Spt-BH_xls]B__1901"/>
      <sheetName val="[Spt-BH.xls][Spt-BH_xls]B__1902"/>
      <sheetName val="[Spt-BH.xls][Spt-BH_xls]_Sp_624"/>
      <sheetName val="[Spt-BH.xls][Spt-BH.xls]B__1897"/>
      <sheetName val="[Spt-BH.xls][Spt-BH.xls]B__1898"/>
      <sheetName val="[Spt-BH.xls][Spt-BH.xls]B__1899"/>
      <sheetName val="[Spt-BH.xls][Spt-BH.xls]B__1900"/>
      <sheetName val="[Spt-BH.xls][Spt-BH.xls]_Sp_671"/>
      <sheetName val="[Spt-BH.xls][Spt-BH.xls]B__1901"/>
      <sheetName val="[Spt-BH.xls][Spt-BH.xls]B__1902"/>
      <sheetName val="[Spt-BH.xls][Spt-BH.xls]B__1903"/>
      <sheetName val="[Spt-BH.xls][Spt-BH.xls]B__1904"/>
      <sheetName val="[Spt-BH.xls][Spt-BH.xls]B__1905"/>
      <sheetName val="[Spt-BH.xls][Spt-BH.xls]_Sp_672"/>
      <sheetName val="[Spt-BH.xls][Spt-BH.xls]B__1906"/>
      <sheetName val="[Spt-BH.xls][Spt-BH.xls]_Sp_673"/>
      <sheetName val="[Spt-BH.xls][Spt-BH.xls]B__1907"/>
      <sheetName val="[Spt-BH.xls][Spt-BH.xls]B__1908"/>
      <sheetName val="[Spt-BH.xls][Spt-BH.xls]B__1909"/>
      <sheetName val="[Spt-BH.xls][Spt-BH.xls]B__1910"/>
      <sheetName val="[Spt-BH.xls][Spt-BH.xls]B__1911"/>
      <sheetName val="[Spt-BH.xls][Spt-BH.xls]B__1912"/>
      <sheetName val="[Spt-BH.xls][Spt-BH.xls]_Sp_674"/>
      <sheetName val="[Spt-BH.xls][Spt-BH.xls]_Sp_675"/>
      <sheetName val="[Spt-BH.xls][Spt-BH.xls]B__1913"/>
      <sheetName val="[Spt-BH.xls][Spt-BH.xls]B__1914"/>
      <sheetName val="[Spt-BH.xls][Spt-BH.xls]B__1915"/>
      <sheetName val="[Spt-BH.xls][Spt-BH.xls]B__1916"/>
      <sheetName val="[Spt-BH.xls][Spt-BH.xls]B__1917"/>
      <sheetName val="[Spt-BH.xls][Spt-BH.xls]B__1918"/>
      <sheetName val="[Spt-BH.xls][Spt-BH.xls]_Sp_676"/>
      <sheetName val="[Spt-BH.xls][Spt-BH.xls]B__1938"/>
      <sheetName val="[Spt-BH.xls][Spt-BH.xls]B__1939"/>
      <sheetName val="[Spt-BH.xls][Spt-BH.xls]_Sp_685"/>
      <sheetName val="[Spt-BH.xls][Spt-BH.xls]B__1940"/>
      <sheetName val="[Spt-BH.xls][Spt-BH.xls]B__1941"/>
      <sheetName val="[Spt-BH.xls]B____x005f_x0004______162"/>
      <sheetName val="[Spt-BH.xls]B___x005f_x0000__x000_159"/>
      <sheetName val="[Spt-BH.xls][Spt-BH.xls]B__1942"/>
      <sheetName val="[Spt-BH.xls][Spt-BH.xls]B__1931"/>
      <sheetName val="[Spt-BH.xls][Spt-BH.xls]B__1932"/>
      <sheetName val="[Spt-BH.xls][Spt-BH.xls]_Sp_683"/>
      <sheetName val="[Spt-BH.xls][Spt-BH.xls]B__1933"/>
      <sheetName val="[Spt-BH.xls][Spt-BH.xls]B__1934"/>
      <sheetName val="[Spt-BH.xls][Spt-BH.xls]B__1943"/>
      <sheetName val="[Spt-BH.xls][Spt-BH.xls]B__1935"/>
      <sheetName val="[Spt-BH.xls][Spt-BH.xls]B__1936"/>
      <sheetName val="[Spt-BH.xls][Spt-BH.xls]B__1937"/>
      <sheetName val="[Spt-BH.xls][Spt-BH.xls]_Sp_682"/>
      <sheetName val="[Spt-BH.xls][Spt-BH.xls]_Sp_684"/>
      <sheetName val="[Spt-BH.xls][Spt-BH_xls]B__1918"/>
      <sheetName val="[Spt-BH.xls][Spt-BH_xls]B__1919"/>
      <sheetName val="[Spt-BH.xls][Spt-BH_xls]B__1920"/>
      <sheetName val="[Spt-BH.xls][Spt-BH_xls]B__1921"/>
      <sheetName val="[Spt-BH.xls][Spt-BH_xls]_Sp_630"/>
      <sheetName val="[Spt-BH.xls][Spt-BH_xls]B__1922"/>
      <sheetName val="[Spt-BH.xls][Spt-BH_xls]B__1923"/>
      <sheetName val="[Spt-BH.xls][Spt-BH_xls]B__1924"/>
      <sheetName val="[Spt-BH.xls][Spt-BH_xls]_Sp_631"/>
      <sheetName val="[Spt-BH.xls][Spt-BH_xls]B__1925"/>
      <sheetName val="[Spt-BH.xls][Spt-BH_xls]B__1926"/>
      <sheetName val="[Spt-BH.xls][Spt-BH_xls]B__1927"/>
      <sheetName val="[Spt-BH.xls][Spt-BH_xls]B__1928"/>
      <sheetName val="[Spt-BH.xls][Spt-BH_xls]_Sp_632"/>
      <sheetName val="[Spt-BH.xls][Spt-BH_xls]B__1929"/>
      <sheetName val="[Spt-BH.xls][Spt-BH_xls]B__1930"/>
      <sheetName val="[Spt-BH.xls][Spt-BH_xls]_Sp_633"/>
      <sheetName val="[Spt-BH.xls][Spt-BH_xls]B__1931"/>
      <sheetName val="[Spt-BH.xls][Spt-BH_xls]B__1932"/>
      <sheetName val="[Spt-BH.xls][Spt-BH_xls]_Sp_634"/>
      <sheetName val="[Spt-BH.xls][Spt-BH.xls]_Sp_686"/>
      <sheetName val="[Spt-BH.xls][Spt-BH.xls]_Sp_689"/>
      <sheetName val="[Spt-BH.xls][Spt-BH.xls]B__1951"/>
      <sheetName val="[Spt-BH.xls][Spt-BH.xls]B__1952"/>
      <sheetName val="[Spt-BH.xls][Spt-BH.xls]_Sp_693"/>
      <sheetName val="[Spt-BH.xls][Spt-BH.xls]B__1953"/>
      <sheetName val="[Spt-BH.xls][Spt-BH.xls]B__1954"/>
      <sheetName val="[Spt-BH.xls][Spt-BH.xls]B__1955"/>
      <sheetName val="[Spt-BH.xls][Spt-BH.xls]B__1956"/>
      <sheetName val="[Spt-BH.xls][Spt-BH.xls]_Sp_690"/>
      <sheetName val="[Spt-BH.xls][Spt-BH.xls]B__1961"/>
      <sheetName val="[Spt-BH.xls][Spt-BH.xls]B__1962"/>
      <sheetName val="[Spt-BH.xls][Spt-BH.xls]_Sp_700"/>
      <sheetName val="[Spt-BH.xls][Spt-BH.xls]B__1963"/>
      <sheetName val="[Spt-BH.xls][Spt-BH.xls]B__1964"/>
      <sheetName val="[Spt-BH.xls][Spt-BH.xls]_Sp_687"/>
      <sheetName val="[Spt-BH.xls][Spt-BH.xls]B__1944"/>
      <sheetName val="[Spt-BH.xls][Spt-BH.xls]B__1945"/>
      <sheetName val="[Spt-BH.xls][Spt-BH.xls]B__1946"/>
      <sheetName val="[Spt-BH.xls][Spt-BH.xls]B__1947"/>
      <sheetName val="[Spt-BH.xls][Spt-BH.xls]B__1948"/>
      <sheetName val="[Spt-BH.xls][Spt-BH.xls]B__1949"/>
      <sheetName val="[Spt-BH.xls][Spt-BH.xls]_Sp_688"/>
      <sheetName val="[Spt-BH.xls]B____x005f_x0004______163"/>
      <sheetName val="[Spt-BH.xls]B___x005f_x0000__x000_160"/>
      <sheetName val="[Spt-BH.xls][Spt-BH.xls]B__1950"/>
      <sheetName val="[Spt-BH.xls][Spt-BH_xls]B__1933"/>
      <sheetName val="[Spt-BH.xls][Spt-BH_xls]B__1934"/>
      <sheetName val="[Spt-BH.xls][Spt-BH_xls]B__1935"/>
      <sheetName val="[Spt-BH.xls][Spt-BH_xls]B__1936"/>
      <sheetName val="[Spt-BH.xls][Spt-BH_xls]_Sp_635"/>
      <sheetName val="[Spt-BH.xls][Spt-BH_xls]B__1937"/>
      <sheetName val="[Spt-BH.xls][Spt-BH_xls]B__1938"/>
      <sheetName val="[Spt-BH.xls][Spt-BH_xls]B__1939"/>
      <sheetName val="[Spt-BH.xls][Spt-BH_xls]_Sp_636"/>
      <sheetName val="[Spt-BH.xls][Spt-BH_xls]B__1940"/>
      <sheetName val="[Spt-BH.xls][Spt-BH_xls]B__1941"/>
      <sheetName val="[Spt-BH.xls][Spt-BH_xls]B__1942"/>
      <sheetName val="[Spt-BH.xls][Spt-BH_xls]B__1943"/>
      <sheetName val="[Spt-BH.xls][Spt-BH_xls]_Sp_637"/>
      <sheetName val="[Spt-BH.xls][Spt-BH_xls]B__1944"/>
      <sheetName val="[Spt-BH.xls][Spt-BH_xls]B__1945"/>
      <sheetName val="[Spt-BH.xls][Spt-BH_xls]_Sp_638"/>
      <sheetName val="[Spt-BH.xls][Spt-BH_xls]B__1946"/>
      <sheetName val="[Spt-BH.xls][Spt-BH_xls]B__1947"/>
      <sheetName val="[Spt-BH.xls][Spt-BH_xls]_Sp_639"/>
      <sheetName val="[Spt-BH.xls][Spt-BH.xls]B__1965"/>
      <sheetName val="[Spt-BH.xls][Spt-BH.xls]B__1966"/>
      <sheetName val="[Spt-BH.xls][Spt-BH.xls]_Sp_694"/>
      <sheetName val="[Spt-BH.xls][Spt-BH.xls]B__1981"/>
      <sheetName val="[Spt-BH.xls][Spt-BH.xls]B__1982"/>
      <sheetName val="[Spt-BH.xls][Spt-BH.xls]_Sp_702"/>
      <sheetName val="[Spt-BH.xls][Spt-BH.xls]B__1983"/>
      <sheetName val="[Spt-BH.xls][Spt-BH.xls]B__1984"/>
      <sheetName val="[Spt-BH.xls]B____x005f_x0004______164"/>
      <sheetName val="[Spt-BH.xls]B___x005f_x0000__x000_161"/>
      <sheetName val="[Spt-BH.xls][Spt-BH.xls]B__1985"/>
      <sheetName val="[Spt-BH.xls][Spt-BH.xls]B__1986"/>
      <sheetName val="[Spt-BH.xls][Spt-BH.xls]B__1967"/>
      <sheetName val="[Spt-BH.xls][Spt-BH.xls]_Sp_701"/>
      <sheetName val="[Spt-BH.xls][Spt-BH_xls]B__1948"/>
      <sheetName val="[Spt-BH.xls][Spt-BH_xls]B__1949"/>
      <sheetName val="[Spt-BH.xls][Spt-BH_xls]B__1950"/>
      <sheetName val="[Spt-BH.xls][Spt-BH_xls]B__1951"/>
      <sheetName val="[Spt-BH.xls][Spt-BH_xls]_Sp_640"/>
      <sheetName val="[Spt-BH.xls][Spt-BH_xls]B__1952"/>
      <sheetName val="[Spt-BH.xls][Spt-BH_xls]B__1953"/>
      <sheetName val="[Spt-BH.xls][Spt-BH_xls]B__1954"/>
      <sheetName val="[Spt-BH.xls][Spt-BH_xls]_Sp_641"/>
      <sheetName val="[Spt-BH.xls][Spt-BH_xls]B__1955"/>
      <sheetName val="[Spt-BH.xls][Spt-BH_xls]B__1956"/>
      <sheetName val="[Spt-BH.xls][Spt-BH_xls]B__1957"/>
      <sheetName val="[Spt-BH.xls][Spt-BH_xls]B__1958"/>
      <sheetName val="[Spt-BH.xls][Spt-BH_xls]_Sp_642"/>
      <sheetName val="[Spt-BH.xls][Spt-BH_xls]B__1959"/>
      <sheetName val="[Spt-BH.xls][Spt-BH_xls]B__1960"/>
      <sheetName val="[Spt-BH.xls][Spt-BH_xls]_Sp_643"/>
      <sheetName val="[Spt-BH.xls][Spt-BH_xls]B__1961"/>
      <sheetName val="[Spt-BH.xls][Spt-BH_xls]B__1962"/>
      <sheetName val="[Spt-BH.xls][Spt-BH_xls]_Sp_644"/>
      <sheetName val="[Spt-BH.xls][Spt-BH.xls]_Sp_691"/>
      <sheetName val="[Spt-BH.xls][Spt-BH.xls]B__1957"/>
      <sheetName val="[Spt-BH.xls][Spt-BH.xls]B__1958"/>
      <sheetName val="[Spt-BH.xls][Spt-BH.xls]_Sp_692"/>
      <sheetName val="[Spt-BH.xls][Spt-BH.xls]B__1959"/>
      <sheetName val="[Spt-BH.xls][Spt-BH.xls]B__1960"/>
      <sheetName val="[Spt-BH.xls][Spt-BH.xls]B__1988"/>
      <sheetName val="[Spt-BH.xls][Spt-BH.xls]B__1989"/>
      <sheetName val="[Spt-BH.xls][Spt-BH.xls]_Sp_706"/>
      <sheetName val="[Spt-BH.xls][Spt-BH.xls]B__1990"/>
      <sheetName val="[Spt-BH.xls][Spt-BH.xls]B__1991"/>
      <sheetName val="[Spt-BH.xls]B____x005f_x0004______166"/>
      <sheetName val="[Spt-BH.xls]B___x005f_x0000__x000_163"/>
      <sheetName val="[Spt-BH.xls][Spt-BH.xls]B__1992"/>
      <sheetName val="[Spt-BH.xls][Spt-BH.xls]B__1993"/>
      <sheetName val="[Spt-BH.xls][Spt-BH.xls]B__1987"/>
      <sheetName val="[Spt-BH.xls][Spt-BH.xls]_Sp_703"/>
      <sheetName val="[Spt-BH.xls][Spt-BH_xls]B__1978"/>
      <sheetName val="[Spt-BH.xls][Spt-BH_xls]B__1979"/>
      <sheetName val="[Spt-BH.xls][Spt-BH_xls]B__1980"/>
      <sheetName val="[Spt-BH.xls][Spt-BH_xls]B__1981"/>
      <sheetName val="[Spt-BH.xls][Spt-BH_xls]_Sp_650"/>
      <sheetName val="[Spt-BH.xls][Spt-BH_xls]B__1982"/>
      <sheetName val="[Spt-BH.xls][Spt-BH_xls]B__1983"/>
      <sheetName val="[Spt-BH.xls][Spt-BH_xls]B__1984"/>
      <sheetName val="[Spt-BH.xls][Spt-BH_xls]_Sp_651"/>
      <sheetName val="[Spt-BH.xls][Spt-BH_xls]B__1985"/>
      <sheetName val="[Spt-BH.xls][Spt-BH_xls]B__1986"/>
      <sheetName val="[Spt-BH.xls][Spt-BH_xls]B__1987"/>
      <sheetName val="[Spt-BH.xls][Spt-BH_xls]B__1988"/>
      <sheetName val="[Spt-BH.xls][Spt-BH_xls]_Sp_652"/>
      <sheetName val="[Spt-BH.xls][Spt-BH_xls]B__1989"/>
      <sheetName val="[Spt-BH.xls][Spt-BH_xls]B__1990"/>
      <sheetName val="[Spt-BH.xls][Spt-BH_xls]_Sp_653"/>
      <sheetName val="[Spt-BH.xls][Spt-BH_xls]B__1991"/>
      <sheetName val="[Spt-BH.xls][Spt-BH_xls]B__1992"/>
      <sheetName val="[Spt-BH.xls][Spt-BH_xls]_Sp_654"/>
      <sheetName val="[Spt-BH.xls][Spt-BH.xls]_Sp_695"/>
      <sheetName val="[Spt-BH.xls][Spt-BH.xls]B__1968"/>
      <sheetName val="[Spt-BH.xls][Spt-BH.xls]B__1969"/>
      <sheetName val="[Spt-BH.xls][Spt-BH.xls]B__1970"/>
      <sheetName val="[Spt-BH.xls][Spt-BH.xls]B__1971"/>
      <sheetName val="[Spt-BH.xls][Spt-BH.xls]B__1972"/>
      <sheetName val="[Spt-BH.xls][Spt-BH.xls]B__1973"/>
      <sheetName val="[Spt-BH.xls][Spt-BH.xls]_Sp_696"/>
      <sheetName val="[Spt-BH.xls][Spt-BH.xls]_Sp_697"/>
      <sheetName val="[Spt-BH.xls][Spt-BH.xls]_Sp_698"/>
      <sheetName val="[Spt-BH.xls][Spt-BH.xls]B__1974"/>
      <sheetName val="[Spt-BH.xls][Spt-BH.xls]B__1975"/>
      <sheetName val="[Spt-BH.xls][Spt-BH.xls]B__1976"/>
      <sheetName val="[Spt-BH.xls][Spt-BH.xls]B__1977"/>
      <sheetName val="[Spt-BH.xls][Spt-BH.xls]B__1978"/>
      <sheetName val="[Spt-BH.xls][Spt-BH.xls]B__1979"/>
      <sheetName val="[Spt-BH.xls][Spt-BH.xls]_Sp_699"/>
      <sheetName val="[Spt-BH.xls]B____x005f_x0004______165"/>
      <sheetName val="[Spt-BH.xls]B___x005f_x0000__x000_162"/>
      <sheetName val="[Spt-BH.xls][Spt-BH.xls]B__1980"/>
      <sheetName val="[Spt-BH.xls][Spt-BH_xls]B__1963"/>
      <sheetName val="[Spt-BH.xls][Spt-BH_xls]B__1964"/>
      <sheetName val="[Spt-BH.xls][Spt-BH_xls]B__1965"/>
      <sheetName val="[Spt-BH.xls][Spt-BH_xls]B__1966"/>
      <sheetName val="[Spt-BH.xls][Spt-BH_xls]_Sp_645"/>
      <sheetName val="[Spt-BH.xls][Spt-BH_xls]B__1967"/>
      <sheetName val="[Spt-BH.xls][Spt-BH_xls]B__1968"/>
      <sheetName val="[Spt-BH.xls][Spt-BH_xls]B__1969"/>
      <sheetName val="[Spt-BH.xls][Spt-BH_xls]_Sp_646"/>
      <sheetName val="[Spt-BH.xls][Spt-BH_xls]B__1970"/>
      <sheetName val="[Spt-BH.xls][Spt-BH_xls]B__1971"/>
      <sheetName val="[Spt-BH.xls][Spt-BH_xls]B__1972"/>
      <sheetName val="[Spt-BH.xls][Spt-BH_xls]B__1973"/>
      <sheetName val="[Spt-BH.xls][Spt-BH_xls]_Sp_647"/>
      <sheetName val="[Spt-BH.xls][Spt-BH_xls]B__1974"/>
      <sheetName val="[Spt-BH.xls][Spt-BH_xls]B__1975"/>
      <sheetName val="[Spt-BH.xls][Spt-BH_xls]_Sp_648"/>
      <sheetName val="[Spt-BH.xls][Spt-BH_xls]B__1976"/>
      <sheetName val="[Spt-BH.xls][Spt-BH_xls]B__1977"/>
      <sheetName val="[Spt-BH.xls][Spt-BH_xls]_Sp_649"/>
      <sheetName val="[Spt-BH.xls][Spt-BH.xls]B__2001"/>
      <sheetName val="[Spt-BH.xls][Spt-BH.xls]B__2002"/>
      <sheetName val="[Spt-BH.xls][Spt-BH.xls]_Sp_708"/>
      <sheetName val="[Spt-BH.xls][Spt-BH.xls]B__2003"/>
      <sheetName val="[Spt-BH.xls][Spt-BH.xls]B__2004"/>
      <sheetName val="[Spt-BH.xls][Spt-BH.xls]B__2005"/>
      <sheetName val="[Spt-BH.xls][Spt-BH.xls]B__2006"/>
      <sheetName val="[Spt-BH.xls][Spt-BH.xls]_Sp_707"/>
      <sheetName val="[Spt-BH.xls][Spt-BH.xls]B__2008"/>
      <sheetName val="[Spt-BH.xls][Spt-BH.xls]B__2009"/>
      <sheetName val="[Spt-BH.xls][Spt-BH.xls]_Sp_710"/>
      <sheetName val="[Spt-BH.xls][Spt-BH.xls]B__2010"/>
      <sheetName val="[Spt-BH.xls][Spt-BH.xls]B__2011"/>
      <sheetName val="[Spt-BH.xls]B____x005f_x0004______168"/>
      <sheetName val="[Spt-BH.xls]B___x005f_x0000__x000_165"/>
      <sheetName val="[Spt-BH.xls][Spt-BH.xls]B__2012"/>
      <sheetName val="[Spt-BH.xls][Spt-BH.xls]B__2013"/>
      <sheetName val="[Spt-BH.xls][Spt-BH.xls]B__2007"/>
      <sheetName val="[Spt-BH.xls][Spt-BH.xls]_Sp_709"/>
      <sheetName val="[Spt-BH.xls][Spt-BH_xls]B__2008"/>
      <sheetName val="[Spt-BH.xls][Spt-BH_xls]B__2009"/>
      <sheetName val="[Spt-BH.xls][Spt-BH_xls]B__2010"/>
      <sheetName val="[Spt-BH.xls][Spt-BH_xls]B__2011"/>
      <sheetName val="[Spt-BH.xls][Spt-BH_xls]_Sp_660"/>
      <sheetName val="[Spt-BH.xls][Spt-BH_xls]B__2012"/>
      <sheetName val="[Spt-BH.xls][Spt-BH_xls]B__2013"/>
      <sheetName val="[Spt-BH.xls][Spt-BH_xls]B__2014"/>
      <sheetName val="[Spt-BH.xls][Spt-BH_xls]_Sp_661"/>
      <sheetName val="[Spt-BH.xls][Spt-BH_xls]B__2015"/>
      <sheetName val="[Spt-BH.xls][Spt-BH_xls]B__2016"/>
      <sheetName val="[Spt-BH.xls][Spt-BH_xls]B__2017"/>
      <sheetName val="[Spt-BH.xls][Spt-BH_xls]B__2018"/>
      <sheetName val="[Spt-BH.xls][Spt-BH_xls]_Sp_662"/>
      <sheetName val="[Spt-BH.xls][Spt-BH_xls]B__2019"/>
      <sheetName val="[Spt-BH.xls][Spt-BH_xls]B__2020"/>
      <sheetName val="[Spt-BH.xls][Spt-BH_xls]_Sp_663"/>
      <sheetName val="[Spt-BH.xls][Spt-BH_xls]B__2021"/>
      <sheetName val="[Spt-BH.xls][Spt-BH_xls]B__2022"/>
      <sheetName val="[Spt-BH.xls][Spt-BH_xls]_Sp_664"/>
      <sheetName val="[Spt-BH.xls][Spt-BH.xls]_Sp_704"/>
      <sheetName val="[Spt-BH.xls][Spt-BH.xls]B__1994"/>
      <sheetName val="[Spt-BH.xls][Spt-BH.xls]B__1995"/>
      <sheetName val="[Spt-BH.xls][Spt-BH.xls]B__1996"/>
      <sheetName val="[Spt-BH.xls][Spt-BH.xls]B__1997"/>
      <sheetName val="[Spt-BH.xls][Spt-BH.xls]B__1998"/>
      <sheetName val="[Spt-BH.xls][Spt-BH.xls]B__1999"/>
      <sheetName val="[Spt-BH.xls][Spt-BH.xls]_Sp_705"/>
      <sheetName val="[Spt-BH.xls]B____x005f_x0004______167"/>
      <sheetName val="[Spt-BH.xls]B___x005f_x0000__x000_164"/>
      <sheetName val="[Spt-BH.xls][Spt-BH.xls]B__2000"/>
      <sheetName val="[Spt-BH.xls][Spt-BH_xls]B__1993"/>
      <sheetName val="[Spt-BH.xls][Spt-BH_xls]B__1994"/>
      <sheetName val="[Spt-BH.xls][Spt-BH_xls]B__1995"/>
      <sheetName val="[Spt-BH.xls][Spt-BH_xls]B__1996"/>
      <sheetName val="[Spt-BH.xls][Spt-BH_xls]_Sp_655"/>
      <sheetName val="[Spt-BH.xls][Spt-BH_xls]B__1997"/>
      <sheetName val="[Spt-BH.xls][Spt-BH_xls]B__1998"/>
      <sheetName val="[Spt-BH.xls][Spt-BH_xls]B__1999"/>
      <sheetName val="[Spt-BH.xls][Spt-BH_xls]_Sp_656"/>
      <sheetName val="[Spt-BH.xls][Spt-BH_xls]B__2000"/>
      <sheetName val="[Spt-BH.xls][Spt-BH_xls]B__2001"/>
      <sheetName val="[Spt-BH.xls][Spt-BH_xls]B__2002"/>
      <sheetName val="[Spt-BH.xls][Spt-BH_xls]B__2003"/>
      <sheetName val="[Spt-BH.xls][Spt-BH_xls]_Sp_657"/>
      <sheetName val="[Spt-BH.xls][Spt-BH_xls]B__2004"/>
      <sheetName val="[Spt-BH.xls][Spt-BH_xls]B__2005"/>
      <sheetName val="[Spt-BH.xls][Spt-BH_xls]_Sp_658"/>
      <sheetName val="[Spt-BH.xls][Spt-BH_xls]B__2006"/>
      <sheetName val="[Spt-BH.xls][Spt-BH_xls]B__2007"/>
      <sheetName val="[Spt-BH.xls][Spt-BH_xls]_Sp_659"/>
      <sheetName val="[Spt-BH.xls][Spt-BH.xls]B__2015"/>
      <sheetName val="[Spt-BH.xls][Spt-BH.xls]B__2016"/>
      <sheetName val="[Spt-BH.xls][Spt-BH.xls]_Sp_714"/>
      <sheetName val="[Spt-BH.xls][Spt-BH.xls]B__2017"/>
      <sheetName val="[Spt-BH.xls][Spt-BH.xls]B__2018"/>
      <sheetName val="[Spt-BH.xls]B____x005f_x0004______169"/>
      <sheetName val="[Spt-BH.xls]B___x005f_x0000__x000_166"/>
      <sheetName val="[Spt-BH.xls][Spt-BH.xls]B__2019"/>
      <sheetName val="[Spt-BH.xls][Spt-BH.xls]B__2020"/>
      <sheetName val="[Spt-BH.xls][Spt-BH.xls]B__2014"/>
      <sheetName val="[Spt-BH.xls][Spt-BH.xls]_Sp_711"/>
      <sheetName val="[Spt-BH.xls][Spt-BH_xls]B__2023"/>
      <sheetName val="[Spt-BH.xls][Spt-BH_xls]B__2024"/>
      <sheetName val="[Spt-BH.xls][Spt-BH_xls]B__2025"/>
      <sheetName val="[Spt-BH.xls][Spt-BH_xls]B__2026"/>
      <sheetName val="[Spt-BH.xls][Spt-BH_xls]_Sp_665"/>
      <sheetName val="[Spt-BH.xls][Spt-BH_xls]B__2027"/>
      <sheetName val="[Spt-BH.xls][Spt-BH_xls]B__2028"/>
      <sheetName val="[Spt-BH.xls][Spt-BH_xls]B__2029"/>
      <sheetName val="[Spt-BH.xls][Spt-BH_xls]_Sp_666"/>
      <sheetName val="[Spt-BH.xls][Spt-BH_xls]B__2030"/>
      <sheetName val="[Spt-BH.xls][Spt-BH_xls]B__2031"/>
      <sheetName val="[Spt-BH.xls][Spt-BH_xls]B__2032"/>
      <sheetName val="[Spt-BH.xls][Spt-BH_xls]B__2033"/>
      <sheetName val="[Spt-BH.xls][Spt-BH_xls]_Sp_667"/>
      <sheetName val="[Spt-BH.xls][Spt-BH_xls]B__2034"/>
      <sheetName val="[Spt-BH.xls][Spt-BH_xls]B__2035"/>
      <sheetName val="[Spt-BH.xls][Spt-BH_xls]_Sp_668"/>
      <sheetName val="[Spt-BH.xls][Spt-BH_xls]B__2036"/>
      <sheetName val="[Spt-BH.xls][Spt-BH_xls]B__2037"/>
      <sheetName val="[Spt-BH.xls][Spt-BH_xls]_Sp_669"/>
      <sheetName val="[Spt-BH.xls][Spt-BH.xls]_Sp_712"/>
      <sheetName val="[Spt-BH.xls][Spt-BH.xls]B__2021"/>
      <sheetName val="[Spt-BH.xls][Spt-BH.xls]B__2022"/>
      <sheetName val="[Spt-BH.xls][Spt-BH.xls]B__2023"/>
      <sheetName val="[Spt-BH.xls][Spt-BH.xls]B__2024"/>
      <sheetName val="[Spt-BH.xls][Spt-BH.xls]B__2025"/>
      <sheetName val="[Spt-BH.xls][Spt-BH.xls]B__2026"/>
      <sheetName val="[Spt-BH.xls][Spt-BH.xls]_Sp_713"/>
      <sheetName val="[Spt-BH.xls][Spt-BH.xls]B__2027"/>
      <sheetName val="[Spt-BH.xls][Spt-BH.xls]B__2028"/>
      <sheetName val="[Spt-BH.xls][Spt-BH.xls]B__2029"/>
      <sheetName val="[Spt-BH.xls][Spt-BH.xls]B__2030"/>
      <sheetName val="[Spt-BH.xls][Spt-BH.xls]B__2031"/>
      <sheetName val="[Spt-BH.xls][Spt-BH.xls]B__2032"/>
      <sheetName val="[Spt-BH.xls][Spt-BH.xls]_Sp_715"/>
      <sheetName val="[Spt-BH.xls][Spt-BH.xls]_Sp_720"/>
      <sheetName val="[Spt-BH.xls][Spt-BH.xls]B__2045"/>
      <sheetName val="[Spt-BH.xls][Spt-BH.xls]B__2046"/>
      <sheetName val="[Spt-BH.xls][Spt-BH.xls]_Sp_724"/>
      <sheetName val="[Spt-BH.xls][Spt-BH.xls]B__2047"/>
      <sheetName val="[Spt-BH.xls][Spt-BH.xls]B__2048"/>
      <sheetName val="[Spt-BH.xls][Spt-BH.xls]B__2049"/>
      <sheetName val="[Spt-BH.xls][Spt-BH.xls]B__2050"/>
      <sheetName val="[Spt-BH.xls][Spt-BH.xls]_Sp_721"/>
      <sheetName val="[Spt-BH.xls][Spt-BH.xls]_Sp_718"/>
      <sheetName val="[Spt-BH.xls][Spt-BH.xls]B__2039"/>
      <sheetName val="[Spt-BH.xls][Spt-BH.xls]B__2040"/>
      <sheetName val="[Spt-BH.xls][Spt-BH.xls]B__2041"/>
      <sheetName val="[Spt-BH.xls][Spt-BH.xls]B__2042"/>
      <sheetName val="[Spt-BH.xls][Spt-BH.xls]B__2043"/>
      <sheetName val="[Spt-BH.xls][Spt-BH.xls]B__2044"/>
      <sheetName val="[Spt-BH.xls][Spt-BH.xls]_Sp_719"/>
      <sheetName val="[Spt-BH.xls][Spt-BH.xls]B__2057"/>
      <sheetName val="[Spt-BH.xls][Spt-BH.xls]B__2058"/>
      <sheetName val="[Spt-BH.xls][Spt-BH.xls]B__2059"/>
      <sheetName val="[Spt-BH.xls][Spt-BH.xls]B__2060"/>
      <sheetName val="[Spt-BH.xls][Spt-BH.xls]B__2061"/>
      <sheetName val="[Spt-BH.xls][Spt-BH.xls]B__2062"/>
      <sheetName val="[Spt-BH.xls][Spt-BH.xls]_Sp_725"/>
      <sheetName val="[Spt-BH.xls][Spt-BH.xls]_Sp_722"/>
      <sheetName val="[Spt-BH.xls][Spt-BH.xls]B__2051"/>
      <sheetName val="[Spt-BH.xls][Spt-BH.xls]B__2052"/>
      <sheetName val="[Spt-BH.xls][Spt-BH.xls]B__2053"/>
      <sheetName val="[Spt-BH.xls][Spt-BH.xls]B__2054"/>
      <sheetName val="[Spt-BH.xls][Spt-BH.xls]B__2055"/>
      <sheetName val="[Spt-BH.xls][Spt-BH.xls]B__2056"/>
      <sheetName val="[Spt-BH.xls][Spt-BH.xls]_Sp_723"/>
      <sheetName val="[Spt-BH.xls][Spt-BH.xls]B__2064"/>
      <sheetName val="[Spt-BH.xls][Spt-BH.xls]B__2065"/>
      <sheetName val="[Spt-BH.xls][Spt-BH.xls]_Sp_730"/>
      <sheetName val="[Spt-BH.xls][Spt-BH.xls]B__2066"/>
      <sheetName val="[Spt-BH.xls][Spt-BH.xls]B__2067"/>
      <sheetName val="[Spt-BH.xls]B____x005f_x0004______170"/>
      <sheetName val="[Spt-BH.xls]B___x005f_x0000__x000_167"/>
      <sheetName val="[Spt-BH.xls][Spt-BH.xls]B__2068"/>
      <sheetName val="[Spt-BH.xls][Spt-BH.xls]B__2069"/>
      <sheetName val="[Spt-BH.xls][Spt-BH.xls]B__2063"/>
      <sheetName val="[Spt-BH.xls][Spt-BH.xls]_Sp_727"/>
      <sheetName val="[Spt-BH.xls][Spt-BH_xls]B__2038"/>
      <sheetName val="[Spt-BH.xls][Spt-BH_xls]B__2039"/>
      <sheetName val="[Spt-BH.xls][Spt-BH_xls]B__2040"/>
      <sheetName val="[Spt-BH.xls][Spt-BH_xls]B__2041"/>
      <sheetName val="[Spt-BH.xls][Spt-BH_xls]_Sp_670"/>
      <sheetName val="[Spt-BH.xls][Spt-BH_xls]B__2042"/>
      <sheetName val="[Spt-BH.xls][Spt-BH_xls]B__2043"/>
      <sheetName val="[Spt-BH.xls][Spt-BH_xls]B__2044"/>
      <sheetName val="[Spt-BH.xls][Spt-BH_xls]_Sp_671"/>
      <sheetName val="[Spt-BH.xls][Spt-BH_xls]B__2045"/>
      <sheetName val="[Spt-BH.xls][Spt-BH_xls]B__2046"/>
      <sheetName val="[Spt-BH.xls][Spt-BH_xls]B__2047"/>
      <sheetName val="[Spt-BH.xls][Spt-BH_xls]B__2048"/>
      <sheetName val="[Spt-BH.xls][Spt-BH_xls]_Sp_672"/>
      <sheetName val="[Spt-BH.xls][Spt-BH_xls]B__2049"/>
      <sheetName val="[Spt-BH.xls][Spt-BH_xls]B__2050"/>
      <sheetName val="[Spt-BH.xls][Spt-BH_xls]_Sp_673"/>
      <sheetName val="[Spt-BH.xls][Spt-BH_xls]B__2051"/>
      <sheetName val="[Spt-BH.xls][Spt-BH_xls]B__2052"/>
      <sheetName val="[Spt-BH.xls][Spt-BH_xls]_Sp_674"/>
      <sheetName val="STILT FLOOR"/>
      <sheetName val="BORDGC"/>
      <sheetName val="Cash Flow Working"/>
      <sheetName val="Area Statement"/>
      <sheetName val="Risk Analysis"/>
      <sheetName val="TORRENT CEMENT"/>
      <sheetName val="A"/>
      <sheetName val="TBEAM"/>
      <sheetName val="Direct co_x0006_"/>
      <sheetName val="Intro"/>
      <sheetName val="C1C2"/>
      <sheetName val="LIFE &amp; REP PROVN"/>
      <sheetName val="O&amp;M CREW"/>
      <sheetName val="Fin_Sum7"/>
      <sheetName val="Cost_of_O_&amp;_O7"/>
      <sheetName val="Material_7"/>
      <sheetName val="Labour_&amp;_Plant7"/>
      <sheetName val="pr_cal7"/>
      <sheetName val="TRF_details7"/>
      <sheetName val="Materials_Cost7"/>
      <sheetName val="Abstract_for_Variation8"/>
      <sheetName val="LBD_VARIATION8"/>
      <sheetName val="Fin_Sum8"/>
      <sheetName val="Cost_of_O_&amp;_O8"/>
      <sheetName val="Material_List_8"/>
      <sheetName val="Material_8"/>
      <sheetName val="Labour_&amp;_Plant8"/>
      <sheetName val="pr_cal8"/>
      <sheetName val="TRF_details8"/>
      <sheetName val="Materials_Cost8"/>
      <sheetName val="Inputs_&amp;_Summary_Output9"/>
      <sheetName val="Broad_Refresher_Model9"/>
      <sheetName val="Abstract_for_Variation9"/>
      <sheetName val="LBD_VARIATION9"/>
      <sheetName val="Fin_Sum9"/>
      <sheetName val="Cost_of_O_&amp;_O9"/>
      <sheetName val="Material_List_9"/>
      <sheetName val="Material_9"/>
      <sheetName val="Labour_&amp;_Plant9"/>
      <sheetName val="pr_cal9"/>
      <sheetName val="TRF_details9"/>
      <sheetName val="Materials_Cost9"/>
      <sheetName val="B@__x005f_x005f_x005F"/>
      <sheetName val="cctv_est1"/>
      <sheetName val="wt"/>
      <sheetName val="B@_?_x0004_@?__$_x0"/>
      <sheetName val="Config"/>
      <sheetName val="Break Dw"/>
      <sheetName val="[Spt-BH.xls][Spt-BH.xls]B__2077"/>
      <sheetName val="[Spt-BH.xls][Spt-BH.xls]B__2078"/>
      <sheetName val="[Spt-BH.xls][Spt-BH.xls]_Sp_732"/>
      <sheetName val="[Spt-BH.xls][Spt-BH.xls]B__2079"/>
      <sheetName val="[Spt-BH.xls][Spt-BH.xls]B__2080"/>
      <sheetName val="[Spt-BH.xls][Spt-BH.xls]B__2084"/>
      <sheetName val="[Spt-BH.xls][Spt-BH.xls]B__2085"/>
      <sheetName val="[Spt-BH.xls][Spt-BH.xls]_Sp_734"/>
      <sheetName val="[Spt-BH.xls][Spt-BH.xls]B__2086"/>
      <sheetName val="[Spt-BH.xls][Spt-BH.xls]B__2087"/>
      <sheetName val="[Spt-BH.xls]B____x005f_x0004______172"/>
      <sheetName val="[Spt-BH.xls]B___x005f_x0000__x000_169"/>
      <sheetName val="[Spt-BH.xls][Spt-BH.xls]B__2088"/>
      <sheetName val="[Spt-BH.xls][Spt-BH.xls]B__2089"/>
      <sheetName val="[Spt-BH.xls][Spt-BH.xls]B__2081"/>
      <sheetName val="[Spt-BH.xls][Spt-BH.xls]B__2082"/>
      <sheetName val="[Spt-BH.xls][Spt-BH.xls]B__2083"/>
      <sheetName val="[Spt-BH.xls][Spt-BH.xls]_Sp_731"/>
      <sheetName val="[Spt-BH.xls][Spt-BH.xls]_Sp_733"/>
      <sheetName val="[Spt-BH.xls][Spt-BH_xls]B__2068"/>
      <sheetName val="[Spt-BH.xls][Spt-BH_xls]B__2069"/>
      <sheetName val="[Spt-BH.xls][Spt-BH_xls]B__2070"/>
      <sheetName val="[Spt-BH.xls][Spt-BH_xls]B__2071"/>
      <sheetName val="[Spt-BH.xls][Spt-BH_xls]_Sp_680"/>
      <sheetName val="[Spt-BH.xls][Spt-BH_xls]B__2072"/>
      <sheetName val="[Spt-BH.xls][Spt-BH_xls]B__2073"/>
      <sheetName val="[Spt-BH.xls][Spt-BH_xls]B__2074"/>
      <sheetName val="[Spt-BH.xls][Spt-BH_xls]_Sp_681"/>
      <sheetName val="[Spt-BH.xls][Spt-BH_xls]B__2075"/>
      <sheetName val="[Spt-BH.xls][Spt-BH_xls]B__2076"/>
      <sheetName val="[Spt-BH.xls][Spt-BH_xls]B__2077"/>
      <sheetName val="[Spt-BH.xls][Spt-BH_xls]B__2078"/>
      <sheetName val="[Spt-BH.xls][Spt-BH_xls]_Sp_682"/>
      <sheetName val="[Spt-BH.xls][Spt-BH_xls]B__2079"/>
      <sheetName val="[Spt-BH.xls][Spt-BH_xls]B__2080"/>
      <sheetName val="[Spt-BH.xls][Spt-BH_xls]_Sp_683"/>
      <sheetName val="[Spt-BH.xls][Spt-BH_xls]B__2081"/>
      <sheetName val="[Spt-BH.xls][Spt-BH_xls]B__2082"/>
      <sheetName val="[Spt-BH.xls][Spt-BH_xls]_Sp_684"/>
      <sheetName val="[Spt-BH.xls][Spt-BH.xls]_Sp_728"/>
      <sheetName val="[Spt-BH.xls][Spt-BH.xls]B__2070"/>
      <sheetName val="[Spt-BH.xls][Spt-BH.xls]B__2071"/>
      <sheetName val="[Spt-BH.xls][Spt-BH.xls]B__2072"/>
      <sheetName val="[Spt-BH.xls][Spt-BH.xls]B__2073"/>
      <sheetName val="[Spt-BH.xls]B____x005f_x0004______171"/>
      <sheetName val="[Spt-BH.xls]B___x005f_x0000__x000_168"/>
      <sheetName val="[Spt-BH.xls][Spt-BH.xls]B__2074"/>
      <sheetName val="[Spt-BH.xls][Spt-BH.xls]B__2075"/>
      <sheetName val="[Spt-BH.xls][Spt-BH.xls]B__2076"/>
      <sheetName val="[Spt-BH.xls][Spt-BH.xls]_Sp_729"/>
      <sheetName val="[Spt-BH.xls][Spt-BH_xls]B__2053"/>
      <sheetName val="[Spt-BH.xls][Spt-BH_xls]B__2054"/>
      <sheetName val="[Spt-BH.xls][Spt-BH_xls]B__2055"/>
      <sheetName val="[Spt-BH.xls][Spt-BH_xls]B__2056"/>
      <sheetName val="[Spt-BH.xls][Spt-BH_xls]_Sp_675"/>
      <sheetName val="[Spt-BH.xls][Spt-BH_xls]B__2057"/>
      <sheetName val="[Spt-BH.xls][Spt-BH_xls]B__2058"/>
      <sheetName val="[Spt-BH.xls][Spt-BH_xls]B__2059"/>
      <sheetName val="[Spt-BH.xls][Spt-BH_xls]_Sp_676"/>
      <sheetName val="[Spt-BH.xls][Spt-BH_xls]B__2060"/>
      <sheetName val="[Spt-BH.xls][Spt-BH_xls]B__2061"/>
      <sheetName val="[Spt-BH.xls][Spt-BH_xls]B__2062"/>
      <sheetName val="[Spt-BH.xls][Spt-BH_xls]B__2063"/>
      <sheetName val="[Spt-BH.xls][Spt-BH_xls]_Sp_677"/>
      <sheetName val="[Spt-BH.xls][Spt-BH_xls]B__2064"/>
      <sheetName val="[Spt-BH.xls][Spt-BH_xls]B__2065"/>
      <sheetName val="[Spt-BH.xls][Spt-BH_xls]_Sp_678"/>
      <sheetName val="[Spt-BH.xls][Spt-BH_xls]B__2066"/>
      <sheetName val="[Spt-BH.xls][Spt-BH_xls]B__2067"/>
      <sheetName val="[Spt-BH.xls][Spt-BH_xls]_Sp_679"/>
      <sheetName val="[Spt-BH.xls][Spt-BH.xls]_Sp_737"/>
      <sheetName val="[Spt-BH.xls][Spt-BH.xls]B__2097"/>
      <sheetName val="[Spt-BH.xls][Spt-BH.xls]B__2098"/>
      <sheetName val="[Spt-BH.xls][Spt-BH.xls]B__2099"/>
      <sheetName val="[Spt-BH.xls][Spt-BH.xls]B__2100"/>
      <sheetName val="[Spt-BH.xls][Spt-BH.xls]B__2101"/>
      <sheetName val="[Spt-BH.xls][Spt-BH.xls]B__2102"/>
      <sheetName val="[Spt-BH.xls][Spt-BH.xls]_Sp_738"/>
      <sheetName val="[Spt-BH.xls][Spt-BH.xls]_Sp_741"/>
      <sheetName val="[Spt-BH.xls][Spt-BH.xls]_Sp_742"/>
      <sheetName val="[Spt-BH.xls]B____x005f_x0004______174"/>
      <sheetName val="[Spt-BH.xls]B___x005f_x0000__x000_171"/>
      <sheetName val="[Spt-BH.xls][Spt-BH.xls]B__2109"/>
      <sheetName val="[Spt-BH.xls][Spt-BH_xls]B__2098"/>
      <sheetName val="[Spt-BH.xls][Spt-BH_xls]B__2099"/>
      <sheetName val="[Spt-BH.xls][Spt-BH_xls]B__2100"/>
      <sheetName val="[Spt-BH.xls][Spt-BH_xls]B__2101"/>
      <sheetName val="[Spt-BH.xls][Spt-BH_xls]_Sp_690"/>
      <sheetName val="[Spt-BH.xls][Spt-BH_xls]B__2102"/>
      <sheetName val="[Spt-BH.xls][Spt-BH_xls]B__2103"/>
      <sheetName val="[Spt-BH.xls][Spt-BH_xls]B__2104"/>
      <sheetName val="[Spt-BH.xls][Spt-BH_xls]_Sp_691"/>
      <sheetName val="[Spt-BH.xls][Spt-BH_xls]B__2105"/>
      <sheetName val="[Spt-BH.xls][Spt-BH_xls]B__2106"/>
      <sheetName val="[Spt-BH.xls][Spt-BH_xls]B__2107"/>
      <sheetName val="[Spt-BH.xls][Spt-BH_xls]B__2108"/>
      <sheetName val="[Spt-BH.xls][Spt-BH_xls]_Sp_692"/>
      <sheetName val="[Spt-BH.xls][Spt-BH_xls]B__2109"/>
      <sheetName val="[Spt-BH.xls][Spt-BH_xls]B__2110"/>
      <sheetName val="[Spt-BH.xls][Spt-BH_xls]_Sp_693"/>
      <sheetName val="[Spt-BH.xls][Spt-BH_xls]B__2111"/>
      <sheetName val="[Spt-BH.xls][Spt-BH_xls]B__2112"/>
      <sheetName val="[Spt-BH.xls][Spt-BH_xls]_Sp_694"/>
      <sheetName val="[Spt-BH.xls][Spt-BH.xls]B__2110"/>
      <sheetName val="[Spt-BH.xls][Spt-BH.xls]B__2111"/>
      <sheetName val="[Spt-BH.xls][Spt-BH.xls]_Sp_747"/>
      <sheetName val="[Spt-BH.xls][Spt-BH.xls]B__2112"/>
      <sheetName val="[Spt-BH.xls][Spt-BH.xls]B__2113"/>
      <sheetName val="[Spt-BH.xls][Spt-BH.xls]B__2124"/>
      <sheetName val="[Spt-BH.xls][Spt-BH.xls]B__2125"/>
      <sheetName val="[Spt-BH.xls][Spt-BH.xls]_Sp_751"/>
      <sheetName val="[Spt-BH.xls][Spt-BH.xls]B__2126"/>
      <sheetName val="[Spt-BH.xls][Spt-BH.xls]B__2127"/>
      <sheetName val="[Spt-BH.xls]B____x005f_x0004______175"/>
      <sheetName val="[Spt-BH.xls]B___x005f_x0000__x000_172"/>
      <sheetName val="[Spt-BH.xls][Spt-BH.xls]B__2128"/>
      <sheetName val="[Spt-BH.xls][Spt-BH.xls]B__2129"/>
      <sheetName val="[Spt-BH.xls][Spt-BH.xls]B__2114"/>
      <sheetName val="[Spt-BH.xls][Spt-BH.xls]B__2115"/>
      <sheetName val="[Spt-BH.xls][Spt-BH.xls]B__2116"/>
      <sheetName val="[Spt-BH.xls][Spt-BH.xls]_Sp_744"/>
      <sheetName val="[Spt-BH.xls][Spt-BH.xls]_Sp_748"/>
      <sheetName val="[Spt-BH.xls][Spt-BH_xls]B__2113"/>
      <sheetName val="[Spt-BH.xls][Spt-BH_xls]B__2114"/>
      <sheetName val="[Spt-BH.xls][Spt-BH_xls]B__2115"/>
      <sheetName val="[Spt-BH.xls][Spt-BH_xls]B__2116"/>
      <sheetName val="[Spt-BH.xls][Spt-BH_xls]_Sp_695"/>
      <sheetName val="[Spt-BH.xls][Spt-BH_xls]B__2117"/>
      <sheetName val="[Spt-BH.xls][Spt-BH_xls]B__2118"/>
      <sheetName val="[Spt-BH.xls][Spt-BH_xls]B__2119"/>
      <sheetName val="[Spt-BH.xls][Spt-BH_xls]_Sp_696"/>
      <sheetName val="[Spt-BH.xls][Spt-BH_xls]B__2120"/>
      <sheetName val="[Spt-BH.xls][Spt-BH_xls]B__2121"/>
      <sheetName val="[Spt-BH.xls][Spt-BH_xls]B__2122"/>
      <sheetName val="[Spt-BH.xls][Spt-BH_xls]B__2123"/>
      <sheetName val="[Spt-BH.xls][Spt-BH_xls]_Sp_697"/>
      <sheetName val="[Spt-BH.xls][Spt-BH_xls]B__2124"/>
      <sheetName val="[Spt-BH.xls][Spt-BH_xls]B__2125"/>
      <sheetName val="[Spt-BH.xls][Spt-BH_xls]_Sp_698"/>
      <sheetName val="[Spt-BH.xls][Spt-BH_xls]B__2126"/>
      <sheetName val="[Spt-BH.xls][Spt-BH_xls]B__2127"/>
      <sheetName val="[Spt-BH.xls][Spt-BH_xls]_Sp_699"/>
      <sheetName val="[Spt-BH.xls][Spt-BH.xls]B__2117"/>
      <sheetName val="[Spt-BH.xls][Spt-BH.xls]B__2118"/>
      <sheetName val="[Spt-BH.xls][Spt-BH.xls]B__2119"/>
      <sheetName val="[Spt-BH.xls][Spt-BH.xls]B__2120"/>
      <sheetName val="[Spt-BH.xls]B____x005f_x0004______176"/>
      <sheetName val="[Spt-BH.xls]B___x005f_x0000__x000_173"/>
      <sheetName val="[Spt-BH.xls][Spt-BH.xls]_Sp_745"/>
      <sheetName val="[Spt-BH.xls][Spt-BH.xls]B__2121"/>
      <sheetName val="[Spt-BH.xls][Spt-BH.xls]B__2122"/>
      <sheetName val="[Spt-BH.xls][Spt-BH.xls]B__2123"/>
      <sheetName val="[Spt-BH.xls][Spt-BH.xls]_Sp_746"/>
      <sheetName val="[Spt-BH.xls][Spt-BH_xls]B__2128"/>
      <sheetName val="[Spt-BH.xls][Spt-BH_xls]B__2129"/>
      <sheetName val="[Spt-BH.xls][Spt-BH_xls]B__2130"/>
      <sheetName val="[Spt-BH.xls][Spt-BH_xls]B__2131"/>
      <sheetName val="[Spt-BH.xls][Spt-BH_xls]_Sp_700"/>
      <sheetName val="[Spt-BH.xls][Spt-BH_xls]B__2132"/>
      <sheetName val="[Spt-BH.xls][Spt-BH_xls]B__2133"/>
      <sheetName val="[Spt-BH.xls][Spt-BH_xls]B__2134"/>
      <sheetName val="[Spt-BH.xls][Spt-BH_xls]_Sp_701"/>
      <sheetName val="[Spt-BH.xls][Spt-BH_xls]B__2135"/>
      <sheetName val="[Spt-BH.xls][Spt-BH_xls]B__2136"/>
      <sheetName val="[Spt-BH.xls][Spt-BH_xls]B__2137"/>
      <sheetName val="[Spt-BH.xls][Spt-BH_xls]B__2138"/>
      <sheetName val="[Spt-BH.xls][Spt-BH_xls]_Sp_702"/>
      <sheetName val="[Spt-BH.xls][Spt-BH_xls]B__2139"/>
      <sheetName val="[Spt-BH.xls][Spt-BH_xls]B__2140"/>
      <sheetName val="[Spt-BH.xls][Spt-BH_xls]_Sp_703"/>
      <sheetName val="[Spt-BH.xls][Spt-BH_xls]B__2141"/>
      <sheetName val="[Spt-BH.xls][Spt-BH_xls]B__2142"/>
      <sheetName val="[Spt-BH.xls][Spt-BH_xls]_Sp_704"/>
      <sheetName val="[Spt-BH.xls][Spt-BH.xls]_Sp_749"/>
      <sheetName val="[Spt-BH.xls][Spt-BH.xls]B__2130"/>
      <sheetName val="[Spt-BH.xls][Spt-BH.xls]B__2131"/>
      <sheetName val="[Spt-BH.xls][Spt-BH.xls]B__2132"/>
      <sheetName val="[Spt-BH.xls][Spt-BH.xls]B__2133"/>
      <sheetName val="[Spt-BH.xls][Spt-BH.xls]B__2134"/>
      <sheetName val="[Spt-BH.xls][Spt-BH.xls]B__2135"/>
      <sheetName val="[Spt-BH.xls][Spt-BH.xls]_Sp_750"/>
      <sheetName val="[Spt-BH.xls][Spt-BH.xls]B__2137"/>
      <sheetName val="[Spt-BH.xls][Spt-BH.xls]B__2138"/>
      <sheetName val="[Spt-BH.xls][Spt-BH.xls]_Sp_753"/>
      <sheetName val="[Spt-BH.xls][Spt-BH.xls]B__2139"/>
      <sheetName val="[Spt-BH.xls][Spt-BH.xls]B__2140"/>
      <sheetName val="[Spt-BH.xls]B____x005f_x0004______177"/>
      <sheetName val="[Spt-BH.xls]B___x005f_x0000__x000_174"/>
      <sheetName val="[Spt-BH.xls][Spt-BH.xls]B__2141"/>
      <sheetName val="[Spt-BH.xls][Spt-BH.xls]B__2142"/>
      <sheetName val="[Spt-BH.xls][Spt-BH.xls]B__2136"/>
      <sheetName val="[Spt-BH.xls][Spt-BH.xls]_Sp_752"/>
      <sheetName val="[Spt-BH.xls][Spt-BH_xls]B__2143"/>
      <sheetName val="[Spt-BH.xls][Spt-BH_xls]B__2144"/>
      <sheetName val="[Spt-BH.xls][Spt-BH_xls]B__2145"/>
      <sheetName val="[Spt-BH.xls][Spt-BH_xls]B__2146"/>
      <sheetName val="[Spt-BH.xls][Spt-BH_xls]_Sp_705"/>
      <sheetName val="[Spt-BH.xls][Spt-BH_xls]B__2147"/>
      <sheetName val="[Spt-BH.xls][Spt-BH_xls]B__2148"/>
      <sheetName val="[Spt-BH.xls][Spt-BH_xls]B__2149"/>
      <sheetName val="[Spt-BH.xls][Spt-BH_xls]_Sp_706"/>
      <sheetName val="[Spt-BH.xls][Spt-BH_xls]B__2150"/>
      <sheetName val="[Spt-BH.xls][Spt-BH_xls]B__2151"/>
      <sheetName val="[Spt-BH.xls][Spt-BH_xls]B__2152"/>
      <sheetName val="[Spt-BH.xls][Spt-BH_xls]B__2153"/>
      <sheetName val="[Spt-BH.xls][Spt-BH_xls]_Sp_707"/>
      <sheetName val="[Spt-BH.xls][Spt-BH_xls]B__2154"/>
      <sheetName val="[Spt-BH.xls][Spt-BH_xls]B__2155"/>
      <sheetName val="[Spt-BH.xls][Spt-BH_xls]_Sp_708"/>
      <sheetName val="[Spt-BH.xls][Spt-BH_xls]B__2156"/>
      <sheetName val="[Spt-BH.xls][Spt-BH_xls]B__2157"/>
      <sheetName val="[Spt-BH.xls][Spt-BH_xls]_Sp_709"/>
      <sheetName val="[Spt-BH.xls][Spt-BH.xls]B__2143"/>
      <sheetName val="[Spt-BH.xls][Spt-BH.xls]B__2144"/>
      <sheetName val="[Spt-BH.xls][Spt-BH.xls]B__2145"/>
      <sheetName val="[Spt-BH.xls][Spt-BH.xls]B__2146"/>
      <sheetName val="[Spt-BH.xls][Spt-BH.xls]B__2147"/>
      <sheetName val="[Spt-BH.xls][Spt-BH.xls]B__2148"/>
      <sheetName val="[Spt-BH.xls][Spt-BH.xls]_Sp_754"/>
      <sheetName val="[Spt-BH.xls][Spt-BH.xls]B__2185"/>
      <sheetName val="[Spt-BH.xls][Spt-BH.xls]B__2186"/>
      <sheetName val="[Spt-BH.xls][Spt-BH.xls]B__2187"/>
      <sheetName val="[Spt-BH.xls][Spt-BH.xls]B__2188"/>
      <sheetName val="[Spt-BH.xls][Spt-BH.xls]B__2189"/>
      <sheetName val="[Spt-BH.xls][Spt-BH.xls]_Sp_762"/>
      <sheetName val="[Spt-BH.xls][Spt-BH.xls]B__2190"/>
      <sheetName val="[Spt-BH.xls][Spt-BH.xls]B__2155"/>
      <sheetName val="[Spt-BH.xls][Spt-BH.xls]B__2156"/>
      <sheetName val="[Spt-BH.xls][Spt-BH.xls]B__2157"/>
      <sheetName val="[Spt-BH.xls][Spt-BH.xls]B__2158"/>
      <sheetName val="[Spt-BH.xls][Spt-BH.xls]B__2159"/>
      <sheetName val="[Spt-BH.xls][Spt-BH.xls]_Sp_757"/>
      <sheetName val="[Spt-BH.xls][Spt-BH.xls]B__2160"/>
      <sheetName val="[Spt-BH.xls][Spt-BH.xls]B__2161"/>
      <sheetName val="[Spt-BH.xls][Spt-BH.xls]B__2162"/>
      <sheetName val="[Spt-BH.xls][Spt-BH.xls]B__2163"/>
      <sheetName val="[Spt-BH.xls][Spt-BH.xls]B__2164"/>
      <sheetName val="[Spt-BH.xls][Spt-BH.xls]B__2165"/>
      <sheetName val="[Spt-BH.xls][Spt-BH.xls]_Sp_758"/>
      <sheetName val="[Spt-BH.xls][Spt-BH.xls]B__2166"/>
      <sheetName val="[Spt-BH.xls][Spt-BH.xls]B__2167"/>
      <sheetName val="[Spt-BH.xls][Spt-BH.xls]B__2168"/>
      <sheetName val="[Spt-BH.xls][Spt-BH.xls]B__2169"/>
      <sheetName val="[Spt-BH.xls][Spt-BH.xls]B__2170"/>
      <sheetName val="[Spt-BH.xls][Spt-BH.xls]B__2171"/>
      <sheetName val="[Spt-BH.xls][Spt-BH.xls]_Sp_759"/>
      <sheetName val="[Spt-BH.xls][Spt-BH.xls]B__2172"/>
      <sheetName val="[Spt-BH.xls][Spt-BH.xls]B__2173"/>
      <sheetName val="[Spt-BH.xls][Spt-BH.xls]B__2174"/>
      <sheetName val="[Spt-BH.xls][Spt-BH.xls]B__2175"/>
      <sheetName val="[Spt-BH.xls][Spt-BH.xls]B__2176"/>
      <sheetName val="[Spt-BH.xls][Spt-BH.xls]B__2177"/>
      <sheetName val="[Spt-BH.xls][Spt-BH.xls]_Sp_760"/>
      <sheetName val="[Spt-BH.xls][Spt-BH.xls]B__2178"/>
      <sheetName val="[Spt-BH.xls][Spt-BH.xls]B__2179"/>
      <sheetName val="[Spt-BH.xls][Spt-BH.xls]B__2180"/>
      <sheetName val="[Spt-BH.xls][Spt-BH.xls]B__2181"/>
      <sheetName val="[Spt-BH.xls][Spt-BH.xls]B__2182"/>
      <sheetName val="[Spt-BH.xls][Spt-BH.xls]B__2183"/>
      <sheetName val="[Spt-BH.xls][Spt-BH.xls]_Sp_761"/>
      <sheetName val="[Spt-BH.xls][Spt-BH.xls]B__2184"/>
      <sheetName val="[Spt-BH.xls][Spt-BH.xls]B__2217"/>
      <sheetName val="[Spt-BH.xls][Spt-BH.xls]B__2218"/>
      <sheetName val="[Spt-BH.xls][Spt-BH.xls]_Sp_776"/>
      <sheetName val="[Spt-BH.xls][Spt-BH.xls]B__2219"/>
      <sheetName val="[Spt-BH.xls][Spt-BH.xls]B__2220"/>
      <sheetName val="[Spt-BH.xls]B____x005f_x0004______179"/>
      <sheetName val="[Spt-BH.xls]B___x005f_x0000__x000_176"/>
      <sheetName val="[Spt-BH.xls][Spt-BH.xls]B__2221"/>
      <sheetName val="[Spt-BH.xls][Spt-BH.xls]B__2222"/>
      <sheetName val="[Spt-BH.xls][Spt-BH.xls]B__2204"/>
      <sheetName val="[Spt-BH.xls][Spt-BH.xls]_Sp_775"/>
      <sheetName val="[Spt-BH.xls][Spt-BH_xls]B__2173"/>
      <sheetName val="[Spt-BH.xls][Spt-BH_xls]B__2174"/>
      <sheetName val="[Spt-BH.xls][Spt-BH_xls]B__2175"/>
      <sheetName val="[Spt-BH.xls][Spt-BH_xls]B__2176"/>
      <sheetName val="[Spt-BH.xls][Spt-BH_xls]_Sp_715"/>
      <sheetName val="[Spt-BH.xls][Spt-BH_xls]B__2177"/>
      <sheetName val="[Spt-BH.xls][Spt-BH_xls]B__2178"/>
      <sheetName val="[Spt-BH.xls][Spt-BH_xls]B__2179"/>
      <sheetName val="[Spt-BH.xls][Spt-BH_xls]_Sp_716"/>
      <sheetName val="[Spt-BH.xls][Spt-BH_xls]B__2180"/>
      <sheetName val="[Spt-BH.xls][Spt-BH_xls]B__2181"/>
      <sheetName val="[Spt-BH.xls][Spt-BH_xls]B__2182"/>
      <sheetName val="[Spt-BH.xls][Spt-BH_xls]B__2183"/>
      <sheetName val="[Spt-BH.xls][Spt-BH_xls]_Sp_717"/>
      <sheetName val="[Spt-BH.xls][Spt-BH_xls]B__2184"/>
      <sheetName val="[Spt-BH.xls][Spt-BH_xls]B__2185"/>
      <sheetName val="[Spt-BH.xls][Spt-BH_xls]_Sp_718"/>
      <sheetName val="[Spt-BH.xls][Spt-BH_xls]B__2186"/>
      <sheetName val="[Spt-BH.xls][Spt-BH_xls]B__2187"/>
      <sheetName val="[Spt-BH.xls][Spt-BH_xls]_Sp_719"/>
      <sheetName val="[Spt-BH.xls][Spt-BH.xls]_Sp_767"/>
      <sheetName val="[Spt-BH.xls][Spt-BH.xls]B__2205"/>
      <sheetName val="[Spt-BH.xls][Spt-BH.xls]B__2206"/>
      <sheetName val="[Spt-BH.xls][Spt-BH.xls]B__2207"/>
      <sheetName val="[Spt-BH.xls][Spt-BH.xls]B__2208"/>
      <sheetName val="[Spt-BH.xls][Spt-BH.xls]B__2209"/>
      <sheetName val="[Spt-BH.xls][Spt-BH.xls]B__2210"/>
      <sheetName val="[Spt-BH.xls][Spt-BH.xls]_Sp_768"/>
      <sheetName val="[Spt-BH.xls][Spt-BH.xls]_Sp_769"/>
      <sheetName val="[Spt-BH.xls][Spt-BH.xls]B__2211"/>
      <sheetName val="[Spt-BH.xls][Spt-BH.xls]B__2212"/>
      <sheetName val="[Spt-BH.xls][Spt-BH.xls]B__2213"/>
      <sheetName val="[Spt-BH.xls][Spt-BH.xls]B__2214"/>
      <sheetName val="[Spt-BH.xls][Spt-BH.xls]B__2215"/>
      <sheetName val="[Spt-BH.xls][Spt-BH.xls]B__2216"/>
      <sheetName val="[Spt-BH.xls][Spt-BH.xls]_Sp_770"/>
      <sheetName val="[Spt-BH.xls][Spt-BH.xls]_Sp_771"/>
      <sheetName val="[Spt-BH.xls][Spt-BH.xls]_Sp_772"/>
      <sheetName val="[Spt-BH.xls][Spt-BH.xls]_Sp_773"/>
      <sheetName val="[Spt-BH.xls][Spt-BH.xls]_Sp_777"/>
      <sheetName val="[Spt-BH.xls][Spt-BH.xls]B__2224"/>
      <sheetName val="[Spt-BH.xls][Spt-BH.xls]B__2225"/>
      <sheetName val="[Spt-BH.xls][Spt-BH.xls]_Sp_779"/>
      <sheetName val="[Spt-BH.xls][Spt-BH.xls]B__2226"/>
      <sheetName val="[Spt-BH.xls][Spt-BH.xls]B__2227"/>
      <sheetName val="[Spt-BH.xls]B____x005f_x0004______180"/>
      <sheetName val="[Spt-BH.xls]B___x005f_x0000__x000_177"/>
      <sheetName val="[Spt-BH.xls][Spt-BH.xls]B__2228"/>
      <sheetName val="[Spt-BH.xls][Spt-BH.xls]B__2229"/>
      <sheetName val="[Spt-BH.xls][Spt-BH.xls]B__2223"/>
      <sheetName val="[Spt-BH.xls][Spt-BH.xls]_Sp_778"/>
      <sheetName val="[Spt-BH.xls][Spt-BH_xls]B__2188"/>
      <sheetName val="[Spt-BH.xls][Spt-BH_xls]B__2189"/>
      <sheetName val="[Spt-BH.xls][Spt-BH_xls]B__2190"/>
      <sheetName val="[Spt-BH.xls][Spt-BH_xls]B__2191"/>
      <sheetName val="[Spt-BH.xls][Spt-BH_xls]_Sp_720"/>
      <sheetName val="[Spt-BH.xls][Spt-BH_xls]B__2192"/>
      <sheetName val="[Spt-BH.xls][Spt-BH_xls]B__2193"/>
      <sheetName val="[Spt-BH.xls][Spt-BH_xls]B__2194"/>
      <sheetName val="[Spt-BH.xls][Spt-BH_xls]_Sp_721"/>
      <sheetName val="[Spt-BH.xls][Spt-BH_xls]B__2195"/>
      <sheetName val="[Spt-BH.xls][Spt-BH_xls]B__2196"/>
      <sheetName val="[Spt-BH.xls][Spt-BH_xls]B__2197"/>
      <sheetName val="[Spt-BH.xls][Spt-BH_xls]B__2198"/>
      <sheetName val="[Spt-BH.xls][Spt-BH_xls]_Sp_722"/>
      <sheetName val="[Spt-BH.xls][Spt-BH_xls]B__2199"/>
      <sheetName val="[Spt-BH.xls][Spt-BH_xls]B__2200"/>
      <sheetName val="[Spt-BH.xls][Spt-BH_xls]_Sp_723"/>
      <sheetName val="[Spt-BH.xls][Spt-BH_xls]B__2201"/>
      <sheetName val="[Spt-BH.xls][Spt-BH_xls]B__2202"/>
      <sheetName val="[Spt-BH.xls][Spt-BH_xls]_Sp_724"/>
      <sheetName val="[Spt-BH.xls][Spt-BH.xls]_Sp_780"/>
      <sheetName val="[Spt-BH.xls][Spt-BH.xls]B__2230"/>
      <sheetName val="[Spt-BH.xls][Spt-BH.xls]B__2231"/>
      <sheetName val="[Spt-BH.xls][Spt-BH.xls]_Sp_782"/>
      <sheetName val="[Spt-BH.xls][Spt-BH.xls]B__2232"/>
      <sheetName val="[Spt-BH.xls][Spt-BH.xls]B__2233"/>
      <sheetName val="[Spt-BH.xls][Spt-BH.xls]B__2234"/>
      <sheetName val="[Spt-BH.xls][Spt-BH.xls]B__2235"/>
      <sheetName val="[Spt-BH.xls][Spt-BH.xls]_Sp_781"/>
      <sheetName val="[Spt-BH.xls][Spt-BH.xls]B__2237"/>
      <sheetName val="[Spt-BH.xls][Spt-BH.xls]B__2238"/>
      <sheetName val="[Spt-BH.xls][Spt-BH.xls]_Sp_784"/>
      <sheetName val="[Spt-BH.xls][Spt-BH.xls]B__2239"/>
      <sheetName val="[Spt-BH.xls][Spt-BH.xls]B__2240"/>
      <sheetName val="[Spt-BH.xls]B____x005f_x0004______181"/>
      <sheetName val="[Spt-BH.xls]B___x005f_x0000__x000_178"/>
      <sheetName val="[Spt-BH.xls][Spt-BH.xls]B__2241"/>
      <sheetName val="[Spt-BH.xls][Spt-BH.xls]B__2242"/>
      <sheetName val="[Spt-BH.xls][Spt-BH.xls]B__2236"/>
      <sheetName val="[Spt-BH.xls][Spt-BH.xls]_Sp_783"/>
      <sheetName val="[Spt-BH.xls][Spt-BH_xls]B__2203"/>
      <sheetName val="[Spt-BH.xls][Spt-BH_xls]B__2204"/>
      <sheetName val="[Spt-BH.xls][Spt-BH_xls]B__2205"/>
      <sheetName val="[Spt-BH.xls][Spt-BH_xls]B__2206"/>
      <sheetName val="[Spt-BH.xls][Spt-BH_xls]_Sp_725"/>
      <sheetName val="[Spt-BH.xls][Spt-BH_xls]B__2207"/>
      <sheetName val="[Spt-BH.xls][Spt-BH_xls]B__2208"/>
      <sheetName val="[Spt-BH.xls][Spt-BH_xls]B__2209"/>
      <sheetName val="[Spt-BH.xls][Spt-BH_xls]_Sp_726"/>
      <sheetName val="[Spt-BH.xls][Spt-BH_xls]B__2210"/>
      <sheetName val="[Spt-BH.xls][Spt-BH_xls]B__2211"/>
      <sheetName val="[Spt-BH.xls][Spt-BH_xls]B__2212"/>
      <sheetName val="[Spt-BH.xls][Spt-BH_xls]B__2213"/>
      <sheetName val="[Spt-BH.xls][Spt-BH_xls]_Sp_727"/>
      <sheetName val="[Spt-BH.xls][Spt-BH_xls]B__2214"/>
      <sheetName val="[Spt-BH.xls][Spt-BH_xls]B__2215"/>
      <sheetName val="[Spt-BH.xls][Spt-BH_xls]_Sp_728"/>
      <sheetName val="[Spt-BH.xls][Spt-BH_xls]B__2216"/>
      <sheetName val="[Spt-BH.xls][Spt-BH_xls]B__2217"/>
      <sheetName val="[Spt-BH.xls][Spt-BH_xls]_Sp_729"/>
      <sheetName val="[Spt-BH.xls][Spt-BH.xls]B__2243"/>
      <sheetName val="[Spt-BH.xls][Spt-BH.xls]B__2244"/>
      <sheetName val="[Spt-BH.xls][Spt-BH.xls]_Sp_787"/>
      <sheetName val="[Spt-BH.xls][Spt-BH.xls]B__2245"/>
      <sheetName val="[Spt-BH.xls][Spt-BH.xls]B__2246"/>
      <sheetName val="[Spt-BH.xls][Spt-BH.xls]B__2247"/>
      <sheetName val="[Spt-BH.xls][Spt-BH.xls]B__2248"/>
      <sheetName val="[Spt-BH.xls][Spt-BH.xls]_Sp_785"/>
      <sheetName val="[Spt-BH.xls][Spt-BH.xls]_Sp_786"/>
      <sheetName val="[Spt-BH.xls][Spt-BH.xls]_Sp_788"/>
      <sheetName val="[Spt-BH.xls][Spt-BH.xls]B__2249"/>
      <sheetName val="[Spt-BH.xls][Spt-BH.xls]B__2250"/>
      <sheetName val="[Spt-BH.xls][Spt-BH.xls]_Sp_790"/>
      <sheetName val="[Spt-BH.xls][Spt-BH.xls]B__2251"/>
      <sheetName val="[Spt-BH.xls][Spt-BH.xls]B__2252"/>
      <sheetName val="[Spt-BH.xls][Spt-BH.xls]B__2253"/>
      <sheetName val="[Spt-BH.xls][Spt-BH.xls]B__2254"/>
      <sheetName val="[Spt-BH.xls][Spt-BH.xls]_Sp_789"/>
      <sheetName val="[Spt-BH.xls][Spt-BH.xls]_Sp_791"/>
      <sheetName val="[Spt-BH.xls][Spt-BH.xls]_Sp_793"/>
      <sheetName val="[Spt-BH.xls][Spt-BH.xls]_Sp_792"/>
      <sheetName val="[Spt-BH.xls][Spt-BH.xls]B__2255"/>
      <sheetName val="[Spt-BH.xls][Spt-BH.xls]B__2256"/>
      <sheetName val="[Spt-BH.xls][Spt-BH.xls]_Sp_796"/>
      <sheetName val="[Spt-BH.xls][Spt-BH.xls]B__2257"/>
      <sheetName val="[Spt-BH.xls][Spt-BH.xls]B__2258"/>
      <sheetName val="[Spt-BH.xls][Spt-BH.xls]B__2259"/>
      <sheetName val="[Spt-BH.xls][Spt-BH.xls]_Sp_794"/>
      <sheetName val="[Spt-BH.xls][Spt-BH.xls]B__2260"/>
      <sheetName val="[Spt-BH.xls][Spt-BH.xls]_Sp_795"/>
      <sheetName val="[Spt-BH.xls][Spt-BH.xls]B__2262"/>
      <sheetName val="[Spt-BH.xls][Spt-BH.xls]B__2263"/>
      <sheetName val="[Spt-BH.xls][Spt-BH.xls]_Sp_811"/>
      <sheetName val="[Spt-BH.xls][Spt-BH.xls]B__2264"/>
      <sheetName val="[Spt-BH.xls][Spt-BH.xls]B__2265"/>
      <sheetName val="[Spt-BH.xls]B____x005f_x0004______182"/>
      <sheetName val="[Spt-BH.xls]B___x005f_x0000__x000_179"/>
      <sheetName val="[Spt-BH.xls][Spt-BH.xls]B__2266"/>
      <sheetName val="[Spt-BH.xls][Spt-BH.xls]B__2267"/>
      <sheetName val="[Spt-BH.xls][Spt-BH.xls]B__2261"/>
      <sheetName val="[Spt-BH.xls][Spt-BH.xls]_Sp_797"/>
      <sheetName val="[Spt-BH.xls][Spt-BH.xls]B__2302"/>
      <sheetName val="[Spt-BH.xls][Spt-BH.xls]B__2303"/>
      <sheetName val="[Spt-BH.xls][Spt-BH.xls]_Sp_813"/>
      <sheetName val="[Spt-BH.xls][Spt-BH.xls]B__2304"/>
      <sheetName val="[Spt-BH.xls][Spt-BH.xls]B__2305"/>
      <sheetName val="[Spt-BH.xls]B____x005f_x0004______183"/>
      <sheetName val="[Spt-BH.xls]B___x005f_x0000__x000_180"/>
      <sheetName val="[Spt-BH.xls][Spt-BH.xls]B__2306"/>
      <sheetName val="[Spt-BH.xls][Spt-BH.xls]B__2307"/>
      <sheetName val="[Spt-BH.xls][Spt-BH.xls]B__2268"/>
      <sheetName val="[Spt-BH.xls][Spt-BH.xls]_Sp_812"/>
      <sheetName val="[Spt-BH.xls][Spt-BH_xls]B__2218"/>
      <sheetName val="[Spt-BH.xls][Spt-BH_xls]B__2219"/>
      <sheetName val="[Spt-BH.xls][Spt-BH_xls]B__2220"/>
      <sheetName val="[Spt-BH.xls][Spt-BH_xls]B__2221"/>
      <sheetName val="[Spt-BH.xls][Spt-BH_xls]_Sp_730"/>
      <sheetName val="[Spt-BH.xls][Spt-BH_xls]B__2222"/>
      <sheetName val="[Spt-BH.xls][Spt-BH_xls]B__2223"/>
      <sheetName val="[Spt-BH.xls][Spt-BH_xls]B__2224"/>
      <sheetName val="[Spt-BH.xls][Spt-BH_xls]_Sp_731"/>
      <sheetName val="[Spt-BH.xls][Spt-BH_xls]B__2225"/>
      <sheetName val="[Spt-BH.xls][Spt-BH_xls]B__2226"/>
      <sheetName val="[Spt-BH.xls][Spt-BH_xls]B__2227"/>
      <sheetName val="[Spt-BH.xls][Spt-BH_xls]B__2228"/>
      <sheetName val="[Spt-BH.xls][Spt-BH_xls]_Sp_732"/>
      <sheetName val="[Spt-BH.xls][Spt-BH_xls]B__2229"/>
      <sheetName val="[Spt-BH.xls][Spt-BH_xls]B__2230"/>
      <sheetName val="[Spt-BH.xls][Spt-BH_xls]_Sp_733"/>
      <sheetName val="[Spt-BH.xls][Spt-BH_xls]B__2231"/>
      <sheetName val="[Spt-BH.xls][Spt-BH_xls]B__2232"/>
      <sheetName val="[Spt-BH.xls][Spt-BH_xls]_Sp_734"/>
      <sheetName val="[Spt-BH.xls][Spt-BH.xls]_Sp_801"/>
      <sheetName val="[Spt-BH.xls][Spt-BH.xls]B__2275"/>
      <sheetName val="[Spt-BH.xls][Spt-BH.xls]B__2276"/>
      <sheetName val="[Spt-BH.xls][Spt-BH.xls]_Sp_805"/>
      <sheetName val="[Spt-BH.xls][Spt-BH.xls]B__2277"/>
      <sheetName val="[Spt-BH.xls][Spt-BH.xls]B__2278"/>
      <sheetName val="[Spt-BH.xls][Spt-BH.xls]B__2279"/>
      <sheetName val="[Spt-BH.xls][Spt-BH.xls]B__2280"/>
      <sheetName val="[Spt-BH.xls][Spt-BH.xls]_Sp_802"/>
      <sheetName val="[Spt-BH.xls][Spt-BH.xls]_Sp_798"/>
      <sheetName val="[Spt-BH.xls][Spt-BH.xls]B__2269"/>
      <sheetName val="[Spt-BH.xls][Spt-BH.xls]B__2270"/>
      <sheetName val="[Spt-BH.xls][Spt-BH.xls]_Sp_800"/>
      <sheetName val="[Spt-BH.xls][Spt-BH.xls]B__2271"/>
      <sheetName val="[Spt-BH.xls][Spt-BH.xls]B__2272"/>
      <sheetName val="[Spt-BH.xls][Spt-BH.xls]B__2273"/>
      <sheetName val="[Spt-BH.xls][Spt-BH.xls]B__2274"/>
      <sheetName val="[Spt-BH.xls][Spt-BH.xls]_Sp_799"/>
      <sheetName val="[Spt-BH.xls][Spt-BH.xls]B__2288"/>
      <sheetName val="[Spt-BH.xls][Spt-BH.xls]B__2289"/>
      <sheetName val="[Spt-BH.xls][Spt-BH.xls]_Sp_807"/>
      <sheetName val="[Spt-BH.xls][Spt-BH.xls]B__2290"/>
      <sheetName val="[Spt-BH.xls][Spt-BH.xls]B__2291"/>
      <sheetName val="[Spt-BH.xls]B____x005f_x0004______184"/>
      <sheetName val="[Spt-BH.xls]B___x005f_x0000__x000_181"/>
      <sheetName val="[Spt-BH.xls][Spt-BH.xls]B__2292"/>
      <sheetName val="[Spt-BH.xls][Spt-BH.xls]B__2293"/>
      <sheetName val="[Spt-BH.xls][Spt-BH.xls]B__2281"/>
      <sheetName val="[Spt-BH.xls][Spt-BH.xls]_Sp_806"/>
      <sheetName val="[Spt-BH.xls][Spt-BH_xls]B__2233"/>
      <sheetName val="[Spt-BH.xls][Spt-BH_xls]B__2234"/>
      <sheetName val="[Spt-BH.xls][Spt-BH_xls]B__2235"/>
      <sheetName val="[Spt-BH.xls][Spt-BH_xls]B__2236"/>
      <sheetName val="[Spt-BH.xls][Spt-BH_xls]_Sp_735"/>
      <sheetName val="[Spt-BH.xls][Spt-BH_xls]B__2237"/>
      <sheetName val="[Spt-BH.xls][Spt-BH_xls]B__2238"/>
      <sheetName val="[Spt-BH.xls][Spt-BH_xls]B__2239"/>
      <sheetName val="[Spt-BH.xls][Spt-BH_xls]_Sp_736"/>
      <sheetName val="[Spt-BH.xls][Spt-BH_xls]B__2240"/>
      <sheetName val="[Spt-BH.xls][Spt-BH_xls]B__2241"/>
      <sheetName val="[Spt-BH.xls][Spt-BH_xls]B__2242"/>
      <sheetName val="[Spt-BH.xls][Spt-BH_xls]B__2243"/>
      <sheetName val="[Spt-BH.xls][Spt-BH_xls]_Sp_737"/>
      <sheetName val="[Spt-BH.xls][Spt-BH_xls]B__2244"/>
      <sheetName val="[Spt-BH.xls][Spt-BH_xls]B__2245"/>
      <sheetName val="[Spt-BH.xls][Spt-BH_xls]_Sp_738"/>
      <sheetName val="[Spt-BH.xls][Spt-BH_xls]B__2246"/>
      <sheetName val="[Spt-BH.xls][Spt-BH_xls]B__2247"/>
      <sheetName val="[Spt-BH.xls][Spt-BH_xls]_Sp_739"/>
      <sheetName val="[Spt-BH.xls][Spt-BH.xls]_Sp_803"/>
      <sheetName val="[Spt-BH.xls][Spt-BH.xls]B__2282"/>
      <sheetName val="[Spt-BH.xls][Spt-BH.xls]B__2283"/>
      <sheetName val="[Spt-BH.xls][Spt-BH.xls]B__2284"/>
      <sheetName val="[Spt-BH.xls][Spt-BH.xls]B__2285"/>
      <sheetName val="[Spt-BH.xls][Spt-BH.xls]B__2286"/>
      <sheetName val="[Spt-BH.xls][Spt-BH.xls]B__2287"/>
      <sheetName val="[Spt-BH.xls][Spt-BH.xls]_Sp_804"/>
      <sheetName val="[Spt-BH.xls][Spt-BH.xls]_Sp_810"/>
      <sheetName val="[Spt-BH.xls][Spt-BH.xls]B__2298"/>
      <sheetName val="[Spt-BH.xls][Spt-BH.xls]B__2299"/>
      <sheetName val="[Spt-BH.xls][Spt-BH.xls]B__2300"/>
      <sheetName val="[Spt-BH.xls][Spt-BH.xls]B__2301"/>
      <sheetName val="[Spt-BH.xls][Spt-BH.xls]_Sp_808"/>
      <sheetName val="[Spt-BH.xls][Spt-BH.xls]_Sp_809"/>
      <sheetName val="[Spt-BH.xls][Spt-BH.xls]B__2294"/>
      <sheetName val="[Spt-BH.xls][Spt-BH.xls]B__2295"/>
      <sheetName val="[Spt-BH.xls][Spt-BH.xls]B__2296"/>
      <sheetName val="[Spt-BH.xls][Spt-BH.xls]B__2297"/>
      <sheetName val="[Spt-BH.xls][Spt-BH.xls]B__3379"/>
      <sheetName val="[Spt-BH.xls][Spt-BH.xls]B__3380"/>
      <sheetName val="[Spt-BH.xls][Spt-BH.xls]_S_1194"/>
      <sheetName val="[Spt-BH.xls][Spt-BH.xls]B__3381"/>
      <sheetName val="[Spt-BH.xls][Spt-BH.xls]B__3382"/>
      <sheetName val="[Spt-BH.xls][Spt-BH.xls]B__2308"/>
      <sheetName val="[Spt-BH.xls][Spt-BH.xls]B__2309"/>
      <sheetName val="[Spt-BH.xls]B____x005f_x0004______185"/>
      <sheetName val="[Spt-BH.xls]B___x005f_x0000__x000_182"/>
      <sheetName val="[Spt-BH.xls][Spt-BH.xls]B__2310"/>
      <sheetName val="[Spt-BH.xls][Spt-BH.xls]B__2311"/>
      <sheetName val="[Spt-BH.xls][Spt-BH.xls]_Sp_818"/>
      <sheetName val="[Spt-BH.xls]B____x005f_x0004______188"/>
      <sheetName val="[Spt-BH.xls]B___x005f_x0000__x000_185"/>
      <sheetName val="[Spt-BH.xls][Spt-BH_xls]B__2248"/>
      <sheetName val="[Spt-BH.xls][Spt-BH_xls]B__2249"/>
      <sheetName val="[Spt-BH.xls][Spt-BH_xls]B__2250"/>
      <sheetName val="[Spt-BH.xls][Spt-BH_xls]B__2251"/>
      <sheetName val="[Spt-BH.xls][Spt-BH_xls]_Sp_740"/>
      <sheetName val="[Spt-BH.xls][Spt-BH_xls]B__2252"/>
      <sheetName val="[Spt-BH.xls][Spt-BH_xls]B__2253"/>
      <sheetName val="[Spt-BH.xls][Spt-BH_xls]B__2254"/>
      <sheetName val="[Spt-BH.xls][Spt-BH_xls]_Sp_741"/>
      <sheetName val="[Spt-BH.xls][Spt-BH_xls]B__2255"/>
      <sheetName val="[Spt-BH.xls][Spt-BH_xls]B__2256"/>
      <sheetName val="[Spt-BH.xls][Spt-BH_xls]B__2257"/>
      <sheetName val="[Spt-BH.xls][Spt-BH_xls]B__2258"/>
      <sheetName val="[Spt-BH.xls][Spt-BH_xls]_Sp_742"/>
      <sheetName val="[Spt-BH.xls][Spt-BH_xls]B__2259"/>
      <sheetName val="[Spt-BH.xls][Spt-BH_xls]B__2260"/>
      <sheetName val="[Spt-BH.xls][Spt-BH_xls]_Sp_743"/>
      <sheetName val="[Spt-BH.xls][Spt-BH_xls]B__2261"/>
      <sheetName val="[Spt-BH.xls][Spt-BH_xls]B__2262"/>
      <sheetName val="[Spt-BH.xls][Spt-BH_xls]_Sp_744"/>
      <sheetName val="[Spt-BH.xls]B____x005f_x0004______186"/>
      <sheetName val="[Spt-BH.xls]B___x005f_x0000__x000_183"/>
      <sheetName val="[Spt-BH.xls]B____x005f_x0004______187"/>
      <sheetName val="[Spt-BH.xls]B___x005f_x0000__x000_184"/>
      <sheetName val="[Spt-BH.xls]B____x005f_x0004______189"/>
      <sheetName val="[Spt-BH.xls]B___x005f_x0000__x000_186"/>
      <sheetName val="[Spt-BH.xls][Spt-BH_xls]B__2263"/>
      <sheetName val="[Spt-BH.xls][Spt-BH_xls]B__2264"/>
      <sheetName val="[Spt-BH.xls][Spt-BH_xls]B__2265"/>
      <sheetName val="[Spt-BH.xls][Spt-BH_xls]B__2266"/>
      <sheetName val="[Spt-BH.xls][Spt-BH_xls]_Sp_745"/>
      <sheetName val="[Spt-BH.xls][Spt-BH_xls]B__2267"/>
      <sheetName val="[Spt-BH.xls][Spt-BH_xls]B__2268"/>
      <sheetName val="[Spt-BH.xls][Spt-BH_xls]B__2269"/>
      <sheetName val="[Spt-BH.xls][Spt-BH_xls]_Sp_746"/>
      <sheetName val="[Spt-BH.xls][Spt-BH_xls]B__2270"/>
      <sheetName val="[Spt-BH.xls][Spt-BH_xls]B__2271"/>
      <sheetName val="[Spt-BH.xls][Spt-BH_xls]B__2272"/>
      <sheetName val="[Spt-BH.xls][Spt-BH_xls]B__2273"/>
      <sheetName val="[Spt-BH.xls][Spt-BH_xls]_Sp_747"/>
      <sheetName val="[Spt-BH.xls][Spt-BH_xls]B__2274"/>
      <sheetName val="[Spt-BH.xls][Spt-BH_xls]B__2275"/>
      <sheetName val="[Spt-BH.xls][Spt-BH_xls]_Sp_748"/>
      <sheetName val="[Spt-BH.xls][Spt-BH_xls]B__2276"/>
      <sheetName val="[Spt-BH.xls][Spt-BH_xls]B__2277"/>
      <sheetName val="[Spt-BH.xls][Spt-BH_xls]_Sp_749"/>
      <sheetName val="[Spt-BH.xls]B____x005f_x0004______191"/>
      <sheetName val="[Spt-BH.xls]B___x005f_x0000__x000_188"/>
      <sheetName val="[Spt-BH.xls][Spt-BH_xls]B__2293"/>
      <sheetName val="[Spt-BH.xls][Spt-BH_xls]B__2294"/>
      <sheetName val="[Spt-BH.xls][Spt-BH_xls]B__2295"/>
      <sheetName val="[Spt-BH.xls][Spt-BH_xls]B__2296"/>
      <sheetName val="[Spt-BH.xls][Spt-BH_xls]_Sp_755"/>
      <sheetName val="[Spt-BH.xls][Spt-BH_xls]B__2297"/>
      <sheetName val="[Spt-BH.xls][Spt-BH_xls]B__2298"/>
      <sheetName val="[Spt-BH.xls][Spt-BH_xls]B__2299"/>
      <sheetName val="[Spt-BH.xls][Spt-BH_xls]_Sp_756"/>
      <sheetName val="[Spt-BH.xls][Spt-BH_xls]B__2300"/>
      <sheetName val="[Spt-BH.xls][Spt-BH_xls]B__2301"/>
      <sheetName val="[Spt-BH.xls][Spt-BH_xls]B__2302"/>
      <sheetName val="[Spt-BH.xls][Spt-BH_xls]B__2303"/>
      <sheetName val="[Spt-BH.xls][Spt-BH_xls]_Sp_757"/>
      <sheetName val="[Spt-BH.xls][Spt-BH_xls]B__2304"/>
      <sheetName val="[Spt-BH.xls][Spt-BH_xls]B__2305"/>
      <sheetName val="[Spt-BH.xls][Spt-BH_xls]_Sp_758"/>
      <sheetName val="[Spt-BH.xls][Spt-BH_xls]B__2306"/>
      <sheetName val="[Spt-BH.xls][Spt-BH_xls]B__2307"/>
      <sheetName val="[Spt-BH.xls][Spt-BH_xls]_Sp_759"/>
      <sheetName val="[Spt-BH.xls]B____x005f_x0004______190"/>
      <sheetName val="[Spt-BH.xls]B___x005f_x0000__x000_187"/>
      <sheetName val="[Spt-BH.xls][Spt-BH_xls]B__2278"/>
      <sheetName val="[Spt-BH.xls][Spt-BH_xls]B__2279"/>
      <sheetName val="[Spt-BH.xls][Spt-BH_xls]B__2280"/>
      <sheetName val="[Spt-BH.xls][Spt-BH_xls]B__2281"/>
      <sheetName val="[Spt-BH.xls][Spt-BH_xls]_Sp_750"/>
      <sheetName val="[Spt-BH.xls][Spt-BH_xls]B__2282"/>
      <sheetName val="[Spt-BH.xls][Spt-BH_xls]B__2283"/>
      <sheetName val="[Spt-BH.xls][Spt-BH_xls]B__2284"/>
      <sheetName val="[Spt-BH.xls][Spt-BH_xls]_Sp_751"/>
      <sheetName val="[Spt-BH.xls][Spt-BH_xls]B__2285"/>
      <sheetName val="[Spt-BH.xls][Spt-BH_xls]B__2286"/>
      <sheetName val="[Spt-BH.xls][Spt-BH_xls]B__2287"/>
      <sheetName val="[Spt-BH.xls][Spt-BH_xls]B__2288"/>
      <sheetName val="[Spt-BH.xls][Spt-BH_xls]_Sp_752"/>
      <sheetName val="[Spt-BH.xls][Spt-BH_xls]B__2289"/>
      <sheetName val="[Spt-BH.xls][Spt-BH_xls]B__2290"/>
      <sheetName val="[Spt-BH.xls][Spt-BH_xls]_Sp_753"/>
      <sheetName val="[Spt-BH.xls][Spt-BH_xls]B__2291"/>
      <sheetName val="[Spt-BH.xls][Spt-BH_xls]B__2292"/>
      <sheetName val="[Spt-BH.xls][Spt-BH_xls]_Sp_754"/>
      <sheetName val="[Spt-BH.xls]B____x005f_x0004______192"/>
      <sheetName val="[Spt-BH.xls]B___x005f_x0000__x000_189"/>
      <sheetName val="[Spt-BH.xls][Spt-BH_xls]B__2308"/>
      <sheetName val="[Spt-BH.xls][Spt-BH_xls]B__2309"/>
      <sheetName val="[Spt-BH.xls][Spt-BH_xls]B__2310"/>
      <sheetName val="[Spt-BH.xls][Spt-BH_xls]B__2311"/>
      <sheetName val="[Spt-BH.xls][Spt-BH_xls]_Sp_760"/>
      <sheetName val="[Spt-BH.xls][Spt-BH_xls]B__2312"/>
      <sheetName val="[Spt-BH.xls][Spt-BH_xls]B__2313"/>
      <sheetName val="[Spt-BH.xls][Spt-BH_xls]B__2314"/>
      <sheetName val="[Spt-BH.xls][Spt-BH_xls]_Sp_761"/>
      <sheetName val="[Spt-BH.xls][Spt-BH_xls]B__2315"/>
      <sheetName val="[Spt-BH.xls][Spt-BH_xls]B__2316"/>
      <sheetName val="[Spt-BH.xls][Spt-BH_xls]B__2317"/>
      <sheetName val="[Spt-BH.xls][Spt-BH_xls]B__2318"/>
      <sheetName val="[Spt-BH.xls][Spt-BH_xls]_Sp_762"/>
      <sheetName val="[Spt-BH.xls][Spt-BH_xls]B__2319"/>
      <sheetName val="[Spt-BH.xls][Spt-BH_xls]B__2320"/>
      <sheetName val="[Spt-BH.xls][Spt-BH_xls]_Sp_763"/>
      <sheetName val="[Spt-BH.xls][Spt-BH_xls]B__2321"/>
      <sheetName val="[Spt-BH.xls][Spt-BH_xls]B__2322"/>
      <sheetName val="[Spt-BH.xls][Spt-BH_xls]_Sp_764"/>
      <sheetName val="[Spt-BH.xls]B____x005f_x0004______193"/>
      <sheetName val="[Spt-BH.xls]B___x005f_x0000__x000_190"/>
      <sheetName val="[Spt-BH.xls][Spt-BH_xls]B__2323"/>
      <sheetName val="[Spt-BH.xls][Spt-BH_xls]B__2324"/>
      <sheetName val="[Spt-BH.xls][Spt-BH_xls]B__2325"/>
      <sheetName val="[Spt-BH.xls][Spt-BH_xls]B__2326"/>
      <sheetName val="[Spt-BH.xls][Spt-BH_xls]_Sp_765"/>
      <sheetName val="[Spt-BH.xls][Spt-BH_xls]B__2327"/>
      <sheetName val="[Spt-BH.xls][Spt-BH_xls]B__2328"/>
      <sheetName val="[Spt-BH.xls][Spt-BH_xls]B__2329"/>
      <sheetName val="[Spt-BH.xls][Spt-BH_xls]_Sp_766"/>
      <sheetName val="[Spt-BH.xls][Spt-BH_xls]B__2330"/>
      <sheetName val="[Spt-BH.xls][Spt-BH_xls]B__2331"/>
      <sheetName val="[Spt-BH.xls][Spt-BH_xls]B__2332"/>
      <sheetName val="[Spt-BH.xls][Spt-BH_xls]B__2333"/>
      <sheetName val="[Spt-BH.xls][Spt-BH_xls]_Sp_767"/>
      <sheetName val="[Spt-BH.xls][Spt-BH_xls]B__2334"/>
      <sheetName val="[Spt-BH.xls][Spt-BH_xls]B__2335"/>
      <sheetName val="[Spt-BH.xls][Spt-BH_xls]_Sp_768"/>
      <sheetName val="[Spt-BH.xls][Spt-BH_xls]B__2336"/>
      <sheetName val="[Spt-BH.xls][Spt-BH_xls]B__2337"/>
      <sheetName val="[Spt-BH.xls][Spt-BH_xls]_Sp_769"/>
      <sheetName val="[Spt-BH.xls][Spt-BH.xls]B__2319"/>
      <sheetName val="[Spt-BH.xls][Spt-BH.xls]B__2320"/>
      <sheetName val="[Spt-BH.xls][Spt-BH.xls]_Sp_817"/>
      <sheetName val="[Spt-BH.xls][Spt-BH.xls]B__2321"/>
      <sheetName val="[Spt-BH.xls][Spt-BH.xls]B__2322"/>
      <sheetName val="[Spt-BH.xls]B____x005f_x0004______194"/>
      <sheetName val="[Spt-BH.xls]B___x005f_x0000__x000_191"/>
      <sheetName val="[Spt-BH.xls][Spt-BH.xls]B__2323"/>
      <sheetName val="[Spt-BH.xls][Spt-BH.xls]B__2312"/>
      <sheetName val="[Spt-BH.xls][Spt-BH.xls]B__2313"/>
      <sheetName val="[Spt-BH.xls][Spt-BH.xls]_Sp_815"/>
      <sheetName val="[Spt-BH.xls][Spt-BH.xls]B__2314"/>
      <sheetName val="[Spt-BH.xls][Spt-BH.xls]B__2315"/>
      <sheetName val="[Spt-BH.xls][Spt-BH.xls]B__2324"/>
      <sheetName val="[Spt-BH.xls][Spt-BH.xls]B__2316"/>
      <sheetName val="[Spt-BH.xls][Spt-BH.xls]B__2317"/>
      <sheetName val="[Spt-BH.xls][Spt-BH.xls]B__2318"/>
      <sheetName val="[Spt-BH.xls][Spt-BH.xls]_Sp_816"/>
      <sheetName val="[Spt-BH.xls][Spt-BH_xls]B__2338"/>
      <sheetName val="[Spt-BH.xls][Spt-BH_xls]B__2339"/>
      <sheetName val="[Spt-BH.xls][Spt-BH_xls]B__2340"/>
      <sheetName val="[Spt-BH.xls][Spt-BH_xls]B__2341"/>
      <sheetName val="[Spt-BH.xls][Spt-BH_xls]_Sp_770"/>
      <sheetName val="[Spt-BH.xls][Spt-BH_xls]B__2342"/>
      <sheetName val="[Spt-BH.xls][Spt-BH_xls]B__2343"/>
      <sheetName val="[Spt-BH.xls][Spt-BH_xls]B__2344"/>
      <sheetName val="[Spt-BH.xls][Spt-BH_xls]_Sp_771"/>
      <sheetName val="[Spt-BH.xls][Spt-BH_xls]B__2345"/>
      <sheetName val="[Spt-BH.xls][Spt-BH_xls]B__2346"/>
      <sheetName val="[Spt-BH.xls][Spt-BH_xls]B__2347"/>
      <sheetName val="[Spt-BH.xls][Spt-BH_xls]B__2348"/>
      <sheetName val="[Spt-BH.xls][Spt-BH_xls]_Sp_772"/>
      <sheetName val="[Spt-BH.xls][Spt-BH.xls]_Sp_814"/>
      <sheetName val="[Spt-BH.xls][Spt-BH_xls]B__2349"/>
      <sheetName val="[Spt-BH.xls][Spt-BH_xls]B__2350"/>
      <sheetName val="[Spt-BH.xls][Spt-BH_xls]_Sp_773"/>
      <sheetName val="[Spt-BH.xls][Spt-BH_xls]B__2351"/>
      <sheetName val="[Spt-BH.xls][Spt-BH_xls]B__2352"/>
      <sheetName val="[Spt-BH.xls][Spt-BH_xls]_Sp_774"/>
      <sheetName val="[Spt-BH.xls][Spt-BH.xls]_Sp_851"/>
      <sheetName val="[Spt-BH.xls][Spt-BH.xls]_Sp_848"/>
      <sheetName val="[Spt-BH.xls][Spt-BH.xls]B__2325"/>
      <sheetName val="[Spt-BH.xls][Spt-BH.xls]B__2326"/>
      <sheetName val="[Spt-BH.xls][Spt-BH.xls]_Sp_819"/>
      <sheetName val="[Spt-BH.xls][Spt-BH.xls]B__2327"/>
      <sheetName val="[Spt-BH.xls][Spt-BH.xls]B__2328"/>
      <sheetName val="[Spt-BH.xls][Spt-BH.xls]_Sp_836"/>
      <sheetName val="[Spt-BH.xls][Spt-BH.xls]B__2329"/>
      <sheetName val="[Spt-BH.xls][Spt-BH.xls]B__2330"/>
      <sheetName val="[Spt-BH.xls][Spt-BH.xls]B__2332"/>
      <sheetName val="[Spt-BH.xls][Spt-BH.xls]B__2333"/>
      <sheetName val="[Spt-BH.xls][Spt-BH.xls]_Sp_829"/>
      <sheetName val="[Spt-BH.xls][Spt-BH.xls]B__2334"/>
      <sheetName val="[Spt-BH.xls][Spt-BH.xls]B__2335"/>
      <sheetName val="[Spt-BH.xls]B____x005f_x0004______195"/>
      <sheetName val="[Spt-BH.xls]B___x005f_x0000__x000_192"/>
      <sheetName val="[Spt-BH.xls][Spt-BH.xls]B__2336"/>
      <sheetName val="[Spt-BH.xls][Spt-BH.xls]B__2337"/>
      <sheetName val="[Spt-BH.xls][Spt-BH.xls]_Sp_820"/>
      <sheetName val="[Spt-BH.xls][Spt-BH_xls]B__2353"/>
      <sheetName val="[Spt-BH.xls][Spt-BH_xls]B__2354"/>
      <sheetName val="[Spt-BH.xls][Spt-BH_xls]B__2355"/>
      <sheetName val="[Spt-BH.xls][Spt-BH_xls]B__2356"/>
      <sheetName val="[Spt-BH.xls][Spt-BH_xls]_Sp_775"/>
      <sheetName val="[Spt-BH.xls][Spt-BH_xls]B__2357"/>
      <sheetName val="[Spt-BH.xls][Spt-BH_xls]B__2358"/>
      <sheetName val="[Spt-BH.xls][Spt-BH_xls]B__2359"/>
      <sheetName val="[Spt-BH.xls][Spt-BH_xls]_Sp_776"/>
      <sheetName val="[Spt-BH.xls][Spt-BH_xls]B__2360"/>
      <sheetName val="[Spt-BH.xls][Spt-BH_xls]B__2361"/>
      <sheetName val="[Spt-BH.xls][Spt-BH_xls]B__2362"/>
      <sheetName val="[Spt-BH.xls][Spt-BH_xls]B__2363"/>
      <sheetName val="[Spt-BH.xls][Spt-BH_xls]_Sp_777"/>
      <sheetName val="[Spt-BH.xls][Spt-BH.xls]B__2331"/>
      <sheetName val="[Spt-BH.xls][Spt-BH_xls]B__2364"/>
      <sheetName val="[Spt-BH.xls][Spt-BH_xls]B__2365"/>
      <sheetName val="[Spt-BH.xls][Spt-BH_xls]_Sp_778"/>
      <sheetName val="[Spt-BH.xls][Spt-BH_xls]B__2366"/>
      <sheetName val="[Spt-BH.xls][Spt-BH_xls]B__2367"/>
      <sheetName val="[Spt-BH.xls][Spt-BH_xls]_Sp_779"/>
      <sheetName val="[Spt-BH.xls][Spt-BH.xls]B__2369"/>
      <sheetName val="[Spt-BH.xls][Spt-BH.xls]B__2370"/>
      <sheetName val="[Spt-BH.xls][Spt-BH.xls]_Sp_831"/>
      <sheetName val="[Spt-BH.xls][Spt-BH.xls]B__2371"/>
      <sheetName val="[Spt-BH.xls][Spt-BH.xls]B__2372"/>
      <sheetName val="[Spt-BH.xls][Spt-BH.xls]B__2373"/>
      <sheetName val="[Spt-BH.xls][Spt-BH.xls]B__2374"/>
      <sheetName val="[Spt-BH.xls][Spt-BH.xls]_Sp_830"/>
      <sheetName val="[Spt-BH.xls][Spt-BH.xls]_Sp_824"/>
      <sheetName val="[Spt-BH.xls][Spt-BH.xls]B__2357"/>
      <sheetName val="[Spt-BH.xls][Spt-BH.xls]B__2358"/>
      <sheetName val="[Spt-BH.xls][Spt-BH.xls]_Sp_826"/>
      <sheetName val="[Spt-BH.xls][Spt-BH.xls]B__2359"/>
      <sheetName val="[Spt-BH.xls][Spt-BH.xls]B__2360"/>
      <sheetName val="[Spt-BH.xls]B____x005f_x0004______197"/>
      <sheetName val="[Spt-BH.xls]B___x005f_x0000__x000_194"/>
      <sheetName val="[Spt-BH.xls][Spt-BH.xls]B__2361"/>
      <sheetName val="[Spt-BH.xls][Spt-BH.xls]B__2350"/>
      <sheetName val="[Spt-BH.xls][Spt-BH.xls]B__2351"/>
      <sheetName val="[Spt-BH.xls][Spt-BH.xls]_Sp_825"/>
      <sheetName val="[Spt-BH.xls][Spt-BH.xls]B__2352"/>
      <sheetName val="[Spt-BH.xls][Spt-BH.xls]B__2353"/>
      <sheetName val="[Spt-BH.xls][Spt-BH.xls]B__2362"/>
      <sheetName val="[Spt-BH.xls][Spt-BH.xls]B__2354"/>
      <sheetName val="[Spt-BH.xls][Spt-BH.xls]B__2355"/>
      <sheetName val="[Spt-BH.xls][Spt-BH.xls]_Sp_821"/>
      <sheetName val="[Spt-BH.xls][Spt-BH.xls]B__2338"/>
      <sheetName val="[Spt-BH.xls][Spt-BH.xls]B__2339"/>
      <sheetName val="[Spt-BH.xls][Spt-BH.xls]B__2340"/>
      <sheetName val="[Spt-BH.xls][Spt-BH.xls]B__2341"/>
      <sheetName val="[Spt-BH.xls][Spt-BH.xls]B__2342"/>
      <sheetName val="[Spt-BH.xls][Spt-BH.xls]B__2343"/>
      <sheetName val="[Spt-BH.xls][Spt-BH.xls]_Sp_822"/>
      <sheetName val="[Spt-BH.xls][Spt-BH.xls]_Sp_823"/>
      <sheetName val="[Spt-BH.xls]B____x005f_x0004______196"/>
      <sheetName val="[Spt-BH.xls]B___x005f_x0000__x000_193"/>
      <sheetName val="[Spt-BH.xls][Spt-BH.xls]B__2344"/>
      <sheetName val="[Spt-BH.xls][Spt-BH.xls]B__2345"/>
      <sheetName val="[Spt-BH.xls][Spt-BH.xls]B__2346"/>
      <sheetName val="[Spt-BH.xls][Spt-BH.xls]B__2347"/>
      <sheetName val="[Spt-BH.xls][Spt-BH.xls]B__2356"/>
      <sheetName val="[Spt-BH.xls][Spt-BH.xls]B__2348"/>
      <sheetName val="[Spt-BH.xls][Spt-BH.xls]B__2349"/>
      <sheetName val="[Spt-BH.xls]B____x005f_x0004______198"/>
      <sheetName val="[Spt-BH.xls]B___x005f_x0000__x000_195"/>
      <sheetName val="[Spt-BH.xls]B____x005f_x0004______199"/>
      <sheetName val="[Spt-BH.xls]B___x005f_x0000__x000_196"/>
      <sheetName val="[Spt-BH.xls]B____x005f_x0004______200"/>
      <sheetName val="[Spt-BH.xls]B___x005f_x0000__x000_197"/>
      <sheetName val="[Spt-BH.xls]B____x005f_x0004______202"/>
      <sheetName val="[Spt-BH.xls]B___x005f_x0000__x000_199"/>
      <sheetName val="[Spt-BH.xls]B____x005f_x0004______201"/>
      <sheetName val="[Spt-BH.xls]B___x005f_x0000__x000_198"/>
      <sheetName val="[Spt-BH.xls][Spt-BH.xls]_Sp_827"/>
      <sheetName val="[Spt-BH.xls][Spt-BH.xls]B__2363"/>
      <sheetName val="[Spt-BH.xls][Spt-BH.xls]B__2364"/>
      <sheetName val="[Spt-BH.xls][Spt-BH.xls]B__2365"/>
      <sheetName val="[Spt-BH.xls][Spt-BH.xls]B__2366"/>
      <sheetName val="[Spt-BH.xls][Spt-BH.xls]B__2367"/>
      <sheetName val="[Spt-BH.xls][Spt-BH.xls]B__2368"/>
      <sheetName val="[Spt-BH.xls][Spt-BH.xls]_Sp_828"/>
      <sheetName val="[Spt-BH.xls][Spt-BH.xls]B__2375"/>
      <sheetName val="[Spt-BH.xls][Spt-BH.xls]B__2376"/>
      <sheetName val="[Spt-BH.xls][Spt-BH.xls]_Sp_834"/>
      <sheetName val="[Spt-BH.xls][Spt-BH.xls]B__2377"/>
      <sheetName val="[Spt-BH.xls][Spt-BH.xls]B__2378"/>
      <sheetName val="[Spt-BH.xls][Spt-BH.xls]B__2379"/>
      <sheetName val="[Spt-BH.xls][Spt-BH.xls]_Sp_832"/>
      <sheetName val="[Spt-BH.xls][Spt-BH.xls]B__2380"/>
      <sheetName val="[Spt-BH.xls][Spt-BH.xls]_Sp_833"/>
      <sheetName val="[Spt-BH.xls][Spt-BH.xls]B__2388"/>
      <sheetName val="[Spt-BH.xls][Spt-BH.xls]B__2389"/>
      <sheetName val="[Spt-BH.xls][Spt-BH.xls]_Sp_839"/>
      <sheetName val="[Spt-BH.xls][Spt-BH.xls]B__2390"/>
      <sheetName val="[Spt-BH.xls][Spt-BH.xls]B__2391"/>
      <sheetName val="[Spt-BH.xls]B____x005f_x0004______203"/>
      <sheetName val="[Spt-BH.xls][Spt-BH.xls]B__2381"/>
      <sheetName val="[Spt-BH.xls][Spt-BH.xls]B__2382"/>
      <sheetName val="[Spt-BH.xls][Spt-BH.xls]B__2383"/>
      <sheetName val="[Spt-BH.xls][Spt-BH.xls]B__2384"/>
      <sheetName val="[Spt-BH.xls]B___x005f_x0000__x000_200"/>
      <sheetName val="[Spt-BH.xls][Spt-BH.xls]B__2392"/>
      <sheetName val="[Spt-BH.xls][Spt-BH.xls]B__2385"/>
      <sheetName val="[Spt-BH.xls][Spt-BH.xls]B__2386"/>
      <sheetName val="[Spt-BH.xls][Spt-BH.xls]B__2393"/>
      <sheetName val="[Spt-BH.xls][Spt-BH.xls]B__2387"/>
      <sheetName val="[Spt-BH.xls][Spt-BH.xls]_Sp_837"/>
      <sheetName val="[Spt-BH.xls][Spt-BH_xls]B__2368"/>
      <sheetName val="[Spt-BH.xls][Spt-BH_xls]B__2369"/>
      <sheetName val="[Spt-BH.xls][Spt-BH_xls]B__2370"/>
      <sheetName val="[Spt-BH.xls][Spt-BH_xls]B__2371"/>
      <sheetName val="[Spt-BH.xls][Spt-BH_xls]_Sp_780"/>
      <sheetName val="[Spt-BH.xls][Spt-BH_xls]B__2372"/>
      <sheetName val="[Spt-BH.xls][Spt-BH_xls]B__2373"/>
      <sheetName val="[Spt-BH.xls][Spt-BH_xls]B__2374"/>
      <sheetName val="[Spt-BH.xls][Spt-BH_xls]_Sp_781"/>
      <sheetName val="[Spt-BH.xls][Spt-BH_xls]B__2375"/>
      <sheetName val="[Spt-BH.xls][Spt-BH_xls]B__2376"/>
      <sheetName val="[Spt-BH.xls][Spt-BH_xls]B__2377"/>
      <sheetName val="[Spt-BH.xls][Spt-BH_xls]B__2378"/>
      <sheetName val="[Spt-BH.xls][Spt-BH_xls]_Sp_782"/>
      <sheetName val="[Spt-BH.xls][Spt-BH.xls]_Sp_835"/>
      <sheetName val="[Spt-BH.xls][Spt-BH_xls]B__2379"/>
      <sheetName val="[Spt-BH.xls][Spt-BH_xls]B__2380"/>
      <sheetName val="[Spt-BH.xls][Spt-BH_xls]_Sp_783"/>
      <sheetName val="[Spt-BH.xls][Spt-BH_xls]B__2381"/>
      <sheetName val="[Spt-BH.xls][Spt-BH_xls]B__2382"/>
      <sheetName val="[Spt-BH.xls][Spt-BH_xls]_Sp_784"/>
      <sheetName val="[Spt-BH.xls][Spt-BH.xls]B__2394"/>
      <sheetName val="[Spt-BH.xls][Spt-BH.xls]B__2395"/>
      <sheetName val="[Spt-BH.xls][Spt-BH.xls]_Sp_841"/>
      <sheetName val="[Spt-BH.xls][Spt-BH.xls]B__2396"/>
      <sheetName val="[Spt-BH.xls][Spt-BH.xls]B__2397"/>
      <sheetName val="[Spt-BH.xls][Spt-BH.xls]B__2398"/>
      <sheetName val="[Spt-BH.xls][Spt-BH.xls]B__2399"/>
      <sheetName val="[Spt-BH.xls][Spt-BH.xls]_Sp_840"/>
      <sheetName val="[Spt-BH.xls][Spt-BH.xls]_Sp_838"/>
      <sheetName val="[Spt-BH.xls][Spt-BH.xls]_Sp_843"/>
      <sheetName val="[Spt-BH.xls][Spt-BH.xls]_Sp_842"/>
      <sheetName val="[Spt-BH.xls][Spt-BH.xls]B__2407"/>
      <sheetName val="[Spt-BH.xls][Spt-BH.xls]B__2408"/>
      <sheetName val="[Spt-BH.xls][Spt-BH.xls]B__2409"/>
      <sheetName val="[Spt-BH.xls][Spt-BH.xls]B__2410"/>
      <sheetName val="[Spt-BH.xls]B____x005f_x0004______204"/>
      <sheetName val="[Spt-BH.xls][Spt-BH.xls]B__2400"/>
      <sheetName val="[Spt-BH.xls][Spt-BH.xls]B__2401"/>
      <sheetName val="[Spt-BH.xls][Spt-BH.xls]_Sp_846"/>
      <sheetName val="[Spt-BH.xls][Spt-BH.xls]B__2402"/>
      <sheetName val="[Spt-BH.xls][Spt-BH.xls]B__2403"/>
      <sheetName val="[Spt-BH.xls]B___x005f_x0000__x000_201"/>
      <sheetName val="[Spt-BH.xls][Spt-BH.xls]B__2411"/>
      <sheetName val="[Spt-BH.xls][Spt-BH.xls]B__2404"/>
      <sheetName val="[Spt-BH.xls][Spt-BH.xls]_Sp_844"/>
      <sheetName val="[Spt-BH.xls][Spt-BH.xls]B__2405"/>
      <sheetName val="[Spt-BH.xls][Spt-BH.xls]B__2412"/>
      <sheetName val="[Spt-BH.xls][Spt-BH.xls]B__2406"/>
      <sheetName val="[Spt-BH.xls][Spt-BH.xls]_Sp_847"/>
      <sheetName val="[Spt-BH.xls][Spt-BH_xls]B__2383"/>
      <sheetName val="[Spt-BH.xls][Spt-BH_xls]B__2384"/>
      <sheetName val="[Spt-BH.xls][Spt-BH_xls]B__2385"/>
      <sheetName val="[Spt-BH.xls][Spt-BH_xls]B__2386"/>
      <sheetName val="[Spt-BH.xls][Spt-BH_xls]_Sp_785"/>
      <sheetName val="[Spt-BH.xls][Spt-BH_xls]B__2387"/>
      <sheetName val="[Spt-BH.xls][Spt-BH_xls]B__2388"/>
      <sheetName val="[Spt-BH.xls][Spt-BH_xls]B__2389"/>
      <sheetName val="[Spt-BH.xls][Spt-BH_xls]_Sp_786"/>
      <sheetName val="[Spt-BH.xls][Spt-BH_xls]B__2390"/>
      <sheetName val="[Spt-BH.xls][Spt-BH_xls]B__2391"/>
      <sheetName val="[Spt-BH.xls][Spt-BH_xls]B__2392"/>
      <sheetName val="[Spt-BH.xls][Spt-BH_xls]B__2393"/>
      <sheetName val="[Spt-BH.xls][Spt-BH_xls]_Sp_787"/>
      <sheetName val="[Spt-BH.xls][Spt-BH.xls]_Sp_845"/>
      <sheetName val="[Spt-BH.xls][Spt-BH_xls]B__2394"/>
      <sheetName val="[Spt-BH.xls][Spt-BH_xls]B__2395"/>
      <sheetName val="[Spt-BH.xls][Spt-BH_xls]_Sp_788"/>
      <sheetName val="[Spt-BH.xls][Spt-BH_xls]B__2396"/>
      <sheetName val="[Spt-BH.xls][Spt-BH_xls]B__2397"/>
      <sheetName val="[Spt-BH.xls][Spt-BH_xls]_Sp_789"/>
      <sheetName val="[Spt-BH.xls][Spt-BH.xls]_Sp_849"/>
      <sheetName val="[Spt-BH.xls][Spt-BH.xls]_Sp_850"/>
      <sheetName val="[Spt-BH.xls][Spt-BH.xls]B__2427"/>
      <sheetName val="[Spt-BH.xls][Spt-BH.xls]B__2428"/>
      <sheetName val="[Spt-BH.xls][Spt-BH.xls]_Sp_858"/>
      <sheetName val="[Spt-BH.xls][Spt-BH.xls]B__2429"/>
      <sheetName val="[Spt-BH.xls][Spt-BH.xls]B__2430"/>
      <sheetName val="[Spt-BH.xls][Spt-BH.xls]_Sp_854"/>
      <sheetName val="[Spt-BH.xls][Spt-BH.xls]B__2420"/>
      <sheetName val="[Spt-BH.xls][Spt-BH.xls]B__2421"/>
      <sheetName val="[Spt-BH.xls][Spt-BH.xls]_Sp_856"/>
      <sheetName val="[Spt-BH.xls][Spt-BH.xls]B__2422"/>
      <sheetName val="[Spt-BH.xls][Spt-BH.xls]B__2423"/>
      <sheetName val="[Spt-BH.xls][Spt-BH.xls]B__2424"/>
      <sheetName val="[Spt-BH.xls]B____x005f_x0004______206"/>
      <sheetName val="[Spt-BH.xls]B___x005f_x0000__x000_203"/>
      <sheetName val="[Spt-BH.xls][Spt-BH.xls]B__2431"/>
      <sheetName val="[Spt-BH.xls][Spt-BH.xls]B__2432"/>
      <sheetName val="[Spt-BH.xls][Spt-BH.xls]B__2425"/>
      <sheetName val="[Spt-BH.xls][Spt-BH.xls]B__2426"/>
      <sheetName val="[Spt-BH.xls][Spt-BH.xls]_Sp_857"/>
      <sheetName val="[Spt-BH.xls][Spt-BH_xls]B__2413"/>
      <sheetName val="[Spt-BH.xls][Spt-BH_xls]B__2414"/>
      <sheetName val="[Spt-BH.xls][Spt-BH_xls]B__2415"/>
      <sheetName val="[Spt-BH.xls][Spt-BH_xls]B__2416"/>
      <sheetName val="[Spt-BH.xls][Spt-BH_xls]_Sp_795"/>
      <sheetName val="[Spt-BH.xls][Spt-BH_xls]B__2417"/>
      <sheetName val="[Spt-BH.xls][Spt-BH_xls]B__2418"/>
      <sheetName val="[Spt-BH.xls][Spt-BH_xls]B__2419"/>
      <sheetName val="[Spt-BH.xls][Spt-BH_xls]_Sp_796"/>
      <sheetName val="[Spt-BH.xls][Spt-BH_xls]B__2420"/>
      <sheetName val="[Spt-BH.xls][Spt-BH_xls]B__2421"/>
      <sheetName val="[Spt-BH.xls][Spt-BH_xls]B__2422"/>
      <sheetName val="[Spt-BH.xls][Spt-BH_xls]B__2423"/>
      <sheetName val="[Spt-BH.xls][Spt-BH_xls]_Sp_797"/>
      <sheetName val="[Spt-BH.xls][Spt-BH.xls]_Sp_855"/>
      <sheetName val="[Spt-BH.xls][Spt-BH_xls]B__2424"/>
      <sheetName val="[Spt-BH.xls][Spt-BH_xls]B__2425"/>
      <sheetName val="[Spt-BH.xls][Spt-BH_xls]_Sp_798"/>
      <sheetName val="[Spt-BH.xls][Spt-BH_xls]B__2426"/>
      <sheetName val="[Spt-BH.xls][Spt-BH_xls]B__2427"/>
      <sheetName val="[Spt-BH.xls][Spt-BH_xls]_Sp_799"/>
      <sheetName val="[Spt-BH.xls][Spt-BH.xls]_Sp_852"/>
      <sheetName val="[Spt-BH.xls][Spt-BH.xls]B__2413"/>
      <sheetName val="[Spt-BH.xls][Spt-BH.xls]B__2414"/>
      <sheetName val="[Spt-BH.xls][Spt-BH.xls]B__2415"/>
      <sheetName val="[Spt-BH.xls][Spt-BH.xls]B__2416"/>
      <sheetName val="[Spt-BH.xls][Spt-BH.xls]B__2417"/>
      <sheetName val="[Spt-BH.xls]B____x005f_x0004______205"/>
      <sheetName val="[Spt-BH.xls]B___x005f_x0000__x000_202"/>
      <sheetName val="[Spt-BH.xls][Spt-BH.xls]B__2418"/>
      <sheetName val="[Spt-BH.xls][Spt-BH.xls]B__2419"/>
      <sheetName val="[Spt-BH.xls][Spt-BH_xls]B__2398"/>
      <sheetName val="[Spt-BH.xls][Spt-BH_xls]B__2399"/>
      <sheetName val="[Spt-BH.xls][Spt-BH_xls]B__2400"/>
      <sheetName val="[Spt-BH.xls][Spt-BH_xls]B__2401"/>
      <sheetName val="[Spt-BH.xls][Spt-BH_xls]_Sp_790"/>
      <sheetName val="[Spt-BH.xls][Spt-BH_xls]B__2402"/>
      <sheetName val="[Spt-BH.xls][Spt-BH_xls]B__2403"/>
      <sheetName val="[Spt-BH.xls][Spt-BH_xls]B__2404"/>
      <sheetName val="[Spt-BH.xls][Spt-BH_xls]_Sp_791"/>
      <sheetName val="[Spt-BH.xls][Spt-BH_xls]B__2405"/>
      <sheetName val="[Spt-BH.xls][Spt-BH_xls]B__2406"/>
      <sheetName val="[Spt-BH.xls][Spt-BH_xls]B__2407"/>
      <sheetName val="[Spt-BH.xls][Spt-BH_xls]B__2408"/>
      <sheetName val="[Spt-BH.xls][Spt-BH_xls]_Sp_792"/>
      <sheetName val="[Spt-BH.xls][Spt-BH.xls]_Sp_853"/>
      <sheetName val="[Spt-BH.xls][Spt-BH_xls]B__2409"/>
      <sheetName val="[Spt-BH.xls][Spt-BH_xls]B__2410"/>
      <sheetName val="[Spt-BH.xls][Spt-BH_xls]_Sp_793"/>
      <sheetName val="[Spt-BH.xls][Spt-BH_xls]B__2411"/>
      <sheetName val="[Spt-BH.xls][Spt-BH_xls]B__2412"/>
      <sheetName val="[Spt-BH.xls][Spt-BH_xls]_Sp_794"/>
      <sheetName val="[Spt-BH.xls][Spt-BH.xls]B__2433"/>
      <sheetName val="[Spt-BH.xls][Spt-BH.xls]B__2434"/>
      <sheetName val="[Spt-BH.xls][Spt-BH.xls]_Sp_861"/>
      <sheetName val="[Spt-BH.xls][Spt-BH.xls]B__2435"/>
      <sheetName val="[Spt-BH.xls][Spt-BH.xls]B__2436"/>
      <sheetName val="[Spt-BH.xls][Spt-BH.xls]_Sp_859"/>
      <sheetName val="[Spt-BH.xls][Spt-BH.xls]B__2437"/>
      <sheetName val="[Spt-BH.xls][Spt-BH.xls]B__2438"/>
      <sheetName val="[Spt-BH.xls][Spt-BH.xls]_Sp_860"/>
      <sheetName val="[Spt-BH.xls][Spt-BH.xls]B__2440"/>
      <sheetName val="[Spt-BH.xls][Spt-BH.xls]B__2441"/>
      <sheetName val="[Spt-BH.xls][Spt-BH.xls]_Sp_863"/>
      <sheetName val="[Spt-BH.xls][Spt-BH.xls]B__2442"/>
      <sheetName val="[Spt-BH.xls][Spt-BH.xls]B__2443"/>
      <sheetName val="[Spt-BH.xls]B____x005f_x0004______207"/>
      <sheetName val="[Spt-BH.xls]B___x005f_x0000__x000_204"/>
      <sheetName val="[Spt-BH.xls][Spt-BH.xls]B__2444"/>
      <sheetName val="[Spt-BH.xls][Spt-BH.xls]B__2445"/>
      <sheetName val="[Spt-BH.xls][Spt-BH.xls]_Sp_862"/>
      <sheetName val="[Spt-BH.xls][Spt-BH_xls]B__2428"/>
      <sheetName val="[Spt-BH.xls][Spt-BH_xls]B__2429"/>
      <sheetName val="[Spt-BH.xls][Spt-BH_xls]B__2430"/>
      <sheetName val="[Spt-BH.xls][Spt-BH_xls]B__2431"/>
      <sheetName val="[Spt-BH.xls][Spt-BH_xls]_Sp_800"/>
      <sheetName val="[Spt-BH.xls][Spt-BH_xls]B__2432"/>
      <sheetName val="[Spt-BH.xls][Spt-BH_xls]B__2433"/>
      <sheetName val="[Spt-BH.xls][Spt-BH_xls]B__2434"/>
      <sheetName val="[Spt-BH.xls][Spt-BH_xls]_Sp_801"/>
      <sheetName val="[Spt-BH.xls][Spt-BH_xls]B__2435"/>
      <sheetName val="[Spt-BH.xls][Spt-BH_xls]B__2436"/>
      <sheetName val="[Spt-BH.xls][Spt-BH_xls]B__2437"/>
      <sheetName val="[Spt-BH.xls][Spt-BH_xls]B__2438"/>
      <sheetName val="[Spt-BH.xls][Spt-BH_xls]_Sp_802"/>
      <sheetName val="[Spt-BH.xls][Spt-BH.xls]B__2439"/>
      <sheetName val="[Spt-BH.xls][Spt-BH.xls]_S_1017"/>
      <sheetName val="[Spt-BH.xls][Spt-BH.xls]B__2826"/>
      <sheetName val="[Spt-BH.xls][Spt-BH.xls]B__2827"/>
      <sheetName val="[Spt-BH.xls][Spt-BH.xls]_S_1019"/>
      <sheetName val="[Spt-BH.xls][Spt-BH.xls]B__2828"/>
      <sheetName val="[Spt-BH.xls][Spt-BH.xls]B__2829"/>
      <sheetName val="[Spt-BH.xls][Spt-BH.xls]B__2830"/>
      <sheetName val="[Spt-BH.xls][Spt-BH.xls]B__2831"/>
      <sheetName val="[Spt-BH.xls][Spt-BH.xls]_S_1018"/>
      <sheetName val="[Spt-BH.xls][Spt-BH.xls]B__2833"/>
      <sheetName val="[Spt-BH.xls][Spt-BH.xls]B__2834"/>
      <sheetName val="[Spt-BH.xls][Spt-BH.xls]_S_1021"/>
      <sheetName val="[Spt-BH.xls][Spt-BH.xls]B__2835"/>
      <sheetName val="[Spt-BH.xls][Spt-BH.xls]B__2836"/>
      <sheetName val="[Spt-BH.xls]B____x005f_x0004______229"/>
      <sheetName val="[Spt-BH.xls]B___x005f_x0000__x000_226"/>
      <sheetName val="[Spt-BH.xls][Spt-BH.xls]B__2837"/>
      <sheetName val="[Spt-BH.xls][Spt-BH.xls]B__2838"/>
      <sheetName val="[Spt-BH.xls][Spt-BH.xls]B__2832"/>
      <sheetName val="[Spt-BH.xls][Spt-BH.xls]_S_1020"/>
      <sheetName val="[Spt-BH.xls][Spt-BH_xls]B__2709"/>
      <sheetName val="[Spt-BH.xls][Spt-BH_xls]B__2710"/>
      <sheetName val="[Spt-BH.xls][Spt-BH_xls]B__2711"/>
      <sheetName val="[Spt-BH.xls][Spt-BH_xls]B__2712"/>
      <sheetName val="[Spt-BH.xls][Spt-BH_xls]_Sp_893"/>
      <sheetName val="[Spt-BH.xls][Spt-BH_xls]B__2713"/>
      <sheetName val="[Spt-BH.xls][Spt-BH_xls]B__2714"/>
      <sheetName val="[Spt-BH.xls][Spt-BH_xls]B__2715"/>
      <sheetName val="[Spt-BH.xls][Spt-BH_xls]_Sp_894"/>
      <sheetName val="[Spt-BH.xls][Spt-BH_xls]B__2716"/>
      <sheetName val="[Spt-BH.xls][Spt-BH_xls]B__2717"/>
      <sheetName val="[Spt-BH.xls][Spt-BH_xls]B__2718"/>
      <sheetName val="[Spt-BH.xls][Spt-BH_xls]B__2719"/>
      <sheetName val="[Spt-BH.xls][Spt-BH_xls]_Sp_895"/>
      <sheetName val="[Spt-BH.xls][Spt-BH_xls]B__2720"/>
      <sheetName val="[Spt-BH.xls][Spt-BH_xls]B__2721"/>
      <sheetName val="[Spt-BH.xls][Spt-BH_xls]_Sp_896"/>
      <sheetName val="[Spt-BH.xls][Spt-BH_xls]B__2722"/>
      <sheetName val="[Spt-BH.xls][Spt-BH_xls]B__2723"/>
      <sheetName val="[Spt-BH.xls][Spt-BH_xls]_Sp_897"/>
      <sheetName val="[Spt-BH.xls][Spt-BH.xls]B__2820"/>
      <sheetName val="[Spt-BH.xls][Spt-BH.xls]B__2821"/>
      <sheetName val="[Spt-BH.xls][Spt-BH.xls]B__2822"/>
      <sheetName val="[Spt-BH.xls][Spt-BH.xls]B__2823"/>
      <sheetName val="[Spt-BH.xls]B____x005f_x0004______228"/>
      <sheetName val="[Spt-BH.xls]B___x005f_x0000__x000_225"/>
      <sheetName val="[Spt-BH.xls][Spt-BH.xls]B__2824"/>
      <sheetName val="[Spt-BH.xls][Spt-BH.xls]B__2813"/>
      <sheetName val="[Spt-BH.xls][Spt-BH.xls]B__2814"/>
      <sheetName val="[Spt-BH.xls][Spt-BH.xls]_S_1015"/>
      <sheetName val="[Spt-BH.xls][Spt-BH.xls]B__2815"/>
      <sheetName val="[Spt-BH.xls][Spt-BH.xls]B__2816"/>
      <sheetName val="[Spt-BH.xls][Spt-BH.xls]B__2825"/>
      <sheetName val="[Spt-BH.xls][Spt-BH.xls]_S_1013"/>
      <sheetName val="[Spt-BH.xls][Spt-BH.xls]B__2817"/>
      <sheetName val="[Spt-BH.xls][Spt-BH.xls]B__2818"/>
      <sheetName val="[Spt-BH.xls][Spt-BH.xls]B__2819"/>
      <sheetName val="[Spt-BH.xls][Spt-BH.xls]_S_1016"/>
      <sheetName val="[Spt-BH.xls][Spt-BH_xls]B__2694"/>
      <sheetName val="[Spt-BH.xls][Spt-BH_xls]B__2695"/>
      <sheetName val="[Spt-BH.xls][Spt-BH_xls]B__2696"/>
      <sheetName val="[Spt-BH.xls][Spt-BH_xls]B__2697"/>
      <sheetName val="[Spt-BH.xls][Spt-BH_xls]_Sp_888"/>
      <sheetName val="[Spt-BH.xls][Spt-BH_xls]B__2698"/>
      <sheetName val="[Spt-BH.xls][Spt-BH_xls]B__2699"/>
      <sheetName val="[Spt-BH.xls][Spt-BH_xls]B__2700"/>
      <sheetName val="[Spt-BH.xls][Spt-BH_xls]_Sp_889"/>
      <sheetName val="[Spt-BH.xls][Spt-BH_xls]B__2701"/>
      <sheetName val="[Spt-BH.xls][Spt-BH_xls]B__2702"/>
      <sheetName val="[Spt-BH.xls][Spt-BH_xls]B__2703"/>
      <sheetName val="[Spt-BH.xls][Spt-BH_xls]B__2704"/>
      <sheetName val="[Spt-BH.xls][Spt-BH_xls]_Sp_890"/>
      <sheetName val="[Spt-BH.xls][Spt-BH.xls]_S_1014"/>
      <sheetName val="[Spt-BH.xls][Spt-BH_xls]B__2705"/>
      <sheetName val="[Spt-BH.xls][Spt-BH_xls]B__2706"/>
      <sheetName val="[Spt-BH.xls][Spt-BH_xls]_Sp_891"/>
      <sheetName val="[Spt-BH.xls][Spt-BH_xls]B__2707"/>
      <sheetName val="[Spt-BH.xls][Spt-BH_xls]B__2708"/>
      <sheetName val="[Spt-BH.xls][Spt-BH_xls]_Sp_892"/>
      <sheetName val="[Spt-BH.xls][Spt-BH.xls]_S_1011"/>
      <sheetName val="[Spt-BH.xls][Spt-BH.xls]B__2806"/>
      <sheetName val="[Spt-BH.xls][Spt-BH.xls]B__2807"/>
      <sheetName val="[Spt-BH.xls][Spt-BH.xls]B__2808"/>
      <sheetName val="[Spt-BH.xls][Spt-BH.xls]B__2809"/>
      <sheetName val="[Spt-BH.xls][Spt-BH.xls]B__2810"/>
      <sheetName val="[Spt-BH.xls][Spt-BH.xls]B__2811"/>
      <sheetName val="[Spt-BH.xls][Spt-BH.xls]_S_1012"/>
      <sheetName val="[Spt-BH.xls]B____x005f_x0004______227"/>
      <sheetName val="[Spt-BH.xls]B___x005f_x0000__x000_224"/>
      <sheetName val="[Spt-BH.xls][Spt-BH.xls]B__2812"/>
      <sheetName val="[Spt-BH.xls][Spt-BH_xls]B__2679"/>
      <sheetName val="[Spt-BH.xls][Spt-BH_xls]B__2680"/>
      <sheetName val="[Spt-BH.xls][Spt-BH_xls]B__2681"/>
      <sheetName val="[Spt-BH.xls][Spt-BH_xls]B__2682"/>
      <sheetName val="[Spt-BH.xls][Spt-BH_xls]_Sp_883"/>
      <sheetName val="[Spt-BH.xls][Spt-BH_xls]B__2683"/>
      <sheetName val="[Spt-BH.xls][Spt-BH_xls]B__2684"/>
      <sheetName val="[Spt-BH.xls][Spt-BH_xls]B__2685"/>
      <sheetName val="[Spt-BH.xls][Spt-BH_xls]_Sp_884"/>
      <sheetName val="[Spt-BH.xls][Spt-BH_xls]B__2686"/>
      <sheetName val="[Spt-BH.xls][Spt-BH_xls]B__2687"/>
      <sheetName val="[Spt-BH.xls][Spt-BH_xls]B__2688"/>
      <sheetName val="[Spt-BH.xls][Spt-BH_xls]B__2689"/>
      <sheetName val="[Spt-BH.xls][Spt-BH_xls]_Sp_885"/>
      <sheetName val="[Spt-BH.xls][Spt-BH_xls]B__2690"/>
      <sheetName val="[Spt-BH.xls][Spt-BH_xls]B__2691"/>
      <sheetName val="[Spt-BH.xls][Spt-BH_xls]_Sp_886"/>
      <sheetName val="[Spt-BH.xls][Spt-BH_xls]B__2692"/>
      <sheetName val="[Spt-BH.xls][Spt-BH_xls]B__2693"/>
      <sheetName val="[Spt-BH.xls][Spt-BH_xls]_Sp_887"/>
      <sheetName val="[Spt-BH.xls]B____x005f_x0004______209"/>
      <sheetName val="[Spt-BH.xls]B___x005f_x0000__x000_206"/>
      <sheetName val="[Spt-BH.xls][Spt-BH.xls]B__2449"/>
      <sheetName val="[Spt-BH.xls][Spt-BH.xls]B__2450"/>
      <sheetName val="[Spt-BH.xls][Spt-BH.xls]B__2451"/>
      <sheetName val="[Spt-BH.xls][Spt-BH.xls]B__2452"/>
      <sheetName val="[Spt-BH.xls][Spt-BH.xls]B__2453"/>
      <sheetName val="[Spt-BH.xls][Spt-BH.xls]B__2454"/>
      <sheetName val="[Spt-BH.xls][Spt-BH.xls]B__2455"/>
      <sheetName val="[Spt-BH.xls][Spt-BH_xls]B__2458"/>
      <sheetName val="[Spt-BH.xls][Spt-BH_xls]B__2459"/>
      <sheetName val="[Spt-BH.xls][Spt-BH_xls]B__2460"/>
      <sheetName val="[Spt-BH.xls][Spt-BH_xls]B__2461"/>
      <sheetName val="[Spt-BH.xls][Spt-BH_xls]_Sp_810"/>
      <sheetName val="[Spt-BH.xls][Spt-BH_xls]B__2462"/>
      <sheetName val="[Spt-BH.xls][Spt-BH_xls]B__2463"/>
      <sheetName val="[Spt-BH.xls][Spt-BH_xls]B__2464"/>
      <sheetName val="[Spt-BH.xls][Spt-BH_xls]_Sp_811"/>
      <sheetName val="[Spt-BH.xls][Spt-BH_xls]B__2465"/>
      <sheetName val="[Spt-BH.xls][Spt-BH_xls]B__2466"/>
      <sheetName val="[Spt-BH.xls][Spt-BH_xls]B__2467"/>
      <sheetName val="[Spt-BH.xls][Spt-BH_xls]B__2468"/>
      <sheetName val="[Spt-BH.xls][Spt-BH_xls]_Sp_812"/>
      <sheetName val="[Spt-BH.xls][Spt-BH_xls]B__2469"/>
      <sheetName val="[Spt-BH.xls][Spt-BH_xls]B__2470"/>
      <sheetName val="[Spt-BH.xls][Spt-BH_xls]_Sp_813"/>
      <sheetName val="[Spt-BH.xls][Spt-BH_xls]B__2471"/>
      <sheetName val="[Spt-BH.xls][Spt-BH_xls]B__2472"/>
      <sheetName val="[Spt-BH.xls][Spt-BH_xls]_Sp_814"/>
      <sheetName val="[Spt-BH.xls]B____x005f_x0004______208"/>
      <sheetName val="[Spt-BH.xls]B___x005f_x0000__x000_205"/>
      <sheetName val="[Spt-BH.xls][Spt-BH.xls]B__2446"/>
      <sheetName val="[Spt-BH.xls][Spt-BH.xls]B__2447"/>
      <sheetName val="[Spt-BH.xls][Spt-BH.xls]B__2448"/>
      <sheetName val="[Spt-BH.xls][Spt-BH_xls]B__2443"/>
      <sheetName val="[Spt-BH.xls][Spt-BH_xls]B__2444"/>
      <sheetName val="[Spt-BH.xls][Spt-BH_xls]B__2445"/>
      <sheetName val="[Spt-BH.xls][Spt-BH_xls]B__2446"/>
      <sheetName val="[Spt-BH.xls][Spt-BH_xls]_Sp_805"/>
      <sheetName val="[Spt-BH.xls][Spt-BH_xls]B__2447"/>
      <sheetName val="[Spt-BH.xls][Spt-BH_xls]B__2448"/>
      <sheetName val="[Spt-BH.xls][Spt-BH_xls]B__2449"/>
      <sheetName val="[Spt-BH.xls][Spt-BH_xls]_Sp_806"/>
      <sheetName val="[Spt-BH.xls][Spt-BH_xls]B__2450"/>
      <sheetName val="[Spt-BH.xls][Spt-BH_xls]B__2451"/>
      <sheetName val="[Spt-BH.xls][Spt-BH_xls]B__2452"/>
      <sheetName val="[Spt-BH.xls][Spt-BH_xls]B__2453"/>
      <sheetName val="[Spt-BH.xls][Spt-BH_xls]_Sp_807"/>
      <sheetName val="[Spt-BH.xls][Spt-BH_xls]B__2454"/>
      <sheetName val="[Spt-BH.xls][Spt-BH_xls]B__2455"/>
      <sheetName val="[Spt-BH.xls][Spt-BH_xls]_Sp_808"/>
      <sheetName val="[Spt-BH.xls][Spt-BH_xls]B__2456"/>
      <sheetName val="[Spt-BH.xls][Spt-BH_xls]B__2457"/>
      <sheetName val="[Spt-BH.xls][Spt-BH_xls]_Sp_809"/>
      <sheetName val="[Spt-BH.xls][Spt-BH_xls]B__2439"/>
      <sheetName val="[Spt-BH.xls][Spt-BH_xls]B__2440"/>
      <sheetName val="[Spt-BH.xls][Spt-BH_xls]_Sp_803"/>
      <sheetName val="[Spt-BH.xls][Spt-BH_xls]B__2441"/>
      <sheetName val="[Spt-BH.xls][Spt-BH_xls]B__2442"/>
      <sheetName val="[Spt-BH.xls][Spt-BH_xls]_Sp_804"/>
      <sheetName val="[Spt-BH.xls][Spt-BH.xls]_Sp_882"/>
      <sheetName val="[Spt-BH.xls][Spt-BH.xls]_Sp_881"/>
      <sheetName val="[Spt-BH.xls][Spt-BH.xls]_Sp_864"/>
      <sheetName val="[Spt-BH.xls][Spt-BH.xls]B__2456"/>
      <sheetName val="[Spt-BH.xls][Spt-BH.xls]B__2457"/>
      <sheetName val="[Spt-BH.xls][Spt-BH.xls]_Sp_866"/>
      <sheetName val="[Spt-BH.xls][Spt-BH.xls]B__2458"/>
      <sheetName val="[Spt-BH.xls][Spt-BH.xls]B__2459"/>
      <sheetName val="[Spt-BH.xls][Spt-BH.xls]B__2460"/>
      <sheetName val="[Spt-BH.xls][Spt-BH.xls]B__2461"/>
      <sheetName val="[Spt-BH.xls][Spt-BH.xls]_Sp_865"/>
      <sheetName val="[Spt-BH.xls][Spt-BH.xls]B__2462"/>
      <sheetName val="[Spt-BH.xls][Spt-BH.xls]B__2463"/>
      <sheetName val="[Spt-BH.xls][Spt-BH.xls]_Sp_868"/>
      <sheetName val="[Spt-BH.xls][Spt-BH.xls]B__2464"/>
      <sheetName val="[Spt-BH.xls][Spt-BH.xls]B__2465"/>
      <sheetName val="[Spt-BH.xls][Spt-BH.xls]B__2466"/>
      <sheetName val="[Spt-BH.xls][Spt-BH.xls]B__2467"/>
      <sheetName val="[Spt-BH.xls][Spt-BH.xls]_Sp_867"/>
      <sheetName val="[Spt-BH.xls][Spt-BH.xls]_Sp_869"/>
      <sheetName val="[Spt-BH.xls][Spt-BH.xls]B__2468"/>
      <sheetName val="[Spt-BH.xls][Spt-BH.xls]B__2469"/>
      <sheetName val="[Spt-BH.xls][Spt-BH.xls]_Sp_871"/>
      <sheetName val="[Spt-BH.xls][Spt-BH.xls]B__2470"/>
      <sheetName val="[Spt-BH.xls][Spt-BH.xls]B__2471"/>
      <sheetName val="[Spt-BH.xls][Spt-BH.xls]B__2472"/>
      <sheetName val="[Spt-BH.xls][Spt-BH.xls]B__2473"/>
      <sheetName val="[Spt-BH.xls][Spt-BH.xls]_Sp_870"/>
      <sheetName val="[Spt-BH.xls][Spt-BH.xls]B__2481"/>
      <sheetName val="[Spt-BH.xls][Spt-BH.xls]B__2482"/>
      <sheetName val="[Spt-BH.xls][Spt-BH.xls]_Sp_877"/>
      <sheetName val="[Spt-BH.xls][Spt-BH.xls]B__2483"/>
      <sheetName val="[Spt-BH.xls][Spt-BH.xls]B__2484"/>
      <sheetName val="[Spt-BH.xls][Spt-BH.xls]B__2485"/>
      <sheetName val="[Spt-BH.xls][Spt-BH.xls]B__2474"/>
      <sheetName val="[Spt-BH.xls][Spt-BH.xls]B__2475"/>
      <sheetName val="[Spt-BH.xls][Spt-BH.xls]_Sp_873"/>
      <sheetName val="[Spt-BH.xls][Spt-BH.xls]B__2476"/>
      <sheetName val="[Spt-BH.xls][Spt-BH.xls]B__2477"/>
      <sheetName val="[Spt-BH.xls][Spt-BH.xls]B__2486"/>
      <sheetName val="[Spt-BH.xls][Spt-BH.xls]B__2478"/>
      <sheetName val="[Spt-BH.xls][Spt-BH.xls]B__2479"/>
      <sheetName val="[Spt-BH.xls][Spt-BH.xls]B__2480"/>
      <sheetName val="[Spt-BH.xls][Spt-BH.xls]_Sp_872"/>
      <sheetName val="[Spt-BH.xls][Spt-BH.xls]_Sp_874"/>
      <sheetName val="[Spt-BH.xls][Spt-BH.xls]B__2501"/>
      <sheetName val="[Spt-BH.xls][Spt-BH.xls]B__2502"/>
      <sheetName val="[Spt-BH.xls][Spt-BH.xls]_Sp_879"/>
      <sheetName val="[Spt-BH.xls][Spt-BH.xls]B__2503"/>
      <sheetName val="[Spt-BH.xls][Spt-BH.xls]B__2504"/>
      <sheetName val="[Spt-BH.xls][Spt-BH.xls]B__2505"/>
      <sheetName val="[Spt-BH.xls][Spt-BH.xls]B__2506"/>
      <sheetName val="[Spt-BH.xls][Spt-BH.xls]B__2487"/>
      <sheetName val="[Spt-BH.xls][Spt-BH.xls]_Sp_878"/>
      <sheetName val="[Spt-BH.xls][Spt-BH.xls]_Sp_875"/>
      <sheetName val="[Spt-BH.xls][Spt-BH.xls]B__2495"/>
      <sheetName val="[Spt-BH.xls][Spt-BH.xls]B__2496"/>
      <sheetName val="[Spt-BH.xls][Spt-BH.xls]B__2497"/>
      <sheetName val="[Spt-BH.xls][Spt-BH.xls]B__2498"/>
      <sheetName val="[Spt-BH.xls][Spt-BH.xls]B__2499"/>
      <sheetName val="[Spt-BH.xls][Spt-BH.xls]B__2500"/>
      <sheetName val="[Spt-BH.xls][Spt-BH.xls]_Sp_876"/>
      <sheetName val="[Spt-BH.xls][Spt-BH.xls]B__2489"/>
      <sheetName val="[Spt-BH.xls][Spt-BH.xls]B__2490"/>
      <sheetName val="[Spt-BH.xls][Spt-BH.xls]B__2491"/>
      <sheetName val="[Spt-BH.xls][Spt-BH.xls]B__2492"/>
      <sheetName val="[Spt-BH.xls][Spt-BH.xls]B__2493"/>
      <sheetName val="[Spt-BH.xls][Spt-BH.xls]B__2494"/>
      <sheetName val="[Spt-BH.xls][Spt-BH.xls]B__2488"/>
      <sheetName val="[Spt-BH.xls][Spt-BH.xls]_Sp_880"/>
      <sheetName val="[Spt-BH.xls][Spt-BH.xls]B__2507"/>
      <sheetName val="[Spt-BH.xls][Spt-BH.xls]B__2508"/>
      <sheetName val="[Spt-BH.xls][Spt-BH.xls]_Sp_885"/>
      <sheetName val="[Spt-BH.xls][Spt-BH.xls]B__2509"/>
      <sheetName val="[Spt-BH.xls][Spt-BH.xls]B__2510"/>
      <sheetName val="[Spt-BH.xls][Spt-BH.xls]B__2511"/>
      <sheetName val="[Spt-BH.xls][Spt-BH.xls]_Sp_883"/>
      <sheetName val="[Spt-BH.xls][Spt-BH.xls]B__2512"/>
      <sheetName val="[Spt-BH.xls][Spt-BH.xls]_Sp_884"/>
      <sheetName val="[Spt-BH.xls][Spt-BH.xls]B__2514"/>
      <sheetName val="[Spt-BH.xls][Spt-BH.xls]B__2515"/>
      <sheetName val="[Spt-BH.xls][Spt-BH.xls]_Sp_887"/>
      <sheetName val="[Spt-BH.xls][Spt-BH.xls]B__2516"/>
      <sheetName val="[Spt-BH.xls][Spt-BH.xls]B__2517"/>
      <sheetName val="[Spt-BH.xls][Spt-BH.xls]B__2518"/>
      <sheetName val="[Spt-BH.xls][Spt-BH.xls]B__2519"/>
      <sheetName val="[Spt-BH.xls][Spt-BH.xls]B__2513"/>
      <sheetName val="[Spt-BH.xls][Spt-BH.xls]_Sp_886"/>
      <sheetName val="[Spt-BH.xls][Spt-BH.xls]_Sp_888"/>
      <sheetName val="[Spt-BH.xls][Spt-BH.xls]B__2520"/>
      <sheetName val="[Spt-BH.xls][Spt-BH.xls]B__2521"/>
      <sheetName val="[Spt-BH.xls][Spt-BH.xls]_Sp_890"/>
      <sheetName val="[Spt-BH.xls][Spt-BH.xls]B__2522"/>
      <sheetName val="[Spt-BH.xls][Spt-BH.xls]B__2523"/>
      <sheetName val="[Spt-BH.xls][Spt-BH.xls]B__2524"/>
      <sheetName val="[Spt-BH.xls][Spt-BH.xls]B__2525"/>
      <sheetName val="[Spt-BH.xls][Spt-BH.xls]_Sp_889"/>
      <sheetName val="[Spt-BH.xls][Spt-BH.xls]B__2539"/>
      <sheetName val="[Spt-BH.xls][Spt-BH.xls]B__2540"/>
      <sheetName val="[Spt-BH.xls][Spt-BH.xls]_Sp_897"/>
      <sheetName val="[Spt-BH.xls][Spt-BH.xls]B__2541"/>
      <sheetName val="[Spt-BH.xls][Spt-BH.xls]B__2542"/>
      <sheetName val="[Spt-BH.xls]B____x005f_x0004______210"/>
      <sheetName val="[Spt-BH.xls]B___x005f_x0000__x000_207"/>
      <sheetName val="[Spt-BH.xls][Spt-BH.xls]B__2543"/>
      <sheetName val="[Spt-BH.xls][Spt-BH.xls]B__2526"/>
      <sheetName val="[Spt-BH.xls][Spt-BH.xls]B__2527"/>
      <sheetName val="[Spt-BH.xls][Spt-BH.xls]_Sp_894"/>
      <sheetName val="[Spt-BH.xls][Spt-BH.xls]B__2528"/>
      <sheetName val="[Spt-BH.xls][Spt-BH.xls]B__2529"/>
      <sheetName val="[Spt-BH.xls][Spt-BH.xls]B__2544"/>
      <sheetName val="[Spt-BH.xls][Spt-BH.xls]B__2530"/>
      <sheetName val="[Spt-BH.xls][Spt-BH.xls]B__2531"/>
      <sheetName val="[Spt-BH.xls][Spt-BH.xls]_Sp_895"/>
      <sheetName val="[Spt-BH.xls][Spt-BH.xls]B__2532"/>
      <sheetName val="[Spt-BH.xls][Spt-BH.xls]_Sp_891"/>
      <sheetName val="[Spt-BH.xls][Spt-BH.xls]B__2533"/>
      <sheetName val="[Spt-BH.xls][Spt-BH.xls]B__2534"/>
      <sheetName val="[Spt-BH.xls][Spt-BH.xls]B__2535"/>
      <sheetName val="[Spt-BH.xls][Spt-BH.xls]B__2536"/>
      <sheetName val="[Spt-BH.xls][Spt-BH.xls]B__2537"/>
      <sheetName val="[Spt-BH.xls][Spt-BH.xls]_Sp_892"/>
      <sheetName val="[Spt-BH.xls][Spt-BH.xls]B__2538"/>
      <sheetName val="[Spt-BH.xls][Spt-BH.xls]_Sp_893"/>
      <sheetName val="[Spt-BH.xls][Spt-BH.xls]_Sp_896"/>
      <sheetName val="[Spt-BH.xls][Spt-BH.xls]B__2545"/>
      <sheetName val="[Spt-BH.xls][Spt-BH.xls]B__2546"/>
      <sheetName val="[Spt-BH.xls][Spt-BH.xls]_Sp_999"/>
      <sheetName val="[Spt-BH.xls][Spt-BH.xls]B__2547"/>
      <sheetName val="[Spt-BH.xls][Spt-BH.xls]B__2548"/>
      <sheetName val="[Spt-BH.xls][Spt-BH.xls]B__2549"/>
      <sheetName val="[Spt-BH.xls][Spt-BH.xls]B__2550"/>
      <sheetName val="[Spt-BH.xls][Spt-BH.xls]_Sp_898"/>
      <sheetName val="[Spt-BH.xls][Spt-BH.xls]B__2558"/>
      <sheetName val="[Spt-BH.xls][Spt-BH.xls]B__2559"/>
      <sheetName val="[Spt-BH.xls][Spt-BH.xls]_Sp_901"/>
      <sheetName val="[Spt-BH.xls][Spt-BH.xls]B__2560"/>
      <sheetName val="[Spt-BH.xls][Spt-BH.xls]B__2561"/>
      <sheetName val="[Spt-BH.xls]B____x005f_x0004______211"/>
      <sheetName val="[Spt-BH.xls]B___x005f_x0000__x000_208"/>
      <sheetName val="[Spt-BH.xls][Spt-BH.xls]B__2562"/>
      <sheetName val="[Spt-BH.xls][Spt-BH.xls]B__2563"/>
      <sheetName val="[Spt-BH.xls][Spt-BH.xls]B__2551"/>
      <sheetName val="[Spt-BH.xls][Spt-BH.xls]B__2552"/>
      <sheetName val="[Spt-BH.xls][Spt-BH.xls]B__2553"/>
      <sheetName val="[Spt-BH.xls][Spt-BH.xls]B__2554"/>
      <sheetName val="[Spt-BH.xls][Spt-BH.xls]B__2555"/>
      <sheetName val="[Spt-BH.xls][Spt-BH.xls]B__2556"/>
      <sheetName val="[Spt-BH.xls][Spt-BH.xls]B__2557"/>
      <sheetName val="[Spt-BH.xls][Spt-BH.xls]_Sp_899"/>
      <sheetName val="[Spt-BH.xls][Spt-BH.xls]_Sp_900"/>
      <sheetName val="[Spt-BH.xls][Spt-BH.xls]_Sp_905"/>
      <sheetName val="[Spt-BH.xls][Spt-BH.xls]B__2577"/>
      <sheetName val="[Spt-BH.xls][Spt-BH.xls]B__2578"/>
      <sheetName val="[Spt-BH.xls][Spt-BH.xls]_Sp_907"/>
      <sheetName val="[Spt-BH.xls][Spt-BH.xls]B__2579"/>
      <sheetName val="[Spt-BH.xls][Spt-BH.xls]B__2580"/>
      <sheetName val="[Spt-BH.xls][Spt-BH.xls]B__2581"/>
      <sheetName val="[Spt-BH.xls][Spt-BH.xls]B__2584"/>
      <sheetName val="[Spt-BH.xls][Spt-BH.xls]B__2585"/>
      <sheetName val="[Spt-BH.xls][Spt-BH.xls]_Sp_909"/>
      <sheetName val="[Spt-BH.xls][Spt-BH.xls]B__2586"/>
      <sheetName val="[Spt-BH.xls][Spt-BH.xls]B__2587"/>
      <sheetName val="[Spt-BH.xls]B____x005f_x0004______213"/>
      <sheetName val="[Spt-BH.xls]B___x005f_x0000__x000_210"/>
      <sheetName val="[Spt-BH.xls][Spt-BH.xls]B__2588"/>
      <sheetName val="[Spt-BH.xls][Spt-BH.xls]B__2589"/>
      <sheetName val="[Spt-BH.xls][Spt-BH.xls]B__2582"/>
      <sheetName val="[Spt-BH.xls][Spt-BH.xls]B__2583"/>
      <sheetName val="[Spt-BH.xls][Spt-BH.xls]_Sp_908"/>
      <sheetName val="[Spt-BH.xls][Spt-BH_xls]B__2484"/>
      <sheetName val="[Spt-BH.xls][Spt-BH_xls]B__2485"/>
      <sheetName val="[Spt-BH.xls][Spt-BH_xls]B__2486"/>
      <sheetName val="[Spt-BH.xls][Spt-BH_xls]B__2487"/>
      <sheetName val="[Spt-BH.xls][Spt-BH_xls]_Sp_818"/>
      <sheetName val="[Spt-BH.xls][Spt-BH_xls]B__2488"/>
      <sheetName val="[Spt-BH.xls][Spt-BH_xls]B__2489"/>
      <sheetName val="[Spt-BH.xls][Spt-BH_xls]B__2490"/>
      <sheetName val="[Spt-BH.xls][Spt-BH_xls]_Sp_819"/>
      <sheetName val="[Spt-BH.xls][Spt-BH_xls]B__2491"/>
      <sheetName val="[Spt-BH.xls][Spt-BH_xls]B__2492"/>
      <sheetName val="[Spt-BH.xls][Spt-BH_xls]B__2493"/>
      <sheetName val="[Spt-BH.xls][Spt-BH_xls]B__2494"/>
      <sheetName val="[Spt-BH.xls][Spt-BH_xls]_Sp_820"/>
      <sheetName val="[Spt-BH.xls][Spt-BH.xls]_Sp_906"/>
      <sheetName val="[Spt-BH.xls][Spt-BH_xls]B__2495"/>
      <sheetName val="[Spt-BH.xls][Spt-BH_xls]B__2496"/>
      <sheetName val="[Spt-BH.xls][Spt-BH_xls]_Sp_821"/>
      <sheetName val="[Spt-BH.xls][Spt-BH_xls]B__2497"/>
      <sheetName val="[Spt-BH.xls][Spt-BH_xls]B__2498"/>
      <sheetName val="[Spt-BH.xls][Spt-BH_xls]_Sp_822"/>
      <sheetName val="[Spt-BH.xls][Spt-BH.xls]B__2564"/>
      <sheetName val="[Spt-BH.xls][Spt-BH.xls]B__2565"/>
      <sheetName val="[Spt-BH.xls][Spt-BH.xls]B__2566"/>
      <sheetName val="[Spt-BH.xls][Spt-BH.xls]B__2567"/>
      <sheetName val="[Spt-BH.xls][Spt-BH.xls]B__2568"/>
      <sheetName val="[Spt-BH.xls][Spt-BH.xls]B__2569"/>
      <sheetName val="[Spt-BH.xls][Spt-BH.xls]_Sp_902"/>
      <sheetName val="[Spt-BH.xls][Spt-BH.xls]_Sp_903"/>
      <sheetName val="[Spt-BH.xls][Spt-BH.xls]B__2570"/>
      <sheetName val="[Spt-BH.xls][Spt-BH.xls]B__2571"/>
      <sheetName val="[Spt-BH.xls][Spt-BH.xls]B__2572"/>
      <sheetName val="[Spt-BH.xls][Spt-BH.xls]B__2573"/>
      <sheetName val="[Spt-BH.xls][Spt-BH.xls]B__2574"/>
      <sheetName val="[Spt-BH.xls]B____x005f_x0004______212"/>
      <sheetName val="[Spt-BH.xls]B___x005f_x0000__x000_209"/>
      <sheetName val="[Spt-BH.xls][Spt-BH.xls]B__2575"/>
      <sheetName val="[Spt-BH.xls][Spt-BH.xls]B__2576"/>
      <sheetName val="[Spt-BH.xls][Spt-BH_xls]B__2473"/>
      <sheetName val="[Spt-BH.xls][Spt-BH_xls]B__2474"/>
      <sheetName val="[Spt-BH.xls][Spt-BH_xls]B__2475"/>
      <sheetName val="[Spt-BH.xls][Spt-BH_xls]B__2476"/>
      <sheetName val="[Spt-BH.xls][Spt-BH_xls]B__2477"/>
      <sheetName val="[Spt-BH.xls][Spt-BH_xls]B__2478"/>
      <sheetName val="[Spt-BH.xls][Spt-BH_xls]B__2479"/>
      <sheetName val="[Spt-BH.xls][Spt-BH_xls]_Sp_815"/>
      <sheetName val="[Spt-BH.xls][Spt-BH.xls]_Sp_904"/>
      <sheetName val="[Spt-BH.xls][Spt-BH_xls]B__2480"/>
      <sheetName val="[Spt-BH.xls][Spt-BH_xls]B__2481"/>
      <sheetName val="[Spt-BH.xls][Spt-BH_xls]_Sp_816"/>
      <sheetName val="[Spt-BH.xls][Spt-BH_xls]B__2482"/>
      <sheetName val="[Spt-BH.xls][Spt-BH_xls]B__2483"/>
      <sheetName val="[Spt-BH.xls][Spt-BH_xls]_Sp_817"/>
      <sheetName val="[Spt-BH.xls][Spt-BH.xls]_Sp_910"/>
      <sheetName val="[Spt-BH.xls][Spt-BH.xls]B__2590"/>
      <sheetName val="[Spt-BH.xls][Spt-BH.xls]B__2591"/>
      <sheetName val="[Spt-BH.xls][Spt-BH.xls]_Sp_915"/>
      <sheetName val="[Spt-BH.xls][Spt-BH.xls]B__2592"/>
      <sheetName val="[Spt-BH.xls][Spt-BH.xls]B__2593"/>
      <sheetName val="[Spt-BH.xls][Spt-BH.xls]B__2594"/>
      <sheetName val="[Spt-BH.xls][Spt-BH.xls]B__2595"/>
      <sheetName val="[Spt-BH.xls][Spt-BH.xls]_Sp_911"/>
      <sheetName val="[Spt-BH.xls][Spt-BH.xls]B__2602"/>
      <sheetName val="[Spt-BH.xls][Spt-BH.xls]B__2603"/>
      <sheetName val="[Spt-BH.xls][Spt-BH.xls]_Sp_917"/>
      <sheetName val="[Spt-BH.xls][Spt-BH.xls]B__2604"/>
      <sheetName val="[Spt-BH.xls][Spt-BH.xls]B__2605"/>
      <sheetName val="[Spt-BH.xls][Spt-BH.xls]B__2606"/>
      <sheetName val="[Spt-BH.xls][Spt-BH.xls]B__2607"/>
      <sheetName val="[Spt-BH.xls][Spt-BH.xls]_Sp_916"/>
      <sheetName val="[Spt-BH.xls][Spt-BH.xls]_Sp_912"/>
      <sheetName val="[Spt-BH.xls][Spt-BH.xls]_Sp_913"/>
      <sheetName val="[Spt-BH.xls][Spt-BH.xls]B__2596"/>
      <sheetName val="[Spt-BH.xls][Spt-BH.xls]B__2597"/>
      <sheetName val="[Spt-BH.xls][Spt-BH.xls]B__2598"/>
      <sheetName val="[Spt-BH.xls][Spt-BH.xls]B__2599"/>
      <sheetName val="[Spt-BH.xls][Spt-BH.xls]B__2600"/>
      <sheetName val="[Spt-BH.xls][Spt-BH.xls]B__2601"/>
      <sheetName val="[Spt-BH.xls][Spt-BH.xls]_Sp_914"/>
      <sheetName val="[Spt-BH.xls][Spt-BH.xls]B__2692"/>
      <sheetName val="[Spt-BH.xls][Spt-BH.xls]B__2693"/>
      <sheetName val="[Spt-BH.xls][Spt-BH.xls]_Sp_964"/>
      <sheetName val="[Spt-BH.xls][Spt-BH.xls]B__2694"/>
      <sheetName val="[Spt-BH.xls][Spt-BH.xls]B__2695"/>
      <sheetName val="[Spt-BH.xls]B____x005f_x0004______219"/>
      <sheetName val="[Spt-BH.xls]B___x005f_x0000__x000_216"/>
      <sheetName val="[Spt-BH.xls][Spt-BH.xls]B__2696"/>
      <sheetName val="[Spt-BH.xls][Spt-BH.xls]B__2685"/>
      <sheetName val="[Spt-BH.xls][Spt-BH.xls]B__2686"/>
      <sheetName val="[Spt-BH.xls][Spt-BH.xls]_Sp_962"/>
      <sheetName val="[Spt-BH.xls][Spt-BH.xls]B__2687"/>
      <sheetName val="[Spt-BH.xls][Spt-BH.xls]B__2688"/>
      <sheetName val="[Spt-BH.xls][Spt-BH.xls]B__2697"/>
      <sheetName val="[Spt-BH.xls][Spt-BH.xls]_Sp_960"/>
      <sheetName val="[Spt-BH.xls][Spt-BH.xls]B__2689"/>
      <sheetName val="[Spt-BH.xls][Spt-BH.xls]B__2690"/>
      <sheetName val="[Spt-BH.xls][Spt-BH.xls]B__2691"/>
      <sheetName val="[Spt-BH.xls][Spt-BH.xls]_Sp_963"/>
      <sheetName val="[Spt-BH.xls][Spt-BH_xls]B__2570"/>
      <sheetName val="[Spt-BH.xls][Spt-BH_xls]B__2571"/>
      <sheetName val="[Spt-BH.xls][Spt-BH_xls]B__2572"/>
      <sheetName val="[Spt-BH.xls][Spt-BH_xls]B__2573"/>
      <sheetName val="[Spt-BH.xls][Spt-BH_xls]_Sp_846"/>
      <sheetName val="[Spt-BH.xls][Spt-BH_xls]B__2574"/>
      <sheetName val="[Spt-BH.xls][Spt-BH_xls]B__2575"/>
      <sheetName val="[Spt-BH.xls][Spt-BH_xls]B__2576"/>
      <sheetName val="[Spt-BH.xls][Spt-BH_xls]_Sp_847"/>
      <sheetName val="[Spt-BH.xls][Spt-BH_xls]B__2577"/>
      <sheetName val="[Spt-BH.xls][Spt-BH_xls]B__2578"/>
      <sheetName val="[Spt-BH.xls][Spt-BH_xls]B__2579"/>
      <sheetName val="[Spt-BH.xls][Spt-BH_xls]B__2580"/>
      <sheetName val="[Spt-BH.xls][Spt-BH_xls]_Sp_848"/>
      <sheetName val="[Spt-BH.xls][Spt-BH.xls]_Sp_961"/>
      <sheetName val="[Spt-BH.xls][Spt-BH_xls]B__2581"/>
      <sheetName val="[Spt-BH.xls][Spt-BH_xls]B__2582"/>
      <sheetName val="[Spt-BH.xls][Spt-BH_xls]_Sp_849"/>
      <sheetName val="[Spt-BH.xls][Spt-BH_xls]B__2583"/>
      <sheetName val="[Spt-BH.xls][Spt-BH_xls]B__2584"/>
      <sheetName val="[Spt-BH.xls][Spt-BH_xls]_Sp_850"/>
      <sheetName val="[Spt-BH.xls][Spt-BH.xls]_Sp_939"/>
      <sheetName val="[Spt-BH.xls][Spt-BH.xls]_Sp_929"/>
      <sheetName val="[Spt-BH.xls][Spt-BH.xls]B__2626"/>
      <sheetName val="[Spt-BH.xls][Spt-BH.xls]B__2627"/>
      <sheetName val="[Spt-BH.xls][Spt-BH.xls]_Sp_933"/>
      <sheetName val="[Spt-BH.xls][Spt-BH.xls]B__2628"/>
      <sheetName val="[Spt-BH.xls][Spt-BH.xls]B__2629"/>
      <sheetName val="[Spt-BH.xls][Spt-BH.xls]B__2630"/>
      <sheetName val="[Spt-BH.xls][Spt-BH.xls]B__2631"/>
      <sheetName val="[Spt-BH.xls][Spt-BH.xls]_Sp_930"/>
      <sheetName val="[Spt-BH.xls][Spt-BH.xls]_Sp_919"/>
      <sheetName val="[Spt-BH.xls][Spt-BH.xls]B__2614"/>
      <sheetName val="[Spt-BH.xls][Spt-BH.xls]B__2615"/>
      <sheetName val="[Spt-BH.xls][Spt-BH.xls]_Sp_924"/>
      <sheetName val="[Spt-BH.xls][Spt-BH.xls]B__2616"/>
      <sheetName val="[Spt-BH.xls][Spt-BH.xls]B__2617"/>
      <sheetName val="[Spt-BH.xls][Spt-BH.xls]B__2618"/>
      <sheetName val="[Spt-BH.xls][Spt-BH.xls]B__2619"/>
      <sheetName val="[Spt-BH.xls][Spt-BH.xls]_Sp_920"/>
      <sheetName val="[Spt-BH.xls][Spt-BH.xls]B__2608"/>
      <sheetName val="[Spt-BH.xls][Spt-BH.xls]B__2609"/>
      <sheetName val="[Spt-BH.xls][Spt-BH.xls]B__2610"/>
      <sheetName val="[Spt-BH.xls][Spt-BH.xls]B__2611"/>
      <sheetName val="[Spt-BH.xls][Spt-BH.xls]B__2612"/>
      <sheetName val="[Spt-BH.xls][Spt-BH.xls]B__2613"/>
      <sheetName val="[Spt-BH.xls][Spt-BH.xls]_Sp_918"/>
      <sheetName val="[Spt-BH.xls][Spt-BH.xls]_Sp_921"/>
      <sheetName val="[Spt-BH.xls][Spt-BH.xls]_Sp_922"/>
      <sheetName val="[Spt-BH.xls][Spt-BH.xls]_Sp_923"/>
      <sheetName val="[Spt-BH.xls][Spt-BH.xls]_Sp_926"/>
      <sheetName val="[Spt-BH.xls][Spt-BH.xls]_Sp_925"/>
      <sheetName val="[Spt-BH.xls][Spt-BH.xls]_Sp_927"/>
      <sheetName val="[Spt-BH.xls][Spt-BH.xls]B__2620"/>
      <sheetName val="[Spt-BH.xls][Spt-BH.xls]B__2621"/>
      <sheetName val="[Spt-BH.xls][Spt-BH.xls]B__2622"/>
      <sheetName val="[Spt-BH.xls][Spt-BH.xls]B__2623"/>
      <sheetName val="[Spt-BH.xls][Spt-BH.xls]B__2624"/>
      <sheetName val="[Spt-BH.xls][Spt-BH.xls]B__2625"/>
      <sheetName val="[Spt-BH.xls][Spt-BH.xls]_Sp_928"/>
      <sheetName val="[Spt-BH.xls][Spt-BH.xls]_Sp_931"/>
      <sheetName val="[Spt-BH.xls][Spt-BH.xls]_Sp_932"/>
      <sheetName val="[Spt-BH.xls][Spt-BH.xls]_Sp_934"/>
      <sheetName val="[Spt-BH.xls][Spt-BH.xls]_Sp_935"/>
      <sheetName val="[Spt-BH.xls][Spt-BH.xls]_Sp_936"/>
      <sheetName val="[Spt-BH.xls][Spt-BH.xls]_Sp_937"/>
      <sheetName val="[Spt-BH.xls][Spt-BH.xls]_Sp_938"/>
      <sheetName val="[Spt-BH.xls][Spt-BH.xls]B__2639"/>
      <sheetName val="[Spt-BH.xls][Spt-BH.xls]B__2640"/>
      <sheetName val="[Spt-BH.xls][Spt-BH.xls]_Sp_946"/>
      <sheetName val="[Spt-BH.xls][Spt-BH.xls]B__2641"/>
      <sheetName val="[Spt-BH.xls][Spt-BH.xls]B__2642"/>
      <sheetName val="[Spt-BH.xls]B____x005f_x0004______214"/>
      <sheetName val="[Spt-BH.xls]B___x005f_x0000__x000_211"/>
      <sheetName val="[Spt-BH.xls][Spt-BH.xls]B__2643"/>
      <sheetName val="[Spt-BH.xls][Spt-BH.xls]B__2632"/>
      <sheetName val="[Spt-BH.xls][Spt-BH.xls]B__2633"/>
      <sheetName val="[Spt-BH.xls][Spt-BH.xls]_Sp_941"/>
      <sheetName val="[Spt-BH.xls][Spt-BH.xls]B__2634"/>
      <sheetName val="[Spt-BH.xls][Spt-BH.xls]B__2635"/>
      <sheetName val="[Spt-BH.xls][Spt-BH.xls]B__2644"/>
      <sheetName val="[Spt-BH.xls][Spt-BH.xls]_Sp_942"/>
      <sheetName val="[Spt-BH.xls][Spt-BH_xls]B__2499"/>
      <sheetName val="[Spt-BH.xls][Spt-BH_xls]B__2500"/>
      <sheetName val="[Spt-BH.xls][Spt-BH_xls]B__2501"/>
      <sheetName val="[Spt-BH.xls][Spt-BH_xls]B__2502"/>
      <sheetName val="[Spt-BH.xls][Spt-BH_xls]_Sp_823"/>
      <sheetName val="[Spt-BH.xls][Spt-BH_xls]B__2503"/>
      <sheetName val="[Spt-BH.xls][Spt-BH_xls]B__2504"/>
      <sheetName val="[Spt-BH.xls][Spt-BH_xls]B__2505"/>
      <sheetName val="[Spt-BH.xls][Spt-BH_xls]_Sp_824"/>
      <sheetName val="[Spt-BH.xls][Spt-BH_xls]B__2506"/>
      <sheetName val="[Spt-BH.xls][Spt-BH_xls]B__2507"/>
      <sheetName val="[Spt-BH.xls][Spt-BH_xls]B__2508"/>
      <sheetName val="[Spt-BH.xls][Spt-BH_xls]B__2509"/>
      <sheetName val="[Spt-BH.xls][Spt-BH_xls]_Sp_825"/>
      <sheetName val="[Spt-BH.xls][Spt-BH.xls]_Sp_940"/>
      <sheetName val="[Spt-BH.xls][Spt-BH.xls]B__2636"/>
      <sheetName val="[Spt-BH.xls][Spt-BH.xls]B__2637"/>
      <sheetName val="[Spt-BH.xls][Spt-BH.xls]B__2638"/>
      <sheetName val="[Spt-BH.xls][Spt-BH.xls]_Sp_943"/>
      <sheetName val="[Spt-BH.xls][Spt-BH.xls]_Sp_944"/>
      <sheetName val="[Spt-BH.xls][Spt-BH.xls]_Sp_945"/>
      <sheetName val="[Spt-BH.xls][Spt-BH.xls]_Sp_951"/>
      <sheetName val="[Spt-BH.xls][Spt-BH.xls]B__2659"/>
      <sheetName val="[Spt-BH.xls][Spt-BH.xls]B__2660"/>
      <sheetName val="[Spt-BH.xls][Spt-BH.xls]_Sp_955"/>
      <sheetName val="[Spt-BH.xls][Spt-BH.xls]B__2661"/>
      <sheetName val="[Spt-BH.xls][Spt-BH.xls]B__2662"/>
      <sheetName val="[Spt-BH.xls][Spt-BH.xls]B__2663"/>
      <sheetName val="[Spt-BH.xls][Spt-BH.xls]B__2672"/>
      <sheetName val="[Spt-BH.xls][Spt-BH.xls]B__2673"/>
      <sheetName val="[Spt-BH.xls][Spt-BH.xls]_Sp_957"/>
      <sheetName val="[Spt-BH.xls][Spt-BH.xls]B__2674"/>
      <sheetName val="[Spt-BH.xls][Spt-BH.xls]B__2675"/>
      <sheetName val="[Spt-BH.xls]B____x005f_x0004______217"/>
      <sheetName val="[Spt-BH.xls]B___x005f_x0000__x000_214"/>
      <sheetName val="[Spt-BH.xls][Spt-BH.xls]B__2676"/>
      <sheetName val="[Spt-BH.xls][Spt-BH.xls]B__2677"/>
      <sheetName val="[Spt-BH.xls][Spt-BH.xls]B__2664"/>
      <sheetName val="[Spt-BH.xls][Spt-BH.xls]B__2665"/>
      <sheetName val="[Spt-BH.xls][Spt-BH.xls]_Sp_956"/>
      <sheetName val="[Spt-BH.xls][Spt-BH_xls]B__2540"/>
      <sheetName val="[Spt-BH.xls][Spt-BH_xls]B__2541"/>
      <sheetName val="[Spt-BH.xls][Spt-BH_xls]B__2542"/>
      <sheetName val="[Spt-BH.xls][Spt-BH_xls]B__2543"/>
      <sheetName val="[Spt-BH.xls][Spt-BH_xls]_Sp_836"/>
      <sheetName val="[Spt-BH.xls][Spt-BH_xls]B__2544"/>
      <sheetName val="[Spt-BH.xls][Spt-BH_xls]B__2545"/>
      <sheetName val="[Spt-BH.xls][Spt-BH_xls]B__2546"/>
      <sheetName val="[Spt-BH.xls][Spt-BH_xls]_Sp_837"/>
      <sheetName val="[Spt-BH.xls][Spt-BH_xls]B__2547"/>
      <sheetName val="[Spt-BH.xls][Spt-BH_xls]B__2548"/>
      <sheetName val="[Spt-BH.xls][Spt-BH_xls]B__2549"/>
      <sheetName val="[Spt-BH.xls][Spt-BH_xls]B__2550"/>
      <sheetName val="[Spt-BH.xls][Spt-BH_xls]_Sp_838"/>
      <sheetName val="[Spt-BH.xls][Spt-BH.xls]_Sp_952"/>
      <sheetName val="[Spt-BH.xls][Spt-BH_xls]B__2551"/>
      <sheetName val="[Spt-BH.xls][Spt-BH_xls]B__2552"/>
      <sheetName val="[Spt-BH.xls][Spt-BH_xls]_Sp_839"/>
      <sheetName val="[Spt-BH.xls][Spt-BH_xls]B__2553"/>
      <sheetName val="[Spt-BH.xls][Spt-BH_xls]B__2554"/>
      <sheetName val="[Spt-BH.xls][Spt-BH_xls]_Sp_840"/>
      <sheetName val="[Spt-BH.xls][Spt-BH.xls]_Sp_947"/>
      <sheetName val="[Spt-BH.xls][Spt-BH.xls]B__2645"/>
      <sheetName val="[Spt-BH.xls][Spt-BH.xls]B__2646"/>
      <sheetName val="[Spt-BH.xls][Spt-BH.xls]B__2647"/>
      <sheetName val="[Spt-BH.xls][Spt-BH.xls]B__2648"/>
      <sheetName val="[Spt-BH.xls][Spt-BH.xls]B__2649"/>
      <sheetName val="[Spt-BH.xls]B____x005f_x0004______215"/>
      <sheetName val="[Spt-BH.xls]B___x005f_x0000__x000_212"/>
      <sheetName val="[Spt-BH.xls][Spt-BH.xls]B__2650"/>
      <sheetName val="[Spt-BH.xls][Spt-BH.xls]B__2651"/>
      <sheetName val="[Spt-BH.xls][Spt-BH_xls]B__2510"/>
      <sheetName val="[Spt-BH.xls][Spt-BH_xls]B__2511"/>
      <sheetName val="[Spt-BH.xls][Spt-BH_xls]B__2512"/>
      <sheetName val="[Spt-BH.xls][Spt-BH_xls]B__2513"/>
      <sheetName val="[Spt-BH.xls][Spt-BH_xls]_Sp_826"/>
      <sheetName val="[Spt-BH.xls][Spt-BH_xls]B__2514"/>
      <sheetName val="[Spt-BH.xls][Spt-BH_xls]B__2515"/>
      <sheetName val="[Spt-BH.xls][Spt-BH_xls]B__2516"/>
      <sheetName val="[Spt-BH.xls][Spt-BH_xls]_Sp_827"/>
      <sheetName val="[Spt-BH.xls][Spt-BH_xls]B__2517"/>
      <sheetName val="[Spt-BH.xls][Spt-BH_xls]B__2518"/>
      <sheetName val="[Spt-BH.xls][Spt-BH_xls]B__2519"/>
      <sheetName val="[Spt-BH.xls][Spt-BH_xls]B__2520"/>
      <sheetName val="[Spt-BH.xls][Spt-BH_xls]_Sp_828"/>
      <sheetName val="[Spt-BH.xls][Spt-BH.xls]_Sp_948"/>
      <sheetName val="[Spt-BH.xls][Spt-BH_xls]B__2521"/>
      <sheetName val="[Spt-BH.xls][Spt-BH_xls]B__2522"/>
      <sheetName val="[Spt-BH.xls][Spt-BH_xls]_Sp_829"/>
      <sheetName val="[Spt-BH.xls][Spt-BH_xls]B__2523"/>
      <sheetName val="[Spt-BH.xls][Spt-BH_xls]B__2524"/>
      <sheetName val="[Spt-BH.xls][Spt-BH_xls]_Sp_830"/>
      <sheetName val="[Spt-BH.xls][Spt-BH.xls]_Sp_949"/>
      <sheetName val="[Spt-BH.xls][Spt-BH.xls]B__2652"/>
      <sheetName val="[Spt-BH.xls][Spt-BH.xls]B__2653"/>
      <sheetName val="[Spt-BH.xls][Spt-BH.xls]B__2654"/>
      <sheetName val="[Spt-BH.xls][Spt-BH.xls]B__2655"/>
      <sheetName val="[Spt-BH.xls][Spt-BH.xls]B__2656"/>
      <sheetName val="[Spt-BH.xls]B____x005f_x0004______216"/>
      <sheetName val="[Spt-BH.xls]B___x005f_x0000__x000_213"/>
      <sheetName val="[Spt-BH.xls][Spt-BH.xls]B__2657"/>
      <sheetName val="[Spt-BH.xls][Spt-BH.xls]B__2658"/>
      <sheetName val="[Spt-BH.xls][Spt-BH_xls]B__2525"/>
      <sheetName val="[Spt-BH.xls][Spt-BH_xls]B__2526"/>
      <sheetName val="[Spt-BH.xls][Spt-BH_xls]B__2527"/>
      <sheetName val="[Spt-BH.xls][Spt-BH_xls]B__2528"/>
      <sheetName val="[Spt-BH.xls][Spt-BH_xls]_Sp_831"/>
      <sheetName val="[Spt-BH.xls][Spt-BH_xls]B__2529"/>
      <sheetName val="[Spt-BH.xls][Spt-BH_xls]B__2530"/>
      <sheetName val="[Spt-BH.xls][Spt-BH_xls]B__2531"/>
      <sheetName val="[Spt-BH.xls][Spt-BH_xls]_Sp_832"/>
      <sheetName val="[Spt-BH.xls][Spt-BH_xls]B__2532"/>
      <sheetName val="[Spt-BH.xls][Spt-BH_xls]B__2533"/>
      <sheetName val="[Spt-BH.xls][Spt-BH_xls]B__2534"/>
      <sheetName val="[Spt-BH.xls][Spt-BH_xls]B__2535"/>
      <sheetName val="[Spt-BH.xls][Spt-BH_xls]_Sp_833"/>
      <sheetName val="[Spt-BH.xls][Spt-BH.xls]_Sp_950"/>
      <sheetName val="[Spt-BH.xls][Spt-BH_xls]B__2536"/>
      <sheetName val="[Spt-BH.xls][Spt-BH_xls]B__2537"/>
      <sheetName val="[Spt-BH.xls][Spt-BH_xls]_Sp_834"/>
      <sheetName val="[Spt-BH.xls][Spt-BH_xls]B__2538"/>
      <sheetName val="[Spt-BH.xls][Spt-BH_xls]B__2539"/>
      <sheetName val="[Spt-BH.xls][Spt-BH_xls]_Sp_835"/>
      <sheetName val="[Spt-BH.xls][Spt-BH.xls]_Sp_953"/>
      <sheetName val="[Spt-BH.xls][Spt-BH.xls]B__2666"/>
      <sheetName val="[Spt-BH.xls][Spt-BH.xls]B__2667"/>
      <sheetName val="[Spt-BH.xls][Spt-BH.xls]B__2668"/>
      <sheetName val="[Spt-BH.xls][Spt-BH.xls]B__2669"/>
      <sheetName val="[Spt-BH.xls][Spt-BH.xls]B__2670"/>
      <sheetName val="[Spt-BH.xls][Spt-BH.xls]B__2671"/>
      <sheetName val="[Spt-BH.xls][Spt-BH.xls]_Sp_954"/>
      <sheetName val="[Spt-BH.xls][Spt-BH.xls]B__2678"/>
      <sheetName val="[Spt-BH.xls][Spt-BH.xls]B__2679"/>
      <sheetName val="[Spt-BH.xls][Spt-BH.xls]B__2680"/>
      <sheetName val="[Spt-BH.xls][Spt-BH.xls]B__2681"/>
      <sheetName val="[Spt-BH.xls][Spt-BH.xls]B__2682"/>
      <sheetName val="[Spt-BH.xls][Spt-BH.xls]_Sp_958"/>
      <sheetName val="[Spt-BH.xls][Spt-BH.xls]B__2683"/>
      <sheetName val="[Spt-BH.xls][Spt-BH.xls]_Sp_959"/>
      <sheetName val="[Spt-BH.xls]B____x005f_x0004______218"/>
      <sheetName val="[Spt-BH.xls]B___x005f_x0000__x000_215"/>
      <sheetName val="[Spt-BH.xls][Spt-BH.xls]B__2684"/>
      <sheetName val="[Spt-BH.xls][Spt-BH_xls]B__2555"/>
      <sheetName val="[Spt-BH.xls][Spt-BH_xls]B__2556"/>
      <sheetName val="[Spt-BH.xls][Spt-BH_xls]B__2557"/>
      <sheetName val="[Spt-BH.xls][Spt-BH_xls]B__2558"/>
      <sheetName val="[Spt-BH.xls][Spt-BH_xls]_Sp_841"/>
      <sheetName val="[Spt-BH.xls][Spt-BH_xls]B__2559"/>
      <sheetName val="[Spt-BH.xls][Spt-BH_xls]B__2560"/>
      <sheetName val="[Spt-BH.xls][Spt-BH_xls]B__2561"/>
      <sheetName val="[Spt-BH.xls][Spt-BH_xls]_Sp_842"/>
      <sheetName val="[Spt-BH.xls][Spt-BH_xls]B__2562"/>
      <sheetName val="[Spt-BH.xls][Spt-BH_xls]B__2563"/>
      <sheetName val="[Spt-BH.xls][Spt-BH_xls]B__2564"/>
      <sheetName val="[Spt-BH.xls][Spt-BH_xls]B__2565"/>
      <sheetName val="[Spt-BH.xls][Spt-BH_xls]_Sp_843"/>
      <sheetName val="[Spt-BH.xls][Spt-BH_xls]B__2566"/>
      <sheetName val="[Spt-BH.xls][Spt-BH_xls]B__2567"/>
      <sheetName val="[Spt-BH.xls][Spt-BH_xls]_Sp_844"/>
      <sheetName val="[Spt-BH.xls][Spt-BH_xls]B__2568"/>
      <sheetName val="[Spt-BH.xls][Spt-BH_xls]B__2569"/>
      <sheetName val="[Spt-BH.xls][Spt-BH_xls]_Sp_845"/>
      <sheetName val="ACAD_Finishes1"/>
      <sheetName val="Site_Details1"/>
      <sheetName val="Site_Area_Statement1"/>
      <sheetName val="ACAD_Finishes2"/>
      <sheetName val="Site_Details2"/>
      <sheetName val="Site_Area_Statement2"/>
      <sheetName val="SP&amp;ST_제출가2"/>
      <sheetName val="PL_Inst_RA_124"/>
      <sheetName val="_AT-1-220_4"/>
      <sheetName val="_BC-2204"/>
      <sheetName val="DETAILED__BOQ4"/>
      <sheetName val="ACAD_Finishes3"/>
      <sheetName val="Site_Details3"/>
      <sheetName val="Site_Area_Statement3"/>
      <sheetName val="SP&amp;ST_제출가3"/>
      <sheetName val="[Spt-BH.xls][Spt-BH.xls]_Sp_967"/>
      <sheetName val="[Spt-BH.xls][Spt-BH.xls]_Sp_965"/>
      <sheetName val="[Spt-BH.xls][Spt-BH.xls]_Sp_966"/>
      <sheetName val="[Spt-BH.xls][Spt-BH.xls]_Sp_968"/>
      <sheetName val="[Spt-BH.xls][Spt-BH.xls]B__2698"/>
      <sheetName val="[Spt-BH.xls][Spt-BH.xls]B__2699"/>
      <sheetName val="[Spt-BH.xls][Spt-BH.xls]B__2700"/>
      <sheetName val="[Spt-BH.xls][Spt-BH.xls]B__2701"/>
      <sheetName val="[Spt-BH.xls][Spt-BH.xls]B__2702"/>
      <sheetName val="[Spt-BH.xls][Spt-BH.xls]B__2703"/>
      <sheetName val="[Spt-BH.xls][Spt-BH.xls]_Sp_970"/>
      <sheetName val="[Spt-BH.xls][Spt-BH.xls]_Sp_969"/>
      <sheetName val="[Spt-BH.xls][Spt-BH.xls]B__2704"/>
      <sheetName val="[Spt-BH.xls][Spt-BH.xls]B__2705"/>
      <sheetName val="[Spt-BH.xls][Spt-BH.xls]_Sp_972"/>
      <sheetName val="[Spt-BH.xls][Spt-BH.xls]B__2706"/>
      <sheetName val="[Spt-BH.xls][Spt-BH.xls]B__2707"/>
      <sheetName val="[Spt-BH.xls][Spt-BH.xls]B__2708"/>
      <sheetName val="[Spt-BH.xls][Spt-BH.xls]B__2709"/>
      <sheetName val="[Spt-BH.xls][Spt-BH.xls]_Sp_971"/>
      <sheetName val="[Spt-BH.xls][Spt-BH.xls]B__2710"/>
      <sheetName val="[Spt-BH.xls][Spt-BH.xls]B__2711"/>
      <sheetName val="[Spt-BH.xls][Spt-BH.xls]B__2712"/>
      <sheetName val="[Spt-BH.xls][Spt-BH.xls]B__2713"/>
      <sheetName val="[Spt-BH.xls][Spt-BH.xls]B__2714"/>
      <sheetName val="[Spt-BH.xls][Spt-BH.xls]B__2715"/>
      <sheetName val="[Spt-BH.xls][Spt-BH.xls]_Sp_973"/>
      <sheetName val="[Spt-BH.xls][Spt-BH_xls]B__2585"/>
      <sheetName val="[Spt-BH.xls][Spt-BH_xls]B__2586"/>
      <sheetName val="[Spt-BH.xls][Spt-BH_xls]_Sp_851"/>
      <sheetName val="[Spt-BH.xls][Spt-BH_xls]B__2587"/>
      <sheetName val="[Spt-BH.xls][Spt-BH_xls]B__2588"/>
      <sheetName val="[Spt-BH.xls][Spt-BH_xls]_Sp_852"/>
      <sheetName val="[Spt-BH.xls][Spt-BH.xls]_Sp_974"/>
      <sheetName val="[Spt-BH.xls][Spt-BH.xls]_Sp_975"/>
      <sheetName val="[Spt-BH.xls][Spt-BH.xls]_Sp_976"/>
      <sheetName val="[Spt-BH.xls][Spt-BH.xls]B__2716"/>
      <sheetName val="[Spt-BH.xls][Spt-BH.xls]B__2717"/>
      <sheetName val="[Spt-BH.xls][Spt-BH.xls]_Sp_978"/>
      <sheetName val="[Spt-BH.xls][Spt-BH.xls]B__2718"/>
      <sheetName val="[Spt-BH.xls][Spt-BH.xls]B__2719"/>
      <sheetName val="[Spt-BH.xls][Spt-BH.xls]B__2720"/>
      <sheetName val="[Spt-BH.xls][Spt-BH.xls]B__2721"/>
      <sheetName val="[Spt-BH.xls][Spt-BH.xls]_Sp_977"/>
      <sheetName val="[Spt-BH.xls][Spt-BH.xls]B__2723"/>
      <sheetName val="[Spt-BH.xls][Spt-BH.xls]B__2724"/>
      <sheetName val="[Spt-BH.xls][Spt-BH.xls]_Sp_980"/>
      <sheetName val="[Spt-BH.xls][Spt-BH.xls]B__2725"/>
      <sheetName val="[Spt-BH.xls][Spt-BH.xls]B__2726"/>
      <sheetName val="[Spt-BH.xls]B____x005f_x0004______220"/>
      <sheetName val="[Spt-BH.xls]B___x005f_x0000__x000_217"/>
      <sheetName val="[Spt-BH.xls][Spt-BH.xls]B__2727"/>
      <sheetName val="[Spt-BH.xls][Spt-BH.xls]B__2728"/>
      <sheetName val="[Spt-BH.xls][Spt-BH.xls]B__2722"/>
      <sheetName val="[Spt-BH.xls][Spt-BH.xls]_Sp_979"/>
      <sheetName val="[Spt-BH.xls][Spt-BH_xls]B__2589"/>
      <sheetName val="[Spt-BH.xls][Spt-BH_xls]B__2590"/>
      <sheetName val="[Spt-BH.xls][Spt-BH_xls]B__2591"/>
      <sheetName val="[Spt-BH.xls][Spt-BH_xls]B__2592"/>
      <sheetName val="[Spt-BH.xls][Spt-BH_xls]_Sp_853"/>
      <sheetName val="[Spt-BH.xls][Spt-BH_xls]B__2593"/>
      <sheetName val="[Spt-BH.xls][Spt-BH_xls]B__2594"/>
      <sheetName val="[Spt-BH.xls][Spt-BH_xls]B__2595"/>
      <sheetName val="[Spt-BH.xls][Spt-BH_xls]_Sp_854"/>
      <sheetName val="[Spt-BH.xls][Spt-BH_xls]B__2596"/>
      <sheetName val="[Spt-BH.xls][Spt-BH_xls]B__2597"/>
      <sheetName val="[Spt-BH.xls][Spt-BH_xls]B__2598"/>
      <sheetName val="[Spt-BH.xls][Spt-BH_xls]B__2599"/>
      <sheetName val="[Spt-BH.xls][Spt-BH_xls]_Sp_855"/>
      <sheetName val="[Spt-BH.xls][Spt-BH_xls]B__2600"/>
      <sheetName val="[Spt-BH.xls][Spt-BH_xls]B__2601"/>
      <sheetName val="[Spt-BH.xls][Spt-BH_xls]_Sp_856"/>
      <sheetName val="[Spt-BH.xls][Spt-BH_xls]B__2602"/>
      <sheetName val="[Spt-BH.xls][Spt-BH_xls]B__2603"/>
      <sheetName val="[Spt-BH.xls][Spt-BH_xls]_Sp_857"/>
      <sheetName val="[Spt-BH.xls][Spt-BH.xls]B__2730"/>
      <sheetName val="[Spt-BH.xls][Spt-BH.xls]B__2731"/>
      <sheetName val="[Spt-BH.xls][Spt-BH.xls]_Sp_994"/>
      <sheetName val="[Spt-BH.xls][Spt-BH.xls]B__2732"/>
      <sheetName val="[Spt-BH.xls][Spt-BH.xls]B__2733"/>
      <sheetName val="[Spt-BH.xls]B____x005f_x0004______221"/>
      <sheetName val="[Spt-BH.xls]B___x005f_x0000__x000_218"/>
      <sheetName val="[Spt-BH.xls][Spt-BH.xls]B__2734"/>
      <sheetName val="[Spt-BH.xls][Spt-BH.xls]B__2735"/>
      <sheetName val="[Spt-BH.xls][Spt-BH.xls]B__2729"/>
      <sheetName val="[Spt-BH.xls][Spt-BH.xls]_Sp_981"/>
      <sheetName val="[Spt-BH.xls][Spt-BH_xls]B__2604"/>
      <sheetName val="[Spt-BH.xls][Spt-BH_xls]B__2605"/>
      <sheetName val="[Spt-BH.xls][Spt-BH_xls]B__2606"/>
      <sheetName val="[Spt-BH.xls][Spt-BH_xls]B__2607"/>
      <sheetName val="[Spt-BH.xls][Spt-BH_xls]_Sp_858"/>
      <sheetName val="[Spt-BH.xls][Spt-BH_xls]B__2608"/>
      <sheetName val="[Spt-BH.xls][Spt-BH_xls]B__2609"/>
      <sheetName val="[Spt-BH.xls][Spt-BH_xls]B__2610"/>
      <sheetName val="[Spt-BH.xls][Spt-BH_xls]_Sp_859"/>
      <sheetName val="[Spt-BH.xls][Spt-BH_xls]B__2611"/>
      <sheetName val="[Spt-BH.xls][Spt-BH_xls]B__2612"/>
      <sheetName val="[Spt-BH.xls][Spt-BH_xls]B__2613"/>
      <sheetName val="[Spt-BH.xls][Spt-BH_xls]B__2614"/>
      <sheetName val="[Spt-BH.xls][Spt-BH_xls]_Sp_860"/>
      <sheetName val="[Spt-BH.xls][Spt-BH_xls]B__2615"/>
      <sheetName val="[Spt-BH.xls][Spt-BH_xls]B__2616"/>
      <sheetName val="[Spt-BH.xls][Spt-BH_xls]_Sp_861"/>
      <sheetName val="[Spt-BH.xls][Spt-BH_xls]B__2617"/>
      <sheetName val="[Spt-BH.xls][Spt-BH_xls]B__2618"/>
      <sheetName val="[Spt-BH.xls][Spt-BH_xls]_Sp_862"/>
      <sheetName val="[Spt-BH.xls][Spt-BH.xls]B__2767"/>
      <sheetName val="[Spt-BH.xls][Spt-BH.xls]B__2768"/>
      <sheetName val="[Spt-BH.xls][Spt-BH.xls]_Sp_996"/>
      <sheetName val="[Spt-BH.xls][Spt-BH.xls]B__2769"/>
      <sheetName val="[Spt-BH.xls][Spt-BH.xls]B__2770"/>
      <sheetName val="[Spt-BH.xls][Spt-BH.xls]B__2771"/>
      <sheetName val="[Spt-BH.xls][Spt-BH.xls]B__2772"/>
      <sheetName val="[Spt-BH.xls][Spt-BH.xls]_Sp_995"/>
      <sheetName val="[Spt-BH.xls][Spt-BH.xls]B__2774"/>
      <sheetName val="[Spt-BH.xls][Spt-BH.xls]B__2775"/>
      <sheetName val="[Spt-BH.xls][Spt-BH.xls]_Sp_998"/>
      <sheetName val="[Spt-BH.xls][Spt-BH.xls]B__2776"/>
      <sheetName val="[Spt-BH.xls][Spt-BH.xls]B__2777"/>
      <sheetName val="[Spt-BH.xls]B____x005f_x0004______223"/>
      <sheetName val="[Spt-BH.xls]B___x005f_x0000__x000_220"/>
      <sheetName val="[Spt-BH.xls][Spt-BH.xls]B__2778"/>
      <sheetName val="[Spt-BH.xls][Spt-BH.xls]B__2779"/>
      <sheetName val="[Spt-BH.xls][Spt-BH.xls]B__2773"/>
      <sheetName val="[Spt-BH.xls][Spt-BH.xls]_Sp_997"/>
      <sheetName val="[Spt-BH.xls][Spt-BH_xls]B__2634"/>
      <sheetName val="[Spt-BH.xls][Spt-BH_xls]B__2635"/>
      <sheetName val="[Spt-BH.xls][Spt-BH_xls]B__2636"/>
      <sheetName val="[Spt-BH.xls][Spt-BH_xls]B__2637"/>
      <sheetName val="[Spt-BH.xls][Spt-BH_xls]_Sp_868"/>
      <sheetName val="[Spt-BH.xls][Spt-BH_xls]B__2638"/>
      <sheetName val="[Spt-BH.xls][Spt-BH_xls]B__2639"/>
      <sheetName val="[Spt-BH.xls][Spt-BH_xls]B__2640"/>
      <sheetName val="[Spt-BH.xls][Spt-BH_xls]_Sp_869"/>
      <sheetName val="[Spt-BH.xls][Spt-BH_xls]B__2641"/>
      <sheetName val="[Spt-BH.xls][Spt-BH_xls]B__2642"/>
      <sheetName val="[Spt-BH.xls][Spt-BH_xls]B__2643"/>
      <sheetName val="[Spt-BH.xls][Spt-BH_xls]B__2644"/>
      <sheetName val="[Spt-BH.xls][Spt-BH_xls]_Sp_870"/>
      <sheetName val="[Spt-BH.xls][Spt-BH_xls]B__2645"/>
      <sheetName val="[Spt-BH.xls][Spt-BH_xls]B__2646"/>
      <sheetName val="[Spt-BH.xls][Spt-BH_xls]_Sp_871"/>
      <sheetName val="[Spt-BH.xls][Spt-BH_xls]B__2647"/>
      <sheetName val="[Spt-BH.xls][Spt-BH_xls]B__2648"/>
      <sheetName val="[Spt-BH.xls][Spt-BH_xls]_Sp_872"/>
      <sheetName val="[Spt-BH.xls][Spt-BH.xls]_Sp_982"/>
      <sheetName val="[Spt-BH.xls][Spt-BH.xls]B__2736"/>
      <sheetName val="[Spt-BH.xls][Spt-BH.xls]B__2737"/>
      <sheetName val="[Spt-BH.xls][Spt-BH.xls]B__2738"/>
      <sheetName val="[Spt-BH.xls][Spt-BH.xls]B__2739"/>
      <sheetName val="[Spt-BH.xls][Spt-BH.xls]B__2740"/>
      <sheetName val="[Spt-BH.xls][Spt-BH.xls]B__2741"/>
      <sheetName val="[Spt-BH.xls][Spt-BH.xls]_Sp_983"/>
      <sheetName val="[Spt-BH.xls]B____x005f_x0004______222"/>
      <sheetName val="[Spt-BH.xls]B___x005f_x0000__x000_219"/>
      <sheetName val="[Spt-BH.xls][Spt-BH.xls]B__2742"/>
      <sheetName val="[Spt-BH.xls][Spt-BH_xls]B__2619"/>
      <sheetName val="[Spt-BH.xls][Spt-BH_xls]B__2620"/>
      <sheetName val="[Spt-BH.xls][Spt-BH_xls]B__2621"/>
      <sheetName val="[Spt-BH.xls][Spt-BH_xls]B__2622"/>
      <sheetName val="[Spt-BH.xls][Spt-BH_xls]_Sp_863"/>
      <sheetName val="[Spt-BH.xls][Spt-BH_xls]B__2623"/>
      <sheetName val="[Spt-BH.xls][Spt-BH_xls]B__2624"/>
      <sheetName val="[Spt-BH.xls][Spt-BH_xls]B__2625"/>
      <sheetName val="[Spt-BH.xls][Spt-BH_xls]_Sp_864"/>
      <sheetName val="[Spt-BH.xls][Spt-BH_xls]B__2626"/>
      <sheetName val="[Spt-BH.xls][Spt-BH_xls]B__2627"/>
      <sheetName val="[Spt-BH.xls][Spt-BH_xls]B__2628"/>
      <sheetName val="[Spt-BH.xls][Spt-BH_xls]B__2629"/>
      <sheetName val="[Spt-BH.xls][Spt-BH_xls]_Sp_865"/>
      <sheetName val="[Spt-BH.xls][Spt-BH_xls]B__2630"/>
      <sheetName val="[Spt-BH.xls][Spt-BH_xls]B__2631"/>
      <sheetName val="[Spt-BH.xls][Spt-BH_xls]_Sp_866"/>
      <sheetName val="[Spt-BH.xls][Spt-BH_xls]B__2632"/>
      <sheetName val="[Spt-BH.xls][Spt-BH_xls]B__2633"/>
      <sheetName val="[Spt-BH.xls][Spt-BH_xls]_Sp_867"/>
      <sheetName val="[Spt-BH.xls][Spt-BH.xls]_Sp_985"/>
      <sheetName val="[Spt-BH.xls][Spt-BH.xls]_Sp_984"/>
      <sheetName val="[Spt-BH.xls][Spt-BH.xls]B__2743"/>
      <sheetName val="[Spt-BH.xls][Spt-BH.xls]B__2744"/>
      <sheetName val="[Spt-BH.xls][Spt-BH.xls]_Sp_989"/>
      <sheetName val="[Spt-BH.xls][Spt-BH.xls]B__2745"/>
      <sheetName val="[Spt-BH.xls][Spt-BH.xls]B__2746"/>
      <sheetName val="[Spt-BH.xls][Spt-BH.xls]B__2747"/>
      <sheetName val="[Spt-BH.xls][Spt-BH.xls]B__2748"/>
      <sheetName val="[Spt-BH.xls][Spt-BH.xls]_Sp_986"/>
      <sheetName val="[Spt-BH.xls][Spt-BH.xls]B__2755"/>
      <sheetName val="[Spt-BH.xls][Spt-BH.xls]B__2756"/>
      <sheetName val="[Spt-BH.xls][Spt-BH.xls]_Sp_991"/>
      <sheetName val="[Spt-BH.xls][Spt-BH.xls]B__2757"/>
      <sheetName val="[Spt-BH.xls][Spt-BH.xls]B__2758"/>
      <sheetName val="[Spt-BH.xls][Spt-BH.xls]B__2759"/>
      <sheetName val="[Spt-BH.xls][Spt-BH.xls]B__2760"/>
      <sheetName val="[Spt-BH.xls][Spt-BH.xls]_Sp_990"/>
      <sheetName val="[Spt-BH.xls][Spt-BH.xls]_Sp_987"/>
      <sheetName val="[Spt-BH.xls][Spt-BH.xls]B__2749"/>
      <sheetName val="[Spt-BH.xls][Spt-BH.xls]B__2750"/>
      <sheetName val="[Spt-BH.xls][Spt-BH.xls]B__2751"/>
      <sheetName val="[Spt-BH.xls][Spt-BH.xls]B__2752"/>
      <sheetName val="[Spt-BH.xls][Spt-BH.xls]B__2753"/>
      <sheetName val="[Spt-BH.xls][Spt-BH.xls]B__2754"/>
      <sheetName val="[Spt-BH.xls][Spt-BH.xls]_Sp_988"/>
      <sheetName val="[Spt-BH.xls][Spt-BH.xls]_Sp_992"/>
      <sheetName val="[Spt-BH.xls][Spt-BH.xls]B__2761"/>
      <sheetName val="[Spt-BH.xls][Spt-BH.xls]B__2762"/>
      <sheetName val="[Spt-BH.xls][Spt-BH.xls]B__2763"/>
      <sheetName val="[Spt-BH.xls][Spt-BH.xls]B__2764"/>
      <sheetName val="[Spt-BH.xls][Spt-BH.xls]B__2765"/>
      <sheetName val="[Spt-BH.xls][Spt-BH.xls]B__2766"/>
      <sheetName val="[Spt-BH.xls][Spt-BH.xls]_Sp_993"/>
      <sheetName val="[Spt-BH.xls][Spt-BH.xls]_S_1000"/>
      <sheetName val="[Spt-BH.xls][Spt-BH.xls]B__2780"/>
      <sheetName val="[Spt-BH.xls][Spt-BH.xls]B__2781"/>
      <sheetName val="[Spt-BH.xls][Spt-BH.xls]_S_1002"/>
      <sheetName val="[Spt-BH.xls][Spt-BH.xls]B__2782"/>
      <sheetName val="[Spt-BH.xls][Spt-BH.xls]B__2783"/>
      <sheetName val="[Spt-BH.xls][Spt-BH.xls]B__2784"/>
      <sheetName val="[Spt-BH.xls][Spt-BH.xls]B__2785"/>
      <sheetName val="[Spt-BH.xls][Spt-BH.xls]_S_1001"/>
      <sheetName val="[Spt-BH.xls][Spt-BH.xls]B__2786"/>
      <sheetName val="[Spt-BH.xls][Spt-BH.xls]B__2787"/>
      <sheetName val="[Spt-BH.xls][Spt-BH.xls]_S_1004"/>
      <sheetName val="[Spt-BH.xls][Spt-BH.xls]B__2788"/>
      <sheetName val="[Spt-BH.xls][Spt-BH.xls]B__2789"/>
      <sheetName val="[Spt-BH.xls][Spt-BH.xls]B__2790"/>
      <sheetName val="[Spt-BH.xls][Spt-BH.xls]B__2791"/>
      <sheetName val="[Spt-BH.xls][Spt-BH.xls]_S_1003"/>
      <sheetName val="B@___x005f_x005f_x005f_x0004_@___$_"/>
      <sheetName val="Debits_as_on_12_04_0826"/>
      <sheetName val="LT_Motor_catalog11"/>
      <sheetName val="Cable_cat11"/>
      <sheetName val="PRRM_Dashboard28"/>
      <sheetName val="Direct_cost_shed_A-2_26"/>
      <sheetName val="Staff_Forecast_spread26"/>
      <sheetName val="Index_26"/>
      <sheetName val="Email_Approval_Template26"/>
      <sheetName val="1_Executive_Summary26"/>
      <sheetName val="2_Risk_Assessment_Analysis26"/>
      <sheetName val="3_Pre-Approval26"/>
      <sheetName val="4_CIS26"/>
      <sheetName val="5_Change_Order26"/>
      <sheetName val="5_1__Re-book_De-book_order26"/>
      <sheetName val="6_Contract_Re-estimates26"/>
      <sheetName val="7a_BG_Approval_Form26"/>
      <sheetName val="7b_BG_Email_Approval_Template26"/>
      <sheetName val="8_LAD_Approval_Form26"/>
      <sheetName val="9_LOI_Checklist26"/>
      <sheetName val="10_RPS_Information_Form26"/>
      <sheetName val="11_Proj_Cashflow_26"/>
      <sheetName val="11_1_Cash-flow_Chart26"/>
      <sheetName val="Threshold_Calculator26"/>
      <sheetName val="Version_Control26"/>
      <sheetName val="Prebid_Review26"/>
      <sheetName val="DJC_Parameters26"/>
      <sheetName val="Selling_Summary26"/>
      <sheetName val="1-BAS_(cost)26"/>
      <sheetName val="Controller_Configuration26"/>
      <sheetName val="IO_Summary26"/>
      <sheetName val="2-FAS_(cost)26"/>
      <sheetName val="Cost_Summary26"/>
      <sheetName val="3-PA_(cost)26"/>
      <sheetName val="Approved_Make26"/>
      <sheetName val="Basis_of_offer26"/>
      <sheetName val="High_Level_Summary26"/>
      <sheetName val="4-ACS__(cost)26"/>
      <sheetName val="5-CCTV__(cost)26"/>
      <sheetName val="6-FFT__(cost)26"/>
      <sheetName val="7-_Service_Retrofit__(cost)26"/>
      <sheetName val="8-Service_PSA,O&amp;M__(cost)26"/>
      <sheetName val="9-_Service_L&amp;M__(cost)26"/>
      <sheetName val="non_fixed_DJC_26"/>
      <sheetName val="10-UPG_(cost)26"/>
      <sheetName val="11-ESG__(cost)26"/>
      <sheetName val="12-Products_(cost)26"/>
      <sheetName val="13-VAV__(cost)26"/>
      <sheetName val="14-REF_(cost)26"/>
      <sheetName val="15_-_Local_Chiller_(cost)26"/>
      <sheetName val="Selling-Local_Chiller26"/>
      <sheetName val="Material_Cost_JCS26"/>
      <sheetName val="Costing_USD_Chiller26"/>
      <sheetName val="Selling-USD_Chiller26"/>
      <sheetName val="PRICE_MATRIX_-JCIPL26"/>
      <sheetName val="COST_SUMMARY-_JCIPL26"/>
      <sheetName val="6_-FFT-JCIPL26"/>
      <sheetName val="7-Ser_Retro_-JCIPL26"/>
      <sheetName val="8-Ser_PSA,_O&amp;M_-JCIPL26"/>
      <sheetName val="9-Ser_L&amp;M_-JCIPL26"/>
      <sheetName val="10-UPG_JCIPL26"/>
      <sheetName val="11-ESG_JCIPL26"/>
      <sheetName val="12-Products_JCIPL26"/>
      <sheetName val="13-VAV_JCIPL26"/>
      <sheetName val="14-REF_JCMRL_26"/>
      <sheetName val="Proj__DJC-JCIPL26"/>
      <sheetName val="_L0_DDC_126"/>
      <sheetName val="L0_DDC-226"/>
      <sheetName val="L16_DDC-326"/>
      <sheetName val="L16_DDC-526"/>
      <sheetName val="L17_DDC-626"/>
      <sheetName val="L17_DDC-7_26"/>
      <sheetName val="L18_DDC-826"/>
      <sheetName val="2-AutoDialer_Sys26"/>
      <sheetName val="1-BAS1_(cost)26"/>
      <sheetName val="2-BAS2_(cost)26"/>
      <sheetName val="Deviations-Project_Risks26"/>
      <sheetName val="IO_Schedule26"/>
      <sheetName val="STILT_FLOOR"/>
      <sheetName val="[Spt-BH_xls]B____x005f_x0004________2"/>
      <sheetName val="[Spt-BH_xls]B___x005f_x0000__x005f_x0004__2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B_____7"/>
      <sheetName val="[Spt-BH_xls][Spt-BH_xls]_Spt__2"/>
      <sheetName val="PCS_DATA"/>
      <sheetName val="[Spt-BH_xls][Spt-BH_xls]_Spt__3"/>
      <sheetName val="[Spt-BH_xls]B@["/>
      <sheetName val="[Spt-BH_xls][Spt-BH_xls]B@[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B____11"/>
      <sheetName val="[Spt-BH_xls][Spt-BH_xls]B____12"/>
      <sheetName val="[Spt-BH_xls][Spt-BH_xls]B____13"/>
      <sheetName val="[Spt-BH_xls][Spt-BH_xls]_Spt__4"/>
      <sheetName val="[Spt-BH_xls][Spt-BH_xls]B____14"/>
      <sheetName val="Debits_as_on_12_04_0827"/>
      <sheetName val="LT_Motor_catalog12"/>
      <sheetName val="Cable_cat12"/>
      <sheetName val="PRRM_Dashboard29"/>
      <sheetName val="Direct_cost_shed_A-2_27"/>
      <sheetName val="Staff_Forecast_spread27"/>
      <sheetName val="Index_27"/>
      <sheetName val="Email_Approval_Template27"/>
      <sheetName val="1_Executive_Summary27"/>
      <sheetName val="2_Risk_Assessment_Analysis27"/>
      <sheetName val="3_Pre-Approval27"/>
      <sheetName val="4_CIS27"/>
      <sheetName val="5_Change_Order27"/>
      <sheetName val="5_1__Re-book_De-book_order27"/>
      <sheetName val="6_Contract_Re-estimates27"/>
      <sheetName val="7a_BG_Approval_Form27"/>
      <sheetName val="7b_BG_Email_Approval_Template27"/>
      <sheetName val="8_LAD_Approval_Form27"/>
      <sheetName val="9_LOI_Checklist27"/>
      <sheetName val="10_RPS_Information_Form27"/>
      <sheetName val="11_Proj_Cashflow_27"/>
      <sheetName val="11_1_Cash-flow_Chart27"/>
      <sheetName val="Threshold_Calculator27"/>
      <sheetName val="Version_Control27"/>
      <sheetName val="Prebid_Review27"/>
      <sheetName val="DJC_Parameters27"/>
      <sheetName val="Selling_Summary27"/>
      <sheetName val="1-BAS_(cost)27"/>
      <sheetName val="Controller_Configuration27"/>
      <sheetName val="IO_Summary27"/>
      <sheetName val="2-FAS_(cost)27"/>
      <sheetName val="Cost_Summary27"/>
      <sheetName val="3-PA_(cost)27"/>
      <sheetName val="Approved_Make27"/>
      <sheetName val="Basis_of_offer27"/>
      <sheetName val="High_Level_Summary27"/>
      <sheetName val="4-ACS__(cost)27"/>
      <sheetName val="5-CCTV__(cost)27"/>
      <sheetName val="6-FFT__(cost)27"/>
      <sheetName val="7-_Service_Retrofit__(cost)27"/>
      <sheetName val="8-Service_PSA,O&amp;M__(cost)27"/>
      <sheetName val="9-_Service_L&amp;M__(cost)27"/>
      <sheetName val="non_fixed_DJC_27"/>
      <sheetName val="10-UPG_(cost)27"/>
      <sheetName val="11-ESG__(cost)27"/>
      <sheetName val="12-Products_(cost)27"/>
      <sheetName val="13-VAV__(cost)27"/>
      <sheetName val="14-REF_(cost)27"/>
      <sheetName val="15_-_Local_Chiller_(cost)27"/>
      <sheetName val="Selling-Local_Chiller27"/>
      <sheetName val="Material_Cost_JCS27"/>
      <sheetName val="Costing_USD_Chiller27"/>
      <sheetName val="Selling-USD_Chiller27"/>
      <sheetName val="PRICE_MATRIX_-JCIPL27"/>
      <sheetName val="COST_SUMMARY-_JCIPL27"/>
      <sheetName val="6_-FFT-JCIPL27"/>
      <sheetName val="7-Ser_Retro_-JCIPL27"/>
      <sheetName val="8-Ser_PSA,_O&amp;M_-JCIPL27"/>
      <sheetName val="9-Ser_L&amp;M_-JCIPL27"/>
      <sheetName val="10-UPG_JCIPL27"/>
      <sheetName val="11-ESG_JCIPL27"/>
      <sheetName val="12-Products_JCIPL27"/>
      <sheetName val="13-VAV_JCIPL27"/>
      <sheetName val="14-REF_JCMRL_27"/>
      <sheetName val="Proj__DJC-JCIPL27"/>
      <sheetName val="_L0_DDC_127"/>
      <sheetName val="L0_DDC-227"/>
      <sheetName val="L16_DDC-327"/>
      <sheetName val="L16_DDC-527"/>
      <sheetName val="L17_DDC-627"/>
      <sheetName val="L17_DDC-7_27"/>
      <sheetName val="L18_DDC-827"/>
      <sheetName val="2-AutoDialer_Sys27"/>
      <sheetName val="1-BAS1_(cost)27"/>
      <sheetName val="2-BAS2_(cost)27"/>
      <sheetName val="Deviations-Project_Risks27"/>
      <sheetName val="IO_Schedule27"/>
      <sheetName val="foot-slab_reinft1"/>
      <sheetName val="MASTER_RATE_ANALYSIS1"/>
      <sheetName val="STILT_FLOOR1"/>
      <sheetName val="[Spt-BH_xls][Spt-BH_xls]B@[?_x1"/>
      <sheetName val="[Spt-BH_xls]B____x005f_x0004________1"/>
      <sheetName val="[Spt-BH_xls]B___x005f_x0000__x005f_x0004__1"/>
      <sheetName val="[Spt-BH_xls][Spt-BH_xls]B_____1"/>
      <sheetName val="[Spt-BH_xls][Spt-BH_xls]B____15"/>
      <sheetName val="[Spt-BH_xls][Spt-BH_xls]B____16"/>
      <sheetName val="[Spt-BH_xls][Spt-BH_xls]B____17"/>
      <sheetName val="[Spt-BH_xls][Spt-BH_xls]B____18"/>
      <sheetName val="[Spt-BH_xls][Spt-BH_xls]B____19"/>
      <sheetName val="[Spt-BH_xls][Spt-BH_xls]_Spt__1"/>
      <sheetName val="PCS_DATA1"/>
      <sheetName val="[Spt-BH_xls][Spt-BH_xls]_Spt__5"/>
      <sheetName val="[Spt-BH_xls]B@[1"/>
      <sheetName val="[Spt-BH_xls][Spt-BH_xls]B@[1"/>
      <sheetName val="[Spt-BH_xls]B____x005f_x0004________4"/>
      <sheetName val="[Spt-BH_xls]B___x005f_x0000__x005f_x0004__4"/>
      <sheetName val="[Spt-BH_xls][Spt-BH_xls]B____20"/>
      <sheetName val="[Spt-BH_xls][Spt-BH_xls]B____21"/>
      <sheetName val="[Spt-BH_xls][Spt-BH_xls]B____22"/>
      <sheetName val="[Spt-BH_xls][Spt-BH_xls]B____23"/>
      <sheetName val="[Spt-BH_xls][Spt-BH_xls]B____24"/>
      <sheetName val="[Spt-BH_xls][Spt-BH_xls]B____25"/>
      <sheetName val="[Spt-BH_xls][Spt-BH_xls]_Spt__6"/>
      <sheetName val="[Spt-BH_xls][Spt-BH_xls]B____26"/>
      <sheetName val="BID"/>
      <sheetName val="Data.Project"/>
      <sheetName val="Data_Project"/>
      <sheetName val="Data_Project1"/>
      <sheetName val="MAIN SUMMARY"/>
      <sheetName val="Summ- FAC SHED"/>
      <sheetName val=" BOQ- FAC SHED"/>
      <sheetName val="BOQ-Dism works "/>
      <sheetName val="Boq-plu &amp;san"/>
      <sheetName val="Cash2"/>
      <sheetName val="Z"/>
      <sheetName val="newsales"/>
      <sheetName val="Civil Works"/>
      <sheetName val="[Spt-BH.xls][Spt-BH.xls]_S_1005"/>
      <sheetName val="[Spt-BH.xls][Spt-BH.xls]_S_1009"/>
      <sheetName val="[Spt-BH.xls][Spt-BH.xls]B__2799"/>
      <sheetName val="[Spt-BH.xls][Spt-BH.xls]B__2800"/>
      <sheetName val="[Spt-BH.xls][Spt-BH.xls]B__2801"/>
      <sheetName val="[Spt-BH.xls][Spt-BH.xls]B__2802"/>
      <sheetName val="[Spt-BH.xls][Spt-BH.xls]B__2803"/>
      <sheetName val="[Spt-BH.xls][Spt-BH.xls]B__2804"/>
      <sheetName val="[Spt-BH.xls][Spt-BH.xls]_S_1010"/>
      <sheetName val="[Spt-BH.xls]B____x005f_x0004______226"/>
      <sheetName val="[Spt-BH.xls]B___x005f_x0000__x000_223"/>
      <sheetName val="[Spt-BH.xls][Spt-BH.xls]B__2805"/>
      <sheetName val="[Spt-BH.xls][Spt-BH_xls]B__2664"/>
      <sheetName val="[Spt-BH.xls][Spt-BH_xls]B__2665"/>
      <sheetName val="[Spt-BH.xls][Spt-BH_xls]B__2666"/>
      <sheetName val="[Spt-BH.xls][Spt-BH_xls]B__2667"/>
      <sheetName val="[Spt-BH.xls][Spt-BH_xls]_Sp_878"/>
      <sheetName val="[Spt-BH.xls][Spt-BH_xls]B__2668"/>
      <sheetName val="[Spt-BH.xls][Spt-BH_xls]B__2669"/>
      <sheetName val="[Spt-BH.xls][Spt-BH_xls]B__2670"/>
      <sheetName val="[Spt-BH.xls][Spt-BH_xls]_Sp_879"/>
      <sheetName val="[Spt-BH.xls][Spt-BH_xls]B__2671"/>
      <sheetName val="[Spt-BH.xls][Spt-BH_xls]B__2672"/>
      <sheetName val="[Spt-BH.xls][Spt-BH_xls]B__2673"/>
      <sheetName val="[Spt-BH.xls][Spt-BH_xls]B__2674"/>
      <sheetName val="[Spt-BH.xls][Spt-BH_xls]_Sp_880"/>
      <sheetName val="[Spt-BH.xls][Spt-BH_xls]B__2675"/>
      <sheetName val="[Spt-BH.xls][Spt-BH_xls]B__2676"/>
      <sheetName val="[Spt-BH.xls][Spt-BH_xls]_Sp_881"/>
      <sheetName val="[Spt-BH.xls][Spt-BH_xls]B__2677"/>
      <sheetName val="[Spt-BH.xls][Spt-BH_xls]B__2678"/>
      <sheetName val="[Spt-BH.xls][Spt-BH_xls]_Sp_882"/>
      <sheetName val="[Spt-BH.xls]B____x005f_x0004______224"/>
      <sheetName val="[Spt-BH.xls]B___x005f_x0000__x000_221"/>
      <sheetName val="[Spt-BH.xls][Spt-BH.xls]B__2792"/>
      <sheetName val="[Spt-BH.xls][Spt-BH_xls]B__2649"/>
      <sheetName val="[Spt-BH.xls][Spt-BH_xls]B__2650"/>
      <sheetName val="[Spt-BH.xls][Spt-BH_xls]B__2651"/>
      <sheetName val="[Spt-BH.xls][Spt-BH_xls]B__2652"/>
      <sheetName val="[Spt-BH.xls][Spt-BH_xls]_Sp_873"/>
      <sheetName val="[Spt-BH.xls][Spt-BH_xls]B__2653"/>
      <sheetName val="[Spt-BH.xls][Spt-BH_xls]B__2654"/>
      <sheetName val="[Spt-BH.xls][Spt-BH_xls]B__2655"/>
      <sheetName val="[Spt-BH.xls][Spt-BH_xls]_Sp_874"/>
      <sheetName val="[Spt-BH.xls][Spt-BH_xls]B__2656"/>
      <sheetName val="[Spt-BH.xls][Spt-BH_xls]B__2657"/>
      <sheetName val="[Spt-BH.xls][Spt-BH_xls]B__2658"/>
      <sheetName val="[Spt-BH.xls][Spt-BH_xls]B__2659"/>
      <sheetName val="[Spt-BH.xls][Spt-BH_xls]_Sp_875"/>
      <sheetName val="[Spt-BH.xls][Spt-BH_xls]B__2660"/>
      <sheetName val="[Spt-BH.xls][Spt-BH_xls]B__2661"/>
      <sheetName val="[Spt-BH.xls][Spt-BH_xls]_Sp_876"/>
      <sheetName val="[Spt-BH.xls][Spt-BH_xls]B__2662"/>
      <sheetName val="[Spt-BH.xls][Spt-BH_xls]B__2663"/>
      <sheetName val="[Spt-BH.xls][Spt-BH_xls]_Sp_877"/>
      <sheetName val="[Spt-BH.xls][Spt-BH.xls]_S_1006"/>
      <sheetName val="[Spt-BH.xls][Spt-BH.xls]B__2793"/>
      <sheetName val="[Spt-BH.xls][Spt-BH.xls]B__2794"/>
      <sheetName val="[Spt-BH.xls][Spt-BH.xls]B__2795"/>
      <sheetName val="[Spt-BH.xls][Spt-BH.xls]B__2796"/>
      <sheetName val="[Spt-BH.xls][Spt-BH.xls]B__2797"/>
      <sheetName val="[Spt-BH.xls][Spt-BH.xls]_S_1007"/>
      <sheetName val="[Spt-BH.xls][Spt-BH.xls]B__2798"/>
      <sheetName val="[Spt-BH.xls][Spt-BH.xls]_S_1008"/>
      <sheetName val="[Spt-BH.xls]B____x005f_x0004______225"/>
      <sheetName val="[Spt-BH.xls]B___x005f_x0000__x000_222"/>
      <sheetName val="[Spt-BH.xls][Spt-BH.xls]B__2839"/>
      <sheetName val="[Spt-BH.xls][Spt-BH.xls]B__2840"/>
      <sheetName val="[Spt-BH.xls][Spt-BH.xls]_S_1023"/>
      <sheetName val="[Spt-BH.xls][Spt-BH.xls]B__2841"/>
      <sheetName val="[Spt-BH.xls][Spt-BH.xls]B__2842"/>
      <sheetName val="[Spt-BH.xls][Spt-BH.xls]B__2843"/>
      <sheetName val="[Spt-BH.xls][Spt-BH.xls]B__2844"/>
      <sheetName val="[Spt-BH.xls][Spt-BH.xls]_S_1022"/>
      <sheetName val="[Spt-BH.xls][Spt-BH.xls]B__2846"/>
      <sheetName val="[Spt-BH.xls][Spt-BH.xls]B__2847"/>
      <sheetName val="[Spt-BH.xls][Spt-BH.xls]_S_1025"/>
      <sheetName val="[Spt-BH.xls][Spt-BH.xls]B__2848"/>
      <sheetName val="[Spt-BH.xls][Spt-BH.xls]B__2849"/>
      <sheetName val="[Spt-BH.xls]B____x005f_x0004______230"/>
      <sheetName val="[Spt-BH.xls]B___x005f_x0000__x000_227"/>
      <sheetName val="[Spt-BH.xls][Spt-BH.xls]B__2850"/>
      <sheetName val="[Spt-BH.xls][Spt-BH.xls]B__2851"/>
      <sheetName val="[Spt-BH.xls][Spt-BH.xls]B__2845"/>
      <sheetName val="[Spt-BH.xls][Spt-BH.xls]_S_1024"/>
      <sheetName val="[Spt-BH.xls][Spt-BH_xls]B__2724"/>
      <sheetName val="[Spt-BH.xls][Spt-BH_xls]B__2725"/>
      <sheetName val="[Spt-BH.xls][Spt-BH_xls]B__2726"/>
      <sheetName val="[Spt-BH.xls][Spt-BH_xls]B__2727"/>
      <sheetName val="[Spt-BH.xls][Spt-BH_xls]_Sp_898"/>
      <sheetName val="[Spt-BH.xls][Spt-BH_xls]B__2728"/>
      <sheetName val="[Spt-BH.xls][Spt-BH_xls]B__2729"/>
      <sheetName val="[Spt-BH.xls][Spt-BH_xls]B__2730"/>
      <sheetName val="[Spt-BH.xls][Spt-BH_xls]_Sp_899"/>
      <sheetName val="[Spt-BH.xls][Spt-BH_xls]B__2731"/>
      <sheetName val="[Spt-BH.xls][Spt-BH_xls]B__2732"/>
      <sheetName val="[Spt-BH.xls][Spt-BH_xls]B__2733"/>
      <sheetName val="[Spt-BH.xls][Spt-BH_xls]B__2734"/>
      <sheetName val="[Spt-BH.xls][Spt-BH_xls]_Sp_900"/>
      <sheetName val="[Spt-BH.xls][Spt-BH_xls]B__2735"/>
      <sheetName val="[Spt-BH.xls][Spt-BH_xls]B__2736"/>
      <sheetName val="[Spt-BH.xls][Spt-BH_xls]_Sp_901"/>
      <sheetName val="[Spt-BH.xls][Spt-BH_xls]B__2737"/>
      <sheetName val="[Spt-BH.xls][Spt-BH_xls]B__2738"/>
      <sheetName val="[Spt-BH.xls][Spt-BH_xls]_Sp_902"/>
      <sheetName val="[Spt-BH.xls][Spt-BH.xls]B__2853"/>
      <sheetName val="[Spt-BH.xls][Spt-BH.xls]B__2854"/>
      <sheetName val="[Spt-BH.xls][Spt-BH.xls]_S_1027"/>
      <sheetName val="[Spt-BH.xls][Spt-BH.xls]B__2855"/>
      <sheetName val="[Spt-BH.xls][Spt-BH.xls]B__2856"/>
      <sheetName val="[Spt-BH.xls]B____x005f_x0004______231"/>
      <sheetName val="[Spt-BH.xls]B___x005f_x0000__x000_228"/>
      <sheetName val="[Spt-BH.xls][Spt-BH.xls]B__2857"/>
      <sheetName val="[Spt-BH.xls][Spt-BH.xls]B__2858"/>
      <sheetName val="[Spt-BH.xls][Spt-BH.xls]B__2852"/>
      <sheetName val="[Spt-BH.xls][Spt-BH.xls]_S_1026"/>
      <sheetName val="[Spt-BH.xls][Spt-BH_xls]B__2739"/>
      <sheetName val="[Spt-BH.xls][Spt-BH_xls]B__2740"/>
      <sheetName val="[Spt-BH.xls][Spt-BH_xls]B__2741"/>
      <sheetName val="[Spt-BH.xls][Spt-BH_xls]B__2742"/>
      <sheetName val="[Spt-BH.xls][Spt-BH_xls]_Sp_903"/>
      <sheetName val="[Spt-BH.xls][Spt-BH_xls]B__2743"/>
      <sheetName val="[Spt-BH.xls][Spt-BH_xls]B__2744"/>
      <sheetName val="[Spt-BH.xls][Spt-BH_xls]B__2745"/>
      <sheetName val="[Spt-BH.xls][Spt-BH_xls]_Sp_904"/>
      <sheetName val="[Spt-BH.xls][Spt-BH_xls]B__2746"/>
      <sheetName val="[Spt-BH.xls][Spt-BH_xls]B__2747"/>
      <sheetName val="[Spt-BH.xls][Spt-BH_xls]B__2748"/>
      <sheetName val="[Spt-BH.xls][Spt-BH_xls]B__2749"/>
      <sheetName val="[Spt-BH.xls][Spt-BH_xls]_Sp_905"/>
      <sheetName val="[Spt-BH.xls][Spt-BH_xls]B__2750"/>
      <sheetName val="[Spt-BH.xls][Spt-BH_xls]B__2751"/>
      <sheetName val="[Spt-BH.xls][Spt-BH_xls]_Sp_906"/>
      <sheetName val="[Spt-BH.xls][Spt-BH_xls]B__2752"/>
      <sheetName val="[Spt-BH.xls][Spt-BH_xls]B__2753"/>
      <sheetName val="[Spt-BH.xls][Spt-BH_xls]_Sp_907"/>
      <sheetName val="[Spt-BH.xls][Spt-BH.xls]_S_1030"/>
      <sheetName val="[Spt-BH.xls][Spt-BH.xls]B__2866"/>
      <sheetName val="[Spt-BH.xls][Spt-BH.xls]B__2867"/>
      <sheetName val="[Spt-BH.xls][Spt-BH.xls]_S_1032"/>
      <sheetName val="[Spt-BH.xls][Spt-BH.xls]B__2868"/>
      <sheetName val="[Spt-BH.xls][Spt-BH.xls]B__2869"/>
      <sheetName val="[Spt-BH.xls][Spt-BH.xls]B__2870"/>
      <sheetName val="[Spt-BH.xls][Spt-BH.xls]B__2871"/>
      <sheetName val="[Spt-BH.xls][Spt-BH.xls]_S_1031"/>
      <sheetName val="[Spt-BH.xls][Spt-BH.xls]B__2873"/>
      <sheetName val="[Spt-BH.xls][Spt-BH.xls]B__2874"/>
      <sheetName val="[Spt-BH.xls][Spt-BH.xls]_S_1035"/>
      <sheetName val="[Spt-BH.xls][Spt-BH.xls]B__2875"/>
      <sheetName val="[Spt-BH.xls][Spt-BH.xls]B__2876"/>
      <sheetName val="[Spt-BH.xls]B____x005f_x0004______233"/>
      <sheetName val="[Spt-BH.xls]B___x005f_x0000__x000_230"/>
      <sheetName val="[Spt-BH.xls][Spt-BH.xls]B__2877"/>
      <sheetName val="[Spt-BH.xls][Spt-BH.xls]B__2878"/>
      <sheetName val="[Spt-BH.xls][Spt-BH.xls]B__2872"/>
      <sheetName val="[Spt-BH.xls][Spt-BH.xls]_S_1033"/>
      <sheetName val="[Spt-BH.xls][Spt-BH_xls]B__2769"/>
      <sheetName val="[Spt-BH.xls][Spt-BH_xls]B__2770"/>
      <sheetName val="[Spt-BH.xls][Spt-BH_xls]B__2771"/>
      <sheetName val="[Spt-BH.xls][Spt-BH_xls]B__2772"/>
      <sheetName val="[Spt-BH.xls][Spt-BH_xls]_Sp_913"/>
      <sheetName val="[Spt-BH.xls][Spt-BH_xls]B__2773"/>
      <sheetName val="[Spt-BH.xls][Spt-BH_xls]B__2774"/>
      <sheetName val="[Spt-BH.xls][Spt-BH_xls]B__2775"/>
      <sheetName val="[Spt-BH.xls][Spt-BH_xls]_Sp_914"/>
      <sheetName val="[Spt-BH.xls][Spt-BH_xls]B__2776"/>
      <sheetName val="[Spt-BH.xls][Spt-BH_xls]B__2777"/>
      <sheetName val="[Spt-BH.xls][Spt-BH_xls]B__2778"/>
      <sheetName val="[Spt-BH.xls][Spt-BH_xls]B__2779"/>
      <sheetName val="[Spt-BH.xls][Spt-BH_xls]_Sp_915"/>
      <sheetName val="[Spt-BH.xls][Spt-BH_xls]B__2780"/>
      <sheetName val="[Spt-BH.xls][Spt-BH_xls]B__2781"/>
      <sheetName val="[Spt-BH.xls][Spt-BH_xls]_Sp_916"/>
      <sheetName val="[Spt-BH.xls][Spt-BH_xls]B__2782"/>
      <sheetName val="[Spt-BH.xls][Spt-BH_xls]B__2783"/>
      <sheetName val="[Spt-BH.xls][Spt-BH_xls]_Sp_917"/>
      <sheetName val="[Spt-BH.xls][Spt-BH.xls]_S_1028"/>
      <sheetName val="[Spt-BH.xls][Spt-BH.xls]B__2859"/>
      <sheetName val="[Spt-BH.xls][Spt-BH.xls]B__2860"/>
      <sheetName val="[Spt-BH.xls][Spt-BH.xls]B__2861"/>
      <sheetName val="[Spt-BH.xls][Spt-BH.xls]B__2862"/>
      <sheetName val="[Spt-BH.xls][Spt-BH.xls]B__2863"/>
      <sheetName val="[Spt-BH.xls][Spt-BH.xls]B__2864"/>
      <sheetName val="[Spt-BH.xls][Spt-BH.xls]_S_1029"/>
      <sheetName val="[Spt-BH.xls]B____x005f_x0004______232"/>
      <sheetName val="[Spt-BH.xls]B___x005f_x0000__x000_229"/>
      <sheetName val="[Spt-BH.xls][Spt-BH.xls]B__2865"/>
      <sheetName val="[Spt-BH.xls][Spt-BH_xls]B__2754"/>
      <sheetName val="[Spt-BH.xls][Spt-BH_xls]B__2755"/>
      <sheetName val="[Spt-BH.xls][Spt-BH_xls]B__2756"/>
      <sheetName val="[Spt-BH.xls][Spt-BH_xls]B__2757"/>
      <sheetName val="[Spt-BH.xls][Spt-BH_xls]_Sp_908"/>
      <sheetName val="[Spt-BH.xls][Spt-BH_xls]B__2758"/>
      <sheetName val="[Spt-BH.xls][Spt-BH_xls]B__2759"/>
      <sheetName val="[Spt-BH.xls][Spt-BH_xls]B__2760"/>
      <sheetName val="[Spt-BH.xls][Spt-BH_xls]_Sp_909"/>
      <sheetName val="[Spt-BH.xls][Spt-BH_xls]B__2761"/>
      <sheetName val="[Spt-BH.xls][Spt-BH_xls]B__2762"/>
      <sheetName val="[Spt-BH.xls][Spt-BH_xls]B__2763"/>
      <sheetName val="[Spt-BH.xls][Spt-BH_xls]B__2764"/>
      <sheetName val="[Spt-BH.xls][Spt-BH_xls]_Sp_910"/>
      <sheetName val="[Spt-BH.xls][Spt-BH_xls]B__2765"/>
      <sheetName val="[Spt-BH.xls][Spt-BH_xls]B__2766"/>
      <sheetName val="[Spt-BH.xls][Spt-BH_xls]_Sp_911"/>
      <sheetName val="[Spt-BH.xls][Spt-BH_xls]B__2767"/>
      <sheetName val="[Spt-BH.xls][Spt-BH_xls]B__2768"/>
      <sheetName val="[Spt-BH.xls][Spt-BH_xls]_Sp_912"/>
      <sheetName val="[Spt-BH.xls][Spt-BH.xls]_S_1034"/>
      <sheetName val="[Spt-BH.xls][Spt-BH.xls]B__3005"/>
      <sheetName val="[Spt-BH.xls][Spt-BH.xls]B__3012"/>
      <sheetName val="[Spt-BH.xls][Spt-BH.xls]B__3013"/>
      <sheetName val="[Spt-BH.xls][Spt-BH.xls]_S_1078"/>
      <sheetName val="[Spt-BH.xls][Spt-BH.xls]B__3014"/>
      <sheetName val="[Spt-BH.xls][Spt-BH.xls]B__3015"/>
      <sheetName val="[Spt-BH.xls]B____x005f_x0004______244"/>
      <sheetName val="[Spt-BH.xls][Spt-BH.xls]_S_1074"/>
      <sheetName val="[Spt-BH.xls][Spt-BH.xls]B__3006"/>
      <sheetName val="[Spt-BH.xls][Spt-BH.xls]_S_1076"/>
      <sheetName val="[Spt-BH.xls][Spt-BH.xls]B__3007"/>
      <sheetName val="[Spt-BH.xls][Spt-BH.xls]B__3008"/>
      <sheetName val="[Spt-BH.xls][Spt-BH.xls]B__3009"/>
      <sheetName val="[Spt-BH.xls]B___x005f_x0000__x000_240"/>
      <sheetName val="[Spt-BH.xls][Spt-BH.xls]B__3016"/>
      <sheetName val="[Spt-BH.xls][Spt-BH.xls]B__3017"/>
      <sheetName val="[Spt-BH.xls][Spt-BH.xls]B__3010"/>
      <sheetName val="[Spt-BH.xls][Spt-BH.xls]B__3011"/>
      <sheetName val="[Spt-BH.xls][Spt-BH.xls]_S_1077"/>
      <sheetName val="[Spt-BH.xls][Spt-BH_xls]B__2885"/>
      <sheetName val="[Spt-BH.xls][Spt-BH_xls]B__2886"/>
      <sheetName val="[Spt-BH.xls][Spt-BH_xls]B__2887"/>
      <sheetName val="[Spt-BH.xls][Spt-BH_xls]B__2888"/>
      <sheetName val="[Spt-BH.xls][Spt-BH_xls]_Sp_951"/>
      <sheetName val="[Spt-BH.xls][Spt-BH_xls]B__2889"/>
      <sheetName val="[Spt-BH.xls][Spt-BH_xls]B__2890"/>
      <sheetName val="[Spt-BH.xls][Spt-BH_xls]B__2891"/>
      <sheetName val="[Spt-BH.xls][Spt-BH_xls]_Sp_952"/>
      <sheetName val="[Spt-BH.xls][Spt-BH_xls]B__2892"/>
      <sheetName val="[Spt-BH.xls][Spt-BH_xls]B__2893"/>
      <sheetName val="[Spt-BH.xls][Spt-BH_xls]B__2894"/>
      <sheetName val="[Spt-BH.xls][Spt-BH_xls]B__2895"/>
      <sheetName val="[Spt-BH.xls][Spt-BH_xls]_Sp_953"/>
      <sheetName val="[Spt-BH.xls][Spt-BH.xls]_S_1075"/>
      <sheetName val="[Spt-BH.xls][Spt-BH_xls]B__2896"/>
      <sheetName val="[Spt-BH.xls][Spt-BH_xls]B__2897"/>
      <sheetName val="[Spt-BH.xls][Spt-BH_xls]_Sp_954"/>
      <sheetName val="[Spt-BH.xls][Spt-BH_xls]B__2898"/>
      <sheetName val="[Spt-BH.xls][Spt-BH_xls]B__2899"/>
      <sheetName val="[Spt-BH.xls][Spt-BH_xls]_Sp_955"/>
      <sheetName val="[Spt-BH.xls][Spt-BH.xls]B__2999"/>
      <sheetName val="[Spt-BH.xls][Spt-BH.xls]B__3000"/>
      <sheetName val="[Spt-BH.xls][Spt-BH.xls]B__3001"/>
      <sheetName val="[Spt-BH.xls][Spt-BH.xls]B__3002"/>
      <sheetName val="[Spt-BH.xls][Spt-BH.xls]_S_1072"/>
      <sheetName val="[Spt-BH.xls][Spt-BH.xls]B__3003"/>
      <sheetName val="[Spt-BH.xls][Spt-BH.xls]B__3004"/>
      <sheetName val="[Spt-BH.xls][Spt-BH.xls]_S_1073"/>
      <sheetName val="[Spt-BH.xls][Spt-BH.xls]B__2950"/>
      <sheetName val="[Spt-BH.xls][Spt-BH.xls]B__2951"/>
      <sheetName val="[Spt-BH.xls][Spt-BH.xls]_S_1056"/>
      <sheetName val="[Spt-BH.xls][Spt-BH.xls]B__2952"/>
      <sheetName val="[Spt-BH.xls][Spt-BH.xls]B__2953"/>
      <sheetName val="[Spt-BH.xls]B____x005f_x0004______237"/>
      <sheetName val="[Spt-BH.xls][Spt-BH.xls]B__2943"/>
      <sheetName val="[Spt-BH.xls][Spt-BH.xls]B__2944"/>
      <sheetName val="[Spt-BH.xls][Spt-BH.xls]_S_1054"/>
      <sheetName val="[Spt-BH.xls][Spt-BH.xls]B__2945"/>
      <sheetName val="[Spt-BH.xls][Spt-BH.xls]B__2946"/>
      <sheetName val="[Spt-BH.xls][Spt-BH.xls]B__2947"/>
      <sheetName val="[Spt-BH.xls][Spt-BH.xls]_S_1052"/>
      <sheetName val="[Spt-BH.xls][Spt-BH.xls]B__2948"/>
      <sheetName val="[Spt-BH.xls]B___x005f_x0000__x000_233"/>
      <sheetName val="[Spt-BH.xls][Spt-BH.xls]B__2954"/>
      <sheetName val="[Spt-BH.xls][Spt-BH.xls]B__2955"/>
      <sheetName val="[Spt-BH.xls][Spt-BH.xls]B__2949"/>
      <sheetName val="[Spt-BH.xls][Spt-BH.xls]_S_1055"/>
      <sheetName val="[Spt-BH.xls][Spt-BH_xls]B__2825"/>
      <sheetName val="[Spt-BH.xls][Spt-BH_xls]B__2826"/>
      <sheetName val="[Spt-BH.xls][Spt-BH_xls]B__2827"/>
      <sheetName val="[Spt-BH.xls][Spt-BH_xls]B__2828"/>
      <sheetName val="[Spt-BH.xls][Spt-BH_xls]_Sp_931"/>
      <sheetName val="[Spt-BH.xls][Spt-BH_xls]B__2829"/>
      <sheetName val="[Spt-BH.xls][Spt-BH_xls]B__2830"/>
      <sheetName val="[Spt-BH.xls][Spt-BH_xls]B__2831"/>
      <sheetName val="[Spt-BH.xls][Spt-BH_xls]_Sp_932"/>
      <sheetName val="[Spt-BH.xls][Spt-BH_xls]B__2832"/>
      <sheetName val="[Spt-BH.xls][Spt-BH_xls]B__2833"/>
      <sheetName val="[Spt-BH.xls][Spt-BH_xls]B__2834"/>
      <sheetName val="[Spt-BH.xls][Spt-BH_xls]B__2835"/>
      <sheetName val="[Spt-BH.xls][Spt-BH_xls]_Sp_933"/>
      <sheetName val="[Spt-BH.xls][Spt-BH.xls]_S_1053"/>
      <sheetName val="[Spt-BH.xls][Spt-BH_xls]B__2836"/>
      <sheetName val="[Spt-BH.xls][Spt-BH_xls]B__2837"/>
      <sheetName val="[Spt-BH.xls][Spt-BH_xls]_Sp_934"/>
      <sheetName val="[Spt-BH.xls][Spt-BH_xls]B__2838"/>
      <sheetName val="[Spt-BH.xls][Spt-BH_xls]B__2839"/>
      <sheetName val="[Spt-BH.xls][Spt-BH_xls]_Sp_935"/>
      <sheetName val="[Spt-BH.xls][Spt-BH.xls]B__2910"/>
      <sheetName val="[Spt-BH.xls][Spt-BH.xls]B__2911"/>
      <sheetName val="[Spt-BH.xls][Spt-BH.xls]_S_1043"/>
      <sheetName val="[Spt-BH.xls][Spt-BH.xls]B__2912"/>
      <sheetName val="[Spt-BH.xls][Spt-BH.xls]B__2913"/>
      <sheetName val="[Spt-BH.xls][Spt-BH.xls]B__2880"/>
      <sheetName val="[Spt-BH.xls][Spt-BH.xls]B__2881"/>
      <sheetName val="[Spt-BH.xls][Spt-BH.xls]B__2882"/>
      <sheetName val="[Spt-BH.xls][Spt-BH.xls]B__2883"/>
      <sheetName val="[Spt-BH.xls][Spt-BH.xls]B__2879"/>
      <sheetName val="[Spt-BH.xls][Spt-BH.xls]B__2891"/>
      <sheetName val="[Spt-BH.xls][Spt-BH.xls]B__2892"/>
      <sheetName val="[Spt-BH.xls][Spt-BH.xls]_S_1037"/>
      <sheetName val="[Spt-BH.xls][Spt-BH.xls]B__2893"/>
      <sheetName val="[Spt-BH.xls][Spt-BH.xls]B__2894"/>
      <sheetName val="[Spt-BH.xls][Spt-BH.xls]B__2884"/>
      <sheetName val="[Spt-BH.xls][Spt-BH.xls]B__2885"/>
      <sheetName val="[Spt-BH.xls][Spt-BH.xls]B__2886"/>
      <sheetName val="[Spt-BH.xls][Spt-BH.xls]B__2887"/>
      <sheetName val="[Spt-BH.xls][Spt-BH.xls]B__2888"/>
      <sheetName val="[Spt-BH.xls][Spt-BH.xls]B__2889"/>
      <sheetName val="[Spt-BH.xls][Spt-BH.xls]B__2895"/>
      <sheetName val="[Spt-BH.xls][Spt-BH.xls]B__2896"/>
      <sheetName val="[Spt-BH.xls][Spt-BH.xls]B__2890"/>
      <sheetName val="[Spt-BH.xls][Spt-BH.xls]_S_1036"/>
      <sheetName val="[Spt-BH.xls][Spt-BH.xls]B__2897"/>
      <sheetName val="[Spt-BH.xls][Spt-BH.xls]B__2898"/>
      <sheetName val="[Spt-BH.xls][Spt-BH.xls]_S_1041"/>
      <sheetName val="[Spt-BH.xls][Spt-BH.xls]B__2899"/>
      <sheetName val="[Spt-BH.xls][Spt-BH.xls]B__2900"/>
      <sheetName val="[Spt-BH.xls][Spt-BH.xls]B__2901"/>
      <sheetName val="[Spt-BH.xls][Spt-BH.xls]B__2914"/>
      <sheetName val="[Spt-BH.xls][Spt-BH.xls]B__2915"/>
      <sheetName val="[Spt-BH.xls][Spt-BH.xls]B__2902"/>
      <sheetName val="[Spt-BH.xls][Spt-BH.xls]B__2903"/>
      <sheetName val="[Spt-BH.xls][Spt-BH.xls]_S_1042"/>
      <sheetName val="[Spt-BH.xls][Spt-BH.xls]_S_1038"/>
      <sheetName val="[Spt-BH.xls][Spt-BH.xls]B__2904"/>
      <sheetName val="[Spt-BH.xls][Spt-BH.xls]B__2905"/>
      <sheetName val="[Spt-BH.xls][Spt-BH.xls]B__2906"/>
      <sheetName val="[Spt-BH.xls][Spt-BH.xls]B__2907"/>
      <sheetName val="[Spt-BH.xls][Spt-BH.xls]_S_1039"/>
      <sheetName val="[Spt-BH.xls][Spt-BH.xls]B__2908"/>
      <sheetName val="[Spt-BH.xls][Spt-BH.xls]B__2909"/>
      <sheetName val="[Spt-BH.xls][Spt-BH.xls]_S_1040"/>
      <sheetName val="[Spt-BH.xls][Spt-BH.xls]B__2916"/>
      <sheetName val="[Spt-BH.xls][Spt-BH.xls]B__2917"/>
      <sheetName val="[Spt-BH.xls][Spt-BH.xls]_S_1046"/>
      <sheetName val="[Spt-BH.xls][Spt-BH.xls]B__2918"/>
      <sheetName val="[Spt-BH.xls][Spt-BH.xls]B__2919"/>
      <sheetName val="[Spt-BH.xls][Spt-BH.xls]_S_1044"/>
      <sheetName val="[Spt-BH.xls][Spt-BH.xls]B__2920"/>
      <sheetName val="[Spt-BH.xls][Spt-BH.xls]B__2921"/>
      <sheetName val="[Spt-BH.xls][Spt-BH.xls]_S_1045"/>
      <sheetName val="[Spt-BH.xls][Spt-BH.xls]B__2936"/>
      <sheetName val="[Spt-BH.xls][Spt-BH.xls]B__2937"/>
      <sheetName val="[Spt-BH.xls][Spt-BH.xls]B__2938"/>
      <sheetName val="[Spt-BH.xls][Spt-BH.xls]B__2939"/>
      <sheetName val="[Spt-BH.xls]B____x005f_x0004______234"/>
      <sheetName val="[Spt-BH.xls][Spt-BH.xls]B__2940"/>
      <sheetName val="[Spt-BH.xls][Spt-BH.xls]B__2922"/>
      <sheetName val="[Spt-BH.xls][Spt-BH.xls]B__2923"/>
      <sheetName val="[Spt-BH.xls][Spt-BH.xls]_S_1050"/>
      <sheetName val="[Spt-BH.xls][Spt-BH.xls]B__2924"/>
      <sheetName val="[Spt-BH.xls][Spt-BH.xls]B__2925"/>
      <sheetName val="[Spt-BH.xls][Spt-BH.xls]B__2941"/>
      <sheetName val="[Spt-BH.xls][Spt-BH.xls]B__2926"/>
      <sheetName val="[Spt-BH.xls][Spt-BH.xls]B__2927"/>
      <sheetName val="[Spt-BH.xls][Spt-BH.xls]B__2928"/>
      <sheetName val="[Spt-BH.xls][Spt-BH.xls]_S_1051"/>
      <sheetName val="[Spt-BH.xls][Spt-BH_xls]B__2784"/>
      <sheetName val="[Spt-BH.xls][Spt-BH_xls]B__2785"/>
      <sheetName val="[Spt-BH.xls][Spt-BH_xls]B__2786"/>
      <sheetName val="[Spt-BH.xls][Spt-BH_xls]B__2787"/>
      <sheetName val="[Spt-BH.xls][Spt-BH_xls]B__2788"/>
      <sheetName val="[Spt-BH.xls][Spt-BH_xls]B__2789"/>
      <sheetName val="[Spt-BH.xls][Spt-BH_xls]B__2790"/>
      <sheetName val="[Spt-BH.xls][Spt-BH_xls]_Sp_918"/>
      <sheetName val="[Spt-BH.xls][Spt-BH.xls]_S_1047"/>
      <sheetName val="[Spt-BH.xls][Spt-BH_xls]B__2791"/>
      <sheetName val="[Spt-BH.xls][Spt-BH_xls]B__2792"/>
      <sheetName val="[Spt-BH.xls][Spt-BH_xls]_Sp_919"/>
      <sheetName val="[Spt-BH.xls][Spt-BH_xls]B__2793"/>
      <sheetName val="[Spt-BH.xls][Spt-BH_xls]B__2794"/>
      <sheetName val="[Spt-BH.xls][Spt-BH_xls]_Sp_920"/>
      <sheetName val="[Spt-BH.xls]B____x005f_x0004______236"/>
      <sheetName val="[Spt-BH.xls]B___x005f_x0000__x000_232"/>
      <sheetName val="[Spt-BH.xls][Spt-BH.xls]B__2942"/>
      <sheetName val="[Spt-BH.xls][Spt-BH_xls]B__2810"/>
      <sheetName val="[Spt-BH.xls][Spt-BH_xls]B__2811"/>
      <sheetName val="[Spt-BH.xls][Spt-BH_xls]B__2812"/>
      <sheetName val="[Spt-BH.xls][Spt-BH_xls]B__2813"/>
      <sheetName val="[Spt-BH.xls][Spt-BH_xls]_Sp_926"/>
      <sheetName val="[Spt-BH.xls][Spt-BH_xls]B__2814"/>
      <sheetName val="[Spt-BH.xls][Spt-BH_xls]B__2815"/>
      <sheetName val="[Spt-BH.xls][Spt-BH_xls]B__2816"/>
      <sheetName val="[Spt-BH.xls][Spt-BH_xls]_Sp_927"/>
      <sheetName val="[Spt-BH.xls][Spt-BH_xls]B__2817"/>
      <sheetName val="[Spt-BH.xls][Spt-BH_xls]B__2818"/>
      <sheetName val="[Spt-BH.xls][Spt-BH_xls]B__2819"/>
      <sheetName val="[Spt-BH.xls][Spt-BH_xls]B__2820"/>
      <sheetName val="[Spt-BH.xls][Spt-BH_xls]_Sp_928"/>
      <sheetName val="[Spt-BH.xls][Spt-BH_xls]B__2821"/>
      <sheetName val="[Spt-BH.xls][Spt-BH_xls]B__2822"/>
      <sheetName val="[Spt-BH.xls][Spt-BH_xls]_Sp_929"/>
      <sheetName val="[Spt-BH.xls][Spt-BH_xls]B__2823"/>
      <sheetName val="[Spt-BH.xls][Spt-BH_xls]B__2824"/>
      <sheetName val="[Spt-BH.xls][Spt-BH_xls]_Sp_930"/>
      <sheetName val="[Spt-BH.xls][Spt-BH.xls]B__2929"/>
      <sheetName val="[Spt-BH.xls][Spt-BH.xls]B__2930"/>
      <sheetName val="[Spt-BH.xls][Spt-BH.xls]B__2931"/>
      <sheetName val="[Spt-BH.xls][Spt-BH.xls]B__2932"/>
      <sheetName val="[Spt-BH.xls][Spt-BH.xls]B__2933"/>
      <sheetName val="[Spt-BH.xls][Spt-BH.xls]_S_1048"/>
      <sheetName val="[Spt-BH.xls][Spt-BH.xls]B__2934"/>
      <sheetName val="[Spt-BH.xls][Spt-BH.xls]_S_1049"/>
      <sheetName val="[Spt-BH.xls]B____x005f_x0004______235"/>
      <sheetName val="[Spt-BH.xls]B___x005f_x0000__x000_231"/>
      <sheetName val="[Spt-BH.xls][Spt-BH.xls]B__2935"/>
      <sheetName val="[Spt-BH.xls][Spt-BH_xls]B__2795"/>
      <sheetName val="[Spt-BH.xls][Spt-BH_xls]B__2796"/>
      <sheetName val="[Spt-BH.xls][Spt-BH_xls]B__2797"/>
      <sheetName val="[Spt-BH.xls][Spt-BH_xls]B__2798"/>
      <sheetName val="[Spt-BH.xls][Spt-BH_xls]_Sp_921"/>
      <sheetName val="[Spt-BH.xls][Spt-BH_xls]B__2799"/>
      <sheetName val="[Spt-BH.xls][Spt-BH_xls]B__2800"/>
      <sheetName val="[Spt-BH.xls][Spt-BH_xls]B__2801"/>
      <sheetName val="[Spt-BH.xls][Spt-BH_xls]_Sp_922"/>
      <sheetName val="[Spt-BH.xls][Spt-BH_xls]B__2802"/>
      <sheetName val="[Spt-BH.xls][Spt-BH_xls]B__2803"/>
      <sheetName val="[Spt-BH.xls][Spt-BH_xls]B__2804"/>
      <sheetName val="[Spt-BH.xls][Spt-BH_xls]B__2805"/>
      <sheetName val="[Spt-BH.xls][Spt-BH_xls]_Sp_923"/>
      <sheetName val="[Spt-BH.xls][Spt-BH_xls]B__2806"/>
      <sheetName val="[Spt-BH.xls][Spt-BH_xls]B__2807"/>
      <sheetName val="[Spt-BH.xls][Spt-BH_xls]_Sp_924"/>
      <sheetName val="[Spt-BH.xls][Spt-BH_xls]B__2808"/>
      <sheetName val="[Spt-BH.xls][Spt-BH_xls]B__2809"/>
      <sheetName val="[Spt-BH.xls][Spt-BH_xls]_Sp_925"/>
      <sheetName val="[Spt-BH.xls][Spt-BH.xls]B__2956"/>
      <sheetName val="[Spt-BH.xls][Spt-BH.xls]B__2957"/>
      <sheetName val="[Spt-BH.xls][Spt-BH.xls]_S_1065"/>
      <sheetName val="[Spt-BH.xls][Spt-BH.xls]B__2958"/>
      <sheetName val="[Spt-BH.xls][Spt-BH.xls]B__2959"/>
      <sheetName val="[Spt-BH.xls][Spt-BH.xls]B__2960"/>
      <sheetName val="[Spt-BH.xls][Spt-BH.xls]B__2961"/>
      <sheetName val="[Spt-BH.xls][Spt-BH.xls]_S_1057"/>
      <sheetName val="[Spt-BH.xls][Spt-BH.xls]B__2988"/>
      <sheetName val="[Spt-BH.xls][Spt-BH.xls]B__2989"/>
      <sheetName val="[Spt-BH.xls][Spt-BH.xls]_S_1069"/>
      <sheetName val="[Spt-BH.xls][Spt-BH.xls]B__2990"/>
      <sheetName val="[Spt-BH.xls][Spt-BH.xls]B__2991"/>
      <sheetName val="[Spt-BH.xls]B____x005f_x0004______241"/>
      <sheetName val="[Spt-BH.xls][Spt-BH.xls]B__2981"/>
      <sheetName val="[Spt-BH.xls][Spt-BH.xls]B__2982"/>
      <sheetName val="[Spt-BH.xls][Spt-BH.xls]_S_1067"/>
      <sheetName val="[Spt-BH.xls][Spt-BH.xls]B__2983"/>
      <sheetName val="[Spt-BH.xls][Spt-BH.xls]B__2984"/>
      <sheetName val="[Spt-BH.xls][Spt-BH.xls]B__2985"/>
      <sheetName val="[Spt-BH.xls][Spt-BH.xls]B__2986"/>
      <sheetName val="[Spt-BH.xls]B___x005f_x0000__x000_237"/>
      <sheetName val="[Spt-BH.xls][Spt-BH.xls]B__2992"/>
      <sheetName val="[Spt-BH.xls][Spt-BH.xls]B__2993"/>
      <sheetName val="[Spt-BH.xls][Spt-BH.xls]B__2987"/>
      <sheetName val="[Spt-BH.xls][Spt-BH.xls]_S_1068"/>
      <sheetName val="[Spt-BH.xls][Spt-BH_xls]B__2870"/>
      <sheetName val="[Spt-BH.xls][Spt-BH_xls]B__2871"/>
      <sheetName val="[Spt-BH.xls][Spt-BH_xls]B__2872"/>
      <sheetName val="[Spt-BH.xls][Spt-BH_xls]B__2873"/>
      <sheetName val="[Spt-BH.xls][Spt-BH_xls]_Sp_946"/>
      <sheetName val="[Spt-BH.xls][Spt-BH_xls]B__2874"/>
      <sheetName val="[Spt-BH.xls][Spt-BH_xls]B__2875"/>
      <sheetName val="[Spt-BH.xls][Spt-BH_xls]B__2876"/>
      <sheetName val="[Spt-BH.xls][Spt-BH_xls]_Sp_947"/>
      <sheetName val="[Spt-BH.xls][Spt-BH_xls]B__2877"/>
      <sheetName val="[Spt-BH.xls][Spt-BH_xls]B__2878"/>
      <sheetName val="[Spt-BH.xls][Spt-BH_xls]B__2879"/>
      <sheetName val="[Spt-BH.xls][Spt-BH_xls]B__2880"/>
      <sheetName val="[Spt-BH.xls][Spt-BH_xls]_Sp_948"/>
      <sheetName val="[Spt-BH.xls][Spt-BH.xls]_S_1066"/>
      <sheetName val="[Spt-BH.xls][Spt-BH_xls]B__2881"/>
      <sheetName val="[Spt-BH.xls][Spt-BH_xls]B__2882"/>
      <sheetName val="[Spt-BH.xls][Spt-BH_xls]_Sp_949"/>
      <sheetName val="[Spt-BH.xls][Spt-BH_xls]B__2883"/>
      <sheetName val="[Spt-BH.xls][Spt-BH_xls]B__2884"/>
      <sheetName val="[Spt-BH.xls][Spt-BH_xls]_Sp_950"/>
      <sheetName val="[Spt-BH.xls][Spt-BH.xls]_S_1058"/>
      <sheetName val="[Spt-BH.xls][Spt-BH.xls]B__2962"/>
      <sheetName val="[Spt-BH.xls][Spt-BH.xls]B__2963"/>
      <sheetName val="[Spt-BH.xls][Spt-BH.xls]B__2964"/>
      <sheetName val="[Spt-BH.xls][Spt-BH.xls]B__2965"/>
      <sheetName val="[Spt-BH.xls][Spt-BH.xls]B__2966"/>
      <sheetName val="[Spt-BH.xls][Spt-BH.xls]B__2967"/>
      <sheetName val="[Spt-BH.xls][Spt-BH.xls]_S_1059"/>
      <sheetName val="[Spt-BH.xls]B____x005f_x0004______238"/>
      <sheetName val="[Spt-BH.xls]B___x005f_x0000__x000_234"/>
      <sheetName val="[Spt-BH.xls]B____x005f_x0004______239"/>
      <sheetName val="[Spt-BH.xls]B___x005f_x0000__x000_235"/>
      <sheetName val="[Spt-BH.xls][Spt-BH_xls]B__2840"/>
      <sheetName val="[Spt-BH.xls][Spt-BH_xls]B__2841"/>
      <sheetName val="[Spt-BH.xls][Spt-BH_xls]B__2842"/>
      <sheetName val="[Spt-BH.xls][Spt-BH_xls]B__2843"/>
      <sheetName val="[Spt-BH.xls][Spt-BH_xls]_Sp_936"/>
      <sheetName val="[Spt-BH.xls][Spt-BH_xls]B__2844"/>
      <sheetName val="[Spt-BH.xls][Spt-BH_xls]B__2845"/>
      <sheetName val="[Spt-BH.xls][Spt-BH_xls]B__2846"/>
      <sheetName val="[Spt-BH.xls][Spt-BH_xls]_Sp_937"/>
      <sheetName val="[Spt-BH.xls][Spt-BH_xls]B__2847"/>
      <sheetName val="[Spt-BH.xls][Spt-BH_xls]B__2848"/>
      <sheetName val="[Spt-BH.xls][Spt-BH_xls]B__2849"/>
      <sheetName val="[Spt-BH.xls][Spt-BH_xls]B__2850"/>
      <sheetName val="[Spt-BH.xls][Spt-BH_xls]_Sp_938"/>
      <sheetName val="[Spt-BH.xls][Spt-BH_xls]B__2851"/>
      <sheetName val="[Spt-BH.xls][Spt-BH_xls]B__2852"/>
      <sheetName val="[Spt-BH.xls][Spt-BH_xls]_Sp_939"/>
      <sheetName val="[Spt-BH.xls][Spt-BH_xls]B__2853"/>
      <sheetName val="[Spt-BH.xls][Spt-BH_xls]B__2854"/>
      <sheetName val="[Spt-BH.xls][Spt-BH_xls]_Sp_940"/>
      <sheetName val="[Spt-BH.xls][Spt-BH.xls]B__2968"/>
      <sheetName val="[Spt-BH.xls][Spt-BH.xls]B__2969"/>
      <sheetName val="[Spt-BH.xls][Spt-BH.xls]B__2970"/>
      <sheetName val="[Spt-BH.xls][Spt-BH.xls]B__2971"/>
      <sheetName val="[Spt-BH.xls][Spt-BH.xls]_S_1061"/>
      <sheetName val="[Spt-BH.xls][Spt-BH.xls]B__2972"/>
      <sheetName val="[Spt-BH.xls][Spt-BH.xls]B__2973"/>
      <sheetName val="[Spt-BH.xls][Spt-BH.xls]_S_1062"/>
      <sheetName val="[Spt-BH.xls][Spt-BH.xls]_S_1060"/>
      <sheetName val="[Spt-BH.xls][Spt-BH.xls]_S_1063"/>
      <sheetName val="[Spt-BH.xls]B____x005f_x0004______240"/>
      <sheetName val="[Spt-BH.xls][Spt-BH.xls]B__2974"/>
      <sheetName val="[Spt-BH.xls][Spt-BH.xls]B__2975"/>
      <sheetName val="[Spt-BH.xls][Spt-BH.xls]B__2976"/>
      <sheetName val="[Spt-BH.xls][Spt-BH.xls]B__2977"/>
      <sheetName val="[Spt-BH.xls][Spt-BH.xls]B__2978"/>
      <sheetName val="[Spt-BH.xls][Spt-BH.xls]B__2979"/>
      <sheetName val="[Spt-BH.xls]B___x005f_x0000__x000_236"/>
      <sheetName val="[Spt-BH.xls][Spt-BH.xls]B__2980"/>
      <sheetName val="[Spt-BH.xls][Spt-BH_xls]B__2855"/>
      <sheetName val="[Spt-BH.xls][Spt-BH_xls]B__2856"/>
      <sheetName val="[Spt-BH.xls][Spt-BH_xls]B__2857"/>
      <sheetName val="[Spt-BH.xls][Spt-BH_xls]B__2858"/>
      <sheetName val="[Spt-BH.xls][Spt-BH_xls]_Sp_941"/>
      <sheetName val="[Spt-BH.xls][Spt-BH_xls]B__2859"/>
      <sheetName val="[Spt-BH.xls][Spt-BH_xls]B__2860"/>
      <sheetName val="[Spt-BH.xls][Spt-BH_xls]B__2861"/>
      <sheetName val="[Spt-BH.xls][Spt-BH_xls]_Sp_942"/>
      <sheetName val="[Spt-BH.xls][Spt-BH_xls]B__2862"/>
      <sheetName val="[Spt-BH.xls][Spt-BH_xls]B__2863"/>
      <sheetName val="[Spt-BH.xls][Spt-BH_xls]B__2864"/>
      <sheetName val="[Spt-BH.xls][Spt-BH_xls]B__2865"/>
      <sheetName val="[Spt-BH.xls][Spt-BH_xls]_Sp_943"/>
      <sheetName val="[Spt-BH.xls][Spt-BH.xls]_S_1064"/>
      <sheetName val="[Spt-BH.xls][Spt-BH_xls]B__2866"/>
      <sheetName val="[Spt-BH.xls][Spt-BH_xls]B__2867"/>
      <sheetName val="[Spt-BH.xls][Spt-BH_xls]_Sp_944"/>
      <sheetName val="[Spt-BH.xls][Spt-BH_xls]B__2868"/>
      <sheetName val="[Spt-BH.xls][Spt-BH_xls]B__2869"/>
      <sheetName val="[Spt-BH.xls][Spt-BH_xls]_Sp_945"/>
      <sheetName val="[Spt-BH.xls][Spt-BH.xls]_S_1071"/>
      <sheetName val="[Spt-BH.xls]B____x005f_x0004______243"/>
      <sheetName val="[Spt-BH.xls]B___x005f_x0000__x000_239"/>
      <sheetName val="[Spt-BH.xls][Spt-BH.xls]_S_1070"/>
      <sheetName val="[Spt-BH.xls][Spt-BH.xls]B__2994"/>
      <sheetName val="[Spt-BH.xls][Spt-BH.xls]B__2995"/>
      <sheetName val="[Spt-BH.xls][Spt-BH.xls]B__2996"/>
      <sheetName val="[Spt-BH.xls][Spt-BH.xls]B__2997"/>
      <sheetName val="[Spt-BH.xls]B____x005f_x0004______242"/>
      <sheetName val="[Spt-BH.xls]B___x005f_x0000__x000_238"/>
      <sheetName val="[Spt-BH.xls][Spt-BH.xls]B__2998"/>
      <sheetName val="[Spt-BH.xls][Spt-BH.xls]B__3018"/>
      <sheetName val="[Spt-BH.xls][Spt-BH.xls]B__3025"/>
      <sheetName val="[Spt-BH.xls][Spt-BH.xls]B__3026"/>
      <sheetName val="[Spt-BH.xls][Spt-BH.xls]_S_1083"/>
      <sheetName val="[Spt-BH.xls][Spt-BH.xls]B__3027"/>
      <sheetName val="[Spt-BH.xls][Spt-BH.xls]B__3028"/>
      <sheetName val="[Spt-BH.xls]B____x005f_x0004______245"/>
      <sheetName val="[Spt-BH.xls][Spt-BH.xls]B__3019"/>
      <sheetName val="[Spt-BH.xls][Spt-BH.xls]_S_1080"/>
      <sheetName val="[Spt-BH.xls][Spt-BH.xls]B__3020"/>
      <sheetName val="[Spt-BH.xls][Spt-BH.xls]B__3021"/>
      <sheetName val="[Spt-BH.xls][Spt-BH.xls]B__3022"/>
      <sheetName val="[Spt-BH.xls]B___x005f_x0000__x000_241"/>
      <sheetName val="[Spt-BH.xls][Spt-BH.xls]B__3029"/>
      <sheetName val="[Spt-BH.xls][Spt-BH.xls]B__3030"/>
      <sheetName val="[Spt-BH.xls][Spt-BH.xls]B__3023"/>
      <sheetName val="[Spt-BH.xls][Spt-BH.xls]B__3024"/>
      <sheetName val="[Spt-BH.xls][Spt-BH.xls]_S_1081"/>
      <sheetName val="[Spt-BH.xls][Spt-BH_xls]B__2900"/>
      <sheetName val="[Spt-BH.xls][Spt-BH_xls]B__2901"/>
      <sheetName val="[Spt-BH.xls][Spt-BH_xls]B__2902"/>
      <sheetName val="[Spt-BH.xls][Spt-BH_xls]B__2903"/>
      <sheetName val="[Spt-BH.xls][Spt-BH_xls]_Sp_956"/>
      <sheetName val="[Spt-BH.xls][Spt-BH_xls]B__2904"/>
      <sheetName val="[Spt-BH.xls][Spt-BH_xls]B__2905"/>
      <sheetName val="[Spt-BH.xls][Spt-BH_xls]B__2906"/>
      <sheetName val="[Spt-BH.xls][Spt-BH_xls]_Sp_957"/>
      <sheetName val="[Spt-BH.xls][Spt-BH_xls]B__2907"/>
      <sheetName val="[Spt-BH.xls][Spt-BH_xls]B__2908"/>
      <sheetName val="[Spt-BH.xls][Spt-BH_xls]B__2909"/>
      <sheetName val="[Spt-BH.xls][Spt-BH_xls]B__2910"/>
      <sheetName val="[Spt-BH.xls][Spt-BH_xls]_Sp_958"/>
      <sheetName val="[Spt-BH.xls][Spt-BH.xls]_S_1079"/>
      <sheetName val="[Spt-BH.xls][Spt-BH_xls]B__2911"/>
      <sheetName val="[Spt-BH.xls][Spt-BH_xls]B__2912"/>
      <sheetName val="[Spt-BH.xls][Spt-BH_xls]_Sp_959"/>
      <sheetName val="[Spt-BH.xls][Spt-BH_xls]B__2913"/>
      <sheetName val="[Spt-BH.xls][Spt-BH_xls]B__2914"/>
      <sheetName val="[Spt-BH.xls][Spt-BH_xls]_Sp_960"/>
      <sheetName val="[Spt-BH.xls][Spt-BH.xls]_S_1082"/>
      <sheetName val="[Spt-BH.xls][Spt-BH.xls]_S_1084"/>
      <sheetName val="[Spt-BH.xls][Spt-BH.xls]_S_1085"/>
      <sheetName val="[Spt-BH.xls][Spt-BH.xls]B__3031"/>
      <sheetName val="[Spt-BH.xls][Spt-BH.xls]B__3032"/>
      <sheetName val="[Spt-BH.xls][Spt-BH.xls]_S_1087"/>
      <sheetName val="[Spt-BH.xls][Spt-BH.xls]B__3033"/>
      <sheetName val="[Spt-BH.xls][Spt-BH.xls]B__3034"/>
      <sheetName val="[Spt-BH.xls][Spt-BH.xls]B__3035"/>
      <sheetName val="[Spt-BH.xls][Spt-BH.xls]B__3036"/>
      <sheetName val="[Spt-BH.xls][Spt-BH.xls]_S_1086"/>
      <sheetName val="[Spt-BH.xls][Spt-BH.xls]B__3038"/>
      <sheetName val="[Spt-BH.xls][Spt-BH.xls]B__3039"/>
      <sheetName val="[Spt-BH.xls][Spt-BH.xls]_S_1089"/>
      <sheetName val="[Spt-BH.xls][Spt-BH.xls]B__3040"/>
      <sheetName val="[Spt-BH.xls][Spt-BH.xls]B__3041"/>
      <sheetName val="[Spt-BH.xls]B____x005f_x0004______246"/>
      <sheetName val="[Spt-BH.xls]B___x005f_x0000__x000_242"/>
      <sheetName val="[Spt-BH.xls][Spt-BH.xls]B__3042"/>
      <sheetName val="[Spt-BH.xls][Spt-BH.xls]B__3043"/>
      <sheetName val="[Spt-BH.xls][Spt-BH.xls]B__3037"/>
      <sheetName val="[Spt-BH.xls][Spt-BH.xls]_S_1088"/>
      <sheetName val="[Spt-BH.xls][Spt-BH_xls]B__2915"/>
      <sheetName val="[Spt-BH.xls][Spt-BH_xls]B__2916"/>
      <sheetName val="[Spt-BH.xls][Spt-BH_xls]B__2917"/>
      <sheetName val="[Spt-BH.xls][Spt-BH_xls]B__2918"/>
      <sheetName val="[Spt-BH.xls][Spt-BH_xls]_Sp_961"/>
      <sheetName val="[Spt-BH.xls][Spt-BH_xls]B__2919"/>
      <sheetName val="[Spt-BH.xls][Spt-BH_xls]B__2920"/>
      <sheetName val="[Spt-BH.xls][Spt-BH_xls]B__2921"/>
      <sheetName val="[Spt-BH.xls][Spt-BH_xls]_Sp_962"/>
      <sheetName val="[Spt-BH.xls][Spt-BH_xls]B__2922"/>
      <sheetName val="[Spt-BH.xls][Spt-BH_xls]B__2923"/>
      <sheetName val="[Spt-BH.xls][Spt-BH_xls]B__2924"/>
      <sheetName val="[Spt-BH.xls][Spt-BH_xls]B__2925"/>
      <sheetName val="[Spt-BH.xls][Spt-BH_xls]_Sp_963"/>
      <sheetName val="[Spt-BH.xls][Spt-BH_xls]B__2926"/>
      <sheetName val="[Spt-BH.xls][Spt-BH_xls]B__2927"/>
      <sheetName val="[Spt-BH.xls][Spt-BH_xls]_Sp_964"/>
      <sheetName val="[Spt-BH.xls][Spt-BH_xls]B__2928"/>
      <sheetName val="[Spt-BH.xls][Spt-BH_xls]B__2929"/>
      <sheetName val="[Spt-BH.xls][Spt-BH_xls]_Sp_965"/>
      <sheetName val="[Spt-BH.xls][Spt-BH.xls]B__3050"/>
      <sheetName val="[Spt-BH.xls][Spt-BH.xls]B__3051"/>
      <sheetName val="[Spt-BH.xls][Spt-BH.xls]_S_1093"/>
      <sheetName val="[Spt-BH.xls][Spt-BH.xls]B__3052"/>
      <sheetName val="[Spt-BH.xls][Spt-BH.xls]B__3053"/>
      <sheetName val="[Spt-BH.xls][Spt-BH.xls]_S_1090"/>
      <sheetName val="[Spt-BH.xls][Spt-BH.xls]B__3044"/>
      <sheetName val="[Spt-BH.xls][Spt-BH.xls]B__3045"/>
      <sheetName val="[Spt-BH.xls][Spt-BH.xls]_S_1092"/>
      <sheetName val="[Spt-BH.xls][Spt-BH.xls]B__3046"/>
      <sheetName val="[Spt-BH.xls][Spt-BH.xls]B__3047"/>
      <sheetName val="[Spt-BH.xls][Spt-BH.xls]B__3048"/>
      <sheetName val="[Spt-BH.xls][Spt-BH.xls]B__3049"/>
      <sheetName val="[Spt-BH.xls][Spt-BH.xls]_S_1091"/>
      <sheetName val="[Spt-BH.xls][Spt-BH.xls]B__3054"/>
      <sheetName val="[Spt-BH.xls][Spt-BH.xls]B__3055"/>
      <sheetName val="[Spt-BH.xls][Spt-BH.xls]_S_1098"/>
      <sheetName val="[Spt-BH.xls][Spt-BH.xls]B__3056"/>
      <sheetName val="[Spt-BH.xls][Spt-BH.xls]B__3057"/>
      <sheetName val="[Spt-BH.xls][Spt-BH.xls]B__3067"/>
      <sheetName val="[Spt-BH.xls][Spt-BH.xls]B__3068"/>
      <sheetName val="[Spt-BH.xls][Spt-BH.xls]_S_1100"/>
      <sheetName val="[Spt-BH.xls][Spt-BH.xls]B__3069"/>
      <sheetName val="[Spt-BH.xls][Spt-BH.xls]B__3070"/>
      <sheetName val="[Spt-BH.xls]B____x005f_x0004______247"/>
      <sheetName val="[Spt-BH.xls]B___x005f_x0000__x000_243"/>
      <sheetName val="[Spt-BH.xls][Spt-BH.xls]B__3071"/>
      <sheetName val="[Spt-BH.xls][Spt-BH.xls]B__3072"/>
      <sheetName val="[Spt-BH.xls][Spt-BH.xls]B__3058"/>
      <sheetName val="[Spt-BH.xls][Spt-BH.xls]B__3059"/>
      <sheetName val="[Spt-BH.xls][Spt-BH.xls]B__3060"/>
      <sheetName val="[Spt-BH.xls][Spt-BH.xls]_S_1094"/>
      <sheetName val="[Spt-BH.xls][Spt-BH.xls]_S_1099"/>
      <sheetName val="[Spt-BH.xls][Spt-BH_xls]B__2930"/>
      <sheetName val="[Spt-BH.xls][Spt-BH_xls]B__2931"/>
      <sheetName val="[Spt-BH.xls][Spt-BH_xls]B__2932"/>
      <sheetName val="[Spt-BH.xls][Spt-BH_xls]B__2933"/>
      <sheetName val="[Spt-BH.xls][Spt-BH_xls]_Sp_966"/>
      <sheetName val="[Spt-BH.xls][Spt-BH_xls]B__2934"/>
      <sheetName val="[Spt-BH.xls][Spt-BH_xls]B__2935"/>
      <sheetName val="[Spt-BH.xls][Spt-BH_xls]B__2936"/>
      <sheetName val="[Spt-BH.xls][Spt-BH_xls]_Sp_967"/>
      <sheetName val="[Spt-BH.xls][Spt-BH_xls]B__2937"/>
      <sheetName val="[Spt-BH.xls][Spt-BH_xls]B__2938"/>
      <sheetName val="[Spt-BH.xls][Spt-BH_xls]B__2939"/>
      <sheetName val="[Spt-BH.xls][Spt-BH_xls]B__2940"/>
      <sheetName val="[Spt-BH.xls][Spt-BH_xls]_Sp_968"/>
      <sheetName val="[Spt-BH.xls][Spt-BH_xls]B__2941"/>
      <sheetName val="[Spt-BH.xls][Spt-BH_xls]B__2942"/>
      <sheetName val="[Spt-BH.xls][Spt-BH_xls]_Sp_969"/>
      <sheetName val="[Spt-BH.xls][Spt-BH_xls]B__2943"/>
      <sheetName val="[Spt-BH.xls][Spt-BH_xls]B__2944"/>
      <sheetName val="[Spt-BH.xls][Spt-BH_xls]_Sp_970"/>
      <sheetName val="[Spt-BH.xls][Spt-BH.xls]_S_1095"/>
      <sheetName val="[Spt-BH.xls][Spt-BH.xls]B__3061"/>
      <sheetName val="[Spt-BH.xls][Spt-BH.xls]B__3062"/>
      <sheetName val="[Spt-BH.xls][Spt-BH.xls]_S_1097"/>
      <sheetName val="[Spt-BH.xls][Spt-BH.xls]B__3063"/>
      <sheetName val="[Spt-BH.xls][Spt-BH.xls]B__3064"/>
      <sheetName val="[Spt-BH.xls][Spt-BH.xls]B__3065"/>
      <sheetName val="[Spt-BH.xls][Spt-BH.xls]B__3066"/>
      <sheetName val="[Spt-BH.xls][Spt-BH.xls]_S_1096"/>
      <sheetName val="[Spt-BH.xls][Spt-BH.xls]_S_1137"/>
      <sheetName val="[Spt-BH.xls][Spt-BH.xls]B__3204"/>
      <sheetName val="[Spt-BH.xls][Spt-BH.xls]B__3205"/>
      <sheetName val="[Spt-BH.xls][Spt-BH.xls]_S_1139"/>
      <sheetName val="[Spt-BH.xls][Spt-BH.xls]B__3206"/>
      <sheetName val="[Spt-BH.xls][Spt-BH.xls]B__3207"/>
      <sheetName val="[Spt-BH.xls][Spt-BH.xls]B__3208"/>
      <sheetName val="[Spt-BH.xls][Spt-BH.xls]B__3209"/>
      <sheetName val="[Spt-BH.xls][Spt-BH.xls]B__3097"/>
      <sheetName val="[Spt-BH.xls][Spt-BH.xls]B__3098"/>
      <sheetName val="[Spt-BH.xls][Spt-BH.xls]_S_1102"/>
      <sheetName val="[Spt-BH.xls]B____x005f_x0004______248"/>
      <sheetName val="[Spt-BH.xls]B___x005f_x0000__x000_244"/>
      <sheetName val="[Spt-BH.xls][Spt-BH.xls]B__3073"/>
      <sheetName val="[Spt-BH.xls][Spt-BH.xls]B__3074"/>
      <sheetName val="[Spt-BH.xls][Spt-BH.xls]B__3075"/>
      <sheetName val="[Spt-BH.xls]B____x005f_x0004______249"/>
      <sheetName val="[Spt-BH.xls]B___x005f_x0000__x000_245"/>
      <sheetName val="[Spt-BH.xls][Spt-BH.xls]B__3076"/>
      <sheetName val="[Spt-BH.xls][Spt-BH.xls]B__3077"/>
      <sheetName val="[Spt-BH.xls][Spt-BH.xls]B__3091"/>
      <sheetName val="[Spt-BH.xls][Spt-BH.xls]B__3092"/>
      <sheetName val="[Spt-BH.xls][Spt-BH.xls]_S_1101"/>
      <sheetName val="[Spt-BH.xls][Spt-BH.xls]B__3093"/>
      <sheetName val="[Spt-BH.xls][Spt-BH.xls]B__3094"/>
      <sheetName val="[Spt-BH.xls]B____x005f_x0004______250"/>
      <sheetName val="[Spt-BH.xls][Spt-BH.xls]B__3078"/>
      <sheetName val="[Spt-BH.xls][Spt-BH.xls]B__3079"/>
      <sheetName val="[Spt-BH.xls][Spt-BH.xls]B__3080"/>
      <sheetName val="[Spt-BH.xls][Spt-BH.xls]B__3081"/>
      <sheetName val="[Spt-BH.xls][Spt-BH.xls]B__3082"/>
      <sheetName val="[Spt-BH.xls]B___x005f_x0000__x000_246"/>
      <sheetName val="[Spt-BH.xls][Spt-BH.xls]B__3095"/>
      <sheetName val="[Spt-BH.xls][Spt-BH.xls]B__3096"/>
      <sheetName val="[Spt-BH.xls][Spt-BH.xls]B__3083"/>
      <sheetName val="[Spt-BH.xls][Spt-BH.xls]B__3084"/>
      <sheetName val="[Spt-BH.xls][Spt-BH.xls]B__3085"/>
      <sheetName val="[Spt-BH.xls][Spt-BH.xls]B__3086"/>
      <sheetName val="[Spt-BH.xls][Spt-BH.xls]B__3087"/>
      <sheetName val="[Spt-BH.xls][Spt-BH.xls]B__3088"/>
      <sheetName val="[Spt-BH.xls][Spt-BH.xls]B__3089"/>
      <sheetName val="[Spt-BH.xls][Spt-BH.xls]B__3090"/>
      <sheetName val="[Spt-BH.xls][Spt-BH.xls]_S_1103"/>
      <sheetName val="[Spt-BH.xls][Spt-BH.xls]B__3113"/>
      <sheetName val="[Spt-BH.xls][Spt-BH.xls]B__3114"/>
      <sheetName val="[Spt-BH.xls][Spt-BH.xls]_S_1109"/>
      <sheetName val="[Spt-BH.xls][Spt-BH.xls]B__3115"/>
      <sheetName val="[Spt-BH.xls][Spt-BH.xls]B__3116"/>
      <sheetName val="[Spt-BH.xls]B____x005f_x0004______251"/>
      <sheetName val="[Spt-BH.xls][Spt-BH.xls]B__3099"/>
      <sheetName val="[Spt-BH.xls][Spt-BH.xls]B__3100"/>
      <sheetName val="[Spt-BH.xls][Spt-BH.xls]_S_1107"/>
      <sheetName val="[Spt-BH.xls][Spt-BH.xls]B__3101"/>
      <sheetName val="[Spt-BH.xls][Spt-BH.xls]B__3102"/>
      <sheetName val="[Spt-BH.xls][Spt-BH.xls]B__3103"/>
      <sheetName val="[Spt-BH.xls]B___x005f_x0000__x000_247"/>
      <sheetName val="[Spt-BH.xls][Spt-BH.xls]B__3117"/>
      <sheetName val="[Spt-BH.xls][Spt-BH.xls]B__3118"/>
      <sheetName val="[Spt-BH.xls][Spt-BH.xls]B__3104"/>
      <sheetName val="[Spt-BH.xls][Spt-BH.xls]B__3105"/>
      <sheetName val="[Spt-BH.xls][Spt-BH.xls]_S_1108"/>
      <sheetName val="[Spt-BH.xls][Spt-BH_xls]B__2945"/>
      <sheetName val="[Spt-BH.xls][Spt-BH_xls]B__2946"/>
      <sheetName val="[Spt-BH.xls][Spt-BH_xls]B__2947"/>
      <sheetName val="[Spt-BH.xls][Spt-BH_xls]B__2948"/>
      <sheetName val="[Spt-BH.xls][Spt-BH_xls]_Sp_971"/>
      <sheetName val="[Spt-BH.xls][Spt-BH_xls]B__2949"/>
      <sheetName val="[Spt-BH.xls][Spt-BH_xls]B__2950"/>
      <sheetName val="[Spt-BH.xls][Spt-BH_xls]B__2951"/>
      <sheetName val="[Spt-BH.xls][Spt-BH_xls]_Sp_972"/>
      <sheetName val="[Spt-BH.xls][Spt-BH_xls]B__2952"/>
      <sheetName val="[Spt-BH.xls][Spt-BH_xls]B__2953"/>
      <sheetName val="[Spt-BH.xls][Spt-BH_xls]B__2954"/>
      <sheetName val="[Spt-BH.xls][Spt-BH_xls]B__2955"/>
      <sheetName val="[Spt-BH.xls][Spt-BH_xls]_Sp_973"/>
      <sheetName val="[Spt-BH.xls][Spt-BH.xls]_S_1104"/>
      <sheetName val="[Spt-BH.xls][Spt-BH_xls]B__2956"/>
      <sheetName val="[Spt-BH.xls][Spt-BH_xls]B__2957"/>
      <sheetName val="[Spt-BH.xls][Spt-BH_xls]_Sp_974"/>
      <sheetName val="[Spt-BH.xls][Spt-BH_xls]B__2958"/>
      <sheetName val="[Spt-BH.xls][Spt-BH_xls]B__2959"/>
      <sheetName val="[Spt-BH.xls][Spt-BH_xls]_Sp_975"/>
      <sheetName val="[Spt-BH.xls][Spt-BH.xls]B__3120"/>
      <sheetName val="[Spt-BH.xls][Spt-BH.xls]B__3121"/>
      <sheetName val="[Spt-BH.xls][Spt-BH.xls]_S_1116"/>
      <sheetName val="[Spt-BH.xls][Spt-BH.xls]B__3122"/>
      <sheetName val="[Spt-BH.xls][Spt-BH.xls]B__3123"/>
      <sheetName val="[Spt-BH.xls]B____x005f_x0004______253"/>
      <sheetName val="[Spt-BH.xls]B___x005f_x0000__x000_249"/>
      <sheetName val="[Spt-BH.xls][Spt-BH.xls]B__3124"/>
      <sheetName val="[Spt-BH.xls][Spt-BH.xls]B__3125"/>
      <sheetName val="[Spt-BH.xls][Spt-BH.xls]B__3119"/>
      <sheetName val="[Spt-BH.xls][Spt-BH.xls]_S_1110"/>
      <sheetName val="[Spt-BH.xls][Spt-BH_xls]B__2975"/>
      <sheetName val="[Spt-BH.xls][Spt-BH_xls]B__2976"/>
      <sheetName val="[Spt-BH.xls][Spt-BH_xls]B__2977"/>
      <sheetName val="[Spt-BH.xls][Spt-BH_xls]B__2978"/>
      <sheetName val="[Spt-BH.xls][Spt-BH_xls]_Sp_981"/>
      <sheetName val="[Spt-BH.xls][Spt-BH_xls]B__2979"/>
      <sheetName val="[Spt-BH.xls][Spt-BH_xls]B__2980"/>
      <sheetName val="[Spt-BH.xls][Spt-BH_xls]B__2981"/>
      <sheetName val="[Spt-BH.xls][Spt-BH_xls]_Sp_982"/>
      <sheetName val="[Spt-BH.xls][Spt-BH_xls]B__2982"/>
      <sheetName val="[Spt-BH.xls][Spt-BH_xls]B__2983"/>
      <sheetName val="[Spt-BH.xls][Spt-BH_xls]B__2984"/>
      <sheetName val="[Spt-BH.xls][Spt-BH_xls]B__2985"/>
      <sheetName val="[Spt-BH.xls][Spt-BH_xls]_Sp_983"/>
      <sheetName val="[Spt-BH.xls][Spt-BH_xls]B__2986"/>
      <sheetName val="[Spt-BH.xls][Spt-BH_xls]B__2987"/>
      <sheetName val="[Spt-BH.xls][Spt-BH_xls]_Sp_984"/>
      <sheetName val="[Spt-BH.xls][Spt-BH_xls]B__2988"/>
      <sheetName val="[Spt-BH.xls][Spt-BH_xls]B__2989"/>
      <sheetName val="[Spt-BH.xls][Spt-BH_xls]_Sp_985"/>
      <sheetName val="[Spt-BH.xls][Spt-BH.xls]B__3106"/>
      <sheetName val="[Spt-BH.xls][Spt-BH.xls]B__3107"/>
      <sheetName val="[Spt-BH.xls][Spt-BH.xls]B__3108"/>
      <sheetName val="[Spt-BH.xls][Spt-BH.xls]B__3109"/>
      <sheetName val="[Spt-BH.xls][Spt-BH.xls]_S_1105"/>
      <sheetName val="[Spt-BH.xls][Spt-BH.xls]B__3110"/>
      <sheetName val="[Spt-BH.xls][Spt-BH.xls]B__3111"/>
      <sheetName val="[Spt-BH.xls][Spt-BH.xls]_S_1106"/>
      <sheetName val="[Spt-BH.xls]B____x005f_x0004______252"/>
      <sheetName val="[Spt-BH.xls]B___x005f_x0000__x000_248"/>
      <sheetName val="[Spt-BH.xls][Spt-BH.xls]B__3112"/>
      <sheetName val="[Spt-BH.xls][Spt-BH_xls]B__2960"/>
      <sheetName val="[Spt-BH.xls][Spt-BH_xls]B__2961"/>
      <sheetName val="[Spt-BH.xls][Spt-BH_xls]B__2962"/>
      <sheetName val="[Spt-BH.xls][Spt-BH_xls]B__2963"/>
      <sheetName val="[Spt-BH.xls][Spt-BH_xls]_Sp_976"/>
      <sheetName val="[Spt-BH.xls][Spt-BH_xls]B__2964"/>
      <sheetName val="[Spt-BH.xls][Spt-BH_xls]B__2965"/>
      <sheetName val="[Spt-BH.xls][Spt-BH_xls]B__2966"/>
      <sheetName val="[Spt-BH.xls][Spt-BH_xls]_Sp_977"/>
      <sheetName val="[Spt-BH.xls][Spt-BH_xls]B__2967"/>
      <sheetName val="[Spt-BH.xls][Spt-BH_xls]B__2968"/>
      <sheetName val="[Spt-BH.xls][Spt-BH_xls]B__2969"/>
      <sheetName val="[Spt-BH.xls][Spt-BH_xls]B__2970"/>
      <sheetName val="[Spt-BH.xls][Spt-BH_xls]_Sp_978"/>
      <sheetName val="[Spt-BH.xls][Spt-BH_xls]B__2971"/>
      <sheetName val="[Spt-BH.xls][Spt-BH_xls]B__2972"/>
      <sheetName val="[Spt-BH.xls][Spt-BH_xls]_Sp_979"/>
      <sheetName val="[Spt-BH.xls][Spt-BH_xls]B__2973"/>
      <sheetName val="[Spt-BH.xls][Spt-BH_xls]B__2974"/>
      <sheetName val="[Spt-BH.xls][Spt-BH_xls]_Sp_980"/>
      <sheetName val="[Spt-BH.xls][Spt-BH.xls]B__3139"/>
      <sheetName val="[Spt-BH.xls][Spt-BH.xls]B__3140"/>
      <sheetName val="[Spt-BH.xls][Spt-BH.xls]_S_1118"/>
      <sheetName val="[Spt-BH.xls][Spt-BH.xls]B__3141"/>
      <sheetName val="[Spt-BH.xls][Spt-BH.xls]B__3142"/>
      <sheetName val="[Spt-BH.xls]B____x005f_x0004______254"/>
      <sheetName val="[Spt-BH.xls]B___x005f_x0000__x000_250"/>
      <sheetName val="[Spt-BH.xls][Spt-BH.xls]B__3143"/>
      <sheetName val="[Spt-BH.xls][Spt-BH.xls]B__3144"/>
      <sheetName val="[Spt-BH.xls][Spt-BH.xls]B__3126"/>
      <sheetName val="[Spt-BH.xls][Spt-BH.xls]_S_1117"/>
      <sheetName val="[Spt-BH.xls][Spt-BH_xls]B__2990"/>
      <sheetName val="[Spt-BH.xls][Spt-BH_xls]B__2991"/>
      <sheetName val="[Spt-BH.xls][Spt-BH_xls]B__2992"/>
      <sheetName val="[Spt-BH.xls][Spt-BH_xls]B__2993"/>
      <sheetName val="[Spt-BH.xls][Spt-BH_xls]_Sp_986"/>
      <sheetName val="[Spt-BH.xls][Spt-BH_xls]B__2994"/>
      <sheetName val="[Spt-BH.xls][Spt-BH_xls]B__2995"/>
      <sheetName val="[Spt-BH.xls][Spt-BH_xls]B__2996"/>
      <sheetName val="[Spt-BH.xls][Spt-BH_xls]_Sp_987"/>
      <sheetName val="[Spt-BH.xls][Spt-BH_xls]B__2997"/>
      <sheetName val="[Spt-BH.xls][Spt-BH_xls]B__2998"/>
      <sheetName val="[Spt-BH.xls][Spt-BH_xls]B__2999"/>
      <sheetName val="[Spt-BH.xls][Spt-BH_xls]B__3000"/>
      <sheetName val="[Spt-BH.xls][Spt-BH_xls]_Sp_988"/>
      <sheetName val="[Spt-BH.xls][Spt-BH_xls]B__3001"/>
      <sheetName val="[Spt-BH.xls][Spt-BH_xls]B__3002"/>
      <sheetName val="[Spt-BH.xls][Spt-BH_xls]_Sp_989"/>
      <sheetName val="[Spt-BH.xls][Spt-BH_xls]B__3003"/>
      <sheetName val="[Spt-BH.xls][Spt-BH_xls]B__3004"/>
      <sheetName val="[Spt-BH.xls][Spt-BH_xls]_Sp_990"/>
      <sheetName val="[Spt-BH.xls][Spt-BH.xls]_S_1111"/>
      <sheetName val="[Spt-BH.xls][Spt-BH.xls]B__3127"/>
      <sheetName val="[Spt-BH.xls][Spt-BH.xls]B__3128"/>
      <sheetName val="[Spt-BH.xls][Spt-BH.xls]B__3129"/>
      <sheetName val="[Spt-BH.xls][Spt-BH.xls]B__3130"/>
      <sheetName val="[Spt-BH.xls][Spt-BH.xls]B__3131"/>
      <sheetName val="[Spt-BH.xls][Spt-BH.xls]B__3132"/>
      <sheetName val="[Spt-BH.xls][Spt-BH.xls]_S_1112"/>
      <sheetName val="[Spt-BH.xls][Spt-BH.xls]_S_1113"/>
      <sheetName val="[Spt-BH.xls][Spt-BH.xls]_S_1114"/>
      <sheetName val="[Spt-BH.xls][Spt-BH.xls]B__3133"/>
      <sheetName val="[Spt-BH.xls][Spt-BH.xls]B__3134"/>
      <sheetName val="[Spt-BH.xls][Spt-BH.xls]B__3135"/>
      <sheetName val="[Spt-BH.xls][Spt-BH.xls]B__3136"/>
      <sheetName val="[Spt-BH.xls][Spt-BH.xls]B__3137"/>
      <sheetName val="[Spt-BH.xls][Spt-BH.xls]B__3138"/>
      <sheetName val="[Spt-BH.xls][Spt-BH.xls]_S_1115"/>
      <sheetName val="[Spt-BH.xls][Spt-BH.xls]B__3145"/>
      <sheetName val="[Spt-BH.xls][Spt-BH.xls]B__3146"/>
      <sheetName val="[Spt-BH.xls][Spt-BH.xls]_S_1120"/>
      <sheetName val="[Spt-BH.xls][Spt-BH.xls]B__3147"/>
      <sheetName val="[Spt-BH.xls][Spt-BH.xls]B__3148"/>
      <sheetName val="[Spt-BH.xls][Spt-BH.xls]B__3149"/>
      <sheetName val="[Spt-BH.xls][Spt-BH.xls]B__3150"/>
      <sheetName val="[Spt-BH.xls][Spt-BH.xls]_S_1119"/>
      <sheetName val="[Spt-BH.xls][Spt-BH.xls]B__3151"/>
      <sheetName val="[Spt-BH.xls][Spt-BH.xls]B__3152"/>
      <sheetName val="[Spt-BH.xls][Spt-BH.xls]_S_1121"/>
      <sheetName val="[Spt-BH.xls][Spt-BH.xls]B__3153"/>
      <sheetName val="[Spt-BH.xls][Spt-BH.xls]B__3154"/>
      <sheetName val="[Spt-BH.xls][Spt-BH.xls]B__3157"/>
      <sheetName val="[Spt-BH.xls][Spt-BH.xls]B__3158"/>
      <sheetName val="[Spt-BH.xls][Spt-BH.xls]B__3155"/>
      <sheetName val="[Spt-BH.xls][Spt-BH.xls]B__3156"/>
      <sheetName val="[Spt-BH.xls][Spt-BH.xls]_S_1125"/>
      <sheetName val="[Spt-BH.xls][Spt-BH.xls]B__3165"/>
      <sheetName val="[Spt-BH.xls][Spt-BH.xls]B__3166"/>
      <sheetName val="[Spt-BH.xls][Spt-BH.xls]_S_1127"/>
      <sheetName val="[Spt-BH.xls][Spt-BH.xls]B__3167"/>
      <sheetName val="[Spt-BH.xls][Spt-BH.xls]B__3168"/>
      <sheetName val="[Spt-BH.xls][Spt-BH.xls]B__3169"/>
      <sheetName val="[Spt-BH.xls][Spt-BH.xls]B__3170"/>
      <sheetName val="[Spt-BH.xls][Spt-BH.xls]_S_1122"/>
      <sheetName val="[Spt-BH.xls][Spt-BH.xls]_S_1126"/>
      <sheetName val="[Spt-BH.xls][Spt-BH.xls]_S_1123"/>
      <sheetName val="[Spt-BH.xls][Spt-BH.xls]B__3159"/>
      <sheetName val="[Spt-BH.xls][Spt-BH.xls]B__3160"/>
      <sheetName val="[Spt-BH.xls][Spt-BH.xls]B__3161"/>
      <sheetName val="[Spt-BH.xls][Spt-BH.xls]B__3162"/>
      <sheetName val="[Spt-BH.xls][Spt-BH.xls]B__3163"/>
      <sheetName val="[Spt-BH.xls][Spt-BH.xls]B__3164"/>
      <sheetName val="[Spt-BH.xls][Spt-BH.xls]_S_1124"/>
      <sheetName val="[Spt-BH.xls][Spt-BH.xls]B__3172"/>
      <sheetName val="[Spt-BH.xls][Spt-BH.xls]B__3173"/>
      <sheetName val="[Spt-BH.xls][Spt-BH.xls]_S_1133"/>
      <sheetName val="[Spt-BH.xls][Spt-BH.xls]B__3174"/>
      <sheetName val="[Spt-BH.xls][Spt-BH.xls]B__3175"/>
      <sheetName val="[Spt-BH.xls]B____x005f_x0004______255"/>
      <sheetName val="[Spt-BH.xls]B___x005f_x0000__x000_251"/>
      <sheetName val="[Spt-BH.xls][Spt-BH.xls]B__3176"/>
      <sheetName val="[Spt-BH.xls][Spt-BH.xls]B__3177"/>
      <sheetName val="[Spt-BH.xls][Spt-BH.xls]_S_1128"/>
      <sheetName val="[Spt-BH.xls][Spt-BH_xls]B__3005"/>
      <sheetName val="[Spt-BH.xls][Spt-BH_xls]B__3006"/>
      <sheetName val="[Spt-BH.xls][Spt-BH_xls]B__3007"/>
      <sheetName val="[Spt-BH.xls][Spt-BH_xls]B__3008"/>
      <sheetName val="[Spt-BH.xls][Spt-BH_xls]_Sp_991"/>
      <sheetName val="[Spt-BH.xls][Spt-BH_xls]B__3009"/>
      <sheetName val="[Spt-BH.xls][Spt-BH_xls]B__3010"/>
      <sheetName val="[Spt-BH.xls][Spt-BH_xls]B__3011"/>
      <sheetName val="[Spt-BH.xls][Spt-BH_xls]_Sp_992"/>
      <sheetName val="[Spt-BH.xls][Spt-BH_xls]B__3012"/>
      <sheetName val="[Spt-BH.xls][Spt-BH_xls]B__3013"/>
      <sheetName val="[Spt-BH.xls][Spt-BH_xls]B__3014"/>
      <sheetName val="[Spt-BH.xls][Spt-BH_xls]B__3015"/>
      <sheetName val="[Spt-BH.xls][Spt-BH_xls]_Sp_993"/>
      <sheetName val="[Spt-BH.xls][Spt-BH.xls]B__3171"/>
      <sheetName val="[Spt-BH.xls][Spt-BH_xls]B__3016"/>
      <sheetName val="[Spt-BH.xls][Spt-BH_xls]B__3017"/>
      <sheetName val="[Spt-BH.xls][Spt-BH_xls]_Sp_994"/>
      <sheetName val="[Spt-BH.xls][Spt-BH_xls]B__3018"/>
      <sheetName val="[Spt-BH.xls][Spt-BH_xls]B__3019"/>
      <sheetName val="[Spt-BH.xls][Spt-BH_xls]_Sp_995"/>
      <sheetName val="[Spt-BH.xls][Spt-BH.xls]_S_1130"/>
      <sheetName val="[Spt-BH.xls][Spt-BH.xls]_S_1129"/>
      <sheetName val="[Spt-BH.xls][Spt-BH.xls]B__3178"/>
      <sheetName val="[Spt-BH.xls][Spt-BH.xls]B__3179"/>
      <sheetName val="[Spt-BH.xls][Spt-BH.xls]B__3180"/>
      <sheetName val="[Spt-BH.xls][Spt-BH.xls]B__3181"/>
      <sheetName val="[Spt-BH.xls][Spt-BH.xls]B__3182"/>
      <sheetName val="[Spt-BH.xls][Spt-BH.xls]B__3183"/>
      <sheetName val="[Spt-BH.xls][Spt-BH.xls]B__3198"/>
      <sheetName val="[Spt-BH.xls][Spt-BH.xls]B__3199"/>
      <sheetName val="[Spt-BH.xls][Spt-BH.xls]B__3200"/>
      <sheetName val="[Spt-BH.xls][Spt-BH.xls]B__3201"/>
      <sheetName val="[Spt-BH.xls]B____x005f_x0004______257"/>
      <sheetName val="[Spt-BH.xls]B___x005f_x0000__x000_253"/>
      <sheetName val="[Spt-BH.xls][Spt-BH.xls]B__3202"/>
      <sheetName val="[Spt-BH.xls][Spt-BH.xls]B__3191"/>
      <sheetName val="[Spt-BH.xls][Spt-BH.xls]B__3192"/>
      <sheetName val="[Spt-BH.xls][Spt-BH.xls]_S_1135"/>
      <sheetName val="[Spt-BH.xls][Spt-BH.xls]B__3193"/>
      <sheetName val="[Spt-BH.xls][Spt-BH.xls]B__3194"/>
      <sheetName val="[Spt-BH.xls][Spt-BH.xls]B__3195"/>
      <sheetName val="[Spt-BH.xls][Spt-BH.xls]B__3203"/>
      <sheetName val="[Spt-BH.xls][Spt-BH.xls]B__3196"/>
      <sheetName val="[Spt-BH.xls][Spt-BH.xls]B__3197"/>
      <sheetName val="[Spt-BH.xls][Spt-BH.xls]_S_1136"/>
      <sheetName val="[Spt-BH.xls][Spt-BH_xls]B__3035"/>
      <sheetName val="[Spt-BH.xls][Spt-BH_xls]B__3036"/>
      <sheetName val="[Spt-BH.xls][Spt-BH_xls]B__3037"/>
      <sheetName val="[Spt-BH.xls][Spt-BH_xls]B__3038"/>
      <sheetName val="[Spt-BH.xls][Spt-BH_xls]_S_1001"/>
      <sheetName val="[Spt-BH.xls][Spt-BH_xls]B__3039"/>
      <sheetName val="[Spt-BH.xls][Spt-BH_xls]B__3040"/>
      <sheetName val="[Spt-BH.xls][Spt-BH_xls]B__3041"/>
      <sheetName val="[Spt-BH.xls][Spt-BH_xls]_S_1002"/>
      <sheetName val="[Spt-BH.xls][Spt-BH_xls]B__3042"/>
      <sheetName val="[Spt-BH.xls][Spt-BH_xls]B__3043"/>
      <sheetName val="[Spt-BH.xls][Spt-BH_xls]B__3044"/>
      <sheetName val="[Spt-BH.xls][Spt-BH_xls]B__3045"/>
      <sheetName val="[Spt-BH.xls][Spt-BH_xls]_S_1003"/>
      <sheetName val="[Spt-BH.xls][Spt-BH.xls]_S_1134"/>
      <sheetName val="[Spt-BH.xls][Spt-BH_xls]B__3046"/>
      <sheetName val="[Spt-BH.xls][Spt-BH_xls]B__3047"/>
      <sheetName val="[Spt-BH.xls][Spt-BH_xls]_S_1004"/>
      <sheetName val="[Spt-BH.xls][Spt-BH_xls]B__3048"/>
      <sheetName val="[Spt-BH.xls][Spt-BH_xls]B__3049"/>
      <sheetName val="[Spt-BH.xls][Spt-BH_xls]_S_1005"/>
      <sheetName val="[Spt-BH.xls][Spt-BH.xls]_S_1131"/>
      <sheetName val="[Spt-BH.xls]B____x005f_x0004______256"/>
      <sheetName val="[Spt-BH.xls]B___x005f_x0000__x000_252"/>
      <sheetName val="[Spt-BH.xls][Spt-BH.xls]B__3184"/>
      <sheetName val="[Spt-BH.xls][Spt-BH.xls]B__3185"/>
      <sheetName val="[Spt-BH.xls][Spt-BH.xls]B__3186"/>
      <sheetName val="[Spt-BH.xls][Spt-BH.xls]B__3187"/>
      <sheetName val="[Spt-BH.xls][Spt-BH.xls]B__3188"/>
      <sheetName val="[Spt-BH.xls][Spt-BH.xls]B__3189"/>
      <sheetName val="[Spt-BH.xls][Spt-BH.xls]B__3190"/>
      <sheetName val="[Spt-BH.xls][Spt-BH_xls]B__3020"/>
      <sheetName val="[Spt-BH.xls][Spt-BH_xls]B__3021"/>
      <sheetName val="[Spt-BH.xls][Spt-BH_xls]B__3022"/>
      <sheetName val="[Spt-BH.xls][Spt-BH_xls]B__3023"/>
      <sheetName val="[Spt-BH.xls][Spt-BH_xls]_Sp_996"/>
      <sheetName val="[Spt-BH.xls][Spt-BH_xls]B__3024"/>
      <sheetName val="[Spt-BH.xls][Spt-BH_xls]B__3025"/>
      <sheetName val="[Spt-BH.xls][Spt-BH_xls]B__3026"/>
      <sheetName val="[Spt-BH.xls][Spt-BH_xls]_Sp_997"/>
      <sheetName val="[Spt-BH.xls][Spt-BH_xls]B__3027"/>
      <sheetName val="[Spt-BH.xls][Spt-BH_xls]B__3028"/>
      <sheetName val="[Spt-BH.xls][Spt-BH_xls]B__3029"/>
      <sheetName val="[Spt-BH.xls][Spt-BH_xls]B__3030"/>
      <sheetName val="[Spt-BH.xls][Spt-BH_xls]_Sp_998"/>
      <sheetName val="[Spt-BH.xls][Spt-BH.xls]_S_1132"/>
      <sheetName val="[Spt-BH.xls][Spt-BH_xls]B__3031"/>
      <sheetName val="[Spt-BH.xls][Spt-BH_xls]B__3032"/>
      <sheetName val="[Spt-BH.xls][Spt-BH_xls]_Sp_999"/>
      <sheetName val="[Spt-BH.xls][Spt-BH_xls]B__3033"/>
      <sheetName val="[Spt-BH.xls][Spt-BH_xls]B__3034"/>
      <sheetName val="[Spt-BH.xls][Spt-BH_xls]_S_1000"/>
      <sheetName val="[Spt-BH.xls][Spt-BH.xls]_S_1138"/>
      <sheetName val="[Spt-BH.xls][Spt-BH.xls]B__3211"/>
      <sheetName val="[Spt-BH.xls][Spt-BH.xls]B__3212"/>
      <sheetName val="[Spt-BH.xls][Spt-BH.xls]_S_1141"/>
      <sheetName val="[Spt-BH.xls][Spt-BH.xls]B__3213"/>
      <sheetName val="[Spt-BH.xls][Spt-BH.xls]B__3214"/>
      <sheetName val="[Spt-BH.xls]B____x005f_x0004______258"/>
      <sheetName val="[Spt-BH.xls]B___x005f_x0000__x000_254"/>
      <sheetName val="[Spt-BH.xls][Spt-BH.xls]B__3215"/>
      <sheetName val="[Spt-BH.xls][Spt-BH.xls]B__3216"/>
      <sheetName val="[Spt-BH.xls][Spt-BH.xls]B__3210"/>
      <sheetName val="[Spt-BH.xls][Spt-BH.xls]_S_1140"/>
      <sheetName val="[Spt-BH.xls][Spt-BH_xls]B__3050"/>
      <sheetName val="[Spt-BH.xls][Spt-BH_xls]B__3051"/>
      <sheetName val="[Spt-BH.xls][Spt-BH_xls]B__3052"/>
      <sheetName val="[Spt-BH.xls][Spt-BH_xls]B__3053"/>
      <sheetName val="[Spt-BH.xls][Spt-BH_xls]_S_1006"/>
      <sheetName val="[Spt-BH.xls][Spt-BH_xls]B__3054"/>
      <sheetName val="[Spt-BH.xls][Spt-BH_xls]B__3055"/>
      <sheetName val="[Spt-BH.xls][Spt-BH_xls]B__3056"/>
      <sheetName val="[Spt-BH.xls][Spt-BH_xls]_S_1007"/>
      <sheetName val="[Spt-BH.xls][Spt-BH_xls]B__3057"/>
      <sheetName val="[Spt-BH.xls][Spt-BH_xls]B__3058"/>
      <sheetName val="[Spt-BH.xls][Spt-BH_xls]B__3059"/>
      <sheetName val="[Spt-BH.xls][Spt-BH_xls]B__3060"/>
      <sheetName val="[Spt-BH.xls][Spt-BH_xls]_S_1008"/>
      <sheetName val="[Spt-BH.xls][Spt-BH_xls]B__3061"/>
      <sheetName val="[Spt-BH.xls][Spt-BH_xls]B__3062"/>
      <sheetName val="[Spt-BH.xls][Spt-BH_xls]_S_1009"/>
      <sheetName val="[Spt-BH.xls][Spt-BH_xls]B__3063"/>
      <sheetName val="[Spt-BH.xls][Spt-BH_xls]B__3064"/>
      <sheetName val="[Spt-BH.xls][Spt-BH_xls]_S_1010"/>
      <sheetName val="[Spt-BH.xls][Spt-BH.xls]_S_1147"/>
      <sheetName val="[Spt-BH.xls][Spt-BH.xls]_S_1142"/>
      <sheetName val="[Spt-BH.xls][Spt-BH.xls]B__3230"/>
      <sheetName val="[Spt-BH.xls][Spt-BH.xls]B__3231"/>
      <sheetName val="[Spt-BH.xls][Spt-BH.xls]_S_1149"/>
      <sheetName val="[Spt-BH.xls][Spt-BH.xls]B__3232"/>
      <sheetName val="[Spt-BH.xls][Spt-BH.xls]B__3233"/>
      <sheetName val="[Spt-BH.xls]B____x005f_x0004______259"/>
      <sheetName val="[Spt-BH.xls]B___x005f_x0000__x000_255"/>
      <sheetName val="[Spt-BH.xls][Spt-BH.xls]B__3234"/>
      <sheetName val="[Spt-BH.xls][Spt-BH.xls]B__3217"/>
      <sheetName val="[Spt-BH.xls][Spt-BH.xls]B__3218"/>
      <sheetName val="[Spt-BH.xls][Spt-BH.xls]B__3219"/>
      <sheetName val="[Spt-BH.xls][Spt-BH.xls]B__3220"/>
      <sheetName val="[Spt-BH.xls][Spt-BH.xls]B__3235"/>
      <sheetName val="[Spt-BH.xls][Spt-BH.xls]_S_1143"/>
      <sheetName val="[Spt-BH.xls][Spt-BH.xls]B__3221"/>
      <sheetName val="[Spt-BH.xls][Spt-BH.xls]B__3222"/>
      <sheetName val="[Spt-BH.xls][Spt-BH.xls]B__3223"/>
      <sheetName val="[Spt-BH.xls][Spt-BH.xls]_S_1148"/>
      <sheetName val="[Spt-BH.xls][Spt-BH_xls]B__3065"/>
      <sheetName val="[Spt-BH.xls][Spt-BH_xls]B__3066"/>
      <sheetName val="[Spt-BH.xls][Spt-BH_xls]B__3067"/>
      <sheetName val="[Spt-BH.xls][Spt-BH_xls]B__3068"/>
      <sheetName val="[Spt-BH.xls][Spt-BH_xls]_S_1011"/>
      <sheetName val="[Spt-BH.xls][Spt-BH_xls]B__3069"/>
      <sheetName val="[Spt-BH.xls][Spt-BH_xls]B__3070"/>
      <sheetName val="[Spt-BH.xls][Spt-BH_xls]B__3071"/>
      <sheetName val="[Spt-BH.xls][Spt-BH_xls]_S_1012"/>
      <sheetName val="[Spt-BH.xls][Spt-BH_xls]B__3072"/>
      <sheetName val="[Spt-BH.xls][Spt-BH_xls]B__3073"/>
      <sheetName val="[Spt-BH.xls][Spt-BH_xls]B__3074"/>
      <sheetName val="[Spt-BH.xls][Spt-BH_xls]B__3075"/>
      <sheetName val="[Spt-BH.xls][Spt-BH_xls]_S_1013"/>
      <sheetName val="[Spt-BH.xls][Spt-BH.xls]_S_1144"/>
      <sheetName val="[Spt-BH.xls][Spt-BH_xls]B__3076"/>
      <sheetName val="[Spt-BH.xls][Spt-BH_xls]B__3077"/>
      <sheetName val="[Spt-BH.xls][Spt-BH_xls]_S_1014"/>
      <sheetName val="[Spt-BH.xls][Spt-BH_xls]B__3078"/>
      <sheetName val="[Spt-BH.xls][Spt-BH_xls]B__3079"/>
      <sheetName val="[Spt-BH.xls][Spt-BH_xls]_S_1015"/>
      <sheetName val="[Spt-BH.xls][Spt-BH.xls]_S_1145"/>
      <sheetName val="[Spt-BH.xls][Spt-BH.xls]B__3224"/>
      <sheetName val="[Spt-BH.xls][Spt-BH.xls]B__3225"/>
      <sheetName val="[Spt-BH.xls][Spt-BH.xls]B__3226"/>
      <sheetName val="[Spt-BH.xls][Spt-BH.xls]B__3227"/>
      <sheetName val="[Spt-BH.xls][Spt-BH.xls]B__3228"/>
      <sheetName val="[Spt-BH.xls][Spt-BH.xls]B__3229"/>
      <sheetName val="[Spt-BH.xls][Spt-BH.xls]_S_1146"/>
      <sheetName val="[Spt-BH.xls][Spt-BH.xls]B__3237"/>
      <sheetName val="[Spt-BH.xls][Spt-BH.xls]B__3238"/>
      <sheetName val="[Spt-BH.xls][Spt-BH.xls]_S_1159"/>
      <sheetName val="[Spt-BH.xls][Spt-BH.xls]B__3239"/>
      <sheetName val="[Spt-BH.xls][Spt-BH.xls]B__3240"/>
      <sheetName val="[Spt-BH.xls]B____x005f_x0004______260"/>
      <sheetName val="[Spt-BH.xls]B___x005f_x0000__x000_256"/>
      <sheetName val="[Spt-BH.xls][Spt-BH.xls]B__3241"/>
      <sheetName val="[Spt-BH.xls][Spt-BH.xls]B__3242"/>
      <sheetName val="[Spt-BH.xls][Spt-BH.xls]B__3236"/>
      <sheetName val="[Spt-BH.xls][Spt-BH.xls]_S_1150"/>
      <sheetName val="[Spt-BH.xls][Spt-BH_xls]B__3080"/>
      <sheetName val="[Spt-BH.xls][Spt-BH_xls]B__3081"/>
      <sheetName val="[Spt-BH.xls][Spt-BH_xls]B__3082"/>
      <sheetName val="[Spt-BH.xls][Spt-BH_xls]B__3083"/>
      <sheetName val="[Spt-BH.xls][Spt-BH_xls]_S_1016"/>
      <sheetName val="[Spt-BH.xls][Spt-BH_xls]B__3084"/>
      <sheetName val="[Spt-BH.xls][Spt-BH_xls]B__3085"/>
      <sheetName val="[Spt-BH.xls][Spt-BH_xls]B__3086"/>
      <sheetName val="[Spt-BH.xls][Spt-BH_xls]_S_1017"/>
      <sheetName val="[Spt-BH.xls][Spt-BH_xls]B__3087"/>
      <sheetName val="[Spt-BH.xls][Spt-BH_xls]B__3088"/>
      <sheetName val="[Spt-BH.xls][Spt-BH_xls]B__3089"/>
      <sheetName val="[Spt-BH.xls][Spt-BH_xls]B__3090"/>
      <sheetName val="[Spt-BH.xls][Spt-BH_xls]_S_1018"/>
      <sheetName val="[Spt-BH.xls][Spt-BH_xls]B__3091"/>
      <sheetName val="[Spt-BH.xls][Spt-BH_xls]B__3092"/>
      <sheetName val="[Spt-BH.xls][Spt-BH_xls]_S_1019"/>
      <sheetName val="[Spt-BH.xls][Spt-BH_xls]B__3093"/>
      <sheetName val="[Spt-BH.xls][Spt-BH_xls]B__3094"/>
      <sheetName val="[Spt-BH.xls][Spt-BH_xls]_S_1020"/>
      <sheetName val="[Spt-BH.xls][Spt-BH.xls]B__3268"/>
      <sheetName val="[Spt-BH.xls][Spt-BH.xls]B__3269"/>
      <sheetName val="[Spt-BH.xls][Spt-BH.xls]_S_1161"/>
      <sheetName val="[Spt-BH.xls][Spt-BH.xls]B__3270"/>
      <sheetName val="[Spt-BH.xls][Spt-BH.xls]B__3271"/>
      <sheetName val="[Spt-BH.xls][Spt-BH.xls]B__3272"/>
      <sheetName val="[Spt-BH.xls][Spt-BH.xls]B__3273"/>
      <sheetName val="[Spt-BH.xls][Spt-BH.xls]_S_1160"/>
      <sheetName val="[Spt-BH.xls][Spt-BH.xls]_S_1151"/>
      <sheetName val="[Spt-BH.xls][Spt-BH.xls]B__3243"/>
      <sheetName val="[Spt-BH.xls][Spt-BH.xls]B__3244"/>
      <sheetName val="[Spt-BH.xls][Spt-BH.xls]B__3245"/>
      <sheetName val="[Spt-BH.xls][Spt-BH.xls]B__3246"/>
      <sheetName val="[Spt-BH.xls][Spt-BH.xls]B__3247"/>
      <sheetName val="[Spt-BH.xls][Spt-BH.xls]B__3248"/>
      <sheetName val="[Spt-BH.xls][Spt-BH.xls]_S_1152"/>
      <sheetName val="[Spt-BH.xls][Spt-BH.xls]_S_1153"/>
      <sheetName val="[Spt-BH.xls][Spt-BH.xls]B__3249"/>
      <sheetName val="[Spt-BH.xls][Spt-BH.xls]B__3250"/>
      <sheetName val="[Spt-BH.xls][Spt-BH.xls]B__3251"/>
      <sheetName val="[Spt-BH.xls][Spt-BH.xls]B__3252"/>
      <sheetName val="[Spt-BH.xls][Spt-BH.xls]B__3253"/>
      <sheetName val="[Spt-BH.xls][Spt-BH.xls]B__3254"/>
      <sheetName val="[Spt-BH.xls][Spt-BH.xls]_S_1154"/>
      <sheetName val="[Spt-BH.xls][Spt-BH.xls]_S_1155"/>
      <sheetName val="[Spt-BH.xls][Spt-BH.xls]B__3255"/>
      <sheetName val="[Spt-BH.xls][Spt-BH.xls]B__3256"/>
      <sheetName val="[Spt-BH.xls][Spt-BH.xls]B__3257"/>
      <sheetName val="[Spt-BH.xls][Spt-BH.xls]B__3258"/>
      <sheetName val="[Spt-BH.xls][Spt-BH.xls]B__3259"/>
      <sheetName val="[Spt-BH.xls][Spt-BH.xls]B__3260"/>
      <sheetName val="[Spt-BH.xls][Spt-BH.xls]_S_1156"/>
      <sheetName val="[Spt-BH.xls][Spt-BH.xls]B__3275"/>
      <sheetName val="[Spt-BH.xls][Spt-BH.xls]B__3276"/>
      <sheetName val="[Spt-BH.xls][Spt-BH.xls]_S_1165"/>
      <sheetName val="[Spt-BH.xls][Spt-BH.xls]B__3277"/>
      <sheetName val="[Spt-BH.xls][Spt-BH.xls]B__3278"/>
      <sheetName val="[Spt-BH.xls]B____x005f_x0004______262"/>
      <sheetName val="[Spt-BH.xls]B___x005f_x0000__x000_258"/>
      <sheetName val="[Spt-BH.xls][Spt-BH.xls]B__3279"/>
      <sheetName val="[Spt-BH.xls][Spt-BH.xls]B__3280"/>
      <sheetName val="[Spt-BH.xls][Spt-BH.xls]B__3274"/>
      <sheetName val="[Spt-BH.xls][Spt-BH.xls]_S_1162"/>
      <sheetName val="[Spt-BH.xls][Spt-BH_xls]B__3110"/>
      <sheetName val="[Spt-BH.xls][Spt-BH_xls]B__3111"/>
      <sheetName val="[Spt-BH.xls][Spt-BH_xls]B__3112"/>
      <sheetName val="[Spt-BH.xls][Spt-BH_xls]B__3113"/>
      <sheetName val="[Spt-BH.xls][Spt-BH_xls]_S_1026"/>
      <sheetName val="[Spt-BH.xls][Spt-BH_xls]B__3114"/>
      <sheetName val="[Spt-BH.xls][Spt-BH_xls]B__3115"/>
      <sheetName val="[Spt-BH.xls][Spt-BH_xls]B__3116"/>
      <sheetName val="[Spt-BH.xls][Spt-BH_xls]_S_1027"/>
      <sheetName val="[Spt-BH.xls][Spt-BH_xls]B__3117"/>
      <sheetName val="[Spt-BH.xls][Spt-BH_xls]B__3118"/>
      <sheetName val="[Spt-BH.xls][Spt-BH_xls]B__3119"/>
      <sheetName val="[Spt-BH.xls][Spt-BH_xls]B__3120"/>
      <sheetName val="[Spt-BH.xls][Spt-BH_xls]_S_1028"/>
      <sheetName val="[Spt-BH.xls][Spt-BH_xls]B__3121"/>
      <sheetName val="[Spt-BH.xls][Spt-BH_xls]B__3122"/>
      <sheetName val="[Spt-BH.xls][Spt-BH_xls]_S_1029"/>
      <sheetName val="[Spt-BH.xls][Spt-BH_xls]B__3123"/>
      <sheetName val="[Spt-BH.xls][Spt-BH_xls]B__3124"/>
      <sheetName val="[Spt-BH.xls][Spt-BH_xls]_S_1030"/>
      <sheetName val="[Spt-BH.xls][Spt-BH.xls]_S_1157"/>
      <sheetName val="[Spt-BH.xls][Spt-BH.xls]B__3261"/>
      <sheetName val="[Spt-BH.xls][Spt-BH.xls]B__3262"/>
      <sheetName val="[Spt-BH.xls][Spt-BH.xls]B__3263"/>
      <sheetName val="[Spt-BH.xls][Spt-BH.xls]B__3264"/>
      <sheetName val="[Spt-BH.xls][Spt-BH.xls]B__3265"/>
      <sheetName val="[Spt-BH.xls][Spt-BH.xls]B__3266"/>
      <sheetName val="[Spt-BH.xls][Spt-BH.xls]_S_1158"/>
      <sheetName val="[Spt-BH.xls]B____x005f_x0004______261"/>
      <sheetName val="[Spt-BH.xls]B___x005f_x0000__x000_257"/>
      <sheetName val="[Spt-BH.xls][Spt-BH.xls]B__3267"/>
      <sheetName val="[Spt-BH.xls][Spt-BH_xls]B__3095"/>
      <sheetName val="[Spt-BH.xls][Spt-BH_xls]B__3096"/>
      <sheetName val="[Spt-BH.xls][Spt-BH_xls]B__3097"/>
      <sheetName val="[Spt-BH.xls][Spt-BH_xls]B__3098"/>
      <sheetName val="[Spt-BH.xls][Spt-BH_xls]_S_1021"/>
      <sheetName val="[Spt-BH.xls][Spt-BH_xls]B__3099"/>
      <sheetName val="[Spt-BH.xls][Spt-BH_xls]B__3100"/>
      <sheetName val="[Spt-BH.xls][Spt-BH_xls]B__3101"/>
      <sheetName val="[Spt-BH.xls][Spt-BH_xls]_S_1022"/>
      <sheetName val="[Spt-BH.xls][Spt-BH_xls]B__3102"/>
      <sheetName val="[Spt-BH.xls][Spt-BH_xls]B__3103"/>
      <sheetName val="[Spt-BH.xls][Spt-BH_xls]B__3104"/>
      <sheetName val="[Spt-BH.xls][Spt-BH_xls]B__3105"/>
      <sheetName val="[Spt-BH.xls][Spt-BH_xls]_S_1023"/>
      <sheetName val="[Spt-BH.xls][Spt-BH_xls]B__3106"/>
      <sheetName val="[Spt-BH.xls][Spt-BH_xls]B__3107"/>
      <sheetName val="[Spt-BH.xls][Spt-BH_xls]_S_1024"/>
      <sheetName val="[Spt-BH.xls][Spt-BH_xls]B__3108"/>
      <sheetName val="[Spt-BH.xls][Spt-BH_xls]B__3109"/>
      <sheetName val="[Spt-BH.xls][Spt-BH_xls]_S_1025"/>
      <sheetName val="[Spt-BH.xls][Spt-BH.xls]B__3289"/>
      <sheetName val="[Spt-BH.xls][Spt-BH.xls]B__3290"/>
      <sheetName val="[Spt-BH.xls][Spt-BH.xls]_S_1183"/>
      <sheetName val="[Spt-BH.xls][Spt-BH.xls]B__3291"/>
      <sheetName val="[Spt-BH.xls][Spt-BH.xls]B__3292"/>
      <sheetName val="[Spt-BH.xls]B____x005f_x0004______263"/>
      <sheetName val="[Spt-BH.xls]B___x005f_x0000__x000_259"/>
      <sheetName val="[Spt-BH.xls][Spt-BH.xls]B__3293"/>
      <sheetName val="[Spt-BH.xls][Spt-BH.xls]B__3294"/>
      <sheetName val="[Spt-BH.xls][Spt-BH.xls]B__3281"/>
      <sheetName val="[Spt-BH.xls][Spt-BH.xls]_S_1166"/>
      <sheetName val="[Spt-BH.xls][Spt-BH_xls]B__3125"/>
      <sheetName val="[Spt-BH.xls][Spt-BH_xls]B__3126"/>
      <sheetName val="[Spt-BH.xls][Spt-BH_xls]B__3127"/>
      <sheetName val="[Spt-BH.xls][Spt-BH_xls]B__3128"/>
      <sheetName val="[Spt-BH.xls][Spt-BH_xls]_S_1031"/>
      <sheetName val="[Spt-BH.xls][Spt-BH_xls]B__3129"/>
      <sheetName val="[Spt-BH.xls][Spt-BH_xls]B__3130"/>
      <sheetName val="[Spt-BH.xls][Spt-BH_xls]B__3131"/>
      <sheetName val="[Spt-BH.xls][Spt-BH_xls]_S_1032"/>
      <sheetName val="[Spt-BH.xls][Spt-BH_xls]B__3132"/>
      <sheetName val="[Spt-BH.xls][Spt-BH_xls]B__3133"/>
      <sheetName val="[Spt-BH.xls][Spt-BH_xls]B__3134"/>
      <sheetName val="[Spt-BH.xls][Spt-BH_xls]B__3135"/>
      <sheetName val="[Spt-BH.xls][Spt-BH_xls]_S_1033"/>
      <sheetName val="[Spt-BH.xls][Spt-BH_xls]B__3136"/>
      <sheetName val="[Spt-BH.xls][Spt-BH_xls]B__3137"/>
      <sheetName val="[Spt-BH.xls][Spt-BH_xls]_S_1034"/>
      <sheetName val="[Spt-BH.xls][Spt-BH_xls]B__3138"/>
      <sheetName val="[Spt-BH.xls][Spt-BH_xls]B__3139"/>
      <sheetName val="[Spt-BH.xls][Spt-BH_xls]_S_1035"/>
      <sheetName val="[Spt-BH.xls][Spt-BH.xls]B__3354"/>
      <sheetName val="[Spt-BH.xls][Spt-BH.xls]B__3355"/>
      <sheetName val="[Spt-BH.xls][Spt-BH.xls]_S_1187"/>
      <sheetName val="[Spt-BH.xls][Spt-BH.xls]B__3356"/>
      <sheetName val="[Spt-BH.xls][Spt-BH.xls]B__3357"/>
      <sheetName val="[Spt-BH.xls]B____x005f_x0004______265"/>
      <sheetName val="[Spt-BH.xls]B___x005f_x0000__x000_261"/>
      <sheetName val="[Spt-BH.xls][Spt-BH.xls]B__3358"/>
      <sheetName val="[Spt-BH.xls][Spt-BH.xls]B__3359"/>
      <sheetName val="[Spt-BH.xls][Spt-BH.xls]B__3295"/>
      <sheetName val="[Spt-BH.xls][Spt-BH.xls]_S_1184"/>
      <sheetName val="[Spt-BH.xls][Spt-BH_xls]B__3155"/>
      <sheetName val="[Spt-BH.xls][Spt-BH_xls]B__3156"/>
      <sheetName val="[Spt-BH.xls][Spt-BH_xls]B__3157"/>
      <sheetName val="[Spt-BH.xls][Spt-BH_xls]B__3158"/>
      <sheetName val="[Spt-BH.xls][Spt-BH_xls]_S_1041"/>
      <sheetName val="[Spt-BH.xls][Spt-BH_xls]B__3159"/>
      <sheetName val="[Spt-BH.xls][Spt-BH_xls]B__3160"/>
      <sheetName val="[Spt-BH.xls][Spt-BH_xls]B__3161"/>
      <sheetName val="[Spt-BH.xls][Spt-BH_xls]_S_1042"/>
      <sheetName val="[Spt-BH.xls][Spt-BH_xls]B__3162"/>
      <sheetName val="[Spt-BH.xls][Spt-BH_xls]B__3163"/>
      <sheetName val="[Spt-BH.xls][Spt-BH_xls]B__3164"/>
      <sheetName val="[Spt-BH.xls][Spt-BH_xls]B__3165"/>
      <sheetName val="[Spt-BH.xls][Spt-BH_xls]_S_1043"/>
      <sheetName val="[Spt-BH.xls][Spt-BH_xls]B__3166"/>
      <sheetName val="[Spt-BH.xls][Spt-BH_xls]B__3167"/>
      <sheetName val="[Spt-BH.xls][Spt-BH_xls]_S_1044"/>
      <sheetName val="[Spt-BH.xls][Spt-BH_xls]B__3168"/>
      <sheetName val="[Spt-BH.xls][Spt-BH_xls]B__3169"/>
      <sheetName val="[Spt-BH.xls][Spt-BH_xls]_S_1045"/>
      <sheetName val="[Spt-BH.xls][Spt-BH.xls]_S_1163"/>
      <sheetName val="[Spt-BH.xls][Spt-BH.xls]B__3282"/>
      <sheetName val="[Spt-BH.xls][Spt-BH.xls]B__3283"/>
      <sheetName val="[Spt-BH.xls][Spt-BH.xls]B__3284"/>
      <sheetName val="[Spt-BH.xls][Spt-BH.xls]B__3285"/>
      <sheetName val="[Spt-BH.xls][Spt-BH.xls]B__3286"/>
      <sheetName val="[Spt-BH.xls][Spt-BH.xls]B__3287"/>
      <sheetName val="[Spt-BH.xls][Spt-BH.xls]_S_1164"/>
      <sheetName val="[Spt-BH.xls]B____x005f_x0004______264"/>
      <sheetName val="[Spt-BH.xls]B___x005f_x0000__x000_260"/>
      <sheetName val="[Spt-BH.xls][Spt-BH.xls]B__3288"/>
      <sheetName val="[Spt-BH.xls][Spt-BH_xls]B__3140"/>
      <sheetName val="[Spt-BH.xls][Spt-BH_xls]B__3141"/>
      <sheetName val="[Spt-BH.xls][Spt-BH_xls]B__3142"/>
      <sheetName val="[Spt-BH.xls][Spt-BH_xls]B__3143"/>
      <sheetName val="[Spt-BH.xls][Spt-BH_xls]_S_1036"/>
      <sheetName val="[Spt-BH.xls][Spt-BH_xls]B__3144"/>
      <sheetName val="[Spt-BH.xls][Spt-BH_xls]B__3145"/>
      <sheetName val="[Spt-BH.xls][Spt-BH_xls]B__3146"/>
      <sheetName val="[Spt-BH.xls][Spt-BH_xls]_S_1037"/>
      <sheetName val="[Spt-BH.xls][Spt-BH_xls]B__3147"/>
      <sheetName val="[Spt-BH.xls][Spt-BH_xls]B__3148"/>
      <sheetName val="[Spt-BH.xls][Spt-BH_xls]B__3149"/>
      <sheetName val="[Spt-BH.xls][Spt-BH_xls]B__3150"/>
      <sheetName val="[Spt-BH.xls][Spt-BH_xls]_S_1038"/>
      <sheetName val="[Spt-BH.xls][Spt-BH_xls]B__3151"/>
      <sheetName val="[Spt-BH.xls][Spt-BH_xls]B__3152"/>
      <sheetName val="[Spt-BH.xls][Spt-BH_xls]_S_1039"/>
      <sheetName val="[Spt-BH.xls][Spt-BH_xls]B__3153"/>
      <sheetName val="[Spt-BH.xls][Spt-BH_xls]B__3154"/>
      <sheetName val="[Spt-BH.xls][Spt-BH_xls]_S_1040"/>
      <sheetName val="[Spt-BH.xls][Spt-BH.xls]B__3367"/>
      <sheetName val="[Spt-BH.xls][Spt-BH.xls]B__3368"/>
      <sheetName val="[Spt-BH.xls][Spt-BH.xls]_S_1189"/>
      <sheetName val="[Spt-BH.xls][Spt-BH.xls]B__3369"/>
      <sheetName val="[Spt-BH.xls][Spt-BH.xls]B__3370"/>
      <sheetName val="[Spt-BH.xls]B____x005f_x0004______273"/>
      <sheetName val="[Spt-BH.xls]B___x005f_x0000__x000_268"/>
      <sheetName val="[Spt-BH.xls][Spt-BH.xls]B__3371"/>
      <sheetName val="[Spt-BH.xls][Spt-BH.xls]B__3372"/>
      <sheetName val="[Spt-BH.xls][Spt-BH.xls]B__3360"/>
      <sheetName val="[Spt-BH.xls][Spt-BH.xls]_S_1188"/>
      <sheetName val="[Spt-BH.xls][Spt-BH_xls]B__3215"/>
      <sheetName val="[Spt-BH.xls][Spt-BH_xls]B__3216"/>
      <sheetName val="[Spt-BH.xls][Spt-BH_xls]B__3217"/>
      <sheetName val="[Spt-BH.xls][Spt-BH_xls]B__3218"/>
      <sheetName val="[Spt-BH.xls][Spt-BH_xls]_S_1061"/>
      <sheetName val="[Spt-BH.xls][Spt-BH_xls]B__3219"/>
      <sheetName val="[Spt-BH.xls][Spt-BH_xls]B__3220"/>
      <sheetName val="[Spt-BH.xls][Spt-BH_xls]B__3221"/>
      <sheetName val="[Spt-BH.xls][Spt-BH_xls]_S_1062"/>
      <sheetName val="[Spt-BH.xls][Spt-BH_xls]B__3222"/>
      <sheetName val="[Spt-BH.xls][Spt-BH_xls]B__3223"/>
      <sheetName val="[Spt-BH.xls][Spt-BH_xls]B__3224"/>
      <sheetName val="[Spt-BH.xls][Spt-BH_xls]B__3225"/>
      <sheetName val="[Spt-BH.xls][Spt-BH_xls]_S_1063"/>
      <sheetName val="[Spt-BH.xls][Spt-BH_xls]B__3226"/>
      <sheetName val="[Spt-BH.xls][Spt-BH_xls]B__3227"/>
      <sheetName val="[Spt-BH.xls][Spt-BH_xls]_S_1064"/>
      <sheetName val="[Spt-BH.xls][Spt-BH_xls]B__3228"/>
      <sheetName val="[Spt-BH.xls][Spt-BH_xls]B__3229"/>
      <sheetName val="[Spt-BH.xls][Spt-BH_xls]_S_1065"/>
      <sheetName val="[Spt-BH.xls][Spt-BH.xls]_S_1176"/>
      <sheetName val="[Spt-BH.xls][Spt-BH.xls]B__3341"/>
      <sheetName val="[Spt-BH.xls][Spt-BH.xls]B__3342"/>
      <sheetName val="[Spt-BH.xls][Spt-BH.xls]_S_1180"/>
      <sheetName val="[Spt-BH.xls][Spt-BH.xls]B__3343"/>
      <sheetName val="[Spt-BH.xls][Spt-BH.xls]B__3344"/>
      <sheetName val="[Spt-BH.xls]B____x005f_x0004______271"/>
      <sheetName val="[Spt-BH.xls][Spt-BH.xls]B__3334"/>
      <sheetName val="[Spt-BH.xls]B___x005f_x0000__x000_266"/>
      <sheetName val="[Spt-BH.xls][Spt-BH.xls]B__3345"/>
      <sheetName val="[Spt-BH.xls][Spt-BH.xls]B__3335"/>
      <sheetName val="[Spt-BH.xls][Spt-BH.xls]_S_1178"/>
      <sheetName val="[Spt-BH.xls][Spt-BH.xls]B__3336"/>
      <sheetName val="[Spt-BH.xls][Spt-BH.xls]B__3337"/>
      <sheetName val="[Spt-BH.xls][Spt-BH.xls]B__3346"/>
      <sheetName val="[Spt-BH.xls][Spt-BH.xls]_S_1179"/>
      <sheetName val="[Spt-BH.xls][Spt-BH_xls]B__3170"/>
      <sheetName val="[Spt-BH.xls][Spt-BH_xls]B__3171"/>
      <sheetName val="[Spt-BH.xls][Spt-BH_xls]B__3172"/>
      <sheetName val="[Spt-BH.xls][Spt-BH_xls]B__3173"/>
      <sheetName val="[Spt-BH.xls][Spt-BH_xls]_S_1046"/>
      <sheetName val="[Spt-BH.xls][Spt-BH_xls]B__3174"/>
      <sheetName val="[Spt-BH.xls][Spt-BH_xls]B__3175"/>
      <sheetName val="[Spt-BH.xls][Spt-BH_xls]B__3176"/>
      <sheetName val="[Spt-BH.xls][Spt-BH_xls]_S_1047"/>
      <sheetName val="[Spt-BH.xls][Spt-BH_xls]B__3177"/>
      <sheetName val="[Spt-BH.xls][Spt-BH_xls]B__3178"/>
      <sheetName val="[Spt-BH.xls][Spt-BH_xls]B__3179"/>
      <sheetName val="[Spt-BH.xls][Spt-BH_xls]B__3180"/>
      <sheetName val="[Spt-BH.xls][Spt-BH_xls]_S_1048"/>
      <sheetName val="[Spt-BH.xls][Spt-BH.xls]B__3338"/>
      <sheetName val="[Spt-BH.xls][Spt-BH.xls]B__3339"/>
      <sheetName val="[Spt-BH.xls][Spt-BH.xls]B__3340"/>
      <sheetName val="[Spt-BH.xls][Spt-BH.xls]_S_1177"/>
      <sheetName val="[Spt-BH.xls][Spt-BH_xls]B__3181"/>
      <sheetName val="[Spt-BH.xls][Spt-BH_xls]B__3182"/>
      <sheetName val="[Spt-BH.xls][Spt-BH_xls]_S_1049"/>
      <sheetName val="[Spt-BH.xls][Spt-BH_xls]B__3183"/>
      <sheetName val="[Spt-BH.xls][Spt-BH_xls]B__3184"/>
      <sheetName val="[Spt-BH.xls][Spt-BH_xls]_S_1050"/>
      <sheetName val="[Spt-BH.xls][Spt-BH.xls]_S_1171"/>
      <sheetName val="[Spt-BH.xls][Spt-BH.xls]B__3303"/>
      <sheetName val="[Spt-BH.xls][Spt-BH.xls]B__3304"/>
      <sheetName val="[Spt-BH.xls][Spt-BH.xls]_S_1167"/>
      <sheetName val="[Spt-BH.xls][Spt-BH.xls]B__3305"/>
      <sheetName val="[Spt-BH.xls][Spt-BH.xls]B__3306"/>
      <sheetName val="[Spt-BH.xls]B____x005f_x0004______266"/>
      <sheetName val="[Spt-BH.xls][Spt-BH.xls]B__3307"/>
      <sheetName val="[Spt-BH.xls][Spt-BH.xls]B__3308"/>
      <sheetName val="[Spt-BH.xls][Spt-BH.xls]B__3310"/>
      <sheetName val="[Spt-BH.xls][Spt-BH.xls]B__3311"/>
      <sheetName val="[Spt-BH.xls][Spt-BH.xls]B__3312"/>
      <sheetName val="[Spt-BH.xls][Spt-BH.xls]B__3313"/>
      <sheetName val="[Spt-BH.xls]B____x005f_x0004______270"/>
      <sheetName val="[Spt-BH.xls]B___x005f_x0000__x000_265"/>
      <sheetName val="[Spt-BH.xls][Spt-BH.xls]B__3314"/>
      <sheetName val="[Spt-BH.xls][Spt-BH.xls]B__3315"/>
      <sheetName val="[Spt-BH.xls][Spt-BH.xls]B__3309"/>
      <sheetName val="[Spt-BH.xls][Spt-BH.xls]_S_1168"/>
      <sheetName val="[Spt-BH.xls]B____x005f_x0004______267"/>
      <sheetName val="[Spt-BH.xls]B___x005f_x0000__x000_262"/>
      <sheetName val="[Spt-BH.xls]B____x005f_x0004______268"/>
      <sheetName val="[Spt-BH.xls]B___x005f_x0000__x000_263"/>
      <sheetName val="[Spt-BH.xls][Spt-BH.xls]B__3296"/>
      <sheetName val="[Spt-BH.xls][Spt-BH.xls]B__3297"/>
      <sheetName val="[Spt-BH.xls][Spt-BH.xls]B__3298"/>
      <sheetName val="[Spt-BH.xls][Spt-BH.xls]B__3299"/>
      <sheetName val="[Spt-BH.xls][Spt-BH.xls]B__3300"/>
      <sheetName val="[Spt-BH.xls][Spt-BH.xls]B__3301"/>
      <sheetName val="[Spt-BH.xls]B____x005f_x0004______269"/>
      <sheetName val="[Spt-BH.xls]B___x005f_x0000__x000_264"/>
      <sheetName val="[Spt-BH.xls][Spt-BH.xls]B__3302"/>
      <sheetName val="[Spt-BH.xls][Spt-BH.xls]B__3322"/>
      <sheetName val="[Spt-BH.xls][Spt-BH.xls]B__3323"/>
      <sheetName val="[Spt-BH.xls][Spt-BH.xls]_S_1173"/>
      <sheetName val="[Spt-BH.xls][Spt-BH.xls]B__3324"/>
      <sheetName val="[Spt-BH.xls][Spt-BH.xls]B__3325"/>
      <sheetName val="[Spt-BH.xls][Spt-BH.xls]B__3326"/>
      <sheetName val="[Spt-BH.xls][Spt-BH.xls]B__3327"/>
      <sheetName val="[Spt-BH.xls][Spt-BH.xls]_S_1172"/>
      <sheetName val="[Spt-BH.xls][Spt-BH.xls]_S_1169"/>
      <sheetName val="[Spt-BH.xls][Spt-BH.xls]B__3316"/>
      <sheetName val="[Spt-BH.xls][Spt-BH.xls]B__3317"/>
      <sheetName val="[Spt-BH.xls][Spt-BH.xls]B__3318"/>
      <sheetName val="[Spt-BH.xls][Spt-BH.xls]B__3319"/>
      <sheetName val="[Spt-BH.xls][Spt-BH.xls]B__3320"/>
      <sheetName val="[Spt-BH.xls][Spt-BH.xls]B__3321"/>
      <sheetName val="[Spt-BH.xls][Spt-BH.xls]_S_1170"/>
      <sheetName val="[Spt-BH.xls][Spt-BH.xls]B__3328"/>
      <sheetName val="[Spt-BH.xls][Spt-BH.xls]B__3329"/>
      <sheetName val="[Spt-BH.xls][Spt-BH.xls]_S_1175"/>
      <sheetName val="[Spt-BH.xls][Spt-BH.xls]B__3330"/>
      <sheetName val="[Spt-BH.xls][Spt-BH.xls]B__3331"/>
      <sheetName val="[Spt-BH.xls][Spt-BH.xls]B__3332"/>
      <sheetName val="[Spt-BH.xls][Spt-BH.xls]B__3333"/>
      <sheetName val="[Spt-BH.xls][Spt-BH.xls]_S_1174"/>
      <sheetName val="[Spt-BH.xls][Spt-BH_xls]B__3185"/>
      <sheetName val="[Spt-BH.xls][Spt-BH_xls]B__3186"/>
      <sheetName val="[Spt-BH.xls][Spt-BH_xls]B__3187"/>
      <sheetName val="[Spt-BH.xls][Spt-BH_xls]B__3188"/>
      <sheetName val="[Spt-BH.xls][Spt-BH_xls]_S_1051"/>
      <sheetName val="[Spt-BH.xls][Spt-BH_xls]B__3189"/>
      <sheetName val="[Spt-BH.xls][Spt-BH_xls]B__3190"/>
      <sheetName val="[Spt-BH.xls][Spt-BH_xls]B__3191"/>
      <sheetName val="[Spt-BH.xls][Spt-BH_xls]_S_1052"/>
      <sheetName val="[Spt-BH.xls][Spt-BH_xls]B__3192"/>
      <sheetName val="[Spt-BH.xls][Spt-BH_xls]B__3193"/>
      <sheetName val="[Spt-BH.xls][Spt-BH_xls]B__3194"/>
      <sheetName val="[Spt-BH.xls][Spt-BH_xls]B__3195"/>
      <sheetName val="[Spt-BH.xls][Spt-BH_xls]_S_1053"/>
      <sheetName val="[Spt-BH.xls][Spt-BH_xls]B__3196"/>
      <sheetName val="[Spt-BH.xls][Spt-BH_xls]B__3197"/>
      <sheetName val="[Spt-BH.xls][Spt-BH_xls]_S_1054"/>
      <sheetName val="[Spt-BH.xls][Spt-BH_xls]B__3198"/>
      <sheetName val="[Spt-BH.xls][Spt-BH_xls]B__3199"/>
      <sheetName val="[Spt-BH.xls][Spt-BH_xls]_S_1055"/>
      <sheetName val="[Spt-BH.xls][Spt-BH.xls]_S_1181"/>
      <sheetName val="[Spt-BH.xls][Spt-BH.xls]B__3347"/>
      <sheetName val="[Spt-BH.xls][Spt-BH.xls]B__3348"/>
      <sheetName val="[Spt-BH.xls][Spt-BH.xls]B__3349"/>
      <sheetName val="[Spt-BH.xls][Spt-BH.xls]B__3350"/>
      <sheetName val="[Spt-BH.xls][Spt-BH.xls]B__3351"/>
      <sheetName val="[Spt-BH.xls][Spt-BH.xls]B__3352"/>
      <sheetName val="[Spt-BH.xls][Spt-BH.xls]_S_1182"/>
      <sheetName val="[Spt-BH.xls]B____x005f_x0004______272"/>
      <sheetName val="[Spt-BH.xls]B___x005f_x0000__x000_267"/>
      <sheetName val="[Spt-BH.xls][Spt-BH.xls]B__3353"/>
      <sheetName val="[Spt-BH.xls][Spt-BH_xls]B__3200"/>
      <sheetName val="[Spt-BH.xls][Spt-BH_xls]B__3201"/>
      <sheetName val="[Spt-BH.xls][Spt-BH_xls]B__3202"/>
      <sheetName val="[Spt-BH.xls][Spt-BH_xls]B__3203"/>
      <sheetName val="[Spt-BH.xls][Spt-BH_xls]_S_1056"/>
      <sheetName val="[Spt-BH.xls][Spt-BH_xls]B__3204"/>
      <sheetName val="[Spt-BH.xls][Spt-BH_xls]B__3205"/>
      <sheetName val="[Spt-BH.xls][Spt-BH_xls]B__3206"/>
      <sheetName val="[Spt-BH.xls][Spt-BH_xls]_S_1057"/>
      <sheetName val="[Spt-BH.xls][Spt-BH_xls]B__3207"/>
      <sheetName val="[Spt-BH.xls][Spt-BH_xls]B__3208"/>
      <sheetName val="[Spt-BH.xls][Spt-BH_xls]B__3209"/>
      <sheetName val="[Spt-BH.xls][Spt-BH_xls]B__3210"/>
      <sheetName val="[Spt-BH.xls][Spt-BH_xls]_S_1058"/>
      <sheetName val="[Spt-BH.xls][Spt-BH_xls]B__3211"/>
      <sheetName val="[Spt-BH.xls][Spt-BH_xls]B__3212"/>
      <sheetName val="[Spt-BH.xls][Spt-BH_xls]_S_1059"/>
      <sheetName val="[Spt-BH.xls][Spt-BH_xls]B__3213"/>
      <sheetName val="[Spt-BH.xls][Spt-BH_xls]B__3214"/>
      <sheetName val="[Spt-BH.xls][Spt-BH_xls]_S_1060"/>
      <sheetName val="[Spt-BH.xls][Spt-BH.xls]_S_1185"/>
      <sheetName val="[Spt-BH.xls][Spt-BH.xls]B__3361"/>
      <sheetName val="[Spt-BH.xls][Spt-BH.xls]B__3362"/>
      <sheetName val="[Spt-BH.xls][Spt-BH.xls]B__3363"/>
      <sheetName val="[Spt-BH.xls][Spt-BH.xls]B__3364"/>
      <sheetName val="[Spt-BH.xls][Spt-BH.xls]B__3365"/>
      <sheetName val="[Spt-BH.xls][Spt-BH.xls]B__3366"/>
      <sheetName val="[Spt-BH.xls][Spt-BH.xls]_S_1186"/>
      <sheetName val="[Spt-BH.xls][Spt-BH.xls]B__3373"/>
      <sheetName val="[Spt-BH.xls][Spt-BH.xls]B__3374"/>
      <sheetName val="[Spt-BH.xls][Spt-BH.xls]_S_1191"/>
      <sheetName val="[Spt-BH.xls][Spt-BH.xls]B__3375"/>
      <sheetName val="[Spt-BH.xls][Spt-BH.xls]B__3376"/>
      <sheetName val="[Spt-BH.xls][Spt-BH.xls]B__3377"/>
      <sheetName val="[Spt-BH.xls][Spt-BH.xls]B__3378"/>
      <sheetName val="[Spt-BH.xls][Spt-BH.xls]_S_1190"/>
      <sheetName val="[Spt-BH.xls][Spt-BH.xls]B__3386"/>
      <sheetName val="[Spt-BH.xls][Spt-BH.xls]B__3387"/>
      <sheetName val="[Spt-BH.xls][Spt-BH.xls]_S_1196"/>
      <sheetName val="[Spt-BH.xls][Spt-BH.xls]B__3388"/>
      <sheetName val="[Spt-BH.xls][Spt-BH.xls]B__3389"/>
      <sheetName val="[Spt-BH.xls]B____x005f_x0004______274"/>
      <sheetName val="[Spt-BH.xls]B___x005f_x0000__x000_269"/>
      <sheetName val="[Spt-BH.xls][Spt-BH.xls]B__3390"/>
      <sheetName val="[Spt-BH.xls][Spt-BH.xls]B__3391"/>
      <sheetName val="[Spt-BH.xls][Spt-BH.xls]B__3383"/>
      <sheetName val="[Spt-BH.xls][Spt-BH.xls]B__3384"/>
      <sheetName val="[Spt-BH.xls][Spt-BH.xls]B__3385"/>
      <sheetName val="[Spt-BH.xls][Spt-BH.xls]_S_1195"/>
      <sheetName val="[Spt-BH.xls][Spt-BH_xls]B__3230"/>
      <sheetName val="[Spt-BH.xls][Spt-BH_xls]B__3231"/>
      <sheetName val="[Spt-BH.xls][Spt-BH_xls]B__3232"/>
      <sheetName val="[Spt-BH.xls][Spt-BH_xls]B__3233"/>
      <sheetName val="[Spt-BH.xls][Spt-BH_xls]_S_1066"/>
      <sheetName val="[Spt-BH.xls][Spt-BH_xls]B__3234"/>
      <sheetName val="[Spt-BH.xls][Spt-BH_xls]B__3235"/>
      <sheetName val="[Spt-BH.xls][Spt-BH_xls]B__3236"/>
      <sheetName val="[Spt-BH.xls][Spt-BH_xls]_S_1067"/>
      <sheetName val="[Spt-BH.xls][Spt-BH_xls]B__3237"/>
      <sheetName val="[Spt-BH.xls][Spt-BH_xls]B__3238"/>
      <sheetName val="[Spt-BH.xls][Spt-BH_xls]B__3239"/>
      <sheetName val="[Spt-BH.xls][Spt-BH_xls]B__3240"/>
      <sheetName val="[Spt-BH.xls][Spt-BH_xls]_S_1068"/>
      <sheetName val="[Spt-BH.xls][Spt-BH.xls]_S_1193"/>
      <sheetName val="[Spt-BH.xls][Spt-BH_xls]B__3241"/>
      <sheetName val="[Spt-BH.xls][Spt-BH_xls]B__3242"/>
      <sheetName val="[Spt-BH.xls][Spt-BH_xls]_S_1069"/>
      <sheetName val="[Spt-BH.xls][Spt-BH_xls]B__3243"/>
      <sheetName val="[Spt-BH.xls][Spt-BH_xls]B__3244"/>
      <sheetName val="[Spt-BH.xls][Spt-BH_xls]_S_1070"/>
      <sheetName val="[Spt-BH.xls][Spt-BH.xls]B__3412"/>
      <sheetName val="[Spt-BH.xls][Spt-BH.xls]B__3413"/>
      <sheetName val="[Spt-BH.xls][Spt-BH.xls]_S_1207"/>
      <sheetName val="[Spt-BH.xls][Spt-BH.xls]B__3414"/>
      <sheetName val="[Spt-BH.xls][Spt-BH.xls]B__3415"/>
      <sheetName val="[Spt-BH.xls]B____x005f_x0004______275"/>
      <sheetName val="[Spt-BH.xls]B___x005f_x0000__x000_270"/>
      <sheetName val="[Spt-BH.xls][Spt-BH.xls]B__3416"/>
      <sheetName val="[Spt-BH.xls][Spt-BH.xls]B__3392"/>
      <sheetName val="[Spt-BH.xls][Spt-BH.xls]B__3393"/>
      <sheetName val="[Spt-BH.xls][Spt-BH.xls]_S_1202"/>
      <sheetName val="[Spt-BH.xls][Spt-BH.xls]B__3394"/>
      <sheetName val="[Spt-BH.xls][Spt-BH.xls]B__3395"/>
      <sheetName val="[Spt-BH.xls][Spt-BH.xls]B__3417"/>
      <sheetName val="[Spt-BH.xls][Spt-BH.xls]B__3396"/>
      <sheetName val="[Spt-BH.xls][Spt-BH.xls]B__3397"/>
      <sheetName val="[Spt-BH.xls][Spt-BH.xls]B__3398"/>
      <sheetName val="[Spt-BH.xls][Spt-BH.xls]_S_1203"/>
      <sheetName val="[Spt-BH.xls][Spt-BH_xls]B__3245"/>
      <sheetName val="[Spt-BH.xls][Spt-BH_xls]B__3246"/>
      <sheetName val="[Spt-BH.xls][Spt-BH_xls]B__3247"/>
      <sheetName val="[Spt-BH.xls][Spt-BH_xls]B__3248"/>
      <sheetName val="[Spt-BH.xls][Spt-BH_xls]_S_1071"/>
      <sheetName val="[Spt-BH.xls][Spt-BH_xls]B__3249"/>
      <sheetName val="[Spt-BH.xls][Spt-BH_xls]B__3250"/>
      <sheetName val="[Spt-BH.xls][Spt-BH_xls]B__3251"/>
      <sheetName val="[Spt-BH.xls][Spt-BH_xls]_S_1072"/>
      <sheetName val="[Spt-BH.xls][Spt-BH_xls]B__3252"/>
      <sheetName val="[Spt-BH.xls][Spt-BH_xls]B__3253"/>
      <sheetName val="[Spt-BH.xls][Spt-BH_xls]B__3254"/>
      <sheetName val="[Spt-BH.xls][Spt-BH_xls]B__3255"/>
      <sheetName val="[Spt-BH.xls][Spt-BH_xls]_S_1073"/>
      <sheetName val="[Spt-BH.xls][Spt-BH.xls]_S_1197"/>
      <sheetName val="[Spt-BH.xls][Spt-BH_xls]B__3256"/>
      <sheetName val="[Spt-BH.xls][Spt-BH_xls]B__3257"/>
      <sheetName val="[Spt-BH.xls][Spt-BH_xls]_S_1074"/>
      <sheetName val="[Spt-BH.xls][Spt-BH_xls]B__3258"/>
      <sheetName val="[Spt-BH.xls][Spt-BH_xls]B__3259"/>
      <sheetName val="[Spt-BH.xls][Spt-BH_xls]_S_1075"/>
      <sheetName val="[Spt-BH.xls][Spt-BH.xls]B__3405"/>
      <sheetName val="[Spt-BH.xls][Spt-BH.xls]B__3406"/>
      <sheetName val="[Spt-BH.xls][Spt-BH.xls]B__3407"/>
      <sheetName val="[Spt-BH.xls][Spt-BH.xls]B__3408"/>
      <sheetName val="[Spt-BH.xls][Spt-BH.xls]B__3409"/>
      <sheetName val="[Spt-BH.xls][Spt-BH.xls]_S_1200"/>
      <sheetName val="[Spt-BH.xls][Spt-BH.xls]B__3410"/>
      <sheetName val="[Spt-BH.xls][Spt-BH.xls]_S_1201"/>
      <sheetName val="[Spt-BH.xls][Spt-BH.xls]B__3399"/>
      <sheetName val="[Spt-BH.xls][Spt-BH.xls]B__3400"/>
      <sheetName val="[Spt-BH.xls][Spt-BH.xls]B__3401"/>
      <sheetName val="[Spt-BH.xls][Spt-BH.xls]B__3402"/>
      <sheetName val="[Spt-BH.xls][Spt-BH.xls]B__3403"/>
      <sheetName val="[Spt-BH.xls][Spt-BH.xls]_S_1198"/>
      <sheetName val="[Spt-BH.xls][Spt-BH.xls]B__3404"/>
      <sheetName val="[Spt-BH.xls][Spt-BH.xls]_S_1199"/>
      <sheetName val="[Spt-BH.xls]B____x005f_x0004______276"/>
      <sheetName val="[Spt-BH.xls]B___x005f_x0000__x000_271"/>
      <sheetName val="[Spt-BH.xls][Spt-BH.xls]B__3411"/>
      <sheetName val="[Spt-BH.xls][Spt-BH_xls]B__3260"/>
      <sheetName val="[Spt-BH.xls][Spt-BH_xls]B__3261"/>
      <sheetName val="[Spt-BH.xls][Spt-BH_xls]B__3262"/>
      <sheetName val="[Spt-BH.xls][Spt-BH_xls]B__3263"/>
      <sheetName val="[Spt-BH.xls][Spt-BH_xls]_S_1076"/>
      <sheetName val="[Spt-BH.xls][Spt-BH_xls]B__3264"/>
      <sheetName val="[Spt-BH.xls][Spt-BH_xls]B__3265"/>
      <sheetName val="[Spt-BH.xls][Spt-BH_xls]B__3266"/>
      <sheetName val="[Spt-BH.xls][Spt-BH_xls]_S_1077"/>
      <sheetName val="[Spt-BH.xls][Spt-BH_xls]B__3267"/>
      <sheetName val="[Spt-BH.xls][Spt-BH_xls]B__3268"/>
      <sheetName val="[Spt-BH.xls][Spt-BH_xls]B__3269"/>
      <sheetName val="[Spt-BH.xls][Spt-BH_xls]B__3270"/>
      <sheetName val="[Spt-BH.xls][Spt-BH_xls]_S_1078"/>
      <sheetName val="[Spt-BH.xls][Spt-BH_xls]B__3271"/>
      <sheetName val="[Spt-BH.xls][Spt-BH_xls]B__3272"/>
      <sheetName val="[Spt-BH.xls][Spt-BH_xls]_S_1079"/>
      <sheetName val="[Spt-BH.xls][Spt-BH_xls]B__3273"/>
      <sheetName val="[Spt-BH.xls][Spt-BH_xls]B__3274"/>
      <sheetName val="[Spt-BH.xls][Spt-BH_xls]_S_1080"/>
      <sheetName val="[Spt-BH.xls][Spt-BH.xls]B__3424"/>
      <sheetName val="[Spt-BH.xls][Spt-BH.xls]B__3425"/>
      <sheetName val="[Spt-BH.xls][Spt-BH.xls]_S_1211"/>
      <sheetName val="[Spt-BH.xls][Spt-BH.xls]B__3426"/>
      <sheetName val="[Spt-BH.xls][Spt-BH.xls]B__3427"/>
      <sheetName val="[Spt-BH.xls]B____x005f_x0004______277"/>
      <sheetName val="[Spt-BH.xls]B___x005f_x0000__x000_272"/>
      <sheetName val="[Spt-BH.xls][Spt-BH.xls]B__3428"/>
      <sheetName val="[Spt-BH.xls][Spt-BH.xls]B__3429"/>
      <sheetName val="[Spt-BH.xls][Spt-BH.xls]B__3418"/>
      <sheetName val="[Spt-BH.xls][Spt-BH.xls]_S_1208"/>
      <sheetName val="[Spt-BH.xls][Spt-BH_xls]B__3275"/>
      <sheetName val="[Spt-BH.xls][Spt-BH_xls]B__3276"/>
      <sheetName val="[Spt-BH.xls][Spt-BH_xls]B__3277"/>
      <sheetName val="[Spt-BH.xls][Spt-BH_xls]B__3278"/>
      <sheetName val="[Spt-BH.xls][Spt-BH_xls]_S_1081"/>
      <sheetName val="[Spt-BH.xls][Spt-BH_xls]B__3279"/>
      <sheetName val="[Spt-BH.xls][Spt-BH_xls]B__3280"/>
      <sheetName val="[Spt-BH.xls][Spt-BH_xls]B__3281"/>
      <sheetName val="[Spt-BH.xls][Spt-BH_xls]_S_1082"/>
      <sheetName val="[Spt-BH.xls][Spt-BH_xls]B__3282"/>
      <sheetName val="[Spt-BH.xls][Spt-BH_xls]B__3283"/>
      <sheetName val="[Spt-BH.xls][Spt-BH_xls]B__3284"/>
      <sheetName val="[Spt-BH.xls][Spt-BH_xls]B__3285"/>
      <sheetName val="[Spt-BH.xls][Spt-BH_xls]_S_1083"/>
      <sheetName val="[Spt-BH.xls][Spt-BH_xls]B__3286"/>
      <sheetName val="[Spt-BH.xls][Spt-BH_xls]B__3287"/>
      <sheetName val="[Spt-BH.xls][Spt-BH_xls]_S_1084"/>
      <sheetName val="[Spt-BH.xls][Spt-BH_xls]B__3288"/>
      <sheetName val="[Spt-BH.xls][Spt-BH_xls]B__3289"/>
      <sheetName val="[Spt-BH.xls][Spt-BH_xls]_S_1085"/>
      <sheetName val="[Spt-BH.xls][Spt-BH.xls]B__3437"/>
      <sheetName val="[Spt-BH.xls][Spt-BH.xls]B__3438"/>
      <sheetName val="[Spt-BH.xls][Spt-BH.xls]_S_1215"/>
      <sheetName val="[Spt-BH.xls][Spt-BH.xls]B__3439"/>
      <sheetName val="[Spt-BH.xls][Spt-BH.xls]B__3440"/>
      <sheetName val="[Spt-BH.xls]B____x005f_x0004______278"/>
      <sheetName val="[Spt-BH.xls]B___x005f_x0000__x000_273"/>
      <sheetName val="[Spt-BH.xls][Spt-BH.xls]B__3441"/>
      <sheetName val="[Spt-BH.xls][Spt-BH.xls]B__3442"/>
      <sheetName val="[Spt-BH.xls][Spt-BH.xls]B__3430"/>
      <sheetName val="[Spt-BH.xls][Spt-BH.xls]_S_1212"/>
      <sheetName val="[Spt-BH.xls][Spt-BH_xls]B__3290"/>
      <sheetName val="[Spt-BH.xls][Spt-BH_xls]B__3291"/>
      <sheetName val="[Spt-BH.xls][Spt-BH_xls]B__3292"/>
      <sheetName val="[Spt-BH.xls][Spt-BH_xls]B__3293"/>
      <sheetName val="[Spt-BH.xls][Spt-BH_xls]_S_1086"/>
      <sheetName val="[Spt-BH.xls][Spt-BH_xls]B__3294"/>
      <sheetName val="[Spt-BH.xls][Spt-BH_xls]B__3295"/>
      <sheetName val="[Spt-BH.xls][Spt-BH_xls]B__3296"/>
      <sheetName val="[Spt-BH.xls][Spt-BH_xls]_S_1087"/>
      <sheetName val="[Spt-BH.xls][Spt-BH_xls]B__3297"/>
      <sheetName val="[Spt-BH.xls][Spt-BH_xls]B__3298"/>
      <sheetName val="[Spt-BH.xls][Spt-BH_xls]B__3299"/>
      <sheetName val="[Spt-BH.xls][Spt-BH_xls]B__3300"/>
      <sheetName val="[Spt-BH.xls][Spt-BH_xls]_S_1088"/>
      <sheetName val="[Spt-BH.xls][Spt-BH_xls]B__3301"/>
      <sheetName val="[Spt-BH.xls][Spt-BH_xls]B__3302"/>
      <sheetName val="[Spt-BH.xls][Spt-BH_xls]_S_1089"/>
      <sheetName val="[Spt-BH.xls][Spt-BH_xls]B__3303"/>
      <sheetName val="[Spt-BH.xls][Spt-BH_xls]B__3304"/>
      <sheetName val="[Spt-BH.xls][Spt-BH_xls]_S_1090"/>
      <sheetName val="[Spt-BH.xls][Spt-BH.xls]_S_1204"/>
      <sheetName val="[Spt-BH.xls][Spt-BH.xls]B__3419"/>
      <sheetName val="[Spt-BH.xls][Spt-BH.xls]_S_1206"/>
      <sheetName val="[Spt-BH.xls][Spt-BH.xls]B__3420"/>
      <sheetName val="[Spt-BH.xls][Spt-BH.xls]B__3421"/>
      <sheetName val="[Spt-BH.xls][Spt-BH.xls]B__3422"/>
      <sheetName val="[Spt-BH.xls][Spt-BH.xls]B__3423"/>
      <sheetName val="[Spt-BH.xls][Spt-BH.xls]_S_1205"/>
      <sheetName val="[Spt-BH.xls][Spt-BH.xls]_S_1209"/>
      <sheetName val="[Spt-BH.xls][Spt-BH.xls]B__3431"/>
      <sheetName val="[Spt-BH.xls][Spt-BH.xls]B__3432"/>
      <sheetName val="[Spt-BH.xls][Spt-BH.xls]B__3433"/>
      <sheetName val="[Spt-BH.xls][Spt-BH.xls]B__3434"/>
      <sheetName val="[Spt-BH.xls][Spt-BH.xls]B__3435"/>
      <sheetName val="[Spt-BH.xls][Spt-BH.xls]B__3436"/>
      <sheetName val="[Spt-BH.xls][Spt-BH.xls]_S_1210"/>
      <sheetName val="[Spt-BH.xls][Spt-BH.xls]_S_1213"/>
      <sheetName val="[Spt-BH.xls][Spt-BH.xls]_S_1214"/>
      <sheetName val="[Spt-BH.xls][Spt-BH.xls]_S_1219"/>
      <sheetName val="[Spt-BH.xls][Spt-BH.xls]B__3465"/>
      <sheetName val="[Spt-BH.xls][Spt-BH.xls]B__3466"/>
      <sheetName val="[Spt-BH.xls][Spt-BH.xls]_S_1221"/>
      <sheetName val="[Spt-BH.xls][Spt-BH.xls]B__3467"/>
      <sheetName val="[Spt-BH.xls][Spt-BH.xls]B__3468"/>
      <sheetName val="[Spt-BH.xls][Spt-BH.xls]B__3469"/>
      <sheetName val="[Spt-BH.xls][Spt-BH.xls]B__3470"/>
      <sheetName val="[Spt-BH.xls][Spt-BH.xls]_S_1220"/>
      <sheetName val="[Spt-BH.xls][Spt-BH.xls]B__3472"/>
      <sheetName val="[Spt-BH.xls][Spt-BH.xls]B__3473"/>
      <sheetName val="[Spt-BH.xls][Spt-BH.xls]_S_1223"/>
      <sheetName val="[Spt-BH.xls][Spt-BH.xls]B__3474"/>
      <sheetName val="[Spt-BH.xls][Spt-BH.xls]B__3475"/>
      <sheetName val="[Spt-BH.xls]B____x005f_x0004______283"/>
      <sheetName val="[Spt-BH.xls]B___x005f_x0000__x000_278"/>
      <sheetName val="[Spt-BH.xls][Spt-BH.xls]B__3476"/>
      <sheetName val="[Spt-BH.xls][Spt-BH.xls]B__3477"/>
      <sheetName val="[Spt-BH.xls][Spt-BH.xls]B__3471"/>
      <sheetName val="[Spt-BH.xls][Spt-BH.xls]_S_1222"/>
      <sheetName val="[Spt-BH.xls][Spt-BH_xls]B__3365"/>
      <sheetName val="[Spt-BH.xls][Spt-BH_xls]B__3366"/>
      <sheetName val="[Spt-BH.xls][Spt-BH_xls]B__3367"/>
      <sheetName val="[Spt-BH.xls][Spt-BH_xls]B__3368"/>
      <sheetName val="[Spt-BH.xls][Spt-BH_xls]_S_1111"/>
      <sheetName val="[Spt-BH.xls][Spt-BH_xls]B__3369"/>
      <sheetName val="[Spt-BH.xls][Spt-BH_xls]B__3370"/>
      <sheetName val="[Spt-BH.xls][Spt-BH_xls]B__3371"/>
      <sheetName val="[Spt-BH.xls][Spt-BH_xls]_S_1112"/>
      <sheetName val="[Spt-BH.xls][Spt-BH_xls]B__3372"/>
      <sheetName val="[Spt-BH.xls][Spt-BH_xls]B__3373"/>
      <sheetName val="[Spt-BH.xls][Spt-BH_xls]B__3374"/>
      <sheetName val="[Spt-BH.xls][Spt-BH_xls]B__3375"/>
      <sheetName val="[Spt-BH.xls][Spt-BH_xls]_S_1113"/>
      <sheetName val="[Spt-BH.xls][Spt-BH_xls]B__3376"/>
      <sheetName val="[Spt-BH.xls][Spt-BH_xls]B__3377"/>
      <sheetName val="[Spt-BH.xls][Spt-BH_xls]_S_1114"/>
      <sheetName val="[Spt-BH.xls][Spt-BH_xls]B__3378"/>
      <sheetName val="[Spt-BH.xls][Spt-BH_xls]B__3379"/>
      <sheetName val="[Spt-BH.xls][Spt-BH_xls]_S_1115"/>
      <sheetName val="[Spt-BH.xls]B____x005f_x0004______279"/>
      <sheetName val="[Spt-BH.xls]B___x005f_x0000__x000_274"/>
      <sheetName val="[Spt-BH.xls][Spt-BH.xls]B__3443"/>
      <sheetName val="[Spt-BH.xls][Spt-BH_xls]B__3305"/>
      <sheetName val="[Spt-BH.xls][Spt-BH_xls]B__3306"/>
      <sheetName val="[Spt-BH.xls][Spt-BH_xls]B__3307"/>
      <sheetName val="[Spt-BH.xls][Spt-BH_xls]B__3308"/>
      <sheetName val="[Spt-BH.xls][Spt-BH_xls]_S_1091"/>
      <sheetName val="[Spt-BH.xls][Spt-BH_xls]B__3309"/>
      <sheetName val="[Spt-BH.xls][Spt-BH_xls]B__3310"/>
      <sheetName val="[Spt-BH.xls][Spt-BH_xls]B__3311"/>
      <sheetName val="[Spt-BH.xls][Spt-BH_xls]_S_1092"/>
      <sheetName val="[Spt-BH.xls][Spt-BH_xls]B__3312"/>
      <sheetName val="[Spt-BH.xls][Spt-BH_xls]B__3313"/>
      <sheetName val="[Spt-BH.xls][Spt-BH_xls]B__3314"/>
      <sheetName val="[Spt-BH.xls][Spt-BH_xls]B__3315"/>
      <sheetName val="[Spt-BH.xls][Spt-BH_xls]_S_1093"/>
      <sheetName val="[Spt-BH.xls][Spt-BH_xls]B__3316"/>
      <sheetName val="[Spt-BH.xls][Spt-BH_xls]B__3317"/>
      <sheetName val="[Spt-BH.xls][Spt-BH_xls]_S_1094"/>
      <sheetName val="[Spt-BH.xls][Spt-BH_xls]B__3318"/>
      <sheetName val="[Spt-BH.xls][Spt-BH_xls]B__3319"/>
      <sheetName val="[Spt-BH.xls][Spt-BH_xls]_S_1095"/>
      <sheetName val="[Spt-BH.xls][Spt-BH.xls]B__3444"/>
      <sheetName val="[Spt-BH.xls][Spt-BH.xls]B__3445"/>
      <sheetName val="[Spt-BH.xls][Spt-BH.xls]B__3446"/>
      <sheetName val="[Spt-BH.xls][Spt-BH.xls]B__3447"/>
      <sheetName val="[Spt-BH.xls][Spt-BH.xls]B__3448"/>
      <sheetName val="[Spt-BH.xls][Spt-BH.xls]B__3449"/>
      <sheetName val="[Spt-BH.xls]B____x005f_x0004______280"/>
      <sheetName val="[Spt-BH.xls]B___x005f_x0000__x000_275"/>
      <sheetName val="[Spt-BH.xls][Spt-BH.xls]B__3450"/>
      <sheetName val="[Spt-BH.xls][Spt-BH_xls]B__3320"/>
      <sheetName val="[Spt-BH.xls][Spt-BH_xls]B__3321"/>
      <sheetName val="[Spt-BH.xls][Spt-BH_xls]B__3322"/>
      <sheetName val="[Spt-BH.xls][Spt-BH_xls]B__3323"/>
      <sheetName val="[Spt-BH.xls][Spt-BH_xls]_S_1096"/>
      <sheetName val="[Spt-BH.xls][Spt-BH_xls]B__3324"/>
      <sheetName val="[Spt-BH.xls][Spt-BH_xls]B__3325"/>
      <sheetName val="[Spt-BH.xls][Spt-BH_xls]B__3326"/>
      <sheetName val="[Spt-BH.xls][Spt-BH_xls]_S_1097"/>
      <sheetName val="[Spt-BH.xls][Spt-BH_xls]B__3327"/>
      <sheetName val="[Spt-BH.xls][Spt-BH_xls]B__3328"/>
      <sheetName val="[Spt-BH.xls][Spt-BH_xls]B__3329"/>
      <sheetName val="[Spt-BH.xls][Spt-BH_xls]B__3330"/>
      <sheetName val="[Spt-BH.xls][Spt-BH_xls]_S_1098"/>
      <sheetName val="[Spt-BH.xls][Spt-BH_xls]B__3331"/>
      <sheetName val="[Spt-BH.xls][Spt-BH_xls]B__3332"/>
      <sheetName val="[Spt-BH.xls][Spt-BH_xls]_S_1099"/>
      <sheetName val="[Spt-BH.xls][Spt-BH_xls]B__3333"/>
      <sheetName val="[Spt-BH.xls][Spt-BH_xls]B__3334"/>
      <sheetName val="[Spt-BH.xls][Spt-BH_xls]_S_1100"/>
      <sheetName val="[Spt-BH.xls][Spt-BH.xls]B__3451"/>
      <sheetName val="[Spt-BH.xls][Spt-BH.xls]B__3452"/>
      <sheetName val="[Spt-BH.xls][Spt-BH.xls]B__3453"/>
      <sheetName val="[Spt-BH.xls][Spt-BH.xls]B__3454"/>
      <sheetName val="[Spt-BH.xls][Spt-BH.xls]B__3455"/>
      <sheetName val="[Spt-BH.xls][Spt-BH.xls]B__3456"/>
      <sheetName val="[Spt-BH.xls][Spt-BH.xls]_S_1216"/>
      <sheetName val="[Spt-BH.xls]B____x005f_x0004______281"/>
      <sheetName val="[Spt-BH.xls]B___x005f_x0000__x000_276"/>
      <sheetName val="[Spt-BH.xls][Spt-BH.xls]B__3457"/>
      <sheetName val="[Spt-BH.xls][Spt-BH_xls]B__3335"/>
      <sheetName val="[Spt-BH.xls][Spt-BH_xls]B__3336"/>
      <sheetName val="[Spt-BH.xls][Spt-BH_xls]B__3337"/>
      <sheetName val="[Spt-BH.xls][Spt-BH_xls]B__3338"/>
      <sheetName val="[Spt-BH.xls][Spt-BH_xls]_S_1101"/>
      <sheetName val="[Spt-BH.xls][Spt-BH_xls]B__3339"/>
      <sheetName val="[Spt-BH.xls][Spt-BH_xls]B__3340"/>
      <sheetName val="[Spt-BH.xls][Spt-BH_xls]B__3341"/>
      <sheetName val="[Spt-BH.xls][Spt-BH_xls]_S_1102"/>
      <sheetName val="[Spt-BH.xls][Spt-BH_xls]B__3342"/>
      <sheetName val="[Spt-BH.xls][Spt-BH_xls]B__3343"/>
      <sheetName val="[Spt-BH.xls][Spt-BH_xls]B__3344"/>
      <sheetName val="[Spt-BH.xls][Spt-BH_xls]B__3345"/>
      <sheetName val="[Spt-BH.xls][Spt-BH_xls]_S_1103"/>
      <sheetName val="[Spt-BH.xls][Spt-BH_xls]B__3346"/>
      <sheetName val="[Spt-BH.xls][Spt-BH_xls]B__3347"/>
      <sheetName val="[Spt-BH.xls][Spt-BH_xls]_S_1104"/>
      <sheetName val="[Spt-BH.xls][Spt-BH_xls]B__3348"/>
      <sheetName val="[Spt-BH.xls][Spt-BH_xls]B__3349"/>
      <sheetName val="[Spt-BH.xls][Spt-BH_xls]_S_1105"/>
      <sheetName val="[Spt-BH.xls][Spt-BH.xls]_S_1217"/>
      <sheetName val="[Spt-BH.xls][Spt-BH.xls]B__3458"/>
      <sheetName val="[Spt-BH.xls][Spt-BH.xls]B__3459"/>
      <sheetName val="[Spt-BH.xls][Spt-BH.xls]B__3460"/>
      <sheetName val="[Spt-BH.xls][Spt-BH.xls]B__3461"/>
      <sheetName val="[Spt-BH.xls][Spt-BH.xls]B__3462"/>
      <sheetName val="[Spt-BH.xls][Spt-BH.xls]B__3463"/>
      <sheetName val="[Spt-BH.xls][Spt-BH.xls]_S_1218"/>
      <sheetName val="[Spt-BH.xls]B____x005f_x0004______282"/>
      <sheetName val="[Spt-BH.xls]B___x005f_x0000__x000_277"/>
      <sheetName val="[Spt-BH.xls][Spt-BH.xls]B__3464"/>
      <sheetName val="[Spt-BH.xls][Spt-BH_xls]B__3350"/>
      <sheetName val="[Spt-BH.xls][Spt-BH_xls]B__3351"/>
      <sheetName val="[Spt-BH.xls][Spt-BH_xls]B__3352"/>
      <sheetName val="[Spt-BH.xls][Spt-BH_xls]B__3353"/>
      <sheetName val="[Spt-BH.xls][Spt-BH_xls]_S_1106"/>
      <sheetName val="[Spt-BH.xls][Spt-BH_xls]B__3354"/>
      <sheetName val="[Spt-BH.xls][Spt-BH_xls]B__3355"/>
      <sheetName val="[Spt-BH.xls][Spt-BH_xls]B__3356"/>
      <sheetName val="[Spt-BH.xls][Spt-BH_xls]_S_1107"/>
      <sheetName val="[Spt-BH.xls][Spt-BH_xls]B__3357"/>
      <sheetName val="[Spt-BH.xls][Spt-BH_xls]B__3358"/>
      <sheetName val="[Spt-BH.xls][Spt-BH_xls]B__3359"/>
      <sheetName val="[Spt-BH.xls][Spt-BH_xls]B__3360"/>
      <sheetName val="[Spt-BH.xls][Spt-BH_xls]_S_1108"/>
      <sheetName val="[Spt-BH.xls][Spt-BH_xls]B__3361"/>
      <sheetName val="[Spt-BH.xls][Spt-BH_xls]B__3362"/>
      <sheetName val="[Spt-BH.xls][Spt-BH_xls]_S_1109"/>
      <sheetName val="[Spt-BH.xls][Spt-BH_xls]B__3363"/>
      <sheetName val="[Spt-BH.xls][Spt-BH_xls]B__3364"/>
      <sheetName val="[Spt-BH.xls][Spt-BH_xls]_S_1110"/>
      <sheetName val="[Spt-BH.xls][Spt-BH.xls]B__3478"/>
      <sheetName val="[Spt-BH.xls][Spt-BH.xls]B__3479"/>
      <sheetName val="[Spt-BH.xls][Spt-BH.xls]_S_1225"/>
      <sheetName val="[Spt-BH.xls][Spt-BH.xls]B__3480"/>
      <sheetName val="[Spt-BH.xls][Spt-BH.xls]B__3481"/>
      <sheetName val="[Spt-BH.xls][Spt-BH.xls]B__3482"/>
      <sheetName val="[Spt-BH.xls][Spt-BH.xls]B__3483"/>
      <sheetName val="[Spt-BH.xls][Spt-BH.xls]_S_1224"/>
      <sheetName val="[Spt-BH.xls][Spt-BH.xls]_S_1226"/>
      <sheetName val="[Spt-BH.xls][Spt-BH.xls]B__3512"/>
      <sheetName val="[Spt-BH.xls][Spt-BH.xls]B__3513"/>
      <sheetName val="[Spt-BH.xls][Spt-BH.xls]_S_1237"/>
      <sheetName val="[Spt-BH.xls][Spt-BH.xls]B__3514"/>
      <sheetName val="[Spt-BH.xls][Spt-BH.xls]B__3515"/>
      <sheetName val="[Spt-BH.xls]B____x005f_x0004______287"/>
      <sheetName val="[Spt-BH.xls]B___x005f_x0000__x000_282"/>
      <sheetName val="[Spt-BH.xls][Spt-BH.xls]B__3516"/>
      <sheetName val="[Spt-BH.xls][Spt-BH.xls]B__3505"/>
      <sheetName val="[Spt-BH.xls][Spt-BH.xls]B__3506"/>
      <sheetName val="[Spt-BH.xls][Spt-BH.xls]_S_1235"/>
      <sheetName val="[Spt-BH.xls][Spt-BH.xls]B__3507"/>
      <sheetName val="[Spt-BH.xls][Spt-BH.xls]B__3508"/>
      <sheetName val="[Spt-BH.xls][Spt-BH.xls]B__3517"/>
      <sheetName val="[Spt-BH.xls][Spt-BH.xls]_S_1233"/>
      <sheetName val="[Spt-BH.xls][Spt-BH.xls]B__3509"/>
      <sheetName val="[Spt-BH.xls][Spt-BH.xls]B__3510"/>
      <sheetName val="[Spt-BH.xls][Spt-BH.xls]B__3511"/>
      <sheetName val="[Spt-BH.xls][Spt-BH.xls]_S_1236"/>
      <sheetName val="[Spt-BH.xls][Spt-BH_xls]B__3425"/>
      <sheetName val="[Spt-BH.xls][Spt-BH_xls]B__3426"/>
      <sheetName val="[Spt-BH.xls][Spt-BH_xls]B__3427"/>
      <sheetName val="[Spt-BH.xls][Spt-BH_xls]B__3428"/>
      <sheetName val="[Spt-BH.xls][Spt-BH_xls]_S_1131"/>
      <sheetName val="[Spt-BH.xls][Spt-BH_xls]B__3429"/>
      <sheetName val="[Spt-BH.xls][Spt-BH_xls]B__3430"/>
      <sheetName val="[Spt-BH.xls][Spt-BH_xls]B__3431"/>
      <sheetName val="[Spt-BH.xls][Spt-BH_xls]_S_1132"/>
      <sheetName val="[Spt-BH.xls][Spt-BH_xls]B__3432"/>
      <sheetName val="[Spt-BH.xls][Spt-BH_xls]B__3433"/>
      <sheetName val="[Spt-BH.xls][Spt-BH_xls]B__3434"/>
      <sheetName val="[Spt-BH.xls][Spt-BH_xls]B__3435"/>
      <sheetName val="[Spt-BH.xls][Spt-BH_xls]_S_1133"/>
      <sheetName val="[Spt-BH.xls][Spt-BH.xls]_S_1234"/>
      <sheetName val="[Spt-BH.xls][Spt-BH_xls]B__3436"/>
      <sheetName val="[Spt-BH.xls][Spt-BH_xls]B__3437"/>
      <sheetName val="[Spt-BH.xls][Spt-BH_xls]_S_1134"/>
      <sheetName val="[Spt-BH.xls][Spt-BH_xls]B__3438"/>
      <sheetName val="[Spt-BH.xls][Spt-BH_xls]B__3439"/>
      <sheetName val="[Spt-BH.xls][Spt-BH_xls]_S_1135"/>
      <sheetName val="[Spt-BH.xls]B____x005f_x0004______284"/>
      <sheetName val="[Spt-BH.xls]B___x005f_x0000__x000_279"/>
      <sheetName val="[Spt-BH.xls][Spt-BH.xls]B__3484"/>
      <sheetName val="[Spt-BH.xls][Spt-BH.xls]B__3485"/>
      <sheetName val="[Spt-BH.xls][Spt-BH.xls]B__3486"/>
      <sheetName val="[Spt-BH.xls][Spt-BH.xls]B__3487"/>
      <sheetName val="[Spt-BH.xls][Spt-BH.xls]_S_1227"/>
      <sheetName val="[Spt-BH.xls][Spt-BH.xls]B__3488"/>
      <sheetName val="[Spt-BH.xls][Spt-BH.xls]B__3489"/>
      <sheetName val="[Spt-BH.xls][Spt-BH.xls]B__3490"/>
      <sheetName val="[Spt-BH.xls][Spt-BH_xls]B__3380"/>
      <sheetName val="[Spt-BH.xls][Spt-BH_xls]B__3381"/>
      <sheetName val="[Spt-BH.xls][Spt-BH_xls]B__3382"/>
      <sheetName val="[Spt-BH.xls][Spt-BH_xls]B__3383"/>
      <sheetName val="[Spt-BH.xls][Spt-BH_xls]_S_1116"/>
      <sheetName val="[Spt-BH.xls][Spt-BH_xls]B__3384"/>
      <sheetName val="[Spt-BH.xls][Spt-BH_xls]B__3385"/>
      <sheetName val="[Spt-BH.xls][Spt-BH_xls]B__3386"/>
      <sheetName val="[Spt-BH.xls][Spt-BH_xls]_S_1117"/>
      <sheetName val="[Spt-BH.xls][Spt-BH_xls]B__3387"/>
      <sheetName val="[Spt-BH.xls][Spt-BH_xls]B__3388"/>
      <sheetName val="[Spt-BH.xls][Spt-BH_xls]B__3389"/>
      <sheetName val="[Spt-BH.xls][Spt-BH_xls]B__3390"/>
      <sheetName val="[Spt-BH.xls][Spt-BH_xls]_S_1118"/>
      <sheetName val="[Spt-BH.xls][Spt-BH.xls]_S_1228"/>
      <sheetName val="[Spt-BH.xls][Spt-BH_xls]B__3391"/>
      <sheetName val="[Spt-BH.xls][Spt-BH_xls]B__3392"/>
      <sheetName val="[Spt-BH.xls][Spt-BH_xls]_S_1119"/>
      <sheetName val="[Spt-BH.xls][Spt-BH_xls]B__3393"/>
      <sheetName val="[Spt-BH.xls][Spt-BH_xls]B__3394"/>
      <sheetName val="[Spt-BH.xls][Spt-BH_xls]_S_1120"/>
      <sheetName val="[Spt-BH.xls]B____x005f_x0004______285"/>
      <sheetName val="[Spt-BH.xls]B___x005f_x0000__x000_280"/>
      <sheetName val="[Spt-BH.xls][Spt-BH.xls]B__3491"/>
      <sheetName val="[Spt-BH.xls][Spt-BH.xls]B__3492"/>
      <sheetName val="[Spt-BH.xls][Spt-BH.xls]B__3493"/>
      <sheetName val="[Spt-BH.xls][Spt-BH.xls]B__3494"/>
      <sheetName val="[Spt-BH.xls][Spt-BH.xls]_S_1229"/>
      <sheetName val="[Spt-BH.xls][Spt-BH.xls]B__3495"/>
      <sheetName val="[Spt-BH.xls][Spt-BH.xls]B__3496"/>
      <sheetName val="[Spt-BH.xls][Spt-BH.xls]B__3497"/>
      <sheetName val="[Spt-BH.xls][Spt-BH_xls]B__3395"/>
      <sheetName val="[Spt-BH.xls][Spt-BH_xls]B__3396"/>
      <sheetName val="[Spt-BH.xls][Spt-BH_xls]B__3397"/>
      <sheetName val="[Spt-BH.xls][Spt-BH_xls]B__3398"/>
      <sheetName val="[Spt-BH.xls][Spt-BH_xls]_S_1121"/>
      <sheetName val="[Spt-BH.xls][Spt-BH_xls]B__3399"/>
      <sheetName val="[Spt-BH.xls][Spt-BH_xls]B__3400"/>
      <sheetName val="[Spt-BH.xls][Spt-BH_xls]B__3401"/>
      <sheetName val="[Spt-BH.xls][Spt-BH_xls]_S_1122"/>
      <sheetName val="[Spt-BH.xls][Spt-BH_xls]B__3402"/>
      <sheetName val="[Spt-BH.xls][Spt-BH_xls]B__3403"/>
      <sheetName val="[Spt-BH.xls][Spt-BH_xls]B__3404"/>
      <sheetName val="[Spt-BH.xls][Spt-BH_xls]B__3405"/>
      <sheetName val="[Spt-BH.xls][Spt-BH_xls]_S_1123"/>
      <sheetName val="[Spt-BH.xls][Spt-BH.xls]_S_1230"/>
      <sheetName val="[Spt-BH.xls][Spt-BH_xls]B__3406"/>
      <sheetName val="[Spt-BH.xls][Spt-BH_xls]B__3407"/>
      <sheetName val="[Spt-BH.xls][Spt-BH_xls]_S_1124"/>
      <sheetName val="[Spt-BH.xls][Spt-BH_xls]B__3408"/>
      <sheetName val="[Spt-BH.xls][Spt-BH_xls]B__3409"/>
      <sheetName val="[Spt-BH.xls][Spt-BH_xls]_S_1125"/>
      <sheetName val="[Spt-BH.xls]B____x005f_x0004______286"/>
      <sheetName val="[Spt-BH.xls]B___x005f_x0000__x000_281"/>
      <sheetName val="[Spt-BH.xls][Spt-BH.xls]B__3498"/>
      <sheetName val="[Spt-BH.xls][Spt-BH.xls]B__3499"/>
      <sheetName val="[Spt-BH.xls][Spt-BH.xls]B__3500"/>
      <sheetName val="[Spt-BH.xls][Spt-BH.xls]B__3501"/>
      <sheetName val="[Spt-BH.xls][Spt-BH.xls]_S_1231"/>
      <sheetName val="[Spt-BH.xls][Spt-BH.xls]B__3502"/>
      <sheetName val="[Spt-BH.xls][Spt-BH.xls]B__3503"/>
      <sheetName val="[Spt-BH.xls][Spt-BH.xls]B__3504"/>
      <sheetName val="[Spt-BH.xls][Spt-BH_xls]B__3410"/>
      <sheetName val="[Spt-BH.xls][Spt-BH_xls]B__3411"/>
      <sheetName val="[Spt-BH.xls][Spt-BH_xls]B__3412"/>
      <sheetName val="[Spt-BH.xls][Spt-BH_xls]B__3413"/>
      <sheetName val="[Spt-BH.xls][Spt-BH_xls]_S_1126"/>
      <sheetName val="[Spt-BH.xls][Spt-BH_xls]B__3414"/>
      <sheetName val="[Spt-BH.xls][Spt-BH_xls]B__3415"/>
      <sheetName val="[Spt-BH.xls][Spt-BH_xls]B__3416"/>
      <sheetName val="[Spt-BH.xls][Spt-BH_xls]_S_1127"/>
      <sheetName val="[Spt-BH.xls][Spt-BH_xls]B__3417"/>
      <sheetName val="[Spt-BH.xls][Spt-BH_xls]B__3418"/>
      <sheetName val="[Spt-BH.xls][Spt-BH_xls]B__3419"/>
      <sheetName val="[Spt-BH.xls][Spt-BH_xls]B__3420"/>
      <sheetName val="[Spt-BH.xls][Spt-BH_xls]_S_1128"/>
      <sheetName val="[Spt-BH.xls][Spt-BH.xls]_S_1232"/>
      <sheetName val="[Spt-BH.xls][Spt-BH_xls]B__3421"/>
      <sheetName val="[Spt-BH.xls][Spt-BH_xls]B__3422"/>
      <sheetName val="[Spt-BH.xls][Spt-BH_xls]_S_1129"/>
      <sheetName val="[Spt-BH.xls][Spt-BH_xls]B__3423"/>
      <sheetName val="[Spt-BH.xls][Spt-BH_xls]B__3424"/>
      <sheetName val="[Spt-BH.xls][Spt-BH_xls]_S_1130"/>
      <sheetName val="[Spt-BH.xls][Spt-BH.xls]B__3518"/>
      <sheetName val="[Spt-BH.xls][Spt-BH.xls]B__3519"/>
      <sheetName val="[Spt-BH.xls][Spt-BH.xls]_S_1240"/>
      <sheetName val="[Spt-BH.xls][Spt-BH.xls]B__3520"/>
      <sheetName val="[Spt-BH.xls][Spt-BH.xls]B__3521"/>
      <sheetName val="[Spt-BH.xls][Spt-BH.xls]B__3522"/>
      <sheetName val="[Spt-BH.xls][Spt-BH.xls]_S_1238"/>
      <sheetName val="[Spt-BH.xls][Spt-BH.xls]B__3523"/>
      <sheetName val="[Spt-BH.xls][Spt-BH.xls]_S_1239"/>
      <sheetName val="[Spt-BH.xls][Spt-BH.xls]B__3524"/>
      <sheetName val="[Spt-BH.xls][Spt-BH.xls]B__3525"/>
      <sheetName val="[Spt-BH.xls][Spt-BH.xls]_S_1243"/>
      <sheetName val="[Spt-BH.xls][Spt-BH.xls]B__3526"/>
      <sheetName val="[Spt-BH.xls][Spt-BH.xls]B__3527"/>
      <sheetName val="[Spt-BH.xls][Spt-BH.xls]B__3528"/>
      <sheetName val="[Spt-BH.xls][Spt-BH.xls]_S_1241"/>
      <sheetName val="[Spt-BH.xls][Spt-BH.xls]B__3529"/>
      <sheetName val="[Spt-BH.xls][Spt-BH.xls]_S_1242"/>
      <sheetName val="[Spt-BH.xls][Spt-BH.xls]_S_1288"/>
      <sheetName val="[Spt-BH.xls][Spt-BH.xls]_S_1275"/>
      <sheetName val="[Spt-BH.xls][Spt-BH.xls]B__3579"/>
      <sheetName val="[Spt-BH.xls][Spt-BH.xls]B__3580"/>
      <sheetName val="[Spt-BH.xls][Spt-BH.xls]_S_1265"/>
      <sheetName val="[Spt-BH.xls][Spt-BH.xls]B__3581"/>
      <sheetName val="[Spt-BH.xls][Spt-BH.xls]B__3582"/>
      <sheetName val="[Spt-BH.xls][Spt-BH.xls]B__3586"/>
      <sheetName val="[Spt-BH.xls][Spt-BH.xls]B__3587"/>
      <sheetName val="[Spt-BH.xls][Spt-BH.xls]_S_1267"/>
      <sheetName val="[Spt-BH.xls][Spt-BH.xls]B__3588"/>
      <sheetName val="[Spt-BH.xls][Spt-BH.xls]B__3589"/>
      <sheetName val="[Spt-BH.xls]B____x005f_x0004______291"/>
      <sheetName val="[Spt-BH.xls]B___x005f_x0000__x000_286"/>
      <sheetName val="[Spt-BH.xls][Spt-BH.xls]B__3590"/>
      <sheetName val="[Spt-BH.xls][Spt-BH.xls]B__3591"/>
      <sheetName val="[Spt-BH.xls][Spt-BH.xls]_S_1263"/>
      <sheetName val="[Spt-BH.xls][Spt-BH.xls]B__3583"/>
      <sheetName val="[Spt-BH.xls][Spt-BH.xls]B__3584"/>
      <sheetName val="[Spt-BH.xls][Spt-BH.xls]B__3585"/>
      <sheetName val="[Spt-BH.xls][Spt-BH.xls]_S_1264"/>
      <sheetName val="[Spt-BH.xls][Spt-BH.xls]_S_1266"/>
      <sheetName val="[Spt-BH.xls][Spt-BH_xls]B__3485"/>
      <sheetName val="[Spt-BH.xls][Spt-BH_xls]B__3486"/>
      <sheetName val="[Spt-BH.xls][Spt-BH_xls]B__3487"/>
      <sheetName val="[Spt-BH.xls][Spt-BH_xls]B__3488"/>
      <sheetName val="[Spt-BH.xls][Spt-BH_xls]_S_1151"/>
      <sheetName val="[Spt-BH.xls][Spt-BH_xls]B__3489"/>
      <sheetName val="[Spt-BH.xls][Spt-BH_xls]B__3490"/>
      <sheetName val="[Spt-BH.xls][Spt-BH_xls]B__3491"/>
      <sheetName val="[Spt-BH.xls][Spt-BH_xls]_S_1152"/>
      <sheetName val="[Spt-BH.xls][Spt-BH_xls]B__3492"/>
      <sheetName val="[Spt-BH.xls][Spt-BH_xls]B__3493"/>
      <sheetName val="[Spt-BH.xls][Spt-BH_xls]B__3494"/>
      <sheetName val="[Spt-BH.xls][Spt-BH_xls]B__3495"/>
      <sheetName val="[Spt-BH.xls][Spt-BH_xls]_S_1153"/>
      <sheetName val="[Spt-BH.xls][Spt-BH_xls]B__3496"/>
      <sheetName val="[Spt-BH.xls][Spt-BH_xls]B__3497"/>
      <sheetName val="[Spt-BH.xls][Spt-BH_xls]_S_1154"/>
      <sheetName val="[Spt-BH.xls][Spt-BH_xls]B__3498"/>
      <sheetName val="[Spt-BH.xls][Spt-BH_xls]B__3499"/>
      <sheetName val="[Spt-BH.xls][Spt-BH_xls]_S_1155"/>
      <sheetName val="[Spt-BH.xls][Spt-BH.xls]_S_1247"/>
      <sheetName val="[Spt-BH.xls][Spt-BH.xls]_S_1244"/>
      <sheetName val="[Spt-BH.xls][Spt-BH.xls]_S_1245"/>
      <sheetName val="[Spt-BH.xls][Spt-BH.xls]_S_1246"/>
      <sheetName val="[Spt-BH.xls][Spt-BH.xls]_S_1257"/>
      <sheetName val="[Spt-BH.xls][Spt-BH.xls]_S_1249"/>
      <sheetName val="[Spt-BH.xls][Spt-BH.xls]B__3530"/>
      <sheetName val="[Spt-BH.xls][Spt-BH.xls]B__3531"/>
      <sheetName val="[Spt-BH.xls][Spt-BH.xls]B__3532"/>
      <sheetName val="[Spt-BH.xls][Spt-BH.xls]B__3533"/>
      <sheetName val="[Spt-BH.xls][Spt-BH.xls]B__3534"/>
      <sheetName val="[Spt-BH.xls][Spt-BH.xls]B__3535"/>
      <sheetName val="[Spt-BH.xls][Spt-BH.xls]B__3537"/>
      <sheetName val="[Spt-BH.xls][Spt-BH.xls]B__3538"/>
      <sheetName val="[Spt-BH.xls][Spt-BH.xls]_S_1248"/>
      <sheetName val="[Spt-BH.xls][Spt-BH.xls]B__3539"/>
      <sheetName val="[Spt-BH.xls][Spt-BH.xls]B__3540"/>
      <sheetName val="[Spt-BH.xls]B____x005f_x0004______288"/>
      <sheetName val="[Spt-BH.xls]B___x005f_x0000__x000_283"/>
      <sheetName val="[Spt-BH.xls][Spt-BH.xls]B__3541"/>
      <sheetName val="[Spt-BH.xls][Spt-BH.xls]B__3542"/>
      <sheetName val="[Spt-BH.xls][Spt-BH.xls]B__3536"/>
      <sheetName val="[Spt-BH.xls][Spt-BH_xls]B__3440"/>
      <sheetName val="[Spt-BH.xls][Spt-BH_xls]B__3441"/>
      <sheetName val="[Spt-BH.xls][Spt-BH_xls]B__3442"/>
      <sheetName val="[Spt-BH.xls][Spt-BH_xls]B__3443"/>
      <sheetName val="[Spt-BH.xls][Spt-BH_xls]_S_1136"/>
      <sheetName val="[Spt-BH.xls][Spt-BH_xls]B__3444"/>
      <sheetName val="[Spt-BH.xls][Spt-BH_xls]B__3445"/>
      <sheetName val="[Spt-BH.xls][Spt-BH_xls]B__3446"/>
      <sheetName val="[Spt-BH.xls][Spt-BH_xls]_S_1137"/>
      <sheetName val="[Spt-BH.xls][Spt-BH_xls]B__3447"/>
      <sheetName val="[Spt-BH.xls][Spt-BH_xls]B__3448"/>
      <sheetName val="[Spt-BH.xls][Spt-BH_xls]B__3449"/>
      <sheetName val="[Spt-BH.xls][Spt-BH_xls]B__3450"/>
      <sheetName val="[Spt-BH.xls][Spt-BH_xls]_S_1138"/>
      <sheetName val="[Spt-BH.xls][Spt-BH_xls]B__3451"/>
      <sheetName val="[Spt-BH.xls][Spt-BH_xls]B__3452"/>
      <sheetName val="[Spt-BH.xls][Spt-BH_xls]_S_1139"/>
      <sheetName val="[Spt-BH.xls][Spt-BH_xls]B__3453"/>
      <sheetName val="[Spt-BH.xls][Spt-BH_xls]B__3454"/>
      <sheetName val="[Spt-BH.xls][Spt-BH_xls]_S_1140"/>
      <sheetName val="[Spt-BH.xls][Spt-BH.xls]B__3543"/>
      <sheetName val="[Spt-BH.xls][Spt-BH.xls]B__3544"/>
      <sheetName val="[Spt-BH.xls][Spt-BH.xls]B__3545"/>
      <sheetName val="[Spt-BH.xls][Spt-BH.xls]B__3546"/>
      <sheetName val="[Spt-BH.xls][Spt-BH.xls]_S_1250"/>
      <sheetName val="[Spt-BH.xls][Spt-BH.xls]B__3547"/>
      <sheetName val="[Spt-BH.xls][Spt-BH.xls]B__3548"/>
      <sheetName val="[Spt-BH.xls][Spt-BH.xls]_S_1252"/>
      <sheetName val="[Spt-BH.xls][Spt-BH.xls]B__3549"/>
      <sheetName val="[Spt-BH.xls][Spt-BH.xls]B__3550"/>
      <sheetName val="[Spt-BH.xls][Spt-BH.xls]B__3551"/>
      <sheetName val="[Spt-BH.xls][Spt-BH.xls]B__3552"/>
      <sheetName val="[Spt-BH.xls][Spt-BH.xls]_S_1251"/>
      <sheetName val="[Spt-BH.xls][Spt-BH.xls]B__3560"/>
      <sheetName val="[Spt-BH.xls][Spt-BH.xls]B__3561"/>
      <sheetName val="[Spt-BH.xls][Spt-BH.xls]B__3562"/>
      <sheetName val="[Spt-BH.xls][Spt-BH.xls]B__3563"/>
      <sheetName val="[Spt-BH.xls]B____x005f_x0004______289"/>
      <sheetName val="[Spt-BH.xls]B___x005f_x0000__x000_284"/>
      <sheetName val="[Spt-BH.xls][Spt-BH.xls]B__3564"/>
      <sheetName val="[Spt-BH.xls][Spt-BH.xls]B__3553"/>
      <sheetName val="[Spt-BH.xls][Spt-BH.xls]B__3554"/>
      <sheetName val="[Spt-BH.xls][Spt-BH.xls]_S_1255"/>
      <sheetName val="[Spt-BH.xls][Spt-BH.xls]B__3555"/>
      <sheetName val="[Spt-BH.xls][Spt-BH.xls]B__3556"/>
      <sheetName val="[Spt-BH.xls][Spt-BH.xls]_S_1253"/>
      <sheetName val="[Spt-BH.xls][Spt-BH.xls]B__3565"/>
      <sheetName val="[Spt-BH.xls][Spt-BH.xls]B__3557"/>
      <sheetName val="[Spt-BH.xls][Spt-BH.xls]B__3558"/>
      <sheetName val="[Spt-BH.xls][Spt-BH.xls]_S_1256"/>
      <sheetName val="[Spt-BH.xls][Spt-BH_xls]B__3455"/>
      <sheetName val="[Spt-BH.xls][Spt-BH_xls]B__3456"/>
      <sheetName val="[Spt-BH.xls][Spt-BH_xls]B__3457"/>
      <sheetName val="[Spt-BH.xls][Spt-BH_xls]B__3458"/>
      <sheetName val="[Spt-BH.xls][Spt-BH_xls]_S_1141"/>
      <sheetName val="[Spt-BH.xls][Spt-BH_xls]B__3459"/>
      <sheetName val="[Spt-BH.xls][Spt-BH_xls]B__3460"/>
      <sheetName val="[Spt-BH.xls][Spt-BH_xls]B__3461"/>
      <sheetName val="[Spt-BH.xls][Spt-BH_xls]_S_1142"/>
      <sheetName val="[Spt-BH.xls][Spt-BH_xls]B__3462"/>
      <sheetName val="[Spt-BH.xls][Spt-BH_xls]B__3463"/>
      <sheetName val="[Spt-BH.xls][Spt-BH_xls]B__3464"/>
      <sheetName val="[Spt-BH.xls][Spt-BH_xls]B__3465"/>
      <sheetName val="[Spt-BH.xls][Spt-BH_xls]_S_1143"/>
      <sheetName val="[Spt-BH.xls][Spt-BH.xls]B__3559"/>
      <sheetName val="[Spt-BH.xls][Spt-BH.xls]_S_1254"/>
      <sheetName val="[Spt-BH.xls][Spt-BH_xls]B__3466"/>
      <sheetName val="[Spt-BH.xls][Spt-BH_xls]B__3467"/>
      <sheetName val="[Spt-BH.xls][Spt-BH_xls]_S_1144"/>
      <sheetName val="[Spt-BH.xls][Spt-BH_xls]B__3468"/>
      <sheetName val="[Spt-BH.xls][Spt-BH_xls]B__3469"/>
      <sheetName val="[Spt-BH.xls][Spt-BH_xls]_S_1145"/>
      <sheetName val="[Spt-BH.xls][Spt-BH.xls]_S_1260"/>
      <sheetName val="[Spt-BH.xls][Spt-BH.xls]B__3566"/>
      <sheetName val="[Spt-BH.xls][Spt-BH.xls]B__3567"/>
      <sheetName val="[Spt-BH.xls][Spt-BH.xls]B__3568"/>
      <sheetName val="[Spt-BH.xls][Spt-BH.xls]B__3569"/>
      <sheetName val="[Spt-BH.xls][Spt-BH.xls]B__3570"/>
      <sheetName val="[Spt-BH.xls][Spt-BH.xls]_S_1258"/>
      <sheetName val="[Spt-BH.xls][Spt-BH.xls]B__3571"/>
      <sheetName val="[Spt-BH.xls][Spt-BH.xls]_S_1259"/>
      <sheetName val="[Spt-BH.xls][Spt-BH.xls]B__3572"/>
      <sheetName val="[Spt-BH.xls][Spt-BH.xls]B__3573"/>
      <sheetName val="[Spt-BH.xls][Spt-BH.xls]B__3574"/>
      <sheetName val="[Spt-BH.xls][Spt-BH.xls]B__3575"/>
      <sheetName val="[Spt-BH.xls]B____x005f_x0004______290"/>
      <sheetName val="[Spt-BH.xls]B___x005f_x0000__x000_285"/>
      <sheetName val="[Spt-BH.xls][Spt-BH.xls]_S_1261"/>
      <sheetName val="[Spt-BH.xls][Spt-BH.xls]B__3576"/>
      <sheetName val="[Spt-BH.xls][Spt-BH.xls]B__3577"/>
      <sheetName val="[Spt-BH.xls][Spt-BH.xls]B__3578"/>
      <sheetName val="[Spt-BH.xls][Spt-BH.xls]_S_1262"/>
      <sheetName val="[Spt-BH.xls][Spt-BH_xls]B__3470"/>
      <sheetName val="[Spt-BH.xls][Spt-BH_xls]B__3471"/>
      <sheetName val="[Spt-BH.xls][Spt-BH_xls]B__3472"/>
      <sheetName val="[Spt-BH.xls][Spt-BH_xls]B__3473"/>
      <sheetName val="[Spt-BH.xls][Spt-BH_xls]_S_1146"/>
      <sheetName val="[Spt-BH.xls][Spt-BH_xls]B__3474"/>
      <sheetName val="[Spt-BH.xls][Spt-BH_xls]B__3475"/>
      <sheetName val="[Spt-BH.xls][Spt-BH_xls]B__3476"/>
      <sheetName val="[Spt-BH.xls][Spt-BH_xls]_S_1147"/>
      <sheetName val="[Spt-BH.xls][Spt-BH_xls]B__3477"/>
      <sheetName val="[Spt-BH.xls][Spt-BH_xls]B__3478"/>
      <sheetName val="[Spt-BH.xls][Spt-BH_xls]B__3479"/>
      <sheetName val="[Spt-BH.xls][Spt-BH_xls]B__3480"/>
      <sheetName val="[Spt-BH.xls][Spt-BH_xls]_S_1148"/>
      <sheetName val="[Spt-BH.xls][Spt-BH_xls]B__3481"/>
      <sheetName val="[Spt-BH.xls][Spt-BH_xls]B__3482"/>
      <sheetName val="[Spt-BH.xls][Spt-BH_xls]_S_1149"/>
      <sheetName val="[Spt-BH.xls][Spt-BH_xls]B__3483"/>
      <sheetName val="[Spt-BH.xls][Spt-BH_xls]B__3484"/>
      <sheetName val="[Spt-BH.xls][Spt-BH_xls]_S_1150"/>
      <sheetName val="P4-BOQ"/>
      <sheetName val="_Spt-BH.xls__Spt-BH.xls_B____69"/>
      <sheetName val="_Spt-BH.xls__Spt-BH.xls_B____70"/>
      <sheetName val="_Spt-BH.xls__Spt-BH.xls__Spt_24"/>
      <sheetName val="_Spt-BH.xls__Spt-BH.xls_B____71"/>
      <sheetName val="_Spt-BH.xls__Spt-BH.xls_B____72"/>
      <sheetName val="_Spt-BH.xls__Spt-BH.xls_B____73"/>
      <sheetName val="_Spt-BH.xls_B____x005f_x0004________8"/>
      <sheetName val="_Spt-BH.xls_B___x005f_x0000__x005f_x0004__8"/>
      <sheetName val="_Spt-BH.xls__Spt-BH.xls_B____74"/>
      <sheetName val="_Spt-BH.xls__Spt-BH.xls_B____62"/>
      <sheetName val="_Spt-BH.xls__Spt-BH.xls_B____63"/>
      <sheetName val="_Spt-BH.xls__Spt-BH.xls__Spt_22"/>
      <sheetName val="_Spt-BH.xls__Spt-BH.xls_B____64"/>
      <sheetName val="_Spt-BH.xls__Spt-BH.xls_B____65"/>
      <sheetName val="_Spt-BH.xls__Spt-BH.xls_B____66"/>
      <sheetName val="_Spt-BH.xls__Spt-BH.xls__Spt_23"/>
      <sheetName val="_Spt-BH.xls__Spt-BH_xls_B____14"/>
      <sheetName val="_Spt-BH.xls__Spt-BH_xls_B____15"/>
      <sheetName val="_Spt-BH.xls__Spt-BH.xls__Spt_20"/>
      <sheetName val="_Spt-BH.xls__Spt-BH.xls_B____67"/>
      <sheetName val="_Spt-BH.xls__Spt-BH.xls_B____68"/>
      <sheetName val="_Spt-BH.xls__Spt-BH.xls__Spt_21"/>
      <sheetName val="_Spt-BH.xls__Spt-BH.xls_B____22"/>
      <sheetName val="_Spt-BH.xls__Spt-BH.xls_B____23"/>
      <sheetName val="_Spt-BH.xls__Spt-BH.xls__Spt_14"/>
      <sheetName val="_Spt-BH.xls__Spt-BH.xls_B____24"/>
      <sheetName val="_Spt-BH.xls__Spt-BH.xls_B____25"/>
      <sheetName val="_Spt-BH.xls__Spt-BH.xls_B____26"/>
      <sheetName val="_Spt-BH.xls__Spt-BH.xls__Spt__8"/>
      <sheetName val="_Spt-BH.xls__Spt-BH.xls_B____27"/>
      <sheetName val="_Spt-BH.xls__Spt-BH.xls__Spt__9"/>
      <sheetName val="_Spt-BH.xls__Spt-BH.xls_B____16"/>
      <sheetName val="_Spt-BH.xls__Spt-BH.xls_B____17"/>
      <sheetName val="_Spt-BH.xls__Spt-BH.xls_B____18"/>
      <sheetName val="_Spt-BH.xls__Spt-BH.xls_B____19"/>
      <sheetName val="_Spt-BH.xls__Spt-BH.xls_B____20"/>
      <sheetName val="_Spt-BH.xls_B____x005f_x0004________3"/>
      <sheetName val="_Spt-BH.xls_B___x005f_x0000__x005f_x0004__3"/>
      <sheetName val="_Spt-BH.xls__Spt-BH.xls_B____21"/>
      <sheetName val="_Spt-BH.xls__Spt-BH.xls_B____15"/>
      <sheetName val="_Spt-BH.xls__Spt-BH.xls__Spt__7"/>
      <sheetName val="_Spt-BH.xls__Spt-BH_xls_B_____4"/>
      <sheetName val="_Spt-BH.xls__Spt-BH_xls_B_____5"/>
      <sheetName val="_Spt-BH.xls__Spt-BH.xls_B____49"/>
      <sheetName val="_Spt-BH.xls__Spt-BH.xls_B____50"/>
      <sheetName val="_Spt-BH.xls__Spt-BH.xls_B____51"/>
      <sheetName val="_Spt-BH.xls__Spt-BH.xls_B____52"/>
      <sheetName val="_Spt-BH.xls__Spt-BH.xls_B____53"/>
      <sheetName val="_Spt-BH.xls_B____x005f_x0004________6"/>
      <sheetName val="_Spt-BH.xls_B___x005f_x0000__x005f_x0004__6"/>
      <sheetName val="_Spt-BH.xls__Spt-BH.xls_B____54"/>
      <sheetName val="_Spt-BH.xls__Spt-BH.xls_B____42"/>
      <sheetName val="_Spt-BH.xls__Spt-BH.xls_B____43"/>
      <sheetName val="_Spt-BH.xls__Spt-BH.xls__Spt_16"/>
      <sheetName val="_Spt-BH.xls__Spt-BH.xls_B____44"/>
      <sheetName val="_Spt-BH.xls__Spt-BH.xls_B____45"/>
      <sheetName val="_Spt-BH.xls__Spt-BH.xls_B____46"/>
      <sheetName val="_Spt-BH.xls__Spt-BH.xls_B____47"/>
      <sheetName val="_Spt-BH.xls__Spt-BH.xls_B____48"/>
      <sheetName val="_Spt-BH.xls__Spt-BH.xls__Spt_17"/>
      <sheetName val="_Spt-BH.xls__Spt-BH_xls_B____10"/>
      <sheetName val="_Spt-BH.xls__Spt-BH_xls_B____11"/>
      <sheetName val="_Spt-BH.xls__Spt-BH.xls__Spt_15"/>
      <sheetName val="_Spt-BH.xls__Spt-BH.xls__Spt_10"/>
      <sheetName val="_Spt-BH.xls_B____x005f_x0004________4"/>
      <sheetName val="_Spt-BH.xls_B___x005f_x0000__x005f_x0004__4"/>
      <sheetName val="_Spt-BH.xls__Spt-BH.xls_B____28"/>
      <sheetName val="_Spt-BH.xls__Spt-BH.xls_B____29"/>
      <sheetName val="_Spt-BH.xls__Spt-BH.xls_B____30"/>
      <sheetName val="_Spt-BH.xls__Spt-BH.xls_B____31"/>
      <sheetName val="_Spt-BH.xls__Spt-BH.xls_B____32"/>
      <sheetName val="_Spt-BH.xls__Spt-BH.xls_B____33"/>
      <sheetName val="_Spt-BH.xls__Spt-BH.xls_B____34"/>
      <sheetName val="_Spt-BH.xls__Spt-BH_xls_B_____6"/>
      <sheetName val="_Spt-BH.xls__Spt-BH_xls_B_____7"/>
      <sheetName val="_Spt-BH.xls__Spt-BH.xls__Spt_11"/>
      <sheetName val="_Spt-BH.xls__Spt-BH.xls__Spt_12"/>
      <sheetName val="_Spt-BH.xls_B____x005f_x0004________5"/>
      <sheetName val="_Spt-BH.xls_B___x005f_x0000__x005f_x0004__5"/>
      <sheetName val="_Spt-BH.xls__Spt-BH.xls_B____35"/>
      <sheetName val="_Spt-BH.xls__Spt-BH.xls_B____36"/>
      <sheetName val="_Spt-BH.xls__Spt-BH.xls_B____37"/>
      <sheetName val="_Spt-BH.xls__Spt-BH.xls_B____38"/>
      <sheetName val="_Spt-BH.xls__Spt-BH.xls_B____39"/>
      <sheetName val="_Spt-BH.xls__Spt-BH.xls_B____40"/>
      <sheetName val="_Spt-BH.xls__Spt-BH.xls_B____41"/>
      <sheetName val="_Spt-BH.xls__Spt-BH_xls_B_____8"/>
      <sheetName val="_Spt-BH.xls__Spt-BH_xls_B_____9"/>
      <sheetName val="_Spt-BH.xls__Spt-BH.xls__Spt_13"/>
      <sheetName val="_Spt-BH.xls_B____x005f_x0004________7"/>
      <sheetName val="_Spt-BH.xls_B___x005f_x0000__x005f_x0004__7"/>
      <sheetName val="_Spt-BH.xls__Spt-BH.xls_B____55"/>
      <sheetName val="_Spt-BH.xls__Spt-BH.xls_B____56"/>
      <sheetName val="_Spt-BH.xls__Spt-BH.xls_B____57"/>
      <sheetName val="_Spt-BH.xls__Spt-BH.xls_B____58"/>
      <sheetName val="_Spt-BH.xls__Spt-BH.xls_B____59"/>
      <sheetName val="_Spt-BH.xls__Spt-BH_xls_B____12"/>
      <sheetName val="_Spt-BH.xls__Spt-BH_xls_B____13"/>
      <sheetName val="_Spt-BH.xls__Spt-BH.xls__Spt_18"/>
      <sheetName val="_Spt-BH.xls__Spt-BH.xls_B____60"/>
      <sheetName val="_Spt-BH.xls__Spt-BH.xls_B____61"/>
      <sheetName val="_Spt-BH.xls__Spt-BH.xls__Spt_19"/>
      <sheetName val="_Spt-BH.xls__Spt-BH.xls_B___109"/>
      <sheetName val="_Spt-BH.xls__Spt-BH.xls_B___110"/>
      <sheetName val="_Spt-BH.xls__Spt-BH.xls__Spt_38"/>
      <sheetName val="_Spt-BH.xls__Spt-BH.xls_B___111"/>
      <sheetName val="_Spt-BH.xls__Spt-BH.xls_B___112"/>
      <sheetName val="_Spt-BH.xls__Spt-BH.xls_B___113"/>
      <sheetName val="_Spt-BH.xls_B____x005f_x0004_______10"/>
      <sheetName val="_Spt-BH.xls_B___x005f_x0000__x005f_x0004_10"/>
      <sheetName val="_Spt-BH.xls__Spt-BH.xls_B____82"/>
      <sheetName val="_Spt-BH.xls__Spt-BH.xls_B____83"/>
      <sheetName val="_Spt-BH.xls__Spt-BH.xls__Spt_36"/>
      <sheetName val="_Spt-BH.xls__Spt-BH.xls_B____84"/>
      <sheetName val="_Spt-BH.xls__Spt-BH.xls_B____85"/>
      <sheetName val="_Spt-BH.xls__Spt-BH.xls_B____86"/>
      <sheetName val="_Spt-BH.xls__Spt-BH.xls_B___114"/>
      <sheetName val="_Spt-BH.xls__Spt-BH.xls__Spt_27"/>
      <sheetName val="_Spt-BH.xls__Spt-BH.xls_B____87"/>
      <sheetName val="_Spt-BH.xls__Spt-BH.xls_B____88"/>
      <sheetName val="_Spt-BH.xls__Spt-BH.xls__Spt_37"/>
      <sheetName val="_Spt-BH.xls__Spt-BH_xls_B____18"/>
      <sheetName val="_Spt-BH.xls__Spt-BH_xls_B____19"/>
      <sheetName val="_Spt-BH.xls__Spt-BH.xls__Spt_28"/>
      <sheetName val="_Spt-BH.xls_B____x005f_x0004________9"/>
      <sheetName val="_Spt-BH.xls_B___x005f_x0000__x005f_x0004__9"/>
      <sheetName val="_Spt-BH.xls__Spt-BH.xls_B____75"/>
      <sheetName val="_Spt-BH.xls__Spt-BH.xls_B____76"/>
      <sheetName val="_Spt-BH.xls__Spt-BH.xls_B____77"/>
      <sheetName val="_Spt-BH.xls__Spt-BH.xls_B____78"/>
      <sheetName val="_Spt-BH.xls__Spt-BH.xls_B____79"/>
      <sheetName val="_Spt-BH.xls__Spt-BH.xls__Spt_25"/>
      <sheetName val="_Spt-BH.xls__Spt-BH.xls_B____80"/>
      <sheetName val="_Spt-BH.xls__Spt-BH.xls_B____81"/>
      <sheetName val="_Spt-BH.xls__Spt-BH_xls_B____16"/>
      <sheetName val="_Spt-BH.xls__Spt-BH_xls_B____17"/>
      <sheetName val="_Spt-BH.xls__Spt-BH.xls__Spt_26"/>
      <sheetName val="_Spt-BH.xls__Spt-BH.xls_B___103"/>
      <sheetName val="_Spt-BH.xls__Spt-BH.xls_B___104"/>
      <sheetName val="_Spt-BH.xls__Spt-BH.xls__Spt_35"/>
      <sheetName val="_Spt-BH.xls__Spt-BH.xls_B___105"/>
      <sheetName val="_Spt-BH.xls__Spt-BH.xls_B___106"/>
      <sheetName val="_Spt-BH.xls__Spt-BH.xls_B___107"/>
      <sheetName val="_Spt-BH.xls_B____x005f_x0004_______11"/>
      <sheetName val="_Spt-BH.xls_B___x005f_x0000__x005f_x0004_11"/>
      <sheetName val="_Spt-BH.xls__Spt-BH.xls_B____96"/>
      <sheetName val="_Spt-BH.xls__Spt-BH.xls_B____97"/>
      <sheetName val="_Spt-BH.xls__Spt-BH.xls__Spt_33"/>
      <sheetName val="_Spt-BH.xls__Spt-BH.xls_B____98"/>
      <sheetName val="_Spt-BH.xls__Spt-BH.xls_B____99"/>
      <sheetName val="_Spt-BH.xls__Spt-BH.xls_B___100"/>
      <sheetName val="_Spt-BH.xls__Spt-BH.xls_B___108"/>
      <sheetName val="_Spt-BH.xls__Spt-BH.xls__Spt_31"/>
      <sheetName val="_Spt-BH.xls__Spt-BH.xls_B___101"/>
      <sheetName val="_Spt-BH.xls__Spt-BH.xls_B___102"/>
      <sheetName val="_Spt-BH.xls__Spt-BH.xls__Spt_34"/>
      <sheetName val="_Spt-BH.xls__Spt-BH_xls_B____20"/>
      <sheetName val="_Spt-BH.xls__Spt-BH_xls_B____21"/>
      <sheetName val="_Spt-BH.xls__Spt-BH.xls__Spt_32"/>
      <sheetName val="_Spt-BH.xls__Spt-BH.xls_B____89"/>
      <sheetName val="_Spt-BH.xls__Spt-BH.xls_B____90"/>
      <sheetName val="_Spt-BH.xls__Spt-BH.xls_B____91"/>
      <sheetName val="_Spt-BH.xls__Spt-BH.xls_B____92"/>
      <sheetName val="_Spt-BH.xls__Spt-BH.xls_B____93"/>
      <sheetName val="_Spt-BH.xls__Spt-BH.xls__Spt_29"/>
      <sheetName val="_Spt-BH.xls__Spt-BH.xls_B____94"/>
      <sheetName val="_Spt-BH.xls__Spt-BH.xls_B____95"/>
      <sheetName val="_Spt-BH.xls__Spt-BH.xls__Spt_30"/>
      <sheetName val="VOR"/>
      <sheetName val="summary- VOR"/>
      <sheetName val="LOG book"/>
      <sheetName val="Bill of Quantity"/>
      <sheetName val="New -Extra Item"/>
      <sheetName val="Non Scheduled Item"/>
      <sheetName val="_Spt-BH.xls__Spt-BH.xls_B___832"/>
      <sheetName val="_Spt-BH.xls__Spt-BH.xls_B___153"/>
      <sheetName val="_Spt-BH.xls__Spt-BH.xls_B___154"/>
      <sheetName val="_Spt-BH.xls__Spt-BH.xls__Spt_40"/>
      <sheetName val="OVER HEADS"/>
      <sheetName val="Dis Sch "/>
      <sheetName val="Inputs_&amp;_Summary_Output10"/>
      <sheetName val="Broad_Refresher_Model10"/>
      <sheetName val="Abstract_for_Variation10"/>
      <sheetName val="LBD_VARIATION10"/>
      <sheetName val="Fin_Sum10"/>
      <sheetName val="Cost_of_O_&amp;_O10"/>
      <sheetName val="Material_List_10"/>
      <sheetName val="Material_10"/>
      <sheetName val="Labour_&amp;_Plant10"/>
      <sheetName val="pr_cal10"/>
      <sheetName val="TRF_details10"/>
      <sheetName val="Materials_Cost10"/>
      <sheetName val="acs(1)"/>
      <sheetName val="fas-c(4)"/>
      <sheetName val="cctv(old)"/>
      <sheetName val="[Spt-BH.xls][Spt-BH.xls]B__3598"/>
      <sheetName val="[Spt-BH.xls][Spt-BH.xls]B__3599"/>
      <sheetName val="[Spt-BH.xls][Spt-BH.xls]_S_1271"/>
      <sheetName val="[Spt-BH.xls][Spt-BH.xls]B__3600"/>
      <sheetName val="[Spt-BH.xls][Spt-BH.xls]B__3601"/>
      <sheetName val="[Spt-BH.xls]B____x005f_x0004______292"/>
      <sheetName val="[Spt-BH.xls][Spt-BH.xls]_S_1268"/>
      <sheetName val="[Spt-BH.xls][Spt-BH.xls]B__3592"/>
      <sheetName val="[Spt-BH.xls][Spt-BH.xls]B__3593"/>
      <sheetName val="[Spt-BH.xls][Spt-BH.xls]_S_1270"/>
      <sheetName val="[Spt-BH.xls][Spt-BH.xls]B__3594"/>
      <sheetName val="[Spt-BH.xls][Spt-BH.xls]B__3595"/>
      <sheetName val="[Spt-BH.xls][Spt-BH.xls]B__3596"/>
      <sheetName val="[Spt-BH.xls][Spt-BH.xls]B__3597"/>
      <sheetName val="[Spt-BH.xls][Spt-BH.xls]_S_1269"/>
      <sheetName val="[Spt-BH.xls][Spt-BH.xls]_S_1272"/>
      <sheetName val="[Spt-BH.xls][Spt-BH.xls]B__3602"/>
      <sheetName val="[Spt-BH.xls][Spt-BH.xls]B__3603"/>
      <sheetName val="[Spt-BH.xls][Spt-BH.xls]B__3604"/>
      <sheetName val="[Spt-BH.xls][Spt-BH.xls]B__3605"/>
      <sheetName val="[Spt-BH.xls][Spt-BH.xls]_S_1273"/>
      <sheetName val="[Spt-BH.xls][Spt-BH.xls]B__3606"/>
      <sheetName val="[Spt-BH.xls][Spt-BH.xls]B__3607"/>
      <sheetName val="[Spt-BH.xls][Spt-BH.xls]_S_1274"/>
      <sheetName val="[Spt-BH.xls]B___x005f_x0000__x000_287"/>
      <sheetName val="[Spt-BH.xls][Spt-BH.xls]_S_1276"/>
      <sheetName val="[Spt-BH.xls][Spt-BH.xls]B__3608"/>
      <sheetName val="[Spt-BH.xls][Spt-BH.xls]B__3609"/>
      <sheetName val="[Spt-BH.xls][Spt-BH.xls]_S_1278"/>
      <sheetName val="[Spt-BH.xls][Spt-BH.xls]B__3610"/>
      <sheetName val="[Spt-BH.xls][Spt-BH.xls]B__3611"/>
      <sheetName val="[Spt-BH.xls][Spt-BH.xls]B__3612"/>
      <sheetName val="[Spt-BH.xls][Spt-BH.xls]B__3613"/>
      <sheetName val="[Spt-BH.xls][Spt-BH.xls]_S_1277"/>
      <sheetName val="[Spt-BH.xls]B____x005f_x0004______293"/>
      <sheetName val="[Spt-BH.xls]B____x005f_x0004______294"/>
      <sheetName val="[Spt-BH.xls]B___x005f_x0000__x000_288"/>
      <sheetName val="[Spt-BH.xls][Spt-BH.xls]_S_1279"/>
      <sheetName val="[Spt-BH.xls][Spt-BH.xls]_S_1280"/>
      <sheetName val="[Spt-BH.xls][Spt-BH.xls]B__3614"/>
      <sheetName val="[Spt-BH.xls][Spt-BH.xls]B__3615"/>
      <sheetName val="[Spt-BH.xls][Spt-BH.xls]_S_1282"/>
      <sheetName val="[Spt-BH.xls][Spt-BH.xls]B__3616"/>
      <sheetName val="[Spt-BH.xls][Spt-BH.xls]B__3617"/>
      <sheetName val="[Spt-BH.xls][Spt-BH.xls]B__3618"/>
      <sheetName val="[Spt-BH.xls][Spt-BH.xls]B__3619"/>
      <sheetName val="[Spt-BH.xls][Spt-BH.xls]_S_1281"/>
      <sheetName val="[Spt-BH.xls][Spt-BH.xls]_S_1284"/>
      <sheetName val="[Spt-BH.xls][Spt-BH.xls]_S_1283"/>
      <sheetName val="[Spt-BH.xls][Spt-BH.xls]_S_1285"/>
      <sheetName val="[Spt-BH.xls][Spt-BH.xls]_S_1286"/>
      <sheetName val="[Spt-BH.xls][Spt-BH.xls]_S_1287"/>
      <sheetName val="[Spt-BH.xls][Spt-BH.xls]B__3648"/>
      <sheetName val="[Spt-BH.xls][Spt-BH.xls]B__3649"/>
      <sheetName val="[Spt-BH.xls][Spt-BH.xls]_S_1295"/>
      <sheetName val="[Spt-BH.xls][Spt-BH.xls]B__3650"/>
      <sheetName val="[Spt-BH.xls][Spt-BH.xls]B__3651"/>
      <sheetName val="[Spt-BH.xls]B____x005f_x0004______297"/>
      <sheetName val="[Spt-BH.xls]B___x005f_x0000__x000_291"/>
      <sheetName val="[Spt-BH.xls][Spt-BH.xls]B__3652"/>
      <sheetName val="[Spt-BH.xls][Spt-BH.xls]B__3634"/>
      <sheetName val="[Spt-BH.xls][Spt-BH.xls]B__3635"/>
      <sheetName val="[Spt-BH.xls][Spt-BH.xls]_S_1293"/>
      <sheetName val="[Spt-BH.xls][Spt-BH.xls]B__3636"/>
      <sheetName val="[Spt-BH.xls][Spt-BH.xls]B__3637"/>
      <sheetName val="[Spt-BH.xls][Spt-BH.xls]B__3653"/>
      <sheetName val="[Spt-BH.xls][Spt-BH.xls]_S_1289"/>
      <sheetName val="[Spt-BH.xls][Spt-BH.xls]B__3638"/>
      <sheetName val="[Spt-BH.xls][Spt-BH.xls]B__3639"/>
      <sheetName val="[Spt-BH.xls][Spt-BH.xls]B__3640"/>
      <sheetName val="[Spt-BH.xls][Spt-BH.xls]_S_1290"/>
      <sheetName val="[Spt-BH.xls][Spt-BH.xls]_S_1294"/>
      <sheetName val="[Spt-BH.xls][Spt-BH_xls]B__3560"/>
      <sheetName val="[Spt-BH.xls][Spt-BH_xls]B__3561"/>
      <sheetName val="[Spt-BH.xls][Spt-BH_xls]B__3562"/>
      <sheetName val="[Spt-BH.xls][Spt-BH_xls]B__3563"/>
      <sheetName val="[Spt-BH.xls][Spt-BH_xls]_S_1176"/>
      <sheetName val="[Spt-BH.xls][Spt-BH_xls]B__3564"/>
      <sheetName val="[Spt-BH.xls][Spt-BH_xls]B__3565"/>
      <sheetName val="[Spt-BH.xls][Spt-BH_xls]B__3566"/>
      <sheetName val="[Spt-BH.xls][Spt-BH_xls]_S_1177"/>
      <sheetName val="[Spt-BH.xls][Spt-BH_xls]B__3567"/>
      <sheetName val="[Spt-BH.xls][Spt-BH_xls]B__3568"/>
      <sheetName val="[Spt-BH.xls][Spt-BH_xls]B__3569"/>
      <sheetName val="[Spt-BH.xls][Spt-BH_xls]B__3570"/>
      <sheetName val="[Spt-BH.xls][Spt-BH_xls]_S_1178"/>
      <sheetName val="[Spt-BH.xls][Spt-BH_xls]B__3571"/>
      <sheetName val="[Spt-BH.xls][Spt-BH_xls]B__3572"/>
      <sheetName val="[Spt-BH.xls][Spt-BH_xls]_S_1179"/>
      <sheetName val="[Spt-BH.xls][Spt-BH_xls]B__3573"/>
      <sheetName val="[Spt-BH.xls][Spt-BH_xls]B__3574"/>
      <sheetName val="[Spt-BH.xls][Spt-BH_xls]_S_1180"/>
      <sheetName val="[Spt-BH.xls][Spt-BH_xls]B__3500"/>
      <sheetName val="[Spt-BH.xls][Spt-BH_xls]B__3501"/>
      <sheetName val="[Spt-BH.xls][Spt-BH_xls]B__3502"/>
      <sheetName val="[Spt-BH.xls][Spt-BH_xls]B__3503"/>
      <sheetName val="[Spt-BH.xls][Spt-BH_xls]_S_1156"/>
      <sheetName val="[Spt-BH.xls][Spt-BH_xls]B__3504"/>
      <sheetName val="[Spt-BH.xls][Spt-BH_xls]B__3505"/>
      <sheetName val="[Spt-BH.xls][Spt-BH_xls]B__3506"/>
      <sheetName val="[Spt-BH.xls][Spt-BH_xls]_S_1157"/>
      <sheetName val="[Spt-BH.xls][Spt-BH_xls]B__3507"/>
      <sheetName val="[Spt-BH.xls][Spt-BH_xls]B__3508"/>
      <sheetName val="[Spt-BH.xls][Spt-BH_xls]B__3509"/>
      <sheetName val="[Spt-BH.xls][Spt-BH_xls]B__3510"/>
      <sheetName val="[Spt-BH.xls][Spt-BH_xls]_S_1158"/>
      <sheetName val="[Spt-BH.xls][Spt-BH_xls]B__3511"/>
      <sheetName val="[Spt-BH.xls][Spt-BH_xls]B__3512"/>
      <sheetName val="[Spt-BH.xls][Spt-BH_xls]_S_1159"/>
      <sheetName val="[Spt-BH.xls][Spt-BH_xls]B__3513"/>
      <sheetName val="[Spt-BH.xls][Spt-BH_xls]B__3514"/>
      <sheetName val="[Spt-BH.xls][Spt-BH_xls]_S_1160"/>
      <sheetName val="[Spt-BH.xls][Spt-BH_xls]B__3515"/>
      <sheetName val="[Spt-BH.xls][Spt-BH_xls]B__3516"/>
      <sheetName val="[Spt-BH.xls][Spt-BH_xls]B__3517"/>
      <sheetName val="[Spt-BH.xls][Spt-BH_xls]B__3518"/>
      <sheetName val="[Spt-BH.xls][Spt-BH_xls]_S_1161"/>
      <sheetName val="[Spt-BH.xls][Spt-BH_xls]B__3519"/>
      <sheetName val="[Spt-BH.xls][Spt-BH_xls]B__3520"/>
      <sheetName val="[Spt-BH.xls][Spt-BH_xls]B__3521"/>
      <sheetName val="[Spt-BH.xls][Spt-BH_xls]_S_1162"/>
      <sheetName val="[Spt-BH.xls][Spt-BH_xls]B__3522"/>
      <sheetName val="[Spt-BH.xls][Spt-BH_xls]B__3523"/>
      <sheetName val="[Spt-BH.xls][Spt-BH_xls]B__3524"/>
      <sheetName val="[Spt-BH.xls][Spt-BH_xls]B__3525"/>
      <sheetName val="[Spt-BH.xls][Spt-BH_xls]_S_1163"/>
      <sheetName val="[Spt-BH.xls][Spt-BH_xls]B__3526"/>
      <sheetName val="[Spt-BH.xls][Spt-BH_xls]B__3527"/>
      <sheetName val="[Spt-BH.xls][Spt-BH_xls]_S_1164"/>
      <sheetName val="[Spt-BH.xls][Spt-BH_xls]B__3528"/>
      <sheetName val="[Spt-BH.xls][Spt-BH_xls]B__3529"/>
      <sheetName val="[Spt-BH.xls][Spt-BH_xls]_S_1165"/>
      <sheetName val="[Spt-BH.xls][Spt-BH.xls]B__3627"/>
      <sheetName val="[Spt-BH.xls][Spt-BH.xls]B__3628"/>
      <sheetName val="[Spt-BH.xls][Spt-BH.xls]B__3629"/>
      <sheetName val="[Spt-BH.xls][Spt-BH.xls]B__3630"/>
      <sheetName val="[Spt-BH.xls]B____x005f_x0004______295"/>
      <sheetName val="[Spt-BH.xls]B___x005f_x0000__x000_289"/>
      <sheetName val="[Spt-BH.xls][Spt-BH.xls]B__3631"/>
      <sheetName val="[Spt-BH.xls][Spt-BH.xls]B__3620"/>
      <sheetName val="[Spt-BH.xls][Spt-BH.xls]B__3621"/>
      <sheetName val="[Spt-BH.xls][Spt-BH.xls]B__3622"/>
      <sheetName val="[Spt-BH.xls][Spt-BH.xls]B__3623"/>
      <sheetName val="[Spt-BH.xls][Spt-BH.xls]B__3632"/>
      <sheetName val="[Spt-BH.xls][Spt-BH.xls]B__3624"/>
      <sheetName val="[Spt-BH.xls][Spt-BH.xls]B__3625"/>
      <sheetName val="[Spt-BH.xls][Spt-BH.xls]B__3626"/>
      <sheetName val="[Spt-BH.xls][Spt-BH_xls]B__3530"/>
      <sheetName val="[Spt-BH.xls][Spt-BH_xls]B__3531"/>
      <sheetName val="[Spt-BH.xls][Spt-BH_xls]B__3532"/>
      <sheetName val="[Spt-BH.xls][Spt-BH_xls]B__3533"/>
      <sheetName val="[Spt-BH.xls][Spt-BH_xls]_S_1166"/>
      <sheetName val="[Spt-BH.xls][Spt-BH_xls]B__3534"/>
      <sheetName val="[Spt-BH.xls][Spt-BH_xls]B__3535"/>
      <sheetName val="[Spt-BH.xls][Spt-BH_xls]B__3536"/>
      <sheetName val="[Spt-BH.xls][Spt-BH_xls]_S_1167"/>
      <sheetName val="[Spt-BH.xls][Spt-BH_xls]B__3537"/>
      <sheetName val="[Spt-BH.xls][Spt-BH_xls]B__3538"/>
      <sheetName val="[Spt-BH.xls][Spt-BH_xls]B__3539"/>
      <sheetName val="[Spt-BH.xls][Spt-BH_xls]B__3540"/>
      <sheetName val="[Spt-BH.xls][Spt-BH_xls]_S_1168"/>
      <sheetName val="[Spt-BH.xls][Spt-BH_xls]B__3541"/>
      <sheetName val="[Spt-BH.xls][Spt-BH_xls]B__3542"/>
      <sheetName val="[Spt-BH.xls][Spt-BH_xls]_S_1169"/>
      <sheetName val="[Spt-BH.xls][Spt-BH_xls]B__3543"/>
      <sheetName val="[Spt-BH.xls][Spt-BH_xls]B__3544"/>
      <sheetName val="[Spt-BH.xls][Spt-BH_xls]_S_1170"/>
      <sheetName val="[Spt-BH.xls]B____x005f_x0004______296"/>
      <sheetName val="[Spt-BH.xls]B___x005f_x0000__x000_290"/>
      <sheetName val="[Spt-BH.xls][Spt-BH.xls]B__3633"/>
      <sheetName val="[Spt-BH.xls][Spt-BH_xls]B__3545"/>
      <sheetName val="[Spt-BH.xls][Spt-BH_xls]B__3546"/>
      <sheetName val="[Spt-BH.xls][Spt-BH_xls]B__3547"/>
      <sheetName val="[Spt-BH.xls][Spt-BH_xls]B__3548"/>
      <sheetName val="[Spt-BH.xls][Spt-BH_xls]_S_1171"/>
      <sheetName val="[Spt-BH.xls][Spt-BH_xls]B__3549"/>
      <sheetName val="[Spt-BH.xls][Spt-BH_xls]B__3550"/>
      <sheetName val="[Spt-BH.xls][Spt-BH_xls]B__3551"/>
      <sheetName val="[Spt-BH.xls][Spt-BH_xls]_S_1172"/>
      <sheetName val="[Spt-BH.xls][Spt-BH_xls]B__3552"/>
      <sheetName val="[Spt-BH.xls][Spt-BH_xls]B__3553"/>
      <sheetName val="[Spt-BH.xls][Spt-BH_xls]B__3554"/>
      <sheetName val="[Spt-BH.xls][Spt-BH_xls]B__3555"/>
      <sheetName val="[Spt-BH.xls][Spt-BH_xls]_S_1173"/>
      <sheetName val="[Spt-BH.xls][Spt-BH_xls]B__3556"/>
      <sheetName val="[Spt-BH.xls][Spt-BH_xls]B__3557"/>
      <sheetName val="[Spt-BH.xls][Spt-BH_xls]_S_1174"/>
      <sheetName val="[Spt-BH.xls][Spt-BH_xls]B__3558"/>
      <sheetName val="[Spt-BH.xls][Spt-BH_xls]B__3559"/>
      <sheetName val="[Spt-BH.xls][Spt-BH_xls]_S_1175"/>
      <sheetName val="[Spt-BH.xls]B____x005f_x0004______298"/>
      <sheetName val="[Spt-BH.xls]B___x005f_x0000__x000_292"/>
      <sheetName val="[Spt-BH.xls][Spt-BH.xls]B__3641"/>
      <sheetName val="[Spt-BH.xls][Spt-BH.xls]B__3642"/>
      <sheetName val="[Spt-BH.xls][Spt-BH.xls]B__3643"/>
      <sheetName val="[Spt-BH.xls][Spt-BH.xls]B__3644"/>
      <sheetName val="[Spt-BH.xls][Spt-BH.xls]_S_1291"/>
      <sheetName val="[Spt-BH.xls][Spt-BH.xls]B__3645"/>
      <sheetName val="[Spt-BH.xls][Spt-BH.xls]B__3646"/>
      <sheetName val="[Spt-BH.xls][Spt-BH.xls]B__3647"/>
      <sheetName val="[Spt-BH.xls][Spt-BH.xls]_S_1292"/>
      <sheetName val="[Spt-BH.xls][Spt-BH_xls]B__3575"/>
      <sheetName val="[Spt-BH.xls][Spt-BH_xls]B__3576"/>
      <sheetName val="[Spt-BH.xls][Spt-BH_xls]B__3577"/>
      <sheetName val="[Spt-BH.xls][Spt-BH_xls]B__3578"/>
      <sheetName val="[Spt-BH.xls][Spt-BH_xls]_S_1181"/>
      <sheetName val="[Spt-BH.xls][Spt-BH_xls]B__3579"/>
      <sheetName val="[Spt-BH.xls][Spt-BH_xls]B__3580"/>
      <sheetName val="[Spt-BH.xls][Spt-BH_xls]B__3581"/>
      <sheetName val="[Spt-BH.xls][Spt-BH_xls]_S_1182"/>
      <sheetName val="[Spt-BH.xls][Spt-BH_xls]B__3582"/>
      <sheetName val="[Spt-BH.xls][Spt-BH_xls]B__3583"/>
      <sheetName val="[Spt-BH.xls][Spt-BH_xls]B__3584"/>
      <sheetName val="[Spt-BH.xls][Spt-BH_xls]B__3585"/>
      <sheetName val="[Spt-BH.xls][Spt-BH_xls]_S_1183"/>
      <sheetName val="[Spt-BH.xls][Spt-BH_xls]B__3586"/>
      <sheetName val="[Spt-BH.xls][Spt-BH_xls]B__3587"/>
      <sheetName val="[Spt-BH.xls][Spt-BH_xls]_S_1184"/>
      <sheetName val="[Spt-BH.xls][Spt-BH_xls]B__3588"/>
      <sheetName val="[Spt-BH.xls][Spt-BH_xls]B__3589"/>
      <sheetName val="[Spt-BH.xls][Spt-BH_xls]_S_1185"/>
      <sheetName val="[Spt-BH.xls][Spt-BH.xls]_S_1298"/>
      <sheetName val="[Spt-BH.xls][Spt-BH.xls]_S_1296"/>
      <sheetName val="[Spt-BH.xls][Spt-BH.xls]_S_1297"/>
      <sheetName val="[Spt-BH.xls][Spt-BH.xls]_S_1299"/>
      <sheetName val="[Spt-BH.xls][Spt-BH.xls]_S_1300"/>
      <sheetName val="[Spt-BH.xls][Spt-BH.xls]B__3654"/>
      <sheetName val="[Spt-BH.xls][Spt-BH.xls]B__3655"/>
      <sheetName val="[Spt-BH.xls][Spt-BH.xls]_S_1302"/>
      <sheetName val="[Spt-BH.xls][Spt-BH.xls]B__3656"/>
      <sheetName val="[Spt-BH.xls][Spt-BH.xls]B__3657"/>
      <sheetName val="[Spt-BH.xls][Spt-BH.xls]B__3658"/>
      <sheetName val="[Spt-BH.xls][Spt-BH.xls]B__3659"/>
      <sheetName val="[Spt-BH.xls][Spt-BH.xls]_S_1301"/>
      <sheetName val="B@__x0004_@_x0000"/>
      <sheetName val="B@__x0004_@__$_x0"/>
      <sheetName val="[Spt-BH.xls][Spt-BH.xls]B@[_x0004_@"/>
      <sheetName val="B@__x0004_@_"/>
      <sheetName val="SàQa_x0005_@_x000"/>
      <sheetName val="_Spt-BH.xls_B@__x0004_@_"/>
      <sheetName val="B@__x0"/>
      <sheetName val="B@[_x0004_@_x0000"/>
      <sheetName val="Direct co_x0006__x0017__x000a__x000e__x000d_ "/>
      <sheetName val=" _x0008__x0011_ "/>
      <sheetName val="[Spt-BH.xls][Spt-BH.xls]_S_1303"/>
      <sheetName val="[Spt-BH.xls][Spt-BH.xls]B__3660"/>
      <sheetName val="[Spt-BH.xls][Spt-BH.xls]B__3661"/>
      <sheetName val="[Spt-BH.xls][Spt-BH.xls]_S_1305"/>
      <sheetName val="[Spt-BH.xls][Spt-BH.xls]B__3662"/>
      <sheetName val="[Spt-BH.xls][Spt-BH.xls]B__3663"/>
      <sheetName val="[Spt-BH.xls][Spt-BH.xls]B__3664"/>
      <sheetName val="[Spt-BH.xls][Spt-BH.xls]B__3665"/>
      <sheetName val="[Spt-BH.xls][Spt-BH.xls]_S_1304"/>
      <sheetName val="[Spt-BH.xls][Spt-BH.xls]_S_1551"/>
      <sheetName val="[Spt-BH.xls][Spt-BH.xls]B__4347"/>
      <sheetName val="[Spt-BH.xls][Spt-BH.xls]B__4348"/>
      <sheetName val="[Spt-BH.xls][Spt-BH.xls]_S_1567"/>
      <sheetName val="[Spt-BH.xls][Spt-BH.xls]B__4349"/>
      <sheetName val="[Spt-BH.xls][Spt-BH.xls]B__4350"/>
      <sheetName val="[Spt-BH.xls]B____x005f_x0004______337"/>
      <sheetName val="[Spt-BH.xls]B___x005f_x0000__x000_331"/>
      <sheetName val="[Spt-BH.xls][Spt-BH.xls]B__4351"/>
      <sheetName val="[Spt-BH.xls][Spt-BH.xls]B__4327"/>
      <sheetName val="[Spt-BH.xls][Spt-BH.xls]B__4328"/>
      <sheetName val="[Spt-BH.xls][Spt-BH.xls]_S_1557"/>
      <sheetName val="[Spt-BH.xls][Spt-BH.xls]B__4329"/>
      <sheetName val="[Spt-BH.xls][Spt-BH.xls]B__4330"/>
      <sheetName val="[Spt-BH.xls][Spt-BH.xls]B__4352"/>
      <sheetName val="[Spt-BH.xls][Spt-BH.xls]B__4331"/>
      <sheetName val="[Spt-BH.xls][Spt-BH.xls]B__4332"/>
      <sheetName val="[Spt-BH.xls][Spt-BH.xls]B__4333"/>
      <sheetName val="[Spt-BH.xls][Spt-BH.xls]_S_1552"/>
      <sheetName val="[Spt-BH.xls][Spt-BH.xls]_S_1558"/>
      <sheetName val="[Spt-BH.xls][Spt-BH_xls]B__4130"/>
      <sheetName val="[Spt-BH.xls][Spt-BH_xls]B__4131"/>
      <sheetName val="[Spt-BH.xls][Spt-BH_xls]B__4132"/>
      <sheetName val="[Spt-BH.xls][Spt-BH_xls]B__4133"/>
      <sheetName val="[Spt-BH.xls][Spt-BH_xls]_S_1366"/>
      <sheetName val="[Spt-BH.xls][Spt-BH_xls]B__4134"/>
      <sheetName val="[Spt-BH.xls][Spt-BH_xls]B__4135"/>
      <sheetName val="[Spt-BH.xls][Spt-BH_xls]B__4136"/>
      <sheetName val="[Spt-BH.xls][Spt-BH_xls]_S_1367"/>
      <sheetName val="[Spt-BH.xls][Spt-BH_xls]B__4137"/>
      <sheetName val="[Spt-BH.xls][Spt-BH_xls]B__4138"/>
      <sheetName val="[Spt-BH.xls][Spt-BH_xls]B__4139"/>
      <sheetName val="[Spt-BH.xls][Spt-BH_xls]B__4140"/>
      <sheetName val="[Spt-BH.xls][Spt-BH_xls]_S_1368"/>
      <sheetName val="[Spt-BH.xls][Spt-BH_xls]B__4141"/>
      <sheetName val="[Spt-BH.xls][Spt-BH_xls]B__4142"/>
      <sheetName val="[Spt-BH.xls][Spt-BH_xls]_S_1369"/>
      <sheetName val="[Spt-BH.xls][Spt-BH_xls]B__4143"/>
      <sheetName val="[Spt-BH.xls][Spt-BH_xls]B__4144"/>
      <sheetName val="[Spt-BH.xls][Spt-BH_xls]_S_1370"/>
      <sheetName val="[Spt-BH.xls][Spt-BH.xls]B__3810"/>
      <sheetName val="[Spt-BH.xls][Spt-BH.xls]B__3811"/>
      <sheetName val="[Spt-BH.xls][Spt-BH.xls]_S_1354"/>
      <sheetName val="[Spt-BH.xls][Spt-BH.xls]B__3812"/>
      <sheetName val="[Spt-BH.xls][Spt-BH.xls]B__3813"/>
      <sheetName val="[Spt-BH.xls][Spt-BH.xls]_S_1306"/>
      <sheetName val="[Spt-BH.xls][Spt-BH.xls]B__3685"/>
      <sheetName val="[Spt-BH.xls][Spt-BH.xls]B__3686"/>
      <sheetName val="[Spt-BH.xls][Spt-BH.xls]_S_1309"/>
      <sheetName val="[Spt-BH.xls][Spt-BH.xls]B__3687"/>
      <sheetName val="[Spt-BH.xls][Spt-BH.xls]B__3688"/>
      <sheetName val="[Spt-BH.xls][Spt-BH.xls]B__3689"/>
      <sheetName val="[Spt-BH.xls][Spt-BH.xls]_S_1307"/>
      <sheetName val="[Spt-BH.xls][Spt-BH.xls]B__3690"/>
      <sheetName val="[Spt-BH.xls][Spt-BH.xls]_S_1308"/>
      <sheetName val="[Spt-BH.xls][Spt-BH.xls]B__3672"/>
      <sheetName val="[Spt-BH.xls][Spt-BH.xls]B__3673"/>
      <sheetName val="[Spt-BH.xls][Spt-BH.xls]B__3674"/>
      <sheetName val="[Spt-BH.xls][Spt-BH.xls]B__3675"/>
      <sheetName val="[Spt-BH.xls][Spt-BH.xls]B__3676"/>
      <sheetName val="[Spt-BH.xls][Spt-BH.xls]B__3666"/>
      <sheetName val="[Spt-BH.xls][Spt-BH.xls]B__3667"/>
      <sheetName val="[Spt-BH.xls][Spt-BH.xls]B__3668"/>
      <sheetName val="[Spt-BH.xls][Spt-BH.xls]B__3677"/>
      <sheetName val="[Spt-BH.xls][Spt-BH.xls]B__3669"/>
      <sheetName val="[Spt-BH.xls][Spt-BH.xls]B__3670"/>
      <sheetName val="[Spt-BH.xls][Spt-BH.xls]B__3671"/>
      <sheetName val="[Spt-BH.xls][Spt-BH.xls]B__3679"/>
      <sheetName val="[Spt-BH.xls][Spt-BH.xls]B__3680"/>
      <sheetName val="[Spt-BH.xls][Spt-BH.xls]B__3681"/>
      <sheetName val="[Spt-BH.xls][Spt-BH.xls]B__3682"/>
      <sheetName val="[Spt-BH.xls]B____x005f_x0004______299"/>
      <sheetName val="[Spt-BH.xls]B___x005f_x0000__x000_293"/>
      <sheetName val="[Spt-BH.xls][Spt-BH.xls]B__3683"/>
      <sheetName val="[Spt-BH.xls][Spt-BH.xls]B__3684"/>
      <sheetName val="[Spt-BH.xls][Spt-BH.xls]B__3678"/>
      <sheetName val="[Spt-BH.xls][Spt-BH_xls]B__3590"/>
      <sheetName val="[Spt-BH.xls][Spt-BH_xls]B__3591"/>
      <sheetName val="[Spt-BH.xls][Spt-BH_xls]B__3592"/>
      <sheetName val="[Spt-BH.xls][Spt-BH_xls]B__3593"/>
      <sheetName val="[Spt-BH.xls][Spt-BH_xls]_S_1186"/>
      <sheetName val="[Spt-BH.xls][Spt-BH_xls]B__3594"/>
      <sheetName val="[Spt-BH.xls][Spt-BH_xls]B__3595"/>
      <sheetName val="[Spt-BH.xls][Spt-BH_xls]B__3596"/>
      <sheetName val="[Spt-BH.xls][Spt-BH_xls]_S_1187"/>
      <sheetName val="[Spt-BH.xls][Spt-BH_xls]B__3597"/>
      <sheetName val="[Spt-BH.xls][Spt-BH_xls]B__3598"/>
      <sheetName val="[Spt-BH.xls][Spt-BH_xls]B__3599"/>
      <sheetName val="[Spt-BH.xls][Spt-BH_xls]B__3600"/>
      <sheetName val="[Spt-BH.xls][Spt-BH_xls]_S_1188"/>
      <sheetName val="[Spt-BH.xls][Spt-BH_xls]B__3601"/>
      <sheetName val="[Spt-BH.xls][Spt-BH_xls]B__3602"/>
      <sheetName val="[Spt-BH.xls][Spt-BH_xls]_S_1189"/>
      <sheetName val="[Spt-BH.xls][Spt-BH_xls]B__3603"/>
      <sheetName val="[Spt-BH.xls][Spt-BH_xls]B__3604"/>
      <sheetName val="[Spt-BH.xls][Spt-BH_xls]_S_1190"/>
      <sheetName val="[Spt-BH.xls][Spt-BH.xls]B__3692"/>
      <sheetName val="[Spt-BH.xls][Spt-BH.xls]B__3693"/>
      <sheetName val="[Spt-BH.xls][Spt-BH.xls]_S_1325"/>
      <sheetName val="[Spt-BH.xls][Spt-BH.xls]B__3694"/>
      <sheetName val="[Spt-BH.xls][Spt-BH.xls]B__3695"/>
      <sheetName val="[Spt-BH.xls]B____x005f_x0004______300"/>
      <sheetName val="[Spt-BH.xls]B___x005f_x0000__x000_294"/>
      <sheetName val="[Spt-BH.xls][Spt-BH.xls]B__3696"/>
      <sheetName val="[Spt-BH.xls][Spt-BH.xls]B__3697"/>
      <sheetName val="[Spt-BH.xls][Spt-BH.xls]B__3691"/>
      <sheetName val="[Spt-BH.xls][Spt-BH.xls]_S_1310"/>
      <sheetName val="[Spt-BH.xls][Spt-BH_xls]B__3605"/>
      <sheetName val="[Spt-BH.xls][Spt-BH_xls]B__3606"/>
      <sheetName val="[Spt-BH.xls][Spt-BH_xls]B__3607"/>
      <sheetName val="[Spt-BH.xls][Spt-BH_xls]B__3608"/>
      <sheetName val="[Spt-BH.xls][Spt-BH_xls]_S_1191"/>
      <sheetName val="[Spt-BH.xls][Spt-BH_xls]B__3609"/>
      <sheetName val="[Spt-BH.xls][Spt-BH_xls]B__3610"/>
      <sheetName val="[Spt-BH.xls][Spt-BH_xls]B__3611"/>
      <sheetName val="[Spt-BH.xls][Spt-BH_xls]_S_1192"/>
      <sheetName val="[Spt-BH.xls][Spt-BH_xls]B__3612"/>
      <sheetName val="[Spt-BH.xls][Spt-BH_xls]B__3613"/>
      <sheetName val="[Spt-BH.xls][Spt-BH_xls]B__3614"/>
      <sheetName val="[Spt-BH.xls][Spt-BH_xls]B__3615"/>
      <sheetName val="[Spt-BH.xls][Spt-BH_xls]_S_1193"/>
      <sheetName val="[Spt-BH.xls][Spt-BH_xls]B__3616"/>
      <sheetName val="[Spt-BH.xls][Spt-BH_xls]B__3617"/>
      <sheetName val="[Spt-BH.xls][Spt-BH_xls]_S_1194"/>
      <sheetName val="[Spt-BH.xls][Spt-BH_xls]B__3618"/>
      <sheetName val="[Spt-BH.xls][Spt-BH_xls]B__3619"/>
      <sheetName val="[Spt-BH.xls][Spt-BH_xls]_S_1195"/>
      <sheetName val="[Spt-BH.xls][Spt-BH.xls]B__3742"/>
      <sheetName val="[Spt-BH.xls][Spt-BH.xls]B__3743"/>
      <sheetName val="[Spt-BH.xls][Spt-BH.xls]_S_1327"/>
      <sheetName val="[Spt-BH.xls][Spt-BH.xls]B__3744"/>
      <sheetName val="[Spt-BH.xls][Spt-BH.xls]B__3745"/>
      <sheetName val="[Spt-BH.xls][Spt-BH.xls]B__3746"/>
      <sheetName val="[Spt-BH.xls][Spt-BH.xls]B__3747"/>
      <sheetName val="[Spt-BH.xls][Spt-BH.xls]_S_1326"/>
      <sheetName val="[Spt-BH.xls][Spt-BH.xls]_S_1311"/>
      <sheetName val="[Spt-BH.xls][Spt-BH.xls]B__3698"/>
      <sheetName val="[Spt-BH.xls][Spt-BH.xls]B__3699"/>
      <sheetName val="[Spt-BH.xls][Spt-BH.xls]_S_1313"/>
      <sheetName val="[Spt-BH.xls][Spt-BH.xls]B__3700"/>
      <sheetName val="[Spt-BH.xls][Spt-BH.xls]B__3701"/>
      <sheetName val="[Spt-BH.xls][Spt-BH.xls]B__3702"/>
      <sheetName val="[Spt-BH.xls][Spt-BH.xls]B__3703"/>
      <sheetName val="[Spt-BH.xls][Spt-BH.xls]_S_1312"/>
      <sheetName val="[Spt-BH.xls][Spt-BH.xls]B__3704"/>
      <sheetName val="[Spt-BH.xls][Spt-BH.xls]B__3705"/>
      <sheetName val="[Spt-BH.xls][Spt-BH.xls]B__3706"/>
      <sheetName val="[Spt-BH.xls][Spt-BH.xls]B__3707"/>
      <sheetName val="[Spt-BH.xls][Spt-BH.xls]B__3708"/>
      <sheetName val="[Spt-BH.xls][Spt-BH.xls]B__3709"/>
      <sheetName val="[Spt-BH.xls][Spt-BH.xls]_S_1314"/>
      <sheetName val="[Spt-BH.xls][Spt-BH.xls]_S_1323"/>
      <sheetName val="[Spt-BH.xls][Spt-BH.xls]B__3735"/>
      <sheetName val="[Spt-BH.xls][Spt-BH.xls]B__3736"/>
      <sheetName val="[Spt-BH.xls][Spt-BH.xls]B__3737"/>
      <sheetName val="[Spt-BH.xls][Spt-BH.xls]B__3738"/>
      <sheetName val="[Spt-BH.xls][Spt-BH.xls]B__3739"/>
      <sheetName val="[Spt-BH.xls][Spt-BH.xls]B__3740"/>
      <sheetName val="[Spt-BH.xls][Spt-BH.xls]_S_1324"/>
      <sheetName val="[Spt-BH.xls][Spt-BH.xls]_S_1319"/>
      <sheetName val="[Spt-BH.xls]B____x005f_x0004______302"/>
      <sheetName val="[Spt-BH.xls]B___x005f_x0000__x000_296"/>
      <sheetName val="[Spt-BH.xls][Spt-BH.xls]B__3722"/>
      <sheetName val="[Spt-BH.xls][Spt-BH.xls]B__3723"/>
      <sheetName val="[Spt-BH.xls][Spt-BH.xls]B__3724"/>
      <sheetName val="[Spt-BH.xls][Spt-BH.xls]B__3725"/>
      <sheetName val="[Spt-BH.xls][Spt-BH.xls]B__3726"/>
      <sheetName val="[Spt-BH.xls][Spt-BH.xls]B__3727"/>
      <sheetName val="[Spt-BH.xls][Spt-BH.xls]_S_1315"/>
      <sheetName val="[Spt-BH.xls][Spt-BH.xls]B__3710"/>
      <sheetName val="[Spt-BH.xls][Spt-BH.xls]B__3711"/>
      <sheetName val="[Spt-BH.xls][Spt-BH.xls]B__3712"/>
      <sheetName val="[Spt-BH.xls][Spt-BH.xls]B__3713"/>
      <sheetName val="[Spt-BH.xls][Spt-BH.xls]B__3714"/>
      <sheetName val="[Spt-BH.xls][Spt-BH.xls]B__3715"/>
      <sheetName val="[Spt-BH.xls][Spt-BH.xls]_S_1316"/>
      <sheetName val="[Spt-BH.xls][Spt-BH.xls]_S_1320"/>
      <sheetName val="[Spt-BH.xls][Spt-BH.xls]_S_1317"/>
      <sheetName val="[Spt-BH.xls]B____x005f_x0004______301"/>
      <sheetName val="[Spt-BH.xls]B___x005f_x0000__x000_295"/>
      <sheetName val="[Spt-BH.xls][Spt-BH.xls]B__3716"/>
      <sheetName val="[Spt-BH.xls][Spt-BH.xls]B__3717"/>
      <sheetName val="[Spt-BH.xls][Spt-BH.xls]B__3718"/>
      <sheetName val="[Spt-BH.xls][Spt-BH.xls]B__3719"/>
      <sheetName val="[Spt-BH.xls][Spt-BH.xls]B__3720"/>
      <sheetName val="[Spt-BH.xls][Spt-BH.xls]B__3721"/>
      <sheetName val="[Spt-BH.xls][Spt-BH.xls]_S_1318"/>
      <sheetName val="[Spt-BH.xls]B____x005f_x0004______304"/>
      <sheetName val="[Spt-BH.xls]B___x005f_x0000__x000_298"/>
      <sheetName val="[Spt-BH.xls][Spt-BH.xls]B__3741"/>
      <sheetName val="[Spt-BH.xls][Spt-BH_xls]B__3635"/>
      <sheetName val="[Spt-BH.xls][Spt-BH_xls]B__3636"/>
      <sheetName val="[Spt-BH.xls][Spt-BH_xls]B__3637"/>
      <sheetName val="[Spt-BH.xls][Spt-BH_xls]B__3638"/>
      <sheetName val="[Spt-BH.xls][Spt-BH_xls]_S_1201"/>
      <sheetName val="[Spt-BH.xls][Spt-BH_xls]B__3639"/>
      <sheetName val="[Spt-BH.xls][Spt-BH_xls]B__3640"/>
      <sheetName val="[Spt-BH.xls][Spt-BH_xls]B__3641"/>
      <sheetName val="[Spt-BH.xls][Spt-BH_xls]_S_1202"/>
      <sheetName val="[Spt-BH.xls][Spt-BH_xls]B__3642"/>
      <sheetName val="[Spt-BH.xls][Spt-BH_xls]B__3643"/>
      <sheetName val="[Spt-BH.xls][Spt-BH_xls]B__3644"/>
      <sheetName val="[Spt-BH.xls][Spt-BH_xls]B__3645"/>
      <sheetName val="[Spt-BH.xls][Spt-BH_xls]_S_1203"/>
      <sheetName val="[Spt-BH.xls][Spt-BH_xls]B__3646"/>
      <sheetName val="[Spt-BH.xls][Spt-BH_xls]B__3647"/>
      <sheetName val="[Spt-BH.xls][Spt-BH_xls]_S_1204"/>
      <sheetName val="[Spt-BH.xls][Spt-BH_xls]B__3648"/>
      <sheetName val="[Spt-BH.xls][Spt-BH_xls]B__3649"/>
      <sheetName val="[Spt-BH.xls][Spt-BH_xls]_S_1205"/>
      <sheetName val="[Spt-BH.xls][Spt-BH.xls]_S_1321"/>
      <sheetName val="[Spt-BH.xls][Spt-BH.xls]B__3728"/>
      <sheetName val="[Spt-BH.xls][Spt-BH.xls]B__3729"/>
      <sheetName val="[Spt-BH.xls][Spt-BH.xls]B__3730"/>
      <sheetName val="[Spt-BH.xls][Spt-BH.xls]B__3731"/>
      <sheetName val="[Spt-BH.xls][Spt-BH.xls]B__3732"/>
      <sheetName val="[Spt-BH.xls][Spt-BH.xls]B__3733"/>
      <sheetName val="[Spt-BH.xls][Spt-BH.xls]_S_1322"/>
      <sheetName val="[Spt-BH.xls]B____x005f_x0004______303"/>
      <sheetName val="[Spt-BH.xls]B___x005f_x0000__x000_297"/>
      <sheetName val="[Spt-BH.xls][Spt-BH.xls]B__3734"/>
      <sheetName val="[Spt-BH.xls][Spt-BH_xls]B__3620"/>
      <sheetName val="[Spt-BH.xls][Spt-BH_xls]B__3621"/>
      <sheetName val="[Spt-BH.xls][Spt-BH_xls]B__3622"/>
      <sheetName val="[Spt-BH.xls][Spt-BH_xls]B__3623"/>
      <sheetName val="[Spt-BH.xls][Spt-BH_xls]_S_1196"/>
      <sheetName val="[Spt-BH.xls][Spt-BH_xls]B__3624"/>
      <sheetName val="[Spt-BH.xls][Spt-BH_xls]B__3625"/>
      <sheetName val="[Spt-BH.xls][Spt-BH_xls]B__3626"/>
      <sheetName val="[Spt-BH.xls][Spt-BH_xls]_S_1197"/>
      <sheetName val="[Spt-BH.xls][Spt-BH_xls]B__3627"/>
      <sheetName val="[Spt-BH.xls][Spt-BH_xls]B__3628"/>
      <sheetName val="[Spt-BH.xls][Spt-BH_xls]B__3629"/>
      <sheetName val="[Spt-BH.xls][Spt-BH_xls]B__3630"/>
      <sheetName val="[Spt-BH.xls][Spt-BH_xls]_S_1198"/>
      <sheetName val="[Spt-BH.xls][Spt-BH_xls]B__3631"/>
      <sheetName val="[Spt-BH.xls][Spt-BH_xls]B__3632"/>
      <sheetName val="[Spt-BH.xls][Spt-BH_xls]_S_1199"/>
      <sheetName val="[Spt-BH.xls][Spt-BH_xls]B__3633"/>
      <sheetName val="[Spt-BH.xls][Spt-BH_xls]B__3634"/>
      <sheetName val="[Spt-BH.xls][Spt-BH_xls]_S_1200"/>
      <sheetName val="[Spt-BH.xls][Spt-BH.xls]_S_1328"/>
      <sheetName val="[Spt-BH.xls][Spt-BH.xls]B__3748"/>
      <sheetName val="[Spt-BH.xls][Spt-BH.xls]B__3749"/>
      <sheetName val="[Spt-BH.xls][Spt-BH.xls]_S_1329"/>
      <sheetName val="[Spt-BH.xls][Spt-BH.xls]_S_1330"/>
      <sheetName val="[Spt-BH.xls][Spt-BH.xls]B__3764"/>
      <sheetName val="[Spt-BH.xls][Spt-BH.xls]B__3765"/>
      <sheetName val="[Spt-BH.xls][Spt-BH.xls]_S_1337"/>
      <sheetName val="[Spt-BH.xls][Spt-BH.xls]B__3766"/>
      <sheetName val="[Spt-BH.xls][Spt-BH.xls]B__3767"/>
      <sheetName val="[Spt-BH.xls]B____x005f_x0004______306"/>
      <sheetName val="[Spt-BH.xls]B___x005f_x0000__x000_300"/>
      <sheetName val="[Spt-BH.xls][Spt-BH.xls]B__3768"/>
      <sheetName val="[Spt-BH.xls][Spt-BH.xls]B__3757"/>
      <sheetName val="[Spt-BH.xls][Spt-BH.xls]B__3758"/>
      <sheetName val="[Spt-BH.xls][Spt-BH.xls]_S_1335"/>
      <sheetName val="[Spt-BH.xls][Spt-BH.xls]B__3759"/>
      <sheetName val="[Spt-BH.xls][Spt-BH.xls]B__3760"/>
      <sheetName val="[Spt-BH.xls][Spt-BH.xls]B__3769"/>
      <sheetName val="[Spt-BH.xls][Spt-BH.xls]_S_1333"/>
      <sheetName val="[Spt-BH.xls][Spt-BH.xls]B__3761"/>
      <sheetName val="[Spt-BH.xls][Spt-BH.xls]B__3762"/>
      <sheetName val="[Spt-BH.xls][Spt-BH.xls]B__3763"/>
      <sheetName val="[Spt-BH.xls][Spt-BH.xls]_S_1336"/>
      <sheetName val="[Spt-BH.xls][Spt-BH_xls]B__3665"/>
      <sheetName val="[Spt-BH.xls][Spt-BH_xls]B__3666"/>
      <sheetName val="[Spt-BH.xls][Spt-BH_xls]B__3667"/>
      <sheetName val="[Spt-BH.xls][Spt-BH_xls]B__3668"/>
      <sheetName val="[Spt-BH.xls][Spt-BH_xls]_S_1211"/>
      <sheetName val="[Spt-BH.xls][Spt-BH_xls]B__3669"/>
      <sheetName val="[Spt-BH.xls][Spt-BH_xls]B__3670"/>
      <sheetName val="[Spt-BH.xls][Spt-BH_xls]B__3671"/>
      <sheetName val="[Spt-BH.xls][Spt-BH_xls]_S_1212"/>
      <sheetName val="[Spt-BH.xls][Spt-BH_xls]B__3672"/>
      <sheetName val="[Spt-BH.xls][Spt-BH_xls]B__3673"/>
      <sheetName val="[Spt-BH.xls][Spt-BH_xls]B__3674"/>
      <sheetName val="[Spt-BH.xls][Spt-BH_xls]B__3675"/>
      <sheetName val="[Spt-BH.xls][Spt-BH_xls]_S_1213"/>
      <sheetName val="[Spt-BH.xls][Spt-BH.xls]_S_1334"/>
      <sheetName val="[Spt-BH.xls][Spt-BH_xls]B__3676"/>
      <sheetName val="[Spt-BH.xls][Spt-BH_xls]B__3677"/>
      <sheetName val="[Spt-BH.xls][Spt-BH_xls]_S_1214"/>
      <sheetName val="[Spt-BH.xls][Spt-BH_xls]B__3678"/>
      <sheetName val="[Spt-BH.xls][Spt-BH_xls]B__3679"/>
      <sheetName val="[Spt-BH.xls][Spt-BH_xls]_S_1215"/>
      <sheetName val="[Spt-BH.xls]B____x005f_x0004______305"/>
      <sheetName val="[Spt-BH.xls]B___x005f_x0000__x000_299"/>
      <sheetName val="[Spt-BH.xls][Spt-BH.xls]B__3750"/>
      <sheetName val="[Spt-BH.xls][Spt-BH.xls]B__3751"/>
      <sheetName val="[Spt-BH.xls][Spt-BH.xls]B__3752"/>
      <sheetName val="[Spt-BH.xls][Spt-BH.xls]B__3753"/>
      <sheetName val="[Spt-BH.xls][Spt-BH.xls]_S_1331"/>
      <sheetName val="[Spt-BH.xls][Spt-BH.xls]B__3754"/>
      <sheetName val="[Spt-BH.xls][Spt-BH.xls]B__3755"/>
      <sheetName val="[Spt-BH.xls][Spt-BH.xls]B__3756"/>
      <sheetName val="[Spt-BH.xls][Spt-BH_xls]B__3650"/>
      <sheetName val="[Spt-BH.xls][Spt-BH_xls]B__3651"/>
      <sheetName val="[Spt-BH.xls][Spt-BH_xls]B__3652"/>
      <sheetName val="[Spt-BH.xls][Spt-BH_xls]B__3653"/>
      <sheetName val="[Spt-BH.xls][Spt-BH_xls]_S_1206"/>
      <sheetName val="[Spt-BH.xls][Spt-BH_xls]B__3654"/>
      <sheetName val="[Spt-BH.xls][Spt-BH_xls]B__3655"/>
      <sheetName val="[Spt-BH.xls][Spt-BH_xls]B__3656"/>
      <sheetName val="[Spt-BH.xls][Spt-BH_xls]_S_1207"/>
      <sheetName val="[Spt-BH.xls][Spt-BH_xls]B__3657"/>
      <sheetName val="[Spt-BH.xls][Spt-BH_xls]B__3658"/>
      <sheetName val="[Spt-BH.xls][Spt-BH_xls]B__3659"/>
      <sheetName val="[Spt-BH.xls][Spt-BH_xls]B__3660"/>
      <sheetName val="[Spt-BH.xls][Spt-BH_xls]_S_1208"/>
      <sheetName val="[Spt-BH.xls][Spt-BH.xls]_S_1332"/>
      <sheetName val="[Spt-BH.xls][Spt-BH_xls]B__3661"/>
      <sheetName val="[Spt-BH.xls][Spt-BH_xls]B__3662"/>
      <sheetName val="[Spt-BH.xls][Spt-BH_xls]_S_1209"/>
      <sheetName val="[Spt-BH.xls][Spt-BH_xls]B__3663"/>
      <sheetName val="[Spt-BH.xls][Spt-BH_xls]B__3664"/>
      <sheetName val="[Spt-BH.xls][Spt-BH_xls]_S_1210"/>
      <sheetName val="[Spt-BH.xls][Spt-BH.xls]_S_1338"/>
      <sheetName val="[Spt-BH.xls][Spt-BH.xls]B__3770"/>
      <sheetName val="[Spt-BH.xls][Spt-BH.xls]B__3771"/>
      <sheetName val="[Spt-BH.xls][Spt-BH.xls]_S_1341"/>
      <sheetName val="[Spt-BH.xls][Spt-BH.xls]B__3772"/>
      <sheetName val="[Spt-BH.xls][Spt-BH.xls]B__3773"/>
      <sheetName val="[Spt-BH.xls][Spt-BH.xls]B__3774"/>
      <sheetName val="[Spt-BH.xls][Spt-BH.xls]_S_1339"/>
      <sheetName val="[Spt-BH.xls][Spt-BH.xls]B__3775"/>
      <sheetName val="[Spt-BH.xls][Spt-BH.xls]_S_1340"/>
      <sheetName val="[Spt-BH.xls][Spt-BH.xls]_S_1342"/>
      <sheetName val="[Spt-BH.xls][Spt-BH.xls]_S_1343"/>
      <sheetName val="[Spt-BH.xls][Spt-BH.xls]B__3776"/>
      <sheetName val="[Spt-BH.xls][Spt-BH.xls]B__3777"/>
      <sheetName val="[Spt-BH.xls][Spt-BH.xls]_S_1345"/>
      <sheetName val="[Spt-BH.xls][Spt-BH.xls]B__3778"/>
      <sheetName val="[Spt-BH.xls][Spt-BH.xls]B__3779"/>
      <sheetName val="[Spt-BH.xls][Spt-BH.xls]B__3780"/>
      <sheetName val="[Spt-BH.xls][Spt-BH.xls]B__3781"/>
      <sheetName val="[Spt-BH.xls][Spt-BH.xls]_S_1344"/>
      <sheetName val="[Spt-BH.xls][Spt-BH.xls]B__3783"/>
      <sheetName val="[Spt-BH.xls][Spt-BH.xls]B__3784"/>
      <sheetName val="[Spt-BH.xls][Spt-BH.xls]_S_1347"/>
      <sheetName val="[Spt-BH.xls][Spt-BH.xls]B__3785"/>
      <sheetName val="[Spt-BH.xls][Spt-BH.xls]B__3786"/>
      <sheetName val="[Spt-BH.xls]B____x005f_x0004______307"/>
      <sheetName val="[Spt-BH.xls]B___x005f_x0000__x000_301"/>
      <sheetName val="[Spt-BH.xls][Spt-BH.xls]B__3787"/>
      <sheetName val="[Spt-BH.xls][Spt-BH.xls]B__3788"/>
      <sheetName val="[Spt-BH.xls][Spt-BH.xls]B__3782"/>
      <sheetName val="[Spt-BH.xls][Spt-BH.xls]_S_1346"/>
      <sheetName val="[Spt-BH.xls][Spt-BH_xls]B__3680"/>
      <sheetName val="[Spt-BH.xls][Spt-BH_xls]B__3681"/>
      <sheetName val="[Spt-BH.xls][Spt-BH_xls]B__3682"/>
      <sheetName val="[Spt-BH.xls][Spt-BH_xls]B__3683"/>
      <sheetName val="[Spt-BH.xls][Spt-BH_xls]_S_1216"/>
      <sheetName val="[Spt-BH.xls][Spt-BH_xls]B__3684"/>
      <sheetName val="[Spt-BH.xls][Spt-BH_xls]B__3685"/>
      <sheetName val="[Spt-BH.xls][Spt-BH_xls]B__3686"/>
      <sheetName val="[Spt-BH.xls][Spt-BH_xls]_S_1217"/>
      <sheetName val="[Spt-BH.xls][Spt-BH_xls]B__3687"/>
      <sheetName val="[Spt-BH.xls][Spt-BH_xls]B__3688"/>
      <sheetName val="[Spt-BH.xls][Spt-BH_xls]B__3689"/>
      <sheetName val="[Spt-BH.xls][Spt-BH_xls]B__3690"/>
      <sheetName val="[Spt-BH.xls][Spt-BH_xls]_S_1218"/>
      <sheetName val="[Spt-BH.xls][Spt-BH.xls]_S_1348"/>
      <sheetName val="[Spt-BH.xls][Spt-BH.xls]B__3789"/>
      <sheetName val="[Spt-BH.xls][Spt-BH.xls]B__3790"/>
      <sheetName val="[Spt-BH.xls][Spt-BH.xls]_S_1349"/>
      <sheetName val="[Spt-BH.xls][Spt-BH.xls]B__3791"/>
      <sheetName val="[Spt-BH.xls][Spt-BH.xls]B__3792"/>
      <sheetName val="[Spt-BH.xls]B____x005f_x0004______308"/>
      <sheetName val="[Spt-BH.xls]B___x005f_x0000__x000_302"/>
      <sheetName val="[Spt-BH.xls][Spt-BH.xls]B__3793"/>
      <sheetName val="[Spt-BH.xls][Spt-BH.xls]B__3794"/>
      <sheetName val="[Spt-BH.xls][Spt-BH.xls]B__3795"/>
      <sheetName val="[Spt-BH.xls][Spt-BH.xls]_S_1350"/>
      <sheetName val="[Spt-BH.xls][Spt-BH.xls]B__3796"/>
      <sheetName val="[Spt-BH.xls][Spt-BH.xls]B__3797"/>
      <sheetName val="[Spt-BH.xls]B____x005f_x0004______309"/>
      <sheetName val="[Spt-BH.xls]B___x005f_x0000__x000_303"/>
      <sheetName val="[Spt-BH.xls][Spt-BH.xls]B__3798"/>
      <sheetName val="[Spt-BH.xls][Spt-BH.xls]B__3799"/>
      <sheetName val="[Spt-BH.xls][Spt-BH.xls]B__3800"/>
      <sheetName val="[Spt-BH.xls][Spt-BH.xls]_S_1351"/>
      <sheetName val="[Spt-BH.xls][Spt-BH.xls]B__3801"/>
      <sheetName val="[Spt-BH.xls][Spt-BH.xls]B__3802"/>
      <sheetName val="[Spt-BH.xls]B____x005f_x0004______310"/>
      <sheetName val="[Spt-BH.xls]B___x005f_x0000__x000_304"/>
      <sheetName val="[Spt-BH.xls][Spt-BH.xls]B__3803"/>
      <sheetName val="[Spt-BH.xls][Spt-BH.xls]B__3804"/>
      <sheetName val="[Spt-BH.xls][Spt-BH.xls]B__3805"/>
      <sheetName val="[Spt-BH.xls][Spt-BH.xls]_S_1353"/>
      <sheetName val="[Spt-BH.xls][Spt-BH.xls]B__3806"/>
      <sheetName val="[Spt-BH.xls][Spt-BH.xls]B__3807"/>
      <sheetName val="[Spt-BH.xls][Spt-BH.xls]B__3808"/>
      <sheetName val="[Spt-BH.xls][Spt-BH.xls]B__3809"/>
      <sheetName val="[Spt-BH.xls][Spt-BH.xls]_S_1352"/>
      <sheetName val="[Spt-BH.xls][Spt-BH.xls]B__3814"/>
      <sheetName val="[Spt-BH.xls][Spt-BH.xls]B__3815"/>
      <sheetName val="[Spt-BH.xls][Spt-BH.xls]_S_1356"/>
      <sheetName val="[Spt-BH.xls][Spt-BH.xls]B__3816"/>
      <sheetName val="[Spt-BH.xls][Spt-BH.xls]B__3817"/>
      <sheetName val="[Spt-BH.xls][Spt-BH.xls]B__3818"/>
      <sheetName val="[Spt-BH.xls][Spt-BH.xls]B__3819"/>
      <sheetName val="[Spt-BH.xls][Spt-BH.xls]_S_1355"/>
      <sheetName val="[Spt-BH.xls][Spt-BH.xls]_S_1357"/>
      <sheetName val="[Spt-BH.xls][Spt-BH.xls]_S_1525"/>
      <sheetName val="[Spt-BH.xls][Spt-BH.xls]_S_1451"/>
      <sheetName val="[Spt-BH.xls][Spt-BH.xls]B__4019"/>
      <sheetName val="[Spt-BH.xls][Spt-BH.xls]B__4020"/>
      <sheetName val="[Spt-BH.xls][Spt-BH.xls]_S_1447"/>
      <sheetName val="[Spt-BH.xls][Spt-BH.xls]B__4021"/>
      <sheetName val="[Spt-BH.xls][Spt-BH.xls]B__4022"/>
      <sheetName val="[Spt-BH.xls][Spt-BH_xls]B__3691"/>
      <sheetName val="[Spt-BH.xls][Spt-BH_xls]B__3692"/>
      <sheetName val="[Spt-BH.xls][Spt-BH_xls]_S_1219"/>
      <sheetName val="[Spt-BH.xls][Spt-BH_xls]B__3693"/>
      <sheetName val="[Spt-BH.xls][Spt-BH_xls]B__3694"/>
      <sheetName val="[Spt-BH.xls][Spt-BH_xls]_S_1220"/>
      <sheetName val="[Spt-BH.xls][Spt-BH_xls]B__3695"/>
      <sheetName val="[Spt-BH.xls][Spt-BH_xls]B__3696"/>
      <sheetName val="[Spt-BH.xls][Spt-BH_xls]B__3697"/>
      <sheetName val="[Spt-BH.xls][Spt-BH_xls]B__3698"/>
      <sheetName val="[Spt-BH.xls][Spt-BH_xls]_S_1221"/>
      <sheetName val="[Spt-BH.xls][Spt-BH_xls]B__3699"/>
      <sheetName val="[Spt-BH.xls][Spt-BH_xls]B__3700"/>
      <sheetName val="[Spt-BH.xls][Spt-BH_xls]B__3701"/>
      <sheetName val="[Spt-BH.xls][Spt-BH_xls]_S_1222"/>
      <sheetName val="[Spt-BH.xls][Spt-BH_xls]B__3702"/>
      <sheetName val="[Spt-BH.xls][Spt-BH_xls]B__3703"/>
      <sheetName val="[Spt-BH.xls][Spt-BH_xls]B__3704"/>
      <sheetName val="[Spt-BH.xls][Spt-BH_xls]B__3705"/>
      <sheetName val="[Spt-BH.xls][Spt-BH_xls]_S_1223"/>
      <sheetName val="[Spt-BH.xls][Spt-BH_xls]B__3706"/>
      <sheetName val="[Spt-BH.xls][Spt-BH_xls]B__3707"/>
      <sheetName val="[Spt-BH.xls][Spt-BH_xls]_S_1224"/>
      <sheetName val="[Spt-BH.xls][Spt-BH_xls]B__3708"/>
      <sheetName val="[Spt-BH.xls][Spt-BH_xls]B__3709"/>
      <sheetName val="[Spt-BH.xls][Spt-BH_xls]_S_1225"/>
      <sheetName val="[Spt-BH.xls][Spt-BH_xls]B__3710"/>
      <sheetName val="[Spt-BH.xls][Spt-BH_xls]B__3711"/>
      <sheetName val="[Spt-BH.xls][Spt-BH_xls]B__3712"/>
      <sheetName val="[Spt-BH.xls][Spt-BH_xls]B__3713"/>
      <sheetName val="[Spt-BH.xls][Spt-BH_xls]_S_1226"/>
      <sheetName val="[Spt-BH.xls][Spt-BH_xls]B__3714"/>
      <sheetName val="[Spt-BH.xls][Spt-BH_xls]B__3715"/>
      <sheetName val="[Spt-BH.xls][Spt-BH_xls]B__3716"/>
      <sheetName val="[Spt-BH.xls][Spt-BH_xls]_S_1227"/>
      <sheetName val="[Spt-BH.xls][Spt-BH_xls]B__3717"/>
      <sheetName val="[Spt-BH.xls][Spt-BH_xls]B__3718"/>
      <sheetName val="[Spt-BH.xls][Spt-BH_xls]B__3719"/>
      <sheetName val="[Spt-BH.xls][Spt-BH_xls]B__3720"/>
      <sheetName val="[Spt-BH.xls][Spt-BH_xls]_S_1228"/>
      <sheetName val="[Spt-BH.xls][Spt-BH_xls]B__3721"/>
      <sheetName val="[Spt-BH.xls][Spt-BH_xls]B__3722"/>
      <sheetName val="[Spt-BH.xls][Spt-BH_xls]_S_1229"/>
      <sheetName val="[Spt-BH.xls][Spt-BH_xls]B__3723"/>
      <sheetName val="[Spt-BH.xls][Spt-BH_xls]B__3724"/>
      <sheetName val="[Spt-BH.xls][Spt-BH_xls]_S_1230"/>
      <sheetName val="[Spt-BH.xls][Spt-BH.xls]_S_1409"/>
      <sheetName val="[Spt-BH.xls][Spt-BH.xls]_S_1358"/>
      <sheetName val="[Spt-BH.xls][Spt-BH.xls]_S_1360"/>
      <sheetName val="[Spt-BH.xls][Spt-BH.xls]B__3820"/>
      <sheetName val="[Spt-BH.xls][Spt-BH.xls]B__3821"/>
      <sheetName val="[Spt-BH.xls][Spt-BH.xls]B__3822"/>
      <sheetName val="[Spt-BH.xls][Spt-BH.xls]_S_1359"/>
      <sheetName val="[Spt-BH.xls][Spt-BH.xls]_S_1366"/>
      <sheetName val="[Spt-BH.xls][Spt-BH.xls]_S_1364"/>
      <sheetName val="[Spt-BH.xls][Spt-BH.xls]_S_1361"/>
      <sheetName val="[Spt-BH.xls][Spt-BH.xls]_S_1362"/>
      <sheetName val="[Spt-BH.xls][Spt-BH.xls]_S_1363"/>
      <sheetName val="[Spt-BH.xls][Spt-BH.xls]_S_1365"/>
      <sheetName val="[Spt-BH.xls][Spt-BH.xls]B__3823"/>
      <sheetName val="[Spt-BH.xls][Spt-BH.xls]B__3824"/>
      <sheetName val="[Spt-BH.xls][Spt-BH.xls]_S_1369"/>
      <sheetName val="[Spt-BH.xls][Spt-BH.xls]B__3825"/>
      <sheetName val="[Spt-BH.xls][Spt-BH.xls]B__3826"/>
      <sheetName val="[Spt-BH.xls][Spt-BH.xls]B__3827"/>
      <sheetName val="[Spt-BH.xls][Spt-BH.xls]_S_1367"/>
      <sheetName val="[Spt-BH.xls][Spt-BH.xls]B__3828"/>
      <sheetName val="[Spt-BH.xls][Spt-BH.xls]_S_1368"/>
      <sheetName val="[Spt-BH.xls][Spt-BH.xls]B__3854"/>
      <sheetName val="[Spt-BH.xls][Spt-BH.xls]B__3855"/>
      <sheetName val="[Spt-BH.xls][Spt-BH.xls]_S_1397"/>
      <sheetName val="[Spt-BH.xls][Spt-BH.xls]B__3856"/>
      <sheetName val="[Spt-BH.xls][Spt-BH.xls]B__3857"/>
      <sheetName val="[Spt-BH.xls][Spt-BH.xls]B__3829"/>
      <sheetName val="[Spt-BH.xls][Spt-BH.xls]B__3830"/>
      <sheetName val="[Spt-BH.xls][Spt-BH.xls]_S_1372"/>
      <sheetName val="[Spt-BH.xls][Spt-BH.xls]B__3831"/>
      <sheetName val="[Spt-BH.xls][Spt-BH.xls]B__3832"/>
      <sheetName val="[Spt-BH.xls][Spt-BH.xls]B__3833"/>
      <sheetName val="[Spt-BH.xls][Spt-BH.xls]_S_1370"/>
      <sheetName val="[Spt-BH.xls][Spt-BH.xls]B__3834"/>
      <sheetName val="[Spt-BH.xls][Spt-BH.xls]_S_1371"/>
      <sheetName val="[Spt-BH.xls][Spt-BH.xls]_S_1373"/>
      <sheetName val="[Spt-BH.xls][Spt-BH.xls]B__3835"/>
      <sheetName val="[Spt-BH.xls][Spt-BH.xls]B__3836"/>
      <sheetName val="[Spt-BH.xls][Spt-BH.xls]B__3837"/>
      <sheetName val="[Spt-BH.xls][Spt-BH.xls]B__3838"/>
      <sheetName val="[Spt-BH.xls][Spt-BH.xls]B__3839"/>
      <sheetName val="[Spt-BH.xls][Spt-BH.xls]B__3840"/>
      <sheetName val="[Spt-BH.xls][Spt-BH.xls]_S_1377"/>
      <sheetName val="[Spt-BH.xls][Spt-BH.xls]B__3841"/>
      <sheetName val="[Spt-BH.xls][Spt-BH.xls]B__3842"/>
      <sheetName val="[Spt-BH.xls][Spt-BH.xls]_S_1375"/>
      <sheetName val="[Spt-BH.xls][Spt-BH.xls]B__3847"/>
      <sheetName val="[Spt-BH.xls][Spt-BH.xls]B__3848"/>
      <sheetName val="[Spt-BH.xls][Spt-BH.xls]B__3849"/>
      <sheetName val="[Spt-BH.xls][Spt-BH.xls]B__3850"/>
      <sheetName val="[Spt-BH.xls][Spt-BH.xls]B__3858"/>
      <sheetName val="[Spt-BH.xls][Spt-BH.xls]B__3859"/>
      <sheetName val="[Spt-BH.xls][Spt-BH.xls]B__3851"/>
      <sheetName val="[Spt-BH.xls][Spt-BH.xls]B__3852"/>
      <sheetName val="[Spt-BH.xls][Spt-BH.xls]B__3853"/>
      <sheetName val="[Spt-BH.xls][Spt-BH.xls]_S_1376"/>
      <sheetName val="[Spt-BH.xls][Spt-BH.xls]_S_1378"/>
      <sheetName val="[Spt-BH.xls][Spt-BH_xls]B__3725"/>
      <sheetName val="[Spt-BH.xls][Spt-BH_xls]B__3726"/>
      <sheetName val="[Spt-BH.xls][Spt-BH_xls]B__3727"/>
      <sheetName val="[Spt-BH.xls][Spt-BH_xls]B__3728"/>
      <sheetName val="[Spt-BH.xls][Spt-BH_xls]_S_1231"/>
      <sheetName val="[Spt-BH.xls][Spt-BH_xls]B__3729"/>
      <sheetName val="[Spt-BH.xls][Spt-BH_xls]B__3730"/>
      <sheetName val="[Spt-BH.xls][Spt-BH_xls]B__3731"/>
      <sheetName val="[Spt-BH.xls][Spt-BH_xls]_S_1232"/>
      <sheetName val="[Spt-BH.xls][Spt-BH_xls]B__3732"/>
      <sheetName val="[Spt-BH.xls][Spt-BH_xls]B__3733"/>
      <sheetName val="[Spt-BH.xls][Spt-BH_xls]B__3734"/>
      <sheetName val="[Spt-BH.xls][Spt-BH_xls]B__3735"/>
      <sheetName val="[Spt-BH.xls][Spt-BH_xls]_S_1233"/>
      <sheetName val="[Spt-BH.xls][Spt-BH_xls]B__3736"/>
      <sheetName val="[Spt-BH.xls][Spt-BH_xls]B__3737"/>
      <sheetName val="[Spt-BH.xls][Spt-BH_xls]_S_1234"/>
      <sheetName val="[Spt-BH.xls][Spt-BH_xls]B__3738"/>
      <sheetName val="[Spt-BH.xls][Spt-BH_xls]B__3739"/>
      <sheetName val="[Spt-BH.xls][Spt-BH_xls]_S_1235"/>
      <sheetName val="[Spt-BH.xls][Spt-BH.xls]B__3843"/>
      <sheetName val="[Spt-BH.xls][Spt-BH.xls]B__3844"/>
      <sheetName val="[Spt-BH.xls][Spt-BH.xls]B__3845"/>
      <sheetName val="[Spt-BH.xls][Spt-BH.xls]B__3846"/>
      <sheetName val="[Spt-BH.xls][Spt-BH.xls]_S_1374"/>
      <sheetName val="[Spt-BH.xls][Spt-BH.xls]B__3914"/>
      <sheetName val="[Spt-BH.xls][Spt-BH.xls]B__3915"/>
      <sheetName val="[Spt-BH.xls][Spt-BH.xls]_S_1401"/>
      <sheetName val="[Spt-BH.xls][Spt-BH.xls]B__3916"/>
      <sheetName val="[Spt-BH.xls][Spt-BH.xls]B__3917"/>
      <sheetName val="[Spt-BH.xls][Spt-BH.xls]B__3918"/>
      <sheetName val="[Spt-BH.xls][Spt-BH.xls]B__3919"/>
      <sheetName val="[Spt-BH.xls][Spt-BH.xls]_S_1398"/>
      <sheetName val="[Spt-BH.xls][Spt-BH.xls]_S_1381"/>
      <sheetName val="[Spt-BH.xls][Spt-BH.xls]B__3866"/>
      <sheetName val="[Spt-BH.xls][Spt-BH.xls]B__3867"/>
      <sheetName val="[Spt-BH.xls][Spt-BH.xls]B__3868"/>
      <sheetName val="[Spt-BH.xls][Spt-BH.xls]B__3869"/>
      <sheetName val="[Spt-BH.xls][Spt-BH.xls]B__3870"/>
      <sheetName val="[Spt-BH.xls][Spt-BH.xls]B__3871"/>
      <sheetName val="[Spt-BH.xls][Spt-BH.xls]_S_1382"/>
      <sheetName val="[Spt-BH.xls][Spt-BH.xls]_S_1379"/>
      <sheetName val="[Spt-BH.xls][Spt-BH.xls]B__3860"/>
      <sheetName val="[Spt-BH.xls][Spt-BH.xls]B__3861"/>
      <sheetName val="[Spt-BH.xls][Spt-BH.xls]B__3862"/>
      <sheetName val="[Spt-BH.xls][Spt-BH.xls]B__3863"/>
      <sheetName val="[Spt-BH.xls][Spt-BH.xls]B__3864"/>
      <sheetName val="[Spt-BH.xls][Spt-BH.xls]B__3865"/>
      <sheetName val="[Spt-BH.xls][Spt-BH.xls]_S_1380"/>
      <sheetName val="[Spt-BH.xls][Spt-BH.xls]_S_1383"/>
      <sheetName val="[Spt-BH.xls][Spt-BH.xls]B__3872"/>
      <sheetName val="[Spt-BH.xls][Spt-BH.xls]B__3873"/>
      <sheetName val="[Spt-BH.xls][Spt-BH.xls]B__3874"/>
      <sheetName val="[Spt-BH.xls][Spt-BH.xls]B__3875"/>
      <sheetName val="[Spt-BH.xls][Spt-BH.xls]B__3876"/>
      <sheetName val="[Spt-BH.xls][Spt-BH.xls]B__3877"/>
      <sheetName val="[Spt-BH.xls][Spt-BH.xls]_S_1384"/>
      <sheetName val="[Spt-BH.xls][Spt-BH.xls]_S_1385"/>
      <sheetName val="[Spt-BH.xls][Spt-BH.xls]B__3878"/>
      <sheetName val="[Spt-BH.xls][Spt-BH.xls]B__3879"/>
      <sheetName val="[Spt-BH.xls][Spt-BH.xls]B__3880"/>
      <sheetName val="[Spt-BH.xls][Spt-BH.xls]B__3881"/>
      <sheetName val="[Spt-BH.xls][Spt-BH.xls]B__3882"/>
      <sheetName val="[Spt-BH.xls][Spt-BH.xls]B__3883"/>
      <sheetName val="[Spt-BH.xls][Spt-BH.xls]_S_1386"/>
      <sheetName val="[Spt-BH.xls][Spt-BH.xls]B__3884"/>
      <sheetName val="[Spt-BH.xls][Spt-BH.xls]B__3885"/>
      <sheetName val="[Spt-BH.xls][Spt-BH.xls]B__3886"/>
      <sheetName val="[Spt-BH.xls][Spt-BH.xls]B__3887"/>
      <sheetName val="[Spt-BH.xls][Spt-BH.xls]_S_1387"/>
      <sheetName val="[Spt-BH.xls][Spt-BH.xls]B__3888"/>
      <sheetName val="[Spt-BH.xls][Spt-BH.xls]B__3889"/>
      <sheetName val="[Spt-BH.xls][Spt-BH.xls]_S_1388"/>
      <sheetName val="[Spt-BH.xls][Spt-BH.xls]B__3896"/>
      <sheetName val="[Spt-BH.xls][Spt-BH.xls]B__3897"/>
      <sheetName val="[Spt-BH.xls][Spt-BH.xls]B__3898"/>
      <sheetName val="[Spt-BH.xls][Spt-BH.xls]B__3899"/>
      <sheetName val="[Spt-BH.xls][Spt-BH.xls]_S_1391"/>
      <sheetName val="[Spt-BH.xls][Spt-BH.xls]B__3900"/>
      <sheetName val="[Spt-BH.xls][Spt-BH.xls]B__3901"/>
      <sheetName val="[Spt-BH.xls][Spt-BH.xls]_S_1392"/>
      <sheetName val="[Spt-BH.xls][Spt-BH.xls]_S_1389"/>
      <sheetName val="[Spt-BH.xls][Spt-BH.xls]B__3890"/>
      <sheetName val="[Spt-BH.xls][Spt-BH.xls]B__3891"/>
      <sheetName val="[Spt-BH.xls][Spt-BH.xls]B__3892"/>
      <sheetName val="[Spt-BH.xls][Spt-BH.xls]B__3893"/>
      <sheetName val="[Spt-BH.xls][Spt-BH.xls]B__3894"/>
      <sheetName val="[Spt-BH.xls][Spt-BH.xls]B__3895"/>
      <sheetName val="[Spt-BH.xls][Spt-BH.xls]_S_1390"/>
      <sheetName val="[Spt-BH.xls][Spt-BH.xls]_S_1393"/>
      <sheetName val="[Spt-BH.xls][Spt-BH.xls]B__3902"/>
      <sheetName val="[Spt-BH.xls][Spt-BH.xls]B__3903"/>
      <sheetName val="[Spt-BH.xls][Spt-BH.xls]B__3904"/>
      <sheetName val="[Spt-BH.xls][Spt-BH.xls]B__3905"/>
      <sheetName val="[Spt-BH.xls][Spt-BH.xls]B__3906"/>
      <sheetName val="[Spt-BH.xls][Spt-BH.xls]B__3907"/>
      <sheetName val="[Spt-BH.xls][Spt-BH.xls]_S_1394"/>
      <sheetName val="[Spt-BH.xls][Spt-BH.xls]_S_1395"/>
      <sheetName val="[Spt-BH.xls][Spt-BH.xls]B__3908"/>
      <sheetName val="[Spt-BH.xls][Spt-BH.xls]B__3909"/>
      <sheetName val="[Spt-BH.xls][Spt-BH.xls]B__3910"/>
      <sheetName val="[Spt-BH.xls][Spt-BH.xls]B__3911"/>
      <sheetName val="[Spt-BH.xls][Spt-BH.xls]B__3912"/>
      <sheetName val="[Spt-BH.xls][Spt-BH.xls]B__3913"/>
      <sheetName val="[Spt-BH.xls][Spt-BH.xls]_S_1396"/>
      <sheetName val="[Spt-BH.xls][Spt-BH.xls]_S_1399"/>
      <sheetName val="[Spt-BH.xls][Spt-BH.xls]_S_1400"/>
      <sheetName val="[Spt-BH.xls][Spt-BH.xls]_S_1403"/>
      <sheetName val="[Spt-BH.xls][Spt-BH.xls]_S_1402"/>
      <sheetName val="[Spt-BH.xls][Spt-BH.xls]_S_1404"/>
      <sheetName val="[Spt-BH.xls][Spt-BH.xls]_S_1406"/>
      <sheetName val="[Spt-BH.xls][Spt-BH.xls]_S_1405"/>
      <sheetName val="[Spt-BH.xls][Spt-BH.xls]B__3920"/>
      <sheetName val="[Spt-BH.xls][Spt-BH.xls]B__3921"/>
      <sheetName val="[Spt-BH.xls][Spt-BH.xls]B__3922"/>
      <sheetName val="[Spt-BH.xls][Spt-BH.xls]B__3923"/>
      <sheetName val="[Spt-BH.xls][Spt-BH.xls]B__3924"/>
      <sheetName val="[Spt-BH.xls][Spt-BH.xls]B__3925"/>
      <sheetName val="[Spt-BH.xls][Spt-BH.xls]_S_1407"/>
      <sheetName val="[Spt-BH.xls][Spt-BH.xls]_S_1408"/>
      <sheetName val="[Spt-BH.xls][Spt-BH.xls]_S_1410"/>
      <sheetName val="[Spt-BH.xls][Spt-BH.xls]_S_1411"/>
      <sheetName val="[Spt-BH.xls][Spt-BH.xls]B__3933"/>
      <sheetName val="[Spt-BH.xls][Spt-BH.xls]B__3934"/>
      <sheetName val="[Spt-BH.xls][Spt-BH.xls]_S_1420"/>
      <sheetName val="[Spt-BH.xls][Spt-BH.xls]B__3935"/>
      <sheetName val="[Spt-BH.xls][Spt-BH.xls]B__3936"/>
      <sheetName val="[Spt-BH.xls]B____x005f_x0004______311"/>
      <sheetName val="[Spt-BH.xls]B___x005f_x0000__x000_305"/>
      <sheetName val="[Spt-BH.xls][Spt-BH.xls]B__3937"/>
      <sheetName val="[Spt-BH.xls][Spt-BH.xls]B__3926"/>
      <sheetName val="[Spt-BH.xls][Spt-BH.xls]B__3927"/>
      <sheetName val="[Spt-BH.xls][Spt-BH.xls]_S_1414"/>
      <sheetName val="[Spt-BH.xls][Spt-BH.xls]B__3928"/>
      <sheetName val="[Spt-BH.xls][Spt-BH.xls]B__3929"/>
      <sheetName val="[Spt-BH.xls][Spt-BH.xls]_S_1412"/>
      <sheetName val="[Spt-BH.xls][Spt-BH.xls]B__3938"/>
      <sheetName val="[Spt-BH.xls][Spt-BH.xls]B__3930"/>
      <sheetName val="[Spt-BH.xls][Spt-BH.xls]B__3931"/>
      <sheetName val="[Spt-BH.xls][Spt-BH.xls]_S_1415"/>
      <sheetName val="[Spt-BH.xls][Spt-BH_xls]B__3740"/>
      <sheetName val="[Spt-BH.xls][Spt-BH_xls]B__3741"/>
      <sheetName val="[Spt-BH.xls][Spt-BH_xls]B__3742"/>
      <sheetName val="[Spt-BH.xls][Spt-BH_xls]B__3743"/>
      <sheetName val="[Spt-BH.xls][Spt-BH_xls]_S_1236"/>
      <sheetName val="[Spt-BH.xls][Spt-BH_xls]B__3744"/>
      <sheetName val="[Spt-BH.xls][Spt-BH_xls]B__3745"/>
      <sheetName val="[Spt-BH.xls][Spt-BH_xls]B__3746"/>
      <sheetName val="[Spt-BH.xls][Spt-BH_xls]_S_1237"/>
      <sheetName val="[Spt-BH.xls][Spt-BH_xls]B__3747"/>
      <sheetName val="[Spt-BH.xls][Spt-BH_xls]B__3748"/>
      <sheetName val="[Spt-BH.xls][Spt-BH_xls]B__3749"/>
      <sheetName val="[Spt-BH.xls][Spt-BH_xls]B__3750"/>
      <sheetName val="[Spt-BH.xls][Spt-BH_xls]_S_1238"/>
      <sheetName val="[Spt-BH.xls][Spt-BH.xls]B__3932"/>
      <sheetName val="[Spt-BH.xls][Spt-BH.xls]_S_1413"/>
      <sheetName val="[Spt-BH.xls][Spt-BH_xls]B__3751"/>
      <sheetName val="[Spt-BH.xls][Spt-BH_xls]B__3752"/>
      <sheetName val="[Spt-BH.xls][Spt-BH_xls]_S_1239"/>
      <sheetName val="[Spt-BH.xls][Spt-BH_xls]B__3753"/>
      <sheetName val="[Spt-BH.xls][Spt-BH_xls]B__3754"/>
      <sheetName val="[Spt-BH.xls][Spt-BH_xls]_S_1240"/>
      <sheetName val="[Spt-BH.xls][Spt-BH.xls]B__3954"/>
      <sheetName val="[Spt-BH.xls][Spt-BH.xls]B__3955"/>
      <sheetName val="[Spt-BH.xls][Spt-BH.xls]_S_1424"/>
      <sheetName val="[Spt-BH.xls][Spt-BH.xls]B__3956"/>
      <sheetName val="[Spt-BH.xls][Spt-BH.xls]B__3957"/>
      <sheetName val="[Spt-BH.xls]B____x005f_x0004______312"/>
      <sheetName val="[Spt-BH.xls]B___x005f_x0000__x000_306"/>
      <sheetName val="[Spt-BH.xls][Spt-BH.xls]B__3958"/>
      <sheetName val="[Spt-BH.xls][Spt-BH.xls]B__3959"/>
      <sheetName val="[Spt-BH.xls][Spt-BH.xls]B__3939"/>
      <sheetName val="[Spt-BH.xls][Spt-BH.xls]_S_1421"/>
      <sheetName val="[Spt-BH.xls][Spt-BH_xls]B__3755"/>
      <sheetName val="[Spt-BH.xls][Spt-BH_xls]B__3756"/>
      <sheetName val="[Spt-BH.xls][Spt-BH_xls]B__3757"/>
      <sheetName val="[Spt-BH.xls][Spt-BH_xls]B__3758"/>
      <sheetName val="[Spt-BH.xls][Spt-BH_xls]_S_1241"/>
      <sheetName val="[Spt-BH.xls][Spt-BH_xls]B__3759"/>
      <sheetName val="[Spt-BH.xls][Spt-BH_xls]B__3760"/>
      <sheetName val="[Spt-BH.xls][Spt-BH_xls]B__3761"/>
      <sheetName val="[Spt-BH.xls][Spt-BH_xls]_S_1242"/>
      <sheetName val="[Spt-BH.xls][Spt-BH_xls]B__3762"/>
      <sheetName val="[Spt-BH.xls][Spt-BH_xls]B__3763"/>
      <sheetName val="[Spt-BH.xls][Spt-BH_xls]B__3764"/>
      <sheetName val="[Spt-BH.xls][Spt-BH_xls]B__3765"/>
      <sheetName val="[Spt-BH.xls][Spt-BH_xls]_S_1243"/>
      <sheetName val="[Spt-BH.xls][Spt-BH_xls]B__3766"/>
      <sheetName val="[Spt-BH.xls][Spt-BH_xls]B__3767"/>
      <sheetName val="[Spt-BH.xls][Spt-BH_xls]_S_1244"/>
      <sheetName val="[Spt-BH.xls][Spt-BH_xls]B__3768"/>
      <sheetName val="[Spt-BH.xls][Spt-BH_xls]B__3769"/>
      <sheetName val="[Spt-BH.xls][Spt-BH_xls]_S_1245"/>
      <sheetName val="[Spt-BH.xls][Spt-BH.xls]_S_1416"/>
      <sheetName val="[Spt-BH.xls][Spt-BH.xls]B__3940"/>
      <sheetName val="[Spt-BH.xls][Spt-BH.xls]B__3941"/>
      <sheetName val="[Spt-BH.xls][Spt-BH.xls]_S_1418"/>
      <sheetName val="[Spt-BH.xls][Spt-BH.xls]B__3942"/>
      <sheetName val="[Spt-BH.xls][Spt-BH.xls]B__3943"/>
      <sheetName val="[Spt-BH.xls][Spt-BH.xls]B__3944"/>
      <sheetName val="[Spt-BH.xls][Spt-BH.xls]B__3945"/>
      <sheetName val="[Spt-BH.xls][Spt-BH.xls]_S_1417"/>
      <sheetName val="[Spt-BH.xls][Spt-BH.xls]B__3947"/>
      <sheetName val="[Spt-BH.xls][Spt-BH.xls]B__3948"/>
      <sheetName val="[Spt-BH.xls][Spt-BH.xls]B__3949"/>
      <sheetName val="[Spt-BH.xls][Spt-BH.xls]B__3950"/>
      <sheetName val="[Spt-BH.xls]B____x005f_x0004______313"/>
      <sheetName val="[Spt-BH.xls]B___x005f_x0000__x000_307"/>
      <sheetName val="[Spt-BH.xls][Spt-BH.xls]B__3951"/>
      <sheetName val="[Spt-BH.xls][Spt-BH.xls]B__3952"/>
      <sheetName val="[Spt-BH.xls][Spt-BH.xls]B__3946"/>
      <sheetName val="[Spt-BH.xls][Spt-BH.xls]_S_1419"/>
      <sheetName val="[Spt-BH.xls][Spt-BH_xls]B__3770"/>
      <sheetName val="[Spt-BH.xls][Spt-BH_xls]B__3771"/>
      <sheetName val="[Spt-BH.xls][Spt-BH_xls]B__3772"/>
      <sheetName val="[Spt-BH.xls][Spt-BH_xls]B__3773"/>
      <sheetName val="[Spt-BH.xls][Spt-BH_xls]_S_1246"/>
      <sheetName val="[Spt-BH.xls][Spt-BH_xls]B__3774"/>
      <sheetName val="[Spt-BH.xls][Spt-BH_xls]B__3775"/>
      <sheetName val="[Spt-BH.xls][Spt-BH_xls]B__3776"/>
      <sheetName val="[Spt-BH.xls][Spt-BH_xls]_S_1247"/>
      <sheetName val="[Spt-BH.xls][Spt-BH_xls]B__3777"/>
      <sheetName val="[Spt-BH.xls][Spt-BH_xls]B__3778"/>
      <sheetName val="[Spt-BH.xls][Spt-BH_xls]B__3779"/>
      <sheetName val="[Spt-BH.xls][Spt-BH_xls]B__3780"/>
      <sheetName val="[Spt-BH.xls][Spt-BH_xls]_S_1248"/>
      <sheetName val="[Spt-BH.xls][Spt-BH_xls]B__3781"/>
      <sheetName val="[Spt-BH.xls][Spt-BH_xls]B__3782"/>
      <sheetName val="[Spt-BH.xls][Spt-BH_xls]_S_1249"/>
      <sheetName val="[Spt-BH.xls][Spt-BH_xls]B__3783"/>
      <sheetName val="[Spt-BH.xls][Spt-BH_xls]B__3784"/>
      <sheetName val="[Spt-BH.xls][Spt-BH_xls]_S_1250"/>
      <sheetName val="[Spt-BH.xls]B____x005f_x0004______314"/>
      <sheetName val="[Spt-BH.xls]B___x005f_x0000__x000_308"/>
      <sheetName val="[Spt-BH.xls][Spt-BH.xls]B__3953"/>
      <sheetName val="[Spt-BH.xls][Spt-BH_xls]B__3785"/>
      <sheetName val="[Spt-BH.xls][Spt-BH_xls]B__3786"/>
      <sheetName val="[Spt-BH.xls][Spt-BH_xls]B__3787"/>
      <sheetName val="[Spt-BH.xls][Spt-BH_xls]B__3788"/>
      <sheetName val="[Spt-BH.xls][Spt-BH_xls]_S_1251"/>
      <sheetName val="[Spt-BH.xls][Spt-BH_xls]B__3789"/>
      <sheetName val="[Spt-BH.xls][Spt-BH_xls]B__3790"/>
      <sheetName val="[Spt-BH.xls][Spt-BH_xls]B__3791"/>
      <sheetName val="[Spt-BH.xls][Spt-BH_xls]_S_1252"/>
      <sheetName val="[Spt-BH.xls][Spt-BH_xls]B__3792"/>
      <sheetName val="[Spt-BH.xls][Spt-BH_xls]B__3793"/>
      <sheetName val="[Spt-BH.xls][Spt-BH_xls]B__3794"/>
      <sheetName val="[Spt-BH.xls][Spt-BH_xls]B__3795"/>
      <sheetName val="[Spt-BH.xls][Spt-BH_xls]_S_1253"/>
      <sheetName val="[Spt-BH.xls][Spt-BH_xls]B__3796"/>
      <sheetName val="[Spt-BH.xls][Spt-BH_xls]B__3797"/>
      <sheetName val="[Spt-BH.xls][Spt-BH_xls]_S_1254"/>
      <sheetName val="[Spt-BH.xls][Spt-BH_xls]B__3798"/>
      <sheetName val="[Spt-BH.xls][Spt-BH_xls]B__3799"/>
      <sheetName val="[Spt-BH.xls][Spt-BH_xls]_S_1255"/>
      <sheetName val="[Spt-BH.xls][Spt-BH.xls]B__3967"/>
      <sheetName val="[Spt-BH.xls][Spt-BH.xls]B__3968"/>
      <sheetName val="[Spt-BH.xls][Spt-BH.xls]_S_1427"/>
      <sheetName val="[Spt-BH.xls][Spt-BH.xls]B__3969"/>
      <sheetName val="[Spt-BH.xls][Spt-BH.xls]B__3970"/>
      <sheetName val="[Spt-BH.xls]B____x005f_x0004______315"/>
      <sheetName val="[Spt-BH.xls]B___x005f_x0000__x000_309"/>
      <sheetName val="[Spt-BH.xls][Spt-BH.xls]B__3971"/>
      <sheetName val="[Spt-BH.xls][Spt-BH.xls]B__3972"/>
      <sheetName val="[Spt-BH.xls][Spt-BH.xls]B__3960"/>
      <sheetName val="[Spt-BH.xls][Spt-BH.xls]_S_1425"/>
      <sheetName val="[Spt-BH.xls][Spt-BH_xls]B__3800"/>
      <sheetName val="[Spt-BH.xls][Spt-BH_xls]B__3801"/>
      <sheetName val="[Spt-BH.xls][Spt-BH_xls]B__3802"/>
      <sheetName val="[Spt-BH.xls][Spt-BH_xls]B__3803"/>
      <sheetName val="[Spt-BH.xls][Spt-BH_xls]_S_1256"/>
      <sheetName val="[Spt-BH.xls][Spt-BH_xls]B__3804"/>
      <sheetName val="[Spt-BH.xls][Spt-BH_xls]B__3805"/>
      <sheetName val="[Spt-BH.xls][Spt-BH_xls]B__3806"/>
      <sheetName val="[Spt-BH.xls][Spt-BH_xls]_S_1257"/>
      <sheetName val="[Spt-BH.xls][Spt-BH_xls]B__3807"/>
      <sheetName val="[Spt-BH.xls][Spt-BH_xls]B__3808"/>
      <sheetName val="[Spt-BH.xls][Spt-BH_xls]B__3809"/>
      <sheetName val="[Spt-BH.xls][Spt-BH_xls]B__3810"/>
      <sheetName val="[Spt-BH.xls][Spt-BH_xls]_S_1258"/>
      <sheetName val="[Spt-BH.xls][Spt-BH_xls]B__3811"/>
      <sheetName val="[Spt-BH.xls][Spt-BH_xls]B__3812"/>
      <sheetName val="[Spt-BH.xls][Spt-BH_xls]_S_1259"/>
      <sheetName val="[Spt-BH.xls][Spt-BH_xls]B__3813"/>
      <sheetName val="[Spt-BH.xls][Spt-BH_xls]B__3814"/>
      <sheetName val="[Spt-BH.xls][Spt-BH_xls]_S_1260"/>
      <sheetName val="[Spt-BH.xls][Spt-BH.xls]_S_1422"/>
      <sheetName val="[Spt-BH.xls][Spt-BH.xls]B__3961"/>
      <sheetName val="[Spt-BH.xls][Spt-BH.xls]B__3962"/>
      <sheetName val="[Spt-BH.xls][Spt-BH.xls]B__3963"/>
      <sheetName val="[Spt-BH.xls][Spt-BH.xls]B__3964"/>
      <sheetName val="[Spt-BH.xls][Spt-BH.xls]B__3965"/>
      <sheetName val="[Spt-BH.xls][Spt-BH.xls]B__3966"/>
      <sheetName val="[Spt-BH.xls][Spt-BH.xls]_S_1423"/>
      <sheetName val="[Spt-BH.xls][Spt-BH.xls]B__3973"/>
      <sheetName val="[Spt-BH.xls][Spt-BH.xls]B__3974"/>
      <sheetName val="[Spt-BH.xls][Spt-BH.xls]_S_1429"/>
      <sheetName val="[Spt-BH.xls][Spt-BH.xls]B__3975"/>
      <sheetName val="[Spt-BH.xls][Spt-BH.xls]B__3976"/>
      <sheetName val="[Spt-BH.xls][Spt-BH.xls]B__3977"/>
      <sheetName val="[Spt-BH.xls][Spt-BH.xls]B__3978"/>
      <sheetName val="[Spt-BH.xls][Spt-BH.xls]_S_1428"/>
      <sheetName val="[Spt-BH.xls][Spt-BH.xls]_S_1426"/>
      <sheetName val="[Spt-BH.xls][Spt-BH.xls]_S_1430"/>
      <sheetName val="[Spt-BH.xls][Spt-BH.xls]_S_1437"/>
      <sheetName val="[Spt-BH.xls][Spt-BH.xls]B__3997"/>
      <sheetName val="[Spt-BH.xls][Spt-BH.xls]B__3998"/>
      <sheetName val="[Spt-BH.xls][Spt-BH.xls]_S_1440"/>
      <sheetName val="[Spt-BH.xls][Spt-BH.xls]B__3999"/>
      <sheetName val="[Spt-BH.xls][Spt-BH.xls]B__4000"/>
      <sheetName val="[Spt-BH.xls][Spt-BH.xls]B__4001"/>
      <sheetName val="[Spt-BH.xls][Spt-BH.xls]B__4002"/>
      <sheetName val="[Spt-BH.xls][Spt-BH.xls]_S_1438"/>
      <sheetName val="[Spt-BH.xls][Spt-BH.xls]_S_1431"/>
      <sheetName val="[Spt-BH.xls][Spt-BH.xls]B__3979"/>
      <sheetName val="[Spt-BH.xls][Spt-BH.xls]B__3980"/>
      <sheetName val="[Spt-BH.xls][Spt-BH.xls]B__3981"/>
      <sheetName val="[Spt-BH.xls][Spt-BH.xls]B__3982"/>
      <sheetName val="[Spt-BH.xls][Spt-BH.xls]B__3983"/>
      <sheetName val="[Spt-BH.xls][Spt-BH.xls]B__3984"/>
      <sheetName val="[Spt-BH.xls][Spt-BH.xls]_S_1432"/>
      <sheetName val="[Spt-BH.xls][Spt-BH.xls]_S_1433"/>
      <sheetName val="[Spt-BH.xls][Spt-BH.xls]B__3985"/>
      <sheetName val="[Spt-BH.xls][Spt-BH.xls]B__3986"/>
      <sheetName val="[Spt-BH.xls][Spt-BH.xls]B__3987"/>
      <sheetName val="[Spt-BH.xls][Spt-BH.xls]B__3988"/>
      <sheetName val="[Spt-BH.xls][Spt-BH.xls]B__3989"/>
      <sheetName val="[Spt-BH.xls][Spt-BH.xls]B__3990"/>
      <sheetName val="[Spt-BH.xls][Spt-BH.xls]_S_1434"/>
      <sheetName val="[Spt-BH.xls][Spt-BH.xls]_S_1435"/>
      <sheetName val="[Spt-BH.xls][Spt-BH.xls]B__3991"/>
      <sheetName val="[Spt-BH.xls][Spt-BH.xls]B__3992"/>
      <sheetName val="[Spt-BH.xls][Spt-BH.xls]B__3993"/>
      <sheetName val="[Spt-BH.xls][Spt-BH.xls]B__3994"/>
      <sheetName val="[Spt-BH.xls][Spt-BH.xls]B__3995"/>
      <sheetName val="[Spt-BH.xls][Spt-BH.xls]B__3996"/>
      <sheetName val="[Spt-BH.xls][Spt-BH.xls]_S_1436"/>
      <sheetName val="[Spt-BH.xls][Spt-BH.xls]_S_1439"/>
      <sheetName val="[Spt-BH.xls][Spt-BH.xls]_S_1443"/>
      <sheetName val="[Spt-BH.xls][Spt-BH.xls]B__4015"/>
      <sheetName val="[Spt-BH.xls][Spt-BH.xls]B__4016"/>
      <sheetName val="[Spt-BH.xls][Spt-BH.xls]_S_1446"/>
      <sheetName val="[Spt-BH.xls][Spt-BH.xls]B__4017"/>
      <sheetName val="[Spt-BH.xls][Spt-BH.xls]B__4018"/>
      <sheetName val="[Spt-BH.xls][Spt-BH.xls]B__4009"/>
      <sheetName val="[Spt-BH.xls][Spt-BH.xls]B__4010"/>
      <sheetName val="[Spt-BH.xls][Spt-BH.xls]_S_1445"/>
      <sheetName val="[Spt-BH.xls][Spt-BH.xls]B__4011"/>
      <sheetName val="[Spt-BH.xls][Spt-BH.xls]B__4012"/>
      <sheetName val="[Spt-BH.xls][Spt-BH.xls]B__4013"/>
      <sheetName val="[Spt-BH.xls][Spt-BH.xls]B__4014"/>
      <sheetName val="[Spt-BH.xls][Spt-BH.xls]_S_1444"/>
      <sheetName val="[Spt-BH.xls][Spt-BH.xls]_S_1441"/>
      <sheetName val="[Spt-BH.xls][Spt-BH.xls]B__4003"/>
      <sheetName val="[Spt-BH.xls][Spt-BH.xls]B__4004"/>
      <sheetName val="[Spt-BH.xls][Spt-BH.xls]B__4005"/>
      <sheetName val="[Spt-BH.xls][Spt-BH.xls]B__4006"/>
      <sheetName val="[Spt-BH.xls][Spt-BH.xls]B__4007"/>
      <sheetName val="[Spt-BH.xls][Spt-BH.xls]B__4008"/>
      <sheetName val="[Spt-BH.xls][Spt-BH.xls]_S_1442"/>
      <sheetName val="[Spt-BH.xls][Spt-BH.xls]B__4023"/>
      <sheetName val="[Spt-BH.xls][Spt-BH.xls]B__4024"/>
      <sheetName val="[Spt-BH.xls][Spt-BH.xls]_S_1450"/>
      <sheetName val="[Spt-BH.xls][Spt-BH.xls]B__4025"/>
      <sheetName val="[Spt-BH.xls][Spt-BH.xls]B__4026"/>
      <sheetName val="[Spt-BH.xls][Spt-BH.xls]B__4031"/>
      <sheetName val="[Spt-BH.xls][Spt-BH.xls]B__4032"/>
      <sheetName val="[Spt-BH.xls][Spt-BH.xls]B__4033"/>
      <sheetName val="[Spt-BH.xls][Spt-BH.xls]B__4034"/>
      <sheetName val="[Spt-BH.xls][Spt-BH.xls]_S_1448"/>
      <sheetName val="[Spt-BH.xls][Spt-BH.xls]_S_1449"/>
      <sheetName val="[Spt-BH.xls][Spt-BH.xls]B__4027"/>
      <sheetName val="[Spt-BH.xls][Spt-BH.xls]B__4028"/>
      <sheetName val="[Spt-BH.xls][Spt-BH.xls]B__4029"/>
      <sheetName val="[Spt-BH.xls][Spt-BH.xls]B__4030"/>
      <sheetName val="[Spt-BH.xls][Spt-BH.xls]_S_1453"/>
      <sheetName val="[Spt-BH.xls][Spt-BH.xls]_S_1452"/>
      <sheetName val="[Spt-BH.xls][Spt-BH.xls]_S_1455"/>
      <sheetName val="[Spt-BH.xls][Spt-BH.xls]_S_1454"/>
      <sheetName val="[Spt-BH.xls][Spt-BH.xls]B__4227"/>
      <sheetName val="[Spt-BH.xls][Spt-BH.xls]B__4228"/>
      <sheetName val="[Spt-BH.xls][Spt-BH.xls]B__4229"/>
      <sheetName val="[Spt-BH.xls][Spt-BH.xls]B__4230"/>
      <sheetName val="[Spt-BH.xls]B____x005f_x0004______316"/>
      <sheetName val="[Spt-BH.xls]B___x005f_x0000__x000_310"/>
      <sheetName val="[Spt-BH.xls][Spt-BH.xls]B__4231"/>
      <sheetName val="[Spt-BH.xls][Spt-BH.xls]B__4035"/>
      <sheetName val="[Spt-BH.xls][Spt-BH.xls]B__4036"/>
      <sheetName val="[Spt-BH.xls][Spt-BH.xls]_S_1520"/>
      <sheetName val="[Spt-BH.xls][Spt-BH.xls]B__4037"/>
      <sheetName val="[Spt-BH.xls][Spt-BH.xls]B__4038"/>
      <sheetName val="[Spt-BH.xls][Spt-BH.xls]_S_1456"/>
      <sheetName val="[Spt-BH.xls][Spt-BH.xls]B__4232"/>
      <sheetName val="[Spt-BH.xls][Spt-BH.xls]B__4039"/>
      <sheetName val="[Spt-BH.xls][Spt-BH.xls]B__4040"/>
      <sheetName val="[Spt-BH.xls][Spt-BH.xls]B__4041"/>
      <sheetName val="[Spt-BH.xls][Spt-BH.xls]B__4042"/>
      <sheetName val="[Spt-BH.xls][Spt-BH.xls]B__4043"/>
      <sheetName val="[Spt-BH.xls][Spt-BH.xls]B__4044"/>
      <sheetName val="[Spt-BH.xls][Spt-BH.xls]B__4045"/>
      <sheetName val="[Spt-BH.xls][Spt-BH.xls]B__4046"/>
      <sheetName val="[Spt-BH.xls][Spt-BH.xls]_S_1457"/>
      <sheetName val="[Spt-BH.xls][Spt-BH.xls]B__4047"/>
      <sheetName val="[Spt-BH.xls][Spt-BH.xls]B__4048"/>
      <sheetName val="[Spt-BH.xls][Spt-BH.xls]B__4049"/>
      <sheetName val="[Spt-BH.xls][Spt-BH.xls]B__4050"/>
      <sheetName val="[Spt-BH.xls][Spt-BH.xls]B__4051"/>
      <sheetName val="[Spt-BH.xls][Spt-BH.xls]B__4052"/>
      <sheetName val="[Spt-BH.xls][Spt-BH.xls]_S_1458"/>
      <sheetName val="[Spt-BH.xls][Spt-BH.xls]B__4053"/>
      <sheetName val="[Spt-BH.xls][Spt-BH.xls]B__4054"/>
      <sheetName val="[Spt-BH.xls][Spt-BH.xls]B__4055"/>
      <sheetName val="[Spt-BH.xls][Spt-BH.xls]B__4056"/>
      <sheetName val="[Spt-BH.xls][Spt-BH.xls]B__4057"/>
      <sheetName val="[Spt-BH.xls][Spt-BH.xls]B__4058"/>
      <sheetName val="[Spt-BH.xls][Spt-BH.xls]_S_1459"/>
      <sheetName val="[Spt-BH.xls][Spt-BH.xls]B__4059"/>
      <sheetName val="[Spt-BH.xls][Spt-BH.xls]_S_1461"/>
      <sheetName val="[Spt-BH.xls][Spt-BH.xls]_S_1464"/>
      <sheetName val="[Spt-BH.xls][Spt-BH.xls]B__4060"/>
      <sheetName val="[Spt-BH.xls][Spt-BH.xls]_S_1460"/>
      <sheetName val="[Spt-BH.xls]B____x005f_x0004______317"/>
      <sheetName val="[Spt-BH.xls]B___x005f_x0000__x000_311"/>
      <sheetName val="[Spt-BH.xls][Spt-BH_xls]B__3830"/>
      <sheetName val="[Spt-BH.xls][Spt-BH_xls]B__3831"/>
      <sheetName val="[Spt-BH.xls][Spt-BH_xls]B__3832"/>
      <sheetName val="[Spt-BH.xls][Spt-BH_xls]B__3833"/>
      <sheetName val="[Spt-BH.xls][Spt-BH_xls]_S_1266"/>
      <sheetName val="[Spt-BH.xls][Spt-BH_xls]B__3834"/>
      <sheetName val="[Spt-BH.xls][Spt-BH_xls]B__3835"/>
      <sheetName val="[Spt-BH.xls][Spt-BH_xls]B__3836"/>
      <sheetName val="[Spt-BH.xls][Spt-BH_xls]_S_1267"/>
      <sheetName val="[Spt-BH.xls][Spt-BH_xls]B__3837"/>
      <sheetName val="[Spt-BH.xls][Spt-BH_xls]B__3838"/>
      <sheetName val="[Spt-BH.xls][Spt-BH_xls]B__3839"/>
      <sheetName val="[Spt-BH.xls][Spt-BH_xls]B__3840"/>
      <sheetName val="[Spt-BH.xls][Spt-BH_xls]_S_1268"/>
      <sheetName val="[Spt-BH.xls][Spt-BH_xls]B__3841"/>
      <sheetName val="[Spt-BH.xls][Spt-BH_xls]B__3842"/>
      <sheetName val="[Spt-BH.xls][Spt-BH_xls]_S_1269"/>
      <sheetName val="[Spt-BH.xls][Spt-BH_xls]B__3843"/>
      <sheetName val="[Spt-BH.xls][Spt-BH_xls]B__3844"/>
      <sheetName val="[Spt-BH.xls][Spt-BH_xls]_S_1270"/>
      <sheetName val="[Spt-BH.xls][Spt-BH_xls]B__3815"/>
      <sheetName val="[Spt-BH.xls][Spt-BH_xls]B__3816"/>
      <sheetName val="[Spt-BH.xls][Spt-BH_xls]B__3817"/>
      <sheetName val="[Spt-BH.xls][Spt-BH_xls]B__3818"/>
      <sheetName val="[Spt-BH.xls][Spt-BH_xls]_S_1261"/>
      <sheetName val="[Spt-BH.xls][Spt-BH_xls]B__3819"/>
      <sheetName val="[Spt-BH.xls][Spt-BH_xls]B__3820"/>
      <sheetName val="[Spt-BH.xls][Spt-BH_xls]B__3821"/>
      <sheetName val="[Spt-BH.xls][Spt-BH_xls]_S_1262"/>
      <sheetName val="[Spt-BH.xls][Spt-BH_xls]B__3822"/>
      <sheetName val="[Spt-BH.xls][Spt-BH_xls]B__3823"/>
      <sheetName val="[Spt-BH.xls][Spt-BH_xls]B__3824"/>
      <sheetName val="[Spt-BH.xls][Spt-BH_xls]B__3825"/>
      <sheetName val="[Spt-BH.xls][Spt-BH_xls]_S_1263"/>
      <sheetName val="[Spt-BH.xls][Spt-BH_xls]B__3826"/>
      <sheetName val="[Spt-BH.xls][Spt-BH_xls]B__3827"/>
      <sheetName val="[Spt-BH.xls][Spt-BH_xls]_S_1264"/>
      <sheetName val="[Spt-BH.xls][Spt-BH_xls]B__3828"/>
      <sheetName val="[Spt-BH.xls][Spt-BH_xls]B__3829"/>
      <sheetName val="[Spt-BH.xls][Spt-BH_xls]_S_1265"/>
      <sheetName val="[Spt-BH.xls][Spt-BH.xls]_S_1462"/>
      <sheetName val="[Spt-BH.xls][Spt-BH.xls]_S_1463"/>
      <sheetName val="[Spt-BH.xls][Spt-BH.xls]B__4061"/>
      <sheetName val="[Spt-BH.xls][Spt-BH.xls]B__4062"/>
      <sheetName val="[Spt-BH.xls][Spt-BH.xls]_S_1465"/>
      <sheetName val="[Spt-BH.xls][Spt-BH.xls]B__4063"/>
      <sheetName val="[Spt-BH.xls][Spt-BH.xls]B__4064"/>
      <sheetName val="[Spt-BH.xls][Spt-BH.xls]B__4065"/>
      <sheetName val="[Spt-BH.xls][Spt-BH.xls]B__4066"/>
      <sheetName val="[Spt-BH.xls][Spt-BH.xls]_S_1467"/>
      <sheetName val="[Spt-BH.xls][Spt-BH.xls]B__4067"/>
      <sheetName val="[Spt-BH.xls][Spt-BH.xls]B__4068"/>
      <sheetName val="[Spt-BH.xls][Spt-BH.xls]B__4069"/>
      <sheetName val="[Spt-BH.xls][Spt-BH.xls]B__4070"/>
      <sheetName val="[Spt-BH.xls][Spt-BH.xls]_S_1466"/>
      <sheetName val="[Spt-BH.xls][Spt-BH.xls]_S_1468"/>
      <sheetName val="[Spt-BH.xls][Spt-BH.xls]_S_1470"/>
      <sheetName val="[Spt-BH.xls][Spt-BH.xls]_S_1469"/>
      <sheetName val="[Spt-BH.xls][Spt-BH.xls]_S_1471"/>
      <sheetName val="[Spt-BH.xls][Spt-BH.xls]B__4071"/>
      <sheetName val="[Spt-BH.xls][Spt-BH.xls]B__4072"/>
      <sheetName val="[Spt-BH.xls][Spt-BH.xls]_S_1474"/>
      <sheetName val="[Spt-BH.xls][Spt-BH.xls]B__4073"/>
      <sheetName val="[Spt-BH.xls][Spt-BH.xls]B__4074"/>
      <sheetName val="[Spt-BH.xls][Spt-BH.xls]B__4075"/>
      <sheetName val="[Spt-BH.xls][Spt-BH.xls]_S_1472"/>
      <sheetName val="[Spt-BH.xls][Spt-BH.xls]B__4076"/>
      <sheetName val="[Spt-BH.xls][Spt-BH.xls]_S_1473"/>
      <sheetName val="[Spt-BH.xls][Spt-BH.xls]B__4077"/>
      <sheetName val="[Spt-BH.xls][Spt-BH.xls]B__4078"/>
      <sheetName val="[Spt-BH.xls][Spt-BH.xls]_S_1476"/>
      <sheetName val="[Spt-BH.xls][Spt-BH.xls]B__4079"/>
      <sheetName val="[Spt-BH.xls][Spt-BH.xls]B__4080"/>
      <sheetName val="[Spt-BH.xls][Spt-BH.xls]B__4081"/>
      <sheetName val="[Spt-BH.xls][Spt-BH.xls]B__4082"/>
      <sheetName val="[Spt-BH.xls][Spt-BH.xls]_S_1475"/>
      <sheetName val="[Spt-BH.xls][Spt-BH.xls]B__4083"/>
      <sheetName val="[Spt-BH.xls][Spt-BH.xls]B__4084"/>
      <sheetName val="[Spt-BH.xls][Spt-BH.xls]_S_1479"/>
      <sheetName val="[Spt-BH.xls][Spt-BH.xls]B__4085"/>
      <sheetName val="[Spt-BH.xls][Spt-BH.xls]B__4086"/>
      <sheetName val="[Spt-BH.xls][Spt-BH.xls]B__4087"/>
      <sheetName val="[Spt-BH.xls][Spt-BH.xls]_S_1477"/>
      <sheetName val="[Spt-BH.xls][Spt-BH.xls]B__4088"/>
      <sheetName val="[Spt-BH.xls][Spt-BH.xls]_S_1478"/>
      <sheetName val="[Spt-BH.xls][Spt-BH.xls]B__4090"/>
      <sheetName val="[Spt-BH.xls][Spt-BH.xls]B__4091"/>
      <sheetName val="[Spt-BH.xls][Spt-BH.xls]_S_1481"/>
      <sheetName val="[Spt-BH.xls][Spt-BH.xls]B__4092"/>
      <sheetName val="[Spt-BH.xls][Spt-BH.xls]B__4093"/>
      <sheetName val="[Spt-BH.xls]B____x005f_x0004______318"/>
      <sheetName val="[Spt-BH.xls]B___x005f_x0000__x000_312"/>
      <sheetName val="[Spt-BH.xls][Spt-BH.xls]B__4094"/>
      <sheetName val="[Spt-BH.xls][Spt-BH.xls]B__4095"/>
      <sheetName val="[Spt-BH.xls][Spt-BH.xls]B__4089"/>
      <sheetName val="[Spt-BH.xls][Spt-BH.xls]_S_1480"/>
      <sheetName val="[Spt-BH.xls][Spt-BH_xls]B__3845"/>
      <sheetName val="[Spt-BH.xls][Spt-BH_xls]B__3846"/>
      <sheetName val="[Spt-BH.xls][Spt-BH_xls]B__3847"/>
      <sheetName val="[Spt-BH.xls][Spt-BH_xls]B__3848"/>
      <sheetName val="[Spt-BH.xls][Spt-BH_xls]_S_1271"/>
      <sheetName val="[Spt-BH.xls][Spt-BH_xls]B__3849"/>
      <sheetName val="[Spt-BH.xls][Spt-BH_xls]B__3850"/>
      <sheetName val="[Spt-BH.xls][Spt-BH_xls]B__3851"/>
      <sheetName val="[Spt-BH.xls][Spt-BH_xls]_S_1272"/>
      <sheetName val="[Spt-BH.xls][Spt-BH_xls]B__3852"/>
      <sheetName val="[Spt-BH.xls][Spt-BH_xls]B__3853"/>
      <sheetName val="[Spt-BH.xls][Spt-BH_xls]B__3854"/>
      <sheetName val="[Spt-BH.xls][Spt-BH_xls]B__3855"/>
      <sheetName val="[Spt-BH.xls][Spt-BH_xls]_S_1273"/>
      <sheetName val="[Spt-BH.xls][Spt-BH_xls]B__3856"/>
      <sheetName val="[Spt-BH.xls][Spt-BH_xls]B__3857"/>
      <sheetName val="[Spt-BH.xls][Spt-BH_xls]_S_1274"/>
      <sheetName val="[Spt-BH.xls][Spt-BH_xls]B__3858"/>
      <sheetName val="[Spt-BH.xls][Spt-BH_xls]B__3859"/>
      <sheetName val="[Spt-BH.xls][Spt-BH_xls]_S_1275"/>
      <sheetName val="[Spt-BH.xls][Spt-BH.xls]_S_1484"/>
      <sheetName val="[Spt-BH.xls][Spt-BH.xls]_S_1482"/>
      <sheetName val="[Spt-BH.xls][Spt-BH.xls]_S_1483"/>
      <sheetName val="[Spt-BH.xls][Spt-BH.xls]_S_1486"/>
      <sheetName val="[Spt-BH.xls][Spt-BH.xls]B__4096"/>
      <sheetName val="[Spt-BH.xls][Spt-BH.xls]B__4097"/>
      <sheetName val="[Spt-BH.xls][Spt-BH.xls]B__4098"/>
      <sheetName val="[Spt-BH.xls][Spt-BH.xls]B__4099"/>
      <sheetName val="[Spt-BH.xls][Spt-BH.xls]B__4100"/>
      <sheetName val="[Spt-BH.xls][Spt-BH.xls]B__4101"/>
      <sheetName val="[Spt-BH.xls][Spt-BH.xls]B__4109"/>
      <sheetName val="[Spt-BH.xls][Spt-BH.xls]B__4110"/>
      <sheetName val="[Spt-BH.xls][Spt-BH.xls]_S_1488"/>
      <sheetName val="[Spt-BH.xls][Spt-BH.xls]B__4111"/>
      <sheetName val="[Spt-BH.xls][Spt-BH.xls]B__4112"/>
      <sheetName val="[Spt-BH.xls]B____x005f_x0004______319"/>
      <sheetName val="[Spt-BH.xls]B___x005f_x0000__x000_313"/>
      <sheetName val="[Spt-BH.xls][Spt-BH.xls]B__4113"/>
      <sheetName val="[Spt-BH.xls][Spt-BH.xls]B__4114"/>
      <sheetName val="[Spt-BH.xls][Spt-BH.xls]B__4102"/>
      <sheetName val="[Spt-BH.xls][Spt-BH.xls]_S_1487"/>
      <sheetName val="[Spt-BH.xls][Spt-BH_xls]B__3860"/>
      <sheetName val="[Spt-BH.xls][Spt-BH_xls]B__3861"/>
      <sheetName val="[Spt-BH.xls][Spt-BH_xls]B__3862"/>
      <sheetName val="[Spt-BH.xls][Spt-BH_xls]B__3863"/>
      <sheetName val="[Spt-BH.xls][Spt-BH_xls]_S_1276"/>
      <sheetName val="[Spt-BH.xls][Spt-BH_xls]B__3864"/>
      <sheetName val="[Spt-BH.xls][Spt-BH_xls]B__3865"/>
      <sheetName val="[Spt-BH.xls][Spt-BH_xls]B__3866"/>
      <sheetName val="[Spt-BH.xls][Spt-BH_xls]_S_1277"/>
      <sheetName val="[Spt-BH.xls][Spt-BH_xls]B__3867"/>
      <sheetName val="[Spt-BH.xls][Spt-BH_xls]B__3868"/>
      <sheetName val="[Spt-BH.xls][Spt-BH_xls]B__3869"/>
      <sheetName val="[Spt-BH.xls][Spt-BH_xls]B__3870"/>
      <sheetName val="[Spt-BH.xls][Spt-BH_xls]_S_1278"/>
      <sheetName val="[Spt-BH.xls][Spt-BH_xls]B__3871"/>
      <sheetName val="[Spt-BH.xls][Spt-BH_xls]B__3872"/>
      <sheetName val="[Spt-BH.xls][Spt-BH_xls]_S_1279"/>
      <sheetName val="[Spt-BH.xls][Spt-BH_xls]B__3873"/>
      <sheetName val="[Spt-BH.xls][Spt-BH_xls]B__3874"/>
      <sheetName val="[Spt-BH.xls][Spt-BH_xls]_S_1280"/>
      <sheetName val="[Spt-BH.xls][Spt-BH.xls]B__4103"/>
      <sheetName val="[Spt-BH.xls][Spt-BH.xls]B__4104"/>
      <sheetName val="[Spt-BH.xls][Spt-BH.xls]B__4105"/>
      <sheetName val="[Spt-BH.xls][Spt-BH.xls]B__4106"/>
      <sheetName val="[Spt-BH.xls][Spt-BH.xls]B__4107"/>
      <sheetName val="[Spt-BH.xls][Spt-BH.xls]B__4108"/>
      <sheetName val="[Spt-BH.xls][Spt-BH.xls]_S_1485"/>
      <sheetName val="[Spt-BH.xls][Spt-BH.xls]_S_1489"/>
      <sheetName val="[Spt-BH.xls][Spt-BH.xls]B__4115"/>
      <sheetName val="[Spt-BH.xls][Spt-BH.xls]B__4116"/>
      <sheetName val="[Spt-BH.xls][Spt-BH.xls]_S_1491"/>
      <sheetName val="[Spt-BH.xls][Spt-BH.xls]B__4117"/>
      <sheetName val="[Spt-BH.xls][Spt-BH.xls]B__4118"/>
      <sheetName val="[Spt-BH.xls][Spt-BH.xls]B__4119"/>
      <sheetName val="[Spt-BH.xls][Spt-BH.xls]B__4120"/>
      <sheetName val="[Spt-BH.xls][Spt-BH.xls]_S_1490"/>
      <sheetName val="[Spt-BH.xls][Spt-BH.xls]B__4121"/>
      <sheetName val="[Spt-BH.xls][Spt-BH.xls]B__4122"/>
      <sheetName val="[Spt-BH.xls][Spt-BH.xls]_S_1494"/>
      <sheetName val="[Spt-BH.xls][Spt-BH.xls]B__4123"/>
      <sheetName val="[Spt-BH.xls][Spt-BH.xls]B__4124"/>
      <sheetName val="[Spt-BH.xls][Spt-BH.xls]B__4125"/>
      <sheetName val="[Spt-BH.xls][Spt-BH.xls]_S_1492"/>
      <sheetName val="[Spt-BH.xls][Spt-BH.xls]B__4126"/>
      <sheetName val="[Spt-BH.xls][Spt-BH.xls]_S_1493"/>
      <sheetName val="[Spt-BH.xls][Spt-BH.xls]B__4128"/>
      <sheetName val="[Spt-BH.xls][Spt-BH.xls]B__4129"/>
      <sheetName val="[Spt-BH.xls][Spt-BH.xls]_S_1497"/>
      <sheetName val="[Spt-BH.xls][Spt-BH.xls]B__4130"/>
      <sheetName val="[Spt-BH.xls][Spt-BH.xls]B__4131"/>
      <sheetName val="[Spt-BH.xls]B____x005f_x0004______320"/>
      <sheetName val="[Spt-BH.xls]B___x005f_x0000__x000_314"/>
      <sheetName val="[Spt-BH.xls][Spt-BH.xls]B__4132"/>
      <sheetName val="[Spt-BH.xls][Spt-BH.xls]B__4133"/>
      <sheetName val="[Spt-BH.xls][Spt-BH.xls]B__4127"/>
      <sheetName val="[Spt-BH.xls][Spt-BH.xls]_S_1495"/>
      <sheetName val="[Spt-BH.xls][Spt-BH_xls]B__3875"/>
      <sheetName val="[Spt-BH.xls][Spt-BH_xls]B__3876"/>
      <sheetName val="[Spt-BH.xls][Spt-BH_xls]B__3877"/>
      <sheetName val="[Spt-BH.xls][Spt-BH_xls]B__3878"/>
      <sheetName val="[Spt-BH.xls][Spt-BH_xls]_S_1281"/>
      <sheetName val="[Spt-BH.xls][Spt-BH_xls]B__3879"/>
      <sheetName val="[Spt-BH.xls][Spt-BH_xls]B__3880"/>
      <sheetName val="[Spt-BH.xls][Spt-BH_xls]B__3881"/>
      <sheetName val="[Spt-BH.xls][Spt-BH_xls]_S_1282"/>
      <sheetName val="[Spt-BH.xls][Spt-BH_xls]B__3882"/>
      <sheetName val="[Spt-BH.xls][Spt-BH_xls]B__3883"/>
      <sheetName val="[Spt-BH.xls][Spt-BH_xls]B__3884"/>
      <sheetName val="[Spt-BH.xls][Spt-BH_xls]B__3885"/>
      <sheetName val="[Spt-BH.xls][Spt-BH_xls]_S_1283"/>
      <sheetName val="[Spt-BH.xls][Spt-BH_xls]B__3886"/>
      <sheetName val="[Spt-BH.xls][Spt-BH_xls]B__3887"/>
      <sheetName val="[Spt-BH.xls][Spt-BH_xls]_S_1284"/>
      <sheetName val="[Spt-BH.xls][Spt-BH_xls]B__3888"/>
      <sheetName val="[Spt-BH.xls][Spt-BH_xls]B__3889"/>
      <sheetName val="[Spt-BH.xls][Spt-BH_xls]_S_1285"/>
      <sheetName val="[Spt-BH.xls][Spt-BH.xls]B__4135"/>
      <sheetName val="[Spt-BH.xls][Spt-BH.xls]_S_1496"/>
      <sheetName val="[Spt-BH.xls][Spt-BH.xls]B__4134"/>
      <sheetName val="[Spt-BH.xls][Spt-BH.xls]_S_1499"/>
      <sheetName val="[Spt-BH.xls][Spt-BH.xls]_S_1498"/>
      <sheetName val="[Spt-BH.xls][Spt-BH.xls]B__4136"/>
      <sheetName val="[Spt-BH.xls][Spt-BH.xls]B__4137"/>
      <sheetName val="[Spt-BH.xls][Spt-BH.xls]_S_1501"/>
      <sheetName val="[Spt-BH.xls][Spt-BH.xls]B__4138"/>
      <sheetName val="[Spt-BH.xls][Spt-BH.xls]B__4139"/>
      <sheetName val="[Spt-BH.xls][Spt-BH.xls]B__4140"/>
      <sheetName val="[Spt-BH.xls][Spt-BH.xls]B__4141"/>
      <sheetName val="[Spt-BH.xls][Spt-BH.xls]_S_1500"/>
      <sheetName val="[Spt-BH.xls][Spt-BH.xls]_S_1502"/>
      <sheetName val="[Spt-BH.xls][Spt-BH.xls]B__4161"/>
      <sheetName val="[Spt-BH.xls][Spt-BH.xls]B__4162"/>
      <sheetName val="[Spt-BH.xls][Spt-BH.xls]B__4163"/>
      <sheetName val="[Spt-BH.xls][Spt-BH.xls]B__4164"/>
      <sheetName val="[Spt-BH.xls]B____x005f_x0004______321"/>
      <sheetName val="[Spt-BH.xls]B___x005f_x0000__x000_315"/>
      <sheetName val="[Spt-BH.xls][Spt-BH.xls]B__4165"/>
      <sheetName val="[Spt-BH.xls][Spt-BH.xls]B__4142"/>
      <sheetName val="[Spt-BH.xls][Spt-BH.xls]B__4143"/>
      <sheetName val="[Spt-BH.xls][Spt-BH.xls]_S_1508"/>
      <sheetName val="[Spt-BH.xls][Spt-BH.xls]B__4144"/>
      <sheetName val="[Spt-BH.xls][Spt-BH.xls]B__4145"/>
      <sheetName val="[Spt-BH.xls][Spt-BH.xls]_S_1503"/>
      <sheetName val="[Spt-BH.xls][Spt-BH.xls]B__4166"/>
      <sheetName val="[Spt-BH.xls][Spt-BH.xls]B__4146"/>
      <sheetName val="[Spt-BH.xls][Spt-BH.xls]B__4147"/>
      <sheetName val="[Spt-BH.xls][Spt-BH.xls]_S_1509"/>
      <sheetName val="[Spt-BH.xls][Spt-BH_xls]B__3890"/>
      <sheetName val="[Spt-BH.xls][Spt-BH_xls]B__3891"/>
      <sheetName val="[Spt-BH.xls][Spt-BH_xls]B__3892"/>
      <sheetName val="[Spt-BH.xls][Spt-BH_xls]B__3893"/>
      <sheetName val="[Spt-BH.xls][Spt-BH_xls]_S_1286"/>
      <sheetName val="[Spt-BH.xls][Spt-BH_xls]B__3894"/>
      <sheetName val="[Spt-BH.xls][Spt-BH_xls]B__3895"/>
      <sheetName val="[Spt-BH.xls][Spt-BH_xls]B__3896"/>
      <sheetName val="[Spt-BH.xls][Spt-BH_xls]_S_1287"/>
      <sheetName val="[Spt-BH.xls][Spt-BH_xls]B__3897"/>
      <sheetName val="[Spt-BH.xls][Spt-BH_xls]B__3898"/>
      <sheetName val="[Spt-BH.xls][Spt-BH_xls]B__3899"/>
      <sheetName val="[Spt-BH.xls][Spt-BH_xls]B__3900"/>
      <sheetName val="[Spt-BH.xls][Spt-BH_xls]_S_1288"/>
      <sheetName val="[Spt-BH.xls][Spt-BH.xls]B__4148"/>
      <sheetName val="[Spt-BH.xls][Spt-BH.xls]_S_1504"/>
      <sheetName val="[Spt-BH.xls][Spt-BH_xls]B__3901"/>
      <sheetName val="[Spt-BH.xls][Spt-BH_xls]B__3902"/>
      <sheetName val="[Spt-BH.xls][Spt-BH_xls]_S_1289"/>
      <sheetName val="[Spt-BH.xls][Spt-BH_xls]B__3903"/>
      <sheetName val="[Spt-BH.xls][Spt-BH_xls]B__3904"/>
      <sheetName val="[Spt-BH.xls][Spt-BH_xls]_S_1290"/>
      <sheetName val="[Spt-BH.xls][Spt-BH.xls]B__4155"/>
      <sheetName val="[Spt-BH.xls][Spt-BH.xls]B__4156"/>
      <sheetName val="[Spt-BH.xls][Spt-BH.xls]B__4157"/>
      <sheetName val="[Spt-BH.xls][Spt-BH.xls]B__4158"/>
      <sheetName val="[Spt-BH.xls][Spt-BH.xls]B__4159"/>
      <sheetName val="[Spt-BH.xls][Spt-BH.xls]_S_1507"/>
      <sheetName val="[Spt-BH.xls][Spt-BH.xls]B__4160"/>
      <sheetName val="[Spt-BH.xls][Spt-BH.xls]B__4149"/>
      <sheetName val="[Spt-BH.xls][Spt-BH.xls]B__4150"/>
      <sheetName val="[Spt-BH.xls][Spt-BH.xls]B__4151"/>
      <sheetName val="[Spt-BH.xls][Spt-BH.xls]B__4152"/>
      <sheetName val="[Spt-BH.xls][Spt-BH.xls]B__4153"/>
      <sheetName val="[Spt-BH.xls][Spt-BH.xls]_S_1505"/>
      <sheetName val="[Spt-BH.xls][Spt-BH.xls]B__4154"/>
      <sheetName val="[Spt-BH.xls][Spt-BH.xls]_S_1506"/>
      <sheetName val="[Spt-BH.xls][Spt-BH.xls]B__4167"/>
      <sheetName val="[Spt-BH.xls][Spt-BH.xls]B__4168"/>
      <sheetName val="[Spt-BH.xls][Spt-BH.xls]B__4169"/>
      <sheetName val="[Spt-BH.xls][Spt-BH.xls]B__4170"/>
      <sheetName val="[Spt-BH.xls][Spt-BH.xls]B__4171"/>
      <sheetName val="[Spt-BH.xls][Spt-BH.xls]_S_1510"/>
      <sheetName val="[Spt-BH.xls][Spt-BH.xls]B__4172"/>
      <sheetName val="[Spt-BH.xls][Spt-BH.xls]B__4173"/>
      <sheetName val="[Spt-BH.xls][Spt-BH.xls]B__4174"/>
      <sheetName val="[Spt-BH.xls][Spt-BH.xls]B__4175"/>
      <sheetName val="[Spt-BH.xls][Spt-BH.xls]B__4176"/>
      <sheetName val="[Spt-BH.xls][Spt-BH.xls]B__4177"/>
      <sheetName val="[Spt-BH.xls][Spt-BH.xls]_S_1511"/>
      <sheetName val="[Spt-BH.xls][Spt-BH.xls]B__4178"/>
      <sheetName val="[Spt-BH.xls][Spt-BH.xls]B__4179"/>
      <sheetName val="[Spt-BH.xls][Spt-BH.xls]B__4180"/>
      <sheetName val="[Spt-BH.xls][Spt-BH.xls]B__4181"/>
      <sheetName val="[Spt-BH.xls][Spt-BH.xls]B__4182"/>
      <sheetName val="[Spt-BH.xls][Spt-BH.xls]B__4183"/>
      <sheetName val="[Spt-BH.xls][Spt-BH.xls]_S_1512"/>
      <sheetName val="[Spt-BH.xls][Spt-BH.xls]B__4184"/>
      <sheetName val="[Spt-BH.xls][Spt-BH.xls]B__4185"/>
      <sheetName val="[Spt-BH.xls][Spt-BH.xls]B__4186"/>
      <sheetName val="[Spt-BH.xls][Spt-BH.xls]B__4187"/>
      <sheetName val="[Spt-BH.xls][Spt-BH.xls]B__4188"/>
      <sheetName val="[Spt-BH.xls][Spt-BH.xls]B__4189"/>
      <sheetName val="[Spt-BH.xls][Spt-BH.xls]_S_1513"/>
      <sheetName val="[Spt-BH.xls][Spt-BH.xls]B__4190"/>
      <sheetName val="[Spt-BH.xls][Spt-BH.xls]B__4191"/>
      <sheetName val="[Spt-BH.xls][Spt-BH.xls]B__4192"/>
      <sheetName val="[Spt-BH.xls][Spt-BH.xls]B__4193"/>
      <sheetName val="[Spt-BH.xls][Spt-BH.xls]B__4194"/>
      <sheetName val="[Spt-BH.xls][Spt-BH.xls]B__4195"/>
      <sheetName val="[Spt-BH.xls][Spt-BH.xls]_S_1514"/>
      <sheetName val="[Spt-BH.xls][Spt-BH.xls]B__4196"/>
      <sheetName val="[Spt-BH.xls][Spt-BH.xls]B__4197"/>
      <sheetName val="[Spt-BH.xls][Spt-BH.xls]B__4198"/>
      <sheetName val="[Spt-BH.xls][Spt-BH.xls]B__4199"/>
      <sheetName val="[Spt-BH.xls][Spt-BH.xls]B__4200"/>
      <sheetName val="[Spt-BH.xls][Spt-BH.xls]B__4201"/>
      <sheetName val="[Spt-BH.xls][Spt-BH.xls]_S_1515"/>
      <sheetName val="[Spt-BH.xls][Spt-BH.xls]B__4202"/>
      <sheetName val="[Spt-BH.xls][Spt-BH.xls]B__4203"/>
      <sheetName val="[Spt-BH.xls][Spt-BH.xls]B__4204"/>
      <sheetName val="[Spt-BH.xls][Spt-BH.xls]B__4205"/>
      <sheetName val="[Spt-BH.xls][Spt-BH.xls]B__4206"/>
      <sheetName val="[Spt-BH.xls][Spt-BH.xls]B__4207"/>
      <sheetName val="[Spt-BH.xls][Spt-BH.xls]_S_1516"/>
      <sheetName val="[Spt-BH.xls][Spt-BH.xls]B__4208"/>
      <sheetName val="[Spt-BH.xls][Spt-BH.xls]B__4209"/>
      <sheetName val="[Spt-BH.xls][Spt-BH.xls]B__4210"/>
      <sheetName val="[Spt-BH.xls][Spt-BH.xls]B__4211"/>
      <sheetName val="[Spt-BH.xls][Spt-BH.xls]B__4212"/>
      <sheetName val="[Spt-BH.xls][Spt-BH.xls]B__4213"/>
      <sheetName val="[Spt-BH.xls][Spt-BH.xls]_S_1517"/>
      <sheetName val="[Spt-BH.xls][Spt-BH.xls]B__4214"/>
      <sheetName val="[Spt-BH.xls][Spt-BH.xls]B__4215"/>
      <sheetName val="[Spt-BH.xls][Spt-BH.xls]B__4216"/>
      <sheetName val="[Spt-BH.xls][Spt-BH.xls]B__4217"/>
      <sheetName val="[Spt-BH.xls][Spt-BH.xls]B__4218"/>
      <sheetName val="[Spt-BH.xls][Spt-BH.xls]B__4219"/>
      <sheetName val="[Spt-BH.xls][Spt-BH.xls]_S_1518"/>
      <sheetName val="[Spt-BH.xls][Spt-BH.xls]B__4220"/>
      <sheetName val="[Spt-BH.xls][Spt-BH.xls]B__4221"/>
      <sheetName val="[Spt-BH.xls][Spt-BH.xls]B__4222"/>
      <sheetName val="[Spt-BH.xls][Spt-BH.xls]B__4223"/>
      <sheetName val="[Spt-BH.xls][Spt-BH.xls]B__4224"/>
      <sheetName val="[Spt-BH.xls][Spt-BH.xls]B__4225"/>
      <sheetName val="[Spt-BH.xls][Spt-BH.xls]_S_1519"/>
      <sheetName val="[Spt-BH.xls][Spt-BH.xls]B__4226"/>
      <sheetName val="[Spt-BH.xls][Spt-BH.xls]_S_1524"/>
      <sheetName val="[Spt-BH.xls][Spt-BH.xls]_S_1521"/>
      <sheetName val="[Spt-BH.xls][Spt-BH.xls]_S_1522"/>
      <sheetName val="[Spt-BH.xls][Spt-BH.xls]B__4233"/>
      <sheetName val="[Spt-BH.xls][Spt-BH.xls]B__4234"/>
      <sheetName val="[Spt-BH.xls][Spt-BH.xls]B__4235"/>
      <sheetName val="[Spt-BH.xls][Spt-BH.xls]B__4236"/>
      <sheetName val="[Spt-BH.xls][Spt-BH.xls]B__4237"/>
      <sheetName val="[Spt-BH.xls][Spt-BH.xls]B__4238"/>
      <sheetName val="[Spt-BH.xls][Spt-BH.xls]_S_1523"/>
      <sheetName val="[Spt-BH.xls][Spt-BH.xls]_S_1530"/>
      <sheetName val="[Spt-BH.xls][Spt-BH.xls]_S_1526"/>
      <sheetName val="[Spt-BH.xls][Spt-BH.xls]_S_1527"/>
      <sheetName val="[Spt-BH.xls][Spt-BH.xls]_S_1528"/>
      <sheetName val="[Spt-BH.xls][Spt-BH.xls]_S_1529"/>
      <sheetName val="[Spt-BH.xls][Spt-BH.xls]_S_1531"/>
      <sheetName val="[Spt-BH.xls][Spt-BH.xls]_S_1532"/>
      <sheetName val="[Spt-BH.xls][Spt-BH.xls]_S_1533"/>
      <sheetName val="[Spt-BH.xls]B____x005f_x0004______322"/>
      <sheetName val="[Spt-BH.xls]B___x005f_x0000__x000_316"/>
      <sheetName val="[Spt-BH.xls][Spt-BH_xls]B__3905"/>
      <sheetName val="[Spt-BH.xls][Spt-BH_xls]B__3906"/>
      <sheetName val="[Spt-BH.xls][Spt-BH_xls]B__3907"/>
      <sheetName val="[Spt-BH.xls][Spt-BH_xls]B__3908"/>
      <sheetName val="[Spt-BH.xls][Spt-BH_xls]_S_1291"/>
      <sheetName val="[Spt-BH.xls][Spt-BH_xls]B__3909"/>
      <sheetName val="[Spt-BH.xls][Spt-BH_xls]B__3910"/>
      <sheetName val="[Spt-BH.xls][Spt-BH_xls]B__3911"/>
      <sheetName val="[Spt-BH.xls][Spt-BH_xls]_S_1292"/>
      <sheetName val="[Spt-BH.xls][Spt-BH_xls]B__3912"/>
      <sheetName val="[Spt-BH.xls][Spt-BH_xls]B__3913"/>
      <sheetName val="[Spt-BH.xls][Spt-BH_xls]B__3914"/>
      <sheetName val="[Spt-BH.xls][Spt-BH_xls]B__3915"/>
      <sheetName val="[Spt-BH.xls][Spt-BH_xls]_S_1293"/>
      <sheetName val="[Spt-BH.xls][Spt-BH_xls]B__3916"/>
      <sheetName val="[Spt-BH.xls][Spt-BH_xls]B__3917"/>
      <sheetName val="[Spt-BH.xls][Spt-BH_xls]_S_1294"/>
      <sheetName val="[Spt-BH.xls][Spt-BH_xls]B__3918"/>
      <sheetName val="[Spt-BH.xls][Spt-BH_xls]B__3919"/>
      <sheetName val="[Spt-BH.xls][Spt-BH_xls]_S_1295"/>
      <sheetName val="[Spt-BH.xls]B____x005f_x0004______323"/>
      <sheetName val="[Spt-BH.xls]B___x005f_x0000__x000_317"/>
      <sheetName val="[Spt-BH.xls][Spt-BH_xls]B__3920"/>
      <sheetName val="[Spt-BH.xls][Spt-BH_xls]B__3921"/>
      <sheetName val="[Spt-BH.xls][Spt-BH_xls]B__3922"/>
      <sheetName val="[Spt-BH.xls][Spt-BH_xls]B__3923"/>
      <sheetName val="[Spt-BH.xls][Spt-BH_xls]_S_1296"/>
      <sheetName val="[Spt-BH.xls][Spt-BH_xls]B__3924"/>
      <sheetName val="[Spt-BH.xls][Spt-BH_xls]B__3925"/>
      <sheetName val="[Spt-BH.xls][Spt-BH_xls]B__3926"/>
      <sheetName val="[Spt-BH.xls][Spt-BH_xls]_S_1297"/>
      <sheetName val="[Spt-BH.xls][Spt-BH_xls]B__3927"/>
      <sheetName val="[Spt-BH.xls][Spt-BH_xls]B__3928"/>
      <sheetName val="[Spt-BH.xls][Spt-BH_xls]B__3929"/>
      <sheetName val="[Spt-BH.xls][Spt-BH_xls]B__3930"/>
      <sheetName val="[Spt-BH.xls][Spt-BH_xls]_S_1298"/>
      <sheetName val="[Spt-BH.xls][Spt-BH_xls]B__3931"/>
      <sheetName val="[Spt-BH.xls][Spt-BH_xls]B__3932"/>
      <sheetName val="[Spt-BH.xls][Spt-BH_xls]_S_1299"/>
      <sheetName val="[Spt-BH.xls][Spt-BH_xls]B__3933"/>
      <sheetName val="[Spt-BH.xls][Spt-BH_xls]B__3934"/>
      <sheetName val="[Spt-BH.xls][Spt-BH_xls]_S_1300"/>
      <sheetName val="[Spt-BH.xls][Spt-BH.xls]B__4240"/>
      <sheetName val="[Spt-BH.xls][Spt-BH.xls]B__4241"/>
      <sheetName val="[Spt-BH.xls][Spt-BH.xls]B__4242"/>
      <sheetName val="[Spt-BH.xls][Spt-BH.xls]B__4243"/>
      <sheetName val="[Spt-BH.xls][Spt-BH.xls]B__4244"/>
      <sheetName val="[Spt-BH.xls][Spt-BH.xls]B__4245"/>
      <sheetName val="[Spt-BH.xls][Spt-BH.xls]B__4261"/>
      <sheetName val="[Spt-BH.xls][Spt-BH.xls]B__4262"/>
      <sheetName val="[Spt-BH.xls][Spt-BH.xls]_S_1534"/>
      <sheetName val="[Spt-BH.xls][Spt-BH.xls]B__4263"/>
      <sheetName val="[Spt-BH.xls][Spt-BH.xls]B__4264"/>
      <sheetName val="[Spt-BH.xls]B____x005f_x0004______326"/>
      <sheetName val="[Spt-BH.xls]B___x005f_x0000__x000_320"/>
      <sheetName val="[Spt-BH.xls][Spt-BH.xls]B__4265"/>
      <sheetName val="[Spt-BH.xls][Spt-BH.xls]B__4266"/>
      <sheetName val="[Spt-BH.xls][Spt-BH.xls]B__4246"/>
      <sheetName val="[Spt-BH.xls][Spt-BH_xls]B__3965"/>
      <sheetName val="[Spt-BH.xls][Spt-BH_xls]B__3966"/>
      <sheetName val="[Spt-BH.xls][Spt-BH_xls]B__3967"/>
      <sheetName val="[Spt-BH.xls][Spt-BH_xls]B__3968"/>
      <sheetName val="[Spt-BH.xls][Spt-BH_xls]_S_1311"/>
      <sheetName val="[Spt-BH.xls][Spt-BH_xls]B__3969"/>
      <sheetName val="[Spt-BH.xls][Spt-BH_xls]B__3970"/>
      <sheetName val="[Spt-BH.xls][Spt-BH_xls]B__3971"/>
      <sheetName val="[Spt-BH.xls][Spt-BH_xls]_S_1312"/>
      <sheetName val="[Spt-BH.xls][Spt-BH_xls]B__3972"/>
      <sheetName val="[Spt-BH.xls][Spt-BH_xls]B__3973"/>
      <sheetName val="[Spt-BH.xls][Spt-BH_xls]B__3974"/>
      <sheetName val="[Spt-BH.xls][Spt-BH_xls]B__3975"/>
      <sheetName val="[Spt-BH.xls][Spt-BH_xls]_S_1313"/>
      <sheetName val="[Spt-BH.xls][Spt-BH_xls]B__3976"/>
      <sheetName val="[Spt-BH.xls][Spt-BH_xls]B__3977"/>
      <sheetName val="[Spt-BH.xls][Spt-BH_xls]_S_1314"/>
      <sheetName val="[Spt-BH.xls][Spt-BH_xls]B__3978"/>
      <sheetName val="[Spt-BH.xls][Spt-BH_xls]B__3979"/>
      <sheetName val="[Spt-BH.xls][Spt-BH_xls]_S_1315"/>
      <sheetName val="[Spt-BH.xls]B____x005f_x0004______324"/>
      <sheetName val="[Spt-BH.xls]B___x005f_x0000__x000_318"/>
      <sheetName val="[Spt-BH.xls][Spt-BH_xls]B__3935"/>
      <sheetName val="[Spt-BH.xls][Spt-BH_xls]B__3936"/>
      <sheetName val="[Spt-BH.xls][Spt-BH_xls]B__3937"/>
      <sheetName val="[Spt-BH.xls][Spt-BH_xls]B__3938"/>
      <sheetName val="[Spt-BH.xls][Spt-BH_xls]_S_1301"/>
      <sheetName val="[Spt-BH.xls][Spt-BH_xls]B__3939"/>
      <sheetName val="[Spt-BH.xls][Spt-BH_xls]B__3940"/>
      <sheetName val="[Spt-BH.xls][Spt-BH_xls]B__3941"/>
      <sheetName val="[Spt-BH.xls][Spt-BH_xls]_S_1302"/>
      <sheetName val="[Spt-BH.xls][Spt-BH_xls]B__3942"/>
      <sheetName val="[Spt-BH.xls][Spt-BH_xls]B__3943"/>
      <sheetName val="[Spt-BH.xls][Spt-BH_xls]B__3944"/>
      <sheetName val="[Spt-BH.xls][Spt-BH_xls]B__3945"/>
      <sheetName val="[Spt-BH.xls][Spt-BH_xls]_S_1303"/>
      <sheetName val="[Spt-BH.xls][Spt-BH_xls]B__3946"/>
      <sheetName val="[Spt-BH.xls][Spt-BH_xls]B__3947"/>
      <sheetName val="[Spt-BH.xls][Spt-BH_xls]_S_1304"/>
      <sheetName val="[Spt-BH.xls][Spt-BH_xls]B__3948"/>
      <sheetName val="[Spt-BH.xls][Spt-BH_xls]B__3949"/>
      <sheetName val="[Spt-BH.xls][Spt-BH_xls]_S_1305"/>
      <sheetName val="[Spt-BH.xls]B____x005f_x0004______325"/>
      <sheetName val="[Spt-BH.xls]B___x005f_x0000__x000_319"/>
      <sheetName val="[Spt-BH.xls][Spt-BH.xls]B__4239"/>
      <sheetName val="[Spt-BH.xls][Spt-BH_xls]B__3950"/>
      <sheetName val="[Spt-BH.xls][Spt-BH_xls]B__3951"/>
      <sheetName val="[Spt-BH.xls][Spt-BH_xls]B__3952"/>
      <sheetName val="[Spt-BH.xls][Spt-BH_xls]B__3953"/>
      <sheetName val="[Spt-BH.xls][Spt-BH_xls]_S_1306"/>
      <sheetName val="[Spt-BH.xls][Spt-BH_xls]B__3954"/>
      <sheetName val="[Spt-BH.xls][Spt-BH_xls]B__3955"/>
      <sheetName val="[Spt-BH.xls][Spt-BH_xls]B__3956"/>
      <sheetName val="[Spt-BH.xls][Spt-BH_xls]_S_1307"/>
      <sheetName val="[Spt-BH.xls][Spt-BH_xls]B__3957"/>
      <sheetName val="[Spt-BH.xls][Spt-BH_xls]B__3958"/>
      <sheetName val="[Spt-BH.xls][Spt-BH_xls]B__3959"/>
      <sheetName val="[Spt-BH.xls][Spt-BH_xls]B__3960"/>
      <sheetName val="[Spt-BH.xls][Spt-BH_xls]_S_1308"/>
      <sheetName val="[Spt-BH.xls][Spt-BH_xls]B__3961"/>
      <sheetName val="[Spt-BH.xls][Spt-BH_xls]B__3962"/>
      <sheetName val="[Spt-BH.xls][Spt-BH_xls]_S_1309"/>
      <sheetName val="[Spt-BH.xls][Spt-BH_xls]B__3963"/>
      <sheetName val="[Spt-BH.xls][Spt-BH_xls]B__3964"/>
      <sheetName val="[Spt-BH.xls][Spt-BH_xls]_S_1310"/>
      <sheetName val="[Spt-BH.xls][Spt-BH.xls]B__4275"/>
      <sheetName val="[Spt-BH.xls][Spt-BH.xls]B__4276"/>
      <sheetName val="[Spt-BH.xls][Spt-BH.xls]_S_1536"/>
      <sheetName val="[Spt-BH.xls][Spt-BH.xls]B__4277"/>
      <sheetName val="[Spt-BH.xls][Spt-BH.xls]B__4278"/>
      <sheetName val="[Spt-BH.xls]B____x005f_x0004______329"/>
      <sheetName val="[Spt-BH.xls]B___x005f_x0000__x000_323"/>
      <sheetName val="[Spt-BH.xls][Spt-BH.xls]B__4279"/>
      <sheetName val="[Spt-BH.xls][Spt-BH.xls]B__4280"/>
      <sheetName val="[Spt-BH.xls][Spt-BH.xls]B__4267"/>
      <sheetName val="[Spt-BH.xls][Spt-BH.xls]_S_1535"/>
      <sheetName val="[Spt-BH.xls][Spt-BH_xls]B__4010"/>
      <sheetName val="[Spt-BH.xls][Spt-BH_xls]B__4011"/>
      <sheetName val="[Spt-BH.xls][Spt-BH_xls]B__4012"/>
      <sheetName val="[Spt-BH.xls][Spt-BH_xls]B__4013"/>
      <sheetName val="[Spt-BH.xls][Spt-BH_xls]_S_1326"/>
      <sheetName val="[Spt-BH.xls][Spt-BH_xls]B__4014"/>
      <sheetName val="[Spt-BH.xls][Spt-BH_xls]B__4015"/>
      <sheetName val="[Spt-BH.xls][Spt-BH_xls]B__4016"/>
      <sheetName val="[Spt-BH.xls][Spt-BH_xls]_S_1327"/>
      <sheetName val="[Spt-BH.xls][Spt-BH_xls]B__4017"/>
      <sheetName val="[Spt-BH.xls][Spt-BH_xls]B__4018"/>
      <sheetName val="[Spt-BH.xls][Spt-BH_xls]B__4019"/>
      <sheetName val="[Spt-BH.xls][Spt-BH_xls]B__4020"/>
      <sheetName val="[Spt-BH.xls][Spt-BH_xls]_S_1328"/>
      <sheetName val="[Spt-BH.xls][Spt-BH_xls]B__4021"/>
      <sheetName val="[Spt-BH.xls][Spt-BH_xls]B__4022"/>
      <sheetName val="[Spt-BH.xls][Spt-BH_xls]_S_1329"/>
      <sheetName val="[Spt-BH.xls][Spt-BH_xls]B__4023"/>
      <sheetName val="[Spt-BH.xls][Spt-BH_xls]B__4024"/>
      <sheetName val="[Spt-BH.xls][Spt-BH_xls]_S_1330"/>
      <sheetName val="[Spt-BH.xls][Spt-BH.xls]B__4247"/>
      <sheetName val="[Spt-BH.xls][Spt-BH.xls]B__4248"/>
      <sheetName val="[Spt-BH.xls][Spt-BH.xls]B__4249"/>
      <sheetName val="[Spt-BH.xls][Spt-BH.xls]B__4250"/>
      <sheetName val="[Spt-BH.xls][Spt-BH.xls]B__4251"/>
      <sheetName val="[Spt-BH.xls][Spt-BH.xls]B__4252"/>
      <sheetName val="[Spt-BH.xls]B____x005f_x0004______327"/>
      <sheetName val="[Spt-BH.xls]B___x005f_x0000__x000_321"/>
      <sheetName val="[Spt-BH.xls][Spt-BH.xls]B__4253"/>
      <sheetName val="[Spt-BH.xls][Spt-BH_xls]B__3980"/>
      <sheetName val="[Spt-BH.xls][Spt-BH_xls]B__3981"/>
      <sheetName val="[Spt-BH.xls][Spt-BH_xls]B__3982"/>
      <sheetName val="[Spt-BH.xls][Spt-BH_xls]B__3983"/>
      <sheetName val="[Spt-BH.xls][Spt-BH_xls]_S_1316"/>
      <sheetName val="[Spt-BH.xls][Spt-BH_xls]B__3984"/>
      <sheetName val="[Spt-BH.xls][Spt-BH_xls]B__3985"/>
      <sheetName val="[Spt-BH.xls][Spt-BH_xls]B__3986"/>
      <sheetName val="[Spt-BH.xls][Spt-BH_xls]_S_1317"/>
      <sheetName val="[Spt-BH.xls][Spt-BH_xls]B__3987"/>
      <sheetName val="[Spt-BH.xls][Spt-BH_xls]B__3988"/>
      <sheetName val="[Spt-BH.xls][Spt-BH_xls]B__3989"/>
      <sheetName val="[Spt-BH.xls][Spt-BH_xls]B__3990"/>
      <sheetName val="[Spt-BH.xls][Spt-BH_xls]_S_1318"/>
      <sheetName val="[Spt-BH.xls][Spt-BH_xls]B__3991"/>
      <sheetName val="[Spt-BH.xls][Spt-BH_xls]B__3992"/>
      <sheetName val="[Spt-BH.xls][Spt-BH_xls]_S_1319"/>
      <sheetName val="[Spt-BH.xls][Spt-BH_xls]B__3993"/>
      <sheetName val="[Spt-BH.xls][Spt-BH_xls]B__3994"/>
      <sheetName val="[Spt-BH.xls][Spt-BH_xls]_S_1320"/>
      <sheetName val="[Spt-BH.xls][Spt-BH.xls]B__4254"/>
      <sheetName val="[Spt-BH.xls][Spt-BH.xls]B__4255"/>
      <sheetName val="[Spt-BH.xls][Spt-BH.xls]B__4256"/>
      <sheetName val="[Spt-BH.xls][Spt-BH.xls]B__4257"/>
      <sheetName val="[Spt-BH.xls][Spt-BH.xls]B__4258"/>
      <sheetName val="[Spt-BH.xls][Spt-BH.xls]B__4259"/>
      <sheetName val="[Spt-BH.xls]B____x005f_x0004______328"/>
      <sheetName val="[Spt-BH.xls]B___x005f_x0000__x000_322"/>
      <sheetName val="[Spt-BH.xls][Spt-BH.xls]B__4260"/>
      <sheetName val="[Spt-BH.xls][Spt-BH_xls]B__3995"/>
      <sheetName val="[Spt-BH.xls][Spt-BH_xls]B__3996"/>
      <sheetName val="[Spt-BH.xls][Spt-BH_xls]B__3997"/>
      <sheetName val="[Spt-BH.xls][Spt-BH_xls]B__3998"/>
      <sheetName val="[Spt-BH.xls][Spt-BH_xls]_S_1321"/>
      <sheetName val="[Spt-BH.xls][Spt-BH_xls]B__3999"/>
      <sheetName val="[Spt-BH.xls][Spt-BH_xls]B__4000"/>
      <sheetName val="[Spt-BH.xls][Spt-BH_xls]B__4001"/>
      <sheetName val="[Spt-BH.xls][Spt-BH_xls]_S_1322"/>
      <sheetName val="[Spt-BH.xls][Spt-BH_xls]B__4002"/>
      <sheetName val="[Spt-BH.xls][Spt-BH_xls]B__4003"/>
      <sheetName val="[Spt-BH.xls][Spt-BH_xls]B__4004"/>
      <sheetName val="[Spt-BH.xls][Spt-BH_xls]B__4005"/>
      <sheetName val="[Spt-BH.xls][Spt-BH_xls]_S_1323"/>
      <sheetName val="[Spt-BH.xls][Spt-BH_xls]B__4006"/>
      <sheetName val="[Spt-BH.xls][Spt-BH_xls]B__4007"/>
      <sheetName val="[Spt-BH.xls][Spt-BH_xls]_S_1324"/>
      <sheetName val="[Spt-BH.xls][Spt-BH_xls]B__4008"/>
      <sheetName val="[Spt-BH.xls][Spt-BH_xls]B__4009"/>
      <sheetName val="[Spt-BH.xls][Spt-BH_xls]_S_1325"/>
      <sheetName val="[Spt-BH.xls][Spt-BH.xls]B__4282"/>
      <sheetName val="[Spt-BH.xls][Spt-BH.xls]B__4283"/>
      <sheetName val="[Spt-BH.xls][Spt-BH.xls]_S_1538"/>
      <sheetName val="[Spt-BH.xls][Spt-BH.xls]B__4284"/>
      <sheetName val="[Spt-BH.xls][Spt-BH.xls]B__4285"/>
      <sheetName val="[Spt-BH.xls]B____x005f_x0004______331"/>
      <sheetName val="[Spt-BH.xls]B___x005f_x0000__x000_325"/>
      <sheetName val="[Spt-BH.xls][Spt-BH.xls]B__4286"/>
      <sheetName val="[Spt-BH.xls][Spt-BH.xls]B__4287"/>
      <sheetName val="[Spt-BH.xls][Spt-BH.xls]B__4281"/>
      <sheetName val="[Spt-BH.xls][Spt-BH.xls]_S_1537"/>
      <sheetName val="[Spt-BH.xls][Spt-BH_xls]B__4040"/>
      <sheetName val="[Spt-BH.xls][Spt-BH_xls]B__4041"/>
      <sheetName val="[Spt-BH.xls][Spt-BH_xls]B__4042"/>
      <sheetName val="[Spt-BH.xls][Spt-BH_xls]B__4043"/>
      <sheetName val="[Spt-BH.xls][Spt-BH_xls]_S_1336"/>
      <sheetName val="[Spt-BH.xls][Spt-BH_xls]B__4044"/>
      <sheetName val="[Spt-BH.xls][Spt-BH_xls]B__4045"/>
      <sheetName val="[Spt-BH.xls][Spt-BH_xls]B__4046"/>
      <sheetName val="[Spt-BH.xls][Spt-BH_xls]_S_1337"/>
      <sheetName val="[Spt-BH.xls][Spt-BH_xls]B__4047"/>
      <sheetName val="[Spt-BH.xls][Spt-BH_xls]B__4048"/>
      <sheetName val="[Spt-BH.xls][Spt-BH_xls]B__4049"/>
      <sheetName val="[Spt-BH.xls][Spt-BH_xls]B__4050"/>
      <sheetName val="[Spt-BH.xls][Spt-BH_xls]_S_1338"/>
      <sheetName val="[Spt-BH.xls][Spt-BH_xls]B__4051"/>
      <sheetName val="[Spt-BH.xls][Spt-BH_xls]B__4052"/>
      <sheetName val="[Spt-BH.xls][Spt-BH_xls]_S_1339"/>
      <sheetName val="[Spt-BH.xls][Spt-BH_xls]B__4053"/>
      <sheetName val="[Spt-BH.xls][Spt-BH_xls]B__4054"/>
      <sheetName val="[Spt-BH.xls][Spt-BH_xls]_S_1340"/>
      <sheetName val="[Spt-BH.xls][Spt-BH.xls]B__4268"/>
      <sheetName val="[Spt-BH.xls][Spt-BH.xls]B__4269"/>
      <sheetName val="[Spt-BH.xls][Spt-BH.xls]B__4270"/>
      <sheetName val="[Spt-BH.xls][Spt-BH.xls]B__4271"/>
      <sheetName val="[Spt-BH.xls][Spt-BH.xls]B__4272"/>
      <sheetName val="[Spt-BH.xls][Spt-BH.xls]B__4273"/>
      <sheetName val="[Spt-BH.xls]B____x005f_x0004______330"/>
      <sheetName val="[Spt-BH.xls]B___x005f_x0000__x000_324"/>
      <sheetName val="[Spt-BH.xls][Spt-BH.xls]B__4274"/>
      <sheetName val="[Spt-BH.xls][Spt-BH_xls]B__4025"/>
      <sheetName val="[Spt-BH.xls][Spt-BH_xls]B__4026"/>
      <sheetName val="[Spt-BH.xls][Spt-BH_xls]B__4027"/>
      <sheetName val="[Spt-BH.xls][Spt-BH_xls]B__4028"/>
      <sheetName val="[Spt-BH.xls][Spt-BH_xls]_S_1331"/>
      <sheetName val="[Spt-BH.xls][Spt-BH_xls]B__4029"/>
      <sheetName val="[Spt-BH.xls][Spt-BH_xls]B__4030"/>
      <sheetName val="[Spt-BH.xls][Spt-BH_xls]B__4031"/>
      <sheetName val="[Spt-BH.xls][Spt-BH_xls]_S_1332"/>
      <sheetName val="[Spt-BH.xls][Spt-BH_xls]B__4032"/>
      <sheetName val="[Spt-BH.xls][Spt-BH_xls]B__4033"/>
      <sheetName val="[Spt-BH.xls][Spt-BH_xls]B__4034"/>
      <sheetName val="[Spt-BH.xls][Spt-BH_xls]B__4035"/>
      <sheetName val="[Spt-BH.xls][Spt-BH_xls]_S_1333"/>
      <sheetName val="[Spt-BH.xls][Spt-BH_xls]B__4036"/>
      <sheetName val="[Spt-BH.xls][Spt-BH_xls]B__4037"/>
      <sheetName val="[Spt-BH.xls][Spt-BH_xls]_S_1334"/>
      <sheetName val="[Spt-BH.xls][Spt-BH_xls]B__4038"/>
      <sheetName val="[Spt-BH.xls][Spt-BH_xls]B__4039"/>
      <sheetName val="[Spt-BH.xls][Spt-BH_xls]_S_1335"/>
      <sheetName val="[Spt-BH.xls][Spt-BH.xls]B__4288"/>
      <sheetName val="[Spt-BH.xls][Spt-BH.xls]B__4289"/>
      <sheetName val="[Spt-BH.xls][Spt-BH.xls]_S_1539"/>
      <sheetName val="[Spt-BH.xls][Spt-BH.xls]B__4290"/>
      <sheetName val="[Spt-BH.xls][Spt-BH.xls]B__4291"/>
      <sheetName val="[Spt-BH.xls][Spt-BH.xls]_S_1540"/>
      <sheetName val="[Spt-BH.xls][Spt-BH.xls]_S_1541"/>
      <sheetName val="[Spt-BH.xls]B____x005f_x0004______332"/>
      <sheetName val="[Spt-BH.xls]B___x005f_x0000__x000_326"/>
      <sheetName val="[Spt-BH.xls][Spt-BH.xls]B__4292"/>
      <sheetName val="[Spt-BH.xls][Spt-BH.xls]B__4293"/>
      <sheetName val="[Spt-BH.xls][Spt-BH.xls]B__4294"/>
      <sheetName val="[Spt-BH.xls][Spt-BH.xls]B__4295"/>
      <sheetName val="[Spt-BH.xls][Spt-BH.xls]B__4296"/>
      <sheetName val="[Spt-BH.xls][Spt-BH.xls]B__4297"/>
      <sheetName val="[Spt-BH.xls][Spt-BH.xls]B__4298"/>
      <sheetName val="[Spt-BH.xls][Spt-BH.xls]_S_1542"/>
      <sheetName val="[Spt-BH.xls][Spt-BH_xls]B__4055"/>
      <sheetName val="[Spt-BH.xls][Spt-BH_xls]B__4056"/>
      <sheetName val="[Spt-BH.xls][Spt-BH_xls]B__4057"/>
      <sheetName val="[Spt-BH.xls][Spt-BH_xls]B__4058"/>
      <sheetName val="[Spt-BH.xls][Spt-BH_xls]_S_1341"/>
      <sheetName val="[Spt-BH.xls][Spt-BH_xls]B__4059"/>
      <sheetName val="[Spt-BH.xls][Spt-BH_xls]B__4060"/>
      <sheetName val="[Spt-BH.xls][Spt-BH_xls]B__4061"/>
      <sheetName val="[Spt-BH.xls][Spt-BH_xls]_S_1342"/>
      <sheetName val="[Spt-BH.xls][Spt-BH_xls]B__4062"/>
      <sheetName val="[Spt-BH.xls][Spt-BH_xls]B__4063"/>
      <sheetName val="[Spt-BH.xls][Spt-BH_xls]B__4064"/>
      <sheetName val="[Spt-BH.xls][Spt-BH_xls]B__4065"/>
      <sheetName val="[Spt-BH.xls][Spt-BH_xls]_S_1343"/>
      <sheetName val="[Spt-BH.xls][Spt-BH_xls]B__4066"/>
      <sheetName val="[Spt-BH.xls][Spt-BH_xls]B__4067"/>
      <sheetName val="[Spt-BH.xls][Spt-BH_xls]_S_1344"/>
      <sheetName val="[Spt-BH.xls][Spt-BH_xls]B__4068"/>
      <sheetName val="[Spt-BH.xls][Spt-BH_xls]B__4069"/>
      <sheetName val="[Spt-BH.xls][Spt-BH_xls]_S_1345"/>
      <sheetName val="[Spt-BH.xls][Spt-BH.xls]_S_1543"/>
      <sheetName val="[Spt-BH.xls]B____x005f_x0004______333"/>
      <sheetName val="[Spt-BH.xls]B___x005f_x0000__x000_327"/>
      <sheetName val="[Spt-BH.xls][Spt-BH.xls]B__4299"/>
      <sheetName val="[Spt-BH.xls][Spt-BH.xls]B__4300"/>
      <sheetName val="[Spt-BH.xls][Spt-BH.xls]B__4301"/>
      <sheetName val="[Spt-BH.xls][Spt-BH.xls]B__4302"/>
      <sheetName val="[Spt-BH.xls][Spt-BH.xls]B__4303"/>
      <sheetName val="[Spt-BH.xls][Spt-BH.xls]B__4304"/>
      <sheetName val="[Spt-BH.xls][Spt-BH.xls]B__4305"/>
      <sheetName val="[Spt-BH.xls][Spt-BH.xls]_S_1544"/>
      <sheetName val="[Spt-BH.xls][Spt-BH_xls]B__4070"/>
      <sheetName val="[Spt-BH.xls][Spt-BH_xls]B__4071"/>
      <sheetName val="[Spt-BH.xls][Spt-BH_xls]B__4072"/>
      <sheetName val="[Spt-BH.xls][Spt-BH_xls]B__4073"/>
      <sheetName val="[Spt-BH.xls][Spt-BH_xls]_S_1346"/>
      <sheetName val="[Spt-BH.xls][Spt-BH_xls]B__4074"/>
      <sheetName val="[Spt-BH.xls][Spt-BH_xls]B__4075"/>
      <sheetName val="[Spt-BH.xls][Spt-BH_xls]B__4076"/>
      <sheetName val="[Spt-BH.xls][Spt-BH_xls]_S_1347"/>
      <sheetName val="[Spt-BH.xls][Spt-BH_xls]B__4077"/>
      <sheetName val="[Spt-BH.xls][Spt-BH_xls]B__4078"/>
      <sheetName val="[Spt-BH.xls][Spt-BH_xls]B__4079"/>
      <sheetName val="[Spt-BH.xls][Spt-BH_xls]B__4080"/>
      <sheetName val="[Spt-BH.xls][Spt-BH_xls]_S_1348"/>
      <sheetName val="[Spt-BH.xls][Spt-BH_xls]B__4081"/>
      <sheetName val="[Spt-BH.xls][Spt-BH_xls]B__4082"/>
      <sheetName val="[Spt-BH.xls][Spt-BH_xls]_S_1349"/>
      <sheetName val="[Spt-BH.xls][Spt-BH_xls]B__4083"/>
      <sheetName val="[Spt-BH.xls][Spt-BH_xls]B__4084"/>
      <sheetName val="[Spt-BH.xls][Spt-BH_xls]_S_1350"/>
      <sheetName val="[Spt-BH.xls][Spt-BH.xls]_S_1545"/>
      <sheetName val="[Spt-BH.xls]B____x005f_x0004______334"/>
      <sheetName val="[Spt-BH.xls]B___x005f_x0000__x000_328"/>
      <sheetName val="[Spt-BH.xls][Spt-BH.xls]B__4306"/>
      <sheetName val="[Spt-BH.xls][Spt-BH.xls]B__4307"/>
      <sheetName val="[Spt-BH.xls][Spt-BH.xls]B__4308"/>
      <sheetName val="[Spt-BH.xls][Spt-BH.xls]B__4309"/>
      <sheetName val="[Spt-BH.xls][Spt-BH.xls]B__4310"/>
      <sheetName val="[Spt-BH.xls][Spt-BH.xls]B__4311"/>
      <sheetName val="[Spt-BH.xls][Spt-BH.xls]B__4312"/>
      <sheetName val="[Spt-BH.xls][Spt-BH.xls]_S_1546"/>
      <sheetName val="[Spt-BH.xls][Spt-BH_xls]B__4085"/>
      <sheetName val="[Spt-BH.xls][Spt-BH_xls]B__4086"/>
      <sheetName val="[Spt-BH.xls][Spt-BH_xls]B__4087"/>
      <sheetName val="[Spt-BH.xls][Spt-BH_xls]B__4088"/>
      <sheetName val="[Spt-BH.xls][Spt-BH_xls]_S_1351"/>
      <sheetName val="[Spt-BH.xls][Spt-BH_xls]B__4089"/>
      <sheetName val="[Spt-BH.xls][Spt-BH_xls]B__4090"/>
      <sheetName val="[Spt-BH.xls][Spt-BH_xls]B__4091"/>
      <sheetName val="[Spt-BH.xls][Spt-BH_xls]_S_1352"/>
      <sheetName val="[Spt-BH.xls][Spt-BH_xls]B__4092"/>
      <sheetName val="[Spt-BH.xls][Spt-BH_xls]B__4093"/>
      <sheetName val="[Spt-BH.xls][Spt-BH_xls]B__4094"/>
      <sheetName val="[Spt-BH.xls][Spt-BH_xls]B__4095"/>
      <sheetName val="[Spt-BH.xls][Spt-BH_xls]_S_1353"/>
      <sheetName val="[Spt-BH.xls][Spt-BH_xls]B__4096"/>
      <sheetName val="[Spt-BH.xls][Spt-BH_xls]B__4097"/>
      <sheetName val="[Spt-BH.xls][Spt-BH_xls]_S_1354"/>
      <sheetName val="[Spt-BH.xls][Spt-BH_xls]B__4098"/>
      <sheetName val="[Spt-BH.xls][Spt-BH_xls]B__4099"/>
      <sheetName val="[Spt-BH.xls][Spt-BH_xls]_S_1355"/>
      <sheetName val="[Spt-BH.xls][Spt-BH.xls]_S_1547"/>
      <sheetName val="[Spt-BH.xls]B____x005f_x0004______335"/>
      <sheetName val="[Spt-BH.xls]B___x005f_x0000__x000_329"/>
      <sheetName val="[Spt-BH.xls][Spt-BH.xls]B__4313"/>
      <sheetName val="[Spt-BH.xls][Spt-BH.xls]B__4314"/>
      <sheetName val="[Spt-BH.xls][Spt-BH.xls]B__4315"/>
      <sheetName val="[Spt-BH.xls][Spt-BH.xls]B__4316"/>
      <sheetName val="[Spt-BH.xls][Spt-BH.xls]B__4317"/>
      <sheetName val="[Spt-BH.xls][Spt-BH.xls]B__4318"/>
      <sheetName val="[Spt-BH.xls][Spt-BH.xls]B__4319"/>
      <sheetName val="[Spt-BH.xls][Spt-BH.xls]_S_1548"/>
      <sheetName val="[Spt-BH.xls][Spt-BH_xls]B__4100"/>
      <sheetName val="[Spt-BH.xls][Spt-BH_xls]B__4101"/>
      <sheetName val="[Spt-BH.xls][Spt-BH_xls]B__4102"/>
      <sheetName val="[Spt-BH.xls][Spt-BH_xls]B__4103"/>
      <sheetName val="[Spt-BH.xls][Spt-BH_xls]_S_1356"/>
      <sheetName val="[Spt-BH.xls][Spt-BH_xls]B__4104"/>
      <sheetName val="[Spt-BH.xls][Spt-BH_xls]B__4105"/>
      <sheetName val="[Spt-BH.xls][Spt-BH_xls]B__4106"/>
      <sheetName val="[Spt-BH.xls][Spt-BH_xls]_S_1357"/>
      <sheetName val="[Spt-BH.xls][Spt-BH_xls]B__4107"/>
      <sheetName val="[Spt-BH.xls][Spt-BH_xls]B__4108"/>
      <sheetName val="[Spt-BH.xls][Spt-BH_xls]B__4109"/>
      <sheetName val="[Spt-BH.xls][Spt-BH_xls]B__4110"/>
      <sheetName val="[Spt-BH.xls][Spt-BH_xls]_S_1358"/>
      <sheetName val="[Spt-BH.xls][Spt-BH_xls]B__4111"/>
      <sheetName val="[Spt-BH.xls][Spt-BH_xls]B__4112"/>
      <sheetName val="[Spt-BH.xls][Spt-BH_xls]_S_1359"/>
      <sheetName val="[Spt-BH.xls][Spt-BH_xls]B__4113"/>
      <sheetName val="[Spt-BH.xls][Spt-BH_xls]B__4114"/>
      <sheetName val="[Spt-BH.xls][Spt-BH_xls]_S_1360"/>
      <sheetName val="[Spt-BH.xls][Spt-BH.xls]_S_1549"/>
      <sheetName val="[Spt-BH.xls]B____x005f_x0004______336"/>
      <sheetName val="[Spt-BH.xls]B___x005f_x0000__x000_330"/>
      <sheetName val="[Spt-BH.xls][Spt-BH.xls]B__4320"/>
      <sheetName val="[Spt-BH.xls][Spt-BH.xls]B__4321"/>
      <sheetName val="[Spt-BH.xls][Spt-BH.xls]B__4322"/>
      <sheetName val="[Spt-BH.xls][Spt-BH.xls]B__4323"/>
      <sheetName val="[Spt-BH.xls][Spt-BH.xls]B__4324"/>
      <sheetName val="[Spt-BH.xls][Spt-BH.xls]B__4325"/>
      <sheetName val="[Spt-BH.xls][Spt-BH.xls]B__4326"/>
      <sheetName val="[Spt-BH.xls][Spt-BH.xls]_S_1550"/>
      <sheetName val="[Spt-BH.xls][Spt-BH_xls]B__4115"/>
      <sheetName val="[Spt-BH.xls][Spt-BH_xls]B__4116"/>
      <sheetName val="[Spt-BH.xls][Spt-BH_xls]B__4117"/>
      <sheetName val="[Spt-BH.xls][Spt-BH_xls]B__4118"/>
      <sheetName val="[Spt-BH.xls][Spt-BH_xls]_S_1361"/>
      <sheetName val="[Spt-BH.xls][Spt-BH_xls]B__4119"/>
      <sheetName val="[Spt-BH.xls][Spt-BH_xls]B__4120"/>
      <sheetName val="[Spt-BH.xls][Spt-BH_xls]B__4121"/>
      <sheetName val="[Spt-BH.xls][Spt-BH_xls]_S_1362"/>
      <sheetName val="[Spt-BH.xls][Spt-BH_xls]B__4122"/>
      <sheetName val="[Spt-BH.xls][Spt-BH_xls]B__4123"/>
      <sheetName val="[Spt-BH.xls][Spt-BH_xls]B__4124"/>
      <sheetName val="[Spt-BH.xls][Spt-BH_xls]B__4125"/>
      <sheetName val="[Spt-BH.xls][Spt-BH_xls]_S_1363"/>
      <sheetName val="[Spt-BH.xls][Spt-BH_xls]B__4126"/>
      <sheetName val="[Spt-BH.xls][Spt-BH_xls]B__4127"/>
      <sheetName val="[Spt-BH.xls][Spt-BH_xls]_S_1364"/>
      <sheetName val="[Spt-BH.xls][Spt-BH_xls]B__4128"/>
      <sheetName val="[Spt-BH.xls][Spt-BH_xls]B__4129"/>
      <sheetName val="[Spt-BH.xls][Spt-BH_xls]_S_1365"/>
      <sheetName val="[Spt-BH.xls][Spt-BH.xls]B__4372"/>
      <sheetName val="[Spt-BH.xls][Spt-BH.xls]B__4373"/>
      <sheetName val="[Spt-BH.xls][Spt-BH.xls]_S_1570"/>
      <sheetName val="[Spt-BH.xls][Spt-BH.xls]B__4374"/>
      <sheetName val="[Spt-BH.xls][Spt-BH.xls]B__4375"/>
      <sheetName val="[Spt-BH.xls]B____x005f_x0004______339"/>
      <sheetName val="[Spt-BH.xls]B___x005f_x0000__x000_333"/>
      <sheetName val="[Spt-BH.xls][Spt-BH.xls]B__4376"/>
      <sheetName val="[Spt-BH.xls][Spt-BH.xls]B__4377"/>
      <sheetName val="[Spt-BH.xls][Spt-BH.xls]B__4353"/>
      <sheetName val="[Spt-BH.xls][Spt-BH.xls]_S_1568"/>
      <sheetName val="[Spt-BH.xls][Spt-BH_xls]B__4160"/>
      <sheetName val="[Spt-BH.xls][Spt-BH_xls]B__4161"/>
      <sheetName val="[Spt-BH.xls][Spt-BH_xls]B__4162"/>
      <sheetName val="[Spt-BH.xls][Spt-BH_xls]B__4163"/>
      <sheetName val="[Spt-BH.xls][Spt-BH_xls]_S_1376"/>
      <sheetName val="[Spt-BH.xls][Spt-BH_xls]B__4164"/>
      <sheetName val="[Spt-BH.xls][Spt-BH_xls]B__4165"/>
      <sheetName val="[Spt-BH.xls][Spt-BH_xls]B__4166"/>
      <sheetName val="[Spt-BH.xls][Spt-BH_xls]_S_1377"/>
      <sheetName val="[Spt-BH.xls][Spt-BH_xls]B__4167"/>
      <sheetName val="[Spt-BH.xls][Spt-BH_xls]B__4168"/>
      <sheetName val="[Spt-BH.xls][Spt-BH_xls]B__4169"/>
      <sheetName val="[Spt-BH.xls][Spt-BH_xls]B__4170"/>
      <sheetName val="[Spt-BH.xls][Spt-BH_xls]_S_1378"/>
      <sheetName val="[Spt-BH.xls][Spt-BH_xls]B__4171"/>
      <sheetName val="[Spt-BH.xls][Spt-BH_xls]B__4172"/>
      <sheetName val="[Spt-BH.xls][Spt-BH_xls]_S_1379"/>
      <sheetName val="[Spt-BH.xls][Spt-BH_xls]B__4173"/>
      <sheetName val="[Spt-BH.xls][Spt-BH_xls]B__4174"/>
      <sheetName val="[Spt-BH.xls][Spt-BH_xls]_S_1380"/>
      <sheetName val="[Spt-BH.xls][Spt-BH.xls]_S_1553"/>
      <sheetName val="[Spt-BH.xls][Spt-BH.xls]B__4341"/>
      <sheetName val="[Spt-BH.xls][Spt-BH.xls]B__4342"/>
      <sheetName val="[Spt-BH.xls][Spt-BH.xls]B__4343"/>
      <sheetName val="[Spt-BH.xls][Spt-BH.xls]B__4344"/>
      <sheetName val="[Spt-BH.xls]B____x005f_x0004______338"/>
      <sheetName val="[Spt-BH.xls]B___x005f_x0000__x000_332"/>
      <sheetName val="[Spt-BH.xls][Spt-BH.xls]B__4345"/>
      <sheetName val="[Spt-BH.xls][Spt-BH.xls]B__4334"/>
      <sheetName val="[Spt-BH.xls][Spt-BH.xls]B__4335"/>
      <sheetName val="[Spt-BH.xls][Spt-BH.xls]_S_1555"/>
      <sheetName val="[Spt-BH.xls][Spt-BH.xls]B__4336"/>
      <sheetName val="[Spt-BH.xls][Spt-BH.xls]B__4337"/>
      <sheetName val="[Spt-BH.xls][Spt-BH.xls]B__4346"/>
      <sheetName val="[Spt-BH.xls][Spt-BH.xls]B__4338"/>
      <sheetName val="[Spt-BH.xls][Spt-BH.xls]B__4339"/>
      <sheetName val="[Spt-BH.xls][Spt-BH.xls]B__4340"/>
      <sheetName val="[Spt-BH.xls][Spt-BH.xls]_S_1554"/>
      <sheetName val="[Spt-BH.xls][Spt-BH.xls]_S_1556"/>
      <sheetName val="[Spt-BH.xls][Spt-BH_xls]B__4145"/>
      <sheetName val="[Spt-BH.xls][Spt-BH_xls]B__4146"/>
      <sheetName val="[Spt-BH.xls][Spt-BH_xls]B__4147"/>
      <sheetName val="[Spt-BH.xls][Spt-BH_xls]B__4148"/>
      <sheetName val="[Spt-BH.xls][Spt-BH_xls]_S_1371"/>
      <sheetName val="[Spt-BH.xls][Spt-BH_xls]B__4149"/>
      <sheetName val="[Spt-BH.xls][Spt-BH_xls]B__4150"/>
      <sheetName val="[Spt-BH.xls][Spt-BH_xls]B__4151"/>
      <sheetName val="[Spt-BH.xls][Spt-BH_xls]_S_1372"/>
      <sheetName val="[Spt-BH.xls][Spt-BH_xls]B__4152"/>
      <sheetName val="[Spt-BH.xls][Spt-BH_xls]B__4153"/>
      <sheetName val="[Spt-BH.xls][Spt-BH_xls]B__4154"/>
      <sheetName val="[Spt-BH.xls][Spt-BH_xls]B__4155"/>
      <sheetName val="[Spt-BH.xls][Spt-BH_xls]_S_1373"/>
      <sheetName val="[Spt-BH.xls][Spt-BH_xls]B__4156"/>
      <sheetName val="[Spt-BH.xls][Spt-BH_xls]B__4157"/>
      <sheetName val="[Spt-BH.xls][Spt-BH_xls]_S_1374"/>
      <sheetName val="[Spt-BH.xls][Spt-BH_xls]B__4158"/>
      <sheetName val="[Spt-BH.xls][Spt-BH_xls]B__4159"/>
      <sheetName val="[Spt-BH.xls][Spt-BH_xls]_S_1375"/>
      <sheetName val="[Spt-BH.xls][Spt-BH.xls]_S_1559"/>
      <sheetName val="[Spt-BH.xls][Spt-BH.xls]B__4354"/>
      <sheetName val="[Spt-BH.xls][Spt-BH.xls]B__4355"/>
      <sheetName val="[Spt-BH.xls][Spt-BH.xls]B__4356"/>
      <sheetName val="[Spt-BH.xls][Spt-BH.xls]B__4357"/>
      <sheetName val="[Spt-BH.xls][Spt-BH.xls]B__4358"/>
      <sheetName val="[Spt-BH.xls][Spt-BH.xls]B__4359"/>
      <sheetName val="[Spt-BH.xls][Spt-BH.xls]_S_1560"/>
      <sheetName val="[Spt-BH.xls][Spt-BH.xls]B__4360"/>
      <sheetName val="[Spt-BH.xls][Spt-BH.xls]B__4361"/>
      <sheetName val="[Spt-BH.xls][Spt-BH.xls]_S_1564"/>
      <sheetName val="[Spt-BH.xls][Spt-BH.xls]B__4362"/>
      <sheetName val="[Spt-BH.xls][Spt-BH.xls]B__4363"/>
      <sheetName val="[Spt-BH.xls][Spt-BH.xls]B__4364"/>
      <sheetName val="[Spt-BH.xls][Spt-BH.xls]_S_1562"/>
      <sheetName val="[Spt-BH.xls][Spt-BH.xls]B__4365"/>
      <sheetName val="[Spt-BH.xls][Spt-BH.xls]_S_1563"/>
      <sheetName val="[Spt-BH.xls][Spt-BH.xls]_S_1561"/>
      <sheetName val="[Spt-BH.xls][Spt-BH.xls]_S_1565"/>
      <sheetName val="[Spt-BH.xls][Spt-BH.xls]B__4366"/>
      <sheetName val="[Spt-BH.xls][Spt-BH.xls]B__4367"/>
      <sheetName val="[Spt-BH.xls][Spt-BH.xls]B__4368"/>
      <sheetName val="[Spt-BH.xls][Spt-BH.xls]B__4369"/>
      <sheetName val="[Spt-BH.xls][Spt-BH.xls]B__4370"/>
      <sheetName val="[Spt-BH.xls][Spt-BH.xls]B__4371"/>
      <sheetName val="[Spt-BH.xls][Spt-BH.xls]_S_1566"/>
      <sheetName val="[Spt-BH.xls][Spt-BH.xls]_S_1569"/>
      <sheetName val="[Spt-BH.xls][Spt-BH.xls]B__4378"/>
      <sheetName val="[Spt-BH.xls][Spt-BH.xls]B__4379"/>
      <sheetName val="[Spt-BH.xls][Spt-BH.xls]_S_1573"/>
      <sheetName val="[Spt-BH.xls][Spt-BH.xls]B__4380"/>
      <sheetName val="[Spt-BH.xls][Spt-BH.xls]B__4381"/>
      <sheetName val="[Spt-BH.xls][Spt-BH.xls]B__4382"/>
      <sheetName val="[Spt-BH.xls][Spt-BH.xls]B__4383"/>
      <sheetName val="[Spt-BH.xls][Spt-BH.xls]_S_1571"/>
      <sheetName val="[Spt-BH.xls][Spt-BH.xls]_S_1572"/>
      <sheetName val="[Spt-BH.xls][Spt-BH.xls]_S_1661"/>
      <sheetName val="[Spt-BH.xls]B____x005f_x0004______340"/>
      <sheetName val="[Spt-BH.xls]B___x005f_x0000__x000_334"/>
      <sheetName val="[Spt-BH.xls][Spt-BH.xls]B__4384"/>
      <sheetName val="[Spt-BH.xls][Spt-BH_xls]B__4175"/>
      <sheetName val="[Spt-BH.xls][Spt-BH_xls]B__4176"/>
      <sheetName val="[Spt-BH.xls][Spt-BH_xls]B__4177"/>
      <sheetName val="[Spt-BH.xls][Spt-BH_xls]B__4178"/>
      <sheetName val="[Spt-BH.xls][Spt-BH_xls]_S_1381"/>
      <sheetName val="[Spt-BH.xls][Spt-BH_xls]B__4179"/>
      <sheetName val="[Spt-BH.xls][Spt-BH_xls]B__4180"/>
      <sheetName val="[Spt-BH.xls][Spt-BH_xls]B__4181"/>
      <sheetName val="[Spt-BH.xls][Spt-BH_xls]_S_1382"/>
      <sheetName val="[Spt-BH.xls][Spt-BH_xls]B__4182"/>
      <sheetName val="[Spt-BH.xls][Spt-BH_xls]B__4183"/>
      <sheetName val="[Spt-BH.xls][Spt-BH_xls]B__4184"/>
      <sheetName val="[Spt-BH.xls][Spt-BH_xls]B__4185"/>
      <sheetName val="[Spt-BH.xls][Spt-BH_xls]_S_1383"/>
      <sheetName val="[Spt-BH.xls][Spt-BH_xls]B__4186"/>
      <sheetName val="[Spt-BH.xls][Spt-BH_xls]B__4187"/>
      <sheetName val="[Spt-BH.xls][Spt-BH_xls]_S_1384"/>
      <sheetName val="[Spt-BH.xls][Spt-BH_xls]B__4188"/>
      <sheetName val="[Spt-BH.xls][Spt-BH_xls]B__4189"/>
      <sheetName val="[Spt-BH.xls][Spt-BH_xls]_S_1385"/>
      <sheetName val="[Spt-BH.xls][Spt-BH.xls]B__4409"/>
      <sheetName val="[Spt-BH.xls][Spt-BH.xls]B__4410"/>
      <sheetName val="[Spt-BH.xls][Spt-BH.xls]_S_1582"/>
      <sheetName val="[Spt-BH.xls][Spt-BH.xls]B__4411"/>
      <sheetName val="[Spt-BH.xls][Spt-BH.xls]B__4412"/>
      <sheetName val="[Spt-BH.xls][Spt-BH.xls]_S_1581"/>
      <sheetName val="[Spt-BH.xls][Spt-BH.xls]B__4403"/>
      <sheetName val="[Spt-BH.xls][Spt-BH.xls]B__4404"/>
      <sheetName val="[Spt-BH.xls][Spt-BH.xls]B__4405"/>
      <sheetName val="[Spt-BH.xls][Spt-BH.xls]B__4406"/>
      <sheetName val="[Spt-BH.xls][Spt-BH.xls]B__4407"/>
      <sheetName val="[Spt-BH.xls][Spt-BH.xls]_S_1579"/>
      <sheetName val="[Spt-BH.xls][Spt-BH.xls]B__4408"/>
      <sheetName val="[Spt-BH.xls][Spt-BH.xls]_S_1580"/>
      <sheetName val="[Spt-BH.xls][Spt-BH.xls]B__4391"/>
      <sheetName val="[Spt-BH.xls][Spt-BH.xls]B__4392"/>
      <sheetName val="[Spt-BH.xls][Spt-BH.xls]B__4393"/>
      <sheetName val="[Spt-BH.xls][Spt-BH.xls]B__4394"/>
      <sheetName val="[Spt-BH.xls][Spt-BH.xls]B__4395"/>
      <sheetName val="[Spt-BH.xls][Spt-BH.xls]_S_1575"/>
      <sheetName val="[Spt-BH.xls][Spt-BH.xls]B__4396"/>
      <sheetName val="[Spt-BH.xls][Spt-BH.xls]_S_1576"/>
      <sheetName val="[Spt-BH.xls][Spt-BH.xls]B__4385"/>
      <sheetName val="[Spt-BH.xls][Spt-BH.xls]B__4386"/>
      <sheetName val="[Spt-BH.xls][Spt-BH.xls]B__4387"/>
      <sheetName val="[Spt-BH.xls][Spt-BH.xls]B__4388"/>
      <sheetName val="[Spt-BH.xls][Spt-BH.xls]B__4389"/>
      <sheetName val="[Spt-BH.xls][Spt-BH.xls]B__4390"/>
      <sheetName val="[Spt-BH.xls][Spt-BH.xls]_S_1574"/>
      <sheetName val="[Spt-BH.xls][Spt-BH.xls]B__4397"/>
      <sheetName val="[Spt-BH.xls][Spt-BH.xls]B__4398"/>
      <sheetName val="[Spt-BH.xls][Spt-BH.xls]B__4399"/>
      <sheetName val="[Spt-BH.xls][Spt-BH.xls]B__4400"/>
      <sheetName val="[Spt-BH.xls][Spt-BH.xls]B__4401"/>
      <sheetName val="[Spt-BH.xls][Spt-BH.xls]_S_1577"/>
      <sheetName val="[Spt-BH.xls][Spt-BH.xls]B__4402"/>
      <sheetName val="[Spt-BH.xls][Spt-BH.xls]_S_1578"/>
      <sheetName val="[Spt-BH.xls][Spt-BH.xls]B__4419"/>
      <sheetName val="[Spt-BH.xls][Spt-BH.xls]B__4420"/>
      <sheetName val="[Spt-BH.xls][Spt-BH.xls]_S_1593"/>
      <sheetName val="[Spt-BH.xls][Spt-BH.xls]B__4421"/>
      <sheetName val="[Spt-BH.xls][Spt-BH.xls]B__4422"/>
      <sheetName val="[Spt-BH.xls][Spt-BH.xls]B__4423"/>
      <sheetName val="[Spt-BH.xls][Spt-BH.xls]_S_1585"/>
      <sheetName val="[Spt-BH.xls][Spt-BH.xls]B__4424"/>
      <sheetName val="[Spt-BH.xls][Spt-BH.xls]_S_1586"/>
      <sheetName val="[Spt-BH.xls][Spt-BH.xls]B__4413"/>
      <sheetName val="[Spt-BH.xls][Spt-BH.xls]B__4414"/>
      <sheetName val="[Spt-BH.xls][Spt-BH.xls]B__4415"/>
      <sheetName val="[Spt-BH.xls][Spt-BH.xls]B__4416"/>
      <sheetName val="[Spt-BH.xls][Spt-BH.xls]B__4417"/>
      <sheetName val="[Spt-BH.xls][Spt-BH.xls]_S_1583"/>
      <sheetName val="[Spt-BH.xls][Spt-BH.xls]B__4418"/>
      <sheetName val="[Spt-BH.xls][Spt-BH.xls]_S_1584"/>
      <sheetName val="[Spt-BH.xls][Spt-BH.xls]B__4445"/>
      <sheetName val="[Spt-BH.xls][Spt-BH.xls]B__4446"/>
      <sheetName val="[Spt-BH.xls][Spt-BH.xls]B__4447"/>
      <sheetName val="[Spt-BH.xls][Spt-BH.xls]B__4448"/>
      <sheetName val="[Spt-BH.xls]B____x005f_x0004______341"/>
      <sheetName val="[Spt-BH.xls]B___x005f_x0000__x000_335"/>
      <sheetName val="[Spt-BH.xls][Spt-BH.xls]B__4449"/>
      <sheetName val="[Spt-BH.xls][Spt-BH.xls]B__4450"/>
      <sheetName val="[Spt-BH.xls][Spt-BH.xls]B__4425"/>
      <sheetName val="[Spt-BH.xls][Spt-BH.xls]_S_1594"/>
      <sheetName val="[Spt-BH.xls][Spt-BH_xls]B__4190"/>
      <sheetName val="[Spt-BH.xls][Spt-BH_xls]B__4191"/>
      <sheetName val="[Spt-BH.xls][Spt-BH_xls]B__4192"/>
      <sheetName val="[Spt-BH.xls][Spt-BH_xls]B__4193"/>
      <sheetName val="[Spt-BH.xls][Spt-BH_xls]_S_1386"/>
      <sheetName val="[Spt-BH.xls][Spt-BH_xls]B__4194"/>
      <sheetName val="[Spt-BH.xls][Spt-BH_xls]B__4195"/>
      <sheetName val="[Spt-BH.xls][Spt-BH_xls]B__4196"/>
      <sheetName val="[Spt-BH.xls][Spt-BH_xls]_S_1387"/>
      <sheetName val="[Spt-BH.xls][Spt-BH_xls]B__4197"/>
      <sheetName val="[Spt-BH.xls][Spt-BH_xls]B__4198"/>
      <sheetName val="[Spt-BH.xls][Spt-BH_xls]B__4199"/>
      <sheetName val="[Spt-BH.xls][Spt-BH_xls]B__4200"/>
      <sheetName val="[Spt-BH.xls][Spt-BH_xls]_S_1388"/>
      <sheetName val="[Spt-BH.xls][Spt-BH_xls]B__4201"/>
      <sheetName val="[Spt-BH.xls][Spt-BH_xls]B__4202"/>
      <sheetName val="[Spt-BH.xls][Spt-BH_xls]_S_1389"/>
      <sheetName val="[Spt-BH.xls][Spt-BH_xls]B__4203"/>
      <sheetName val="[Spt-BH.xls][Spt-BH_xls]B__4204"/>
      <sheetName val="[Spt-BH.xls][Spt-BH_xls]_S_1390"/>
      <sheetName val="[Spt-BH.xls][Spt-BH.xls]B__4426"/>
      <sheetName val="[Spt-BH.xls][Spt-BH.xls]B__4427"/>
      <sheetName val="[Spt-BH.xls][Spt-BH.xls]B__4428"/>
      <sheetName val="[Spt-BH.xls][Spt-BH.xls]B__4429"/>
      <sheetName val="[Spt-BH.xls][Spt-BH.xls]B__4430"/>
      <sheetName val="[Spt-BH.xls][Spt-BH.xls]_S_1587"/>
      <sheetName val="[Spt-BH.xls][Spt-BH.xls]B__4431"/>
      <sheetName val="[Spt-BH.xls][Spt-BH.xls]_S_1588"/>
      <sheetName val="[Spt-BH.xls]B____x005f_x0004______342"/>
      <sheetName val="[Spt-BH.xls]B___x005f_x0000__x000_336"/>
      <sheetName val="[Spt-BH.xls][Spt-BH.xls]B__4432"/>
      <sheetName val="[Spt-BH.xls][Spt-BH_xls]B__4205"/>
      <sheetName val="[Spt-BH.xls][Spt-BH_xls]B__4206"/>
      <sheetName val="[Spt-BH.xls][Spt-BH_xls]B__4207"/>
      <sheetName val="[Spt-BH.xls][Spt-BH_xls]B__4208"/>
      <sheetName val="[Spt-BH.xls][Spt-BH_xls]_S_1391"/>
      <sheetName val="[Spt-BH.xls][Spt-BH_xls]B__4209"/>
      <sheetName val="[Spt-BH.xls][Spt-BH_xls]B__4210"/>
      <sheetName val="[Spt-BH.xls][Spt-BH_xls]B__4211"/>
      <sheetName val="[Spt-BH.xls][Spt-BH_xls]_S_1392"/>
      <sheetName val="[Spt-BH.xls][Spt-BH_xls]B__4212"/>
      <sheetName val="[Spt-BH.xls][Spt-BH_xls]B__4213"/>
      <sheetName val="[Spt-BH.xls][Spt-BH_xls]B__4214"/>
      <sheetName val="[Spt-BH.xls][Spt-BH_xls]B__4215"/>
      <sheetName val="[Spt-BH.xls][Spt-BH_xls]_S_1393"/>
      <sheetName val="[Spt-BH.xls][Spt-BH_xls]B__4216"/>
      <sheetName val="[Spt-BH.xls][Spt-BH_xls]B__4217"/>
      <sheetName val="[Spt-BH.xls][Spt-BH_xls]_S_1394"/>
      <sheetName val="[Spt-BH.xls][Spt-BH_xls]B__4218"/>
      <sheetName val="[Spt-BH.xls][Spt-BH_xls]B__4219"/>
      <sheetName val="[Spt-BH.xls][Spt-BH_xls]_S_1395"/>
      <sheetName val="[Spt-BH.xls][Spt-BH.xls]_S_1589"/>
      <sheetName val="[Spt-BH.xls][Spt-BH.xls]B__4433"/>
      <sheetName val="[Spt-BH.xls][Spt-BH.xls]B__4434"/>
      <sheetName val="[Spt-BH.xls][Spt-BH.xls]B__4435"/>
      <sheetName val="[Spt-BH.xls][Spt-BH.xls]B__4436"/>
      <sheetName val="[Spt-BH.xls][Spt-BH.xls]B__4437"/>
      <sheetName val="[Spt-BH.xls][Spt-BH.xls]B__4438"/>
      <sheetName val="[Spt-BH.xls][Spt-BH.xls]_S_1590"/>
      <sheetName val="[Spt-BH.xls][Spt-BH.xls]_S_1591"/>
      <sheetName val="[Spt-BH.xls][Spt-BH.xls]B__4439"/>
      <sheetName val="[Spt-BH.xls][Spt-BH.xls]B__4440"/>
      <sheetName val="[Spt-BH.xls][Spt-BH.xls]B__4441"/>
      <sheetName val="[Spt-BH.xls][Spt-BH.xls]B__4442"/>
      <sheetName val="[Spt-BH.xls][Spt-BH.xls]B__4443"/>
      <sheetName val="[Spt-BH.xls][Spt-BH.xls]B__4444"/>
      <sheetName val="[Spt-BH.xls][Spt-BH.xls]_S_1592"/>
      <sheetName val="[Spt-BH.xls][Spt-BH.xls]_S_1603"/>
      <sheetName val="[Spt-BH.xls][Spt-BH.xls]_S_1602"/>
      <sheetName val="[Spt-BH.xls][Spt-BH.xls]_S_1596"/>
      <sheetName val="[Spt-BH.xls][Spt-BH.xls]_S_1597"/>
      <sheetName val="[Spt-BH.xls][Spt-BH.xls]_S_1595"/>
      <sheetName val="[Spt-BH.xls][Spt-BH.xls]_S_1599"/>
      <sheetName val="[Spt-BH.xls][Spt-BH.xls]_S_1600"/>
      <sheetName val="[Spt-BH.xls][Spt-BH.xls]_S_1598"/>
      <sheetName val="[Spt-BH.xls][Spt-BH.xls]_S_1601"/>
      <sheetName val="[Spt-BH.xls]B____x005f_x0004______344"/>
      <sheetName val="[Spt-BH.xls]B___x005f_x0000__x000_338"/>
      <sheetName val="[Spt-BH.xls]B____x005f_x0004______343"/>
      <sheetName val="[Spt-BH.xls]B___x005f_x0000__x000_337"/>
      <sheetName val="[Spt-BH.xls]B____x005f_x0004______346"/>
      <sheetName val="[Spt-BH.xls]B___x005f_x0000__x000_340"/>
      <sheetName val="[Spt-BH.xls]B____x005f_x0004______345"/>
      <sheetName val="[Spt-BH.xls]B___x005f_x0000__x000_339"/>
      <sheetName val="[Spt-BH.xls]B____x005f_x0004______347"/>
      <sheetName val="[Spt-BH.xls]B___x005f_x0000__x000_341"/>
      <sheetName val="[Spt-BH.xls]B____x005f_x0004______348"/>
      <sheetName val="[Spt-BH.xls]B___x005f_x0000__x000_342"/>
      <sheetName val="[Spt-BH.xls]B____x005f_x0004______352"/>
      <sheetName val="[Spt-BH.xls]B___x005f_x0000__x000_346"/>
      <sheetName val="[Spt-BH.xls]B____x005f_x0004______350"/>
      <sheetName val="[Spt-BH.xls]B___x005f_x0000__x000_344"/>
      <sheetName val="[Spt-BH.xls]B____x005f_x0004______349"/>
      <sheetName val="[Spt-BH.xls]B___x005f_x0000__x000_343"/>
      <sheetName val="[Spt-BH.xls]B____x005f_x0004______351"/>
      <sheetName val="[Spt-BH.xls]B___x005f_x0000__x000_345"/>
      <sheetName val="[Spt-BH.xls]B____x005f_x0004______361"/>
      <sheetName val="[Spt-BH.xls]B___x005f_x0000__x000_355"/>
      <sheetName val="[Spt-BH.xls][Spt-BH.xls]B__4451"/>
      <sheetName val="[Spt-BH.xls]B____x005f_x0004______353"/>
      <sheetName val="[Spt-BH.xls]B___x005f_x0000__x000_347"/>
      <sheetName val="[Spt-BH.xls]B____x005f_x0004______356"/>
      <sheetName val="[Spt-BH.xls]B___x005f_x0000__x000_350"/>
      <sheetName val="[Spt-BH.xls]B____x005f_x0004______354"/>
      <sheetName val="[Spt-BH.xls]B___x005f_x0000__x000_348"/>
      <sheetName val="[Spt-BH.xls]B____x005f_x0004______355"/>
      <sheetName val="[Spt-BH.xls]B___x005f_x0000__x000_349"/>
      <sheetName val="[Spt-BH.xls]B____x005f_x0004______357"/>
      <sheetName val="[Spt-BH.xls]B___x005f_x0000__x000_351"/>
      <sheetName val="[Spt-BH.xls]B____x005f_x0004______360"/>
      <sheetName val="[Spt-BH.xls]B___x005f_x0000__x000_354"/>
      <sheetName val="[Spt-BH.xls]B____x005f_x0004______358"/>
      <sheetName val="[Spt-BH.xls]B___x005f_x0000__x000_352"/>
      <sheetName val="[Spt-BH.xls]B____x005f_x0004______359"/>
      <sheetName val="[Spt-BH.xls]B___x005f_x0000__x000_353"/>
      <sheetName val="[Spt-BH.xls][Spt-BH.xls]B__4453"/>
      <sheetName val="[Spt-BH.xls][Spt-BH.xls]B__4454"/>
      <sheetName val="[Spt-BH.xls][Spt-BH.xls]B__4455"/>
      <sheetName val="[Spt-BH.xls][Spt-BH.xls]B__4456"/>
      <sheetName val="[Spt-BH.xls]B____x005f_x0004______362"/>
      <sheetName val="[Spt-BH.xls]B___x005f_x0000__x000_356"/>
      <sheetName val="[Spt-BH.xls][Spt-BH.xls]B__4457"/>
      <sheetName val="[Spt-BH.xls][Spt-BH.xls]B__4458"/>
      <sheetName val="[Spt-BH.xls][Spt-BH.xls]B__4452"/>
      <sheetName val="[Spt-BH.xls][Spt-BH.xls]B__4459"/>
      <sheetName val="[Spt-BH.xls][Spt-BH.xls]B__4460"/>
      <sheetName val="[Spt-BH.xls][Spt-BH.xls]B__4461"/>
      <sheetName val="[Spt-BH.xls][Spt-BH.xls]B__4462"/>
      <sheetName val="[Spt-BH.xls][Spt-BH.xls]B__4463"/>
      <sheetName val="[Spt-BH.xls][Spt-BH.xls]B__4464"/>
      <sheetName val="[Spt-BH.xls][Spt-BH.xls]B__4466"/>
      <sheetName val="[Spt-BH.xls][Spt-BH.xls]B__4467"/>
      <sheetName val="[Spt-BH.xls][Spt-BH.xls]B__4468"/>
      <sheetName val="[Spt-BH.xls][Spt-BH.xls]B__4469"/>
      <sheetName val="[Spt-BH.xls]B____x005f_x0004______363"/>
      <sheetName val="[Spt-BH.xls]B___x005f_x0000__x000_357"/>
      <sheetName val="[Spt-BH.xls][Spt-BH.xls]B__4470"/>
      <sheetName val="[Spt-BH.xls][Spt-BH.xls]B__4471"/>
      <sheetName val="[Spt-BH.xls][Spt-BH.xls]B__4465"/>
      <sheetName val="[Spt-BH.xls][Spt-BH.xls]B__4489"/>
      <sheetName val="[Spt-BH.xls][Spt-BH.xls]B__4490"/>
      <sheetName val="[Spt-BH.xls][Spt-BH.xls]B__4491"/>
      <sheetName val="[Spt-BH.xls][Spt-BH.xls]B__4492"/>
      <sheetName val="[Spt-BH.xls]B____x005f_x0004______364"/>
      <sheetName val="[Spt-BH.xls]B___x005f_x0000__x000_358"/>
      <sheetName val="[Spt-BH.xls][Spt-BH.xls]B__4493"/>
      <sheetName val="[Spt-BH.xls][Spt-BH.xls]B__4478"/>
      <sheetName val="[Spt-BH.xls][Spt-BH.xls]B__4479"/>
      <sheetName val="[Spt-BH.xls][Spt-BH.xls]B__4480"/>
      <sheetName val="[Spt-BH.xls][Spt-BH.xls]B__4481"/>
      <sheetName val="[Spt-BH.xls][Spt-BH.xls]B__4482"/>
      <sheetName val="[Spt-BH.xls][Spt-BH.xls]B__4483"/>
      <sheetName val="[Spt-BH.xls]B____x005f_x0004______366"/>
      <sheetName val="[Spt-BH.xls]B___x005f_x0000__x000_360"/>
      <sheetName val="[Spt-BH.xls][Spt-BH.xls]B__4472"/>
      <sheetName val="[Spt-BH.xls][Spt-BH.xls]B__4473"/>
      <sheetName val="[Spt-BH.xls][Spt-BH.xls]B__4474"/>
      <sheetName val="[Spt-BH.xls][Spt-BH.xls]B__4475"/>
      <sheetName val="[Spt-BH.xls][Spt-BH.xls]B__4476"/>
      <sheetName val="[Spt-BH.xls][Spt-BH.xls]B__4477"/>
      <sheetName val="[Spt-BH.xls]B____x005f_x0004______365"/>
      <sheetName val="[Spt-BH.xls]B___x005f_x0000__x000_359"/>
      <sheetName val="[Spt-BH.xls][Spt-BH.xls]B__4494"/>
      <sheetName val="[Spt-BH.xls][Spt-BH.xls]B__4484"/>
      <sheetName val="[Spt-BH.xls][Spt-BH.xls]B__4485"/>
      <sheetName val="[Spt-BH.xls][Spt-BH.xls]B__4486"/>
      <sheetName val="[Spt-BH.xls][Spt-BH.xls]B__4487"/>
      <sheetName val="[Spt-BH.xls][Spt-BH.xls]B__4488"/>
      <sheetName val="[Spt-BH.xls][Spt-BH.xls]B__4495"/>
      <sheetName val="[Spt-BH.xls][Spt-BH.xls]B__4496"/>
      <sheetName val="[Spt-BH.xls][Spt-BH.xls]B__4497"/>
      <sheetName val="[Spt-BH.xls][Spt-BH.xls]B__4498"/>
      <sheetName val="[Spt-BH.xls][Spt-BH.xls]B__4499"/>
      <sheetName val="[Spt-BH.xls][Spt-BH.xls]B__4500"/>
      <sheetName val="[Spt-BH.xls][Spt-BH.xls]B__4526"/>
      <sheetName val="[Spt-BH.xls][Spt-BH.xls]B__4527"/>
      <sheetName val="[Spt-BH.xls][Spt-BH.xls]B__4528"/>
      <sheetName val="[Spt-BH.xls][Spt-BH.xls]B__4529"/>
      <sheetName val="[Spt-BH.xls][Spt-BH.xls]B__4530"/>
      <sheetName val="[Spt-BH.xls][Spt-BH.xls]B__4531"/>
      <sheetName val="[Spt-BH.xls][Spt-BH.xls]B__4501"/>
      <sheetName val="[Spt-BH.xls][Spt-BH.xls]B__4502"/>
      <sheetName val="[Spt-BH.xls][Spt-BH.xls]B__4503"/>
      <sheetName val="[Spt-BH.xls][Spt-BH.xls]B__4504"/>
      <sheetName val="[Spt-BH.xls][Spt-BH.xls]B__4505"/>
      <sheetName val="[Spt-BH.xls][Spt-BH.xls]B__4506"/>
      <sheetName val="[Spt-BH.xls][Spt-BH.xls]B__4533"/>
      <sheetName val="[Spt-BH.xls][Spt-BH.xls]B__4534"/>
      <sheetName val="[Spt-BH.xls][Spt-BH.xls]B__4535"/>
      <sheetName val="[Spt-BH.xls][Spt-BH.xls]B__4536"/>
      <sheetName val="[Spt-BH.xls]B____x005f_x0004______368"/>
      <sheetName val="[Spt-BH.xls]B___x005f_x0000__x000_362"/>
      <sheetName val="[Spt-BH.xls][Spt-BH.xls]B__4537"/>
      <sheetName val="[Spt-BH.xls][Spt-BH.xls]B__4538"/>
      <sheetName val="[Spt-BH.xls][Spt-BH.xls]B__4532"/>
      <sheetName val="[Spt-BH.xls][Spt-BH.xls]B__4507"/>
      <sheetName val="[Spt-BH.xls][Spt-BH.xls]B__4508"/>
      <sheetName val="[Spt-BH.xls][Spt-BH.xls]B__4509"/>
      <sheetName val="[Spt-BH.xls][Spt-BH.xls]B__4510"/>
      <sheetName val="[Spt-BH.xls][Spt-BH.xls]B__4511"/>
      <sheetName val="[Spt-BH.xls][Spt-BH.xls]B__4512"/>
      <sheetName val="[Spt-BH.xls]B____x005f_x0004______367"/>
      <sheetName val="[Spt-BH.xls]B___x005f_x0000__x000_361"/>
      <sheetName val="[Spt-BH.xls][Spt-BH.xls]B__4513"/>
      <sheetName val="[Spt-BH.xls][Spt-BH.xls]B__4514"/>
      <sheetName val="[Spt-BH.xls][Spt-BH.xls]B__4515"/>
      <sheetName val="[Spt-BH.xls][Spt-BH.xls]B__4516"/>
      <sheetName val="[Spt-BH.xls][Spt-BH.xls]B__4517"/>
      <sheetName val="[Spt-BH.xls][Spt-BH.xls]B__4518"/>
      <sheetName val="[Spt-BH.xls][Spt-BH.xls]B__4519"/>
      <sheetName val="[Spt-BH.xls][Spt-BH.xls]B__4520"/>
      <sheetName val="[Spt-BH.xls][Spt-BH.xls]B__4521"/>
      <sheetName val="[Spt-BH.xls][Spt-BH.xls]B__4522"/>
      <sheetName val="[Spt-BH.xls][Spt-BH.xls]B__4523"/>
      <sheetName val="[Spt-BH.xls][Spt-BH.xls]B__4524"/>
      <sheetName val="[Spt-BH.xls][Spt-BH.xls]B__4525"/>
      <sheetName val="[Spt-BH.xls][Spt-BH.xls]B__4539"/>
      <sheetName val="[Spt-BH.xls][Spt-BH.xls]B__4540"/>
      <sheetName val="[Spt-BH.xls][Spt-BH.xls]B__4541"/>
      <sheetName val="[Spt-BH.xls][Spt-BH.xls]B__4542"/>
      <sheetName val="[Spt-BH.xls][Spt-BH.xls]B__4543"/>
      <sheetName val="[Spt-BH.xls][Spt-BH.xls]B__4544"/>
      <sheetName val="[Spt-BH.xls][Spt-BH.xls]B__4551"/>
      <sheetName val="[Spt-BH.xls][Spt-BH.xls]B__4552"/>
      <sheetName val="[Spt-BH.xls][Spt-BH.xls]B__4553"/>
      <sheetName val="[Spt-BH.xls][Spt-BH.xls]B__4554"/>
      <sheetName val="[Spt-BH.xls][Spt-BH.xls]B__4555"/>
      <sheetName val="[Spt-BH.xls][Spt-BH.xls]B__4556"/>
      <sheetName val="[Spt-BH.xls][Spt-BH.xls]B__4545"/>
      <sheetName val="[Spt-BH.xls][Spt-BH.xls]B__4546"/>
      <sheetName val="[Spt-BH.xls][Spt-BH.xls]B__4547"/>
      <sheetName val="[Spt-BH.xls][Spt-BH.xls]B__4548"/>
      <sheetName val="[Spt-BH.xls][Spt-BH.xls]B__4549"/>
      <sheetName val="[Spt-BH.xls][Spt-BH.xls]B__4550"/>
      <sheetName val="[Spt-BH.xls][Spt-BH.xls]B__4564"/>
      <sheetName val="[Spt-BH.xls][Spt-BH.xls]B__4565"/>
      <sheetName val="[Spt-BH.xls][Spt-BH.xls]B__4566"/>
      <sheetName val="[Spt-BH.xls][Spt-BH.xls]B__4567"/>
      <sheetName val="[Spt-BH.xls]B____x005f_x0004______369"/>
      <sheetName val="[Spt-BH.xls]B___x005f_x0000__x000_363"/>
      <sheetName val="[Spt-BH.xls][Spt-BH.xls]B__4568"/>
      <sheetName val="[Spt-BH.xls][Spt-BH.xls]B__4557"/>
      <sheetName val="[Spt-BH.xls][Spt-BH.xls]B__4558"/>
      <sheetName val="[Spt-BH.xls][Spt-BH.xls]B__4559"/>
      <sheetName val="[Spt-BH.xls][Spt-BH.xls]B__4560"/>
      <sheetName val="[Spt-BH.xls][Spt-BH.xls]B__4569"/>
      <sheetName val="[Spt-BH.xls][Spt-BH.xls]B__4561"/>
      <sheetName val="[Spt-BH.xls][Spt-BH.xls]B__4562"/>
      <sheetName val="[Spt-BH.xls][Spt-BH.xls]B__4563"/>
      <sheetName val="[Spt-BH.xls][Spt-BH.xls]B__4570"/>
      <sheetName val="[Spt-BH.xls][Spt-BH.xls]B__4571"/>
      <sheetName val="[Spt-BH.xls][Spt-BH.xls]_S_1604"/>
      <sheetName val="[Spt-BH.xls][Spt-BH.xls]B__4572"/>
      <sheetName val="[Spt-BH.xls][Spt-BH.xls]B__4573"/>
      <sheetName val="[Spt-BH.xls][Spt-BH.xls]B__4574"/>
      <sheetName val="[Spt-BH.xls][Spt-BH.xls]B__4575"/>
      <sheetName val="[Spt-BH.xls][Spt-BH.xls]B__4577"/>
      <sheetName val="[Spt-BH.xls][Spt-BH.xls]B__4578"/>
      <sheetName val="[Spt-BH.xls][Spt-BH.xls]_S_1606"/>
      <sheetName val="[Spt-BH.xls][Spt-BH.xls]B__4579"/>
      <sheetName val="[Spt-BH.xls][Spt-BH.xls]B__4580"/>
      <sheetName val="[Spt-BH.xls]B____x005f_x0004______370"/>
      <sheetName val="[Spt-BH.xls]B___x005f_x0000__x000_364"/>
      <sheetName val="[Spt-BH.xls][Spt-BH.xls]B__4581"/>
      <sheetName val="[Spt-BH.xls][Spt-BH.xls]B__4582"/>
      <sheetName val="[Spt-BH.xls][Spt-BH.xls]B__4576"/>
      <sheetName val="[Spt-BH.xls][Spt-BH.xls]B__4584"/>
      <sheetName val="[Spt-BH.xls][Spt-BH.xls]B__4585"/>
      <sheetName val="[Spt-BH.xls][Spt-BH.xls]_S_1608"/>
      <sheetName val="[Spt-BH.xls][Spt-BH.xls]B__4586"/>
      <sheetName val="[Spt-BH.xls][Spt-BH.xls]B__4587"/>
      <sheetName val="[Spt-BH.xls]B____x005f_x0004______371"/>
      <sheetName val="[Spt-BH.xls]B___x005f_x0000__x000_365"/>
      <sheetName val="[Spt-BH.xls][Spt-BH.xls]B__4588"/>
      <sheetName val="[Spt-BH.xls][Spt-BH.xls]B__4589"/>
      <sheetName val="[Spt-BH.xls][Spt-BH.xls]B__4583"/>
      <sheetName val="[Spt-BH.xls][Spt-BH.xls]_S_1605"/>
      <sheetName val="[Spt-BH.xls][Spt-BH.xls]_S_1607"/>
      <sheetName val="[Spt-BH.xls][Spt-BH.xls]_S_1609"/>
      <sheetName val="[Spt-BH.xls][Spt-BH.xls]_S_1614"/>
      <sheetName val="[Spt-BH.xls][Spt-BH.xls]B__4590"/>
      <sheetName val="[Spt-BH.xls][Spt-BH.xls]B__4591"/>
      <sheetName val="[Spt-BH.xls][Spt-BH.xls]_S_1616"/>
      <sheetName val="[Spt-BH.xls][Spt-BH.xls]B__4592"/>
      <sheetName val="[Spt-BH.xls][Spt-BH.xls]B__4593"/>
      <sheetName val="[Spt-BH.xls][Spt-BH.xls]B__4594"/>
      <sheetName val="[Spt-BH.xls][Spt-BH.xls]B__4595"/>
      <sheetName val="[Spt-BH.xls][Spt-BH.xls]_S_1615"/>
      <sheetName val="[Spt-BH.xls][Spt-BH.xls]_S_1613"/>
      <sheetName val="[Spt-BH.xls][Spt-BH.xls]_S_1612"/>
      <sheetName val="[Spt-BH.xls][Spt-BH.xls]_S_1610"/>
      <sheetName val="[Spt-BH.xls][Spt-BH.xls]_S_1611"/>
      <sheetName val="[Spt-BH.xls][Spt-BH.xls]B__4596"/>
      <sheetName val="[Spt-BH.xls][Spt-BH.xls]B__4597"/>
      <sheetName val="[Spt-BH.xls][Spt-BH.xls]_S_1618"/>
      <sheetName val="[Spt-BH.xls][Spt-BH.xls]B__4598"/>
      <sheetName val="[Spt-BH.xls][Spt-BH.xls]B__4599"/>
      <sheetName val="[Spt-BH.xls][Spt-BH.xls]B__4600"/>
      <sheetName val="[Spt-BH.xls][Spt-BH.xls]B__4601"/>
      <sheetName val="[Spt-BH.xls][Spt-BH.xls]_S_1617"/>
      <sheetName val="[Spt-BH.xls][Spt-BH.xls]B__4784"/>
      <sheetName val="[Spt-BH.xls][Spt-BH.xls]B__4785"/>
      <sheetName val="[Spt-BH.xls][Spt-BH.xls]B__4602"/>
      <sheetName val="[Spt-BH.xls][Spt-BH.xls]B__4603"/>
      <sheetName val="[Spt-BH.xls][Spt-BH.xls]B__4604"/>
      <sheetName val="[Spt-BH.xls][Spt-BH.xls]B__4605"/>
      <sheetName val="[Spt-BH.xls][Spt-BH.xls]B__4606"/>
      <sheetName val="[Spt-BH.xls][Spt-BH.xls]B__4607"/>
      <sheetName val="[Spt-BH.xls][Spt-BH.xls]B__4615"/>
      <sheetName val="[Spt-BH.xls][Spt-BH.xls]B__4616"/>
      <sheetName val="[Spt-BH.xls][Spt-BH.xls]B__4617"/>
      <sheetName val="[Spt-BH.xls][Spt-BH.xls]B__4618"/>
      <sheetName val="[Spt-BH.xls]B____x005f_x0004______372"/>
      <sheetName val="[Spt-BH.xls]B___x005f_x0000__x000_366"/>
      <sheetName val="[Spt-BH.xls][Spt-BH.xls]B__4619"/>
      <sheetName val="[Spt-BH.xls][Spt-BH.xls]B__4620"/>
      <sheetName val="[Spt-BH.xls][Spt-BH.xls]B__4608"/>
      <sheetName val="[Spt-BH.xls][Spt-BH.xls]B__4622"/>
      <sheetName val="[Spt-BH.xls][Spt-BH.xls]B__4623"/>
      <sheetName val="[Spt-BH.xls][Spt-BH.xls]B__4624"/>
      <sheetName val="[Spt-BH.xls][Spt-BH.xls]B__4625"/>
      <sheetName val="[Spt-BH.xls]B____x005f_x0004______373"/>
      <sheetName val="[Spt-BH.xls]B___x005f_x0000__x000_367"/>
      <sheetName val="[Spt-BH.xls][Spt-BH.xls]B__4626"/>
      <sheetName val="[Spt-BH.xls][Spt-BH.xls]B__4627"/>
      <sheetName val="[Spt-BH.xls][Spt-BH.xls]B__4621"/>
      <sheetName val="[Spt-BH.xls][Spt-BH.xls]B__4609"/>
      <sheetName val="[Spt-BH.xls][Spt-BH.xls]B__4610"/>
      <sheetName val="[Spt-BH.xls][Spt-BH.xls]B__4611"/>
      <sheetName val="[Spt-BH.xls][Spt-BH.xls]B__4612"/>
      <sheetName val="[Spt-BH.xls][Spt-BH.xls]B__4613"/>
      <sheetName val="[Spt-BH.xls][Spt-BH.xls]B__4614"/>
      <sheetName val="[Spt-BH.xls][Spt-BH.xls]B__4635"/>
      <sheetName val="[Spt-BH.xls][Spt-BH.xls]B__4636"/>
      <sheetName val="[Spt-BH.xls][Spt-BH.xls]B__4637"/>
      <sheetName val="[Spt-BH.xls][Spt-BH.xls]B__4638"/>
      <sheetName val="[Spt-BH.xls][Spt-BH.xls]B__4639"/>
      <sheetName val="[Spt-BH.xls][Spt-BH.xls]B__4640"/>
      <sheetName val="[Spt-BH.xls][Spt-BH.xls]B__4656"/>
      <sheetName val="[Spt-BH.xls][Spt-BH.xls]B__4657"/>
      <sheetName val="[Spt-BH.xls][Spt-BH.xls]B__4658"/>
      <sheetName val="[Spt-BH.xls][Spt-BH.xls]B__4659"/>
      <sheetName val="[Spt-BH.xls]B____x005f_x0004______375"/>
      <sheetName val="[Spt-BH.xls]B___x005f_x0000__x000_369"/>
      <sheetName val="[Spt-BH.xls][Spt-BH.xls]B__4660"/>
      <sheetName val="[Spt-BH.xls][Spt-BH.xls]B__4661"/>
      <sheetName val="[Spt-BH.xls][Spt-BH.xls]B__4641"/>
      <sheetName val="[Spt-BH.xls][Spt-BH.xls]B__4628"/>
      <sheetName val="[Spt-BH.xls][Spt-BH.xls]B__4629"/>
      <sheetName val="[Spt-BH.xls][Spt-BH.xls]B__4630"/>
      <sheetName val="[Spt-BH.xls][Spt-BH.xls]B__4631"/>
      <sheetName val="[Spt-BH.xls][Spt-BH.xls]B__4632"/>
      <sheetName val="[Spt-BH.xls][Spt-BH.xls]B__4633"/>
      <sheetName val="[Spt-BH.xls]B____x005f_x0004______374"/>
      <sheetName val="[Spt-BH.xls]B___x005f_x0000__x000_368"/>
      <sheetName val="[Spt-BH.xls][Spt-BH.xls]B__4634"/>
      <sheetName val="[Spt-BH.xls][Spt-BH.xls]B__4642"/>
      <sheetName val="[Spt-BH.xls][Spt-BH.xls]B__4643"/>
      <sheetName val="[Spt-BH.xls][Spt-BH.xls]B__4644"/>
      <sheetName val="[Spt-BH.xls][Spt-BH.xls]B__4645"/>
      <sheetName val="[Spt-BH.xls][Spt-BH.xls]B__4646"/>
      <sheetName val="[Spt-BH.xls][Spt-BH.xls]B__4647"/>
      <sheetName val="[Spt-BH.xls]B____x005f_x0004______376"/>
      <sheetName val="[Spt-BH.xls]B___x005f_x0000__x000_370"/>
      <sheetName val="[Spt-BH.xls][Spt-BH.xls]B__4648"/>
      <sheetName val="[Spt-BH.xls][Spt-BH.xls]B__4669"/>
      <sheetName val="[Spt-BH.xls][Spt-BH.xls]B__4670"/>
      <sheetName val="[Spt-BH.xls][Spt-BH.xls]B__4671"/>
      <sheetName val="[Spt-BH.xls][Spt-BH.xls]B__4672"/>
      <sheetName val="[Spt-BH.xls]B____x005f_x0004______378"/>
      <sheetName val="[Spt-BH.xls]B___x005f_x0000__x000_372"/>
      <sheetName val="[Spt-BH.xls][Spt-BH.xls]B__4673"/>
      <sheetName val="[Spt-BH.xls][Spt-BH.xls]B__4674"/>
      <sheetName val="[Spt-BH.xls][Spt-BH.xls]B__4662"/>
      <sheetName val="[Spt-BH.xls][Spt-BH.xls]B__4649"/>
      <sheetName val="[Spt-BH.xls][Spt-BH.xls]B__4650"/>
      <sheetName val="[Spt-BH.xls][Spt-BH.xls]B__4651"/>
      <sheetName val="[Spt-BH.xls][Spt-BH.xls]B__4652"/>
      <sheetName val="[Spt-BH.xls][Spt-BH.xls]B__4653"/>
      <sheetName val="[Spt-BH.xls][Spt-BH.xls]B__4654"/>
      <sheetName val="[Spt-BH.xls]B____x005f_x0004______377"/>
      <sheetName val="[Spt-BH.xls]B___x005f_x0000__x000_371"/>
      <sheetName val="[Spt-BH.xls][Spt-BH.xls]B__4655"/>
      <sheetName val="[Spt-BH.xls][Spt-BH.xls]B__4663"/>
      <sheetName val="[Spt-BH.xls][Spt-BH.xls]B__4664"/>
      <sheetName val="[Spt-BH.xls][Spt-BH.xls]B__4665"/>
      <sheetName val="[Spt-BH.xls][Spt-BH.xls]B__4666"/>
      <sheetName val="[Spt-BH.xls][Spt-BH.xls]B__4667"/>
      <sheetName val="[Spt-BH.xls][Spt-BH.xls]B__4668"/>
      <sheetName val="[Spt-BH.xls][Spt-BH.xls]B__4675"/>
      <sheetName val="[Spt-BH.xls][Spt-BH.xls]B__4676"/>
      <sheetName val="[Spt-BH.xls][Spt-BH.xls]B__4677"/>
      <sheetName val="[Spt-BH.xls][Spt-BH.xls]B__4678"/>
      <sheetName val="[Spt-BH.xls][Spt-BH.xls]B__4679"/>
      <sheetName val="[Spt-BH.xls][Spt-BH.xls]B__4680"/>
      <sheetName val="[Spt-BH.xls][Spt-BH.xls]B__4681"/>
      <sheetName val="[Spt-BH.xls][Spt-BH.xls]B__4682"/>
      <sheetName val="[Spt-BH.xls][Spt-BH.xls]B__4683"/>
      <sheetName val="[Spt-BH.xls][Spt-BH.xls]B__4684"/>
      <sheetName val="[Spt-BH.xls][Spt-BH.xls]B__4685"/>
      <sheetName val="[Spt-BH.xls][Spt-BH.xls]B__4686"/>
      <sheetName val="[Spt-BH.xls][Spt-BH.xls]_S_1619"/>
      <sheetName val="[Spt-BH.xls][Spt-BH.xls]B__4687"/>
      <sheetName val="[Spt-BH.xls][Spt-BH.xls]B__4688"/>
      <sheetName val="[Spt-BH.xls][Spt-BH.xls]B__4689"/>
      <sheetName val="[Spt-BH.xls][Spt-BH.xls]B__4690"/>
      <sheetName val="[Spt-BH.xls][Spt-BH.xls]B__4691"/>
      <sheetName val="[Spt-BH.xls][Spt-BH.xls]B__4692"/>
      <sheetName val="[Spt-BH.xls][Spt-BH.xls]B__4694"/>
      <sheetName val="[Spt-BH.xls][Spt-BH.xls]B__4695"/>
      <sheetName val="[Spt-BH.xls][Spt-BH.xls]_S_1620"/>
      <sheetName val="[Spt-BH.xls][Spt-BH.xls]B__4696"/>
      <sheetName val="[Spt-BH.xls][Spt-BH.xls]B__4697"/>
      <sheetName val="[Spt-BH.xls]B____x005f_x0004______379"/>
      <sheetName val="[Spt-BH.xls]B___x005f_x0000__x000_373"/>
      <sheetName val="[Spt-BH.xls][Spt-BH.xls]B__4698"/>
      <sheetName val="[Spt-BH.xls][Spt-BH.xls]B__4699"/>
      <sheetName val="[Spt-BH.xls][Spt-BH.xls]B__4693"/>
      <sheetName val="[Spt-BH.xls][Spt-BH.xls]B__4701"/>
      <sheetName val="[Spt-BH.xls][Spt-BH.xls]B__4702"/>
      <sheetName val="[Spt-BH.xls][Spt-BH.xls]_S_1622"/>
      <sheetName val="[Spt-BH.xls][Spt-BH.xls]B__4703"/>
      <sheetName val="[Spt-BH.xls][Spt-BH.xls]B__4704"/>
      <sheetName val="[Spt-BH.xls]B____x005f_x0004______380"/>
      <sheetName val="[Spt-BH.xls]B___x005f_x0000__x000_374"/>
      <sheetName val="[Spt-BH.xls][Spt-BH.xls]B__4705"/>
      <sheetName val="[Spt-BH.xls][Spt-BH.xls]B__4706"/>
      <sheetName val="[Spt-BH.xls][Spt-BH.xls]B__4700"/>
      <sheetName val="[Spt-BH.xls][Spt-BH.xls]_S_1621"/>
      <sheetName val="[Spt-BH.xls][Spt-BH.xls]B__4707"/>
      <sheetName val="[Spt-BH.xls][Spt-BH.xls]B__4708"/>
      <sheetName val="[Spt-BH.xls][Spt-BH.xls]_S_1623"/>
      <sheetName val="[Spt-BH.xls][Spt-BH.xls]B__4709"/>
      <sheetName val="[Spt-BH.xls][Spt-BH.xls]B__4710"/>
      <sheetName val="[Spt-BH.xls][Spt-BH.xls]B__4711"/>
      <sheetName val="[Spt-BH.xls][Spt-BH.xls]B__4712"/>
      <sheetName val="[Spt-BH.xls][Spt-BH.xls]B__4713"/>
      <sheetName val="[Spt-BH.xls][Spt-BH.xls]B__4714"/>
      <sheetName val="[Spt-BH.xls][Spt-BH.xls]_S_1625"/>
      <sheetName val="[Spt-BH.xls][Spt-BH.xls]B__4715"/>
      <sheetName val="[Spt-BH.xls][Spt-BH.xls]B__4716"/>
      <sheetName val="[Spt-BH.xls][Spt-BH.xls]B__4717"/>
      <sheetName val="[Spt-BH.xls][Spt-BH.xls]B__4718"/>
      <sheetName val="[Spt-BH.xls][Spt-BH.xls]_S_1624"/>
      <sheetName val="[Spt-BH.xls][Spt-BH.xls]_S_1627"/>
      <sheetName val="[Spt-BH.xls][Spt-BH.xls]_S_1626"/>
      <sheetName val="[Spt-BH.xls][Spt-BH.xls]B__4723"/>
      <sheetName val="[Spt-BH.xls][Spt-BH.xls]B__4724"/>
      <sheetName val="[Spt-BH.xls][Spt-BH.xls]_S_1630"/>
      <sheetName val="[Spt-BH.xls][Spt-BH.xls]B__4725"/>
      <sheetName val="[Spt-BH.xls][Spt-BH.xls]B__4726"/>
      <sheetName val="[Spt-BH.xls]B____x005f_x0004______381"/>
      <sheetName val="[Spt-BH.xls]B___x005f_x0000__x000_375"/>
      <sheetName val="[Spt-BH.xls][Spt-BH.xls]B__4727"/>
      <sheetName val="[Spt-BH.xls][Spt-BH.xls]B__4719"/>
      <sheetName val="[Spt-BH.xls][Spt-BH.xls]B__4720"/>
      <sheetName val="[Spt-BH.xls][Spt-BH.xls]_S_1629"/>
      <sheetName val="[Spt-BH.xls][Spt-BH.xls]B__4721"/>
      <sheetName val="[Spt-BH.xls][Spt-BH.xls]B__4722"/>
      <sheetName val="[Spt-BH.xls][Spt-BH.xls]_S_1628"/>
      <sheetName val="[Spt-BH.xls][Spt-BH.xls]B__4728"/>
      <sheetName val="[Spt-BH.xls][Spt-BH.xls]B__4729"/>
      <sheetName val="[Spt-BH.xls][Spt-BH.xls]B__4730"/>
      <sheetName val="[Spt-BH.xls][Spt-BH.xls]_S_1632"/>
      <sheetName val="[Spt-BH.xls][Spt-BH.xls]B__4731"/>
      <sheetName val="[Spt-BH.xls][Spt-BH.xls]B__4732"/>
      <sheetName val="[Spt-BH.xls][Spt-BH.xls]B__4733"/>
      <sheetName val="[Spt-BH.xls][Spt-BH.xls]B__4734"/>
      <sheetName val="[Spt-BH.xls][Spt-BH.xls]_S_1631"/>
      <sheetName val="[Spt-BH.xls][Spt-BH.xls]B__4735"/>
      <sheetName val="[Spt-BH.xls][Spt-BH.xls]B__4736"/>
      <sheetName val="[Spt-BH.xls][Spt-BH.xls]_S_1635"/>
      <sheetName val="[Spt-BH.xls][Spt-BH.xls]B__4737"/>
      <sheetName val="[Spt-BH.xls][Spt-BH.xls]B__4738"/>
      <sheetName val="[Spt-BH.xls][Spt-BH.xls]B__4739"/>
      <sheetName val="[Spt-BH.xls][Spt-BH.xls]B__4740"/>
      <sheetName val="[Spt-BH.xls][Spt-BH.xls]_S_1633"/>
      <sheetName val="[Spt-BH.xls][Spt-BH.xls]_S_1634"/>
      <sheetName val="[Spt-BH.xls][Spt-BH.xls]_S_1639"/>
      <sheetName val="[Spt-BH.xls][Spt-BH.xls]_S_1636"/>
      <sheetName val="[Spt-BH.xls][Spt-BH.xls]_S_1637"/>
      <sheetName val="[Spt-BH.xls][Spt-BH.xls]_S_1638"/>
      <sheetName val="[Spt-BH.xls][Spt-BH.xls]B__4741"/>
      <sheetName val="[Spt-BH.xls][Spt-BH.xls]B__4742"/>
      <sheetName val="[Spt-BH.xls][Spt-BH.xls]_S_1644"/>
      <sheetName val="[Spt-BH.xls][Spt-BH.xls]B__4743"/>
      <sheetName val="[Spt-BH.xls][Spt-BH.xls]B__4744"/>
      <sheetName val="[Spt-BH.xls][Spt-BH.xls]B__4745"/>
      <sheetName val="[Spt-BH.xls][Spt-BH.xls]_S_1640"/>
      <sheetName val="[Spt-BH.xls][Spt-BH.xls]B__4746"/>
      <sheetName val="[Spt-BH.xls][Spt-BH.xls]_S_1641"/>
      <sheetName val="[Spt-BH.xls]B____x005f_x0004______382"/>
      <sheetName val="[Spt-BH.xls]B___x005f_x0000__x000_376"/>
      <sheetName val="[Spt-BH.xls][Spt-BH.xls]_S_1642"/>
      <sheetName val="[Spt-BH.xls][Spt-BH.xls]_S_1643"/>
      <sheetName val="[Spt-BH.xls][Spt-BH.xls]_S_1645"/>
      <sheetName val="[Spt-BH.xls][Spt-BH.xls]_S_1648"/>
      <sheetName val="[Spt-BH.xls][Spt-BH.xls]B__4760"/>
      <sheetName val="[Spt-BH.xls][Spt-BH.xls]B__4761"/>
      <sheetName val="[Spt-BH.xls][Spt-BH.xls]_S_1649"/>
      <sheetName val="[Spt-BH.xls][Spt-BH.xls]B__4762"/>
      <sheetName val="[Spt-BH.xls][Spt-BH.xls]B__4763"/>
      <sheetName val="[Spt-BH.xls][Spt-BH.xls]B__4764"/>
      <sheetName val="[Spt-BH.xls][Spt-BH.xls]B__4765"/>
      <sheetName val="[Spt-BH.xls]B____x005f_x0004______383"/>
      <sheetName val="[Spt-BH.xls]B___x005f_x0000__x000_377"/>
      <sheetName val="[Spt-BH.xls][Spt-BH.xls]B__4747"/>
      <sheetName val="[Spt-BH.xls][Spt-BH.xls]B__4748"/>
      <sheetName val="[Spt-BH.xls][Spt-BH.xls]B__4749"/>
      <sheetName val="[Spt-BH.xls][Spt-BH.xls]B__4750"/>
      <sheetName val="[Spt-BH.xls][Spt-BH.xls]_S_1646"/>
      <sheetName val="[Spt-BH.xls][Spt-BH.xls]B__4751"/>
      <sheetName val="[Spt-BH.xls][Spt-BH.xls]B__4752"/>
      <sheetName val="[Spt-BH.xls][Spt-BH.xls]B__4753"/>
      <sheetName val="[Spt-BH.xls][Spt-BH.xls]_S_1647"/>
      <sheetName val="[Spt-BH.xls][Spt-BH.xls]B__4754"/>
      <sheetName val="[Spt-BH.xls][Spt-BH.xls]B__4755"/>
      <sheetName val="[Spt-BH.xls][Spt-BH.xls]B__4756"/>
      <sheetName val="[Spt-BH.xls][Spt-BH.xls]B__4757"/>
      <sheetName val="[Spt-BH.xls][Spt-BH.xls]B__4758"/>
      <sheetName val="[Spt-BH.xls][Spt-BH.xls]B__4759"/>
      <sheetName val="[Spt-BH.xls][Spt-BH.xls]B__4766"/>
      <sheetName val="[Spt-BH.xls][Spt-BH.xls]B__4767"/>
      <sheetName val="[Spt-BH.xls][Spt-BH.xls]_S_1651"/>
      <sheetName val="[Spt-BH.xls][Spt-BH.xls]B__4768"/>
      <sheetName val="[Spt-BH.xls][Spt-BH.xls]B__4769"/>
      <sheetName val="[Spt-BH.xls][Spt-BH.xls]B__4770"/>
      <sheetName val="[Spt-BH.xls][Spt-BH.xls]B__4771"/>
      <sheetName val="[Spt-BH.xls][Spt-BH.xls]_S_1650"/>
      <sheetName val="[Spt-BH.xls][Spt-BH.xls]_S_1652"/>
      <sheetName val="[Spt-BH.xls][Spt-BH.xls]B__4772"/>
      <sheetName val="[Spt-BH.xls][Spt-BH.xls]B__4773"/>
      <sheetName val="[Spt-BH.xls][Spt-BH.xls]_S_1654"/>
      <sheetName val="[Spt-BH.xls][Spt-BH.xls]B__4774"/>
      <sheetName val="[Spt-BH.xls][Spt-BH.xls]B__4775"/>
      <sheetName val="[Spt-BH.xls][Spt-BH.xls]B__4776"/>
      <sheetName val="[Spt-BH.xls][Spt-BH.xls]B__4777"/>
      <sheetName val="[Spt-BH.xls][Spt-BH.xls]_S_1653"/>
      <sheetName val="[Spt-BH.xls][Spt-BH.xls]B__4778"/>
      <sheetName val="[Spt-BH.xls][Spt-BH.xls]B__4779"/>
      <sheetName val="[Spt-BH.xls][Spt-BH.xls]B__4780"/>
      <sheetName val="[Spt-BH.xls][Spt-BH.xls]B__4781"/>
      <sheetName val="[Spt-BH.xls][Spt-BH.xls]B__4782"/>
      <sheetName val="[Spt-BH.xls][Spt-BH.xls]B__4783"/>
      <sheetName val="[Spt-BH.xls][Spt-BH.xls]B__4786"/>
      <sheetName val="[Spt-BH.xls][Spt-BH.xls]B__4787"/>
      <sheetName val="[Spt-BH.xls][Spt-BH.xls]B__4795"/>
      <sheetName val="[Spt-BH.xls][Spt-BH.xls]B__4796"/>
      <sheetName val="[Spt-BH.xls][Spt-BH.xls]_S_1660"/>
      <sheetName val="[Spt-BH.xls][Spt-BH.xls]B__4797"/>
      <sheetName val="[Spt-BH.xls][Spt-BH.xls]B__4798"/>
      <sheetName val="[Spt-BH.xls]B____x005f_x0004______384"/>
      <sheetName val="[Spt-BH.xls]B___x005f_x0000__x000_378"/>
      <sheetName val="[Spt-BH.xls][Spt-BH.xls]B__4799"/>
      <sheetName val="[Spt-BH.xls][Spt-BH.xls]B__4788"/>
      <sheetName val="[Spt-BH.xls][Spt-BH.xls]B__4789"/>
      <sheetName val="[Spt-BH.xls][Spt-BH.xls]_S_1657"/>
      <sheetName val="[Spt-BH.xls][Spt-BH.xls]B__4790"/>
      <sheetName val="[Spt-BH.xls][Spt-BH.xls]B__4791"/>
      <sheetName val="[Spt-BH.xls][Spt-BH.xls]B__4800"/>
      <sheetName val="[Spt-BH.xls][Spt-BH.xls]_S_1655"/>
      <sheetName val="[Spt-BH.xls][Spt-BH.xls]B__4792"/>
      <sheetName val="[Spt-BH.xls][Spt-BH.xls]B__4793"/>
      <sheetName val="[Spt-BH.xls][Spt-BH.xls]B__4794"/>
      <sheetName val="[Spt-BH.xls][Spt-BH.xls]_S_1658"/>
      <sheetName val="[Spt-BH.xls][Spt-BH.xls]_S_1656"/>
      <sheetName val="[Spt-BH.xls][Spt-BH.xls]_S_1659"/>
      <sheetName val="[Spt-BH.xls][Spt-BH.xls]_S_1662"/>
      <sheetName val="[Spt-BH.xls][Spt-BH.xls]_S_1663"/>
      <sheetName val="[Spt-BH.xls][Spt-BH.xls]_S_1664"/>
      <sheetName val="[Spt-BH.xls][Spt-BH.xls]_S_1665"/>
      <sheetName val="[Spt-BH.xls][Spt-BH.xls]B__4801"/>
      <sheetName val="[Spt-BH.xls][Spt-BH.xls]B__4802"/>
      <sheetName val="[Spt-BH.xls][Spt-BH.xls]_S_1667"/>
      <sheetName val="[Spt-BH.xls][Spt-BH.xls]B__4803"/>
      <sheetName val="[Spt-BH.xls][Spt-BH.xls]B__4804"/>
      <sheetName val="[Spt-BH.xls][Spt-BH.xls]B__4805"/>
      <sheetName val="[Spt-BH.xls][Spt-BH.xls]B__4806"/>
      <sheetName val="[Spt-BH.xls][Spt-BH.xls]_S_1666"/>
      <sheetName val="[Spt-BH.xls][Spt-BH.xls]B__4807"/>
      <sheetName val="[Spt-BH.xls][Spt-BH.xls]B__4809"/>
      <sheetName val="[Spt-BH.xls][Spt-BH.xls]B__4810"/>
      <sheetName val="[Spt-BH.xls][Spt-BH.xls]B__4811"/>
      <sheetName val="[Spt-BH.xls][Spt-BH.xls]B__4812"/>
      <sheetName val="[Spt-BH.xls]B____x005f_x0004______386"/>
      <sheetName val="[Spt-BH.xls]B___x005f_x0000__x000_380"/>
      <sheetName val="[Spt-BH.xls][Spt-BH.xls]B__4813"/>
      <sheetName val="[Spt-BH.xls][Spt-BH.xls]B__4814"/>
      <sheetName val="[Spt-BH.xls][Spt-BH.xls]B__4808"/>
      <sheetName val="[Spt-BH.xls]B____x005f_x0004______385"/>
      <sheetName val="[Spt-BH.xls]B___x005f_x0000__x000_379"/>
      <sheetName val="[Spt-BH.xls][Spt-BH.xls]B__4822"/>
      <sheetName val="[Spt-BH.xls][Spt-BH.xls]B__4823"/>
      <sheetName val="[Spt-BH.xls][Spt-BH.xls]B__4824"/>
      <sheetName val="[Spt-BH.xls][Spt-BH.xls]B__4825"/>
      <sheetName val="[Spt-BH.xls]B____x005f_x0004______387"/>
      <sheetName val="[Spt-BH.xls]B___x005f_x0000__x000_381"/>
      <sheetName val="[Spt-BH.xls][Spt-BH.xls]B__4826"/>
      <sheetName val="[Spt-BH.xls][Spt-BH.xls]B__4815"/>
      <sheetName val="[Spt-BH.xls][Spt-BH.xls]B__4816"/>
      <sheetName val="[Spt-BH.xls][Spt-BH.xls]B__4817"/>
      <sheetName val="[Spt-BH.xls][Spt-BH.xls]B__4818"/>
      <sheetName val="[Spt-BH.xls][Spt-BH.xls]B__4827"/>
      <sheetName val="[Spt-BH.xls][Spt-BH.xls]B__4819"/>
      <sheetName val="[Spt-BH.xls][Spt-BH.xls]B__4820"/>
      <sheetName val="[Spt-BH.xls][Spt-BH.xls]B__4821"/>
      <sheetName val="[Spt-BH.xls][Spt-BH.xls]B__4835"/>
      <sheetName val="[Spt-BH.xls][Spt-BH.xls]B__4836"/>
      <sheetName val="[Spt-BH.xls][Spt-BH.xls]B__4837"/>
      <sheetName val="[Spt-BH.xls][Spt-BH.xls]B__4838"/>
      <sheetName val="[Spt-BH.xls]B____x005f_x0004______388"/>
      <sheetName val="[Spt-BH.xls]B___x005f_x0000__x000_382"/>
      <sheetName val="[Spt-BH.xls][Spt-BH.xls]B__4839"/>
      <sheetName val="[Spt-BH.xls][Spt-BH.xls]B__4828"/>
      <sheetName val="[Spt-BH.xls][Spt-BH.xls]B__4829"/>
      <sheetName val="[Spt-BH.xls][Spt-BH.xls]B__4830"/>
      <sheetName val="[Spt-BH.xls][Spt-BH.xls]B__4831"/>
      <sheetName val="[Spt-BH.xls][Spt-BH.xls]B__4840"/>
      <sheetName val="[Spt-BH.xls][Spt-BH.xls]B__4832"/>
      <sheetName val="[Spt-BH.xls][Spt-BH.xls]B__4833"/>
      <sheetName val="[Spt-BH.xls][Spt-BH.xls]B__4834"/>
      <sheetName val="[Spt-BH.xls][Spt-BH.xls]B__4841"/>
      <sheetName val="[Spt-BH.xls][Spt-BH.xls]B__4842"/>
      <sheetName val="[Spt-BH.xls][Spt-BH.xls]B__4843"/>
      <sheetName val="[Spt-BH.xls][Spt-BH.xls]B__4844"/>
      <sheetName val="[Spt-BH.xls][Spt-BH.xls]B__4845"/>
      <sheetName val="[Spt-BH.xls][Spt-BH.xls]_S_1668"/>
      <sheetName val="[Spt-BH.xls][Spt-BH.xls]_S_1669"/>
      <sheetName val="[Spt-BH.xls][Spt-BH.xls]B__5228"/>
      <sheetName val="[Spt-BH.xls][Spt-BH.xls]B__5229"/>
      <sheetName val="[Spt-BH.xls][Spt-BH.xls]_S_1810"/>
      <sheetName val="[Spt-BH.xls][Spt-BH.xls]B__5230"/>
      <sheetName val="[Spt-BH.xls][Spt-BH.xls]B__5231"/>
      <sheetName val="[Spt-BH.xls]B____x005f_x0004______421"/>
      <sheetName val="[Spt-BH.xls]B___x005f_x0000__x000_415"/>
      <sheetName val="[Spt-BH.xls][Spt-BH.xls]B__5232"/>
      <sheetName val="[Spt-BH.xls][Spt-BH.xls]_S_1808"/>
      <sheetName val="[Spt-BH.xls][Spt-BH_xls]B__5052"/>
      <sheetName val="[Spt-BH.xls][Spt-BH_xls]B__5053"/>
      <sheetName val="[Spt-BH.xls][Spt-BH_xls]B__5054"/>
      <sheetName val="[Spt-BH.xls][Spt-BH_xls]B__5055"/>
      <sheetName val="[Spt-BH.xls][Spt-BH_xls]_S_1672"/>
      <sheetName val="[Spt-BH.xls][Spt-BH_xls]B__5056"/>
      <sheetName val="[Spt-BH.xls][Spt-BH_xls]B__5057"/>
      <sheetName val="[Spt-BH.xls][Spt-BH_xls]B__5058"/>
      <sheetName val="[Spt-BH.xls][Spt-BH_xls]_S_1673"/>
      <sheetName val="[Spt-BH.xls][Spt-BH_xls]B__5059"/>
      <sheetName val="[Spt-BH.xls][Spt-BH_xls]B__5060"/>
      <sheetName val="[Spt-BH.xls][Spt-BH_xls]B__5061"/>
      <sheetName val="[Spt-BH.xls][Spt-BH_xls]B__5062"/>
      <sheetName val="[Spt-BH.xls][Spt-BH_xls]_S_1674"/>
      <sheetName val="[Spt-BH.xls][Spt-BH.xls]B__5233"/>
      <sheetName val="[Spt-BH.xls][Spt-BH.xls]B__5221"/>
      <sheetName val="[Spt-BH.xls][Spt-BH.xls]B__5222"/>
      <sheetName val="[Spt-BH.xls][Spt-BH.xls]_S_1809"/>
      <sheetName val="[Spt-BH.xls][Spt-BH.xls]B__5223"/>
      <sheetName val="[Spt-BH.xls][Spt-BH.xls]B__5224"/>
      <sheetName val="[Spt-BH.xls][Spt-BH.xls]_S_1806"/>
      <sheetName val="[Spt-BH.xls][Spt-BH.xls]B__5225"/>
      <sheetName val="[Spt-BH.xls][Spt-BH.xls]B__5226"/>
      <sheetName val="[Spt-BH.xls][Spt-BH.xls]B__5227"/>
      <sheetName val="[Spt-BH.xls]B____x005f_x0004______419"/>
      <sheetName val="[Spt-BH.xls]B___x005f_x0000__x000_413"/>
      <sheetName val="[Spt-BH.xls][Spt-BH.xls]_S_1807"/>
      <sheetName val="[Spt-BH.xls][Spt-BH_xls]B__5022"/>
      <sheetName val="[Spt-BH.xls][Spt-BH_xls]B__5023"/>
      <sheetName val="[Spt-BH.xls][Spt-BH_xls]B__5024"/>
      <sheetName val="[Spt-BH.xls][Spt-BH_xls]B__5025"/>
      <sheetName val="[Spt-BH.xls][Spt-BH_xls]_S_1662"/>
      <sheetName val="[Spt-BH.xls][Spt-BH_xls]B__5026"/>
      <sheetName val="[Spt-BH.xls][Spt-BH_xls]B__5027"/>
      <sheetName val="[Spt-BH.xls][Spt-BH_xls]B__5028"/>
      <sheetName val="[Spt-BH.xls][Spt-BH_xls]_S_1663"/>
      <sheetName val="[Spt-BH.xls][Spt-BH_xls]B__5029"/>
      <sheetName val="[Spt-BH.xls][Spt-BH_xls]B__5030"/>
      <sheetName val="[Spt-BH.xls][Spt-BH_xls]B__5031"/>
      <sheetName val="[Spt-BH.xls][Spt-BH_xls]B__5032"/>
      <sheetName val="[Spt-BH.xls][Spt-BH_xls]_S_1664"/>
      <sheetName val="[Spt-BH.xls][Spt-BH.xls]B__5207"/>
      <sheetName val="[Spt-BH.xls][Spt-BH.xls]B__5208"/>
      <sheetName val="[Spt-BH.xls][Spt-BH.xls]B__5209"/>
      <sheetName val="[Spt-BH.xls][Spt-BH.xls]B__5210"/>
      <sheetName val="[Spt-BH.xls][Spt-BH.xls]_S_1802"/>
      <sheetName val="[Spt-BH.xls][Spt-BH.xls]B__5211"/>
      <sheetName val="[Spt-BH.xls][Spt-BH.xls]B__5212"/>
      <sheetName val="[Spt-BH.xls][Spt-BH.xls]B__5213"/>
      <sheetName val="[Spt-BH.xls][Spt-BH.xls]_S_1675"/>
      <sheetName val="[Spt-BH.xls][Spt-BH.xls]_S_1673"/>
      <sheetName val="[Spt-BH.xls][Spt-BH.xls]_S_1674"/>
      <sheetName val="[Spt-BH.xls][Spt-BH.xls]_S_1672"/>
      <sheetName val="[Spt-BH.xls][Spt-BH.xls]_S_1670"/>
      <sheetName val="[Spt-BH.xls][Spt-BH.xls]_S_1671"/>
      <sheetName val="[Spt-BH.xls][Spt-BH.xls]_S_1686"/>
      <sheetName val="[Spt-BH.xls][Spt-BH.xls]_S_1676"/>
      <sheetName val="[Spt-BH.xls][Spt-BH.xls]B__4846"/>
      <sheetName val="[Spt-BH.xls][Spt-BH.xls]B__4847"/>
      <sheetName val="[Spt-BH.xls][Spt-BH.xls]_S_1678"/>
      <sheetName val="[Spt-BH.xls][Spt-BH.xls]B__4848"/>
      <sheetName val="[Spt-BH.xls][Spt-BH.xls]B__4849"/>
      <sheetName val="[Spt-BH.xls][Spt-BH.xls]B__4850"/>
      <sheetName val="[Spt-BH.xls][Spt-BH.xls]B__4853"/>
      <sheetName val="[Spt-BH.xls][Spt-BH.xls]B__4854"/>
      <sheetName val="[Spt-BH.xls][Spt-BH.xls]_S_1680"/>
      <sheetName val="[Spt-BH.xls][Spt-BH.xls]B__4855"/>
      <sheetName val="[Spt-BH.xls][Spt-BH.xls]B__4856"/>
      <sheetName val="[Spt-BH.xls][Spt-BH.xls]B__4857"/>
      <sheetName val="[Spt-BH.xls][Spt-BH.xls]B__4858"/>
      <sheetName val="[Spt-BH.xls][Spt-BH.xls]B__4851"/>
      <sheetName val="[Spt-BH.xls][Spt-BH.xls]B__4852"/>
      <sheetName val="[Spt-BH.xls][Spt-BH.xls]_S_1679"/>
      <sheetName val="[Spt-BH.xls][Spt-BH.xls]_S_1677"/>
      <sheetName val="[Spt-BH.xls][Spt-BH_xls]B__4220"/>
      <sheetName val="[Spt-BH.xls][Spt-BH_xls]B__4221"/>
      <sheetName val="[Spt-BH.xls][Spt-BH_xls]B__4222"/>
      <sheetName val="[Spt-BH.xls][Spt-BH_xls]B__4223"/>
      <sheetName val="[Spt-BH.xls][Spt-BH_xls]B__4224"/>
      <sheetName val="[Spt-BH.xls][Spt-BH_xls]B__4225"/>
      <sheetName val="[Spt-BH.xls][Spt-BH_xls]B__4226"/>
      <sheetName val="[Spt-BH.xls][Spt-BH_xls]_S_1396"/>
      <sheetName val="[Spt-BH.xls][Spt-BH_xls]B__4227"/>
      <sheetName val="[Spt-BH.xls][Spt-BH_xls]B__4228"/>
      <sheetName val="[Spt-BH.xls][Spt-BH_xls]B__4229"/>
      <sheetName val="[Spt-BH.xls][Spt-BH_xls]B__4230"/>
      <sheetName val="[Spt-BH.xls][Spt-BH_xls]_S_1397"/>
      <sheetName val="[Spt-BH.xls][Spt-BH_xls]B__4231"/>
      <sheetName val="[Spt-BH.xls][Spt-BH_xls]B__4232"/>
      <sheetName val="[Spt-BH.xls][Spt-BH_xls]B__4233"/>
      <sheetName val="[Spt-BH.xls][Spt-BH_xls]_S_1398"/>
      <sheetName val="[Spt-BH.xls][Spt-BH_xls]B__4234"/>
      <sheetName val="[Spt-BH.xls][Spt-BH_xls]B__4235"/>
      <sheetName val="[Spt-BH.xls][Spt-BH_xls]B__4236"/>
      <sheetName val="[Spt-BH.xls][Spt-BH_xls]B__4237"/>
      <sheetName val="[Spt-BH.xls][Spt-BH_xls]_S_1399"/>
      <sheetName val="[Spt-BH.xls][Spt-BH_xls]B__4238"/>
      <sheetName val="[Spt-BH.xls][Spt-BH_xls]B__4239"/>
      <sheetName val="[Spt-BH.xls][Spt-BH_xls]_S_1400"/>
      <sheetName val="[Spt-BH.xls][Spt-BH_xls]B__4240"/>
      <sheetName val="[Spt-BH.xls][Spt-BH_xls]B__4241"/>
      <sheetName val="[Spt-BH.xls][Spt-BH_xls]_S_1401"/>
      <sheetName val="[Spt-BH.xls][Spt-BH_xls]B__4242"/>
      <sheetName val="[Spt-BH.xls][Spt-BH_xls]B__4243"/>
      <sheetName val="[Spt-BH.xls][Spt-BH_xls]B__4244"/>
      <sheetName val="[Spt-BH.xls][Spt-BH_xls]B__4245"/>
      <sheetName val="[Spt-BH.xls][Spt-BH_xls]_S_1402"/>
      <sheetName val="[Spt-BH.xls][Spt-BH_xls]B__4246"/>
      <sheetName val="[Spt-BH.xls][Spt-BH_xls]B__4247"/>
      <sheetName val="[Spt-BH.xls][Spt-BH_xls]B__4248"/>
      <sheetName val="[Spt-BH.xls][Spt-BH_xls]_S_1403"/>
      <sheetName val="[Spt-BH.xls][Spt-BH_xls]B__4249"/>
      <sheetName val="[Spt-BH.xls][Spt-BH_xls]B__4250"/>
      <sheetName val="[Spt-BH.xls][Spt-BH_xls]B__4251"/>
      <sheetName val="[Spt-BH.xls][Spt-BH_xls]B__4252"/>
      <sheetName val="[Spt-BH.xls][Spt-BH_xls]_S_1404"/>
      <sheetName val="[Spt-BH.xls][Spt-BH_xls]B__4253"/>
      <sheetName val="[Spt-BH.xls][Spt-BH_xls]B__4254"/>
      <sheetName val="[Spt-BH.xls][Spt-BH_xls]_S_1405"/>
      <sheetName val="[Spt-BH.xls][Spt-BH_xls]B__4255"/>
      <sheetName val="[Spt-BH.xls][Spt-BH_xls]B__4256"/>
      <sheetName val="[Spt-BH.xls][Spt-BH_xls]_S_1406"/>
      <sheetName val="[Spt-BH.xls][Spt-BH_xls]B__4257"/>
      <sheetName val="[Spt-BH.xls][Spt-BH_xls]B__4258"/>
      <sheetName val="[Spt-BH.xls][Spt-BH_xls]B__4259"/>
      <sheetName val="[Spt-BH.xls][Spt-BH_xls]B__4260"/>
      <sheetName val="[Spt-BH.xls][Spt-BH_xls]_S_1407"/>
      <sheetName val="[Spt-BH.xls][Spt-BH_xls]B__4261"/>
      <sheetName val="[Spt-BH.xls][Spt-BH_xls]B__4262"/>
      <sheetName val="[Spt-BH.xls][Spt-BH_xls]B__4263"/>
      <sheetName val="[Spt-BH.xls][Spt-BH_xls]_S_1408"/>
      <sheetName val="[Spt-BH.xls][Spt-BH_xls]B__4264"/>
      <sheetName val="[Spt-BH.xls][Spt-BH_xls]B__4265"/>
      <sheetName val="[Spt-BH.xls][Spt-BH_xls]B__4266"/>
      <sheetName val="[Spt-BH.xls][Spt-BH_xls]B__4267"/>
      <sheetName val="[Spt-BH.xls][Spt-BH_xls]_S_1409"/>
      <sheetName val="[Spt-BH.xls][Spt-BH_xls]B__4268"/>
      <sheetName val="[Spt-BH.xls][Spt-BH_xls]B__4269"/>
      <sheetName val="[Spt-BH.xls][Spt-BH_xls]_S_1410"/>
      <sheetName val="[Spt-BH.xls][Spt-BH_xls]B__4270"/>
      <sheetName val="[Spt-BH.xls][Spt-BH_xls]B__4271"/>
      <sheetName val="[Spt-BH.xls][Spt-BH_xls]_S_1411"/>
      <sheetName val="[Spt-BH.xls][Spt-BH_xls]B__4302"/>
      <sheetName val="[Spt-BH.xls][Spt-BH_xls]B__4303"/>
      <sheetName val="[Spt-BH.xls][Spt-BH_xls]B__4304"/>
      <sheetName val="[Spt-BH.xls][Spt-BH_xls]B__4305"/>
      <sheetName val="[Spt-BH.xls][Spt-BH_xls]_S_1422"/>
      <sheetName val="[Spt-BH.xls][Spt-BH_xls]B__4306"/>
      <sheetName val="[Spt-BH.xls][Spt-BH_xls]B__4307"/>
      <sheetName val="[Spt-BH.xls][Spt-BH_xls]B__4308"/>
      <sheetName val="[Spt-BH.xls][Spt-BH_xls]_S_1423"/>
      <sheetName val="[Spt-BH.xls][Spt-BH_xls]B__4309"/>
      <sheetName val="[Spt-BH.xls][Spt-BH_xls]B__4310"/>
      <sheetName val="[Spt-BH.xls][Spt-BH_xls]B__4311"/>
      <sheetName val="[Spt-BH.xls][Spt-BH_xls]B__4312"/>
      <sheetName val="[Spt-BH.xls][Spt-BH_xls]_S_1424"/>
      <sheetName val="[Spt-BH.xls][Spt-BH_xls]B__4313"/>
      <sheetName val="[Spt-BH.xls][Spt-BH_xls]B__4314"/>
      <sheetName val="[Spt-BH.xls][Spt-BH_xls]_S_1425"/>
      <sheetName val="[Spt-BH.xls][Spt-BH_xls]B__4315"/>
      <sheetName val="[Spt-BH.xls][Spt-BH_xls]B__4316"/>
      <sheetName val="[Spt-BH.xls][Spt-BH_xls]_S_1426"/>
      <sheetName val="[Spt-BH.xls][Spt-BH_xls]B__4272"/>
      <sheetName val="[Spt-BH.xls][Spt-BH_xls]B__4273"/>
      <sheetName val="[Spt-BH.xls][Spt-BH_xls]B__4274"/>
      <sheetName val="[Spt-BH.xls][Spt-BH_xls]B__4275"/>
      <sheetName val="[Spt-BH.xls][Spt-BH_xls]_S_1412"/>
      <sheetName val="[Spt-BH.xls][Spt-BH_xls]B__4276"/>
      <sheetName val="[Spt-BH.xls][Spt-BH_xls]B__4277"/>
      <sheetName val="[Spt-BH.xls][Spt-BH_xls]B__4278"/>
      <sheetName val="[Spt-BH.xls][Spt-BH_xls]_S_1413"/>
      <sheetName val="[Spt-BH.xls][Spt-BH_xls]B__4279"/>
      <sheetName val="[Spt-BH.xls][Spt-BH_xls]B__4280"/>
      <sheetName val="[Spt-BH.xls][Spt-BH_xls]B__4281"/>
      <sheetName val="[Spt-BH.xls][Spt-BH_xls]B__4282"/>
      <sheetName val="[Spt-BH.xls][Spt-BH_xls]_S_1414"/>
      <sheetName val="[Spt-BH.xls][Spt-BH_xls]B__4283"/>
      <sheetName val="[Spt-BH.xls][Spt-BH_xls]B__4284"/>
      <sheetName val="[Spt-BH.xls][Spt-BH_xls]_S_1415"/>
      <sheetName val="[Spt-BH.xls][Spt-BH_xls]B__4285"/>
      <sheetName val="[Spt-BH.xls][Spt-BH_xls]B__4286"/>
      <sheetName val="[Spt-BH.xls][Spt-BH_xls]_S_1416"/>
      <sheetName val="[Spt-BH.xls][Spt-BH_xls]B__4287"/>
      <sheetName val="[Spt-BH.xls][Spt-BH_xls]B__4288"/>
      <sheetName val="[Spt-BH.xls][Spt-BH_xls]B__4289"/>
      <sheetName val="[Spt-BH.xls][Spt-BH_xls]B__4290"/>
      <sheetName val="[Spt-BH.xls][Spt-BH_xls]_S_1417"/>
      <sheetName val="[Spt-BH.xls][Spt-BH_xls]B__4291"/>
      <sheetName val="[Spt-BH.xls][Spt-BH_xls]B__4292"/>
      <sheetName val="[Spt-BH.xls][Spt-BH_xls]B__4293"/>
      <sheetName val="[Spt-BH.xls][Spt-BH_xls]_S_1418"/>
      <sheetName val="[Spt-BH.xls][Spt-BH_xls]B__4294"/>
      <sheetName val="[Spt-BH.xls][Spt-BH_xls]B__4295"/>
      <sheetName val="[Spt-BH.xls][Spt-BH_xls]B__4296"/>
      <sheetName val="[Spt-BH.xls][Spt-BH_xls]B__4297"/>
      <sheetName val="[Spt-BH.xls][Spt-BH_xls]_S_1419"/>
      <sheetName val="[Spt-BH.xls][Spt-BH_xls]B__4298"/>
      <sheetName val="[Spt-BH.xls][Spt-BH_xls]B__4299"/>
      <sheetName val="[Spt-BH.xls][Spt-BH_xls]_S_1420"/>
      <sheetName val="[Spt-BH.xls][Spt-BH_xls]B__4300"/>
      <sheetName val="[Spt-BH.xls][Spt-BH_xls]B__4301"/>
      <sheetName val="[Spt-BH.xls][Spt-BH_xls]_S_1421"/>
      <sheetName val="[Spt-BH.xls][Spt-BH_xls]B__4317"/>
      <sheetName val="[Spt-BH.xls][Spt-BH_xls]B__4318"/>
      <sheetName val="[Spt-BH.xls][Spt-BH_xls]B__4319"/>
      <sheetName val="[Spt-BH.xls][Spt-BH_xls]B__4320"/>
      <sheetName val="[Spt-BH.xls][Spt-BH_xls]_S_1427"/>
      <sheetName val="[Spt-BH.xls][Spt-BH_xls]B__4321"/>
      <sheetName val="[Spt-BH.xls][Spt-BH_xls]B__4322"/>
      <sheetName val="[Spt-BH.xls][Spt-BH_xls]B__4323"/>
      <sheetName val="[Spt-BH.xls][Spt-BH_xls]_S_1428"/>
      <sheetName val="[Spt-BH.xls][Spt-BH_xls]B__4324"/>
      <sheetName val="[Spt-BH.xls][Spt-BH_xls]B__4325"/>
      <sheetName val="[Spt-BH.xls][Spt-BH_xls]B__4326"/>
      <sheetName val="[Spt-BH.xls][Spt-BH_xls]B__4327"/>
      <sheetName val="[Spt-BH.xls][Spt-BH_xls]_S_1429"/>
      <sheetName val="[Spt-BH.xls][Spt-BH_xls]B__4328"/>
      <sheetName val="[Spt-BH.xls][Spt-BH_xls]B__4329"/>
      <sheetName val="[Spt-BH.xls][Spt-BH_xls]_S_1430"/>
      <sheetName val="[Spt-BH.xls][Spt-BH_xls]B__4330"/>
      <sheetName val="[Spt-BH.xls][Spt-BH_xls]B__4331"/>
      <sheetName val="[Spt-BH.xls][Spt-BH_xls]_S_1431"/>
      <sheetName val="[Spt-BH.xls][Spt-BH.xls]_S_1681"/>
      <sheetName val="[Spt-BH.xls][Spt-BH_xls]B__4332"/>
      <sheetName val="[Spt-BH.xls][Spt-BH_xls]B__4333"/>
      <sheetName val="[Spt-BH.xls][Spt-BH_xls]B__4334"/>
      <sheetName val="[Spt-BH.xls][Spt-BH_xls]B__4335"/>
      <sheetName val="[Spt-BH.xls][Spt-BH_xls]_S_1432"/>
      <sheetName val="[Spt-BH.xls][Spt-BH_xls]B__4336"/>
      <sheetName val="[Spt-BH.xls][Spt-BH_xls]B__4337"/>
      <sheetName val="[Spt-BH.xls][Spt-BH_xls]B__4338"/>
      <sheetName val="[Spt-BH.xls][Spt-BH_xls]_S_1433"/>
      <sheetName val="[Spt-BH.xls][Spt-BH_xls]B__4339"/>
      <sheetName val="[Spt-BH.xls][Spt-BH_xls]B__4340"/>
      <sheetName val="[Spt-BH.xls][Spt-BH_xls]B__4341"/>
      <sheetName val="[Spt-BH.xls][Spt-BH_xls]B__4342"/>
      <sheetName val="[Spt-BH.xls][Spt-BH_xls]_S_1434"/>
      <sheetName val="[Spt-BH.xls][Spt-BH_xls]B__4343"/>
      <sheetName val="[Spt-BH.xls][Spt-BH_xls]B__4344"/>
      <sheetName val="[Spt-BH.xls][Spt-BH_xls]_S_1435"/>
      <sheetName val="[Spt-BH.xls][Spt-BH_xls]B__4345"/>
      <sheetName val="[Spt-BH.xls][Spt-BH_xls]B__4346"/>
      <sheetName val="[Spt-BH.xls][Spt-BH_xls]_S_1436"/>
      <sheetName val="[Spt-BH.xls][Spt-BH.xls]B__4859"/>
      <sheetName val="[Spt-BH.xls][Spt-BH.xls]B__4860"/>
      <sheetName val="[Spt-BH.xls][Spt-BH.xls]_S_1683"/>
      <sheetName val="[Spt-BH.xls][Spt-BH.xls]B__4861"/>
      <sheetName val="[Spt-BH.xls][Spt-BH.xls]B__4862"/>
      <sheetName val="[Spt-BH.xls][Spt-BH.xls]B__4863"/>
      <sheetName val="[Spt-BH.xls][Spt-BH.xls]B__4864"/>
      <sheetName val="[Spt-BH.xls][Spt-BH.xls]_S_1682"/>
      <sheetName val="[Spt-BH.xls][Spt-BH_xls]B__4377"/>
      <sheetName val="[Spt-BH.xls][Spt-BH_xls]B__4378"/>
      <sheetName val="[Spt-BH.xls][Spt-BH_xls]B__4379"/>
      <sheetName val="[Spt-BH.xls][Spt-BH_xls]B__4380"/>
      <sheetName val="[Spt-BH.xls][Spt-BH_xls]_S_1447"/>
      <sheetName val="[Spt-BH.xls][Spt-BH_xls]B__4381"/>
      <sheetName val="[Spt-BH.xls][Spt-BH_xls]B__4382"/>
      <sheetName val="[Spt-BH.xls][Spt-BH_xls]B__4383"/>
      <sheetName val="[Spt-BH.xls][Spt-BH_xls]_S_1448"/>
      <sheetName val="[Spt-BH.xls][Spt-BH_xls]B__4384"/>
      <sheetName val="[Spt-BH.xls][Spt-BH_xls]B__4385"/>
      <sheetName val="[Spt-BH.xls][Spt-BH_xls]B__4386"/>
      <sheetName val="[Spt-BH.xls][Spt-BH_xls]B__4387"/>
      <sheetName val="[Spt-BH.xls][Spt-BH_xls]_S_1449"/>
      <sheetName val="[Spt-BH.xls][Spt-BH_xls]B__4388"/>
      <sheetName val="[Spt-BH.xls][Spt-BH_xls]B__4389"/>
      <sheetName val="[Spt-BH.xls][Spt-BH_xls]_S_1450"/>
      <sheetName val="[Spt-BH.xls][Spt-BH_xls]B__4390"/>
      <sheetName val="[Spt-BH.xls][Spt-BH_xls]B__4391"/>
      <sheetName val="[Spt-BH.xls][Spt-BH_xls]_S_1451"/>
      <sheetName val="[Spt-BH.xls][Spt-BH_xls]B__4347"/>
      <sheetName val="[Spt-BH.xls][Spt-BH_xls]B__4348"/>
      <sheetName val="[Spt-BH.xls][Spt-BH_xls]B__4349"/>
      <sheetName val="[Spt-BH.xls][Spt-BH_xls]B__4350"/>
      <sheetName val="[Spt-BH.xls][Spt-BH_xls]_S_1437"/>
      <sheetName val="[Spt-BH.xls][Spt-BH_xls]B__4351"/>
      <sheetName val="[Spt-BH.xls][Spt-BH_xls]B__4352"/>
      <sheetName val="[Spt-BH.xls][Spt-BH_xls]B__4353"/>
      <sheetName val="[Spt-BH.xls][Spt-BH_xls]_S_1438"/>
      <sheetName val="[Spt-BH.xls][Spt-BH_xls]B__4354"/>
      <sheetName val="[Spt-BH.xls][Spt-BH_xls]B__4355"/>
      <sheetName val="[Spt-BH.xls][Spt-BH_xls]B__4356"/>
      <sheetName val="[Spt-BH.xls][Spt-BH_xls]B__4357"/>
      <sheetName val="[Spt-BH.xls][Spt-BH_xls]_S_1439"/>
      <sheetName val="[Spt-BH.xls][Spt-BH_xls]B__4358"/>
      <sheetName val="[Spt-BH.xls][Spt-BH_xls]B__4359"/>
      <sheetName val="[Spt-BH.xls][Spt-BH_xls]_S_1440"/>
      <sheetName val="[Spt-BH.xls][Spt-BH_xls]B__4360"/>
      <sheetName val="[Spt-BH.xls][Spt-BH_xls]B__4361"/>
      <sheetName val="[Spt-BH.xls][Spt-BH_xls]_S_1441"/>
      <sheetName val="[Spt-BH.xls][Spt-BH_xls]B__4362"/>
      <sheetName val="[Spt-BH.xls][Spt-BH_xls]B__4363"/>
      <sheetName val="[Spt-BH.xls][Spt-BH_xls]B__4364"/>
      <sheetName val="[Spt-BH.xls][Spt-BH_xls]B__4365"/>
      <sheetName val="[Spt-BH.xls][Spt-BH_xls]_S_1442"/>
      <sheetName val="[Spt-BH.xls][Spt-BH_xls]B__4366"/>
      <sheetName val="[Spt-BH.xls][Spt-BH_xls]B__4367"/>
      <sheetName val="[Spt-BH.xls][Spt-BH_xls]B__4368"/>
      <sheetName val="[Spt-BH.xls][Spt-BH_xls]_S_1443"/>
      <sheetName val="[Spt-BH.xls][Spt-BH_xls]B__4369"/>
      <sheetName val="[Spt-BH.xls][Spt-BH_xls]B__4370"/>
      <sheetName val="[Spt-BH.xls][Spt-BH_xls]B__4371"/>
      <sheetName val="[Spt-BH.xls][Spt-BH_xls]B__4372"/>
      <sheetName val="[Spt-BH.xls][Spt-BH_xls]_S_1444"/>
      <sheetName val="[Spt-BH.xls][Spt-BH_xls]B__4373"/>
      <sheetName val="[Spt-BH.xls][Spt-BH_xls]B__4374"/>
      <sheetName val="[Spt-BH.xls][Spt-BH_xls]_S_1445"/>
      <sheetName val="[Spt-BH.xls][Spt-BH_xls]B__4375"/>
      <sheetName val="[Spt-BH.xls][Spt-BH_xls]B__4376"/>
      <sheetName val="[Spt-BH.xls][Spt-BH_xls]_S_1446"/>
      <sheetName val="[Spt-BH.xls][Spt-BH.xls]B__4866"/>
      <sheetName val="[Spt-BH.xls][Spt-BH.xls]B__4867"/>
      <sheetName val="[Spt-BH.xls][Spt-BH.xls]_S_1685"/>
      <sheetName val="[Spt-BH.xls][Spt-BH.xls]B__4868"/>
      <sheetName val="[Spt-BH.xls][Spt-BH.xls]B__4869"/>
      <sheetName val="[Spt-BH.xls]B____x005f_x0004______389"/>
      <sheetName val="[Spt-BH.xls]B___x005f_x0000__x000_383"/>
      <sheetName val="[Spt-BH.xls][Spt-BH.xls]B__4870"/>
      <sheetName val="[Spt-BH.xls][Spt-BH.xls]B__4871"/>
      <sheetName val="[Spt-BH.xls][Spt-BH.xls]B__4865"/>
      <sheetName val="[Spt-BH.xls][Spt-BH.xls]_S_1684"/>
      <sheetName val="[Spt-BH.xls][Spt-BH_xls]B__4392"/>
      <sheetName val="[Spt-BH.xls][Spt-BH_xls]B__4393"/>
      <sheetName val="[Spt-BH.xls][Spt-BH_xls]B__4394"/>
      <sheetName val="[Spt-BH.xls][Spt-BH_xls]B__4395"/>
      <sheetName val="[Spt-BH.xls][Spt-BH_xls]_S_1452"/>
      <sheetName val="[Spt-BH.xls][Spt-BH_xls]B__4396"/>
      <sheetName val="[Spt-BH.xls][Spt-BH_xls]B__4397"/>
      <sheetName val="[Spt-BH.xls][Spt-BH_xls]B__4398"/>
      <sheetName val="[Spt-BH.xls][Spt-BH_xls]_S_1453"/>
      <sheetName val="[Spt-BH.xls][Spt-BH_xls]B__4399"/>
      <sheetName val="[Spt-BH.xls][Spt-BH_xls]B__4400"/>
      <sheetName val="[Spt-BH.xls][Spt-BH_xls]B__4401"/>
      <sheetName val="[Spt-BH.xls][Spt-BH_xls]B__4402"/>
      <sheetName val="[Spt-BH.xls][Spt-BH_xls]_S_1454"/>
      <sheetName val="[Spt-BH.xls][Spt-BH_xls]B__4403"/>
      <sheetName val="[Spt-BH.xls][Spt-BH_xls]B__4404"/>
      <sheetName val="[Spt-BH.xls][Spt-BH_xls]_S_1455"/>
      <sheetName val="[Spt-BH.xls][Spt-BH_xls]B__4405"/>
      <sheetName val="[Spt-BH.xls][Spt-BH_xls]B__4406"/>
      <sheetName val="[Spt-BH.xls][Spt-BH_xls]_S_1456"/>
      <sheetName val="[Spt-BH.xls][Spt-BH.xls]_S_1687"/>
      <sheetName val="[Spt-BH.xls][Spt-BH.xls]B__4872"/>
      <sheetName val="[Spt-BH.xls][Spt-BH.xls]B__4873"/>
      <sheetName val="[Spt-BH.xls][Spt-BH.xls]_S_1689"/>
      <sheetName val="[Spt-BH.xls][Spt-BH.xls]B__4874"/>
      <sheetName val="[Spt-BH.xls][Spt-BH.xls]B__4875"/>
      <sheetName val="[Spt-BH.xls][Spt-BH.xls]B__4876"/>
      <sheetName val="[Spt-BH.xls][Spt-BH.xls]B__4877"/>
      <sheetName val="[Spt-BH.xls][Spt-BH.xls]_S_1688"/>
      <sheetName val="[Spt-BH.xls][Spt-BH.xls]B__4879"/>
      <sheetName val="[Spt-BH.xls][Spt-BH.xls]B__4880"/>
      <sheetName val="[Spt-BH.xls][Spt-BH.xls]_S_1691"/>
      <sheetName val="[Spt-BH.xls][Spt-BH.xls]B__4881"/>
      <sheetName val="[Spt-BH.xls][Spt-BH.xls]B__4882"/>
      <sheetName val="[Spt-BH.xls]B____x005f_x0004______390"/>
      <sheetName val="[Spt-BH.xls]B___x005f_x0000__x000_384"/>
      <sheetName val="[Spt-BH.xls][Spt-BH.xls]B__4883"/>
      <sheetName val="[Spt-BH.xls][Spt-BH.xls]B__4884"/>
      <sheetName val="[Spt-BH.xls][Spt-BH.xls]B__4878"/>
      <sheetName val="[Spt-BH.xls][Spt-BH.xls]_S_1690"/>
      <sheetName val="[Spt-BH.xls][Spt-BH_xls]B__4407"/>
      <sheetName val="[Spt-BH.xls][Spt-BH_xls]B__4408"/>
      <sheetName val="[Spt-BH.xls][Spt-BH_xls]B__4409"/>
      <sheetName val="[Spt-BH.xls][Spt-BH_xls]B__4410"/>
      <sheetName val="[Spt-BH.xls][Spt-BH_xls]_S_1457"/>
      <sheetName val="[Spt-BH.xls][Spt-BH_xls]B__4411"/>
      <sheetName val="[Spt-BH.xls][Spt-BH_xls]B__4412"/>
      <sheetName val="[Spt-BH.xls][Spt-BH_xls]B__4413"/>
      <sheetName val="[Spt-BH.xls][Spt-BH_xls]_S_1458"/>
      <sheetName val="[Spt-BH.xls][Spt-BH_xls]B__4414"/>
      <sheetName val="[Spt-BH.xls][Spt-BH_xls]B__4415"/>
      <sheetName val="[Spt-BH.xls][Spt-BH_xls]B__4416"/>
      <sheetName val="[Spt-BH.xls][Spt-BH_xls]B__4417"/>
      <sheetName val="[Spt-BH.xls][Spt-BH_xls]_S_1459"/>
      <sheetName val="[Spt-BH.xls][Spt-BH_xls]B__4418"/>
      <sheetName val="[Spt-BH.xls][Spt-BH_xls]B__4419"/>
      <sheetName val="[Spt-BH.xls][Spt-BH_xls]_S_1460"/>
      <sheetName val="[Spt-BH.xls][Spt-BH_xls]B__4420"/>
      <sheetName val="[Spt-BH.xls][Spt-BH_xls]B__4421"/>
      <sheetName val="[Spt-BH.xls][Spt-BH_xls]_S_1461"/>
      <sheetName val="[Spt-BH.xls][Spt-BH.xls]B__4886"/>
      <sheetName val="[Spt-BH.xls][Spt-BH.xls]B__4887"/>
      <sheetName val="[Spt-BH.xls][Spt-BH.xls]_S_1693"/>
      <sheetName val="[Spt-BH.xls][Spt-BH.xls]B__4888"/>
      <sheetName val="[Spt-BH.xls][Spt-BH.xls]B__4889"/>
      <sheetName val="[Spt-BH.xls]B____x005f_x0004______391"/>
      <sheetName val="[Spt-BH.xls]B___x005f_x0000__x000_385"/>
      <sheetName val="[Spt-BH.xls][Spt-BH.xls]B__4890"/>
      <sheetName val="[Spt-BH.xls][Spt-BH.xls]B__4891"/>
      <sheetName val="[Spt-BH.xls][Spt-BH.xls]B__4885"/>
      <sheetName val="[Spt-BH.xls][Spt-BH.xls]_S_1692"/>
      <sheetName val="[Spt-BH.xls][Spt-BH_xls]B__4482"/>
      <sheetName val="[Spt-BH.xls][Spt-BH_xls]B__4483"/>
      <sheetName val="[Spt-BH.xls][Spt-BH_xls]B__4484"/>
      <sheetName val="[Spt-BH.xls][Spt-BH_xls]B__4485"/>
      <sheetName val="[Spt-BH.xls][Spt-BH_xls]_S_1482"/>
      <sheetName val="[Spt-BH.xls][Spt-BH_xls]B__4486"/>
      <sheetName val="[Spt-BH.xls][Spt-BH_xls]B__4487"/>
      <sheetName val="[Spt-BH.xls][Spt-BH_xls]B__4488"/>
      <sheetName val="[Spt-BH.xls][Spt-BH_xls]_S_1483"/>
      <sheetName val="[Spt-BH.xls][Spt-BH_xls]B__4489"/>
      <sheetName val="[Spt-BH.xls][Spt-BH_xls]B__4490"/>
      <sheetName val="[Spt-BH.xls][Spt-BH_xls]B__4491"/>
      <sheetName val="[Spt-BH.xls][Spt-BH_xls]B__4492"/>
      <sheetName val="[Spt-BH.xls][Spt-BH_xls]_S_1484"/>
      <sheetName val="[Spt-BH.xls][Spt-BH_xls]B__4493"/>
      <sheetName val="[Spt-BH.xls][Spt-BH_xls]B__4494"/>
      <sheetName val="[Spt-BH.xls][Spt-BH_xls]_S_1485"/>
      <sheetName val="[Spt-BH.xls][Spt-BH_xls]B__4495"/>
      <sheetName val="[Spt-BH.xls][Spt-BH_xls]B__4496"/>
      <sheetName val="[Spt-BH.xls][Spt-BH_xls]_S_1486"/>
      <sheetName val="[Spt-BH.xls][Spt-BH_xls]B__4422"/>
      <sheetName val="[Spt-BH.xls][Spt-BH_xls]B__4423"/>
      <sheetName val="[Spt-BH.xls][Spt-BH_xls]B__4424"/>
      <sheetName val="[Spt-BH.xls][Spt-BH_xls]B__4425"/>
      <sheetName val="[Spt-BH.xls][Spt-BH_xls]_S_1462"/>
      <sheetName val="[Spt-BH.xls][Spt-BH_xls]B__4426"/>
      <sheetName val="[Spt-BH.xls][Spt-BH_xls]B__4427"/>
      <sheetName val="[Spt-BH.xls][Spt-BH_xls]B__4428"/>
      <sheetName val="[Spt-BH.xls][Spt-BH_xls]_S_1463"/>
      <sheetName val="[Spt-BH.xls][Spt-BH_xls]B__4429"/>
      <sheetName val="[Spt-BH.xls][Spt-BH_xls]B__4430"/>
      <sheetName val="[Spt-BH.xls][Spt-BH_xls]B__4431"/>
      <sheetName val="[Spt-BH.xls][Spt-BH_xls]B__4432"/>
      <sheetName val="[Spt-BH.xls][Spt-BH_xls]_S_1464"/>
      <sheetName val="[Spt-BH.xls][Spt-BH_xls]B__4433"/>
      <sheetName val="[Spt-BH.xls][Spt-BH_xls]B__4434"/>
      <sheetName val="[Spt-BH.xls][Spt-BH_xls]_S_1465"/>
      <sheetName val="[Spt-BH.xls][Spt-BH_xls]B__4435"/>
      <sheetName val="[Spt-BH.xls][Spt-BH_xls]B__4436"/>
      <sheetName val="[Spt-BH.xls][Spt-BH_xls]_S_1466"/>
      <sheetName val="[Spt-BH.xls][Spt-BH_xls]B__4437"/>
      <sheetName val="[Spt-BH.xls][Spt-BH_xls]B__4438"/>
      <sheetName val="[Spt-BH.xls][Spt-BH_xls]B__4439"/>
      <sheetName val="[Spt-BH.xls][Spt-BH_xls]B__4440"/>
      <sheetName val="[Spt-BH.xls][Spt-BH_xls]_S_1467"/>
      <sheetName val="[Spt-BH.xls][Spt-BH_xls]B__4441"/>
      <sheetName val="[Spt-BH.xls][Spt-BH_xls]B__4442"/>
      <sheetName val="[Spt-BH.xls][Spt-BH_xls]B__4443"/>
      <sheetName val="[Spt-BH.xls][Spt-BH_xls]_S_1468"/>
      <sheetName val="[Spt-BH.xls][Spt-BH_xls]B__4444"/>
      <sheetName val="[Spt-BH.xls][Spt-BH_xls]B__4445"/>
      <sheetName val="[Spt-BH.xls][Spt-BH_xls]B__4446"/>
      <sheetName val="[Spt-BH.xls][Spt-BH_xls]B__4447"/>
      <sheetName val="[Spt-BH.xls][Spt-BH_xls]_S_1469"/>
      <sheetName val="[Spt-BH.xls][Spt-BH_xls]B__4448"/>
      <sheetName val="[Spt-BH.xls][Spt-BH_xls]B__4449"/>
      <sheetName val="[Spt-BH.xls][Spt-BH_xls]_S_1470"/>
      <sheetName val="[Spt-BH.xls][Spt-BH_xls]B__4450"/>
      <sheetName val="[Spt-BH.xls][Spt-BH_xls]B__4451"/>
      <sheetName val="[Spt-BH.xls][Spt-BH_xls]_S_1471"/>
      <sheetName val="[Spt-BH.xls][Spt-BH_xls]B__4467"/>
      <sheetName val="[Spt-BH.xls][Spt-BH_xls]B__4468"/>
      <sheetName val="[Spt-BH.xls][Spt-BH_xls]B__4469"/>
      <sheetName val="[Spt-BH.xls][Spt-BH_xls]B__4470"/>
      <sheetName val="[Spt-BH.xls][Spt-BH_xls]_S_1477"/>
      <sheetName val="[Spt-BH.xls][Spt-BH_xls]B__4471"/>
      <sheetName val="[Spt-BH.xls][Spt-BH_xls]B__4472"/>
      <sheetName val="[Spt-BH.xls][Spt-BH_xls]B__4473"/>
      <sheetName val="[Spt-BH.xls][Spt-BH_xls]_S_1478"/>
      <sheetName val="[Spt-BH.xls][Spt-BH_xls]B__4474"/>
      <sheetName val="[Spt-BH.xls][Spt-BH_xls]B__4475"/>
      <sheetName val="[Spt-BH.xls][Spt-BH_xls]B__4476"/>
      <sheetName val="[Spt-BH.xls][Spt-BH_xls]B__4477"/>
      <sheetName val="[Spt-BH.xls][Spt-BH_xls]_S_1479"/>
      <sheetName val="[Spt-BH.xls][Spt-BH_xls]B__4478"/>
      <sheetName val="[Spt-BH.xls][Spt-BH_xls]B__4479"/>
      <sheetName val="[Spt-BH.xls][Spt-BH_xls]_S_1480"/>
      <sheetName val="[Spt-BH.xls][Spt-BH_xls]B__4480"/>
      <sheetName val="[Spt-BH.xls][Spt-BH_xls]B__4481"/>
      <sheetName val="[Spt-BH.xls][Spt-BH_xls]_S_1481"/>
      <sheetName val="[Spt-BH.xls][Spt-BH_xls]B__4452"/>
      <sheetName val="[Spt-BH.xls][Spt-BH_xls]B__4453"/>
      <sheetName val="[Spt-BH.xls][Spt-BH_xls]B__4454"/>
      <sheetName val="[Spt-BH.xls][Spt-BH_xls]B__4455"/>
      <sheetName val="[Spt-BH.xls][Spt-BH_xls]_S_1472"/>
      <sheetName val="[Spt-BH.xls][Spt-BH_xls]B__4456"/>
      <sheetName val="[Spt-BH.xls][Spt-BH_xls]B__4457"/>
      <sheetName val="[Spt-BH.xls][Spt-BH_xls]B__4458"/>
      <sheetName val="[Spt-BH.xls][Spt-BH_xls]_S_1473"/>
      <sheetName val="[Spt-BH.xls][Spt-BH_xls]B__4459"/>
      <sheetName val="[Spt-BH.xls][Spt-BH_xls]B__4460"/>
      <sheetName val="[Spt-BH.xls][Spt-BH_xls]B__4461"/>
      <sheetName val="[Spt-BH.xls][Spt-BH_xls]B__4462"/>
      <sheetName val="[Spt-BH.xls][Spt-BH_xls]_S_1474"/>
      <sheetName val="[Spt-BH.xls][Spt-BH_xls]B__4463"/>
      <sheetName val="[Spt-BH.xls][Spt-BH_xls]B__4464"/>
      <sheetName val="[Spt-BH.xls][Spt-BH_xls]_S_1475"/>
      <sheetName val="[Spt-BH.xls][Spt-BH_xls]B__4465"/>
      <sheetName val="[Spt-BH.xls][Spt-BH_xls]B__4466"/>
      <sheetName val="[Spt-BH.xls][Spt-BH_xls]_S_1476"/>
      <sheetName val="[Spt-BH.xls][Spt-BH.xls]_S_1696"/>
      <sheetName val="[Spt-BH.xls][Spt-BH.xls]B__4926"/>
      <sheetName val="[Spt-BH.xls][Spt-BH.xls]B__4927"/>
      <sheetName val="[Spt-BH.xls][Spt-BH.xls]_S_1700"/>
      <sheetName val="[Spt-BH.xls][Spt-BH.xls]B__4928"/>
      <sheetName val="[Spt-BH.xls][Spt-BH.xls]B__4929"/>
      <sheetName val="[Spt-BH.xls]B____x005f_x0004______395"/>
      <sheetName val="[Spt-BH.xls][Spt-BH.xls]B__4919"/>
      <sheetName val="[Spt-BH.xls][Spt-BH.xls]B__4920"/>
      <sheetName val="[Spt-BH.xls][Spt-BH.xls]_S_1698"/>
      <sheetName val="[Spt-BH.xls][Spt-BH.xls]B__4921"/>
      <sheetName val="[Spt-BH.xls][Spt-BH.xls]B__4922"/>
      <sheetName val="[Spt-BH.xls][Spt-BH.xls]B__4923"/>
      <sheetName val="[Spt-BH.xls]B___x005f_x0000__x000_389"/>
      <sheetName val="[Spt-BH.xls][Spt-BH.xls]B__4930"/>
      <sheetName val="[Spt-BH.xls][Spt-BH.xls]B__4931"/>
      <sheetName val="[Spt-BH.xls][Spt-BH.xls]B__4924"/>
      <sheetName val="[Spt-BH.xls][Spt-BH.xls]B__4925"/>
      <sheetName val="[Spt-BH.xls][Spt-BH.xls]_S_1699"/>
      <sheetName val="[Spt-BH.xls][Spt-BH.xls]_S_1697"/>
      <sheetName val="[Spt-BH.xls][Spt-BH.xls]B__4901"/>
      <sheetName val="[Spt-BH.xls][Spt-BH.xls]B__4902"/>
      <sheetName val="[Spt-BH.xls][Spt-BH.xls]B__4903"/>
      <sheetName val="[Spt-BH.xls][Spt-BH.xls]B__4904"/>
      <sheetName val="[Spt-BH.xls]B____x005f_x0004______393"/>
      <sheetName val="[Spt-BH.xls]B___x005f_x0000__x000_387"/>
      <sheetName val="[Spt-BH.xls][Spt-BH.xls]B__4905"/>
      <sheetName val="[Spt-BH.xls][Spt-BH.xls]B__4894"/>
      <sheetName val="[Spt-BH.xls][Spt-BH.xls]B__4895"/>
      <sheetName val="[Spt-BH.xls][Spt-BH.xls]B__4896"/>
      <sheetName val="[Spt-BH.xls][Spt-BH.xls]B__4897"/>
      <sheetName val="[Spt-BH.xls][Spt-BH.xls]B__4906"/>
      <sheetName val="[Spt-BH.xls][Spt-BH.xls]B__4898"/>
      <sheetName val="[Spt-BH.xls][Spt-BH.xls]B__4899"/>
      <sheetName val="[Spt-BH.xls]B____x005f_x0004______392"/>
      <sheetName val="[Spt-BH.xls]B___x005f_x0000__x000_386"/>
      <sheetName val="[Spt-BH.xls][Spt-BH.xls]B__4892"/>
      <sheetName val="[Spt-BH.xls][Spt-BH.xls]B__4893"/>
      <sheetName val="[Spt-BH.xls][Spt-BH.xls]B__4900"/>
      <sheetName val="[Spt-BH.xls]B____x005f_x0004______394"/>
      <sheetName val="[Spt-BH.xls]B___x005f_x0000__x000_388"/>
      <sheetName val="[Spt-BH.xls][Spt-BH.xls]B__4907"/>
      <sheetName val="[Spt-BH.xls][Spt-BH.xls]B__4908"/>
      <sheetName val="[Spt-BH.xls][Spt-BH.xls]B__4909"/>
      <sheetName val="[Spt-BH.xls][Spt-BH.xls]B__4910"/>
      <sheetName val="[Spt-BH.xls][Spt-BH.xls]B__4911"/>
      <sheetName val="[Spt-BH.xls][Spt-BH.xls]B__4912"/>
      <sheetName val="[Spt-BH.xls][Spt-BH.xls]B__4913"/>
      <sheetName val="[Spt-BH.xls][Spt-BH.xls]B__4914"/>
      <sheetName val="[Spt-BH.xls][Spt-BH.xls]_S_1695"/>
      <sheetName val="[Spt-BH.xls][Spt-BH.xls]B__4915"/>
      <sheetName val="[Spt-BH.xls][Spt-BH.xls]B__4916"/>
      <sheetName val="[Spt-BH.xls][Spt-BH.xls]B__4917"/>
      <sheetName val="[Spt-BH.xls][Spt-BH.xls]B__4918"/>
      <sheetName val="[Spt-BH.xls][Spt-BH.xls]_S_1694"/>
      <sheetName val="[Spt-BH.xls][Spt-BH.xls]B__4933"/>
      <sheetName val="[Spt-BH.xls][Spt-BH.xls]B__4934"/>
      <sheetName val="[Spt-BH.xls][Spt-BH.xls]_S_1702"/>
      <sheetName val="[Spt-BH.xls][Spt-BH.xls]B__4935"/>
      <sheetName val="[Spt-BH.xls][Spt-BH.xls]B__4936"/>
      <sheetName val="[Spt-BH.xls]B____x005f_x0004______396"/>
      <sheetName val="[Spt-BH.xls]B___x005f_x0000__x000_390"/>
      <sheetName val="[Spt-BH.xls][Spt-BH.xls]B__4937"/>
      <sheetName val="[Spt-BH.xls][Spt-BH.xls]B__4938"/>
      <sheetName val="[Spt-BH.xls][Spt-BH.xls]B__4932"/>
      <sheetName val="[Spt-BH.xls][Spt-BH.xls]_S_1701"/>
      <sheetName val="[Spt-BH.xls][Spt-BH.xls]B__4946"/>
      <sheetName val="[Spt-BH.xls][Spt-BH.xls]B__4947"/>
      <sheetName val="[Spt-BH.xls][Spt-BH.xls]_S_1707"/>
      <sheetName val="[Spt-BH.xls][Spt-BH.xls]B__4948"/>
      <sheetName val="[Spt-BH.xls][Spt-BH.xls]B__4949"/>
      <sheetName val="[Spt-BH.xls]B____x005f_x0004______397"/>
      <sheetName val="[Spt-BH.xls][Spt-BH.xls]B__4939"/>
      <sheetName val="[Spt-BH.xls][Spt-BH.xls]B__4940"/>
      <sheetName val="[Spt-BH.xls][Spt-BH.xls]_S_1705"/>
      <sheetName val="[Spt-BH.xls][Spt-BH.xls]B__4941"/>
      <sheetName val="[Spt-BH.xls][Spt-BH.xls]B__4942"/>
      <sheetName val="[Spt-BH.xls][Spt-BH.xls]B__4943"/>
      <sheetName val="[Spt-BH.xls][Spt-BH.xls]_S_1703"/>
      <sheetName val="[Spt-BH.xls][Spt-BH.xls]B__4944"/>
      <sheetName val="[Spt-BH.xls]B___x005f_x0000__x000_391"/>
      <sheetName val="[Spt-BH.xls][Spt-BH.xls]B__4950"/>
      <sheetName val="[Spt-BH.xls][Spt-BH.xls]B__4951"/>
      <sheetName val="[Spt-BH.xls][Spt-BH.xls]B__4945"/>
      <sheetName val="[Spt-BH.xls][Spt-BH.xls]_S_1706"/>
      <sheetName val="[Spt-BH.xls][Spt-BH_xls]B__4497"/>
      <sheetName val="[Spt-BH.xls][Spt-BH_xls]B__4498"/>
      <sheetName val="[Spt-BH.xls][Spt-BH_xls]B__4499"/>
      <sheetName val="[Spt-BH.xls][Spt-BH_xls]B__4500"/>
      <sheetName val="[Spt-BH.xls][Spt-BH_xls]_S_1487"/>
      <sheetName val="[Spt-BH.xls][Spt-BH_xls]B__4501"/>
      <sheetName val="[Spt-BH.xls][Spt-BH_xls]B__4502"/>
      <sheetName val="[Spt-BH.xls][Spt-BH_xls]B__4503"/>
      <sheetName val="[Spt-BH.xls][Spt-BH_xls]_S_1488"/>
      <sheetName val="[Spt-BH.xls][Spt-BH_xls]B__4504"/>
      <sheetName val="[Spt-BH.xls][Spt-BH_xls]B__4505"/>
      <sheetName val="[Spt-BH.xls][Spt-BH_xls]B__4506"/>
      <sheetName val="[Spt-BH.xls][Spt-BH_xls]B__4507"/>
      <sheetName val="[Spt-BH.xls][Spt-BH_xls]_S_1489"/>
      <sheetName val="[Spt-BH.xls][Spt-BH.xls]_S_1704"/>
      <sheetName val="[Spt-BH.xls][Spt-BH_xls]B__4508"/>
      <sheetName val="[Spt-BH.xls][Spt-BH_xls]B__4509"/>
      <sheetName val="[Spt-BH.xls][Spt-BH_xls]_S_1490"/>
      <sheetName val="[Spt-BH.xls][Spt-BH_xls]B__4510"/>
      <sheetName val="[Spt-BH.xls][Spt-BH_xls]B__4511"/>
      <sheetName val="[Spt-BH.xls][Spt-BH_xls]_S_1491"/>
      <sheetName val="[Spt-BH.xls][Spt-BH_xls]B__4542"/>
      <sheetName val="[Spt-BH.xls][Spt-BH_xls]B__4543"/>
      <sheetName val="[Spt-BH.xls][Spt-BH_xls]B__4544"/>
      <sheetName val="[Spt-BH.xls][Spt-BH_xls]B__4545"/>
      <sheetName val="[Spt-BH.xls][Spt-BH_xls]_S_1502"/>
      <sheetName val="[Spt-BH.xls][Spt-BH_xls]B__4546"/>
      <sheetName val="[Spt-BH.xls][Spt-BH_xls]B__4547"/>
      <sheetName val="[Spt-BH.xls][Spt-BH_xls]B__4548"/>
      <sheetName val="[Spt-BH.xls][Spt-BH_xls]_S_1503"/>
      <sheetName val="[Spt-BH.xls][Spt-BH_xls]B__4549"/>
      <sheetName val="[Spt-BH.xls][Spt-BH_xls]B__4550"/>
      <sheetName val="[Spt-BH.xls][Spt-BH_xls]B__4551"/>
      <sheetName val="[Spt-BH.xls][Spt-BH_xls]B__4552"/>
      <sheetName val="[Spt-BH.xls][Spt-BH_xls]_S_1504"/>
      <sheetName val="[Spt-BH.xls][Spt-BH_xls]B__4553"/>
      <sheetName val="[Spt-BH.xls][Spt-BH_xls]B__4554"/>
      <sheetName val="[Spt-BH.xls][Spt-BH_xls]_S_1505"/>
      <sheetName val="[Spt-BH.xls][Spt-BH_xls]B__4555"/>
      <sheetName val="[Spt-BH.xls][Spt-BH_xls]B__4556"/>
      <sheetName val="[Spt-BH.xls][Spt-BH_xls]_S_1506"/>
      <sheetName val="[Spt-BH.xls][Spt-BH_xls]B__4512"/>
      <sheetName val="[Spt-BH.xls][Spt-BH_xls]B__4513"/>
      <sheetName val="[Spt-BH.xls][Spt-BH_xls]B__4514"/>
      <sheetName val="[Spt-BH.xls][Spt-BH_xls]B__4515"/>
      <sheetName val="[Spt-BH.xls][Spt-BH_xls]_S_1492"/>
      <sheetName val="[Spt-BH.xls][Spt-BH_xls]B__4516"/>
      <sheetName val="[Spt-BH.xls][Spt-BH_xls]B__4517"/>
      <sheetName val="[Spt-BH.xls][Spt-BH_xls]B__4518"/>
      <sheetName val="[Spt-BH.xls][Spt-BH_xls]_S_1493"/>
      <sheetName val="[Spt-BH.xls][Spt-BH_xls]B__4519"/>
      <sheetName val="[Spt-BH.xls][Spt-BH_xls]B__4520"/>
      <sheetName val="[Spt-BH.xls][Spt-BH_xls]B__4521"/>
      <sheetName val="[Spt-BH.xls][Spt-BH_xls]B__4522"/>
      <sheetName val="[Spt-BH.xls][Spt-BH_xls]_S_1494"/>
      <sheetName val="[Spt-BH.xls][Spt-BH_xls]B__4523"/>
      <sheetName val="[Spt-BH.xls][Spt-BH_xls]B__4524"/>
      <sheetName val="[Spt-BH.xls][Spt-BH_xls]_S_1495"/>
      <sheetName val="[Spt-BH.xls][Spt-BH_xls]B__4525"/>
      <sheetName val="[Spt-BH.xls][Spt-BH_xls]B__4526"/>
      <sheetName val="[Spt-BH.xls][Spt-BH_xls]_S_1496"/>
      <sheetName val="[Spt-BH.xls][Spt-BH_xls]B__4527"/>
      <sheetName val="[Spt-BH.xls][Spt-BH_xls]B__4528"/>
      <sheetName val="[Spt-BH.xls][Spt-BH_xls]B__4529"/>
      <sheetName val="[Spt-BH.xls][Spt-BH_xls]B__4530"/>
      <sheetName val="[Spt-BH.xls][Spt-BH_xls]_S_1497"/>
      <sheetName val="[Spt-BH.xls][Spt-BH_xls]B__4531"/>
      <sheetName val="[Spt-BH.xls][Spt-BH_xls]B__4532"/>
      <sheetName val="[Spt-BH.xls][Spt-BH_xls]B__4533"/>
      <sheetName val="[Spt-BH.xls][Spt-BH_xls]_S_1498"/>
      <sheetName val="[Spt-BH.xls][Spt-BH_xls]B__4534"/>
      <sheetName val="[Spt-BH.xls][Spt-BH_xls]B__4535"/>
      <sheetName val="[Spt-BH.xls][Spt-BH_xls]B__4536"/>
      <sheetName val="[Spt-BH.xls][Spt-BH_xls]B__4537"/>
      <sheetName val="[Spt-BH.xls][Spt-BH_xls]_S_1499"/>
      <sheetName val="[Spt-BH.xls][Spt-BH_xls]B__4538"/>
      <sheetName val="[Spt-BH.xls][Spt-BH_xls]B__4539"/>
      <sheetName val="[Spt-BH.xls][Spt-BH_xls]_S_1500"/>
      <sheetName val="[Spt-BH.xls][Spt-BH_xls]B__4540"/>
      <sheetName val="[Spt-BH.xls][Spt-BH_xls]B__4541"/>
      <sheetName val="[Spt-BH.xls][Spt-BH_xls]_S_1501"/>
      <sheetName val="[Spt-BH.xls][Spt-BH_xls]B__4572"/>
      <sheetName val="[Spt-BH.xls][Spt-BH_xls]B__4573"/>
      <sheetName val="[Spt-BH.xls][Spt-BH_xls]B__4574"/>
      <sheetName val="[Spt-BH.xls][Spt-BH_xls]B__4575"/>
      <sheetName val="[Spt-BH.xls][Spt-BH_xls]_S_1512"/>
      <sheetName val="[Spt-BH.xls][Spt-BH_xls]B__4576"/>
      <sheetName val="[Spt-BH.xls][Spt-BH_xls]B__4577"/>
      <sheetName val="[Spt-BH.xls][Spt-BH_xls]B__4578"/>
      <sheetName val="[Spt-BH.xls][Spt-BH_xls]_S_1513"/>
      <sheetName val="[Spt-BH.xls][Spt-BH_xls]B__4579"/>
      <sheetName val="[Spt-BH.xls][Spt-BH_xls]B__4580"/>
      <sheetName val="[Spt-BH.xls][Spt-BH_xls]B__4581"/>
      <sheetName val="[Spt-BH.xls][Spt-BH_xls]B__4582"/>
      <sheetName val="[Spt-BH.xls][Spt-BH_xls]_S_1514"/>
      <sheetName val="[Spt-BH.xls][Spt-BH_xls]B__4583"/>
      <sheetName val="[Spt-BH.xls][Spt-BH_xls]B__4584"/>
      <sheetName val="[Spt-BH.xls][Spt-BH_xls]_S_1515"/>
      <sheetName val="[Spt-BH.xls][Spt-BH_xls]B__4585"/>
      <sheetName val="[Spt-BH.xls][Spt-BH_xls]B__4586"/>
      <sheetName val="[Spt-BH.xls][Spt-BH_xls]_S_1516"/>
      <sheetName val="[Spt-BH.xls][Spt-BH_xls]B__4557"/>
      <sheetName val="[Spt-BH.xls][Spt-BH_xls]B__4558"/>
      <sheetName val="[Spt-BH.xls][Spt-BH_xls]B__4559"/>
      <sheetName val="[Spt-BH.xls][Spt-BH_xls]B__4560"/>
      <sheetName val="[Spt-BH.xls][Spt-BH_xls]_S_1507"/>
      <sheetName val="[Spt-BH.xls][Spt-BH_xls]B__4561"/>
      <sheetName val="[Spt-BH.xls][Spt-BH_xls]B__4562"/>
      <sheetName val="[Spt-BH.xls][Spt-BH_xls]B__4563"/>
      <sheetName val="[Spt-BH.xls][Spt-BH_xls]_S_1508"/>
      <sheetName val="[Spt-BH.xls][Spt-BH_xls]B__4564"/>
      <sheetName val="[Spt-BH.xls][Spt-BH_xls]B__4565"/>
      <sheetName val="[Spt-BH.xls][Spt-BH_xls]B__4566"/>
      <sheetName val="[Spt-BH.xls][Spt-BH_xls]B__4567"/>
      <sheetName val="[Spt-BH.xls][Spt-BH_xls]_S_1509"/>
      <sheetName val="[Spt-BH.xls][Spt-BH_xls]B__4568"/>
      <sheetName val="[Spt-BH.xls][Spt-BH_xls]B__4569"/>
      <sheetName val="[Spt-BH.xls][Spt-BH_xls]_S_1510"/>
      <sheetName val="[Spt-BH.xls][Spt-BH_xls]B__4570"/>
      <sheetName val="[Spt-BH.xls][Spt-BH_xls]B__4571"/>
      <sheetName val="[Spt-BH.xls][Spt-BH_xls]_S_1511"/>
      <sheetName val="[Spt-BH.xls][Spt-BH_xls]B__4617"/>
      <sheetName val="[Spt-BH.xls][Spt-BH_xls]B__4618"/>
      <sheetName val="[Spt-BH.xls][Spt-BH_xls]B__4619"/>
      <sheetName val="[Spt-BH.xls][Spt-BH_xls]B__4620"/>
      <sheetName val="[Spt-BH.xls][Spt-BH_xls]_S_1527"/>
      <sheetName val="[Spt-BH.xls][Spt-BH_xls]B__4621"/>
      <sheetName val="[Spt-BH.xls][Spt-BH_xls]B__4622"/>
      <sheetName val="[Spt-BH.xls][Spt-BH_xls]B__4623"/>
      <sheetName val="[Spt-BH.xls][Spt-BH_xls]_S_1528"/>
      <sheetName val="[Spt-BH.xls][Spt-BH_xls]B__4624"/>
      <sheetName val="[Spt-BH.xls][Spt-BH_xls]B__4625"/>
      <sheetName val="[Spt-BH.xls][Spt-BH_xls]B__4626"/>
      <sheetName val="[Spt-BH.xls][Spt-BH_xls]B__4627"/>
      <sheetName val="[Spt-BH.xls][Spt-BH_xls]_S_1529"/>
      <sheetName val="[Spt-BH.xls][Spt-BH_xls]B__4628"/>
      <sheetName val="[Spt-BH.xls][Spt-BH_xls]B__4629"/>
      <sheetName val="[Spt-BH.xls][Spt-BH_xls]_S_1530"/>
      <sheetName val="[Spt-BH.xls][Spt-BH_xls]B__4630"/>
      <sheetName val="[Spt-BH.xls][Spt-BH_xls]B__4631"/>
      <sheetName val="[Spt-BH.xls][Spt-BH_xls]_S_1531"/>
      <sheetName val="[Spt-BH.xls][Spt-BH_xls]B__4587"/>
      <sheetName val="[Spt-BH.xls][Spt-BH_xls]B__4588"/>
      <sheetName val="[Spt-BH.xls][Spt-BH_xls]B__4589"/>
      <sheetName val="[Spt-BH.xls][Spt-BH_xls]B__4590"/>
      <sheetName val="[Spt-BH.xls][Spt-BH_xls]_S_1517"/>
      <sheetName val="[Spt-BH.xls][Spt-BH_xls]B__4591"/>
      <sheetName val="[Spt-BH.xls][Spt-BH_xls]B__4592"/>
      <sheetName val="[Spt-BH.xls][Spt-BH_xls]B__4593"/>
      <sheetName val="[Spt-BH.xls][Spt-BH_xls]_S_1518"/>
      <sheetName val="[Spt-BH.xls][Spt-BH_xls]B__4594"/>
      <sheetName val="[Spt-BH.xls][Spt-BH_xls]B__4595"/>
      <sheetName val="[Spt-BH.xls][Spt-BH_xls]B__4596"/>
      <sheetName val="[Spt-BH.xls][Spt-BH_xls]B__4597"/>
      <sheetName val="[Spt-BH.xls][Spt-BH_xls]_S_1519"/>
      <sheetName val="[Spt-BH.xls][Spt-BH_xls]B__4598"/>
      <sheetName val="[Spt-BH.xls][Spt-BH_xls]B__4599"/>
      <sheetName val="[Spt-BH.xls][Spt-BH_xls]_S_1520"/>
      <sheetName val="[Spt-BH.xls][Spt-BH_xls]B__4600"/>
      <sheetName val="[Spt-BH.xls][Spt-BH_xls]B__4601"/>
      <sheetName val="[Spt-BH.xls][Spt-BH_xls]_S_1521"/>
      <sheetName val="[Spt-BH.xls][Spt-BH_xls]B__4602"/>
      <sheetName val="[Spt-BH.xls][Spt-BH_xls]B__4603"/>
      <sheetName val="[Spt-BH.xls][Spt-BH_xls]B__4604"/>
      <sheetName val="[Spt-BH.xls][Spt-BH_xls]B__4605"/>
      <sheetName val="[Spt-BH.xls][Spt-BH_xls]_S_1522"/>
      <sheetName val="[Spt-BH.xls][Spt-BH_xls]B__4606"/>
      <sheetName val="[Spt-BH.xls][Spt-BH_xls]B__4607"/>
      <sheetName val="[Spt-BH.xls][Spt-BH_xls]B__4608"/>
      <sheetName val="[Spt-BH.xls][Spt-BH_xls]_S_1523"/>
      <sheetName val="[Spt-BH.xls][Spt-BH_xls]B__4609"/>
      <sheetName val="[Spt-BH.xls][Spt-BH_xls]B__4610"/>
      <sheetName val="[Spt-BH.xls][Spt-BH_xls]B__4611"/>
      <sheetName val="[Spt-BH.xls][Spt-BH_xls]B__4612"/>
      <sheetName val="[Spt-BH.xls][Spt-BH_xls]_S_1524"/>
      <sheetName val="[Spt-BH.xls][Spt-BH_xls]B__4613"/>
      <sheetName val="[Spt-BH.xls][Spt-BH_xls]B__4614"/>
      <sheetName val="[Spt-BH.xls][Spt-BH_xls]_S_1525"/>
      <sheetName val="[Spt-BH.xls][Spt-BH_xls]B__4615"/>
      <sheetName val="[Spt-BH.xls][Spt-BH_xls]B__4616"/>
      <sheetName val="[Spt-BH.xls][Spt-BH_xls]_S_1526"/>
      <sheetName val="[Spt-BH.xls][Spt-BH.xls]_S_1708"/>
      <sheetName val="[Spt-BH.xls][Spt-BH_xls]B__4632"/>
      <sheetName val="[Spt-BH.xls][Spt-BH_xls]B__4633"/>
      <sheetName val="[Spt-BH.xls][Spt-BH_xls]B__4634"/>
      <sheetName val="[Spt-BH.xls][Spt-BH_xls]B__4635"/>
      <sheetName val="[Spt-BH.xls][Spt-BH_xls]_S_1532"/>
      <sheetName val="[Spt-BH.xls][Spt-BH_xls]B__4636"/>
      <sheetName val="[Spt-BH.xls][Spt-BH_xls]B__4637"/>
      <sheetName val="[Spt-BH.xls][Spt-BH_xls]B__4638"/>
      <sheetName val="[Spt-BH.xls][Spt-BH_xls]_S_1533"/>
      <sheetName val="[Spt-BH.xls][Spt-BH_xls]B__4639"/>
      <sheetName val="[Spt-BH.xls][Spt-BH_xls]B__4640"/>
      <sheetName val="[Spt-BH.xls][Spt-BH_xls]B__4641"/>
      <sheetName val="[Spt-BH.xls][Spt-BH_xls]B__4642"/>
      <sheetName val="[Spt-BH.xls][Spt-BH_xls]_S_1534"/>
      <sheetName val="[Spt-BH.xls][Spt-BH_xls]B__4643"/>
      <sheetName val="[Spt-BH.xls][Spt-BH_xls]B__4644"/>
      <sheetName val="[Spt-BH.xls][Spt-BH_xls]_S_1535"/>
      <sheetName val="[Spt-BH.xls][Spt-BH_xls]B__4645"/>
      <sheetName val="[Spt-BH.xls][Spt-BH_xls]B__4646"/>
      <sheetName val="[Spt-BH.xls][Spt-BH_xls]_S_1536"/>
      <sheetName val="[Spt-BH.xls][Spt-BH.xls]_S_1710"/>
      <sheetName val="[Spt-BH.xls][Spt-BH.xls]_S_1709"/>
      <sheetName val="[Spt-BH.xls][Spt-BH_xls]B__4662"/>
      <sheetName val="[Spt-BH.xls][Spt-BH_xls]B__4663"/>
      <sheetName val="[Spt-BH.xls][Spt-BH_xls]B__4664"/>
      <sheetName val="[Spt-BH.xls][Spt-BH_xls]B__4665"/>
      <sheetName val="[Spt-BH.xls][Spt-BH_xls]_S_1542"/>
      <sheetName val="[Spt-BH.xls][Spt-BH_xls]B__4666"/>
      <sheetName val="[Spt-BH.xls][Spt-BH_xls]B__4667"/>
      <sheetName val="[Spt-BH.xls][Spt-BH_xls]B__4668"/>
      <sheetName val="[Spt-BH.xls][Spt-BH_xls]_S_1543"/>
      <sheetName val="[Spt-BH.xls][Spt-BH_xls]B__4669"/>
      <sheetName val="[Spt-BH.xls][Spt-BH_xls]B__4670"/>
      <sheetName val="[Spt-BH.xls][Spt-BH_xls]B__4671"/>
      <sheetName val="[Spt-BH.xls][Spt-BH_xls]B__4672"/>
      <sheetName val="[Spt-BH.xls][Spt-BH_xls]_S_1544"/>
      <sheetName val="[Spt-BH.xls][Spt-BH_xls]B__4673"/>
      <sheetName val="[Spt-BH.xls][Spt-BH_xls]B__4674"/>
      <sheetName val="[Spt-BH.xls][Spt-BH_xls]_S_1545"/>
      <sheetName val="[Spt-BH.xls][Spt-BH_xls]B__4675"/>
      <sheetName val="[Spt-BH.xls][Spt-BH_xls]B__4676"/>
      <sheetName val="[Spt-BH.xls][Spt-BH_xls]_S_1546"/>
      <sheetName val="[Spt-BH.xls][Spt-BH_xls]B__4647"/>
      <sheetName val="[Spt-BH.xls][Spt-BH_xls]B__4648"/>
      <sheetName val="[Spt-BH.xls][Spt-BH_xls]B__4649"/>
      <sheetName val="[Spt-BH.xls][Spt-BH_xls]B__4650"/>
      <sheetName val="[Spt-BH.xls][Spt-BH_xls]_S_1537"/>
      <sheetName val="[Spt-BH.xls][Spt-BH_xls]B__4651"/>
      <sheetName val="[Spt-BH.xls][Spt-BH_xls]B__4652"/>
      <sheetName val="[Spt-BH.xls][Spt-BH_xls]B__4653"/>
      <sheetName val="[Spt-BH.xls][Spt-BH_xls]_S_1538"/>
      <sheetName val="[Spt-BH.xls][Spt-BH_xls]B__4654"/>
      <sheetName val="[Spt-BH.xls][Spt-BH_xls]B__4655"/>
      <sheetName val="[Spt-BH.xls][Spt-BH_xls]B__4656"/>
      <sheetName val="[Spt-BH.xls][Spt-BH_xls]B__4657"/>
      <sheetName val="[Spt-BH.xls][Spt-BH_xls]_S_1539"/>
      <sheetName val="[Spt-BH.xls][Spt-BH_xls]B__4658"/>
      <sheetName val="[Spt-BH.xls][Spt-BH_xls]B__4659"/>
      <sheetName val="[Spt-BH.xls][Spt-BH_xls]_S_1540"/>
      <sheetName val="[Spt-BH.xls][Spt-BH_xls]B__4660"/>
      <sheetName val="[Spt-BH.xls][Spt-BH_xls]B__4661"/>
      <sheetName val="[Spt-BH.xls][Spt-BH_xls]_S_1541"/>
      <sheetName val="[Spt-BH.xls][Spt-BH.xls]_S_1717"/>
      <sheetName val="[Spt-BH.xls][Spt-BH.xls]B__4965"/>
      <sheetName val="[Spt-BH.xls][Spt-BH.xls]B__4966"/>
      <sheetName val="[Spt-BH.xls][Spt-BH.xls]_S_1739"/>
      <sheetName val="[Spt-BH.xls][Spt-BH.xls]B__4967"/>
      <sheetName val="[Spt-BH.xls][Spt-BH.xls]B__4968"/>
      <sheetName val="[Spt-BH.xls][Spt-BH.xls]B__4969"/>
      <sheetName val="[Spt-BH.xls][Spt-BH.xls]B__4970"/>
      <sheetName val="[Spt-BH.xls][Spt-BH.xls]_S_1718"/>
      <sheetName val="[Spt-BH.xls][Spt-BH.xls]B__5025"/>
      <sheetName val="[Spt-BH.xls][Spt-BH.xls]B__5026"/>
      <sheetName val="[Spt-BH.xls][Spt-BH.xls]_S_1772"/>
      <sheetName val="[Spt-BH.xls][Spt-BH.xls]B__5027"/>
      <sheetName val="[Spt-BH.xls][Spt-BH.xls]B__5028"/>
      <sheetName val="[Spt-BH.xls]B____x005f_x0004______399"/>
      <sheetName val="[Spt-BH.xls]B___x005f_x0000__x000_393"/>
      <sheetName val="[Spt-BH.xls][Spt-BH.xls]B__5029"/>
      <sheetName val="[Spt-BH.xls][Spt-BH.xls]B__5030"/>
      <sheetName val="[Spt-BH.xls][Spt-BH.xls]B__4971"/>
      <sheetName val="[Spt-BH.xls][Spt-BH.xls]_S_1740"/>
      <sheetName val="[Spt-BH.xls][Spt-BH_xls]B__4722"/>
      <sheetName val="[Spt-BH.xls][Spt-BH_xls]B__4723"/>
      <sheetName val="[Spt-BH.xls][Spt-BH_xls]B__4724"/>
      <sheetName val="[Spt-BH.xls][Spt-BH_xls]B__4725"/>
      <sheetName val="[Spt-BH.xls][Spt-BH_xls]_S_1562"/>
      <sheetName val="[Spt-BH.xls][Spt-BH_xls]B__4726"/>
      <sheetName val="[Spt-BH.xls][Spt-BH_xls]B__4727"/>
      <sheetName val="[Spt-BH.xls][Spt-BH_xls]B__4728"/>
      <sheetName val="[Spt-BH.xls][Spt-BH_xls]_S_1563"/>
      <sheetName val="[Spt-BH.xls][Spt-BH_xls]B__4729"/>
      <sheetName val="[Spt-BH.xls][Spt-BH_xls]B__4730"/>
      <sheetName val="[Spt-BH.xls][Spt-BH_xls]B__4731"/>
      <sheetName val="[Spt-BH.xls][Spt-BH_xls]B__4732"/>
      <sheetName val="[Spt-BH.xls][Spt-BH_xls]_S_1564"/>
      <sheetName val="[Spt-BH.xls][Spt-BH_xls]B__4733"/>
      <sheetName val="[Spt-BH.xls][Spt-BH_xls]B__4734"/>
      <sheetName val="[Spt-BH.xls][Spt-BH_xls]_S_1565"/>
      <sheetName val="[Spt-BH.xls][Spt-BH_xls]B__4735"/>
      <sheetName val="[Spt-BH.xls][Spt-BH_xls]B__4736"/>
      <sheetName val="[Spt-BH.xls][Spt-BH_xls]_S_1566"/>
      <sheetName val="[Spt-BH.xls][Spt-BH.xls]_S_1713"/>
      <sheetName val="[Spt-BH.xls][Spt-BH.xls]B__4952"/>
      <sheetName val="[Spt-BH.xls][Spt-BH.xls]B__4953"/>
      <sheetName val="[Spt-BH.xls][Spt-BH.xls]B__4954"/>
      <sheetName val="[Spt-BH.xls][Spt-BH.xls]B__4955"/>
      <sheetName val="[Spt-BH.xls][Spt-BH.xls]B__4956"/>
      <sheetName val="[Spt-BH.xls][Spt-BH.xls]_S_1714"/>
      <sheetName val="[Spt-BH.xls][Spt-BH.xls]B__4957"/>
      <sheetName val="[Spt-BH.xls][Spt-BH_xls]B__4692"/>
      <sheetName val="[Spt-BH.xls][Spt-BH_xls]B__4693"/>
      <sheetName val="[Spt-BH.xls][Spt-BH_xls]B__4694"/>
      <sheetName val="[Spt-BH.xls][Spt-BH_xls]B__4695"/>
      <sheetName val="[Spt-BH.xls][Spt-BH_xls]_S_1552"/>
      <sheetName val="[Spt-BH.xls][Spt-BH_xls]B__4696"/>
      <sheetName val="[Spt-BH.xls][Spt-BH_xls]B__4697"/>
      <sheetName val="[Spt-BH.xls][Spt-BH_xls]B__4698"/>
      <sheetName val="[Spt-BH.xls][Spt-BH_xls]_S_1553"/>
      <sheetName val="[Spt-BH.xls][Spt-BH_xls]B__4699"/>
      <sheetName val="[Spt-BH.xls][Spt-BH_xls]B__4700"/>
      <sheetName val="[Spt-BH.xls][Spt-BH_xls]B__4701"/>
      <sheetName val="[Spt-BH.xls][Spt-BH_xls]B__4702"/>
      <sheetName val="[Spt-BH.xls][Spt-BH_xls]_S_1554"/>
      <sheetName val="[Spt-BH.xls][Spt-BH_xls]B__4703"/>
      <sheetName val="[Spt-BH.xls][Spt-BH_xls]B__4704"/>
      <sheetName val="[Spt-BH.xls][Spt-BH_xls]_S_1555"/>
      <sheetName val="[Spt-BH.xls][Spt-BH_xls]B__4705"/>
      <sheetName val="[Spt-BH.xls][Spt-BH_xls]B__4706"/>
      <sheetName val="[Spt-BH.xls][Spt-BH_xls]_S_1556"/>
      <sheetName val="[Spt-BH.xls][Spt-BH.xls]_S_1711"/>
      <sheetName val="[Spt-BH.xls][Spt-BH.xls]_S_1712"/>
      <sheetName val="[Spt-BH.xls][Spt-BH_xls]B__4677"/>
      <sheetName val="[Spt-BH.xls][Spt-BH_xls]B__4678"/>
      <sheetName val="[Spt-BH.xls][Spt-BH_xls]B__4679"/>
      <sheetName val="[Spt-BH.xls][Spt-BH_xls]B__4680"/>
      <sheetName val="[Spt-BH.xls][Spt-BH_xls]_S_1547"/>
      <sheetName val="[Spt-BH.xls][Spt-BH_xls]B__4681"/>
      <sheetName val="[Spt-BH.xls][Spt-BH_xls]B__4682"/>
      <sheetName val="[Spt-BH.xls][Spt-BH_xls]B__4683"/>
      <sheetName val="[Spt-BH.xls][Spt-BH_xls]_S_1548"/>
      <sheetName val="[Spt-BH.xls][Spt-BH_xls]B__4684"/>
      <sheetName val="[Spt-BH.xls][Spt-BH_xls]B__4685"/>
      <sheetName val="[Spt-BH.xls][Spt-BH_xls]B__4686"/>
      <sheetName val="[Spt-BH.xls][Spt-BH_xls]B__4687"/>
      <sheetName val="[Spt-BH.xls][Spt-BH_xls]_S_1549"/>
      <sheetName val="[Spt-BH.xls][Spt-BH_xls]B__4688"/>
      <sheetName val="[Spt-BH.xls][Spt-BH_xls]B__4689"/>
      <sheetName val="[Spt-BH.xls][Spt-BH_xls]_S_1550"/>
      <sheetName val="[Spt-BH.xls][Spt-BH_xls]B__4690"/>
      <sheetName val="[Spt-BH.xls][Spt-BH_xls]B__4691"/>
      <sheetName val="[Spt-BH.xls][Spt-BH_xls]_S_1551"/>
      <sheetName val="[Spt-BH.xls][Spt-BH.xls]_S_1715"/>
      <sheetName val="[Spt-BH.xls][Spt-BH.xls]B__4958"/>
      <sheetName val="[Spt-BH.xls][Spt-BH.xls]B__4959"/>
      <sheetName val="[Spt-BH.xls][Spt-BH.xls]B__4960"/>
      <sheetName val="[Spt-BH.xls][Spt-BH.xls]B__4961"/>
      <sheetName val="[Spt-BH.xls][Spt-BH.xls]B__4962"/>
      <sheetName val="[Spt-BH.xls][Spt-BH.xls]B__4963"/>
      <sheetName val="[Spt-BH.xls][Spt-BH.xls]_S_1716"/>
      <sheetName val="[Spt-BH.xls]B____x005f_x0004______398"/>
      <sheetName val="[Spt-BH.xls]B___x005f_x0000__x000_392"/>
      <sheetName val="[Spt-BH.xls][Spt-BH.xls]B__4964"/>
      <sheetName val="[Spt-BH.xls][Spt-BH_xls]B__4707"/>
      <sheetName val="[Spt-BH.xls][Spt-BH_xls]B__4708"/>
      <sheetName val="[Spt-BH.xls][Spt-BH_xls]B__4709"/>
      <sheetName val="[Spt-BH.xls][Spt-BH_xls]B__4710"/>
      <sheetName val="[Spt-BH.xls][Spt-BH_xls]_S_1557"/>
      <sheetName val="[Spt-BH.xls][Spt-BH_xls]B__4711"/>
      <sheetName val="[Spt-BH.xls][Spt-BH_xls]B__4712"/>
      <sheetName val="[Spt-BH.xls][Spt-BH_xls]B__4713"/>
      <sheetName val="[Spt-BH.xls][Spt-BH_xls]_S_1558"/>
      <sheetName val="[Spt-BH.xls][Spt-BH_xls]B__4714"/>
      <sheetName val="[Spt-BH.xls][Spt-BH_xls]B__4715"/>
      <sheetName val="[Spt-BH.xls][Spt-BH_xls]B__4716"/>
      <sheetName val="[Spt-BH.xls][Spt-BH_xls]B__4717"/>
      <sheetName val="[Spt-BH.xls][Spt-BH_xls]_S_1559"/>
      <sheetName val="[Spt-BH.xls][Spt-BH_xls]B__4718"/>
      <sheetName val="[Spt-BH.xls][Spt-BH_xls]B__4719"/>
      <sheetName val="[Spt-BH.xls][Spt-BH_xls]_S_1560"/>
      <sheetName val="[Spt-BH.xls][Spt-BH_xls]B__4720"/>
      <sheetName val="[Spt-BH.xls][Spt-BH_xls]B__4721"/>
      <sheetName val="[Spt-BH.xls][Spt-BH_xls]_S_1561"/>
      <sheetName val="[Spt-BH.xls][Spt-BH.xls]B__5121"/>
      <sheetName val="[Spt-BH.xls][Spt-BH.xls]B__5122"/>
      <sheetName val="[Spt-BH.xls][Spt-BH.xls]_S_1776"/>
      <sheetName val="[Spt-BH.xls][Spt-BH.xls]B__5123"/>
      <sheetName val="[Spt-BH.xls][Spt-BH.xls]B__5124"/>
      <sheetName val="[Spt-BH.xls]B____x005f_x0004______405"/>
      <sheetName val="[Spt-BH.xls]B___x005f_x0000__x000_399"/>
      <sheetName val="[Spt-BH.xls][Spt-BH.xls]B__5125"/>
      <sheetName val="[Spt-BH.xls][Spt-BH.xls]B__5126"/>
      <sheetName val="[Spt-BH.xls][Spt-BH.xls]B__5031"/>
      <sheetName val="[Spt-BH.xls][Spt-BH.xls]_S_1773"/>
      <sheetName val="[Spt-BH.xls][Spt-BH_xls]B__4812"/>
      <sheetName val="[Spt-BH.xls][Spt-BH_xls]B__4813"/>
      <sheetName val="[Spt-BH.xls][Spt-BH_xls]B__4814"/>
      <sheetName val="[Spt-BH.xls][Spt-BH_xls]B__4815"/>
      <sheetName val="[Spt-BH.xls][Spt-BH_xls]_S_1592"/>
      <sheetName val="[Spt-BH.xls][Spt-BH_xls]B__4816"/>
      <sheetName val="[Spt-BH.xls][Spt-BH_xls]B__4817"/>
      <sheetName val="[Spt-BH.xls][Spt-BH_xls]B__4818"/>
      <sheetName val="[Spt-BH.xls][Spt-BH_xls]_S_1593"/>
      <sheetName val="[Spt-BH.xls][Spt-BH_xls]B__4819"/>
      <sheetName val="[Spt-BH.xls][Spt-BH_xls]B__4820"/>
      <sheetName val="[Spt-BH.xls][Spt-BH_xls]B__4821"/>
      <sheetName val="[Spt-BH.xls][Spt-BH_xls]B__4822"/>
      <sheetName val="[Spt-BH.xls][Spt-BH_xls]_S_1594"/>
      <sheetName val="[Spt-BH.xls][Spt-BH_xls]B__4823"/>
      <sheetName val="[Spt-BH.xls][Spt-BH_xls]B__4824"/>
      <sheetName val="[Spt-BH.xls][Spt-BH_xls]_S_1595"/>
      <sheetName val="[Spt-BH.xls][Spt-BH_xls]B__4825"/>
      <sheetName val="[Spt-BH.xls][Spt-BH_xls]B__4826"/>
      <sheetName val="[Spt-BH.xls][Spt-BH_xls]_S_1596"/>
      <sheetName val="[Spt-BH.xls][Spt-BH.xls]_S_1719"/>
      <sheetName val="[Spt-BH.xls][Spt-BH.xls]B__4972"/>
      <sheetName val="[Spt-BH.xls][Spt-BH.xls]B__4973"/>
      <sheetName val="[Spt-BH.xls][Spt-BH.xls]_S_1721"/>
      <sheetName val="[Spt-BH.xls][Spt-BH.xls]B__4974"/>
      <sheetName val="[Spt-BH.xls][Spt-BH.xls]B__4975"/>
      <sheetName val="[Spt-BH.xls][Spt-BH.xls]B__4976"/>
      <sheetName val="[Spt-BH.xls][Spt-BH.xls]B__4977"/>
      <sheetName val="[Spt-BH.xls][Spt-BH.xls]_S_1720"/>
      <sheetName val="[Spt-BH.xls][Spt-BH.xls]B__4979"/>
      <sheetName val="[Spt-BH.xls][Spt-BH.xls]B__4980"/>
      <sheetName val="[Spt-BH.xls][Spt-BH.xls]_S_1723"/>
      <sheetName val="[Spt-BH.xls][Spt-BH.xls]B__4981"/>
      <sheetName val="[Spt-BH.xls][Spt-BH.xls]B__4982"/>
      <sheetName val="[Spt-BH.xls]B____x005f_x0004______400"/>
      <sheetName val="[Spt-BH.xls]B___x005f_x0000__x000_394"/>
      <sheetName val="[Spt-BH.xls][Spt-BH.xls]B__4983"/>
      <sheetName val="[Spt-BH.xls][Spt-BH.xls]B__4984"/>
      <sheetName val="[Spt-BH.xls][Spt-BH.xls]B__4978"/>
      <sheetName val="[Spt-BH.xls][Spt-BH.xls]_S_1722"/>
      <sheetName val="[Spt-BH.xls][Spt-BH_xls]B__4737"/>
      <sheetName val="[Spt-BH.xls][Spt-BH_xls]B__4738"/>
      <sheetName val="[Spt-BH.xls][Spt-BH_xls]B__4739"/>
      <sheetName val="[Spt-BH.xls][Spt-BH_xls]B__4740"/>
      <sheetName val="[Spt-BH.xls][Spt-BH_xls]_S_1567"/>
      <sheetName val="[Spt-BH.xls][Spt-BH_xls]B__4741"/>
      <sheetName val="[Spt-BH.xls][Spt-BH_xls]B__4742"/>
      <sheetName val="[Spt-BH.xls][Spt-BH_xls]B__4743"/>
      <sheetName val="[Spt-BH.xls][Spt-BH_xls]_S_1568"/>
      <sheetName val="[Spt-BH.xls][Spt-BH_xls]B__4744"/>
      <sheetName val="[Spt-BH.xls][Spt-BH_xls]B__4745"/>
      <sheetName val="[Spt-BH.xls][Spt-BH_xls]B__4746"/>
      <sheetName val="[Spt-BH.xls][Spt-BH_xls]B__4747"/>
      <sheetName val="[Spt-BH.xls][Spt-BH_xls]_S_1569"/>
      <sheetName val="[Spt-BH.xls][Spt-BH_xls]B__4748"/>
      <sheetName val="[Spt-BH.xls][Spt-BH_xls]B__4749"/>
      <sheetName val="[Spt-BH.xls][Spt-BH_xls]_S_1570"/>
      <sheetName val="[Spt-BH.xls][Spt-BH_xls]B__4750"/>
      <sheetName val="[Spt-BH.xls][Spt-BH_xls]B__4751"/>
      <sheetName val="[Spt-BH.xls][Spt-BH_xls]_S_1571"/>
      <sheetName val="[Spt-BH.xls][Spt-BH.xls]B__4986"/>
      <sheetName val="[Spt-BH.xls][Spt-BH.xls]B__4987"/>
      <sheetName val="[Spt-BH.xls][Spt-BH.xls]_S_1725"/>
      <sheetName val="[Spt-BH.xls][Spt-BH.xls]B__4988"/>
      <sheetName val="[Spt-BH.xls][Spt-BH.xls]B__4989"/>
      <sheetName val="[Spt-BH.xls]B____x005f_x0004______401"/>
      <sheetName val="[Spt-BH.xls]B___x005f_x0000__x000_395"/>
      <sheetName val="[Spt-BH.xls][Spt-BH.xls]B__4990"/>
      <sheetName val="[Spt-BH.xls][Spt-BH.xls]B__4991"/>
      <sheetName val="[Spt-BH.xls][Spt-BH.xls]B__4985"/>
      <sheetName val="[Spt-BH.xls][Spt-BH.xls]_S_1724"/>
      <sheetName val="[Spt-BH.xls][Spt-BH_xls]B__4752"/>
      <sheetName val="[Spt-BH.xls][Spt-BH_xls]B__4753"/>
      <sheetName val="[Spt-BH.xls][Spt-BH_xls]B__4754"/>
      <sheetName val="[Spt-BH.xls][Spt-BH_xls]B__4755"/>
      <sheetName val="[Spt-BH.xls][Spt-BH_xls]_S_1572"/>
      <sheetName val="[Spt-BH.xls][Spt-BH_xls]B__4756"/>
      <sheetName val="[Spt-BH.xls][Spt-BH_xls]B__4757"/>
      <sheetName val="[Spt-BH.xls][Spt-BH_xls]B__4758"/>
      <sheetName val="[Spt-BH.xls][Spt-BH_xls]_S_1573"/>
      <sheetName val="[Spt-BH.xls][Spt-BH_xls]B__4759"/>
      <sheetName val="[Spt-BH.xls][Spt-BH_xls]B__4760"/>
      <sheetName val="[Spt-BH.xls][Spt-BH_xls]B__4761"/>
      <sheetName val="[Spt-BH.xls][Spt-BH_xls]B__4762"/>
      <sheetName val="[Spt-BH.xls][Spt-BH_xls]_S_1574"/>
      <sheetName val="[Spt-BH.xls][Spt-BH_xls]B__4763"/>
      <sheetName val="[Spt-BH.xls][Spt-BH_xls]B__4764"/>
      <sheetName val="[Spt-BH.xls][Spt-BH_xls]_S_1575"/>
      <sheetName val="[Spt-BH.xls][Spt-BH_xls]B__4765"/>
      <sheetName val="[Spt-BH.xls][Spt-BH_xls]B__4766"/>
      <sheetName val="[Spt-BH.xls][Spt-BH_xls]_S_1576"/>
      <sheetName val="[Spt-BH.xls][Spt-BH.xls]_S_1726"/>
      <sheetName val="[Spt-BH.xls][Spt-BH.xls]B__4992"/>
      <sheetName val="[Spt-BH.xls][Spt-BH.xls]B__4993"/>
      <sheetName val="[Spt-BH.xls][Spt-BH.xls]_S_1730"/>
      <sheetName val="[Spt-BH.xls][Spt-BH.xls]B__4994"/>
      <sheetName val="[Spt-BH.xls][Spt-BH.xls]B__4995"/>
      <sheetName val="[Spt-BH.xls][Spt-BH.xls]B__4996"/>
      <sheetName val="[Spt-BH.xls][Spt-BH.xls]B__4997"/>
      <sheetName val="[Spt-BH.xls][Spt-BH.xls]_S_1727"/>
      <sheetName val="[Spt-BH.xls][Spt-BH.xls]B__5006"/>
      <sheetName val="[Spt-BH.xls][Spt-BH.xls]B__5007"/>
      <sheetName val="[Spt-BH.xls][Spt-BH.xls]_S_1732"/>
      <sheetName val="[Spt-BH.xls][Spt-BH.xls]B__5008"/>
      <sheetName val="[Spt-BH.xls][Spt-BH.xls]B__5009"/>
      <sheetName val="[Spt-BH.xls]B____x005f_x0004______402"/>
      <sheetName val="[Spt-BH.xls]B___x005f_x0000__x000_396"/>
      <sheetName val="[Spt-BH.xls][Spt-BH.xls]B__5010"/>
      <sheetName val="[Spt-BH.xls][Spt-BH.xls]B__5011"/>
      <sheetName val="[Spt-BH.xls][Spt-BH.xls]B__4998"/>
      <sheetName val="[Spt-BH.xls][Spt-BH.xls]_S_1731"/>
      <sheetName val="[Spt-BH.xls][Spt-BH_xls]B__4767"/>
      <sheetName val="[Spt-BH.xls][Spt-BH_xls]B__4768"/>
      <sheetName val="[Spt-BH.xls][Spt-BH_xls]B__4769"/>
      <sheetName val="[Spt-BH.xls][Spt-BH_xls]B__4770"/>
      <sheetName val="[Spt-BH.xls][Spt-BH_xls]_S_1577"/>
      <sheetName val="[Spt-BH.xls][Spt-BH_xls]B__4771"/>
      <sheetName val="[Spt-BH.xls][Spt-BH_xls]B__4772"/>
      <sheetName val="[Spt-BH.xls][Spt-BH_xls]B__4773"/>
      <sheetName val="[Spt-BH.xls][Spt-BH_xls]_S_1578"/>
      <sheetName val="[Spt-BH.xls][Spt-BH_xls]B__4774"/>
      <sheetName val="[Spt-BH.xls][Spt-BH_xls]B__4775"/>
      <sheetName val="[Spt-BH.xls][Spt-BH_xls]B__4776"/>
      <sheetName val="[Spt-BH.xls][Spt-BH_xls]B__4777"/>
      <sheetName val="[Spt-BH.xls][Spt-BH_xls]_S_1579"/>
      <sheetName val="[Spt-BH.xls][Spt-BH_xls]B__4778"/>
      <sheetName val="[Spt-BH.xls][Spt-BH_xls]B__4779"/>
      <sheetName val="[Spt-BH.xls][Spt-BH_xls]_S_1580"/>
      <sheetName val="[Spt-BH.xls][Spt-BH_xls]B__4780"/>
      <sheetName val="[Spt-BH.xls][Spt-BH_xls]B__4781"/>
      <sheetName val="[Spt-BH.xls][Spt-BH_xls]_S_1581"/>
      <sheetName val="[Spt-BH.xls][Spt-BH.xls]B__5000"/>
      <sheetName val="[Spt-BH.xls][Spt-BH.xls]B__5001"/>
      <sheetName val="[Spt-BH.xls][Spt-BH.xls]_S_1729"/>
      <sheetName val="[Spt-BH.xls][Spt-BH.xls]B__5002"/>
      <sheetName val="[Spt-BH.xls][Spt-BH.xls]B__5003"/>
      <sheetName val="[Spt-BH.xls]B____x005f_x0004______403"/>
      <sheetName val="[Spt-BH.xls]B___x005f_x0000__x000_397"/>
      <sheetName val="[Spt-BH.xls][Spt-BH.xls]B__5004"/>
      <sheetName val="[Spt-BH.xls][Spt-BH.xls]B__5005"/>
      <sheetName val="[Spt-BH.xls][Spt-BH.xls]B__4999"/>
      <sheetName val="[Spt-BH.xls][Spt-BH.xls]_S_1728"/>
      <sheetName val="[Spt-BH.xls][Spt-BH_xls]B__4782"/>
      <sheetName val="[Spt-BH.xls][Spt-BH_xls]B__4783"/>
      <sheetName val="[Spt-BH.xls][Spt-BH_xls]B__4784"/>
      <sheetName val="[Spt-BH.xls][Spt-BH_xls]B__4785"/>
      <sheetName val="[Spt-BH.xls][Spt-BH_xls]_S_1582"/>
      <sheetName val="[Spt-BH.xls][Spt-BH_xls]B__4786"/>
      <sheetName val="[Spt-BH.xls][Spt-BH_xls]B__4787"/>
      <sheetName val="[Spt-BH.xls][Spt-BH_xls]B__4788"/>
      <sheetName val="[Spt-BH.xls][Spt-BH_xls]_S_1583"/>
      <sheetName val="[Spt-BH.xls][Spt-BH_xls]B__4789"/>
      <sheetName val="[Spt-BH.xls][Spt-BH_xls]B__4790"/>
      <sheetName val="[Spt-BH.xls][Spt-BH_xls]B__4791"/>
      <sheetName val="[Spt-BH.xls][Spt-BH_xls]B__4792"/>
      <sheetName val="[Spt-BH.xls][Spt-BH_xls]_S_1584"/>
      <sheetName val="[Spt-BH.xls][Spt-BH_xls]B__4793"/>
      <sheetName val="[Spt-BH.xls][Spt-BH_xls]B__4794"/>
      <sheetName val="[Spt-BH.xls][Spt-BH_xls]_S_1585"/>
      <sheetName val="[Spt-BH.xls][Spt-BH_xls]B__4795"/>
      <sheetName val="[Spt-BH.xls][Spt-BH_xls]B__4796"/>
      <sheetName val="[Spt-BH.xls][Spt-BH_xls]_S_1586"/>
      <sheetName val="[Spt-BH.xls][Spt-BH.xls]_S_1733"/>
      <sheetName val="[Spt-BH.xls][Spt-BH.xls]_S_1734"/>
      <sheetName val="[Spt-BH.xls][Spt-BH.xls]B__5012"/>
      <sheetName val="[Spt-BH.xls][Spt-BH.xls]B__5013"/>
      <sheetName val="[Spt-BH.xls][Spt-BH.xls]_S_1736"/>
      <sheetName val="[Spt-BH.xls][Spt-BH.xls]B__5014"/>
      <sheetName val="[Spt-BH.xls][Spt-BH.xls]B__5015"/>
      <sheetName val="[Spt-BH.xls][Spt-BH.xls]B__5016"/>
      <sheetName val="[Spt-BH.xls][Spt-BH.xls]B__5017"/>
      <sheetName val="[Spt-BH.xls][Spt-BH.xls]_S_1735"/>
      <sheetName val="[Spt-BH.xls][Spt-BH.xls]B__5019"/>
      <sheetName val="[Spt-BH.xls][Spt-BH.xls]B__5020"/>
      <sheetName val="[Spt-BH.xls][Spt-BH.xls]_S_1738"/>
      <sheetName val="[Spt-BH.xls][Spt-BH.xls]B__5021"/>
      <sheetName val="[Spt-BH.xls][Spt-BH.xls]B__5022"/>
      <sheetName val="[Spt-BH.xls]B____x005f_x0004______404"/>
      <sheetName val="[Spt-BH.xls]B___x005f_x0000__x000_398"/>
      <sheetName val="[Spt-BH.xls][Spt-BH.xls]B__5023"/>
      <sheetName val="[Spt-BH.xls][Spt-BH.xls]B__5024"/>
      <sheetName val="[Spt-BH.xls][Spt-BH.xls]B__5018"/>
      <sheetName val="[Spt-BH.xls][Spt-BH.xls]_S_1737"/>
      <sheetName val="[Spt-BH.xls][Spt-BH_xls]B__4797"/>
      <sheetName val="[Spt-BH.xls][Spt-BH_xls]B__4798"/>
      <sheetName val="[Spt-BH.xls][Spt-BH_xls]B__4799"/>
      <sheetName val="[Spt-BH.xls][Spt-BH_xls]B__4800"/>
      <sheetName val="[Spt-BH.xls][Spt-BH_xls]_S_1587"/>
      <sheetName val="[Spt-BH.xls][Spt-BH_xls]B__4801"/>
      <sheetName val="[Spt-BH.xls][Spt-BH_xls]B__4802"/>
      <sheetName val="[Spt-BH.xls][Spt-BH_xls]B__4803"/>
      <sheetName val="[Spt-BH.xls][Spt-BH_xls]_S_1588"/>
      <sheetName val="[Spt-BH.xls][Spt-BH_xls]B__4804"/>
      <sheetName val="[Spt-BH.xls][Spt-BH_xls]B__4805"/>
      <sheetName val="[Spt-BH.xls][Spt-BH_xls]B__4806"/>
      <sheetName val="[Spt-BH.xls][Spt-BH_xls]B__4807"/>
      <sheetName val="[Spt-BH.xls][Spt-BH_xls]_S_1589"/>
      <sheetName val="[Spt-BH.xls][Spt-BH_xls]B__4808"/>
      <sheetName val="[Spt-BH.xls][Spt-BH_xls]B__4809"/>
      <sheetName val="[Spt-BH.xls][Spt-BH_xls]_S_1590"/>
      <sheetName val="[Spt-BH.xls][Spt-BH_xls]B__4810"/>
      <sheetName val="[Spt-BH.xls][Spt-BH_xls]B__4811"/>
      <sheetName val="[Spt-BH.xls][Spt-BH_xls]_S_1591"/>
      <sheetName val="[Spt-BH.xls][Spt-BH.xls]B__5135"/>
      <sheetName val="[Spt-BH.xls][Spt-BH.xls]B__5136"/>
      <sheetName val="[Spt-BH.xls][Spt-BH.xls]_S_1778"/>
      <sheetName val="[Spt-BH.xls][Spt-BH.xls]B__5137"/>
      <sheetName val="[Spt-BH.xls][Spt-BH.xls]B__5138"/>
      <sheetName val="[Spt-BH.xls]B____x005f_x0004______411"/>
      <sheetName val="[Spt-BH.xls]B___x005f_x0000__x000_405"/>
      <sheetName val="[Spt-BH.xls][Spt-BH.xls]B__5139"/>
      <sheetName val="[Spt-BH.xls][Spt-BH.xls]B__5140"/>
      <sheetName val="[Spt-BH.xls][Spt-BH.xls]B__5127"/>
      <sheetName val="[Spt-BH.xls][Spt-BH.xls]_S_1777"/>
      <sheetName val="[Spt-BH.xls][Spt-BH_xls]B__4902"/>
      <sheetName val="[Spt-BH.xls][Spt-BH_xls]B__4903"/>
      <sheetName val="[Spt-BH.xls][Spt-BH_xls]B__4904"/>
      <sheetName val="[Spt-BH.xls][Spt-BH_xls]B__4905"/>
      <sheetName val="[Spt-BH.xls][Spt-BH_xls]_S_1622"/>
      <sheetName val="[Spt-BH.xls][Spt-BH_xls]B__4906"/>
      <sheetName val="[Spt-BH.xls][Spt-BH_xls]B__4907"/>
      <sheetName val="[Spt-BH.xls][Spt-BH_xls]B__4908"/>
      <sheetName val="[Spt-BH.xls][Spt-BH_xls]_S_1623"/>
      <sheetName val="[Spt-BH.xls][Spt-BH_xls]B__4909"/>
      <sheetName val="[Spt-BH.xls][Spt-BH_xls]B__4910"/>
      <sheetName val="[Spt-BH.xls][Spt-BH_xls]B__4911"/>
      <sheetName val="[Spt-BH.xls][Spt-BH_xls]B__4912"/>
      <sheetName val="[Spt-BH.xls][Spt-BH_xls]_S_1624"/>
      <sheetName val="[Spt-BH.xls][Spt-BH_xls]B__4913"/>
      <sheetName val="[Spt-BH.xls][Spt-BH_xls]B__4914"/>
      <sheetName val="[Spt-BH.xls][Spt-BH_xls]_S_1625"/>
      <sheetName val="[Spt-BH.xls][Spt-BH_xls]B__4915"/>
      <sheetName val="[Spt-BH.xls][Spt-BH_xls]B__4916"/>
      <sheetName val="[Spt-BH.xls][Spt-BH_xls]_S_1626"/>
      <sheetName val="[Spt-BH.xls][Spt-BH.xls]_S_1741"/>
      <sheetName val="[Spt-BH.xls][Spt-BH.xls]_S_1742"/>
      <sheetName val="[Spt-BH.xls][Spt-BH.xls]B__5032"/>
      <sheetName val="[Spt-BH.xls][Spt-BH.xls]B__5033"/>
      <sheetName val="[Spt-BH.xls][Spt-BH.xls]_S_1744"/>
      <sheetName val="[Spt-BH.xls][Spt-BH.xls]B__5034"/>
      <sheetName val="[Spt-BH.xls][Spt-BH.xls]B__5035"/>
      <sheetName val="[Spt-BH.xls][Spt-BH.xls]B__5036"/>
      <sheetName val="[Spt-BH.xls][Spt-BH.xls]B__5037"/>
      <sheetName val="[Spt-BH.xls][Spt-BH.xls]_S_1743"/>
      <sheetName val="[Spt-BH.xls][Spt-BH.xls]B__5039"/>
      <sheetName val="[Spt-BH.xls][Spt-BH.xls]B__5040"/>
      <sheetName val="[Spt-BH.xls][Spt-BH.xls]_S_1746"/>
      <sheetName val="[Spt-BH.xls][Spt-BH.xls]B__5041"/>
      <sheetName val="[Spt-BH.xls][Spt-BH.xls]B__5042"/>
      <sheetName val="[Spt-BH.xls]B____x005f_x0004______406"/>
      <sheetName val="[Spt-BH.xls]B___x005f_x0000__x000_400"/>
      <sheetName val="[Spt-BH.xls][Spt-BH.xls]B__5043"/>
      <sheetName val="[Spt-BH.xls][Spt-BH.xls]B__5044"/>
      <sheetName val="[Spt-BH.xls][Spt-BH.xls]B__5038"/>
      <sheetName val="[Spt-BH.xls][Spt-BH.xls]_S_1745"/>
      <sheetName val="[Spt-BH.xls][Spt-BH_xls]B__4827"/>
      <sheetName val="[Spt-BH.xls][Spt-BH_xls]B__4828"/>
      <sheetName val="[Spt-BH.xls][Spt-BH_xls]B__4829"/>
      <sheetName val="[Spt-BH.xls][Spt-BH_xls]B__4830"/>
      <sheetName val="[Spt-BH.xls][Spt-BH_xls]_S_1597"/>
      <sheetName val="[Spt-BH.xls][Spt-BH_xls]B__4831"/>
      <sheetName val="[Spt-BH.xls][Spt-BH_xls]B__4832"/>
      <sheetName val="[Spt-BH.xls][Spt-BH_xls]B__4833"/>
      <sheetName val="[Spt-BH.xls][Spt-BH_xls]_S_1598"/>
      <sheetName val="[Spt-BH.xls][Spt-BH_xls]B__4834"/>
      <sheetName val="[Spt-BH.xls][Spt-BH_xls]B__4835"/>
      <sheetName val="[Spt-BH.xls][Spt-BH_xls]B__4836"/>
      <sheetName val="[Spt-BH.xls][Spt-BH_xls]B__4837"/>
      <sheetName val="[Spt-BH.xls][Spt-BH_xls]_S_1599"/>
      <sheetName val="[Spt-BH.xls][Spt-BH_xls]B__4838"/>
      <sheetName val="[Spt-BH.xls][Spt-BH_xls]B__4839"/>
      <sheetName val="[Spt-BH.xls][Spt-BH_xls]_S_1600"/>
      <sheetName val="[Spt-BH.xls][Spt-BH_xls]B__4840"/>
      <sheetName val="[Spt-BH.xls][Spt-BH_xls]B__4841"/>
      <sheetName val="[Spt-BH.xls][Spt-BH_xls]_S_1601"/>
      <sheetName val="[Spt-BH.xls][Spt-BH.xls]B__5045"/>
      <sheetName val="[Spt-BH.xls][Spt-BH.xls]_S_1750"/>
      <sheetName val="[Spt-BH.xls][Spt-BH.xls]B__5046"/>
      <sheetName val="[Spt-BH.xls][Spt-BH.xls]B__5047"/>
      <sheetName val="[Spt-BH.xls][Spt-BH.xls]B__5048"/>
      <sheetName val="[Spt-BH.xls][Spt-BH.xls]B__5049"/>
      <sheetName val="[Spt-BH.xls][Spt-BH.xls]B__5063"/>
      <sheetName val="[Spt-BH.xls][Spt-BH.xls]B__5064"/>
      <sheetName val="[Spt-BH.xls][Spt-BH.xls]_S_1752"/>
      <sheetName val="[Spt-BH.xls][Spt-BH.xls]B__5065"/>
      <sheetName val="[Spt-BH.xls][Spt-BH.xls]B__5066"/>
      <sheetName val="[Spt-BH.xls][Spt-BH.xls]B__5067"/>
      <sheetName val="[Spt-BH.xls][Spt-BH.xls]B__5068"/>
      <sheetName val="[Spt-BH.xls][Spt-BH.xls]_S_1751"/>
      <sheetName val="[Spt-BH.xls][Spt-BH.xls]B__5070"/>
      <sheetName val="[Spt-BH.xls][Spt-BH.xls]B__5071"/>
      <sheetName val="[Spt-BH.xls][Spt-BH.xls]_S_1754"/>
      <sheetName val="[Spt-BH.xls][Spt-BH.xls]B__5072"/>
      <sheetName val="[Spt-BH.xls][Spt-BH.xls]B__5073"/>
      <sheetName val="[Spt-BH.xls]B____x005f_x0004______407"/>
      <sheetName val="[Spt-BH.xls]B___x005f_x0000__x000_401"/>
      <sheetName val="[Spt-BH.xls][Spt-BH.xls]B__5074"/>
      <sheetName val="[Spt-BH.xls][Spt-BH.xls]B__5075"/>
      <sheetName val="[Spt-BH.xls][Spt-BH.xls]B__5069"/>
      <sheetName val="[Spt-BH.xls][Spt-BH.xls]_S_1753"/>
      <sheetName val="[Spt-BH.xls][Spt-BH_xls]B__4842"/>
      <sheetName val="[Spt-BH.xls][Spt-BH_xls]B__4843"/>
      <sheetName val="[Spt-BH.xls][Spt-BH_xls]B__4844"/>
      <sheetName val="[Spt-BH.xls][Spt-BH_xls]B__4845"/>
      <sheetName val="[Spt-BH.xls][Spt-BH_xls]_S_1602"/>
      <sheetName val="[Spt-BH.xls][Spt-BH_xls]B__4846"/>
      <sheetName val="[Spt-BH.xls][Spt-BH_xls]B__4847"/>
      <sheetName val="[Spt-BH.xls][Spt-BH_xls]B__4848"/>
      <sheetName val="[Spt-BH.xls][Spt-BH_xls]_S_1603"/>
      <sheetName val="[Spt-BH.xls][Spt-BH_xls]B__4849"/>
      <sheetName val="[Spt-BH.xls][Spt-BH_xls]B__4850"/>
      <sheetName val="[Spt-BH.xls][Spt-BH_xls]B__4851"/>
      <sheetName val="[Spt-BH.xls][Spt-BH_xls]B__4852"/>
      <sheetName val="[Spt-BH.xls][Spt-BH_xls]_S_1604"/>
      <sheetName val="[Spt-BH.xls][Spt-BH_xls]B__4853"/>
      <sheetName val="[Spt-BH.xls][Spt-BH_xls]B__4854"/>
      <sheetName val="[Spt-BH.xls][Spt-BH_xls]_S_1605"/>
      <sheetName val="[Spt-BH.xls][Spt-BH_xls]B__4855"/>
      <sheetName val="[Spt-BH.xls][Spt-BH_xls]B__4856"/>
      <sheetName val="[Spt-BH.xls][Spt-BH_xls]_S_1606"/>
      <sheetName val="[Spt-BH.xls][Spt-BH.xls]B__5050"/>
      <sheetName val="[Spt-BH.xls][Spt-BH.xls]B__5051"/>
      <sheetName val="[Spt-BH.xls][Spt-BH.xls]B__5052"/>
      <sheetName val="[Spt-BH.xls][Spt-BH.xls]B__5053"/>
      <sheetName val="[Spt-BH.xls][Spt-BH.xls]B__5054"/>
      <sheetName val="[Spt-BH.xls][Spt-BH.xls]B__5055"/>
      <sheetName val="[Spt-BH.xls][Spt-BH.xls]_S_1747"/>
      <sheetName val="[Spt-BH.xls][Spt-BH.xls]_S_1748"/>
      <sheetName val="[Spt-BH.xls][Spt-BH.xls]B__5056"/>
      <sheetName val="[Spt-BH.xls][Spt-BH.xls]B__5057"/>
      <sheetName val="[Spt-BH.xls][Spt-BH.xls]B__5058"/>
      <sheetName val="[Spt-BH.xls][Spt-BH.xls]B__5059"/>
      <sheetName val="[Spt-BH.xls][Spt-BH.xls]B__5060"/>
      <sheetName val="[Spt-BH.xls][Spt-BH.xls]B__5061"/>
      <sheetName val="[Spt-BH.xls][Spt-BH.xls]_S_1749"/>
      <sheetName val="[Spt-BH.xls][Spt-BH.xls]B__5062"/>
      <sheetName val="[Spt-BH.xls][Spt-BH.xls]_S_1755"/>
      <sheetName val="[Spt-BH.xls][Spt-BH.xls]B__5076"/>
      <sheetName val="[Spt-BH.xls][Spt-BH.xls]B__5077"/>
      <sheetName val="[Spt-BH.xls][Spt-BH.xls]_S_1758"/>
      <sheetName val="[Spt-BH.xls][Spt-BH.xls]B__5078"/>
      <sheetName val="[Spt-BH.xls][Spt-BH.xls]B__5079"/>
      <sheetName val="[Spt-BH.xls][Spt-BH.xls]B__5080"/>
      <sheetName val="[Spt-BH.xls][Spt-BH.xls]B__5081"/>
      <sheetName val="[Spt-BH.xls][Spt-BH.xls]_S_1756"/>
      <sheetName val="[Spt-BH.xls][Spt-BH.xls]B__5082"/>
      <sheetName val="[Spt-BH.xls][Spt-BH.xls]B__5083"/>
      <sheetName val="[Spt-BH.xls][Spt-BH.xls]_S_1760"/>
      <sheetName val="[Spt-BH.xls][Spt-BH.xls]B__5084"/>
      <sheetName val="[Spt-BH.xls][Spt-BH.xls]B__5085"/>
      <sheetName val="[Spt-BH.xls][Spt-BH.xls]B__5086"/>
      <sheetName val="[Spt-BH.xls][Spt-BH.xls]B__5087"/>
      <sheetName val="[Spt-BH.xls][Spt-BH.xls]_S_1759"/>
      <sheetName val="[Spt-BH.xls][Spt-BH.xls]B__5089"/>
      <sheetName val="[Spt-BH.xls][Spt-BH.xls]B__5090"/>
      <sheetName val="[Spt-BH.xls][Spt-BH.xls]_S_1762"/>
      <sheetName val="[Spt-BH.xls][Spt-BH.xls]B__5091"/>
      <sheetName val="[Spt-BH.xls][Spt-BH.xls]B__5092"/>
      <sheetName val="[Spt-BH.xls]B____x005f_x0004______408"/>
      <sheetName val="[Spt-BH.xls]B___x005f_x0000__x000_402"/>
      <sheetName val="[Spt-BH.xls][Spt-BH.xls]B__5093"/>
      <sheetName val="[Spt-BH.xls][Spt-BH.xls]B__5094"/>
      <sheetName val="[Spt-BH.xls][Spt-BH.xls]B__5088"/>
      <sheetName val="[Spt-BH.xls][Spt-BH.xls]_S_1761"/>
      <sheetName val="[Spt-BH.xls][Spt-BH_xls]B__4857"/>
      <sheetName val="[Spt-BH.xls][Spt-BH_xls]B__4858"/>
      <sheetName val="[Spt-BH.xls][Spt-BH_xls]B__4859"/>
      <sheetName val="[Spt-BH.xls][Spt-BH_xls]B__4860"/>
      <sheetName val="[Spt-BH.xls][Spt-BH_xls]_S_1607"/>
      <sheetName val="[Spt-BH.xls][Spt-BH_xls]B__4861"/>
      <sheetName val="[Spt-BH.xls][Spt-BH_xls]B__4862"/>
      <sheetName val="[Spt-BH.xls][Spt-BH_xls]B__4863"/>
      <sheetName val="[Spt-BH.xls][Spt-BH_xls]_S_1608"/>
      <sheetName val="[Spt-BH.xls][Spt-BH_xls]B__4864"/>
      <sheetName val="[Spt-BH.xls][Spt-BH_xls]B__4865"/>
      <sheetName val="[Spt-BH.xls][Spt-BH_xls]B__4866"/>
      <sheetName val="[Spt-BH.xls][Spt-BH_xls]B__4867"/>
      <sheetName val="[Spt-BH.xls][Spt-BH_xls]_S_1609"/>
      <sheetName val="[Spt-BH.xls][Spt-BH_xls]B__4868"/>
      <sheetName val="[Spt-BH.xls][Spt-BH_xls]B__4869"/>
      <sheetName val="[Spt-BH.xls][Spt-BH_xls]_S_1610"/>
      <sheetName val="[Spt-BH.xls][Spt-BH_xls]B__4870"/>
      <sheetName val="[Spt-BH.xls][Spt-BH_xls]B__4871"/>
      <sheetName val="[Spt-BH.xls][Spt-BH_xls]_S_1611"/>
      <sheetName val="[Spt-BH.xls][Spt-BH.xls]_S_1757"/>
      <sheetName val="[Spt-BH.xls][Spt-BH.xls]_S_1763"/>
      <sheetName val="[Spt-BH.xls][Spt-BH.xls]B__5095"/>
      <sheetName val="[Spt-BH.xls][Spt-BH.xls]B__5096"/>
      <sheetName val="[Spt-BH.xls][Spt-BH.xls]_S_1765"/>
      <sheetName val="[Spt-BH.xls][Spt-BH.xls]B__5097"/>
      <sheetName val="[Spt-BH.xls][Spt-BH.xls]B__5098"/>
      <sheetName val="[Spt-BH.xls][Spt-BH.xls]B__5099"/>
      <sheetName val="[Spt-BH.xls][Spt-BH.xls]B__5100"/>
      <sheetName val="[Spt-BH.xls][Spt-BH.xls]_S_1764"/>
      <sheetName val="[Spt-BH.xls][Spt-BH.xls]B__5102"/>
      <sheetName val="[Spt-BH.xls][Spt-BH.xls]B__5103"/>
      <sheetName val="[Spt-BH.xls][Spt-BH.xls]_S_1767"/>
      <sheetName val="[Spt-BH.xls][Spt-BH.xls]B__5104"/>
      <sheetName val="[Spt-BH.xls][Spt-BH.xls]B__5105"/>
      <sheetName val="[Spt-BH.xls]B____x005f_x0004______409"/>
      <sheetName val="[Spt-BH.xls]B___x005f_x0000__x000_403"/>
      <sheetName val="[Spt-BH.xls][Spt-BH.xls]B__5106"/>
      <sheetName val="[Spt-BH.xls][Spt-BH.xls]B__5107"/>
      <sheetName val="[Spt-BH.xls][Spt-BH.xls]B__5101"/>
      <sheetName val="[Spt-BH.xls][Spt-BH.xls]_S_1766"/>
      <sheetName val="[Spt-BH.xls][Spt-BH_xls]B__4872"/>
      <sheetName val="[Spt-BH.xls][Spt-BH_xls]B__4873"/>
      <sheetName val="[Spt-BH.xls][Spt-BH_xls]B__4874"/>
      <sheetName val="[Spt-BH.xls][Spt-BH_xls]B__4875"/>
      <sheetName val="[Spt-BH.xls][Spt-BH_xls]_S_1612"/>
      <sheetName val="[Spt-BH.xls][Spt-BH_xls]B__4876"/>
      <sheetName val="[Spt-BH.xls][Spt-BH_xls]B__4877"/>
      <sheetName val="[Spt-BH.xls][Spt-BH_xls]B__4878"/>
      <sheetName val="[Spt-BH.xls][Spt-BH_xls]_S_1613"/>
      <sheetName val="[Spt-BH.xls][Spt-BH_xls]B__4879"/>
      <sheetName val="[Spt-BH.xls][Spt-BH_xls]B__4880"/>
      <sheetName val="[Spt-BH.xls][Spt-BH_xls]B__4881"/>
      <sheetName val="[Spt-BH.xls][Spt-BH_xls]B__4882"/>
      <sheetName val="[Spt-BH.xls][Spt-BH_xls]_S_1614"/>
      <sheetName val="[Spt-BH.xls][Spt-BH_xls]B__4883"/>
      <sheetName val="[Spt-BH.xls][Spt-BH_xls]B__4884"/>
      <sheetName val="[Spt-BH.xls][Spt-BH_xls]_S_1615"/>
      <sheetName val="[Spt-BH.xls][Spt-BH_xls]B__4885"/>
      <sheetName val="[Spt-BH.xls][Spt-BH_xls]B__4886"/>
      <sheetName val="[Spt-BH.xls][Spt-BH_xls]_S_1616"/>
      <sheetName val="[Spt-BH.xls][Spt-BH.xls]_S_1768"/>
      <sheetName val="[Spt-BH.xls][Spt-BH.xls]B__5108"/>
      <sheetName val="[Spt-BH.xls][Spt-BH.xls]B__5109"/>
      <sheetName val="[Spt-BH.xls][Spt-BH.xls]_S_1770"/>
      <sheetName val="[Spt-BH.xls][Spt-BH.xls]B__5110"/>
      <sheetName val="[Spt-BH.xls][Spt-BH.xls]B__5111"/>
      <sheetName val="[Spt-BH.xls][Spt-BH.xls]B__5112"/>
      <sheetName val="[Spt-BH.xls][Spt-BH.xls]B__5113"/>
      <sheetName val="[Spt-BH.xls][Spt-BH.xls]_S_1769"/>
      <sheetName val="[Spt-BH.xls][Spt-BH.xls]B__5115"/>
      <sheetName val="[Spt-BH.xls][Spt-BH.xls]B__5116"/>
      <sheetName val="[Spt-BH.xls][Spt-BH.xls]B__5117"/>
      <sheetName val="[Spt-BH.xls][Spt-BH.xls]B__5118"/>
      <sheetName val="[Spt-BH.xls]B____x005f_x0004______410"/>
      <sheetName val="[Spt-BH.xls]B___x005f_x0000__x000_404"/>
      <sheetName val="[Spt-BH.xls][Spt-BH.xls]B__5119"/>
      <sheetName val="[Spt-BH.xls][Spt-BH.xls]B__5120"/>
      <sheetName val="[Spt-BH.xls][Spt-BH.xls]B__5114"/>
      <sheetName val="[Spt-BH.xls][Spt-BH.xls]_S_1771"/>
      <sheetName val="[Spt-BH.xls][Spt-BH_xls]B__4887"/>
      <sheetName val="[Spt-BH.xls][Spt-BH_xls]B__4888"/>
      <sheetName val="[Spt-BH.xls][Spt-BH_xls]B__4889"/>
      <sheetName val="[Spt-BH.xls][Spt-BH_xls]B__4890"/>
      <sheetName val="[Spt-BH.xls][Spt-BH_xls]_S_1617"/>
      <sheetName val="[Spt-BH.xls][Spt-BH_xls]B__4891"/>
      <sheetName val="[Spt-BH.xls][Spt-BH_xls]B__4892"/>
      <sheetName val="[Spt-BH.xls][Spt-BH_xls]B__4893"/>
      <sheetName val="[Spt-BH.xls][Spt-BH_xls]_S_1618"/>
      <sheetName val="[Spt-BH.xls][Spt-BH_xls]B__4894"/>
      <sheetName val="[Spt-BH.xls][Spt-BH_xls]B__4895"/>
      <sheetName val="[Spt-BH.xls][Spt-BH_xls]B__4896"/>
      <sheetName val="[Spt-BH.xls][Spt-BH_xls]B__4897"/>
      <sheetName val="[Spt-BH.xls][Spt-BH_xls]_S_1619"/>
      <sheetName val="[Spt-BH.xls][Spt-BH_xls]B__4898"/>
      <sheetName val="[Spt-BH.xls][Spt-BH_xls]B__4899"/>
      <sheetName val="[Spt-BH.xls][Spt-BH_xls]_S_1620"/>
      <sheetName val="[Spt-BH.xls][Spt-BH_xls]B__4900"/>
      <sheetName val="[Spt-BH.xls][Spt-BH_xls]B__4901"/>
      <sheetName val="[Spt-BH.xls][Spt-BH_xls]_S_1621"/>
      <sheetName val="[Spt-BH.xls][Spt-BH.xls]B__5142"/>
      <sheetName val="[Spt-BH.xls][Spt-BH.xls]B__5143"/>
      <sheetName val="[Spt-BH.xls][Spt-BH.xls]_S_1780"/>
      <sheetName val="[Spt-BH.xls][Spt-BH.xls]B__5144"/>
      <sheetName val="[Spt-BH.xls][Spt-BH.xls]B__5145"/>
      <sheetName val="[Spt-BH.xls]B____x005f_x0004______413"/>
      <sheetName val="[Spt-BH.xls]B___x005f_x0000__x000_407"/>
      <sheetName val="[Spt-BH.xls][Spt-BH.xls]B__5146"/>
      <sheetName val="[Spt-BH.xls][Spt-BH.xls]B__5147"/>
      <sheetName val="[Spt-BH.xls][Spt-BH.xls]B__5141"/>
      <sheetName val="[Spt-BH.xls][Spt-BH.xls]_S_1779"/>
      <sheetName val="[Spt-BH.xls][Spt-BH_xls]B__4932"/>
      <sheetName val="[Spt-BH.xls][Spt-BH_xls]B__4933"/>
      <sheetName val="[Spt-BH.xls][Spt-BH_xls]B__4934"/>
      <sheetName val="[Spt-BH.xls][Spt-BH_xls]B__4935"/>
      <sheetName val="[Spt-BH.xls][Spt-BH_xls]_S_1632"/>
      <sheetName val="[Spt-BH.xls][Spt-BH_xls]B__4936"/>
      <sheetName val="[Spt-BH.xls][Spt-BH_xls]B__4937"/>
      <sheetName val="[Spt-BH.xls][Spt-BH_xls]B__4938"/>
      <sheetName val="[Spt-BH.xls][Spt-BH_xls]_S_1633"/>
      <sheetName val="[Spt-BH.xls][Spt-BH_xls]B__4939"/>
      <sheetName val="[Spt-BH.xls][Spt-BH_xls]B__4940"/>
      <sheetName val="[Spt-BH.xls][Spt-BH_xls]B__4941"/>
      <sheetName val="[Spt-BH.xls][Spt-BH_xls]B__4942"/>
      <sheetName val="[Spt-BH.xls][Spt-BH_xls]_S_1634"/>
      <sheetName val="[Spt-BH.xls][Spt-BH_xls]B__4943"/>
      <sheetName val="[Spt-BH.xls][Spt-BH_xls]B__4944"/>
      <sheetName val="[Spt-BH.xls][Spt-BH_xls]_S_1635"/>
      <sheetName val="[Spt-BH.xls][Spt-BH_xls]B__4945"/>
      <sheetName val="[Spt-BH.xls][Spt-BH_xls]B__4946"/>
      <sheetName val="[Spt-BH.xls][Spt-BH_xls]_S_1636"/>
      <sheetName val="[Spt-BH.xls][Spt-BH.xls]_S_1774"/>
      <sheetName val="[Spt-BH.xls][Spt-BH.xls]B__5128"/>
      <sheetName val="[Spt-BH.xls][Spt-BH.xls]B__5129"/>
      <sheetName val="[Spt-BH.xls][Spt-BH.xls]B__5130"/>
      <sheetName val="[Spt-BH.xls][Spt-BH.xls]B__5131"/>
      <sheetName val="[Spt-BH.xls][Spt-BH.xls]B__5132"/>
      <sheetName val="[Spt-BH.xls][Spt-BH.xls]B__5133"/>
      <sheetName val="[Spt-BH.xls][Spt-BH.xls]_S_1775"/>
      <sheetName val="[Spt-BH.xls]B____x005f_x0004______412"/>
      <sheetName val="[Spt-BH.xls]B___x005f_x0000__x000_406"/>
      <sheetName val="[Spt-BH.xls][Spt-BH.xls]B__5134"/>
      <sheetName val="[Spt-BH.xls][Spt-BH_xls]B__4917"/>
      <sheetName val="[Spt-BH.xls][Spt-BH_xls]B__4918"/>
      <sheetName val="[Spt-BH.xls][Spt-BH_xls]B__4919"/>
      <sheetName val="[Spt-BH.xls][Spt-BH_xls]B__4920"/>
      <sheetName val="[Spt-BH.xls][Spt-BH_xls]_S_1627"/>
      <sheetName val="[Spt-BH.xls][Spt-BH_xls]B__4921"/>
      <sheetName val="[Spt-BH.xls][Spt-BH_xls]B__4922"/>
      <sheetName val="[Spt-BH.xls][Spt-BH_xls]B__4923"/>
      <sheetName val="[Spt-BH.xls][Spt-BH_xls]_S_1628"/>
      <sheetName val="[Spt-BH.xls][Spt-BH_xls]B__4924"/>
      <sheetName val="[Spt-BH.xls][Spt-BH_xls]B__4925"/>
      <sheetName val="[Spt-BH.xls][Spt-BH_xls]B__4926"/>
      <sheetName val="[Spt-BH.xls][Spt-BH_xls]B__4927"/>
      <sheetName val="[Spt-BH.xls][Spt-BH_xls]_S_1629"/>
      <sheetName val="[Spt-BH.xls][Spt-BH_xls]B__4928"/>
      <sheetName val="[Spt-BH.xls][Spt-BH_xls]B__4929"/>
      <sheetName val="[Spt-BH.xls][Spt-BH_xls]_S_1630"/>
      <sheetName val="[Spt-BH.xls][Spt-BH_xls]B__4930"/>
      <sheetName val="[Spt-BH.xls][Spt-BH_xls]B__4931"/>
      <sheetName val="[Spt-BH.xls][Spt-BH_xls]_S_1631"/>
      <sheetName val="[Spt-BH.xls][Spt-BH.xls]_S_1787"/>
      <sheetName val="[Spt-BH.xls][Spt-BH.xls]B__5168"/>
      <sheetName val="[Spt-BH.xls][Spt-BH.xls]B__5169"/>
      <sheetName val="[Spt-BH.xls][Spt-BH.xls]_S_1789"/>
      <sheetName val="[Spt-BH.xls][Spt-BH.xls]B__5170"/>
      <sheetName val="[Spt-BH.xls][Spt-BH.xls]B__5171"/>
      <sheetName val="[Spt-BH.xls][Spt-BH.xls]B__5172"/>
      <sheetName val="[Spt-BH.xls][Spt-BH.xls]B__5173"/>
      <sheetName val="[Spt-BH.xls][Spt-BH.xls]_S_1788"/>
      <sheetName val="[Spt-BH.xls][Spt-BH.xls]B__5175"/>
      <sheetName val="[Spt-BH.xls][Spt-BH.xls]B__5176"/>
      <sheetName val="[Spt-BH.xls][Spt-BH.xls]_S_1792"/>
      <sheetName val="[Spt-BH.xls][Spt-BH.xls]B__5177"/>
      <sheetName val="[Spt-BH.xls][Spt-BH.xls]B__5178"/>
      <sheetName val="[Spt-BH.xls]B____x005f_x0004______416"/>
      <sheetName val="[Spt-BH.xls]B___x005f_x0000__x000_410"/>
      <sheetName val="[Spt-BH.xls][Spt-BH.xls]B__5179"/>
      <sheetName val="[Spt-BH.xls][Spt-BH.xls]B__5180"/>
      <sheetName val="[Spt-BH.xls][Spt-BH.xls]B__5174"/>
      <sheetName val="[Spt-BH.xls][Spt-BH.xls]_S_1790"/>
      <sheetName val="[Spt-BH.xls][Spt-BH_xls]B__4977"/>
      <sheetName val="[Spt-BH.xls][Spt-BH_xls]B__4978"/>
      <sheetName val="[Spt-BH.xls][Spt-BH_xls]B__4979"/>
      <sheetName val="[Spt-BH.xls][Spt-BH_xls]B__4980"/>
      <sheetName val="[Spt-BH.xls][Spt-BH_xls]_S_1647"/>
      <sheetName val="[Spt-BH.xls][Spt-BH_xls]B__4981"/>
      <sheetName val="[Spt-BH.xls][Spt-BH_xls]B__4982"/>
      <sheetName val="[Spt-BH.xls][Spt-BH_xls]B__4983"/>
      <sheetName val="[Spt-BH.xls][Spt-BH_xls]_S_1648"/>
      <sheetName val="[Spt-BH.xls][Spt-BH_xls]B__4984"/>
      <sheetName val="[Spt-BH.xls][Spt-BH_xls]B__4985"/>
      <sheetName val="[Spt-BH.xls][Spt-BH_xls]B__4986"/>
      <sheetName val="[Spt-BH.xls][Spt-BH_xls]B__4987"/>
      <sheetName val="[Spt-BH.xls][Spt-BH_xls]_S_1649"/>
      <sheetName val="[Spt-BH.xls][Spt-BH_xls]B__4988"/>
      <sheetName val="[Spt-BH.xls][Spt-BH_xls]B__4989"/>
      <sheetName val="[Spt-BH.xls][Spt-BH_xls]_S_1650"/>
      <sheetName val="[Spt-BH.xls][Spt-BH_xls]B__4990"/>
      <sheetName val="[Spt-BH.xls][Spt-BH_xls]B__4991"/>
      <sheetName val="[Spt-BH.xls][Spt-BH_xls]_S_1651"/>
      <sheetName val="[Spt-BH.xls][Spt-BH.xls]_S_1781"/>
      <sheetName val="[Spt-BH.xls][Spt-BH.xls]B__5148"/>
      <sheetName val="[Spt-BH.xls][Spt-BH.xls]B__5149"/>
      <sheetName val="[Spt-BH.xls][Spt-BH.xls]_S_1783"/>
      <sheetName val="[Spt-BH.xls][Spt-BH.xls]B__5150"/>
      <sheetName val="[Spt-BH.xls][Spt-BH.xls]B__5151"/>
      <sheetName val="[Spt-BH.xls][Spt-BH.xls]B__5152"/>
      <sheetName val="[Spt-BH.xls][Spt-BH.xls]B__5153"/>
      <sheetName val="[Spt-BH.xls][Spt-BH.xls]_S_1782"/>
      <sheetName val="[Spt-BH.xls][Spt-BH.xls]B__5155"/>
      <sheetName val="[Spt-BH.xls][Spt-BH.xls]B__5156"/>
      <sheetName val="[Spt-BH.xls][Spt-BH.xls]B__5157"/>
      <sheetName val="[Spt-BH.xls][Spt-BH.xls]B__5158"/>
      <sheetName val="[Spt-BH.xls]B____x005f_x0004______414"/>
      <sheetName val="[Spt-BH.xls]B___x005f_x0000__x000_408"/>
      <sheetName val="[Spt-BH.xls][Spt-BH.xls]B__5159"/>
      <sheetName val="[Spt-BH.xls][Spt-BH.xls]B__5160"/>
      <sheetName val="[Spt-BH.xls][Spt-BH.xls]B__5154"/>
      <sheetName val="[Spt-BH.xls][Spt-BH.xls]_S_1784"/>
      <sheetName val="[Spt-BH.xls][Spt-BH_xls]B__4947"/>
      <sheetName val="[Spt-BH.xls][Spt-BH_xls]B__4948"/>
      <sheetName val="[Spt-BH.xls][Spt-BH_xls]B__4949"/>
      <sheetName val="[Spt-BH.xls][Spt-BH_xls]B__4950"/>
      <sheetName val="[Spt-BH.xls][Spt-BH_xls]_S_1637"/>
      <sheetName val="[Spt-BH.xls][Spt-BH_xls]B__4951"/>
      <sheetName val="[Spt-BH.xls][Spt-BH_xls]B__4952"/>
      <sheetName val="[Spt-BH.xls][Spt-BH_xls]B__4953"/>
      <sheetName val="[Spt-BH.xls][Spt-BH_xls]_S_1638"/>
      <sheetName val="[Spt-BH.xls][Spt-BH_xls]B__4954"/>
      <sheetName val="[Spt-BH.xls][Spt-BH_xls]B__4955"/>
      <sheetName val="[Spt-BH.xls][Spt-BH_xls]B__4956"/>
      <sheetName val="[Spt-BH.xls][Spt-BH_xls]B__4957"/>
      <sheetName val="[Spt-BH.xls][Spt-BH_xls]_S_1639"/>
      <sheetName val="[Spt-BH.xls][Spt-BH_xls]B__4958"/>
      <sheetName val="[Spt-BH.xls][Spt-BH_xls]B__4959"/>
      <sheetName val="[Spt-BH.xls][Spt-BH_xls]_S_1640"/>
      <sheetName val="[Spt-BH.xls][Spt-BH_xls]B__4960"/>
      <sheetName val="[Spt-BH.xls][Spt-BH_xls]B__4961"/>
      <sheetName val="[Spt-BH.xls][Spt-BH_xls]_S_1641"/>
      <sheetName val="[Spt-BH.xls][Spt-BH.xls]_S_1785"/>
      <sheetName val="[Spt-BH.xls][Spt-BH.xls]B__5161"/>
      <sheetName val="[Spt-BH.xls][Spt-BH.xls]B__5162"/>
      <sheetName val="[Spt-BH.xls][Spt-BH.xls]B__5163"/>
      <sheetName val="[Spt-BH.xls][Spt-BH.xls]B__5164"/>
      <sheetName val="[Spt-BH.xls][Spt-BH.xls]B__5165"/>
      <sheetName val="[Spt-BH.xls][Spt-BH.xls]B__5166"/>
      <sheetName val="[Spt-BH.xls][Spt-BH.xls]_S_1786"/>
      <sheetName val="[Spt-BH.xls]B____x005f_x0004______415"/>
      <sheetName val="[Spt-BH.xls]B___x005f_x0000__x000_409"/>
      <sheetName val="[Spt-BH.xls][Spt-BH.xls]B__5167"/>
      <sheetName val="[Spt-BH.xls][Spt-BH_xls]B__4962"/>
      <sheetName val="[Spt-BH.xls][Spt-BH_xls]B__4963"/>
      <sheetName val="[Spt-BH.xls][Spt-BH_xls]B__4964"/>
      <sheetName val="[Spt-BH.xls][Spt-BH_xls]B__4965"/>
      <sheetName val="[Spt-BH.xls][Spt-BH_xls]_S_1642"/>
      <sheetName val="[Spt-BH.xls][Spt-BH_xls]B__4966"/>
      <sheetName val="[Spt-BH.xls][Spt-BH_xls]B__4967"/>
      <sheetName val="[Spt-BH.xls][Spt-BH_xls]B__4968"/>
      <sheetName val="[Spt-BH.xls][Spt-BH_xls]_S_1643"/>
      <sheetName val="[Spt-BH.xls][Spt-BH_xls]B__4969"/>
      <sheetName val="[Spt-BH.xls][Spt-BH_xls]B__4970"/>
      <sheetName val="[Spt-BH.xls][Spt-BH_xls]B__4971"/>
      <sheetName val="[Spt-BH.xls][Spt-BH_xls]B__4972"/>
      <sheetName val="[Spt-BH.xls][Spt-BH_xls]_S_1644"/>
      <sheetName val="[Spt-BH.xls][Spt-BH_xls]B__4973"/>
      <sheetName val="[Spt-BH.xls][Spt-BH_xls]B__4974"/>
      <sheetName val="[Spt-BH.xls][Spt-BH_xls]_S_1645"/>
      <sheetName val="[Spt-BH.xls][Spt-BH_xls]B__4975"/>
      <sheetName val="[Spt-BH.xls][Spt-BH_xls]B__4976"/>
      <sheetName val="[Spt-BH.xls][Spt-BH_xls]_S_1646"/>
      <sheetName val="[Spt-BH.xls][Spt-BH.xls]_S_1791"/>
      <sheetName val="[Spt-BH.xls][Spt-BH.xls]_S_1793"/>
      <sheetName val="[Spt-BH.xls][Spt-BH.xls]B__5181"/>
      <sheetName val="[Spt-BH.xls][Spt-BH.xls]B__5182"/>
      <sheetName val="[Spt-BH.xls][Spt-BH.xls]_S_1797"/>
      <sheetName val="[Spt-BH.xls][Spt-BH.xls]B__5183"/>
      <sheetName val="[Spt-BH.xls][Spt-BH.xls]B__5184"/>
      <sheetName val="[Spt-BH.xls][Spt-BH.xls]B__5185"/>
      <sheetName val="[Spt-BH.xls][Spt-BH.xls]B__5186"/>
      <sheetName val="[Spt-BH.xls][Spt-BH.xls]_S_1794"/>
      <sheetName val="[Spt-BH.xls][Spt-BH.xls]B__5194"/>
      <sheetName val="[Spt-BH.xls][Spt-BH.xls]B__5195"/>
      <sheetName val="[Spt-BH.xls][Spt-BH.xls]_S_1799"/>
      <sheetName val="[Spt-BH.xls][Spt-BH.xls]B__5196"/>
      <sheetName val="[Spt-BH.xls][Spt-BH.xls]B__5197"/>
      <sheetName val="[Spt-BH.xls]B____x005f_x0004______417"/>
      <sheetName val="[Spt-BH.xls]B___x005f_x0000__x000_411"/>
      <sheetName val="[Spt-BH.xls][Spt-BH.xls]B__5198"/>
      <sheetName val="[Spt-BH.xls][Spt-BH.xls]B__5199"/>
      <sheetName val="[Spt-BH.xls][Spt-BH.xls]B__5187"/>
      <sheetName val="[Spt-BH.xls][Spt-BH.xls]_S_1798"/>
      <sheetName val="[Spt-BH.xls][Spt-BH_xls]B__4992"/>
      <sheetName val="[Spt-BH.xls][Spt-BH_xls]B__4993"/>
      <sheetName val="[Spt-BH.xls][Spt-BH_xls]B__4994"/>
      <sheetName val="[Spt-BH.xls][Spt-BH_xls]B__4995"/>
      <sheetName val="[Spt-BH.xls][Spt-BH_xls]_S_1652"/>
      <sheetName val="[Spt-BH.xls][Spt-BH_xls]B__4996"/>
      <sheetName val="[Spt-BH.xls][Spt-BH_xls]B__4997"/>
      <sheetName val="[Spt-BH.xls][Spt-BH_xls]B__4998"/>
      <sheetName val="[Spt-BH.xls][Spt-BH_xls]_S_1653"/>
      <sheetName val="[Spt-BH.xls][Spt-BH_xls]B__4999"/>
      <sheetName val="[Spt-BH.xls][Spt-BH_xls]B__5000"/>
      <sheetName val="[Spt-BH.xls][Spt-BH_xls]B__5001"/>
      <sheetName val="[Spt-BH.xls][Spt-BH_xls]B__5002"/>
      <sheetName val="[Spt-BH.xls][Spt-BH_xls]_S_1654"/>
      <sheetName val="[Spt-BH.xls][Spt-BH_xls]B__5003"/>
      <sheetName val="[Spt-BH.xls][Spt-BH_xls]B__5004"/>
      <sheetName val="[Spt-BH.xls][Spt-BH_xls]_S_1655"/>
      <sheetName val="[Spt-BH.xls][Spt-BH_xls]B__5005"/>
      <sheetName val="[Spt-BH.xls][Spt-BH_xls]B__5006"/>
      <sheetName val="[Spt-BH.xls][Spt-BH_xls]_S_1656"/>
      <sheetName val="[Spt-BH.xls][Spt-BH.xls]_S_1795"/>
      <sheetName val="[Spt-BH.xls][Spt-BH.xls]B__5188"/>
      <sheetName val="[Spt-BH.xls][Spt-BH.xls]B__5189"/>
      <sheetName val="[Spt-BH.xls][Spt-BH.xls]B__5190"/>
      <sheetName val="[Spt-BH.xls][Spt-BH.xls]B__5191"/>
      <sheetName val="[Spt-BH.xls][Spt-BH.xls]B__5192"/>
      <sheetName val="[Spt-BH.xls][Spt-BH.xls]B__5193"/>
      <sheetName val="[Spt-BH.xls][Spt-BH.xls]_S_1796"/>
      <sheetName val="[Spt-BH.xls][Spt-BH.xls]_S_1800"/>
      <sheetName val="[Spt-BH.xls][Spt-BH.xls]B__5200"/>
      <sheetName val="[Spt-BH.xls][Spt-BH.xls]B__5201"/>
      <sheetName val="[Spt-BH.xls][Spt-BH.xls]B__5202"/>
      <sheetName val="[Spt-BH.xls][Spt-BH.xls]B__5203"/>
      <sheetName val="[Spt-BH.xls][Spt-BH.xls]B__5204"/>
      <sheetName val="[Spt-BH.xls][Spt-BH.xls]B__5205"/>
      <sheetName val="[Spt-BH.xls][Spt-BH.xls]_S_1801"/>
      <sheetName val="[Spt-BH.xls]B____x005f_x0004______418"/>
      <sheetName val="[Spt-BH.xls]B___x005f_x0000__x000_412"/>
      <sheetName val="[Spt-BH.xls][Spt-BH.xls]B__5206"/>
      <sheetName val="[Spt-BH.xls][Spt-BH.xls]_S_1803"/>
      <sheetName val="[Spt-BH.xls][Spt-BH_xls]B__5007"/>
      <sheetName val="[Spt-BH.xls][Spt-BH_xls]B__5008"/>
      <sheetName val="[Spt-BH.xls][Spt-BH_xls]B__5009"/>
      <sheetName val="[Spt-BH.xls][Spt-BH_xls]B__5010"/>
      <sheetName val="[Spt-BH.xls][Spt-BH_xls]_S_1657"/>
      <sheetName val="[Spt-BH.xls][Spt-BH_xls]B__5011"/>
      <sheetName val="[Spt-BH.xls][Spt-BH_xls]B__5012"/>
      <sheetName val="[Spt-BH.xls][Spt-BH_xls]B__5013"/>
      <sheetName val="[Spt-BH.xls][Spt-BH_xls]_S_1658"/>
      <sheetName val="[Spt-BH.xls][Spt-BH_xls]B__5014"/>
      <sheetName val="[Spt-BH.xls][Spt-BH_xls]B__5015"/>
      <sheetName val="[Spt-BH.xls][Spt-BH_xls]B__5016"/>
      <sheetName val="[Spt-BH.xls][Spt-BH_xls]B__5017"/>
      <sheetName val="[Spt-BH.xls][Spt-BH_xls]_S_1659"/>
      <sheetName val="[Spt-BH.xls][Spt-BH_xls]B__5018"/>
      <sheetName val="[Spt-BH.xls][Spt-BH_xls]B__5019"/>
      <sheetName val="[Spt-BH.xls][Spt-BH_xls]_S_1660"/>
      <sheetName val="[Spt-BH.xls][Spt-BH_xls]B__5020"/>
      <sheetName val="[Spt-BH.xls][Spt-BH_xls]B__5021"/>
      <sheetName val="[Spt-BH.xls][Spt-BH_xls]_S_1661"/>
      <sheetName val="[Spt-BH.xls][Spt-BH_xls]B__5033"/>
      <sheetName val="[Spt-BH.xls][Spt-BH_xls]B__5034"/>
      <sheetName val="[Spt-BH.xls][Spt-BH_xls]_S_1665"/>
      <sheetName val="[Spt-BH.xls][Spt-BH_xls]B__5035"/>
      <sheetName val="[Spt-BH.xls][Spt-BH_xls]B__5036"/>
      <sheetName val="[Spt-BH.xls][Spt-BH_xls]_S_1666"/>
      <sheetName val="[Spt-BH.xls][Spt-BH_xls]B__5063"/>
      <sheetName val="[Spt-BH.xls][Spt-BH_xls]B__5064"/>
      <sheetName val="[Spt-BH.xls][Spt-BH_xls]_S_1675"/>
      <sheetName val="[Spt-BH.xls][Spt-BH_xls]B__5065"/>
      <sheetName val="[Spt-BH.xls][Spt-BH_xls]B__5066"/>
      <sheetName val="[Spt-BH.xls][Spt-BH_xls]_S_1676"/>
      <sheetName val="[Spt-BH.xls]B____x005f_x0004______420"/>
      <sheetName val="[Spt-BH.xls]B___x005f_x0000__x000_414"/>
      <sheetName val="[Spt-BH.xls][Spt-BH_xls]B__5037"/>
      <sheetName val="[Spt-BH.xls][Spt-BH_xls]B__5038"/>
      <sheetName val="[Spt-BH.xls][Spt-BH_xls]B__5039"/>
      <sheetName val="[Spt-BH.xls][Spt-BH_xls]B__5040"/>
      <sheetName val="[Spt-BH.xls][Spt-BH_xls]_S_1667"/>
      <sheetName val="[Spt-BH.xls][Spt-BH_xls]B__5041"/>
      <sheetName val="[Spt-BH.xls][Spt-BH_xls]B__5042"/>
      <sheetName val="[Spt-BH.xls][Spt-BH_xls]B__5043"/>
      <sheetName val="[Spt-BH.xls][Spt-BH_xls]_S_1668"/>
      <sheetName val="[Spt-BH.xls][Spt-BH_xls]B__5044"/>
      <sheetName val="[Spt-BH.xls][Spt-BH_xls]B__5045"/>
      <sheetName val="[Spt-BH.xls][Spt-BH_xls]B__5046"/>
      <sheetName val="[Spt-BH.xls][Spt-BH_xls]B__5047"/>
      <sheetName val="[Spt-BH.xls][Spt-BH_xls]_S_1669"/>
      <sheetName val="[Spt-BH.xls][Spt-BH.xls]B__5214"/>
      <sheetName val="[Spt-BH.xls][Spt-BH.xls]B__5215"/>
      <sheetName val="[Spt-BH.xls][Spt-BH.xls]B__5216"/>
      <sheetName val="[Spt-BH.xls][Spt-BH.xls]B__5217"/>
      <sheetName val="[Spt-BH.xls][Spt-BH.xls]_S_1804"/>
      <sheetName val="[Spt-BH.xls][Spt-BH.xls]B__5218"/>
      <sheetName val="[Spt-BH.xls][Spt-BH.xls]B__5219"/>
      <sheetName val="[Spt-BH.xls][Spt-BH.xls]B__5220"/>
      <sheetName val="[Spt-BH.xls][Spt-BH.xls]_S_1805"/>
      <sheetName val="[Spt-BH.xls][Spt-BH_xls]B__5048"/>
      <sheetName val="[Spt-BH.xls][Spt-BH_xls]B__5049"/>
      <sheetName val="[Spt-BH.xls][Spt-BH_xls]_S_1670"/>
      <sheetName val="[Spt-BH.xls][Spt-BH_xls]B__5050"/>
      <sheetName val="[Spt-BH.xls][Spt-BH_xls]B__5051"/>
      <sheetName val="[Spt-BH.xls][Spt-BH_xls]_S_1671"/>
      <sheetName val="[Spt-BH.xls][Spt-BH.xls]B__5234"/>
      <sheetName val="[Spt-BH.xls][Spt-BH.xls]B__5235"/>
      <sheetName val="[Spt-BH.xls][Spt-BH.xls]_S_1812"/>
      <sheetName val="[Spt-BH.xls][Spt-BH.xls]B__5236"/>
      <sheetName val="[Spt-BH.xls][Spt-BH.xls]B__5237"/>
      <sheetName val="[Spt-BH.xls]B____x005f_x0004______422"/>
      <sheetName val="[Spt-BH.xls][Spt-BH.xls]B__5238"/>
      <sheetName val="[Spt-BH.xls][Spt-BH.xls]B__5239"/>
      <sheetName val="[Spt-BH.xls][Spt-BH.xls]_S_1811"/>
      <sheetName val="[Spt-BH.xls][Spt-BH.xls]B__5241"/>
      <sheetName val="[Spt-BH.xls][Spt-BH.xls]B__5242"/>
      <sheetName val="[Spt-BH.xls][Spt-BH.xls]_S_1814"/>
      <sheetName val="[Spt-BH.xls][Spt-BH.xls]B__5243"/>
      <sheetName val="[Spt-BH.xls][Spt-BH.xls]B__5244"/>
      <sheetName val="[Spt-BH.xls]B____x005f_x0004______423"/>
      <sheetName val="[Spt-BH.xls]B___x005f_x0000__x000_416"/>
      <sheetName val="[Spt-BH.xls][Spt-BH.xls]B__5245"/>
      <sheetName val="[Spt-BH.xls][Spt-BH.xls]B__5246"/>
      <sheetName val="[Spt-BH.xls][Spt-BH.xls]B__5240"/>
      <sheetName val="[Spt-BH.xls][Spt-BH.xls]_S_1813"/>
      <sheetName val="[Spt-BH.xls][Spt-BH_xls]B__5067"/>
      <sheetName val="[Spt-BH.xls][Spt-BH_xls]B__5068"/>
      <sheetName val="[Spt-BH.xls][Spt-BH_xls]B__5069"/>
      <sheetName val="[Spt-BH.xls][Spt-BH_xls]B__5070"/>
      <sheetName val="[Spt-BH.xls][Spt-BH_xls]_S_1677"/>
      <sheetName val="[Spt-BH.xls][Spt-BH_xls]B__5071"/>
      <sheetName val="[Spt-BH.xls][Spt-BH_xls]B__5072"/>
      <sheetName val="[Spt-BH.xls][Spt-BH_xls]B__5073"/>
      <sheetName val="[Spt-BH.xls][Spt-BH_xls]_S_1678"/>
      <sheetName val="[Spt-BH.xls][Spt-BH_xls]B__5074"/>
      <sheetName val="[Spt-BH.xls][Spt-BH_xls]B__5075"/>
      <sheetName val="[Spt-BH.xls][Spt-BH_xls]B__5076"/>
      <sheetName val="[Spt-BH.xls][Spt-BH_xls]B__5077"/>
      <sheetName val="[Spt-BH.xls][Spt-BH_xls]_S_1679"/>
      <sheetName val="[Spt-BH.xls][Spt-BH_xls]B__5078"/>
      <sheetName val="[Spt-BH.xls][Spt-BH_xls]B__5079"/>
      <sheetName val="[Spt-BH.xls][Spt-BH_xls]_S_1680"/>
      <sheetName val="[Spt-BH.xls][Spt-BH_xls]B__5080"/>
      <sheetName val="[Spt-BH.xls][Spt-BH_xls]B__5081"/>
      <sheetName val="[Spt-BH.xls][Spt-BH_xls]_S_1681"/>
      <sheetName val="[Spt-BH.xls][Spt-BH.xls]B__5779"/>
      <sheetName val="[Spt-BH.xls][Spt-BH.xls]B__5780"/>
      <sheetName val="[Spt-BH.xls][Spt-BH.xls]_S_2015"/>
      <sheetName val="[Spt-BH.xls][Spt-BH.xls]B__5781"/>
      <sheetName val="[Spt-BH.xls][Spt-BH.xls]B__5782"/>
      <sheetName val="[Spt-BH.xls][Spt-BH.xls]B__5786"/>
      <sheetName val="[Spt-BH.xls][Spt-BH.xls]B__5787"/>
      <sheetName val="[Spt-BH.xls][Spt-BH.xls]_S_2040"/>
      <sheetName val="[Spt-BH.xls][Spt-BH.xls]B__5788"/>
      <sheetName val="[Spt-BH.xls][Spt-BH.xls]B__5789"/>
      <sheetName val="[Spt-BH.xls]B____x005f_x0004______471"/>
      <sheetName val="[Spt-BH.xls][Spt-BH.xls]B__5783"/>
      <sheetName val="[Spt-BH.xls][Spt-BH.xls]_S_2013"/>
      <sheetName val="[Spt-BH.xls][Spt-BH.xls]B__5784"/>
      <sheetName val="[Spt-BH.xls]B___x005f_x0000__x000_463"/>
      <sheetName val="[Spt-BH.xls][Spt-BH.xls]B__5790"/>
      <sheetName val="[Spt-BH.xls][Spt-BH.xls]B__5791"/>
      <sheetName val="[Spt-BH.xls][Spt-BH.xls]B__5785"/>
      <sheetName val="[Spt-BH.xls][Spt-BH.xls]_S_2016"/>
      <sheetName val="[Spt-BH.xls][Spt-BH_xls]B__5772"/>
      <sheetName val="[Spt-BH.xls][Spt-BH_xls]B__5773"/>
      <sheetName val="[Spt-BH.xls][Spt-BH_xls]B__5774"/>
      <sheetName val="[Spt-BH.xls][Spt-BH_xls]B__5775"/>
      <sheetName val="[Spt-BH.xls][Spt-BH_xls]_S_1912"/>
      <sheetName val="[Spt-BH.xls][Spt-BH_xls]B__5776"/>
      <sheetName val="[Spt-BH.xls][Spt-BH_xls]B__5777"/>
      <sheetName val="[Spt-BH.xls][Spt-BH_xls]B__5778"/>
      <sheetName val="[Spt-BH.xls][Spt-BH_xls]_S_1913"/>
      <sheetName val="[Spt-BH.xls][Spt-BH_xls]B__5779"/>
      <sheetName val="[Spt-BH.xls][Spt-BH_xls]B__5780"/>
      <sheetName val="[Spt-BH.xls][Spt-BH_xls]B__5781"/>
      <sheetName val="[Spt-BH.xls][Spt-BH_xls]B__5782"/>
      <sheetName val="[Spt-BH.xls][Spt-BH_xls]_S_1914"/>
      <sheetName val="[Spt-BH.xls][Spt-BH.xls]_S_2014"/>
      <sheetName val="[Spt-BH.xls][Spt-BH.xls]_S_1837"/>
      <sheetName val="[Spt-BH.xls][Spt-BH.xls]B__5271"/>
      <sheetName val="[Spt-BH.xls][Spt-BH.xls]B__5272"/>
      <sheetName val="[Spt-BH.xls][Spt-BH.xls]_S_1839"/>
      <sheetName val="[Spt-BH.xls][Spt-BH.xls]B__5273"/>
      <sheetName val="[Spt-BH.xls][Spt-BH.xls]B__5274"/>
      <sheetName val="[Spt-BH.xls][Spt-BH.xls]B__5275"/>
      <sheetName val="[Spt-BH.xls][Spt-BH.xls]B__5276"/>
      <sheetName val="[Spt-BH.xls][Spt-BH.xls]_S_1838"/>
      <sheetName val="[Spt-BH.xls][Spt-BH.xls]B__5265"/>
      <sheetName val="[Spt-BH.xls][Spt-BH.xls]B__5266"/>
      <sheetName val="[Spt-BH.xls][Spt-BH.xls]B__5267"/>
      <sheetName val="[Spt-BH.xls][Spt-BH.xls]B__5268"/>
      <sheetName val="[Spt-BH.xls][Spt-BH.xls]_S_1835"/>
      <sheetName val="[Spt-BH.xls][Spt-BH.xls]B__5269"/>
      <sheetName val="[Spt-BH.xls][Spt-BH.xls]B__5270"/>
      <sheetName val="[Spt-BH.xls][Spt-BH.xls]_S_1836"/>
      <sheetName val="[Spt-BH.xls][Spt-BH.xls]_S_1822"/>
      <sheetName val="[Spt-BH.xls][Spt-BH.xls]_S_1824"/>
      <sheetName val="[Spt-BH.xls][Spt-BH.xls]_S_1823"/>
      <sheetName val="[Spt-BH.xls][Spt-BH.xls]_S_1826"/>
      <sheetName val="[Spt-BH.xls][Spt-BH.xls]_S_1825"/>
      <sheetName val="[Spt-BH.xls][Spt-BH.xls]_S_1815"/>
      <sheetName val="[Spt-BH.xls][Spt-BH.xls]_S_1820"/>
      <sheetName val="[Spt-BH.xls][Spt-BH.xls]_S_1821"/>
      <sheetName val="[Spt-BH.xls][Spt-BH.xls]_S_1816"/>
      <sheetName val="[Spt-BH.xls][Spt-BH.xls]_S_1817"/>
      <sheetName val="[Spt-BH.xls][Spt-BH.xls]_S_1818"/>
      <sheetName val="[Spt-BH.xls][Spt-BH.xls]_S_1819"/>
      <sheetName val="[Spt-BH.xls][Spt-BH.xls]_S_1830"/>
      <sheetName val="[Spt-BH.xls][Spt-BH.xls]B__5247"/>
      <sheetName val="[Spt-BH.xls][Spt-BH.xls]B__5248"/>
      <sheetName val="[Spt-BH.xls][Spt-BH.xls]B__5249"/>
      <sheetName val="[Spt-BH.xls][Spt-BH.xls]B__5250"/>
      <sheetName val="[Spt-BH.xls][Spt-BH.xls]_S_1827"/>
      <sheetName val="[Spt-BH.xls][Spt-BH.xls]B__5257"/>
      <sheetName val="[Spt-BH.xls][Spt-BH.xls]B__5258"/>
      <sheetName val="[Spt-BH.xls][Spt-BH.xls]_S_1834"/>
      <sheetName val="[Spt-BH.xls][Spt-BH.xls]B__5259"/>
      <sheetName val="[Spt-BH.xls][Spt-BH.xls]B__5260"/>
      <sheetName val="[Spt-BH.xls][Spt-BH.xls]B__5261"/>
      <sheetName val="[Spt-BH.xls][Spt-BH.xls]B__5262"/>
      <sheetName val="[Spt-BH.xls][Spt-BH.xls]_S_1831"/>
      <sheetName val="[Spt-BH.xls][Spt-BH.xls]_S_1828"/>
      <sheetName val="[Spt-BH.xls][Spt-BH.xls]B__5251"/>
      <sheetName val="[Spt-BH.xls][Spt-BH.xls]B__5252"/>
      <sheetName val="[Spt-BH.xls][Spt-BH.xls]B__5253"/>
      <sheetName val="[Spt-BH.xls][Spt-BH.xls]B__5254"/>
      <sheetName val="[Spt-BH.xls][Spt-BH.xls]B__5255"/>
      <sheetName val="[Spt-BH.xls][Spt-BH.xls]B__5256"/>
      <sheetName val="[Spt-BH.xls][Spt-BH.xls]_S_1829"/>
      <sheetName val="[Spt-BH.xls][Spt-BH.xls]_S_1832"/>
      <sheetName val="[Spt-BH.xls][Spt-BH.xls]B__5263"/>
      <sheetName val="[Spt-BH.xls][Spt-BH.xls]B__5264"/>
      <sheetName val="[Spt-BH.xls][Spt-BH.xls]_S_1833"/>
      <sheetName val="[Spt-BH.xls][Spt-BH_xls]B__5783"/>
      <sheetName val="[Spt-BH.xls][Spt-BH_xls]B__5784"/>
      <sheetName val="[Spt-BH.xls][Spt-BH_xls]_S_1915"/>
      <sheetName val="[Spt-BH.xls][Spt-BH_xls]B__5785"/>
      <sheetName val="[Spt-BH.xls][Spt-BH_xls]B__5786"/>
      <sheetName val="[Spt-BH.xls][Spt-BH_xls]_S_1916"/>
      <sheetName val="[Spt-BH.xls][Spt-BH.xls]B__5284"/>
      <sheetName val="[Spt-BH.xls][Spt-BH.xls]B__5285"/>
      <sheetName val="[Spt-BH.xls][Spt-BH.xls]_S_1847"/>
      <sheetName val="[Spt-BH.xls][Spt-BH.xls]B__5286"/>
      <sheetName val="[Spt-BH.xls][Spt-BH.xls]B__5287"/>
      <sheetName val="[Spt-BH.xls][Spt-BH.xls]B__5297"/>
      <sheetName val="[Spt-BH.xls][Spt-BH.xls]B__5298"/>
      <sheetName val="[Spt-BH.xls][Spt-BH.xls]B__5299"/>
      <sheetName val="[Spt-BH.xls][Spt-BH.xls]B__5300"/>
      <sheetName val="[Spt-BH.xls][Spt-BH.xls]B__5288"/>
      <sheetName val="[Spt-BH.xls][Spt-BH.xls]_S_1842"/>
      <sheetName val="[Spt-BH.xls][Spt-BH.xls]B__5289"/>
      <sheetName val="[Spt-BH.xls][Spt-BH.xls]B__5301"/>
      <sheetName val="[Spt-BH.xls][Spt-BH.xls]B__5302"/>
      <sheetName val="[Spt-BH.xls][Spt-BH.xls]B__5290"/>
      <sheetName val="[Spt-BH.xls][Spt-BH.xls]_S_1848"/>
      <sheetName val="[Spt-BH.xls][Spt-BH.xls]_S_1843"/>
      <sheetName val="[Spt-BH.xls][Spt-BH.xls]B__5277"/>
      <sheetName val="[Spt-BH.xls][Spt-BH.xls]B__5278"/>
      <sheetName val="[Spt-BH.xls][Spt-BH.xls]B__5279"/>
      <sheetName val="[Spt-BH.xls][Spt-BH.xls]B__5280"/>
      <sheetName val="[Spt-BH.xls][Spt-BH.xls]B__5281"/>
      <sheetName val="[Spt-BH.xls][Spt-BH.xls]_S_1840"/>
      <sheetName val="[Spt-BH.xls][Spt-BH.xls]B__5282"/>
      <sheetName val="[Spt-BH.xls][Spt-BH.xls]B__5283"/>
      <sheetName val="[Spt-BH.xls][Spt-BH.xls]_S_1841"/>
      <sheetName val="[Spt-BH.xls][Spt-BH.xls]_S_1844"/>
      <sheetName val="[Spt-BH.xls][Spt-BH.xls]B__5291"/>
      <sheetName val="[Spt-BH.xls][Spt-BH.xls]B__5292"/>
      <sheetName val="[Spt-BH.xls][Spt-BH.xls]_S_1846"/>
      <sheetName val="[Spt-BH.xls][Spt-BH.xls]B__5293"/>
      <sheetName val="[Spt-BH.xls][Spt-BH.xls]B__5294"/>
      <sheetName val="[Spt-BH.xls][Spt-BH.xls]B__5295"/>
      <sheetName val="[Spt-BH.xls][Spt-BH.xls]B__5296"/>
      <sheetName val="[Spt-BH.xls][Spt-BH.xls]_S_1845"/>
      <sheetName val="[Spt-BH.xls]B____x005f_x0004______424"/>
      <sheetName val="[Spt-BH.xls]B___x005f_x0000__x000_417"/>
      <sheetName val="[Spt-BH.xls][Spt-BH_xls]B__5082"/>
      <sheetName val="[Spt-BH.xls][Spt-BH_xls]B__5083"/>
      <sheetName val="[Spt-BH.xls][Spt-BH_xls]B__5084"/>
      <sheetName val="[Spt-BH.xls][Spt-BH_xls]B__5085"/>
      <sheetName val="[Spt-BH.xls][Spt-BH_xls]_S_1682"/>
      <sheetName val="[Spt-BH.xls][Spt-BH_xls]B__5086"/>
      <sheetName val="[Spt-BH.xls][Spt-BH_xls]B__5087"/>
      <sheetName val="[Spt-BH.xls][Spt-BH_xls]B__5088"/>
      <sheetName val="[Spt-BH.xls][Spt-BH_xls]_S_1683"/>
      <sheetName val="[Spt-BH.xls][Spt-BH_xls]B__5089"/>
      <sheetName val="[Spt-BH.xls][Spt-BH_xls]B__5090"/>
      <sheetName val="[Spt-BH.xls][Spt-BH_xls]B__5091"/>
      <sheetName val="[Spt-BH.xls][Spt-BH_xls]B__5092"/>
      <sheetName val="[Spt-BH.xls][Spt-BH_xls]_S_1684"/>
      <sheetName val="[Spt-BH.xls][Spt-BH_xls]B__5093"/>
      <sheetName val="[Spt-BH.xls][Spt-BH_xls]B__5094"/>
      <sheetName val="[Spt-BH.xls][Spt-BH_xls]_S_1685"/>
      <sheetName val="[Spt-BH.xls][Spt-BH_xls]B__5095"/>
      <sheetName val="[Spt-BH.xls][Spt-BH_xls]B__5096"/>
      <sheetName val="[Spt-BH.xls][Spt-BH_xls]_S_1686"/>
      <sheetName val="[Spt-BH.xls]B____x005f_x0004______425"/>
      <sheetName val="[Spt-BH.xls]B___x005f_x0000__x000_418"/>
      <sheetName val="[Spt-BH.xls][Spt-BH_xls]B__5097"/>
      <sheetName val="[Spt-BH.xls][Spt-BH_xls]B__5098"/>
      <sheetName val="[Spt-BH.xls][Spt-BH_xls]B__5099"/>
      <sheetName val="[Spt-BH.xls][Spt-BH_xls]B__5100"/>
      <sheetName val="[Spt-BH.xls][Spt-BH_xls]_S_1687"/>
      <sheetName val="[Spt-BH.xls][Spt-BH_xls]B__5101"/>
      <sheetName val="[Spt-BH.xls][Spt-BH_xls]B__5102"/>
      <sheetName val="[Spt-BH.xls][Spt-BH_xls]B__5103"/>
      <sheetName val="[Spt-BH.xls][Spt-BH_xls]_S_1688"/>
      <sheetName val="[Spt-BH.xls][Spt-BH_xls]B__5104"/>
      <sheetName val="[Spt-BH.xls][Spt-BH_xls]B__5105"/>
      <sheetName val="[Spt-BH.xls][Spt-BH_xls]B__5106"/>
      <sheetName val="[Spt-BH.xls][Spt-BH_xls]B__5107"/>
      <sheetName val="[Spt-BH.xls][Spt-BH_xls]_S_1689"/>
      <sheetName val="[Spt-BH.xls][Spt-BH_xls]B__5108"/>
      <sheetName val="[Spt-BH.xls][Spt-BH_xls]B__5109"/>
      <sheetName val="[Spt-BH.xls][Spt-BH_xls]_S_1690"/>
      <sheetName val="[Spt-BH.xls][Spt-BH_xls]B__5110"/>
      <sheetName val="[Spt-BH.xls][Spt-BH_xls]B__5111"/>
      <sheetName val="[Spt-BH.xls][Spt-BH_xls]_S_1691"/>
      <sheetName val="[Spt-BH.xls][Spt-BH.xls]_S_1882"/>
      <sheetName val="[Spt-BH.xls][Spt-BH.xls]B__5400"/>
      <sheetName val="[Spt-BH.xls][Spt-BH.xls]B__5401"/>
      <sheetName val="[Spt-BH.xls][Spt-BH.xls]_S_1884"/>
      <sheetName val="[Spt-BH.xls][Spt-BH.xls]B__5402"/>
      <sheetName val="[Spt-BH.xls][Spt-BH.xls]B__5403"/>
      <sheetName val="[Spt-BH.xls][Spt-BH.xls]B__5404"/>
      <sheetName val="[Spt-BH.xls][Spt-BH.xls]B__5405"/>
      <sheetName val="[Spt-BH.xls][Spt-BH.xls]_S_1883"/>
      <sheetName val="[Spt-BH.xls][Spt-BH.xls]B__5407"/>
      <sheetName val="[Spt-BH.xls][Spt-BH.xls]B__5408"/>
      <sheetName val="[Spt-BH.xls][Spt-BH.xls]_S_1886"/>
      <sheetName val="[Spt-BH.xls][Spt-BH.xls]B__5409"/>
      <sheetName val="[Spt-BH.xls][Spt-BH.xls]B__5410"/>
      <sheetName val="[Spt-BH.xls]B____x005f_x0004______434"/>
      <sheetName val="[Spt-BH.xls]B___x005f_x0000__x000_426"/>
      <sheetName val="[Spt-BH.xls][Spt-BH.xls]B__5411"/>
      <sheetName val="[Spt-BH.xls][Spt-BH.xls]B__5412"/>
      <sheetName val="[Spt-BH.xls][Spt-BH.xls]B__5406"/>
      <sheetName val="[Spt-BH.xls][Spt-BH.xls]_S_1885"/>
      <sheetName val="[Spt-BH.xls][Spt-BH_xls]B__5217"/>
      <sheetName val="[Spt-BH.xls][Spt-BH_xls]B__5218"/>
      <sheetName val="[Spt-BH.xls][Spt-BH_xls]B__5219"/>
      <sheetName val="[Spt-BH.xls][Spt-BH_xls]B__5220"/>
      <sheetName val="[Spt-BH.xls][Spt-BH_xls]_S_1727"/>
      <sheetName val="[Spt-BH.xls][Spt-BH_xls]B__5221"/>
      <sheetName val="[Spt-BH.xls][Spt-BH_xls]B__5222"/>
      <sheetName val="[Spt-BH.xls][Spt-BH_xls]B__5223"/>
      <sheetName val="[Spt-BH.xls][Spt-BH_xls]_S_1728"/>
      <sheetName val="[Spt-BH.xls][Spt-BH_xls]B__5224"/>
      <sheetName val="[Spt-BH.xls][Spt-BH_xls]B__5225"/>
      <sheetName val="[Spt-BH.xls][Spt-BH_xls]B__5226"/>
      <sheetName val="[Spt-BH.xls][Spt-BH_xls]B__5227"/>
      <sheetName val="[Spt-BH.xls][Spt-BH_xls]_S_1729"/>
      <sheetName val="[Spt-BH.xls][Spt-BH_xls]B__5228"/>
      <sheetName val="[Spt-BH.xls][Spt-BH_xls]B__5229"/>
      <sheetName val="[Spt-BH.xls][Spt-BH_xls]_S_1730"/>
      <sheetName val="[Spt-BH.xls][Spt-BH_xls]B__5230"/>
      <sheetName val="[Spt-BH.xls][Spt-BH_xls]B__5231"/>
      <sheetName val="[Spt-BH.xls][Spt-BH_xls]_S_1731"/>
      <sheetName val="[Spt-BH.xls][Spt-BH.xls]_S_1858"/>
      <sheetName val="[Spt-BH.xls][Spt-BH.xls]B__5327"/>
      <sheetName val="[Spt-BH.xls][Spt-BH.xls]B__5328"/>
      <sheetName val="[Spt-BH.xls][Spt-BH.xls]_S_1860"/>
      <sheetName val="[Spt-BH.xls][Spt-BH.xls]B__5329"/>
      <sheetName val="[Spt-BH.xls][Spt-BH.xls]B__5330"/>
      <sheetName val="[Spt-BH.xls][Spt-BH.xls]B__5331"/>
      <sheetName val="[Spt-BH.xls][Spt-BH.xls]B__5332"/>
      <sheetName val="[Spt-BH.xls][Spt-BH.xls]_S_1859"/>
      <sheetName val="[Spt-BH.xls][Spt-BH.xls]B__5314"/>
      <sheetName val="[Spt-BH.xls][Spt-BH.xls]B__5315"/>
      <sheetName val="[Spt-BH.xls][Spt-BH.xls]_S_1856"/>
      <sheetName val="[Spt-BH.xls][Spt-BH.xls]B__5316"/>
      <sheetName val="[Spt-BH.xls][Spt-BH.xls]_S_1854"/>
      <sheetName val="[Spt-BH.xls][Spt-BH.xls]B__5317"/>
      <sheetName val="[Spt-BH.xls][Spt-BH.xls]B__5318"/>
      <sheetName val="[Spt-BH.xls][Spt-BH.xls]B__5319"/>
      <sheetName val="[Spt-BH.xls][Spt-BH.xls]_S_1855"/>
      <sheetName val="[Spt-BH.xls][Spt-BH.xls]B__5321"/>
      <sheetName val="[Spt-BH.xls][Spt-BH.xls]B__5322"/>
      <sheetName val="[Spt-BH.xls][Spt-BH.xls]B__5323"/>
      <sheetName val="[Spt-BH.xls][Spt-BH.xls]B__5324"/>
      <sheetName val="[Spt-BH.xls]B____x005f_x0004______426"/>
      <sheetName val="[Spt-BH.xls][Spt-BH.xls]B__5325"/>
      <sheetName val="[Spt-BH.xls][Spt-BH.xls]B__5326"/>
      <sheetName val="[Spt-BH.xls][Spt-BH.xls]B__5320"/>
      <sheetName val="[Spt-BH.xls][Spt-BH.xls]_S_1857"/>
      <sheetName val="[Spt-BH.xls][Spt-BH.xls]_S_1851"/>
      <sheetName val="[Spt-BH.xls][Spt-BH.xls]B__5308"/>
      <sheetName val="[Spt-BH.xls][Spt-BH.xls]B__5309"/>
      <sheetName val="[Spt-BH.xls][Spt-BH.xls]_S_1853"/>
      <sheetName val="[Spt-BH.xls][Spt-BH.xls]B__5310"/>
      <sheetName val="[Spt-BH.xls][Spt-BH.xls]B__5311"/>
      <sheetName val="[Spt-BH.xls][Spt-BH.xls]B__5312"/>
      <sheetName val="[Spt-BH.xls][Spt-BH.xls]B__5313"/>
      <sheetName val="[Spt-BH.xls][Spt-BH.xls]_S_1852"/>
      <sheetName val="[Spt-BH.xls][Spt-BH.xls]_S_1849"/>
      <sheetName val="[Spt-BH.xls][Spt-BH.xls]B__5303"/>
      <sheetName val="[Spt-BH.xls][Spt-BH.xls]B__5304"/>
      <sheetName val="[Spt-BH.xls][Spt-BH.xls]B__5305"/>
      <sheetName val="[Spt-BH.xls][Spt-BH.xls]B__5306"/>
      <sheetName val="[Spt-BH.xls][Spt-BH.xls]B__5307"/>
      <sheetName val="[Spt-BH.xls][Spt-BH.xls]_S_1850"/>
      <sheetName val="[Spt-BH.xls][Spt-BH.xls]B__5334"/>
      <sheetName val="[Spt-BH.xls][Spt-BH.xls]B__5335"/>
      <sheetName val="[Spt-BH.xls][Spt-BH.xls]_S_1862"/>
      <sheetName val="[Spt-BH.xls][Spt-BH.xls]B__5336"/>
      <sheetName val="[Spt-BH.xls][Spt-BH.xls]B__5337"/>
      <sheetName val="[Spt-BH.xls]B____x005f_x0004______427"/>
      <sheetName val="[Spt-BH.xls]B___x005f_x0000__x000_419"/>
      <sheetName val="[Spt-BH.xls][Spt-BH.xls]B__5338"/>
      <sheetName val="[Spt-BH.xls][Spt-BH.xls]B__5339"/>
      <sheetName val="[Spt-BH.xls][Spt-BH.xls]B__5333"/>
      <sheetName val="[Spt-BH.xls][Spt-BH.xls]_S_1861"/>
      <sheetName val="[Spt-BH.xls][Spt-BH_xls]B__5112"/>
      <sheetName val="[Spt-BH.xls][Spt-BH_xls]B__5113"/>
      <sheetName val="[Spt-BH.xls][Spt-BH_xls]B__5114"/>
      <sheetName val="[Spt-BH.xls][Spt-BH_xls]B__5115"/>
      <sheetName val="[Spt-BH.xls][Spt-BH_xls]_S_1692"/>
      <sheetName val="[Spt-BH.xls][Spt-BH_xls]B__5116"/>
      <sheetName val="[Spt-BH.xls][Spt-BH_xls]B__5117"/>
      <sheetName val="[Spt-BH.xls][Spt-BH_xls]B__5118"/>
      <sheetName val="[Spt-BH.xls][Spt-BH_xls]_S_1693"/>
      <sheetName val="[Spt-BH.xls][Spt-BH_xls]B__5119"/>
      <sheetName val="[Spt-BH.xls][Spt-BH_xls]B__5120"/>
      <sheetName val="[Spt-BH.xls][Spt-BH_xls]B__5121"/>
      <sheetName val="[Spt-BH.xls][Spt-BH_xls]B__5122"/>
      <sheetName val="[Spt-BH.xls][Spt-BH_xls]_S_1694"/>
      <sheetName val="[Spt-BH.xls][Spt-BH_xls]B__5123"/>
      <sheetName val="[Spt-BH.xls][Spt-BH_xls]B__5124"/>
      <sheetName val="[Spt-BH.xls][Spt-BH_xls]_S_1695"/>
      <sheetName val="[Spt-BH.xls][Spt-BH_xls]B__5125"/>
      <sheetName val="[Spt-BH.xls][Spt-BH_xls]B__5126"/>
      <sheetName val="[Spt-BH.xls][Spt-BH_xls]_S_1696"/>
      <sheetName val="[Spt-BH.xls][Spt-BH.xls]_S_1863"/>
      <sheetName val="[Spt-BH.xls][Spt-BH.xls]_S_1866"/>
      <sheetName val="[Spt-BH.xls][Spt-BH.xls]B__5347"/>
      <sheetName val="[Spt-BH.xls][Spt-BH.xls]B__5348"/>
      <sheetName val="[Spt-BH.xls][Spt-BH.xls]_S_1868"/>
      <sheetName val="[Spt-BH.xls][Spt-BH.xls]B__5349"/>
      <sheetName val="[Spt-BH.xls][Spt-BH.xls]B__5350"/>
      <sheetName val="[Spt-BH.xls][Spt-BH.xls]B__5351"/>
      <sheetName val="[Spt-BH.xls][Spt-BH.xls]B__5352"/>
      <sheetName val="[Spt-BH.xls][Spt-BH.xls]_S_1867"/>
      <sheetName val="[Spt-BH.xls][Spt-BH.xls]B__5354"/>
      <sheetName val="[Spt-BH.xls][Spt-BH.xls]B__5355"/>
      <sheetName val="[Spt-BH.xls][Spt-BH.xls]_S_1870"/>
      <sheetName val="[Spt-BH.xls][Spt-BH.xls]B__5356"/>
      <sheetName val="[Spt-BH.xls][Spt-BH.xls]B__5357"/>
      <sheetName val="[Spt-BH.xls]B____x005f_x0004______429"/>
      <sheetName val="[Spt-BH.xls]B___x005f_x0000__x000_421"/>
      <sheetName val="[Spt-BH.xls][Spt-BH.xls]B__5358"/>
      <sheetName val="[Spt-BH.xls][Spt-BH.xls]B__5359"/>
      <sheetName val="[Spt-BH.xls][Spt-BH.xls]B__5353"/>
      <sheetName val="[Spt-BH.xls][Spt-BH.xls]_S_1869"/>
      <sheetName val="[Spt-BH.xls][Spt-BH_xls]B__5142"/>
      <sheetName val="[Spt-BH.xls][Spt-BH_xls]B__5143"/>
      <sheetName val="[Spt-BH.xls][Spt-BH_xls]B__5144"/>
      <sheetName val="[Spt-BH.xls][Spt-BH_xls]B__5145"/>
      <sheetName val="[Spt-BH.xls][Spt-BH_xls]_S_1702"/>
      <sheetName val="[Spt-BH.xls][Spt-BH_xls]B__5146"/>
      <sheetName val="[Spt-BH.xls][Spt-BH_xls]B__5147"/>
      <sheetName val="[Spt-BH.xls][Spt-BH_xls]B__5148"/>
      <sheetName val="[Spt-BH.xls][Spt-BH_xls]_S_1703"/>
      <sheetName val="[Spt-BH.xls][Spt-BH_xls]B__5149"/>
      <sheetName val="[Spt-BH.xls][Spt-BH_xls]B__5150"/>
      <sheetName val="[Spt-BH.xls][Spt-BH_xls]B__5151"/>
      <sheetName val="[Spt-BH.xls][Spt-BH_xls]B__5152"/>
      <sheetName val="[Spt-BH.xls][Spt-BH_xls]_S_1704"/>
      <sheetName val="[Spt-BH.xls][Spt-BH_xls]B__5153"/>
      <sheetName val="[Spt-BH.xls][Spt-BH_xls]B__5154"/>
      <sheetName val="[Spt-BH.xls][Spt-BH_xls]_S_1705"/>
      <sheetName val="[Spt-BH.xls][Spt-BH_xls]B__5155"/>
      <sheetName val="[Spt-BH.xls][Spt-BH_xls]B__5156"/>
      <sheetName val="[Spt-BH.xls][Spt-BH_xls]_S_1706"/>
      <sheetName val="[Spt-BH.xls][Spt-BH.xls]_S_1864"/>
      <sheetName val="[Spt-BH.xls][Spt-BH.xls]B__5340"/>
      <sheetName val="[Spt-BH.xls][Spt-BH.xls]B__5341"/>
      <sheetName val="[Spt-BH.xls][Spt-BH.xls]B__5342"/>
      <sheetName val="[Spt-BH.xls][Spt-BH.xls]B__5343"/>
      <sheetName val="[Spt-BH.xls][Spt-BH.xls]B__5344"/>
      <sheetName val="[Spt-BH.xls][Spt-BH.xls]B__5345"/>
      <sheetName val="[Spt-BH.xls][Spt-BH.xls]_S_1865"/>
      <sheetName val="[Spt-BH.xls]B____x005f_x0004______428"/>
      <sheetName val="[Spt-BH.xls]B___x005f_x0000__x000_420"/>
      <sheetName val="[Spt-BH.xls][Spt-BH.xls]B__5346"/>
      <sheetName val="[Spt-BH.xls][Spt-BH_xls]B__5127"/>
      <sheetName val="[Spt-BH.xls][Spt-BH_xls]B__5128"/>
      <sheetName val="[Spt-BH.xls][Spt-BH_xls]B__5129"/>
      <sheetName val="[Spt-BH.xls][Spt-BH_xls]B__5130"/>
      <sheetName val="[Spt-BH.xls][Spt-BH_xls]_S_1697"/>
      <sheetName val="[Spt-BH.xls][Spt-BH_xls]B__5131"/>
      <sheetName val="[Spt-BH.xls][Spt-BH_xls]B__5132"/>
      <sheetName val="[Spt-BH.xls][Spt-BH_xls]B__5133"/>
      <sheetName val="[Spt-BH.xls][Spt-BH_xls]_S_1698"/>
      <sheetName val="[Spt-BH.xls][Spt-BH_xls]B__5134"/>
      <sheetName val="[Spt-BH.xls][Spt-BH_xls]B__5135"/>
      <sheetName val="[Spt-BH.xls][Spt-BH_xls]B__5136"/>
      <sheetName val="[Spt-BH.xls][Spt-BH_xls]B__5137"/>
      <sheetName val="[Spt-BH.xls][Spt-BH_xls]_S_1699"/>
      <sheetName val="[Spt-BH.xls][Spt-BH_xls]B__5138"/>
      <sheetName val="[Spt-BH.xls][Spt-BH_xls]B__5139"/>
      <sheetName val="[Spt-BH.xls][Spt-BH_xls]_S_1700"/>
      <sheetName val="[Spt-BH.xls][Spt-BH_xls]B__5140"/>
      <sheetName val="[Spt-BH.xls][Spt-BH_xls]B__5141"/>
      <sheetName val="[Spt-BH.xls][Spt-BH_xls]_S_1701"/>
      <sheetName val="[Spt-BH.xls][Spt-BH.xls]B__5360"/>
      <sheetName val="[Spt-BH.xls][Spt-BH.xls]B__5361"/>
      <sheetName val="[Spt-BH.xls][Spt-BH.xls]B__5362"/>
      <sheetName val="[Spt-BH.xls][Spt-BH.xls]B__5363"/>
      <sheetName val="[Spt-BH.xls][Spt-BH.xls]B__5364"/>
      <sheetName val="[Spt-BH.xls][Spt-BH.xls]B__5365"/>
      <sheetName val="[Spt-BH.xls][Spt-BH.xls]_S_1871"/>
      <sheetName val="[Spt-BH.xls][Spt-BH.xls]_S_1872"/>
      <sheetName val="[Spt-BH.xls][Spt-BH.xls]B__5366"/>
      <sheetName val="[Spt-BH.xls][Spt-BH.xls]B__5367"/>
      <sheetName val="[Spt-BH.xls][Spt-BH.xls]_S_1874"/>
      <sheetName val="[Spt-BH.xls][Spt-BH.xls]B__5368"/>
      <sheetName val="[Spt-BH.xls][Spt-BH.xls]B__5369"/>
      <sheetName val="[Spt-BH.xls][Spt-BH.xls]B__5370"/>
      <sheetName val="[Spt-BH.xls][Spt-BH.xls]B__5371"/>
      <sheetName val="[Spt-BH.xls][Spt-BH.xls]_S_1873"/>
      <sheetName val="[Spt-BH.xls][Spt-BH.xls]B__5373"/>
      <sheetName val="[Spt-BH.xls][Spt-BH.xls]B__5374"/>
      <sheetName val="[Spt-BH.xls][Spt-BH.xls]B__5375"/>
      <sheetName val="[Spt-BH.xls][Spt-BH.xls]B__5376"/>
      <sheetName val="[Spt-BH.xls]B____x005f_x0004______430"/>
      <sheetName val="[Spt-BH.xls]B___x005f_x0000__x000_422"/>
      <sheetName val="[Spt-BH.xls][Spt-BH.xls]B__5377"/>
      <sheetName val="[Spt-BH.xls][Spt-BH.xls]B__5378"/>
      <sheetName val="[Spt-BH.xls][Spt-BH.xls]B__5372"/>
      <sheetName val="[Spt-BH.xls][Spt-BH.xls]_S_1875"/>
      <sheetName val="[Spt-BH.xls][Spt-BH_xls]B__5157"/>
      <sheetName val="[Spt-BH.xls][Spt-BH_xls]B__5158"/>
      <sheetName val="[Spt-BH.xls][Spt-BH_xls]B__5159"/>
      <sheetName val="[Spt-BH.xls][Spt-BH_xls]B__5160"/>
      <sheetName val="[Spt-BH.xls][Spt-BH_xls]_S_1707"/>
      <sheetName val="[Spt-BH.xls][Spt-BH_xls]B__5161"/>
      <sheetName val="[Spt-BH.xls][Spt-BH_xls]B__5162"/>
      <sheetName val="[Spt-BH.xls][Spt-BH_xls]B__5163"/>
      <sheetName val="[Spt-BH.xls][Spt-BH_xls]_S_1708"/>
      <sheetName val="[Spt-BH.xls][Spt-BH_xls]B__5164"/>
      <sheetName val="[Spt-BH.xls][Spt-BH_xls]B__5165"/>
      <sheetName val="[Spt-BH.xls][Spt-BH_xls]B__5166"/>
      <sheetName val="[Spt-BH.xls][Spt-BH_xls]B__5167"/>
      <sheetName val="[Spt-BH.xls][Spt-BH_xls]_S_1709"/>
      <sheetName val="[Spt-BH.xls][Spt-BH_xls]B__5168"/>
      <sheetName val="[Spt-BH.xls][Spt-BH_xls]B__5169"/>
      <sheetName val="[Spt-BH.xls][Spt-BH_xls]_S_1710"/>
      <sheetName val="[Spt-BH.xls][Spt-BH_xls]B__5170"/>
      <sheetName val="[Spt-BH.xls][Spt-BH_xls]B__5171"/>
      <sheetName val="[Spt-BH.xls][Spt-BH_xls]_S_1711"/>
      <sheetName val="[Spt-BH.xls][Spt-BH.xls]_S_1880"/>
      <sheetName val="[Spt-BH.xls][Spt-BH.xls]B__5393"/>
      <sheetName val="[Spt-BH.xls][Spt-BH.xls]B__5394"/>
      <sheetName val="[Spt-BH.xls][Spt-BH.xls]B__5395"/>
      <sheetName val="[Spt-BH.xls][Spt-BH.xls]B__5396"/>
      <sheetName val="[Spt-BH.xls][Spt-BH.xls]B__5397"/>
      <sheetName val="[Spt-BH.xls][Spt-BH.xls]B__5398"/>
      <sheetName val="[Spt-BH.xls][Spt-BH.xls]_S_1881"/>
      <sheetName val="[Spt-BH.xls]B____x005f_x0004______433"/>
      <sheetName val="[Spt-BH.xls]B___x005f_x0000__x000_425"/>
      <sheetName val="[Spt-BH.xls][Spt-BH.xls]B__5399"/>
      <sheetName val="[Spt-BH.xls][Spt-BH_xls]B__5202"/>
      <sheetName val="[Spt-BH.xls][Spt-BH_xls]B__5203"/>
      <sheetName val="[Spt-BH.xls][Spt-BH_xls]B__5204"/>
      <sheetName val="[Spt-BH.xls][Spt-BH_xls]B__5205"/>
      <sheetName val="[Spt-BH.xls][Spt-BH_xls]_S_1722"/>
      <sheetName val="[Spt-BH.xls][Spt-BH_xls]B__5206"/>
      <sheetName val="[Spt-BH.xls][Spt-BH_xls]B__5207"/>
      <sheetName val="[Spt-BH.xls][Spt-BH_xls]B__5208"/>
      <sheetName val="[Spt-BH.xls][Spt-BH_xls]_S_1723"/>
      <sheetName val="[Spt-BH.xls][Spt-BH_xls]B__5209"/>
      <sheetName val="[Spt-BH.xls][Spt-BH_xls]B__5210"/>
      <sheetName val="[Spt-BH.xls][Spt-BH_xls]B__5211"/>
      <sheetName val="[Spt-BH.xls][Spt-BH_xls]B__5212"/>
      <sheetName val="[Spt-BH.xls][Spt-BH_xls]_S_1724"/>
      <sheetName val="[Spt-BH.xls][Spt-BH_xls]B__5213"/>
      <sheetName val="[Spt-BH.xls][Spt-BH_xls]B__5214"/>
      <sheetName val="[Spt-BH.xls][Spt-BH_xls]_S_1725"/>
      <sheetName val="[Spt-BH.xls][Spt-BH_xls]B__5215"/>
      <sheetName val="[Spt-BH.xls][Spt-BH_xls]B__5216"/>
      <sheetName val="[Spt-BH.xls][Spt-BH_xls]_S_1726"/>
      <sheetName val="[Spt-BH.xls][Spt-BH.xls]_S_1876"/>
      <sheetName val="[Spt-BH.xls][Spt-BH.xls]B__5379"/>
      <sheetName val="[Spt-BH.xls][Spt-BH.xls]B__5380"/>
      <sheetName val="[Spt-BH.xls][Spt-BH.xls]B__5381"/>
      <sheetName val="[Spt-BH.xls][Spt-BH.xls]B__5382"/>
      <sheetName val="[Spt-BH.xls][Spt-BH.xls]B__5383"/>
      <sheetName val="[Spt-BH.xls][Spt-BH.xls]B__5384"/>
      <sheetName val="[Spt-BH.xls][Spt-BH.xls]_S_1877"/>
      <sheetName val="[Spt-BH.xls]B____x005f_x0004______431"/>
      <sheetName val="[Spt-BH.xls]B___x005f_x0000__x000_423"/>
      <sheetName val="[Spt-BH.xls][Spt-BH.xls]B__5385"/>
      <sheetName val="[Spt-BH.xls][Spt-BH_xls]B__5172"/>
      <sheetName val="[Spt-BH.xls][Spt-BH_xls]B__5173"/>
      <sheetName val="[Spt-BH.xls][Spt-BH_xls]B__5174"/>
      <sheetName val="[Spt-BH.xls][Spt-BH_xls]B__5175"/>
      <sheetName val="[Spt-BH.xls][Spt-BH_xls]_S_1712"/>
      <sheetName val="[Spt-BH.xls][Spt-BH_xls]B__5176"/>
      <sheetName val="[Spt-BH.xls][Spt-BH_xls]B__5177"/>
      <sheetName val="[Spt-BH.xls][Spt-BH_xls]B__5178"/>
      <sheetName val="[Spt-BH.xls][Spt-BH_xls]_S_1713"/>
      <sheetName val="[Spt-BH.xls][Spt-BH_xls]B__5179"/>
      <sheetName val="[Spt-BH.xls][Spt-BH_xls]B__5180"/>
      <sheetName val="[Spt-BH.xls][Spt-BH_xls]B__5181"/>
      <sheetName val="[Spt-BH.xls][Spt-BH_xls]B__5182"/>
      <sheetName val="[Spt-BH.xls][Spt-BH_xls]_S_1714"/>
      <sheetName val="[Spt-BH.xls][Spt-BH_xls]B__5183"/>
      <sheetName val="[Spt-BH.xls][Spt-BH_xls]B__5184"/>
      <sheetName val="[Spt-BH.xls][Spt-BH_xls]_S_1715"/>
      <sheetName val="[Spt-BH.xls][Spt-BH_xls]B__5185"/>
      <sheetName val="[Spt-BH.xls][Spt-BH_xls]B__5186"/>
      <sheetName val="[Spt-BH.xls][Spt-BH_xls]_S_1716"/>
      <sheetName val="[Spt-BH.xls][Spt-BH.xls]_S_1878"/>
      <sheetName val="[Spt-BH.xls][Spt-BH.xls]B__5386"/>
      <sheetName val="[Spt-BH.xls][Spt-BH.xls]B__5387"/>
      <sheetName val="[Spt-BH.xls][Spt-BH.xls]B__5388"/>
      <sheetName val="[Spt-BH.xls][Spt-BH.xls]B__5389"/>
      <sheetName val="[Spt-BH.xls][Spt-BH.xls]B__5390"/>
      <sheetName val="[Spt-BH.xls][Spt-BH.xls]B__5391"/>
      <sheetName val="[Spt-BH.xls][Spt-BH.xls]_S_1879"/>
      <sheetName val="[Spt-BH.xls]B____x005f_x0004______432"/>
      <sheetName val="[Spt-BH.xls]B___x005f_x0000__x000_424"/>
      <sheetName val="[Spt-BH.xls][Spt-BH.xls]B__5392"/>
      <sheetName val="[Spt-BH.xls][Spt-BH_xls]B__5187"/>
      <sheetName val="[Spt-BH.xls][Spt-BH_xls]B__5188"/>
      <sheetName val="[Spt-BH.xls][Spt-BH_xls]B__5189"/>
      <sheetName val="[Spt-BH.xls][Spt-BH_xls]B__5190"/>
      <sheetName val="[Spt-BH.xls][Spt-BH_xls]_S_1717"/>
      <sheetName val="[Spt-BH.xls][Spt-BH_xls]B__5191"/>
      <sheetName val="[Spt-BH.xls][Spt-BH_xls]B__5192"/>
      <sheetName val="[Spt-BH.xls][Spt-BH_xls]B__5193"/>
      <sheetName val="[Spt-BH.xls][Spt-BH_xls]_S_1718"/>
      <sheetName val="[Spt-BH.xls][Spt-BH_xls]B__5194"/>
      <sheetName val="[Spt-BH.xls][Spt-BH_xls]B__5195"/>
      <sheetName val="[Spt-BH.xls][Spt-BH_xls]B__5196"/>
      <sheetName val="[Spt-BH.xls][Spt-BH_xls]B__5197"/>
      <sheetName val="[Spt-BH.xls][Spt-BH_xls]_S_1719"/>
      <sheetName val="[Spt-BH.xls][Spt-BH_xls]B__5198"/>
      <sheetName val="[Spt-BH.xls][Spt-BH_xls]B__5199"/>
      <sheetName val="[Spt-BH.xls][Spt-BH_xls]_S_1720"/>
      <sheetName val="[Spt-BH.xls][Spt-BH_xls]B__5200"/>
      <sheetName val="[Spt-BH.xls][Spt-BH_xls]B__5201"/>
      <sheetName val="[Spt-BH.xls][Spt-BH_xls]_S_1721"/>
      <sheetName val="[Spt-BH.xls][Spt-BH.xls]B__5414"/>
      <sheetName val="[Spt-BH.xls][Spt-BH.xls]B__5415"/>
      <sheetName val="[Spt-BH.xls][Spt-BH.xls]_S_1892"/>
      <sheetName val="[Spt-BH.xls][Spt-BH.xls]B__5416"/>
      <sheetName val="[Spt-BH.xls][Spt-BH.xls]B__5417"/>
      <sheetName val="[Spt-BH.xls]B____x005f_x0004______435"/>
      <sheetName val="[Spt-BH.xls]B___x005f_x0000__x000_427"/>
      <sheetName val="[Spt-BH.xls][Spt-BH.xls]B__5418"/>
      <sheetName val="[Spt-BH.xls][Spt-BH.xls]B__5419"/>
      <sheetName val="[Spt-BH.xls][Spt-BH.xls]B__5413"/>
      <sheetName val="[Spt-BH.xls][Spt-BH.xls]_S_1887"/>
      <sheetName val="[Spt-BH.xls][Spt-BH_xls]B__5232"/>
      <sheetName val="[Spt-BH.xls][Spt-BH_xls]B__5233"/>
      <sheetName val="[Spt-BH.xls][Spt-BH_xls]B__5234"/>
      <sheetName val="[Spt-BH.xls][Spt-BH_xls]B__5235"/>
      <sheetName val="[Spt-BH.xls][Spt-BH_xls]_S_1732"/>
      <sheetName val="[Spt-BH.xls][Spt-BH_xls]B__5236"/>
      <sheetName val="[Spt-BH.xls][Spt-BH_xls]B__5237"/>
      <sheetName val="[Spt-BH.xls][Spt-BH_xls]B__5238"/>
      <sheetName val="[Spt-BH.xls][Spt-BH_xls]_S_1733"/>
      <sheetName val="[Spt-BH.xls][Spt-BH_xls]B__5239"/>
      <sheetName val="[Spt-BH.xls][Spt-BH_xls]B__5240"/>
      <sheetName val="[Spt-BH.xls][Spt-BH_xls]B__5241"/>
      <sheetName val="[Spt-BH.xls][Spt-BH_xls]B__5242"/>
      <sheetName val="[Spt-BH.xls][Spt-BH_xls]_S_1734"/>
      <sheetName val="[Spt-BH.xls][Spt-BH_xls]B__5243"/>
      <sheetName val="[Spt-BH.xls][Spt-BH_xls]B__5244"/>
      <sheetName val="[Spt-BH.xls][Spt-BH_xls]_S_1735"/>
      <sheetName val="[Spt-BH.xls][Spt-BH_xls]B__5245"/>
      <sheetName val="[Spt-BH.xls][Spt-BH_xls]B__5246"/>
      <sheetName val="[Spt-BH.xls][Spt-BH_xls]_S_1736"/>
      <sheetName val="[Spt-BH.xls][Spt-BH.xls]B__5434"/>
      <sheetName val="[Spt-BH.xls][Spt-BH.xls]B__5435"/>
      <sheetName val="[Spt-BH.xls][Spt-BH.xls]_S_1894"/>
      <sheetName val="[Spt-BH.xls][Spt-BH.xls]B__5436"/>
      <sheetName val="[Spt-BH.xls][Spt-BH.xls]B__5437"/>
      <sheetName val="[Spt-BH.xls][Spt-BH.xls]B__5438"/>
      <sheetName val="[Spt-BH.xls][Spt-BH.xls]B__5439"/>
      <sheetName val="[Spt-BH.xls][Spt-BH.xls]_S_1893"/>
      <sheetName val="[Spt-BH.xls][Spt-BH.xls]B__5441"/>
      <sheetName val="[Spt-BH.xls][Spt-BH.xls]B__5442"/>
      <sheetName val="[Spt-BH.xls][Spt-BH.xls]_S_1896"/>
      <sheetName val="[Spt-BH.xls][Spt-BH.xls]B__5443"/>
      <sheetName val="[Spt-BH.xls][Spt-BH.xls]B__5444"/>
      <sheetName val="[Spt-BH.xls]B____x005f_x0004______438"/>
      <sheetName val="[Spt-BH.xls]B___x005f_x0000__x000_430"/>
      <sheetName val="[Spt-BH.xls][Spt-BH.xls]B__5445"/>
      <sheetName val="[Spt-BH.xls][Spt-BH.xls]B__5446"/>
      <sheetName val="[Spt-BH.xls][Spt-BH.xls]B__5440"/>
      <sheetName val="[Spt-BH.xls][Spt-BH.xls]_S_1895"/>
      <sheetName val="[Spt-BH.xls][Spt-BH_xls]B__5277"/>
      <sheetName val="[Spt-BH.xls][Spt-BH_xls]B__5278"/>
      <sheetName val="[Spt-BH.xls][Spt-BH_xls]B__5279"/>
      <sheetName val="[Spt-BH.xls][Spt-BH_xls]B__5280"/>
      <sheetName val="[Spt-BH.xls][Spt-BH_xls]_S_1747"/>
      <sheetName val="[Spt-BH.xls][Spt-BH_xls]B__5281"/>
      <sheetName val="[Spt-BH.xls][Spt-BH_xls]B__5282"/>
      <sheetName val="[Spt-BH.xls][Spt-BH_xls]B__5283"/>
      <sheetName val="[Spt-BH.xls][Spt-BH_xls]_S_1748"/>
      <sheetName val="[Spt-BH.xls][Spt-BH_xls]B__5284"/>
      <sheetName val="[Spt-BH.xls][Spt-BH_xls]B__5285"/>
      <sheetName val="[Spt-BH.xls][Spt-BH_xls]B__5286"/>
      <sheetName val="[Spt-BH.xls][Spt-BH_xls]B__5287"/>
      <sheetName val="[Spt-BH.xls][Spt-BH_xls]_S_1749"/>
      <sheetName val="[Spt-BH.xls][Spt-BH_xls]B__5288"/>
      <sheetName val="[Spt-BH.xls][Spt-BH_xls]B__5289"/>
      <sheetName val="[Spt-BH.xls][Spt-BH_xls]_S_1750"/>
      <sheetName val="[Spt-BH.xls][Spt-BH_xls]B__5290"/>
      <sheetName val="[Spt-BH.xls][Spt-BH_xls]B__5291"/>
      <sheetName val="[Spt-BH.xls][Spt-BH_xls]_S_1751"/>
      <sheetName val="[Spt-BH.xls][Spt-BH.xls]_S_1888"/>
      <sheetName val="[Spt-BH.xls][Spt-BH.xls]B__5420"/>
      <sheetName val="[Spt-BH.xls][Spt-BH.xls]B__5421"/>
      <sheetName val="[Spt-BH.xls][Spt-BH.xls]B__5422"/>
      <sheetName val="[Spt-BH.xls][Spt-BH.xls]B__5423"/>
      <sheetName val="[Spt-BH.xls][Spt-BH.xls]B__5424"/>
      <sheetName val="[Spt-BH.xls][Spt-BH.xls]B__5425"/>
      <sheetName val="[Spt-BH.xls][Spt-BH.xls]_S_1889"/>
      <sheetName val="[Spt-BH.xls]B____x005f_x0004______436"/>
      <sheetName val="[Spt-BH.xls]B___x005f_x0000__x000_428"/>
      <sheetName val="[Spt-BH.xls][Spt-BH.xls]B__5426"/>
      <sheetName val="[Spt-BH.xls][Spt-BH_xls]B__5247"/>
      <sheetName val="[Spt-BH.xls][Spt-BH_xls]B__5248"/>
      <sheetName val="[Spt-BH.xls][Spt-BH_xls]B__5249"/>
      <sheetName val="[Spt-BH.xls][Spt-BH_xls]B__5250"/>
      <sheetName val="[Spt-BH.xls][Spt-BH_xls]_S_1737"/>
      <sheetName val="[Spt-BH.xls][Spt-BH_xls]B__5251"/>
      <sheetName val="[Spt-BH.xls][Spt-BH_xls]B__5252"/>
      <sheetName val="[Spt-BH.xls][Spt-BH_xls]B__5253"/>
      <sheetName val="[Spt-BH.xls][Spt-BH_xls]_S_1738"/>
      <sheetName val="[Spt-BH.xls][Spt-BH_xls]B__5254"/>
      <sheetName val="[Spt-BH.xls][Spt-BH_xls]B__5255"/>
      <sheetName val="[Spt-BH.xls][Spt-BH_xls]B__5256"/>
      <sheetName val="[Spt-BH.xls][Spt-BH_xls]B__5257"/>
      <sheetName val="[Spt-BH.xls][Spt-BH_xls]_S_1739"/>
      <sheetName val="[Spt-BH.xls][Spt-BH_xls]B__5258"/>
      <sheetName val="[Spt-BH.xls][Spt-BH_xls]B__5259"/>
      <sheetName val="[Spt-BH.xls][Spt-BH_xls]_S_1740"/>
      <sheetName val="[Spt-BH.xls][Spt-BH_xls]B__5260"/>
      <sheetName val="[Spt-BH.xls][Spt-BH_xls]B__5261"/>
      <sheetName val="[Spt-BH.xls][Spt-BH_xls]_S_1741"/>
      <sheetName val="[Spt-BH.xls][Spt-BH.xls]_S_1890"/>
      <sheetName val="[Spt-BH.xls][Spt-BH.xls]B__5427"/>
      <sheetName val="[Spt-BH.xls][Spt-BH.xls]B__5428"/>
      <sheetName val="[Spt-BH.xls][Spt-BH.xls]B__5429"/>
      <sheetName val="[Spt-BH.xls][Spt-BH.xls]B__5430"/>
      <sheetName val="[Spt-BH.xls][Spt-BH.xls]B__5431"/>
      <sheetName val="[Spt-BH.xls][Spt-BH.xls]B__5432"/>
      <sheetName val="[Spt-BH.xls][Spt-BH.xls]_S_1891"/>
      <sheetName val="[Spt-BH.xls]B____x005f_x0004______437"/>
      <sheetName val="[Spt-BH.xls]B___x005f_x0000__x000_429"/>
      <sheetName val="[Spt-BH.xls][Spt-BH.xls]B__5433"/>
      <sheetName val="[Spt-BH.xls][Spt-BH_xls]B__5262"/>
      <sheetName val="[Spt-BH.xls][Spt-BH_xls]B__5263"/>
      <sheetName val="[Spt-BH.xls][Spt-BH_xls]B__5264"/>
      <sheetName val="[Spt-BH.xls][Spt-BH_xls]B__5265"/>
      <sheetName val="[Spt-BH.xls][Spt-BH_xls]_S_1742"/>
      <sheetName val="[Spt-BH.xls][Spt-BH_xls]B__5266"/>
      <sheetName val="[Spt-BH.xls][Spt-BH_xls]B__5267"/>
      <sheetName val="[Spt-BH.xls][Spt-BH_xls]B__5268"/>
      <sheetName val="[Spt-BH.xls][Spt-BH_xls]_S_1743"/>
      <sheetName val="[Spt-BH.xls][Spt-BH_xls]B__5269"/>
      <sheetName val="[Spt-BH.xls][Spt-BH_xls]B__5270"/>
      <sheetName val="[Spt-BH.xls][Spt-BH_xls]B__5271"/>
      <sheetName val="[Spt-BH.xls][Spt-BH_xls]B__5272"/>
      <sheetName val="[Spt-BH.xls][Spt-BH_xls]_S_1744"/>
      <sheetName val="[Spt-BH.xls][Spt-BH_xls]B__5273"/>
      <sheetName val="[Spt-BH.xls][Spt-BH_xls]B__5274"/>
      <sheetName val="[Spt-BH.xls][Spt-BH_xls]_S_1745"/>
      <sheetName val="[Spt-BH.xls][Spt-BH_xls]B__5275"/>
      <sheetName val="[Spt-BH.xls][Spt-BH_xls]B__5276"/>
      <sheetName val="[Spt-BH.xls][Spt-BH_xls]_S_1746"/>
      <sheetName val="[Spt-BH.xls][Spt-BH.xls]B__5448"/>
      <sheetName val="[Spt-BH.xls][Spt-BH.xls]B__5449"/>
      <sheetName val="[Spt-BH.xls][Spt-BH.xls]_S_1898"/>
      <sheetName val="[Spt-BH.xls][Spt-BH.xls]B__5450"/>
      <sheetName val="[Spt-BH.xls][Spt-BH.xls]B__5451"/>
      <sheetName val="[Spt-BH.xls]B____x005f_x0004______439"/>
      <sheetName val="[Spt-BH.xls]B___x005f_x0000__x000_431"/>
      <sheetName val="[Spt-BH.xls][Spt-BH.xls]B__5452"/>
      <sheetName val="[Spt-BH.xls][Spt-BH.xls]B__5453"/>
      <sheetName val="[Spt-BH.xls][Spt-BH.xls]B__5447"/>
      <sheetName val="[Spt-BH.xls][Spt-BH.xls]_S_1897"/>
      <sheetName val="[Spt-BH.xls][Spt-BH_xls]B__5292"/>
      <sheetName val="[Spt-BH.xls][Spt-BH_xls]B__5293"/>
      <sheetName val="[Spt-BH.xls][Spt-BH_xls]B__5294"/>
      <sheetName val="[Spt-BH.xls][Spt-BH_xls]B__5295"/>
      <sheetName val="[Spt-BH.xls][Spt-BH_xls]_S_1752"/>
      <sheetName val="[Spt-BH.xls][Spt-BH_xls]B__5296"/>
      <sheetName val="[Spt-BH.xls][Spt-BH_xls]B__5297"/>
      <sheetName val="[Spt-BH.xls][Spt-BH_xls]B__5298"/>
      <sheetName val="[Spt-BH.xls][Spt-BH_xls]_S_1753"/>
      <sheetName val="[Spt-BH.xls][Spt-BH_xls]B__5299"/>
      <sheetName val="[Spt-BH.xls][Spt-BH_xls]B__5300"/>
      <sheetName val="[Spt-BH.xls][Spt-BH_xls]B__5301"/>
      <sheetName val="[Spt-BH.xls][Spt-BH_xls]B__5302"/>
      <sheetName val="[Spt-BH.xls][Spt-BH_xls]_S_1754"/>
      <sheetName val="[Spt-BH.xls][Spt-BH_xls]B__5303"/>
      <sheetName val="[Spt-BH.xls][Spt-BH_xls]B__5304"/>
      <sheetName val="[Spt-BH.xls][Spt-BH_xls]_S_1755"/>
      <sheetName val="[Spt-BH.xls][Spt-BH_xls]B__5305"/>
      <sheetName val="[Spt-BH.xls][Spt-BH_xls]B__5306"/>
      <sheetName val="[Spt-BH.xls][Spt-BH_xls]_S_1756"/>
      <sheetName val="[Spt-BH.xls][Spt-BH.xls]B__5455"/>
      <sheetName val="[Spt-BH.xls][Spt-BH.xls]B__5456"/>
      <sheetName val="[Spt-BH.xls][Spt-BH.xls]_S_1900"/>
      <sheetName val="[Spt-BH.xls][Spt-BH.xls]B__5457"/>
      <sheetName val="[Spt-BH.xls][Spt-BH.xls]B__5458"/>
      <sheetName val="[Spt-BH.xls]B____x005f_x0004______440"/>
      <sheetName val="[Spt-BH.xls]B___x005f_x0000__x000_432"/>
      <sheetName val="[Spt-BH.xls][Spt-BH.xls]B__5459"/>
      <sheetName val="[Spt-BH.xls][Spt-BH.xls]B__5460"/>
      <sheetName val="[Spt-BH.xls][Spt-BH.xls]B__5454"/>
      <sheetName val="[Spt-BH.xls][Spt-BH.xls]_S_1899"/>
      <sheetName val="[Spt-BH.xls][Spt-BH_xls]B__5307"/>
      <sheetName val="[Spt-BH.xls][Spt-BH_xls]B__5308"/>
      <sheetName val="[Spt-BH.xls][Spt-BH_xls]B__5309"/>
      <sheetName val="[Spt-BH.xls][Spt-BH_xls]B__5310"/>
      <sheetName val="[Spt-BH.xls][Spt-BH_xls]_S_1757"/>
      <sheetName val="[Spt-BH.xls][Spt-BH_xls]B__5311"/>
      <sheetName val="[Spt-BH.xls][Spt-BH_xls]B__5312"/>
      <sheetName val="[Spt-BH.xls][Spt-BH_xls]B__5313"/>
      <sheetName val="[Spt-BH.xls][Spt-BH_xls]_S_1758"/>
      <sheetName val="[Spt-BH.xls][Spt-BH_xls]B__5314"/>
      <sheetName val="[Spt-BH.xls][Spt-BH_xls]B__5315"/>
      <sheetName val="[Spt-BH.xls][Spt-BH_xls]B__5316"/>
      <sheetName val="[Spt-BH.xls][Spt-BH_xls]B__5317"/>
      <sheetName val="[Spt-BH.xls][Spt-BH_xls]_S_1759"/>
      <sheetName val="[Spt-BH.xls][Spt-BH_xls]B__5318"/>
      <sheetName val="[Spt-BH.xls][Spt-BH_xls]B__5319"/>
      <sheetName val="[Spt-BH.xls][Spt-BH_xls]_S_1760"/>
      <sheetName val="[Spt-BH.xls][Spt-BH_xls]B__5320"/>
      <sheetName val="[Spt-BH.xls][Spt-BH_xls]B__5321"/>
      <sheetName val="[Spt-BH.xls][Spt-BH_xls]_S_1761"/>
      <sheetName val="[Spt-BH.xls][Spt-BH.xls]_S_1901"/>
      <sheetName val="[Spt-BH.xls][Spt-BH.xls]B__5461"/>
      <sheetName val="[Spt-BH.xls][Spt-BH.xls]B__5462"/>
      <sheetName val="[Spt-BH.xls][Spt-BH.xls]_S_1904"/>
      <sheetName val="[Spt-BH.xls][Spt-BH.xls]B__5463"/>
      <sheetName val="[Spt-BH.xls][Spt-BH.xls]B__5464"/>
      <sheetName val="[Spt-BH.xls][Spt-BH.xls]B__5468"/>
      <sheetName val="[Spt-BH.xls][Spt-BH.xls]B__5469"/>
      <sheetName val="[Spt-BH.xls][Spt-BH.xls]_S_1906"/>
      <sheetName val="[Spt-BH.xls][Spt-BH.xls]B__5470"/>
      <sheetName val="[Spt-BH.xls][Spt-BH.xls]B__5471"/>
      <sheetName val="[Spt-BH.xls]B____x005f_x0004______441"/>
      <sheetName val="[Spt-BH.xls][Spt-BH.xls]B__5465"/>
      <sheetName val="[Spt-BH.xls][Spt-BH.xls]_S_1902"/>
      <sheetName val="[Spt-BH.xls][Spt-BH.xls]B__5466"/>
      <sheetName val="[Spt-BH.xls]B___x005f_x0000__x000_433"/>
      <sheetName val="[Spt-BH.xls][Spt-BH.xls]B__5472"/>
      <sheetName val="[Spt-BH.xls][Spt-BH.xls]B__5473"/>
      <sheetName val="[Spt-BH.xls][Spt-BH.xls]B__5467"/>
      <sheetName val="[Spt-BH.xls][Spt-BH.xls]_S_1905"/>
      <sheetName val="[Spt-BH.xls][Spt-BH_xls]B__5322"/>
      <sheetName val="[Spt-BH.xls][Spt-BH_xls]B__5323"/>
      <sheetName val="[Spt-BH.xls][Spt-BH_xls]B__5324"/>
      <sheetName val="[Spt-BH.xls][Spt-BH_xls]B__5325"/>
      <sheetName val="[Spt-BH.xls][Spt-BH_xls]_S_1762"/>
      <sheetName val="[Spt-BH.xls][Spt-BH_xls]B__5326"/>
      <sheetName val="[Spt-BH.xls][Spt-BH_xls]B__5327"/>
      <sheetName val="[Spt-BH.xls][Spt-BH_xls]B__5328"/>
      <sheetName val="[Spt-BH.xls][Spt-BH_xls]_S_1763"/>
      <sheetName val="[Spt-BH.xls][Spt-BH_xls]B__5329"/>
      <sheetName val="[Spt-BH.xls][Spt-BH_xls]B__5330"/>
      <sheetName val="[Spt-BH.xls][Spt-BH_xls]B__5331"/>
      <sheetName val="[Spt-BH.xls][Spt-BH_xls]B__5332"/>
      <sheetName val="[Spt-BH.xls][Spt-BH_xls]_S_1764"/>
      <sheetName val="[Spt-BH.xls][Spt-BH.xls]_S_1903"/>
      <sheetName val="[Spt-BH.xls][Spt-BH_xls]B__5333"/>
      <sheetName val="[Spt-BH.xls][Spt-BH_xls]B__5334"/>
      <sheetName val="[Spt-BH.xls][Spt-BH_xls]_S_1765"/>
      <sheetName val="[Spt-BH.xls][Spt-BH_xls]B__5335"/>
      <sheetName val="[Spt-BH.xls][Spt-BH_xls]B__5336"/>
      <sheetName val="[Spt-BH.xls][Spt-BH_xls]_S_1766"/>
      <sheetName val="[Spt-BH.xls][Spt-BH.xls]B__5474"/>
      <sheetName val="[Spt-BH.xls][Spt-BH.xls]B__5475"/>
      <sheetName val="[Spt-BH.xls][Spt-BH.xls]B__5476"/>
      <sheetName val="[Spt-BH.xls][Spt-BH.xls]B__5477"/>
      <sheetName val="[Spt-BH.xls][Spt-BH.xls]B__5478"/>
      <sheetName val="[Spt-BH.xls][Spt-BH.xls]B__5479"/>
      <sheetName val="[Spt-BH.xls][Spt-BH.xls]_S_1907"/>
      <sheetName val="[Spt-BH.xls][Spt-BH.xls]_S_1908"/>
      <sheetName val="[Spt-BH.xls][Spt-BH.xls]B__5480"/>
      <sheetName val="[Spt-BH.xls][Spt-BH.xls]B__5481"/>
      <sheetName val="[Spt-BH.xls][Spt-BH.xls]_S_1911"/>
      <sheetName val="[Spt-BH.xls][Spt-BH.xls]B__5482"/>
      <sheetName val="[Spt-BH.xls][Spt-BH.xls]B__5483"/>
      <sheetName val="[Spt-BH.xls][Spt-BH.xls]B__5487"/>
      <sheetName val="[Spt-BH.xls][Spt-BH.xls]B__5488"/>
      <sheetName val="[Spt-BH.xls][Spt-BH.xls]_S_1913"/>
      <sheetName val="[Spt-BH.xls][Spt-BH.xls]B__5489"/>
      <sheetName val="[Spt-BH.xls][Spt-BH.xls]B__5490"/>
      <sheetName val="[Spt-BH.xls]B____x005f_x0004______442"/>
      <sheetName val="[Spt-BH.xls][Spt-BH.xls]B__5484"/>
      <sheetName val="[Spt-BH.xls][Spt-BH.xls]_S_1909"/>
      <sheetName val="[Spt-BH.xls][Spt-BH.xls]B__5485"/>
      <sheetName val="[Spt-BH.xls]B___x005f_x0000__x000_434"/>
      <sheetName val="[Spt-BH.xls][Spt-BH.xls]B__5491"/>
      <sheetName val="[Spt-BH.xls][Spt-BH.xls]B__5492"/>
      <sheetName val="[Spt-BH.xls][Spt-BH.xls]B__5486"/>
      <sheetName val="[Spt-BH.xls][Spt-BH.xls]_S_1912"/>
      <sheetName val="[Spt-BH.xls][Spt-BH_xls]B__5337"/>
      <sheetName val="[Spt-BH.xls][Spt-BH_xls]B__5338"/>
      <sheetName val="[Spt-BH.xls][Spt-BH_xls]B__5339"/>
      <sheetName val="[Spt-BH.xls][Spt-BH_xls]B__5340"/>
      <sheetName val="[Spt-BH.xls][Spt-BH_xls]_S_1767"/>
      <sheetName val="[Spt-BH.xls][Spt-BH_xls]B__5341"/>
      <sheetName val="[Spt-BH.xls][Spt-BH_xls]B__5342"/>
      <sheetName val="[Spt-BH.xls][Spt-BH_xls]B__5343"/>
      <sheetName val="[Spt-BH.xls][Spt-BH_xls]_S_1768"/>
      <sheetName val="[Spt-BH.xls][Spt-BH_xls]B__5344"/>
      <sheetName val="[Spt-BH.xls][Spt-BH_xls]B__5345"/>
      <sheetName val="[Spt-BH.xls][Spt-BH_xls]B__5346"/>
      <sheetName val="[Spt-BH.xls][Spt-BH_xls]B__5347"/>
      <sheetName val="[Spt-BH.xls][Spt-BH_xls]_S_1769"/>
      <sheetName val="[Spt-BH.xls][Spt-BH.xls]_S_1910"/>
      <sheetName val="[Spt-BH.xls][Spt-BH_xls]B__5348"/>
      <sheetName val="[Spt-BH.xls][Spt-BH_xls]B__5349"/>
      <sheetName val="[Spt-BH.xls][Spt-BH_xls]_S_1770"/>
      <sheetName val="[Spt-BH.xls][Spt-BH_xls]B__5350"/>
      <sheetName val="[Spt-BH.xls][Spt-BH_xls]B__5351"/>
      <sheetName val="[Spt-BH.xls][Spt-BH_xls]_S_1771"/>
      <sheetName val="[Spt-BH.xls][Spt-BH.xls]B__5500"/>
      <sheetName val="[Spt-BH.xls][Spt-BH.xls]B__5501"/>
      <sheetName val="[Spt-BH.xls][Spt-BH.xls]_S_1918"/>
      <sheetName val="[Spt-BH.xls][Spt-BH.xls]B__5502"/>
      <sheetName val="[Spt-BH.xls][Spt-BH.xls]B__5503"/>
      <sheetName val="[Spt-BH.xls][Spt-BH.xls]B__5507"/>
      <sheetName val="[Spt-BH.xls][Spt-BH.xls]B__5508"/>
      <sheetName val="[Spt-BH.xls][Spt-BH.xls]_S_1920"/>
      <sheetName val="[Spt-BH.xls][Spt-BH.xls]B__5509"/>
      <sheetName val="[Spt-BH.xls][Spt-BH.xls]B__5510"/>
      <sheetName val="[Spt-BH.xls]B____x005f_x0004______444"/>
      <sheetName val="[Spt-BH.xls][Spt-BH.xls]B__5504"/>
      <sheetName val="[Spt-BH.xls][Spt-BH.xls]_S_1916"/>
      <sheetName val="[Spt-BH.xls][Spt-BH.xls]B__5505"/>
      <sheetName val="[Spt-BH.xls]B___x005f_x0000__x000_436"/>
      <sheetName val="[Spt-BH.xls][Spt-BH.xls]B__5511"/>
      <sheetName val="[Spt-BH.xls][Spt-BH.xls]B__5512"/>
      <sheetName val="[Spt-BH.xls][Spt-BH.xls]B__5506"/>
      <sheetName val="[Spt-BH.xls][Spt-BH.xls]_S_1919"/>
      <sheetName val="[Spt-BH.xls][Spt-BH_xls]B__5367"/>
      <sheetName val="[Spt-BH.xls][Spt-BH_xls]B__5368"/>
      <sheetName val="[Spt-BH.xls][Spt-BH_xls]B__5369"/>
      <sheetName val="[Spt-BH.xls][Spt-BH_xls]B__5370"/>
      <sheetName val="[Spt-BH.xls][Spt-BH_xls]_S_1777"/>
      <sheetName val="[Spt-BH.xls][Spt-BH_xls]B__5371"/>
      <sheetName val="[Spt-BH.xls][Spt-BH_xls]B__5372"/>
      <sheetName val="[Spt-BH.xls][Spt-BH_xls]B__5373"/>
      <sheetName val="[Spt-BH.xls][Spt-BH_xls]_S_1778"/>
      <sheetName val="[Spt-BH.xls][Spt-BH_xls]B__5374"/>
      <sheetName val="[Spt-BH.xls][Spt-BH_xls]B__5375"/>
      <sheetName val="[Spt-BH.xls][Spt-BH_xls]B__5376"/>
      <sheetName val="[Spt-BH.xls][Spt-BH_xls]B__5377"/>
      <sheetName val="[Spt-BH.xls][Spt-BH_xls]_S_1779"/>
      <sheetName val="[Spt-BH.xls][Spt-BH.xls]_S_1917"/>
      <sheetName val="[Spt-BH.xls][Spt-BH_xls]B__5378"/>
      <sheetName val="[Spt-BH.xls][Spt-BH_xls]B__5379"/>
      <sheetName val="[Spt-BH.xls][Spt-BH_xls]_S_1780"/>
      <sheetName val="[Spt-BH.xls][Spt-BH_xls]B__5380"/>
      <sheetName val="[Spt-BH.xls][Spt-BH_xls]B__5381"/>
      <sheetName val="[Spt-BH.xls][Spt-BH_xls]_S_1781"/>
      <sheetName val="[Spt-BH.xls][Spt-BH.xls]B__5493"/>
      <sheetName val="[Spt-BH.xls][Spt-BH.xls]B__5494"/>
      <sheetName val="[Spt-BH.xls][Spt-BH.xls]B__5495"/>
      <sheetName val="[Spt-BH.xls][Spt-BH.xls]B__5496"/>
      <sheetName val="[Spt-BH.xls]B____x005f_x0004______443"/>
      <sheetName val="[Spt-BH.xls][Spt-BH.xls]B__5497"/>
      <sheetName val="[Spt-BH.xls][Spt-BH.xls]_S_1914"/>
      <sheetName val="[Spt-BH.xls][Spt-BH.xls]B__5498"/>
      <sheetName val="[Spt-BH.xls]B___x005f_x0000__x000_435"/>
      <sheetName val="[Spt-BH.xls][Spt-BH.xls]B__5499"/>
      <sheetName val="[Spt-BH.xls][Spt-BH_xls]B__5352"/>
      <sheetName val="[Spt-BH.xls][Spt-BH_xls]B__5353"/>
      <sheetName val="[Spt-BH.xls][Spt-BH_xls]B__5354"/>
      <sheetName val="[Spt-BH.xls][Spt-BH_xls]B__5355"/>
      <sheetName val="[Spt-BH.xls][Spt-BH_xls]_S_1772"/>
      <sheetName val="[Spt-BH.xls][Spt-BH_xls]B__5356"/>
      <sheetName val="[Spt-BH.xls][Spt-BH_xls]B__5357"/>
      <sheetName val="[Spt-BH.xls][Spt-BH_xls]B__5358"/>
      <sheetName val="[Spt-BH.xls][Spt-BH_xls]_S_1773"/>
      <sheetName val="[Spt-BH.xls][Spt-BH_xls]B__5359"/>
      <sheetName val="[Spt-BH.xls][Spt-BH_xls]B__5360"/>
      <sheetName val="[Spt-BH.xls][Spt-BH_xls]B__5361"/>
      <sheetName val="[Spt-BH.xls][Spt-BH_xls]B__5362"/>
      <sheetName val="[Spt-BH.xls][Spt-BH_xls]_S_1774"/>
      <sheetName val="[Spt-BH.xls][Spt-BH.xls]_S_1915"/>
      <sheetName val="[Spt-BH.xls][Spt-BH_xls]B__5363"/>
      <sheetName val="[Spt-BH.xls][Spt-BH_xls]B__5364"/>
      <sheetName val="[Spt-BH.xls][Spt-BH_xls]_S_1775"/>
      <sheetName val="[Spt-BH.xls][Spt-BH_xls]B__5365"/>
      <sheetName val="[Spt-BH.xls][Spt-BH_xls]B__5366"/>
      <sheetName val="[Spt-BH.xls][Spt-BH_xls]_S_1776"/>
      <sheetName val="[Spt-BH.xls][Spt-BH.xls]_S_1921"/>
      <sheetName val="[Spt-BH.xls][Spt-BH.xls]_S_1922"/>
      <sheetName val="[Spt-BH.xls][Spt-BH.xls]_S_1925"/>
      <sheetName val="[Spt-BH.xls][Spt-BH.xls]B__5520"/>
      <sheetName val="[Spt-BH.xls][Spt-BH.xls]B__5521"/>
      <sheetName val="[Spt-BH.xls][Spt-BH.xls]B__5522"/>
      <sheetName val="[Spt-BH.xls][Spt-BH.xls]B__5523"/>
      <sheetName val="[Spt-BH.xls]B____x005f_x0004______446"/>
      <sheetName val="[Spt-BH.xls][Spt-BH.xls]B__5524"/>
      <sheetName val="[Spt-BH.xls][Spt-BH.xls]B__5525"/>
      <sheetName val="[Spt-BH.xls]B___x005f_x0000__x000_438"/>
      <sheetName val="[Spt-BH.xls][Spt-BH.xls]B__5526"/>
      <sheetName val="[Spt-BH.xls][Spt-BH_xls]B__5397"/>
      <sheetName val="[Spt-BH.xls][Spt-BH_xls]B__5398"/>
      <sheetName val="[Spt-BH.xls][Spt-BH_xls]B__5399"/>
      <sheetName val="[Spt-BH.xls][Spt-BH_xls]B__5400"/>
      <sheetName val="[Spt-BH.xls][Spt-BH_xls]_S_1787"/>
      <sheetName val="[Spt-BH.xls][Spt-BH_xls]B__5401"/>
      <sheetName val="[Spt-BH.xls][Spt-BH_xls]B__5402"/>
      <sheetName val="[Spt-BH.xls][Spt-BH_xls]B__5403"/>
      <sheetName val="[Spt-BH.xls][Spt-BH_xls]_S_1788"/>
      <sheetName val="[Spt-BH.xls][Spt-BH_xls]B__5404"/>
      <sheetName val="[Spt-BH.xls][Spt-BH_xls]B__5405"/>
      <sheetName val="[Spt-BH.xls][Spt-BH_xls]B__5406"/>
      <sheetName val="[Spt-BH.xls][Spt-BH_xls]B__5407"/>
      <sheetName val="[Spt-BH.xls][Spt-BH_xls]_S_1789"/>
      <sheetName val="[Spt-BH.xls][Spt-BH.xls]_S_1926"/>
      <sheetName val="[Spt-BH.xls][Spt-BH_xls]B__5408"/>
      <sheetName val="[Spt-BH.xls][Spt-BH_xls]B__5409"/>
      <sheetName val="[Spt-BH.xls][Spt-BH_xls]_S_1790"/>
      <sheetName val="[Spt-BH.xls][Spt-BH_xls]B__5410"/>
      <sheetName val="[Spt-BH.xls][Spt-BH_xls]B__5411"/>
      <sheetName val="[Spt-BH.xls][Spt-BH_xls]_S_1791"/>
      <sheetName val="[Spt-BH.xls][Spt-BH.xls]_S_1923"/>
      <sheetName val="[Spt-BH.xls][Spt-BH.xls]B__5513"/>
      <sheetName val="[Spt-BH.xls][Spt-BH.xls]B__5514"/>
      <sheetName val="[Spt-BH.xls][Spt-BH.xls]B__5515"/>
      <sheetName val="[Spt-BH.xls][Spt-BH.xls]B__5516"/>
      <sheetName val="[Spt-BH.xls]B____x005f_x0004______445"/>
      <sheetName val="[Spt-BH.xls][Spt-BH.xls]B__5517"/>
      <sheetName val="[Spt-BH.xls][Spt-BH.xls]B__5518"/>
      <sheetName val="[Spt-BH.xls]B___x005f_x0000__x000_437"/>
      <sheetName val="[Spt-BH.xls][Spt-BH.xls]B__5519"/>
      <sheetName val="[Spt-BH.xls][Spt-BH_xls]B__5382"/>
      <sheetName val="[Spt-BH.xls][Spt-BH_xls]B__5383"/>
      <sheetName val="[Spt-BH.xls][Spt-BH_xls]B__5384"/>
      <sheetName val="[Spt-BH.xls][Spt-BH_xls]B__5385"/>
      <sheetName val="[Spt-BH.xls][Spt-BH_xls]_S_1782"/>
      <sheetName val="[Spt-BH.xls][Spt-BH_xls]B__5386"/>
      <sheetName val="[Spt-BH.xls][Spt-BH_xls]B__5387"/>
      <sheetName val="[Spt-BH.xls][Spt-BH_xls]B__5388"/>
      <sheetName val="[Spt-BH.xls][Spt-BH_xls]_S_1783"/>
      <sheetName val="[Spt-BH.xls][Spt-BH_xls]B__5389"/>
      <sheetName val="[Spt-BH.xls][Spt-BH_xls]B__5390"/>
      <sheetName val="[Spt-BH.xls][Spt-BH_xls]B__5391"/>
      <sheetName val="[Spt-BH.xls][Spt-BH_xls]B__5392"/>
      <sheetName val="[Spt-BH.xls][Spt-BH_xls]_S_1784"/>
      <sheetName val="[Spt-BH.xls][Spt-BH.xls]_S_1924"/>
      <sheetName val="[Spt-BH.xls][Spt-BH_xls]B__5393"/>
      <sheetName val="[Spt-BH.xls][Spt-BH_xls]B__5394"/>
      <sheetName val="[Spt-BH.xls][Spt-BH_xls]_S_1785"/>
      <sheetName val="[Spt-BH.xls][Spt-BH_xls]B__5395"/>
      <sheetName val="[Spt-BH.xls][Spt-BH_xls]B__5396"/>
      <sheetName val="[Spt-BH.xls][Spt-BH_xls]_S_1786"/>
      <sheetName val="[Spt-BH.xls][Spt-BH.xls]B__5527"/>
      <sheetName val="[Spt-BH.xls][Spt-BH.xls]B__5528"/>
      <sheetName val="[Spt-BH.xls][Spt-BH.xls]_S_1930"/>
      <sheetName val="[Spt-BH.xls][Spt-BH.xls]B__5529"/>
      <sheetName val="[Spt-BH.xls][Spt-BH.xls]B__5530"/>
      <sheetName val="[Spt-BH.xls][Spt-BH.xls]_S_1928"/>
      <sheetName val="[Spt-BH.xls][Spt-BH.xls]B__5531"/>
      <sheetName val="[Spt-BH.xls][Spt-BH.xls]B__5532"/>
      <sheetName val="[Spt-BH.xls][Spt-BH.xls]_S_1929"/>
      <sheetName val="[Spt-BH.xls][Spt-BH.xls]_S_1927"/>
      <sheetName val="[Spt-BH.xls][Spt-BH.xls]B__5534"/>
      <sheetName val="[Spt-BH.xls][Spt-BH.xls]B__5535"/>
      <sheetName val="[Spt-BH.xls][Spt-BH.xls]_S_1932"/>
      <sheetName val="[Spt-BH.xls][Spt-BH.xls]B__5536"/>
      <sheetName val="[Spt-BH.xls][Spt-BH.xls]B__5537"/>
      <sheetName val="[Spt-BH.xls]B____x005f_x0004______447"/>
      <sheetName val="[Spt-BH.xls]B___x005f_x0000__x000_439"/>
      <sheetName val="[Spt-BH.xls][Spt-BH.xls]B__5538"/>
      <sheetName val="[Spt-BH.xls][Spt-BH.xls]B__5539"/>
      <sheetName val="[Spt-BH.xls][Spt-BH.xls]B__5533"/>
      <sheetName val="[Spt-BH.xls][Spt-BH.xls]_S_1931"/>
      <sheetName val="[Spt-BH.xls][Spt-BH_xls]B__5412"/>
      <sheetName val="[Spt-BH.xls][Spt-BH_xls]B__5413"/>
      <sheetName val="[Spt-BH.xls][Spt-BH_xls]B__5414"/>
      <sheetName val="[Spt-BH.xls][Spt-BH_xls]B__5415"/>
      <sheetName val="[Spt-BH.xls][Spt-BH_xls]_S_1792"/>
      <sheetName val="[Spt-BH.xls][Spt-BH_xls]B__5416"/>
      <sheetName val="[Spt-BH.xls][Spt-BH_xls]B__5417"/>
      <sheetName val="[Spt-BH.xls][Spt-BH_xls]B__5418"/>
      <sheetName val="[Spt-BH.xls][Spt-BH_xls]_S_1793"/>
      <sheetName val="[Spt-BH.xls][Spt-BH_xls]B__5419"/>
      <sheetName val="[Spt-BH.xls][Spt-BH_xls]B__5420"/>
      <sheetName val="[Spt-BH.xls][Spt-BH_xls]B__5421"/>
      <sheetName val="[Spt-BH.xls][Spt-BH_xls]B__5422"/>
      <sheetName val="[Spt-BH.xls][Spt-BH_xls]_S_1794"/>
      <sheetName val="[Spt-BH.xls][Spt-BH_xls]B__5423"/>
      <sheetName val="[Spt-BH.xls][Spt-BH_xls]B__5424"/>
      <sheetName val="[Spt-BH.xls][Spt-BH_xls]_S_1795"/>
      <sheetName val="[Spt-BH.xls][Spt-BH_xls]B__5425"/>
      <sheetName val="[Spt-BH.xls][Spt-BH_xls]B__5426"/>
      <sheetName val="[Spt-BH.xls][Spt-BH_xls]_S_1796"/>
      <sheetName val="[Spt-BH.xls][Spt-BH.xls]B__5540"/>
      <sheetName val="[Spt-BH.xls][Spt-BH.xls]B__5541"/>
      <sheetName val="[Spt-BH.xls][Spt-BH.xls]_S_1933"/>
      <sheetName val="[Spt-BH.xls][Spt-BH.xls]_S_1934"/>
      <sheetName val="[Spt-BH.xls][Spt-BH.xls]B__5549"/>
      <sheetName val="[Spt-BH.xls][Spt-BH.xls]B__5550"/>
      <sheetName val="[Spt-BH.xls][Spt-BH.xls]B__5551"/>
      <sheetName val="[Spt-BH.xls][Spt-BH.xls]B__5552"/>
      <sheetName val="[Spt-BH.xls]B____x005f_x0004______448"/>
      <sheetName val="[Spt-BH.xls][Spt-BH.xls]B__5542"/>
      <sheetName val="[Spt-BH.xls][Spt-BH.xls]B__5543"/>
      <sheetName val="[Spt-BH.xls][Spt-BH.xls]_S_1936"/>
      <sheetName val="[Spt-BH.xls][Spt-BH.xls]B__5544"/>
      <sheetName val="[Spt-BH.xls][Spt-BH.xls]B__5545"/>
      <sheetName val="[Spt-BH.xls][Spt-BH.xls]B__5546"/>
      <sheetName val="[Spt-BH.xls]B___x005f_x0000__x000_440"/>
      <sheetName val="[Spt-BH.xls][Spt-BH.xls]B__5553"/>
      <sheetName val="[Spt-BH.xls][Spt-BH.xls]B__5554"/>
      <sheetName val="[Spt-BH.xls][Spt-BH.xls]B__5547"/>
      <sheetName val="[Spt-BH.xls][Spt-BH.xls]B__5548"/>
      <sheetName val="[Spt-BH.xls][Spt-BH.xls]_S_1937"/>
      <sheetName val="[Spt-BH.xls][Spt-BH_xls]B__5427"/>
      <sheetName val="[Spt-BH.xls][Spt-BH_xls]B__5428"/>
      <sheetName val="[Spt-BH.xls][Spt-BH_xls]B__5429"/>
      <sheetName val="[Spt-BH.xls][Spt-BH_xls]B__5430"/>
      <sheetName val="[Spt-BH.xls][Spt-BH_xls]_S_1797"/>
      <sheetName val="[Spt-BH.xls][Spt-BH_xls]B__5431"/>
      <sheetName val="[Spt-BH.xls][Spt-BH_xls]B__5432"/>
      <sheetName val="[Spt-BH.xls][Spt-BH_xls]B__5433"/>
      <sheetName val="[Spt-BH.xls][Spt-BH_xls]_S_1798"/>
      <sheetName val="[Spt-BH.xls][Spt-BH_xls]B__5434"/>
      <sheetName val="[Spt-BH.xls][Spt-BH_xls]B__5435"/>
      <sheetName val="[Spt-BH.xls][Spt-BH_xls]B__5436"/>
      <sheetName val="[Spt-BH.xls][Spt-BH_xls]B__5437"/>
      <sheetName val="[Spt-BH.xls][Spt-BH_xls]_S_1799"/>
      <sheetName val="[Spt-BH.xls][Spt-BH.xls]_S_1935"/>
      <sheetName val="[Spt-BH.xls][Spt-BH_xls]B__5438"/>
      <sheetName val="[Spt-BH.xls][Spt-BH_xls]B__5439"/>
      <sheetName val="[Spt-BH.xls][Spt-BH_xls]_S_1800"/>
      <sheetName val="[Spt-BH.xls][Spt-BH_xls]B__5440"/>
      <sheetName val="[Spt-BH.xls][Spt-BH_xls]B__5441"/>
      <sheetName val="[Spt-BH.xls][Spt-BH_xls]_S_1801"/>
      <sheetName val="std.wt."/>
      <sheetName val="Electrical"/>
      <sheetName val="Sqn_Abs__G_1"/>
      <sheetName val="SSR _ NSSR Market final"/>
      <sheetName val="SàQa_x0005_@___²"/>
      <sheetName val="_Spt-BH.xls_B____x0004________4"/>
      <sheetName val="_Spt-BH.xls_B___x0000__x0004__4"/>
      <sheetName val="_Spt-BH.xls_B____x0004________3"/>
      <sheetName val="_Spt-BH.xls_B___x0000__x0004__3"/>
      <sheetName val="_Spt-BH.xls_B____x0004________2"/>
      <sheetName val="_Spt-BH.xls_B___x0000__x0004__2"/>
      <sheetName val="_Spt-BH.xls_B____x0004________6"/>
      <sheetName val="_Spt-BH.xls_B___x0000__x0004__6"/>
      <sheetName val="_Spt-BH.xls_B____x0004________5"/>
      <sheetName val="_Spt-BH.xls_B___x0000__x0004__5"/>
      <sheetName val="_Spt-BH.xls_B__"/>
      <sheetName val="STOCKWTG"/>
      <sheetName val="DEPOT WBS"/>
      <sheetName val="SYSTEM GROUPS"/>
      <sheetName val="jmr which has not takken in Ra-"/>
      <sheetName val="CABLERET"/>
      <sheetName val="Materials "/>
      <sheetName val="Design Requirements"/>
      <sheetName val="rev.02"/>
      <sheetName val="SBS Abstract Backup"/>
      <sheetName val="Stub Col"/>
      <sheetName val="FF SlabBeam"/>
      <sheetName val="F.Slab"/>
      <sheetName val="Plinth Beam1"/>
      <sheetName val="BFS"/>
      <sheetName val="sqn_abs"/>
      <sheetName val="Quotation"/>
      <sheetName val="feasi"/>
      <sheetName val="Staff Acco_"/>
      <sheetName val="(10) Other Costs5"/>
      <sheetName val="Wall"/>
      <sheetName val="Mmt"/>
      <sheetName val="BQ_List"/>
      <sheetName val="[Spt-BH_xls][Spt-BH_xls]_Spt_10"/>
      <sheetName val="B@_?@?_x0000"/>
      <sheetName val="Camp_Power_Cost1"/>
      <sheetName val="[Spt-BH_xls][Spt-BH_xls]_Spt__7"/>
      <sheetName val="[Spt-BH_xls][Spt-BH_xls]B____27"/>
      <sheetName val="[Spt-BH_xls][Spt-BH_xls]_Spt__9"/>
      <sheetName val="[Spt-BH_xls][Spt-BH_xls]B____35"/>
      <sheetName val="[Spt-BH_xls][Spt-BH_xls]B____36"/>
      <sheetName val="[Spt-BH_xls][Spt-BH_xls]B____37"/>
      <sheetName val="[Spt-BH_xls][Spt-BH_xls]B____38"/>
      <sheetName val="[Spt-BH_xls][Spt-BH_xls]B____39"/>
      <sheetName val="[Spt-BH_xls][Spt-BH_xls]B____40"/>
      <sheetName val="[Spt-BH_xls]B____x005f_x0004________5"/>
      <sheetName val="[Spt-BH_xls]B___x005f_x0000__x005f_x0004__5"/>
      <sheetName val="[Spt-BH_xls][Spt-BH_xls]B____41"/>
      <sheetName val="[Spt-BH_xls][Spt-BH_xls]_Spt__8"/>
      <sheetName val="[Spt-BH_xls][Spt-BH_xls]B____28"/>
      <sheetName val="[Spt-BH_xls][Spt-BH_xls]B____29"/>
      <sheetName val="[Spt-BH_xls][Spt-BH_xls]B____30"/>
      <sheetName val="[Spt-BH_xls][Spt-BH_xls]B____31"/>
      <sheetName val="[Spt-BH_xls][Spt-BH_xls]B____32"/>
      <sheetName val="[Spt-BH_xls][Spt-BH_xls]B____33"/>
      <sheetName val="[Spt-BH_xls][Spt-BH_xls]B____34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42"/>
      <sheetName val="[Spt-BH_xls][Spt-BH_xls]B____43"/>
      <sheetName val="[Spt-BH_xls][Spt-BH_xls]B____44"/>
      <sheetName val="[Spt-BH_xls][Spt-BH_xls]_Spt_12"/>
      <sheetName val="[Spt-BH_xls][Spt-BH_xls]B____45"/>
      <sheetName val="[Spt-BH_xls][Spt-BH_xls]B____46"/>
      <sheetName val="[Spt-BH_xls][Spt-BH_xls]B____47"/>
      <sheetName val="[Spt-BH_xls]B____x005f_x0004________6"/>
      <sheetName val="[Spt-BH_xls]B___x005f_x0000__x005f_x0004__6"/>
      <sheetName val="[Spt-BH_xls][Spt-BH_xls]B____53"/>
      <sheetName val="[Spt-BH_xls][Spt-BH_xls]B____54"/>
      <sheetName val="[Spt-BH_xls][Spt-BH_xls]B____48"/>
      <sheetName val="[Spt-BH_xls][Spt-BH_xls]B____76"/>
      <sheetName val="[Spt-BH_xls][Spt-BH_xls]B____77"/>
      <sheetName val="[Spt-BH_xls][Spt-BH_xls]B____78"/>
      <sheetName val="[Spt-BH_xls][Spt-BH_xls]_Spt_34"/>
      <sheetName val="[Spt-BH_xls][Spt-BH_xls]B____79"/>
      <sheetName val="[Spt-BH_xls][Spt-BH_xls]_Spt_21"/>
      <sheetName val="[Spt-BH_xls][Spt-BH_xls]B____80"/>
      <sheetName val="[Spt-BH_xls][Spt-BH_xls]B____81"/>
      <sheetName val="[Spt-BH_xls][Spt-BH_xls]_Spt_14"/>
      <sheetName val="[Spt-BH_xls]B____x005f_x0004________7"/>
      <sheetName val="[Spt-BH_xls]B___x005f_x0000__x005f_x0004__7"/>
      <sheetName val="[Spt-BH_xls]B____x005f_x0004________8"/>
      <sheetName val="[Spt-BH_xls]B___x005f_x0000__x005f_x0004__8"/>
      <sheetName val="[Spt-BH_xls][Spt-BH_xls]_Spt_13"/>
      <sheetName val="[Spt-BH_xls]B____x005f_x0004________9"/>
      <sheetName val="[Spt-BH_xls]B___x005f_x0000__x005f_x0004__9"/>
      <sheetName val="[Spt-BH_xls][Spt-BH_xls]B____55"/>
      <sheetName val="[Spt-BH_xls][Spt-BH_xls]B____56"/>
      <sheetName val="[Spt-BH_xls][Spt-BH_xls]B____57"/>
      <sheetName val="[Spt-BH_xls][Spt-BH_xls]_Spt_16"/>
      <sheetName val="[Spt-BH_xls][Spt-BH_xls]B____58"/>
      <sheetName val="[Spt-BH_xls][Spt-BH_xls]B____59"/>
      <sheetName val="[Spt-BH_xls]B____x005f_x0004_______10"/>
      <sheetName val="[Spt-BH_xls]B___x005f_x0000__x005f_x0004_10"/>
      <sheetName val="[Spt-BH_xls][Spt-BH_xls]B____60"/>
      <sheetName val="[Spt-BH_xls][Spt-BH_xls]_Spt_15"/>
      <sheetName val="[Spt-BH_xls][Spt-BH_xls]B____61"/>
      <sheetName val="[Spt-BH_xls][Spt-BH_xls]B____62"/>
      <sheetName val="[Spt-BH_xls][Spt-BH_xls]_Spt_17"/>
      <sheetName val="[Spt-BH_xls][Spt-BH_xls]B____63"/>
      <sheetName val="[Spt-BH_xls][Spt-BH_xls]B____64"/>
      <sheetName val="[Spt-BH_xls][Spt-BH_xls]B____65"/>
      <sheetName val="[Spt-BH_xls][Spt-BH_xls]_Spt_18"/>
      <sheetName val="[Spt-BH_xls][Spt-BH_xls]B____66"/>
      <sheetName val="[Spt-BH_xls][Spt-BH_xls]B____67"/>
      <sheetName val="[Spt-BH_xls][Spt-BH_xls]_Spt_19"/>
      <sheetName val="[Spt-BH_xls][Spt-BH_xls]B____68"/>
      <sheetName val="[Spt-BH_xls][Spt-BH_xls]B____69"/>
      <sheetName val="[Spt-BH_xls][Spt-BH_xls]B____70"/>
      <sheetName val="[Spt-BH_xls][Spt-BH_xls]B____71"/>
      <sheetName val="[Spt-BH_xls][Spt-BH_xls]B____72"/>
      <sheetName val="[Spt-BH_xls][Spt-BH_xls]_Spt_20"/>
      <sheetName val="[Spt-BH_xls][Spt-BH_xls]B____73"/>
      <sheetName val="[Spt-BH_xls][Spt-BH_xls]B____74"/>
      <sheetName val="[Spt-BH_xls]B____x005f_x0004_______11"/>
      <sheetName val="[Spt-BH_xls]B___x005f_x0000__x005f_x0004_11"/>
      <sheetName val="[Spt-BH_xls][Spt-BH_xls]B____75"/>
      <sheetName val="[Spt-BH_xls][Spt-BH_xls]B___115"/>
      <sheetName val="[Spt-BH_xls][Spt-BH_xls]B___116"/>
      <sheetName val="[Spt-BH_xls][Spt-BH_xls]B___117"/>
      <sheetName val="[Spt-BH_xls][Spt-BH_xls]_Spt_35"/>
      <sheetName val="[Spt-BH_xls][Spt-BH_xls]B___118"/>
      <sheetName val="[Spt-BH_xls][Spt-BH_xls]B___119"/>
      <sheetName val="[Spt-BH_xls][Spt-BH_xls]B___120"/>
      <sheetName val="[Spt-BH_xls][Spt-BH_xls]_Spt_22"/>
      <sheetName val="[Spt-BH_xls][Spt-BH_xls]B____82"/>
      <sheetName val="[Spt-BH_xls][Spt-BH_xls]B____83"/>
      <sheetName val="[Spt-BH_xls][Spt-BH_xls]B____84"/>
      <sheetName val="[Spt-BH_xls][Spt-BH_xls]B____85"/>
      <sheetName val="[Spt-BH_xls][Spt-BH_xls]B____86"/>
      <sheetName val="[Spt-BH_xls][Spt-BH_xls]B____87"/>
      <sheetName val="[Spt-BH_xls][Spt-BH_xls]_Spt_23"/>
      <sheetName val="[Spt-BH_xls][Spt-BH_xls]B____88"/>
      <sheetName val="[Spt-BH_xls][Spt-BH_xls]B____89"/>
      <sheetName val="[Spt-BH_xls][Spt-BH_xls]B____90"/>
      <sheetName val="[Spt-BH_xls][Spt-BH_xls]B____91"/>
      <sheetName val="[Spt-BH_xls][Spt-BH_xls]B____92"/>
      <sheetName val="[Spt-BH_xls][Spt-BH_xls]B____93"/>
      <sheetName val="[Spt-BH_xls][Spt-BH_xls]_Spt_24"/>
      <sheetName val="[Spt-BH_xls][Spt-BH_xls]B____94"/>
      <sheetName val="[Spt-BH_xls][Spt-BH_xls]B____95"/>
      <sheetName val="[Spt-BH_xls][Spt-BH_xls]B____96"/>
      <sheetName val="[Spt-BH_xls][Spt-BH_xls]B____97"/>
      <sheetName val="[Spt-BH_xls][Spt-BH_xls]B____98"/>
      <sheetName val="[Spt-BH_xls][Spt-BH_xls]B____99"/>
      <sheetName val="[Spt-BH_xls][Spt-BH_xls]_Spt_25"/>
      <sheetName val="[Spt-BH_xls][Spt-BH_xls]_Spt_26"/>
      <sheetName val="[Spt-BH_xls][Spt-BH_xls]B___100"/>
      <sheetName val="[Spt-BH_xls][Spt-BH_xls]B___101"/>
      <sheetName val="[Spt-BH_xls][Spt-BH_xls]B___102"/>
      <sheetName val="[Spt-BH_xls][Spt-BH_xls]B___103"/>
      <sheetName val="[Spt-BH_xls][Spt-BH_xls]B___104"/>
      <sheetName val="[Spt-BH_xls][Spt-BH_xls]B___105"/>
      <sheetName val="입찰내역_발주처_양식"/>
      <sheetName val="SC_Cost_FEB_03"/>
      <sheetName val="DM_tANK_Allow"/>
      <sheetName val="B@__@__x0000"/>
      <sheetName val="PANEL_ANNEXURE"/>
      <sheetName val="[Spt-BH_xls][Spt-BH_xls]_Spt_28"/>
      <sheetName val="[Spt-BH_xls][Spt-BH_xls]B___106"/>
      <sheetName val="[Spt-BH_xls][Spt-BH_xls]_Spt_30"/>
      <sheetName val="[Spt-BH_xls][Spt-BH_xls]B___107"/>
      <sheetName val="[Spt-BH_xls][Spt-BH_xls]B___108"/>
      <sheetName val="[Spt-BH_xls][Spt-BH_xls]B___109"/>
      <sheetName val="[Spt-BH_xls][Spt-BH_xls]_Spt_29"/>
      <sheetName val="20th_Office"/>
      <sheetName val="Schd_8_Input"/>
      <sheetName val="Emp_&amp;_Trng"/>
      <sheetName val="Rate_analysis-_BOQ_1_"/>
      <sheetName val="GR_slab-reinft"/>
      <sheetName val="[Spt-BH_xls][Spt-BH_xls]B___110"/>
      <sheetName val="Bank_Guarantee"/>
      <sheetName val="_Spt-BH_xls__Spt-BH_xls_B@__x00"/>
      <sheetName val="_Spt-BH_xls__Spt-BH_xls_B@___x0"/>
      <sheetName val="_Spt-BH_xls_B@__x005f_x0000__x0"/>
      <sheetName val="_Spt-BH_xls_B@_"/>
      <sheetName val="_Spt-BH_xls_B@__@_____$_"/>
      <sheetName val="_Spt-BH_xls__Spt-BH_xls_B@_@__$"/>
      <sheetName val="[Spt-BH_xls][Spt-BH_xls]B___111"/>
      <sheetName val="[Spt-BH_xls][Spt-BH_xls]B___112"/>
      <sheetName val="[Spt-BH_xls][Spt-BH_xls]B___113"/>
      <sheetName val="[Spt-BH_xls][Spt-BH_xls]B___114"/>
      <sheetName val="Operating_Statistics"/>
      <sheetName val="N_T-M-30_GDS"/>
      <sheetName val="PROVISIONAL_SUMS"/>
      <sheetName val="JSSL_BOQ"/>
      <sheetName val="N_T-M-45"/>
      <sheetName val="[Spt-BH_xls][Spt-BH_xls]B___121"/>
      <sheetName val="[Spt-BH_xls][Spt-BH_xls]_Spt_32"/>
      <sheetName val="[Spt-BH_xls][Spt-BH_xls]B___122"/>
      <sheetName val="[Spt-BH_xls][Spt-BH_xls]B___123"/>
      <sheetName val="[Spt-BH_xls][Spt-BH_xls]B___124"/>
      <sheetName val="[Spt-BH_xls]B____x005f_x0004_______12"/>
      <sheetName val="[Spt-BH_xls]B___x005f_x0000__x005f_x0004_12"/>
      <sheetName val="Rate_analysis_civil"/>
      <sheetName val="material_and_Labour_rate"/>
      <sheetName val="LIFE_&amp;_REP_PROVN"/>
      <sheetName val="O&amp;M_CREW"/>
      <sheetName val="[Spt-BH_xls][Spt-BH_xls]B___125"/>
      <sheetName val="[Spt-BH_xls][Spt-BH_xls]B___126"/>
      <sheetName val="[Spt-BH_xls][Spt-BH_xls]B___127"/>
      <sheetName val="[Spt-BH_xls][Spt-BH_xls]B___128"/>
      <sheetName val="Detail_In_Door_Stad"/>
      <sheetName val="[Spt-BH_xls][Spt-BH_xls]B___129"/>
      <sheetName val="[Spt-BH_xls][Spt-BH_xls]B___130"/>
      <sheetName val="Facilites_Master"/>
      <sheetName val="EQP_Master"/>
      <sheetName val="Contract_Status"/>
      <sheetName val="[Spt-BH_xls][Spt-BH_xls]B___131"/>
      <sheetName val="[Spt-BH_xls][Spt-BH_xls]_Spt_31"/>
      <sheetName val="[Spt-BH_xls][Spt-BH_xls]B___132"/>
      <sheetName val="[Spt-BH_xls][Spt-BH_xls]B___133"/>
      <sheetName val="[Spt-BH_xls][Spt-BH_xls]_Spt_27"/>
      <sheetName val="[Spt-BH_xls][Spt-BH_xls]B___134"/>
      <sheetName val="[Spt-BH_xls][Spt-BH_xls]B___135"/>
      <sheetName val="[Spt-BH_xls][Spt-BH_xls]_Spt_33"/>
      <sheetName val="[Spt-BH_xls][Spt-BH_xls]B___136"/>
      <sheetName val="[Spt-BH_xls][Spt-BH_xls]B___137"/>
      <sheetName val="[Spt-BH_xls][Spt-BH_xls]B___138"/>
      <sheetName val="[Spt-BH_xls][Spt-BH_xls]_Spt_37"/>
      <sheetName val="[Spt-BH_xls][Spt-BH_xls]B___139"/>
      <sheetName val="[Spt-BH_xls][Spt-BH_xls]_Spt_36"/>
      <sheetName val="[Spt-BH_xls][Spt-BH_xls]B___140"/>
      <sheetName val="[Spt-BH_xls][Spt-BH_xls]B___141"/>
      <sheetName val="[Spt-BH_xls][Spt-BH_xls]B___142"/>
      <sheetName val="[Spt-BH_xls][Spt-BH_xls]B___143"/>
      <sheetName val="[Spt-BH_xls][Spt-BH_xls]B___144"/>
      <sheetName val="[Spt-BH_xls][Spt-BH_xls]_Spt_39"/>
      <sheetName val="[Spt-BH_xls][Spt-BH_xls]B___145"/>
      <sheetName val="[Spt-BH_xls][Spt-BH_xls]_Spt_38"/>
      <sheetName val="[Spt-BH_xls][Spt-BH_xls]B___146"/>
      <sheetName val="[Spt-BH_xls][Spt-BH_xls]B___147"/>
      <sheetName val="[Spt-BH_xls][Spt-BH_xls]B___148"/>
      <sheetName val="[Spt-BH_xls][Spt-BH_xls]B___149"/>
      <sheetName val="[Spt-BH_xls][Spt-BH_xls]B___150"/>
      <sheetName val="[Spt-BH_xls][Spt-BH_xls]_Spt_40"/>
      <sheetName val="pr_cal11"/>
      <sheetName val="Abstract_for_Variation11"/>
      <sheetName val="LBD_VARIATION11"/>
      <sheetName val="Cost_of_O_&amp;_O11"/>
      <sheetName val="Fin_Sum11"/>
      <sheetName val="Material_List_11"/>
      <sheetName val="Inputs_&amp;_Summary_Output11"/>
      <sheetName val="Broad_Refresher_Model11"/>
      <sheetName val="TRF_details11"/>
      <sheetName val="Material_11"/>
      <sheetName val="Labour_&amp;_Plant11"/>
      <sheetName val="Materials_Cost11"/>
      <sheetName val="2_BHK2"/>
      <sheetName val="BALANCE-IOTL_2"/>
      <sheetName val="kppl_pl2"/>
      <sheetName val="BQ_List1"/>
      <sheetName val="[Spt-BH_xls][Spt-BH_xls]_Spt_41"/>
      <sheetName val="Prelims_Breakup1"/>
      <sheetName val="Staff_planning1"/>
      <sheetName val="1_yr_maintainance1"/>
      <sheetName val="Camp_Power_Cost2"/>
      <sheetName val="[Spt-BH_xls][Spt-BH_xls]B___151"/>
      <sheetName val="[Spt-BH_xls][Spt-BH_xls]B___152"/>
      <sheetName val="[Spt-BH_xls][Spt-BH_xls]B___153"/>
      <sheetName val="[Spt-BH_xls][Spt-BH_xls]_Spt_42"/>
      <sheetName val="[Spt-BH_xls][Spt-BH_xls]B___154"/>
      <sheetName val="[Spt-BH_xls][Spt-BH_xls]B___155"/>
      <sheetName val="[Spt-BH_xls][Spt-BH_xls]B___156"/>
      <sheetName val="[Spt-BH_xls][Spt-BH_xls]B___157"/>
      <sheetName val="[Spt-BH_xls][Spt-BH_xls]B___158"/>
      <sheetName val="[Spt-BH_xls][Spt-BH_xls]B___159"/>
      <sheetName val="[Spt-BH_xls][Spt-BH_xls]_Spt_43"/>
      <sheetName val="[Spt-BH_xls][Spt-BH_xls]B___160"/>
      <sheetName val="[Spt-BH_xls][Spt-BH_xls]B___161"/>
      <sheetName val="[Spt-BH_xls][Spt-BH_xls]B___162"/>
      <sheetName val="[Spt-BH_xls][Spt-BH_xls]B___163"/>
      <sheetName val="[Spt-BH_xls][Spt-BH_xls]_Spt_44"/>
      <sheetName val="[Spt-BH_xls][Spt-BH_xls]B___164"/>
      <sheetName val="[Spt-BH_xls][Spt-BH_xls]B___165"/>
      <sheetName val="[Spt-BH_xls][Spt-BH_xls]B___166"/>
      <sheetName val="[Spt-BH_xls][Spt-BH_xls]_Spt_45"/>
      <sheetName val="[Spt-BH_xls][Spt-BH_xls]B___167"/>
      <sheetName val="[Spt-BH_xls][Spt-BH_xls]B___168"/>
      <sheetName val="[Spt-BH_xls][Spt-BH_xls]B___169"/>
      <sheetName val="[Spt-BH_xls][Spt-BH_xls]B___170"/>
      <sheetName val="[Spt-BH_xls][Spt-BH_xls]B___171"/>
      <sheetName val="[Spt-BH_xls][Spt-BH_xls]B___172"/>
      <sheetName val="[Spt-BH_xls][Spt-BH_xls]_Spt_46"/>
      <sheetName val="[Spt-BH_xls][Spt-BH_xls]B___173"/>
      <sheetName val="[Spt-BH_xls]B____x005f_x0004_______13"/>
      <sheetName val="[Spt-BH_xls]B___x005f_x0000__x005f_x0004_13"/>
      <sheetName val="[Spt-BH_xls][Spt-BH_xls]B___174"/>
      <sheetName val="[Spt-BH_xls][Spt-BH_xls]B___175"/>
      <sheetName val="[Spt-BH_xls][Spt-BH_xls]B___176"/>
      <sheetName val="[Spt-BH_xls][Spt-BH_xls]_Spt_47"/>
      <sheetName val="[Spt-BH_xls][Spt-BH_xls]B___177"/>
      <sheetName val="[Spt-BH_xls][Spt-BH_xls]B___178"/>
      <sheetName val="[Spt-BH_xls][Spt-BH_xls]B___179"/>
      <sheetName val="[Spt-BH_xls][Spt-BH_xls]B___180"/>
      <sheetName val="[Spt-BH_xls][Spt-BH_xls]B___181"/>
      <sheetName val="[Spt-BH_xls][Spt-BH_xls]B___182"/>
      <sheetName val="[Spt-BH_xls]B____x005f_x0004_______14"/>
      <sheetName val="[Spt-BH_xls]B___x005f_x0000__x005f_x0004_14"/>
      <sheetName val="[Spt-BH_xls][Spt-BH_xls]B___183"/>
      <sheetName val="[Spt-BH_xls][Spt-BH_xls]_Spt_48"/>
      <sheetName val="[Spt-BH_xls][Spt-BH_xls]B___184"/>
      <sheetName val="[Spt-BH_xls][Spt-BH_xls]B___185"/>
      <sheetName val="[Spt-BH_xls][Spt-BH_xls]B___186"/>
      <sheetName val="[Spt-BH_xls][Spt-BH_xls]B___187"/>
      <sheetName val="[Spt-BH_xls][Spt-BH_xls]B___188"/>
      <sheetName val="[Spt-BH_xls][Spt-BH_xls]B___189"/>
      <sheetName val="[Spt-BH_xls]B____x005f_x0004_______15"/>
      <sheetName val="[Spt-BH_xls]B___x005f_x0000__x005f_x0004_15"/>
      <sheetName val="[Spt-BH_xls][Spt-BH_xls]B___190"/>
      <sheetName val="[Spt-BH_xls][Spt-BH_xls]B___191"/>
      <sheetName val="[Spt-BH_xls][Spt-BH_xls]B___192"/>
      <sheetName val="[Spt-BH_xls][Spt-BH_xls]B___193"/>
      <sheetName val="[Spt-BH_xls][Spt-BH_xls]B___194"/>
      <sheetName val="[Spt-BH_xls][Spt-BH_xls]_Spt_49"/>
      <sheetName val="[Spt-BH_xls][Spt-BH_xls]B___195"/>
      <sheetName val="[Spt-BH_xls][Spt-BH_xls]B___196"/>
      <sheetName val="[Spt-BH_xls][Spt-BH_xls]B___197"/>
      <sheetName val="[Spt-BH_xls][Spt-BH_xls]_Spt_50"/>
      <sheetName val="[Spt-BH_xls][Spt-BH_xls]B___198"/>
      <sheetName val="[Spt-BH_xls][Spt-BH_xls]B___199"/>
      <sheetName val="[Spt-BH_xls][Spt-BH_xls]B___200"/>
      <sheetName val="[Spt-BH_xls]B____x005f_x0004_______16"/>
      <sheetName val="[Spt-BH_xls]B___x005f_x0000__x005f_x0004_16"/>
      <sheetName val="[Spt-BH_xls][Spt-BH_xls]B___201"/>
      <sheetName val="[Spt-BH_xls][Spt-BH_xls]B___202"/>
      <sheetName val="[Spt-BH_xls][Spt-BH_xls]B___203"/>
      <sheetName val="[Spt-BH_xls][Spt-BH_xls]B___204"/>
      <sheetName val="[Spt-BH_xls][Spt-BH_xls]B___205"/>
      <sheetName val="[Spt-BH_xls][Spt-BH_xls]B___206"/>
      <sheetName val="[Spt-BH_xls][Spt-BH_xls]_Spt_51"/>
      <sheetName val="[Spt-BH_xls][Spt-BH_xls]B___207"/>
      <sheetName val="[Spt-BH_xls][Spt-BH_xls]_Spt_52"/>
      <sheetName val="[Spt-BH_xls][Spt-BH_xls]B___208"/>
      <sheetName val="[Spt-BH_xls][Spt-BH_xls]B___209"/>
      <sheetName val="[Spt-BH_xls][Spt-BH_xls]_Spt_53"/>
      <sheetName val="[Spt-BH_xls]B____x005f_x0004_______17"/>
      <sheetName val="[Spt-BH_xls]B___x005f_x0000__x005f_x0004_17"/>
      <sheetName val="[Spt-BH_xls]B____x005f_x0004_______18"/>
      <sheetName val="[Spt-BH_xls]B___x005f_x0000__x005f_x0004_18"/>
      <sheetName val="[Spt-BH_xls][Spt-BH_xls]_Spt_54"/>
      <sheetName val="[Spt-BH_xls]B____x005f_x0004_______19"/>
      <sheetName val="[Spt-BH_xls]B___x005f_x0000__x005f_x0004_19"/>
      <sheetName val="[Spt-BH_xls][Spt-BH_xls]B___210"/>
      <sheetName val="[Spt-BH_xls][Spt-BH_xls]B___211"/>
      <sheetName val="[Spt-BH_xls][Spt-BH_xls]B___212"/>
      <sheetName val="[Spt-BH_xls][Spt-BH_xls]_Spt_55"/>
      <sheetName val="[Spt-BH_xls][Spt-BH_xls]B___213"/>
      <sheetName val="[Spt-BH_xls][Spt-BH_xls]B___214"/>
      <sheetName val="[Spt-BH_xls]B____x005f_x0004_______20"/>
      <sheetName val="[Spt-BH_xls]B___x005f_x0000__x005f_x0004_20"/>
      <sheetName val="[Spt-BH_xls][Spt-BH_xls]B___215"/>
      <sheetName val="[Spt-BH_xls][Spt-BH_xls]_Spt_56"/>
      <sheetName val="[Spt-BH_xls][Spt-BH_xls]B___216"/>
      <sheetName val="[Spt-BH_xls][Spt-BH_xls]B___217"/>
      <sheetName val="[Spt-BH_xls][Spt-BH_xls]_Spt_57"/>
      <sheetName val="[Spt-BH_xls][Spt-BH_xls]B___218"/>
      <sheetName val="[Spt-BH_xls][Spt-BH_xls]B___219"/>
      <sheetName val="[Spt-BH_xls][Spt-BH_xls]B___220"/>
      <sheetName val="[Spt-BH_xls][Spt-BH_xls]_Spt_58"/>
      <sheetName val="[Spt-BH_xls][Spt-BH_xls]B___221"/>
      <sheetName val="[Spt-BH_xls][Spt-BH_xls]B___222"/>
      <sheetName val="[Spt-BH_xls][Spt-BH_xls]_Spt_59"/>
      <sheetName val="[Spt-BH_xls][Spt-BH_xls]B___223"/>
      <sheetName val="[Spt-BH_xls][Spt-BH_xls]B___224"/>
      <sheetName val="[Spt-BH_xls][Spt-BH_xls]B___225"/>
      <sheetName val="[Spt-BH_xls][Spt-BH_xls]B___226"/>
      <sheetName val="[Spt-BH_xls][Spt-BH_xls]B___227"/>
      <sheetName val="[Spt-BH_xls][Spt-BH_xls]_Spt_60"/>
      <sheetName val="[Spt-BH_xls][Spt-BH_xls]B___228"/>
      <sheetName val="[Spt-BH_xls][Spt-BH_xls]B___229"/>
      <sheetName val="[Spt-BH_xls]B____x005f_x0004_______21"/>
      <sheetName val="[Spt-BH_xls]B___x005f_x0000__x005f_x0004_21"/>
      <sheetName val="[Spt-BH_xls][Spt-BH_xls]B___230"/>
      <sheetName val="[Spt-BH_xls][Spt-BH_xls]B___231"/>
      <sheetName val="[Spt-BH_xls][Spt-BH_xls]B___232"/>
      <sheetName val="[Spt-BH_xls][Spt-BH_xls]B___233"/>
      <sheetName val="[Spt-BH_xls][Spt-BH_xls]_Spt_61"/>
      <sheetName val="[Spt-BH_xls][Spt-BH_xls]B___234"/>
      <sheetName val="[Spt-BH_xls][Spt-BH_xls]B___235"/>
      <sheetName val="[Spt-BH_xls][Spt-BH_xls]B___236"/>
      <sheetName val="[Spt-BH_xls][Spt-BH_xls]_Spt_62"/>
      <sheetName val="[Spt-BH_xls][Spt-BH_xls]B___237"/>
      <sheetName val="[Spt-BH_xls][Spt-BH_xls]B___238"/>
      <sheetName val="[Spt-BH_xls][Spt-BH_xls]B___239"/>
      <sheetName val="[Spt-BH_xls][Spt-BH_xls]B___240"/>
      <sheetName val="[Spt-BH_xls][Spt-BH_xls]B___241"/>
      <sheetName val="[Spt-BH_xls][Spt-BH_xls]B___242"/>
      <sheetName val="[Spt-BH_xls][Spt-BH_xls]_Spt_63"/>
      <sheetName val="[Spt-BH_xls][Spt-BH_xls]B___243"/>
      <sheetName val="[Spt-BH_xls][Spt-BH_xls]B___244"/>
      <sheetName val="[Spt-BH_xls][Spt-BH_xls]B___245"/>
      <sheetName val="[Spt-BH_xls][Spt-BH_xls]B___246"/>
      <sheetName val="[Spt-BH_xls][Spt-BH_xls]B___247"/>
      <sheetName val="[Spt-BH_xls][Spt-BH_xls]B___248"/>
      <sheetName val="[Spt-BH_xls][Spt-BH_xls]_Spt_64"/>
      <sheetName val="[Spt-BH_xls][Spt-BH_xls]B___249"/>
      <sheetName val="[Spt-BH_xls][Spt-BH_xls]B___250"/>
      <sheetName val="[Spt-BH_xls][Spt-BH_xls]B___251"/>
      <sheetName val="[Spt-BH_xls][Spt-BH_xls]B___252"/>
      <sheetName val="[Spt-BH_xls][Spt-BH_xls]B___253"/>
      <sheetName val="[Spt-BH_xls][Spt-BH_xls]B___254"/>
      <sheetName val="[Spt-BH_xls][Spt-BH_xls]_Spt_65"/>
      <sheetName val="[Spt-BH_xls][Spt-BH_xls]_Spt_66"/>
      <sheetName val="[Spt-BH_xls][Spt-BH_xls]B___255"/>
      <sheetName val="[Spt-BH_xls][Spt-BH_xls]B___256"/>
      <sheetName val="[Spt-BH_xls][Spt-BH_xls]B___257"/>
      <sheetName val="[Spt-BH_xls][Spt-BH_xls]B___258"/>
      <sheetName val="[Spt-BH_xls][Spt-BH_xls]B___259"/>
      <sheetName val="[Spt-BH_xls][Spt-BH_xls]B___260"/>
      <sheetName val="입찰내역_발주처_양식1"/>
      <sheetName val="SC_Cost_FEB_031"/>
      <sheetName val="DM_tANK_Allow1"/>
      <sheetName val="_Spt-BH_xls__Spt-BH_xls_B@_1"/>
      <sheetName val="_Spt-BH_xls__Spt-BH_xls__Spt-B1"/>
      <sheetName val="_Spt-BH_xls__Spt-BH_xls_B@__@_1"/>
      <sheetName val="PANEL_ANNEXURE1"/>
      <sheetName val="[Spt-BH_xls][Spt-BH_xls]_Spt_67"/>
      <sheetName val="[Spt-BH_xls][Spt-BH_xls]B___261"/>
      <sheetName val="[Spt-BH_xls][Spt-BH_xls]_Spt_68"/>
      <sheetName val="[Spt-BH_xls][Spt-BH_xls]B___262"/>
      <sheetName val="[Spt-BH_xls][Spt-BH_xls]B___263"/>
      <sheetName val="[Spt-BH_xls][Spt-BH_xls]B___264"/>
      <sheetName val="[Spt-BH_xls][Spt-BH_xls]_Spt_69"/>
      <sheetName val="20th_Office1"/>
      <sheetName val="SP_Break_Up1"/>
      <sheetName val="Schd_8_Input1"/>
      <sheetName val="Emp_&amp;_Trng1"/>
      <sheetName val="Rate_analysis-_BOQ_1_1"/>
      <sheetName val="GR_slab-reinft1"/>
      <sheetName val="[Spt-BH_xls][Spt-BH_xls]B___265"/>
      <sheetName val="[Spt-BH_xls][Spt-BH_xls]B___266"/>
      <sheetName val="Bank_Guarantee1"/>
      <sheetName val="_Spt-BH_xls__Spt-BH_xls_B@__x01"/>
      <sheetName val="_Spt-BH_xls__Spt-BH_xls_B@___x1"/>
      <sheetName val="_Spt-BH_xls_B@__x005f_x0000__x01"/>
      <sheetName val="_Spt-BH_xls_B@_1"/>
      <sheetName val="_Spt-BH_xls_B@_@__$1"/>
      <sheetName val="_Spt-BH_xls_B@__@_____$__1"/>
      <sheetName val="_Spt-BH_xls_B@__@___$_1"/>
      <sheetName val="_Spt-BH_xls__Spt-BH_xls_B@_@__1"/>
      <sheetName val="[Spt-BH_xls][Spt-BH_xls]B___267"/>
      <sheetName val="[Spt-BH_xls][Spt-BH_xls]B___268"/>
      <sheetName val="[Spt-BH_xls][Spt-BH_xls]B___269"/>
      <sheetName val="[Spt-BH_xls][Spt-BH_xls]B___270"/>
      <sheetName val="Operating_Statistics1"/>
      <sheetName val="N_T-M-30_GDS1"/>
      <sheetName val="PROVISIONAL_SUMS1"/>
      <sheetName val="JSSL_BOQ1"/>
      <sheetName val="N_T-M-451"/>
      <sheetName val="[Spt-BH_xls][Spt-BH_xls]B___271"/>
      <sheetName val="[Spt-BH_xls][Spt-BH_xls]_Spt_70"/>
      <sheetName val="[Spt-BH_xls][Spt-BH_xls]B___272"/>
      <sheetName val="[Spt-BH_xls][Spt-BH_xls]B___273"/>
      <sheetName val="[Spt-BH_xls][Spt-BH_xls]B___274"/>
      <sheetName val="[Spt-BH_xls]B____x005f_x0004_______22"/>
      <sheetName val="[Spt-BH_xls]B___x005f_x0000__x005f_x0004_22"/>
      <sheetName val="Rate_analysis_civil1"/>
      <sheetName val="material_and_Labour_rate1"/>
      <sheetName val="LIFE_&amp;_REP_PROVN1"/>
      <sheetName val="O&amp;M_CREW1"/>
      <sheetName val="[Spt-BH_xls][Spt-BH_xls]B___275"/>
      <sheetName val="[Spt-BH_xls][Spt-BH_xls]B___276"/>
      <sheetName val="[Spt-BH_xls][Spt-BH_xls]B___277"/>
      <sheetName val="[Spt-BH_xls][Spt-BH_xls]B___278"/>
      <sheetName val="Detail_In_Door_Stad1"/>
      <sheetName val="[Spt-BH_xls][Spt-BH_xls]B___279"/>
      <sheetName val="[Spt-BH_xls][Spt-BH_xls]B___280"/>
      <sheetName val="Facilites_Master1"/>
      <sheetName val="EQP_Master1"/>
      <sheetName val="Contract_Status1"/>
      <sheetName val="[Spt-BH_xls][Spt-BH_xls]B___281"/>
      <sheetName val="[Spt-BH_xls][Spt-BH_xls]_Spt_71"/>
      <sheetName val="[Spt-BH_xls][Spt-BH_xls]B___282"/>
      <sheetName val="[Spt-BH_xls][Spt-BH_xls]B___283"/>
      <sheetName val="[Spt-BH_xls][Spt-BH_xls]_Spt_72"/>
      <sheetName val="[Spt-BH_xls][Spt-BH_xls]B___284"/>
      <sheetName val="[Spt-BH_xls][Spt-BH_xls]B___285"/>
      <sheetName val="[Spt-BH_xls][Spt-BH_xls]_Spt_73"/>
      <sheetName val="[Spt-BH_xls][Spt-BH_xls]B___286"/>
      <sheetName val="[Spt-BH_xls][Spt-BH_xls]B___287"/>
      <sheetName val="[Spt-BH_xls][Spt-BH_xls]B___288"/>
      <sheetName val="[Spt-BH_xls][Spt-BH_xls]_Spt_74"/>
      <sheetName val="[Spt-BH_xls][Spt-BH_xls]B___289"/>
      <sheetName val="[Spt-BH_xls][Spt-BH_xls]_Spt_75"/>
      <sheetName val="[Spt-BH_xls][Spt-BH_xls]B___290"/>
      <sheetName val="[Spt-BH_xls][Spt-BH_xls]B___291"/>
      <sheetName val="[Spt-BH_xls][Spt-BH_xls]B___292"/>
      <sheetName val="[Spt-BH_xls][Spt-BH_xls]B___293"/>
      <sheetName val="[Spt-BH_xls][Spt-BH_xls]B___294"/>
      <sheetName val="[Spt-BH_xls][Spt-BH_xls]_Spt_76"/>
      <sheetName val="[Spt-BH_xls][Spt-BH_xls]B___295"/>
      <sheetName val="[Spt-BH_xls][Spt-BH_xls]_Spt_77"/>
      <sheetName val="[Spt-BH_xls][Spt-BH_xls]B___296"/>
      <sheetName val="[Spt-BH_xls][Spt-BH_xls]B___297"/>
      <sheetName val="[Spt-BH_xls][Spt-BH_xls]B___298"/>
      <sheetName val="[Spt-BH_xls][Spt-BH_xls]B___299"/>
      <sheetName val="[Spt-BH_xls][Spt-BH_xls]B___300"/>
      <sheetName val="[Spt-BH_xls][Spt-BH_xls]_Spt_78"/>
      <sheetName val="Abstract_for_Variation12"/>
      <sheetName val="LBD_VARIATION12"/>
      <sheetName val="LT_Motor_catalog13"/>
      <sheetName val="Cable_cat13"/>
      <sheetName val="PRRM_Dashboard30"/>
      <sheetName val="Debits_as_on_12_04_0828"/>
      <sheetName val="2_2_띠장의_설계7"/>
      <sheetName val="Cost_of_O_&amp;_O12"/>
      <sheetName val="pr_cal12"/>
      <sheetName val="TRF_details12"/>
      <sheetName val="Material_12"/>
      <sheetName val="Labour_&amp;_Plant12"/>
      <sheetName val="Index_28"/>
      <sheetName val="Email_Approval_Template28"/>
      <sheetName val="1_Executive_Summary28"/>
      <sheetName val="2_Risk_Assessment_Analysis28"/>
      <sheetName val="3_Pre-Approval28"/>
      <sheetName val="4_CIS28"/>
      <sheetName val="5_Change_Order28"/>
      <sheetName val="5_1__Re-book_De-book_order28"/>
      <sheetName val="6_Contract_Re-estimates28"/>
      <sheetName val="7a_BG_Approval_Form28"/>
      <sheetName val="7b_BG_Email_Approval_Template28"/>
      <sheetName val="8_LAD_Approval_Form28"/>
      <sheetName val="9_LOI_Checklist28"/>
      <sheetName val="10_RPS_Information_Form28"/>
      <sheetName val="11_Proj_Cashflow_28"/>
      <sheetName val="11_1_Cash-flow_Chart28"/>
      <sheetName val="Threshold_Calculator28"/>
      <sheetName val="Version_Control28"/>
      <sheetName val="Prebid_Review28"/>
      <sheetName val="DJC_Parameters28"/>
      <sheetName val="Selling_Summary28"/>
      <sheetName val="1-BAS_(cost)28"/>
      <sheetName val="Controller_Configuration28"/>
      <sheetName val="IO_Summary28"/>
      <sheetName val="2-FAS_(cost)28"/>
      <sheetName val="Cost_Summary28"/>
      <sheetName val="3-PA_(cost)28"/>
      <sheetName val="Approved_Make28"/>
      <sheetName val="Basis_of_offer28"/>
      <sheetName val="High_Level_Summary28"/>
      <sheetName val="4-ACS__(cost)28"/>
      <sheetName val="5-CCTV__(cost)28"/>
      <sheetName val="6-FFT__(cost)28"/>
      <sheetName val="7-_Service_Retrofit__(cost)28"/>
      <sheetName val="8-Service_PSA,O&amp;M__(cost)28"/>
      <sheetName val="9-_Service_L&amp;M__(cost)28"/>
      <sheetName val="non_fixed_DJC_28"/>
      <sheetName val="10-UPG_(cost)28"/>
      <sheetName val="11-ESG__(cost)28"/>
      <sheetName val="12-Products_(cost)28"/>
      <sheetName val="13-VAV__(cost)28"/>
      <sheetName val="14-REF_(cost)28"/>
      <sheetName val="15_-_Local_Chiller_(cost)28"/>
      <sheetName val="Selling-Local_Chiller28"/>
      <sheetName val="Material_Cost_JCS28"/>
      <sheetName val="Costing_USD_Chiller28"/>
      <sheetName val="Selling-USD_Chiller28"/>
      <sheetName val="PRICE_MATRIX_-JCIPL28"/>
      <sheetName val="COST_SUMMARY-_JCIPL28"/>
      <sheetName val="6_-FFT-JCIPL28"/>
      <sheetName val="7-Ser_Retro_-JCIPL28"/>
      <sheetName val="8-Ser_PSA,_O&amp;M_-JCIPL28"/>
      <sheetName val="9-Ser_L&amp;M_-JCIPL28"/>
      <sheetName val="10-UPG_JCIPL28"/>
      <sheetName val="11-ESG_JCIPL28"/>
      <sheetName val="12-Products_JCIPL28"/>
      <sheetName val="13-VAV_JCIPL28"/>
      <sheetName val="14-REF_JCMRL_28"/>
      <sheetName val="Proj__DJC-JCIPL28"/>
      <sheetName val="_L0_DDC_128"/>
      <sheetName val="L0_DDC-228"/>
      <sheetName val="L16_DDC-328"/>
      <sheetName val="L16_DDC-528"/>
      <sheetName val="L17_DDC-628"/>
      <sheetName val="L17_DDC-7_28"/>
      <sheetName val="L18_DDC-828"/>
      <sheetName val="2-AutoDialer_Sys28"/>
      <sheetName val="1-BAS1_(cost)28"/>
      <sheetName val="2-BAS2_(cost)28"/>
      <sheetName val="Deviations-Project_Risks28"/>
      <sheetName val="IO_Schedule28"/>
      <sheetName val="Materials_Cost12"/>
      <sheetName val="Staff_Forecast_spread28"/>
      <sheetName val="Direct_cost_shed_A-2_28"/>
      <sheetName val="Inputs_&amp;_Summary_Output12"/>
      <sheetName val="Broad_Refresher_Model12"/>
      <sheetName val="Fin_Sum12"/>
      <sheetName val="Material_List_12"/>
      <sheetName val="2_BHK3"/>
      <sheetName val="BALANCE-IOTL_3"/>
      <sheetName val="Basic_Rates2"/>
      <sheetName val="activit-graph__2"/>
      <sheetName val="kppl_pl3"/>
      <sheetName val="[Spt-BH_xls][Spt-BH_xls]B@[?_x2"/>
      <sheetName val="BQ_List2"/>
      <sheetName val="Vind_-_BtB2"/>
      <sheetName val="PCS_DATA2"/>
      <sheetName val="[Spt-BH_xls][Spt-BH_xls]_Spt_79"/>
      <sheetName val="Prelims_Breakup2"/>
      <sheetName val="Staff_planning2"/>
      <sheetName val="1_yr_maintainance2"/>
      <sheetName val="Data_sheet2"/>
      <sheetName val="MASTER_RATE_ANALYSIS2"/>
      <sheetName val="foot-slab_reinft2"/>
      <sheetName val="Camp_Power_Cost3"/>
      <sheetName val="beam-reinft-machine_rm2"/>
      <sheetName val="[Spt-BH_xls][Spt-BH_xls]_Spt_80"/>
      <sheetName val="[Spt-BH_xls][Spt-BH_xls]B___301"/>
      <sheetName val="[Spt-BH_xls][Spt-BH_xls]B___302"/>
      <sheetName val="[Spt-BH_xls][Spt-BH_xls]B___303"/>
      <sheetName val="[Spt-BH_xls][Spt-BH_xls]_Spt_81"/>
      <sheetName val="[Spt-BH_xls][Spt-BH_xls]B___304"/>
      <sheetName val="[Spt-BH_xls][Spt-BH_xls]B___305"/>
      <sheetName val="[Spt-BH_xls][Spt-BH_xls]B___306"/>
      <sheetName val="[Spt-BH_xls][Spt-BH_xls]B___307"/>
      <sheetName val="[Spt-BH_xls][Spt-BH_xls]B___308"/>
      <sheetName val="[Spt-BH_xls][Spt-BH_xls]B___309"/>
      <sheetName val="[Spt-BH_xls][Spt-BH_xls]_Spt_82"/>
      <sheetName val="[Spt-BH_xls][Spt-BH_xls]B___310"/>
      <sheetName val="[Spt-BH_xls]B____x005f_x0004_______23"/>
      <sheetName val="[Spt-BH_xls]B___x005f_x0000__x005f_x0004_23"/>
      <sheetName val="[Spt-BH_xls][Spt-BH_xls]B___311"/>
      <sheetName val="[Spt-BH_xls][Spt-BH_xls]B___312"/>
      <sheetName val="[Spt-BH_xls][Spt-BH_xls]B___313"/>
      <sheetName val="[Spt-BH_xls][Spt-BH_xls]_Spt_83"/>
      <sheetName val="[Spt-BH_xls][Spt-BH_xls]B___314"/>
      <sheetName val="[Spt-BH_xls][Spt-BH_xls]B___315"/>
      <sheetName val="[Spt-BH_xls][Spt-BH_xls]B___316"/>
      <sheetName val="[Spt-BH_xls][Spt-BH_xls]_Spt_84"/>
      <sheetName val="[Spt-BH_xls][Spt-BH_xls]B___317"/>
      <sheetName val="[Spt-BH_xls][Spt-BH_xls]B___318"/>
      <sheetName val="[Spt-BH_xls][Spt-BH_xls]B___319"/>
      <sheetName val="[Spt-BH_xls][Spt-BH_xls]B___320"/>
      <sheetName val="[Spt-BH_xls][Spt-BH_xls]B___321"/>
      <sheetName val="[Spt-BH_xls][Spt-BH_xls]B___322"/>
      <sheetName val="[Spt-BH_xls][Spt-BH_xls]_Spt_85"/>
      <sheetName val="[Spt-BH_xls][Spt-BH_xls]B___323"/>
      <sheetName val="[Spt-BH_xls]B____x005f_x0004_______24"/>
      <sheetName val="[Spt-BH_xls]B___x005f_x0000__x005f_x0004_24"/>
      <sheetName val="[Spt-BH_xls][Spt-BH_xls]B___324"/>
      <sheetName val="[Spt-BH_xls][Spt-BH_xls]B___325"/>
      <sheetName val="[Spt-BH_xls][Spt-BH_xls]B___326"/>
      <sheetName val="[Spt-BH_xls][Spt-BH_xls]_Spt_86"/>
      <sheetName val="[Spt-BH_xls][Spt-BH_xls]B___327"/>
      <sheetName val="[Spt-BH_xls][Spt-BH_xls]B___328"/>
      <sheetName val="[Spt-BH_xls][Spt-BH_xls]B___329"/>
      <sheetName val="[Spt-BH_xls][Spt-BH_xls]B___330"/>
      <sheetName val="[Spt-BH_xls][Spt-BH_xls]B___331"/>
      <sheetName val="[Spt-BH_xls][Spt-BH_xls]B___332"/>
      <sheetName val="[Spt-BH_xls]B____x005f_x0004_______25"/>
      <sheetName val="[Spt-BH_xls]B___x005f_x0000__x005f_x0004_25"/>
      <sheetName val="[Spt-BH_xls][Spt-BH_xls]B___333"/>
      <sheetName val="[Spt-BH_xls][Spt-BH_xls]_Spt_87"/>
      <sheetName val="[Spt-BH_xls][Spt-BH_xls]B___334"/>
      <sheetName val="[Spt-BH_xls][Spt-BH_xls]B___335"/>
      <sheetName val="[Spt-BH_xls][Spt-BH_xls]B___336"/>
      <sheetName val="[Spt-BH_xls][Spt-BH_xls]B___337"/>
      <sheetName val="[Spt-BH_xls][Spt-BH_xls]B___338"/>
      <sheetName val="[Spt-BH_xls][Spt-BH_xls]B___339"/>
      <sheetName val="[Spt-BH_xls]B____x005f_x0004_______26"/>
      <sheetName val="[Spt-BH_xls]B___x005f_x0000__x005f_x0004_26"/>
      <sheetName val="[Spt-BH_xls][Spt-BH_xls]B___340"/>
      <sheetName val="[Spt-BH_xls][Spt-BH_xls]B___341"/>
      <sheetName val="[Spt-BH_xls][Spt-BH_xls]B___342"/>
      <sheetName val="[Spt-BH_xls][Spt-BH_xls]B___343"/>
      <sheetName val="[Spt-BH_xls][Spt-BH_xls]B___344"/>
      <sheetName val="[Spt-BH_xls][Spt-BH_xls]_Spt_88"/>
      <sheetName val="[Spt-BH_xls][Spt-BH_xls]B___345"/>
      <sheetName val="[Spt-BH_xls][Spt-BH_xls]B___346"/>
      <sheetName val="[Spt-BH_xls][Spt-BH_xls]B___347"/>
      <sheetName val="[Spt-BH_xls][Spt-BH_xls]_Spt_89"/>
      <sheetName val="[Spt-BH_xls][Spt-BH_xls]B___348"/>
      <sheetName val="[Spt-BH_xls][Spt-BH_xls]B___349"/>
      <sheetName val="[Spt-BH_xls][Spt-BH_xls]B___350"/>
      <sheetName val="[Spt-BH_xls]B____x005f_x0004_______27"/>
      <sheetName val="[Spt-BH_xls]B___x005f_x0000__x005f_x0004_27"/>
      <sheetName val="[Spt-BH_xls][Spt-BH_xls]B___351"/>
      <sheetName val="[Spt-BH_xls][Spt-BH_xls]B___352"/>
      <sheetName val="[Spt-BH_xls][Spt-BH_xls]B___353"/>
      <sheetName val="_Spt-BH_xls_B@_2"/>
      <sheetName val="_Spt-BH_xls__Spt-BH_xls_B@_2"/>
      <sheetName val="_Spt-BH_xls__Spt-BH_xls_B@_@__2"/>
      <sheetName val="_Spt-BH_xls__Spt-BH_xls_B@__@_2"/>
      <sheetName val="_Spt-BH_xls_B@_@__$2"/>
      <sheetName val="_Spt-BH_xls_B@__@_____$__2"/>
      <sheetName val="_Spt-BH_xls__Spt-BH_xls__Spt-B2"/>
      <sheetName val="PANEL_ANNEXURE2"/>
      <sheetName val="Bill_No_2_to_8_(Rev)"/>
      <sheetName val="GR_slab-reinft2"/>
      <sheetName val="_Spt-BH_xls__Spt-BH_xls_B@___x2"/>
      <sheetName val="Day_work"/>
      <sheetName val="SàQa@???²"/>
      <sheetName val="[Spt-BH_xls][Spt-BH_xls]B___354"/>
      <sheetName val="[Spt-BH_xls]B____x005f_x0004_______28"/>
      <sheetName val="[Spt-BH_xls]B___x005f_x0000__x005f_x0004_28"/>
      <sheetName val="[Spt-BH_xls][Spt-BH_xls]B___355"/>
      <sheetName val="[Spt-BH_xls][Spt-BH_xls]B___356"/>
      <sheetName val="[Spt-BH_xls][Spt-BH_xls]B___357"/>
      <sheetName val="[Spt-BH_xls][Spt-BH_xls]B___358"/>
      <sheetName val="[Spt-BH_xls][Spt-BH_xls]B___359"/>
      <sheetName val="[Spt-BH_xls][Spt-BH_xls]B___360"/>
      <sheetName val="[Spt-BH_xls][Spt-BH_xls]B___361"/>
      <sheetName val="[Spt-BH_xls][Spt-BH_xls]B___362"/>
      <sheetName val="[Spt-BH_xls][Spt-BH_xls]B___363"/>
      <sheetName val="[Spt-BH_xls][Spt-BH_xls]_Spt_90"/>
      <sheetName val="[Spt-BH_xls][Spt-BH_xls]B___364"/>
      <sheetName val="[Spt-BH_xls][Spt-BH_xls]B___365"/>
      <sheetName val="[Spt-BH_xls][Spt-BH_xls]B___366"/>
      <sheetName val="[Spt-BH_xls][Spt-BH_xls]B___367"/>
      <sheetName val="[Spt-BH_xls][Spt-BH_xls]B___368"/>
      <sheetName val="[Spt-BH_xls][Spt-BH_xls]B___369"/>
      <sheetName val="[Spt-BH_xls][Spt-BH_xls]B___370"/>
      <sheetName val="[Spt-BH_xls][Spt-BH_xls]B___371"/>
      <sheetName val="[Spt-BH_xls][Spt-BH_xls]B___372"/>
      <sheetName val="B@[@_x0000"/>
      <sheetName val="[Spt-BH_xls][Spt-BH_xls]_Spt_91"/>
      <sheetName val="Design_Requirements"/>
      <sheetName val="[Spt-BH_xls][Spt-BH_xls]B___373"/>
      <sheetName val="[Spt-BH_xls][Spt-BH_xls]B___374"/>
      <sheetName val="[Spt-BH_xls][Spt-BH_xls]B___375"/>
      <sheetName val="[Spt-BH_xls][Spt-BH_xls]_Spt_92"/>
      <sheetName val="[Spt-BH_xls][Spt-BH_xls]B___376"/>
      <sheetName val="[Spt-BH_xls][Spt-BH_xls]B___377"/>
      <sheetName val="[Spt-BH_xls][Spt-BH_xls]B___378"/>
      <sheetName val="[Spt-BH_xls][Spt-BH_xls]_Spt_93"/>
      <sheetName val="[Spt-BH_xls][Spt-BH_xls]B___379"/>
      <sheetName val="[Spt-BH_xls][Spt-BH_xls]B___380"/>
      <sheetName val="[Spt-BH_xls][Spt-BH_xls]B___381"/>
      <sheetName val="[Spt-BH_xls][Spt-BH_xls]_Spt_94"/>
      <sheetName val="[Spt-BH_xls][Spt-BH_xls]B___382"/>
      <sheetName val="[Spt-BH_xls][Spt-BH_xls]B___383"/>
      <sheetName val="[Spt-BH_xls][Spt-BH_xls]B___384"/>
      <sheetName val="[Spt-BH_xls]B____x005f_x0004_______29"/>
      <sheetName val="[Spt-BH_xls]B___x005f_x0000__x005f_x0004_29"/>
      <sheetName val="[Spt-BH_xls][Spt-BH_xls]B___385"/>
      <sheetName val="[Spt-BH_xls][Spt-BH_xls]B___386"/>
      <sheetName val="[Spt-BH_xls][Spt-BH_xls]_Spt_95"/>
      <sheetName val="[Spt-BH_xls][Spt-BH_xls]_Spt_96"/>
      <sheetName val="[Spt-BH_xls][Spt-BH_xls]_Spt_97"/>
      <sheetName val="[Spt-BH_xls][Spt-BH_xls]_Spt_98"/>
      <sheetName val="[Spt-BH_xls][Spt-BH_xls]_Spt_99"/>
      <sheetName val="[Spt-BH_xls][Spt-BH_xls]_Spt100"/>
      <sheetName val="[Spt-BH_xls][Spt-BH_xls]_Spt101"/>
      <sheetName val="[Spt-BH_xls][Spt-BH_xls]B___387"/>
      <sheetName val="[Spt-BH_xls][Spt-BH_xls]B___388"/>
      <sheetName val="[Spt-BH_xls][Spt-BH_xls]B___389"/>
      <sheetName val="[Spt-BH_xls][Spt-BH_xls]B___390"/>
      <sheetName val="[Spt-BH_xls][Spt-BH_xls]B___391"/>
      <sheetName val="[Spt-BH_xls][Spt-BH_xls]B___392"/>
      <sheetName val="[Spt-BH_xls][Spt-BH_xls]B___393"/>
      <sheetName val="[Spt-BH_xls][Spt-BH_xls]B___394"/>
      <sheetName val="[Spt-BH_xls][Spt-BH_xls]_Spt102"/>
      <sheetName val="[Spt-BH_xls][Spt-BH_xls]B___395"/>
      <sheetName val="[Spt-BH_xls][Spt-BH_xls]B___396"/>
      <sheetName val="[Spt-BH_xls][Spt-BH_xls]B___397"/>
      <sheetName val="[Spt-BH_xls][Spt-BH_xls]_Spt103"/>
      <sheetName val="[Spt-BH_xls][Spt-BH_xls]B___398"/>
      <sheetName val="[Spt-BH_xls][Spt-BH_xls]B___399"/>
      <sheetName val="[Spt-BH_xls][Spt-BH_xls]B___400"/>
      <sheetName val="[Spt-BH_xls][Spt-BH_xls]B___401"/>
      <sheetName val="[Spt-BH_xls][Spt-BH_xls]B___402"/>
      <sheetName val="[Spt-BH_xls][Spt-BH_xls]B___403"/>
      <sheetName val="[Spt-BH_xls][Spt-BH_xls]B___404"/>
      <sheetName val="Materials_"/>
      <sheetName val="[Spt-BH_xls][Spt-BH_xls]B___405"/>
      <sheetName val="[Spt-BH_xls][Spt-BH_xls]B___406"/>
      <sheetName val="[Spt-BH_xls][Spt-BH_xls]B___407"/>
      <sheetName val="[Spt-BH_xls][Spt-BH_xls]_Spt104"/>
      <sheetName val="[Spt-BH_xls][Spt-BH_xls]B___408"/>
      <sheetName val="[Spt-BH_xls][Spt-BH_xls]B___409"/>
      <sheetName val="[Spt-BH_xls][Spt-BH_xls]B___410"/>
      <sheetName val="[Spt-BH_xls]B____x005f_x0004_______30"/>
      <sheetName val="[Spt-BH_xls]B___x005f_x0000__x005f_x0004_30"/>
      <sheetName val="[Spt-BH_xls]B____x005f_x0004_______31"/>
      <sheetName val="[Spt-BH_xls]B___x005f_x0000__x005f_x0004_31"/>
      <sheetName val="[Spt-BH_xls][Spt-BH_xls]_Spt105"/>
      <sheetName val="[Spt-BH_xls][Spt-BH_xls]B___411"/>
      <sheetName val="[Spt-BH_xls][Spt-BH_xls]B___412"/>
      <sheetName val="[Spt-BH_xls][Spt-BH_xls]B___413"/>
      <sheetName val="[Spt-BH_xls][Spt-BH_xls]_Spt106"/>
      <sheetName val="[Spt-BH_xls][Spt-BH_xls]B___414"/>
      <sheetName val="[Spt-BH_xls][Spt-BH_xls]B___415"/>
      <sheetName val="[Spt-BH_xls][Spt-BH_xls]B___416"/>
      <sheetName val="[Spt-BH_xls][Spt-BH_xls]_Spt107"/>
      <sheetName val="[Spt-BH_xls][Spt-BH_xls]B___417"/>
      <sheetName val="[Spt-BH_xls][Spt-BH_xls]B___418"/>
      <sheetName val="[Spt-BH_xls][Spt-BH_xls]B___419"/>
      <sheetName val="[Spt-BH_xls][Spt-BH_xls]B___420"/>
      <sheetName val="[Spt-BH_xls][Spt-BH_xls]B___421"/>
      <sheetName val="[Spt-BH_xls][Spt-BH_xls]B___422"/>
      <sheetName val="[Spt-BH_xls][Spt-BH_xls]B___423"/>
      <sheetName val="[Spt-BH_xls]B____x005f_x0004_______32"/>
      <sheetName val="[Spt-BH_xls]B___x005f_x0000__x005f_x0004_32"/>
      <sheetName val="[Spt-BH_xls][Spt-BH_xls]B___424"/>
      <sheetName val="[Spt-BH_xls][Spt-BH_xls]_Spt108"/>
      <sheetName val="[Spt-BH_xls][Spt-BH_xls]B___425"/>
      <sheetName val="[Spt-BH_xls][Spt-BH_xls]B___426"/>
      <sheetName val="[Spt-BH_xls][Spt-BH_xls]B___427"/>
      <sheetName val="[Spt-BH_xls][Spt-BH_xls]B___428"/>
      <sheetName val="[Spt-BH_xls][Spt-BH_xls]B___429"/>
      <sheetName val="[Spt-BH_xls][Spt-BH_xls]B___430"/>
      <sheetName val="[Spt-BH_xls][Spt-BH_xls]B___431"/>
      <sheetName val="[Spt-BH_xls]B____x005f_x0004_______33"/>
      <sheetName val="[Spt-BH_xls]B___x005f_x0000__x005f_x0004_33"/>
      <sheetName val="[Spt-BH_xls][Spt-BH_xls]B___432"/>
      <sheetName val="[Spt-BH_xls][Spt-BH_xls]_Spt109"/>
      <sheetName val="[Spt-BH_xls][Spt-BH_xls]B___433"/>
      <sheetName val="[Spt-BH_xls][Spt-BH_xls]B___434"/>
      <sheetName val="[Spt-BH_xls][Spt-BH_xls]B___435"/>
      <sheetName val="[Spt-BH_xls][Spt-BH_xls]B___436"/>
      <sheetName val="[Spt-BH_xls][Spt-BH_xls]B___437"/>
      <sheetName val="[Spt-BH_xls][Spt-BH_xls]B___438"/>
      <sheetName val="[Spt-BH_xls][Spt-BH_xls]B___439"/>
      <sheetName val="[Spt-BH_xls]B____x005f_x0004_______34"/>
      <sheetName val="[Spt-BH_xls]B___x005f_x0000__x005f_x0004_34"/>
      <sheetName val="[Spt-BH_xls][Spt-BH_xls]B___440"/>
      <sheetName val="[Spt-BH_xls][Spt-BH_xls]_Spt110"/>
      <sheetName val="[Spt-BH_xls][Spt-BH_xls]B___441"/>
      <sheetName val="[Spt-BH_xls][Spt-BH_xls]B___442"/>
      <sheetName val="[Spt-BH_xls][Spt-BH_xls]B___443"/>
      <sheetName val="[Spt-BH_xls][Spt-BH_xls]B___444"/>
      <sheetName val="[Spt-BH_xls][Spt-BH_xls]B___445"/>
      <sheetName val="[Spt-BH_xls][Spt-BH_xls]B___446"/>
      <sheetName val="SP_Break_Up2"/>
      <sheetName val="[Spt-BH_xls][Spt-BH_xls]_Spt111"/>
      <sheetName val="[Spt-BH_xls][Spt-BH_xls]B___447"/>
      <sheetName val="[Spt-BH_xls][Spt-BH_xls]_Spt112"/>
      <sheetName val="[Spt-BH_xls][Spt-BH_xls]B___448"/>
      <sheetName val="[Spt-BH_xls][Spt-BH_xls]B___449"/>
      <sheetName val="[Spt-BH_xls][Spt-BH_xls]B___450"/>
      <sheetName val="[Spt-BH_xls][Spt-BH_xls]B___451"/>
      <sheetName val="[Spt-BH_xls][Spt-BH_xls]B___452"/>
      <sheetName val="[Spt-BH_xls][Spt-BH_xls]B___453"/>
      <sheetName val="[Spt-BH_xls][Spt-BH_xls]B___454"/>
      <sheetName val="[Spt-BH_xls][Spt-BH_xls]B___455"/>
      <sheetName val="[Spt-BH_xls][Spt-BH_xls]B___456"/>
      <sheetName val="[Spt-BH_xls][Spt-BH_xls]B___457"/>
      <sheetName val="[Spt-BH_xls][Spt-BH_xls]_Spt113"/>
      <sheetName val="[Spt-BH_xls][Spt-BH_xls]B___458"/>
      <sheetName val="[Spt-BH_xls][Spt-BH_xls]B___459"/>
      <sheetName val="[Spt-BH_xls][Spt-BH_xls]B___460"/>
      <sheetName val="[Spt-BH_xls][Spt-BH_xls]B___461"/>
      <sheetName val="[Spt-BH_xls][Spt-BH_xls]B___462"/>
      <sheetName val="[Spt-BH_xls][Spt-BH_xls]B___463"/>
      <sheetName val="[Spt-BH_xls][Spt-BH_xls]B___464"/>
      <sheetName val="[Spt-BH_xls][Spt-BH_xls]B___465"/>
      <sheetName val="[Spt-BH_xls][Spt-BH_xls]B___466"/>
      <sheetName val="[Spt-BH_xls][Spt-BH_xls]_Spt114"/>
      <sheetName val="[Spt-BH_xls][Spt-BH_xls]B___467"/>
      <sheetName val="[Spt-BH_xls]B____x005f_x0004_______35"/>
      <sheetName val="[Spt-BH_xls]B___x005f_x0000__x005f_x0004_35"/>
      <sheetName val="[Spt-BH_xls][Spt-BH_xls]B___468"/>
      <sheetName val="[Spt-BH_xls][Spt-BH_xls]B___469"/>
      <sheetName val="[Spt-BH_xls][Spt-BH_xls]B___470"/>
      <sheetName val="[Spt-BH_xls][Spt-BH_xls]_Spt115"/>
      <sheetName val="[Spt-BH_xls][Spt-BH_xls]B___471"/>
      <sheetName val="[Spt-BH_xls][Spt-BH_xls]B___472"/>
      <sheetName val="[Spt-BH_xls][Spt-BH_xls]B___473"/>
      <sheetName val="[Spt-BH_xls][Spt-BH_xls]_Spt116"/>
      <sheetName val="[Spt-BH_xls][Spt-BH_xls]B___474"/>
      <sheetName val="[Spt-BH_xls][Spt-BH_xls]B___475"/>
      <sheetName val="[Spt-BH_xls][Spt-BH_xls]B___476"/>
      <sheetName val="[Spt-BH_xls][Spt-BH_xls]B___477"/>
      <sheetName val="[Spt-BH_xls][Spt-BH_xls]B___478"/>
      <sheetName val="[Spt-BH_xls][Spt-BH_xls]B___479"/>
      <sheetName val="[Spt-BH_xls][Spt-BH_xls]_Spt117"/>
      <sheetName val="[Spt-BH_xls][Spt-BH_xls]B___480"/>
      <sheetName val="[Spt-BH_xls][Spt-BH_xls]B___481"/>
      <sheetName val="[Spt-BH_xls][Spt-BH_xls]B___482"/>
      <sheetName val="[Spt-BH_xls][Spt-BH_xls]B___483"/>
      <sheetName val="[Spt-BH_xls][Spt-BH_xls]B___484"/>
      <sheetName val="[Spt-BH_xls][Spt-BH_xls]B___485"/>
      <sheetName val="[Spt-BH_xls][Spt-BH_xls]_Spt118"/>
      <sheetName val="[Spt-BH_xls][Spt-BH_xls]B___486"/>
      <sheetName val="[Spt-BH_xls][Spt-BH_xls]B___487"/>
      <sheetName val="[Spt-BH_xls][Spt-BH_xls]B___488"/>
      <sheetName val="[Spt-BH_xls][Spt-BH_xls]B___489"/>
      <sheetName val="[Spt-BH_xls][Spt-BH_xls]B___490"/>
      <sheetName val="[Spt-BH_xls][Spt-BH_xls]B___491"/>
      <sheetName val="[Spt-BH_xls][Spt-BH_xls]_Spt119"/>
      <sheetName val="[Spt-BH_xls][Spt-BH_xls]B___492"/>
      <sheetName val="[Spt-BH_xls][Spt-BH_xls]B___493"/>
      <sheetName val="[Spt-BH_xls][Spt-BH_xls]B___494"/>
      <sheetName val="[Spt-BH_xls][Spt-BH_xls]B___495"/>
      <sheetName val="[Spt-BH_xls][Spt-BH_xls]B___496"/>
      <sheetName val="[Spt-BH_xls][Spt-BH_xls]B___497"/>
      <sheetName val="[Spt-BH_xls][Spt-BH_xls]_Spt120"/>
      <sheetName val="[Spt-BH_xls][Spt-BH_xls]B___498"/>
      <sheetName val="[Spt-BH_xls][Spt-BH_xls]B___499"/>
      <sheetName val="[Spt-BH_xls][Spt-BH_xls]B___500"/>
      <sheetName val="[Spt-BH_xls][Spt-BH_xls]_Spt121"/>
      <sheetName val="[Spt-BH_xls][Spt-BH_xls]B___501"/>
      <sheetName val="[Spt-BH_xls][Spt-BH_xls]B___502"/>
      <sheetName val="[Spt-BH_xls][Spt-BH_xls]B___503"/>
      <sheetName val="[Spt-BH_xls][Spt-BH_xls]_Spt122"/>
      <sheetName val="[Spt-BH_xls][Spt-BH_xls]B___504"/>
      <sheetName val="[Spt-BH_xls]B____x005f_x0004_______36"/>
      <sheetName val="[Spt-BH_xls]B___x005f_x0000__x005f_x0004_36"/>
      <sheetName val="[Spt-BH_xls][Spt-BH_xls]B___505"/>
      <sheetName val="[Spt-BH_xls][Spt-BH_xls]B___506"/>
      <sheetName val="[Spt-BH_xls][Spt-BH_xls]B___507"/>
      <sheetName val="[Spt-BH_xls][Spt-BH_xls]_Spt123"/>
      <sheetName val="[Spt-BH_xls][Spt-BH_xls]_Spt124"/>
      <sheetName val="[Spt-BH_xls][Spt-BH_xls]B___508"/>
      <sheetName val="[Spt-BH_xls][Spt-BH_xls]B___509"/>
      <sheetName val="[Spt-BH_xls][Spt-BH_xls]B___510"/>
      <sheetName val="[Spt-BH_xls][Spt-BH_xls]_Spt125"/>
      <sheetName val="[Spt-BH_xls][Spt-BH_xls]B___511"/>
      <sheetName val="[Spt-BH_xls]B____x005f_x0004_______37"/>
      <sheetName val="[Spt-BH_xls]B___x005f_x0000__x005f_x0004_37"/>
      <sheetName val="[Spt-BH_xls][Spt-BH_xls]B___512"/>
      <sheetName val="[Spt-BH_xls][Spt-BH_xls]B___513"/>
      <sheetName val="[Spt-BH_xls][Spt-BH_xls]B___514"/>
      <sheetName val="[Spt-BH_xls][Spt-BH_xls]B___515"/>
      <sheetName val="[Spt-BH_xls][Spt-BH_xls]B___516"/>
      <sheetName val="[Spt-BH_xls][Spt-BH_xls]B___517"/>
      <sheetName val="[Spt-BH_xls][Spt-BH_xls]B___518"/>
      <sheetName val="[Spt-BH_xls][Spt-BH_xls]B___519"/>
      <sheetName val="[Spt-BH_xls][Spt-BH_xls]B___520"/>
      <sheetName val="[Spt-BH_xls][Spt-BH_xls]_Spt126"/>
      <sheetName val="[Spt-BH_xls][Spt-BH_xls]B___521"/>
      <sheetName val="[Spt-BH_xls][Spt-BH_xls]B___522"/>
      <sheetName val="[Spt-BH_xls][Spt-BH_xls]B___523"/>
      <sheetName val="[Spt-BH_xls][Spt-BH_xls]B___524"/>
      <sheetName val="[Spt-BH_xls][Spt-BH_xls]B___525"/>
      <sheetName val="[Spt-BH_xls][Spt-BH_xls]B___526"/>
      <sheetName val="[Spt-BH_xls][Spt-BH_xls]B___527"/>
      <sheetName val="[Spt-BH_xls][Spt-BH_xls]B___528"/>
      <sheetName val="[Spt-BH_xls][Spt-BH_xls]B___529"/>
      <sheetName val="[Spt-BH_xls][Spt-BH_xls]_Spt127"/>
      <sheetName val="[Spt-BH_xls][Spt-BH_xls]B___530"/>
      <sheetName val="[Spt-BH_xls][Spt-BH_xls]B___531"/>
      <sheetName val="[Spt-BH_xls][Spt-BH_xls]B___532"/>
      <sheetName val="[Spt-BH_xls][Spt-BH_xls]_Spt128"/>
      <sheetName val="[Spt-BH_xls][Spt-BH_xls]_Spt129"/>
      <sheetName val="[Spt-BH_xls][Spt-BH_xls]B___533"/>
      <sheetName val="[Spt-BH_xls][Spt-BH_xls]B___534"/>
      <sheetName val="[Spt-BH_xls][Spt-BH_xls]B___535"/>
      <sheetName val="[Spt-BH_xls][Spt-BH_xls]B___536"/>
      <sheetName val="[Spt-BH_xls][Spt-BH_xls]B___537"/>
      <sheetName val="[Spt-BH_xls][Spt-BH_xls]B___538"/>
      <sheetName val="[Spt-BH_xls][Spt-BH_xls]_Spt130"/>
      <sheetName val="[Spt-BH_xls][Spt-BH_xls]B___539"/>
      <sheetName val="[Spt-BH_xls][Spt-BH_xls]B___540"/>
      <sheetName val="[Spt-BH_xls][Spt-BH_xls]B___541"/>
      <sheetName val="[Spt-BH_xls][Spt-BH_xls]B___542"/>
      <sheetName val="[Spt-BH_xls][Spt-BH_xls]B___543"/>
      <sheetName val="[Spt-BH_xls][Spt-BH_xls]B___544"/>
      <sheetName val="[Spt-BH_xls][Spt-BH_xls]_Spt131"/>
      <sheetName val="[Spt-BH_xls][Spt-BH_xls]B___545"/>
      <sheetName val="[Spt-BH_xls][Spt-BH_xls]B___546"/>
      <sheetName val="[Spt-BH_xls][Spt-BH_xls]B___547"/>
      <sheetName val="[Spt-BH_xls][Spt-BH_xls]_Spt132"/>
      <sheetName val="[Spt-BH_xls][Spt-BH_xls]B___548"/>
      <sheetName val="[Spt-BH_xls][Spt-BH_xls]B___549"/>
      <sheetName val="[Spt-BH_xls][Spt-BH_xls]B___550"/>
      <sheetName val="[Spt-BH_xls][Spt-BH_xls]_Spt133"/>
      <sheetName val="[Spt-BH_xls][Spt-BH_xls]B___551"/>
      <sheetName val="[Spt-BH_xls][Spt-BH_xls]B___552"/>
      <sheetName val="[Spt-BH_xls][Spt-BH_xls]B___553"/>
      <sheetName val="[Spt-BH_xls][Spt-BH_xls]B___554"/>
      <sheetName val="[Spt-BH_xls][Spt-BH_xls]B___555"/>
      <sheetName val="[Spt-BH_xls][Spt-BH_xls]B___556"/>
      <sheetName val="[Spt-BH_xls]B____x005f_x0004_______38"/>
      <sheetName val="[Spt-BH_xls]B___x005f_x0000__x005f_x0004_38"/>
      <sheetName val="[Spt-BH_xls][Spt-BH_xls]B___557"/>
      <sheetName val="[Spt-BH_xls][Spt-BH_xls]B___558"/>
      <sheetName val="[Spt-BH_xls][Spt-BH_xls]B___559"/>
      <sheetName val="[Spt-BH_xls][Spt-BH_xls]B___560"/>
      <sheetName val="[Spt-BH_xls][Spt-BH_xls]B___561"/>
      <sheetName val="[Spt-BH_xls][Spt-BH_xls]B___562"/>
      <sheetName val="[Spt-BH_xls][Spt-BH_xls]B___563"/>
      <sheetName val="[Spt-BH_xls]B____x005f_x0004_______39"/>
      <sheetName val="[Spt-BH_xls]B___x005f_x0000__x005f_x0004_39"/>
      <sheetName val="[Spt-BH_xls][Spt-BH_xls]B___564"/>
      <sheetName val="[Spt-BH_xls][Spt-BH_xls]_Spt134"/>
      <sheetName val="[Spt-BH_xls][Spt-BH_xls]B___565"/>
      <sheetName val="[Spt-BH_xls][Spt-BH_xls]B___566"/>
      <sheetName val="[Spt-BH_xls][Spt-BH_xls]B___567"/>
      <sheetName val="[Spt-BH_xls][Spt-BH_xls]B___568"/>
      <sheetName val="[Spt-BH_xls][Spt-BH_xls]B___569"/>
      <sheetName val="[Spt-BH_xls][Spt-BH_xls]B___570"/>
      <sheetName val="[Spt-BH_xls][Spt-BH_xls]B___571"/>
      <sheetName val="[Spt-BH_xls][Spt-BH_xls]B___572"/>
      <sheetName val="[Spt-BH_xls][Spt-BH_xls]B___573"/>
      <sheetName val="[Spt-BH_xls][Spt-BH_xls]_Spt135"/>
      <sheetName val="[Spt-BH_xls][Spt-BH_xls]B___574"/>
      <sheetName val="[Spt-BH_xls][Spt-BH_xls]B___575"/>
      <sheetName val="[Spt-BH_xls][Spt-BH_xls]B___576"/>
      <sheetName val="[Spt-BH_xls][Spt-BH_xls]_Spt136"/>
      <sheetName val="[Spt-BH_xls][Spt-BH_xls]B___577"/>
      <sheetName val="[Spt-BH_xls][Spt-BH_xls]B___578"/>
      <sheetName val="[Spt-BH_xls][Spt-BH_xls]B___579"/>
      <sheetName val="[Spt-BH_xls][Spt-BH_xls]_Spt137"/>
      <sheetName val="[Spt-BH_xls][Spt-BH_xls]B___580"/>
      <sheetName val="[Spt-BH_xls][Spt-BH_xls]B___581"/>
      <sheetName val="[Spt-BH_xls][Spt-BH_xls]B___582"/>
      <sheetName val="[Spt-BH_xls][Spt-BH_xls]_Spt138"/>
      <sheetName val="[Spt-BH_xls][Spt-BH_xls]B___583"/>
      <sheetName val="[Spt-BH_xls][Spt-BH_xls]B___584"/>
      <sheetName val="[Spt-BH_xls][Spt-BH_xls]B___585"/>
      <sheetName val="[Spt-BH_xls][Spt-BH_xls]_Spt139"/>
      <sheetName val="[Spt-BH_xls][Spt-BH_xls]B___586"/>
      <sheetName val="[Spt-BH_xls][Spt-BH_xls]B___587"/>
      <sheetName val="[Spt-BH_xls]B____x005f_x0004_______40"/>
      <sheetName val="[Spt-BH_xls]B___x005f_x0000__x005f_x0004_40"/>
      <sheetName val="[Spt-BH_xls][Spt-BH_xls]B___588"/>
      <sheetName val="[Spt-BH_xls][Spt-BH_xls]B___589"/>
      <sheetName val="[Spt-BH_xls][Spt-BH_xls]B___590"/>
      <sheetName val="[Spt-BH_xls][Spt-BH_xls]B___591"/>
      <sheetName val="[Spt-BH_xls][Spt-BH_xls]B___592"/>
      <sheetName val="[Spt-BH_xls][Spt-BH_xls]_Spt140"/>
      <sheetName val="[Spt-BH_xls][Spt-BH_xls]B___593"/>
      <sheetName val="[Spt-BH_xls][Spt-BH_xls]B___594"/>
      <sheetName val="[Spt-BH_xls][Spt-BH_xls]B___595"/>
      <sheetName val="[Spt-BH_xls][Spt-BH_xls]B___596"/>
      <sheetName val="[Spt-BH_xls][Spt-BH_xls]B___597"/>
      <sheetName val="[Spt-BH_xls][Spt-BH_xls]B___598"/>
      <sheetName val="[Spt-BH_xls][Spt-BH_xls]B___599"/>
      <sheetName val="[Spt-BH_xls][Spt-BH_xls]B___600"/>
      <sheetName val="[Spt-BH_xls]B____x005f_x0004_______41"/>
      <sheetName val="[Spt-BH_xls]B___x005f_x0000__x005f_x0004_41"/>
      <sheetName val="[Spt-BH_xls][Spt-BH_xls]B___601"/>
      <sheetName val="INDIGINEOUS_ITEMS_"/>
      <sheetName val="TMT_STEEL"/>
      <sheetName val="Extra_Item"/>
      <sheetName val="_Spt-BH_xls_B@_@_"/>
      <sheetName val="[Spt-BH_xls]B@[2"/>
      <sheetName val="[Spt-BH_xls][Spt-BH_xls]B@[2"/>
      <sheetName val="TORRENT_CEMENT"/>
      <sheetName val="Schd_8_Input2"/>
      <sheetName val="Emp_&amp;_Trng2"/>
      <sheetName val="Rate_analysis-_BOQ_1_2"/>
      <sheetName val="_Spt-BH_xls_B@__@___$_2"/>
      <sheetName val="[Spt-BH_xls][Spt-BH_xls]B___602"/>
      <sheetName val="[Spt-BH_xls][Spt-BH_xls]B___603"/>
      <sheetName val="[Spt-BH_xls][Spt-BH_xls]B___604"/>
      <sheetName val="[Spt-BH_xls][Spt-BH_xls]B___605"/>
      <sheetName val="입찰내역_발주처_양식2"/>
      <sheetName val="SC_Cost_FEB_032"/>
      <sheetName val="DM_tANK_Allow2"/>
      <sheetName val="20th_Office2"/>
      <sheetName val="Bank_Guarantee2"/>
      <sheetName val="_Spt-BH_xls__Spt-BH_xls_B@__x02"/>
      <sheetName val="_Spt-BH_xls_B@__x005f_x0000__x02"/>
      <sheetName val="Operating_Statistics2"/>
      <sheetName val="N_T-M-30_GDS2"/>
      <sheetName val="PROVISIONAL_SUMS2"/>
      <sheetName val="JSSL_BOQ2"/>
      <sheetName val="N_T-M-452"/>
      <sheetName val="Rate_analysis_civil2"/>
      <sheetName val="material_and_Labour_rate2"/>
      <sheetName val="LIFE_&amp;_REP_PROVN2"/>
      <sheetName val="O&amp;M_CREW2"/>
      <sheetName val="[Spt-BH_xls][Spt-BH_xls]B___606"/>
      <sheetName val="[Spt-BH_xls][Spt-BH_xls]B___607"/>
      <sheetName val="Detail_In_Door_Stad2"/>
      <sheetName val="Facilites_Master2"/>
      <sheetName val="EQP_Master2"/>
      <sheetName val="Contract_Status2"/>
      <sheetName val="[Spt-BH_xls][Spt-BH_xls]B___608"/>
      <sheetName val="[Spt-BH_xls][Spt-BH_xls]B___609"/>
      <sheetName val="[Spt-BH_xls][Spt-BH_xls]B___610"/>
      <sheetName val="[Spt-BH_xls][Spt-BH_xls]B___611"/>
      <sheetName val="[Spt-BH_xls][Spt-BH_xls]B___612"/>
      <sheetName val="[Spt-BH_xls][Spt-BH_xls]B___613"/>
      <sheetName val="[Spt-BH_xls][Spt-BH_xls]B___614"/>
      <sheetName val="[Spt-BH_xls][Spt-BH_xls]_Spt141"/>
      <sheetName val="[Spt-BH_xls][Spt-BH_xls]B___615"/>
      <sheetName val="[Spt-BH_xls][Spt-BH_xls]B___616"/>
      <sheetName val="[Spt-BH_xls][Spt-BH_xls]B___617"/>
      <sheetName val="[Spt-BH_xls][Spt-BH_xls]_Spt142"/>
      <sheetName val="[Spt-BH_xls][Spt-BH_xls]_Spt143"/>
      <sheetName val="[Spt-BH_xls][Spt-BH_xls]B___618"/>
      <sheetName val="[Spt-BH_xls][Spt-BH_xls]B___619"/>
      <sheetName val="[Spt-BH_xls][Spt-BH_xls]B___620"/>
      <sheetName val="[Spt-BH_xls][Spt-BH_xls]B___621"/>
      <sheetName val="[Spt-BH_xls][Spt-BH_xls]B___622"/>
      <sheetName val="[Spt-BH_xls][Spt-BH_xls]B___623"/>
      <sheetName val="[Spt-BH_xls][Spt-BH_xls]B___624"/>
      <sheetName val="[Spt-BH_xls][Spt-BH_xls]B___625"/>
      <sheetName val="[Spt-BH_xls][Spt-BH_xls]B___626"/>
      <sheetName val="[Spt-BH_xls][Spt-BH_xls]_Spt144"/>
      <sheetName val="[Spt-BH_xls][Spt-BH_xls]B___627"/>
      <sheetName val="[Spt-BH_xls][Spt-BH_xls]B___628"/>
      <sheetName val="[Spt-BH_xls][Spt-BH_xls]B___629"/>
      <sheetName val="[Spt-BH_xls][Spt-BH_xls]_Spt145"/>
      <sheetName val="[Spt-BH_xls][Spt-BH_xls]B___630"/>
      <sheetName val="[Spt-BH_xls][Spt-BH_xls]B___631"/>
      <sheetName val="[Spt-BH_xls][Spt-BH_xls]B___632"/>
      <sheetName val="[Spt-BH_xls][Spt-BH_xls]_Spt146"/>
      <sheetName val="[Spt-BH_xls][Spt-BH_xls]B___633"/>
      <sheetName val="[Spt-BH_xls][Spt-BH_xls]B___634"/>
      <sheetName val="[Spt-BH_xls][Spt-BH_xls]B___635"/>
      <sheetName val="[Spt-BH_xls][Spt-BH_xls]_Spt147"/>
      <sheetName val="[Spt-BH_xls][Spt-BH_xls]B___636"/>
      <sheetName val="[Spt-BH_xls][Spt-BH_xls]B___637"/>
      <sheetName val="[Spt-BH_xls][Spt-BH_xls]B___638"/>
      <sheetName val="[Spt-BH_xls][Spt-BH_xls]B___639"/>
      <sheetName val="[Spt-BH_xls][Spt-BH_xls]B___640"/>
      <sheetName val="[Spt-BH_xls][Spt-BH_xls]B___641"/>
      <sheetName val="[Spt-BH_xls][Spt-BH_xls]_Spt148"/>
      <sheetName val="[Spt-BH_xls][Spt-BH_xls]B___642"/>
      <sheetName val="[Spt-BH_xls][Spt-BH_xls]B___643"/>
      <sheetName val="[Spt-BH_xls][Spt-BH_xls]B___644"/>
      <sheetName val="[Spt-BH_xls][Spt-BH_xls]_Spt149"/>
      <sheetName val="[Spt-BH_xls][Spt-BH_xls]B___645"/>
      <sheetName val="[Spt-BH_xls][Spt-BH_xls]B___646"/>
      <sheetName val="[Spt-BH_xls]B____x005f_x0004_______42"/>
      <sheetName val="[Spt-BH_xls]B___x005f_x0000__x005f_x0004_42"/>
      <sheetName val="[Spt-BH_xls][Spt-BH_xls]B___647"/>
      <sheetName val="[Spt-BH_xls][Spt-BH_xls]B___648"/>
      <sheetName val="[Spt-BH_xls][Spt-BH_xls]B___649"/>
      <sheetName val="[Spt-BH_xls][Spt-BH_xls]_Spt150"/>
      <sheetName val="[Spt-BH_xls][Spt-BH_xls]B___650"/>
      <sheetName val="[Spt-BH_xls][Spt-BH_xls]B___651"/>
      <sheetName val="[Spt-BH_xls][Spt-BH_xls]B___652"/>
      <sheetName val="[Spt-BH_xls][Spt-BH_xls]B___653"/>
      <sheetName val="[Spt-BH_xls][Spt-BH_xls]B___654"/>
      <sheetName val="[Spt-BH_xls]B____x005f_x0004_______43"/>
      <sheetName val="[Spt-BH_xls]B___x005f_x0000__x005f_x0004_43"/>
      <sheetName val="[Spt-BH_xls][Spt-BH_xls]B___655"/>
      <sheetName val="[Spt-BH_xls][Spt-BH_xls]B___656"/>
      <sheetName val="[Spt-BH_xls][Spt-BH_xls]_Spt151"/>
      <sheetName val="[Spt-BH_xls][Spt-BH_xls]_Spt152"/>
      <sheetName val="[Spt-BH_xls][Spt-BH_xls]B___657"/>
      <sheetName val="[Spt-BH_xls][Spt-BH_xls]B___658"/>
      <sheetName val="[Spt-BH_xls][Spt-BH_xls]B___659"/>
      <sheetName val="[Spt-BH_xls][Spt-BH_xls]_Spt153"/>
      <sheetName val="[Spt-BH_xls][Spt-BH_xls]B___660"/>
      <sheetName val="[Spt-BH_xls][Spt-BH_xls]B___661"/>
      <sheetName val="[Spt-BH_xls][Spt-BH_xls]B___662"/>
      <sheetName val="[Spt-BH_xls][Spt-BH_xls]B___663"/>
      <sheetName val="[Spt-BH_xls][Spt-BH_xls]B___664"/>
      <sheetName val="[Spt-BH_xls][Spt-BH_xls]B___665"/>
      <sheetName val="[Spt-BH_xls][Spt-BH_xls]B___666"/>
      <sheetName val="[Spt-BH_xls][Spt-BH_xls]B___667"/>
      <sheetName val="[Spt-BH_xls][Spt-BH_xls]B___668"/>
      <sheetName val="[Spt-BH_xls][Spt-BH_xls]B___669"/>
      <sheetName val="[Spt-BH_xls][Spt-BH_xls]B___670"/>
      <sheetName val="[Spt-BH_xls][Spt-BH_xls]B___671"/>
      <sheetName val="[Spt-BH_xls][Spt-BH_xls]_Spt154"/>
      <sheetName val="[Spt-BH_xls][Spt-BH_xls]B___672"/>
      <sheetName val="[Spt-BH_xls][Spt-BH_xls]B___673"/>
      <sheetName val="[Spt-BH_xls][Spt-BH_xls]B___674"/>
      <sheetName val="[Spt-BH_xls][Spt-BH_xls]_Spt155"/>
      <sheetName val="[Spt-BH_xls][Spt-BH_xls]B___675"/>
      <sheetName val="[Spt-BH_xls][Spt-BH_xls]B___676"/>
      <sheetName val="[Spt-BH_xls][Spt-BH_xls]B___677"/>
      <sheetName val="[Spt-BH_xls][Spt-BH_xls]B___678"/>
      <sheetName val="[Spt-BH_xls][Spt-BH_xls]B___679"/>
      <sheetName val="[Spt-BH_xls][Spt-BH_xls]B___680"/>
      <sheetName val="[Spt-BH_xls][Spt-BH_xls]B___681"/>
      <sheetName val="[Spt-BH_xls][Spt-BH_xls]B___682"/>
      <sheetName val="[Spt-BH_xls][Spt-BH_xls]B___683"/>
      <sheetName val="[Spt-BH_xls][Spt-BH_xls]_Spt156"/>
      <sheetName val="[Spt-BH_xls][Spt-BH_xls]B___684"/>
      <sheetName val="[Spt-BH_xls]B____x005f_x0004_______44"/>
      <sheetName val="[Spt-BH_xls]B___x005f_x0000__x005f_x0004_44"/>
      <sheetName val="[Spt-BH_xls][Spt-BH_xls]B___685"/>
      <sheetName val="[Spt-BH_xls][Spt-BH_xls]B___686"/>
      <sheetName val="[Spt-BH_xls][Spt-BH_xls]_Spt157"/>
      <sheetName val="[Spt-BH_xls][Spt-BH_xls]B___687"/>
      <sheetName val="[Spt-BH_xls][Spt-BH_xls]B___688"/>
      <sheetName val="[Spt-BH_xls][Spt-BH_xls]B___689"/>
      <sheetName val="[Spt-BH_xls][Spt-BH_xls]_Spt158"/>
      <sheetName val="[Spt-BH_xls][Spt-BH_xls]B___690"/>
      <sheetName val="[Spt-BH_xls][Spt-BH_xls]B___691"/>
      <sheetName val="[Spt-BH_xls][Spt-BH_xls]B___692"/>
      <sheetName val="[Spt-BH_xls][Spt-BH_xls]B___693"/>
      <sheetName val="[Spt-BH_xls]B____x005f_x0004_______45"/>
      <sheetName val="[Spt-BH_xls]B___x005f_x0000__x005f_x0004_45"/>
      <sheetName val="[Spt-BH_xls][Spt-BH_xls]_Spt159"/>
      <sheetName val="[Spt-BH_xls][Spt-BH_xls]B___694"/>
      <sheetName val="[Spt-BH_xls][Spt-BH_xls]B___695"/>
      <sheetName val="[Spt-BH_xls][Spt-BH_xls]B___696"/>
      <sheetName val="[Spt-BH_xls][Spt-BH_xls]B___697"/>
      <sheetName val="[Spt-BH_xls][Spt-BH_xls]B___698"/>
      <sheetName val="[Spt-BH_xls][Spt-BH_xls]B___699"/>
      <sheetName val="[Spt-BH_xls][Spt-BH_xls]B___700"/>
      <sheetName val="[Spt-BH_xls][Spt-BH_xls]B___701"/>
      <sheetName val="[Spt-BH_xls][Spt-BH_xls]B___702"/>
      <sheetName val="[Spt-BH_xls][Spt-BH_xls]B___703"/>
      <sheetName val="[Spt-BH_xls][Spt-BH_xls]B___704"/>
      <sheetName val="[Spt-BH_xls]B____x005f_x0004_______46"/>
      <sheetName val="[Spt-BH_xls]B___x005f_x0000__x005f_x0004_46"/>
      <sheetName val="[Spt-BH_xls][Spt-BH_xls]B___705"/>
      <sheetName val="[Spt-BH_xls][Spt-BH_xls]B___706"/>
      <sheetName val="[Spt-BH_xls][Spt-BH_xls]_Spt160"/>
      <sheetName val="[Spt-BH_xls][Spt-BH_xls]B___707"/>
      <sheetName val="[Spt-BH_xls][Spt-BH_xls]B___708"/>
      <sheetName val="[Spt-BH_xls][Spt-BH_xls]B___709"/>
      <sheetName val="[Spt-BH_xls][Spt-BH_xls]B___710"/>
      <sheetName val="[Spt-BH_xls][Spt-BH_xls]B___711"/>
      <sheetName val="[Spt-BH_xls][Spt-BH_xls]B___712"/>
      <sheetName val="[Spt-BH_xls][Spt-BH_xls]B___713"/>
      <sheetName val="[Spt-BH_xls]B____x005f_x0004_______47"/>
      <sheetName val="[Spt-BH_xls]B___x005f_x0000__x005f_x0004_47"/>
      <sheetName val="[Spt-BH_xls][Spt-BH_xls]B___714"/>
      <sheetName val="[Spt-BH_xls]B____x005f_x0004_______48"/>
      <sheetName val="[Spt-BH_xls]B___x005f_x0000__x005f_x0004_48"/>
      <sheetName val="[Spt-BH_xls][Spt-BH_xls]_Spt161"/>
      <sheetName val="[Spt-BH_xls][Spt-BH_xls]B___715"/>
      <sheetName val="[Spt-BH_xls][Spt-BH_xls]B___716"/>
      <sheetName val="[Spt-BH_xls][Spt-BH_xls]B___717"/>
      <sheetName val="[Spt-BH_xls][Spt-BH_xls]B___718"/>
      <sheetName val="[Spt-BH_xls][Spt-BH_xls]B___719"/>
      <sheetName val="[Spt-BH_xls][Spt-BH_xls]B___720"/>
      <sheetName val="[Spt-BH_xls][Spt-BH_xls]B___721"/>
      <sheetName val="[Spt-BH_xls]B____x005f_x0004_______49"/>
      <sheetName val="[Spt-BH_xls]B___x005f_x0000__x005f_x0004_49"/>
      <sheetName val="[Spt-BH_xls][Spt-BH_xls]_Spt162"/>
      <sheetName val="[Spt-BH_xls][Spt-BH_xls]B___722"/>
      <sheetName val="[Spt-BH_xls][Spt-BH_xls]B___723"/>
      <sheetName val="[Spt-BH_xls][Spt-BH_xls]B___724"/>
      <sheetName val="[Spt-BH_xls][Spt-BH_xls]B___725"/>
      <sheetName val="[Spt-BH_xls][Spt-BH_xls]B___726"/>
      <sheetName val="[Spt-BH_xls][Spt-BH_xls]B___727"/>
      <sheetName val="[Spt-BH_xls][Spt-BH_xls]B___728"/>
      <sheetName val="[Spt-BH_xls]B____x005f_x0004_______50"/>
      <sheetName val="[Spt-BH_xls]B___x005f_x0000__x005f_x0004_50"/>
      <sheetName val="[Spt-BH_xls][Spt-BH_xls]_Spt163"/>
      <sheetName val="[Spt-BH_xls][Spt-BH_xls]B___729"/>
      <sheetName val="[Spt-BH_xls][Spt-BH_xls]B___730"/>
      <sheetName val="[Spt-BH_xls][Spt-BH_xls]B___731"/>
      <sheetName val="[Spt-BH_xls][Spt-BH_xls]B___732"/>
      <sheetName val="[Spt-BH_xls][Spt-BH_xls]B___733"/>
      <sheetName val="[Spt-BH_xls][Spt-BH_xls]B___734"/>
      <sheetName val="[Spt-BH_xls][Spt-BH_xls]B___735"/>
      <sheetName val="[Spt-BH_xls]B____x005f_x0004_______51"/>
      <sheetName val="[Spt-BH_xls]B___x005f_x0000__x005f_x0004_51"/>
      <sheetName val="[Spt-BH_xls][Spt-BH_xls]_Spt164"/>
      <sheetName val="[Spt-BH_xls][Spt-BH_xls]B___736"/>
      <sheetName val="[Spt-BH_xls][Spt-BH_xls]B___737"/>
      <sheetName val="[Spt-BH_xls][Spt-BH_xls]B___738"/>
      <sheetName val="[Spt-BH_xls][Spt-BH_xls]B___739"/>
      <sheetName val="[Spt-BH_xls][Spt-BH_xls]B___740"/>
      <sheetName val="[Spt-BH_xls][Spt-BH_xls]B___741"/>
      <sheetName val="[Spt-BH_xls][Spt-BH_xls]B___742"/>
      <sheetName val="[Spt-BH_xls][Spt-BH_xls]B___743"/>
      <sheetName val="[Spt-BH_xls][Spt-BH_xls]B___744"/>
      <sheetName val="[Spt-BH_xls][Spt-BH_xls]_Spt165"/>
      <sheetName val="[Spt-BH_xls][Spt-BH_xls]B___745"/>
      <sheetName val="[Spt-BH_xls][Spt-BH_xls]B___746"/>
      <sheetName val="[Spt-BH_xls]B____x005f_x0004_______52"/>
      <sheetName val="[Spt-BH_xls]B___x005f_x0000__x005f_x0004_52"/>
      <sheetName val="[Spt-BH_xls][Spt-BH_xls]B___747"/>
      <sheetName val="[Spt-BH_xls][Spt-BH_xls]B___748"/>
      <sheetName val="[Spt-BH_xls][Spt-BH_xls]B___749"/>
      <sheetName val="[Spt-BH_xls][Spt-BH_xls]B___750"/>
      <sheetName val="[Spt-BH_xls][Spt-BH_xls]B___751"/>
      <sheetName val="[Spt-BH_xls][Spt-BH_xls]_Spt166"/>
      <sheetName val="[Spt-BH_xls][Spt-BH_xls]B___752"/>
      <sheetName val="[Spt-BH_xls][Spt-BH_xls]B___753"/>
      <sheetName val="[Spt-BH_xls][Spt-BH_xls]B___754"/>
      <sheetName val="[Spt-BH_xls][Spt-BH_xls]_Spt167"/>
      <sheetName val="[Spt-BH_xls][Spt-BH_xls]B___755"/>
      <sheetName val="[Spt-BH_xls][Spt-BH_xls]B___756"/>
      <sheetName val="[Spt-BH_xls][Spt-BH_xls]B___757"/>
      <sheetName val="[Spt-BH_xls][Spt-BH_xls]B___758"/>
      <sheetName val="[Spt-BH_xls][Spt-BH_xls]B___759"/>
      <sheetName val="[Spt-BH_xls][Spt-BH_xls]B___760"/>
      <sheetName val="[Spt-BH_xls][Spt-BH_xls]_Spt168"/>
      <sheetName val="[Spt-BH_xls][Spt-BH_xls]_Spt169"/>
      <sheetName val="[Spt-BH_xls]B____x005f_x0004_______53"/>
      <sheetName val="[Spt-BH_xls]B___x005f_x0000__x005f_x0004_53"/>
      <sheetName val="[Spt-BH_xls][Spt-BH_xls]B___761"/>
      <sheetName val="[Spt-BH_xls][Spt-BH_xls]B___762"/>
      <sheetName val="[Spt-BH_xls][Spt-BH_xls]B___763"/>
      <sheetName val="[Spt-BH_xls][Spt-BH_xls]B___764"/>
      <sheetName val="[Spt-BH_xls][Spt-BH_xls]B___765"/>
      <sheetName val="[Spt-BH_xls][Spt-BH_xls]B___766"/>
      <sheetName val="[Spt-BH_xls][Spt-BH_xls]B___767"/>
      <sheetName val="[Spt-BH_xls][Spt-BH_xls]_Spt170"/>
      <sheetName val="[Spt-BH_xls][Spt-BH_xls]B___768"/>
      <sheetName val="[Spt-BH_xls][Spt-BH_xls]B___769"/>
      <sheetName val="[Spt-BH_xls][Spt-BH_xls]B___770"/>
      <sheetName val="[Spt-BH_xls][Spt-BH_xls]B___771"/>
      <sheetName val="[Spt-BH_xls][Spt-BH_xls]B___772"/>
      <sheetName val="[Spt-BH_xls][Spt-BH_xls]B___773"/>
      <sheetName val="[Spt-BH_xls][Spt-BH_xls]_Spt171"/>
      <sheetName val="[Spt-BH_xls][Spt-BH_xls]B___774"/>
      <sheetName val="[Spt-BH_xls][Spt-BH_xls]B___775"/>
      <sheetName val="[Spt-BH_xls][Spt-BH_xls]B___776"/>
      <sheetName val="[Spt-BH_xls][Spt-BH_xls]B___777"/>
      <sheetName val="[Spt-BH_xls][Spt-BH_xls]B___778"/>
      <sheetName val="[Spt-BH_xls][Spt-BH_xls]B___779"/>
      <sheetName val="[Spt-BH_xls][Spt-BH_xls]_Spt172"/>
      <sheetName val="[Spt-BH.xls]B____x0004________2"/>
      <sheetName val="[Spt-BH.xls]B___x0000__x0004__2"/>
      <sheetName val="[Spt-BH.xls]B____x0004________3"/>
      <sheetName val="[Spt-BH.xls]B___x0000__x0004__3"/>
      <sheetName val="[Spt-BH.xls]B____x0004________4"/>
      <sheetName val="[Spt-BH.xls]B___x0000__x0004__4"/>
      <sheetName val="[Spt-BH.xls]B____x0004________5"/>
      <sheetName val="[Spt-BH.xls]B___x0000__x0004__5"/>
      <sheetName val="[Spt-BH.xls]B____x0004________6"/>
      <sheetName val="[Spt-BH.xls]B____x0004________7"/>
      <sheetName val="[Spt-BH.xls]B@[_x0000__x0004_@_"/>
      <sheetName val="[Spt-BH_xls]B@[_x0000__x0004_@_"/>
      <sheetName val="[Spt-BH_xls]B@[_x0000__x0004_@1"/>
      <sheetName val="[Spt-BH_xls]B@[_x0000__x0004_@2"/>
      <sheetName val="[Spt-BH_xls]B@[_x0000__x0004_@3"/>
      <sheetName val="[Spt-BH.xls]B____x0004_______37"/>
      <sheetName val="[Spt-BH.xls]B___x0000__x0004_34"/>
      <sheetName val="[Spt-BH.xls]B___x0000__x0004__7"/>
      <sheetName val="[Spt-BH.xls]B___x0000__x0004__6"/>
      <sheetName val="[Spt-BH.xls]B____x0004________8"/>
      <sheetName val="[Spt-BH.xls]B___x0000__x0004__8"/>
      <sheetName val="[Spt-BH.xls]B____x0004________9"/>
      <sheetName val="[Spt-BH.xls]B___x0000__x0004__9"/>
      <sheetName val="[Spt-BH.xls]B____x0004_______33"/>
      <sheetName val="[Spt-BH.xls]B___x0000__x0004_30"/>
      <sheetName val="[Spt-BH.xls]B____x0004_______10"/>
      <sheetName val="[Spt-BH.xls]B___x0000__x0004_10"/>
      <sheetName val="[Spt-BH.xls]B____x0004_______11"/>
      <sheetName val="[Spt-BH.xls]B___x0000__x0004_11"/>
      <sheetName val="[Spt-BH.xls]B____x0004_______13"/>
      <sheetName val="[Spt-BH.xls]B____x0004_______12"/>
      <sheetName val="[Spt-BH.xls]B____x0004_______14"/>
      <sheetName val="[Spt-BH.xls]B___x0000__x0004_12"/>
      <sheetName val="[Spt-BH.xls]B____x0004_______15"/>
      <sheetName val="[Spt-BH.xls]B___x0000__x0004_13"/>
      <sheetName val="[Spt-BH.xls]B____x0004_______22"/>
      <sheetName val="[Spt-BH.xls]B___x0000__x0004_20"/>
      <sheetName val="[Spt-BH.xls]B____x0004_______16"/>
      <sheetName val="[Spt-BH.xls]B___x0000__x0004_14"/>
      <sheetName val="[Spt-BH.xls]B____x0004_______17"/>
      <sheetName val="[Spt-BH.xls]B___x0000__x0004_15"/>
      <sheetName val="[Spt-BH.xls]B____x0004_______18"/>
      <sheetName val="[Spt-BH.xls]B___x0000__x0004_16"/>
      <sheetName val="[Spt-BH.xls]B____x0004_______19"/>
      <sheetName val="[Spt-BH.xls]B___x0000__x0004_17"/>
      <sheetName val="[Spt-BH.xls]B____x0004_______20"/>
      <sheetName val="[Spt-BH.xls]B___x0000__x0004_18"/>
      <sheetName val="[Spt-BH.xls]B____x0004_______21"/>
      <sheetName val="[Spt-BH.xls]B___x0000__x0004_19"/>
      <sheetName val="[Spt-BH.xls]B____x0004_______24"/>
      <sheetName val="[Spt-BH.xls]B____x0004_______23"/>
      <sheetName val="[Spt-BH.xls]B___x0000__x0004_21"/>
      <sheetName val="[Spt-BH.xls]B____x0004_______25"/>
      <sheetName val="[Spt-BH.xls]B___x0000__x0004_22"/>
      <sheetName val="[Spt-BH.xls]B____x0004_______31"/>
      <sheetName val="[Spt-BH.xls]B___x0000__x0004_28"/>
      <sheetName val="[Spt-BH.xls]B____x0004_______26"/>
      <sheetName val="[Spt-BH.xls]B___x0000__x0004_23"/>
      <sheetName val="[Spt-BH.xls]B____x0004_______27"/>
      <sheetName val="[Spt-BH.xls]B___x0000__x0004_24"/>
      <sheetName val="[Spt-BH.xls]B____x0004_______28"/>
      <sheetName val="[Spt-BH.xls]B___x0000__x0004_25"/>
      <sheetName val="[Spt-BH.xls]B____x0004_______29"/>
      <sheetName val="[Spt-BH.xls]B___x0000__x0004_26"/>
      <sheetName val="[Spt-BH.xls]B____x0004_______30"/>
      <sheetName val="[Spt-BH.xls]B___x0000__x0004_27"/>
      <sheetName val="[Spt-BH.xls]B____x0004_______32"/>
      <sheetName val="[Spt-BH.xls]B___x0000__x0004_29"/>
      <sheetName val="[Spt-BH.xls]B____x0004_______34"/>
      <sheetName val="[Spt-BH.xls]B___x0000__x0004_31"/>
      <sheetName val="[Spt-BH.xls]B____x0004_______35"/>
      <sheetName val="[Spt-BH.xls]B___x0000__x0004_32"/>
      <sheetName val="[Spt-BH.xls]B____x0004_______36"/>
      <sheetName val="[Spt-BH.xls]B___x0000__x0004_33"/>
      <sheetName val="[Spt-BH.xls]B____x0004_______38"/>
      <sheetName val="[Spt-BH.xls]B___x0000__x0004_35"/>
      <sheetName val="[Spt-BH.xls]B____x0004_______40"/>
      <sheetName val="[Spt-BH.xls]B___x0000__x0004_37"/>
      <sheetName val="[Spt-BH.xls]B____x0004_______39"/>
      <sheetName val="[Spt-BH.xls]B___x0000__x0004_36"/>
      <sheetName val="[Spt-BH.xls]B____x0004_______41"/>
      <sheetName val="[Spt-BH.xls]B___x0000__x0004_38"/>
      <sheetName val="[Spt-BH.xls]B____x0004_______43"/>
      <sheetName val="[Spt-BH.xls]B____x0004_______42"/>
      <sheetName val="[Spt-BH.xls]B___x0000__x0004_39"/>
      <sheetName val="[Spt-BH.xls]B___x0000__x0004_40"/>
      <sheetName val="[Spt-BH.xls]B____x0004_______44"/>
      <sheetName val="[Spt-BH.xls]B___x0000__x0004_41"/>
      <sheetName val="[Spt-BH.xls]B____x0004_______46"/>
      <sheetName val="[Spt-BH.xls]B___x0000__x0004_43"/>
      <sheetName val="[Spt-BH.xls]B____x0004_______45"/>
      <sheetName val="[Spt-BH.xls]B___x0000__x0004_42"/>
      <sheetName val="[Spt-BH.xls]B____x0004_______48"/>
      <sheetName val="[Spt-BH.xls]B___x0000__x0004_45"/>
      <sheetName val="[Spt-BH.xls]B____x0004_______47"/>
      <sheetName val="[Spt-BH.xls]B___x0000__x0004_44"/>
      <sheetName val="[Spt-BH.xls]B____x0004_______49"/>
      <sheetName val="[Spt-BH.xls]B___x0000__x0004_46"/>
      <sheetName val="[Spt-BH.xls]B____x0004_______50"/>
      <sheetName val="[Spt-BH.xls]B___x0000__x0004_47"/>
      <sheetName val="[Spt-BH.xls]B____x0004_______52"/>
      <sheetName val="[Spt-BH.xls]B___x0000__x0004_49"/>
      <sheetName val="[Spt-BH.xls]B____x0004_______51"/>
      <sheetName val="[Spt-BH.xls]B___x0000__x0004_48"/>
      <sheetName val="[Spt-BH.xls]B____x0004_______53"/>
      <sheetName val="[Spt-BH.xls]B___x0000__x0004_50"/>
      <sheetName val="[Spt-BH.xls]B____x0004_______56"/>
      <sheetName val="[Spt-BH.xls]B___x0000__x0004_53"/>
      <sheetName val="[Spt-BH.xls]B____x0004_______54"/>
      <sheetName val="[Spt-BH.xls]B___x0000__x0004_51"/>
      <sheetName val="[Spt-BH.xls]B____x0004_______55"/>
      <sheetName val="[Spt-BH.xls]B___x0000__x0004_52"/>
      <sheetName val="[Spt-BH.xls]B____x0004_______57"/>
      <sheetName val="[Spt-BH.xls]B___x0000__x0004_54"/>
      <sheetName val="[Spt-BH.xls]B____x0004_______62"/>
      <sheetName val="[Spt-BH.xls]B___x0000__x0004_59"/>
      <sheetName val="[Spt-BH.xls]B____x0004_______58"/>
      <sheetName val="[Spt-BH.xls]B___x0000__x0004_55"/>
      <sheetName val="[Spt-BH.xls]B____x0004_______59"/>
      <sheetName val="[Spt-BH.xls]B___x0000__x0004_56"/>
      <sheetName val="[Spt-BH.xls]B____x0004_______60"/>
      <sheetName val="[Spt-BH.xls]B___x0000__x0004_57"/>
      <sheetName val="[Spt-BH.xls]B____x0004_______61"/>
      <sheetName val="[Spt-BH.xls]B___x0000__x0004_58"/>
      <sheetName val="[Spt-BH.xls]B____x0004_______64"/>
      <sheetName val="[Spt-BH.xls]B___x0000__x0004_61"/>
      <sheetName val="[Spt-BH.xls]B____x0004_______63"/>
      <sheetName val="[Spt-BH.xls]B___x0000__x0004_60"/>
      <sheetName val="[Spt-BH.xls]B____x0004_______65"/>
      <sheetName val="[Spt-BH.xls]B___x0000__x0004_62"/>
      <sheetName val="[Spt-BH.xls]B____x0004_______66"/>
      <sheetName val="[Spt-BH.xls]B___x0000__x0004_63"/>
      <sheetName val="[Spt-BH.xls]B____x0004_______67"/>
      <sheetName val="[Spt-BH.xls]B___x0000__x0004_64"/>
      <sheetName val="[Spt-BH.xls]B____x0004_______68"/>
      <sheetName val="[Spt-BH.xls]B___x0000__x0004_65"/>
      <sheetName val="[Spt-BH.xls]B____x0004_______70"/>
      <sheetName val="[Spt-BH.xls]B___x0000__x0004_67"/>
      <sheetName val="[Spt-BH.xls]B____x0004_______69"/>
      <sheetName val="[Spt-BH.xls]B___x0000__x0004_66"/>
      <sheetName val="[Spt-BH.xls]B____x0004_______71"/>
      <sheetName val="[Spt-BH.xls]B___x0000__x0004_68"/>
      <sheetName val="[Spt-BH.xls]B____x0004_______72"/>
      <sheetName val="[Spt-BH.xls]B___x0000__x0004_69"/>
      <sheetName val="[Spt-BH.xls]B____x0004_______73"/>
      <sheetName val="[Spt-BH.xls]B___x0000__x0004_70"/>
      <sheetName val="[Spt-BH.xls]B____x0004_______75"/>
      <sheetName val="[Spt-BH.xls]B___x0000__x0004_72"/>
      <sheetName val="[Spt-BH.xls]B____x0004_______74"/>
      <sheetName val="[Spt-BH.xls]B___x0000__x0004_71"/>
      <sheetName val="[Spt-BH.xls]B____x0004_______76"/>
      <sheetName val="[Spt-BH.xls]B___x0000__x0004_73"/>
      <sheetName val="[Spt-BH.xls]B____x0004_______79"/>
      <sheetName val="[Spt-BH.xls]B___x0000__x0004_76"/>
      <sheetName val="B@[_x0000__x0004_@_"/>
      <sheetName val="[Spt-BH.xls]B____x0004_______77"/>
      <sheetName val="[Spt-BH.xls]B___x0000__x0004_74"/>
      <sheetName val="[Spt-BH.xls]B____x0004_______78"/>
      <sheetName val="[Spt-BH.xls]B___x0000__x0004_75"/>
      <sheetName val="[Spt-BH.xls]B____x0004_______80"/>
      <sheetName val="[Spt-BH.xls]B___x0000__x0004_77"/>
      <sheetName val="[Spt-BH.xls]B____x0004_______81"/>
      <sheetName val="[Spt-BH.xls]B___x0000__x0004_78"/>
      <sheetName val="[Spt-BH.xls]B____x0004_______82"/>
      <sheetName val="[Spt-BH.xls]B___x0000__x0004_79"/>
      <sheetName val="[Spt-BH.xls]B____x0004_______83"/>
      <sheetName val="[Spt-BH.xls]B___x0000__x0004_80"/>
      <sheetName val="[Spt-BH.xls]B____x0004_______84"/>
      <sheetName val="[Spt-BH.xls]B___x0000__x0004_81"/>
      <sheetName val="[Spt-BH.xls]B____x0004_______87"/>
      <sheetName val="[Spt-BH.xls]B___x0000__x0004_84"/>
      <sheetName val="[Spt-BH.xls]B____x0004_______85"/>
      <sheetName val="[Spt-BH.xls]B___x0000__x0004_82"/>
      <sheetName val="[Spt-BH.xls]B____x0004_______86"/>
      <sheetName val="[Spt-BH.xls]B___x0000__x0004_83"/>
      <sheetName val="[Spt-BH.xls]B____x0004_______88"/>
      <sheetName val="[Spt-BH.xls]B___x0000__x0004_85"/>
      <sheetName val="[Spt-BH.xls]B____x0004_______91"/>
      <sheetName val="[Spt-BH.xls]B___x0000__x0004_88"/>
      <sheetName val="[Spt-BH.xls]B____x0004_______89"/>
      <sheetName val="[Spt-BH.xls]B___x0000__x0004_86"/>
      <sheetName val="[Spt-BH.xls]B____x0004_______90"/>
      <sheetName val="[Spt-BH.xls]B___x0000__x0004_87"/>
      <sheetName val="[Spt-BH.xls]B____x0004_______92"/>
      <sheetName val="[Spt-BH.xls]B___x0000__x0004_89"/>
      <sheetName val="[Spt-BH.xls]B____x0004_______94"/>
      <sheetName val="[Spt-BH.xls]B____x0004_______93"/>
      <sheetName val="[Spt-BH.xls]B____x0004_______95"/>
      <sheetName val="_Spt-BH.xls_B___x0004__4"/>
      <sheetName val="_Spt-BH.xls_B___x0004__3"/>
      <sheetName val="_Spt-BH.xls_B___x0004__2"/>
      <sheetName val="_Spt-BH.xls_B___x0004__6"/>
      <sheetName val="_Spt-BH.xls_B___x0004__5"/>
      <sheetName val="[Spt-BH.xls]B___x0004__2"/>
      <sheetName val="[Spt-BH.xls]B___x0004__3"/>
      <sheetName val="[Spt-BH.xls]B___x0004__4"/>
      <sheetName val="[Spt-BH.xls]B___x0004__5"/>
      <sheetName val="[Spt-BH.xls]B@[_x0004_@_"/>
      <sheetName val="[Spt-BH_xls]B@[_x0004_@_"/>
      <sheetName val="[Spt-BH_xls]B@[_x0004_@1"/>
      <sheetName val="[Spt-BH_xls]B@[_x0004_@2"/>
      <sheetName val="[Spt-BH_xls]B@[_x0004_@3"/>
      <sheetName val="[Spt-BH.xls]B___x0004_34"/>
      <sheetName val="[Spt-BH.xls]B___x0004__7"/>
      <sheetName val="[Spt-BH.xls]B___x0004__6"/>
      <sheetName val="[Spt-BH.xls]B___x0004__8"/>
      <sheetName val="[Spt-BH.xls]B___x0004__9"/>
      <sheetName val="[Spt-BH.xls]B___x0004_30"/>
      <sheetName val="[Spt-BH.xls]B___x0004_10"/>
      <sheetName val="[Spt-BH.xls]B___x0004_11"/>
      <sheetName val="[Spt-BH.xls]B___x0004_12"/>
      <sheetName val="[Spt-BH.xls]B___x0004_13"/>
      <sheetName val="[Spt-BH.xls]B___x0004_20"/>
      <sheetName val="[Spt-BH.xls]B___x0004_14"/>
      <sheetName val="[Spt-BH.xls]B___x0004_15"/>
      <sheetName val="[Spt-BH.xls]B___x0004_16"/>
      <sheetName val="[Spt-BH.xls]B___x0004_17"/>
      <sheetName val="[Spt-BH.xls]B___x0004_18"/>
      <sheetName val="[Spt-BH.xls]B___x0004_19"/>
      <sheetName val="[Spt-BH.xls]B___x0004_21"/>
      <sheetName val="[Spt-BH.xls]B___x0004_22"/>
      <sheetName val="[Spt-BH.xls]B___x0004_28"/>
      <sheetName val="[Spt-BH.xls]B___x0004_23"/>
      <sheetName val="[Spt-BH.xls]B___x0004_24"/>
      <sheetName val="[Spt-BH.xls]B___x0004_25"/>
      <sheetName val="[Spt-BH.xls]B___x0004_26"/>
      <sheetName val="[Spt-BH.xls]B___x0004_27"/>
      <sheetName val="[Spt-BH.xls]B___x0004_29"/>
      <sheetName val="[Spt-BH.xls]B___x0004_31"/>
      <sheetName val="[Spt-BH.xls]B___x0004_32"/>
      <sheetName val="[Spt-BH.xls]B___x0004_33"/>
      <sheetName val="[Spt-BH.xls]B___x0004_35"/>
      <sheetName val="[Spt-BH.xls]B___x0004_37"/>
      <sheetName val="[Spt-BH.xls]B___x0004_36"/>
      <sheetName val="[Spt-BH.xls]B___x0004_38"/>
      <sheetName val="[Spt-BH.xls]B___x0004_39"/>
      <sheetName val="[Spt-BH.xls]B___x0004_40"/>
      <sheetName val="[Spt-BH.xls]B___x0004_41"/>
      <sheetName val="[Spt-BH.xls]B___x0004_43"/>
      <sheetName val="[Spt-BH.xls]B___x0004_42"/>
      <sheetName val="[Spt-BH.xls]B___x0004_45"/>
      <sheetName val="[Spt-BH.xls]B___x0004_44"/>
      <sheetName val="[Spt-BH.xls]B___x0004_46"/>
      <sheetName val="[Spt-BH.xls]B___x0004_47"/>
      <sheetName val="[Spt-BH.xls]B___x0004_49"/>
      <sheetName val="[Spt-BH.xls]B___x0004_48"/>
      <sheetName val="[Spt-BH.xls]B___x0004_50"/>
      <sheetName val="[Spt-BH.xls]B___x0004_53"/>
      <sheetName val="[Spt-BH.xls]B___x0004_51"/>
      <sheetName val="[Spt-BH.xls]B___x0004_52"/>
      <sheetName val="[Spt-BH.xls]B___x0004_54"/>
      <sheetName val="[Spt-BH.xls]B___x0004_59"/>
      <sheetName val="[Spt-BH.xls]B___x0004_55"/>
      <sheetName val="[Spt-BH.xls]B___x0004_56"/>
      <sheetName val="[Spt-BH.xls]B___x0004_57"/>
      <sheetName val="[Spt-BH.xls]B___x0004_58"/>
      <sheetName val="[Spt-BH.xls]B___x0004_61"/>
      <sheetName val="[Spt-BH.xls]B___x0004_60"/>
      <sheetName val="[Spt-BH.xls]B___x0004_62"/>
      <sheetName val="[Spt-BH.xls]B___x0004_63"/>
      <sheetName val="[Spt-BH.xls]B___x0004_64"/>
      <sheetName val="[Spt-BH.xls]B___x0004_65"/>
      <sheetName val="[Spt-BH.xls]B___x0004_67"/>
      <sheetName val="[Spt-BH.xls]B___x0004_66"/>
      <sheetName val="[Spt-BH.xls]B___x0004_68"/>
      <sheetName val="[Spt-BH.xls]B___x0004_69"/>
      <sheetName val="[Spt-BH.xls]B___x0004_70"/>
      <sheetName val="[Spt-BH.xls]B___x0004_72"/>
      <sheetName val="[Spt-BH.xls]B___x0004_71"/>
      <sheetName val="[Spt-BH.xls]B___x0004_73"/>
      <sheetName val="[Spt-BH.xls]B___x0004_76"/>
      <sheetName val="B@[_x0004_@_"/>
      <sheetName val="[Spt-BH.xls]B___x0004_74"/>
      <sheetName val="[Spt-BH.xls]B___x0004_75"/>
      <sheetName val="[Spt-BH.xls]B___x0004_77"/>
      <sheetName val="[Spt-BH.xls]B___x0004_78"/>
      <sheetName val="[Spt-BH.xls]B___x0004_79"/>
      <sheetName val="[Spt-BH.xls]B___x0004_80"/>
      <sheetName val="[Spt-BH.xls]B___x0004_81"/>
      <sheetName val="[Spt-BH.xls]B___x0004_84"/>
      <sheetName val="[Spt-BH.xls]B___x0004_82"/>
      <sheetName val="[Spt-BH.xls]B___x0004_83"/>
      <sheetName val="[Spt-BH.xls]B___x0004_85"/>
      <sheetName val="[Spt-BH.xls]B___x0004_88"/>
      <sheetName val="[Spt-BH.xls]B___x0004_86"/>
      <sheetName val="[Spt-BH.xls]B___x0004_87"/>
      <sheetName val="[Spt-BH.xls]B___x0004_89"/>
      <sheetName val="_Spt-BH.xls__Spt-BH.xls_B__1179"/>
      <sheetName val="_Spt-BH.xls__Spt-BH.xls_B__1180"/>
      <sheetName val="_Spt-BH.xls__Spt-BH.xls__Sp_431"/>
      <sheetName val="_Spt-BH.xls__Spt-BH.xls_B__1181"/>
      <sheetName val="_Spt-BH.xls__Spt-BH.xls_B__1182"/>
      <sheetName val="[Spt-BH.xls][Spt-BH.xls]_S_1957"/>
      <sheetName val="[Spt-BH.xls][Spt-BH.xls]B__5621"/>
      <sheetName val="[Spt-BH.xls][Spt-BH.xls]B__5622"/>
      <sheetName val="[Spt-BH.xls][Spt-BH.xls]_S_1959"/>
      <sheetName val="[Spt-BH.xls][Spt-BH.xls]B__5623"/>
      <sheetName val="[Spt-BH.xls][Spt-BH.xls]B__5624"/>
      <sheetName val="[Spt-BH.xls][Spt-BH.xls]B__5625"/>
      <sheetName val="[Spt-BH.xls][Spt-BH.xls]B__5626"/>
      <sheetName val="[Spt-BH.xls][Spt-BH.xls]_S_1958"/>
      <sheetName val="[Spt-BH.xls][Spt-BH.xls]B__5628"/>
      <sheetName val="[Spt-BH.xls][Spt-BH.xls]B__5629"/>
      <sheetName val="[Spt-BH.xls][Spt-BH.xls]_S_1961"/>
      <sheetName val="[Spt-BH.xls][Spt-BH.xls]B__5630"/>
      <sheetName val="[Spt-BH.xls][Spt-BH.xls]B__5631"/>
      <sheetName val="[Spt-BH.xls]B____x005f_x0004______457"/>
      <sheetName val="[Spt-BH.xls]B___x005f_x0000__x000_449"/>
      <sheetName val="[Spt-BH.xls][Spt-BH.xls]B__5632"/>
      <sheetName val="[Spt-BH.xls][Spt-BH.xls]B__5633"/>
      <sheetName val="[Spt-BH.xls][Spt-BH.xls]B__5627"/>
      <sheetName val="[Spt-BH.xls][Spt-BH.xls]_S_1960"/>
      <sheetName val="[Spt-BH.xls][Spt-BH_xls]B__5562"/>
      <sheetName val="[Spt-BH.xls][Spt-BH_xls]B__5563"/>
      <sheetName val="[Spt-BH.xls][Spt-BH_xls]B__5564"/>
      <sheetName val="[Spt-BH.xls][Spt-BH_xls]B__5565"/>
      <sheetName val="[Spt-BH.xls][Spt-BH_xls]_S_1842"/>
      <sheetName val="[Spt-BH.xls][Spt-BH_xls]B__5566"/>
      <sheetName val="[Spt-BH.xls][Spt-BH_xls]B__5567"/>
      <sheetName val="[Spt-BH.xls][Spt-BH_xls]B__5568"/>
      <sheetName val="[Spt-BH.xls][Spt-BH_xls]_S_1843"/>
      <sheetName val="[Spt-BH.xls][Spt-BH_xls]B__5569"/>
      <sheetName val="[Spt-BH.xls][Spt-BH_xls]B__5570"/>
      <sheetName val="[Spt-BH.xls][Spt-BH_xls]B__5571"/>
      <sheetName val="[Spt-BH.xls][Spt-BH_xls]B__5572"/>
      <sheetName val="[Spt-BH.xls][Spt-BH_xls]_S_1844"/>
      <sheetName val="[Spt-BH.xls][Spt-BH_xls]B__5573"/>
      <sheetName val="[Spt-BH.xls][Spt-BH_xls]B__5574"/>
      <sheetName val="[Spt-BH.xls][Spt-BH_xls]_S_1845"/>
      <sheetName val="[Spt-BH.xls][Spt-BH_xls]B__5575"/>
      <sheetName val="[Spt-BH.xls][Spt-BH_xls]B__5576"/>
      <sheetName val="[Spt-BH.xls][Spt-BH_xls]_S_1846"/>
      <sheetName val="[Spt-BH.xls]B____x005f_x0004______449"/>
      <sheetName val="[Spt-BH.xls]B___x005f_x0000__x000_441"/>
      <sheetName val="[Spt-BH.xls][Spt-BH_xls]B__5442"/>
      <sheetName val="[Spt-BH.xls][Spt-BH_xls]B__5443"/>
      <sheetName val="[Spt-BH.xls][Spt-BH_xls]B__5444"/>
      <sheetName val="[Spt-BH.xls][Spt-BH_xls]B__5445"/>
      <sheetName val="[Spt-BH.xls][Spt-BH_xls]_S_1802"/>
      <sheetName val="[Spt-BH.xls][Spt-BH_xls]B__5446"/>
      <sheetName val="[Spt-BH.xls][Spt-BH_xls]B__5447"/>
      <sheetName val="[Spt-BH.xls][Spt-BH_xls]B__5448"/>
      <sheetName val="[Spt-BH.xls][Spt-BH_xls]_S_1803"/>
      <sheetName val="[Spt-BH.xls][Spt-BH_xls]B__5449"/>
      <sheetName val="[Spt-BH.xls][Spt-BH_xls]B__5450"/>
      <sheetName val="[Spt-BH.xls][Spt-BH_xls]B__5451"/>
      <sheetName val="[Spt-BH.xls][Spt-BH_xls]B__5452"/>
      <sheetName val="[Spt-BH.xls][Spt-BH_xls]_S_1804"/>
      <sheetName val="[Spt-BH.xls][Spt-BH_xls]B__5453"/>
      <sheetName val="[Spt-BH.xls][Spt-BH_xls]B__5454"/>
      <sheetName val="[Spt-BH.xls][Spt-BH_xls]_S_1805"/>
      <sheetName val="[Spt-BH.xls][Spt-BH_xls]B__5455"/>
      <sheetName val="[Spt-BH.xls][Spt-BH_xls]B__5456"/>
      <sheetName val="[Spt-BH.xls][Spt-BH_xls]_S_1806"/>
      <sheetName val="[Spt-BH.xls][Spt-BH.xls]B__5555"/>
      <sheetName val="[Spt-BH.xls][Spt-BH.xls]B__5556"/>
      <sheetName val="[Spt-BH.xls][Spt-BH.xls]B__5557"/>
      <sheetName val="[Spt-BH.xls][Spt-BH.xls]B__5558"/>
      <sheetName val="[Spt-BH.xls]B____x005f_x0004______450"/>
      <sheetName val="[Spt-BH.xls]B___x005f_x0000__x000_442"/>
      <sheetName val="[Spt-BH.xls][Spt-BH.xls]B__5559"/>
      <sheetName val="[Spt-BH.xls][Spt-BH.xls]B__5560"/>
      <sheetName val="[Spt-BH.xls][Spt-BH_xls]B__5457"/>
      <sheetName val="[Spt-BH.xls][Spt-BH_xls]B__5458"/>
      <sheetName val="[Spt-BH.xls][Spt-BH_xls]B__5459"/>
      <sheetName val="[Spt-BH.xls][Spt-BH_xls]B__5460"/>
      <sheetName val="[Spt-BH.xls][Spt-BH_xls]_S_1807"/>
      <sheetName val="[Spt-BH.xls][Spt-BH_xls]B__5461"/>
      <sheetName val="[Spt-BH.xls][Spt-BH_xls]B__5462"/>
      <sheetName val="[Spt-BH.xls][Spt-BH_xls]B__5463"/>
      <sheetName val="[Spt-BH.xls][Spt-BH_xls]_S_1808"/>
      <sheetName val="[Spt-BH.xls][Spt-BH_xls]B__5464"/>
      <sheetName val="[Spt-BH.xls][Spt-BH_xls]B__5465"/>
      <sheetName val="[Spt-BH.xls][Spt-BH_xls]B__5466"/>
      <sheetName val="[Spt-BH.xls][Spt-BH_xls]B__5467"/>
      <sheetName val="[Spt-BH.xls][Spt-BH_xls]_S_1809"/>
      <sheetName val="[Spt-BH.xls][Spt-BH_xls]B__5468"/>
      <sheetName val="[Spt-BH.xls][Spt-BH_xls]B__5469"/>
      <sheetName val="[Spt-BH.xls][Spt-BH_xls]_S_1810"/>
      <sheetName val="[Spt-BH.xls][Spt-BH_xls]B__5470"/>
      <sheetName val="[Spt-BH.xls][Spt-BH_xls]B__5471"/>
      <sheetName val="[Spt-BH.xls][Spt-BH_xls]_S_1811"/>
      <sheetName val="[Spt-BH.xls][Spt-BH.xls]B__5561"/>
      <sheetName val="[Spt-BH.xls][Spt-BH.xls]B__5562"/>
      <sheetName val="[Spt-BH.xls][Spt-BH.xls]_S_1938"/>
      <sheetName val="[Spt-BH.xls][Spt-BH.xls]B__5563"/>
      <sheetName val="[Spt-BH.xls][Spt-BH.xls]B__5564"/>
      <sheetName val="[Spt-BH.xls][Spt-BH.xls]B__5565"/>
      <sheetName val="[Spt-BH.xls][Spt-BH.xls]B__5566"/>
      <sheetName val="[Spt-BH.xls][Spt-BH.xls]B__5568"/>
      <sheetName val="[Spt-BH.xls][Spt-BH.xls]B__5569"/>
      <sheetName val="[Spt-BH.xls][Spt-BH.xls]_S_1940"/>
      <sheetName val="[Spt-BH.xls][Spt-BH.xls]B__5570"/>
      <sheetName val="[Spt-BH.xls][Spt-BH.xls]B__5571"/>
      <sheetName val="[Spt-BH.xls]B____x005f_x0004______451"/>
      <sheetName val="[Spt-BH.xls]B___x005f_x0000__x000_443"/>
      <sheetName val="[Spt-BH.xls][Spt-BH.xls]B__5572"/>
      <sheetName val="[Spt-BH.xls][Spt-BH.xls]B__5573"/>
      <sheetName val="[Spt-BH.xls][Spt-BH.xls]B__5567"/>
      <sheetName val="[Spt-BH.xls][Spt-BH.xls]_S_1939"/>
      <sheetName val="[Spt-BH.xls][Spt-BH_xls]B__5472"/>
      <sheetName val="[Spt-BH.xls][Spt-BH_xls]B__5473"/>
      <sheetName val="[Spt-BH.xls][Spt-BH_xls]B__5474"/>
      <sheetName val="[Spt-BH.xls][Spt-BH_xls]B__5475"/>
      <sheetName val="[Spt-BH.xls][Spt-BH_xls]_S_1812"/>
      <sheetName val="[Spt-BH.xls][Spt-BH_xls]B__5476"/>
      <sheetName val="[Spt-BH.xls][Spt-BH_xls]B__5477"/>
      <sheetName val="[Spt-BH.xls][Spt-BH_xls]B__5478"/>
      <sheetName val="[Spt-BH.xls][Spt-BH_xls]_S_1813"/>
      <sheetName val="[Spt-BH.xls][Spt-BH_xls]B__5479"/>
      <sheetName val="[Spt-BH.xls][Spt-BH_xls]B__5480"/>
      <sheetName val="[Spt-BH.xls][Spt-BH_xls]B__5481"/>
      <sheetName val="[Spt-BH.xls][Spt-BH_xls]B__5482"/>
      <sheetName val="[Spt-BH.xls][Spt-BH_xls]_S_1814"/>
      <sheetName val="[Spt-BH.xls][Spt-BH_xls]B__5483"/>
      <sheetName val="[Spt-BH.xls][Spt-BH_xls]B__5484"/>
      <sheetName val="[Spt-BH.xls][Spt-BH_xls]_S_1815"/>
      <sheetName val="[Spt-BH.xls][Spt-BH_xls]B__5485"/>
      <sheetName val="[Spt-BH.xls][Spt-BH_xls]B__5486"/>
      <sheetName val="[Spt-BH.xls][Spt-BH_xls]_S_1816"/>
      <sheetName val="[Spt-BH.xls][Spt-BH.xls]_S_1941"/>
      <sheetName val="[Spt-BH.xls][Spt-BH.xls]B__5574"/>
      <sheetName val="[Spt-BH.xls][Spt-BH.xls]B__5575"/>
      <sheetName val="[Spt-BH.xls][Spt-BH.xls]B__5576"/>
      <sheetName val="[Spt-BH.xls][Spt-BH.xls]B__5577"/>
      <sheetName val="[Spt-BH.xls][Spt-BH.xls]B__5578"/>
      <sheetName val="[Spt-BH.xls][Spt-BH.xls]B__5579"/>
      <sheetName val="[Spt-BH.xls][Spt-BH.xls]_S_1942"/>
      <sheetName val="[Spt-BH.xls]B____x005f_x0004______452"/>
      <sheetName val="[Spt-BH.xls]B___x005f_x0000__x000_444"/>
      <sheetName val="[Spt-BH.xls][Spt-BH.xls]B__5580"/>
      <sheetName val="[Spt-BH.xls][Spt-BH_xls]B__5487"/>
      <sheetName val="[Spt-BH.xls][Spt-BH_xls]B__5488"/>
      <sheetName val="[Spt-BH.xls][Spt-BH_xls]B__5489"/>
      <sheetName val="[Spt-BH.xls][Spt-BH_xls]B__5490"/>
      <sheetName val="[Spt-BH.xls][Spt-BH_xls]_S_1817"/>
      <sheetName val="[Spt-BH.xls][Spt-BH_xls]B__5491"/>
      <sheetName val="[Spt-BH.xls][Spt-BH_xls]B__5492"/>
      <sheetName val="[Spt-BH.xls][Spt-BH_xls]B__5493"/>
      <sheetName val="[Spt-BH.xls][Spt-BH_xls]_S_1818"/>
      <sheetName val="[Spt-BH.xls][Spt-BH_xls]B__5494"/>
      <sheetName val="[Spt-BH.xls][Spt-BH_xls]B__5495"/>
      <sheetName val="[Spt-BH.xls][Spt-BH_xls]B__5496"/>
      <sheetName val="[Spt-BH.xls][Spt-BH_xls]B__5497"/>
      <sheetName val="[Spt-BH.xls][Spt-BH_xls]_S_1819"/>
      <sheetName val="[Spt-BH.xls][Spt-BH_xls]B__5498"/>
      <sheetName val="[Spt-BH.xls][Spt-BH_xls]B__5499"/>
      <sheetName val="[Spt-BH.xls][Spt-BH_xls]_S_1820"/>
      <sheetName val="[Spt-BH.xls][Spt-BH_xls]B__5500"/>
      <sheetName val="[Spt-BH.xls][Spt-BH_xls]B__5501"/>
      <sheetName val="[Spt-BH.xls][Spt-BH_xls]_S_1821"/>
      <sheetName val="[Spt-BH.xls][Spt-BH.xls]_S_1943"/>
      <sheetName val="[Spt-BH.xls][Spt-BH.xls]B__5581"/>
      <sheetName val="[Spt-BH.xls][Spt-BH.xls]B__5582"/>
      <sheetName val="[Spt-BH.xls][Spt-BH.xls]_S_1945"/>
      <sheetName val="[Spt-BH.xls][Spt-BH.xls]B__5583"/>
      <sheetName val="[Spt-BH.xls][Spt-BH.xls]B__5584"/>
      <sheetName val="[Spt-BH.xls][Spt-BH.xls]B__5585"/>
      <sheetName val="[Spt-BH.xls][Spt-BH.xls]B__5586"/>
      <sheetName val="[Spt-BH.xls][Spt-BH.xls]_S_1944"/>
      <sheetName val="[Spt-BH.xls][Spt-BH.xls]B__5588"/>
      <sheetName val="[Spt-BH.xls][Spt-BH.xls]B__5589"/>
      <sheetName val="[Spt-BH.xls][Spt-BH.xls]B__5590"/>
      <sheetName val="[Spt-BH.xls][Spt-BH.xls]B__5591"/>
      <sheetName val="[Spt-BH.xls]B____x005f_x0004______453"/>
      <sheetName val="[Spt-BH.xls]B___x005f_x0000__x000_445"/>
      <sheetName val="[Spt-BH.xls][Spt-BH.xls]B__5592"/>
      <sheetName val="[Spt-BH.xls][Spt-BH.xls]B__5593"/>
      <sheetName val="[Spt-BH.xls][Spt-BH.xls]B__5587"/>
      <sheetName val="[Spt-BH.xls][Spt-BH.xls]_S_1946"/>
      <sheetName val="[Spt-BH.xls][Spt-BH_xls]B__5502"/>
      <sheetName val="[Spt-BH.xls][Spt-BH_xls]B__5503"/>
      <sheetName val="[Spt-BH.xls][Spt-BH_xls]B__5504"/>
      <sheetName val="[Spt-BH.xls][Spt-BH_xls]B__5505"/>
      <sheetName val="[Spt-BH.xls][Spt-BH_xls]_S_1822"/>
      <sheetName val="[Spt-BH.xls][Spt-BH_xls]B__5506"/>
      <sheetName val="[Spt-BH.xls][Spt-BH_xls]B__5507"/>
      <sheetName val="[Spt-BH.xls][Spt-BH_xls]B__5508"/>
      <sheetName val="[Spt-BH.xls][Spt-BH_xls]_S_1823"/>
      <sheetName val="[Spt-BH.xls][Spt-BH_xls]B__5509"/>
      <sheetName val="[Spt-BH.xls][Spt-BH_xls]B__5510"/>
      <sheetName val="[Spt-BH.xls][Spt-BH_xls]B__5511"/>
      <sheetName val="[Spt-BH.xls][Spt-BH_xls]B__5512"/>
      <sheetName val="[Spt-BH.xls][Spt-BH_xls]_S_1824"/>
      <sheetName val="[Spt-BH.xls][Spt-BH_xls]B__5513"/>
      <sheetName val="[Spt-BH.xls][Spt-BH_xls]B__5514"/>
      <sheetName val="[Spt-BH.xls][Spt-BH_xls]_S_1825"/>
      <sheetName val="[Spt-BH.xls][Spt-BH_xls]B__5515"/>
      <sheetName val="[Spt-BH.xls][Spt-BH_xls]B__5516"/>
      <sheetName val="[Spt-BH.xls][Spt-BH_xls]_S_1826"/>
      <sheetName val="[Spt-BH.xls][Spt-BH.xls]_S_1947"/>
      <sheetName val="[Spt-BH.xls][Spt-BH.xls]_S_1948"/>
      <sheetName val="[Spt-BH.xls][Spt-BH.xls]B__5594"/>
      <sheetName val="[Spt-BH.xls][Spt-BH.xls]B__5595"/>
      <sheetName val="[Spt-BH.xls][Spt-BH.xls]_S_1950"/>
      <sheetName val="[Spt-BH.xls][Spt-BH.xls]B__5596"/>
      <sheetName val="[Spt-BH.xls][Spt-BH.xls]B__5597"/>
      <sheetName val="[Spt-BH.xls][Spt-BH.xls]B__5598"/>
      <sheetName val="[Spt-BH.xls][Spt-BH.xls]B__5599"/>
      <sheetName val="[Spt-BH.xls][Spt-BH.xls]_S_1949"/>
      <sheetName val="[Spt-BH.xls][Spt-BH.xls]B__5601"/>
      <sheetName val="[Spt-BH.xls][Spt-BH.xls]B__5602"/>
      <sheetName val="[Spt-BH.xls][Spt-BH.xls]B__5603"/>
      <sheetName val="[Spt-BH.xls][Spt-BH.xls]B__5604"/>
      <sheetName val="[Spt-BH.xls]B____x005f_x0004______454"/>
      <sheetName val="[Spt-BH.xls]B___x005f_x0000__x000_446"/>
      <sheetName val="[Spt-BH.xls][Spt-BH.xls]B__5605"/>
      <sheetName val="[Spt-BH.xls][Spt-BH.xls]B__5606"/>
      <sheetName val="[Spt-BH.xls][Spt-BH.xls]B__5600"/>
      <sheetName val="[Spt-BH.xls][Spt-BH.xls]_S_1951"/>
      <sheetName val="[Spt-BH.xls][Spt-BH_xls]B__5517"/>
      <sheetName val="[Spt-BH.xls][Spt-BH_xls]B__5518"/>
      <sheetName val="[Spt-BH.xls][Spt-BH_xls]B__5519"/>
      <sheetName val="[Spt-BH.xls][Spt-BH_xls]B__5520"/>
      <sheetName val="[Spt-BH.xls][Spt-BH_xls]_S_1827"/>
      <sheetName val="[Spt-BH.xls][Spt-BH_xls]B__5521"/>
      <sheetName val="[Spt-BH.xls][Spt-BH_xls]B__5522"/>
      <sheetName val="[Spt-BH.xls][Spt-BH_xls]B__5523"/>
      <sheetName val="[Spt-BH.xls][Spt-BH_xls]_S_1828"/>
      <sheetName val="[Spt-BH.xls][Spt-BH_xls]B__5524"/>
      <sheetName val="[Spt-BH.xls][Spt-BH_xls]B__5525"/>
      <sheetName val="[Spt-BH.xls][Spt-BH_xls]B__5526"/>
      <sheetName val="[Spt-BH.xls][Spt-BH_xls]B__5527"/>
      <sheetName val="[Spt-BH.xls][Spt-BH_xls]_S_1829"/>
      <sheetName val="[Spt-BH.xls][Spt-BH_xls]B__5528"/>
      <sheetName val="[Spt-BH.xls][Spt-BH_xls]B__5529"/>
      <sheetName val="[Spt-BH.xls][Spt-BH_xls]_S_1830"/>
      <sheetName val="[Spt-BH.xls][Spt-BH_xls]B__5530"/>
      <sheetName val="[Spt-BH.xls][Spt-BH_xls]B__5531"/>
      <sheetName val="[Spt-BH.xls][Spt-BH_xls]_S_1831"/>
      <sheetName val="[Spt-BH.xls][Spt-BH.xls]_S_1952"/>
      <sheetName val="[Spt-BH.xls][Spt-BH.xls]_S_1955"/>
      <sheetName val="[Spt-BH.xls][Spt-BH.xls]B__5614"/>
      <sheetName val="[Spt-BH.xls][Spt-BH.xls]B__5615"/>
      <sheetName val="[Spt-BH.xls][Spt-BH.xls]B__5616"/>
      <sheetName val="[Spt-BH.xls][Spt-BH.xls]B__5617"/>
      <sheetName val="[Spt-BH.xls][Spt-BH.xls]B__5618"/>
      <sheetName val="[Spt-BH.xls][Spt-BH.xls]B__5619"/>
      <sheetName val="[Spt-BH.xls][Spt-BH.xls]_S_1956"/>
      <sheetName val="[Spt-BH.xls]B____x005f_x0004______456"/>
      <sheetName val="[Spt-BH.xls]B___x005f_x0000__x000_448"/>
      <sheetName val="[Spt-BH.xls][Spt-BH.xls]B__5620"/>
      <sheetName val="[Spt-BH.xls][Spt-BH_xls]B__5547"/>
      <sheetName val="[Spt-BH.xls][Spt-BH_xls]B__5548"/>
      <sheetName val="[Spt-BH.xls][Spt-BH_xls]B__5549"/>
      <sheetName val="[Spt-BH.xls][Spt-BH_xls]B__5550"/>
      <sheetName val="[Spt-BH.xls][Spt-BH_xls]_S_1837"/>
      <sheetName val="[Spt-BH.xls][Spt-BH_xls]B__5551"/>
      <sheetName val="[Spt-BH.xls][Spt-BH_xls]B__5552"/>
      <sheetName val="[Spt-BH.xls][Spt-BH_xls]B__5553"/>
      <sheetName val="[Spt-BH.xls][Spt-BH_xls]_S_1838"/>
      <sheetName val="[Spt-BH.xls][Spt-BH_xls]B__5554"/>
      <sheetName val="[Spt-BH.xls][Spt-BH_xls]B__5555"/>
      <sheetName val="[Spt-BH.xls][Spt-BH_xls]B__5556"/>
      <sheetName val="[Spt-BH.xls][Spt-BH_xls]B__5557"/>
      <sheetName val="[Spt-BH.xls][Spt-BH_xls]_S_1839"/>
      <sheetName val="[Spt-BH.xls][Spt-BH_xls]B__5558"/>
      <sheetName val="[Spt-BH.xls][Spt-BH_xls]B__5559"/>
      <sheetName val="[Spt-BH.xls][Spt-BH_xls]_S_1840"/>
      <sheetName val="[Spt-BH.xls][Spt-BH_xls]B__5560"/>
      <sheetName val="[Spt-BH.xls][Spt-BH_xls]B__5561"/>
      <sheetName val="[Spt-BH.xls][Spt-BH_xls]_S_1841"/>
      <sheetName val="[Spt-BH.xls][Spt-BH.xls]_S_1953"/>
      <sheetName val="[Spt-BH.xls][Spt-BH.xls]B__5607"/>
      <sheetName val="[Spt-BH.xls][Spt-BH.xls]B__5608"/>
      <sheetName val="[Spt-BH.xls][Spt-BH.xls]B__5609"/>
      <sheetName val="[Spt-BH.xls][Spt-BH.xls]B__5610"/>
      <sheetName val="[Spt-BH.xls][Spt-BH.xls]B__5611"/>
      <sheetName val="[Spt-BH.xls][Spt-BH.xls]B__5612"/>
      <sheetName val="[Spt-BH.xls][Spt-BH.xls]_S_1954"/>
      <sheetName val="[Spt-BH.xls]B____x005f_x0004______455"/>
      <sheetName val="[Spt-BH.xls]B___x005f_x0000__x000_447"/>
      <sheetName val="[Spt-BH.xls][Spt-BH.xls]B__5613"/>
      <sheetName val="[Spt-BH.xls][Spt-BH_xls]B__5532"/>
      <sheetName val="[Spt-BH.xls][Spt-BH_xls]B__5533"/>
      <sheetName val="[Spt-BH.xls][Spt-BH_xls]B__5534"/>
      <sheetName val="[Spt-BH.xls][Spt-BH_xls]B__5535"/>
      <sheetName val="[Spt-BH.xls][Spt-BH_xls]_S_1832"/>
      <sheetName val="[Spt-BH.xls][Spt-BH_xls]B__5536"/>
      <sheetName val="[Spt-BH.xls][Spt-BH_xls]B__5537"/>
      <sheetName val="[Spt-BH.xls][Spt-BH_xls]B__5538"/>
      <sheetName val="[Spt-BH.xls][Spt-BH_xls]_S_1833"/>
      <sheetName val="[Spt-BH.xls][Spt-BH_xls]B__5539"/>
      <sheetName val="[Spt-BH.xls][Spt-BH_xls]B__5540"/>
      <sheetName val="[Spt-BH.xls][Spt-BH_xls]B__5541"/>
      <sheetName val="[Spt-BH.xls][Spt-BH_xls]B__5542"/>
      <sheetName val="[Spt-BH.xls][Spt-BH_xls]_S_1834"/>
      <sheetName val="[Spt-BH.xls][Spt-BH_xls]B__5543"/>
      <sheetName val="[Spt-BH.xls][Spt-BH_xls]B__5544"/>
      <sheetName val="[Spt-BH.xls][Spt-BH_xls]_S_1835"/>
      <sheetName val="[Spt-BH.xls][Spt-BH_xls]B__5545"/>
      <sheetName val="[Spt-BH.xls][Spt-BH_xls]B__5546"/>
      <sheetName val="[Spt-BH.xls][Spt-BH_xls]_S_1836"/>
      <sheetName val="[Spt-BH.xls][Spt-BH.xls]B__5635"/>
      <sheetName val="[Spt-BH.xls][Spt-BH.xls]B__5636"/>
      <sheetName val="[Spt-BH.xls][Spt-BH.xls]_S_1964"/>
      <sheetName val="[Spt-BH.xls][Spt-BH.xls]B__5637"/>
      <sheetName val="[Spt-BH.xls][Spt-BH.xls]B__5638"/>
      <sheetName val="[Spt-BH.xls]B____x005f_x0004______458"/>
      <sheetName val="[Spt-BH.xls]B___x005f_x0000__x000_450"/>
      <sheetName val="[Spt-BH.xls][Spt-BH.xls]B__5639"/>
      <sheetName val="[Spt-BH.xls][Spt-BH.xls]B__5640"/>
      <sheetName val="[Spt-BH.xls][Spt-BH.xls]B__5634"/>
      <sheetName val="[Spt-BH.xls][Spt-BH.xls]_S_1962"/>
      <sheetName val="[Spt-BH.xls][Spt-BH_xls]B__5577"/>
      <sheetName val="[Spt-BH.xls][Spt-BH_xls]B__5578"/>
      <sheetName val="[Spt-BH.xls][Spt-BH_xls]B__5579"/>
      <sheetName val="[Spt-BH.xls][Spt-BH_xls]B__5580"/>
      <sheetName val="[Spt-BH.xls][Spt-BH_xls]_S_1847"/>
      <sheetName val="[Spt-BH.xls][Spt-BH_xls]B__5581"/>
      <sheetName val="[Spt-BH.xls][Spt-BH_xls]B__5582"/>
      <sheetName val="[Spt-BH.xls][Spt-BH_xls]B__5583"/>
      <sheetName val="[Spt-BH.xls][Spt-BH_xls]_S_1848"/>
      <sheetName val="[Spt-BH.xls][Spt-BH_xls]B__5584"/>
      <sheetName val="[Spt-BH.xls][Spt-BH_xls]B__5585"/>
      <sheetName val="[Spt-BH.xls][Spt-BH_xls]B__5586"/>
      <sheetName val="[Spt-BH.xls][Spt-BH_xls]B__5587"/>
      <sheetName val="[Spt-BH.xls][Spt-BH_xls]_S_1849"/>
      <sheetName val="[Spt-BH.xls][Spt-BH_xls]B__5588"/>
      <sheetName val="[Spt-BH.xls][Spt-BH_xls]B__5589"/>
      <sheetName val="[Spt-BH.xls][Spt-BH_xls]_S_1850"/>
      <sheetName val="[Spt-BH.xls][Spt-BH_xls]B__5590"/>
      <sheetName val="[Spt-BH.xls][Spt-BH_xls]B__5591"/>
      <sheetName val="[Spt-BH.xls][Spt-BH_xls]_S_1851"/>
      <sheetName val="[Spt-BH.xls][Spt-BH.xls]_S_1963"/>
      <sheetName val="[Spt-BH.xls][Spt-BH.xls]_S_1965"/>
      <sheetName val="[Spt-BH.xls][Spt-BH.xls]_S_1966"/>
      <sheetName val="[Spt-BH.xls][Spt-BH.xls]B__5641"/>
      <sheetName val="[Spt-BH.xls][Spt-BH.xls]B__5642"/>
      <sheetName val="[Spt-BH.xls][Spt-BH.xls]_S_1968"/>
      <sheetName val="[Spt-BH.xls][Spt-BH.xls]B__5643"/>
      <sheetName val="[Spt-BH.xls][Spt-BH.xls]B__5644"/>
      <sheetName val="[Spt-BH.xls][Spt-BH.xls]B__5645"/>
      <sheetName val="[Spt-BH.xls][Spt-BH.xls]B__5646"/>
      <sheetName val="[Spt-BH.xls][Spt-BH.xls]_S_1967"/>
      <sheetName val="[Spt-BH.xls][Spt-BH.xls]_S_1969"/>
      <sheetName val="[Spt-BH.xls][Spt-BH.xls]B__5647"/>
      <sheetName val="[Spt-BH.xls][Spt-BH.xls]B__5648"/>
      <sheetName val="[Spt-BH.xls][Spt-BH.xls]_S_1973"/>
      <sheetName val="[Spt-BH.xls][Spt-BH.xls]B__5649"/>
      <sheetName val="[Spt-BH.xls][Spt-BH.xls]B__5650"/>
      <sheetName val="[Spt-BH.xls][Spt-BH.xls]B__5651"/>
      <sheetName val="[Spt-BH.xls][Spt-BH.xls]B__5652"/>
      <sheetName val="[Spt-BH.xls][Spt-BH.xls]_S_1970"/>
      <sheetName val="[Spt-BH.xls][Spt-BH.xls]B__5659"/>
      <sheetName val="[Spt-BH.xls][Spt-BH.xls]B__5660"/>
      <sheetName val="[Spt-BH.xls][Spt-BH.xls]_S_1975"/>
      <sheetName val="[Spt-BH.xls][Spt-BH.xls]B__5661"/>
      <sheetName val="[Spt-BH.xls][Spt-BH.xls]B__5662"/>
      <sheetName val="[Spt-BH.xls][Spt-BH.xls]B__5663"/>
      <sheetName val="[Spt-BH.xls][Spt-BH.xls]B__5664"/>
      <sheetName val="[Spt-BH.xls][Spt-BH.xls]_S_1974"/>
      <sheetName val="[Spt-BH.xls][Spt-BH.xls]_S_1971"/>
      <sheetName val="[Spt-BH.xls][Spt-BH.xls]B__5653"/>
      <sheetName val="[Spt-BH.xls][Spt-BH.xls]B__5654"/>
      <sheetName val="[Spt-BH.xls][Spt-BH.xls]B__5655"/>
      <sheetName val="[Spt-BH.xls][Spt-BH.xls]B__5656"/>
      <sheetName val="[Spt-BH.xls][Spt-BH.xls]B__5657"/>
      <sheetName val="[Spt-BH.xls][Spt-BH.xls]B__5658"/>
      <sheetName val="[Spt-BH.xls][Spt-BH.xls]_S_1972"/>
      <sheetName val="[Spt-BH.xls][Spt-BH.xls]B__5665"/>
      <sheetName val="[Spt-BH.xls][Spt-BH.xls]B__5666"/>
      <sheetName val="[Spt-BH.xls][Spt-BH.xls]_S_1977"/>
      <sheetName val="[Spt-BH.xls][Spt-BH.xls]B__5667"/>
      <sheetName val="[Spt-BH.xls][Spt-BH.xls]B__5668"/>
      <sheetName val="[Spt-BH.xls][Spt-BH.xls]B__5669"/>
      <sheetName val="[Spt-BH.xls][Spt-BH.xls]B__5670"/>
      <sheetName val="[Spt-BH.xls][Spt-BH.xls]_S_1976"/>
      <sheetName val="[Spt-BH.xls][Spt-BH.xls]B__5672"/>
      <sheetName val="[Spt-BH.xls][Spt-BH.xls]B__5673"/>
      <sheetName val="[Spt-BH.xls][Spt-BH.xls]_S_1979"/>
      <sheetName val="[Spt-BH.xls][Spt-BH.xls]B__5674"/>
      <sheetName val="[Spt-BH.xls][Spt-BH.xls]B__5675"/>
      <sheetName val="[Spt-BH.xls]B____x005f_x0004______459"/>
      <sheetName val="[Spt-BH.xls]B___x005f_x0000__x000_451"/>
      <sheetName val="[Spt-BH.xls][Spt-BH.xls]B__5676"/>
      <sheetName val="[Spt-BH.xls][Spt-BH.xls]B__5677"/>
      <sheetName val="[Spt-BH.xls][Spt-BH.xls]B__5671"/>
      <sheetName val="[Spt-BH.xls][Spt-BH.xls]_S_1978"/>
      <sheetName val="[Spt-BH.xls][Spt-BH_xls]B__5592"/>
      <sheetName val="[Spt-BH.xls][Spt-BH_xls]B__5593"/>
      <sheetName val="[Spt-BH.xls][Spt-BH_xls]B__5594"/>
      <sheetName val="[Spt-BH.xls][Spt-BH_xls]B__5595"/>
      <sheetName val="[Spt-BH.xls][Spt-BH_xls]_S_1852"/>
      <sheetName val="[Spt-BH.xls][Spt-BH_xls]B__5596"/>
      <sheetName val="[Spt-BH.xls][Spt-BH_xls]B__5597"/>
      <sheetName val="[Spt-BH.xls][Spt-BH_xls]B__5598"/>
      <sheetName val="[Spt-BH.xls][Spt-BH_xls]_S_1853"/>
      <sheetName val="[Spt-BH.xls][Spt-BH_xls]B__5599"/>
      <sheetName val="[Spt-BH.xls][Spt-BH_xls]B__5600"/>
      <sheetName val="[Spt-BH.xls][Spt-BH_xls]B__5601"/>
      <sheetName val="[Spt-BH.xls][Spt-BH_xls]B__5602"/>
      <sheetName val="[Spt-BH.xls][Spt-BH_xls]_S_1854"/>
      <sheetName val="[Spt-BH.xls][Spt-BH_xls]B__5603"/>
      <sheetName val="[Spt-BH.xls][Spt-BH_xls]B__5604"/>
      <sheetName val="[Spt-BH.xls][Spt-BH_xls]_S_1855"/>
      <sheetName val="[Spt-BH.xls][Spt-BH_xls]B__5605"/>
      <sheetName val="[Spt-BH.xls][Spt-BH_xls]B__5606"/>
      <sheetName val="[Spt-BH.xls][Spt-BH_xls]_S_1856"/>
      <sheetName val="[Spt-BH.xls][Spt-BH.xls]B__5679"/>
      <sheetName val="[Spt-BH.xls][Spt-BH.xls]B__5680"/>
      <sheetName val="[Spt-BH.xls][Spt-BH.xls]_S_1981"/>
      <sheetName val="[Spt-BH.xls][Spt-BH.xls]B__5681"/>
      <sheetName val="[Spt-BH.xls][Spt-BH.xls]B__5682"/>
      <sheetName val="[Spt-BH.xls]B____x005f_x0004______460"/>
      <sheetName val="[Spt-BH.xls]B___x005f_x0000__x000_452"/>
      <sheetName val="[Spt-BH.xls][Spt-BH.xls]B__5683"/>
      <sheetName val="[Spt-BH.xls][Spt-BH.xls]B__5684"/>
      <sheetName val="[Spt-BH.xls][Spt-BH.xls]B__5678"/>
      <sheetName val="[Spt-BH.xls][Spt-BH.xls]_S_1980"/>
      <sheetName val="[Spt-BH.xls][Spt-BH_xls]B__5607"/>
      <sheetName val="[Spt-BH.xls][Spt-BH_xls]B__5608"/>
      <sheetName val="[Spt-BH.xls][Spt-BH_xls]B__5609"/>
      <sheetName val="[Spt-BH.xls][Spt-BH_xls]B__5610"/>
      <sheetName val="[Spt-BH.xls][Spt-BH_xls]_S_1857"/>
      <sheetName val="[Spt-BH.xls][Spt-BH_xls]B__5611"/>
      <sheetName val="[Spt-BH.xls][Spt-BH_xls]B__5612"/>
      <sheetName val="[Spt-BH.xls][Spt-BH_xls]B__5613"/>
      <sheetName val="[Spt-BH.xls][Spt-BH_xls]_S_1858"/>
      <sheetName val="[Spt-BH.xls][Spt-BH_xls]B__5614"/>
      <sheetName val="[Spt-BH.xls][Spt-BH_xls]B__5615"/>
      <sheetName val="[Spt-BH.xls][Spt-BH_xls]B__5616"/>
      <sheetName val="[Spt-BH.xls][Spt-BH_xls]B__5617"/>
      <sheetName val="[Spt-BH.xls][Spt-BH_xls]_S_1859"/>
      <sheetName val="[Spt-BH.xls][Spt-BH_xls]B__5618"/>
      <sheetName val="[Spt-BH.xls][Spt-BH_xls]B__5619"/>
      <sheetName val="[Spt-BH.xls][Spt-BH_xls]_S_1860"/>
      <sheetName val="[Spt-BH.xls][Spt-BH_xls]B__5620"/>
      <sheetName val="[Spt-BH.xls][Spt-BH_xls]B__5621"/>
      <sheetName val="[Spt-BH.xls][Spt-BH_xls]_S_1861"/>
      <sheetName val="[Spt-BH.xls][Spt-BH.xls]B__5686"/>
      <sheetName val="[Spt-BH.xls][Spt-BH.xls]B__5687"/>
      <sheetName val="[Spt-BH.xls][Spt-BH.xls]_S_1983"/>
      <sheetName val="[Spt-BH.xls][Spt-BH.xls]B__5688"/>
      <sheetName val="[Spt-BH.xls][Spt-BH.xls]B__5689"/>
      <sheetName val="[Spt-BH.xls]B____x005f_x0004______461"/>
      <sheetName val="[Spt-BH.xls]B___x005f_x0000__x000_453"/>
      <sheetName val="[Spt-BH.xls][Spt-BH.xls]B__5690"/>
      <sheetName val="[Spt-BH.xls][Spt-BH.xls]B__5691"/>
      <sheetName val="[Spt-BH.xls][Spt-BH.xls]B__5685"/>
      <sheetName val="[Spt-BH.xls][Spt-BH.xls]_S_1982"/>
      <sheetName val="[Spt-BH.xls][Spt-BH_xls]B__5622"/>
      <sheetName val="[Spt-BH.xls][Spt-BH_xls]B__5623"/>
      <sheetName val="[Spt-BH.xls][Spt-BH_xls]B__5624"/>
      <sheetName val="[Spt-BH.xls][Spt-BH_xls]B__5625"/>
      <sheetName val="[Spt-BH.xls][Spt-BH_xls]_S_1862"/>
      <sheetName val="[Spt-BH.xls][Spt-BH_xls]B__5626"/>
      <sheetName val="[Spt-BH.xls][Spt-BH_xls]B__5627"/>
      <sheetName val="[Spt-BH.xls][Spt-BH_xls]B__5628"/>
      <sheetName val="[Spt-BH.xls][Spt-BH_xls]_S_1863"/>
      <sheetName val="[Spt-BH.xls][Spt-BH_xls]B__5629"/>
      <sheetName val="[Spt-BH.xls][Spt-BH_xls]B__5630"/>
      <sheetName val="[Spt-BH.xls][Spt-BH_xls]B__5631"/>
      <sheetName val="[Spt-BH.xls][Spt-BH_xls]B__5632"/>
      <sheetName val="[Spt-BH.xls][Spt-BH_xls]_S_1864"/>
      <sheetName val="[Spt-BH.xls][Spt-BH_xls]B__5633"/>
      <sheetName val="[Spt-BH.xls][Spt-BH_xls]B__5634"/>
      <sheetName val="[Spt-BH.xls][Spt-BH_xls]_S_1865"/>
      <sheetName val="[Spt-BH.xls][Spt-BH_xls]B__5635"/>
      <sheetName val="[Spt-BH.xls][Spt-BH_xls]B__5636"/>
      <sheetName val="[Spt-BH.xls][Spt-BH_xls]_S_1866"/>
      <sheetName val="[Spt-BH.xls][Spt-BH.xls]B__5692"/>
      <sheetName val="[Spt-BH.xls][Spt-BH.xls]B__5693"/>
      <sheetName val="[Spt-BH.xls][Spt-BH.xls]B__5694"/>
      <sheetName val="[Spt-BH.xls][Spt-BH.xls]B__5695"/>
      <sheetName val="[Spt-BH.xls][Spt-BH.xls]B__5696"/>
      <sheetName val="[Spt-BH.xls][Spt-BH.xls]B__5697"/>
      <sheetName val="[Spt-BH.xls][Spt-BH.xls]_S_1984"/>
      <sheetName val="[Spt-BH.xls][Spt-BH.xls]_S_1986"/>
      <sheetName val="[Spt-BH.xls][Spt-BH.xls]_S_1985"/>
      <sheetName val="[Spt-BH.xls][Spt-BH.xls]B__5699"/>
      <sheetName val="[Spt-BH.xls][Spt-BH.xls]B__5700"/>
      <sheetName val="[Spt-BH.xls][Spt-BH.xls]_S_1988"/>
      <sheetName val="[Spt-BH.xls][Spt-BH.xls]B__5701"/>
      <sheetName val="[Spt-BH.xls][Spt-BH.xls]B__5702"/>
      <sheetName val="[Spt-BH.xls]B____x005f_x0004______462"/>
      <sheetName val="[Spt-BH.xls]B___x005f_x0000__x000_454"/>
      <sheetName val="[Spt-BH.xls][Spt-BH.xls]B__5703"/>
      <sheetName val="[Spt-BH.xls][Spt-BH.xls]B__5704"/>
      <sheetName val="[Spt-BH.xls][Spt-BH.xls]B__5698"/>
      <sheetName val="[Spt-BH.xls][Spt-BH.xls]_S_1987"/>
      <sheetName val="[Spt-BH.xls][Spt-BH_xls]B__5637"/>
      <sheetName val="[Spt-BH.xls][Spt-BH_xls]B__5638"/>
      <sheetName val="[Spt-BH.xls][Spt-BH_xls]B__5639"/>
      <sheetName val="[Spt-BH.xls][Spt-BH_xls]B__5640"/>
      <sheetName val="[Spt-BH.xls][Spt-BH_xls]_S_1867"/>
      <sheetName val="[Spt-BH.xls][Spt-BH_xls]B__5641"/>
      <sheetName val="[Spt-BH.xls][Spt-BH_xls]B__5642"/>
      <sheetName val="[Spt-BH.xls][Spt-BH_xls]B__5643"/>
      <sheetName val="[Spt-BH.xls][Spt-BH_xls]_S_1868"/>
      <sheetName val="[Spt-BH.xls][Spt-BH_xls]B__5644"/>
      <sheetName val="[Spt-BH.xls][Spt-BH_xls]B__5645"/>
      <sheetName val="[Spt-BH.xls][Spt-BH_xls]B__5646"/>
      <sheetName val="[Spt-BH.xls][Spt-BH_xls]B__5647"/>
      <sheetName val="[Spt-BH.xls][Spt-BH_xls]_S_1869"/>
      <sheetName val="[Spt-BH.xls][Spt-BH_xls]B__5648"/>
      <sheetName val="[Spt-BH.xls][Spt-BH_xls]B__5649"/>
      <sheetName val="[Spt-BH.xls][Spt-BH_xls]_S_1870"/>
      <sheetName val="[Spt-BH.xls][Spt-BH_xls]B__5650"/>
      <sheetName val="[Spt-BH.xls][Spt-BH_xls]B__5651"/>
      <sheetName val="[Spt-BH.xls][Spt-BH_xls]_S_1871"/>
      <sheetName val="[Spt-BH.xls][Spt-BH.xls]_S_1989"/>
      <sheetName val="[Spt-BH.xls][Spt-BH.xls]B__5705"/>
      <sheetName val="[Spt-BH.xls][Spt-BH.xls]B__5706"/>
      <sheetName val="[Spt-BH.xls][Spt-BH.xls]_S_1991"/>
      <sheetName val="[Spt-BH.xls][Spt-BH.xls]B__5707"/>
      <sheetName val="[Spt-BH.xls][Spt-BH.xls]B__5708"/>
      <sheetName val="[Spt-BH.xls][Spt-BH.xls]B__5709"/>
      <sheetName val="[Spt-BH.xls][Spt-BH.xls]B__5710"/>
      <sheetName val="[Spt-BH.xls][Spt-BH.xls]_S_1990"/>
      <sheetName val="[Spt-BH.xls][Spt-BH.xls]B__5712"/>
      <sheetName val="[Spt-BH.xls][Spt-BH.xls]B__5713"/>
      <sheetName val="[Spt-BH.xls][Spt-BH.xls]_S_1993"/>
      <sheetName val="[Spt-BH.xls][Spt-BH.xls]B__5714"/>
      <sheetName val="[Spt-BH.xls][Spt-BH.xls]B__5715"/>
      <sheetName val="[Spt-BH.xls]B____x005f_x0004______463"/>
      <sheetName val="[Spt-BH.xls]B___x005f_x0000__x000_455"/>
      <sheetName val="[Spt-BH.xls][Spt-BH.xls]B__5716"/>
      <sheetName val="[Spt-BH.xls][Spt-BH.xls]B__5717"/>
      <sheetName val="[Spt-BH.xls][Spt-BH.xls]B__5711"/>
      <sheetName val="[Spt-BH.xls][Spt-BH.xls]_S_1992"/>
      <sheetName val="[Spt-BH.xls][Spt-BH_xls]B__5652"/>
      <sheetName val="[Spt-BH.xls][Spt-BH_xls]B__5653"/>
      <sheetName val="[Spt-BH.xls][Spt-BH_xls]B__5654"/>
      <sheetName val="[Spt-BH.xls][Spt-BH_xls]B__5655"/>
      <sheetName val="[Spt-BH.xls][Spt-BH_xls]_S_1872"/>
      <sheetName val="[Spt-BH.xls][Spt-BH_xls]B__5656"/>
      <sheetName val="[Spt-BH.xls][Spt-BH_xls]B__5657"/>
      <sheetName val="[Spt-BH.xls][Spt-BH_xls]B__5658"/>
      <sheetName val="[Spt-BH.xls][Spt-BH_xls]_S_1873"/>
      <sheetName val="[Spt-BH.xls][Spt-BH_xls]B__5659"/>
      <sheetName val="[Spt-BH.xls][Spt-BH_xls]B__5660"/>
      <sheetName val="[Spt-BH.xls][Spt-BH_xls]B__5661"/>
      <sheetName val="[Spt-BH.xls][Spt-BH_xls]B__5662"/>
      <sheetName val="[Spt-BH.xls][Spt-BH_xls]_S_1874"/>
      <sheetName val="[Spt-BH.xls][Spt-BH_xls]B__5663"/>
      <sheetName val="[Spt-BH.xls][Spt-BH_xls]B__5664"/>
      <sheetName val="[Spt-BH.xls][Spt-BH_xls]_S_1875"/>
      <sheetName val="[Spt-BH.xls][Spt-BH_xls]B__5665"/>
      <sheetName val="[Spt-BH.xls][Spt-BH_xls]B__5666"/>
      <sheetName val="[Spt-BH.xls][Spt-BH_xls]_S_1876"/>
      <sheetName val="[Spt-BH.xls][Spt-BH.xls]B__5718"/>
      <sheetName val="[Spt-BH.xls][Spt-BH.xls]B__5719"/>
      <sheetName val="[Spt-BH.xls][Spt-BH.xls]_S_1994"/>
      <sheetName val="[Spt-BH.xls][Spt-BH.xls]B__5720"/>
      <sheetName val="[Spt-BH.xls][Spt-BH.xls]B__5721"/>
      <sheetName val="[Spt-BH.xls][Spt-BH.xls]B__5722"/>
      <sheetName val="[Spt-BH.xls][Spt-BH.xls]B__5723"/>
      <sheetName val="[Spt-BH.xls][Spt-BH.xls]B__5725"/>
      <sheetName val="[Spt-BH.xls][Spt-BH.xls]B__5726"/>
      <sheetName val="[Spt-BH.xls][Spt-BH.xls]_S_1996"/>
      <sheetName val="[Spt-BH.xls][Spt-BH.xls]B__5727"/>
      <sheetName val="[Spt-BH.xls][Spt-BH.xls]B__5728"/>
      <sheetName val="[Spt-BH.xls]B____x005f_x0004______464"/>
      <sheetName val="[Spt-BH.xls]B___x005f_x0000__x000_456"/>
      <sheetName val="[Spt-BH.xls][Spt-BH.xls]B__5729"/>
      <sheetName val="[Spt-BH.xls][Spt-BH.xls]B__5730"/>
      <sheetName val="[Spt-BH.xls][Spt-BH.xls]B__5724"/>
      <sheetName val="[Spt-BH.xls][Spt-BH.xls]_S_1995"/>
      <sheetName val="[Spt-BH.xls][Spt-BH_xls]B__5667"/>
      <sheetName val="[Spt-BH.xls][Spt-BH_xls]B__5668"/>
      <sheetName val="[Spt-BH.xls][Spt-BH_xls]B__5669"/>
      <sheetName val="[Spt-BH.xls][Spt-BH_xls]B__5670"/>
      <sheetName val="[Spt-BH.xls][Spt-BH_xls]_S_1877"/>
      <sheetName val="[Spt-BH.xls][Spt-BH_xls]B__5671"/>
      <sheetName val="[Spt-BH.xls][Spt-BH_xls]B__5672"/>
      <sheetName val="[Spt-BH.xls][Spt-BH_xls]B__5673"/>
      <sheetName val="[Spt-BH.xls][Spt-BH_xls]_S_1878"/>
      <sheetName val="[Spt-BH.xls][Spt-BH_xls]B__5674"/>
      <sheetName val="[Spt-BH.xls][Spt-BH_xls]B__5675"/>
      <sheetName val="[Spt-BH.xls][Spt-BH_xls]B__5676"/>
      <sheetName val="[Spt-BH.xls][Spt-BH_xls]B__5677"/>
      <sheetName val="[Spt-BH.xls][Spt-BH_xls]_S_1879"/>
      <sheetName val="[Spt-BH.xls][Spt-BH_xls]B__5678"/>
      <sheetName val="[Spt-BH.xls][Spt-BH_xls]B__5679"/>
      <sheetName val="[Spt-BH.xls][Spt-BH_xls]_S_1880"/>
      <sheetName val="[Spt-BH.xls][Spt-BH_xls]B__5680"/>
      <sheetName val="[Spt-BH.xls][Spt-BH_xls]B__5681"/>
      <sheetName val="[Spt-BH.xls][Spt-BH_xls]_S_1881"/>
      <sheetName val="[Spt-BH.xls][Spt-BH.xls]_S_1997"/>
      <sheetName val="[Spt-BH.xls][Spt-BH.xls]B__5731"/>
      <sheetName val="[Spt-BH.xls][Spt-BH.xls]B__5732"/>
      <sheetName val="[Spt-BH.xls][Spt-BH.xls]B__5733"/>
      <sheetName val="[Spt-BH.xls][Spt-BH.xls]B__5734"/>
      <sheetName val="[Spt-BH.xls][Spt-BH.xls]B__5735"/>
      <sheetName val="[Spt-BH.xls][Spt-BH.xls]B__5736"/>
      <sheetName val="[Spt-BH.xls][Spt-BH.xls]_S_1998"/>
      <sheetName val="[Spt-BH.xls]B____x005f_x0004______465"/>
      <sheetName val="[Spt-BH.xls]B___x005f_x0000__x000_457"/>
      <sheetName val="[Spt-BH.xls][Spt-BH.xls]B__5737"/>
      <sheetName val="[Spt-BH.xls][Spt-BH_xls]B__5682"/>
      <sheetName val="[Spt-BH.xls][Spt-BH_xls]B__5683"/>
      <sheetName val="[Spt-BH.xls][Spt-BH_xls]B__5684"/>
      <sheetName val="[Spt-BH.xls][Spt-BH_xls]B__5685"/>
      <sheetName val="[Spt-BH.xls][Spt-BH_xls]_S_1882"/>
      <sheetName val="[Spt-BH.xls][Spt-BH_xls]B__5686"/>
      <sheetName val="[Spt-BH.xls][Spt-BH_xls]B__5687"/>
      <sheetName val="[Spt-BH.xls][Spt-BH_xls]B__5688"/>
      <sheetName val="[Spt-BH.xls][Spt-BH_xls]_S_1883"/>
      <sheetName val="[Spt-BH.xls][Spt-BH_xls]B__5689"/>
      <sheetName val="[Spt-BH.xls][Spt-BH_xls]B__5690"/>
      <sheetName val="[Spt-BH.xls][Spt-BH_xls]B__5691"/>
      <sheetName val="[Spt-BH.xls][Spt-BH_xls]B__5692"/>
      <sheetName val="[Spt-BH.xls][Spt-BH_xls]_S_1884"/>
      <sheetName val="[Spt-BH.xls][Spt-BH_xls]B__5693"/>
      <sheetName val="[Spt-BH.xls][Spt-BH_xls]B__5694"/>
      <sheetName val="[Spt-BH.xls][Spt-BH_xls]_S_1885"/>
      <sheetName val="[Spt-BH.xls][Spt-BH_xls]B__5695"/>
      <sheetName val="[Spt-BH.xls][Spt-BH_xls]B__5696"/>
      <sheetName val="[Spt-BH.xls][Spt-BH_xls]_S_1886"/>
      <sheetName val="[Spt-BH.xls][Spt-BH.xls]_S_1999"/>
      <sheetName val="[Spt-BH.xls][Spt-BH.xls]B__5738"/>
      <sheetName val="[Spt-BH.xls][Spt-BH.xls]B__5739"/>
      <sheetName val="[Spt-BH.xls][Spt-BH.xls]_S_2001"/>
      <sheetName val="[Spt-BH.xls][Spt-BH.xls]B__5740"/>
      <sheetName val="[Spt-BH.xls][Spt-BH.xls]B__5741"/>
      <sheetName val="[Spt-BH.xls][Spt-BH.xls]B__5742"/>
      <sheetName val="[Spt-BH.xls][Spt-BH.xls]B__5743"/>
      <sheetName val="[Spt-BH.xls][Spt-BH.xls]_S_2000"/>
      <sheetName val="[Spt-BH.xls][Spt-BH.xls]B__5745"/>
      <sheetName val="[Spt-BH.xls][Spt-BH.xls]B__5746"/>
      <sheetName val="[Spt-BH.xls][Spt-BH.xls]_S_2007"/>
      <sheetName val="[Spt-BH.xls][Spt-BH.xls]B__5747"/>
      <sheetName val="[Spt-BH.xls][Spt-BH.xls]B__5748"/>
      <sheetName val="[Spt-BH.xls]B____x005f_x0004______466"/>
      <sheetName val="[Spt-BH.xls]B___x005f_x0000__x000_458"/>
      <sheetName val="[Spt-BH.xls][Spt-BH.xls]B__5749"/>
      <sheetName val="[Spt-BH.xls][Spt-BH.xls]B__5750"/>
      <sheetName val="[Spt-BH.xls][Spt-BH.xls]B__5744"/>
      <sheetName val="[Spt-BH.xls][Spt-BH.xls]_S_2002"/>
      <sheetName val="[Spt-BH.xls][Spt-BH_xls]B__5697"/>
      <sheetName val="[Spt-BH.xls][Spt-BH_xls]B__5698"/>
      <sheetName val="[Spt-BH.xls][Spt-BH_xls]B__5699"/>
      <sheetName val="[Spt-BH.xls][Spt-BH_xls]B__5700"/>
      <sheetName val="[Spt-BH.xls][Spt-BH_xls]_S_1887"/>
      <sheetName val="[Spt-BH.xls][Spt-BH_xls]B__5701"/>
      <sheetName val="[Spt-BH.xls][Spt-BH_xls]B__5702"/>
      <sheetName val="[Spt-BH.xls][Spt-BH_xls]B__5703"/>
      <sheetName val="[Spt-BH.xls][Spt-BH_xls]_S_1888"/>
      <sheetName val="[Spt-BH.xls][Spt-BH_xls]B__5704"/>
      <sheetName val="[Spt-BH.xls][Spt-BH_xls]B__5705"/>
      <sheetName val="[Spt-BH.xls][Spt-BH_xls]B__5706"/>
      <sheetName val="[Spt-BH.xls][Spt-BH_xls]B__5707"/>
      <sheetName val="[Spt-BH.xls][Spt-BH_xls]_S_1889"/>
      <sheetName val="[Spt-BH.xls][Spt-BH_xls]B__5708"/>
      <sheetName val="[Spt-BH.xls][Spt-BH_xls]B__5709"/>
      <sheetName val="[Spt-BH.xls][Spt-BH_xls]_S_1890"/>
      <sheetName val="[Spt-BH.xls][Spt-BH_xls]B__5710"/>
      <sheetName val="[Spt-BH.xls][Spt-BH_xls]B__5711"/>
      <sheetName val="[Spt-BH.xls][Spt-BH_xls]_S_1891"/>
      <sheetName val="[Spt-BH.xls][Spt-BH.xls]B__5764"/>
      <sheetName val="[Spt-BH.xls][Spt-BH.xls]B__5765"/>
      <sheetName val="[Spt-BH.xls][Spt-BH.xls]_S_2009"/>
      <sheetName val="[Spt-BH.xls][Spt-BH.xls]B__5766"/>
      <sheetName val="[Spt-BH.xls][Spt-BH.xls]B__5767"/>
      <sheetName val="[Spt-BH.xls]B____x005f_x0004______467"/>
      <sheetName val="[Spt-BH.xls]B___x005f_x0000__x000_459"/>
      <sheetName val="[Spt-BH.xls][Spt-BH.xls]B__5768"/>
      <sheetName val="[Spt-BH.xls][Spt-BH.xls]B__5769"/>
      <sheetName val="[Spt-BH.xls][Spt-BH.xls]B__5751"/>
      <sheetName val="[Spt-BH.xls][Spt-BH.xls]_S_2008"/>
      <sheetName val="[Spt-BH.xls][Spt-BH_xls]B__5712"/>
      <sheetName val="[Spt-BH.xls][Spt-BH_xls]B__5713"/>
      <sheetName val="[Spt-BH.xls][Spt-BH_xls]B__5714"/>
      <sheetName val="[Spt-BH.xls][Spt-BH_xls]B__5715"/>
      <sheetName val="[Spt-BH.xls][Spt-BH_xls]_S_1892"/>
      <sheetName val="[Spt-BH.xls][Spt-BH_xls]B__5716"/>
      <sheetName val="[Spt-BH.xls][Spt-BH_xls]B__5717"/>
      <sheetName val="[Spt-BH.xls][Spt-BH_xls]B__5718"/>
      <sheetName val="[Spt-BH.xls][Spt-BH_xls]_S_1893"/>
      <sheetName val="[Spt-BH.xls][Spt-BH_xls]B__5719"/>
      <sheetName val="[Spt-BH.xls][Spt-BH_xls]B__5720"/>
      <sheetName val="[Spt-BH.xls][Spt-BH_xls]B__5721"/>
      <sheetName val="[Spt-BH.xls][Spt-BH_xls]B__5722"/>
      <sheetName val="[Spt-BH.xls][Spt-BH_xls]_S_1894"/>
      <sheetName val="[Spt-BH.xls][Spt-BH_xls]B__5723"/>
      <sheetName val="[Spt-BH.xls][Spt-BH_xls]B__5724"/>
      <sheetName val="[Spt-BH.xls][Spt-BH_xls]_S_1895"/>
      <sheetName val="[Spt-BH.xls][Spt-BH_xls]B__5725"/>
      <sheetName val="[Spt-BH.xls][Spt-BH_xls]B__5726"/>
      <sheetName val="[Spt-BH.xls][Spt-BH_xls]_S_1896"/>
      <sheetName val="[Spt-BH.xls][Spt-BH.xls]_S_2003"/>
      <sheetName val="[Spt-BH.xls][Spt-BH.xls]B__5752"/>
      <sheetName val="[Spt-BH.xls][Spt-BH.xls]B__5753"/>
      <sheetName val="[Spt-BH.xls][Spt-BH.xls]B__5754"/>
      <sheetName val="[Spt-BH.xls][Spt-BH.xls]B__5755"/>
      <sheetName val="[Spt-BH.xls][Spt-BH.xls]B__5756"/>
      <sheetName val="[Spt-BH.xls][Spt-BH.xls]B__5757"/>
      <sheetName val="[Spt-BH.xls][Spt-BH.xls]_S_2004"/>
      <sheetName val="[Spt-BH.xls][Spt-BH.xls]_S_2005"/>
      <sheetName val="[Spt-BH.xls][Spt-BH.xls]B__5758"/>
      <sheetName val="[Spt-BH.xls][Spt-BH.xls]B__5759"/>
      <sheetName val="[Spt-BH.xls][Spt-BH.xls]B__5760"/>
      <sheetName val="[Spt-BH.xls][Spt-BH.xls]B__5761"/>
      <sheetName val="[Spt-BH.xls][Spt-BH.xls]B__5762"/>
      <sheetName val="[Spt-BH.xls][Spt-BH.xls]B__5763"/>
      <sheetName val="[Spt-BH.xls][Spt-BH.xls]_S_2006"/>
      <sheetName val="[Spt-BH.xls][Spt-BH.xls]B__5771"/>
      <sheetName val="[Spt-BH.xls][Spt-BH.xls]B__5772"/>
      <sheetName val="[Spt-BH.xls][Spt-BH.xls]B__5773"/>
      <sheetName val="[Spt-BH.xls][Spt-BH.xls]B__5774"/>
      <sheetName val="[Spt-BH.xls]B____x005f_x0004______468"/>
      <sheetName val="[Spt-BH.xls]B___x005f_x0000__x000_460"/>
      <sheetName val="[Spt-BH.xls][Spt-BH.xls]B__5775"/>
      <sheetName val="[Spt-BH.xls][Spt-BH.xls]B__5776"/>
      <sheetName val="[Spt-BH.xls][Spt-BH.xls]B__5770"/>
      <sheetName val="[Spt-BH.xls][Spt-BH.xls]_S_2010"/>
      <sheetName val="[Spt-BH.xls][Spt-BH_xls]B__5727"/>
      <sheetName val="[Spt-BH.xls][Spt-BH_xls]B__5728"/>
      <sheetName val="[Spt-BH.xls][Spt-BH_xls]B__5729"/>
      <sheetName val="[Spt-BH.xls][Spt-BH_xls]B__5730"/>
      <sheetName val="[Spt-BH.xls][Spt-BH_xls]_S_1897"/>
      <sheetName val="[Spt-BH.xls][Spt-BH_xls]B__5731"/>
      <sheetName val="[Spt-BH.xls][Spt-BH_xls]B__5732"/>
      <sheetName val="[Spt-BH.xls][Spt-BH_xls]B__5733"/>
      <sheetName val="[Spt-BH.xls][Spt-BH_xls]_S_1898"/>
      <sheetName val="[Spt-BH.xls][Spt-BH_xls]B__5734"/>
      <sheetName val="[Spt-BH.xls][Spt-BH_xls]B__5735"/>
      <sheetName val="[Spt-BH.xls][Spt-BH_xls]B__5736"/>
      <sheetName val="[Spt-BH.xls][Spt-BH_xls]B__5737"/>
      <sheetName val="[Spt-BH.xls][Spt-BH_xls]_S_1899"/>
      <sheetName val="[Spt-BH.xls][Spt-BH_xls]B__5738"/>
      <sheetName val="[Spt-BH.xls][Spt-BH_xls]B__5739"/>
      <sheetName val="[Spt-BH.xls][Spt-BH_xls]_S_1900"/>
      <sheetName val="[Spt-BH.xls][Spt-BH_xls]B__5740"/>
      <sheetName val="[Spt-BH.xls][Spt-BH_xls]B__5741"/>
      <sheetName val="[Spt-BH.xls][Spt-BH_xls]_S_1901"/>
      <sheetName val="[Spt-BH.xls][Spt-BH.xls]_S_2011"/>
      <sheetName val="[Spt-BH.xls]B____x005f_x0004______469"/>
      <sheetName val="[Spt-BH.xls]B___x005f_x0000__x000_461"/>
      <sheetName val="[Spt-BH.xls][Spt-BH.xls]B__5777"/>
      <sheetName val="[Spt-BH.xls][Spt-BH.xls]_S_2012"/>
      <sheetName val="[Spt-BH.xls][Spt-BH_xls]B__5742"/>
      <sheetName val="[Spt-BH.xls][Spt-BH_xls]B__5743"/>
      <sheetName val="[Spt-BH.xls][Spt-BH_xls]B__5744"/>
      <sheetName val="[Spt-BH.xls][Spt-BH_xls]B__5745"/>
      <sheetName val="[Spt-BH.xls][Spt-BH_xls]_S_1902"/>
      <sheetName val="[Spt-BH.xls][Spt-BH_xls]B__5746"/>
      <sheetName val="[Spt-BH.xls][Spt-BH_xls]B__5747"/>
      <sheetName val="[Spt-BH.xls][Spt-BH_xls]B__5748"/>
      <sheetName val="[Spt-BH.xls][Spt-BH_xls]_S_1903"/>
      <sheetName val="[Spt-BH.xls][Spt-BH_xls]B__5749"/>
      <sheetName val="[Spt-BH.xls][Spt-BH_xls]B__5750"/>
      <sheetName val="[Spt-BH.xls][Spt-BH_xls]B__5751"/>
      <sheetName val="[Spt-BH.xls][Spt-BH_xls]B__5752"/>
      <sheetName val="[Spt-BH.xls][Spt-BH_xls]_S_1904"/>
      <sheetName val="[Spt-BH.xls][Spt-BH_xls]B__5753"/>
      <sheetName val="[Spt-BH.xls][Spt-BH_xls]B__5754"/>
      <sheetName val="[Spt-BH.xls][Spt-BH_xls]_S_1905"/>
      <sheetName val="[Spt-BH.xls][Spt-BH_xls]B__5755"/>
      <sheetName val="[Spt-BH.xls][Spt-BH_xls]B__5756"/>
      <sheetName val="[Spt-BH.xls][Spt-BH_xls]_S_1906"/>
      <sheetName val="[Spt-BH.xls]B____x005f_x0004______470"/>
      <sheetName val="[Spt-BH.xls]B___x005f_x0000__x000_462"/>
      <sheetName val="[Spt-BH.xls][Spt-BH.xls]B__5778"/>
      <sheetName val="[Spt-BH.xls][Spt-BH_xls]B__5757"/>
      <sheetName val="[Spt-BH.xls][Spt-BH_xls]B__5758"/>
      <sheetName val="[Spt-BH.xls][Spt-BH_xls]B__5759"/>
      <sheetName val="[Spt-BH.xls][Spt-BH_xls]B__5760"/>
      <sheetName val="[Spt-BH.xls][Spt-BH_xls]_S_1907"/>
      <sheetName val="[Spt-BH.xls][Spt-BH_xls]B__5761"/>
      <sheetName val="[Spt-BH.xls][Spt-BH_xls]B__5762"/>
      <sheetName val="[Spt-BH.xls][Spt-BH_xls]B__5763"/>
      <sheetName val="[Spt-BH.xls][Spt-BH_xls]_S_1908"/>
      <sheetName val="[Spt-BH.xls][Spt-BH_xls]B__5764"/>
      <sheetName val="[Spt-BH.xls][Spt-BH_xls]B__5765"/>
      <sheetName val="[Spt-BH.xls][Spt-BH_xls]B__5766"/>
      <sheetName val="[Spt-BH.xls][Spt-BH_xls]B__5767"/>
      <sheetName val="[Spt-BH.xls][Spt-BH_xls]_S_1909"/>
      <sheetName val="[Spt-BH.xls][Spt-BH_xls]B__5768"/>
      <sheetName val="[Spt-BH.xls][Spt-BH_xls]B__5769"/>
      <sheetName val="[Spt-BH.xls][Spt-BH_xls]_S_1910"/>
      <sheetName val="[Spt-BH.xls][Spt-BH_xls]B__5770"/>
      <sheetName val="[Spt-BH.xls][Spt-BH_xls]B__5771"/>
      <sheetName val="[Spt-BH.xls][Spt-BH_xls]_S_1911"/>
      <sheetName val="[Spt-BH.xls][Spt-BH.xls]_S_2025"/>
      <sheetName val="[Spt-BH.xls][Spt-BH.xls]B__5818"/>
      <sheetName val="[Spt-BH.xls][Spt-BH.xls]B__5819"/>
      <sheetName val="[Spt-BH.xls][Spt-BH.xls]_S_2033"/>
      <sheetName val="[Spt-BH.xls][Spt-BH.xls]B__5820"/>
      <sheetName val="[Spt-BH.xls][Spt-BH.xls]B__5821"/>
      <sheetName val="[Spt-BH.xls][Spt-BH.xls]B__5822"/>
      <sheetName val="[Spt-BH.xls][Spt-BH.xls]B__5823"/>
      <sheetName val="[Spt-BH.xls][Spt-BH.xls]_S_2026"/>
      <sheetName val="[Spt-BH.xls][Spt-BH.xls]B__5844"/>
      <sheetName val="[Spt-BH.xls][Spt-BH.xls]B__5845"/>
      <sheetName val="[Spt-BH.xls][Spt-BH.xls]_S_2035"/>
      <sheetName val="[Spt-BH.xls][Spt-BH.xls]B__5846"/>
      <sheetName val="[Spt-BH.xls][Spt-BH.xls]B__5847"/>
      <sheetName val="[Spt-BH.xls]B____x005f_x0004______474"/>
      <sheetName val="[Spt-BH.xls]B___x005f_x0000__x000_466"/>
      <sheetName val="[Spt-BH.xls][Spt-BH.xls]B__5848"/>
      <sheetName val="[Spt-BH.xls][Spt-BH.xls]B__5849"/>
      <sheetName val="[Spt-BH.xls][Spt-BH.xls]B__5824"/>
      <sheetName val="[Spt-BH.xls][Spt-BH.xls]_S_2034"/>
      <sheetName val="[Spt-BH.xls][Spt-BH_xls]B__5817"/>
      <sheetName val="[Spt-BH.xls][Spt-BH_xls]B__5818"/>
      <sheetName val="[Spt-BH.xls][Spt-BH_xls]B__5819"/>
      <sheetName val="[Spt-BH.xls][Spt-BH_xls]B__5820"/>
      <sheetName val="[Spt-BH.xls][Spt-BH_xls]_S_1927"/>
      <sheetName val="[Spt-BH.xls][Spt-BH_xls]B__5821"/>
      <sheetName val="[Spt-BH.xls][Spt-BH_xls]B__5822"/>
      <sheetName val="[Spt-BH.xls][Spt-BH_xls]B__5823"/>
      <sheetName val="[Spt-BH.xls][Spt-BH_xls]_S_1928"/>
      <sheetName val="[Spt-BH.xls][Spt-BH_xls]B__5824"/>
      <sheetName val="[Spt-BH.xls][Spt-BH_xls]B__5825"/>
      <sheetName val="[Spt-BH.xls][Spt-BH_xls]B__5826"/>
      <sheetName val="[Spt-BH.xls][Spt-BH_xls]B__5827"/>
      <sheetName val="[Spt-BH.xls][Spt-BH_xls]_S_1929"/>
      <sheetName val="[Spt-BH.xls][Spt-BH_xls]B__5828"/>
      <sheetName val="[Spt-BH.xls][Spt-BH_xls]B__5829"/>
      <sheetName val="[Spt-BH.xls][Spt-BH_xls]_S_1930"/>
      <sheetName val="[Spt-BH.xls][Spt-BH_xls]B__5830"/>
      <sheetName val="[Spt-BH.xls][Spt-BH_xls]B__5831"/>
      <sheetName val="[Spt-BH.xls][Spt-BH_xls]_S_1931"/>
      <sheetName val="[Spt-BH.xls][Spt-BH.xls]B__5805"/>
      <sheetName val="[Spt-BH.xls][Spt-BH.xls]B__5806"/>
      <sheetName val="[Spt-BH.xls][Spt-BH.xls]_S_2023"/>
      <sheetName val="[Spt-BH.xls][Spt-BH.xls]B__5807"/>
      <sheetName val="[Spt-BH.xls][Spt-BH.xls]B__5808"/>
      <sheetName val="[Spt-BH.xls][Spt-BH.xls]B__5812"/>
      <sheetName val="[Spt-BH.xls][Spt-BH.xls]B__5813"/>
      <sheetName val="[Spt-BH.xls][Spt-BH.xls]B__5814"/>
      <sheetName val="[Spt-BH.xls][Spt-BH.xls]B__5815"/>
      <sheetName val="[Spt-BH.xls]B____x005f_x0004______473"/>
      <sheetName val="[Spt-BH.xls][Spt-BH.xls]B__5809"/>
      <sheetName val="[Spt-BH.xls][Spt-BH.xls]_S_2021"/>
      <sheetName val="[Spt-BH.xls][Spt-BH.xls]B__5810"/>
      <sheetName val="[Spt-BH.xls]B___x005f_x0000__x000_465"/>
      <sheetName val="[Spt-BH.xls][Spt-BH.xls]B__5816"/>
      <sheetName val="[Spt-BH.xls][Spt-BH.xls]B__5817"/>
      <sheetName val="[Spt-BH.xls][Spt-BH.xls]B__5811"/>
      <sheetName val="[Spt-BH.xls][Spt-BH.xls]_S_2024"/>
      <sheetName val="[Spt-BH.xls][Spt-BH_xls]B__5802"/>
      <sheetName val="[Spt-BH.xls][Spt-BH_xls]B__5803"/>
      <sheetName val="[Spt-BH.xls][Spt-BH_xls]B__5804"/>
      <sheetName val="[Spt-BH.xls][Spt-BH_xls]B__5805"/>
      <sheetName val="[Spt-BH.xls][Spt-BH_xls]_S_1922"/>
      <sheetName val="[Spt-BH.xls][Spt-BH_xls]B__5806"/>
      <sheetName val="[Spt-BH.xls][Spt-BH_xls]B__5807"/>
      <sheetName val="[Spt-BH.xls][Spt-BH_xls]B__5808"/>
      <sheetName val="[Spt-BH.xls][Spt-BH_xls]_S_1923"/>
      <sheetName val="[Spt-BH.xls][Spt-BH_xls]B__5809"/>
      <sheetName val="[Spt-BH.xls][Spt-BH_xls]B__5810"/>
      <sheetName val="[Spt-BH.xls][Spt-BH_xls]B__5811"/>
      <sheetName val="[Spt-BH.xls][Spt-BH_xls]B__5812"/>
      <sheetName val="[Spt-BH.xls][Spt-BH_xls]_S_1924"/>
      <sheetName val="[Spt-BH.xls][Spt-BH.xls]_S_2022"/>
      <sheetName val="[Spt-BH.xls][Spt-BH_xls]B__5813"/>
      <sheetName val="[Spt-BH.xls][Spt-BH_xls]B__5814"/>
      <sheetName val="[Spt-BH.xls][Spt-BH_xls]_S_1925"/>
      <sheetName val="[Spt-BH.xls][Spt-BH_xls]B__5815"/>
      <sheetName val="[Spt-BH.xls][Spt-BH_xls]B__5816"/>
      <sheetName val="[Spt-BH.xls][Spt-BH_xls]_S_1926"/>
      <sheetName val="[Spt-BH.xls][Spt-BH.xls]B__5792"/>
      <sheetName val="[Spt-BH.xls][Spt-BH.xls]B__5793"/>
      <sheetName val="[Spt-BH.xls][Spt-BH.xls]_S_2019"/>
      <sheetName val="[Spt-BH.xls][Spt-BH.xls]B__5794"/>
      <sheetName val="[Spt-BH.xls][Spt-BH.xls]B__5795"/>
      <sheetName val="[Spt-BH.xls][Spt-BH.xls]B__5799"/>
      <sheetName val="[Spt-BH.xls][Spt-BH.xls]B__5800"/>
      <sheetName val="[Spt-BH.xls][Spt-BH.xls]B__5801"/>
      <sheetName val="[Spt-BH.xls][Spt-BH.xls]B__5802"/>
      <sheetName val="[Spt-BH.xls]B____x005f_x0004______472"/>
      <sheetName val="[Spt-BH.xls][Spt-BH.xls]B__5796"/>
      <sheetName val="[Spt-BH.xls][Spt-BH.xls]_S_2017"/>
      <sheetName val="[Spt-BH.xls][Spt-BH.xls]B__5797"/>
      <sheetName val="[Spt-BH.xls]B___x005f_x0000__x000_464"/>
      <sheetName val="[Spt-BH.xls][Spt-BH.xls]B__5803"/>
      <sheetName val="[Spt-BH.xls][Spt-BH.xls]B__5804"/>
      <sheetName val="[Spt-BH.xls][Spt-BH.xls]B__5798"/>
      <sheetName val="[Spt-BH.xls][Spt-BH.xls]_S_2020"/>
      <sheetName val="[Spt-BH.xls][Spt-BH_xls]B__5787"/>
      <sheetName val="[Spt-BH.xls][Spt-BH_xls]B__5788"/>
      <sheetName val="[Spt-BH.xls][Spt-BH_xls]B__5789"/>
      <sheetName val="[Spt-BH.xls][Spt-BH_xls]B__5790"/>
      <sheetName val="[Spt-BH.xls][Spt-BH_xls]_S_1917"/>
      <sheetName val="[Spt-BH.xls][Spt-BH_xls]B__5791"/>
      <sheetName val="[Spt-BH.xls][Spt-BH_xls]B__5792"/>
      <sheetName val="[Spt-BH.xls][Spt-BH_xls]B__5793"/>
      <sheetName val="[Spt-BH.xls][Spt-BH_xls]_S_1918"/>
      <sheetName val="[Spt-BH.xls][Spt-BH_xls]B__5794"/>
      <sheetName val="[Spt-BH.xls][Spt-BH_xls]B__5795"/>
      <sheetName val="[Spt-BH.xls][Spt-BH_xls]B__5796"/>
      <sheetName val="[Spt-BH.xls][Spt-BH_xls]B__5797"/>
      <sheetName val="[Spt-BH.xls][Spt-BH_xls]_S_1919"/>
      <sheetName val="[Spt-BH.xls][Spt-BH.xls]_S_2018"/>
      <sheetName val="[Spt-BH.xls][Spt-BH_xls]B__5798"/>
      <sheetName val="[Spt-BH.xls][Spt-BH_xls]B__5799"/>
      <sheetName val="[Spt-BH.xls][Spt-BH_xls]_S_1920"/>
      <sheetName val="[Spt-BH.xls][Spt-BH_xls]B__5800"/>
      <sheetName val="[Spt-BH.xls][Spt-BH_xls]B__5801"/>
      <sheetName val="[Spt-BH.xls][Spt-BH_xls]_S_1921"/>
      <sheetName val="Basement Budget"/>
      <sheetName val="[Spt-BH.xls][Spt-BH.xls]_S_2027"/>
      <sheetName val="[Spt-BH.xls][Spt-BH.xls]B__5825"/>
      <sheetName val="[Spt-BH.xls][Spt-BH.xls]B__5826"/>
      <sheetName val="[Spt-BH.xls][Spt-BH.xls]_S_2029"/>
      <sheetName val="[Spt-BH.xls][Spt-BH.xls]B__5827"/>
      <sheetName val="[Spt-BH.xls][Spt-BH.xls]B__5828"/>
      <sheetName val="[Spt-BH.xls][Spt-BH.xls]B__5829"/>
      <sheetName val="[Spt-BH.xls][Spt-BH.xls]B__5830"/>
      <sheetName val="[Spt-BH.xls][Spt-BH.xls]_S_2028"/>
      <sheetName val="[Spt-BH.xls][Spt-BH.xls]B__5831"/>
      <sheetName val="[Spt-BH.xls][Spt-BH.xls]B__5832"/>
      <sheetName val="[Spt-BH.xls][Spt-BH.xls]_S_2031"/>
      <sheetName val="[Spt-BH.xls][Spt-BH.xls]B__5833"/>
      <sheetName val="[Spt-BH.xls][Spt-BH.xls]B__5834"/>
      <sheetName val="[Spt-BH.xls][Spt-BH.xls]B__5835"/>
      <sheetName val="[Spt-BH.xls][Spt-BH.xls]B__5836"/>
      <sheetName val="[Spt-BH.xls][Spt-BH.xls]_S_2030"/>
      <sheetName val="[Spt-BH.xls][Spt-BH.xls]B__5838"/>
      <sheetName val="[Spt-BH.xls][Spt-BH.xls]B__5839"/>
      <sheetName val="[Spt-BH.xls][Spt-BH.xls]B__5840"/>
      <sheetName val="[Spt-BH.xls][Spt-BH.xls]B__5841"/>
      <sheetName val="[Spt-BH.xls]B____x005f_x0004______475"/>
      <sheetName val="[Spt-BH.xls]B___x005f_x0000__x000_467"/>
      <sheetName val="[Spt-BH.xls][Spt-BH.xls]B__5842"/>
      <sheetName val="[Spt-BH.xls][Spt-BH.xls]B__5843"/>
      <sheetName val="[Spt-BH.xls][Spt-BH.xls]B__5837"/>
      <sheetName val="[Spt-BH.xls][Spt-BH.xls]_S_2032"/>
      <sheetName val="[Spt-BH.xls][Spt-BH_xls]B__5832"/>
      <sheetName val="[Spt-BH.xls][Spt-BH_xls]B__5833"/>
      <sheetName val="[Spt-BH.xls][Spt-BH_xls]B__5834"/>
      <sheetName val="[Spt-BH.xls][Spt-BH_xls]B__5835"/>
      <sheetName val="[Spt-BH.xls][Spt-BH_xls]_S_1932"/>
      <sheetName val="[Spt-BH.xls][Spt-BH_xls]B__5836"/>
      <sheetName val="[Spt-BH.xls][Spt-BH_xls]B__5837"/>
      <sheetName val="[Spt-BH.xls][Spt-BH_xls]B__5838"/>
      <sheetName val="[Spt-BH.xls][Spt-BH_xls]_S_1933"/>
      <sheetName val="[Spt-BH.xls][Spt-BH_xls]B__5839"/>
      <sheetName val="[Spt-BH.xls][Spt-BH_xls]B__5840"/>
      <sheetName val="[Spt-BH.xls][Spt-BH_xls]B__5841"/>
      <sheetName val="[Spt-BH.xls][Spt-BH_xls]B__5842"/>
      <sheetName val="[Spt-BH.xls][Spt-BH_xls]_S_1934"/>
      <sheetName val="[Spt-BH.xls][Spt-BH_xls]B__5843"/>
      <sheetName val="[Spt-BH.xls][Spt-BH_xls]B__5844"/>
      <sheetName val="[Spt-BH.xls][Spt-BH_xls]_S_1935"/>
      <sheetName val="[Spt-BH.xls][Spt-BH_xls]B__5845"/>
      <sheetName val="[Spt-BH.xls][Spt-BH_xls]B__5846"/>
      <sheetName val="[Spt-BH.xls][Spt-BH_xls]_S_1936"/>
      <sheetName val="[Spt-BH.xls][Spt-BH.xls]B__5850"/>
      <sheetName val="[Spt-BH.xls][Spt-BH.xls]B__5851"/>
      <sheetName val="[Spt-BH.xls][Spt-BH.xls]_S_2037"/>
      <sheetName val="[Spt-BH.xls][Spt-BH.xls]B__5852"/>
      <sheetName val="[Spt-BH.xls][Spt-BH.xls]B__5853"/>
      <sheetName val="[Spt-BH.xls][Spt-BH.xls]B__5854"/>
      <sheetName val="[Spt-BH.xls][Spt-BH.xls]B__5855"/>
      <sheetName val="[Spt-BH.xls][Spt-BH.xls]_S_2036"/>
      <sheetName val="[Spt-BH.xls][Spt-BH.xls]_S_2038"/>
      <sheetName val="[Spt-BH.xls][Spt-BH.xls]B__5856"/>
      <sheetName val="[Spt-BH.xls][Spt-BH.xls]B__5857"/>
      <sheetName val="[Spt-BH.xls][Spt-BH.xls]B__5858"/>
      <sheetName val="[Spt-BH.xls][Spt-BH.xls]B__5859"/>
      <sheetName val="[Spt-BH.xls][Spt-BH.xls]B__5860"/>
      <sheetName val="[Spt-BH.xls][Spt-BH.xls]B__5861"/>
      <sheetName val="[Spt-BH.xls][Spt-BH.xls]_S_2039"/>
      <sheetName val="[Spt-BH.xls][Spt-BH.xls]B__5862"/>
      <sheetName val="[Spt-BH.xls][Spt-BH.xls]B__5863"/>
      <sheetName val="[Spt-BH.xls][Spt-BH.xls]_S_2044"/>
      <sheetName val="[Spt-BH.xls][Spt-BH.xls]B__5864"/>
      <sheetName val="[Spt-BH.xls][Spt-BH.xls]B__5865"/>
      <sheetName val="[Spt-BH.xls][Spt-BH.xls]B__5875"/>
      <sheetName val="[Spt-BH.xls][Spt-BH.xls]B__5876"/>
      <sheetName val="[Spt-BH.xls][Spt-BH.xls]_S_2046"/>
      <sheetName val="[Spt-BH.xls][Spt-BH.xls]B__5877"/>
      <sheetName val="[Spt-BH.xls][Spt-BH.xls]B__5878"/>
      <sheetName val="[Spt-BH.xls]B____x005f_x0004______476"/>
      <sheetName val="[Spt-BH.xls][Spt-BH.xls]B__5866"/>
      <sheetName val="[Spt-BH.xls][Spt-BH.xls]B__5867"/>
      <sheetName val="[Spt-BH.xls]B___x005f_x0000__x000_468"/>
      <sheetName val="[Spt-BH.xls][Spt-BH.xls]B__5879"/>
      <sheetName val="[Spt-BH.xls][Spt-BH.xls]B__5880"/>
      <sheetName val="[Spt-BH.xls][Spt-BH.xls]B__5868"/>
      <sheetName val="[Spt-BH.xls][Spt-BH.xls]_S_2045"/>
      <sheetName val="[Spt-BH.xls][Spt-BH_xls]B__5847"/>
      <sheetName val="[Spt-BH.xls][Spt-BH_xls]B__5848"/>
      <sheetName val="[Spt-BH.xls][Spt-BH_xls]B__5849"/>
      <sheetName val="[Spt-BH.xls][Spt-BH_xls]B__5850"/>
      <sheetName val="[Spt-BH.xls][Spt-BH_xls]_S_1937"/>
      <sheetName val="[Spt-BH.xls][Spt-BH_xls]B__5851"/>
      <sheetName val="[Spt-BH.xls][Spt-BH_xls]B__5852"/>
      <sheetName val="[Spt-BH.xls][Spt-BH_xls]B__5853"/>
      <sheetName val="[Spt-BH.xls][Spt-BH_xls]_S_1938"/>
      <sheetName val="[Spt-BH.xls][Spt-BH_xls]B__5854"/>
      <sheetName val="[Spt-BH.xls][Spt-BH_xls]B__5855"/>
      <sheetName val="[Spt-BH.xls][Spt-BH_xls]B__5856"/>
      <sheetName val="[Spt-BH.xls][Spt-BH_xls]B__5857"/>
      <sheetName val="[Spt-BH.xls][Spt-BH_xls]_S_1939"/>
      <sheetName val="[Spt-BH.xls][Spt-BH.xls]_S_2041"/>
      <sheetName val="[Spt-BH.xls][Spt-BH_xls]B__5858"/>
      <sheetName val="[Spt-BH.xls][Spt-BH_xls]B__5859"/>
      <sheetName val="[Spt-BH.xls][Spt-BH_xls]_S_1940"/>
      <sheetName val="[Spt-BH.xls][Spt-BH_xls]B__5860"/>
      <sheetName val="[Spt-BH.xls][Spt-BH_xls]B__5861"/>
      <sheetName val="[Spt-BH.xls][Spt-BH_xls]_S_1941"/>
      <sheetName val="[Spt-BH.xls][Spt-BH.xls]_S_2042"/>
      <sheetName val="[Spt-BH.xls][Spt-BH.xls]B__5869"/>
      <sheetName val="[Spt-BH.xls][Spt-BH.xls]B__5870"/>
      <sheetName val="[Spt-BH.xls][Spt-BH.xls]B__5871"/>
      <sheetName val="[Spt-BH.xls][Spt-BH.xls]B__5872"/>
      <sheetName val="[Spt-BH.xls][Spt-BH.xls]B__5873"/>
      <sheetName val="[Spt-BH.xls][Spt-BH.xls]B__5874"/>
      <sheetName val="[Spt-BH.xls][Spt-BH.xls]_S_2043"/>
      <sheetName val="[Spt-BH.xls][Spt-BH.xls]_S_2047"/>
      <sheetName val="[Spt-BH.xls][Spt-BH.xls]B__5881"/>
      <sheetName val="[Spt-BH.xls][Spt-BH.xls]B__5882"/>
      <sheetName val="[Spt-BH.xls][Spt-BH.xls]_S_2049"/>
      <sheetName val="[Spt-BH.xls][Spt-BH.xls]B__5883"/>
      <sheetName val="[Spt-BH.xls][Spt-BH.xls]B__5884"/>
      <sheetName val="[Spt-BH.xls][Spt-BH.xls]B__5885"/>
      <sheetName val="[Spt-BH.xls][Spt-BH.xls]B__5886"/>
      <sheetName val="[Spt-BH.xls][Spt-BH.xls]_S_2048"/>
      <sheetName val="[Spt-BH.xls][Spt-BH.xls]_S_2050"/>
      <sheetName val="Direct co_x0006__x0017_ _x000e_  "/>
      <sheetName val="[Spt-BH.xls][Spt-BH.xls]_S_2051"/>
      <sheetName val="[Spt-BH.xls][Spt-BH.xls]B__6077"/>
      <sheetName val="[Spt-BH.xls][Spt-BH.xls]B__6078"/>
      <sheetName val="[Spt-BH.xls][Spt-BH.xls]_S_2134"/>
      <sheetName val="[Spt-BH.xls][Spt-BH.xls]B__6079"/>
      <sheetName val="[Spt-BH.xls][Spt-BH.xls]B__6080"/>
      <sheetName val="[Spt-BH.xls]B____x005f_x0004______493"/>
      <sheetName val="[Spt-BH.xls][Spt-BH.xls]_S_2088"/>
      <sheetName val="[Spt-BH.xls][Spt-BH.xls]B__5963"/>
      <sheetName val="[Spt-BH.xls][Spt-BH.xls]B__5964"/>
      <sheetName val="[Spt-BH.xls][Spt-BH.xls]_S_2090"/>
      <sheetName val="[Spt-BH.xls][Spt-BH.xls]B__5965"/>
      <sheetName val="[Spt-BH.xls][Spt-BH.xls]B__5966"/>
      <sheetName val="[Spt-BH.xls][Spt-BH.xls]B__5967"/>
      <sheetName val="[Spt-BH.xls][Spt-BH.xls]B__5968"/>
      <sheetName val="[Spt-BH.xls][Spt-BH.xls]_S_2089"/>
      <sheetName val="[Spt-BH.xls]B____x005f_x0004______477"/>
      <sheetName val="[Spt-BH.xls]B___x005f_x0000__x000_469"/>
      <sheetName val="[Spt-BH.xls][Spt-BH_xls]B__5862"/>
      <sheetName val="[Spt-BH.xls][Spt-BH_xls]B__5863"/>
      <sheetName val="[Spt-BH.xls][Spt-BH_xls]B__5864"/>
      <sheetName val="[Spt-BH.xls][Spt-BH_xls]B__5865"/>
      <sheetName val="[Spt-BH.xls][Spt-BH_xls]_S_1942"/>
      <sheetName val="[Spt-BH.xls][Spt-BH_xls]B__5866"/>
      <sheetName val="[Spt-BH.xls][Spt-BH_xls]B__5867"/>
      <sheetName val="[Spt-BH.xls][Spt-BH_xls]B__5868"/>
      <sheetName val="[Spt-BH.xls][Spt-BH_xls]_S_1943"/>
      <sheetName val="[Spt-BH.xls][Spt-BH_xls]B__5869"/>
      <sheetName val="[Spt-BH.xls][Spt-BH_xls]B__5870"/>
      <sheetName val="[Spt-BH.xls][Spt-BH_xls]B__5871"/>
      <sheetName val="[Spt-BH.xls][Spt-BH_xls]B__5872"/>
      <sheetName val="[Spt-BH.xls][Spt-BH_xls]_S_1944"/>
      <sheetName val="[Spt-BH.xls][Spt-BH_xls]B__5873"/>
      <sheetName val="[Spt-BH.xls][Spt-BH_xls]B__5874"/>
      <sheetName val="[Spt-BH.xls][Spt-BH_xls]_S_1945"/>
      <sheetName val="[Spt-BH.xls][Spt-BH_xls]B__5875"/>
      <sheetName val="[Spt-BH.xls][Spt-BH_xls]B__5876"/>
      <sheetName val="[Spt-BH.xls][Spt-BH_xls]_S_1946"/>
      <sheetName val="[Spt-BH.xls]B____x005f_x0004______478"/>
      <sheetName val="[Spt-BH.xls]B___x005f_x0000__x000_470"/>
      <sheetName val="[Spt-BH.xls][Spt-BH_xls]B__5877"/>
      <sheetName val="[Spt-BH.xls][Spt-BH_xls]B__5878"/>
      <sheetName val="[Spt-BH.xls][Spt-BH_xls]B__5879"/>
      <sheetName val="[Spt-BH.xls][Spt-BH_xls]B__5880"/>
      <sheetName val="[Spt-BH.xls][Spt-BH_xls]_S_1947"/>
      <sheetName val="[Spt-BH.xls][Spt-BH_xls]B__5881"/>
      <sheetName val="[Spt-BH.xls][Spt-BH_xls]B__5882"/>
      <sheetName val="[Spt-BH.xls][Spt-BH_xls]B__5883"/>
      <sheetName val="[Spt-BH.xls][Spt-BH_xls]_S_1948"/>
      <sheetName val="[Spt-BH.xls][Spt-BH_xls]B__5884"/>
      <sheetName val="[Spt-BH.xls][Spt-BH_xls]B__5885"/>
      <sheetName val="[Spt-BH.xls][Spt-BH_xls]B__5886"/>
      <sheetName val="[Spt-BH.xls][Spt-BH_xls]B__5887"/>
      <sheetName val="[Spt-BH.xls][Spt-BH_xls]_S_1949"/>
      <sheetName val="[Spt-BH.xls][Spt-BH_xls]B__5888"/>
      <sheetName val="[Spt-BH.xls][Spt-BH_xls]B__5889"/>
      <sheetName val="[Spt-BH.xls][Spt-BH_xls]_S_1950"/>
      <sheetName val="[Spt-BH.xls][Spt-BH_xls]B__5890"/>
      <sheetName val="[Spt-BH.xls][Spt-BH_xls]B__5891"/>
      <sheetName val="[Spt-BH.xls][Spt-BH_xls]_S_1951"/>
      <sheetName val="[Spt-BH.xls]B____x005f_x0004______479"/>
      <sheetName val="[Spt-BH.xls]B___x005f_x0000__x000_471"/>
      <sheetName val="[Spt-BH.xls][Spt-BH_xls]B__5892"/>
      <sheetName val="[Spt-BH.xls][Spt-BH_xls]B__5893"/>
      <sheetName val="[Spt-BH.xls][Spt-BH_xls]B__5894"/>
      <sheetName val="[Spt-BH.xls][Spt-BH_xls]B__5895"/>
      <sheetName val="[Spt-BH.xls][Spt-BH_xls]_S_1952"/>
      <sheetName val="[Spt-BH.xls][Spt-BH_xls]B__5896"/>
      <sheetName val="[Spt-BH.xls][Spt-BH_xls]B__5897"/>
      <sheetName val="[Spt-BH.xls][Spt-BH_xls]B__5898"/>
      <sheetName val="[Spt-BH.xls][Spt-BH_xls]_S_1953"/>
      <sheetName val="[Spt-BH.xls][Spt-BH_xls]B__5899"/>
      <sheetName val="[Spt-BH.xls][Spt-BH_xls]B__5900"/>
      <sheetName val="[Spt-BH.xls][Spt-BH_xls]B__5901"/>
      <sheetName val="[Spt-BH.xls][Spt-BH_xls]B__5902"/>
      <sheetName val="[Spt-BH.xls][Spt-BH_xls]_S_1954"/>
      <sheetName val="[Spt-BH.xls][Spt-BH_xls]B__5903"/>
      <sheetName val="[Spt-BH.xls][Spt-BH_xls]B__5904"/>
      <sheetName val="[Spt-BH.xls][Spt-BH_xls]_S_1955"/>
      <sheetName val="[Spt-BH.xls][Spt-BH_xls]B__5905"/>
      <sheetName val="[Spt-BH.xls][Spt-BH_xls]B__5906"/>
      <sheetName val="[Spt-BH.xls][Spt-BH_xls]_S_1956"/>
      <sheetName val="[Spt-BH.xls][Spt-BH.xls]B__5887"/>
      <sheetName val="[Spt-BH.xls][Spt-BH.xls]B__5888"/>
      <sheetName val="[Spt-BH.xls][Spt-BH.xls]B__5889"/>
      <sheetName val="[Spt-BH.xls][Spt-BH.xls]B__5891"/>
      <sheetName val="[Spt-BH.xls][Spt-BH.xls]B__5892"/>
      <sheetName val="[Spt-BH.xls][Spt-BH.xls]_S_2053"/>
      <sheetName val="[Spt-BH.xls][Spt-BH.xls]B__5893"/>
      <sheetName val="[Spt-BH.xls][Spt-BH.xls]B__5894"/>
      <sheetName val="[Spt-BH.xls]B____x005f_x0004______480"/>
      <sheetName val="[Spt-BH.xls]B___x005f_x0000__x000_472"/>
      <sheetName val="[Spt-BH.xls][Spt-BH.xls]B__5895"/>
      <sheetName val="[Spt-BH.xls][Spt-BH.xls]B__5896"/>
      <sheetName val="[Spt-BH.xls][Spt-BH.xls]B__5890"/>
      <sheetName val="[Spt-BH.xls][Spt-BH.xls]_S_2052"/>
      <sheetName val="[Spt-BH.xls][Spt-BH_xls]B__5907"/>
      <sheetName val="[Spt-BH.xls][Spt-BH_xls]B__5908"/>
      <sheetName val="[Spt-BH.xls][Spt-BH_xls]B__5909"/>
      <sheetName val="[Spt-BH.xls][Spt-BH_xls]B__5910"/>
      <sheetName val="[Spt-BH.xls][Spt-BH_xls]_S_1957"/>
      <sheetName val="[Spt-BH.xls][Spt-BH_xls]B__5911"/>
      <sheetName val="[Spt-BH.xls][Spt-BH_xls]B__5912"/>
      <sheetName val="[Spt-BH.xls][Spt-BH_xls]B__5913"/>
      <sheetName val="[Spt-BH.xls][Spt-BH_xls]_S_1958"/>
      <sheetName val="[Spt-BH.xls][Spt-BH_xls]B__5914"/>
      <sheetName val="[Spt-BH.xls][Spt-BH_xls]B__5915"/>
      <sheetName val="[Spt-BH.xls][Spt-BH_xls]B__5916"/>
      <sheetName val="[Spt-BH.xls][Spt-BH_xls]B__5917"/>
      <sheetName val="[Spt-BH.xls][Spt-BH_xls]_S_1959"/>
      <sheetName val="[Spt-BH.xls][Spt-BH_xls]B__5918"/>
      <sheetName val="[Spt-BH.xls][Spt-BH_xls]B__5919"/>
      <sheetName val="[Spt-BH.xls][Spt-BH_xls]_S_1960"/>
      <sheetName val="[Spt-BH.xls][Spt-BH_xls]B__5920"/>
      <sheetName val="[Spt-BH.xls][Spt-BH_xls]B__5921"/>
      <sheetName val="[Spt-BH.xls][Spt-BH_xls]_S_1961"/>
      <sheetName val="[Spt-BH.xls][Spt-BH.xls]_S_2054"/>
      <sheetName val="[Spt-BH.xls][Spt-BH.xls]B__5897"/>
      <sheetName val="[Spt-BH.xls][Spt-BH.xls]B__5898"/>
      <sheetName val="[Spt-BH.xls][Spt-BH.xls]_S_2056"/>
      <sheetName val="[Spt-BH.xls][Spt-BH.xls]B__5899"/>
      <sheetName val="[Spt-BH.xls][Spt-BH.xls]B__5900"/>
      <sheetName val="[Spt-BH.xls][Spt-BH.xls]B__5901"/>
      <sheetName val="[Spt-BH.xls][Spt-BH.xls]B__5902"/>
      <sheetName val="[Spt-BH.xls][Spt-BH.xls]_S_2055"/>
      <sheetName val="[Spt-BH.xls][Spt-BH.xls]_S_2057"/>
      <sheetName val="[Spt-BH.xls][Spt-BH.xls]B__5903"/>
      <sheetName val="[Spt-BH.xls][Spt-BH.xls]B__5904"/>
      <sheetName val="[Spt-BH.xls][Spt-BH.xls]_S_2059"/>
      <sheetName val="[Spt-BH.xls][Spt-BH.xls]B__5905"/>
      <sheetName val="[Spt-BH.xls][Spt-BH.xls]B__5906"/>
      <sheetName val="[Spt-BH.xls][Spt-BH.xls]B__5907"/>
      <sheetName val="[Spt-BH.xls][Spt-BH.xls]B__5908"/>
      <sheetName val="[Spt-BH.xls][Spt-BH.xls]_S_2058"/>
      <sheetName val="[Spt-BH.xls][Spt-BH.xls]_S_2061"/>
      <sheetName val="[Spt-BH.xls][Spt-BH.xls]_S_2060"/>
      <sheetName val="[Spt-BH.xls][Spt-BH.xls]_S_2062"/>
      <sheetName val="[Spt-BH.xls][Spt-BH.xls]B__5909"/>
      <sheetName val="[Spt-BH.xls][Spt-BH.xls]B__5910"/>
      <sheetName val="[Spt-BH.xls][Spt-BH.xls]_S_2064"/>
      <sheetName val="[Spt-BH.xls][Spt-BH.xls]B__5911"/>
      <sheetName val="[Spt-BH.xls][Spt-BH.xls]B__5912"/>
      <sheetName val="[Spt-BH.xls][Spt-BH.xls]B__5913"/>
      <sheetName val="[Spt-BH.xls][Spt-BH.xls]B__5914"/>
      <sheetName val="[Spt-BH.xls][Spt-BH.xls]_S_2063"/>
      <sheetName val="[Spt-BH.xls][Spt-BH.xls]_S_2067"/>
      <sheetName val="[Spt-BH.xls][Spt-BH.xls]B__5921"/>
      <sheetName val="[Spt-BH.xls][Spt-BH.xls]B__5922"/>
      <sheetName val="[Spt-BH.xls][Spt-BH.xls]_S_2069"/>
      <sheetName val="[Spt-BH.xls][Spt-BH.xls]B__5923"/>
      <sheetName val="[Spt-BH.xls][Spt-BH.xls]B__5924"/>
      <sheetName val="[Spt-BH.xls][Spt-BH.xls]B__5925"/>
      <sheetName val="[Spt-BH.xls][Spt-BH.xls]B__5926"/>
      <sheetName val="[Spt-BH.xls][Spt-BH.xls]_S_2068"/>
      <sheetName val="[Spt-BH.xls][Spt-BH.xls]_S_2065"/>
      <sheetName val="[Spt-BH.xls][Spt-BH.xls]B__5915"/>
      <sheetName val="[Spt-BH.xls][Spt-BH.xls]B__5916"/>
      <sheetName val="[Spt-BH.xls][Spt-BH.xls]B__5917"/>
      <sheetName val="[Spt-BH.xls][Spt-BH.xls]B__5918"/>
      <sheetName val="[Spt-BH.xls][Spt-BH.xls]B__5919"/>
      <sheetName val="[Spt-BH.xls][Spt-BH.xls]B__5920"/>
      <sheetName val="[Spt-BH.xls][Spt-BH.xls]_S_2066"/>
      <sheetName val="[Spt-BH.xls][Spt-BH.xls]_S_2072"/>
      <sheetName val="[Spt-BH.xls][Spt-BH.xls]B__5933"/>
      <sheetName val="[Spt-BH.xls][Spt-BH.xls]B__5934"/>
      <sheetName val="[Spt-BH.xls][Spt-BH.xls]_S_2074"/>
      <sheetName val="[Spt-BH.xls][Spt-BH.xls]B__5935"/>
      <sheetName val="[Spt-BH.xls][Spt-BH.xls]B__5936"/>
      <sheetName val="[Spt-BH.xls][Spt-BH.xls]B__5937"/>
      <sheetName val="[Spt-BH.xls][Spt-BH.xls]B__5938"/>
      <sheetName val="[Spt-BH.xls][Spt-BH.xls]_S_2073"/>
      <sheetName val="[Spt-BH.xls][Spt-BH.xls]_S_2070"/>
      <sheetName val="[Spt-BH.xls][Spt-BH.xls]B__5927"/>
      <sheetName val="[Spt-BH.xls][Spt-BH.xls]B__5928"/>
      <sheetName val="[Spt-BH.xls][Spt-BH.xls]B__5929"/>
      <sheetName val="[Spt-BH.xls][Spt-BH.xls]B__5930"/>
      <sheetName val="[Spt-BH.xls][Spt-BH.xls]B__5931"/>
      <sheetName val="[Spt-BH.xls][Spt-BH.xls]B__5932"/>
      <sheetName val="[Spt-BH.xls][Spt-BH.xls]_S_2071"/>
      <sheetName val="[Spt-BH.xls][Spt-BH.xls]_S_2076"/>
      <sheetName val="[Spt-BH.xls][Spt-BH.xls]_S_2075"/>
      <sheetName val="[Spt-BH.xls][Spt-BH.xls]_S_2078"/>
      <sheetName val="[Spt-BH.xls][Spt-BH.xls]_S_2077"/>
      <sheetName val="[Spt-BH.xls][Spt-BH.xls]_S_2079"/>
      <sheetName val="[Spt-BH.xls][Spt-BH.xls]B__5939"/>
      <sheetName val="[Spt-BH.xls][Spt-BH.xls]B__5940"/>
      <sheetName val="[Spt-BH.xls][Spt-BH.xls]_S_2081"/>
      <sheetName val="[Spt-BH.xls][Spt-BH.xls]B__5941"/>
      <sheetName val="[Spt-BH.xls][Spt-BH.xls]B__5942"/>
      <sheetName val="[Spt-BH.xls][Spt-BH.xls]B__5943"/>
      <sheetName val="[Spt-BH.xls][Spt-BH.xls]B__5944"/>
      <sheetName val="[Spt-BH.xls][Spt-BH.xls]_S_2080"/>
      <sheetName val="[Spt-BH.xls][Spt-BH.xls]B__5945"/>
      <sheetName val="[Spt-BH.xls][Spt-BH.xls]B__5946"/>
      <sheetName val="[Spt-BH.xls][Spt-BH.xls]B__5947"/>
      <sheetName val="[Spt-BH.xls][Spt-BH.xls]B__5948"/>
      <sheetName val="[Spt-BH.xls][Spt-BH.xls]B__5949"/>
      <sheetName val="[Spt-BH.xls][Spt-BH.xls]B__5950"/>
      <sheetName val="[Spt-BH.xls][Spt-BH.xls]_S_2082"/>
      <sheetName val="[Spt-BH.xls][Spt-BH.xls]_S_2085"/>
      <sheetName val="[Spt-BH.xls][Spt-BH.xls]B__5957"/>
      <sheetName val="[Spt-BH.xls][Spt-BH.xls]B__5958"/>
      <sheetName val="[Spt-BH.xls][Spt-BH.xls]_S_2087"/>
      <sheetName val="[Spt-BH.xls][Spt-BH.xls]B__5959"/>
      <sheetName val="[Spt-BH.xls][Spt-BH.xls]B__5960"/>
      <sheetName val="[Spt-BH.xls][Spt-BH.xls]B__5961"/>
      <sheetName val="[Spt-BH.xls][Spt-BH.xls]B__5962"/>
      <sheetName val="[Spt-BH.xls][Spt-BH.xls]_S_2086"/>
      <sheetName val="[Spt-BH.xls][Spt-BH.xls]_S_2083"/>
      <sheetName val="[Spt-BH.xls][Spt-BH.xls]B__5951"/>
      <sheetName val="[Spt-BH.xls][Spt-BH.xls]B__5952"/>
      <sheetName val="[Spt-BH.xls][Spt-BH.xls]B__5953"/>
      <sheetName val="[Spt-BH.xls][Spt-BH.xls]B__5954"/>
      <sheetName val="[Spt-BH.xls][Spt-BH.xls]B__5955"/>
      <sheetName val="[Spt-BH.xls][Spt-BH.xls]B__5956"/>
      <sheetName val="[Spt-BH.xls][Spt-BH.xls]_S_2084"/>
      <sheetName val="[Spt-BH.xls][Spt-BH.xls]_S_2092"/>
      <sheetName val="[Spt-BH.xls][Spt-BH.xls]B__5977"/>
      <sheetName val="[Spt-BH.xls][Spt-BH.xls]B__5978"/>
      <sheetName val="[Spt-BH.xls][Spt-BH.xls]_S_2094"/>
      <sheetName val="[Spt-BH.xls][Spt-BH.xls]B__5979"/>
      <sheetName val="[Spt-BH.xls][Spt-BH.xls]B__5980"/>
      <sheetName val="[Spt-BH.xls]B____x005f_x0004______481"/>
      <sheetName val="[Spt-BH.xls]B___x005f_x0000__x000_473"/>
      <sheetName val="[Spt-BH.xls][Spt-BH.xls]B__5981"/>
      <sheetName val="[Spt-BH.xls][Spt-BH.xls]B__5982"/>
      <sheetName val="[Spt-BH.xls][Spt-BH.xls]B__5969"/>
      <sheetName val="[Spt-BH.xls][Spt-BH.xls]_S_2093"/>
      <sheetName val="[Spt-BH.xls][Spt-BH_xls]B__5922"/>
      <sheetName val="[Spt-BH.xls][Spt-BH_xls]B__5923"/>
      <sheetName val="[Spt-BH.xls][Spt-BH_xls]B__5924"/>
      <sheetName val="[Spt-BH.xls][Spt-BH_xls]B__5925"/>
      <sheetName val="[Spt-BH.xls][Spt-BH_xls]_S_1962"/>
      <sheetName val="[Spt-BH.xls][Spt-BH_xls]B__5926"/>
      <sheetName val="[Spt-BH.xls][Spt-BH_xls]B__5927"/>
      <sheetName val="[Spt-BH.xls][Spt-BH_xls]B__5928"/>
      <sheetName val="[Spt-BH.xls][Spt-BH_xls]_S_1963"/>
      <sheetName val="[Spt-BH.xls][Spt-BH_xls]B__5929"/>
      <sheetName val="[Spt-BH.xls][Spt-BH_xls]B__5930"/>
      <sheetName val="[Spt-BH.xls][Spt-BH_xls]B__5931"/>
      <sheetName val="[Spt-BH.xls][Spt-BH_xls]B__5932"/>
      <sheetName val="[Spt-BH.xls][Spt-BH_xls]_S_1964"/>
      <sheetName val="[Spt-BH.xls][Spt-BH_xls]B__5933"/>
      <sheetName val="[Spt-BH.xls][Spt-BH_xls]B__5934"/>
      <sheetName val="[Spt-BH.xls][Spt-BH_xls]_S_1965"/>
      <sheetName val="[Spt-BH.xls][Spt-BH_xls]B__5935"/>
      <sheetName val="[Spt-BH.xls][Spt-BH_xls]B__5936"/>
      <sheetName val="[Spt-BH.xls][Spt-BH_xls]_S_1966"/>
      <sheetName val="[Spt-BH.xls][Spt-BH.xls]B__5984"/>
      <sheetName val="[Spt-BH.xls][Spt-BH.xls]B__5985"/>
      <sheetName val="[Spt-BH.xls][Spt-BH.xls]_S_2097"/>
      <sheetName val="[Spt-BH.xls][Spt-BH.xls]B__5986"/>
      <sheetName val="[Spt-BH.xls][Spt-BH.xls]B__5987"/>
      <sheetName val="[Spt-BH.xls]B____x005f_x0004______483"/>
      <sheetName val="[Spt-BH.xls]B___x005f_x0000__x000_475"/>
      <sheetName val="[Spt-BH.xls][Spt-BH.xls]B__5988"/>
      <sheetName val="[Spt-BH.xls][Spt-BH.xls]B__5989"/>
      <sheetName val="[Spt-BH.xls][Spt-BH.xls]B__5983"/>
      <sheetName val="[Spt-BH.xls][Spt-BH.xls]_S_2095"/>
      <sheetName val="[Spt-BH.xls][Spt-BH_xls]B__5952"/>
      <sheetName val="[Spt-BH.xls][Spt-BH_xls]B__5953"/>
      <sheetName val="[Spt-BH.xls][Spt-BH_xls]B__5954"/>
      <sheetName val="[Spt-BH.xls][Spt-BH_xls]B__5955"/>
      <sheetName val="[Spt-BH.xls][Spt-BH_xls]_S_1972"/>
      <sheetName val="[Spt-BH.xls][Spt-BH_xls]B__5956"/>
      <sheetName val="[Spt-BH.xls][Spt-BH_xls]B__5957"/>
      <sheetName val="[Spt-BH.xls][Spt-BH_xls]B__5958"/>
      <sheetName val="[Spt-BH.xls][Spt-BH_xls]_S_1973"/>
      <sheetName val="[Spt-BH.xls][Spt-BH_xls]B__5959"/>
      <sheetName val="[Spt-BH.xls][Spt-BH_xls]B__5960"/>
      <sheetName val="[Spt-BH.xls][Spt-BH_xls]B__5961"/>
      <sheetName val="[Spt-BH.xls][Spt-BH_xls]B__5962"/>
      <sheetName val="[Spt-BH.xls][Spt-BH_xls]_S_1974"/>
      <sheetName val="[Spt-BH.xls][Spt-BH_xls]B__5963"/>
      <sheetName val="[Spt-BH.xls][Spt-BH_xls]B__5964"/>
      <sheetName val="[Spt-BH.xls][Spt-BH_xls]_S_1975"/>
      <sheetName val="[Spt-BH.xls][Spt-BH_xls]B__5965"/>
      <sheetName val="[Spt-BH.xls][Spt-BH_xls]B__5966"/>
      <sheetName val="[Spt-BH.xls][Spt-BH_xls]_S_1976"/>
      <sheetName val="[Spt-BH.xls][Spt-BH.xls]B__5970"/>
      <sheetName val="[Spt-BH.xls][Spt-BH.xls]B__5971"/>
      <sheetName val="[Spt-BH.xls][Spt-BH.xls]B__5972"/>
      <sheetName val="[Spt-BH.xls][Spt-BH.xls]B__5973"/>
      <sheetName val="[Spt-BH.xls][Spt-BH.xls]B__5974"/>
      <sheetName val="[Spt-BH.xls][Spt-BH.xls]B__5975"/>
      <sheetName val="[Spt-BH.xls][Spt-BH.xls]_S_2091"/>
      <sheetName val="[Spt-BH.xls]B____x005f_x0004______482"/>
      <sheetName val="[Spt-BH.xls]B___x005f_x0000__x000_474"/>
      <sheetName val="[Spt-BH.xls][Spt-BH.xls]B__5976"/>
      <sheetName val="[Spt-BH.xls][Spt-BH_xls]B__5937"/>
      <sheetName val="[Spt-BH.xls][Spt-BH_xls]B__5938"/>
      <sheetName val="[Spt-BH.xls][Spt-BH_xls]B__5939"/>
      <sheetName val="[Spt-BH.xls][Spt-BH_xls]B__5940"/>
      <sheetName val="[Spt-BH.xls][Spt-BH_xls]_S_1967"/>
      <sheetName val="[Spt-BH.xls][Spt-BH_xls]B__5941"/>
      <sheetName val="[Spt-BH.xls][Spt-BH_xls]B__5942"/>
      <sheetName val="[Spt-BH.xls][Spt-BH_xls]B__5943"/>
      <sheetName val="[Spt-BH.xls][Spt-BH_xls]_S_1968"/>
      <sheetName val="[Spt-BH.xls][Spt-BH_xls]B__5944"/>
      <sheetName val="[Spt-BH.xls][Spt-BH_xls]B__5945"/>
      <sheetName val="[Spt-BH.xls][Spt-BH_xls]B__5946"/>
      <sheetName val="[Spt-BH.xls][Spt-BH_xls]B__5947"/>
      <sheetName val="[Spt-BH.xls][Spt-BH_xls]_S_1969"/>
      <sheetName val="[Spt-BH.xls][Spt-BH_xls]B__5948"/>
      <sheetName val="[Spt-BH.xls][Spt-BH_xls]B__5949"/>
      <sheetName val="[Spt-BH.xls][Spt-BH_xls]_S_1970"/>
      <sheetName val="[Spt-BH.xls][Spt-BH_xls]B__5950"/>
      <sheetName val="[Spt-BH.xls][Spt-BH_xls]B__5951"/>
      <sheetName val="[Spt-BH.xls][Spt-BH_xls]_S_1971"/>
      <sheetName val="[Spt-BH.xls][Spt-BH.xls]_S_2096"/>
      <sheetName val="[Spt-BH.xls][Spt-BH.xls]B__5991"/>
      <sheetName val="[Spt-BH.xls][Spt-BH.xls]B__5992"/>
      <sheetName val="[Spt-BH.xls][Spt-BH.xls]_S_2098"/>
      <sheetName val="[Spt-BH.xls][Spt-BH.xls]B__5993"/>
      <sheetName val="[Spt-BH.xls][Spt-BH.xls]B__5994"/>
      <sheetName val="[Spt-BH.xls]B____x005f_x0004______484"/>
      <sheetName val="[Spt-BH.xls]B___x005f_x0000__x000_476"/>
      <sheetName val="[Spt-BH.xls][Spt-BH.xls]B__5995"/>
      <sheetName val="[Spt-BH.xls][Spt-BH.xls]B__5996"/>
      <sheetName val="[Spt-BH.xls][Spt-BH.xls]B__5990"/>
      <sheetName val="[Spt-BH.xls][Spt-BH_xls]B__5967"/>
      <sheetName val="[Spt-BH.xls][Spt-BH_xls]B__5968"/>
      <sheetName val="[Spt-BH.xls][Spt-BH_xls]B__5969"/>
      <sheetName val="[Spt-BH.xls][Spt-BH_xls]B__5970"/>
      <sheetName val="[Spt-BH.xls][Spt-BH_xls]_S_1977"/>
      <sheetName val="[Spt-BH.xls][Spt-BH_xls]B__5971"/>
      <sheetName val="[Spt-BH.xls][Spt-BH_xls]B__5972"/>
      <sheetName val="[Spt-BH.xls][Spt-BH_xls]B__5973"/>
      <sheetName val="[Spt-BH.xls][Spt-BH_xls]_S_1978"/>
      <sheetName val="[Spt-BH.xls][Spt-BH_xls]B__5974"/>
      <sheetName val="[Spt-BH.xls][Spt-BH_xls]B__5975"/>
      <sheetName val="[Spt-BH.xls][Spt-BH_xls]B__5976"/>
      <sheetName val="[Spt-BH.xls][Spt-BH_xls]B__5977"/>
      <sheetName val="[Spt-BH.xls][Spt-BH_xls]_S_1979"/>
      <sheetName val="[Spt-BH.xls][Spt-BH_xls]B__5978"/>
      <sheetName val="[Spt-BH.xls][Spt-BH_xls]B__5979"/>
      <sheetName val="[Spt-BH.xls][Spt-BH_xls]_S_1980"/>
      <sheetName val="[Spt-BH.xls][Spt-BH_xls]B__5980"/>
      <sheetName val="[Spt-BH.xls][Spt-BH_xls]B__5981"/>
      <sheetName val="[Spt-BH.xls][Spt-BH_xls]_S_1981"/>
      <sheetName val="[Spt-BH.xls][Spt-BH.xls]_S_2100"/>
      <sheetName val="[Spt-BH.xls][Spt-BH.xls]B__5997"/>
      <sheetName val="[Spt-BH.xls][Spt-BH.xls]B__5998"/>
      <sheetName val="[Spt-BH.xls][Spt-BH.xls]_S_2102"/>
      <sheetName val="[Spt-BH.xls][Spt-BH.xls]B__5999"/>
      <sheetName val="[Spt-BH.xls][Spt-BH.xls]B__6000"/>
      <sheetName val="[Spt-BH.xls][Spt-BH.xls]B__6001"/>
      <sheetName val="[Spt-BH.xls][Spt-BH.xls]B__6002"/>
      <sheetName val="[Spt-BH.xls][Spt-BH.xls]_S_2101"/>
      <sheetName val="[Spt-BH.xls][Spt-BH.xls]B__6004"/>
      <sheetName val="[Spt-BH.xls][Spt-BH.xls]B__6005"/>
      <sheetName val="[Spt-BH.xls][Spt-BH.xls]_S_2104"/>
      <sheetName val="[Spt-BH.xls][Spt-BH.xls]B__6006"/>
      <sheetName val="[Spt-BH.xls][Spt-BH.xls]B__6007"/>
      <sheetName val="[Spt-BH.xls]B____x005f_x0004______485"/>
      <sheetName val="[Spt-BH.xls]B___x005f_x0000__x000_477"/>
      <sheetName val="[Spt-BH.xls][Spt-BH.xls]B__6008"/>
      <sheetName val="[Spt-BH.xls][Spt-BH.xls]B__6009"/>
      <sheetName val="[Spt-BH.xls][Spt-BH.xls]B__6003"/>
      <sheetName val="[Spt-BH.xls][Spt-BH.xls]_S_2103"/>
      <sheetName val="[Spt-BH.xls][Spt-BH_xls]B__5982"/>
      <sheetName val="[Spt-BH.xls][Spt-BH_xls]B__5983"/>
      <sheetName val="[Spt-BH.xls][Spt-BH_xls]B__5984"/>
      <sheetName val="[Spt-BH.xls][Spt-BH_xls]B__5985"/>
      <sheetName val="[Spt-BH.xls][Spt-BH_xls]_S_1982"/>
      <sheetName val="[Spt-BH.xls][Spt-BH_xls]B__5986"/>
      <sheetName val="[Spt-BH.xls][Spt-BH_xls]B__5987"/>
      <sheetName val="[Spt-BH.xls][Spt-BH_xls]B__5988"/>
      <sheetName val="[Spt-BH.xls][Spt-BH_xls]_S_1983"/>
      <sheetName val="[Spt-BH.xls][Spt-BH_xls]B__5989"/>
      <sheetName val="[Spt-BH.xls][Spt-BH_xls]B__5990"/>
      <sheetName val="[Spt-BH.xls][Spt-BH_xls]B__5991"/>
      <sheetName val="[Spt-BH.xls][Spt-BH_xls]B__5992"/>
      <sheetName val="[Spt-BH.xls][Spt-BH_xls]_S_1984"/>
      <sheetName val="[Spt-BH.xls][Spt-BH_xls]B__5993"/>
      <sheetName val="[Spt-BH.xls][Spt-BH_xls]B__5994"/>
      <sheetName val="[Spt-BH.xls][Spt-BH_xls]_S_1985"/>
      <sheetName val="[Spt-BH.xls][Spt-BH_xls]B__5995"/>
      <sheetName val="[Spt-BH.xls][Spt-BH_xls]B__5996"/>
      <sheetName val="[Spt-BH.xls][Spt-BH_xls]_S_1986"/>
      <sheetName val="[Spt-BH.xls][Spt-BH.xls]_S_2099"/>
      <sheetName val="[Spt-BH.xls][Spt-BH.xls]_S_2105"/>
      <sheetName val="[Spt-BH.xls][Spt-BH.xls]_S_2106"/>
      <sheetName val="[Spt-BH.xls][Spt-BH.xls]B__6010"/>
      <sheetName val="[Spt-BH.xls][Spt-BH.xls]B__6011"/>
      <sheetName val="[Spt-BH.xls][Spt-BH.xls]_S_2109"/>
      <sheetName val="[Spt-BH.xls][Spt-BH.xls]B__6012"/>
      <sheetName val="[Spt-BH.xls][Spt-BH.xls]B__6013"/>
      <sheetName val="[Spt-BH.xls][Spt-BH.xls]B__6017"/>
      <sheetName val="[Spt-BH.xls][Spt-BH.xls]B__6018"/>
      <sheetName val="[Spt-BH.xls][Spt-BH.xls]_S_2111"/>
      <sheetName val="[Spt-BH.xls][Spt-BH.xls]B__6019"/>
      <sheetName val="[Spt-BH.xls][Spt-BH.xls]B__6020"/>
      <sheetName val="[Spt-BH.xls]B____x005f_x0004______486"/>
      <sheetName val="[Spt-BH.xls]B___x005f_x0000__x000_478"/>
      <sheetName val="[Spt-BH.xls][Spt-BH.xls]B__6021"/>
      <sheetName val="[Spt-BH.xls][Spt-BH.xls]B__6022"/>
      <sheetName val="[Spt-BH.xls][Spt-BH.xls]_S_2107"/>
      <sheetName val="[Spt-BH.xls][Spt-BH.xls]B__6014"/>
      <sheetName val="[Spt-BH.xls][Spt-BH.xls]B__6015"/>
      <sheetName val="[Spt-BH.xls][Spt-BH.xls]B__6016"/>
      <sheetName val="[Spt-BH.xls][Spt-BH.xls]_S_2108"/>
      <sheetName val="[Spt-BH.xls][Spt-BH.xls]_S_2110"/>
      <sheetName val="[Spt-BH.xls][Spt-BH_xls]B__5997"/>
      <sheetName val="[Spt-BH.xls][Spt-BH_xls]B__5998"/>
      <sheetName val="[Spt-BH.xls][Spt-BH_xls]B__5999"/>
      <sheetName val="[Spt-BH.xls][Spt-BH_xls]B__6000"/>
      <sheetName val="[Spt-BH.xls][Spt-BH_xls]_S_1987"/>
      <sheetName val="[Spt-BH.xls][Spt-BH_xls]B__6001"/>
      <sheetName val="[Spt-BH.xls][Spt-BH_xls]B__6002"/>
      <sheetName val="[Spt-BH.xls][Spt-BH_xls]B__6003"/>
      <sheetName val="[Spt-BH.xls][Spt-BH_xls]_S_1988"/>
      <sheetName val="[Spt-BH.xls][Spt-BH_xls]B__6004"/>
      <sheetName val="[Spt-BH.xls][Spt-BH_xls]B__6005"/>
      <sheetName val="[Spt-BH.xls][Spt-BH_xls]B__6006"/>
      <sheetName val="[Spt-BH.xls][Spt-BH_xls]B__6007"/>
      <sheetName val="[Spt-BH.xls][Spt-BH_xls]_S_1989"/>
      <sheetName val="[Spt-BH.xls][Spt-BH_xls]B__6008"/>
      <sheetName val="[Spt-BH.xls][Spt-BH_xls]B__6009"/>
      <sheetName val="[Spt-BH.xls][Spt-BH_xls]_S_1990"/>
      <sheetName val="[Spt-BH.xls][Spt-BH_xls]B__6010"/>
      <sheetName val="[Spt-BH.xls][Spt-BH_xls]B__6011"/>
      <sheetName val="[Spt-BH.xls][Spt-BH_xls]_S_1991"/>
      <sheetName val="[Spt-BH.xls][Spt-BH.xls]_S_2123"/>
      <sheetName val="[Spt-BH.xls][Spt-BH.xls]B__6071"/>
      <sheetName val="[Spt-BH.xls][Spt-BH.xls]B__6072"/>
      <sheetName val="[Spt-BH.xls][Spt-BH.xls]_S_2126"/>
      <sheetName val="[Spt-BH.xls][Spt-BH.xls]B__6073"/>
      <sheetName val="[Spt-BH.xls][Spt-BH.xls]B__6074"/>
      <sheetName val="[Spt-BH.xls]B____x005f_x0004______492"/>
      <sheetName val="[Spt-BH.xls]B___x005f_x0000__x000_484"/>
      <sheetName val="[Spt-BH.xls][Spt-BH.xls]B__6075"/>
      <sheetName val="[Spt-BH.xls][Spt-BH.xls]B__6064"/>
      <sheetName val="[Spt-BH.xls][Spt-BH.xls]B__6065"/>
      <sheetName val="[Spt-BH.xls][Spt-BH.xls]_S_2125"/>
      <sheetName val="[Spt-BH.xls][Spt-BH.xls]B__6066"/>
      <sheetName val="[Spt-BH.xls][Spt-BH.xls]B__6067"/>
      <sheetName val="[Spt-BH.xls][Spt-BH.xls]B__6076"/>
      <sheetName val="[Spt-BH.xls][Spt-BH.xls]B__6068"/>
      <sheetName val="[Spt-BH.xls][Spt-BH.xls]B__6069"/>
      <sheetName val="_Spt-BH.xls__Spt-BH.xls_B___122"/>
      <sheetName val="_Spt-BH.xls__Spt-BH.xls_B___123"/>
      <sheetName val="_Spt-BH.xls__Spt-BH.xls__Spt_44"/>
      <sheetName val="_Spt-BH.xls__Spt-BH.xls_B___124"/>
      <sheetName val="_Spt-BH.xls__Spt-BH.xls_B___125"/>
      <sheetName val="_Spt-BH.xls__Spt-BH.xls_B___126"/>
      <sheetName val="_Spt-BH.xls_B____x005f_x0004_______12"/>
      <sheetName val="_Spt-BH.xls_B___x005f_x0000__x005f_x0004_12"/>
      <sheetName val="_Spt-BH.xls__Spt-BH.xls_B___115"/>
      <sheetName val="_Spt-BH.xls__Spt-BH.xls_B___116"/>
      <sheetName val="_Spt-BH.xls__Spt-BH.xls__Spt_42"/>
      <sheetName val="_Spt-BH.xls__Spt-BH.xls_B___117"/>
      <sheetName val="_Spt-BH.xls__Spt-BH.xls_B___118"/>
      <sheetName val="_Spt-BH.xls__Spt-BH.xls_B___119"/>
      <sheetName val="_Spt-BH.xls__Spt-BH.xls_B___127"/>
      <sheetName val="_Spt-BH.xls__Spt-BH.xls_B___120"/>
      <sheetName val="_Spt-BH.xls__Spt-BH.xls_B___121"/>
      <sheetName val="_Spt-BH.xls__Spt-BH.xls__Spt_43"/>
      <sheetName val="_Spt-BH.xls__Spt-BH_xls_B____22"/>
      <sheetName val="_Spt-BH.xls__Spt-BH_xls_B____23"/>
      <sheetName val="_Spt-BH.xls__Spt-BH.xls__Spt_41"/>
      <sheetName val="_Spt-BH.xls__Spt-BH.xls__Spt_39"/>
      <sheetName val="_Spt-BH.xls__Spt-BH.xls_B___135"/>
      <sheetName val="_Spt-BH.xls__Spt-BH.xls_B___136"/>
      <sheetName val="_Spt-BH.xls__Spt-BH.xls__Spt_49"/>
      <sheetName val="_Spt-BH.xls__Spt-BH.xls_B___137"/>
      <sheetName val="_Spt-BH.xls__Spt-BH.xls_B___138"/>
      <sheetName val="_Spt-BH.xls__Spt-BH.xls_B___139"/>
      <sheetName val="_Spt-BH.xls_B____x005f_x0004_______13"/>
      <sheetName val="_Spt-BH.xls_B___x005f_x0000__x005f_x0004_13"/>
      <sheetName val="_Spt-BH.xls__Spt-BH.xls_B___140"/>
      <sheetName val="_Spt-BH.xls__Spt-BH.xls_B___128"/>
      <sheetName val="_Spt-BH.xls__Spt-BH.xls_B___129"/>
      <sheetName val="_Spt-BH.xls__Spt-BH.xls__Spt_47"/>
      <sheetName val="_Spt-BH.xls__Spt-BH.xls_B___130"/>
      <sheetName val="_Spt-BH.xls__Spt-BH.xls_B___131"/>
      <sheetName val="_Spt-BH.xls__Spt-BH.xls_B___132"/>
      <sheetName val="_Spt-BH.xls__Spt-BH.xls__Spt_45"/>
      <sheetName val="_Spt-BH.xls__Spt-BH.xls_B___133"/>
      <sheetName val="_Spt-BH.xls__Spt-BH.xls_B___134"/>
      <sheetName val="_Spt-BH.xls__Spt-BH.xls__Spt_48"/>
      <sheetName val="_Spt-BH.xls__Spt-BH_xls_B____24"/>
      <sheetName val="_Spt-BH.xls__Spt-BH_xls_B____25"/>
      <sheetName val="_Spt-BH.xls__Spt-BH.xls__Spt_46"/>
      <sheetName val="_Spt-BH.xls__Spt-BH_xls__Spt__2"/>
      <sheetName val="_Spt-BH.xls__Spt-BH_xls_B____26"/>
      <sheetName val="_Spt-BH.xls__Spt-BH_xls_B____27"/>
      <sheetName val="_Spt-BH.xls__Spt-BH_xls_B____28"/>
      <sheetName val="_Spt-BH.xls__Spt-BH_xls__Spt__3"/>
      <sheetName val="_Spt-BH.xls__Spt-BH.xls_B___143"/>
      <sheetName val="_Spt-BH.xls__Spt-BH.xls__Spt_53"/>
      <sheetName val="_Spt-BH.xls__Spt-BH.xls_B___144"/>
      <sheetName val="_Spt-BH.xls__Spt-BH.xls_B___145"/>
      <sheetName val="_Spt-BH.xls_B____x005f_x0004_______15"/>
      <sheetName val="_Spt-BH.xls_B___x005f_x0000__x005f_x0004_15"/>
      <sheetName val="_Spt-BH.xls__Spt-BH.xls__Spt_51"/>
      <sheetName val="_Spt-BH.xls__Spt-BH.xls_B___146"/>
      <sheetName val="_Spt-BH.xls__Spt-BH.xls_B___141"/>
      <sheetName val="_Spt-BH.xls__Spt-BH.xls_B___142"/>
      <sheetName val="_Spt-BH.xls__Spt-BH.xls__Spt_52"/>
      <sheetName val="_Spt-BH.xls__Spt-BH_xls_B____34"/>
      <sheetName val="_Spt-BH.xls__Spt-BH_xls_B____35"/>
      <sheetName val="_Spt-BH.xls__Spt-BH.xls__Spt_50"/>
      <sheetName val="_Spt-BH.xls__Spt-BH_xls__Spt__6"/>
      <sheetName val="_Spt-BH.xls__Spt-BH_xls_B____36"/>
      <sheetName val="_Spt-BH.xls__Spt-BH_xls_B____37"/>
      <sheetName val="_Spt-BH.xls__Spt-BH_xls_B____38"/>
      <sheetName val="_Spt-BH.xls__Spt-BH_xls__Spt__7"/>
      <sheetName val="_Spt-BH.xls_B____x005f_x0004_______14"/>
      <sheetName val="_Spt-BH.xls_B___x005f_x0000__x005f_x0004_14"/>
      <sheetName val="_Spt-BH.xls__Spt-BH_xls_B____29"/>
      <sheetName val="_Spt-BH.xls__Spt-BH_xls_B____30"/>
      <sheetName val="_Spt-BH.xls__Spt-BH_xls__Spt__4"/>
      <sheetName val="_Spt-BH.xls__Spt-BH_xls_B____31"/>
      <sheetName val="_Spt-BH.xls__Spt-BH_xls_B____32"/>
      <sheetName val="_Spt-BH.xls__Spt-BH_xls_B____33"/>
      <sheetName val="_Spt-BH.xls__Spt-BH_xls__Spt__5"/>
      <sheetName val="ABB"/>
      <sheetName val="GE"/>
      <sheetName val="CAUSTIC"/>
      <sheetName val="[Spt-BH.xls][Spt-BH.xls]B__6070"/>
      <sheetName val="[Spt-BH.xls][Spt-BH.xls]_S_2124"/>
      <sheetName val="[Spt-BH.xls][Spt-BH.xls]_S_2112"/>
      <sheetName val="[Spt-BH.xls][Spt-BH.xls]B__6030"/>
      <sheetName val="[Spt-BH.xls][Spt-BH.xls]B__6031"/>
      <sheetName val="[Spt-BH.xls][Spt-BH.xls]B__6032"/>
      <sheetName val="[Spt-BH.xls][Spt-BH.xls]B__6033"/>
      <sheetName val="[Spt-BH.xls]B____x005f_x0004______487"/>
      <sheetName val="[Spt-BH.xls]B___x005f_x0000__x000_479"/>
      <sheetName val="[Spt-BH.xls][Spt-BH.xls]B__6034"/>
      <sheetName val="[Spt-BH.xls][Spt-BH.xls]B__6023"/>
      <sheetName val="[Spt-BH.xls][Spt-BH.xls]B__6024"/>
      <sheetName val="[Spt-BH.xls][Spt-BH.xls]_S_2114"/>
      <sheetName val="[Spt-BH.xls][Spt-BH.xls]B__6025"/>
      <sheetName val="[Spt-BH.xls][Spt-BH.xls]B__6026"/>
      <sheetName val="[Spt-BH.xls][Spt-BH.xls]B__6035"/>
      <sheetName val="[Spt-BH.xls][Spt-BH.xls]B__6027"/>
      <sheetName val="[Spt-BH.xls][Spt-BH.xls]B__6028"/>
      <sheetName val="[Spt-BH.xls][Spt-BH.xls]B__6029"/>
      <sheetName val="[Spt-BH.xls][Spt-BH.xls]_S_2113"/>
      <sheetName val="[Spt-BH.xls][Spt-BH.xls]_S_2115"/>
      <sheetName val="[Spt-BH.xls]B____x005f_x0004______488"/>
      <sheetName val="[Spt-BH.xls]B___x005f_x0000__x000_480"/>
      <sheetName val="[Spt-BH.xls][Spt-BH.xls]B__6036"/>
      <sheetName val="[Spt-BH.xls][Spt-BH.xls]B__6037"/>
      <sheetName val="[Spt-BH.xls][Spt-BH.xls]B__6038"/>
      <sheetName val="[Spt-BH.xls][Spt-BH.xls]B__6039"/>
      <sheetName val="[Spt-BH.xls][Spt-BH.xls]B__6040"/>
      <sheetName val="[Spt-BH.xls][Spt-BH.xls]B__6041"/>
      <sheetName val="[Spt-BH.xls][Spt-BH.xls]B__6042"/>
      <sheetName val="[Spt-BH.xls][Spt-BH.xls]_S_2116"/>
      <sheetName val="[Spt-BH.xls][Spt-BH.xls]_S_2117"/>
      <sheetName val="[Spt-BH.xls]B____x005f_x0004______489"/>
      <sheetName val="[Spt-BH.xls]B___x005f_x0000__x000_481"/>
      <sheetName val="[Spt-BH.xls][Spt-BH.xls]B__6043"/>
      <sheetName val="[Spt-BH.xls][Spt-BH.xls]B__6044"/>
      <sheetName val="[Spt-BH.xls][Spt-BH.xls]B__6045"/>
      <sheetName val="[Spt-BH.xls][Spt-BH.xls]B__6046"/>
      <sheetName val="[Spt-BH.xls][Spt-BH.xls]B__6047"/>
      <sheetName val="[Spt-BH.xls][Spt-BH.xls]B__6048"/>
      <sheetName val="[Spt-BH.xls][Spt-BH.xls]B__6049"/>
      <sheetName val="[Spt-BH.xls][Spt-BH.xls]_S_2118"/>
      <sheetName val="[Spt-BH.xls][Spt-BH.xls]_S_2119"/>
      <sheetName val="[Spt-BH.xls]B____x005f_x0004______490"/>
      <sheetName val="[Spt-BH.xls]B___x005f_x0000__x000_482"/>
      <sheetName val="[Spt-BH.xls][Spt-BH.xls]B__6050"/>
      <sheetName val="[Spt-BH.xls][Spt-BH.xls]B__6051"/>
      <sheetName val="[Spt-BH.xls][Spt-BH.xls]B__6052"/>
      <sheetName val="[Spt-BH.xls][Spt-BH.xls]B__6053"/>
      <sheetName val="[Spt-BH.xls][Spt-BH.xls]B__6054"/>
      <sheetName val="[Spt-BH.xls][Spt-BH.xls]B__6055"/>
      <sheetName val="[Spt-BH.xls][Spt-BH.xls]B__6056"/>
      <sheetName val="[Spt-BH.xls][Spt-BH.xls]_S_2120"/>
      <sheetName val="[Spt-BH.xls][Spt-BH.xls]_S_2121"/>
      <sheetName val="[Spt-BH.xls]B____x005f_x0004______491"/>
      <sheetName val="[Spt-BH.xls]B___x005f_x0000__x000_483"/>
      <sheetName val="[Spt-BH.xls][Spt-BH.xls]B__6057"/>
      <sheetName val="[Spt-BH.xls][Spt-BH.xls]B__6058"/>
      <sheetName val="[Spt-BH.xls][Spt-BH.xls]B__6059"/>
      <sheetName val="[Spt-BH.xls][Spt-BH.xls]B__6060"/>
      <sheetName val="[Spt-BH.xls][Spt-BH.xls]B__6061"/>
      <sheetName val="[Spt-BH.xls][Spt-BH.xls]B__6062"/>
      <sheetName val="[Spt-BH.xls][Spt-BH.xls]B__6063"/>
      <sheetName val="[Spt-BH.xls][Spt-BH.xls]_S_2122"/>
      <sheetName val="[Spt-BH.xls][Spt-BH.xls]_S_2129"/>
      <sheetName val="[Spt-BH.xls][Spt-BH.xls]B__6081"/>
      <sheetName val="[Spt-BH.xls][Spt-BH.xls]_S_2127"/>
      <sheetName val="[Spt-BH.xls][Spt-BH.xls]B__6082"/>
      <sheetName val="[Spt-BH.xls][Spt-BH.xls]_S_2128"/>
      <sheetName val="[Spt-BH.xls][Spt-BH.xls]B__6084"/>
      <sheetName val="[Spt-BH.xls][Spt-BH.xls]B__6085"/>
      <sheetName val="[Spt-BH.xls][Spt-BH.xls]_S_2131"/>
      <sheetName val="[Spt-BH.xls][Spt-BH.xls]B__6086"/>
      <sheetName val="[Spt-BH.xls][Spt-BH.xls]B__6087"/>
      <sheetName val="[Spt-BH.xls]B___x005f_x0000__x000_485"/>
      <sheetName val="[Spt-BH.xls][Spt-BH.xls]B__6088"/>
      <sheetName val="[Spt-BH.xls][Spt-BH.xls]B__6089"/>
      <sheetName val="[Spt-BH.xls][Spt-BH.xls]B__6083"/>
      <sheetName val="[Spt-BH.xls][Spt-BH.xls]_S_2130"/>
      <sheetName val="[Spt-BH.xls][Spt-BH_xls]B__6012"/>
      <sheetName val="[Spt-BH.xls][Spt-BH_xls]B__6013"/>
      <sheetName val="[Spt-BH.xls][Spt-BH_xls]B__6014"/>
      <sheetName val="[Spt-BH.xls][Spt-BH_xls]B__6015"/>
      <sheetName val="[Spt-BH.xls][Spt-BH_xls]_S_1992"/>
      <sheetName val="[Spt-BH.xls][Spt-BH_xls]B__6016"/>
      <sheetName val="[Spt-BH.xls][Spt-BH_xls]B__6017"/>
      <sheetName val="[Spt-BH.xls][Spt-BH_xls]B__6018"/>
      <sheetName val="[Spt-BH.xls][Spt-BH_xls]_S_1993"/>
      <sheetName val="[Spt-BH.xls][Spt-BH_xls]B__6019"/>
      <sheetName val="[Spt-BH.xls][Spt-BH_xls]B__6020"/>
      <sheetName val="[Spt-BH.xls][Spt-BH_xls]B__6021"/>
      <sheetName val="[Spt-BH.xls][Spt-BH_xls]B__6022"/>
      <sheetName val="[Spt-BH.xls][Spt-BH_xls]_S_1994"/>
      <sheetName val="[Spt-BH.xls][Spt-BH_xls]B__6023"/>
      <sheetName val="[Spt-BH.xls][Spt-BH_xls]B__6024"/>
      <sheetName val="[Spt-BH.xls][Spt-BH_xls]_S_1995"/>
      <sheetName val="[Spt-BH.xls][Spt-BH_xls]B__6025"/>
      <sheetName val="[Spt-BH.xls][Spt-BH_xls]B__6026"/>
      <sheetName val="[Spt-BH.xls][Spt-BH_xls]_S_1996"/>
      <sheetName val="[Spt-BH.xls][Spt-BH.xls]_S_2132"/>
      <sheetName val="[Spt-BH.xls][Spt-BH.xls]B__6092"/>
      <sheetName val="Lead statement"/>
      <sheetName val="_Spt-BH.xls__Spt-BH.xls_B___674"/>
      <sheetName val="_Spt-BH.xls__Spt-BH.xls_B___675"/>
      <sheetName val="_Spt-BH.xls__Spt-BH.xls__Sp_157"/>
      <sheetName val="_Spt-BH.xls__Spt-BH.xls_B___676"/>
      <sheetName val="_Spt-BH.xls__Spt-BH.xls_B___677"/>
      <sheetName val="D2_CO"/>
      <sheetName val="rdamdata"/>
      <sheetName val="B@___x005f_x005f_x005f_x005F_x005f_x0004_@_"/>
      <sheetName val="B@__x005f_x005f_x005f_x005F_x005f_x005f_x00"/>
      <sheetName val="B@___x005f_x005f_x005f_x005F_x005f_x005f_x0"/>
      <sheetName val="zone-2"/>
      <sheetName val="Schedules PL"/>
      <sheetName val="Schedules BS"/>
      <sheetName val="Z1_DATA"/>
      <sheetName val="MHNO_LEV"/>
      <sheetName val="[Spt-BH.xls][Spt-BH.xls]B__6093"/>
      <sheetName val="[Spt-BH.xls][Spt-BH.xls]_S_2133"/>
      <sheetName val="[Spt-BH.xls][Spt-BH.xls]B__6090"/>
      <sheetName val="[Spt-BH.xls][Spt-BH.xls]B__6091"/>
      <sheetName val="[Spt-BH.xls][Spt-BH_xls]B__6027"/>
      <sheetName val="[Spt-BH.xls][Spt-BH_xls]B__6028"/>
      <sheetName val="[Spt-BH.xls][Spt-BH_xls]B__6029"/>
      <sheetName val="[Spt-BH.xls][Spt-BH_xls]B__6030"/>
      <sheetName val="[Spt-BH.xls][Spt-BH_xls]_S_1997"/>
      <sheetName val="[Spt-BH.xls][Spt-BH_xls]B__6031"/>
      <sheetName val="[Spt-BH.xls][Spt-BH_xls]B__6032"/>
      <sheetName val="[Spt-BH.xls][Spt-BH_xls]B__6033"/>
      <sheetName val="[Spt-BH.xls][Spt-BH_xls]_S_1998"/>
      <sheetName val="[Spt-BH.xls][Spt-BH_xls]B__6034"/>
      <sheetName val="[Spt-BH.xls][Spt-BH_xls]B__6035"/>
      <sheetName val="[Spt-BH.xls][Spt-BH_xls]B__6036"/>
      <sheetName val="[Spt-BH.xls][Spt-BH_xls]B__6037"/>
      <sheetName val="[Spt-BH.xls][Spt-BH_xls]_S_1999"/>
      <sheetName val="[Spt-BH.xls][Spt-BH_xls]B__6038"/>
      <sheetName val="[Spt-BH.xls][Spt-BH_xls]B__6039"/>
      <sheetName val="[Spt-BH.xls][Spt-BH_xls]_S_2000"/>
      <sheetName val="[Spt-BH.xls][Spt-BH_xls]B__6040"/>
      <sheetName val="[Spt-BH.xls][Spt-BH_xls]B__6041"/>
      <sheetName val="[Spt-BH.xls][Spt-BH_xls]_S_2001"/>
      <sheetName val="[Spt-BH.xls][Spt-BH_xls]B__6042"/>
      <sheetName val="[Spt-BH.xls][Spt-BH_xls]B__6043"/>
      <sheetName val="[Spt-BH.xls][Spt-BH_xls]B__6044"/>
      <sheetName val="[Spt-BH.xls][Spt-BH_xls]B__6045"/>
      <sheetName val="[Spt-BH.xls][Spt-BH_xls]_S_2002"/>
      <sheetName val="[Spt-BH.xls][Spt-BH_xls]B__6046"/>
      <sheetName val="[Spt-BH.xls][Spt-BH_xls]B__6047"/>
      <sheetName val="[Spt-BH.xls][Spt-BH_xls]B__6048"/>
      <sheetName val="[Spt-BH.xls][Spt-BH_xls]_S_2003"/>
      <sheetName val="[Spt-BH.xls][Spt-BH_xls]B__6049"/>
      <sheetName val="[Spt-BH.xls][Spt-BH_xls]B__6050"/>
      <sheetName val="[Spt-BH.xls][Spt-BH_xls]B__6051"/>
      <sheetName val="[Spt-BH.xls][Spt-BH_xls]B__6052"/>
      <sheetName val="[Spt-BH.xls][Spt-BH_xls]_S_2004"/>
      <sheetName val="[Spt-BH.xls][Spt-BH_xls]B__6053"/>
      <sheetName val="[Spt-BH.xls][Spt-BH_xls]B__6054"/>
      <sheetName val="[Spt-BH.xls][Spt-BH_xls]_S_2005"/>
      <sheetName val="[Spt-BH.xls][Spt-BH_xls]B__6055"/>
      <sheetName val="[Spt-BH.xls][Spt-BH_xls]B__6056"/>
      <sheetName val="[Spt-BH.xls][Spt-BH_xls]_S_2006"/>
      <sheetName val="[Spt-BH.xls][Spt-BH.xls]_S_2136"/>
      <sheetName val="[Spt-BH.xls][Spt-BH.xls]B__6096"/>
      <sheetName val="[Spt-BH.xls][Spt-BH.xls]B__6097"/>
      <sheetName val="[Spt-BH.xls][Spt-BH.xls]_S_2139"/>
      <sheetName val="[Spt-BH.xls][Spt-BH.xls]B__6098"/>
      <sheetName val="[Spt-BH.xls][Spt-BH.xls]B__6099"/>
      <sheetName val="[Spt-BH.xls][Spt-BH.xls]B__6100"/>
      <sheetName val="[Spt-BH.xls][Spt-BH.xls]B__6101"/>
      <sheetName val="[Spt-BH.xls][Spt-BH.xls]_S_2137"/>
      <sheetName val="[Spt-BH.xls][Spt-BH_xls]B__6102"/>
      <sheetName val="[Spt-BH.xls][Spt-BH_xls]B__6103"/>
      <sheetName val="[Spt-BH.xls][Spt-BH_xls]B__6104"/>
      <sheetName val="[Spt-BH.xls][Spt-BH_xls]B__6105"/>
      <sheetName val="[Spt-BH.xls][Spt-BH_xls]_S_2022"/>
      <sheetName val="[Spt-BH.xls][Spt-BH_xls]B__6106"/>
      <sheetName val="[Spt-BH.xls][Spt-BH_xls]B__6107"/>
      <sheetName val="[Spt-BH.xls][Spt-BH_xls]B__6108"/>
      <sheetName val="[Spt-BH.xls][Spt-BH_xls]_S_2023"/>
      <sheetName val="[Spt-BH.xls][Spt-BH_xls]B__6109"/>
      <sheetName val="[Spt-BH.xls][Spt-BH_xls]B__6110"/>
      <sheetName val="[Spt-BH.xls][Spt-BH_xls]B__6111"/>
      <sheetName val="[Spt-BH.xls][Spt-BH_xls]B__6112"/>
      <sheetName val="[Spt-BH.xls][Spt-BH_xls]_S_2024"/>
      <sheetName val="[Spt-BH.xls][Spt-BH_xls]B__6113"/>
      <sheetName val="[Spt-BH.xls][Spt-BH_xls]B__6114"/>
      <sheetName val="[Spt-BH.xls][Spt-BH_xls]_S_2025"/>
      <sheetName val="[Spt-BH.xls][Spt-BH_xls]B__6115"/>
      <sheetName val="[Spt-BH.xls][Spt-BH_xls]B__6116"/>
      <sheetName val="[Spt-BH.xls][Spt-BH_xls]_S_2026"/>
      <sheetName val="[Spt-BH.xls][Spt-BH_xls]B__6057"/>
      <sheetName val="[Spt-BH.xls][Spt-BH_xls]B__6058"/>
      <sheetName val="[Spt-BH.xls][Spt-BH_xls]B__6059"/>
      <sheetName val="[Spt-BH.xls][Spt-BH_xls]B__6060"/>
      <sheetName val="[Spt-BH.xls][Spt-BH_xls]_S_2007"/>
      <sheetName val="[Spt-BH.xls][Spt-BH_xls]B__6061"/>
      <sheetName val="[Spt-BH.xls][Spt-BH_xls]B__6062"/>
      <sheetName val="[Spt-BH.xls][Spt-BH_xls]B__6063"/>
      <sheetName val="[Spt-BH.xls][Spt-BH_xls]_S_2008"/>
      <sheetName val="[Spt-BH.xls][Spt-BH_xls]B__6064"/>
      <sheetName val="[Spt-BH.xls][Spt-BH_xls]B__6065"/>
      <sheetName val="[Spt-BH.xls][Spt-BH_xls]B__6066"/>
      <sheetName val="[Spt-BH.xls][Spt-BH_xls]B__6067"/>
      <sheetName val="[Spt-BH.xls][Spt-BH_xls]_S_2009"/>
      <sheetName val="[Spt-BH.xls][Spt-BH_xls]B__6068"/>
      <sheetName val="[Spt-BH.xls][Spt-BH_xls]B__6069"/>
      <sheetName val="[Spt-BH.xls][Spt-BH_xls]_S_2010"/>
      <sheetName val="[Spt-BH.xls][Spt-BH_xls]B__6070"/>
      <sheetName val="[Spt-BH.xls][Spt-BH_xls]B__6071"/>
      <sheetName val="[Spt-BH.xls][Spt-BH_xls]_S_2011"/>
      <sheetName val="[Spt-BH.xls][Spt-BH_xls]B__6072"/>
      <sheetName val="[Spt-BH.xls][Spt-BH_xls]B__6073"/>
      <sheetName val="[Spt-BH.xls][Spt-BH_xls]B__6074"/>
      <sheetName val="[Spt-BH.xls][Spt-BH_xls]B__6075"/>
      <sheetName val="[Spt-BH.xls][Spt-BH_xls]_S_2012"/>
      <sheetName val="[Spt-BH.xls][Spt-BH_xls]B__6076"/>
      <sheetName val="[Spt-BH.xls][Spt-BH_xls]B__6077"/>
      <sheetName val="[Spt-BH.xls][Spt-BH_xls]B__6078"/>
      <sheetName val="[Spt-BH.xls][Spt-BH_xls]_S_2013"/>
      <sheetName val="[Spt-BH.xls][Spt-BH_xls]B__6079"/>
      <sheetName val="[Spt-BH.xls][Spt-BH_xls]B__6080"/>
      <sheetName val="[Spt-BH.xls][Spt-BH_xls]B__6081"/>
      <sheetName val="[Spt-BH.xls][Spt-BH_xls]B__6082"/>
      <sheetName val="[Spt-BH.xls][Spt-BH_xls]_S_2014"/>
      <sheetName val="[Spt-BH.xls][Spt-BH_xls]B__6083"/>
      <sheetName val="[Spt-BH.xls][Spt-BH_xls]B__6084"/>
      <sheetName val="[Spt-BH.xls][Spt-BH_xls]_S_2015"/>
      <sheetName val="[Spt-BH.xls][Spt-BH_xls]B__6085"/>
      <sheetName val="[Spt-BH.xls][Spt-BH_xls]B__6086"/>
      <sheetName val="[Spt-BH.xls][Spt-BH_xls]_S_2016"/>
      <sheetName val="[Spt-BH.xls][Spt-BH_xls]B__6087"/>
      <sheetName val="[Spt-BH.xls][Spt-BH_xls]B__6088"/>
      <sheetName val="[Spt-BH.xls][Spt-BH_xls]B__6089"/>
      <sheetName val="[Spt-BH.xls][Spt-BH_xls]B__6090"/>
      <sheetName val="[Spt-BH.xls][Spt-BH_xls]_S_2017"/>
      <sheetName val="[Spt-BH.xls][Spt-BH_xls]B__6091"/>
      <sheetName val="[Spt-BH.xls][Spt-BH_xls]B__6092"/>
      <sheetName val="[Spt-BH.xls][Spt-BH_xls]B__6093"/>
      <sheetName val="[Spt-BH.xls][Spt-BH_xls]_S_2018"/>
      <sheetName val="[Spt-BH.xls][Spt-BH_xls]B__6094"/>
      <sheetName val="[Spt-BH.xls][Spt-BH_xls]B__6095"/>
      <sheetName val="[Spt-BH.xls][Spt-BH_xls]B__6096"/>
      <sheetName val="[Spt-BH.xls][Spt-BH_xls]B__6097"/>
      <sheetName val="[Spt-BH.xls][Spt-BH_xls]_S_2019"/>
      <sheetName val="[Spt-BH.xls][Spt-BH_xls]B__6098"/>
      <sheetName val="[Spt-BH.xls][Spt-BH_xls]B__6099"/>
      <sheetName val="[Spt-BH.xls][Spt-BH_xls]_S_2020"/>
      <sheetName val="[Spt-BH.xls][Spt-BH_xls]B__6100"/>
      <sheetName val="[Spt-BH.xls][Spt-BH_xls]B__6101"/>
      <sheetName val="[Spt-BH.xls][Spt-BH_xls]_S_2021"/>
      <sheetName val="[Spt-BH.xls][Spt-BH.xls]B__6094"/>
      <sheetName val="[Spt-BH.xls][Spt-BH.xls]B__6095"/>
      <sheetName val="[Spt-BH.xls][Spt-BH.xls]_S_2135"/>
      <sheetName val="[Spt-BH.xls][Spt-BH.xls]_S_2138"/>
      <sheetName val="[Spt-BH.xls][Spt-BH.xls]_S_2140"/>
      <sheetName val="[Spt-BH.xls][Spt-BH.xls]_S_2141"/>
      <sheetName val="[Spt-BH.xls][Spt-BH.xls]_S_2142"/>
      <sheetName val="[Spt-BH.xls][Spt-BH.xls]_S_2143"/>
      <sheetName val="[Spt-BH.xls][Spt-BH.xls]B__6102"/>
      <sheetName val="[Spt-BH.xls][Spt-BH.xls]B__6103"/>
      <sheetName val="[Spt-BH.xls][Spt-BH.xls]_S_2145"/>
      <sheetName val="[Spt-BH.xls][Spt-BH.xls]B__6104"/>
      <sheetName val="[Spt-BH.xls][Spt-BH.xls]B__6105"/>
      <sheetName val="[Spt-BH.xls][Spt-BH.xls]B__6106"/>
      <sheetName val="[Spt-BH.xls][Spt-BH.xls]B__6107"/>
      <sheetName val="[Spt-BH.xls][Spt-BH.xls]_S_2144"/>
      <sheetName val="[Spt-BH.xls][Spt-BH.xls]_S_2146"/>
      <sheetName val="[Spt-BH.xls][Spt-BH.xls]B__6108"/>
      <sheetName val="[Spt-BH.xls][Spt-BH.xls]B__6109"/>
      <sheetName val="[Spt-BH.xls][Spt-BH.xls]_S_2167"/>
      <sheetName val="[Spt-BH.xls][Spt-BH.xls]B__6110"/>
      <sheetName val="[Spt-BH.xls][Spt-BH.xls]B__6111"/>
      <sheetName val="[Spt-BH.xls][Spt-BH.xls]B__6112"/>
      <sheetName val="[Spt-BH.xls][Spt-BH.xls]B__6113"/>
      <sheetName val="[Spt-BH.xls][Spt-BH.xls]_S_2147"/>
      <sheetName val="[Spt-BH.xls][Spt-BH.xls]B__6176"/>
      <sheetName val="[Spt-BH.xls][Spt-BH.xls]B__6177"/>
      <sheetName val="[Spt-BH.xls][Spt-BH.xls]_S_2169"/>
      <sheetName val="[Spt-BH.xls][Spt-BH.xls]B__6178"/>
      <sheetName val="[Spt-BH.xls][Spt-BH.xls]B__6179"/>
      <sheetName val="[Spt-BH.xls]B____x005f_x0004______494"/>
      <sheetName val="[Spt-BH.xls]B___x005f_x0000__x000_486"/>
      <sheetName val="[Spt-BH.xls][Spt-BH.xls]B__6180"/>
      <sheetName val="[Spt-BH.xls][Spt-BH.xls]B__6181"/>
      <sheetName val="[Spt-BH.xls][Spt-BH.xls]B__6114"/>
      <sheetName val="[Spt-BH.xls][Spt-BH.xls]_S_2168"/>
      <sheetName val="[Spt-BH.xls][Spt-BH_xls]B__6117"/>
      <sheetName val="[Spt-BH.xls][Spt-BH_xls]B__6118"/>
      <sheetName val="[Spt-BH.xls][Spt-BH_xls]B__6119"/>
      <sheetName val="[Spt-BH.xls][Spt-BH_xls]B__6120"/>
      <sheetName val="[Spt-BH.xls][Spt-BH_xls]_S_2027"/>
      <sheetName val="[Spt-BH.xls][Spt-BH_xls]B__6121"/>
      <sheetName val="[Spt-BH.xls][Spt-BH_xls]B__6122"/>
      <sheetName val="[Spt-BH.xls][Spt-BH_xls]B__6123"/>
      <sheetName val="[Spt-BH.xls][Spt-BH_xls]_S_2028"/>
      <sheetName val="[Spt-BH.xls][Spt-BH_xls]B__6124"/>
      <sheetName val="[Spt-BH.xls][Spt-BH_xls]B__6125"/>
      <sheetName val="[Spt-BH.xls][Spt-BH_xls]B__6126"/>
      <sheetName val="[Spt-BH.xls][Spt-BH_xls]B__6127"/>
      <sheetName val="[Spt-BH.xls][Spt-BH_xls]_S_2029"/>
      <sheetName val="[Spt-BH.xls][Spt-BH_xls]B__6128"/>
      <sheetName val="[Spt-BH.xls][Spt-BH_xls]B__6129"/>
      <sheetName val="[Spt-BH.xls][Spt-BH_xls]_S_2030"/>
      <sheetName val="[Spt-BH.xls][Spt-BH_xls]B__6130"/>
      <sheetName val="[Spt-BH.xls][Spt-BH_xls]B__6131"/>
      <sheetName val="[Spt-BH.xls][Spt-BH_xls]_S_2031"/>
      <sheetName val="[Spt-BH.xls][Spt-BH.xls]_S_2148"/>
      <sheetName val="[Spt-BH.xls][Spt-BH.xls]B__6115"/>
      <sheetName val="[Spt-BH.xls][Spt-BH.xls]B__6116"/>
      <sheetName val="[Spt-BH.xls][Spt-BH.xls]B__6117"/>
      <sheetName val="[Spt-BH.xls][Spt-BH.xls]B__6118"/>
      <sheetName val="[Spt-BH.xls][Spt-BH.xls]B__6119"/>
      <sheetName val="[Spt-BH.xls][Spt-BH.xls]B__6120"/>
      <sheetName val="[Spt-BH.xls][Spt-BH.xls]_S_2149"/>
      <sheetName val="[Spt-BH.xls]B____x005f_x0004______495"/>
      <sheetName val="[Spt-BH.xls]B___x005f_x0000__x000_487"/>
      <sheetName val="[Spt-BH.xls][Spt-BH.xls]B__6121"/>
      <sheetName val="[Spt-BH.xls][Spt-BH_xls]B__6132"/>
      <sheetName val="[Spt-BH.xls][Spt-BH_xls]B__6133"/>
      <sheetName val="[Spt-BH.xls][Spt-BH_xls]B__6134"/>
      <sheetName val="[Spt-BH.xls][Spt-BH_xls]B__6135"/>
      <sheetName val="[Spt-BH.xls][Spt-BH_xls]_S_2032"/>
      <sheetName val="[Spt-BH.xls][Spt-BH_xls]B__6136"/>
      <sheetName val="[Spt-BH.xls][Spt-BH_xls]B__6137"/>
      <sheetName val="[Spt-BH.xls][Spt-BH_xls]B__6138"/>
      <sheetName val="[Spt-BH.xls][Spt-BH_xls]_S_2033"/>
      <sheetName val="[Spt-BH.xls][Spt-BH_xls]B__6139"/>
      <sheetName val="[Spt-BH.xls][Spt-BH_xls]B__6140"/>
      <sheetName val="[Spt-BH.xls][Spt-BH_xls]B__6141"/>
      <sheetName val="[Spt-BH.xls][Spt-BH_xls]B__6142"/>
      <sheetName val="[Spt-BH.xls][Spt-BH_xls]_S_2034"/>
      <sheetName val="[Spt-BH.xls][Spt-BH_xls]B__6143"/>
      <sheetName val="[Spt-BH.xls][Spt-BH_xls]B__6144"/>
      <sheetName val="[Spt-BH.xls][Spt-BH_xls]_S_2035"/>
      <sheetName val="[Spt-BH.xls][Spt-BH_xls]B__6145"/>
      <sheetName val="[Spt-BH.xls][Spt-BH_xls]B__6146"/>
      <sheetName val="[Spt-BH.xls][Spt-BH_xls]_S_2036"/>
      <sheetName val="[Spt-BH.xls][Spt-BH.xls]B__6123"/>
      <sheetName val="[Spt-BH.xls][Spt-BH.xls]B__6124"/>
      <sheetName val="[Spt-BH.xls][Spt-BH.xls]_S_2154"/>
      <sheetName val="[Spt-BH.xls][Spt-BH.xls]B__6125"/>
      <sheetName val="[Spt-BH.xls][Spt-BH.xls]B__6126"/>
      <sheetName val="[Spt-BH.xls]B____x005f_x0004______496"/>
      <sheetName val="[Spt-BH.xls]B___x005f_x0000__x000_488"/>
      <sheetName val="[Spt-BH.xls][Spt-BH.xls]B__6127"/>
      <sheetName val="[Spt-BH.xls][Spt-BH.xls]B__6128"/>
      <sheetName val="[Spt-BH.xls][Spt-BH.xls]B__6122"/>
      <sheetName val="[Spt-BH.xls][Spt-BH_xls]B__6147"/>
      <sheetName val="[Spt-BH.xls][Spt-BH_xls]B__6148"/>
      <sheetName val="[Spt-BH.xls][Spt-BH_xls]B__6149"/>
      <sheetName val="[Spt-BH.xls][Spt-BH_xls]B__6150"/>
      <sheetName val="[Spt-BH.xls][Spt-BH_xls]_S_2037"/>
      <sheetName val="[Spt-BH.xls][Spt-BH_xls]B__6151"/>
      <sheetName val="[Spt-BH.xls][Spt-BH_xls]B__6152"/>
      <sheetName val="[Spt-BH.xls][Spt-BH_xls]B__6153"/>
      <sheetName val="[Spt-BH.xls][Spt-BH_xls]_S_2038"/>
      <sheetName val="[Spt-BH.xls][Spt-BH_xls]B__6154"/>
      <sheetName val="[Spt-BH.xls][Spt-BH_xls]B__6155"/>
      <sheetName val="[Spt-BH.xls][Spt-BH_xls]B__6156"/>
      <sheetName val="[Spt-BH.xls][Spt-BH_xls]B__6157"/>
      <sheetName val="[Spt-BH.xls][Spt-BH_xls]_S_2039"/>
      <sheetName val="[Spt-BH.xls][Spt-BH_xls]B__6158"/>
      <sheetName val="[Spt-BH.xls][Spt-BH_xls]B__6159"/>
      <sheetName val="[Spt-BH.xls][Spt-BH_xls]_S_2040"/>
      <sheetName val="[Spt-BH.xls][Spt-BH_xls]B__6160"/>
      <sheetName val="[Spt-BH.xls][Spt-BH_xls]B__6161"/>
      <sheetName val="[Spt-BH.xls][Spt-BH_xls]_S_2041"/>
      <sheetName val="[Spt-BH.xls][Spt-BH.xls]B__6150"/>
      <sheetName val="[Spt-BH.xls][Spt-BH.xls]B__6151"/>
      <sheetName val="[Spt-BH.xls][Spt-BH.xls]_S_2159"/>
      <sheetName val="[Spt-BH.xls][Spt-BH.xls]B__6152"/>
      <sheetName val="[Spt-BH.xls][Spt-BH.xls]B__6153"/>
      <sheetName val="[Spt-BH.xls][Spt-BH.xls]B__6143"/>
      <sheetName val="[Spt-BH.xls]B____x005f_x0004______499"/>
      <sheetName val="[Spt-BH.xls][Spt-BH.xls]B__6144"/>
      <sheetName val="[Spt-BH.xls][Spt-BH.xls]_S_2156"/>
      <sheetName val="[Spt-BH.xls][Spt-BH.xls]B__6145"/>
      <sheetName val="[Spt-BH.xls][Spt-BH.xls]B__6146"/>
      <sheetName val="[Spt-BH.xls][Spt-BH.xls]B__6147"/>
      <sheetName val="[Spt-BH.xls]B___x005f_x0000__x000_491"/>
      <sheetName val="[Spt-BH.xls][Spt-BH.xls]B__6154"/>
      <sheetName val="[Spt-BH.xls][Spt-BH.xls]B__6155"/>
      <sheetName val="[Spt-BH.xls][Spt-BH.xls]B__6148"/>
      <sheetName val="[Spt-BH.xls][Spt-BH.xls]B__6149"/>
      <sheetName val="[Spt-BH.xls][Spt-BH.xls]_S_2157"/>
      <sheetName val="[Spt-BH.xls][Spt-BH_xls]B__6192"/>
      <sheetName val="[Spt-BH.xls][Spt-BH_xls]B__6193"/>
      <sheetName val="[Spt-BH.xls][Spt-BH_xls]B__6194"/>
      <sheetName val="[Spt-BH.xls][Spt-BH_xls]B__6195"/>
      <sheetName val="[Spt-BH.xls][Spt-BH_xls]_S_2052"/>
      <sheetName val="[Spt-BH.xls][Spt-BH_xls]B__6196"/>
      <sheetName val="[Spt-BH.xls][Spt-BH_xls]B__6197"/>
      <sheetName val="[Spt-BH.xls][Spt-BH_xls]B__6198"/>
      <sheetName val="[Spt-BH.xls][Spt-BH_xls]_S_2053"/>
      <sheetName val="[Spt-BH.xls][Spt-BH_xls]B__6199"/>
      <sheetName val="[Spt-BH.xls][Spt-BH_xls]B__6200"/>
      <sheetName val="[Spt-BH.xls][Spt-BH_xls]B__6201"/>
      <sheetName val="[Spt-BH.xls][Spt-BH_xls]B__6202"/>
      <sheetName val="[Spt-BH.xls][Spt-BH_xls]_S_2054"/>
      <sheetName val="[Spt-BH.xls][Spt-BH.xls]_S_2155"/>
      <sheetName val="[Spt-BH.xls][Spt-BH_xls]B__6203"/>
      <sheetName val="[Spt-BH.xls][Spt-BH_xls]B__6204"/>
      <sheetName val="[Spt-BH.xls][Spt-BH_xls]_S_2055"/>
      <sheetName val="[Spt-BH.xls][Spt-BH_xls]B__6205"/>
      <sheetName val="[Spt-BH.xls][Spt-BH_xls]B__6206"/>
      <sheetName val="[Spt-BH.xls][Spt-BH_xls]_S_2056"/>
      <sheetName val="[Spt-BH.xls][Spt-BH.xls]_S_2150"/>
      <sheetName val="[Spt-BH.xls][Spt-BH.xls]B__6129"/>
      <sheetName val="[Spt-BH.xls]B____x005f_x0004______497"/>
      <sheetName val="[Spt-BH.xls][Spt-BH.xls]B__6130"/>
      <sheetName val="[Spt-BH.xls][Spt-BH.xls]B__6131"/>
      <sheetName val="[Spt-BH.xls][Spt-BH.xls]B__6132"/>
      <sheetName val="[Spt-BH.xls][Spt-BH.xls]B__6133"/>
      <sheetName val="[Spt-BH.xls]B___x005f_x0000__x000_489"/>
      <sheetName val="[Spt-BH.xls][Spt-BH.xls]B__6134"/>
      <sheetName val="[Spt-BH.xls][Spt-BH.xls]B__6135"/>
      <sheetName val="[Spt-BH.xls][Spt-BH_xls]B__6162"/>
      <sheetName val="[Spt-BH.xls][Spt-BH_xls]B__6163"/>
      <sheetName val="[Spt-BH.xls][Spt-BH_xls]B__6164"/>
      <sheetName val="[Spt-BH.xls][Spt-BH_xls]B__6165"/>
      <sheetName val="[Spt-BH.xls][Spt-BH_xls]_S_2042"/>
      <sheetName val="[Spt-BH.xls][Spt-BH_xls]B__6166"/>
      <sheetName val="[Spt-BH.xls][Spt-BH_xls]B__6167"/>
      <sheetName val="[Spt-BH.xls][Spt-BH_xls]B__6168"/>
      <sheetName val="[Spt-BH.xls][Spt-BH_xls]_S_2043"/>
      <sheetName val="[Spt-BH.xls][Spt-BH_xls]B__6169"/>
      <sheetName val="[Spt-BH.xls][Spt-BH_xls]B__6170"/>
      <sheetName val="[Spt-BH.xls][Spt-BH_xls]B__6171"/>
      <sheetName val="[Spt-BH.xls][Spt-BH_xls]B__6172"/>
      <sheetName val="[Spt-BH.xls][Spt-BH_xls]_S_2044"/>
      <sheetName val="[Spt-BH.xls][Spt-BH.xls]_S_2151"/>
      <sheetName val="[Spt-BH.xls][Spt-BH_xls]B__6173"/>
      <sheetName val="[Spt-BH.xls][Spt-BH_xls]B__6174"/>
      <sheetName val="[Spt-BH.xls][Spt-BH_xls]_S_2045"/>
      <sheetName val="[Spt-BH.xls][Spt-BH_xls]B__6175"/>
      <sheetName val="[Spt-BH.xls][Spt-BH_xls]B__6176"/>
      <sheetName val="[Spt-BH.xls][Spt-BH_xls]_S_2046"/>
      <sheetName val="[Spt-BH.xls][Spt-BH.xls]_S_2152"/>
      <sheetName val="[Spt-BH.xls][Spt-BH.xls]B__6136"/>
      <sheetName val="[Spt-BH.xls]B____x005f_x0004______498"/>
      <sheetName val="[Spt-BH.xls][Spt-BH.xls]B__6137"/>
      <sheetName val="[Spt-BH.xls][Spt-BH.xls]B__6138"/>
      <sheetName val="[Spt-BH.xls][Spt-BH.xls]B__6139"/>
      <sheetName val="[Spt-BH.xls][Spt-BH.xls]B__6140"/>
      <sheetName val="[Spt-BH.xls]B___x005f_x0000__x000_490"/>
      <sheetName val="[Spt-BH.xls][Spt-BH.xls]B__6141"/>
      <sheetName val="[Spt-BH.xls][Spt-BH.xls]B__6142"/>
      <sheetName val="[Spt-BH.xls][Spt-BH_xls]B__6177"/>
      <sheetName val="[Spt-BH.xls][Spt-BH_xls]B__6178"/>
      <sheetName val="[Spt-BH.xls][Spt-BH_xls]B__6179"/>
      <sheetName val="[Spt-BH.xls][Spt-BH_xls]B__6180"/>
      <sheetName val="[Spt-BH.xls][Spt-BH_xls]_S_2047"/>
      <sheetName val="[Spt-BH.xls][Spt-BH_xls]B__6181"/>
      <sheetName val="[Spt-BH.xls][Spt-BH_xls]B__6182"/>
      <sheetName val="[Spt-BH.xls][Spt-BH_xls]B__6183"/>
      <sheetName val="[Spt-BH.xls][Spt-BH_xls]_S_2048"/>
      <sheetName val="[Spt-BH.xls][Spt-BH_xls]B__6184"/>
      <sheetName val="[Spt-BH.xls][Spt-BH_xls]B__6185"/>
      <sheetName val="[Spt-BH.xls][Spt-BH_xls]B__6186"/>
      <sheetName val="[Spt-BH.xls][Spt-BH_xls]B__6187"/>
      <sheetName val="[Spt-BH.xls][Spt-BH_xls]_S_2049"/>
      <sheetName val="[Spt-BH.xls][Spt-BH.xls]_S_2153"/>
      <sheetName val="[Spt-BH.xls][Spt-BH_xls]B__6188"/>
      <sheetName val="[Spt-BH.xls][Spt-BH_xls]B__6189"/>
      <sheetName val="[Spt-BH.xls][Spt-BH_xls]_S_2050"/>
      <sheetName val="[Spt-BH.xls][Spt-BH_xls]B__6190"/>
      <sheetName val="[Spt-BH.xls][Spt-BH_xls]B__6191"/>
      <sheetName val="[Spt-BH.xls][Spt-BH_xls]_S_2051"/>
      <sheetName val="[Spt-BH.xls][Spt-BH.xls]_S_2158"/>
      <sheetName val="[Spt-BH.xls][Spt-BH.xls]B__6156"/>
      <sheetName val="[Spt-BH.xls][Spt-BH.xls]B__6157"/>
      <sheetName val="[Spt-BH.xls][Spt-BH.xls]_S_2161"/>
      <sheetName val="[Spt-BH.xls][Spt-BH.xls]B__6158"/>
      <sheetName val="[Spt-BH.xls][Spt-BH.xls]B__6159"/>
      <sheetName val="[Spt-BH.xls][Spt-BH.xls]B__6160"/>
      <sheetName val="[Spt-BH.xls][Spt-BH.xls]B__6161"/>
      <sheetName val="[Spt-BH.xls][Spt-BH.xls]_S_2160"/>
      <sheetName val="[Spt-BH.xls][Spt-BH.xls]B__6163"/>
      <sheetName val="[Spt-BH.xls][Spt-BH.xls]B__6164"/>
      <sheetName val="[Spt-BH.xls][Spt-BH.xls]_S_2163"/>
      <sheetName val="[Spt-BH.xls][Spt-BH.xls]B__6165"/>
      <sheetName val="[Spt-BH.xls][Spt-BH.xls]B__6166"/>
      <sheetName val="[Spt-BH.xls]B____x005f_x0004______500"/>
      <sheetName val="[Spt-BH.xls]B___x005f_x0000__x000_492"/>
      <sheetName val="[Spt-BH.xls][Spt-BH.xls]B__6167"/>
      <sheetName val="[Spt-BH.xls][Spt-BH.xls]B__6168"/>
      <sheetName val="[Spt-BH.xls][Spt-BH.xls]B__6162"/>
      <sheetName val="[Spt-BH.xls][Spt-BH.xls]_S_2162"/>
      <sheetName val="[Spt-BH.xls][Spt-BH_xls]B__6207"/>
      <sheetName val="[Spt-BH.xls][Spt-BH_xls]B__6208"/>
      <sheetName val="[Spt-BH.xls][Spt-BH_xls]B__6209"/>
      <sheetName val="[Spt-BH.xls][Spt-BH_xls]B__6210"/>
      <sheetName val="[Spt-BH.xls][Spt-BH_xls]_S_2057"/>
      <sheetName val="[Spt-BH.xls][Spt-BH_xls]B__6211"/>
      <sheetName val="[Spt-BH.xls][Spt-BH_xls]B__6212"/>
      <sheetName val="[Spt-BH.xls][Spt-BH_xls]B__6213"/>
      <sheetName val="[Spt-BH.xls][Spt-BH_xls]_S_2058"/>
      <sheetName val="[Spt-BH.xls][Spt-BH_xls]B__6214"/>
      <sheetName val="[Spt-BH.xls][Spt-BH_xls]B__6215"/>
      <sheetName val="[Spt-BH.xls][Spt-BH_xls]B__6216"/>
      <sheetName val="[Spt-BH.xls][Spt-BH_xls]B__6217"/>
      <sheetName val="[Spt-BH.xls][Spt-BH_xls]_S_2059"/>
      <sheetName val="[Spt-BH.xls][Spt-BH_xls]B__6218"/>
      <sheetName val="[Spt-BH.xls][Spt-BH_xls]B__6219"/>
      <sheetName val="[Spt-BH.xls][Spt-BH_xls]_S_2060"/>
      <sheetName val="[Spt-BH.xls][Spt-BH_xls]B__6220"/>
      <sheetName val="[Spt-BH.xls][Spt-BH_xls]B__6221"/>
      <sheetName val="[Spt-BH.xls][Spt-BH_xls]_S_2061"/>
      <sheetName val="[Spt-BH.xls][Spt-BH.xls]B__6170"/>
      <sheetName val="[Spt-BH.xls][Spt-BH.xls]B__6171"/>
      <sheetName val="[Spt-BH.xls][Spt-BH.xls]_S_2165"/>
      <sheetName val="[Spt-BH.xls][Spt-BH.xls]B__6172"/>
      <sheetName val="[Spt-BH.xls][Spt-BH.xls]B__6173"/>
      <sheetName val="[Spt-BH.xls]B____x005f_x0004______501"/>
      <sheetName val="[Spt-BH.xls]B___x005f_x0000__x000_493"/>
      <sheetName val="[Spt-BH.xls][Spt-BH.xls]B__6174"/>
      <sheetName val="[Spt-BH.xls][Spt-BH.xls]B__6175"/>
      <sheetName val="[Spt-BH.xls][Spt-BH.xls]B__6169"/>
      <sheetName val="[Spt-BH.xls][Spt-BH.xls]_S_2164"/>
      <sheetName val="[Spt-BH.xls][Spt-BH_xls]B__6222"/>
      <sheetName val="[Spt-BH.xls][Spt-BH_xls]B__6223"/>
      <sheetName val="[Spt-BH.xls][Spt-BH_xls]B__6224"/>
      <sheetName val="[Spt-BH.xls][Spt-BH_xls]B__6225"/>
      <sheetName val="[Spt-BH.xls][Spt-BH_xls]_S_2062"/>
      <sheetName val="[Spt-BH.xls][Spt-BH_xls]B__6226"/>
      <sheetName val="[Spt-BH.xls][Spt-BH_xls]B__6227"/>
      <sheetName val="[Spt-BH.xls][Spt-BH_xls]B__6228"/>
      <sheetName val="[Spt-BH.xls][Spt-BH_xls]_S_2063"/>
      <sheetName val="[Spt-BH.xls][Spt-BH_xls]B__6229"/>
      <sheetName val="[Spt-BH.xls][Spt-BH_xls]B__6230"/>
      <sheetName val="[Spt-BH.xls][Spt-BH_xls]B__6231"/>
      <sheetName val="[Spt-BH.xls][Spt-BH_xls]B__6232"/>
      <sheetName val="[Spt-BH.xls][Spt-BH_xls]_S_2064"/>
      <sheetName val="[Spt-BH.xls][Spt-BH_xls]B__6233"/>
      <sheetName val="[Spt-BH.xls][Spt-BH_xls]B__6234"/>
      <sheetName val="[Spt-BH.xls][Spt-BH_xls]_S_2065"/>
      <sheetName val="[Spt-BH.xls][Spt-BH_xls]B__6235"/>
      <sheetName val="[Spt-BH.xls][Spt-BH_xls]B__6236"/>
      <sheetName val="[Spt-BH.xls][Spt-BH_xls]_S_2066"/>
      <sheetName val="[Spt-BH.xls][Spt-BH.xls]_S_2166"/>
      <sheetName val="[Spt-BH.xls][Spt-BH.xls]_S_2170"/>
      <sheetName val="[Spt-BH.xls][Spt-BH.xls]_S_2171"/>
      <sheetName val="[Spt-BH.xls][Spt-BH.xls]_S_2172"/>
      <sheetName val="[Spt-BH.xls][Spt-BH.xls]B__6182"/>
      <sheetName val="[Spt-BH.xls][Spt-BH.xls]B__6183"/>
      <sheetName val="[Spt-BH.xls][Spt-BH.xls]_S_2174"/>
      <sheetName val="[Spt-BH.xls][Spt-BH.xls]B__6184"/>
      <sheetName val="[Spt-BH.xls][Spt-BH.xls]B__6185"/>
      <sheetName val="[Spt-BH.xls][Spt-BH.xls]B__6186"/>
      <sheetName val="[Spt-BH.xls][Spt-BH.xls]B__6187"/>
      <sheetName val="[Spt-BH.xls][Spt-BH.xls]_S_2173"/>
      <sheetName val="[Spt-BH.xls][Spt-BH.xls]B__6188"/>
      <sheetName val="[Spt-BH.xls][Spt-BH.xls]B__6189"/>
      <sheetName val="[Spt-BH.xls][Spt-BH.xls]_S_2176"/>
      <sheetName val="[Spt-BH.xls][Spt-BH.xls]B__6190"/>
      <sheetName val="[Spt-BH.xls][Spt-BH.xls]B__6191"/>
      <sheetName val="[Spt-BH.xls]B____x005f_x0004______502"/>
      <sheetName val="[Spt-BH.xls]B___x005f_x0000__x000_494"/>
      <sheetName val="[Spt-BH.xls][Spt-BH.xls]B__6192"/>
      <sheetName val="[Spt-BH.xls][Spt-BH.xls]B__6193"/>
      <sheetName val="[Spt-BH.xls][Spt-BH.xls]_S_2175"/>
      <sheetName val="[Spt-BH.xls][Spt-BH_xls]B__6237"/>
      <sheetName val="[Spt-BH.xls][Spt-BH_xls]B__6238"/>
      <sheetName val="[Spt-BH.xls][Spt-BH_xls]B__6239"/>
      <sheetName val="[Spt-BH.xls][Spt-BH_xls]B__6240"/>
      <sheetName val="[Spt-BH.xls][Spt-BH_xls]_S_2067"/>
      <sheetName val="[Spt-BH.xls][Spt-BH_xls]B__6241"/>
      <sheetName val="[Spt-BH.xls][Spt-BH_xls]B__6242"/>
      <sheetName val="[Spt-BH.xls][Spt-BH_xls]B__6243"/>
      <sheetName val="[Spt-BH.xls][Spt-BH_xls]_S_2068"/>
      <sheetName val="[Spt-BH.xls][Spt-BH_xls]B__6244"/>
      <sheetName val="[Spt-BH.xls][Spt-BH_xls]B__6245"/>
      <sheetName val="[Spt-BH.xls][Spt-BH_xls]B__6246"/>
      <sheetName val="[Spt-BH.xls][Spt-BH_xls]B__6247"/>
      <sheetName val="[Spt-BH.xls][Spt-BH_xls]_S_2069"/>
      <sheetName val="[Spt-BH.xls][Spt-BH_xls]B__6248"/>
      <sheetName val="[Spt-BH.xls][Spt-BH_xls]B__6249"/>
      <sheetName val="[Spt-BH.xls][Spt-BH_xls]_S_2070"/>
      <sheetName val="[Spt-BH.xls][Spt-BH_xls]B__6250"/>
      <sheetName val="[Spt-BH.xls][Spt-BH_xls]B__6251"/>
      <sheetName val="[Spt-BH.xls][Spt-BH_xls]_S_2071"/>
      <sheetName val="[Spt-BH.xls][Spt-BH.xls]B__6194"/>
      <sheetName val="[Spt-BH.xls][Spt-BH.xls]B__6195"/>
      <sheetName val="[Spt-BH.xls][Spt-BH.xls]_S_2187"/>
      <sheetName val="[Spt-BH.xls][Spt-BH.xls]B__6196"/>
      <sheetName val="[Spt-BH.xls][Spt-BH.xls]B__6197"/>
      <sheetName val="[Spt-BH.xls][Spt-BH.xls]B__6198"/>
      <sheetName val="[Spt-BH.xls][Spt-BH.xls]B__6199"/>
      <sheetName val="[Spt-BH.xls][Spt-BH.xls]_S_2177"/>
      <sheetName val="[Spt-BH.xls][Spt-BH.xls]_S_2184"/>
      <sheetName val="[Spt-BH.xls][Spt-BH.xls]B__6245"/>
      <sheetName val="[Spt-BH.xls][Spt-BH.xls]B__6246"/>
      <sheetName val="[Spt-BH.xls][Spt-BH.xls]_S_2186"/>
      <sheetName val="[Spt-BH.xls][Spt-BH.xls]B__6247"/>
      <sheetName val="[Spt-BH.xls][Spt-BH.xls]B__6248"/>
      <sheetName val="[Spt-BH.xls][Spt-BH.xls]B__6249"/>
      <sheetName val="[Spt-BH.xls][Spt-BH.xls]B__6250"/>
      <sheetName val="[Spt-BH.xls][Spt-BH.xls]_S_2185"/>
      <sheetName val="[Spt-BH.xls][Spt-BH.xls]B__6211"/>
      <sheetName val="[Spt-BH.xls][Spt-BH.xls]B__6212"/>
      <sheetName val="[Spt-BH.xls][Spt-BH.xls]_S_2182"/>
      <sheetName val="[Spt-BH.xls][Spt-BH.xls]B__6213"/>
      <sheetName val="[Spt-BH.xls][Spt-BH.xls]B__6214"/>
      <sheetName val="[Spt-BH.xls][Spt-BH.xls]B__6215"/>
      <sheetName val="[Spt-BH.xls][Spt-BH.xls]B__6216"/>
      <sheetName val="[Spt-BH.xls][Spt-BH.xls]B__6238"/>
      <sheetName val="[Spt-BH.xls][Spt-BH.xls]B__6239"/>
      <sheetName val="[Spt-BH.xls][Spt-BH.xls]B__6240"/>
      <sheetName val="[Spt-BH.xls][Spt-BH.xls]B__6241"/>
      <sheetName val="[Spt-BH.xls]B____x005f_x0004______507"/>
      <sheetName val="[Spt-BH.xls]B___x005f_x0000__x000_499"/>
      <sheetName val="[Spt-BH.xls][Spt-BH.xls]B__6242"/>
      <sheetName val="[Spt-BH.xls][Spt-BH.xls]B__6243"/>
      <sheetName val="[Spt-BH.xls][Spt-BH.xls]B__6217"/>
      <sheetName val="[Spt-BH.xls][Spt-BH.xls]_S_2183"/>
      <sheetName val="[Spt-BH.xls][Spt-BH_xls]B__6312"/>
      <sheetName val="[Spt-BH.xls][Spt-BH_xls]B__6313"/>
      <sheetName val="[Spt-BH.xls][Spt-BH_xls]B__6314"/>
      <sheetName val="[Spt-BH.xls][Spt-BH_xls]B__6315"/>
      <sheetName val="[Spt-BH.xls][Spt-BH_xls]_S_2092"/>
      <sheetName val="[Spt-BH.xls][Spt-BH_xls]B__6316"/>
      <sheetName val="[Spt-BH.xls][Spt-BH_xls]B__6317"/>
      <sheetName val="[Spt-BH.xls][Spt-BH_xls]B__6318"/>
      <sheetName val="[Spt-BH.xls][Spt-BH_xls]_S_2093"/>
      <sheetName val="[Spt-BH.xls][Spt-BH_xls]B__6319"/>
      <sheetName val="[Spt-BH.xls][Spt-BH_xls]B__6320"/>
      <sheetName val="[Spt-BH.xls][Spt-BH_xls]B__6321"/>
      <sheetName val="[Spt-BH.xls][Spt-BH_xls]B__6322"/>
      <sheetName val="[Spt-BH.xls][Spt-BH_xls]_S_2094"/>
      <sheetName val="[Spt-BH.xls][Spt-BH_xls]B__6323"/>
      <sheetName val="[Spt-BH.xls][Spt-BH_xls]B__6324"/>
      <sheetName val="[Spt-BH.xls][Spt-BH_xls]_S_2095"/>
      <sheetName val="[Spt-BH.xls][Spt-BH_xls]B__6325"/>
      <sheetName val="[Spt-BH.xls][Spt-BH_xls]B__6326"/>
      <sheetName val="[Spt-BH.xls][Spt-BH_xls]_S_2096"/>
      <sheetName val="[Spt-BH.xls][Spt-BH.xls]B__6200"/>
      <sheetName val="[Spt-BH.xls][Spt-BH.xls]B__6201"/>
      <sheetName val="[Spt-BH.xls][Spt-BH.xls]B__6202"/>
      <sheetName val="[Spt-BH.xls][Spt-BH.xls]B__6203"/>
      <sheetName val="[Spt-BH.xls][Spt-BH.xls]B__6205"/>
      <sheetName val="[Spt-BH.xls][Spt-BH.xls]B__6206"/>
      <sheetName val="[Spt-BH.xls][Spt-BH.xls]B__6207"/>
      <sheetName val="[Spt-BH.xls][Spt-BH.xls]B__6208"/>
      <sheetName val="[Spt-BH.xls]B____x005f_x0004______506"/>
      <sheetName val="[Spt-BH.xls]B___x005f_x0000__x000_498"/>
      <sheetName val="[Spt-BH.xls][Spt-BH.xls]B__6209"/>
      <sheetName val="[Spt-BH.xls][Spt-BH.xls]B__6210"/>
      <sheetName val="[Spt-BH.xls][Spt-BH.xls]B__6204"/>
      <sheetName val="[Spt-BH.xls][Spt-BH_xls]B__6297"/>
      <sheetName val="[Spt-BH.xls][Spt-BH_xls]B__6298"/>
      <sheetName val="[Spt-BH.xls][Spt-BH_xls]B__6299"/>
      <sheetName val="[Spt-BH.xls][Spt-BH_xls]B__6300"/>
      <sheetName val="[Spt-BH.xls][Spt-BH_xls]_S_2087"/>
      <sheetName val="[Spt-BH.xls][Spt-BH_xls]B__6301"/>
      <sheetName val="[Spt-BH.xls][Spt-BH_xls]B__6302"/>
      <sheetName val="[Spt-BH.xls][Spt-BH_xls]B__6303"/>
      <sheetName val="[Spt-BH.xls][Spt-BH_xls]_S_2088"/>
      <sheetName val="[Spt-BH.xls][Spt-BH_xls]B__6304"/>
      <sheetName val="[Spt-BH.xls][Spt-BH_xls]B__6305"/>
      <sheetName val="[Spt-BH.xls][Spt-BH_xls]B__6306"/>
      <sheetName val="[Spt-BH.xls][Spt-BH_xls]B__6307"/>
      <sheetName val="[Spt-BH.xls][Spt-BH_xls]_S_2089"/>
      <sheetName val="[Spt-BH.xls][Spt-BH_xls]B__6308"/>
      <sheetName val="[Spt-BH.xls][Spt-BH_xls]B__6309"/>
      <sheetName val="[Spt-BH.xls][Spt-BH_xls]_S_2090"/>
      <sheetName val="[Spt-BH.xls][Spt-BH_xls]B__6310"/>
      <sheetName val="[Spt-BH.xls][Spt-BH_xls]B__6311"/>
      <sheetName val="[Spt-BH.xls][Spt-BH_xls]_S_2091"/>
      <sheetName val="[Spt-BH.xls]B____x005f_x0004______503"/>
      <sheetName val="[Spt-BH.xls]B___x005f_x0000__x000_495"/>
      <sheetName val="[Spt-BH.xls][Spt-BH_xls]B__6252"/>
      <sheetName val="[Spt-BH.xls][Spt-BH_xls]B__6253"/>
      <sheetName val="[Spt-BH.xls][Spt-BH_xls]B__6254"/>
      <sheetName val="[Spt-BH.xls][Spt-BH_xls]B__6255"/>
      <sheetName val="[Spt-BH.xls][Spt-BH_xls]_S_2072"/>
      <sheetName val="[Spt-BH.xls][Spt-BH_xls]B__6256"/>
      <sheetName val="[Spt-BH.xls][Spt-BH_xls]B__6257"/>
      <sheetName val="[Spt-BH.xls][Spt-BH_xls]B__6258"/>
      <sheetName val="[Spt-BH.xls][Spt-BH_xls]_S_2073"/>
      <sheetName val="[Spt-BH.xls][Spt-BH_xls]B__6259"/>
      <sheetName val="[Spt-BH.xls][Spt-BH_xls]B__6260"/>
      <sheetName val="[Spt-BH.xls][Spt-BH_xls]B__6261"/>
      <sheetName val="[Spt-BH.xls][Spt-BH_xls]B__6262"/>
      <sheetName val="[Spt-BH.xls][Spt-BH_xls]_S_2074"/>
      <sheetName val="[Spt-BH.xls][Spt-BH_xls]B__6263"/>
      <sheetName val="[Spt-BH.xls][Spt-BH_xls]B__6264"/>
      <sheetName val="[Spt-BH.xls][Spt-BH_xls]_S_2075"/>
      <sheetName val="[Spt-BH.xls][Spt-BH_xls]B__6265"/>
      <sheetName val="[Spt-BH.xls][Spt-BH_xls]B__6266"/>
      <sheetName val="[Spt-BH.xls][Spt-BH_xls]_S_2076"/>
      <sheetName val="[Spt-BH.xls]B____x005f_x0004______504"/>
      <sheetName val="[Spt-BH.xls]B___x005f_x0000__x000_496"/>
      <sheetName val="[Spt-BH.xls][Spt-BH_xls]B__6267"/>
      <sheetName val="[Spt-BH.xls][Spt-BH_xls]B__6268"/>
      <sheetName val="[Spt-BH.xls][Spt-BH_xls]B__6269"/>
      <sheetName val="[Spt-BH.xls][Spt-BH_xls]B__6270"/>
      <sheetName val="[Spt-BH.xls][Spt-BH_xls]_S_2077"/>
      <sheetName val="[Spt-BH.xls][Spt-BH_xls]B__6271"/>
      <sheetName val="[Spt-BH.xls][Spt-BH_xls]B__6272"/>
      <sheetName val="[Spt-BH.xls][Spt-BH_xls]B__6273"/>
      <sheetName val="[Spt-BH.xls][Spt-BH_xls]_S_2078"/>
      <sheetName val="[Spt-BH.xls][Spt-BH_xls]B__6274"/>
      <sheetName val="[Spt-BH.xls][Spt-BH_xls]B__6275"/>
      <sheetName val="[Spt-BH.xls][Spt-BH_xls]B__6276"/>
      <sheetName val="[Spt-BH.xls][Spt-BH_xls]B__6277"/>
      <sheetName val="[Spt-BH.xls][Spt-BH_xls]_S_2079"/>
      <sheetName val="[Spt-BH.xls][Spt-BH_xls]B__6278"/>
      <sheetName val="[Spt-BH.xls][Spt-BH_xls]B__6279"/>
      <sheetName val="[Spt-BH.xls][Spt-BH_xls]_S_2080"/>
      <sheetName val="[Spt-BH.xls][Spt-BH_xls]B__6280"/>
      <sheetName val="[Spt-BH.xls][Spt-BH_xls]B__6281"/>
      <sheetName val="[Spt-BH.xls][Spt-BH_xls]_S_2081"/>
      <sheetName val="[Spt-BH.xls]B____x005f_x0004______505"/>
      <sheetName val="[Spt-BH.xls]B___x005f_x0000__x000_497"/>
      <sheetName val="[Spt-BH.xls][Spt-BH_xls]B__6282"/>
      <sheetName val="[Spt-BH.xls][Spt-BH_xls]B__6283"/>
      <sheetName val="[Spt-BH.xls][Spt-BH_xls]B__6284"/>
      <sheetName val="[Spt-BH.xls][Spt-BH_xls]B__6285"/>
      <sheetName val="[Spt-BH.xls][Spt-BH_xls]_S_2082"/>
      <sheetName val="[Spt-BH.xls][Spt-BH_xls]B__6286"/>
      <sheetName val="[Spt-BH.xls][Spt-BH_xls]B__6287"/>
      <sheetName val="[Spt-BH.xls][Spt-BH_xls]B__6288"/>
      <sheetName val="[Spt-BH.xls][Spt-BH_xls]_S_2083"/>
      <sheetName val="[Spt-BH.xls][Spt-BH_xls]B__6289"/>
      <sheetName val="[Spt-BH.xls][Spt-BH_xls]B__6290"/>
      <sheetName val="[Spt-BH.xls][Spt-BH_xls]B__6291"/>
      <sheetName val="[Spt-BH.xls][Spt-BH_xls]B__6292"/>
      <sheetName val="[Spt-BH.xls][Spt-BH_xls]_S_2084"/>
      <sheetName val="[Spt-BH.xls][Spt-BH_xls]B__6293"/>
      <sheetName val="[Spt-BH.xls][Spt-BH_xls]B__6294"/>
      <sheetName val="[Spt-BH.xls][Spt-BH_xls]_S_2085"/>
      <sheetName val="[Spt-BH.xls][Spt-BH_xls]B__6295"/>
      <sheetName val="[Spt-BH.xls][Spt-BH_xls]B__6296"/>
      <sheetName val="[Spt-BH.xls][Spt-BH_xls]_S_2086"/>
      <sheetName val="[Spt-BH.xls]B____x005f_x0004______510"/>
      <sheetName val="[Spt-BH.xls]B___x005f_x0000__x000_502"/>
      <sheetName val="[Spt-BH.xls][Spt-BH.xls]B__6244"/>
      <sheetName val="[Spt-BH.xls][Spt-BH_xls]B__6357"/>
      <sheetName val="[Spt-BH.xls][Spt-BH_xls]B__6358"/>
      <sheetName val="[Spt-BH.xls][Spt-BH_xls]B__6359"/>
      <sheetName val="[Spt-BH.xls][Spt-BH_xls]B__6360"/>
      <sheetName val="[Spt-BH.xls][Spt-BH_xls]_S_2107"/>
      <sheetName val="[Spt-BH.xls][Spt-BH_xls]B__6361"/>
      <sheetName val="[Spt-BH.xls][Spt-BH_xls]B__6362"/>
      <sheetName val="[Spt-BH.xls][Spt-BH_xls]B__6363"/>
      <sheetName val="[Spt-BH.xls][Spt-BH_xls]_S_2108"/>
      <sheetName val="[Spt-BH.xls][Spt-BH_xls]B__6364"/>
      <sheetName val="[Spt-BH.xls][Spt-BH_xls]B__6365"/>
      <sheetName val="[Spt-BH.xls][Spt-BH_xls]B__6366"/>
      <sheetName val="[Spt-BH.xls][Spt-BH_xls]B__6367"/>
      <sheetName val="[Spt-BH.xls][Spt-BH_xls]_S_2109"/>
      <sheetName val="[Spt-BH.xls][Spt-BH_xls]B__6368"/>
      <sheetName val="[Spt-BH.xls][Spt-BH_xls]B__6369"/>
      <sheetName val="[Spt-BH.xls][Spt-BH_xls]_S_2110"/>
      <sheetName val="[Spt-BH.xls][Spt-BH_xls]B__6370"/>
      <sheetName val="[Spt-BH.xls][Spt-BH_xls]B__6371"/>
      <sheetName val="[Spt-BH.xls][Spt-BH_xls]_S_2111"/>
      <sheetName val="[Spt-BH.xls][Spt-BH.xls]_S_2178"/>
      <sheetName val="[Spt-BH.xls][Spt-BH.xls]B__6225"/>
      <sheetName val="[Spt-BH.xls][Spt-BH.xls]B__6226"/>
      <sheetName val="[Spt-BH.xls][Spt-BH.xls]_S_2180"/>
      <sheetName val="[Spt-BH.xls][Spt-BH.xls]B__6227"/>
      <sheetName val="[Spt-BH.xls][Spt-BH.xls]B__6228"/>
      <sheetName val="[Spt-BH.xls][Spt-BH.xls]B__6229"/>
      <sheetName val="[Spt-BH.xls][Spt-BH.xls]B__6230"/>
      <sheetName val="[Spt-BH.xls][Spt-BH.xls]_S_2179"/>
      <sheetName val="[Spt-BH.xls][Spt-BH.xls]B__6232"/>
      <sheetName val="[Spt-BH.xls][Spt-BH.xls]B__6233"/>
      <sheetName val="[Spt-BH.xls][Spt-BH.xls]B__6234"/>
      <sheetName val="[Spt-BH.xls][Spt-BH.xls]B__6235"/>
      <sheetName val="[Spt-BH.xls]B____x005f_x0004______509"/>
      <sheetName val="[Spt-BH.xls]B___x005f_x0000__x000_501"/>
      <sheetName val="[Spt-BH.xls][Spt-BH.xls]B__6236"/>
      <sheetName val="[Spt-BH.xls][Spt-BH.xls]B__6237"/>
      <sheetName val="[Spt-BH.xls][Spt-BH.xls]B__6231"/>
      <sheetName val="[Spt-BH.xls][Spt-BH.xls]_S_2181"/>
      <sheetName val="[Spt-BH.xls][Spt-BH_xls]B__6342"/>
      <sheetName val="[Spt-BH.xls][Spt-BH_xls]B__6343"/>
      <sheetName val="[Spt-BH.xls][Spt-BH_xls]B__6344"/>
      <sheetName val="[Spt-BH.xls][Spt-BH_xls]B__6345"/>
      <sheetName val="[Spt-BH.xls][Spt-BH_xls]_S_2102"/>
      <sheetName val="[Spt-BH.xls][Spt-BH_xls]B__6346"/>
      <sheetName val="[Spt-BH.xls][Spt-BH_xls]B__6347"/>
      <sheetName val="[Spt-BH.xls][Spt-BH_xls]B__6348"/>
      <sheetName val="[Spt-BH.xls][Spt-BH_xls]_S_2103"/>
      <sheetName val="[Spt-BH.xls][Spt-BH_xls]B__6349"/>
      <sheetName val="[Spt-BH.xls][Spt-BH_xls]B__6350"/>
      <sheetName val="[Spt-BH.xls][Spt-BH_xls]B__6351"/>
      <sheetName val="[Spt-BH.xls][Spt-BH_xls]B__6352"/>
      <sheetName val="[Spt-BH.xls][Spt-BH_xls]_S_2104"/>
      <sheetName val="[Spt-BH.xls][Spt-BH_xls]B__6353"/>
      <sheetName val="[Spt-BH.xls][Spt-BH_xls]B__6354"/>
      <sheetName val="[Spt-BH.xls][Spt-BH_xls]_S_2105"/>
      <sheetName val="[Spt-BH.xls][Spt-BH_xls]B__6355"/>
      <sheetName val="[Spt-BH.xls][Spt-BH_xls]B__6356"/>
      <sheetName val="[Spt-BH.xls][Spt-BH_xls]_S_2106"/>
      <sheetName val="[Spt-BH.xls][Spt-BH.xls]B__6218"/>
      <sheetName val="[Spt-BH.xls][Spt-BH.xls]B__6219"/>
      <sheetName val="[Spt-BH.xls][Spt-BH.xls]B__6220"/>
      <sheetName val="[Spt-BH.xls][Spt-BH.xls]B__6221"/>
      <sheetName val="[Spt-BH.xls][Spt-BH.xls]B__6222"/>
      <sheetName val="[Spt-BH.xls][Spt-BH.xls]B__6223"/>
      <sheetName val="[Spt-BH.xls]B____x005f_x0004______508"/>
      <sheetName val="[Spt-BH.xls]B___x005f_x0000__x000_500"/>
      <sheetName val="[Spt-BH.xls][Spt-BH.xls]B__6224"/>
      <sheetName val="[Spt-BH.xls][Spt-BH_xls]B__6327"/>
      <sheetName val="[Spt-BH.xls][Spt-BH_xls]B__6328"/>
      <sheetName val="[Spt-BH.xls][Spt-BH_xls]B__6329"/>
      <sheetName val="[Spt-BH.xls][Spt-BH_xls]B__6330"/>
      <sheetName val="[Spt-BH.xls][Spt-BH_xls]_S_2097"/>
      <sheetName val="[Spt-BH.xls][Spt-BH_xls]B__6331"/>
      <sheetName val="[Spt-BH.xls][Spt-BH_xls]B__6332"/>
      <sheetName val="[Spt-BH.xls][Spt-BH_xls]B__6333"/>
      <sheetName val="[Spt-BH.xls][Spt-BH_xls]_S_2098"/>
      <sheetName val="[Spt-BH.xls][Spt-BH_xls]B__6334"/>
      <sheetName val="[Spt-BH.xls][Spt-BH_xls]B__6335"/>
      <sheetName val="[Spt-BH.xls][Spt-BH_xls]B__6336"/>
      <sheetName val="[Spt-BH.xls][Spt-BH_xls]B__6337"/>
      <sheetName val="[Spt-BH.xls][Spt-BH_xls]_S_2099"/>
      <sheetName val="[Spt-BH.xls][Spt-BH_xls]B__6338"/>
      <sheetName val="[Spt-BH.xls][Spt-BH_xls]B__6339"/>
      <sheetName val="[Spt-BH.xls][Spt-BH_xls]_S_2100"/>
      <sheetName val="[Spt-BH.xls][Spt-BH_xls]B__6340"/>
      <sheetName val="[Spt-BH.xls][Spt-BH_xls]B__6341"/>
      <sheetName val="[Spt-BH.xls][Spt-BH_xls]_S_2101"/>
      <sheetName val="[Spt-BH.xls][Spt-BH.xls]B__6252"/>
      <sheetName val="[Spt-BH.xls][Spt-BH.xls]B__6253"/>
      <sheetName val="[Spt-BH.xls][Spt-BH.xls]_S_2188"/>
      <sheetName val="[Spt-BH.xls][Spt-BH.xls]B__6254"/>
      <sheetName val="[Spt-BH.xls][Spt-BH.xls]B__6255"/>
      <sheetName val="[Spt-BH.xls]B____x005f_x0004______511"/>
      <sheetName val="[Spt-BH.xls]B___x005f_x0000__x000_503"/>
      <sheetName val="[Spt-BH.xls][Spt-BH.xls]B__6256"/>
      <sheetName val="[Spt-BH.xls][Spt-BH.xls]B__6257"/>
      <sheetName val="[Spt-BH.xls][Spt-BH.xls]B__6251"/>
      <sheetName val="[Spt-BH.xls][Spt-BH_xls]B__6372"/>
      <sheetName val="[Spt-BH.xls][Spt-BH_xls]B__6373"/>
      <sheetName val="[Spt-BH.xls][Spt-BH_xls]B__6374"/>
      <sheetName val="[Spt-BH.xls][Spt-BH_xls]B__6375"/>
      <sheetName val="[Spt-BH.xls][Spt-BH_xls]_S_2112"/>
      <sheetName val="[Spt-BH.xls][Spt-BH_xls]B__6376"/>
      <sheetName val="[Spt-BH.xls][Spt-BH_xls]B__6377"/>
      <sheetName val="[Spt-BH.xls][Spt-BH_xls]B__6378"/>
      <sheetName val="[Spt-BH.xls][Spt-BH_xls]_S_2113"/>
      <sheetName val="[Spt-BH.xls][Spt-BH_xls]B__6379"/>
      <sheetName val="[Spt-BH.xls][Spt-BH_xls]B__6380"/>
      <sheetName val="[Spt-BH.xls][Spt-BH_xls]B__6381"/>
      <sheetName val="[Spt-BH.xls][Spt-BH_xls]B__6382"/>
      <sheetName val="[Spt-BH.xls][Spt-BH_xls]_S_2114"/>
      <sheetName val="[Spt-BH.xls][Spt-BH_xls]B__6383"/>
      <sheetName val="[Spt-BH.xls][Spt-BH_xls]B__6384"/>
      <sheetName val="[Spt-BH.xls][Spt-BH_xls]_S_2115"/>
      <sheetName val="[Spt-BH.xls][Spt-BH_xls]B__6385"/>
      <sheetName val="[Spt-BH.xls][Spt-BH_xls]B__6386"/>
      <sheetName val="[Spt-BH.xls][Spt-BH_xls]_S_2116"/>
      <sheetName val="[Spt-BH.xls][Spt-BH.xls]_S_2189"/>
      <sheetName val="[Spt-BH.xls][Spt-BH.xls]B__6258"/>
      <sheetName val="[Spt-BH.xls][Spt-BH.xls]B__6259"/>
      <sheetName val="[Spt-BH.xls][Spt-BH.xls]_S_2197"/>
      <sheetName val="[Spt-BH.xls][Spt-BH.xls]B__6260"/>
      <sheetName val="[Spt-BH.xls][Spt-BH.xls]B__6261"/>
      <sheetName val="[Spt-BH.xls][Spt-BH.xls]B__6262"/>
      <sheetName val="[Spt-BH.xls][Spt-BH.xls]B__6263"/>
      <sheetName val="[Spt-BH.xls][Spt-BH.xls]_S_2190"/>
      <sheetName val="[Spt-BH.xls][Spt-BH.xls]B__6286"/>
      <sheetName val="[Spt-BH.xls][Spt-BH.xls]B__6287"/>
      <sheetName val="[Spt-BH.xls][Spt-BH.xls]_S_2199"/>
      <sheetName val="[Spt-BH.xls][Spt-BH.xls]B__6288"/>
      <sheetName val="[Spt-BH.xls][Spt-BH.xls]B__6289"/>
      <sheetName val="[Spt-BH.xls]B____x005f_x0004______512"/>
      <sheetName val="[Spt-BH.xls]B___x005f_x0000__x000_504"/>
      <sheetName val="[Spt-BH.xls][Spt-BH.xls]B__6290"/>
      <sheetName val="[Spt-BH.xls][Spt-BH.xls]B__6291"/>
      <sheetName val="[Spt-BH.xls][Spt-BH.xls]B__6264"/>
      <sheetName val="[Spt-BH.xls][Spt-BH.xls]_S_2198"/>
      <sheetName val="[Spt-BH.xls][Spt-BH_xls]B__6387"/>
      <sheetName val="[Spt-BH.xls][Spt-BH_xls]B__6388"/>
      <sheetName val="[Spt-BH.xls][Spt-BH_xls]B__6389"/>
      <sheetName val="[Spt-BH.xls][Spt-BH_xls]B__6390"/>
      <sheetName val="[Spt-BH.xls][Spt-BH_xls]_S_2117"/>
      <sheetName val="[Spt-BH.xls][Spt-BH_xls]B__6391"/>
      <sheetName val="[Spt-BH.xls][Spt-BH_xls]B__6392"/>
      <sheetName val="[Spt-BH.xls][Spt-BH_xls]B__6393"/>
      <sheetName val="[Spt-BH.xls][Spt-BH_xls]_S_2118"/>
      <sheetName val="[Spt-BH.xls][Spt-BH_xls]B__6394"/>
      <sheetName val="[Spt-BH.xls][Spt-BH_xls]B__6395"/>
      <sheetName val="[Spt-BH.xls][Spt-BH_xls]B__6396"/>
      <sheetName val="[Spt-BH.xls][Spt-BH_xls]B__6397"/>
      <sheetName val="[Spt-BH.xls][Spt-BH_xls]_S_2119"/>
      <sheetName val="[Spt-BH.xls][Spt-BH_xls]B__6398"/>
      <sheetName val="[Spt-BH.xls][Spt-BH_xls]B__6399"/>
      <sheetName val="[Spt-BH.xls][Spt-BH_xls]_S_2120"/>
      <sheetName val="[Spt-BH.xls][Spt-BH_xls]B__6400"/>
      <sheetName val="[Spt-BH.xls][Spt-BH_xls]B__6401"/>
      <sheetName val="[Spt-BH.xls][Spt-BH_xls]_S_2121"/>
      <sheetName val="[Spt-BH.xls][Spt-BH.xls]B__6293"/>
      <sheetName val="[Spt-BH.xls][Spt-BH.xls]B__6294"/>
      <sheetName val="[Spt-BH.xls][Spt-BH.xls]_S_2201"/>
      <sheetName val="[Spt-BH.xls][Spt-BH.xls]B__6295"/>
      <sheetName val="[Spt-BH.xls][Spt-BH.xls]B__6296"/>
      <sheetName val="[Spt-BH.xls]B____x005f_x0004______516"/>
      <sheetName val="[Spt-BH.xls]B___x005f_x0000__x000_508"/>
      <sheetName val="[Spt-BH.xls][Spt-BH.xls]B__6297"/>
      <sheetName val="[Spt-BH.xls][Spt-BH.xls]B__6298"/>
      <sheetName val="[Spt-BH.xls][Spt-BH.xls]B__6292"/>
      <sheetName val="[Spt-BH.xls][Spt-BH.xls]_S_2200"/>
      <sheetName val="[Spt-BH.xls][Spt-BH_xls]B__6447"/>
      <sheetName val="[Spt-BH.xls][Spt-BH_xls]B__6448"/>
      <sheetName val="[Spt-BH.xls][Spt-BH_xls]B__6449"/>
      <sheetName val="[Spt-BH.xls][Spt-BH_xls]B__6450"/>
      <sheetName val="[Spt-BH.xls][Spt-BH_xls]_S_2137"/>
      <sheetName val="[Spt-BH.xls][Spt-BH_xls]B__6451"/>
      <sheetName val="[Spt-BH.xls][Spt-BH_xls]B__6452"/>
      <sheetName val="[Spt-BH.xls][Spt-BH_xls]B__6453"/>
      <sheetName val="[Spt-BH.xls][Spt-BH_xls]_S_2138"/>
      <sheetName val="[Spt-BH.xls][Spt-BH_xls]B__6454"/>
      <sheetName val="[Spt-BH.xls][Spt-BH_xls]B__6455"/>
      <sheetName val="[Spt-BH.xls][Spt-BH_xls]B__6456"/>
      <sheetName val="[Spt-BH.xls][Spt-BH_xls]B__6457"/>
      <sheetName val="[Spt-BH.xls][Spt-BH_xls]_S_2139"/>
      <sheetName val="[Spt-BH.xls][Spt-BH_xls]B__6458"/>
      <sheetName val="[Spt-BH.xls][Spt-BH_xls]B__6459"/>
      <sheetName val="[Spt-BH.xls][Spt-BH_xls]_S_2140"/>
      <sheetName val="[Spt-BH.xls][Spt-BH_xls]B__6460"/>
      <sheetName val="[Spt-BH.xls][Spt-BH_xls]B__6461"/>
      <sheetName val="[Spt-BH.xls][Spt-BH_xls]_S_2141"/>
      <sheetName val="[Spt-BH.xls][Spt-BH.xls]_S_2191"/>
      <sheetName val="[Spt-BH.xls][Spt-BH.xls]B__6265"/>
      <sheetName val="[Spt-BH.xls][Spt-BH.xls]B__6266"/>
      <sheetName val="[Spt-BH.xls][Spt-BH.xls]B__6267"/>
      <sheetName val="[Spt-BH.xls][Spt-BH.xls]B__6268"/>
      <sheetName val="[Spt-BH.xls][Spt-BH.xls]B__6269"/>
      <sheetName val="[Spt-BH.xls][Spt-BH.xls]B__6270"/>
      <sheetName val="[Spt-BH.xls][Spt-BH.xls]_S_2192"/>
      <sheetName val="[Spt-BH.xls]B____x005f_x0004______513"/>
      <sheetName val="[Spt-BH.xls]B___x005f_x0000__x000_505"/>
      <sheetName val="[Spt-BH.xls][Spt-BH.xls]B__6271"/>
      <sheetName val="[Spt-BH.xls][Spt-BH_xls]B__6402"/>
      <sheetName val="[Spt-BH.xls][Spt-BH_xls]B__6403"/>
      <sheetName val="[Spt-BH.xls][Spt-BH_xls]B__6404"/>
      <sheetName val="[Spt-BH.xls][Spt-BH_xls]B__6405"/>
      <sheetName val="[Spt-BH.xls][Spt-BH_xls]_S_2122"/>
      <sheetName val="[Spt-BH.xls][Spt-BH_xls]B__6406"/>
      <sheetName val="[Spt-BH.xls][Spt-BH_xls]B__6407"/>
      <sheetName val="[Spt-BH.xls][Spt-BH_xls]B__6408"/>
      <sheetName val="[Spt-BH.xls][Spt-BH_xls]_S_2123"/>
      <sheetName val="[Spt-BH.xls][Spt-BH_xls]B__6409"/>
      <sheetName val="[Spt-BH.xls][Spt-BH_xls]B__6410"/>
      <sheetName val="[Spt-BH.xls][Spt-BH_xls]B__6411"/>
      <sheetName val="[Spt-BH.xls][Spt-BH_xls]B__6412"/>
      <sheetName val="[Spt-BH.xls][Spt-BH_xls]_S_2124"/>
      <sheetName val="[Spt-BH.xls][Spt-BH_xls]B__6413"/>
      <sheetName val="[Spt-BH.xls][Spt-BH_xls]B__6414"/>
      <sheetName val="[Spt-BH.xls][Spt-BH_xls]_S_2125"/>
      <sheetName val="[Spt-BH.xls][Spt-BH_xls]B__6415"/>
      <sheetName val="[Spt-BH.xls][Spt-BH_xls]B__6416"/>
      <sheetName val="[Spt-BH.xls][Spt-BH_xls]_S_2126"/>
      <sheetName val="[Spt-BH.xls][Spt-BH.xls]_S_2193"/>
      <sheetName val="[Spt-BH.xls][Spt-BH.xls]B__6272"/>
      <sheetName val="[Spt-BH.xls][Spt-BH.xls]B__6273"/>
      <sheetName val="[Spt-BH.xls][Spt-BH.xls]B__6274"/>
      <sheetName val="[Spt-BH.xls][Spt-BH.xls]B__6275"/>
      <sheetName val="[Spt-BH.xls][Spt-BH.xls]B__6276"/>
      <sheetName val="[Spt-BH.xls][Spt-BH.xls]B__6277"/>
      <sheetName val="[Spt-BH.xls][Spt-BH.xls]_S_2194"/>
      <sheetName val="[Spt-BH.xls]B____x005f_x0004______514"/>
      <sheetName val="[Spt-BH.xls]B___x005f_x0000__x000_506"/>
      <sheetName val="[Spt-BH.xls][Spt-BH.xls]B__6278"/>
      <sheetName val="[Spt-BH.xls][Spt-BH_xls]B__6417"/>
      <sheetName val="[Spt-BH.xls][Spt-BH_xls]B__6418"/>
      <sheetName val="[Spt-BH.xls][Spt-BH_xls]B__6419"/>
      <sheetName val="[Spt-BH.xls][Spt-BH_xls]B__6420"/>
      <sheetName val="[Spt-BH.xls][Spt-BH_xls]_S_2127"/>
      <sheetName val="[Spt-BH.xls][Spt-BH_xls]B__6421"/>
      <sheetName val="[Spt-BH.xls][Spt-BH_xls]B__6422"/>
      <sheetName val="[Spt-BH.xls][Spt-BH_xls]B__6423"/>
      <sheetName val="[Spt-BH.xls][Spt-BH_xls]_S_2128"/>
      <sheetName val="[Spt-BH.xls][Spt-BH_xls]B__6424"/>
      <sheetName val="[Spt-BH.xls][Spt-BH_xls]B__6425"/>
      <sheetName val="[Spt-BH.xls][Spt-BH_xls]B__6426"/>
      <sheetName val="[Spt-BH.xls][Spt-BH_xls]B__6427"/>
      <sheetName val="[Spt-BH.xls][Spt-BH_xls]_S_2129"/>
      <sheetName val="[Spt-BH.xls][Spt-BH_xls]B__6428"/>
      <sheetName val="[Spt-BH.xls][Spt-BH_xls]B__6429"/>
      <sheetName val="[Spt-BH.xls][Spt-BH_xls]_S_2130"/>
      <sheetName val="[Spt-BH.xls][Spt-BH_xls]B__6430"/>
      <sheetName val="[Spt-BH.xls][Spt-BH_xls]B__6431"/>
      <sheetName val="[Spt-BH.xls][Spt-BH_xls]_S_2131"/>
      <sheetName val="[Spt-BH.xls][Spt-BH.xls]_S_2195"/>
      <sheetName val="[Spt-BH.xls][Spt-BH.xls]B__6279"/>
      <sheetName val="[Spt-BH.xls][Spt-BH.xls]B__6280"/>
      <sheetName val="[Spt-BH.xls][Spt-BH.xls]B__6281"/>
      <sheetName val="[Spt-BH.xls][Spt-BH.xls]B__6282"/>
      <sheetName val="[Spt-BH.xls][Spt-BH.xls]B__6283"/>
      <sheetName val="[Spt-BH.xls][Spt-BH.xls]B__6284"/>
      <sheetName val="[Spt-BH.xls][Spt-BH.xls]_S_2196"/>
      <sheetName val="[Spt-BH.xls]B____x005f_x0004______515"/>
      <sheetName val="[Spt-BH.xls]B___x005f_x0000__x000_507"/>
      <sheetName val="[Spt-BH.xls][Spt-BH.xls]B__6285"/>
      <sheetName val="[Spt-BH.xls][Spt-BH_xls]B__6432"/>
      <sheetName val="[Spt-BH.xls][Spt-BH_xls]B__6433"/>
      <sheetName val="[Spt-BH.xls][Spt-BH_xls]B__6434"/>
      <sheetName val="[Spt-BH.xls][Spt-BH_xls]B__6435"/>
      <sheetName val="[Spt-BH.xls][Spt-BH_xls]_S_2132"/>
      <sheetName val="[Spt-BH.xls][Spt-BH_xls]B__6436"/>
      <sheetName val="[Spt-BH.xls][Spt-BH_xls]B__6437"/>
      <sheetName val="[Spt-BH.xls][Spt-BH_xls]B__6438"/>
      <sheetName val="[Spt-BH.xls][Spt-BH_xls]_S_2133"/>
      <sheetName val="[Spt-BH.xls][Spt-BH_xls]B__6439"/>
      <sheetName val="[Spt-BH.xls][Spt-BH_xls]B__6440"/>
      <sheetName val="[Spt-BH.xls][Spt-BH_xls]B__6441"/>
      <sheetName val="[Spt-BH.xls][Spt-BH_xls]B__6442"/>
      <sheetName val="[Spt-BH.xls][Spt-BH_xls]_S_2134"/>
      <sheetName val="[Spt-BH.xls][Spt-BH_xls]B__6443"/>
      <sheetName val="[Spt-BH.xls][Spt-BH_xls]B__6444"/>
      <sheetName val="[Spt-BH.xls][Spt-BH_xls]_S_2135"/>
      <sheetName val="[Spt-BH.xls][Spt-BH_xls]B__6445"/>
      <sheetName val="[Spt-BH.xls][Spt-BH_xls]B__6446"/>
      <sheetName val="[Spt-BH.xls][Spt-BH_xls]_S_2136"/>
      <sheetName val="[Spt-BH.xls][Spt-BH.xls]B__6299"/>
      <sheetName val="[Spt-BH.xls][Spt-BH.xls]B__6300"/>
      <sheetName val="[Spt-BH.xls][Spt-BH.xls]_S_2203"/>
      <sheetName val="[Spt-BH.xls][Spt-BH.xls]B__6301"/>
      <sheetName val="[Spt-BH.xls][Spt-BH.xls]B__6302"/>
      <sheetName val="[Spt-BH.xls][Spt-BH.xls]B__6303"/>
      <sheetName val="[Spt-BH.xls][Spt-BH.xls]B__6304"/>
      <sheetName val="[Spt-BH.xls][Spt-BH.xls]_S_2202"/>
      <sheetName val="[Spt-BH.xls][Spt-BH.xls]B__6306"/>
      <sheetName val="[Spt-BH.xls][Spt-BH.xls]B__6307"/>
      <sheetName val="[Spt-BH.xls][Spt-BH.xls]_S_2205"/>
      <sheetName val="[Spt-BH.xls][Spt-BH.xls]B__6308"/>
      <sheetName val="[Spt-BH.xls][Spt-BH.xls]B__6309"/>
      <sheetName val="[Spt-BH.xls]B____x005f_x0004______517"/>
      <sheetName val="[Spt-BH.xls]B___x005f_x0000__x000_509"/>
      <sheetName val="[Spt-BH.xls][Spt-BH.xls]B__6310"/>
      <sheetName val="[Spt-BH.xls][Spt-BH.xls]B__6311"/>
      <sheetName val="[Spt-BH.xls][Spt-BH.xls]B__6305"/>
      <sheetName val="[Spt-BH.xls][Spt-BH.xls]_S_2204"/>
      <sheetName val="[Spt-BH.xls][Spt-BH_xls]B__6462"/>
      <sheetName val="[Spt-BH.xls][Spt-BH_xls]B__6463"/>
      <sheetName val="[Spt-BH.xls][Spt-BH_xls]B__6464"/>
      <sheetName val="[Spt-BH.xls][Spt-BH_xls]B__6465"/>
      <sheetName val="[Spt-BH.xls][Spt-BH_xls]_S_2142"/>
      <sheetName val="[Spt-BH.xls][Spt-BH_xls]B__6466"/>
      <sheetName val="[Spt-BH.xls][Spt-BH_xls]B__6467"/>
      <sheetName val="[Spt-BH.xls][Spt-BH_xls]B__6468"/>
      <sheetName val="[Spt-BH.xls][Spt-BH_xls]_S_2143"/>
      <sheetName val="[Spt-BH.xls][Spt-BH_xls]B__6469"/>
      <sheetName val="[Spt-BH.xls][Spt-BH_xls]B__6470"/>
      <sheetName val="[Spt-BH.xls][Spt-BH_xls]B__6471"/>
      <sheetName val="[Spt-BH.xls][Spt-BH_xls]B__6472"/>
      <sheetName val="[Spt-BH.xls][Spt-BH_xls]_S_2144"/>
      <sheetName val="[Spt-BH.xls][Spt-BH_xls]B__6473"/>
      <sheetName val="[Spt-BH.xls][Spt-BH_xls]B__6474"/>
      <sheetName val="[Spt-BH.xls][Spt-BH_xls]_S_2145"/>
      <sheetName val="[Spt-BH.xls][Spt-BH_xls]B__6475"/>
      <sheetName val="[Spt-BH.xls][Spt-BH_xls]B__6476"/>
      <sheetName val="[Spt-BH.xls][Spt-BH_xls]_S_2146"/>
      <sheetName val="[Spt-BH.xls][Spt-BH.xls]_S_2206"/>
      <sheetName val="[Spt-BH.xls][Spt-BH.xls]B__6312"/>
      <sheetName val="[Spt-BH.xls][Spt-BH.xls]B__6313"/>
      <sheetName val="[Spt-BH.xls][Spt-BH.xls]_S_2208"/>
      <sheetName val="[Spt-BH.xls][Spt-BH.xls]B__6314"/>
      <sheetName val="[Spt-BH.xls][Spt-BH.xls]B__6315"/>
      <sheetName val="[Spt-BH.xls][Spt-BH.xls]B__6316"/>
      <sheetName val="[Spt-BH.xls][Spt-BH.xls]B__6317"/>
      <sheetName val="[Spt-BH.xls][Spt-BH.xls]_S_2207"/>
      <sheetName val="[Spt-BH.xls][Spt-BH.xls]_S_2209"/>
      <sheetName val="[Spt-BH.xls][Spt-BH.xls]B__6318"/>
      <sheetName val="[Spt-BH.xls][Spt-BH.xls]B__6319"/>
      <sheetName val="[Spt-BH.xls][Spt-BH.xls]_S_2211"/>
      <sheetName val="[Spt-BH.xls][Spt-BH.xls]B__6320"/>
      <sheetName val="[Spt-BH.xls][Spt-BH.xls]B__6321"/>
      <sheetName val="[Spt-BH.xls][Spt-BH.xls]B__6325"/>
      <sheetName val="[Spt-BH.xls][Spt-BH.xls]B__6326"/>
      <sheetName val="[Spt-BH.xls][Spt-BH.xls]_S_2221"/>
      <sheetName val="[Spt-BH.xls][Spt-BH.xls]B__6327"/>
      <sheetName val="[Spt-BH.xls][Spt-BH.xls]B__6328"/>
      <sheetName val="[Spt-BH.xls]B____x005f_x0004______518"/>
      <sheetName val="[Spt-BH.xls][Spt-BH.xls]B__6322"/>
      <sheetName val="[Spt-BH.xls][Spt-BH.xls]B__6323"/>
      <sheetName val="[Spt-BH.xls]B___x005f_x0000__x000_510"/>
      <sheetName val="[Spt-BH.xls][Spt-BH.xls]B__6329"/>
      <sheetName val="[Spt-BH.xls][Spt-BH.xls]B__6330"/>
      <sheetName val="[Spt-BH.xls][Spt-BH.xls]B__6324"/>
      <sheetName val="[Spt-BH.xls][Spt-BH.xls]_S_2212"/>
      <sheetName val="[Spt-BH.xls][Spt-BH_xls]B__6477"/>
      <sheetName val="[Spt-BH.xls][Spt-BH_xls]B__6478"/>
      <sheetName val="[Spt-BH.xls][Spt-BH_xls]B__6479"/>
      <sheetName val="[Spt-BH.xls][Spt-BH_xls]B__6480"/>
      <sheetName val="[Spt-BH.xls][Spt-BH_xls]_S_2147"/>
      <sheetName val="[Spt-BH.xls][Spt-BH_xls]B__6481"/>
      <sheetName val="[Spt-BH.xls][Spt-BH_xls]B__6482"/>
      <sheetName val="[Spt-BH.xls][Spt-BH_xls]B__6483"/>
      <sheetName val="[Spt-BH.xls][Spt-BH_xls]_S_2148"/>
      <sheetName val="[Spt-BH.xls][Spt-BH_xls]B__6484"/>
      <sheetName val="[Spt-BH.xls][Spt-BH_xls]B__6485"/>
      <sheetName val="[Spt-BH.xls][Spt-BH_xls]B__6486"/>
      <sheetName val="[Spt-BH.xls][Spt-BH_xls]B__6487"/>
      <sheetName val="[Spt-BH.xls][Spt-BH_xls]_S_2149"/>
      <sheetName val="[Spt-BH.xls][Spt-BH.xls]_S_2210"/>
      <sheetName val="[Spt-BH.xls][Spt-BH_xls]B__6488"/>
      <sheetName val="[Spt-BH.xls][Spt-BH_xls]B__6489"/>
      <sheetName val="[Spt-BH.xls][Spt-BH_xls]_S_2150"/>
      <sheetName val="[Spt-BH.xls][Spt-BH_xls]B__6490"/>
      <sheetName val="[Spt-BH.xls][Spt-BH_xls]B__6491"/>
      <sheetName val="[Spt-BH.xls][Spt-BH_xls]_S_2151"/>
      <sheetName val="[Spt-BH.xls][Spt-BH.xls]_S_2217"/>
      <sheetName val="[Spt-BH.xls][Spt-BH.xls]B__6343"/>
      <sheetName val="[Spt-BH.xls][Spt-BH.xls]B__6344"/>
      <sheetName val="[Spt-BH.xls][Spt-BH.xls]_S_2219"/>
      <sheetName val="[Spt-BH.xls][Spt-BH.xls]B__6345"/>
      <sheetName val="[Spt-BH.xls][Spt-BH.xls]B__6346"/>
      <sheetName val="[Spt-BH.xls][Spt-BH.xls]B__6347"/>
      <sheetName val="[Spt-BH.xls][Spt-BH.xls]B__6348"/>
      <sheetName val="[Spt-BH.xls][Spt-BH.xls]_S_2218"/>
      <sheetName val="[Spt-BH.xls][Spt-BH.xls]_S_2215"/>
      <sheetName val="[Spt-BH.xls][Spt-BH.xls]B__6337"/>
      <sheetName val="[Spt-BH.xls][Spt-BH.xls]B__6338"/>
      <sheetName val="[Spt-BH.xls][Spt-BH.xls]B__6339"/>
      <sheetName val="[Spt-BH.xls][Spt-BH.xls]B__6340"/>
      <sheetName val="[Spt-BH.xls][Spt-BH.xls]B__6341"/>
      <sheetName val="[Spt-BH.xls][Spt-BH.xls]B__6342"/>
      <sheetName val="[Spt-BH.xls][Spt-BH.xls]_S_2216"/>
      <sheetName val="[Spt-BH.xls][Spt-BH.xls]_S_2213"/>
      <sheetName val="[Spt-BH.xls][Spt-BH.xls]B__6331"/>
      <sheetName val="[Spt-BH.xls][Spt-BH.xls]B__6332"/>
      <sheetName val="[Spt-BH.xls][Spt-BH.xls]B__6333"/>
      <sheetName val="[Spt-BH.xls][Spt-BH.xls]B__6334"/>
      <sheetName val="[Spt-BH.xls][Spt-BH.xls]B__6335"/>
      <sheetName val="[Spt-BH.xls][Spt-BH.xls]B__6336"/>
      <sheetName val="[Spt-BH.xls][Spt-BH.xls]_S_2214"/>
      <sheetName val="[Spt-BH.xls][Spt-BH.xls]_S_2220"/>
      <sheetName val="[Spt-BH.xls][Spt-BH.xls]B__6349"/>
      <sheetName val="[Spt-BH.xls][Spt-BH.xls]B__6350"/>
      <sheetName val="[Spt-BH.xls][Spt-BH.xls]_S_2223"/>
      <sheetName val="[Spt-BH.xls][Spt-BH.xls]B__6351"/>
      <sheetName val="[Spt-BH.xls][Spt-BH.xls]B__6352"/>
      <sheetName val="[Spt-BH.xls][Spt-BH.xls]B__6353"/>
      <sheetName val="[Spt-BH.xls][Spt-BH.xls]B__6354"/>
      <sheetName val="[Spt-BH.xls][Spt-BH.xls]_S_2222"/>
      <sheetName val="[Spt-BH.xls][Spt-BH.xls]B__6356"/>
      <sheetName val="[Spt-BH.xls][Spt-BH.xls]B__6357"/>
      <sheetName val="[Spt-BH.xls][Spt-BH.xls]_S_2225"/>
      <sheetName val="[Spt-BH.xls][Spt-BH.xls]B__6358"/>
      <sheetName val="[Spt-BH.xls][Spt-BH.xls]B__6359"/>
      <sheetName val="[Spt-BH.xls]B____x005f_x0004______519"/>
      <sheetName val="[Spt-BH.xls]B___x005f_x0000__x000_511"/>
      <sheetName val="[Spt-BH.xls][Spt-BH.xls]B__6360"/>
      <sheetName val="[Spt-BH.xls][Spt-BH.xls]B__6361"/>
      <sheetName val="[Spt-BH.xls][Spt-BH.xls]B__6355"/>
      <sheetName val="[Spt-BH.xls][Spt-BH.xls]_S_2224"/>
      <sheetName val="[Spt-BH.xls][Spt-BH_xls]B__6492"/>
      <sheetName val="[Spt-BH.xls][Spt-BH_xls]B__6493"/>
      <sheetName val="[Spt-BH.xls][Spt-BH_xls]B__6494"/>
      <sheetName val="[Spt-BH.xls][Spt-BH_xls]B__6495"/>
      <sheetName val="[Spt-BH.xls][Spt-BH_xls]_S_2152"/>
      <sheetName val="[Spt-BH.xls][Spt-BH_xls]B__6496"/>
      <sheetName val="[Spt-BH.xls][Spt-BH_xls]B__6497"/>
      <sheetName val="[Spt-BH.xls][Spt-BH_xls]B__6498"/>
      <sheetName val="[Spt-BH.xls][Spt-BH_xls]_S_2153"/>
      <sheetName val="[Spt-BH.xls][Spt-BH_xls]B__6499"/>
      <sheetName val="[Spt-BH.xls][Spt-BH_xls]B__6500"/>
      <sheetName val="[Spt-BH.xls][Spt-BH_xls]B__6501"/>
      <sheetName val="[Spt-BH.xls][Spt-BH_xls]B__6502"/>
      <sheetName val="[Spt-BH.xls][Spt-BH_xls]_S_2154"/>
      <sheetName val="[Spt-BH.xls][Spt-BH_xls]B__6503"/>
      <sheetName val="[Spt-BH.xls][Spt-BH_xls]B__6504"/>
      <sheetName val="[Spt-BH.xls][Spt-BH_xls]_S_2155"/>
      <sheetName val="[Spt-BH.xls][Spt-BH_xls]B__6505"/>
      <sheetName val="[Spt-BH.xls][Spt-BH_xls]B__6506"/>
      <sheetName val="[Spt-BH.xls][Spt-BH_xls]_S_2156"/>
      <sheetName val="[Spt-BH.xls][Spt-BH.xls]_S_2226"/>
      <sheetName val="[Spt-BH.xls][Spt-BH.xls]B__6362"/>
      <sheetName val="[Spt-BH.xls][Spt-BH.xls]B__6363"/>
      <sheetName val="[Spt-BH.xls][Spt-BH.xls]_S_2229"/>
      <sheetName val="[Spt-BH.xls][Spt-BH.xls]B__6364"/>
      <sheetName val="[Spt-BH.xls][Spt-BH.xls]B__6365"/>
      <sheetName val="[Spt-BH.xls][Spt-BH.xls]B__6366"/>
      <sheetName val="[Spt-BH.xls][Spt-BH.xls]B__6367"/>
      <sheetName val="[Spt-BH.xls][Spt-BH.xls]_S_2227"/>
      <sheetName val="[Spt-BH.xls][Spt-BH.xls]_S_2228"/>
      <sheetName val="[Spt-BH.xls][Spt-BH.xls]B__6368"/>
      <sheetName val="[Spt-BH.xls][Spt-BH.xls]B__6369"/>
      <sheetName val="[Spt-BH.xls][Spt-BH.xls]B__6370"/>
      <sheetName val="[Spt-BH.xls][Spt-BH.xls]B__6377"/>
      <sheetName val="[Spt-BH.xls][Spt-BH.xls]B__6378"/>
      <sheetName val="[Spt-BH.xls][Spt-BH.xls]_S_2231"/>
      <sheetName val="[Spt-BH.xls][Spt-BH.xls]B__6379"/>
      <sheetName val="[Spt-BH.xls][Spt-BH.xls]B__6380"/>
      <sheetName val="[Spt-BH.xls]B____x005f_x0004______520"/>
      <sheetName val="[Spt-BH.xls][Spt-BH.xls]B__6371"/>
      <sheetName val="[Spt-BH.xls][Spt-BH.xls]B__6372"/>
      <sheetName val="[Spt-BH.xls][Spt-BH.xls]B__6373"/>
      <sheetName val="[Spt-BH.xls][Spt-BH.xls]B__6374"/>
      <sheetName val="[Spt-BH.xls]B___x005f_x0000__x000_512"/>
      <sheetName val="[Spt-BH.xls][Spt-BH.xls]B__6381"/>
      <sheetName val="[Spt-BH.xls][Spt-BH.xls]B__6382"/>
      <sheetName val="[Spt-BH.xls][Spt-BH.xls]B__6375"/>
      <sheetName val="[Spt-BH.xls][Spt-BH.xls]B__6376"/>
      <sheetName val="[Spt-BH.xls][Spt-BH.xls]_S_2230"/>
      <sheetName val="[Spt-BH.xls][Spt-BH_xls]B__6507"/>
      <sheetName val="[Spt-BH.xls][Spt-BH_xls]B__6508"/>
      <sheetName val="[Spt-BH.xls][Spt-BH_xls]B__6509"/>
      <sheetName val="[Spt-BH.xls][Spt-BH_xls]B__6510"/>
      <sheetName val="[Spt-BH.xls][Spt-BH_xls]_S_2157"/>
      <sheetName val="[Spt-BH.xls][Spt-BH_xls]B__6511"/>
      <sheetName val="[Spt-BH.xls][Spt-BH_xls]B__6512"/>
      <sheetName val="[Spt-BH.xls][Spt-BH_xls]B__6513"/>
      <sheetName val="[Spt-BH.xls][Spt-BH_xls]_S_2158"/>
      <sheetName val="[Spt-BH.xls][Spt-BH_xls]B__6514"/>
      <sheetName val="[Spt-BH.xls][Spt-BH_xls]B__6515"/>
      <sheetName val="[Spt-BH.xls][Spt-BH_xls]B__6516"/>
      <sheetName val="[Spt-BH.xls][Spt-BH_xls]B__6517"/>
      <sheetName val="[Spt-BH.xls][Spt-BH_xls]_S_2159"/>
      <sheetName val="[Spt-BH.xls][Spt-BH_xls]B__6518"/>
      <sheetName val="[Spt-BH.xls][Spt-BH_xls]B__6519"/>
      <sheetName val="[Spt-BH.xls][Spt-BH_xls]_S_2160"/>
      <sheetName val="[Spt-BH.xls][Spt-BH_xls]B__6520"/>
      <sheetName val="[Spt-BH.xls][Spt-BH_xls]B__6521"/>
      <sheetName val="[Spt-BH.xls][Spt-BH_xls]_S_2161"/>
      <sheetName val="[Spt-BH.xls][Spt-BH.xls]_S_2232"/>
      <sheetName val="[Spt-BH.xls][Spt-BH.xls]_S_2235"/>
      <sheetName val="[Spt-BH.xls][Spt-BH.xls]B__6390"/>
      <sheetName val="[Spt-BH.xls][Spt-BH.xls]B__6391"/>
      <sheetName val="[Spt-BH.xls][Spt-BH.xls]_S_2239"/>
      <sheetName val="[Spt-BH.xls][Spt-BH.xls]B__6392"/>
      <sheetName val="[Spt-BH.xls][Spt-BH.xls]B__6393"/>
      <sheetName val="[Spt-BH.xls][Spt-BH.xls]B__6394"/>
      <sheetName val="[Spt-BH.xls][Spt-BH.xls]B__6395"/>
      <sheetName val="[Spt-BH.xls][Spt-BH.xls]_S_2236"/>
      <sheetName val="[Spt-BH.xls][Spt-BH.xls]B__6403"/>
      <sheetName val="[Spt-BH.xls][Spt-BH.xls]B__6404"/>
      <sheetName val="[Spt-BH.xls][Spt-BH.xls]_S_2241"/>
      <sheetName val="[Spt-BH.xls][Spt-BH.xls]B__6405"/>
      <sheetName val="[Spt-BH.xls][Spt-BH.xls]B__6406"/>
      <sheetName val="[Spt-BH.xls]B____x005f_x0004______522"/>
      <sheetName val="[Spt-BH.xls]B___x005f_x0000__x000_514"/>
      <sheetName val="[Spt-BH.xls][Spt-BH.xls]B__6407"/>
      <sheetName val="[Spt-BH.xls][Spt-BH.xls]B__6408"/>
      <sheetName val="[Spt-BH.xls][Spt-BH.xls]B__6396"/>
      <sheetName val="[Spt-BH.xls][Spt-BH.xls]_S_2240"/>
      <sheetName val="[Spt-BH.xls][Spt-BH_xls]B__6537"/>
      <sheetName val="[Spt-BH.xls][Spt-BH_xls]B__6538"/>
      <sheetName val="[Spt-BH.xls][Spt-BH_xls]B__6539"/>
      <sheetName val="[Spt-BH.xls][Spt-BH_xls]B__6540"/>
      <sheetName val="[Spt-BH.xls][Spt-BH_xls]_S_2167"/>
      <sheetName val="[Spt-BH.xls][Spt-BH_xls]B__6541"/>
      <sheetName val="[Spt-BH.xls][Spt-BH_xls]B__6542"/>
      <sheetName val="[Spt-BH.xls][Spt-BH_xls]B__6543"/>
      <sheetName val="[Spt-BH.xls][Spt-BH_xls]_S_2168"/>
      <sheetName val="[Spt-BH.xls][Spt-BH_xls]B__6544"/>
      <sheetName val="[Spt-BH.xls][Spt-BH_xls]B__6545"/>
      <sheetName val="[Spt-BH.xls][Spt-BH_xls]B__6546"/>
      <sheetName val="[Spt-BH.xls][Spt-BH_xls]B__6547"/>
      <sheetName val="[Spt-BH.xls][Spt-BH_xls]_S_2169"/>
      <sheetName val="[Spt-BH.xls][Spt-BH_xls]B__6548"/>
      <sheetName val="[Spt-BH.xls][Spt-BH_xls]B__6549"/>
      <sheetName val="[Spt-BH.xls][Spt-BH_xls]_S_2170"/>
      <sheetName val="[Spt-BH.xls][Spt-BH_xls]B__6550"/>
      <sheetName val="[Spt-BH.xls][Spt-BH_xls]B__6551"/>
      <sheetName val="[Spt-BH.xls][Spt-BH_xls]_S_2171"/>
      <sheetName val="[Spt-BH.xls][Spt-BH.xls]_S_2233"/>
      <sheetName val="[Spt-BH.xls][Spt-BH.xls]B__6383"/>
      <sheetName val="[Spt-BH.xls][Spt-BH.xls]B__6384"/>
      <sheetName val="[Spt-BH.xls][Spt-BH.xls]B__6385"/>
      <sheetName val="[Spt-BH.xls][Spt-BH.xls]B__6386"/>
      <sheetName val="[Spt-BH.xls][Spt-BH.xls]B__6387"/>
      <sheetName val="[Spt-BH.xls][Spt-BH.xls]B__6388"/>
      <sheetName val="[Spt-BH.xls][Spt-BH.xls]_S_2234"/>
      <sheetName val="[Spt-BH.xls]B____x005f_x0004______521"/>
      <sheetName val="[Spt-BH.xls]B___x005f_x0000__x000_513"/>
      <sheetName val="[Spt-BH.xls][Spt-BH.xls]B__6389"/>
      <sheetName val="[Spt-BH.xls][Spt-BH_xls]B__6522"/>
      <sheetName val="[Spt-BH.xls][Spt-BH_xls]B__6523"/>
      <sheetName val="[Spt-BH.xls][Spt-BH_xls]B__6524"/>
      <sheetName val="[Spt-BH.xls][Spt-BH_xls]B__6525"/>
      <sheetName val="[Spt-BH.xls][Spt-BH_xls]_S_2162"/>
      <sheetName val="[Spt-BH.xls][Spt-BH_xls]B__6526"/>
      <sheetName val="[Spt-BH.xls][Spt-BH_xls]B__6527"/>
      <sheetName val="[Spt-BH.xls][Spt-BH_xls]B__6528"/>
      <sheetName val="[Spt-BH.xls][Spt-BH_xls]_S_2163"/>
      <sheetName val="[Spt-BH.xls][Spt-BH_xls]B__6529"/>
      <sheetName val="[Spt-BH.xls][Spt-BH_xls]B__6530"/>
      <sheetName val="[Spt-BH.xls][Spt-BH_xls]B__6531"/>
      <sheetName val="[Spt-BH.xls][Spt-BH_xls]B__6532"/>
      <sheetName val="[Spt-BH.xls][Spt-BH_xls]_S_2164"/>
      <sheetName val="[Spt-BH.xls][Spt-BH_xls]B__6533"/>
      <sheetName val="[Spt-BH.xls][Spt-BH_xls]B__6534"/>
      <sheetName val="[Spt-BH.xls][Spt-BH_xls]_S_2165"/>
      <sheetName val="[Spt-BH.xls][Spt-BH_xls]B__6535"/>
      <sheetName val="[Spt-BH.xls][Spt-BH_xls]B__6536"/>
      <sheetName val="[Spt-BH.xls][Spt-BH_xls]_S_2166"/>
      <sheetName val="[Spt-BH.xls][Spt-BH.xls]_S_2237"/>
      <sheetName val="[Spt-BH.xls][Spt-BH.xls]B__6397"/>
      <sheetName val="[Spt-BH.xls][Spt-BH.xls]B__6398"/>
      <sheetName val="[Spt-BH.xls][Spt-BH.xls]B__6399"/>
      <sheetName val="[Spt-BH.xls][Spt-BH.xls]B__6400"/>
      <sheetName val="[Spt-BH.xls][Spt-BH.xls]B__6401"/>
      <sheetName val="[Spt-BH.xls][Spt-BH.xls]B__6402"/>
      <sheetName val="[Spt-BH.xls][Spt-BH.xls]_S_2238"/>
      <sheetName val="[Spt-BH.xls][Spt-BH.xls]_S_2242"/>
      <sheetName val="[Spt-BH.xls][Spt-BH.xls]_S_2245"/>
      <sheetName val="[Spt-BH.xls][Spt-BH.xls]_S_2243"/>
      <sheetName val="[Spt-BH.xls][Spt-BH.xls]_S_2244"/>
      <sheetName val="[Spt-BH.xls][Spt-BH.xls]_S_2246"/>
      <sheetName val="[Spt-BH.xls][Spt-BH.xls]B__6409"/>
      <sheetName val="[Spt-BH.xls][Spt-BH.xls]B__6410"/>
      <sheetName val="[Spt-BH.xls][Spt-BH.xls]B__6411"/>
      <sheetName val="[Spt-BH.xls][Spt-BH.xls]B__6412"/>
      <sheetName val="[Spt-BH.xls][Spt-BH.xls]B__6413"/>
      <sheetName val="[Spt-BH.xls][Spt-BH.xls]B__6414"/>
      <sheetName val="[Spt-BH.xls][Spt-BH.xls]_S_2248"/>
      <sheetName val="[Spt-BH.xls][Spt-BH.xls]_S_2247"/>
      <sheetName val="[Spt-BH.xls][Spt-BH.xls]B__6416"/>
      <sheetName val="[Spt-BH.xls][Spt-BH.xls]B__6417"/>
      <sheetName val="[Spt-BH.xls][Spt-BH.xls]_S_2250"/>
      <sheetName val="[Spt-BH.xls][Spt-BH.xls]B__6418"/>
      <sheetName val="[Spt-BH.xls][Spt-BH.xls]B__6419"/>
      <sheetName val="[Spt-BH.xls]B____x005f_x0004______523"/>
      <sheetName val="[Spt-BH.xls]B___x005f_x0000__x000_515"/>
      <sheetName val="[Spt-BH.xls][Spt-BH.xls]B__6420"/>
      <sheetName val="[Spt-BH.xls][Spt-BH.xls]B__6421"/>
      <sheetName val="[Spt-BH.xls][Spt-BH.xls]B__6415"/>
      <sheetName val="[Spt-BH.xls][Spt-BH.xls]_S_2249"/>
      <sheetName val="[Spt-BH.xls][Spt-BH_xls]B__6552"/>
      <sheetName val="[Spt-BH.xls][Spt-BH_xls]B__6553"/>
      <sheetName val="[Spt-BH.xls][Spt-BH_xls]B__6554"/>
      <sheetName val="[Spt-BH.xls][Spt-BH_xls]B__6555"/>
      <sheetName val="[Spt-BH.xls][Spt-BH_xls]_S_2172"/>
      <sheetName val="[Spt-BH.xls][Spt-BH_xls]B__6556"/>
      <sheetName val="[Spt-BH.xls][Spt-BH_xls]B__6557"/>
      <sheetName val="[Spt-BH.xls][Spt-BH_xls]B__6558"/>
      <sheetName val="[Spt-BH.xls][Spt-BH_xls]_S_2173"/>
      <sheetName val="[Spt-BH.xls][Spt-BH_xls]B__6559"/>
      <sheetName val="[Spt-BH.xls][Spt-BH_xls]B__6560"/>
      <sheetName val="[Spt-BH.xls][Spt-BH_xls]B__6561"/>
      <sheetName val="[Spt-BH.xls][Spt-BH_xls]B__6562"/>
      <sheetName val="[Spt-BH.xls][Spt-BH_xls]_S_2174"/>
      <sheetName val="[Spt-BH.xls][Spt-BH_xls]B__6563"/>
      <sheetName val="[Spt-BH.xls][Spt-BH_xls]B__6564"/>
      <sheetName val="[Spt-BH.xls][Spt-BH_xls]_S_2175"/>
      <sheetName val="[Spt-BH.xls][Spt-BH_xls]B__6565"/>
      <sheetName val="[Spt-BH.xls][Spt-BH_xls]B__6566"/>
      <sheetName val="[Spt-BH.xls][Spt-BH_xls]_S_2176"/>
      <sheetName val="[Spt-BH.xls][Spt-BH.xls]_S_2251"/>
      <sheetName val="[Spt-BH.xls][Spt-BH.xls]B__6422"/>
      <sheetName val="[Spt-BH.xls][Spt-BH.xls]B__6423"/>
      <sheetName val="[Spt-BH.xls][Spt-BH.xls]_S_2254"/>
      <sheetName val="[Spt-BH.xls][Spt-BH.xls]B__6424"/>
      <sheetName val="[Spt-BH.xls][Spt-BH.xls]B__6425"/>
      <sheetName val="[Spt-BH.xls][Spt-BH.xls]_S_2252"/>
      <sheetName val="[Spt-BH.xls][Spt-BH.xls]B__6426"/>
      <sheetName val="[Spt-BH.xls][Spt-BH.xls]B__6427"/>
      <sheetName val="[Spt-BH.xls][Spt-BH.xls]_S_2253"/>
      <sheetName val="[Spt-BH.xls][Spt-BH.xls]_S_2255"/>
      <sheetName val="[Spt-BH.xls][Spt-BH.xls]_S_2256"/>
      <sheetName val="[Spt-BH.xls][Spt-BH.xls]B__6428"/>
      <sheetName val="[Spt-BH.xls][Spt-BH.xls]B__6429"/>
      <sheetName val="[Spt-BH.xls][Spt-BH.xls]_S_2258"/>
      <sheetName val="[Spt-BH.xls][Spt-BH.xls]B__6430"/>
      <sheetName val="[Spt-BH.xls][Spt-BH.xls]B__6431"/>
      <sheetName val="[Spt-BH.xls][Spt-BH.xls]B__6435"/>
      <sheetName val="[Spt-BH.xls][Spt-BH.xls]B__6436"/>
      <sheetName val="[Spt-BH.xls][Spt-BH.xls]_S_2260"/>
      <sheetName val="[Spt-BH.xls][Spt-BH.xls]B__6437"/>
      <sheetName val="[Spt-BH.xls][Spt-BH.xls]B__6438"/>
      <sheetName val="[Spt-BH.xls]B____x005f_x0004______524"/>
      <sheetName val="[Spt-BH.xls][Spt-BH.xls]B__6432"/>
      <sheetName val="[Spt-BH.xls][Spt-BH.xls]B__6433"/>
      <sheetName val="[Spt-BH.xls]B___x005f_x0000__x000_516"/>
      <sheetName val="[Spt-BH.xls][Spt-BH.xls]B__6439"/>
      <sheetName val="[Spt-BH.xls][Spt-BH.xls]B__6440"/>
      <sheetName val="[Spt-BH.xls][Spt-BH.xls]B__6434"/>
      <sheetName val="[Spt-BH.xls][Spt-BH.xls]_S_2259"/>
      <sheetName val="[Spt-BH.xls][Spt-BH_xls]B__6567"/>
      <sheetName val="[Spt-BH.xls][Spt-BH_xls]B__6568"/>
      <sheetName val="[Spt-BH.xls][Spt-BH_xls]B__6569"/>
      <sheetName val="[Spt-BH.xls][Spt-BH_xls]B__6570"/>
      <sheetName val="[Spt-BH.xls][Spt-BH_xls]_S_2177"/>
      <sheetName val="[Spt-BH.xls][Spt-BH_xls]B__6571"/>
      <sheetName val="[Spt-BH.xls][Spt-BH_xls]B__6572"/>
      <sheetName val="[Spt-BH.xls][Spt-BH_xls]B__6573"/>
      <sheetName val="[Spt-BH.xls][Spt-BH_xls]_S_2178"/>
      <sheetName val="[Spt-BH.xls][Spt-BH_xls]B__6574"/>
      <sheetName val="[Spt-BH.xls][Spt-BH_xls]B__6575"/>
      <sheetName val="[Spt-BH.xls][Spt-BH_xls]B__6576"/>
      <sheetName val="[Spt-BH.xls][Spt-BH_xls]B__6577"/>
      <sheetName val="[Spt-BH.xls][Spt-BH_xls]_S_2179"/>
      <sheetName val="[Spt-BH.xls][Spt-BH.xls]_S_2257"/>
      <sheetName val="[Spt-BH.xls][Spt-BH_xls]B__6578"/>
      <sheetName val="[Spt-BH.xls][Spt-BH_xls]B__6579"/>
      <sheetName val="[Spt-BH.xls][Spt-BH_xls]_S_2180"/>
      <sheetName val="[Spt-BH.xls][Spt-BH_xls]B__6580"/>
      <sheetName val="[Spt-BH.xls][Spt-BH_xls]B__6581"/>
      <sheetName val="[Spt-BH.xls][Spt-BH_xls]_S_2181"/>
      <sheetName val="[Spt-BH.xls][Spt-BH.xls]B__6441"/>
      <sheetName val="[Spt-BH.xls][Spt-BH.xls]B__6442"/>
      <sheetName val="[Spt-BH.xls][Spt-BH.xls]_S_2262"/>
      <sheetName val="[Spt-BH.xls][Spt-BH.xls]B__6443"/>
      <sheetName val="[Spt-BH.xls][Spt-BH.xls]B__6444"/>
      <sheetName val="[Spt-BH.xls][Spt-BH.xls]B__6445"/>
      <sheetName val="[Spt-BH.xls][Spt-BH.xls]B__6446"/>
      <sheetName val="[Spt-BH.xls][Spt-BH.xls]_S_2261"/>
      <sheetName val="[Spt-BH.xls][Spt-BH.xls]_S_2263"/>
      <sheetName val="[Spt-BH.xls][Spt-BH.xls]B__6447"/>
      <sheetName val="[Spt-BH.xls][Spt-BH.xls]B__6448"/>
      <sheetName val="[Spt-BH.xls][Spt-BH.xls]_S_2265"/>
      <sheetName val="[Spt-BH.xls][Spt-BH.xls]B__6449"/>
      <sheetName val="[Spt-BH.xls][Spt-BH.xls]B__6450"/>
      <sheetName val="[Spt-BH.xls][Spt-BH.xls]B__6454"/>
      <sheetName val="[Spt-BH.xls][Spt-BH.xls]B__6455"/>
      <sheetName val="[Spt-BH.xls][Spt-BH.xls]_S_2268"/>
      <sheetName val="[Spt-BH.xls][Spt-BH.xls]B__6456"/>
      <sheetName val="[Spt-BH.xls][Spt-BH.xls]B__6457"/>
      <sheetName val="[Spt-BH.xls]B____x005f_x0004______525"/>
      <sheetName val="[Spt-BH.xls][Spt-BH.xls]B__6451"/>
      <sheetName val="[Spt-BH.xls][Spt-BH.xls]B__6452"/>
      <sheetName val="[Spt-BH.xls]B___x005f_x0000__x000_517"/>
      <sheetName val="[Spt-BH.xls][Spt-BH.xls]B__6458"/>
      <sheetName val="[Spt-BH.xls][Spt-BH.xls]B__6459"/>
      <sheetName val="[Spt-BH.xls][Spt-BH.xls]B__6453"/>
      <sheetName val="[Spt-BH.xls][Spt-BH.xls]_S_2266"/>
      <sheetName val="[Spt-BH.xls][Spt-BH_xls]B__6582"/>
      <sheetName val="[Spt-BH.xls][Spt-BH_xls]B__6583"/>
      <sheetName val="[Spt-BH.xls][Spt-BH_xls]B__6584"/>
      <sheetName val="[Spt-BH.xls][Spt-BH_xls]B__6585"/>
      <sheetName val="[Spt-BH.xls][Spt-BH_xls]_S_2182"/>
      <sheetName val="[Spt-BH.xls][Spt-BH_xls]B__6586"/>
      <sheetName val="[Spt-BH.xls][Spt-BH_xls]B__6587"/>
      <sheetName val="[Spt-BH.xls][Spt-BH_xls]B__6588"/>
      <sheetName val="[Spt-BH.xls][Spt-BH_xls]_S_2183"/>
      <sheetName val="[Spt-BH.xls][Spt-BH_xls]B__6589"/>
      <sheetName val="[Spt-BH.xls][Spt-BH_xls]B__6590"/>
      <sheetName val="[Spt-BH.xls][Spt-BH_xls]B__6591"/>
      <sheetName val="[Spt-BH.xls][Spt-BH_xls]B__6592"/>
      <sheetName val="[Spt-BH.xls][Spt-BH_xls]_S_2184"/>
      <sheetName val="[Spt-BH.xls][Spt-BH.xls]_S_2264"/>
      <sheetName val="[Spt-BH.xls][Spt-BH_xls]B__6593"/>
      <sheetName val="[Spt-BH.xls][Spt-BH_xls]B__6594"/>
      <sheetName val="[Spt-BH.xls][Spt-BH_xls]_S_2185"/>
      <sheetName val="[Spt-BH.xls][Spt-BH_xls]B__6595"/>
      <sheetName val="[Spt-BH.xls][Spt-BH_xls]B__6596"/>
      <sheetName val="[Spt-BH.xls][Spt-BH_xls]_S_2186"/>
      <sheetName val="[Spt-BH.xls][Spt-BH.xls]_S_2267"/>
      <sheetName val="[Spt-BH.xls][Spt-BH.xls]B__6460"/>
      <sheetName val="[Spt-BH.xls][Spt-BH.xls]B__6461"/>
      <sheetName val="[Spt-BH.xls][Spt-BH.xls]_S_2270"/>
      <sheetName val="[Spt-BH.xls][Spt-BH.xls]B__6462"/>
      <sheetName val="[Spt-BH.xls][Spt-BH.xls]B__6463"/>
      <sheetName val="[Spt-BH.xls][Spt-BH.xls]B__6464"/>
      <sheetName val="[Spt-BH.xls][Spt-BH.xls]B__6465"/>
      <sheetName val="[Spt-BH.xls][Spt-BH.xls]_S_2269"/>
      <sheetName val="[Spt-BH.xls][Spt-BH.xls]B__6467"/>
      <sheetName val="[Spt-BH.xls][Spt-BH.xls]B__6468"/>
      <sheetName val="[Spt-BH.xls][Spt-BH.xls]_S_2274"/>
      <sheetName val="[Spt-BH.xls][Spt-BH.xls]B__6469"/>
      <sheetName val="[Spt-BH.xls][Spt-BH.xls]B__6470"/>
      <sheetName val="[Spt-BH.xls]B____x005f_x0004______526"/>
      <sheetName val="[Spt-BH.xls]B___x005f_x0000__x000_518"/>
      <sheetName val="[Spt-BH.xls][Spt-BH.xls]B__6471"/>
      <sheetName val="[Spt-BH.xls][Spt-BH.xls]B__6472"/>
      <sheetName val="[Spt-BH.xls][Spt-BH.xls]B__6466"/>
      <sheetName val="[Spt-BH.xls][Spt-BH.xls]_S_2271"/>
      <sheetName val="[Spt-BH.xls][Spt-BH_xls]B__6597"/>
      <sheetName val="[Spt-BH.xls][Spt-BH_xls]B__6598"/>
      <sheetName val="[Spt-BH.xls][Spt-BH_xls]B__6599"/>
      <sheetName val="[Spt-BH.xls][Spt-BH_xls]B__6600"/>
      <sheetName val="[Spt-BH.xls][Spt-BH_xls]_S_2187"/>
      <sheetName val="[Spt-BH.xls][Spt-BH_xls]B__6601"/>
      <sheetName val="[Spt-BH.xls][Spt-BH_xls]B__6602"/>
      <sheetName val="[Spt-BH.xls][Spt-BH_xls]B__6603"/>
      <sheetName val="[Spt-BH.xls][Spt-BH_xls]_S_2188"/>
      <sheetName val="[Spt-BH.xls][Spt-BH_xls]B__6604"/>
      <sheetName val="[Spt-BH.xls][Spt-BH_xls]B__6605"/>
      <sheetName val="[Spt-BH.xls][Spt-BH_xls]B__6606"/>
      <sheetName val="[Spt-BH.xls][Spt-BH_xls]B__6607"/>
      <sheetName val="[Spt-BH.xls][Spt-BH_xls]_S_2189"/>
      <sheetName val="[Spt-BH.xls][Spt-BH_xls]B__6608"/>
      <sheetName val="[Spt-BH.xls][Spt-BH_xls]B__6609"/>
      <sheetName val="[Spt-BH.xls][Spt-BH_xls]_S_2190"/>
      <sheetName val="[Spt-BH.xls][Spt-BH_xls]B__6610"/>
      <sheetName val="[Spt-BH.xls][Spt-BH_xls]B__6611"/>
      <sheetName val="[Spt-BH.xls][Spt-BH_xls]_S_2191"/>
      <sheetName val="[Spt-BH.xls][Spt-BH.xls]B__6481"/>
      <sheetName val="[Spt-BH.xls][Spt-BH.xls]B__6482"/>
      <sheetName val="[Spt-BH.xls][Spt-BH.xls]_S_2276"/>
      <sheetName val="[Spt-BH.xls][Spt-BH.xls]B__6483"/>
      <sheetName val="[Spt-BH.xls][Spt-BH.xls]B__6484"/>
      <sheetName val="[Spt-BH.xls]B____x005f_x0004______527"/>
      <sheetName val="[Spt-BH.xls]B___x005f_x0000__x000_519"/>
      <sheetName val="[Spt-BH.xls][Spt-BH.xls]B__6485"/>
      <sheetName val="[Spt-BH.xls][Spt-BH.xls]B__6486"/>
      <sheetName val="[Spt-BH.xls][Spt-BH.xls]B__6473"/>
      <sheetName val="[Spt-BH.xls][Spt-BH.xls]_S_2275"/>
      <sheetName val="[Spt-BH.xls][Spt-BH_xls]B__6612"/>
      <sheetName val="[Spt-BH.xls][Spt-BH_xls]B__6613"/>
      <sheetName val="[Spt-BH.xls][Spt-BH_xls]B__6614"/>
      <sheetName val="[Spt-BH.xls][Spt-BH_xls]B__6615"/>
      <sheetName val="[Spt-BH.xls][Spt-BH_xls]_S_2192"/>
      <sheetName val="[Spt-BH.xls][Spt-BH_xls]B__6616"/>
      <sheetName val="[Spt-BH.xls][Spt-BH_xls]B__6617"/>
      <sheetName val="[Spt-BH.xls][Spt-BH_xls]B__6618"/>
      <sheetName val="[Spt-BH.xls][Spt-BH_xls]_S_2193"/>
      <sheetName val="[Spt-BH.xls][Spt-BH_xls]B__6619"/>
      <sheetName val="[Spt-BH.xls][Spt-BH_xls]B__6620"/>
      <sheetName val="[Spt-BH.xls][Spt-BH_xls]B__6621"/>
      <sheetName val="[Spt-BH.xls][Spt-BH_xls]B__6622"/>
      <sheetName val="[Spt-BH.xls][Spt-BH_xls]_S_2194"/>
      <sheetName val="[Spt-BH.xls][Spt-BH_xls]B__6623"/>
      <sheetName val="[Spt-BH.xls][Spt-BH_xls]B__6624"/>
      <sheetName val="[Spt-BH.xls][Spt-BH_xls]_S_2195"/>
      <sheetName val="[Spt-BH.xls][Spt-BH_xls]B__6625"/>
      <sheetName val="[Spt-BH.xls][Spt-BH_xls]B__6626"/>
      <sheetName val="[Spt-BH.xls][Spt-BH_xls]_S_2196"/>
      <sheetName val="[Spt-BH.xls][Spt-BH.xls]B__6488"/>
      <sheetName val="[Spt-BH.xls][Spt-BH.xls]B__6489"/>
      <sheetName val="[Spt-BH.xls][Spt-BH.xls]_S_2278"/>
      <sheetName val="[Spt-BH.xls][Spt-BH.xls]B__6490"/>
      <sheetName val="[Spt-BH.xls][Spt-BH.xls]B__6491"/>
      <sheetName val="[Spt-BH.xls]B____x005f_x0004______529"/>
      <sheetName val="[Spt-BH.xls]B___x005f_x0000__x000_521"/>
      <sheetName val="[Spt-BH.xls][Spt-BH.xls]B__6492"/>
      <sheetName val="[Spt-BH.xls][Spt-BH.xls]B__6493"/>
      <sheetName val="[Spt-BH.xls][Spt-BH.xls]B__6487"/>
      <sheetName val="[Spt-BH.xls][Spt-BH.xls]_S_2277"/>
      <sheetName val="[Spt-BH.xls][Spt-BH_xls]B__6642"/>
      <sheetName val="[Spt-BH.xls][Spt-BH_xls]B__6643"/>
      <sheetName val="[Spt-BH.xls][Spt-BH_xls]B__6644"/>
      <sheetName val="[Spt-BH.xls][Spt-BH_xls]B__6645"/>
      <sheetName val="[Spt-BH.xls][Spt-BH_xls]_S_2202"/>
      <sheetName val="[Spt-BH.xls][Spt-BH_xls]B__6646"/>
      <sheetName val="[Spt-BH.xls][Spt-BH_xls]B__6647"/>
      <sheetName val="[Spt-BH.xls][Spt-BH_xls]B__6648"/>
      <sheetName val="[Spt-BH.xls][Spt-BH_xls]_S_2203"/>
      <sheetName val="[Spt-BH.xls][Spt-BH_xls]B__6649"/>
      <sheetName val="[Spt-BH.xls][Spt-BH_xls]B__6650"/>
      <sheetName val="[Spt-BH.xls][Spt-BH_xls]B__6651"/>
      <sheetName val="[Spt-BH.xls][Spt-BH_xls]B__6652"/>
      <sheetName val="[Spt-BH.xls][Spt-BH_xls]_S_2204"/>
      <sheetName val="[Spt-BH.xls][Spt-BH_xls]B__6653"/>
      <sheetName val="[Spt-BH.xls][Spt-BH_xls]B__6654"/>
      <sheetName val="[Spt-BH.xls][Spt-BH_xls]_S_2205"/>
      <sheetName val="[Spt-BH.xls][Spt-BH_xls]B__6655"/>
      <sheetName val="[Spt-BH.xls][Spt-BH_xls]B__6656"/>
      <sheetName val="[Spt-BH.xls][Spt-BH_xls]_S_2206"/>
      <sheetName val="[Spt-BH.xls][Spt-BH.xls]_S_2272"/>
      <sheetName val="[Spt-BH.xls][Spt-BH.xls]B__6474"/>
      <sheetName val="[Spt-BH.xls][Spt-BH.xls]B__6475"/>
      <sheetName val="[Spt-BH.xls][Spt-BH.xls]B__6476"/>
      <sheetName val="[Spt-BH.xls][Spt-BH.xls]B__6477"/>
      <sheetName val="[Spt-BH.xls][Spt-BH.xls]B__6478"/>
      <sheetName val="[Spt-BH.xls][Spt-BH.xls]B__6479"/>
      <sheetName val="[Spt-BH.xls][Spt-BH.xls]_S_2273"/>
      <sheetName val="[Spt-BH.xls]B____x005f_x0004______528"/>
      <sheetName val="[Spt-BH.xls]B___x005f_x0000__x000_520"/>
      <sheetName val="[Spt-BH.xls][Spt-BH.xls]B__6480"/>
      <sheetName val="[Spt-BH.xls][Spt-BH_xls]B__6627"/>
      <sheetName val="[Spt-BH.xls][Spt-BH_xls]B__6628"/>
      <sheetName val="[Spt-BH.xls][Spt-BH_xls]B__6629"/>
      <sheetName val="[Spt-BH.xls][Spt-BH_xls]B__6630"/>
      <sheetName val="[Spt-BH.xls][Spt-BH_xls]_S_2197"/>
      <sheetName val="[Spt-BH.xls][Spt-BH_xls]B__6631"/>
      <sheetName val="[Spt-BH.xls][Spt-BH_xls]B__6632"/>
      <sheetName val="[Spt-BH.xls][Spt-BH_xls]B__6633"/>
      <sheetName val="[Spt-BH.xls][Spt-BH_xls]_S_2198"/>
      <sheetName val="[Spt-BH.xls][Spt-BH_xls]B__6634"/>
      <sheetName val="[Spt-BH.xls][Spt-BH_xls]B__6635"/>
      <sheetName val="[Spt-BH.xls][Spt-BH_xls]B__6636"/>
      <sheetName val="[Spt-BH.xls][Spt-BH_xls]B__6637"/>
      <sheetName val="[Spt-BH.xls][Spt-BH_xls]_S_2199"/>
      <sheetName val="[Spt-BH.xls][Spt-BH_xls]B__6638"/>
      <sheetName val="[Spt-BH.xls][Spt-BH_xls]B__6639"/>
      <sheetName val="[Spt-BH.xls][Spt-BH_xls]_S_2200"/>
      <sheetName val="[Spt-BH.xls][Spt-BH_xls]B__6640"/>
      <sheetName val="[Spt-BH.xls][Spt-BH_xls]B__6641"/>
      <sheetName val="[Spt-BH.xls][Spt-BH_xls]_S_2201"/>
      <sheetName val="[Spt-BH.xls][Spt-BH.xls]_S_2279"/>
      <sheetName val="[Spt-BH.xls][Spt-BH.xls]B__6494"/>
      <sheetName val="[Spt-BH.xls][Spt-BH.xls]B__6495"/>
      <sheetName val="[Spt-BH.xls][Spt-BH.xls]_S_2281"/>
      <sheetName val="[Spt-BH.xls][Spt-BH.xls]B__6496"/>
      <sheetName val="[Spt-BH.xls][Spt-BH.xls]B__6497"/>
      <sheetName val="[Spt-BH.xls][Spt-BH.xls]B__6501"/>
      <sheetName val="[Spt-BH.xls][Spt-BH.xls]B__6502"/>
      <sheetName val="[Spt-BH.xls][Spt-BH.xls]_S_2283"/>
      <sheetName val="[Spt-BH.xls][Spt-BH.xls]B__6503"/>
      <sheetName val="[Spt-BH.xls][Spt-BH.xls]B__6504"/>
      <sheetName val="[Spt-BH.xls]B____x005f_x0004______530"/>
      <sheetName val="[Spt-BH.xls][Spt-BH.xls]B__6498"/>
      <sheetName val="[Spt-BH.xls][Spt-BH.xls]B__6499"/>
      <sheetName val="[Spt-BH.xls]B___x005f_x0000__x000_522"/>
      <sheetName val="[Spt-BH.xls][Spt-BH.xls]B__6505"/>
      <sheetName val="[Spt-BH.xls][Spt-BH.xls]B__6506"/>
      <sheetName val="[Spt-BH.xls][Spt-BH.xls]B__6500"/>
      <sheetName val="[Spt-BH.xls][Spt-BH.xls]_S_2282"/>
      <sheetName val="[Spt-BH.xls][Spt-BH_xls]B__6657"/>
      <sheetName val="[Spt-BH.xls][Spt-BH_xls]B__6658"/>
      <sheetName val="[Spt-BH.xls][Spt-BH_xls]B__6659"/>
      <sheetName val="[Spt-BH.xls][Spt-BH_xls]B__6660"/>
      <sheetName val="[Spt-BH.xls][Spt-BH_xls]_S_2207"/>
      <sheetName val="[Spt-BH.xls][Spt-BH_xls]B__6661"/>
      <sheetName val="[Spt-BH.xls][Spt-BH_xls]B__6662"/>
      <sheetName val="[Spt-BH.xls][Spt-BH_xls]B__6663"/>
      <sheetName val="[Spt-BH.xls][Spt-BH_xls]_S_2208"/>
      <sheetName val="[Spt-BH.xls][Spt-BH_xls]B__6664"/>
      <sheetName val="[Spt-BH.xls][Spt-BH_xls]B__6665"/>
      <sheetName val="[Spt-BH.xls][Spt-BH_xls]B__6666"/>
      <sheetName val="[Spt-BH.xls][Spt-BH_xls]B__6667"/>
      <sheetName val="[Spt-BH.xls][Spt-BH_xls]_S_2209"/>
      <sheetName val="[Spt-BH.xls][Spt-BH.xls]_S_2280"/>
      <sheetName val="[Spt-BH.xls][Spt-BH_xls]B__6668"/>
      <sheetName val="[Spt-BH.xls][Spt-BH_xls]B__6669"/>
      <sheetName val="[Spt-BH.xls][Spt-BH_xls]_S_2210"/>
      <sheetName val="[Spt-BH.xls][Spt-BH_xls]B__6670"/>
      <sheetName val="[Spt-BH.xls][Spt-BH_xls]B__6671"/>
      <sheetName val="[Spt-BH.xls][Spt-BH_xls]_S_2211"/>
      <sheetName val="[Spt-BH.xls][Spt-BH.xls]B__6507"/>
      <sheetName val="[Spt-BH.xls][Spt-BH.xls]B__6508"/>
      <sheetName val="[Spt-BH.xls][Spt-BH.xls]_S_2285"/>
      <sheetName val="[Spt-BH.xls][Spt-BH.xls]B__6509"/>
      <sheetName val="[Spt-BH.xls][Spt-BH.xls]B__6510"/>
      <sheetName val="[Spt-BH.xls][Spt-BH.xls]B__6511"/>
      <sheetName val="[Spt-BH.xls][Spt-BH.xls]B__6512"/>
      <sheetName val="[Spt-BH.xls][Spt-BH.xls]_S_2284"/>
      <sheetName val="[Spt-BH.xls][Spt-BH.xls]B__6513"/>
      <sheetName val="[Spt-BH.xls][Spt-BH.xls]B__6514"/>
      <sheetName val="[Spt-BH.xls][Spt-BH.xls]_S_2287"/>
      <sheetName val="[Spt-BH.xls][Spt-BH.xls]B__6515"/>
      <sheetName val="[Spt-BH.xls][Spt-BH.xls]B__6516"/>
      <sheetName val="[Spt-BH.xls][Spt-BH.xls]B__6520"/>
      <sheetName val="[Spt-BH.xls][Spt-BH.xls]B__6521"/>
      <sheetName val="[Spt-BH.xls][Spt-BH.xls]_S_2289"/>
      <sheetName val="[Spt-BH.xls][Spt-BH.xls]B__6522"/>
      <sheetName val="[Spt-BH.xls][Spt-BH.xls]B__6523"/>
      <sheetName val="[Spt-BH.xls]B____x005f_x0004______531"/>
      <sheetName val="[Spt-BH.xls][Spt-BH.xls]B__6517"/>
      <sheetName val="[Spt-BH.xls][Spt-BH.xls]B__6518"/>
      <sheetName val="[Spt-BH.xls]B___x005f_x0000__x000_523"/>
      <sheetName val="[Spt-BH.xls][Spt-BH.xls]B__6524"/>
      <sheetName val="[Spt-BH.xls][Spt-BH.xls]B__6525"/>
      <sheetName val="[Spt-BH.xls][Spt-BH.xls]B__6519"/>
      <sheetName val="[Spt-BH.xls][Spt-BH.xls]_S_2288"/>
      <sheetName val="[Spt-BH.xls][Spt-BH_xls]B__6672"/>
      <sheetName val="[Spt-BH.xls][Spt-BH_xls]B__6673"/>
      <sheetName val="[Spt-BH.xls][Spt-BH_xls]B__6674"/>
      <sheetName val="[Spt-BH.xls][Spt-BH_xls]B__6675"/>
      <sheetName val="[Spt-BH.xls][Spt-BH_xls]_S_2212"/>
      <sheetName val="[Spt-BH.xls][Spt-BH_xls]B__6676"/>
      <sheetName val="[Spt-BH.xls][Spt-BH_xls]B__6677"/>
      <sheetName val="[Spt-BH.xls][Spt-BH_xls]B__6678"/>
      <sheetName val="[Spt-BH.xls][Spt-BH_xls]_S_2213"/>
      <sheetName val="[Spt-BH.xls][Spt-BH_xls]B__6679"/>
      <sheetName val="[Spt-BH.xls][Spt-BH_xls]B__6680"/>
      <sheetName val="[Spt-BH.xls][Spt-BH_xls]B__6681"/>
      <sheetName val="[Spt-BH.xls][Spt-BH_xls]B__6682"/>
      <sheetName val="[Spt-BH.xls][Spt-BH_xls]_S_2214"/>
      <sheetName val="[Spt-BH.xls][Spt-BH.xls]_S_2286"/>
      <sheetName val="[Spt-BH.xls][Spt-BH_xls]B__6683"/>
      <sheetName val="[Spt-BH.xls][Spt-BH_xls]B__6684"/>
      <sheetName val="[Spt-BH.xls][Spt-BH_xls]_S_2215"/>
      <sheetName val="[Spt-BH.xls][Spt-BH_xls]B__6685"/>
      <sheetName val="[Spt-BH.xls][Spt-BH_xls]B__6686"/>
      <sheetName val="[Spt-BH.xls][Spt-BH_xls]_S_2216"/>
      <sheetName val="[Spt-BH.xls][Spt-BH.xls]B__6527"/>
      <sheetName val="[Spt-BH.xls][Spt-BH.xls]B__6528"/>
      <sheetName val="[Spt-BH.xls][Spt-BH.xls]_S_2291"/>
      <sheetName val="[Spt-BH.xls][Spt-BH.xls]B__6529"/>
      <sheetName val="[Spt-BH.xls][Spt-BH.xls]B__6530"/>
      <sheetName val="[Spt-BH.xls]B____x005f_x0004______532"/>
      <sheetName val="[Spt-BH.xls]B___x005f_x0000__x000_524"/>
      <sheetName val="[Spt-BH.xls][Spt-BH.xls]B__6531"/>
      <sheetName val="[Spt-BH.xls][Spt-BH.xls]B__6532"/>
      <sheetName val="[Spt-BH.xls][Spt-BH.xls]B__6526"/>
      <sheetName val="[Spt-BH.xls][Spt-BH.xls]_S_2290"/>
      <sheetName val="[Spt-BH.xls][Spt-BH_xls]B__6687"/>
      <sheetName val="[Spt-BH.xls][Spt-BH_xls]B__6688"/>
      <sheetName val="[Spt-BH.xls][Spt-BH_xls]B__6689"/>
      <sheetName val="[Spt-BH.xls][Spt-BH_xls]B__6690"/>
      <sheetName val="[Spt-BH.xls][Spt-BH_xls]_S_2217"/>
      <sheetName val="[Spt-BH.xls][Spt-BH_xls]B__6691"/>
      <sheetName val="[Spt-BH.xls][Spt-BH_xls]B__6692"/>
      <sheetName val="[Spt-BH.xls][Spt-BH_xls]B__6693"/>
      <sheetName val="[Spt-BH.xls][Spt-BH_xls]_S_2218"/>
      <sheetName val="[Spt-BH.xls][Spt-BH_xls]B__6694"/>
      <sheetName val="[Spt-BH.xls][Spt-BH_xls]B__6695"/>
      <sheetName val="[Spt-BH.xls][Spt-BH_xls]B__6696"/>
      <sheetName val="[Spt-BH.xls][Spt-BH_xls]B__6697"/>
      <sheetName val="[Spt-BH.xls][Spt-BH_xls]_S_2219"/>
      <sheetName val="[Spt-BH.xls][Spt-BH_xls]B__6698"/>
      <sheetName val="[Spt-BH.xls][Spt-BH_xls]B__6699"/>
      <sheetName val="[Spt-BH.xls][Spt-BH_xls]_S_2220"/>
      <sheetName val="[Spt-BH.xls][Spt-BH_xls]B__6700"/>
      <sheetName val="[Spt-BH.xls][Spt-BH_xls]B__6701"/>
      <sheetName val="[Spt-BH.xls][Spt-BH_xls]_S_2221"/>
      <sheetName val="[Spt-BH.xls][Spt-BH.xls]B__6533"/>
      <sheetName val="[Spt-BH.xls][Spt-BH.xls]B__6540"/>
      <sheetName val="[Spt-BH.xls][Spt-BH.xls]B__6541"/>
      <sheetName val="[Spt-BH.xls][Spt-BH.xls]_S_2295"/>
      <sheetName val="[Spt-BH.xls][Spt-BH.xls]B__6542"/>
      <sheetName val="[Spt-BH.xls][Spt-BH.xls]B__6543"/>
      <sheetName val="[Spt-BH.xls]B____x005f_x0004______533"/>
      <sheetName val="[Spt-BH.xls][Spt-BH.xls]B__6534"/>
      <sheetName val="[Spt-BH.xls][Spt-BH.xls]_S_2293"/>
      <sheetName val="[Spt-BH.xls][Spt-BH.xls]B__6535"/>
      <sheetName val="[Spt-BH.xls][Spt-BH.xls]B__6536"/>
      <sheetName val="[Spt-BH.xls][Spt-BH.xls]B__6537"/>
      <sheetName val="[Spt-BH.xls]B___x005f_x0000__x000_525"/>
      <sheetName val="[Spt-BH.xls][Spt-BH.xls]B__6544"/>
      <sheetName val="[Spt-BH.xls][Spt-BH.xls]B__6545"/>
      <sheetName val="[Spt-BH.xls][Spt-BH.xls]B__6538"/>
      <sheetName val="[Spt-BH.xls][Spt-BH.xls]B__6539"/>
      <sheetName val="[Spt-BH.xls][Spt-BH.xls]_S_2294"/>
      <sheetName val="[Spt-BH.xls][Spt-BH_xls]B__6702"/>
      <sheetName val="[Spt-BH.xls][Spt-BH_xls]B__6703"/>
      <sheetName val="[Spt-BH.xls][Spt-BH_xls]B__6704"/>
      <sheetName val="[Spt-BH.xls][Spt-BH_xls]B__6705"/>
      <sheetName val="[Spt-BH.xls][Spt-BH_xls]_S_2222"/>
      <sheetName val="[Spt-BH.xls][Spt-BH_xls]B__6706"/>
      <sheetName val="[Spt-BH.xls][Spt-BH_xls]B__6707"/>
      <sheetName val="[Spt-BH.xls][Spt-BH_xls]B__6708"/>
      <sheetName val="[Spt-BH.xls][Spt-BH_xls]_S_2223"/>
      <sheetName val="[Spt-BH.xls][Spt-BH_xls]B__6709"/>
      <sheetName val="[Spt-BH.xls][Spt-BH_xls]B__6710"/>
      <sheetName val="[Spt-BH.xls][Spt-BH_xls]B__6711"/>
      <sheetName val="[Spt-BH.xls][Spt-BH_xls]B__6712"/>
      <sheetName val="[Spt-BH.xls][Spt-BH_xls]_S_2224"/>
      <sheetName val="[Spt-BH.xls][Spt-BH.xls]_S_2292"/>
      <sheetName val="[Spt-BH.xls][Spt-BH_xls]B__6713"/>
      <sheetName val="[Spt-BH.xls][Spt-BH_xls]B__6714"/>
      <sheetName val="[Spt-BH.xls][Spt-BH_xls]_S_2225"/>
      <sheetName val="[Spt-BH.xls][Spt-BH_xls]B__6715"/>
      <sheetName val="[Spt-BH.xls][Spt-BH_xls]B__6716"/>
      <sheetName val="[Spt-BH.xls][Spt-BH_xls]_S_2226"/>
      <sheetName val="[Spt-BH.xls][Spt-BH.xls]B__6546"/>
      <sheetName val="[Spt-BH.xls][Spt-BH.xls]B__6547"/>
      <sheetName val="[Spt-BH.xls][Spt-BH.xls]_S_2298"/>
      <sheetName val="[Spt-BH.xls][Spt-BH.xls]B__6548"/>
      <sheetName val="[Spt-BH.xls][Spt-BH.xls]B__6549"/>
      <sheetName val="[Spt-BH.xls][Spt-BH.xls]B__6550"/>
      <sheetName val="[Spt-BH.xls][Spt-BH.xls]B__6551"/>
      <sheetName val="[Spt-BH.xls][Spt-BH.xls]_S_2296"/>
      <sheetName val="[Spt-BH.xls][Spt-BH.xls]_S_2297"/>
      <sheetName val="[Spt-BH.xls][Spt-BH.xls]_S_2299"/>
      <sheetName val="[Spt-BH.xls][Spt-BH.xls]B__6552"/>
      <sheetName val="[Spt-BH.xls][Spt-BH.xls]B__6553"/>
      <sheetName val="[Spt-BH.xls][Spt-BH.xls]_S_2302"/>
      <sheetName val="[Spt-BH.xls][Spt-BH.xls]B__6554"/>
      <sheetName val="[Spt-BH.xls][Spt-BH.xls]B__6555"/>
      <sheetName val="[Spt-BH.xls][Spt-BH.xls]B__6556"/>
      <sheetName val="[Spt-BH.xls][Spt-BH.xls]B__6557"/>
      <sheetName val="[Spt-BH.xls][Spt-BH.xls]_S_2300"/>
      <sheetName val="[Spt-BH.xls][Spt-BH.xls]_S_2301"/>
      <sheetName val="[Spt-BH.xls][Spt-BH.xls]_S_2305"/>
      <sheetName val="[Spt-BH.xls][Spt-BH.xls]_S_2303"/>
      <sheetName val="[Spt-BH.xls][Spt-BH.xls]_S_2304"/>
      <sheetName val="[Spt-BH.xls][Spt-BH.xls]B__6558"/>
      <sheetName val="[Spt-BH.xls][Spt-BH.xls]B__6559"/>
      <sheetName val="[Spt-BH.xls][Spt-BH.xls]_S_2308"/>
      <sheetName val="[Spt-BH.xls][Spt-BH.xls]B__6560"/>
      <sheetName val="[Spt-BH.xls][Spt-BH.xls]B__6561"/>
      <sheetName val="[Spt-BH.xls][Spt-BH.xls]_S_2306"/>
      <sheetName val="[Spt-BH.xls][Spt-BH.xls]B__6562"/>
      <sheetName val="[Spt-BH.xls][Spt-BH.xls]B__6563"/>
      <sheetName val="[Spt-BH.xls][Spt-BH.xls]_S_2307"/>
      <sheetName val="[Spt-BH.xls][Spt-BH.xls]B__6564"/>
      <sheetName val="[Spt-BH.xls][Spt-BH.xls]B__6565"/>
      <sheetName val="[Spt-BH.xls][Spt-BH.xls]_S_2310"/>
      <sheetName val="[Spt-BH.xls][Spt-BH.xls]B__6566"/>
      <sheetName val="[Spt-BH.xls][Spt-BH.xls]B__6567"/>
      <sheetName val="[Spt-BH.xls][Spt-BH.xls]B__6571"/>
      <sheetName val="[Spt-BH.xls][Spt-BH.xls]B__6572"/>
      <sheetName val="[Spt-BH.xls][Spt-BH.xls]_S_2312"/>
      <sheetName val="[Spt-BH.xls][Spt-BH.xls]B__6573"/>
      <sheetName val="[Spt-BH.xls][Spt-BH.xls]B__6574"/>
      <sheetName val="[Spt-BH.xls]B____x005f_x0004______534"/>
      <sheetName val="[Spt-BH.xls][Spt-BH.xls]B__6568"/>
      <sheetName val="[Spt-BH.xls][Spt-BH.xls]B__6569"/>
      <sheetName val="[Spt-BH.xls]B___x005f_x0000__x000_526"/>
      <sheetName val="[Spt-BH.xls][Spt-BH.xls]B__6575"/>
      <sheetName val="[Spt-BH.xls][Spt-BH.xls]B__6576"/>
      <sheetName val="[Spt-BH.xls][Spt-BH.xls]B__6570"/>
      <sheetName val="[Spt-BH.xls][Spt-BH.xls]_S_2311"/>
      <sheetName val="[Spt-BH.xls][Spt-BH_xls]B__6717"/>
      <sheetName val="[Spt-BH.xls][Spt-BH_xls]B__6718"/>
      <sheetName val="[Spt-BH.xls][Spt-BH_xls]B__6719"/>
      <sheetName val="[Spt-BH.xls][Spt-BH_xls]B__6720"/>
      <sheetName val="[Spt-BH.xls][Spt-BH_xls]_S_2227"/>
      <sheetName val="[Spt-BH.xls][Spt-BH_xls]B__6721"/>
      <sheetName val="[Spt-BH.xls][Spt-BH_xls]B__6722"/>
      <sheetName val="[Spt-BH.xls][Spt-BH_xls]B__6723"/>
      <sheetName val="[Spt-BH.xls][Spt-BH_xls]_S_2228"/>
      <sheetName val="[Spt-BH.xls][Spt-BH_xls]B__6724"/>
      <sheetName val="[Spt-BH.xls][Spt-BH_xls]B__6725"/>
      <sheetName val="[Spt-BH.xls][Spt-BH_xls]B__6726"/>
      <sheetName val="[Spt-BH.xls][Spt-BH_xls]B__6727"/>
      <sheetName val="[Spt-BH.xls][Spt-BH_xls]_S_2229"/>
      <sheetName val="[Spt-BH.xls][Spt-BH.xls]_S_2309"/>
      <sheetName val="[Spt-BH.xls][Spt-BH_xls]B__6728"/>
      <sheetName val="[Spt-BH.xls][Spt-BH_xls]B__6729"/>
      <sheetName val="[Spt-BH.xls][Spt-BH_xls]_S_2230"/>
      <sheetName val="[Spt-BH.xls][Spt-BH_xls]B__6730"/>
      <sheetName val="[Spt-BH.xls][Spt-BH_xls]B__6731"/>
      <sheetName val="[Spt-BH.xls][Spt-BH_xls]_S_2231"/>
      <sheetName val="[Spt-BH.xls][Spt-BH.xls]_S_2313"/>
      <sheetName val="[Spt-BH.xls][Spt-BH.xls]B__6577"/>
      <sheetName val="[Spt-BH.xls][Spt-BH.xls]B__6578"/>
      <sheetName val="[Spt-BH.xls][Spt-BH.xls]_S_2317"/>
      <sheetName val="[Spt-BH.xls][Spt-BH.xls]B__6579"/>
      <sheetName val="[Spt-BH.xls][Spt-BH.xls]B__6580"/>
      <sheetName val="[Spt-BH.xls][Spt-BH.xls]B__6590"/>
      <sheetName val="[Spt-BH.xls][Spt-BH.xls]B__6591"/>
      <sheetName val="[Spt-BH.xls][Spt-BH.xls]_S_2319"/>
      <sheetName val="[Spt-BH.xls][Spt-BH.xls]B__6592"/>
      <sheetName val="[Spt-BH.xls][Spt-BH.xls]B__6593"/>
      <sheetName val="[Spt-BH.xls]B____x005f_x0004______535"/>
      <sheetName val="[Spt-BH.xls][Spt-BH.xls]B__6581"/>
      <sheetName val="[Spt-BH.xls][Spt-BH.xls]B__6582"/>
      <sheetName val="[Spt-BH.xls]B___x005f_x0000__x000_527"/>
      <sheetName val="[Spt-BH.xls][Spt-BH.xls]B__6594"/>
      <sheetName val="[Spt-BH.xls][Spt-BH.xls]B__6595"/>
      <sheetName val="[Spt-BH.xls][Spt-BH.xls]B__6583"/>
      <sheetName val="[Spt-BH.xls][Spt-BH.xls]_S_2318"/>
      <sheetName val="[Spt-BH.xls][Spt-BH_xls]B__6732"/>
      <sheetName val="[Spt-BH.xls][Spt-BH_xls]B__6733"/>
      <sheetName val="[Spt-BH.xls][Spt-BH_xls]B__6734"/>
      <sheetName val="[Spt-BH.xls][Spt-BH_xls]B__6735"/>
      <sheetName val="[Spt-BH.xls][Spt-BH_xls]_S_2232"/>
      <sheetName val="[Spt-BH.xls][Spt-BH_xls]B__6736"/>
      <sheetName val="[Spt-BH.xls][Spt-BH_xls]B__6737"/>
      <sheetName val="[Spt-BH.xls][Spt-BH_xls]B__6738"/>
      <sheetName val="[Spt-BH.xls][Spt-BH_xls]_S_2233"/>
      <sheetName val="[Spt-BH.xls][Spt-BH_xls]B__6739"/>
      <sheetName val="[Spt-BH.xls][Spt-BH_xls]B__6740"/>
      <sheetName val="[Spt-BH.xls][Spt-BH_xls]B__6741"/>
      <sheetName val="[Spt-BH.xls][Spt-BH_xls]B__6742"/>
      <sheetName val="[Spt-BH.xls][Spt-BH_xls]_S_2234"/>
      <sheetName val="[Spt-BH.xls][Spt-BH.xls]_S_2314"/>
      <sheetName val="[Spt-BH.xls][Spt-BH_xls]B__6743"/>
      <sheetName val="[Spt-BH.xls][Spt-BH_xls]B__6744"/>
      <sheetName val="[Spt-BH.xls][Spt-BH_xls]_S_2235"/>
      <sheetName val="[Spt-BH.xls][Spt-BH_xls]B__6745"/>
      <sheetName val="[Spt-BH.xls][Spt-BH_xls]B__6746"/>
      <sheetName val="[Spt-BH.xls][Spt-BH_xls]_S_2236"/>
      <sheetName val="[Spt-BH.xls][Spt-BH.xls]_S_2315"/>
      <sheetName val="[Spt-BH.xls][Spt-BH.xls]B__6584"/>
      <sheetName val="[Spt-BH.xls][Spt-BH.xls]B__6585"/>
      <sheetName val="[Spt-BH.xls][Spt-BH.xls]B__6586"/>
      <sheetName val="[Spt-BH.xls][Spt-BH.xls]B__6587"/>
      <sheetName val="[Spt-BH.xls][Spt-BH.xls]B__6588"/>
      <sheetName val="[Spt-BH.xls][Spt-BH.xls]B__6589"/>
      <sheetName val="[Spt-BH.xls][Spt-BH.xls]_S_2316"/>
      <sheetName val="[Spt-BH.xls][Spt-BH.xls]_S_2322"/>
      <sheetName val="[Spt-BH.xls][Spt-BH.xls]_S_2320"/>
      <sheetName val="[Spt-BH.xls][Spt-BH.xls]_S_2321"/>
      <sheetName val="[Spt-BH.xls][Spt-BH.xls]B__6596"/>
      <sheetName val="[Spt-BH.xls][Spt-BH.xls]B__6597"/>
      <sheetName val="[Spt-BH.xls][Spt-BH.xls]B__6598"/>
      <sheetName val="[Spt-BH.xls][Spt-BH.xls]B__6599"/>
      <sheetName val="[Spt-BH.xls][Spt-BH.xls]B__6603"/>
      <sheetName val="[Spt-BH.xls][Spt-BH.xls]B__6604"/>
      <sheetName val="[Spt-BH.xls][Spt-BH.xls]_S_2323"/>
      <sheetName val="[Spt-BH.xls][Spt-BH.xls]B__6605"/>
      <sheetName val="[Spt-BH.xls][Spt-BH.xls]B__6606"/>
      <sheetName val="[Spt-BH.xls]B____x005f_x0004______536"/>
      <sheetName val="[Spt-BH.xls][Spt-BH.xls]B__6600"/>
      <sheetName val="[Spt-BH.xls][Spt-BH.xls]B__6601"/>
      <sheetName val="[Spt-BH.xls]B___x005f_x0000__x000_528"/>
      <sheetName val="[Spt-BH.xls][Spt-BH.xls]B__6607"/>
      <sheetName val="[Spt-BH.xls][Spt-BH.xls]B__6608"/>
      <sheetName val="[Spt-BH.xls][Spt-BH.xls]B__6602"/>
      <sheetName val="[Spt-BH.xls][Spt-BH_xls]B__6747"/>
      <sheetName val="[Spt-BH.xls][Spt-BH_xls]B__6748"/>
      <sheetName val="[Spt-BH.xls][Spt-BH_xls]B__6749"/>
      <sheetName val="[Spt-BH.xls][Spt-BH_xls]B__6750"/>
      <sheetName val="[Spt-BH.xls][Spt-BH_xls]_S_2237"/>
      <sheetName val="[Spt-BH.xls][Spt-BH_xls]B__6751"/>
      <sheetName val="[Spt-BH.xls][Spt-BH_xls]B__6752"/>
      <sheetName val="[Spt-BH.xls][Spt-BH_xls]B__6753"/>
      <sheetName val="[Spt-BH.xls][Spt-BH_xls]_S_2238"/>
      <sheetName val="[Spt-BH.xls][Spt-BH_xls]B__6754"/>
      <sheetName val="[Spt-BH.xls][Spt-BH_xls]B__6755"/>
      <sheetName val="[Spt-BH.xls][Spt-BH_xls]B__6756"/>
      <sheetName val="[Spt-BH.xls][Spt-BH_xls]B__6757"/>
      <sheetName val="[Spt-BH.xls][Spt-BH_xls]_S_2239"/>
      <sheetName val="[Spt-BH.xls][Spt-BH_xls]B__6758"/>
      <sheetName val="[Spt-BH.xls][Spt-BH_xls]B__6759"/>
      <sheetName val="[Spt-BH.xls][Spt-BH_xls]_S_2240"/>
      <sheetName val="[Spt-BH.xls][Spt-BH_xls]B__6760"/>
      <sheetName val="[Spt-BH.xls][Spt-BH_xls]B__6761"/>
      <sheetName val="[Spt-BH.xls][Spt-BH_xls]_S_2241"/>
      <sheetName val="[Spt-BH.xls][Spt-BH.xls]_S_2324"/>
      <sheetName val="[Spt-BH.xls][Spt-BH.xls]_S_2325"/>
      <sheetName val="[Spt-BH.xls][Spt-BH.xls]B__6609"/>
      <sheetName val="[Spt-BH.xls][Spt-BH.xls]B__6610"/>
      <sheetName val="[Spt-BH.xls][Spt-BH.xls]_S_2327"/>
      <sheetName val="[Spt-BH.xls][Spt-BH.xls]B__6611"/>
      <sheetName val="[Spt-BH.xls][Spt-BH.xls]B__6612"/>
      <sheetName val="[Spt-BH.xls][Spt-BH.xls]B__6616"/>
      <sheetName val="[Spt-BH.xls][Spt-BH.xls]B__6617"/>
      <sheetName val="[Spt-BH.xls][Spt-BH.xls]_S_2331"/>
      <sheetName val="[Spt-BH.xls][Spt-BH.xls]B__6618"/>
      <sheetName val="[Spt-BH.xls][Spt-BH.xls]B__6619"/>
      <sheetName val="[Spt-BH.xls]B____x005f_x0004______537"/>
      <sheetName val="[Spt-BH.xls][Spt-BH.xls]B__6613"/>
      <sheetName val="[Spt-BH.xls][Spt-BH.xls]B__6614"/>
      <sheetName val="[Spt-BH.xls]B___x005f_x0000__x000_529"/>
      <sheetName val="[Spt-BH.xls][Spt-BH.xls]B__6620"/>
      <sheetName val="[Spt-BH.xls][Spt-BH.xls]B__6621"/>
      <sheetName val="[Spt-BH.xls][Spt-BH.xls]B__6615"/>
      <sheetName val="[Spt-BH.xls][Spt-BH.xls]_S_2328"/>
      <sheetName val="[Spt-BH.xls][Spt-BH_xls]B__6762"/>
      <sheetName val="[Spt-BH.xls][Spt-BH_xls]B__6763"/>
      <sheetName val="[Spt-BH.xls][Spt-BH_xls]B__6764"/>
      <sheetName val="[Spt-BH.xls][Spt-BH_xls]B__6765"/>
      <sheetName val="[Spt-BH.xls][Spt-BH_xls]_S_2242"/>
      <sheetName val="[Spt-BH.xls][Spt-BH_xls]B__6766"/>
      <sheetName val="[Spt-BH.xls][Spt-BH_xls]B__6767"/>
      <sheetName val="[Spt-BH.xls][Spt-BH_xls]B__6768"/>
      <sheetName val="[Spt-BH.xls][Spt-BH_xls]_S_2243"/>
      <sheetName val="[Spt-BH.xls][Spt-BH_xls]B__6769"/>
      <sheetName val="[Spt-BH.xls][Spt-BH_xls]B__6770"/>
      <sheetName val="[Spt-BH.xls][Spt-BH_xls]B__6771"/>
      <sheetName val="[Spt-BH.xls][Spt-BH_xls]B__6772"/>
      <sheetName val="[Spt-BH.xls][Spt-BH_xls]_S_2244"/>
      <sheetName val="[Spt-BH.xls][Spt-BH.xls]_S_2326"/>
      <sheetName val="[Spt-BH.xls][Spt-BH_xls]B__6773"/>
      <sheetName val="[Spt-BH.xls][Spt-BH_xls]B__6774"/>
      <sheetName val="[Spt-BH.xls][Spt-BH_xls]_S_2245"/>
      <sheetName val="[Spt-BH.xls][Spt-BH_xls]B__6775"/>
      <sheetName val="[Spt-BH.xls][Spt-BH_xls]B__6776"/>
      <sheetName val="[Spt-BH.xls][Spt-BH_xls]_S_2246"/>
      <sheetName val="[Spt-BH.xls][Spt-BH.xls]B__6628"/>
      <sheetName val="[Spt-BH.xls][Spt-BH.xls]B__6629"/>
      <sheetName val="[Spt-BH.xls][Spt-BH.xls]_S_2339"/>
      <sheetName val="[Spt-BH.xls][Spt-BH.xls]B__6630"/>
      <sheetName val="[Spt-BH.xls][Spt-BH.xls]B__6631"/>
      <sheetName val="[Spt-BH.xls][Spt-BH.xls]B__6632"/>
      <sheetName val="[Spt-BH.xls][Spt-BH.xls]B__6633"/>
      <sheetName val="[Spt-BH.xls][Spt-BH.xls]_S_2332"/>
      <sheetName val="[Spt-BH.xls][Spt-BH.xls]_S_2329"/>
      <sheetName val="[Spt-BH.xls][Spt-BH.xls]B__6622"/>
      <sheetName val="[Spt-BH.xls][Spt-BH.xls]B__6623"/>
      <sheetName val="[Spt-BH.xls][Spt-BH.xls]B__6624"/>
      <sheetName val="[Spt-BH.xls][Spt-BH.xls]B__6625"/>
      <sheetName val="[Spt-BH.xls][Spt-BH.xls]B__6626"/>
      <sheetName val="[Spt-BH.xls][Spt-BH.xls]B__6627"/>
      <sheetName val="[Spt-BH.xls][Spt-BH.xls]_S_2330"/>
      <sheetName val="[Spt-BH.xls][Spt-BH.xls]_S_2335"/>
      <sheetName val="[Spt-BH.xls][Spt-BH.xls]_S_2333"/>
      <sheetName val="[Spt-BH.xls][Spt-BH.xls]B__6635"/>
      <sheetName val="[Spt-BH.xls][Spt-BH.xls]B__6636"/>
      <sheetName val="[Spt-BH.xls][Spt-BH.xls]B__6637"/>
      <sheetName val="[Spt-BH.xls][Spt-BH.xls]B__6638"/>
      <sheetName val="[Spt-BH.xls][Spt-BH.xls]B__6639"/>
      <sheetName val="[Spt-BH.xls][Spt-BH.xls]B__6640"/>
      <sheetName val="[Spt-BH.xls][Spt-BH.xls]_S_2334"/>
      <sheetName val="[Spt-BH.xls][Spt-BH.xls]B__6642"/>
      <sheetName val="[Spt-BH.xls][Spt-BH.xls]B__6643"/>
      <sheetName val="[Spt-BH.xls][Spt-BH.xls]_S_2337"/>
      <sheetName val="[Spt-BH.xls][Spt-BH.xls]B__6644"/>
      <sheetName val="[Spt-BH.xls][Spt-BH.xls]B__6645"/>
      <sheetName val="[Spt-BH.xls]B____x005f_x0004______539"/>
      <sheetName val="[Spt-BH.xls]B___x005f_x0000__x000_531"/>
      <sheetName val="[Spt-BH.xls][Spt-BH.xls]B__6646"/>
      <sheetName val="[Spt-BH.xls][Spt-BH.xls]B__6647"/>
      <sheetName val="[Spt-BH.xls][Spt-BH.xls]B__6641"/>
      <sheetName val="[Spt-BH.xls][Spt-BH.xls]_S_2336"/>
      <sheetName val="[Spt-BH.xls][Spt-BH_xls]B__6792"/>
      <sheetName val="[Spt-BH.xls][Spt-BH_xls]B__6793"/>
      <sheetName val="[Spt-BH.xls][Spt-BH_xls]B__6794"/>
      <sheetName val="[Spt-BH.xls][Spt-BH_xls]B__6795"/>
      <sheetName val="[Spt-BH.xls][Spt-BH_xls]_S_2252"/>
      <sheetName val="[Spt-BH.xls][Spt-BH_xls]B__6796"/>
      <sheetName val="[Spt-BH.xls][Spt-BH_xls]B__6797"/>
      <sheetName val="[Spt-BH.xls][Spt-BH_xls]B__6798"/>
      <sheetName val="[Spt-BH.xls][Spt-BH_xls]_S_2253"/>
      <sheetName val="[Spt-BH.xls][Spt-BH_xls]B__6799"/>
      <sheetName val="[Spt-BH.xls][Spt-BH_xls]B__6800"/>
      <sheetName val="[Spt-BH.xls][Spt-BH_xls]B__6801"/>
      <sheetName val="[Spt-BH.xls][Spt-BH_xls]B__6802"/>
      <sheetName val="[Spt-BH.xls][Spt-BH_xls]_S_2254"/>
      <sheetName val="[Spt-BH.xls][Spt-BH_xls]B__6803"/>
      <sheetName val="[Spt-BH.xls][Spt-BH_xls]B__6804"/>
      <sheetName val="[Spt-BH.xls][Spt-BH_xls]_S_2255"/>
      <sheetName val="[Spt-BH.xls][Spt-BH_xls]B__6805"/>
      <sheetName val="[Spt-BH.xls][Spt-BH_xls]B__6806"/>
      <sheetName val="[Spt-BH.xls][Spt-BH_xls]_S_2256"/>
      <sheetName val="[Spt-BH.xls]B____x005f_x0004______538"/>
      <sheetName val="[Spt-BH.xls]B___x005f_x0000__x000_530"/>
      <sheetName val="[Spt-BH.xls][Spt-BH.xls]B__6634"/>
      <sheetName val="[Spt-BH.xls][Spt-BH_xls]B__6777"/>
      <sheetName val="[Spt-BH.xls][Spt-BH_xls]B__6778"/>
      <sheetName val="[Spt-BH.xls][Spt-BH_xls]B__6779"/>
      <sheetName val="[Spt-BH.xls][Spt-BH_xls]B__6780"/>
      <sheetName val="[Spt-BH.xls][Spt-BH_xls]_S_2247"/>
      <sheetName val="[Spt-BH.xls][Spt-BH_xls]B__6781"/>
      <sheetName val="[Spt-BH.xls][Spt-BH_xls]B__6782"/>
      <sheetName val="[Spt-BH.xls][Spt-BH_xls]B__6783"/>
      <sheetName val="[Spt-BH.xls][Spt-BH_xls]_S_2248"/>
      <sheetName val="[Spt-BH.xls][Spt-BH_xls]B__6784"/>
      <sheetName val="[Spt-BH.xls][Spt-BH_xls]B__6785"/>
      <sheetName val="[Spt-BH.xls][Spt-BH_xls]B__6786"/>
      <sheetName val="[Spt-BH.xls][Spt-BH_xls]B__6787"/>
      <sheetName val="[Spt-BH.xls][Spt-BH_xls]_S_2249"/>
      <sheetName val="[Spt-BH.xls][Spt-BH_xls]B__6788"/>
      <sheetName val="[Spt-BH.xls][Spt-BH_xls]B__6789"/>
      <sheetName val="[Spt-BH.xls][Spt-BH_xls]_S_2250"/>
      <sheetName val="[Spt-BH.xls][Spt-BH_xls]B__6790"/>
      <sheetName val="[Spt-BH.xls][Spt-BH_xls]B__6791"/>
      <sheetName val="[Spt-BH.xls][Spt-BH_xls]_S_2251"/>
      <sheetName val="[Spt-BH.xls][Spt-BH.xls]B__6648"/>
      <sheetName val="[Spt-BH.xls][Spt-BH.xls]B__6649"/>
      <sheetName val="[Spt-BH.xls][Spt-BH.xls]B__6650"/>
      <sheetName val="[Spt-BH.xls][Spt-BH.xls]B__6651"/>
      <sheetName val="[Spt-BH.xls][Spt-BH.xls]B__6655"/>
      <sheetName val="[Spt-BH.xls][Spt-BH.xls]B__6656"/>
      <sheetName val="[Spt-BH.xls][Spt-BH.xls]_S_2341"/>
      <sheetName val="[Spt-BH.xls][Spt-BH.xls]B__6657"/>
      <sheetName val="[Spt-BH.xls][Spt-BH.xls]B__6658"/>
      <sheetName val="[Spt-BH.xls]B____x005f_x0004______540"/>
      <sheetName val="[Spt-BH.xls][Spt-BH.xls]B__6652"/>
      <sheetName val="[Spt-BH.xls][Spt-BH.xls]B__6653"/>
      <sheetName val="[Spt-BH.xls]B___x005f_x0000__x000_532"/>
      <sheetName val="[Spt-BH.xls][Spt-BH.xls]B__6659"/>
      <sheetName val="[Spt-BH.xls][Spt-BH.xls]B__6660"/>
      <sheetName val="[Spt-BH.xls][Spt-BH.xls]B__6654"/>
      <sheetName val="[Spt-BH.xls][Spt-BH.xls]_S_2340"/>
      <sheetName val="[Spt-BH.xls][Spt-BH_xls]B__6807"/>
      <sheetName val="[Spt-BH.xls][Spt-BH_xls]B__6808"/>
      <sheetName val="[Spt-BH.xls][Spt-BH_xls]B__6809"/>
      <sheetName val="[Spt-BH.xls][Spt-BH_xls]B__6810"/>
      <sheetName val="[Spt-BH.xls][Spt-BH_xls]_S_2257"/>
      <sheetName val="[Spt-BH.xls][Spt-BH_xls]B__6811"/>
      <sheetName val="[Spt-BH.xls][Spt-BH_xls]B__6812"/>
      <sheetName val="[Spt-BH.xls][Spt-BH_xls]B__6813"/>
      <sheetName val="[Spt-BH.xls][Spt-BH_xls]_S_2258"/>
      <sheetName val="[Spt-BH.xls][Spt-BH_xls]B__6814"/>
      <sheetName val="[Spt-BH.xls][Spt-BH_xls]B__6815"/>
      <sheetName val="[Spt-BH.xls][Spt-BH_xls]B__6816"/>
      <sheetName val="[Spt-BH.xls][Spt-BH_xls]B__6817"/>
      <sheetName val="[Spt-BH.xls][Spt-BH_xls]_S_2259"/>
      <sheetName val="[Spt-BH.xls][Spt-BH.xls]_S_2338"/>
      <sheetName val="[Spt-BH.xls][Spt-BH_xls]B__6818"/>
      <sheetName val="[Spt-BH.xls][Spt-BH_xls]B__6819"/>
      <sheetName val="[Spt-BH.xls][Spt-BH_xls]_S_2260"/>
      <sheetName val="[Spt-BH.xls][Spt-BH_xls]B__6820"/>
      <sheetName val="[Spt-BH.xls][Spt-BH_xls]B__6821"/>
      <sheetName val="[Spt-BH.xls][Spt-BH_xls]_S_2261"/>
      <sheetName val="[Spt-BH.xls][Spt-BH.xls]B__6661"/>
      <sheetName val="[Spt-BH.xls][Spt-BH.xls]B__6662"/>
      <sheetName val="[Spt-BH.xls][Spt-BH.xls]_S_2344"/>
      <sheetName val="[Spt-BH.xls][Spt-BH.xls]B__6663"/>
      <sheetName val="[Spt-BH.xls][Spt-BH.xls]B__6664"/>
      <sheetName val="[Spt-BH.xls][Spt-BH.xls]_S_2342"/>
      <sheetName val="[Spt-BH.xls][Spt-BH.xls]B__6665"/>
      <sheetName val="[Spt-BH.xls][Spt-BH.xls]B__6666"/>
      <sheetName val="[Spt-BH.xls][Spt-BH.xls]_S_2343"/>
      <sheetName val="[Spt-BH.xls][Spt-BH.xls]B__6668"/>
      <sheetName val="[Spt-BH.xls][Spt-BH.xls]B__6669"/>
      <sheetName val="[Spt-BH.xls][Spt-BH.xls]_S_2346"/>
      <sheetName val="[Spt-BH.xls][Spt-BH.xls]B__6670"/>
      <sheetName val="[Spt-BH.xls][Spt-BH.xls]B__6671"/>
      <sheetName val="[Spt-BH.xls]B____x005f_x0004______541"/>
      <sheetName val="[Spt-BH.xls]B___x005f_x0000__x000_533"/>
      <sheetName val="[Spt-BH.xls][Spt-BH.xls]B__6672"/>
      <sheetName val="[Spt-BH.xls][Spt-BH.xls]B__6673"/>
      <sheetName val="[Spt-BH.xls][Spt-BH.xls]B__6667"/>
      <sheetName val="[Spt-BH.xls][Spt-BH.xls]_S_2345"/>
      <sheetName val="[Spt-BH.xls][Spt-BH_xls]B__6822"/>
      <sheetName val="[Spt-BH.xls][Spt-BH_xls]B__6823"/>
      <sheetName val="[Spt-BH.xls][Spt-BH_xls]B__6824"/>
      <sheetName val="[Spt-BH.xls][Spt-BH_xls]B__6825"/>
      <sheetName val="[Spt-BH.xls][Spt-BH_xls]_S_2262"/>
      <sheetName val="[Spt-BH.xls][Spt-BH_xls]B__6826"/>
      <sheetName val="[Spt-BH.xls][Spt-BH_xls]B__6827"/>
      <sheetName val="[Spt-BH.xls][Spt-BH_xls]B__6828"/>
      <sheetName val="[Spt-BH.xls][Spt-BH_xls]_S_2263"/>
      <sheetName val="[Spt-BH.xls][Spt-BH_xls]B__6829"/>
      <sheetName val="[Spt-BH.xls][Spt-BH_xls]B__6830"/>
      <sheetName val="[Spt-BH.xls][Spt-BH_xls]B__6831"/>
      <sheetName val="[Spt-BH.xls][Spt-BH_xls]B__6832"/>
      <sheetName val="[Spt-BH.xls][Spt-BH_xls]_S_2264"/>
      <sheetName val="[Spt-BH.xls][Spt-BH_xls]B__6833"/>
      <sheetName val="[Spt-BH.xls][Spt-BH_xls]B__6834"/>
      <sheetName val="[Spt-BH.xls][Spt-BH_xls]_S_2265"/>
      <sheetName val="[Spt-BH.xls][Spt-BH_xls]B__6835"/>
      <sheetName val="[Spt-BH.xls][Spt-BH_xls]B__6836"/>
      <sheetName val="[Spt-BH.xls][Spt-BH_xls]_S_2266"/>
      <sheetName val="[Spt-BH.xls][Spt-BH.xls]_S_2347"/>
      <sheetName val="[Spt-BH.xls][Spt-BH.xls]_S_2348"/>
      <sheetName val="[Spt-BH.xls][Spt-BH.xls]_S_2349"/>
      <sheetName val="[Spt-BH.xls][Spt-BH.xls]B__6674"/>
      <sheetName val="[Spt-BH.xls][Spt-BH.xls]B__6675"/>
      <sheetName val="[Spt-BH.xls][Spt-BH.xls]_S_2351"/>
      <sheetName val="[Spt-BH.xls][Spt-BH.xls]B__6676"/>
      <sheetName val="[Spt-BH.xls][Spt-BH.xls]B__6677"/>
      <sheetName val="[Spt-BH.xls][Spt-BH.xls]B__6678"/>
      <sheetName val="[Spt-BH.xls][Spt-BH.xls]B__6679"/>
      <sheetName val="[Spt-BH.xls][Spt-BH.xls]_S_2350"/>
      <sheetName val="[Spt-BH.xls][Spt-BH.xls]_S_2352"/>
      <sheetName val="[Spt-BH.xls][Spt-BH.xls]B__6680"/>
      <sheetName val="[Spt-BH.xls][Spt-BH.xls]B__6681"/>
      <sheetName val="[Spt-BH.xls][Spt-BH.xls]_S_2354"/>
      <sheetName val="[Spt-BH.xls][Spt-BH.xls]B__6682"/>
      <sheetName val="[Spt-BH.xls][Spt-BH.xls]B__6683"/>
      <sheetName val="[Spt-BH.xls][Spt-BH.xls]B__6684"/>
      <sheetName val="[Spt-BH.xls][Spt-BH.xls]B__6685"/>
      <sheetName val="[Spt-BH.xls][Spt-BH.xls]_S_2353"/>
      <sheetName val="[Spt-BH.xls][Spt-BH.xls]B__6686"/>
      <sheetName val="[Spt-BH.xls][Spt-BH.xls]B__6687"/>
      <sheetName val="[Spt-BH.xls][Spt-BH.xls]_S_2373"/>
      <sheetName val="[Spt-BH.xls][Spt-BH.xls]B__6688"/>
      <sheetName val="[Spt-BH.xls][Spt-BH.xls]B__6689"/>
      <sheetName val="[Spt-BH.xls][Spt-BH.xls]_S_2355"/>
      <sheetName val="[Spt-BH.xls][Spt-BH.xls]B__6690"/>
      <sheetName val="[Spt-BH.xls][Spt-BH.xls]B__6691"/>
      <sheetName val="[Spt-BH.xls][Spt-BH.xls]_S_2356"/>
      <sheetName val="[Spt-BH.xls][Spt-BH.xls]B__6730"/>
      <sheetName val="[Spt-BH.xls][Spt-BH.xls]B__6731"/>
      <sheetName val="[Spt-BH.xls][Spt-BH.xls]_S_2375"/>
      <sheetName val="[Spt-BH.xls][Spt-BH.xls]B__6732"/>
      <sheetName val="[Spt-BH.xls][Spt-BH.xls]B__6733"/>
      <sheetName val="[Spt-BH.xls]B____x005f_x0004______542"/>
      <sheetName val="[Spt-BH.xls][Spt-BH.xls]B__6728"/>
      <sheetName val="[Spt-BH.xls][Spt-BH.xls]B__6729"/>
      <sheetName val="_Spt-BH.xls__Spt-BH.xls__Spt_68"/>
      <sheetName val="_Spt-BH.xls__Spt-BH.xls_B___155"/>
      <sheetName val="_Spt-BH.xls__Spt-BH.xls_B___156"/>
      <sheetName val="_Spt-BH.xls__Spt-BH.xls_B___157"/>
      <sheetName val="PPA_Summary1"/>
      <sheetName val="Bill_No_2_to_8_(Rev)1"/>
      <sheetName val="TMT_STEEL1"/>
      <sheetName val="Extra_Item1"/>
      <sheetName val="PPA_Summary"/>
      <sheetName val="[Spt-BH_xls][Spt-BH_xls]B@[?_x3"/>
      <sheetName val="Basic_Rates3"/>
      <sheetName val="activit-graph__3"/>
      <sheetName val="PPA_Summary2"/>
      <sheetName val="beam-reinft-machine_rm3"/>
      <sheetName val="Bill_No_2_to_8_(Rev)2"/>
      <sheetName val="STILT_FLOOR2"/>
      <sheetName val="TMT_STEEL2"/>
      <sheetName val="Extra_Item2"/>
      <sheetName val="PRRM_Dashboard31"/>
      <sheetName val="LT_Motor_catalog14"/>
      <sheetName val="Cable_cat14"/>
      <sheetName val="Debits_as_on_12_04_0829"/>
      <sheetName val="Staff_Forecast_spread29"/>
      <sheetName val="Direct_cost_shed_A-2_29"/>
      <sheetName val="Index_29"/>
      <sheetName val="Email_Approval_Template29"/>
      <sheetName val="1_Executive_Summary29"/>
      <sheetName val="2_Risk_Assessment_Analysis29"/>
      <sheetName val="3_Pre-Approval29"/>
      <sheetName val="4_CIS29"/>
      <sheetName val="5_Change_Order29"/>
      <sheetName val="5_1__Re-book_De-book_order29"/>
      <sheetName val="6_Contract_Re-estimates29"/>
      <sheetName val="7a_BG_Approval_Form29"/>
      <sheetName val="7b_BG_Email_Approval_Template29"/>
      <sheetName val="8_LAD_Approval_Form29"/>
      <sheetName val="9_LOI_Checklist29"/>
      <sheetName val="10_RPS_Information_Form29"/>
      <sheetName val="11_Proj_Cashflow_29"/>
      <sheetName val="11_1_Cash-flow_Chart29"/>
      <sheetName val="Threshold_Calculator29"/>
      <sheetName val="Version_Control29"/>
      <sheetName val="Prebid_Review29"/>
      <sheetName val="DJC_Parameters29"/>
      <sheetName val="Selling_Summary29"/>
      <sheetName val="1-BAS_(cost)29"/>
      <sheetName val="Controller_Configuration29"/>
      <sheetName val="IO_Summary29"/>
      <sheetName val="2-FAS_(cost)29"/>
      <sheetName val="Cost_Summary29"/>
      <sheetName val="3-PA_(cost)29"/>
      <sheetName val="Approved_Make29"/>
      <sheetName val="Basis_of_offer29"/>
      <sheetName val="High_Level_Summary29"/>
      <sheetName val="4-ACS__(cost)29"/>
      <sheetName val="5-CCTV__(cost)29"/>
      <sheetName val="6-FFT__(cost)29"/>
      <sheetName val="7-_Service_Retrofit__(cost)29"/>
      <sheetName val="8-Service_PSA,O&amp;M__(cost)29"/>
      <sheetName val="9-_Service_L&amp;M__(cost)29"/>
      <sheetName val="non_fixed_DJC_29"/>
      <sheetName val="10-UPG_(cost)29"/>
      <sheetName val="11-ESG__(cost)29"/>
      <sheetName val="12-Products_(cost)29"/>
      <sheetName val="13-VAV__(cost)29"/>
      <sheetName val="14-REF_(cost)29"/>
      <sheetName val="15_-_Local_Chiller_(cost)29"/>
      <sheetName val="Selling-Local_Chiller29"/>
      <sheetName val="Material_Cost_JCS29"/>
      <sheetName val="Costing_USD_Chiller29"/>
      <sheetName val="Selling-USD_Chiller29"/>
      <sheetName val="PRICE_MATRIX_-JCIPL29"/>
      <sheetName val="COST_SUMMARY-_JCIPL29"/>
      <sheetName val="6_-FFT-JCIPL29"/>
      <sheetName val="7-Ser_Retro_-JCIPL29"/>
      <sheetName val="8-Ser_PSA,_O&amp;M_-JCIPL29"/>
      <sheetName val="9-Ser_L&amp;M_-JCIPL29"/>
      <sheetName val="10-UPG_JCIPL29"/>
      <sheetName val="11-ESG_JCIPL29"/>
      <sheetName val="12-Products_JCIPL29"/>
      <sheetName val="13-VAV_JCIPL29"/>
      <sheetName val="14-REF_JCMRL_29"/>
      <sheetName val="Proj__DJC-JCIPL29"/>
      <sheetName val="_L0_DDC_129"/>
      <sheetName val="L0_DDC-229"/>
      <sheetName val="L16_DDC-329"/>
      <sheetName val="L16_DDC-529"/>
      <sheetName val="L17_DDC-629"/>
      <sheetName val="L17_DDC-7_29"/>
      <sheetName val="L18_DDC-829"/>
      <sheetName val="2-AutoDialer_Sys29"/>
      <sheetName val="1-BAS1_(cost)29"/>
      <sheetName val="2-BAS2_(cost)29"/>
      <sheetName val="Deviations-Project_Risks29"/>
      <sheetName val="IO_Schedule29"/>
      <sheetName val="2_2_띠장의_설계8"/>
      <sheetName val="Works_-_Quote_Sheet4"/>
      <sheetName val="PACK_(B)4"/>
      <sheetName val="syndicate_codes4"/>
      <sheetName val="_4"/>
      <sheetName val="1_01_(a)4"/>
      <sheetName val="Page_14"/>
      <sheetName val="Page_24"/>
      <sheetName val="Page_34"/>
      <sheetName val="Page_4_Installed4"/>
      <sheetName val="Page_4_Required4"/>
      <sheetName val="Page_5a4"/>
      <sheetName val="Page_5b4"/>
      <sheetName val="Page_5c4"/>
      <sheetName val="Page_5d4"/>
      <sheetName val="Page_5e4"/>
      <sheetName val="Page_5f4"/>
      <sheetName val="Page_5f_(2)4"/>
      <sheetName val="Page_6a4"/>
      <sheetName val="Page_6b4"/>
      <sheetName val="Page_7-14"/>
      <sheetName val="Page_7-2a1-I4"/>
      <sheetName val="Page_7-2a1-II4"/>
      <sheetName val="Page_7-2a1-III4"/>
      <sheetName val="Page_7-2a24"/>
      <sheetName val="Page_7-34"/>
      <sheetName val="Page_7-5a4"/>
      <sheetName val="Page_7-5b14"/>
      <sheetName val="Page_7-5b24"/>
      <sheetName val="Page_7-5c4"/>
      <sheetName val="Page_7-9a4"/>
      <sheetName val="Page_7-9b14"/>
      <sheetName val="Page_7-9b24"/>
      <sheetName val="Page_7-9c4"/>
      <sheetName val="Page_7-11a1-I4"/>
      <sheetName val="Page_7-11a1-II4"/>
      <sheetName val="Page_7-11a1-III4"/>
      <sheetName val="Page_7-11a24"/>
      <sheetName val="Page_7-154"/>
      <sheetName val="Page_7-16a4"/>
      <sheetName val="Page_7-16b4"/>
      <sheetName val="Page_84"/>
      <sheetName val="Havells__LT_(XLPE)4"/>
      <sheetName val="IO_List4"/>
      <sheetName val="Basic_Rate4"/>
      <sheetName val="INFLUENCES_ON_GM4"/>
      <sheetName val="Labour_Rate_4"/>
      <sheetName val="Break_Up_(bc)4"/>
      <sheetName val="Break_Up_(bc1)4"/>
      <sheetName val="Break_Up_(bc2)4"/>
      <sheetName val="Steel_Payment_Doc4"/>
      <sheetName val="Assumption_Inputs4"/>
      <sheetName val="Ins_&amp;_Bonds4"/>
      <sheetName val="Site_facilities4"/>
      <sheetName val="Clients_Requirements4"/>
      <sheetName val="foot-slab_reinft3"/>
      <sheetName val="MASTER_RATE_ANALYSIS3"/>
      <sheetName val="2_BHK4"/>
      <sheetName val="BALANCE-IOTL_4"/>
      <sheetName val="Tender_Appraisal4"/>
      <sheetName val="[Spt-BH_xls][Spt-BH_xls][Spt-B4"/>
      <sheetName val="[Spt-BH_xls][Spt-BH_xls]B@[?@?4"/>
      <sheetName val="Data_sheet3"/>
      <sheetName val="Mat_Cost4"/>
      <sheetName val="DB_ET200(R__A)4"/>
      <sheetName val="kppl_pl4"/>
      <sheetName val="Basic_Rates4"/>
      <sheetName val="activit-graph__4"/>
      <sheetName val="SP&amp;ST_제출가4"/>
      <sheetName val="STILT_FLOOR3"/>
      <sheetName val="[Spt-BH_xls]B@[_x005f_x0000__x005f_x0004_@4"/>
      <sheetName val="_Spt-BH_xls__Spt-BH_xls_B@_3"/>
      <sheetName val="_Spt-BH_xls__Spt-BH_xls__Spt-B3"/>
      <sheetName val="_Spt-BH_xls__Spt-BH_xls_B@__@_3"/>
      <sheetName val="Prelims_Breakup3"/>
      <sheetName val="Staff_planning3"/>
      <sheetName val="1_yr_maintainance3"/>
      <sheetName val="SP_Break_Up3"/>
      <sheetName val="[Spt-BH_xls][Spt-BH_xls]B@[?_x4"/>
      <sheetName val="BQ_List3"/>
      <sheetName val="PANEL_ANNEXURE3"/>
      <sheetName val="Vind_-_BtB3"/>
      <sheetName val="PCS_DATA3"/>
      <sheetName val="Rate_analysis_civil3"/>
      <sheetName val="material_and_Labour_rate3"/>
      <sheetName val="GR_slab-reinft3"/>
      <sheetName val="PPA_Summary3"/>
      <sheetName val="Contract_Status3"/>
      <sheetName val="_Spt-BH_xls_B@_3"/>
      <sheetName val="_Spt-BH_xls_B@_@__$3"/>
      <sheetName val="_Spt-BH_xls_B@__@_____$__3"/>
      <sheetName val="_Spt-BH_xls__Spt-BH_xls_B@___x3"/>
      <sheetName val="_Spt-BH_xls__Spt-BH_xls_B@_@__3"/>
      <sheetName val="beam-reinft-machine_rm4"/>
      <sheetName val="Bill_No_2_to_8_(Rev)3"/>
      <sheetName val="_Spt-BH_xls_B@__@___$_3"/>
      <sheetName val="_Spt-BH_xls__Spt-BH_xls_B@__x03"/>
      <sheetName val="TMT_STEEL3"/>
      <sheetName val="Extra_Item3"/>
      <sheetName val="Camp_Power_Cost4"/>
      <sheetName val="DM_tANK_Allow3"/>
      <sheetName val="입찰내역_발주처_양식3"/>
      <sheetName val="SC_Cost_FEB_033"/>
      <sheetName val="Approved MTD Proj #'s"/>
      <sheetName val="BLOCK-A (MEA.SHEET)"/>
      <sheetName val="BOQ LT"/>
      <sheetName val="_Spt-BH.xls__Spt-BH.xls_B___158"/>
      <sheetName val="_Spt-BH.xls__Spt-BH.xls_B___159"/>
      <sheetName val="_Spt-BH.xls__Spt-BH.xls_B___160"/>
      <sheetName val="_Spt-BH.xls__Spt-BH.xls_B___147"/>
      <sheetName val="_Spt-BH.xls__Spt-BH.xls_B___148"/>
      <sheetName val="_Spt-BH.xls__Spt-BH.xls_B___149"/>
      <sheetName val="_Spt-BH.xls__Spt-BH.xls_B___161"/>
      <sheetName val="_Spt-BH.xls__Spt-BH.xls_B___162"/>
      <sheetName val="_Spt-BH.xls__Spt-BH.xls_B___163"/>
      <sheetName val="_Spt-BH.xls__Spt-BH.xls_B___150"/>
      <sheetName val="_Spt-BH.xls__Spt-BH.xls_B___151"/>
      <sheetName val="_Spt-BH.xls__Spt-BH.xls_B___164"/>
      <sheetName val="_Spt-BH.xls__Spt-BH.xls_B___165"/>
      <sheetName val="_Spt-BH.xls__Spt-BH.xls_B___166"/>
      <sheetName val="_Spt-BH.xls_B____x005f_x0004_______17"/>
      <sheetName val="_Spt-BH.xls_B___x005f_x0000__x005f_x0004_17"/>
      <sheetName val="_Spt-BH.xls__Spt-BH.xls_B___167"/>
      <sheetName val="_Spt-BH.xls__Spt-BH.xls_B___168"/>
      <sheetName val="_Spt-BH.xls__Spt-BH.xls_B___169"/>
      <sheetName val="_Spt-BH.xls__Spt-BH.xls_B___152"/>
      <sheetName val="_Spt-BH.xls_B____x005f_x0004_______16"/>
      <sheetName val="_Spt-BH.xls_B___x005f_x0000__x005f_x0004_16"/>
      <sheetName val="_Spt-BH.xls_B____x005f_x0004_______18"/>
      <sheetName val="_Spt-BH.xls_B___x005f_x0000__x005f_x0004_18"/>
      <sheetName val="_Spt-BH.xls_B____x005f_x0004_______20"/>
      <sheetName val="_Spt-BH.xls_B___x005f_x0000__x005f_x0004_20"/>
      <sheetName val="_Spt-BH.xls__Spt-BH.xls_B___182"/>
      <sheetName val="_Spt-BH.xls__Spt-BH.xls_B___183"/>
      <sheetName val="_Spt-BH.xls__Spt-BH.xls_B___184"/>
      <sheetName val="_Spt-BH.xls__Spt-BH.xls_B___185"/>
      <sheetName val="_Spt-BH.xls__Spt-BH.xls_B___186"/>
      <sheetName val="_Spt-BH.xls__Spt-BH.xls_B___187"/>
      <sheetName val="_Spt-BH.xls__Spt-BH.xls_B___170"/>
      <sheetName val="_Spt-BH.xls__Spt-BH.xls_B___171"/>
      <sheetName val="_Spt-BH.xls__Spt-BH.xls_B___172"/>
      <sheetName val="_Spt-BH.xls__Spt-BH.xls_B___173"/>
      <sheetName val="_Spt-BH.xls__Spt-BH.xls_B___174"/>
      <sheetName val="_Spt-BH.xls__Spt-BH.xls_B___175"/>
      <sheetName val="_Spt-BH.xls_B____x005f_x0004_______19"/>
      <sheetName val="_Spt-BH.xls_B___x005f_x0000__x005f_x0004_19"/>
      <sheetName val="_Spt-BH.xls__Spt-BH.xls_B___176"/>
      <sheetName val="_Spt-BH.xls__Spt-BH.xls_B___177"/>
      <sheetName val="_Spt-BH.xls__Spt-BH.xls_B___178"/>
      <sheetName val="_Spt-BH.xls__Spt-BH.xls_B___179"/>
      <sheetName val="_Spt-BH.xls__Spt-BH.xls_B___180"/>
      <sheetName val="_Spt-BH.xls__Spt-BH.xls_B___181"/>
      <sheetName val="_Spt-BH.xls__Spt-BH.xls_B___188"/>
      <sheetName val="_Spt-BH.xls__Spt-BH.xls_B___189"/>
      <sheetName val="_Spt-BH.xls__Spt-BH.xls_B___190"/>
      <sheetName val="_Spt-BH.xls__Spt-BH.xls_B___191"/>
      <sheetName val="_Spt-BH.xls__Spt-BH.xls_B___192"/>
      <sheetName val="_Spt-BH.xls__Spt-BH.xls_B___193"/>
      <sheetName val="_Spt-BH.xls__Spt-BH.xls_B___242"/>
      <sheetName val="_Spt-BH.xls__Spt-BH.xls_B___243"/>
      <sheetName val="_Spt-BH.xls__Spt-BH.xls_B___244"/>
      <sheetName val="_Spt-BH.xls_B____x005f_x0004_______21"/>
      <sheetName val="_Spt-BH.xls_B___x005f_x0000__x005f_x0004_21"/>
      <sheetName val="_Spt-BH.xls__Spt-BH.xls_B___194"/>
      <sheetName val="_Spt-BH.xls__Spt-BH.xls_B___195"/>
      <sheetName val="_Spt-BH.xls__Spt-BH.xls_B___196"/>
      <sheetName val="_Spt-BH.xls__Spt-BH.xls_B___197"/>
      <sheetName val="_Spt-BH.xls__Spt-BH.xls_B___245"/>
      <sheetName val="_Spt-BH.xls__Spt-BH.xls_B___246"/>
      <sheetName val="_Spt-BH.xls__Spt-BH.xls_B___247"/>
      <sheetName val="_Spt-BH.xls__Spt-BH.xls_B___198"/>
      <sheetName val="_Spt-BH.xls__Spt-BH.xls_B___199"/>
      <sheetName val="_Spt-BH.xls__Spt-BH.xls_B___248"/>
      <sheetName val="_Spt-BH.xls__Spt-BH.xls__Spt_54"/>
      <sheetName val="_Spt-BH.xls__Spt-BH.xls_B___249"/>
      <sheetName val="_Spt-BH.xls__Spt-BH.xls_B___250"/>
      <sheetName val="_Spt-BH.xls_B____x005f_x0004_______27"/>
      <sheetName val="_Spt-BH.xls_B___x005f_x0000__x005f_x0004_27"/>
      <sheetName val="_Spt-BH.xls__Spt-BH.xls_B___251"/>
      <sheetName val="_Spt-BH.xls__Spt-BH.xls_B___252"/>
      <sheetName val="_Spt-BH.xls__Spt-BH.xls_B___253"/>
      <sheetName val="_Spt-BH.xls__Spt-BH.xls_B___230"/>
      <sheetName val="_Spt-BH.xls__Spt-BH.xls_B___231"/>
      <sheetName val="_Spt-BH.xls__Spt-BH.xls_B___232"/>
      <sheetName val="_Spt-BH.xls_B____x005f_x0004_______22"/>
      <sheetName val="_Spt-BH.xls_B___x005f_x0000__x005f_x0004_22"/>
      <sheetName val="_Spt-BH.xls__Spt-BH.xls_B___200"/>
      <sheetName val="_Spt-BH.xls__Spt-BH.xls_B___201"/>
      <sheetName val="_Spt-BH.xls__Spt-BH.xls_B___202"/>
      <sheetName val="_Spt-BH.xls__Spt-BH.xls_B___203"/>
      <sheetName val="_Spt-BH.xls__Spt-BH.xls_B___233"/>
      <sheetName val="_Spt-BH.xls__Spt-BH.xls_B___234"/>
      <sheetName val="_Spt-BH.xls__Spt-BH.xls_B___235"/>
      <sheetName val="_Spt-BH.xls__Spt-BH.xls_B___204"/>
      <sheetName val="_Spt-BH.xls__Spt-BH.xls_B___205"/>
      <sheetName val="_Spt-BH.xls__Spt-BH.xls_B___236"/>
      <sheetName val="_Spt-BH.xls__Spt-BH.xls_B___237"/>
      <sheetName val="_Spt-BH.xls__Spt-BH.xls_B___238"/>
      <sheetName val="_Spt-BH.xls__Spt-BH.xls_B___239"/>
      <sheetName val="_Spt-BH.xls__Spt-BH.xls_B___240"/>
      <sheetName val="_Spt-BH.xls_B____x005f_x0004_______26"/>
      <sheetName val="_Spt-BH.xls_B___x005f_x0000__x005f_x0004_26"/>
      <sheetName val="_Spt-BH.xls__Spt-BH.xls_B___241"/>
      <sheetName val="_Spt-BH.xls__Spt-BH.xls_B___206"/>
      <sheetName val="_Spt-BH.xls__Spt-BH.xls_B___207"/>
      <sheetName val="_Spt-BH.xls__Spt-BH.xls_B___208"/>
      <sheetName val="_Spt-BH.xls__Spt-BH.xls_B___209"/>
      <sheetName val="_Spt-BH.xls__Spt-BH.xls_B___210"/>
      <sheetName val="_Spt-BH.xls__Spt-BH.xls_B___211"/>
      <sheetName val="_Spt-BH.xls_B____x005f_x0004_______23"/>
      <sheetName val="_Spt-BH.xls_B___x005f_x0000__x005f_x0004_23"/>
      <sheetName val="_Spt-BH.xls__Spt-BH.xls_B___224"/>
      <sheetName val="_Spt-BH.xls__Spt-BH.xls_B___225"/>
      <sheetName val="_Spt-BH.xls__Spt-BH.xls_B___226"/>
      <sheetName val="_Spt-BH.xls__Spt-BH.xls_B___227"/>
      <sheetName val="_Spt-BH.xls__Spt-BH.xls_B___228"/>
      <sheetName val="_Spt-BH.xls__Spt-BH.xls_B___229"/>
      <sheetName val="_Spt-BH.xls_B____x005f_x0004_______25"/>
      <sheetName val="_Spt-BH.xls_B___x005f_x0000__x005f_x0004_25"/>
      <sheetName val="_Spt-BH.xls__Spt-BH.xls_B___218"/>
      <sheetName val="_Spt-BH.xls__Spt-BH.xls_B___219"/>
      <sheetName val="_Spt-BH.xls__Spt-BH.xls_B___220"/>
      <sheetName val="_Spt-BH.xls__Spt-BH.xls_B___221"/>
      <sheetName val="_Spt-BH.xls__Spt-BH.xls_B___222"/>
      <sheetName val="_Spt-BH.xls__Spt-BH.xls_B___223"/>
      <sheetName val="_Spt-BH.xls_B____x005f_x0004_______24"/>
      <sheetName val="_Spt-BH.xls_B___x005f_x0000__x005f_x0004_24"/>
      <sheetName val="_Spt-BH.xls__Spt-BH.xls_B___212"/>
      <sheetName val="_Spt-BH.xls__Spt-BH.xls_B___213"/>
      <sheetName val="_Spt-BH.xls__Spt-BH.xls_B___214"/>
      <sheetName val="_Spt-BH.xls__Spt-BH.xls_B___215"/>
      <sheetName val="_Spt-BH.xls__Spt-BH.xls_B___216"/>
      <sheetName val="_Spt-BH.xls__Spt-BH.xls_B___217"/>
      <sheetName val="_Spt-BH.xls__Spt-BH.xls_B___260"/>
      <sheetName val="_Spt-BH.xls__Spt-BH.xls__Spt_55"/>
      <sheetName val="_Spt-BH.xls__Spt-BH.xls_B___261"/>
      <sheetName val="_Spt-BH.xls__Spt-BH.xls_B___262"/>
      <sheetName val="_Spt-BH.xls_B____x005f_x0004_______28"/>
      <sheetName val="_Spt-BH.xls_B___x005f_x0000__x005f_x0004_28"/>
      <sheetName val="_Spt-BH.xls__Spt-BH.xls_B___263"/>
      <sheetName val="_Spt-BH.xls__Spt-BH.xls_B___264"/>
      <sheetName val="_Spt-BH.xls__Spt-BH.xls_B___265"/>
      <sheetName val="_Spt-BH.xls__Spt-BH.xls_B___254"/>
      <sheetName val="_Spt-BH.xls__Spt-BH.xls_B___255"/>
      <sheetName val="_Spt-BH.xls__Spt-BH.xls_B___256"/>
      <sheetName val="_Spt-BH.xls__Spt-BH.xls_B___257"/>
      <sheetName val="_Spt-BH.xls__Spt-BH.xls_B___258"/>
      <sheetName val="_Spt-BH.xls__Spt-BH.xls_B___259"/>
      <sheetName val="_Spt-BH.xls__Spt-BH.xls_B___266"/>
      <sheetName val="_Spt-BH.xls__Spt-BH.xls__Spt_56"/>
      <sheetName val="_Spt-BH.xls__Spt-BH.xls_B___267"/>
      <sheetName val="_Spt-BH.xls__Spt-BH.xls_B___268"/>
      <sheetName val="_Spt-BH.xls_B____x005f_x0004_______29"/>
      <sheetName val="_Spt-BH.xls_B___x005f_x0000__x005f_x0004_29"/>
      <sheetName val="_Spt-BH.xls__Spt-BH.xls_B___269"/>
      <sheetName val="_Spt-BH.xls__Spt-BH.xls_B___270"/>
      <sheetName val="_Spt-BH.xls__Spt-BH.xls_B___271"/>
      <sheetName val="_Spt-BH.xls__Spt-BH.xls_B___284"/>
      <sheetName val="_Spt-BH.xls__Spt-BH.xls_B___285"/>
      <sheetName val="_Spt-BH.xls__Spt-BH.xls_B___286"/>
      <sheetName val="_Spt-BH.xls_B____x005f_x0004_______30"/>
      <sheetName val="_Spt-BH.xls_B___x005f_x0000__x005f_x0004_30"/>
      <sheetName val="_Spt-BH.xls__Spt-BH.xls_B___272"/>
      <sheetName val="_Spt-BH.xls__Spt-BH.xls__Spt_58"/>
      <sheetName val="_Spt-BH.xls__Spt-BH.xls_B___273"/>
      <sheetName val="_Spt-BH.xls__Spt-BH.xls_B___274"/>
      <sheetName val="_Spt-BH.xls__Spt-BH.xls_B___275"/>
      <sheetName val="_Spt-BH.xls__Spt-BH.xls_B___287"/>
      <sheetName val="_Spt-BH.xls__Spt-BH.xls_B___288"/>
      <sheetName val="_Spt-BH.xls__Spt-BH.xls_B___289"/>
      <sheetName val="_Spt-BH.xls__Spt-BH.xls_B___276"/>
      <sheetName val="_Spt-BH.xls__Spt-BH.xls_B___277"/>
      <sheetName val="_Spt-BH.xls__Spt-BH.xls_B___278"/>
      <sheetName val="_Spt-BH.xls__Spt-BH.xls_B___279"/>
      <sheetName val="_Spt-BH.xls__Spt-BH.xls_B___280"/>
      <sheetName val="_Spt-BH.xls__Spt-BH.xls__Spt_57"/>
      <sheetName val="_Spt-BH.xls__Spt-BH.xls_B___281"/>
      <sheetName val="_Spt-BH.xls__Spt-BH.xls_B___282"/>
      <sheetName val="_Spt-BH.xls__Spt-BH.xls_B___283"/>
      <sheetName val="_Spt-BH.xls__Spt-BH.xls__Spt_59"/>
      <sheetName val="_Spt-BH.xls__Spt-BH.xls_B___290"/>
      <sheetName val="_Spt-BH.xls__Spt-BH.xls__Spt_60"/>
      <sheetName val="_Spt-BH.xls__Spt-BH.xls_B___291"/>
      <sheetName val="_Spt-BH.xls__Spt-BH.xls_B___292"/>
      <sheetName val="_Spt-BH.xls__Spt-BH.xls_B___293"/>
      <sheetName val="_Spt-BH.xls__Spt-BH.xls_B___294"/>
      <sheetName val="_Spt-BH.xls__Spt-BH.xls_B___295"/>
      <sheetName val="_Spt-BH.xls__Spt-BH.xls_B___296"/>
      <sheetName val="_Spt-BH.xls__Spt-BH.xls_B___297"/>
      <sheetName val="_Spt-BH.xls__Spt-BH.xls_B___298"/>
      <sheetName val="_Spt-BH.xls__Spt-BH.xls__Spt_62"/>
      <sheetName val="_Spt-BH.xls__Spt-BH.xls_B___299"/>
      <sheetName val="_Spt-BH.xls__Spt-BH.xls_B___300"/>
      <sheetName val="_Spt-BH.xls__Spt-BH.xls__Spt_61"/>
      <sheetName val="_Spt-BH.xls__Spt-BH.xls_B___301"/>
      <sheetName val="_Spt-BH.xls__Spt-BH.xls_B___302"/>
      <sheetName val="_Spt-BH.xls__Spt-BH.xls__Spt_63"/>
      <sheetName val="_Spt-BH.xls__Spt-BH.xls_B___303"/>
      <sheetName val="_Spt-BH.xls__Spt-BH.xls_B___304"/>
      <sheetName val="_Spt-BH.xls_B____x005f_x0004_______31"/>
      <sheetName val="_Spt-BH.xls_B___x005f_x0000__x005f_x0004_31"/>
      <sheetName val="_Spt-BH.xls__Spt-BH.xls_B___305"/>
      <sheetName val="_Spt-BH.xls__Spt-BH.xls_B___306"/>
      <sheetName val="_Spt-BH.xls__Spt-BH.xls_B___307"/>
      <sheetName val="_Spt-BH.xls__Spt-BH.xls_B___308"/>
      <sheetName val="_Spt-BH.xls__Spt-BH.xls__Spt_65"/>
      <sheetName val="_Spt-BH.xls__Spt-BH.xls_B___309"/>
      <sheetName val="_Spt-BH.xls__Spt-BH.xls_B___310"/>
      <sheetName val="_Spt-BH.xls__Spt-BH.xls_B___311"/>
      <sheetName val="_Spt-BH.xls__Spt-BH.xls_B___312"/>
      <sheetName val="_Spt-BH.xls__Spt-BH.xls_B___313"/>
      <sheetName val="_Spt-BH.xls__Spt-BH.xls__Spt_64"/>
      <sheetName val="_Spt-BH.xls__Spt-BH.xls_B___314"/>
      <sheetName val="_Spt-BH.xls__Spt-BH.xls_B___315"/>
      <sheetName val="_Spt-BH.xls__Spt-BH.xls_B___316"/>
      <sheetName val="_Spt-BH.xls__Spt-BH.xls_B___317"/>
      <sheetName val="_Spt-BH.xls__Spt-BH.xls_B___318"/>
      <sheetName val="_Spt-BH.xls__Spt-BH.xls_B___319"/>
      <sheetName val="_Spt-BH.xls__Spt-BH.xls_B___320"/>
      <sheetName val="_Spt-BH.xls__Spt-BH.xls__Spt_67"/>
      <sheetName val="_Spt-BH.xls__Spt-BH.xls_B___321"/>
      <sheetName val="_Spt-BH.xls__Spt-BH.xls_B___322"/>
      <sheetName val="_Spt-BH.xls__Spt-BH.xls_B___323"/>
      <sheetName val="_Spt-BH.xls__Spt-BH.xls_B___324"/>
      <sheetName val="_Spt-BH.xls__Spt-BH.xls_B___325"/>
      <sheetName val="_Spt-BH.xls__Spt-BH.xls_B___332"/>
      <sheetName val="_Spt-BH.xls__Spt-BH.xls_B___333"/>
      <sheetName val="_Spt-BH.xls__Spt-BH.xls_B___334"/>
      <sheetName val="_Spt-BH.xls_B____x005f_x0004_______32"/>
      <sheetName val="_Spt-BH.xls_B___x005f_x0000__x005f_x0004_32"/>
      <sheetName val="_Spt-BH.xls__Spt-BH.xls_B___335"/>
      <sheetName val="_Spt-BH.xls__Spt-BH.xls_B___336"/>
      <sheetName val="_Spt-BH.xls__Spt-BH.xls_B___337"/>
      <sheetName val="_Spt-BH.xls__Spt-BH.xls_B___338"/>
      <sheetName val="_Spt-BH.xls__Spt-BH.xls_B___339"/>
      <sheetName val="_Spt-BH.xls__Spt-BH.xls_B___340"/>
      <sheetName val="_Spt-BH.xls__Spt-BH.xls_B___341"/>
      <sheetName val="_Spt-BH.xls__Spt-BH.xls_B___342"/>
      <sheetName val="_Spt-BH.xls_B____x005f_x0004_______34"/>
      <sheetName val="_Spt-BH.xls_B___x005f_x0000__x005f_x0004_34"/>
      <sheetName val="_Spt-BH.xls__Spt-BH.xls_B___343"/>
      <sheetName val="_Spt-BH.xls__Spt-BH.xls__Spt_66"/>
      <sheetName val="_Spt-BH.xls__Spt-BH.xls_B___326"/>
      <sheetName val="_Spt-BH.xls__Spt-BH.xls_B___327"/>
      <sheetName val="_Spt-BH.xls__Spt-BH.xls_B___328"/>
      <sheetName val="_Spt-BH.xls__Spt-BH.xls_B___329"/>
      <sheetName val="_Spt-BH.xls__Spt-BH.xls_B___330"/>
      <sheetName val="_Spt-BH.xls__Spt-BH.xls_B___331"/>
      <sheetName val="_Spt-BH.xls_B____x005f_x0004_______33"/>
      <sheetName val="_Spt-BH.xls_B___x005f_x0000__x005f_x0004_33"/>
      <sheetName val="_Spt-BH.xls__Spt-BH.xls__Spt_71"/>
      <sheetName val="_Spt-BH.xls__Spt-BH.xls_B___356"/>
      <sheetName val="_Spt-BH.xls__Spt-BH.xls_B___357"/>
      <sheetName val="_Spt-BH.xls__Spt-BH.xls_B___358"/>
      <sheetName val="_Spt-BH.xls__Spt-BH.xls__Spt_72"/>
      <sheetName val="_Spt-BH.xls__Spt-BH.xls_B___359"/>
      <sheetName val="_Spt-BH.xls__Spt-BH.xls_B___360"/>
      <sheetName val="_Spt-BH.xls__Spt-BH.xls_B___361"/>
      <sheetName val="_Spt-BH.xls__Spt-BH.xls__Spt_69"/>
      <sheetName val="_Spt-BH.xls__Spt-BH.xls_B___344"/>
      <sheetName val="_Spt-BH.xls__Spt-BH.xls_B___345"/>
      <sheetName val="_Spt-BH.xls__Spt-BH.xls_B___346"/>
      <sheetName val="_Spt-BH.xls__Spt-BH.xls_B___347"/>
      <sheetName val="_Spt-BH.xls__Spt-BH.xls_B___348"/>
      <sheetName val="_Spt-BH.xls__Spt-BH.xls_B___349"/>
      <sheetName val="_Spt-BH.xls__Spt-BH.xls__Spt_70"/>
      <sheetName val="_Spt-BH.xls__Spt-BH.xls_B___350"/>
      <sheetName val="_Spt-BH.xls__Spt-BH.xls_B___351"/>
      <sheetName val="_Spt-BH.xls__Spt-BH.xls_B___352"/>
      <sheetName val="_Spt-BH.xls__Spt-BH.xls_B___353"/>
      <sheetName val="_Spt-BH.xls__Spt-BH.xls_B___354"/>
      <sheetName val="_Spt-BH.xls__Spt-BH.xls_B___355"/>
      <sheetName val="_Spt-BH.xls__Spt-BH.xls_B___362"/>
      <sheetName val="_Spt-BH.xls__Spt-BH.xls__Spt_73"/>
      <sheetName val="_Spt-BH.xls__Spt-BH.xls_B___363"/>
      <sheetName val="_Spt-BH.xls__Spt-BH.xls_B___364"/>
      <sheetName val="_Spt-BH.xls__Spt-BH.xls_B___365"/>
      <sheetName val="_Spt-BH.xls__Spt-BH.xls_B___366"/>
      <sheetName val="_Spt-BH.xls__Spt-BH.xls_B___367"/>
      <sheetName val="_Spt-BH.xls__Spt-BH.xls__Spt_75"/>
      <sheetName val="_Spt-BH.xls__Spt-BH.xls_B___398"/>
      <sheetName val="_Spt-BH.xls__Spt-BH.xls__Spt_90"/>
      <sheetName val="_Spt-BH.xls__Spt-BH.xls_B___399"/>
      <sheetName val="_Spt-BH.xls__Spt-BH.xls_B___400"/>
      <sheetName val="_Spt-BH.xls_B____x005f_x0004_______35"/>
      <sheetName val="_Spt-BH.xls_B___x005f_x0000__x005f_x0004_35"/>
      <sheetName val="_Spt-BH.xls__Spt-BH.xls_B___368"/>
      <sheetName val="_Spt-BH.xls__Spt-BH.xls__Spt_80"/>
      <sheetName val="_Spt-BH.xls__Spt-BH.xls_B___369"/>
      <sheetName val="_Spt-BH.xls__Spt-BH.xls_B___370"/>
      <sheetName val="_Spt-BH.xls__Spt-BH.xls_B___371"/>
      <sheetName val="_Spt-BH.xls__Spt-BH.xls_B___401"/>
      <sheetName val="_Spt-BH.xls__Spt-BH.xls_B___402"/>
      <sheetName val="_Spt-BH.xls__Spt-BH.xls_B___403"/>
      <sheetName val="_Spt-BH.xls__Spt-BH.xls_B___372"/>
      <sheetName val="_Spt-BH.xls__Spt-BH.xls_B___373"/>
      <sheetName val="_Spt-BH.xls__Spt-BH.xls__Spt_74"/>
      <sheetName val="_Spt-BH.xls__Spt-BH.xls__Spt_78"/>
      <sheetName val="_Spt-BH.xls__Spt-BH.xls_B___392"/>
      <sheetName val="_Spt-BH.xls__Spt-BH.xls_B___393"/>
      <sheetName val="_Spt-BH.xls__Spt-BH.xls_B___394"/>
      <sheetName val="_Spt-BH.xls_B____x005f_x0004_______38"/>
      <sheetName val="_Spt-BH.xls_B___x005f_x0000__x005f_x0004_38"/>
      <sheetName val="_Spt-BH.xls__Spt-BH.xls_B___386"/>
      <sheetName val="_Spt-BH.xls__Spt-BH.xls__Spt_79"/>
      <sheetName val="_Spt-BH.xls__Spt-BH.xls_B___387"/>
      <sheetName val="_Spt-BH.xls__Spt-BH.xls_B___388"/>
      <sheetName val="_Spt-BH.xls__Spt-BH.xls_B___389"/>
      <sheetName val="_Spt-BH.xls__Spt-BH.xls_B___395"/>
      <sheetName val="_Spt-BH.xls__Spt-BH.xls_B___396"/>
      <sheetName val="_Spt-BH.xls__Spt-BH.xls_B___397"/>
      <sheetName val="_Spt-BH.xls__Spt-BH.xls_B___390"/>
      <sheetName val="_Spt-BH.xls__Spt-BH.xls_B___391"/>
      <sheetName val="_Spt-BH.xls__Spt-BH.xls__Spt_76"/>
      <sheetName val="_Spt-BH.xls_B____x005f_x0004_______36"/>
      <sheetName val="_Spt-BH.xls_B___x005f_x0000__x005f_x0004_36"/>
      <sheetName val="_Spt-BH.xls__Spt-BH.xls_B___374"/>
      <sheetName val="_Spt-BH.xls__Spt-BH.xls_B___375"/>
      <sheetName val="_Spt-BH.xls__Spt-BH.xls_B___376"/>
      <sheetName val="_Spt-BH.xls__Spt-BH.xls_B___377"/>
      <sheetName val="_Spt-BH.xls__Spt-BH.xls_B___378"/>
      <sheetName val="_Spt-BH.xls__Spt-BH.xls_B___379"/>
      <sheetName val="_Spt-BH.xls__Spt-BH.xls__Spt_77"/>
      <sheetName val="_Spt-BH.xls_B____x005f_x0004_______37"/>
      <sheetName val="_Spt-BH.xls_B___x005f_x0000__x005f_x0004_37"/>
      <sheetName val="_Spt-BH.xls__Spt-BH.xls_B___380"/>
      <sheetName val="_Spt-BH.xls__Spt-BH.xls_B___381"/>
      <sheetName val="_Spt-BH.xls__Spt-BH.xls_B___382"/>
      <sheetName val="_Spt-BH.xls__Spt-BH.xls_B___383"/>
      <sheetName val="_Spt-BH.xls__Spt-BH.xls_B___384"/>
      <sheetName val="_Spt-BH.xls__Spt-BH.xls_B___385"/>
      <sheetName val="_Spt-BH.xls_B____x005f_x0004_______39"/>
      <sheetName val="_Spt-BH.xls_B___x005f_x0000__x005f_x0004_39"/>
      <sheetName val="_Spt-BH.xls__Spt-BH.xls_B___440"/>
      <sheetName val="_Spt-BH.xls__Spt-BH.xls__Spt_93"/>
      <sheetName val="_Spt-BH.xls__Spt-BH.xls_B___441"/>
      <sheetName val="_Spt-BH.xls__Spt-BH.xls_B___442"/>
      <sheetName val="_Spt-BH.xls__Spt-BH.xls_B___443"/>
      <sheetName val="_Spt-BH.xls__Spt-BH.xls_B___444"/>
      <sheetName val="_Spt-BH.xls__Spt-BH.xls_B___445"/>
      <sheetName val="_Spt-BH.xls__Spt-BH.xls__Spt_81"/>
      <sheetName val="_Spt-BH.xls__Spt-BH.xls__Spt_82"/>
      <sheetName val="_Spt-BH.xls__Spt-BH.xls__Spt_83"/>
      <sheetName val="_Spt-BH.xls__Spt-BH.xls__Spt_84"/>
      <sheetName val="_Spt-BH.xls__Spt-BH.xls_B___404"/>
      <sheetName val="_Spt-BH.xls__Spt-BH.xls__Spt_85"/>
      <sheetName val="_Spt-BH.xls__Spt-BH.xls_B___405"/>
      <sheetName val="_Spt-BH.xls__Spt-BH.xls_B___406"/>
      <sheetName val="_Spt-BH.xls__Spt-BH.xls_B___407"/>
      <sheetName val="_Spt-BH.xls__Spt-BH.xls_B___408"/>
      <sheetName val="_Spt-BH.xls__Spt-BH.xls_B___409"/>
      <sheetName val="_Spt-BH.xls__Spt-BH.xls_B___410"/>
      <sheetName val="_Spt-BH.xls__Spt-BH.xls__Spt_86"/>
      <sheetName val="_Spt-BH.xls__Spt-BH.xls_B___411"/>
      <sheetName val="_Spt-BH.xls__Spt-BH.xls_B___412"/>
      <sheetName val="_Spt-BH.xls_B____x005f_x0004_______40"/>
      <sheetName val="_Spt-BH.xls_B___x005f_x0000__x005f_x0004_40"/>
      <sheetName val="_Spt-BH.xls__Spt-BH.xls_B___413"/>
      <sheetName val="_Spt-BH.xls__Spt-BH.xls_B___414"/>
      <sheetName val="_Spt-BH.xls__Spt-BH.xls_B___415"/>
      <sheetName val="_Spt-BH.xls__Spt-BH.xls_B___422"/>
      <sheetName val="_Spt-BH.xls__Spt-BH.xls_B___423"/>
      <sheetName val="_Spt-BH.xls__Spt-BH.xls_B___424"/>
      <sheetName val="_Spt-BH.xls_B____x005f_x0004_______41"/>
      <sheetName val="_Spt-BH.xls_B___x005f_x0000__x005f_x0004_41"/>
      <sheetName val="_Spt-BH.xls__Spt-BH.xls_B___416"/>
      <sheetName val="_Spt-BH.xls__Spt-BH.xls__Spt_87"/>
      <sheetName val="_Spt-BH.xls__Spt-BH.xls_B___417"/>
      <sheetName val="_Spt-BH.xls__Spt-BH.xls_B___418"/>
      <sheetName val="_Spt-BH.xls__Spt-BH.xls_B___419"/>
      <sheetName val="_Spt-BH.xls__Spt-BH.xls_B___425"/>
      <sheetName val="_Spt-BH.xls__Spt-BH.xls_B___426"/>
      <sheetName val="_Spt-BH.xls__Spt-BH.xls_B___427"/>
      <sheetName val="_Spt-BH.xls__Spt-BH.xls_B___420"/>
      <sheetName val="_Spt-BH.xls__Spt-BH.xls_B___421"/>
      <sheetName val="_Spt-BH.xls__Spt-BH.xls__Spt_88"/>
      <sheetName val="_Spt-BH.xls__Spt-BH.xls_B___428"/>
      <sheetName val="_Spt-BH.xls__Spt-BH.xls_B___429"/>
      <sheetName val="_Spt-BH.xls__Spt-BH.xls_B___430"/>
      <sheetName val="_Spt-BH.xls__Spt-BH.xls_B___431"/>
      <sheetName val="_Spt-BH.xls__Spt-BH.xls_B___432"/>
      <sheetName val="_Spt-BH.xls__Spt-BH.xls_B___433"/>
      <sheetName val="_Spt-BH.xls__Spt-BH.xls__Spt_89"/>
      <sheetName val="_Spt-BH.xls__Spt-BH.xls_B___434"/>
      <sheetName val="_Spt-BH.xls__Spt-BH.xls_B___435"/>
      <sheetName val="_Spt-BH.xls__Spt-BH.xls_B___436"/>
      <sheetName val="_Spt-BH.xls__Spt-BH.xls_B___437"/>
      <sheetName val="_Spt-BH.xls__Spt-BH.xls_B___438"/>
      <sheetName val="_Spt-BH.xls__Spt-BH.xls_B___439"/>
      <sheetName val="_Spt-BH.xls__Spt-BH.xls_B___458"/>
      <sheetName val="_Spt-BH.xls__Spt-BH.xls__Spt_94"/>
      <sheetName val="_Spt-BH.xls__Spt-BH.xls_B___459"/>
      <sheetName val="_Spt-BH.xls__Spt-BH.xls_B___460"/>
      <sheetName val="_Spt-BH.xls__Spt-BH.xls_B___461"/>
      <sheetName val="_Spt-BH.xls__Spt-BH.xls_B___462"/>
      <sheetName val="_Spt-BH.xls__Spt-BH.xls_B___463"/>
      <sheetName val="_Spt-BH.xls__Spt-BH.xls__Spt_91"/>
      <sheetName val="_Spt-BH.xls__Spt-BH.xls_B___446"/>
      <sheetName val="_Spt-BH.xls__Spt-BH.xls_B___447"/>
      <sheetName val="_Spt-BH.xls__Spt-BH.xls_B___448"/>
      <sheetName val="_Spt-BH.xls__Spt-BH.xls_B___449"/>
      <sheetName val="_Spt-BH.xls__Spt-BH.xls_B___450"/>
      <sheetName val="_Spt-BH.xls__Spt-BH.xls_B___451"/>
      <sheetName val="_Spt-BH.xls__Spt-BH.xls__Spt_92"/>
      <sheetName val="_Spt-BH.xls__Spt-BH.xls_B___452"/>
      <sheetName val="_Spt-BH.xls__Spt-BH.xls_B___453"/>
      <sheetName val="_Spt-BH.xls__Spt-BH.xls_B___454"/>
      <sheetName val="_Spt-BH.xls__Spt-BH.xls_B___455"/>
      <sheetName val="_Spt-BH.xls__Spt-BH.xls_B___456"/>
      <sheetName val="_Spt-BH.xls__Spt-BH.xls_B___457"/>
      <sheetName val="_Spt-BH.xls__Spt-BH.xls__Spt_95"/>
      <sheetName val="_Spt-BH.xls__Spt-BH.xls__Spt_96"/>
      <sheetName val="_Spt-BH.xls_B____x005f_x0004_______42"/>
      <sheetName val="_Spt-BH.xls_B___x005f_x0000__x005f_x0004_42"/>
      <sheetName val="_Spt-BH.xls__Spt-BH.xls_B___464"/>
      <sheetName val="_Spt-BH.xls__Spt-BH.xls_B___465"/>
      <sheetName val="_Spt-BH.xls__Spt-BH.xls_B___466"/>
      <sheetName val="_Spt-BH.xls__Spt-BH.xls_B___467"/>
      <sheetName val="_Spt-BH.xls__Spt-BH.xls_B___468"/>
      <sheetName val="_Spt-BH.xls__Spt-BH.xls_B___469"/>
      <sheetName val="MN T.B."/>
      <sheetName val="FORM7"/>
      <sheetName val="meas_wp"/>
      <sheetName val="LBO"/>
      <sheetName val="Main"/>
      <sheetName val="Cover"/>
      <sheetName val="Wag&amp;Sal"/>
      <sheetName val="Labor abs-NMR"/>
      <sheetName val="hist&amp;proj"/>
      <sheetName val="factors"/>
      <sheetName val="Data (adj."/>
      <sheetName val="13__Steel_-_Ratio"/>
      <sheetName val="Income_Statement"/>
      <sheetName val="Boq_(Main_Building)"/>
      <sheetName val="Abst2act_Sheet14"/>
      <sheetName val="Load_x001f_Details-220kV16"/>
      <sheetName val="fina,_abstract25"/>
      <sheetName val="P&amp;L-BDMC"/>
      <sheetName val="VS"/>
      <sheetName val="CEMENT PSP"/>
      <sheetName val="OVERHD -PAYROLL"/>
      <sheetName val="BKC"/>
      <sheetName val="CAPEX"/>
      <sheetName val="SOLIDAIRE"/>
      <sheetName val="GHATKOPAR"/>
      <sheetName val="KESAR"/>
      <sheetName val="NGE "/>
      <sheetName val="POLYCHEM"/>
      <sheetName val="TARDEO"/>
      <sheetName val="AutoOpen Stub Data"/>
      <sheetName val=" C Column BBS (2)"/>
      <sheetName val="M- Sheet"/>
      <sheetName val="[Spt-BH.xls][Spt-BH.xls]_S_2359"/>
      <sheetName val="[Spt-BH.xls][Spt-BH.xls]B__6699"/>
      <sheetName val="[Spt-BH.xls][Spt-BH.xls]B__6700"/>
      <sheetName val="[Spt-BH.xls][Spt-BH.xls]_S_2361"/>
      <sheetName val="[Spt-BH.xls][Spt-BH.xls]B__6701"/>
      <sheetName val="[Spt-BH.xls][Spt-BH.xls]B__6702"/>
      <sheetName val="[Spt-BH.xls][Spt-BH.xls]B__6703"/>
      <sheetName val="[Spt-BH.xls][Spt-BH.xls]B__6704"/>
      <sheetName val="[Spt-BH.xls][Spt-BH.xls]_S_2360"/>
      <sheetName val="[Spt-BH.xls][Spt-BH.xls]B__6706"/>
      <sheetName val="[Spt-BH.xls][Spt-BH.xls]B__6707"/>
      <sheetName val="[Spt-BH.xls][Spt-BH.xls]_S_2363"/>
      <sheetName val="[Spt-BH.xls][Spt-BH.xls]B__6708"/>
      <sheetName val="[Spt-BH.xls][Spt-BH.xls]B__6709"/>
      <sheetName val="[Spt-BH.xls]B____x005f_x0004______543"/>
      <sheetName val="[Spt-BH.xls]B___x005f_x0000__x000_535"/>
      <sheetName val="[Spt-BH.xls][Spt-BH.xls]B__6710"/>
      <sheetName val="[Spt-BH.xls][Spt-BH.xls]B__6711"/>
      <sheetName val="[Spt-BH.xls][Spt-BH.xls]B__6705"/>
      <sheetName val="[Spt-BH.xls][Spt-BH.xls]_S_2362"/>
      <sheetName val="[Spt-BH.xls][Spt-BH_xls]B__6852"/>
      <sheetName val="[Spt-BH.xls][Spt-BH_xls]B__6853"/>
      <sheetName val="[Spt-BH.xls][Spt-BH_xls]B__6854"/>
      <sheetName val="[Spt-BH.xls][Spt-BH_xls]B__6855"/>
      <sheetName val="[Spt-BH.xls][Spt-BH_xls]_S_2272"/>
      <sheetName val="[Spt-BH.xls][Spt-BH_xls]B__6856"/>
      <sheetName val="[Spt-BH.xls][Spt-BH_xls]B__6857"/>
      <sheetName val="[Spt-BH.xls][Spt-BH_xls]B__6858"/>
      <sheetName val="[Spt-BH.xls][Spt-BH_xls]_S_2273"/>
      <sheetName val="[Spt-BH.xls][Spt-BH_xls]B__6859"/>
      <sheetName val="[Spt-BH.xls][Spt-BH_xls]B__6860"/>
      <sheetName val="[Spt-BH.xls][Spt-BH_xls]B__6861"/>
      <sheetName val="[Spt-BH.xls][Spt-BH_xls]B__6862"/>
      <sheetName val="[Spt-BH.xls][Spt-BH_xls]_S_2274"/>
      <sheetName val="[Spt-BH.xls][Spt-BH_xls]B__6863"/>
      <sheetName val="[Spt-BH.xls][Spt-BH_xls]B__6864"/>
      <sheetName val="[Spt-BH.xls][Spt-BH_xls]_S_2275"/>
      <sheetName val="[Spt-BH.xls][Spt-BH_xls]B__6865"/>
      <sheetName val="[Spt-BH.xls][Spt-BH_xls]B__6866"/>
      <sheetName val="[Spt-BH.xls][Spt-BH_xls]_S_2276"/>
      <sheetName val="[Spt-BH.xls][Spt-BH.xls]_S_2357"/>
      <sheetName val="[Spt-BH.xls][Spt-BH.xls]B__6693"/>
      <sheetName val="[Spt-BH.xls][Spt-BH.xls]B__6694"/>
      <sheetName val="[Spt-BH.xls][Spt-BH.xls]B__6695"/>
      <sheetName val="[Spt-BH.xls][Spt-BH.xls]B__6696"/>
      <sheetName val="[Spt-BH.xls]B___x005f_x0000__x000_534"/>
      <sheetName val="[Spt-BH.xls][Spt-BH.xls]B__6697"/>
      <sheetName val="[Spt-BH.xls][Spt-BH.xls]B__6698"/>
      <sheetName val="[Spt-BH.xls][Spt-BH.xls]B__6692"/>
      <sheetName val="[Spt-BH.xls][Spt-BH.xls]_S_2358"/>
      <sheetName val="[Spt-BH.xls][Spt-BH_xls]B__6837"/>
      <sheetName val="[Spt-BH.xls][Spt-BH_xls]B__6838"/>
      <sheetName val="[Spt-BH.xls][Spt-BH_xls]B__6839"/>
      <sheetName val="[Spt-BH.xls][Spt-BH_xls]B__6840"/>
      <sheetName val="[Spt-BH.xls][Spt-BH_xls]_S_2267"/>
      <sheetName val="[Spt-BH.xls][Spt-BH_xls]B__6841"/>
      <sheetName val="[Spt-BH.xls][Spt-BH_xls]B__6842"/>
      <sheetName val="[Spt-BH.xls][Spt-BH_xls]B__6843"/>
      <sheetName val="[Spt-BH.xls][Spt-BH_xls]_S_2268"/>
      <sheetName val="[Spt-BH.xls][Spt-BH_xls]B__6844"/>
      <sheetName val="[Spt-BH.xls][Spt-BH_xls]B__6845"/>
      <sheetName val="[Spt-BH.xls][Spt-BH_xls]B__6846"/>
      <sheetName val="[Spt-BH.xls][Spt-BH_xls]B__6847"/>
      <sheetName val="[Spt-BH.xls][Spt-BH_xls]_S_2269"/>
      <sheetName val="[Spt-BH.xls][Spt-BH_xls]B__6848"/>
      <sheetName val="[Spt-BH.xls][Spt-BH_xls]B__6849"/>
      <sheetName val="[Spt-BH.xls][Spt-BH_xls]_S_2270"/>
      <sheetName val="[Spt-BH.xls][Spt-BH_xls]B__6850"/>
      <sheetName val="[Spt-BH.xls][Spt-BH_xls]B__6851"/>
      <sheetName val="[Spt-BH.xls][Spt-BH_xls]_S_2271"/>
      <sheetName val="[Spt-BH.xls][Spt-BH.xls]_S_2365"/>
      <sheetName val="[Spt-BH.xls][Spt-BH.xls]_S_2364"/>
      <sheetName val="[Spt-BH.xls][Spt-BH.xls]B__6712"/>
      <sheetName val="[Spt-BH.xls][Spt-BH.xls]B__6713"/>
      <sheetName val="[Spt-BH.xls][Spt-BH.xls]_S_2368"/>
      <sheetName val="[Spt-BH.xls][Spt-BH.xls]B__6714"/>
      <sheetName val="[Spt-BH.xls][Spt-BH.xls]B__6715"/>
      <sheetName val="[Spt-BH.xls][Spt-BH.xls]B__6716"/>
      <sheetName val="[Spt-BH.xls][Spt-BH.xls]_S_2366"/>
      <sheetName val="[Spt-BH.xls][Spt-BH.xls]B__6717"/>
      <sheetName val="[Spt-BH.xls][Spt-BH.xls]_S_2367"/>
      <sheetName val="[Spt-BH.xls][Spt-BH.xls]B__6718"/>
      <sheetName val="[Spt-BH.xls][Spt-BH.xls]B__6719"/>
      <sheetName val="[Spt-BH.xls][Spt-BH.xls]_S_2371"/>
      <sheetName val="[Spt-BH.xls][Spt-BH.xls]B__6720"/>
      <sheetName val="[Spt-BH.xls][Spt-BH.xls]B__6721"/>
      <sheetName val="[Spt-BH.xls][Spt-BH.xls]B__6722"/>
      <sheetName val="[Spt-BH.xls][Spt-BH.xls]_S_2369"/>
      <sheetName val="[Spt-BH.xls][Spt-BH.xls]B__6723"/>
      <sheetName val="[Spt-BH.xls][Spt-BH.xls]_S_2370"/>
      <sheetName val="[Spt-BH.xls][Spt-BH.xls]B__6724"/>
      <sheetName val="[Spt-BH.xls][Spt-BH.xls]B__6725"/>
      <sheetName val="[Spt-BH.xls][Spt-BH.xls]B__6726"/>
      <sheetName val="[Spt-BH.xls][Spt-BH.xls]B__6727"/>
      <sheetName val="[Spt-BH.xls][Spt-BH.xls]_S_2372"/>
      <sheetName val="[Spt-BH.xls][Spt-BH.xls]_S_2374"/>
      <sheetName val="abs 2125 (2)"/>
      <sheetName val="[Spt-BH.xls]B____x005f_x0004______544"/>
      <sheetName val="[Spt-BH.xls]B___x005f_x0000__x000_536"/>
      <sheetName val="[Spt-BH.xls][Spt-BH.xls]B__6734"/>
      <sheetName val="[Spt-BH.xls][Spt-BH.xls]B__6735"/>
      <sheetName val="[Spt-BH.xls][Spt-BH_xls]B__6867"/>
      <sheetName val="[Spt-BH.xls][Spt-BH_xls]B__6868"/>
      <sheetName val="[Spt-BH.xls][Spt-BH_xls]B__6869"/>
      <sheetName val="[Spt-BH.xls][Spt-BH_xls]B__6870"/>
      <sheetName val="[Spt-BH.xls][Spt-BH_xls]_S_2277"/>
      <sheetName val="[Spt-BH.xls][Spt-BH_xls]B__6871"/>
      <sheetName val="[Spt-BH.xls][Spt-BH_xls]B__6872"/>
      <sheetName val="[Spt-BH.xls][Spt-BH_xls]B__6873"/>
      <sheetName val="[Spt-BH.xls][Spt-BH_xls]_S_2278"/>
      <sheetName val="[Spt-BH.xls][Spt-BH_xls]B__6874"/>
      <sheetName val="[Spt-BH.xls][Spt-BH_xls]B__6875"/>
      <sheetName val="[Spt-BH.xls][Spt-BH_xls]B__6876"/>
      <sheetName val="[Spt-BH.xls][Spt-BH_xls]B__6877"/>
      <sheetName val="[Spt-BH.xls][Spt-BH_xls]_S_2279"/>
      <sheetName val="[Spt-BH.xls][Spt-BH_xls]B__6878"/>
      <sheetName val="[Spt-BH.xls][Spt-BH_xls]B__6879"/>
      <sheetName val="[Spt-BH.xls][Spt-BH_xls]_S_2280"/>
      <sheetName val="[Spt-BH.xls][Spt-BH_xls]B__6880"/>
      <sheetName val="[Spt-BH.xls][Spt-BH_xls]B__6881"/>
      <sheetName val="[Spt-BH.xls][Spt-BH_xls]_S_2281"/>
      <sheetName val="[Spt-BH.xls][Spt-BH.xls]_S_2397"/>
      <sheetName val="[Spt-BH.xls][Spt-BH.xls]B__6780"/>
      <sheetName val="[Spt-BH.xls][Spt-BH.xls]B__6781"/>
      <sheetName val="[Spt-BH.xls][Spt-BH.xls]_S_2399"/>
      <sheetName val="[Spt-BH.xls][Spt-BH.xls]B__6782"/>
      <sheetName val="[Spt-BH.xls][Spt-BH.xls]B__6783"/>
      <sheetName val="[Spt-BH.xls][Spt-BH.xls]B__6784"/>
      <sheetName val="[Spt-BH.xls][Spt-BH.xls]B__6785"/>
      <sheetName val="[Spt-BH.xls][Spt-BH.xls]_S_2398"/>
      <sheetName val="[Spt-BH.xls][Spt-BH.xls]_S_2384"/>
      <sheetName val="[Spt-BH.xls][Spt-BH.xls]B__6755"/>
      <sheetName val="[Spt-BH.xls][Spt-BH.xls]B__6756"/>
      <sheetName val="[Spt-BH.xls][Spt-BH.xls]_S_2386"/>
      <sheetName val="[Spt-BH.xls][Spt-BH.xls]B__6757"/>
      <sheetName val="[Spt-BH.xls][Spt-BH.xls]B__6758"/>
      <sheetName val="[Spt-BH.xls][Spt-BH.xls]B__6762"/>
      <sheetName val="[Spt-BH.xls][Spt-BH.xls]B__6763"/>
      <sheetName val="[Spt-BH.xls][Spt-BH.xls]_S_2388"/>
      <sheetName val="[Spt-BH.xls][Spt-BH.xls]B__6764"/>
      <sheetName val="[Spt-BH.xls][Spt-BH.xls]B__6765"/>
      <sheetName val="[Spt-BH.xls]B____x005f_x0004______547"/>
      <sheetName val="[Spt-BH.xls][Spt-BH.xls]B__6759"/>
      <sheetName val="[Spt-BH.xls][Spt-BH.xls]B__6760"/>
      <sheetName val="[Spt-BH.xls]B___x005f_x0000__x000_539"/>
      <sheetName val="[Spt-BH.xls][Spt-BH.xls]B__6766"/>
      <sheetName val="[Spt-BH.xls][Spt-BH.xls]B__6767"/>
      <sheetName val="[Spt-BH.xls][Spt-BH.xls]B__6761"/>
      <sheetName val="[Spt-BH.xls][Spt-BH.xls]_S_2387"/>
      <sheetName val="[Spt-BH.xls][Spt-BH_xls]B__6912"/>
      <sheetName val="[Spt-BH.xls][Spt-BH_xls]B__6913"/>
      <sheetName val="[Spt-BH.xls][Spt-BH_xls]B__6914"/>
      <sheetName val="[Spt-BH.xls][Spt-BH_xls]B__6915"/>
      <sheetName val="[Spt-BH.xls][Spt-BH_xls]_S_2292"/>
      <sheetName val="[Spt-BH.xls][Spt-BH_xls]B__6916"/>
      <sheetName val="[Spt-BH.xls][Spt-BH_xls]B__6917"/>
      <sheetName val="[Spt-BH.xls][Spt-BH_xls]B__6918"/>
      <sheetName val="[Spt-BH.xls][Spt-BH_xls]_S_2293"/>
      <sheetName val="[Spt-BH.xls][Spt-BH_xls]B__6919"/>
      <sheetName val="[Spt-BH.xls][Spt-BH_xls]B__6920"/>
      <sheetName val="[Spt-BH.xls][Spt-BH_xls]B__6921"/>
      <sheetName val="[Spt-BH.xls][Spt-BH_xls]B__6922"/>
      <sheetName val="[Spt-BH.xls][Spt-BH_xls]_S_2294"/>
      <sheetName val="[Spt-BH.xls][Spt-BH.xls]_S_2385"/>
      <sheetName val="[Spt-BH.xls][Spt-BH_xls]B__6923"/>
      <sheetName val="[Spt-BH.xls][Spt-BH_xls]B__6924"/>
      <sheetName val="[Spt-BH.xls][Spt-BH_xls]_S_2295"/>
      <sheetName val="[Spt-BH.xls][Spt-BH_xls]B__6925"/>
      <sheetName val="[Spt-BH.xls][Spt-BH_xls]B__6926"/>
      <sheetName val="[Spt-BH.xls][Spt-BH_xls]_S_2296"/>
      <sheetName val="[Spt-BH.xls][Spt-BH.xls]_S_2380"/>
      <sheetName val="[Spt-BH.xls][Spt-BH.xls]B__6742"/>
      <sheetName val="[Spt-BH.xls][Spt-BH.xls]B__6743"/>
      <sheetName val="[Spt-BH.xls][Spt-BH.xls]B__6744"/>
      <sheetName val="[Spt-BH.xls][Spt-BH.xls]B__6745"/>
      <sheetName val="[Spt-BH.xls][Spt-BH.xls]B__6746"/>
      <sheetName val="[Spt-BH.xls][Spt-BH.xls]B__6747"/>
      <sheetName val="[Spt-BH.xls][Spt-BH.xls]_S_2381"/>
      <sheetName val="[Spt-BH.xls][Spt-BH.xls]B__6736"/>
      <sheetName val="[Spt-BH.xls][Spt-BH.xls]B__6737"/>
      <sheetName val="[Spt-BH.xls][Spt-BH.xls]_S_2378"/>
      <sheetName val="[Spt-BH.xls][Spt-BH.xls]B__6738"/>
      <sheetName val="[Spt-BH.xls][Spt-BH.xls]B__6739"/>
      <sheetName val="[Spt-BH.xls][Spt-BH.xls]_S_2376"/>
      <sheetName val="[Spt-BH.xls]B____x005f_x0004______545"/>
      <sheetName val="[Spt-BH.xls]B___x005f_x0000__x000_537"/>
      <sheetName val="[Spt-BH.xls][Spt-BH.xls]B__6740"/>
      <sheetName val="[Spt-BH.xls][Spt-BH.xls]B__6741"/>
      <sheetName val="[Spt-BH.xls][Spt-BH.xls]_S_2377"/>
      <sheetName val="[Spt-BH.xls][Spt-BH_xls]B__6882"/>
      <sheetName val="[Spt-BH.xls][Spt-BH_xls]B__6883"/>
      <sheetName val="[Spt-BH.xls][Spt-BH_xls]B__6884"/>
      <sheetName val="[Spt-BH.xls][Spt-BH_xls]B__6885"/>
      <sheetName val="[Spt-BH.xls][Spt-BH_xls]_S_2282"/>
      <sheetName val="[Spt-BH.xls][Spt-BH_xls]B__6886"/>
      <sheetName val="[Spt-BH.xls][Spt-BH_xls]B__6887"/>
      <sheetName val="[Spt-BH.xls][Spt-BH_xls]B__6888"/>
      <sheetName val="[Spt-BH.xls][Spt-BH_xls]_S_2283"/>
      <sheetName val="[Spt-BH.xls][Spt-BH_xls]B__6889"/>
      <sheetName val="[Spt-BH.xls][Spt-BH_xls]B__6890"/>
      <sheetName val="[Spt-BH.xls][Spt-BH_xls]B__6891"/>
      <sheetName val="[Spt-BH.xls][Spt-BH_xls]B__6892"/>
      <sheetName val="[Spt-BH.xls][Spt-BH_xls]_S_2284"/>
      <sheetName val="[Spt-BH.xls][Spt-BH_xls]B__6893"/>
      <sheetName val="[Spt-BH.xls][Spt-BH_xls]B__6894"/>
      <sheetName val="[Spt-BH.xls][Spt-BH_xls]_S_2285"/>
      <sheetName val="[Spt-BH.xls][Spt-BH_xls]B__6895"/>
      <sheetName val="[Spt-BH.xls][Spt-BH_xls]B__6896"/>
      <sheetName val="[Spt-BH.xls][Spt-BH_xls]_S_2286"/>
      <sheetName val="[Spt-BH.xls][Spt-BH.xls]_S_2379"/>
      <sheetName val="[Spt-BH.xls][Spt-BH.xls]_S_2382"/>
      <sheetName val="[Spt-BH.xls][Spt-BH.xls]B__6748"/>
      <sheetName val="[Spt-BH.xls][Spt-BH.xls]B__6749"/>
      <sheetName val="[Spt-BH.xls][Spt-BH.xls]B__6750"/>
      <sheetName val="[Spt-BH.xls][Spt-BH.xls]B__6751"/>
      <sheetName val="[Spt-BH.xls]B____x005f_x0004______546"/>
      <sheetName val="[Spt-BH.xls][Spt-BH.xls]B__6752"/>
      <sheetName val="[Spt-BH.xls][Spt-BH.xls]B__6753"/>
      <sheetName val="[Spt-BH.xls]B___x005f_x0000__x000_538"/>
      <sheetName val="[Spt-BH.xls][Spt-BH.xls]B__6754"/>
      <sheetName val="[Spt-BH.xls][Spt-BH_xls]B__6897"/>
      <sheetName val="[Spt-BH.xls][Spt-BH_xls]B__6898"/>
      <sheetName val="[Spt-BH.xls][Spt-BH_xls]B__6899"/>
      <sheetName val="[Spt-BH.xls][Spt-BH_xls]B__6900"/>
      <sheetName val="[Spt-BH.xls][Spt-BH_xls]_S_2287"/>
      <sheetName val="[Spt-BH.xls][Spt-BH_xls]B__6901"/>
      <sheetName val="[Spt-BH.xls][Spt-BH_xls]B__6902"/>
      <sheetName val="[Spt-BH.xls][Spt-BH_xls]B__6903"/>
      <sheetName val="[Spt-BH.xls][Spt-BH_xls]_S_2288"/>
      <sheetName val="[Spt-BH.xls][Spt-BH_xls]B__6904"/>
      <sheetName val="[Spt-BH.xls][Spt-BH_xls]B__6905"/>
      <sheetName val="[Spt-BH.xls][Spt-BH_xls]B__6906"/>
      <sheetName val="[Spt-BH.xls][Spt-BH_xls]B__6907"/>
      <sheetName val="[Spt-BH.xls][Spt-BH_xls]_S_2289"/>
      <sheetName val="[Spt-BH.xls][Spt-BH.xls]_S_2383"/>
      <sheetName val="[Spt-BH.xls][Spt-BH_xls]B__6908"/>
      <sheetName val="[Spt-BH.xls][Spt-BH_xls]B__6909"/>
      <sheetName val="[Spt-BH.xls][Spt-BH_xls]_S_2290"/>
      <sheetName val="[Spt-BH.xls][Spt-BH_xls]B__6910"/>
      <sheetName val="[Spt-BH.xls][Spt-BH_xls]B__6911"/>
      <sheetName val="[Spt-BH.xls][Spt-BH_xls]_S_2291"/>
      <sheetName val="[Spt-BH.xls][Spt-BH.xls]_S_2389"/>
      <sheetName val="[Spt-BH.xls][Spt-BH.xls]B__6768"/>
      <sheetName val="[Spt-BH.xls][Spt-BH.xls]B__6769"/>
      <sheetName val="[Spt-BH.xls][Spt-BH.xls]_S_2391"/>
      <sheetName val="[Spt-BH.xls][Spt-BH.xls]B__6770"/>
      <sheetName val="[Spt-BH.xls][Spt-BH.xls]B__6771"/>
      <sheetName val="[Spt-BH.xls][Spt-BH.xls]B__6772"/>
      <sheetName val="[Spt-BH.xls][Spt-BH.xls]B__6773"/>
      <sheetName val="[Spt-BH.xls][Spt-BH.xls]_S_2390"/>
      <sheetName val="[Spt-BH.xls][Spt-BH.xls]_S_2392"/>
      <sheetName val="[Spt-BH.xls][Spt-BH.xls]_S_2394"/>
      <sheetName val="[Spt-BH.xls][Spt-BH.xls]B__6774"/>
      <sheetName val="[Spt-BH.xls][Spt-BH.xls]B__6775"/>
      <sheetName val="[Spt-BH.xls][Spt-BH.xls]_S_2396"/>
      <sheetName val="[Spt-BH.xls][Spt-BH.xls]B__6776"/>
      <sheetName val="[Spt-BH.xls][Spt-BH.xls]B__6777"/>
      <sheetName val="[Spt-BH.xls][Spt-BH.xls]B__6778"/>
      <sheetName val="[Spt-BH.xls][Spt-BH.xls]B__6779"/>
      <sheetName val="[Spt-BH.xls][Spt-BH.xls]_S_2395"/>
      <sheetName val="[Spt-BH.xls][Spt-BH.xls]_S_2393"/>
      <sheetName val="[Spt-BH.xls][Spt-BH.xls]_S_2400"/>
      <sheetName val="[Spt-BH.xls][Spt-BH.xls]_S_2401"/>
      <sheetName val="[Spt-BH.xls][Spt-BH.xls]_S_2402"/>
      <sheetName val="[Spt-BH.xls][Spt-BH.xls]_S_2403"/>
      <sheetName val="[Spt-BH.xls][Spt-BH.xls]_S_2406"/>
      <sheetName val="[Spt-BH.xls][Spt-BH.xls]_S_2404"/>
      <sheetName val="[Spt-BH.xls][Spt-BH.xls]_S_2405"/>
      <sheetName val="[Spt-BH.xls][Spt-BH.xls]_S_2408"/>
      <sheetName val="[Spt-BH.xls][Spt-BH.xls]_S_2407"/>
      <sheetName val="[Spt-BH.xls][Spt-BH.xls]B__6786"/>
      <sheetName val="[Spt-BH.xls][Spt-BH.xls]B__6787"/>
      <sheetName val="[Spt-BH.xls][Spt-BH.xls]_S_2409"/>
      <sheetName val="[Spt-BH.xls][Spt-BH.xls]B__6788"/>
      <sheetName val="[Spt-BH.xls][Spt-BH.xls]B__6789"/>
      <sheetName val="[Spt-BH.xls]B____x005f_x0004______548"/>
      <sheetName val="[Spt-BH.xls][Spt-BH.xls]B__6790"/>
      <sheetName val="[Spt-BH.xls][Spt-BH.xls]B__6791"/>
      <sheetName val="[Spt-BH.xls][Spt-BH.xls]_S_2410"/>
      <sheetName val="[Spt-BH.xls][Spt-BH.xls]B__6792"/>
      <sheetName val="[Spt-BH.xls][Spt-BH.xls]B__6793"/>
      <sheetName val="[Spt-BH.xls]B____x005f_x0004______549"/>
      <sheetName val="[Spt-BH.xls][Spt-BH.xls]_S_2411"/>
      <sheetName val="[Spt-BH.xls][Spt-BH.xls]_S_2412"/>
      <sheetName val="[Spt-BH.xls][Spt-BH.xls]_S_2413"/>
      <sheetName val="[Spt-BH.xls][Spt-BH.xls]B__6794"/>
      <sheetName val="[Spt-BH.xls][Spt-BH.xls]B__6795"/>
      <sheetName val="[Spt-BH.xls][Spt-BH.xls]_S_2415"/>
      <sheetName val="[Spt-BH.xls][Spt-BH.xls]B__6796"/>
      <sheetName val="[Spt-BH.xls][Spt-BH.xls]B__6797"/>
      <sheetName val="[Spt-BH.xls][Spt-BH.xls]B__6798"/>
      <sheetName val="[Spt-BH.xls][Spt-BH.xls]B__6799"/>
      <sheetName val="[Spt-BH.xls][Spt-BH.xls]_S_2414"/>
      <sheetName val="[Spt-BH.xls][Spt-BH.xls]_S_2416"/>
      <sheetName val="[Spt-BH.xls]B___x005f_x0000__x000_540"/>
      <sheetName val="[Spt-BH.xls]B__"/>
      <sheetName val="[Spt-BH.xls]B____x005f_x0004______550"/>
      <sheetName val="[Spt-BH.xls][Spt-BH.xls]B__6801"/>
      <sheetName val="[Spt-BH.xls][Spt-BH.xls]B__6802"/>
      <sheetName val="[Spt-BH.xls][Spt-BH.xls]B__6803"/>
      <sheetName val="[Spt-BH.xls][Spt-BH.xls]B__6804"/>
      <sheetName val="[Spt-BH.xls][Spt-BH.xls]B__6805"/>
      <sheetName val="[Spt-BH.xls][Spt-BH.xls]B__6806"/>
      <sheetName val="[Spt-BH.xls][Spt-BH.xls]B__6800"/>
      <sheetName val="[Spt-BH.xls][Spt-BH_xls]B__6927"/>
      <sheetName val="[Spt-BH.xls][Spt-BH_xls]B__6928"/>
      <sheetName val="[Spt-BH.xls][Spt-BH_xls]B__6929"/>
      <sheetName val="[Spt-BH.xls][Spt-BH_xls]B__6930"/>
      <sheetName val="[Spt-BH.xls][Spt-BH_xls]_S_2297"/>
      <sheetName val="[Spt-BH.xls][Spt-BH_xls]B__6931"/>
      <sheetName val="[Spt-BH.xls][Spt-BH_xls]B__6932"/>
      <sheetName val="[Spt-BH.xls][Spt-BH_xls]B__6933"/>
      <sheetName val="[Spt-BH.xls][Spt-BH_xls]_S_2298"/>
      <sheetName val="[Spt-BH.xls][Spt-BH_xls]B__6934"/>
      <sheetName val="[Spt-BH.xls][Spt-BH_xls]B__6935"/>
      <sheetName val="[Spt-BH.xls][Spt-BH_xls]B__6936"/>
      <sheetName val="[Spt-BH.xls][Spt-BH_xls]B__6937"/>
      <sheetName val="[Spt-BH.xls][Spt-BH_xls]_S_2299"/>
      <sheetName val="[Spt-BH.xls][Spt-BH_xls]B__6938"/>
      <sheetName val="[Spt-BH.xls][Spt-BH_xls]B__6939"/>
      <sheetName val="[Spt-BH.xls][Spt-BH_xls]_S_2300"/>
      <sheetName val="[Spt-BH.xls][Spt-BH_xls]B__6940"/>
      <sheetName val="[Spt-BH.xls][Spt-BH_xls]B__6941"/>
      <sheetName val="[Spt-BH.xls][Spt-BH_xls]_S_2301"/>
      <sheetName val="[Spt-BH.xls][Spt-BH.xls]_S_2417"/>
      <sheetName val="[Spt-BH.xls][Spt-BH.xls]B__6807"/>
      <sheetName val="[Spt-BH.xls][Spt-BH.xls]B__6808"/>
      <sheetName val="[Spt-BH.xls][Spt-BH.xls]_S_2421"/>
      <sheetName val="[Spt-BH.xls][Spt-BH.xls]B__6809"/>
      <sheetName val="[Spt-BH.xls][Spt-BH.xls]B__6810"/>
      <sheetName val="[Spt-BH.xls][Spt-BH.xls]B__6820"/>
      <sheetName val="[Spt-BH.xls][Spt-BH.xls]B__6821"/>
      <sheetName val="[Spt-BH.xls][Spt-BH.xls]_S_2423"/>
      <sheetName val="[Spt-BH.xls][Spt-BH.xls]B__6822"/>
      <sheetName val="[Spt-BH.xls][Spt-BH.xls]B__6823"/>
      <sheetName val="[Spt-BH.xls]B____x005f_x0004______551"/>
      <sheetName val="[Spt-BH.xls][Spt-BH.xls]B__6811"/>
      <sheetName val="[Spt-BH.xls][Spt-BH.xls]B__6812"/>
      <sheetName val="[Spt-BH.xls]B___x005f_x0000__x000_541"/>
      <sheetName val="[Spt-BH.xls][Spt-BH.xls]B__6824"/>
      <sheetName val="[Spt-BH.xls][Spt-BH.xls]B__6825"/>
      <sheetName val="[Spt-BH.xls][Spt-BH.xls]B__6813"/>
      <sheetName val="[Spt-BH.xls][Spt-BH.xls]_S_2422"/>
      <sheetName val="[Spt-BH.xls][Spt-BH_xls]B__6942"/>
      <sheetName val="[Spt-BH.xls][Spt-BH_xls]B__6943"/>
      <sheetName val="[Spt-BH.xls][Spt-BH_xls]B__6944"/>
      <sheetName val="[Spt-BH.xls][Spt-BH_xls]B__6945"/>
      <sheetName val="[Spt-BH.xls][Spt-BH_xls]_S_2302"/>
      <sheetName val="[Spt-BH.xls][Spt-BH_xls]B__6946"/>
      <sheetName val="[Spt-BH.xls][Spt-BH_xls]B__6947"/>
      <sheetName val="[Spt-BH.xls][Spt-BH_xls]B__6948"/>
      <sheetName val="[Spt-BH.xls][Spt-BH_xls]_S_2303"/>
      <sheetName val="[Spt-BH.xls][Spt-BH_xls]B__6949"/>
      <sheetName val="[Spt-BH.xls][Spt-BH_xls]B__6950"/>
      <sheetName val="[Spt-BH.xls][Spt-BH_xls]B__6951"/>
      <sheetName val="[Spt-BH.xls][Spt-BH_xls]B__6952"/>
      <sheetName val="[Spt-BH.xls][Spt-BH_xls]_S_2304"/>
      <sheetName val="[Spt-BH.xls][Spt-BH.xls]_S_2418"/>
      <sheetName val="[Spt-BH.xls][Spt-BH_xls]B__6953"/>
      <sheetName val="[Spt-BH.xls][Spt-BH_xls]B__6954"/>
      <sheetName val="[Spt-BH.xls][Spt-BH_xls]_S_2305"/>
      <sheetName val="[Spt-BH.xls][Spt-BH_xls]B__6955"/>
      <sheetName val="[Spt-BH.xls][Spt-BH_xls]B__6956"/>
      <sheetName val="[Spt-BH.xls][Spt-BH_xls]_S_2306"/>
      <sheetName val="[Spt-BH.xls][Spt-BH.xls]_S_2419"/>
      <sheetName val="[Spt-BH.xls][Spt-BH.xls]B__6814"/>
      <sheetName val="[Spt-BH.xls][Spt-BH.xls]B__6815"/>
      <sheetName val="[Spt-BH.xls][Spt-BH.xls]B__6816"/>
      <sheetName val="[Spt-BH.xls][Spt-BH.xls]B__6817"/>
      <sheetName val="[Spt-BH.xls][Spt-BH.xls]B__6818"/>
      <sheetName val="[Spt-BH.xls][Spt-BH.xls]B__6819"/>
      <sheetName val="[Spt-BH.xls][Spt-BH.xls]_S_2420"/>
      <sheetName val="[Spt-BH.xls][Spt-BH.xls]_S_2424"/>
      <sheetName val="[Spt-BH.xls][Spt-BH.xls]_S_2425"/>
      <sheetName val="[Spt-BH.xls][Spt-BH.xls]_S_2426"/>
      <sheetName val="[Spt-BH.xls][Spt-BH.xls]B__6826"/>
      <sheetName val="[Spt-BH.xls][Spt-BH.xls]B__6827"/>
      <sheetName val="[Spt-BH.xls][Spt-BH.xls]B__6828"/>
      <sheetName val="[Spt-BH.xls][Spt-BH.xls]B__6829"/>
      <sheetName val="[Spt-BH.xls][Spt-BH.xls]_S_2427"/>
      <sheetName val="[Spt-BH.xls][Spt-BH.xls]_S_2428"/>
      <sheetName val="[Spt-BH.xls][Spt-BH.xls]_S_2441"/>
      <sheetName val="[Spt-BH.xls][Spt-BH.xls]B__6863"/>
      <sheetName val="[Spt-BH.xls][Spt-BH.xls]B__6864"/>
      <sheetName val="[Spt-BH.xls][Spt-BH.xls]_S_2443"/>
      <sheetName val="[Spt-BH.xls][Spt-BH.xls]B__6865"/>
      <sheetName val="[Spt-BH.xls][Spt-BH.xls]B__6866"/>
      <sheetName val="[Spt-BH.xls][Spt-BH.xls]B__6867"/>
      <sheetName val="[Spt-BH.xls][Spt-BH.xls]B__6868"/>
      <sheetName val="[Spt-BH.xls][Spt-BH.xls]_S_2442"/>
      <sheetName val="[Spt-BH.xls]B____x005f_x0004______553"/>
      <sheetName val="[Spt-BH.xls]B___x005f_x0000__x000_543"/>
      <sheetName val="[Spt-BH.xls][Spt-BH_xls]B__6972"/>
      <sheetName val="[Spt-BH.xls][Spt-BH_xls]B__6973"/>
      <sheetName val="[Spt-BH.xls][Spt-BH_xls]B__6974"/>
      <sheetName val="[Spt-BH.xls][Spt-BH_xls]B__6975"/>
      <sheetName val="[Spt-BH.xls][Spt-BH_xls]_S_2312"/>
      <sheetName val="[Spt-BH.xls][Spt-BH_xls]B__6976"/>
      <sheetName val="[Spt-BH.xls][Spt-BH_xls]B__6977"/>
      <sheetName val="[Spt-BH.xls][Spt-BH_xls]B__6978"/>
      <sheetName val="[Spt-BH.xls][Spt-BH_xls]_S_2313"/>
      <sheetName val="[Spt-BH.xls][Spt-BH_xls]B__6979"/>
      <sheetName val="[Spt-BH.xls][Spt-BH_xls]B__6980"/>
      <sheetName val="[Spt-BH.xls][Spt-BH_xls]B__6981"/>
      <sheetName val="[Spt-BH.xls][Spt-BH_xls]B__6982"/>
      <sheetName val="[Spt-BH.xls][Spt-BH_xls]_S_2314"/>
      <sheetName val="[Spt-BH.xls][Spt-BH_xls]B__6983"/>
      <sheetName val="[Spt-BH.xls][Spt-BH_xls]B__6984"/>
      <sheetName val="[Spt-BH.xls][Spt-BH_xls]_S_2315"/>
      <sheetName val="[Spt-BH.xls][Spt-BH_xls]B__6985"/>
      <sheetName val="[Spt-BH.xls][Spt-BH_xls]B__6986"/>
      <sheetName val="[Spt-BH.xls][Spt-BH_xls]_S_2316"/>
      <sheetName val="[Spt-BH.xls]B____x005f_x0004______552"/>
      <sheetName val="[Spt-BH.xls]B___x005f_x0000__x000_542"/>
      <sheetName val="[Spt-BH.xls][Spt-BH_xls]B__6957"/>
      <sheetName val="[Spt-BH.xls][Spt-BH_xls]B__6958"/>
      <sheetName val="[Spt-BH.xls][Spt-BH_xls]B__6959"/>
      <sheetName val="[Spt-BH.xls][Spt-BH_xls]B__6960"/>
      <sheetName val="[Spt-BH.xls][Spt-BH_xls]_S_2307"/>
      <sheetName val="[Spt-BH.xls][Spt-BH_xls]B__6961"/>
      <sheetName val="[Spt-BH.xls][Spt-BH_xls]B__6962"/>
      <sheetName val="[Spt-BH.xls][Spt-BH_xls]B__6963"/>
      <sheetName val="[Spt-BH.xls][Spt-BH_xls]_S_2308"/>
      <sheetName val="[Spt-BH.xls][Spt-BH_xls]B__6964"/>
      <sheetName val="[Spt-BH.xls][Spt-BH_xls]B__6965"/>
      <sheetName val="[Spt-BH.xls][Spt-BH_xls]B__6966"/>
      <sheetName val="[Spt-BH.xls][Spt-BH_xls]B__6967"/>
      <sheetName val="[Spt-BH.xls][Spt-BH_xls]_S_2309"/>
      <sheetName val="[Spt-BH.xls][Spt-BH_xls]B__6968"/>
      <sheetName val="[Spt-BH.xls][Spt-BH_xls]B__6969"/>
      <sheetName val="[Spt-BH.xls][Spt-BH_xls]_S_2310"/>
      <sheetName val="[Spt-BH.xls][Spt-BH_xls]B__6970"/>
      <sheetName val="[Spt-BH.xls][Spt-BH_xls]B__6971"/>
      <sheetName val="[Spt-BH.xls][Spt-BH_xls]_S_2311"/>
      <sheetName val="[Spt-BH.xls][Spt-BH.xls]B__6830"/>
      <sheetName val="[Spt-BH.xls][Spt-BH.xls]B__6831"/>
      <sheetName val="[Spt-BH.xls][Spt-BH.xls]B__6832"/>
      <sheetName val="[Spt-BH.xls][Spt-BH.xls]B__6833"/>
      <sheetName val="[Spt-BH.xls][Spt-BH.xls]B__6834"/>
      <sheetName val="[Spt-BH.xls][Spt-BH.xls]B__6835"/>
      <sheetName val="[Spt-BH.xls][Spt-BH.xls]_S_2440"/>
      <sheetName val="[Spt-BH.xls][Spt-BH.xls]B__6859"/>
      <sheetName val="[Spt-BH.xls][Spt-BH.xls]B__6860"/>
      <sheetName val="[Spt-BH.xls][Spt-BH.xls]B__6861"/>
      <sheetName val="[Spt-BH.xls][Spt-BH.xls]B__6862"/>
      <sheetName val="[Spt-BH.xls][Spt-BH.xls]_S_2439"/>
      <sheetName val="[Spt-BH.xls][Spt-BH.xls]B__6836"/>
      <sheetName val="[Spt-BH.xls][Spt-BH.xls]B__6837"/>
      <sheetName val="[Spt-BH.xls][Spt-BH.xls]B__6838"/>
      <sheetName val="[Spt-BH.xls][Spt-BH.xls]B__6839"/>
      <sheetName val="[Spt-BH.xls][Spt-BH.xls]_S_2429"/>
      <sheetName val="[Spt-BH.xls][Spt-BH.xls]B__6840"/>
      <sheetName val="[Spt-BH.xls][Spt-BH.xls]B__6841"/>
      <sheetName val="[Spt-BH.xls][Spt-BH.xls]_S_2431"/>
      <sheetName val="[Spt-BH.xls][Spt-BH.xls]B__6842"/>
      <sheetName val="[Spt-BH.xls][Spt-BH.xls]B__6843"/>
      <sheetName val="[Spt-BH.xls][Spt-BH.xls]B__6844"/>
      <sheetName val="[Spt-BH.xls][Spt-BH.xls]B__6845"/>
      <sheetName val="[Spt-BH.xls][Spt-BH.xls]_S_2430"/>
      <sheetName val="[Spt-BH.xls][Spt-BH.xls]_S_2432"/>
      <sheetName val="[Spt-BH.xls][Spt-BH.xls]B__6846"/>
      <sheetName val="[Spt-BH.xls][Spt-BH.xls]B__6847"/>
      <sheetName val="[Spt-BH.xls][Spt-BH.xls]_S_2434"/>
      <sheetName val="[Spt-BH.xls][Spt-BH.xls]B__6848"/>
      <sheetName val="[Spt-BH.xls][Spt-BH.xls]B__6849"/>
      <sheetName val="[Spt-BH.xls][Spt-BH.xls]B__6850"/>
      <sheetName val="[Spt-BH.xls][Spt-BH.xls]B__6851"/>
      <sheetName val="[Spt-BH.xls][Spt-BH.xls]_S_2433"/>
      <sheetName val="[Spt-BH.xls][Spt-BH.xls]B__6853"/>
      <sheetName val="[Spt-BH.xls][Spt-BH.xls]B__6854"/>
      <sheetName val="[Spt-BH.xls][Spt-BH.xls]_S_2436"/>
      <sheetName val="[Spt-BH.xls][Spt-BH.xls]B__6855"/>
      <sheetName val="[Spt-BH.xls][Spt-BH.xls]B__6856"/>
      <sheetName val="[Spt-BH.xls][Spt-BH.xls]B__6857"/>
      <sheetName val="[Spt-BH.xls][Spt-BH.xls]B__6858"/>
      <sheetName val="[Spt-BH.xls][Spt-BH.xls]B__6852"/>
      <sheetName val="[Spt-BH.xls][Spt-BH.xls]_S_2435"/>
      <sheetName val="[Spt-BH.xls][Spt-BH.xls]_S_2438"/>
      <sheetName val="[Spt-BH.xls][Spt-BH.xls]_S_2437"/>
      <sheetName val="[Spt-BH.xls][Spt-BH.xls]_S_2444"/>
      <sheetName val="[Spt-BH.xls][Spt-BH.xls]_S_2445"/>
      <sheetName val="[Spt-BH.xls][Spt-BH.xls]_S_2446"/>
      <sheetName val="[Spt-BH.xls][Spt-BH.xls]_S_2448"/>
      <sheetName val="[Spt-BH.xls][Spt-BH.xls]_S_2447"/>
      <sheetName val="[Spt-BH.xls][Spt-BH.xls]_S_2450"/>
      <sheetName val="[Spt-BH.xls][Spt-BH.xls]_S_2449"/>
      <sheetName val="[Spt-BH.xls][Spt-BH.xls]B__6870"/>
      <sheetName val="[Spt-BH.xls][Spt-BH.xls]B__6871"/>
      <sheetName val="[Spt-BH.xls][Spt-BH.xls]_S_2452"/>
      <sheetName val="[Spt-BH.xls][Spt-BH.xls]B__6872"/>
      <sheetName val="[Spt-BH.xls][Spt-BH.xls]B__6873"/>
      <sheetName val="[Spt-BH.xls]B____x005f_x0004______554"/>
      <sheetName val="[Spt-BH.xls]B___x005f_x0000__x000_544"/>
      <sheetName val="[Spt-BH.xls][Spt-BH.xls]B__6874"/>
      <sheetName val="[Spt-BH.xls][Spt-BH.xls]B__6875"/>
      <sheetName val="[Spt-BH.xls][Spt-BH.xls]B__6869"/>
      <sheetName val="[Spt-BH.xls][Spt-BH.xls]_S_2451"/>
      <sheetName val="[Spt-BH.xls][Spt-BH_xls]B__6987"/>
      <sheetName val="[Spt-BH.xls][Spt-BH_xls]B__6988"/>
      <sheetName val="[Spt-BH.xls][Spt-BH_xls]B__6989"/>
      <sheetName val="[Spt-BH.xls][Spt-BH_xls]B__6990"/>
      <sheetName val="[Spt-BH.xls][Spt-BH_xls]_S_2317"/>
      <sheetName val="[Spt-BH.xls][Spt-BH_xls]B__6991"/>
      <sheetName val="[Spt-BH.xls][Spt-BH_xls]B__6992"/>
      <sheetName val="[Spt-BH.xls][Spt-BH_xls]B__6993"/>
      <sheetName val="[Spt-BH.xls][Spt-BH_xls]_S_2318"/>
      <sheetName val="[Spt-BH.xls][Spt-BH_xls]B__6994"/>
      <sheetName val="[Spt-BH.xls][Spt-BH_xls]B__6995"/>
      <sheetName val="[Spt-BH.xls][Spt-BH_xls]B__6996"/>
      <sheetName val="[Spt-BH.xls][Spt-BH_xls]B__6997"/>
      <sheetName val="[Spt-BH.xls][Spt-BH_xls]_S_2319"/>
      <sheetName val="[Spt-BH.xls][Spt-BH_xls]B__6998"/>
      <sheetName val="[Spt-BH.xls][Spt-BH_xls]B__6999"/>
      <sheetName val="[Spt-BH.xls][Spt-BH_xls]_S_2320"/>
      <sheetName val="[Spt-BH.xls][Spt-BH_xls]B__7000"/>
      <sheetName val="[Spt-BH.xls][Spt-BH_xls]B__7001"/>
      <sheetName val="[Spt-BH.xls][Spt-BH_xls]_S_2321"/>
      <sheetName val="[Spt-BH.xls][Spt-BH.xls]_S_2453"/>
      <sheetName val="[Spt-BH.xls][Spt-BH.xls]B__6876"/>
      <sheetName val="[Spt-BH.xls][Spt-BH.xls]B__6877"/>
      <sheetName val="[Spt-BH.xls][Spt-BH.xls]_S_2455"/>
      <sheetName val="[Spt-BH.xls][Spt-BH.xls]B__6878"/>
      <sheetName val="[Spt-BH.xls][Spt-BH.xls]B__6879"/>
      <sheetName val="[Spt-BH.xls][Spt-BH.xls]B__6880"/>
      <sheetName val="[Spt-BH.xls][Spt-BH.xls]B__6881"/>
      <sheetName val="[Spt-BH.xls][Spt-BH.xls]_S_2454"/>
      <sheetName val="[Spt-BH.xls][Spt-BH.xls]_S_2457"/>
      <sheetName val="[Spt-BH.xls][Spt-BH.xls]_S_2456"/>
      <sheetName val="[Spt-BH.xls][Spt-BH.xls]_S_2458"/>
      <sheetName val="[Spt-BH.xls][Spt-BH.xls]_S_2459"/>
      <sheetName val="[Spt-BH.xls][Spt-BH.xls]B__6882"/>
      <sheetName val="[Spt-BH.xls][Spt-BH.xls]B__6883"/>
      <sheetName val="[Spt-BH.xls][Spt-BH.xls]_S_2460"/>
      <sheetName val="[Spt-BH.xls][Spt-BH.xls]B__6884"/>
      <sheetName val="[Spt-BH.xls][Spt-BH.xls]B__6885"/>
      <sheetName val="[Spt-BH.xls][Spt-BH.xls]_S_2461"/>
      <sheetName val="[Spt-BH.xls][Spt-BH.xls]_S_2462"/>
      <sheetName val="[Spt-BH.xls][Spt-BH.xls]B__6906"/>
      <sheetName val="[Spt-BH.xls][Spt-BH.xls]B__6907"/>
      <sheetName val="[Spt-BH.xls][Spt-BH.xls]_S_2471"/>
      <sheetName val="[Spt-BH.xls][Spt-BH.xls]B__6908"/>
      <sheetName val="[Spt-BH.xls][Spt-BH.xls]B__6909"/>
      <sheetName val="[Spt-BH.xls]B____x005f_x0004______556"/>
      <sheetName val="[Spt-BH.xls][Spt-BH.xls]B__6893"/>
      <sheetName val="[Spt-BH.xls][Spt-BH.xls]B__6894"/>
      <sheetName val="[Spt-BH.xls][Spt-BH.xls]_S_2469"/>
      <sheetName val="[Spt-BH.xls][Spt-BH.xls]B__6895"/>
      <sheetName val="[Spt-BH.xls][Spt-BH.xls]B__6896"/>
      <sheetName val="[Spt-BH.xls][Spt-BH.xls]B__6897"/>
      <sheetName val="[Spt-BH.xls][Spt-BH.xls]_S_2465"/>
      <sheetName val="[Spt-BH.xls][Spt-BH.xls]B__6898"/>
      <sheetName val="[Spt-BH.xls]B___x005f_x0000__x000_546"/>
      <sheetName val="[Spt-BH.xls][Spt-BH.xls]B__6910"/>
      <sheetName val="[Spt-BH.xls][Spt-BH.xls]B__6911"/>
      <sheetName val="[Spt-BH.xls][Spt-BH.xls]B__6899"/>
      <sheetName val="[Spt-BH.xls][Spt-BH.xls]_S_2470"/>
      <sheetName val="[Spt-BH.xls][Spt-BH_xls]B__7017"/>
      <sheetName val="[Spt-BH.xls][Spt-BH_xls]B__7018"/>
      <sheetName val="[Spt-BH.xls][Spt-BH_xls]B__7019"/>
      <sheetName val="[Spt-BH.xls][Spt-BH_xls]B__7020"/>
      <sheetName val="[Spt-BH.xls][Spt-BH_xls]_S_2327"/>
      <sheetName val="[Spt-BH.xls][Spt-BH_xls]B__7021"/>
      <sheetName val="[Spt-BH.xls][Spt-BH_xls]B__7022"/>
      <sheetName val="[Spt-BH.xls][Spt-BH_xls]B__7023"/>
      <sheetName val="[Spt-BH.xls][Spt-BH_xls]_S_2328"/>
      <sheetName val="[Spt-BH.xls][Spt-BH_xls]B__7024"/>
      <sheetName val="[Spt-BH.xls][Spt-BH_xls]B__7025"/>
      <sheetName val="[Spt-BH.xls][Spt-BH_xls]B__7026"/>
      <sheetName val="[Spt-BH.xls][Spt-BH_xls]B__7027"/>
      <sheetName val="[Spt-BH.xls][Spt-BH_xls]_S_2329"/>
      <sheetName val="[Spt-BH.xls][Spt-BH.xls]_S_2466"/>
      <sheetName val="[Spt-BH.xls][Spt-BH_xls]B__7028"/>
      <sheetName val="[Spt-BH.xls][Spt-BH_xls]B__7029"/>
      <sheetName val="[Spt-BH.xls][Spt-BH_xls]_S_2330"/>
      <sheetName val="[Spt-BH.xls][Spt-BH_xls]B__7030"/>
      <sheetName val="[Spt-BH.xls][Spt-BH_xls]B__7031"/>
      <sheetName val="[Spt-BH.xls][Spt-BH_xls]_S_2331"/>
      <sheetName val="[Spt-BH.xls]B____x005f_x0004______555"/>
      <sheetName val="[Spt-BH.xls][Spt-BH.xls]B__6886"/>
      <sheetName val="[Spt-BH.xls][Spt-BH.xls]B__6887"/>
      <sheetName val="[Spt-BH.xls][Spt-BH.xls]B__6888"/>
      <sheetName val="[Spt-BH.xls][Spt-BH.xls]B__6889"/>
      <sheetName val="[Spt-BH.xls][Spt-BH.xls]B__6890"/>
      <sheetName val="[Spt-BH.xls][Spt-BH.xls]_S_2463"/>
      <sheetName val="[Spt-BH.xls][Spt-BH.xls]B__6891"/>
      <sheetName val="[Spt-BH.xls]B___x005f_x0000__x000_545"/>
      <sheetName val="[Spt-BH.xls][Spt-BH.xls]B__6892"/>
      <sheetName val="[Spt-BH.xls][Spt-BH_xls]B__7002"/>
      <sheetName val="[Spt-BH.xls][Spt-BH_xls]B__7003"/>
      <sheetName val="[Spt-BH.xls][Spt-BH_xls]B__7004"/>
      <sheetName val="[Spt-BH.xls][Spt-BH_xls]B__7005"/>
      <sheetName val="[Spt-BH.xls][Spt-BH_xls]_S_2322"/>
      <sheetName val="[Spt-BH.xls][Spt-BH_xls]B__7006"/>
      <sheetName val="[Spt-BH.xls][Spt-BH_xls]B__7007"/>
      <sheetName val="[Spt-BH.xls][Spt-BH_xls]B__7008"/>
      <sheetName val="[Spt-BH.xls][Spt-BH_xls]_S_2323"/>
      <sheetName val="[Spt-BH.xls][Spt-BH_xls]B__7009"/>
      <sheetName val="[Spt-BH.xls][Spt-BH_xls]B__7010"/>
      <sheetName val="[Spt-BH.xls][Spt-BH_xls]B__7011"/>
      <sheetName val="[Spt-BH.xls][Spt-BH_xls]B__7012"/>
      <sheetName val="[Spt-BH.xls][Spt-BH_xls]_S_2324"/>
      <sheetName val="[Spt-BH.xls][Spt-BH.xls]_S_2464"/>
      <sheetName val="[Spt-BH.xls][Spt-BH_xls]B__7013"/>
      <sheetName val="[Spt-BH.xls][Spt-BH_xls]B__7014"/>
      <sheetName val="[Spt-BH.xls][Spt-BH_xls]_S_2325"/>
      <sheetName val="[Spt-BH.xls][Spt-BH_xls]B__7015"/>
      <sheetName val="[Spt-BH.xls][Spt-BH_xls]B__7016"/>
      <sheetName val="[Spt-BH.xls][Spt-BH_xls]_S_2326"/>
      <sheetName val="[Spt-BH.xls][Spt-BH.xls]B__6900"/>
      <sheetName val="[Spt-BH.xls][Spt-BH.xls]B__6901"/>
      <sheetName val="[Spt-BH.xls][Spt-BH.xls]B__6902"/>
      <sheetName val="[Spt-BH.xls][Spt-BH.xls]B__6903"/>
      <sheetName val="[Spt-BH.xls][Spt-BH.xls]_S_2467"/>
      <sheetName val="[Spt-BH.xls][Spt-BH.xls]B__6904"/>
      <sheetName val="[Spt-BH.xls][Spt-BH.xls]B__6905"/>
      <sheetName val="[Spt-BH.xls][Spt-BH.xls]_S_2468"/>
      <sheetName val="[Spt-BH.xls][Spt-BH.xls]_S_2472"/>
      <sheetName val="[Spt-BH.xls][Spt-BH.xls]_S_2473"/>
      <sheetName val="[Spt-BH.xls][Spt-BH.xls]_S_2474"/>
      <sheetName val="[Spt-BH.xls][Spt-BH.xls]B__6912"/>
      <sheetName val="[Spt-BH.xls][Spt-BH.xls]B__6913"/>
      <sheetName val="[Spt-BH.xls][Spt-BH.xls]_S_2502"/>
      <sheetName val="[Spt-BH.xls][Spt-BH.xls]B__6914"/>
      <sheetName val="[Spt-BH.xls][Spt-BH.xls]B__6915"/>
      <sheetName val="[Spt-BH.xls][Spt-BH.xls]_S_2475"/>
      <sheetName val="[Spt-BH.xls][Spt-BH.xls]B__7022"/>
      <sheetName val="[Spt-BH.xls][Spt-BH.xls]B__7023"/>
      <sheetName val="[Spt-BH.xls][Spt-BH.xls]_S_2504"/>
      <sheetName val="[Spt-BH.xls][Spt-BH.xls]B__7024"/>
      <sheetName val="[Spt-BH.xls][Spt-BH.xls]B__7025"/>
      <sheetName val="[Spt-BH.xls]B____x005f_x0004______557"/>
      <sheetName val="[Spt-BH.xls][Spt-BH.xls]B__6916"/>
      <sheetName val="[Spt-BH.xls][Spt-BH.xls]B__6917"/>
      <sheetName val="[Spt-BH.xls]B___x005f_x0000__x000_547"/>
      <sheetName val="[Spt-BH.xls][Spt-BH.xls]B__7026"/>
      <sheetName val="[Spt-BH.xls][Spt-BH.xls]B__7027"/>
      <sheetName val="[Spt-BH.xls][Spt-BH.xls]B__6918"/>
      <sheetName val="[Spt-BH.xls][Spt-BH.xls]_S_2503"/>
      <sheetName val="[Spt-BH.xls][Spt-BH_xls]B__7032"/>
      <sheetName val="[Spt-BH.xls][Spt-BH_xls]B__7033"/>
      <sheetName val="[Spt-BH.xls][Spt-BH_xls]B__7034"/>
      <sheetName val="[Spt-BH.xls][Spt-BH_xls]B__7035"/>
      <sheetName val="[Spt-BH.xls][Spt-BH_xls]_S_2332"/>
      <sheetName val="[Spt-BH.xls][Spt-BH_xls]B__7036"/>
      <sheetName val="[Spt-BH.xls][Spt-BH_xls]B__7037"/>
      <sheetName val="[Spt-BH.xls][Spt-BH_xls]B__7038"/>
      <sheetName val="[Spt-BH.xls][Spt-BH_xls]_S_2333"/>
      <sheetName val="[Spt-BH.xls][Spt-BH_xls]B__7039"/>
      <sheetName val="[Spt-BH.xls][Spt-BH_xls]B__7040"/>
      <sheetName val="[Spt-BH.xls][Spt-BH_xls]B__7041"/>
      <sheetName val="[Spt-BH.xls][Spt-BH_xls]B__7042"/>
      <sheetName val="[Spt-BH.xls][Spt-BH_xls]_S_2334"/>
      <sheetName val="[Spt-BH.xls][Spt-BH.xls]_S_2476"/>
      <sheetName val="[Spt-BH.xls][Spt-BH_xls]B__7043"/>
      <sheetName val="[Spt-BH.xls][Spt-BH_xls]B__7044"/>
      <sheetName val="[Spt-BH.xls][Spt-BH_xls]_S_2335"/>
      <sheetName val="[Spt-BH.xls][Spt-BH_xls]B__7045"/>
      <sheetName val="[Spt-BH.xls][Spt-BH_xls]B__7046"/>
      <sheetName val="[Spt-BH.xls][Spt-BH_xls]_S_2336"/>
      <sheetName val="[Spt-BH.xls][Spt-BH.xls]B__6956"/>
      <sheetName val="[Spt-BH.xls][Spt-BH.xls]B__6970"/>
      <sheetName val="[Spt-BH.xls][Spt-BH.xls]B__6971"/>
      <sheetName val="[Spt-BH.xls][Spt-BH.xls]_S_2487"/>
      <sheetName val="[Spt-BH.xls][Spt-BH.xls]B__6972"/>
      <sheetName val="[Spt-BH.xls][Spt-BH.xls]B__6973"/>
      <sheetName val="[Spt-BH.xls]B____x005f_x0004______564"/>
      <sheetName val="[Spt-BH.xls][Spt-BH.xls]_S_2482"/>
      <sheetName val="[Spt-BH.xls][Spt-BH.xls]B__6957"/>
      <sheetName val="[Spt-BH.xls][Spt-BH.xls]_S_2485"/>
      <sheetName val="[Spt-BH.xls][Spt-BH.xls]B__6958"/>
      <sheetName val="[Spt-BH.xls][Spt-BH.xls]B__6959"/>
      <sheetName val="[Spt-BH.xls][Spt-BH.xls]B__6960"/>
      <sheetName val="[Spt-BH.xls]B___x005f_x0000__x000_554"/>
      <sheetName val="[Spt-BH.xls][Spt-BH.xls]B__6974"/>
      <sheetName val="[Spt-BH.xls][Spt-BH.xls]B__6975"/>
      <sheetName val="[Spt-BH.xls][Spt-BH.xls]B__6961"/>
      <sheetName val="[Spt-BH.xls][Spt-BH.xls]B__6962"/>
      <sheetName val="[Spt-BH.xls][Spt-BH.xls]_S_2486"/>
      <sheetName val="[Spt-BH.xls][Spt-BH_xls]B__7137"/>
      <sheetName val="[Spt-BH.xls][Spt-BH_xls]B__7138"/>
      <sheetName val="[Spt-BH.xls][Spt-BH_xls]B__7139"/>
      <sheetName val="[Spt-BH.xls][Spt-BH_xls]B__7140"/>
      <sheetName val="[Spt-BH.xls][Spt-BH_xls]_S_2367"/>
      <sheetName val="[Spt-BH.xls][Spt-BH_xls]B__7141"/>
      <sheetName val="[Spt-BH.xls][Spt-BH_xls]B__7142"/>
      <sheetName val="[Spt-BH.xls][Spt-BH_xls]B__7143"/>
      <sheetName val="[Spt-BH.xls][Spt-BH_xls]_S_2368"/>
      <sheetName val="[Spt-BH.xls][Spt-BH_xls]B__7144"/>
      <sheetName val="[Spt-BH.xls][Spt-BH_xls]B__7145"/>
      <sheetName val="[Spt-BH.xls][Spt-BH_xls]B__7146"/>
      <sheetName val="[Spt-BH.xls][Spt-BH_xls]B__7147"/>
      <sheetName val="[Spt-BH.xls][Spt-BH_xls]_S_2369"/>
      <sheetName val="[Spt-BH.xls][Spt-BH.xls]_S_2483"/>
      <sheetName val="[Spt-BH.xls][Spt-BH_xls]B__7148"/>
      <sheetName val="[Spt-BH.xls][Spt-BH_xls]B__7149"/>
      <sheetName val="[Spt-BH.xls][Spt-BH_xls]_S_2370"/>
      <sheetName val="[Spt-BH.xls][Spt-BH_xls]B__7150"/>
      <sheetName val="[Spt-BH.xls][Spt-BH_xls]B__7151"/>
      <sheetName val="[Spt-BH.xls][Spt-BH_xls]_S_2371"/>
      <sheetName val="[Spt-BH.xls]B____x005f_x0004______558"/>
      <sheetName val="[Spt-BH.xls]B___x005f_x0000__x000_548"/>
      <sheetName val="[Spt-BH.xls][Spt-BH_xls]B__7047"/>
      <sheetName val="[Spt-BH.xls][Spt-BH_xls]B__7048"/>
      <sheetName val="[Spt-BH.xls][Spt-BH_xls]B__7049"/>
      <sheetName val="[Spt-BH.xls][Spt-BH_xls]B__7050"/>
      <sheetName val="[Spt-BH.xls][Spt-BH_xls]_S_2337"/>
      <sheetName val="[Spt-BH.xls][Spt-BH_xls]B__7051"/>
      <sheetName val="[Spt-BH.xls][Spt-BH_xls]B__7052"/>
      <sheetName val="[Spt-BH.xls][Spt-BH_xls]B__7053"/>
      <sheetName val="[Spt-BH.xls][Spt-BH_xls]_S_2338"/>
      <sheetName val="[Spt-BH.xls][Spt-BH_xls]B__7054"/>
      <sheetName val="[Spt-BH.xls][Spt-BH_xls]B__7055"/>
      <sheetName val="[Spt-BH.xls][Spt-BH_xls]B__7056"/>
      <sheetName val="[Spt-BH.xls][Spt-BH_xls]B__7057"/>
      <sheetName val="[Spt-BH.xls][Spt-BH_xls]_S_2339"/>
      <sheetName val="[Spt-BH.xls][Spt-BH_xls]B__7058"/>
      <sheetName val="[Spt-BH.xls][Spt-BH_xls]B__7059"/>
      <sheetName val="[Spt-BH.xls][Spt-BH_xls]_S_2340"/>
      <sheetName val="[Spt-BH.xls][Spt-BH_xls]B__7060"/>
      <sheetName val="[Spt-BH.xls][Spt-BH_xls]B__7061"/>
      <sheetName val="[Spt-BH.xls][Spt-BH_xls]_S_2341"/>
      <sheetName val="[Spt-BH.xls][Spt-BH.xls]B__6919"/>
      <sheetName val="[Spt-BH.xls]B____x005f_x0004______559"/>
      <sheetName val="[Spt-BH.xls]B___x005f_x0000__x000_549"/>
      <sheetName val="[Spt-BH.xls][Spt-BH.xls]B__6920"/>
      <sheetName val="[Spt-BH.xls][Spt-BH.xls]B__6921"/>
      <sheetName val="[Spt-BH.xls][Spt-BH_xls]B__7062"/>
      <sheetName val="[Spt-BH.xls][Spt-BH_xls]B__7063"/>
      <sheetName val="[Spt-BH.xls][Spt-BH_xls]B__7064"/>
      <sheetName val="[Spt-BH.xls][Spt-BH_xls]B__7065"/>
      <sheetName val="[Spt-BH.xls][Spt-BH_xls]_S_2342"/>
      <sheetName val="[Spt-BH.xls][Spt-BH_xls]B__7066"/>
      <sheetName val="[Spt-BH.xls][Spt-BH_xls]B__7067"/>
      <sheetName val="[Spt-BH.xls][Spt-BH_xls]B__7068"/>
      <sheetName val="[Spt-BH.xls][Spt-BH_xls]_S_2343"/>
      <sheetName val="[Spt-BH.xls][Spt-BH_xls]B__7069"/>
      <sheetName val="[Spt-BH.xls][Spt-BH_xls]B__7070"/>
      <sheetName val="[Spt-BH.xls][Spt-BH_xls]B__7071"/>
      <sheetName val="[Spt-BH.xls][Spt-BH_xls]B__7072"/>
      <sheetName val="[Spt-BH.xls][Spt-BH_xls]_S_2344"/>
      <sheetName val="[Spt-BH.xls][Spt-BH_xls]B__7073"/>
      <sheetName val="[Spt-BH.xls][Spt-BH_xls]B__7074"/>
      <sheetName val="[Spt-BH.xls][Spt-BH_xls]_S_2345"/>
      <sheetName val="[Spt-BH.xls][Spt-BH_xls]B__7075"/>
      <sheetName val="[Spt-BH.xls][Spt-BH_xls]B__7076"/>
      <sheetName val="[Spt-BH.xls][Spt-BH_xls]_S_2346"/>
      <sheetName val="[Spt-BH.xls][Spt-BH.xls]B__6923"/>
      <sheetName val="[Spt-BH.xls][Spt-BH.xls]B__6924"/>
      <sheetName val="[Spt-BH.xls][Spt-BH.xls]B__6925"/>
      <sheetName val="[Spt-BH.xls][Spt-BH.xls]B__6926"/>
      <sheetName val="[Spt-BH.xls]B____x005f_x0004______560"/>
      <sheetName val="[Spt-BH.xls]B___x005f_x0000__x000_550"/>
      <sheetName val="[Spt-BH.xls][Spt-BH.xls]B__6927"/>
      <sheetName val="[Spt-BH.xls][Spt-BH.xls]B__6928"/>
      <sheetName val="[Spt-BH.xls][Spt-BH.xls]B__6922"/>
      <sheetName val="[Spt-BH.xls][Spt-BH_xls]B__7077"/>
      <sheetName val="[Spt-BH.xls][Spt-BH_xls]B__7078"/>
      <sheetName val="[Spt-BH.xls][Spt-BH_xls]B__7079"/>
      <sheetName val="[Spt-BH.xls][Spt-BH_xls]B__7080"/>
      <sheetName val="[Spt-BH.xls][Spt-BH_xls]_S_2347"/>
      <sheetName val="[Spt-BH.xls][Spt-BH_xls]B__7081"/>
      <sheetName val="[Spt-BH.xls][Spt-BH_xls]B__7082"/>
      <sheetName val="[Spt-BH.xls][Spt-BH_xls]B__7083"/>
      <sheetName val="[Spt-BH.xls][Spt-BH_xls]_S_2348"/>
      <sheetName val="[Spt-BH.xls][Spt-BH_xls]B__7084"/>
      <sheetName val="[Spt-BH.xls][Spt-BH_xls]B__7085"/>
      <sheetName val="[Spt-BH.xls][Spt-BH_xls]B__7086"/>
      <sheetName val="[Spt-BH.xls][Spt-BH_xls]B__7087"/>
      <sheetName val="[Spt-BH.xls][Spt-BH_xls]_S_2349"/>
      <sheetName val="[Spt-BH.xls][Spt-BH_xls]B__7088"/>
      <sheetName val="[Spt-BH.xls][Spt-BH_xls]B__7089"/>
      <sheetName val="[Spt-BH.xls][Spt-BH_xls]_S_2350"/>
      <sheetName val="[Spt-BH.xls][Spt-BH_xls]B__7090"/>
      <sheetName val="[Spt-BH.xls][Spt-BH_xls]B__7091"/>
      <sheetName val="[Spt-BH.xls][Spt-BH_xls]_S_2351"/>
      <sheetName val="[Spt-BH.xls][Spt-BH.xls]B__6930"/>
      <sheetName val="[Spt-BH.xls][Spt-BH.xls]B__6931"/>
      <sheetName val="[Spt-BH.xls][Spt-BH.xls]_S_2477"/>
      <sheetName val="[Spt-BH.xls][Spt-BH.xls]B__6932"/>
      <sheetName val="[Spt-BH.xls][Spt-BH.xls]B__6933"/>
      <sheetName val="[Spt-BH.xls]B____x005f_x0004______561"/>
      <sheetName val="[Spt-BH.xls]B___x005f_x0000__x000_551"/>
      <sheetName val="[Spt-BH.xls][Spt-BH.xls]B__6934"/>
      <sheetName val="[Spt-BH.xls][Spt-BH.xls]B__6935"/>
      <sheetName val="[Spt-BH.xls][Spt-BH.xls]B__6929"/>
      <sheetName val="[Spt-BH.xls][Spt-BH_xls]B__7092"/>
      <sheetName val="[Spt-BH.xls][Spt-BH_xls]B__7093"/>
      <sheetName val="[Spt-BH.xls][Spt-BH_xls]B__7094"/>
      <sheetName val="[Spt-BH.xls][Spt-BH_xls]B__7095"/>
      <sheetName val="[Spt-BH.xls][Spt-BH_xls]_S_2352"/>
      <sheetName val="[Spt-BH.xls][Spt-BH_xls]B__7096"/>
      <sheetName val="[Spt-BH.xls][Spt-BH_xls]B__7097"/>
      <sheetName val="[Spt-BH.xls][Spt-BH_xls]B__7098"/>
      <sheetName val="[Spt-BH.xls][Spt-BH_xls]_S_2353"/>
      <sheetName val="[Spt-BH.xls][Spt-BH_xls]B__7099"/>
      <sheetName val="[Spt-BH.xls][Spt-BH_xls]B__7100"/>
      <sheetName val="[Spt-BH.xls][Spt-BH_xls]B__7101"/>
      <sheetName val="[Spt-BH.xls][Spt-BH_xls]B__7102"/>
      <sheetName val="[Spt-BH.xls][Spt-BH_xls]_S_2354"/>
      <sheetName val="[Spt-BH.xls][Spt-BH_xls]B__7103"/>
      <sheetName val="[Spt-BH.xls][Spt-BH_xls]B__7104"/>
      <sheetName val="[Spt-BH.xls][Spt-BH_xls]_S_2355"/>
      <sheetName val="[Spt-BH.xls][Spt-BH_xls]B__7105"/>
      <sheetName val="[Spt-BH.xls][Spt-BH_xls]B__7106"/>
      <sheetName val="[Spt-BH.xls][Spt-BH_xls]_S_2356"/>
      <sheetName val="[Spt-BH.xls][Spt-BH.xls]B__6943"/>
      <sheetName val="[Spt-BH.xls][Spt-BH.xls]B__6950"/>
      <sheetName val="[Spt-BH.xls][Spt-BH.xls]B__6951"/>
      <sheetName val="[Spt-BH.xls][Spt-BH.xls]_S_2481"/>
      <sheetName val="[Spt-BH.xls][Spt-BH.xls]B__6952"/>
      <sheetName val="[Spt-BH.xls][Spt-BH.xls]B__6953"/>
      <sheetName val="[Spt-BH.xls]B____x005f_x0004______563"/>
      <sheetName val="[Spt-BH.xls][Spt-BH.xls]B__6944"/>
      <sheetName val="[Spt-BH.xls][Spt-BH.xls]_S_2479"/>
      <sheetName val="[Spt-BH.xls][Spt-BH.xls]B__6945"/>
      <sheetName val="[Spt-BH.xls][Spt-BH.xls]B__6946"/>
      <sheetName val="[Spt-BH.xls][Spt-BH.xls]B__6947"/>
      <sheetName val="[Spt-BH.xls]B___x005f_x0000__x000_553"/>
      <sheetName val="[Spt-BH.xls][Spt-BH.xls]B__6954"/>
      <sheetName val="[Spt-BH.xls][Spt-BH.xls]B__6955"/>
      <sheetName val="[Spt-BH.xls][Spt-BH.xls]B__6948"/>
      <sheetName val="[Spt-BH.xls][Spt-BH.xls]B__6949"/>
      <sheetName val="[Spt-BH.xls][Spt-BH.xls]_S_2480"/>
      <sheetName val="[Spt-BH.xls][Spt-BH_xls]B__7122"/>
      <sheetName val="[Spt-BH.xls][Spt-BH_xls]B__7123"/>
      <sheetName val="[Spt-BH.xls][Spt-BH_xls]B__7124"/>
      <sheetName val="[Spt-BH.xls][Spt-BH_xls]B__7125"/>
      <sheetName val="[Spt-BH.xls][Spt-BH_xls]_S_2362"/>
      <sheetName val="[Spt-BH.xls][Spt-BH_xls]B__7126"/>
      <sheetName val="[Spt-BH.xls][Spt-BH_xls]B__7127"/>
      <sheetName val="[Spt-BH.xls][Spt-BH_xls]B__7128"/>
      <sheetName val="[Spt-BH.xls][Spt-BH_xls]_S_2363"/>
      <sheetName val="[Spt-BH.xls][Spt-BH_xls]B__7129"/>
      <sheetName val="[Spt-BH.xls][Spt-BH_xls]B__7130"/>
      <sheetName val="[Spt-BH.xls][Spt-BH_xls]B__7131"/>
      <sheetName val="[Spt-BH.xls][Spt-BH_xls]B__7132"/>
      <sheetName val="[Spt-BH.xls][Spt-BH_xls]_S_2364"/>
      <sheetName val="[Spt-BH.xls][Spt-BH.xls]_S_2478"/>
      <sheetName val="[Spt-BH.xls][Spt-BH_xls]B__7133"/>
      <sheetName val="[Spt-BH.xls][Spt-BH_xls]B__7134"/>
      <sheetName val="[Spt-BH.xls][Spt-BH_xls]_S_2365"/>
      <sheetName val="[Spt-BH.xls][Spt-BH_xls]B__7135"/>
      <sheetName val="[Spt-BH.xls][Spt-BH_xls]B__7136"/>
      <sheetName val="[Spt-BH.xls][Spt-BH_xls]_S_2366"/>
      <sheetName val="[Spt-BH.xls][Spt-BH.xls]B__6936"/>
      <sheetName val="[Spt-BH.xls]B____x005f_x0004______562"/>
      <sheetName val="[Spt-BH.xls][Spt-BH.xls]B__6937"/>
      <sheetName val="[Spt-BH.xls][Spt-BH.xls]B__6938"/>
      <sheetName val="[Spt-BH.xls][Spt-BH.xls]B__6939"/>
      <sheetName val="[Spt-BH.xls][Spt-BH.xls]B__6940"/>
      <sheetName val="[Spt-BH.xls]B___x005f_x0000__x000_552"/>
      <sheetName val="[Spt-BH.xls][Spt-BH.xls]B__6941"/>
      <sheetName val="[Spt-BH.xls][Spt-BH.xls]B__6942"/>
      <sheetName val="[Spt-BH.xls][Spt-BH_xls]B__7107"/>
      <sheetName val="[Spt-BH.xls][Spt-BH_xls]B__7108"/>
      <sheetName val="[Spt-BH.xls][Spt-BH_xls]B__7109"/>
      <sheetName val="[Spt-BH.xls][Spt-BH_xls]B__7110"/>
      <sheetName val="[Spt-BH.xls][Spt-BH_xls]_S_2357"/>
      <sheetName val="[Spt-BH.xls][Spt-BH_xls]B__7111"/>
      <sheetName val="[Spt-BH.xls][Spt-BH_xls]B__7112"/>
      <sheetName val="[Spt-BH.xls][Spt-BH_xls]B__7113"/>
      <sheetName val="[Spt-BH.xls][Spt-BH_xls]_S_2358"/>
      <sheetName val="[Spt-BH.xls][Spt-BH_xls]B__7114"/>
      <sheetName val="[Spt-BH.xls][Spt-BH_xls]B__7115"/>
      <sheetName val="[Spt-BH.xls][Spt-BH_xls]B__7116"/>
      <sheetName val="[Spt-BH.xls][Spt-BH_xls]B__7117"/>
      <sheetName val="[Spt-BH.xls][Spt-BH_xls]_S_2359"/>
      <sheetName val="[Spt-BH.xls][Spt-BH_xls]B__7118"/>
      <sheetName val="[Spt-BH.xls][Spt-BH_xls]B__7119"/>
      <sheetName val="[Spt-BH.xls][Spt-BH_xls]_S_2360"/>
      <sheetName val="[Spt-BH.xls][Spt-BH_xls]B__7120"/>
      <sheetName val="[Spt-BH.xls][Spt-BH_xls]B__7121"/>
      <sheetName val="[Spt-BH.xls][Spt-BH_xls]_S_2361"/>
      <sheetName val="[Spt-BH.xls][Spt-BH.xls]B__6977"/>
      <sheetName val="[Spt-BH.xls][Spt-BH.xls]B__6978"/>
      <sheetName val="[Spt-BH.xls][Spt-BH.xls]_S_2489"/>
      <sheetName val="[Spt-BH.xls][Spt-BH.xls]B__6979"/>
      <sheetName val="[Spt-BH.xls][Spt-BH.xls]B__6980"/>
      <sheetName val="[Spt-BH.xls]B____x005f_x0004______566"/>
      <sheetName val="[Spt-BH.xls]B___x005f_x0000__x000_556"/>
      <sheetName val="[Spt-BH.xls][Spt-BH.xls]B__6981"/>
      <sheetName val="[Spt-BH.xls][Spt-BH.xls]B__6982"/>
      <sheetName val="[Spt-BH.xls][Spt-BH.xls]B__6976"/>
      <sheetName val="[Spt-BH.xls][Spt-BH.xls]_S_2488"/>
      <sheetName val="[Spt-BH.xls][Spt-BH_xls]B__7167"/>
      <sheetName val="[Spt-BH.xls][Spt-BH_xls]B__7168"/>
      <sheetName val="[Spt-BH.xls][Spt-BH_xls]B__7169"/>
      <sheetName val="[Spt-BH.xls][Spt-BH_xls]B__7170"/>
      <sheetName val="[Spt-BH.xls][Spt-BH_xls]_S_2377"/>
      <sheetName val="[Spt-BH.xls][Spt-BH_xls]B__7171"/>
      <sheetName val="[Spt-BH.xls][Spt-BH_xls]B__7172"/>
      <sheetName val="[Spt-BH.xls][Spt-BH_xls]B__7173"/>
      <sheetName val="[Spt-BH.xls][Spt-BH_xls]_S_2378"/>
      <sheetName val="[Spt-BH.xls][Spt-BH_xls]B__7174"/>
      <sheetName val="[Spt-BH.xls][Spt-BH_xls]B__7175"/>
      <sheetName val="[Spt-BH.xls][Spt-BH_xls]B__7176"/>
      <sheetName val="[Spt-BH.xls][Spt-BH_xls]B__7177"/>
      <sheetName val="[Spt-BH.xls][Spt-BH_xls]_S_2379"/>
      <sheetName val="[Spt-BH.xls][Spt-BH_xls]B__7178"/>
      <sheetName val="[Spt-BH.xls][Spt-BH_xls]B__7179"/>
      <sheetName val="[Spt-BH.xls][Spt-BH_xls]_S_2380"/>
      <sheetName val="[Spt-BH.xls][Spt-BH_xls]B__7180"/>
      <sheetName val="[Spt-BH.xls][Spt-BH_xls]B__7181"/>
      <sheetName val="[Spt-BH.xls][Spt-BH_xls]_S_2381"/>
      <sheetName val="[Spt-BH.xls][Spt-BH.xls]B__6963"/>
      <sheetName val="[Spt-BH.xls][Spt-BH.xls]B__6964"/>
      <sheetName val="[Spt-BH.xls][Spt-BH.xls]B__6965"/>
      <sheetName val="[Spt-BH.xls][Spt-BH.xls]B__6966"/>
      <sheetName val="[Spt-BH.xls][Spt-BH.xls]B__6967"/>
      <sheetName val="[Spt-BH.xls][Spt-BH.xls]B__6968"/>
      <sheetName val="[Spt-BH.xls][Spt-BH.xls]_S_2484"/>
      <sheetName val="[Spt-BH.xls]B____x005f_x0004______565"/>
      <sheetName val="[Spt-BH.xls]B___x005f_x0000__x000_555"/>
      <sheetName val="[Spt-BH.xls][Spt-BH.xls]B__6969"/>
      <sheetName val="[Spt-BH.xls][Spt-BH_xls]B__7152"/>
      <sheetName val="[Spt-BH.xls][Spt-BH_xls]B__7153"/>
      <sheetName val="[Spt-BH.xls][Spt-BH_xls]B__7154"/>
      <sheetName val="[Spt-BH.xls][Spt-BH_xls]B__7155"/>
      <sheetName val="[Spt-BH.xls][Spt-BH_xls]_S_2372"/>
      <sheetName val="[Spt-BH.xls][Spt-BH_xls]B__7156"/>
      <sheetName val="[Spt-BH.xls][Spt-BH_xls]B__7157"/>
      <sheetName val="[Spt-BH.xls][Spt-BH_xls]B__7158"/>
      <sheetName val="[Spt-BH.xls][Spt-BH_xls]_S_2373"/>
      <sheetName val="[Spt-BH.xls][Spt-BH_xls]B__7159"/>
      <sheetName val="[Spt-BH.xls][Spt-BH_xls]B__7160"/>
      <sheetName val="[Spt-BH.xls][Spt-BH_xls]B__7161"/>
      <sheetName val="[Spt-BH.xls][Spt-BH_xls]B__7162"/>
      <sheetName val="[Spt-BH.xls][Spt-BH_xls]_S_2374"/>
      <sheetName val="[Spt-BH.xls][Spt-BH_xls]B__7163"/>
      <sheetName val="[Spt-BH.xls][Spt-BH_xls]B__7164"/>
      <sheetName val="[Spt-BH.xls][Spt-BH_xls]_S_2375"/>
      <sheetName val="[Spt-BH.xls][Spt-BH_xls]B__7165"/>
      <sheetName val="[Spt-BH.xls][Spt-BH_xls]B__7166"/>
      <sheetName val="[Spt-BH.xls][Spt-BH_xls]_S_2376"/>
      <sheetName val="[Spt-BH.xls][Spt-BH.xls]B__6983"/>
      <sheetName val="[Spt-BH.xls][Spt-BH.xls]B__6990"/>
      <sheetName val="[Spt-BH.xls][Spt-BH.xls]B__6991"/>
      <sheetName val="[Spt-BH.xls][Spt-BH.xls]_S_2493"/>
      <sheetName val="[Spt-BH.xls][Spt-BH.xls]B__6992"/>
      <sheetName val="[Spt-BH.xls][Spt-BH.xls]B__6993"/>
      <sheetName val="[Spt-BH.xls]B____x005f_x0004______567"/>
      <sheetName val="[Spt-BH.xls][Spt-BH.xls]B__6984"/>
      <sheetName val="[Spt-BH.xls][Spt-BH.xls]_S_2491"/>
      <sheetName val="[Spt-BH.xls][Spt-BH.xls]B__6985"/>
      <sheetName val="[Spt-BH.xls][Spt-BH.xls]B__6986"/>
      <sheetName val="[Spt-BH.xls][Spt-BH.xls]B__6987"/>
      <sheetName val="[Spt-BH.xls]B___x005f_x0000__x000_557"/>
      <sheetName val="[Spt-BH.xls][Spt-BH.xls]B__6994"/>
      <sheetName val="[Spt-BH.xls][Spt-BH.xls]B__6995"/>
      <sheetName val="[Spt-BH.xls][Spt-BH.xls]B__6988"/>
      <sheetName val="[Spt-BH.xls][Spt-BH.xls]B__6989"/>
      <sheetName val="[Spt-BH.xls][Spt-BH.xls]_S_2492"/>
      <sheetName val="[Spt-BH.xls][Spt-BH_xls]B__7182"/>
      <sheetName val="[Spt-BH.xls][Spt-BH_xls]B__7183"/>
      <sheetName val="[Spt-BH.xls][Spt-BH_xls]B__7184"/>
      <sheetName val="[Spt-BH.xls][Spt-BH_xls]B__7185"/>
      <sheetName val="[Spt-BH.xls][Spt-BH_xls]_S_2382"/>
      <sheetName val="[Spt-BH.xls][Spt-BH_xls]B__7186"/>
      <sheetName val="[Spt-BH.xls][Spt-BH_xls]B__7187"/>
      <sheetName val="[Spt-BH.xls][Spt-BH_xls]B__7188"/>
      <sheetName val="[Spt-BH.xls][Spt-BH_xls]_S_2383"/>
      <sheetName val="[Spt-BH.xls][Spt-BH_xls]B__7189"/>
      <sheetName val="[Spt-BH.xls][Spt-BH_xls]B__7190"/>
      <sheetName val="[Spt-BH.xls][Spt-BH_xls]B__7191"/>
      <sheetName val="[Spt-BH.xls][Spt-BH_xls]B__7192"/>
      <sheetName val="[Spt-BH.xls][Spt-BH_xls]_S_2384"/>
      <sheetName val="[Spt-BH.xls][Spt-BH.xls]_S_2490"/>
      <sheetName val="[Spt-BH.xls][Spt-BH_xls]B__7193"/>
      <sheetName val="[Spt-BH.xls][Spt-BH_xls]B__7194"/>
      <sheetName val="[Spt-BH.xls][Spt-BH_xls]_S_2385"/>
      <sheetName val="[Spt-BH.xls][Spt-BH_xls]B__7195"/>
      <sheetName val="[Spt-BH.xls][Spt-BH_xls]B__7196"/>
      <sheetName val="[Spt-BH.xls][Spt-BH_xls]_S_2386"/>
      <sheetName val="[Spt-BH.xls][Spt-BH.xls]B__6997"/>
      <sheetName val="[Spt-BH.xls][Spt-BH.xls]B__6998"/>
      <sheetName val="[Spt-BH.xls][Spt-BH.xls]_S_2495"/>
      <sheetName val="[Spt-BH.xls][Spt-BH.xls]B__6999"/>
      <sheetName val="[Spt-BH.xls][Spt-BH.xls]B__7000"/>
      <sheetName val="[Spt-BH.xls]B____x005f_x0004______568"/>
      <sheetName val="[Spt-BH.xls]B___x005f_x0000__x000_558"/>
      <sheetName val="[Spt-BH.xls][Spt-BH.xls]B__7001"/>
      <sheetName val="[Spt-BH.xls][Spt-BH.xls]B__7002"/>
      <sheetName val="[Spt-BH.xls][Spt-BH.xls]B__6996"/>
      <sheetName val="[Spt-BH.xls][Spt-BH.xls]_S_2494"/>
      <sheetName val="[Spt-BH.xls][Spt-BH_xls]B__7197"/>
      <sheetName val="[Spt-BH.xls][Spt-BH_xls]B__7198"/>
      <sheetName val="[Spt-BH.xls][Spt-BH_xls]B__7199"/>
      <sheetName val="[Spt-BH.xls][Spt-BH_xls]B__7200"/>
      <sheetName val="[Spt-BH.xls][Spt-BH_xls]_S_2387"/>
      <sheetName val="[Spt-BH.xls][Spt-BH_xls]B__7201"/>
      <sheetName val="[Spt-BH.xls][Spt-BH_xls]B__7202"/>
      <sheetName val="[Spt-BH.xls][Spt-BH_xls]B__7203"/>
      <sheetName val="[Spt-BH.xls][Spt-BH_xls]_S_2388"/>
      <sheetName val="[Spt-BH.xls][Spt-BH_xls]B__7204"/>
      <sheetName val="[Spt-BH.xls][Spt-BH_xls]B__7205"/>
      <sheetName val="[Spt-BH.xls][Spt-BH_xls]B__7206"/>
      <sheetName val="[Spt-BH.xls][Spt-BH_xls]B__7207"/>
      <sheetName val="[Spt-BH.xls][Spt-BH_xls]_S_2389"/>
      <sheetName val="[Spt-BH.xls][Spt-BH_xls]B__7208"/>
      <sheetName val="[Spt-BH.xls][Spt-BH_xls]B__7209"/>
      <sheetName val="[Spt-BH.xls][Spt-BH_xls]_S_2390"/>
      <sheetName val="[Spt-BH.xls][Spt-BH_xls]B__7210"/>
      <sheetName val="[Spt-BH.xls][Spt-BH_xls]B__7211"/>
      <sheetName val="[Spt-BH.xls][Spt-BH_xls]_S_2391"/>
      <sheetName val="[Spt-BH.xls][Spt-BH.xls]B__7004"/>
      <sheetName val="[Spt-BH.xls][Spt-BH.xls]B__7005"/>
      <sheetName val="[Spt-BH.xls][Spt-BH.xls]_S_2499"/>
      <sheetName val="[Spt-BH.xls][Spt-BH.xls]B__7006"/>
      <sheetName val="[Spt-BH.xls][Spt-BH.xls]B__7007"/>
      <sheetName val="[Spt-BH.xls]B____x005f_x0004______569"/>
      <sheetName val="[Spt-BH.xls]B___x005f_x0000__x000_559"/>
      <sheetName val="[Spt-BH.xls][Spt-BH.xls]B__7008"/>
      <sheetName val="[Spt-BH.xls][Spt-BH.xls]B__7009"/>
      <sheetName val="[Spt-BH.xls][Spt-BH.xls]B__7003"/>
      <sheetName val="[Spt-BH.xls][Spt-BH.xls]_S_2496"/>
      <sheetName val="[Spt-BH.xls][Spt-BH_xls]B__7212"/>
      <sheetName val="[Spt-BH.xls][Spt-BH_xls]B__7213"/>
      <sheetName val="[Spt-BH.xls][Spt-BH_xls]B__7214"/>
      <sheetName val="[Spt-BH.xls][Spt-BH_xls]B__7215"/>
      <sheetName val="[Spt-BH.xls][Spt-BH_xls]_S_2392"/>
      <sheetName val="[Spt-BH.xls][Spt-BH_xls]B__7216"/>
      <sheetName val="[Spt-BH.xls][Spt-BH_xls]B__7217"/>
      <sheetName val="[Spt-BH.xls][Spt-BH_xls]B__7218"/>
      <sheetName val="[Spt-BH.xls][Spt-BH_xls]_S_2393"/>
      <sheetName val="[Spt-BH.xls][Spt-BH_xls]B__7219"/>
      <sheetName val="[Spt-BH.xls][Spt-BH_xls]B__7220"/>
      <sheetName val="[Spt-BH.xls][Spt-BH_xls]B__7221"/>
      <sheetName val="[Spt-BH.xls][Spt-BH_xls]B__7222"/>
      <sheetName val="[Spt-BH.xls][Spt-BH_xls]_S_2394"/>
      <sheetName val="[Spt-BH.xls][Spt-BH_xls]B__7223"/>
      <sheetName val="[Spt-BH.xls][Spt-BH_xls]B__7224"/>
      <sheetName val="[Spt-BH.xls][Spt-BH_xls]_S_2395"/>
      <sheetName val="[Spt-BH.xls][Spt-BH_xls]B__7225"/>
      <sheetName val="[Spt-BH.xls][Spt-BH_xls]B__7226"/>
      <sheetName val="[Spt-BH.xls][Spt-BH_xls]_S_2396"/>
      <sheetName val="[Spt-BH.xls][Spt-BH.xls]B__7016"/>
      <sheetName val="[Spt-BH.xls][Spt-BH.xls]B__7017"/>
      <sheetName val="[Spt-BH.xls][Spt-BH.xls]_S_2501"/>
      <sheetName val="[Spt-BH.xls][Spt-BH.xls]B__7018"/>
      <sheetName val="[Spt-BH.xls][Spt-BH.xls]B__7019"/>
      <sheetName val="[Spt-BH.xls][Spt-BH.xls]B__7020"/>
      <sheetName val="[Spt-BH.xls][Spt-BH.xls]B__7021"/>
      <sheetName val="[Spt-BH.xls][Spt-BH.xls]_S_2500"/>
      <sheetName val="[Spt-BH.xls][Spt-BH.xls]_S_2497"/>
      <sheetName val="[Spt-BH.xls][Spt-BH.xls]B__7010"/>
      <sheetName val="[Spt-BH.xls][Spt-BH.xls]B__7011"/>
      <sheetName val="[Spt-BH.xls][Spt-BH.xls]B__7012"/>
      <sheetName val="[Spt-BH.xls][Spt-BH.xls]B__7013"/>
      <sheetName val="[Spt-BH.xls][Spt-BH.xls]B__7014"/>
      <sheetName val="[Spt-BH.xls][Spt-BH.xls]B__7015"/>
      <sheetName val="[Spt-BH.xls][Spt-BH.xls]_S_2498"/>
      <sheetName val="[Spt-BH.xls][Spt-BH.xls]_S_2513"/>
      <sheetName val="[Spt-BH.xls][Spt-BH.xls]_S_2506"/>
      <sheetName val="[Spt-BH.xls][Spt-BH.xls]B__7034"/>
      <sheetName val="[Spt-BH.xls][Spt-BH.xls]B__7035"/>
      <sheetName val="[Spt-BH.xls][Spt-BH.xls]_S_2508"/>
      <sheetName val="[Spt-BH.xls][Spt-BH.xls]B__7036"/>
      <sheetName val="[Spt-BH.xls][Spt-BH.xls]B__7037"/>
      <sheetName val="[Spt-BH.xls][Spt-BH.xls]B__7038"/>
      <sheetName val="[Spt-BH.xls][Spt-BH.xls]B__7039"/>
      <sheetName val="[Spt-BH.xls][Spt-BH.xls]_S_2507"/>
      <sheetName val="[Spt-BH.xls][Spt-BH.xls]B__7028"/>
      <sheetName val="[Spt-BH.xls][Spt-BH.xls]B__7029"/>
      <sheetName val="[Spt-BH.xls][Spt-BH.xls]_S_2505"/>
      <sheetName val="[Spt-BH.xls][Spt-BH.xls]B__7030"/>
      <sheetName val="[Spt-BH.xls][Spt-BH.xls]B__7031"/>
      <sheetName val="[Spt-BH.xls][Spt-BH.xls]B__7032"/>
      <sheetName val="[Spt-BH.xls][Spt-BH.xls]B__7033"/>
      <sheetName val="[Spt-BH.xls][Spt-BH.xls]B__7040"/>
      <sheetName val="[Spt-BH.xls][Spt-BH.xls]B__7041"/>
      <sheetName val="[Spt-BH.xls][Spt-BH.xls]_S_2510"/>
      <sheetName val="[Spt-BH.xls][Spt-BH.xls]B__7042"/>
      <sheetName val="[Spt-BH.xls][Spt-BH.xls]B__7043"/>
      <sheetName val="[Spt-BH.xls][Spt-BH.xls]B__7044"/>
      <sheetName val="[Spt-BH.xls][Spt-BH.xls]B__7045"/>
      <sheetName val="[Spt-BH.xls][Spt-BH.xls]_S_2509"/>
      <sheetName val="[Spt-BH.xls][Spt-BH.xls]B__7046"/>
      <sheetName val="[Spt-BH.xls][Spt-BH.xls]B__7047"/>
      <sheetName val="[Spt-BH.xls][Spt-BH.xls]_S_2512"/>
      <sheetName val="[Spt-BH.xls][Spt-BH.xls]B__7048"/>
      <sheetName val="[Spt-BH.xls][Spt-BH.xls]B__7049"/>
      <sheetName val="[Spt-BH.xls][Spt-BH.xls]B__7050"/>
      <sheetName val="[Spt-BH.xls][Spt-BH.xls]B__7051"/>
      <sheetName val="[Spt-BH.xls][Spt-BH.xls]_S_2511"/>
      <sheetName val="[Spt-BH.xls][Spt-BH.xls]B__7052"/>
      <sheetName val="[Spt-BH.xls][Spt-BH.xls]B__7053"/>
      <sheetName val="[Spt-BH.xls][Spt-BH.xls]_S_2515"/>
      <sheetName val="[Spt-BH.xls][Spt-BH.xls]B__7054"/>
      <sheetName val="[Spt-BH.xls][Spt-BH.xls]B__7055"/>
      <sheetName val="[Spt-BH.xls][Spt-BH.xls]_S_2514"/>
      <sheetName val="[Spt-BH.xls][Spt-BH.xls]_S_2516"/>
      <sheetName val="[Spt-BH.xls][Spt-BH.xls]B__7056"/>
      <sheetName val="[Spt-BH.xls][Spt-BH.xls]B__7057"/>
      <sheetName val="[Spt-BH.xls][Spt-BH.xls]_S_2518"/>
      <sheetName val="[Spt-BH.xls][Spt-BH.xls]B__7058"/>
      <sheetName val="[Spt-BH.xls][Spt-BH.xls]B__7059"/>
      <sheetName val="[Spt-BH.xls][Spt-BH.xls]B__7060"/>
      <sheetName val="[Spt-BH.xls][Spt-BH.xls]B__7061"/>
      <sheetName val="[Spt-BH.xls][Spt-BH.xls]_S_2517"/>
      <sheetName val="[Spt-BH.xls][Spt-BH.xls]_S_2519"/>
      <sheetName val="[Spt-BH.xls][Spt-BH.xls]_S_2520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</row>
        <row r="3">
          <cell r="B3">
            <v>2</v>
          </cell>
          <cell r="C3">
            <v>25</v>
          </cell>
        </row>
        <row r="4">
          <cell r="B4">
            <v>3</v>
          </cell>
          <cell r="C4">
            <v>25</v>
          </cell>
        </row>
        <row r="5">
          <cell r="B5">
            <v>4</v>
          </cell>
          <cell r="C5">
            <v>25</v>
          </cell>
        </row>
        <row r="6">
          <cell r="B6">
            <v>5</v>
          </cell>
          <cell r="C6">
            <v>28</v>
          </cell>
        </row>
        <row r="7">
          <cell r="B7">
            <v>6</v>
          </cell>
          <cell r="C7">
            <v>28.5</v>
          </cell>
        </row>
        <row r="8">
          <cell r="B8">
            <v>7</v>
          </cell>
          <cell r="C8">
            <v>29</v>
          </cell>
        </row>
        <row r="9">
          <cell r="B9">
            <v>8</v>
          </cell>
          <cell r="C9">
            <v>29</v>
          </cell>
        </row>
        <row r="10">
          <cell r="B10">
            <v>9</v>
          </cell>
          <cell r="C10">
            <v>30</v>
          </cell>
        </row>
        <row r="11">
          <cell r="B11">
            <v>10</v>
          </cell>
          <cell r="C11">
            <v>30</v>
          </cell>
        </row>
        <row r="12">
          <cell r="B12">
            <v>11</v>
          </cell>
          <cell r="C12">
            <v>30</v>
          </cell>
        </row>
        <row r="13">
          <cell r="B13">
            <v>12</v>
          </cell>
          <cell r="C13">
            <v>31</v>
          </cell>
        </row>
        <row r="14">
          <cell r="B14">
            <v>13</v>
          </cell>
          <cell r="C14">
            <v>31</v>
          </cell>
        </row>
        <row r="15">
          <cell r="B15">
            <v>14</v>
          </cell>
          <cell r="C15">
            <v>31</v>
          </cell>
        </row>
        <row r="16">
          <cell r="B16">
            <v>15</v>
          </cell>
          <cell r="C16">
            <v>32</v>
          </cell>
        </row>
        <row r="17">
          <cell r="B17">
            <v>16</v>
          </cell>
          <cell r="C17">
            <v>32</v>
          </cell>
        </row>
        <row r="18">
          <cell r="B18">
            <v>17</v>
          </cell>
          <cell r="C18">
            <v>32</v>
          </cell>
        </row>
        <row r="19">
          <cell r="B19">
            <v>18</v>
          </cell>
          <cell r="C19">
            <v>33</v>
          </cell>
        </row>
        <row r="20">
          <cell r="B20">
            <v>19</v>
          </cell>
          <cell r="C20">
            <v>33</v>
          </cell>
        </row>
        <row r="21">
          <cell r="B21">
            <v>20</v>
          </cell>
          <cell r="C21">
            <v>33</v>
          </cell>
        </row>
        <row r="22">
          <cell r="B22">
            <v>21</v>
          </cell>
          <cell r="C22">
            <v>33</v>
          </cell>
        </row>
        <row r="23">
          <cell r="B23">
            <v>22</v>
          </cell>
          <cell r="C23">
            <v>34</v>
          </cell>
        </row>
        <row r="24">
          <cell r="B24">
            <v>23</v>
          </cell>
          <cell r="C24">
            <v>34</v>
          </cell>
        </row>
        <row r="25">
          <cell r="B25">
            <v>24</v>
          </cell>
          <cell r="C25">
            <v>35</v>
          </cell>
        </row>
        <row r="26">
          <cell r="B26">
            <v>25</v>
          </cell>
          <cell r="C26">
            <v>35</v>
          </cell>
        </row>
        <row r="27">
          <cell r="B27">
            <v>26</v>
          </cell>
          <cell r="C27">
            <v>35</v>
          </cell>
        </row>
        <row r="28">
          <cell r="B28">
            <v>27</v>
          </cell>
          <cell r="C28">
            <v>35</v>
          </cell>
        </row>
        <row r="29">
          <cell r="B29">
            <v>28</v>
          </cell>
          <cell r="C29">
            <v>36</v>
          </cell>
        </row>
        <row r="30">
          <cell r="B30">
            <v>29</v>
          </cell>
          <cell r="C30">
            <v>36</v>
          </cell>
        </row>
        <row r="31">
          <cell r="B31">
            <v>30</v>
          </cell>
          <cell r="C31">
            <v>36</v>
          </cell>
        </row>
        <row r="32">
          <cell r="B32">
            <v>31</v>
          </cell>
          <cell r="C32">
            <v>36</v>
          </cell>
        </row>
        <row r="33">
          <cell r="B33">
            <v>32</v>
          </cell>
          <cell r="C33">
            <v>37</v>
          </cell>
        </row>
        <row r="34">
          <cell r="B34">
            <v>33</v>
          </cell>
          <cell r="C34">
            <v>36</v>
          </cell>
        </row>
        <row r="35">
          <cell r="B35">
            <v>34</v>
          </cell>
          <cell r="C35">
            <v>37</v>
          </cell>
        </row>
        <row r="36">
          <cell r="B36">
            <v>35</v>
          </cell>
          <cell r="C36">
            <v>37</v>
          </cell>
        </row>
        <row r="37">
          <cell r="B37">
            <v>36</v>
          </cell>
          <cell r="C37">
            <v>38</v>
          </cell>
        </row>
        <row r="38">
          <cell r="B38">
            <v>37</v>
          </cell>
          <cell r="C38">
            <v>38</v>
          </cell>
        </row>
        <row r="39">
          <cell r="B39">
            <v>38</v>
          </cell>
          <cell r="C39">
            <v>38</v>
          </cell>
        </row>
        <row r="40">
          <cell r="B40">
            <v>39</v>
          </cell>
          <cell r="C40">
            <v>38</v>
          </cell>
        </row>
        <row r="41">
          <cell r="B41">
            <v>40</v>
          </cell>
          <cell r="C41">
            <v>39</v>
          </cell>
        </row>
        <row r="42">
          <cell r="B42">
            <v>41</v>
          </cell>
          <cell r="C42">
            <v>39</v>
          </cell>
        </row>
        <row r="43">
          <cell r="B43">
            <v>42</v>
          </cell>
          <cell r="C43">
            <v>39</v>
          </cell>
        </row>
        <row r="44">
          <cell r="B44">
            <v>43</v>
          </cell>
          <cell r="C44">
            <v>39</v>
          </cell>
        </row>
        <row r="45">
          <cell r="B45">
            <v>44</v>
          </cell>
          <cell r="C45">
            <v>39</v>
          </cell>
        </row>
        <row r="46">
          <cell r="B46">
            <v>45</v>
          </cell>
          <cell r="C46">
            <v>39</v>
          </cell>
        </row>
        <row r="47">
          <cell r="B47">
            <v>46</v>
          </cell>
          <cell r="C47">
            <v>39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>
        <row r="1">
          <cell r="J1">
            <v>1.7453292519943295E-2</v>
          </cell>
        </row>
      </sheetData>
      <sheetData sheetId="5">
        <row r="1">
          <cell r="J1">
            <v>1.7453292519943295E-2</v>
          </cell>
        </row>
      </sheetData>
      <sheetData sheetId="6">
        <row r="1">
          <cell r="J1">
            <v>1.7453292519943295E-2</v>
          </cell>
        </row>
      </sheetData>
      <sheetData sheetId="7">
        <row r="1">
          <cell r="J1">
            <v>1.7453292519943295E-2</v>
          </cell>
        </row>
      </sheetData>
      <sheetData sheetId="8">
        <row r="1">
          <cell r="J1">
            <v>1.7453292519943295E-2</v>
          </cell>
        </row>
      </sheetData>
      <sheetData sheetId="9">
        <row r="1">
          <cell r="J1">
            <v>1.7453292519943295E-2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J1">
            <v>1.7453292519943295E-2</v>
          </cell>
        </row>
      </sheetData>
      <sheetData sheetId="22">
        <row r="1">
          <cell r="J1">
            <v>1.7453292519943295E-2</v>
          </cell>
        </row>
      </sheetData>
      <sheetData sheetId="23">
        <row r="1">
          <cell r="J1">
            <v>1.7453292519943295E-2</v>
          </cell>
        </row>
      </sheetData>
      <sheetData sheetId="24">
        <row r="1">
          <cell r="J1">
            <v>1.7453292519943295E-2</v>
          </cell>
        </row>
      </sheetData>
      <sheetData sheetId="25">
        <row r="1">
          <cell r="J1">
            <v>1.7453292519943295E-2</v>
          </cell>
        </row>
      </sheetData>
      <sheetData sheetId="26">
        <row r="1">
          <cell r="J1">
            <v>1.7453292519943295E-2</v>
          </cell>
        </row>
      </sheetData>
      <sheetData sheetId="27">
        <row r="1">
          <cell r="J1">
            <v>1.7453292519943295E-2</v>
          </cell>
        </row>
      </sheetData>
      <sheetData sheetId="28">
        <row r="1">
          <cell r="J1">
            <v>1.7453292519943295E-2</v>
          </cell>
        </row>
      </sheetData>
      <sheetData sheetId="29">
        <row r="1">
          <cell r="J1">
            <v>1.7453292519943295E-2</v>
          </cell>
        </row>
      </sheetData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>
        <row r="1">
          <cell r="J1">
            <v>1.7453292519943295E-2</v>
          </cell>
        </row>
      </sheetData>
      <sheetData sheetId="35">
        <row r="1">
          <cell r="J1">
            <v>1.7453292519943295E-2</v>
          </cell>
        </row>
      </sheetData>
      <sheetData sheetId="36">
        <row r="1">
          <cell r="J1">
            <v>1.7453292519943295E-2</v>
          </cell>
        </row>
      </sheetData>
      <sheetData sheetId="37">
        <row r="1">
          <cell r="J1">
            <v>1.7453292519943295E-2</v>
          </cell>
        </row>
      </sheetData>
      <sheetData sheetId="38">
        <row r="1">
          <cell r="J1">
            <v>1.7453292519943295E-2</v>
          </cell>
        </row>
      </sheetData>
      <sheetData sheetId="39">
        <row r="1">
          <cell r="J1">
            <v>1.7453292519943295E-2</v>
          </cell>
        </row>
      </sheetData>
      <sheetData sheetId="40">
        <row r="1">
          <cell r="J1">
            <v>1.7453292519943295E-2</v>
          </cell>
        </row>
      </sheetData>
      <sheetData sheetId="41">
        <row r="1">
          <cell r="J1">
            <v>1.7453292519943295E-2</v>
          </cell>
        </row>
      </sheetData>
      <sheetData sheetId="42">
        <row r="1">
          <cell r="J1">
            <v>1.7453292519943295E-2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1">
          <cell r="J1">
            <v>1.7453292519943295E-2</v>
          </cell>
        </row>
      </sheetData>
      <sheetData sheetId="56">
        <row r="1">
          <cell r="J1">
            <v>1.7453292519943295E-2</v>
          </cell>
        </row>
      </sheetData>
      <sheetData sheetId="57">
        <row r="1">
          <cell r="J1">
            <v>1.7453292519943295E-2</v>
          </cell>
        </row>
      </sheetData>
      <sheetData sheetId="58">
        <row r="1">
          <cell r="J1">
            <v>1.7453292519943295E-2</v>
          </cell>
        </row>
      </sheetData>
      <sheetData sheetId="59">
        <row r="1">
          <cell r="J1">
            <v>1.7453292519943295E-2</v>
          </cell>
        </row>
      </sheetData>
      <sheetData sheetId="60">
        <row r="1">
          <cell r="J1">
            <v>1.7453292519943295E-2</v>
          </cell>
        </row>
      </sheetData>
      <sheetData sheetId="61">
        <row r="1">
          <cell r="J1">
            <v>1.7453292519943295E-2</v>
          </cell>
        </row>
      </sheetData>
      <sheetData sheetId="62">
        <row r="1">
          <cell r="J1">
            <v>1.7453292519943295E-2</v>
          </cell>
        </row>
      </sheetData>
      <sheetData sheetId="63" refreshError="1"/>
      <sheetData sheetId="64" refreshError="1"/>
      <sheetData sheetId="65">
        <row r="1">
          <cell r="J1">
            <v>1.7453292519943295E-2</v>
          </cell>
        </row>
      </sheetData>
      <sheetData sheetId="66">
        <row r="1">
          <cell r="J1">
            <v>1.7453292519943295E-2</v>
          </cell>
        </row>
      </sheetData>
      <sheetData sheetId="67">
        <row r="1">
          <cell r="J1">
            <v>1.7453292519943295E-2</v>
          </cell>
        </row>
      </sheetData>
      <sheetData sheetId="68">
        <row r="1">
          <cell r="J1">
            <v>1.7453292519943295E-2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">
          <cell r="J1">
            <v>1.7453292519943295E-2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>
        <row r="1">
          <cell r="J1">
            <v>1.7453292519943295E-2</v>
          </cell>
        </row>
      </sheetData>
      <sheetData sheetId="193">
        <row r="1">
          <cell r="J1">
            <v>1.7453292519943295E-2</v>
          </cell>
        </row>
      </sheetData>
      <sheetData sheetId="194">
        <row r="1">
          <cell r="J1">
            <v>1.7453292519943295E-2</v>
          </cell>
        </row>
      </sheetData>
      <sheetData sheetId="195">
        <row r="1">
          <cell r="J1">
            <v>1.7453292519943295E-2</v>
          </cell>
        </row>
      </sheetData>
      <sheetData sheetId="196">
        <row r="1">
          <cell r="J1">
            <v>1.7453292519943295E-2</v>
          </cell>
        </row>
      </sheetData>
      <sheetData sheetId="197">
        <row r="1">
          <cell r="J1">
            <v>1.7453292519943295E-2</v>
          </cell>
        </row>
      </sheetData>
      <sheetData sheetId="198">
        <row r="1">
          <cell r="J1">
            <v>1.7453292519943295E-2</v>
          </cell>
        </row>
      </sheetData>
      <sheetData sheetId="199">
        <row r="1">
          <cell r="J1">
            <v>1.7453292519943295E-2</v>
          </cell>
        </row>
      </sheetData>
      <sheetData sheetId="200">
        <row r="1">
          <cell r="J1">
            <v>1.7453292519943295E-2</v>
          </cell>
        </row>
      </sheetData>
      <sheetData sheetId="201">
        <row r="1">
          <cell r="J1">
            <v>1.7453292519943295E-2</v>
          </cell>
        </row>
      </sheetData>
      <sheetData sheetId="202">
        <row r="1">
          <cell r="J1">
            <v>1.7453292519943295E-2</v>
          </cell>
        </row>
      </sheetData>
      <sheetData sheetId="203">
        <row r="1">
          <cell r="J1">
            <v>1.7453292519943295E-2</v>
          </cell>
        </row>
      </sheetData>
      <sheetData sheetId="204">
        <row r="1">
          <cell r="J1">
            <v>1.7453292519943295E-2</v>
          </cell>
        </row>
      </sheetData>
      <sheetData sheetId="205">
        <row r="1">
          <cell r="J1">
            <v>1.7453292519943295E-2</v>
          </cell>
        </row>
      </sheetData>
      <sheetData sheetId="206">
        <row r="1">
          <cell r="J1">
            <v>1.7453292519943295E-2</v>
          </cell>
        </row>
      </sheetData>
      <sheetData sheetId="207">
        <row r="1">
          <cell r="J1">
            <v>1.7453292519943295E-2</v>
          </cell>
        </row>
      </sheetData>
      <sheetData sheetId="208">
        <row r="1">
          <cell r="J1">
            <v>1.7453292519943295E-2</v>
          </cell>
        </row>
      </sheetData>
      <sheetData sheetId="209">
        <row r="1">
          <cell r="J1">
            <v>1.7453292519943295E-2</v>
          </cell>
        </row>
      </sheetData>
      <sheetData sheetId="210">
        <row r="1">
          <cell r="J1">
            <v>1.7453292519943295E-2</v>
          </cell>
        </row>
      </sheetData>
      <sheetData sheetId="211">
        <row r="1">
          <cell r="J1">
            <v>1.7453292519943295E-2</v>
          </cell>
        </row>
      </sheetData>
      <sheetData sheetId="212">
        <row r="1">
          <cell r="J1">
            <v>1.7453292519943295E-2</v>
          </cell>
        </row>
      </sheetData>
      <sheetData sheetId="213">
        <row r="1">
          <cell r="J1">
            <v>1.7453292519943295E-2</v>
          </cell>
        </row>
      </sheetData>
      <sheetData sheetId="214">
        <row r="1">
          <cell r="J1">
            <v>1.7453292519943295E-2</v>
          </cell>
        </row>
      </sheetData>
      <sheetData sheetId="215">
        <row r="1">
          <cell r="J1">
            <v>1.7453292519943295E-2</v>
          </cell>
        </row>
      </sheetData>
      <sheetData sheetId="216">
        <row r="1">
          <cell r="J1">
            <v>1.7453292519943295E-2</v>
          </cell>
        </row>
      </sheetData>
      <sheetData sheetId="217">
        <row r="1">
          <cell r="J1">
            <v>1.7453292519943295E-2</v>
          </cell>
        </row>
      </sheetData>
      <sheetData sheetId="218">
        <row r="1">
          <cell r="J1">
            <v>1.7453292519943295E-2</v>
          </cell>
        </row>
      </sheetData>
      <sheetData sheetId="219">
        <row r="1">
          <cell r="J1">
            <v>1.7453292519943295E-2</v>
          </cell>
        </row>
      </sheetData>
      <sheetData sheetId="220">
        <row r="1">
          <cell r="J1">
            <v>1.7453292519943295E-2</v>
          </cell>
        </row>
      </sheetData>
      <sheetData sheetId="221">
        <row r="1">
          <cell r="J1">
            <v>1.7453292519943295E-2</v>
          </cell>
        </row>
      </sheetData>
      <sheetData sheetId="222">
        <row r="1">
          <cell r="J1">
            <v>1.7453292519943295E-2</v>
          </cell>
        </row>
      </sheetData>
      <sheetData sheetId="223">
        <row r="1">
          <cell r="J1">
            <v>1.7453292519943295E-2</v>
          </cell>
        </row>
      </sheetData>
      <sheetData sheetId="224">
        <row r="1">
          <cell r="J1">
            <v>1.7453292519943295E-2</v>
          </cell>
        </row>
      </sheetData>
      <sheetData sheetId="225">
        <row r="1">
          <cell r="J1">
            <v>1.7453292519943295E-2</v>
          </cell>
        </row>
      </sheetData>
      <sheetData sheetId="226" refreshError="1"/>
      <sheetData sheetId="227">
        <row r="1">
          <cell r="J1">
            <v>1.7453292519943295E-2</v>
          </cell>
        </row>
      </sheetData>
      <sheetData sheetId="228">
        <row r="1">
          <cell r="J1">
            <v>1.7453292519943295E-2</v>
          </cell>
        </row>
      </sheetData>
      <sheetData sheetId="229">
        <row r="1">
          <cell r="J1">
            <v>1.7453292519943295E-2</v>
          </cell>
        </row>
      </sheetData>
      <sheetData sheetId="230">
        <row r="1">
          <cell r="J1">
            <v>1.7453292519943295E-2</v>
          </cell>
        </row>
      </sheetData>
      <sheetData sheetId="231">
        <row r="1">
          <cell r="J1">
            <v>1.7453292519943295E-2</v>
          </cell>
        </row>
      </sheetData>
      <sheetData sheetId="232">
        <row r="1">
          <cell r="J1">
            <v>1.7453292519943295E-2</v>
          </cell>
        </row>
      </sheetData>
      <sheetData sheetId="233" refreshError="1"/>
      <sheetData sheetId="234">
        <row r="1">
          <cell r="J1">
            <v>1.7453292519943295E-2</v>
          </cell>
        </row>
      </sheetData>
      <sheetData sheetId="235" refreshError="1"/>
      <sheetData sheetId="236" refreshError="1"/>
      <sheetData sheetId="237">
        <row r="1">
          <cell r="J1">
            <v>1.7453292519943295E-2</v>
          </cell>
        </row>
      </sheetData>
      <sheetData sheetId="238">
        <row r="1">
          <cell r="J1">
            <v>1.7453292519943295E-2</v>
          </cell>
        </row>
      </sheetData>
      <sheetData sheetId="239">
        <row r="1">
          <cell r="J1">
            <v>1.7453292519943295E-2</v>
          </cell>
        </row>
      </sheetData>
      <sheetData sheetId="240">
        <row r="1">
          <cell r="J1">
            <v>1.7453292519943295E-2</v>
          </cell>
        </row>
      </sheetData>
      <sheetData sheetId="241">
        <row r="1">
          <cell r="J1">
            <v>1.7453292519943295E-2</v>
          </cell>
        </row>
      </sheetData>
      <sheetData sheetId="242">
        <row r="1">
          <cell r="J1">
            <v>1.7453292519943295E-2</v>
          </cell>
        </row>
      </sheetData>
      <sheetData sheetId="243">
        <row r="1">
          <cell r="J1">
            <v>1.7453292519943295E-2</v>
          </cell>
        </row>
      </sheetData>
      <sheetData sheetId="244">
        <row r="1">
          <cell r="J1">
            <v>1.7453292519943295E-2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">
          <cell r="J1">
            <v>1.7453292519943295E-2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1">
          <cell r="J1">
            <v>1.7453292519943295E-2</v>
          </cell>
        </row>
      </sheetData>
      <sheetData sheetId="272">
        <row r="1">
          <cell r="J1">
            <v>1.7453292519943295E-2</v>
          </cell>
        </row>
      </sheetData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1">
          <cell r="J1">
            <v>1.7453292519943295E-2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1">
          <cell r="J1">
            <v>1.7453292519943295E-2</v>
          </cell>
        </row>
      </sheetData>
      <sheetData sheetId="330">
        <row r="1">
          <cell r="J1">
            <v>1.7453292519943295E-2</v>
          </cell>
        </row>
      </sheetData>
      <sheetData sheetId="331">
        <row r="1">
          <cell r="J1">
            <v>1.7453292519943295E-2</v>
          </cell>
        </row>
      </sheetData>
      <sheetData sheetId="332">
        <row r="1">
          <cell r="J1">
            <v>1.7453292519943295E-2</v>
          </cell>
        </row>
      </sheetData>
      <sheetData sheetId="333">
        <row r="1">
          <cell r="J1">
            <v>1.7453292519943295E-2</v>
          </cell>
        </row>
      </sheetData>
      <sheetData sheetId="334">
        <row r="1">
          <cell r="J1">
            <v>1.7453292519943295E-2</v>
          </cell>
        </row>
      </sheetData>
      <sheetData sheetId="335">
        <row r="1">
          <cell r="J1">
            <v>1.7453292519943295E-2</v>
          </cell>
        </row>
      </sheetData>
      <sheetData sheetId="336">
        <row r="1">
          <cell r="J1">
            <v>1.7453292519943295E-2</v>
          </cell>
        </row>
      </sheetData>
      <sheetData sheetId="337">
        <row r="1">
          <cell r="J1">
            <v>1.7453292519943295E-2</v>
          </cell>
        </row>
      </sheetData>
      <sheetData sheetId="338">
        <row r="1">
          <cell r="J1">
            <v>1.7453292519943295E-2</v>
          </cell>
        </row>
      </sheetData>
      <sheetData sheetId="339">
        <row r="1">
          <cell r="J1">
            <v>1.7453292519943295E-2</v>
          </cell>
        </row>
      </sheetData>
      <sheetData sheetId="340">
        <row r="1">
          <cell r="J1">
            <v>1.7453292519943295E-2</v>
          </cell>
        </row>
      </sheetData>
      <sheetData sheetId="341">
        <row r="1">
          <cell r="J1">
            <v>1.7453292519943295E-2</v>
          </cell>
        </row>
      </sheetData>
      <sheetData sheetId="342">
        <row r="1">
          <cell r="J1">
            <v>1.7453292519943295E-2</v>
          </cell>
        </row>
      </sheetData>
      <sheetData sheetId="343">
        <row r="1">
          <cell r="J1">
            <v>1.7453292519943295E-2</v>
          </cell>
        </row>
      </sheetData>
      <sheetData sheetId="344">
        <row r="1">
          <cell r="J1">
            <v>1.7453292519943295E-2</v>
          </cell>
        </row>
      </sheetData>
      <sheetData sheetId="345">
        <row r="1">
          <cell r="J1">
            <v>1.7453292519943295E-2</v>
          </cell>
        </row>
      </sheetData>
      <sheetData sheetId="346">
        <row r="1">
          <cell r="J1">
            <v>1.7453292519943295E-2</v>
          </cell>
        </row>
      </sheetData>
      <sheetData sheetId="347">
        <row r="1">
          <cell r="J1">
            <v>1.7453292519943295E-2</v>
          </cell>
        </row>
      </sheetData>
      <sheetData sheetId="348">
        <row r="1">
          <cell r="J1">
            <v>1.7453292519943295E-2</v>
          </cell>
        </row>
      </sheetData>
      <sheetData sheetId="349">
        <row r="1">
          <cell r="J1">
            <v>1.7453292519943295E-2</v>
          </cell>
        </row>
      </sheetData>
      <sheetData sheetId="350">
        <row r="1">
          <cell r="J1">
            <v>1.7453292519943295E-2</v>
          </cell>
        </row>
      </sheetData>
      <sheetData sheetId="351">
        <row r="1">
          <cell r="J1">
            <v>1.7453292519943295E-2</v>
          </cell>
        </row>
      </sheetData>
      <sheetData sheetId="352">
        <row r="1">
          <cell r="J1">
            <v>1.7453292519943295E-2</v>
          </cell>
        </row>
      </sheetData>
      <sheetData sheetId="353">
        <row r="1">
          <cell r="J1">
            <v>1.7453292519943295E-2</v>
          </cell>
        </row>
      </sheetData>
      <sheetData sheetId="354">
        <row r="1">
          <cell r="J1">
            <v>1.7453292519943295E-2</v>
          </cell>
        </row>
      </sheetData>
      <sheetData sheetId="355">
        <row r="1">
          <cell r="J1">
            <v>1.7453292519943295E-2</v>
          </cell>
        </row>
      </sheetData>
      <sheetData sheetId="356">
        <row r="1">
          <cell r="J1">
            <v>1.7453292519943295E-2</v>
          </cell>
        </row>
      </sheetData>
      <sheetData sheetId="357">
        <row r="1">
          <cell r="J1">
            <v>1.7453292519943295E-2</v>
          </cell>
        </row>
      </sheetData>
      <sheetData sheetId="358">
        <row r="1">
          <cell r="J1">
            <v>1.7453292519943295E-2</v>
          </cell>
        </row>
      </sheetData>
      <sheetData sheetId="359">
        <row r="1">
          <cell r="J1">
            <v>1.7453292519943295E-2</v>
          </cell>
        </row>
      </sheetData>
      <sheetData sheetId="360">
        <row r="1">
          <cell r="J1">
            <v>1.7453292519943295E-2</v>
          </cell>
        </row>
      </sheetData>
      <sheetData sheetId="361">
        <row r="1">
          <cell r="J1">
            <v>1.7453292519943295E-2</v>
          </cell>
        </row>
      </sheetData>
      <sheetData sheetId="362">
        <row r="1">
          <cell r="J1">
            <v>1.7453292519943295E-2</v>
          </cell>
        </row>
      </sheetData>
      <sheetData sheetId="363">
        <row r="1">
          <cell r="J1">
            <v>1.7453292519943295E-2</v>
          </cell>
        </row>
      </sheetData>
      <sheetData sheetId="364">
        <row r="1">
          <cell r="J1">
            <v>1.7453292519943295E-2</v>
          </cell>
        </row>
      </sheetData>
      <sheetData sheetId="365">
        <row r="1">
          <cell r="J1">
            <v>1.7453292519943295E-2</v>
          </cell>
        </row>
      </sheetData>
      <sheetData sheetId="366">
        <row r="1">
          <cell r="J1">
            <v>1.7453292519943295E-2</v>
          </cell>
        </row>
      </sheetData>
      <sheetData sheetId="367">
        <row r="1">
          <cell r="J1">
            <v>1.7453292519943295E-2</v>
          </cell>
        </row>
      </sheetData>
      <sheetData sheetId="368">
        <row r="1">
          <cell r="J1">
            <v>1.7453292519943295E-2</v>
          </cell>
        </row>
      </sheetData>
      <sheetData sheetId="369">
        <row r="1">
          <cell r="J1">
            <v>1.7453292519943295E-2</v>
          </cell>
        </row>
      </sheetData>
      <sheetData sheetId="370">
        <row r="1">
          <cell r="J1">
            <v>1.7453292519943295E-2</v>
          </cell>
        </row>
      </sheetData>
      <sheetData sheetId="371">
        <row r="1">
          <cell r="J1">
            <v>1.7453292519943295E-2</v>
          </cell>
        </row>
      </sheetData>
      <sheetData sheetId="372">
        <row r="1">
          <cell r="J1">
            <v>1.7453292519943295E-2</v>
          </cell>
        </row>
      </sheetData>
      <sheetData sheetId="373">
        <row r="1">
          <cell r="J1">
            <v>1.7453292519943295E-2</v>
          </cell>
        </row>
      </sheetData>
      <sheetData sheetId="374">
        <row r="1">
          <cell r="J1">
            <v>1.7453292519943295E-2</v>
          </cell>
        </row>
      </sheetData>
      <sheetData sheetId="375">
        <row r="1">
          <cell r="J1">
            <v>1.7453292519943295E-2</v>
          </cell>
        </row>
      </sheetData>
      <sheetData sheetId="376">
        <row r="1">
          <cell r="J1">
            <v>1.7453292519943295E-2</v>
          </cell>
        </row>
      </sheetData>
      <sheetData sheetId="377">
        <row r="1">
          <cell r="J1">
            <v>1.7453292519943295E-2</v>
          </cell>
        </row>
      </sheetData>
      <sheetData sheetId="378">
        <row r="1">
          <cell r="J1">
            <v>1.7453292519943295E-2</v>
          </cell>
        </row>
      </sheetData>
      <sheetData sheetId="379">
        <row r="1">
          <cell r="J1">
            <v>1.7453292519943295E-2</v>
          </cell>
        </row>
      </sheetData>
      <sheetData sheetId="380">
        <row r="1">
          <cell r="J1">
            <v>1.7453292519943295E-2</v>
          </cell>
        </row>
      </sheetData>
      <sheetData sheetId="381">
        <row r="1">
          <cell r="J1">
            <v>1.7453292519943295E-2</v>
          </cell>
        </row>
      </sheetData>
      <sheetData sheetId="382">
        <row r="1">
          <cell r="J1">
            <v>1.7453292519943295E-2</v>
          </cell>
        </row>
      </sheetData>
      <sheetData sheetId="383">
        <row r="1">
          <cell r="J1">
            <v>1.7453292519943295E-2</v>
          </cell>
        </row>
      </sheetData>
      <sheetData sheetId="384">
        <row r="1">
          <cell r="J1">
            <v>1.7453292519943295E-2</v>
          </cell>
        </row>
      </sheetData>
      <sheetData sheetId="385">
        <row r="1">
          <cell r="J1">
            <v>1.7453292519943295E-2</v>
          </cell>
        </row>
      </sheetData>
      <sheetData sheetId="386">
        <row r="1">
          <cell r="J1">
            <v>1.7453292519943295E-2</v>
          </cell>
        </row>
      </sheetData>
      <sheetData sheetId="387">
        <row r="1">
          <cell r="J1">
            <v>1.7453292519943295E-2</v>
          </cell>
        </row>
      </sheetData>
      <sheetData sheetId="388">
        <row r="1">
          <cell r="J1">
            <v>1.7453292519943295E-2</v>
          </cell>
        </row>
      </sheetData>
      <sheetData sheetId="389">
        <row r="1">
          <cell r="J1">
            <v>1.7453292519943295E-2</v>
          </cell>
        </row>
      </sheetData>
      <sheetData sheetId="390">
        <row r="1">
          <cell r="J1">
            <v>1.7453292519943295E-2</v>
          </cell>
        </row>
      </sheetData>
      <sheetData sheetId="391">
        <row r="1">
          <cell r="J1">
            <v>1.7453292519943295E-2</v>
          </cell>
        </row>
      </sheetData>
      <sheetData sheetId="392">
        <row r="1">
          <cell r="J1">
            <v>1.7453292519943295E-2</v>
          </cell>
        </row>
      </sheetData>
      <sheetData sheetId="393">
        <row r="1">
          <cell r="J1">
            <v>1.7453292519943295E-2</v>
          </cell>
        </row>
      </sheetData>
      <sheetData sheetId="394">
        <row r="1">
          <cell r="J1">
            <v>1.7453292519943295E-2</v>
          </cell>
        </row>
      </sheetData>
      <sheetData sheetId="395">
        <row r="1">
          <cell r="J1">
            <v>1.7453292519943295E-2</v>
          </cell>
        </row>
      </sheetData>
      <sheetData sheetId="396">
        <row r="1">
          <cell r="J1">
            <v>1.7453292519943295E-2</v>
          </cell>
        </row>
      </sheetData>
      <sheetData sheetId="397">
        <row r="1">
          <cell r="J1">
            <v>1.7453292519943295E-2</v>
          </cell>
        </row>
      </sheetData>
      <sheetData sheetId="398">
        <row r="1">
          <cell r="J1">
            <v>1.7453292519943295E-2</v>
          </cell>
        </row>
      </sheetData>
      <sheetData sheetId="399">
        <row r="1">
          <cell r="J1">
            <v>1.7453292519943295E-2</v>
          </cell>
        </row>
      </sheetData>
      <sheetData sheetId="400">
        <row r="1">
          <cell r="J1">
            <v>1.7453292519943295E-2</v>
          </cell>
        </row>
      </sheetData>
      <sheetData sheetId="401">
        <row r="1">
          <cell r="J1">
            <v>1.7453292519943295E-2</v>
          </cell>
        </row>
      </sheetData>
      <sheetData sheetId="402">
        <row r="1">
          <cell r="J1">
            <v>1.7453292519943295E-2</v>
          </cell>
        </row>
      </sheetData>
      <sheetData sheetId="403">
        <row r="1">
          <cell r="J1">
            <v>1.7453292519943295E-2</v>
          </cell>
        </row>
      </sheetData>
      <sheetData sheetId="404">
        <row r="1">
          <cell r="J1">
            <v>1.7453292519943295E-2</v>
          </cell>
        </row>
      </sheetData>
      <sheetData sheetId="405">
        <row r="1">
          <cell r="J1">
            <v>1.7453292519943295E-2</v>
          </cell>
        </row>
      </sheetData>
      <sheetData sheetId="406">
        <row r="1">
          <cell r="J1">
            <v>1.7453292519943295E-2</v>
          </cell>
        </row>
      </sheetData>
      <sheetData sheetId="407">
        <row r="1">
          <cell r="J1">
            <v>1.7453292519943295E-2</v>
          </cell>
        </row>
      </sheetData>
      <sheetData sheetId="408">
        <row r="1">
          <cell r="J1">
            <v>1.7453292519943295E-2</v>
          </cell>
        </row>
      </sheetData>
      <sheetData sheetId="409">
        <row r="1">
          <cell r="J1">
            <v>1.7453292519943295E-2</v>
          </cell>
        </row>
      </sheetData>
      <sheetData sheetId="410">
        <row r="1">
          <cell r="J1">
            <v>1.7453292519943295E-2</v>
          </cell>
        </row>
      </sheetData>
      <sheetData sheetId="411">
        <row r="1">
          <cell r="J1">
            <v>1.7453292519943295E-2</v>
          </cell>
        </row>
      </sheetData>
      <sheetData sheetId="412">
        <row r="1">
          <cell r="J1">
            <v>1.7453292519943295E-2</v>
          </cell>
        </row>
      </sheetData>
      <sheetData sheetId="413">
        <row r="1">
          <cell r="J1">
            <v>1.7453292519943295E-2</v>
          </cell>
        </row>
      </sheetData>
      <sheetData sheetId="414">
        <row r="1">
          <cell r="J1">
            <v>1.7453292519943295E-2</v>
          </cell>
        </row>
      </sheetData>
      <sheetData sheetId="415">
        <row r="1">
          <cell r="J1">
            <v>1.7453292519943295E-2</v>
          </cell>
        </row>
      </sheetData>
      <sheetData sheetId="416">
        <row r="1">
          <cell r="J1">
            <v>1.7453292519943295E-2</v>
          </cell>
        </row>
      </sheetData>
      <sheetData sheetId="417">
        <row r="1">
          <cell r="J1">
            <v>1.7453292519943295E-2</v>
          </cell>
        </row>
      </sheetData>
      <sheetData sheetId="418">
        <row r="1">
          <cell r="J1">
            <v>1.7453292519943295E-2</v>
          </cell>
        </row>
      </sheetData>
      <sheetData sheetId="419">
        <row r="1">
          <cell r="J1">
            <v>1.7453292519943295E-2</v>
          </cell>
        </row>
      </sheetData>
      <sheetData sheetId="420">
        <row r="1">
          <cell r="J1">
            <v>1.7453292519943295E-2</v>
          </cell>
        </row>
      </sheetData>
      <sheetData sheetId="421">
        <row r="1">
          <cell r="J1">
            <v>1.7453292519943295E-2</v>
          </cell>
        </row>
      </sheetData>
      <sheetData sheetId="422">
        <row r="1">
          <cell r="J1">
            <v>1.7453292519943295E-2</v>
          </cell>
        </row>
      </sheetData>
      <sheetData sheetId="423">
        <row r="1">
          <cell r="J1">
            <v>1.7453292519943295E-2</v>
          </cell>
        </row>
      </sheetData>
      <sheetData sheetId="424">
        <row r="1">
          <cell r="J1">
            <v>1.7453292519943295E-2</v>
          </cell>
        </row>
      </sheetData>
      <sheetData sheetId="425">
        <row r="1">
          <cell r="J1">
            <v>1.7453292519943295E-2</v>
          </cell>
        </row>
      </sheetData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1">
          <cell r="J1">
            <v>1.7453292519943295E-2</v>
          </cell>
        </row>
      </sheetData>
      <sheetData sheetId="446">
        <row r="1">
          <cell r="J1">
            <v>1.7453292519943295E-2</v>
          </cell>
        </row>
      </sheetData>
      <sheetData sheetId="447" refreshError="1"/>
      <sheetData sheetId="448">
        <row r="1">
          <cell r="J1">
            <v>1.7453292519943295E-2</v>
          </cell>
        </row>
      </sheetData>
      <sheetData sheetId="449">
        <row r="1">
          <cell r="J1">
            <v>1.7453292519943295E-2</v>
          </cell>
        </row>
      </sheetData>
      <sheetData sheetId="450">
        <row r="1">
          <cell r="J1">
            <v>1.7453292519943295E-2</v>
          </cell>
        </row>
      </sheetData>
      <sheetData sheetId="451">
        <row r="1">
          <cell r="J1">
            <v>1.7453292519943295E-2</v>
          </cell>
        </row>
      </sheetData>
      <sheetData sheetId="452">
        <row r="1">
          <cell r="J1">
            <v>1.7453292519943295E-2</v>
          </cell>
        </row>
      </sheetData>
      <sheetData sheetId="453">
        <row r="1">
          <cell r="J1">
            <v>1.7453292519943295E-2</v>
          </cell>
        </row>
      </sheetData>
      <sheetData sheetId="454">
        <row r="1">
          <cell r="J1">
            <v>1.7453292519943295E-2</v>
          </cell>
        </row>
      </sheetData>
      <sheetData sheetId="455" refreshError="1"/>
      <sheetData sheetId="456" refreshError="1"/>
      <sheetData sheetId="457">
        <row r="1">
          <cell r="J1">
            <v>1.7453292519943295E-2</v>
          </cell>
        </row>
      </sheetData>
      <sheetData sheetId="458">
        <row r="1">
          <cell r="J1">
            <v>1.7453292519943295E-2</v>
          </cell>
        </row>
      </sheetData>
      <sheetData sheetId="459">
        <row r="1">
          <cell r="J1">
            <v>1.7453292519943295E-2</v>
          </cell>
        </row>
      </sheetData>
      <sheetData sheetId="460">
        <row r="1">
          <cell r="J1">
            <v>1.7453292519943295E-2</v>
          </cell>
        </row>
      </sheetData>
      <sheetData sheetId="461">
        <row r="1">
          <cell r="J1">
            <v>1.7453292519943295E-2</v>
          </cell>
        </row>
      </sheetData>
      <sheetData sheetId="462">
        <row r="1">
          <cell r="J1">
            <v>1.7453292519943295E-2</v>
          </cell>
        </row>
      </sheetData>
      <sheetData sheetId="463">
        <row r="1">
          <cell r="J1">
            <v>1.7453292519943295E-2</v>
          </cell>
        </row>
      </sheetData>
      <sheetData sheetId="464">
        <row r="1">
          <cell r="J1">
            <v>1.7453292519943295E-2</v>
          </cell>
        </row>
      </sheetData>
      <sheetData sheetId="465">
        <row r="1">
          <cell r="J1">
            <v>1.7453292519943295E-2</v>
          </cell>
        </row>
      </sheetData>
      <sheetData sheetId="466">
        <row r="1">
          <cell r="J1">
            <v>1.7453292519943295E-2</v>
          </cell>
        </row>
      </sheetData>
      <sheetData sheetId="467">
        <row r="1">
          <cell r="J1">
            <v>1.7453292519943295E-2</v>
          </cell>
        </row>
      </sheetData>
      <sheetData sheetId="468">
        <row r="1">
          <cell r="J1">
            <v>1.7453292519943295E-2</v>
          </cell>
        </row>
      </sheetData>
      <sheetData sheetId="469">
        <row r="1">
          <cell r="J1">
            <v>1.7453292519943295E-2</v>
          </cell>
        </row>
      </sheetData>
      <sheetData sheetId="470">
        <row r="1">
          <cell r="J1">
            <v>1.7453292519943295E-2</v>
          </cell>
        </row>
      </sheetData>
      <sheetData sheetId="471">
        <row r="1">
          <cell r="J1">
            <v>1.7453292519943295E-2</v>
          </cell>
        </row>
      </sheetData>
      <sheetData sheetId="472">
        <row r="1">
          <cell r="J1">
            <v>1.7453292519943295E-2</v>
          </cell>
        </row>
      </sheetData>
      <sheetData sheetId="473">
        <row r="1">
          <cell r="J1">
            <v>1.7453292519943295E-2</v>
          </cell>
        </row>
      </sheetData>
      <sheetData sheetId="474">
        <row r="1">
          <cell r="J1">
            <v>1.7453292519943295E-2</v>
          </cell>
        </row>
      </sheetData>
      <sheetData sheetId="475">
        <row r="1">
          <cell r="J1">
            <v>1.7453292519943295E-2</v>
          </cell>
        </row>
      </sheetData>
      <sheetData sheetId="476">
        <row r="1">
          <cell r="J1">
            <v>1.7453292519943295E-2</v>
          </cell>
        </row>
      </sheetData>
      <sheetData sheetId="477">
        <row r="1">
          <cell r="J1">
            <v>1.7453292519943295E-2</v>
          </cell>
        </row>
      </sheetData>
      <sheetData sheetId="478">
        <row r="1">
          <cell r="J1">
            <v>1.7453292519943295E-2</v>
          </cell>
        </row>
      </sheetData>
      <sheetData sheetId="479">
        <row r="1">
          <cell r="J1">
            <v>1.7453292519943295E-2</v>
          </cell>
        </row>
      </sheetData>
      <sheetData sheetId="480">
        <row r="1">
          <cell r="J1">
            <v>1.7453292519943295E-2</v>
          </cell>
        </row>
      </sheetData>
      <sheetData sheetId="481">
        <row r="1">
          <cell r="J1">
            <v>1.7453292519943295E-2</v>
          </cell>
        </row>
      </sheetData>
      <sheetData sheetId="482">
        <row r="1">
          <cell r="J1">
            <v>1.7453292519943295E-2</v>
          </cell>
        </row>
      </sheetData>
      <sheetData sheetId="483">
        <row r="1">
          <cell r="J1">
            <v>1.7453292519943295E-2</v>
          </cell>
        </row>
      </sheetData>
      <sheetData sheetId="484">
        <row r="1">
          <cell r="J1">
            <v>1.7453292519943295E-2</v>
          </cell>
        </row>
      </sheetData>
      <sheetData sheetId="485">
        <row r="1">
          <cell r="J1">
            <v>1.7453292519943295E-2</v>
          </cell>
        </row>
      </sheetData>
      <sheetData sheetId="486">
        <row r="1">
          <cell r="J1">
            <v>1.7453292519943295E-2</v>
          </cell>
        </row>
      </sheetData>
      <sheetData sheetId="487">
        <row r="1">
          <cell r="J1">
            <v>1.7453292519943295E-2</v>
          </cell>
        </row>
      </sheetData>
      <sheetData sheetId="488">
        <row r="1">
          <cell r="J1">
            <v>1.7453292519943295E-2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>
        <row r="1">
          <cell r="J1">
            <v>1.7453292519943295E-2</v>
          </cell>
        </row>
      </sheetData>
      <sheetData sheetId="494">
        <row r="1">
          <cell r="J1">
            <v>1.7453292519943295E-2</v>
          </cell>
        </row>
      </sheetData>
      <sheetData sheetId="495">
        <row r="1">
          <cell r="J1">
            <v>1.7453292519943295E-2</v>
          </cell>
        </row>
      </sheetData>
      <sheetData sheetId="496">
        <row r="1">
          <cell r="J1">
            <v>1.7453292519943295E-2</v>
          </cell>
        </row>
      </sheetData>
      <sheetData sheetId="497">
        <row r="1">
          <cell r="J1">
            <v>1.7453292519943295E-2</v>
          </cell>
        </row>
      </sheetData>
      <sheetData sheetId="498">
        <row r="1">
          <cell r="J1">
            <v>1.7453292519943295E-2</v>
          </cell>
        </row>
      </sheetData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">
          <cell r="J1">
            <v>1.7453292519943295E-2</v>
          </cell>
        </row>
      </sheetData>
      <sheetData sheetId="521">
        <row r="1">
          <cell r="J1">
            <v>1.7453292519943295E-2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1">
          <cell r="J1">
            <v>1.7453292519943295E-2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>
        <row r="1">
          <cell r="J1">
            <v>1.7453292519943295E-2</v>
          </cell>
        </row>
      </sheetData>
      <sheetData sheetId="563">
        <row r="1">
          <cell r="J1">
            <v>1.7453292519943295E-2</v>
          </cell>
        </row>
      </sheetData>
      <sheetData sheetId="564">
        <row r="1">
          <cell r="J1">
            <v>1.7453292519943295E-2</v>
          </cell>
        </row>
      </sheetData>
      <sheetData sheetId="565">
        <row r="1">
          <cell r="J1">
            <v>1.7453292519943295E-2</v>
          </cell>
        </row>
      </sheetData>
      <sheetData sheetId="566">
        <row r="1">
          <cell r="J1">
            <v>1.7453292519943295E-2</v>
          </cell>
        </row>
      </sheetData>
      <sheetData sheetId="567">
        <row r="1">
          <cell r="J1">
            <v>1.7453292519943295E-2</v>
          </cell>
        </row>
      </sheetData>
      <sheetData sheetId="568">
        <row r="1">
          <cell r="J1">
            <v>1.7453292519943295E-2</v>
          </cell>
        </row>
      </sheetData>
      <sheetData sheetId="569">
        <row r="1">
          <cell r="J1">
            <v>1.7453292519943295E-2</v>
          </cell>
        </row>
      </sheetData>
      <sheetData sheetId="570">
        <row r="1">
          <cell r="J1">
            <v>1.7453292519943295E-2</v>
          </cell>
        </row>
      </sheetData>
      <sheetData sheetId="571"/>
      <sheetData sheetId="572"/>
      <sheetData sheetId="573"/>
      <sheetData sheetId="574"/>
      <sheetData sheetId="575"/>
      <sheetData sheetId="576">
        <row r="1">
          <cell r="J1">
            <v>1.7453292519943295E-2</v>
          </cell>
        </row>
      </sheetData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>
        <row r="1">
          <cell r="J1">
            <v>1.7453292519943295E-2</v>
          </cell>
        </row>
      </sheetData>
      <sheetData sheetId="621">
        <row r="1">
          <cell r="J1">
            <v>1.7453292519943295E-2</v>
          </cell>
        </row>
      </sheetData>
      <sheetData sheetId="622">
        <row r="1">
          <cell r="J1">
            <v>1.7453292519943295E-2</v>
          </cell>
        </row>
      </sheetData>
      <sheetData sheetId="623">
        <row r="1">
          <cell r="J1">
            <v>1.7453292519943295E-2</v>
          </cell>
        </row>
      </sheetData>
      <sheetData sheetId="624">
        <row r="1">
          <cell r="J1">
            <v>1.7453292519943295E-2</v>
          </cell>
        </row>
      </sheetData>
      <sheetData sheetId="625">
        <row r="1">
          <cell r="J1">
            <v>1.7453292519943295E-2</v>
          </cell>
        </row>
      </sheetData>
      <sheetData sheetId="626">
        <row r="1">
          <cell r="J1">
            <v>1.7453292519943295E-2</v>
          </cell>
        </row>
      </sheetData>
      <sheetData sheetId="627">
        <row r="1">
          <cell r="J1">
            <v>1.7453292519943295E-2</v>
          </cell>
        </row>
      </sheetData>
      <sheetData sheetId="628">
        <row r="1">
          <cell r="J1">
            <v>1.7453292519943295E-2</v>
          </cell>
        </row>
      </sheetData>
      <sheetData sheetId="629">
        <row r="1">
          <cell r="J1">
            <v>1.7453292519943295E-2</v>
          </cell>
        </row>
      </sheetData>
      <sheetData sheetId="630">
        <row r="1">
          <cell r="J1">
            <v>1.7453292519943295E-2</v>
          </cell>
        </row>
      </sheetData>
      <sheetData sheetId="631">
        <row r="1">
          <cell r="J1">
            <v>1.7453292519943295E-2</v>
          </cell>
        </row>
      </sheetData>
      <sheetData sheetId="632">
        <row r="1">
          <cell r="J1">
            <v>1.7453292519943295E-2</v>
          </cell>
        </row>
      </sheetData>
      <sheetData sheetId="633">
        <row r="1">
          <cell r="J1">
            <v>1.7453292519943295E-2</v>
          </cell>
        </row>
      </sheetData>
      <sheetData sheetId="634">
        <row r="1">
          <cell r="J1">
            <v>1.7453292519943295E-2</v>
          </cell>
        </row>
      </sheetData>
      <sheetData sheetId="635">
        <row r="1">
          <cell r="J1">
            <v>1.7453292519943295E-2</v>
          </cell>
        </row>
      </sheetData>
      <sheetData sheetId="636">
        <row r="1">
          <cell r="J1">
            <v>1.7453292519943295E-2</v>
          </cell>
        </row>
      </sheetData>
      <sheetData sheetId="637">
        <row r="1">
          <cell r="J1">
            <v>1.7453292519943295E-2</v>
          </cell>
        </row>
      </sheetData>
      <sheetData sheetId="638">
        <row r="1">
          <cell r="J1">
            <v>1.7453292519943295E-2</v>
          </cell>
        </row>
      </sheetData>
      <sheetData sheetId="639">
        <row r="1">
          <cell r="J1">
            <v>1.7453292519943295E-2</v>
          </cell>
        </row>
      </sheetData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>
        <row r="1">
          <cell r="J1">
            <v>1.7453292519943295E-2</v>
          </cell>
        </row>
      </sheetData>
      <sheetData sheetId="675">
        <row r="1">
          <cell r="J1">
            <v>1.7453292519943295E-2</v>
          </cell>
        </row>
      </sheetData>
      <sheetData sheetId="676">
        <row r="1">
          <cell r="J1">
            <v>1.7453292519943295E-2</v>
          </cell>
        </row>
      </sheetData>
      <sheetData sheetId="677">
        <row r="1">
          <cell r="J1">
            <v>1.7453292519943295E-2</v>
          </cell>
        </row>
      </sheetData>
      <sheetData sheetId="678">
        <row r="1">
          <cell r="J1">
            <v>1.7453292519943295E-2</v>
          </cell>
        </row>
      </sheetData>
      <sheetData sheetId="679">
        <row r="1">
          <cell r="J1">
            <v>1.7453292519943295E-2</v>
          </cell>
        </row>
      </sheetData>
      <sheetData sheetId="680">
        <row r="1">
          <cell r="J1">
            <v>1.7453292519943295E-2</v>
          </cell>
        </row>
      </sheetData>
      <sheetData sheetId="681">
        <row r="1">
          <cell r="J1">
            <v>1.7453292519943295E-2</v>
          </cell>
        </row>
      </sheetData>
      <sheetData sheetId="682">
        <row r="1">
          <cell r="J1">
            <v>1.7453292519943295E-2</v>
          </cell>
        </row>
      </sheetData>
      <sheetData sheetId="683">
        <row r="1">
          <cell r="J1">
            <v>1.7453292519943295E-2</v>
          </cell>
        </row>
      </sheetData>
      <sheetData sheetId="684">
        <row r="1">
          <cell r="J1">
            <v>1.7453292519943295E-2</v>
          </cell>
        </row>
      </sheetData>
      <sheetData sheetId="685">
        <row r="1">
          <cell r="J1">
            <v>1.7453292519943295E-2</v>
          </cell>
        </row>
      </sheetData>
      <sheetData sheetId="686">
        <row r="1">
          <cell r="J1">
            <v>1.7453292519943295E-2</v>
          </cell>
        </row>
      </sheetData>
      <sheetData sheetId="687">
        <row r="1">
          <cell r="J1">
            <v>1.7453292519943295E-2</v>
          </cell>
        </row>
      </sheetData>
      <sheetData sheetId="688">
        <row r="1">
          <cell r="J1">
            <v>1.7453292519943295E-2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>
        <row r="1">
          <cell r="J1">
            <v>1.7453292519943295E-2</v>
          </cell>
        </row>
      </sheetData>
      <sheetData sheetId="702">
        <row r="1">
          <cell r="J1">
            <v>1.7453292519943295E-2</v>
          </cell>
        </row>
      </sheetData>
      <sheetData sheetId="703"/>
      <sheetData sheetId="704">
        <row r="1">
          <cell r="J1">
            <v>1.7453292519943295E-2</v>
          </cell>
        </row>
      </sheetData>
      <sheetData sheetId="705"/>
      <sheetData sheetId="706"/>
      <sheetData sheetId="707"/>
      <sheetData sheetId="708"/>
      <sheetData sheetId="709">
        <row r="1">
          <cell r="J1">
            <v>1.7453292519943295E-2</v>
          </cell>
        </row>
      </sheetData>
      <sheetData sheetId="710">
        <row r="1">
          <cell r="J1">
            <v>1.7453292519943295E-2</v>
          </cell>
        </row>
      </sheetData>
      <sheetData sheetId="711">
        <row r="1">
          <cell r="J1">
            <v>1.7453292519943295E-2</v>
          </cell>
        </row>
      </sheetData>
      <sheetData sheetId="712"/>
      <sheetData sheetId="713">
        <row r="1">
          <cell r="J1">
            <v>1.7453292519943295E-2</v>
          </cell>
        </row>
      </sheetData>
      <sheetData sheetId="714">
        <row r="1">
          <cell r="J1">
            <v>1.7453292519943295E-2</v>
          </cell>
        </row>
      </sheetData>
      <sheetData sheetId="715"/>
      <sheetData sheetId="716">
        <row r="1">
          <cell r="J1">
            <v>1.7453292519943295E-2</v>
          </cell>
        </row>
      </sheetData>
      <sheetData sheetId="717">
        <row r="1">
          <cell r="J1">
            <v>1.7453292519943295E-2</v>
          </cell>
        </row>
      </sheetData>
      <sheetData sheetId="718">
        <row r="1">
          <cell r="J1">
            <v>1.7453292519943295E-2</v>
          </cell>
        </row>
      </sheetData>
      <sheetData sheetId="719">
        <row r="1">
          <cell r="J1">
            <v>1.7453292519943295E-2</v>
          </cell>
        </row>
      </sheetData>
      <sheetData sheetId="720">
        <row r="1">
          <cell r="J1">
            <v>1.7453292519943295E-2</v>
          </cell>
        </row>
      </sheetData>
      <sheetData sheetId="721">
        <row r="1">
          <cell r="J1">
            <v>1.7453292519943295E-2</v>
          </cell>
        </row>
      </sheetData>
      <sheetData sheetId="722">
        <row r="1">
          <cell r="J1">
            <v>1.7453292519943295E-2</v>
          </cell>
        </row>
      </sheetData>
      <sheetData sheetId="723">
        <row r="1">
          <cell r="J1">
            <v>1.7453292519943295E-2</v>
          </cell>
        </row>
      </sheetData>
      <sheetData sheetId="724">
        <row r="1">
          <cell r="J1">
            <v>1.7453292519943295E-2</v>
          </cell>
        </row>
      </sheetData>
      <sheetData sheetId="725">
        <row r="1">
          <cell r="J1">
            <v>1.7453292519943295E-2</v>
          </cell>
        </row>
      </sheetData>
      <sheetData sheetId="726">
        <row r="1">
          <cell r="J1">
            <v>1.7453292519943295E-2</v>
          </cell>
        </row>
      </sheetData>
      <sheetData sheetId="727">
        <row r="1">
          <cell r="J1">
            <v>1.7453292519943295E-2</v>
          </cell>
        </row>
      </sheetData>
      <sheetData sheetId="728">
        <row r="1">
          <cell r="J1">
            <v>1.7453292519943295E-2</v>
          </cell>
        </row>
      </sheetData>
      <sheetData sheetId="729">
        <row r="1">
          <cell r="J1">
            <v>1.7453292519943295E-2</v>
          </cell>
        </row>
      </sheetData>
      <sheetData sheetId="730">
        <row r="1">
          <cell r="J1">
            <v>1.7453292519943295E-2</v>
          </cell>
        </row>
      </sheetData>
      <sheetData sheetId="731">
        <row r="1">
          <cell r="J1">
            <v>1.7453292519943295E-2</v>
          </cell>
        </row>
      </sheetData>
      <sheetData sheetId="732">
        <row r="1">
          <cell r="J1">
            <v>1.7453292519943295E-2</v>
          </cell>
        </row>
      </sheetData>
      <sheetData sheetId="733">
        <row r="1">
          <cell r="J1">
            <v>1.7453292519943295E-2</v>
          </cell>
        </row>
      </sheetData>
      <sheetData sheetId="734">
        <row r="1">
          <cell r="J1">
            <v>1.7453292519943295E-2</v>
          </cell>
        </row>
      </sheetData>
      <sheetData sheetId="735">
        <row r="1">
          <cell r="J1">
            <v>1.7453292519943295E-2</v>
          </cell>
        </row>
      </sheetData>
      <sheetData sheetId="736">
        <row r="1">
          <cell r="J1">
            <v>1.7453292519943295E-2</v>
          </cell>
        </row>
      </sheetData>
      <sheetData sheetId="737">
        <row r="1">
          <cell r="J1">
            <v>1.7453292519943295E-2</v>
          </cell>
        </row>
      </sheetData>
      <sheetData sheetId="738">
        <row r="1">
          <cell r="J1">
            <v>1.7453292519943295E-2</v>
          </cell>
        </row>
      </sheetData>
      <sheetData sheetId="739">
        <row r="1">
          <cell r="J1">
            <v>1.7453292519943295E-2</v>
          </cell>
        </row>
      </sheetData>
      <sheetData sheetId="740">
        <row r="1">
          <cell r="J1">
            <v>1.7453292519943295E-2</v>
          </cell>
        </row>
      </sheetData>
      <sheetData sheetId="741">
        <row r="1">
          <cell r="J1">
            <v>1.7453292519943295E-2</v>
          </cell>
        </row>
      </sheetData>
      <sheetData sheetId="742">
        <row r="1">
          <cell r="J1">
            <v>1.7453292519943295E-2</v>
          </cell>
        </row>
      </sheetData>
      <sheetData sheetId="743">
        <row r="1">
          <cell r="J1">
            <v>1.7453292519943295E-2</v>
          </cell>
        </row>
      </sheetData>
      <sheetData sheetId="744">
        <row r="1">
          <cell r="J1">
            <v>1.7453292519943295E-2</v>
          </cell>
        </row>
      </sheetData>
      <sheetData sheetId="745">
        <row r="1">
          <cell r="J1">
            <v>1.7453292519943295E-2</v>
          </cell>
        </row>
      </sheetData>
      <sheetData sheetId="746">
        <row r="1">
          <cell r="J1">
            <v>1.7453292519943295E-2</v>
          </cell>
        </row>
      </sheetData>
      <sheetData sheetId="747">
        <row r="1">
          <cell r="J1">
            <v>1.7453292519943295E-2</v>
          </cell>
        </row>
      </sheetData>
      <sheetData sheetId="748">
        <row r="1">
          <cell r="J1">
            <v>1.7453292519943295E-2</v>
          </cell>
        </row>
      </sheetData>
      <sheetData sheetId="749">
        <row r="1">
          <cell r="J1">
            <v>1.7453292519943295E-2</v>
          </cell>
        </row>
      </sheetData>
      <sheetData sheetId="750">
        <row r="1">
          <cell r="J1">
            <v>1.7453292519943295E-2</v>
          </cell>
        </row>
      </sheetData>
      <sheetData sheetId="751">
        <row r="1">
          <cell r="J1">
            <v>1.7453292519943295E-2</v>
          </cell>
        </row>
      </sheetData>
      <sheetData sheetId="752">
        <row r="1">
          <cell r="J1">
            <v>1.7453292519943295E-2</v>
          </cell>
        </row>
      </sheetData>
      <sheetData sheetId="753">
        <row r="1">
          <cell r="J1">
            <v>1.7453292519943295E-2</v>
          </cell>
        </row>
      </sheetData>
      <sheetData sheetId="754">
        <row r="1">
          <cell r="J1">
            <v>1.7453292519943295E-2</v>
          </cell>
        </row>
      </sheetData>
      <sheetData sheetId="755">
        <row r="1">
          <cell r="J1">
            <v>1.7453292519943295E-2</v>
          </cell>
        </row>
      </sheetData>
      <sheetData sheetId="756">
        <row r="1">
          <cell r="J1">
            <v>1.7453292519943295E-2</v>
          </cell>
        </row>
      </sheetData>
      <sheetData sheetId="757">
        <row r="1">
          <cell r="J1">
            <v>1.7453292519943295E-2</v>
          </cell>
        </row>
      </sheetData>
      <sheetData sheetId="758">
        <row r="1">
          <cell r="J1">
            <v>1.7453292519943295E-2</v>
          </cell>
        </row>
      </sheetData>
      <sheetData sheetId="759">
        <row r="1">
          <cell r="J1">
            <v>1.7453292519943295E-2</v>
          </cell>
        </row>
      </sheetData>
      <sheetData sheetId="760">
        <row r="1">
          <cell r="J1">
            <v>1.7453292519943295E-2</v>
          </cell>
        </row>
      </sheetData>
      <sheetData sheetId="761">
        <row r="1">
          <cell r="J1">
            <v>1.7453292519943295E-2</v>
          </cell>
        </row>
      </sheetData>
      <sheetData sheetId="762">
        <row r="1">
          <cell r="J1">
            <v>1.7453292519943295E-2</v>
          </cell>
        </row>
      </sheetData>
      <sheetData sheetId="763">
        <row r="1">
          <cell r="J1">
            <v>1.7453292519943295E-2</v>
          </cell>
        </row>
      </sheetData>
      <sheetData sheetId="764">
        <row r="1">
          <cell r="J1">
            <v>1.7453292519943295E-2</v>
          </cell>
        </row>
      </sheetData>
      <sheetData sheetId="765">
        <row r="1">
          <cell r="J1">
            <v>1.7453292519943295E-2</v>
          </cell>
        </row>
      </sheetData>
      <sheetData sheetId="766">
        <row r="1">
          <cell r="J1">
            <v>1.7453292519943295E-2</v>
          </cell>
        </row>
      </sheetData>
      <sheetData sheetId="767">
        <row r="1">
          <cell r="J1">
            <v>1.7453292519943295E-2</v>
          </cell>
        </row>
      </sheetData>
      <sheetData sheetId="768">
        <row r="1">
          <cell r="J1">
            <v>1.7453292519943295E-2</v>
          </cell>
        </row>
      </sheetData>
      <sheetData sheetId="769">
        <row r="1">
          <cell r="J1">
            <v>1.7453292519943295E-2</v>
          </cell>
        </row>
      </sheetData>
      <sheetData sheetId="770">
        <row r="1">
          <cell r="J1">
            <v>1.7453292519943295E-2</v>
          </cell>
        </row>
      </sheetData>
      <sheetData sheetId="771">
        <row r="1">
          <cell r="J1">
            <v>1.7453292519943295E-2</v>
          </cell>
        </row>
      </sheetData>
      <sheetData sheetId="772">
        <row r="1">
          <cell r="J1">
            <v>1.7453292519943295E-2</v>
          </cell>
        </row>
      </sheetData>
      <sheetData sheetId="773">
        <row r="1">
          <cell r="J1">
            <v>1.7453292519943295E-2</v>
          </cell>
        </row>
      </sheetData>
      <sheetData sheetId="774">
        <row r="1">
          <cell r="J1">
            <v>1.7453292519943295E-2</v>
          </cell>
        </row>
      </sheetData>
      <sheetData sheetId="775">
        <row r="1">
          <cell r="J1">
            <v>1.7453292519943295E-2</v>
          </cell>
        </row>
      </sheetData>
      <sheetData sheetId="776">
        <row r="1">
          <cell r="J1">
            <v>1.7453292519943295E-2</v>
          </cell>
        </row>
      </sheetData>
      <sheetData sheetId="777">
        <row r="1">
          <cell r="J1">
            <v>1.7453292519943295E-2</v>
          </cell>
        </row>
      </sheetData>
      <sheetData sheetId="778">
        <row r="1">
          <cell r="J1">
            <v>1.7453292519943295E-2</v>
          </cell>
        </row>
      </sheetData>
      <sheetData sheetId="779">
        <row r="1">
          <cell r="J1">
            <v>1.7453292519943295E-2</v>
          </cell>
        </row>
      </sheetData>
      <sheetData sheetId="780">
        <row r="1">
          <cell r="J1">
            <v>1.7453292519943295E-2</v>
          </cell>
        </row>
      </sheetData>
      <sheetData sheetId="781">
        <row r="1">
          <cell r="J1">
            <v>1.7453292519943295E-2</v>
          </cell>
        </row>
      </sheetData>
      <sheetData sheetId="782">
        <row r="1">
          <cell r="J1">
            <v>1.7453292519943295E-2</v>
          </cell>
        </row>
      </sheetData>
      <sheetData sheetId="783">
        <row r="1">
          <cell r="J1">
            <v>1.7453292519943295E-2</v>
          </cell>
        </row>
      </sheetData>
      <sheetData sheetId="784">
        <row r="1">
          <cell r="J1">
            <v>1.7453292519943295E-2</v>
          </cell>
        </row>
      </sheetData>
      <sheetData sheetId="785">
        <row r="1">
          <cell r="J1">
            <v>1.7453292519943295E-2</v>
          </cell>
        </row>
      </sheetData>
      <sheetData sheetId="786">
        <row r="1">
          <cell r="J1">
            <v>1.7453292519943295E-2</v>
          </cell>
        </row>
      </sheetData>
      <sheetData sheetId="787">
        <row r="1">
          <cell r="J1">
            <v>1.7453292519943295E-2</v>
          </cell>
        </row>
      </sheetData>
      <sheetData sheetId="788">
        <row r="1">
          <cell r="J1">
            <v>1.7453292519943295E-2</v>
          </cell>
        </row>
      </sheetData>
      <sheetData sheetId="789">
        <row r="1">
          <cell r="J1">
            <v>1.7453292519943295E-2</v>
          </cell>
        </row>
      </sheetData>
      <sheetData sheetId="790">
        <row r="1">
          <cell r="J1">
            <v>1.7453292519943295E-2</v>
          </cell>
        </row>
      </sheetData>
      <sheetData sheetId="791">
        <row r="1">
          <cell r="J1">
            <v>1.7453292519943295E-2</v>
          </cell>
        </row>
      </sheetData>
      <sheetData sheetId="792">
        <row r="1">
          <cell r="J1">
            <v>1.7453292519943295E-2</v>
          </cell>
        </row>
      </sheetData>
      <sheetData sheetId="793">
        <row r="1">
          <cell r="J1">
            <v>1.7453292519943295E-2</v>
          </cell>
        </row>
      </sheetData>
      <sheetData sheetId="794">
        <row r="1">
          <cell r="J1">
            <v>1.7453292519943295E-2</v>
          </cell>
        </row>
      </sheetData>
      <sheetData sheetId="795">
        <row r="1">
          <cell r="J1">
            <v>1.7453292519943295E-2</v>
          </cell>
        </row>
      </sheetData>
      <sheetData sheetId="796">
        <row r="1">
          <cell r="J1">
            <v>1.7453292519943295E-2</v>
          </cell>
        </row>
      </sheetData>
      <sheetData sheetId="797">
        <row r="1">
          <cell r="J1">
            <v>1.7453292519943295E-2</v>
          </cell>
        </row>
      </sheetData>
      <sheetData sheetId="798">
        <row r="1">
          <cell r="J1">
            <v>1.7453292519943295E-2</v>
          </cell>
        </row>
      </sheetData>
      <sheetData sheetId="799">
        <row r="1">
          <cell r="J1">
            <v>1.7453292519943295E-2</v>
          </cell>
        </row>
      </sheetData>
      <sheetData sheetId="800">
        <row r="1">
          <cell r="J1">
            <v>1.7453292519943295E-2</v>
          </cell>
        </row>
      </sheetData>
      <sheetData sheetId="801">
        <row r="1">
          <cell r="J1">
            <v>1.7453292519943295E-2</v>
          </cell>
        </row>
      </sheetData>
      <sheetData sheetId="802">
        <row r="1">
          <cell r="J1">
            <v>1.7453292519943295E-2</v>
          </cell>
        </row>
      </sheetData>
      <sheetData sheetId="803">
        <row r="1">
          <cell r="J1">
            <v>1.7453292519943295E-2</v>
          </cell>
        </row>
      </sheetData>
      <sheetData sheetId="804">
        <row r="1">
          <cell r="J1">
            <v>1.7453292519943295E-2</v>
          </cell>
        </row>
      </sheetData>
      <sheetData sheetId="805">
        <row r="1">
          <cell r="J1">
            <v>1.7453292519943295E-2</v>
          </cell>
        </row>
      </sheetData>
      <sheetData sheetId="806">
        <row r="1">
          <cell r="J1">
            <v>1.7453292519943295E-2</v>
          </cell>
        </row>
      </sheetData>
      <sheetData sheetId="807">
        <row r="1">
          <cell r="J1">
            <v>1.7453292519943295E-2</v>
          </cell>
        </row>
      </sheetData>
      <sheetData sheetId="808">
        <row r="1">
          <cell r="J1">
            <v>1.7453292519943295E-2</v>
          </cell>
        </row>
      </sheetData>
      <sheetData sheetId="809">
        <row r="1">
          <cell r="J1">
            <v>1.7453292519943295E-2</v>
          </cell>
        </row>
      </sheetData>
      <sheetData sheetId="810">
        <row r="1">
          <cell r="J1">
            <v>1.7453292519943295E-2</v>
          </cell>
        </row>
      </sheetData>
      <sheetData sheetId="811">
        <row r="1">
          <cell r="J1">
            <v>1.7453292519943295E-2</v>
          </cell>
        </row>
      </sheetData>
      <sheetData sheetId="812">
        <row r="1">
          <cell r="J1">
            <v>1.7453292519943295E-2</v>
          </cell>
        </row>
      </sheetData>
      <sheetData sheetId="813">
        <row r="1">
          <cell r="J1">
            <v>1.7453292519943295E-2</v>
          </cell>
        </row>
      </sheetData>
      <sheetData sheetId="814">
        <row r="1">
          <cell r="J1">
            <v>1.7453292519943295E-2</v>
          </cell>
        </row>
      </sheetData>
      <sheetData sheetId="815">
        <row r="1">
          <cell r="J1">
            <v>1.7453292519943295E-2</v>
          </cell>
        </row>
      </sheetData>
      <sheetData sheetId="816">
        <row r="1">
          <cell r="J1">
            <v>1.7453292519943295E-2</v>
          </cell>
        </row>
      </sheetData>
      <sheetData sheetId="817">
        <row r="1">
          <cell r="J1">
            <v>1.7453292519943295E-2</v>
          </cell>
        </row>
      </sheetData>
      <sheetData sheetId="818">
        <row r="1">
          <cell r="J1">
            <v>1.7453292519943295E-2</v>
          </cell>
        </row>
      </sheetData>
      <sheetData sheetId="819">
        <row r="1">
          <cell r="J1">
            <v>1.7453292519943295E-2</v>
          </cell>
        </row>
      </sheetData>
      <sheetData sheetId="820">
        <row r="1">
          <cell r="J1">
            <v>1.7453292519943295E-2</v>
          </cell>
        </row>
      </sheetData>
      <sheetData sheetId="821">
        <row r="1">
          <cell r="J1">
            <v>1.7453292519943295E-2</v>
          </cell>
        </row>
      </sheetData>
      <sheetData sheetId="822">
        <row r="1">
          <cell r="J1">
            <v>1.7453292519943295E-2</v>
          </cell>
        </row>
      </sheetData>
      <sheetData sheetId="823">
        <row r="1">
          <cell r="J1">
            <v>1.7453292519943295E-2</v>
          </cell>
        </row>
      </sheetData>
      <sheetData sheetId="824">
        <row r="1">
          <cell r="J1">
            <v>1.7453292519943295E-2</v>
          </cell>
        </row>
      </sheetData>
      <sheetData sheetId="825">
        <row r="1">
          <cell r="J1">
            <v>1.7453292519943295E-2</v>
          </cell>
        </row>
      </sheetData>
      <sheetData sheetId="826">
        <row r="1">
          <cell r="J1">
            <v>1.7453292519943295E-2</v>
          </cell>
        </row>
      </sheetData>
      <sheetData sheetId="827">
        <row r="1">
          <cell r="J1">
            <v>1.7453292519943295E-2</v>
          </cell>
        </row>
      </sheetData>
      <sheetData sheetId="828">
        <row r="1">
          <cell r="J1">
            <v>1.7453292519943295E-2</v>
          </cell>
        </row>
      </sheetData>
      <sheetData sheetId="829">
        <row r="1">
          <cell r="J1">
            <v>1.7453292519943295E-2</v>
          </cell>
        </row>
      </sheetData>
      <sheetData sheetId="830">
        <row r="1">
          <cell r="J1">
            <v>1.7453292519943295E-2</v>
          </cell>
        </row>
      </sheetData>
      <sheetData sheetId="831">
        <row r="1">
          <cell r="J1">
            <v>1.7453292519943295E-2</v>
          </cell>
        </row>
      </sheetData>
      <sheetData sheetId="832">
        <row r="1">
          <cell r="J1">
            <v>1.7453292519943295E-2</v>
          </cell>
        </row>
      </sheetData>
      <sheetData sheetId="833">
        <row r="1">
          <cell r="J1">
            <v>1.7453292519943295E-2</v>
          </cell>
        </row>
      </sheetData>
      <sheetData sheetId="834">
        <row r="1">
          <cell r="J1">
            <v>1.7453292519943295E-2</v>
          </cell>
        </row>
      </sheetData>
      <sheetData sheetId="835">
        <row r="1">
          <cell r="J1">
            <v>1.7453292519943295E-2</v>
          </cell>
        </row>
      </sheetData>
      <sheetData sheetId="836">
        <row r="1">
          <cell r="J1">
            <v>1.7453292519943295E-2</v>
          </cell>
        </row>
      </sheetData>
      <sheetData sheetId="837">
        <row r="1">
          <cell r="J1">
            <v>1.7453292519943295E-2</v>
          </cell>
        </row>
      </sheetData>
      <sheetData sheetId="838">
        <row r="1">
          <cell r="J1">
            <v>1.7453292519943295E-2</v>
          </cell>
        </row>
      </sheetData>
      <sheetData sheetId="839">
        <row r="1">
          <cell r="J1">
            <v>1.7453292519943295E-2</v>
          </cell>
        </row>
      </sheetData>
      <sheetData sheetId="840">
        <row r="1">
          <cell r="J1">
            <v>1.7453292519943295E-2</v>
          </cell>
        </row>
      </sheetData>
      <sheetData sheetId="841">
        <row r="1">
          <cell r="J1">
            <v>1.7453292519943295E-2</v>
          </cell>
        </row>
      </sheetData>
      <sheetData sheetId="842">
        <row r="1">
          <cell r="J1">
            <v>1.7453292519943295E-2</v>
          </cell>
        </row>
      </sheetData>
      <sheetData sheetId="843">
        <row r="1">
          <cell r="J1">
            <v>1.7453292519943295E-2</v>
          </cell>
        </row>
      </sheetData>
      <sheetData sheetId="844">
        <row r="1">
          <cell r="J1">
            <v>1.7453292519943295E-2</v>
          </cell>
        </row>
      </sheetData>
      <sheetData sheetId="845">
        <row r="1">
          <cell r="J1">
            <v>1.7453292519943295E-2</v>
          </cell>
        </row>
      </sheetData>
      <sheetData sheetId="846">
        <row r="1">
          <cell r="J1">
            <v>1.7453292519943295E-2</v>
          </cell>
        </row>
      </sheetData>
      <sheetData sheetId="847">
        <row r="1">
          <cell r="J1">
            <v>1.7453292519943295E-2</v>
          </cell>
        </row>
      </sheetData>
      <sheetData sheetId="848">
        <row r="1">
          <cell r="J1">
            <v>1.7453292519943295E-2</v>
          </cell>
        </row>
      </sheetData>
      <sheetData sheetId="849">
        <row r="1">
          <cell r="J1">
            <v>1.7453292519943295E-2</v>
          </cell>
        </row>
      </sheetData>
      <sheetData sheetId="850">
        <row r="1">
          <cell r="J1">
            <v>1.7453292519943295E-2</v>
          </cell>
        </row>
      </sheetData>
      <sheetData sheetId="851">
        <row r="1">
          <cell r="J1">
            <v>1.7453292519943295E-2</v>
          </cell>
        </row>
      </sheetData>
      <sheetData sheetId="852">
        <row r="1">
          <cell r="J1">
            <v>1.7453292519943295E-2</v>
          </cell>
        </row>
      </sheetData>
      <sheetData sheetId="853">
        <row r="1">
          <cell r="J1">
            <v>1.7453292519943295E-2</v>
          </cell>
        </row>
      </sheetData>
      <sheetData sheetId="854">
        <row r="1">
          <cell r="J1">
            <v>1.7453292519943295E-2</v>
          </cell>
        </row>
      </sheetData>
      <sheetData sheetId="855">
        <row r="1">
          <cell r="J1">
            <v>1.7453292519943295E-2</v>
          </cell>
        </row>
      </sheetData>
      <sheetData sheetId="856">
        <row r="1">
          <cell r="J1">
            <v>1.7453292519943295E-2</v>
          </cell>
        </row>
      </sheetData>
      <sheetData sheetId="857">
        <row r="1">
          <cell r="J1">
            <v>1.7453292519943295E-2</v>
          </cell>
        </row>
      </sheetData>
      <sheetData sheetId="858">
        <row r="1">
          <cell r="J1">
            <v>1.7453292519943295E-2</v>
          </cell>
        </row>
      </sheetData>
      <sheetData sheetId="859">
        <row r="1">
          <cell r="J1">
            <v>1.7453292519943295E-2</v>
          </cell>
        </row>
      </sheetData>
      <sheetData sheetId="860">
        <row r="1">
          <cell r="J1">
            <v>1.7453292519943295E-2</v>
          </cell>
        </row>
      </sheetData>
      <sheetData sheetId="861">
        <row r="1">
          <cell r="J1">
            <v>1.7453292519943295E-2</v>
          </cell>
        </row>
      </sheetData>
      <sheetData sheetId="862">
        <row r="1">
          <cell r="J1">
            <v>1.7453292519943295E-2</v>
          </cell>
        </row>
      </sheetData>
      <sheetData sheetId="863">
        <row r="1">
          <cell r="J1">
            <v>1.7453292519943295E-2</v>
          </cell>
        </row>
      </sheetData>
      <sheetData sheetId="864">
        <row r="1">
          <cell r="J1">
            <v>1.7453292519943295E-2</v>
          </cell>
        </row>
      </sheetData>
      <sheetData sheetId="865">
        <row r="1">
          <cell r="J1">
            <v>1.7453292519943295E-2</v>
          </cell>
        </row>
      </sheetData>
      <sheetData sheetId="866">
        <row r="1">
          <cell r="J1">
            <v>1.7453292519943295E-2</v>
          </cell>
        </row>
      </sheetData>
      <sheetData sheetId="867">
        <row r="1">
          <cell r="J1">
            <v>1.7453292519943295E-2</v>
          </cell>
        </row>
      </sheetData>
      <sheetData sheetId="868">
        <row r="1">
          <cell r="J1">
            <v>1.7453292519943295E-2</v>
          </cell>
        </row>
      </sheetData>
      <sheetData sheetId="869">
        <row r="1">
          <cell r="J1">
            <v>1.7453292519943295E-2</v>
          </cell>
        </row>
      </sheetData>
      <sheetData sheetId="870">
        <row r="1">
          <cell r="J1">
            <v>1.7453292519943295E-2</v>
          </cell>
        </row>
      </sheetData>
      <sheetData sheetId="871">
        <row r="1">
          <cell r="J1">
            <v>1.7453292519943295E-2</v>
          </cell>
        </row>
      </sheetData>
      <sheetData sheetId="872">
        <row r="1">
          <cell r="J1">
            <v>1.7453292519943295E-2</v>
          </cell>
        </row>
      </sheetData>
      <sheetData sheetId="873">
        <row r="1">
          <cell r="J1">
            <v>1.7453292519943295E-2</v>
          </cell>
        </row>
      </sheetData>
      <sheetData sheetId="874">
        <row r="1">
          <cell r="J1">
            <v>1.7453292519943295E-2</v>
          </cell>
        </row>
      </sheetData>
      <sheetData sheetId="875">
        <row r="1">
          <cell r="J1">
            <v>1.7453292519943295E-2</v>
          </cell>
        </row>
      </sheetData>
      <sheetData sheetId="876">
        <row r="1">
          <cell r="J1">
            <v>1.7453292519943295E-2</v>
          </cell>
        </row>
      </sheetData>
      <sheetData sheetId="877">
        <row r="1">
          <cell r="J1">
            <v>1.7453292519943295E-2</v>
          </cell>
        </row>
      </sheetData>
      <sheetData sheetId="878">
        <row r="1">
          <cell r="J1">
            <v>1.7453292519943295E-2</v>
          </cell>
        </row>
      </sheetData>
      <sheetData sheetId="879">
        <row r="1">
          <cell r="J1">
            <v>1.7453292519943295E-2</v>
          </cell>
        </row>
      </sheetData>
      <sheetData sheetId="880">
        <row r="1">
          <cell r="J1">
            <v>1.7453292519943295E-2</v>
          </cell>
        </row>
      </sheetData>
      <sheetData sheetId="881">
        <row r="1">
          <cell r="J1">
            <v>1.7453292519943295E-2</v>
          </cell>
        </row>
      </sheetData>
      <sheetData sheetId="882">
        <row r="1">
          <cell r="J1">
            <v>1.7453292519943295E-2</v>
          </cell>
        </row>
      </sheetData>
      <sheetData sheetId="883">
        <row r="1">
          <cell r="J1">
            <v>1.7453292519943295E-2</v>
          </cell>
        </row>
      </sheetData>
      <sheetData sheetId="884">
        <row r="1">
          <cell r="J1">
            <v>1.7453292519943295E-2</v>
          </cell>
        </row>
      </sheetData>
      <sheetData sheetId="885">
        <row r="1">
          <cell r="J1">
            <v>1.7453292519943295E-2</v>
          </cell>
        </row>
      </sheetData>
      <sheetData sheetId="886">
        <row r="1">
          <cell r="J1">
            <v>1.7453292519943295E-2</v>
          </cell>
        </row>
      </sheetData>
      <sheetData sheetId="887">
        <row r="1">
          <cell r="J1">
            <v>1.7453292519943295E-2</v>
          </cell>
        </row>
      </sheetData>
      <sheetData sheetId="888">
        <row r="1">
          <cell r="J1">
            <v>1.7453292519943295E-2</v>
          </cell>
        </row>
      </sheetData>
      <sheetData sheetId="889">
        <row r="1">
          <cell r="J1">
            <v>1.7453292519943295E-2</v>
          </cell>
        </row>
      </sheetData>
      <sheetData sheetId="890">
        <row r="1">
          <cell r="J1">
            <v>1.7453292519943295E-2</v>
          </cell>
        </row>
      </sheetData>
      <sheetData sheetId="891">
        <row r="1">
          <cell r="J1">
            <v>1.7453292519943295E-2</v>
          </cell>
        </row>
      </sheetData>
      <sheetData sheetId="892">
        <row r="1">
          <cell r="J1">
            <v>1.7453292519943295E-2</v>
          </cell>
        </row>
      </sheetData>
      <sheetData sheetId="893">
        <row r="1">
          <cell r="J1">
            <v>1.7453292519943295E-2</v>
          </cell>
        </row>
      </sheetData>
      <sheetData sheetId="894">
        <row r="1">
          <cell r="J1">
            <v>1.7453292519943295E-2</v>
          </cell>
        </row>
      </sheetData>
      <sheetData sheetId="895">
        <row r="1">
          <cell r="J1">
            <v>1.7453292519943295E-2</v>
          </cell>
        </row>
      </sheetData>
      <sheetData sheetId="896">
        <row r="1">
          <cell r="J1">
            <v>1.7453292519943295E-2</v>
          </cell>
        </row>
      </sheetData>
      <sheetData sheetId="897">
        <row r="1">
          <cell r="J1">
            <v>1.7453292519943295E-2</v>
          </cell>
        </row>
      </sheetData>
      <sheetData sheetId="898">
        <row r="1">
          <cell r="J1">
            <v>1.7453292519943295E-2</v>
          </cell>
        </row>
      </sheetData>
      <sheetData sheetId="899">
        <row r="1">
          <cell r="J1">
            <v>1.7453292519943295E-2</v>
          </cell>
        </row>
      </sheetData>
      <sheetData sheetId="900">
        <row r="1">
          <cell r="J1">
            <v>1.7453292519943295E-2</v>
          </cell>
        </row>
      </sheetData>
      <sheetData sheetId="901">
        <row r="1">
          <cell r="J1">
            <v>1.7453292519943295E-2</v>
          </cell>
        </row>
      </sheetData>
      <sheetData sheetId="902">
        <row r="1">
          <cell r="J1">
            <v>1.7453292519943295E-2</v>
          </cell>
        </row>
      </sheetData>
      <sheetData sheetId="903">
        <row r="1">
          <cell r="J1">
            <v>1.7453292519943295E-2</v>
          </cell>
        </row>
      </sheetData>
      <sheetData sheetId="904">
        <row r="1">
          <cell r="J1">
            <v>1.7453292519943295E-2</v>
          </cell>
        </row>
      </sheetData>
      <sheetData sheetId="905">
        <row r="1">
          <cell r="J1">
            <v>1.7453292519943295E-2</v>
          </cell>
        </row>
      </sheetData>
      <sheetData sheetId="906">
        <row r="1">
          <cell r="J1">
            <v>1.7453292519943295E-2</v>
          </cell>
        </row>
      </sheetData>
      <sheetData sheetId="907">
        <row r="1">
          <cell r="J1">
            <v>1.7453292519943295E-2</v>
          </cell>
        </row>
      </sheetData>
      <sheetData sheetId="908">
        <row r="1">
          <cell r="J1">
            <v>1.7453292519943295E-2</v>
          </cell>
        </row>
      </sheetData>
      <sheetData sheetId="909">
        <row r="1">
          <cell r="J1">
            <v>1.7453292519943295E-2</v>
          </cell>
        </row>
      </sheetData>
      <sheetData sheetId="910">
        <row r="1">
          <cell r="J1">
            <v>1.7453292519943295E-2</v>
          </cell>
        </row>
      </sheetData>
      <sheetData sheetId="911">
        <row r="1">
          <cell r="J1">
            <v>1.7453292519943295E-2</v>
          </cell>
        </row>
      </sheetData>
      <sheetData sheetId="912">
        <row r="1">
          <cell r="J1">
            <v>1.7453292519943295E-2</v>
          </cell>
        </row>
      </sheetData>
      <sheetData sheetId="913">
        <row r="1">
          <cell r="J1">
            <v>1.7453292519943295E-2</v>
          </cell>
        </row>
      </sheetData>
      <sheetData sheetId="914">
        <row r="1">
          <cell r="J1">
            <v>1.7453292519943295E-2</v>
          </cell>
        </row>
      </sheetData>
      <sheetData sheetId="915">
        <row r="1">
          <cell r="J1">
            <v>1.7453292519943295E-2</v>
          </cell>
        </row>
      </sheetData>
      <sheetData sheetId="916">
        <row r="1">
          <cell r="J1">
            <v>1.7453292519943295E-2</v>
          </cell>
        </row>
      </sheetData>
      <sheetData sheetId="917">
        <row r="1">
          <cell r="J1">
            <v>1.7453292519943295E-2</v>
          </cell>
        </row>
      </sheetData>
      <sheetData sheetId="918">
        <row r="1">
          <cell r="J1">
            <v>1.7453292519943295E-2</v>
          </cell>
        </row>
      </sheetData>
      <sheetData sheetId="919">
        <row r="1">
          <cell r="J1">
            <v>1.7453292519943295E-2</v>
          </cell>
        </row>
      </sheetData>
      <sheetData sheetId="920">
        <row r="1">
          <cell r="J1">
            <v>1.7453292519943295E-2</v>
          </cell>
        </row>
      </sheetData>
      <sheetData sheetId="921">
        <row r="1">
          <cell r="J1">
            <v>1.7453292519943295E-2</v>
          </cell>
        </row>
      </sheetData>
      <sheetData sheetId="922">
        <row r="1">
          <cell r="J1">
            <v>1.7453292519943295E-2</v>
          </cell>
        </row>
      </sheetData>
      <sheetData sheetId="923">
        <row r="1">
          <cell r="J1">
            <v>1.7453292519943295E-2</v>
          </cell>
        </row>
      </sheetData>
      <sheetData sheetId="924">
        <row r="1">
          <cell r="J1">
            <v>1.7453292519943295E-2</v>
          </cell>
        </row>
      </sheetData>
      <sheetData sheetId="925">
        <row r="1">
          <cell r="J1">
            <v>1.7453292519943295E-2</v>
          </cell>
        </row>
      </sheetData>
      <sheetData sheetId="926">
        <row r="1">
          <cell r="J1">
            <v>1.7453292519943295E-2</v>
          </cell>
        </row>
      </sheetData>
      <sheetData sheetId="927">
        <row r="1">
          <cell r="J1">
            <v>1.7453292519943295E-2</v>
          </cell>
        </row>
      </sheetData>
      <sheetData sheetId="928">
        <row r="1">
          <cell r="J1">
            <v>1.7453292519943295E-2</v>
          </cell>
        </row>
      </sheetData>
      <sheetData sheetId="929">
        <row r="1">
          <cell r="J1">
            <v>1.7453292519943295E-2</v>
          </cell>
        </row>
      </sheetData>
      <sheetData sheetId="930">
        <row r="1">
          <cell r="J1">
            <v>1.7453292519943295E-2</v>
          </cell>
        </row>
      </sheetData>
      <sheetData sheetId="931">
        <row r="1">
          <cell r="J1">
            <v>1.7453292519943295E-2</v>
          </cell>
        </row>
      </sheetData>
      <sheetData sheetId="932">
        <row r="1">
          <cell r="J1">
            <v>1.7453292519943295E-2</v>
          </cell>
        </row>
      </sheetData>
      <sheetData sheetId="933">
        <row r="1">
          <cell r="J1">
            <v>1.7453292519943295E-2</v>
          </cell>
        </row>
      </sheetData>
      <sheetData sheetId="934">
        <row r="1">
          <cell r="J1">
            <v>1.7453292519943295E-2</v>
          </cell>
        </row>
      </sheetData>
      <sheetData sheetId="935">
        <row r="1">
          <cell r="J1">
            <v>1.7453292519943295E-2</v>
          </cell>
        </row>
      </sheetData>
      <sheetData sheetId="936">
        <row r="1">
          <cell r="J1">
            <v>1.7453292519943295E-2</v>
          </cell>
        </row>
      </sheetData>
      <sheetData sheetId="937">
        <row r="1">
          <cell r="J1">
            <v>1.7453292519943295E-2</v>
          </cell>
        </row>
      </sheetData>
      <sheetData sheetId="938">
        <row r="1">
          <cell r="J1">
            <v>1.7453292519943295E-2</v>
          </cell>
        </row>
      </sheetData>
      <sheetData sheetId="939">
        <row r="1">
          <cell r="J1">
            <v>1.7453292519943295E-2</v>
          </cell>
        </row>
      </sheetData>
      <sheetData sheetId="940">
        <row r="1">
          <cell r="J1">
            <v>1.7453292519943295E-2</v>
          </cell>
        </row>
      </sheetData>
      <sheetData sheetId="941">
        <row r="1">
          <cell r="J1">
            <v>1.7453292519943295E-2</v>
          </cell>
        </row>
      </sheetData>
      <sheetData sheetId="942">
        <row r="1">
          <cell r="J1">
            <v>1.7453292519943295E-2</v>
          </cell>
        </row>
      </sheetData>
      <sheetData sheetId="943">
        <row r="1">
          <cell r="J1">
            <v>1.7453292519943295E-2</v>
          </cell>
        </row>
      </sheetData>
      <sheetData sheetId="944">
        <row r="1">
          <cell r="J1">
            <v>1.7453292519943295E-2</v>
          </cell>
        </row>
      </sheetData>
      <sheetData sheetId="945">
        <row r="1">
          <cell r="J1">
            <v>1.7453292519943295E-2</v>
          </cell>
        </row>
      </sheetData>
      <sheetData sheetId="946">
        <row r="1">
          <cell r="J1">
            <v>1.7453292519943295E-2</v>
          </cell>
        </row>
      </sheetData>
      <sheetData sheetId="947">
        <row r="1">
          <cell r="J1">
            <v>1.7453292519943295E-2</v>
          </cell>
        </row>
      </sheetData>
      <sheetData sheetId="948">
        <row r="1">
          <cell r="J1">
            <v>1.7453292519943295E-2</v>
          </cell>
        </row>
      </sheetData>
      <sheetData sheetId="949">
        <row r="1">
          <cell r="J1">
            <v>1.7453292519943295E-2</v>
          </cell>
        </row>
      </sheetData>
      <sheetData sheetId="950">
        <row r="1">
          <cell r="J1">
            <v>1.7453292519943295E-2</v>
          </cell>
        </row>
      </sheetData>
      <sheetData sheetId="951">
        <row r="1">
          <cell r="J1">
            <v>1.7453292519943295E-2</v>
          </cell>
        </row>
      </sheetData>
      <sheetData sheetId="952">
        <row r="1">
          <cell r="J1">
            <v>1.7453292519943295E-2</v>
          </cell>
        </row>
      </sheetData>
      <sheetData sheetId="953">
        <row r="1">
          <cell r="J1">
            <v>1.7453292519943295E-2</v>
          </cell>
        </row>
      </sheetData>
      <sheetData sheetId="954">
        <row r="1">
          <cell r="J1">
            <v>1.7453292519943295E-2</v>
          </cell>
        </row>
      </sheetData>
      <sheetData sheetId="955">
        <row r="1">
          <cell r="J1">
            <v>1.7453292519943295E-2</v>
          </cell>
        </row>
      </sheetData>
      <sheetData sheetId="956">
        <row r="1">
          <cell r="J1">
            <v>1.7453292519943295E-2</v>
          </cell>
        </row>
      </sheetData>
      <sheetData sheetId="957">
        <row r="1">
          <cell r="J1">
            <v>1.7453292519943295E-2</v>
          </cell>
        </row>
      </sheetData>
      <sheetData sheetId="958">
        <row r="1">
          <cell r="J1">
            <v>1.7453292519943295E-2</v>
          </cell>
        </row>
      </sheetData>
      <sheetData sheetId="959">
        <row r="1">
          <cell r="J1">
            <v>1.7453292519943295E-2</v>
          </cell>
        </row>
      </sheetData>
      <sheetData sheetId="960">
        <row r="1">
          <cell r="J1">
            <v>1.7453292519943295E-2</v>
          </cell>
        </row>
      </sheetData>
      <sheetData sheetId="961">
        <row r="1">
          <cell r="J1">
            <v>1.7453292519943295E-2</v>
          </cell>
        </row>
      </sheetData>
      <sheetData sheetId="962">
        <row r="1">
          <cell r="J1">
            <v>1.7453292519943295E-2</v>
          </cell>
        </row>
      </sheetData>
      <sheetData sheetId="963">
        <row r="1">
          <cell r="J1">
            <v>1.7453292519943295E-2</v>
          </cell>
        </row>
      </sheetData>
      <sheetData sheetId="964">
        <row r="1">
          <cell r="J1">
            <v>1.7453292519943295E-2</v>
          </cell>
        </row>
      </sheetData>
      <sheetData sheetId="965">
        <row r="1">
          <cell r="J1">
            <v>1.7453292519943295E-2</v>
          </cell>
        </row>
      </sheetData>
      <sheetData sheetId="966">
        <row r="1">
          <cell r="J1">
            <v>1.7453292519943295E-2</v>
          </cell>
        </row>
      </sheetData>
      <sheetData sheetId="967">
        <row r="1">
          <cell r="J1">
            <v>1.7453292519943295E-2</v>
          </cell>
        </row>
      </sheetData>
      <sheetData sheetId="968">
        <row r="1">
          <cell r="J1">
            <v>1.7453292519943295E-2</v>
          </cell>
        </row>
      </sheetData>
      <sheetData sheetId="969">
        <row r="1">
          <cell r="J1">
            <v>1.7453292519943295E-2</v>
          </cell>
        </row>
      </sheetData>
      <sheetData sheetId="970">
        <row r="1">
          <cell r="J1">
            <v>1.7453292519943295E-2</v>
          </cell>
        </row>
      </sheetData>
      <sheetData sheetId="971">
        <row r="1">
          <cell r="J1">
            <v>1.7453292519943295E-2</v>
          </cell>
        </row>
      </sheetData>
      <sheetData sheetId="972">
        <row r="1">
          <cell r="J1">
            <v>1.7453292519943295E-2</v>
          </cell>
        </row>
      </sheetData>
      <sheetData sheetId="973">
        <row r="1">
          <cell r="J1">
            <v>1.7453292519943295E-2</v>
          </cell>
        </row>
      </sheetData>
      <sheetData sheetId="974">
        <row r="1">
          <cell r="J1">
            <v>1.7453292519943295E-2</v>
          </cell>
        </row>
      </sheetData>
      <sheetData sheetId="975">
        <row r="1">
          <cell r="J1">
            <v>1.7453292519943295E-2</v>
          </cell>
        </row>
      </sheetData>
      <sheetData sheetId="976">
        <row r="1">
          <cell r="J1">
            <v>1.7453292519943295E-2</v>
          </cell>
        </row>
      </sheetData>
      <sheetData sheetId="977">
        <row r="1">
          <cell r="J1">
            <v>1.7453292519943295E-2</v>
          </cell>
        </row>
      </sheetData>
      <sheetData sheetId="978">
        <row r="1">
          <cell r="J1">
            <v>1.7453292519943295E-2</v>
          </cell>
        </row>
      </sheetData>
      <sheetData sheetId="979">
        <row r="1">
          <cell r="J1">
            <v>1.7453292519943295E-2</v>
          </cell>
        </row>
      </sheetData>
      <sheetData sheetId="980">
        <row r="1">
          <cell r="J1">
            <v>1.7453292519943295E-2</v>
          </cell>
        </row>
      </sheetData>
      <sheetData sheetId="981">
        <row r="1">
          <cell r="J1">
            <v>1.7453292519943295E-2</v>
          </cell>
        </row>
      </sheetData>
      <sheetData sheetId="982">
        <row r="1">
          <cell r="J1">
            <v>1.7453292519943295E-2</v>
          </cell>
        </row>
      </sheetData>
      <sheetData sheetId="983">
        <row r="1">
          <cell r="J1">
            <v>1.7453292519943295E-2</v>
          </cell>
        </row>
      </sheetData>
      <sheetData sheetId="984">
        <row r="1">
          <cell r="J1">
            <v>1.7453292519943295E-2</v>
          </cell>
        </row>
      </sheetData>
      <sheetData sheetId="985">
        <row r="1">
          <cell r="J1">
            <v>1.7453292519943295E-2</v>
          </cell>
        </row>
      </sheetData>
      <sheetData sheetId="986">
        <row r="1">
          <cell r="J1">
            <v>1.7453292519943295E-2</v>
          </cell>
        </row>
      </sheetData>
      <sheetData sheetId="987">
        <row r="1">
          <cell r="J1">
            <v>1.7453292519943295E-2</v>
          </cell>
        </row>
      </sheetData>
      <sheetData sheetId="988">
        <row r="1">
          <cell r="J1">
            <v>1.7453292519943295E-2</v>
          </cell>
        </row>
      </sheetData>
      <sheetData sheetId="989">
        <row r="1">
          <cell r="J1">
            <v>1.7453292519943295E-2</v>
          </cell>
        </row>
      </sheetData>
      <sheetData sheetId="990">
        <row r="1">
          <cell r="J1">
            <v>1.7453292519943295E-2</v>
          </cell>
        </row>
      </sheetData>
      <sheetData sheetId="991">
        <row r="1">
          <cell r="J1">
            <v>1.7453292519943295E-2</v>
          </cell>
        </row>
      </sheetData>
      <sheetData sheetId="992">
        <row r="1">
          <cell r="J1">
            <v>1.7453292519943295E-2</v>
          </cell>
        </row>
      </sheetData>
      <sheetData sheetId="993">
        <row r="1">
          <cell r="J1">
            <v>1.7453292519943295E-2</v>
          </cell>
        </row>
      </sheetData>
      <sheetData sheetId="994">
        <row r="1">
          <cell r="J1">
            <v>1.7453292519943295E-2</v>
          </cell>
        </row>
      </sheetData>
      <sheetData sheetId="995">
        <row r="1">
          <cell r="J1">
            <v>1.7453292519943295E-2</v>
          </cell>
        </row>
      </sheetData>
      <sheetData sheetId="996">
        <row r="1">
          <cell r="J1">
            <v>1.7453292519943295E-2</v>
          </cell>
        </row>
      </sheetData>
      <sheetData sheetId="997">
        <row r="1">
          <cell r="J1">
            <v>1.7453292519943295E-2</v>
          </cell>
        </row>
      </sheetData>
      <sheetData sheetId="998">
        <row r="1">
          <cell r="J1">
            <v>1.7453292519943295E-2</v>
          </cell>
        </row>
      </sheetData>
      <sheetData sheetId="999">
        <row r="1">
          <cell r="J1">
            <v>1.7453292519943295E-2</v>
          </cell>
        </row>
      </sheetData>
      <sheetData sheetId="1000">
        <row r="1">
          <cell r="J1">
            <v>1.7453292519943295E-2</v>
          </cell>
        </row>
      </sheetData>
      <sheetData sheetId="1001">
        <row r="1">
          <cell r="J1">
            <v>1.7453292519943295E-2</v>
          </cell>
        </row>
      </sheetData>
      <sheetData sheetId="1002">
        <row r="1">
          <cell r="J1">
            <v>1.7453292519943295E-2</v>
          </cell>
        </row>
      </sheetData>
      <sheetData sheetId="1003">
        <row r="1">
          <cell r="J1">
            <v>1.7453292519943295E-2</v>
          </cell>
        </row>
      </sheetData>
      <sheetData sheetId="1004">
        <row r="1">
          <cell r="J1">
            <v>1.7453292519943295E-2</v>
          </cell>
        </row>
      </sheetData>
      <sheetData sheetId="1005">
        <row r="1">
          <cell r="J1">
            <v>1.7453292519943295E-2</v>
          </cell>
        </row>
      </sheetData>
      <sheetData sheetId="1006">
        <row r="1">
          <cell r="J1">
            <v>1.7453292519943295E-2</v>
          </cell>
        </row>
      </sheetData>
      <sheetData sheetId="1007">
        <row r="1">
          <cell r="J1">
            <v>1.7453292519943295E-2</v>
          </cell>
        </row>
      </sheetData>
      <sheetData sheetId="1008">
        <row r="1">
          <cell r="J1">
            <v>1.7453292519943295E-2</v>
          </cell>
        </row>
      </sheetData>
      <sheetData sheetId="1009">
        <row r="1">
          <cell r="J1">
            <v>1.7453292519943295E-2</v>
          </cell>
        </row>
      </sheetData>
      <sheetData sheetId="1010">
        <row r="1">
          <cell r="J1">
            <v>1.7453292519943295E-2</v>
          </cell>
        </row>
      </sheetData>
      <sheetData sheetId="1011">
        <row r="1">
          <cell r="J1">
            <v>1.7453292519943295E-2</v>
          </cell>
        </row>
      </sheetData>
      <sheetData sheetId="1012">
        <row r="1">
          <cell r="J1">
            <v>1.7453292519943295E-2</v>
          </cell>
        </row>
      </sheetData>
      <sheetData sheetId="1013">
        <row r="1">
          <cell r="J1">
            <v>1.7453292519943295E-2</v>
          </cell>
        </row>
      </sheetData>
      <sheetData sheetId="1014">
        <row r="1">
          <cell r="J1">
            <v>1.7453292519943295E-2</v>
          </cell>
        </row>
      </sheetData>
      <sheetData sheetId="1015">
        <row r="1">
          <cell r="J1">
            <v>1.7453292519943295E-2</v>
          </cell>
        </row>
      </sheetData>
      <sheetData sheetId="1016">
        <row r="1">
          <cell r="J1">
            <v>1.7453292519943295E-2</v>
          </cell>
        </row>
      </sheetData>
      <sheetData sheetId="1017">
        <row r="1">
          <cell r="J1">
            <v>1.7453292519943295E-2</v>
          </cell>
        </row>
      </sheetData>
      <sheetData sheetId="1018">
        <row r="1">
          <cell r="J1">
            <v>1.7453292519943295E-2</v>
          </cell>
        </row>
      </sheetData>
      <sheetData sheetId="1019">
        <row r="1">
          <cell r="J1">
            <v>1.7453292519943295E-2</v>
          </cell>
        </row>
      </sheetData>
      <sheetData sheetId="1020">
        <row r="1">
          <cell r="J1">
            <v>1.7453292519943295E-2</v>
          </cell>
        </row>
      </sheetData>
      <sheetData sheetId="1021">
        <row r="1">
          <cell r="J1">
            <v>1.7453292519943295E-2</v>
          </cell>
        </row>
      </sheetData>
      <sheetData sheetId="1022">
        <row r="1">
          <cell r="J1">
            <v>1.7453292519943295E-2</v>
          </cell>
        </row>
      </sheetData>
      <sheetData sheetId="1023">
        <row r="1">
          <cell r="J1">
            <v>1.7453292519943295E-2</v>
          </cell>
        </row>
      </sheetData>
      <sheetData sheetId="1024">
        <row r="1">
          <cell r="J1">
            <v>1.7453292519943295E-2</v>
          </cell>
        </row>
      </sheetData>
      <sheetData sheetId="1025">
        <row r="1">
          <cell r="J1">
            <v>1.7453292519943295E-2</v>
          </cell>
        </row>
      </sheetData>
      <sheetData sheetId="1026">
        <row r="1">
          <cell r="J1">
            <v>1.7453292519943295E-2</v>
          </cell>
        </row>
      </sheetData>
      <sheetData sheetId="1027">
        <row r="1">
          <cell r="J1">
            <v>1.7453292519943295E-2</v>
          </cell>
        </row>
      </sheetData>
      <sheetData sheetId="1028">
        <row r="1">
          <cell r="J1">
            <v>1.7453292519943295E-2</v>
          </cell>
        </row>
      </sheetData>
      <sheetData sheetId="1029">
        <row r="1">
          <cell r="J1">
            <v>1.7453292519943295E-2</v>
          </cell>
        </row>
      </sheetData>
      <sheetData sheetId="1030">
        <row r="1">
          <cell r="J1">
            <v>1.7453292519943295E-2</v>
          </cell>
        </row>
      </sheetData>
      <sheetData sheetId="1031">
        <row r="1">
          <cell r="J1">
            <v>1.7453292519943295E-2</v>
          </cell>
        </row>
      </sheetData>
      <sheetData sheetId="1032">
        <row r="1">
          <cell r="J1">
            <v>1.7453292519943295E-2</v>
          </cell>
        </row>
      </sheetData>
      <sheetData sheetId="1033">
        <row r="1">
          <cell r="J1">
            <v>1.7453292519943295E-2</v>
          </cell>
        </row>
      </sheetData>
      <sheetData sheetId="1034">
        <row r="1">
          <cell r="J1">
            <v>1.7453292519943295E-2</v>
          </cell>
        </row>
      </sheetData>
      <sheetData sheetId="1035">
        <row r="1">
          <cell r="J1">
            <v>1.7453292519943295E-2</v>
          </cell>
        </row>
      </sheetData>
      <sheetData sheetId="1036">
        <row r="1">
          <cell r="J1">
            <v>1.7453292519943295E-2</v>
          </cell>
        </row>
      </sheetData>
      <sheetData sheetId="1037">
        <row r="1">
          <cell r="J1">
            <v>1.7453292519943295E-2</v>
          </cell>
        </row>
      </sheetData>
      <sheetData sheetId="1038">
        <row r="1">
          <cell r="J1">
            <v>1.7453292519943295E-2</v>
          </cell>
        </row>
      </sheetData>
      <sheetData sheetId="1039">
        <row r="1">
          <cell r="J1">
            <v>1.7453292519943295E-2</v>
          </cell>
        </row>
      </sheetData>
      <sheetData sheetId="1040">
        <row r="1">
          <cell r="J1">
            <v>1.7453292519943295E-2</v>
          </cell>
        </row>
      </sheetData>
      <sheetData sheetId="1041">
        <row r="1">
          <cell r="J1">
            <v>1.7453292519943295E-2</v>
          </cell>
        </row>
      </sheetData>
      <sheetData sheetId="1042">
        <row r="1">
          <cell r="J1">
            <v>1.7453292519943295E-2</v>
          </cell>
        </row>
      </sheetData>
      <sheetData sheetId="1043">
        <row r="1">
          <cell r="J1">
            <v>1.7453292519943295E-2</v>
          </cell>
        </row>
      </sheetData>
      <sheetData sheetId="1044">
        <row r="1">
          <cell r="J1">
            <v>1.7453292519943295E-2</v>
          </cell>
        </row>
      </sheetData>
      <sheetData sheetId="1045">
        <row r="1">
          <cell r="J1">
            <v>1.7453292519943295E-2</v>
          </cell>
        </row>
      </sheetData>
      <sheetData sheetId="1046">
        <row r="1">
          <cell r="J1">
            <v>1.7453292519943295E-2</v>
          </cell>
        </row>
      </sheetData>
      <sheetData sheetId="1047">
        <row r="1">
          <cell r="J1">
            <v>1.7453292519943295E-2</v>
          </cell>
        </row>
      </sheetData>
      <sheetData sheetId="1048">
        <row r="1">
          <cell r="J1">
            <v>1.7453292519943295E-2</v>
          </cell>
        </row>
      </sheetData>
      <sheetData sheetId="1049">
        <row r="1">
          <cell r="J1">
            <v>1.7453292519943295E-2</v>
          </cell>
        </row>
      </sheetData>
      <sheetData sheetId="1050">
        <row r="1">
          <cell r="J1">
            <v>1.7453292519943295E-2</v>
          </cell>
        </row>
      </sheetData>
      <sheetData sheetId="1051">
        <row r="1">
          <cell r="J1">
            <v>1.7453292519943295E-2</v>
          </cell>
        </row>
      </sheetData>
      <sheetData sheetId="1052">
        <row r="1">
          <cell r="J1">
            <v>1.7453292519943295E-2</v>
          </cell>
        </row>
      </sheetData>
      <sheetData sheetId="1053">
        <row r="1">
          <cell r="J1">
            <v>1.7453292519943295E-2</v>
          </cell>
        </row>
      </sheetData>
      <sheetData sheetId="1054">
        <row r="1">
          <cell r="J1">
            <v>1.7453292519943295E-2</v>
          </cell>
        </row>
      </sheetData>
      <sheetData sheetId="1055">
        <row r="1">
          <cell r="J1">
            <v>1.7453292519943295E-2</v>
          </cell>
        </row>
      </sheetData>
      <sheetData sheetId="1056">
        <row r="1">
          <cell r="J1">
            <v>1.7453292519943295E-2</v>
          </cell>
        </row>
      </sheetData>
      <sheetData sheetId="1057">
        <row r="1">
          <cell r="J1">
            <v>1.7453292519943295E-2</v>
          </cell>
        </row>
      </sheetData>
      <sheetData sheetId="1058">
        <row r="1">
          <cell r="J1">
            <v>1.7453292519943295E-2</v>
          </cell>
        </row>
      </sheetData>
      <sheetData sheetId="1059">
        <row r="1">
          <cell r="J1">
            <v>1.7453292519943295E-2</v>
          </cell>
        </row>
      </sheetData>
      <sheetData sheetId="1060">
        <row r="1">
          <cell r="J1">
            <v>1.7453292519943295E-2</v>
          </cell>
        </row>
      </sheetData>
      <sheetData sheetId="1061">
        <row r="1">
          <cell r="J1">
            <v>1.7453292519943295E-2</v>
          </cell>
        </row>
      </sheetData>
      <sheetData sheetId="1062">
        <row r="1">
          <cell r="J1">
            <v>1.7453292519943295E-2</v>
          </cell>
        </row>
      </sheetData>
      <sheetData sheetId="1063">
        <row r="1">
          <cell r="J1">
            <v>1.7453292519943295E-2</v>
          </cell>
        </row>
      </sheetData>
      <sheetData sheetId="1064">
        <row r="1">
          <cell r="J1">
            <v>1.7453292519943295E-2</v>
          </cell>
        </row>
      </sheetData>
      <sheetData sheetId="1065">
        <row r="1">
          <cell r="J1">
            <v>1.7453292519943295E-2</v>
          </cell>
        </row>
      </sheetData>
      <sheetData sheetId="1066">
        <row r="1">
          <cell r="J1">
            <v>1.7453292519943295E-2</v>
          </cell>
        </row>
      </sheetData>
      <sheetData sheetId="1067">
        <row r="1">
          <cell r="J1">
            <v>1.7453292519943295E-2</v>
          </cell>
        </row>
      </sheetData>
      <sheetData sheetId="1068">
        <row r="1">
          <cell r="J1">
            <v>1.7453292519943295E-2</v>
          </cell>
        </row>
      </sheetData>
      <sheetData sheetId="1069">
        <row r="1">
          <cell r="J1">
            <v>1.7453292519943295E-2</v>
          </cell>
        </row>
      </sheetData>
      <sheetData sheetId="1070">
        <row r="1">
          <cell r="J1">
            <v>1.7453292519943295E-2</v>
          </cell>
        </row>
      </sheetData>
      <sheetData sheetId="1071">
        <row r="1">
          <cell r="J1">
            <v>1.7453292519943295E-2</v>
          </cell>
        </row>
      </sheetData>
      <sheetData sheetId="1072">
        <row r="1">
          <cell r="J1">
            <v>1.7453292519943295E-2</v>
          </cell>
        </row>
      </sheetData>
      <sheetData sheetId="1073">
        <row r="1">
          <cell r="J1">
            <v>1.7453292519943295E-2</v>
          </cell>
        </row>
      </sheetData>
      <sheetData sheetId="1074">
        <row r="1">
          <cell r="J1">
            <v>1.7453292519943295E-2</v>
          </cell>
        </row>
      </sheetData>
      <sheetData sheetId="1075">
        <row r="1">
          <cell r="J1">
            <v>1.7453292519943295E-2</v>
          </cell>
        </row>
      </sheetData>
      <sheetData sheetId="1076">
        <row r="1">
          <cell r="J1">
            <v>1.7453292519943295E-2</v>
          </cell>
        </row>
      </sheetData>
      <sheetData sheetId="1077">
        <row r="1">
          <cell r="J1">
            <v>1.7453292519943295E-2</v>
          </cell>
        </row>
      </sheetData>
      <sheetData sheetId="1078">
        <row r="1">
          <cell r="J1">
            <v>1.7453292519943295E-2</v>
          </cell>
        </row>
      </sheetData>
      <sheetData sheetId="1079">
        <row r="1">
          <cell r="J1">
            <v>1.7453292519943295E-2</v>
          </cell>
        </row>
      </sheetData>
      <sheetData sheetId="1080">
        <row r="1">
          <cell r="J1">
            <v>1.7453292519943295E-2</v>
          </cell>
        </row>
      </sheetData>
      <sheetData sheetId="1081">
        <row r="1">
          <cell r="J1">
            <v>1.7453292519943295E-2</v>
          </cell>
        </row>
      </sheetData>
      <sheetData sheetId="1082">
        <row r="1">
          <cell r="J1">
            <v>1.7453292519943295E-2</v>
          </cell>
        </row>
      </sheetData>
      <sheetData sheetId="1083">
        <row r="1">
          <cell r="J1">
            <v>1.7453292519943295E-2</v>
          </cell>
        </row>
      </sheetData>
      <sheetData sheetId="1084">
        <row r="1">
          <cell r="J1">
            <v>1.7453292519943295E-2</v>
          </cell>
        </row>
      </sheetData>
      <sheetData sheetId="1085">
        <row r="1">
          <cell r="J1">
            <v>1.7453292519943295E-2</v>
          </cell>
        </row>
      </sheetData>
      <sheetData sheetId="1086">
        <row r="1">
          <cell r="J1">
            <v>1.7453292519943295E-2</v>
          </cell>
        </row>
      </sheetData>
      <sheetData sheetId="1087">
        <row r="1">
          <cell r="J1">
            <v>1.7453292519943295E-2</v>
          </cell>
        </row>
      </sheetData>
      <sheetData sheetId="1088">
        <row r="1">
          <cell r="J1">
            <v>1.7453292519943295E-2</v>
          </cell>
        </row>
      </sheetData>
      <sheetData sheetId="1089">
        <row r="1">
          <cell r="J1">
            <v>1.7453292519943295E-2</v>
          </cell>
        </row>
      </sheetData>
      <sheetData sheetId="1090">
        <row r="1">
          <cell r="J1">
            <v>1.7453292519943295E-2</v>
          </cell>
        </row>
      </sheetData>
      <sheetData sheetId="1091">
        <row r="1">
          <cell r="J1">
            <v>1.7453292519943295E-2</v>
          </cell>
        </row>
      </sheetData>
      <sheetData sheetId="1092">
        <row r="1">
          <cell r="J1">
            <v>1.7453292519943295E-2</v>
          </cell>
        </row>
      </sheetData>
      <sheetData sheetId="1093">
        <row r="1">
          <cell r="J1">
            <v>1.7453292519943295E-2</v>
          </cell>
        </row>
      </sheetData>
      <sheetData sheetId="1094">
        <row r="1">
          <cell r="J1">
            <v>1.7453292519943295E-2</v>
          </cell>
        </row>
      </sheetData>
      <sheetData sheetId="1095">
        <row r="1">
          <cell r="J1">
            <v>1.7453292519943295E-2</v>
          </cell>
        </row>
      </sheetData>
      <sheetData sheetId="1096">
        <row r="1">
          <cell r="J1">
            <v>1.7453292519943295E-2</v>
          </cell>
        </row>
      </sheetData>
      <sheetData sheetId="1097">
        <row r="1">
          <cell r="J1">
            <v>1.7453292519943295E-2</v>
          </cell>
        </row>
      </sheetData>
      <sheetData sheetId="1098">
        <row r="1">
          <cell r="J1">
            <v>1.7453292519943295E-2</v>
          </cell>
        </row>
      </sheetData>
      <sheetData sheetId="1099">
        <row r="1">
          <cell r="J1">
            <v>1.7453292519943295E-2</v>
          </cell>
        </row>
      </sheetData>
      <sheetData sheetId="1100">
        <row r="1">
          <cell r="J1">
            <v>1.7453292519943295E-2</v>
          </cell>
        </row>
      </sheetData>
      <sheetData sheetId="1101">
        <row r="1">
          <cell r="J1">
            <v>1.7453292519943295E-2</v>
          </cell>
        </row>
      </sheetData>
      <sheetData sheetId="1102">
        <row r="1">
          <cell r="J1">
            <v>1.7453292519943295E-2</v>
          </cell>
        </row>
      </sheetData>
      <sheetData sheetId="1103">
        <row r="1">
          <cell r="J1">
            <v>1.7453292519943295E-2</v>
          </cell>
        </row>
      </sheetData>
      <sheetData sheetId="1104">
        <row r="1">
          <cell r="J1">
            <v>1.7453292519943295E-2</v>
          </cell>
        </row>
      </sheetData>
      <sheetData sheetId="1105">
        <row r="1">
          <cell r="J1">
            <v>1.7453292519943295E-2</v>
          </cell>
        </row>
      </sheetData>
      <sheetData sheetId="1106">
        <row r="1">
          <cell r="J1">
            <v>1.7453292519943295E-2</v>
          </cell>
        </row>
      </sheetData>
      <sheetData sheetId="1107">
        <row r="1">
          <cell r="J1">
            <v>1.7453292519943295E-2</v>
          </cell>
        </row>
      </sheetData>
      <sheetData sheetId="1108">
        <row r="1">
          <cell r="J1">
            <v>1.7453292519943295E-2</v>
          </cell>
        </row>
      </sheetData>
      <sheetData sheetId="1109">
        <row r="1">
          <cell r="J1">
            <v>1.7453292519943295E-2</v>
          </cell>
        </row>
      </sheetData>
      <sheetData sheetId="1110">
        <row r="1">
          <cell r="J1">
            <v>1.7453292519943295E-2</v>
          </cell>
        </row>
      </sheetData>
      <sheetData sheetId="1111">
        <row r="1">
          <cell r="J1">
            <v>1.7453292519943295E-2</v>
          </cell>
        </row>
      </sheetData>
      <sheetData sheetId="1112">
        <row r="1">
          <cell r="J1">
            <v>1.7453292519943295E-2</v>
          </cell>
        </row>
      </sheetData>
      <sheetData sheetId="1113">
        <row r="1">
          <cell r="J1">
            <v>1.7453292519943295E-2</v>
          </cell>
        </row>
      </sheetData>
      <sheetData sheetId="1114">
        <row r="1">
          <cell r="J1">
            <v>1.7453292519943295E-2</v>
          </cell>
        </row>
      </sheetData>
      <sheetData sheetId="1115">
        <row r="1">
          <cell r="J1">
            <v>1.7453292519943295E-2</v>
          </cell>
        </row>
      </sheetData>
      <sheetData sheetId="1116">
        <row r="1">
          <cell r="J1">
            <v>1.7453292519943295E-2</v>
          </cell>
        </row>
      </sheetData>
      <sheetData sheetId="1117">
        <row r="1">
          <cell r="J1">
            <v>1.7453292519943295E-2</v>
          </cell>
        </row>
      </sheetData>
      <sheetData sheetId="1118">
        <row r="1">
          <cell r="J1">
            <v>1.7453292519943295E-2</v>
          </cell>
        </row>
      </sheetData>
      <sheetData sheetId="1119">
        <row r="1">
          <cell r="J1">
            <v>1.7453292519943295E-2</v>
          </cell>
        </row>
      </sheetData>
      <sheetData sheetId="1120">
        <row r="1">
          <cell r="J1">
            <v>1.7453292519943295E-2</v>
          </cell>
        </row>
      </sheetData>
      <sheetData sheetId="1121">
        <row r="1">
          <cell r="J1">
            <v>1.7453292519943295E-2</v>
          </cell>
        </row>
      </sheetData>
      <sheetData sheetId="1122">
        <row r="1">
          <cell r="J1">
            <v>1.7453292519943295E-2</v>
          </cell>
        </row>
      </sheetData>
      <sheetData sheetId="1123">
        <row r="1">
          <cell r="J1">
            <v>1.7453292519943295E-2</v>
          </cell>
        </row>
      </sheetData>
      <sheetData sheetId="1124">
        <row r="1">
          <cell r="J1">
            <v>1.7453292519943295E-2</v>
          </cell>
        </row>
      </sheetData>
      <sheetData sheetId="1125">
        <row r="1">
          <cell r="J1">
            <v>1.7453292519943295E-2</v>
          </cell>
        </row>
      </sheetData>
      <sheetData sheetId="1126">
        <row r="1">
          <cell r="J1">
            <v>1.7453292519943295E-2</v>
          </cell>
        </row>
      </sheetData>
      <sheetData sheetId="1127">
        <row r="1">
          <cell r="J1">
            <v>1.7453292519943295E-2</v>
          </cell>
        </row>
      </sheetData>
      <sheetData sheetId="1128">
        <row r="1">
          <cell r="J1">
            <v>1.7453292519943295E-2</v>
          </cell>
        </row>
      </sheetData>
      <sheetData sheetId="1129">
        <row r="1">
          <cell r="J1">
            <v>1.7453292519943295E-2</v>
          </cell>
        </row>
      </sheetData>
      <sheetData sheetId="1130">
        <row r="1">
          <cell r="J1">
            <v>1.7453292519943295E-2</v>
          </cell>
        </row>
      </sheetData>
      <sheetData sheetId="1131">
        <row r="1">
          <cell r="J1">
            <v>1.7453292519943295E-2</v>
          </cell>
        </row>
      </sheetData>
      <sheetData sheetId="1132">
        <row r="1">
          <cell r="J1">
            <v>1.7453292519943295E-2</v>
          </cell>
        </row>
      </sheetData>
      <sheetData sheetId="1133">
        <row r="1">
          <cell r="J1">
            <v>1.7453292519943295E-2</v>
          </cell>
        </row>
      </sheetData>
      <sheetData sheetId="1134">
        <row r="1">
          <cell r="J1">
            <v>1.7453292519943295E-2</v>
          </cell>
        </row>
      </sheetData>
      <sheetData sheetId="1135">
        <row r="1">
          <cell r="J1">
            <v>1.7453292519943295E-2</v>
          </cell>
        </row>
      </sheetData>
      <sheetData sheetId="1136">
        <row r="1">
          <cell r="J1">
            <v>1.7453292519943295E-2</v>
          </cell>
        </row>
      </sheetData>
      <sheetData sheetId="1137">
        <row r="1">
          <cell r="J1">
            <v>1.7453292519943295E-2</v>
          </cell>
        </row>
      </sheetData>
      <sheetData sheetId="1138">
        <row r="1">
          <cell r="J1">
            <v>1.7453292519943295E-2</v>
          </cell>
        </row>
      </sheetData>
      <sheetData sheetId="1139">
        <row r="1">
          <cell r="J1">
            <v>1.7453292519943295E-2</v>
          </cell>
        </row>
      </sheetData>
      <sheetData sheetId="1140">
        <row r="1">
          <cell r="J1">
            <v>1.7453292519943295E-2</v>
          </cell>
        </row>
      </sheetData>
      <sheetData sheetId="1141">
        <row r="1">
          <cell r="J1">
            <v>1.7453292519943295E-2</v>
          </cell>
        </row>
      </sheetData>
      <sheetData sheetId="1142">
        <row r="1">
          <cell r="J1">
            <v>1.7453292519943295E-2</v>
          </cell>
        </row>
      </sheetData>
      <sheetData sheetId="1143">
        <row r="1">
          <cell r="J1">
            <v>1.7453292519943295E-2</v>
          </cell>
        </row>
      </sheetData>
      <sheetData sheetId="1144">
        <row r="1">
          <cell r="J1">
            <v>1.7453292519943295E-2</v>
          </cell>
        </row>
      </sheetData>
      <sheetData sheetId="1145">
        <row r="1">
          <cell r="J1">
            <v>1.7453292519943295E-2</v>
          </cell>
        </row>
      </sheetData>
      <sheetData sheetId="1146">
        <row r="1">
          <cell r="J1">
            <v>1.7453292519943295E-2</v>
          </cell>
        </row>
      </sheetData>
      <sheetData sheetId="1147">
        <row r="1">
          <cell r="J1">
            <v>1.7453292519943295E-2</v>
          </cell>
        </row>
      </sheetData>
      <sheetData sheetId="1148">
        <row r="1">
          <cell r="J1">
            <v>1.7453292519943295E-2</v>
          </cell>
        </row>
      </sheetData>
      <sheetData sheetId="1149">
        <row r="1">
          <cell r="J1">
            <v>1.7453292519943295E-2</v>
          </cell>
        </row>
      </sheetData>
      <sheetData sheetId="1150">
        <row r="1">
          <cell r="J1">
            <v>1.7453292519943295E-2</v>
          </cell>
        </row>
      </sheetData>
      <sheetData sheetId="1151">
        <row r="1">
          <cell r="J1">
            <v>1.7453292519943295E-2</v>
          </cell>
        </row>
      </sheetData>
      <sheetData sheetId="1152">
        <row r="1">
          <cell r="J1">
            <v>1.7453292519943295E-2</v>
          </cell>
        </row>
      </sheetData>
      <sheetData sheetId="1153">
        <row r="1">
          <cell r="J1">
            <v>1.7453292519943295E-2</v>
          </cell>
        </row>
      </sheetData>
      <sheetData sheetId="1154">
        <row r="1">
          <cell r="J1">
            <v>1.7453292519943295E-2</v>
          </cell>
        </row>
      </sheetData>
      <sheetData sheetId="1155">
        <row r="1">
          <cell r="J1">
            <v>1.7453292519943295E-2</v>
          </cell>
        </row>
      </sheetData>
      <sheetData sheetId="1156">
        <row r="1">
          <cell r="J1">
            <v>1.7453292519943295E-2</v>
          </cell>
        </row>
      </sheetData>
      <sheetData sheetId="1157">
        <row r="1">
          <cell r="J1">
            <v>1.7453292519943295E-2</v>
          </cell>
        </row>
      </sheetData>
      <sheetData sheetId="1158">
        <row r="1">
          <cell r="J1">
            <v>1.7453292519943295E-2</v>
          </cell>
        </row>
      </sheetData>
      <sheetData sheetId="1159">
        <row r="1">
          <cell r="J1">
            <v>1.7453292519943295E-2</v>
          </cell>
        </row>
      </sheetData>
      <sheetData sheetId="1160">
        <row r="1">
          <cell r="J1">
            <v>1.7453292519943295E-2</v>
          </cell>
        </row>
      </sheetData>
      <sheetData sheetId="1161">
        <row r="1">
          <cell r="J1">
            <v>1.7453292519943295E-2</v>
          </cell>
        </row>
      </sheetData>
      <sheetData sheetId="1162">
        <row r="1">
          <cell r="J1">
            <v>1.7453292519943295E-2</v>
          </cell>
        </row>
      </sheetData>
      <sheetData sheetId="1163">
        <row r="1">
          <cell r="J1">
            <v>1.7453292519943295E-2</v>
          </cell>
        </row>
      </sheetData>
      <sheetData sheetId="1164">
        <row r="1">
          <cell r="J1">
            <v>1.7453292519943295E-2</v>
          </cell>
        </row>
      </sheetData>
      <sheetData sheetId="1165">
        <row r="1">
          <cell r="J1">
            <v>1.7453292519943295E-2</v>
          </cell>
        </row>
      </sheetData>
      <sheetData sheetId="1166">
        <row r="1">
          <cell r="J1">
            <v>1.7453292519943295E-2</v>
          </cell>
        </row>
      </sheetData>
      <sheetData sheetId="1167">
        <row r="1">
          <cell r="J1">
            <v>1.7453292519943295E-2</v>
          </cell>
        </row>
      </sheetData>
      <sheetData sheetId="1168">
        <row r="1">
          <cell r="J1">
            <v>1.7453292519943295E-2</v>
          </cell>
        </row>
      </sheetData>
      <sheetData sheetId="1169">
        <row r="1">
          <cell r="J1">
            <v>1.7453292519943295E-2</v>
          </cell>
        </row>
      </sheetData>
      <sheetData sheetId="1170">
        <row r="1">
          <cell r="J1">
            <v>1.7453292519943295E-2</v>
          </cell>
        </row>
      </sheetData>
      <sheetData sheetId="1171">
        <row r="1">
          <cell r="J1">
            <v>1.7453292519943295E-2</v>
          </cell>
        </row>
      </sheetData>
      <sheetData sheetId="1172">
        <row r="1">
          <cell r="J1">
            <v>1.7453292519943295E-2</v>
          </cell>
        </row>
      </sheetData>
      <sheetData sheetId="1173">
        <row r="1">
          <cell r="J1">
            <v>1.7453292519943295E-2</v>
          </cell>
        </row>
      </sheetData>
      <sheetData sheetId="1174">
        <row r="1">
          <cell r="J1">
            <v>1.7453292519943295E-2</v>
          </cell>
        </row>
      </sheetData>
      <sheetData sheetId="1175">
        <row r="1">
          <cell r="J1">
            <v>1.7453292519943295E-2</v>
          </cell>
        </row>
      </sheetData>
      <sheetData sheetId="1176">
        <row r="1">
          <cell r="J1">
            <v>1.7453292519943295E-2</v>
          </cell>
        </row>
      </sheetData>
      <sheetData sheetId="1177">
        <row r="1">
          <cell r="J1">
            <v>1.7453292519943295E-2</v>
          </cell>
        </row>
      </sheetData>
      <sheetData sheetId="1178">
        <row r="1">
          <cell r="J1">
            <v>1.7453292519943295E-2</v>
          </cell>
        </row>
      </sheetData>
      <sheetData sheetId="1179">
        <row r="1">
          <cell r="J1">
            <v>1.7453292519943295E-2</v>
          </cell>
        </row>
      </sheetData>
      <sheetData sheetId="1180">
        <row r="1">
          <cell r="J1">
            <v>1.7453292519943295E-2</v>
          </cell>
        </row>
      </sheetData>
      <sheetData sheetId="1181">
        <row r="1">
          <cell r="J1">
            <v>1.7453292519943295E-2</v>
          </cell>
        </row>
      </sheetData>
      <sheetData sheetId="1182">
        <row r="1">
          <cell r="J1">
            <v>1.7453292519943295E-2</v>
          </cell>
        </row>
      </sheetData>
      <sheetData sheetId="1183">
        <row r="1">
          <cell r="J1">
            <v>1.7453292519943295E-2</v>
          </cell>
        </row>
      </sheetData>
      <sheetData sheetId="1184">
        <row r="1">
          <cell r="J1">
            <v>1.7453292519943295E-2</v>
          </cell>
        </row>
      </sheetData>
      <sheetData sheetId="1185">
        <row r="1">
          <cell r="J1">
            <v>1.7453292519943295E-2</v>
          </cell>
        </row>
      </sheetData>
      <sheetData sheetId="1186">
        <row r="1">
          <cell r="J1">
            <v>1.7453292519943295E-2</v>
          </cell>
        </row>
      </sheetData>
      <sheetData sheetId="1187">
        <row r="1">
          <cell r="J1">
            <v>1.7453292519943295E-2</v>
          </cell>
        </row>
      </sheetData>
      <sheetData sheetId="1188">
        <row r="1">
          <cell r="J1">
            <v>1.7453292519943295E-2</v>
          </cell>
        </row>
      </sheetData>
      <sheetData sheetId="1189">
        <row r="1">
          <cell r="J1">
            <v>1.7453292519943295E-2</v>
          </cell>
        </row>
      </sheetData>
      <sheetData sheetId="1190">
        <row r="1">
          <cell r="J1">
            <v>1.7453292519943295E-2</v>
          </cell>
        </row>
      </sheetData>
      <sheetData sheetId="1191">
        <row r="1">
          <cell r="J1">
            <v>1.7453292519943295E-2</v>
          </cell>
        </row>
      </sheetData>
      <sheetData sheetId="1192">
        <row r="1">
          <cell r="J1">
            <v>1.7453292519943295E-2</v>
          </cell>
        </row>
      </sheetData>
      <sheetData sheetId="1193">
        <row r="1">
          <cell r="J1">
            <v>1.7453292519943295E-2</v>
          </cell>
        </row>
      </sheetData>
      <sheetData sheetId="1194">
        <row r="1">
          <cell r="J1">
            <v>1.7453292519943295E-2</v>
          </cell>
        </row>
      </sheetData>
      <sheetData sheetId="1195">
        <row r="1">
          <cell r="J1">
            <v>1.7453292519943295E-2</v>
          </cell>
        </row>
      </sheetData>
      <sheetData sheetId="1196">
        <row r="1">
          <cell r="J1">
            <v>1.7453292519943295E-2</v>
          </cell>
        </row>
      </sheetData>
      <sheetData sheetId="1197">
        <row r="1">
          <cell r="J1">
            <v>1.7453292519943295E-2</v>
          </cell>
        </row>
      </sheetData>
      <sheetData sheetId="1198">
        <row r="1">
          <cell r="J1">
            <v>1.7453292519943295E-2</v>
          </cell>
        </row>
      </sheetData>
      <sheetData sheetId="1199">
        <row r="1">
          <cell r="J1">
            <v>1.7453292519943295E-2</v>
          </cell>
        </row>
      </sheetData>
      <sheetData sheetId="1200">
        <row r="1">
          <cell r="J1">
            <v>1.7453292519943295E-2</v>
          </cell>
        </row>
      </sheetData>
      <sheetData sheetId="1201">
        <row r="1">
          <cell r="J1">
            <v>1.7453292519943295E-2</v>
          </cell>
        </row>
      </sheetData>
      <sheetData sheetId="1202">
        <row r="1">
          <cell r="J1">
            <v>1.7453292519943295E-2</v>
          </cell>
        </row>
      </sheetData>
      <sheetData sheetId="1203">
        <row r="1">
          <cell r="J1">
            <v>1.7453292519943295E-2</v>
          </cell>
        </row>
      </sheetData>
      <sheetData sheetId="1204">
        <row r="1">
          <cell r="J1">
            <v>1.7453292519943295E-2</v>
          </cell>
        </row>
      </sheetData>
      <sheetData sheetId="1205">
        <row r="1">
          <cell r="J1">
            <v>1.7453292519943295E-2</v>
          </cell>
        </row>
      </sheetData>
      <sheetData sheetId="1206">
        <row r="1">
          <cell r="J1">
            <v>1.7453292519943295E-2</v>
          </cell>
        </row>
      </sheetData>
      <sheetData sheetId="1207">
        <row r="1">
          <cell r="J1">
            <v>1.7453292519943295E-2</v>
          </cell>
        </row>
      </sheetData>
      <sheetData sheetId="1208">
        <row r="1">
          <cell r="J1">
            <v>1.7453292519943295E-2</v>
          </cell>
        </row>
      </sheetData>
      <sheetData sheetId="1209">
        <row r="1">
          <cell r="J1">
            <v>1.7453292519943295E-2</v>
          </cell>
        </row>
      </sheetData>
      <sheetData sheetId="1210">
        <row r="1">
          <cell r="J1">
            <v>1.7453292519943295E-2</v>
          </cell>
        </row>
      </sheetData>
      <sheetData sheetId="1211">
        <row r="1">
          <cell r="J1">
            <v>1.7453292519943295E-2</v>
          </cell>
        </row>
      </sheetData>
      <sheetData sheetId="1212">
        <row r="1">
          <cell r="J1">
            <v>1.7453292519943295E-2</v>
          </cell>
        </row>
      </sheetData>
      <sheetData sheetId="1213">
        <row r="1">
          <cell r="J1">
            <v>1.7453292519943295E-2</v>
          </cell>
        </row>
      </sheetData>
      <sheetData sheetId="1214">
        <row r="1">
          <cell r="J1">
            <v>1.7453292519943295E-2</v>
          </cell>
        </row>
      </sheetData>
      <sheetData sheetId="1215">
        <row r="1">
          <cell r="J1">
            <v>1.7453292519943295E-2</v>
          </cell>
        </row>
      </sheetData>
      <sheetData sheetId="1216">
        <row r="1">
          <cell r="J1">
            <v>1.7453292519943295E-2</v>
          </cell>
        </row>
      </sheetData>
      <sheetData sheetId="1217">
        <row r="1">
          <cell r="J1">
            <v>1.7453292519943295E-2</v>
          </cell>
        </row>
      </sheetData>
      <sheetData sheetId="1218">
        <row r="1">
          <cell r="J1">
            <v>1.7453292519943295E-2</v>
          </cell>
        </row>
      </sheetData>
      <sheetData sheetId="1219">
        <row r="1">
          <cell r="J1">
            <v>1.7453292519943295E-2</v>
          </cell>
        </row>
      </sheetData>
      <sheetData sheetId="1220">
        <row r="1">
          <cell r="J1">
            <v>1.7453292519943295E-2</v>
          </cell>
        </row>
      </sheetData>
      <sheetData sheetId="1221">
        <row r="1">
          <cell r="J1">
            <v>1.7453292519943295E-2</v>
          </cell>
        </row>
      </sheetData>
      <sheetData sheetId="1222">
        <row r="1">
          <cell r="J1">
            <v>1.7453292519943295E-2</v>
          </cell>
        </row>
      </sheetData>
      <sheetData sheetId="1223">
        <row r="1">
          <cell r="J1">
            <v>1.7453292519943295E-2</v>
          </cell>
        </row>
      </sheetData>
      <sheetData sheetId="1224">
        <row r="1">
          <cell r="J1">
            <v>1.7453292519943295E-2</v>
          </cell>
        </row>
      </sheetData>
      <sheetData sheetId="1225">
        <row r="1">
          <cell r="J1">
            <v>1.7453292519943295E-2</v>
          </cell>
        </row>
      </sheetData>
      <sheetData sheetId="1226">
        <row r="1">
          <cell r="J1">
            <v>1.7453292519943295E-2</v>
          </cell>
        </row>
      </sheetData>
      <sheetData sheetId="1227">
        <row r="1">
          <cell r="J1">
            <v>1.7453292519943295E-2</v>
          </cell>
        </row>
      </sheetData>
      <sheetData sheetId="1228">
        <row r="1">
          <cell r="J1">
            <v>1.7453292519943295E-2</v>
          </cell>
        </row>
      </sheetData>
      <sheetData sheetId="1229">
        <row r="1">
          <cell r="J1">
            <v>1.7453292519943295E-2</v>
          </cell>
        </row>
      </sheetData>
      <sheetData sheetId="1230">
        <row r="1">
          <cell r="J1">
            <v>1.7453292519943295E-2</v>
          </cell>
        </row>
      </sheetData>
      <sheetData sheetId="1231">
        <row r="1">
          <cell r="J1">
            <v>1.7453292519943295E-2</v>
          </cell>
        </row>
      </sheetData>
      <sheetData sheetId="1232">
        <row r="1">
          <cell r="J1">
            <v>1.7453292519943295E-2</v>
          </cell>
        </row>
      </sheetData>
      <sheetData sheetId="1233">
        <row r="1">
          <cell r="J1">
            <v>1.7453292519943295E-2</v>
          </cell>
        </row>
      </sheetData>
      <sheetData sheetId="1234">
        <row r="1">
          <cell r="J1">
            <v>1.7453292519943295E-2</v>
          </cell>
        </row>
      </sheetData>
      <sheetData sheetId="1235">
        <row r="1">
          <cell r="J1">
            <v>1.7453292519943295E-2</v>
          </cell>
        </row>
      </sheetData>
      <sheetData sheetId="1236">
        <row r="1">
          <cell r="J1">
            <v>1.7453292519943295E-2</v>
          </cell>
        </row>
      </sheetData>
      <sheetData sheetId="1237">
        <row r="1">
          <cell r="J1">
            <v>1.7453292519943295E-2</v>
          </cell>
        </row>
      </sheetData>
      <sheetData sheetId="1238">
        <row r="1">
          <cell r="J1">
            <v>1.7453292519943295E-2</v>
          </cell>
        </row>
      </sheetData>
      <sheetData sheetId="1239">
        <row r="1">
          <cell r="J1">
            <v>1.7453292519943295E-2</v>
          </cell>
        </row>
      </sheetData>
      <sheetData sheetId="1240">
        <row r="1">
          <cell r="J1">
            <v>1.7453292519943295E-2</v>
          </cell>
        </row>
      </sheetData>
      <sheetData sheetId="1241">
        <row r="1">
          <cell r="J1">
            <v>1.7453292519943295E-2</v>
          </cell>
        </row>
      </sheetData>
      <sheetData sheetId="1242">
        <row r="1">
          <cell r="J1">
            <v>1.7453292519943295E-2</v>
          </cell>
        </row>
      </sheetData>
      <sheetData sheetId="1243">
        <row r="1">
          <cell r="J1">
            <v>1.7453292519943295E-2</v>
          </cell>
        </row>
      </sheetData>
      <sheetData sheetId="1244">
        <row r="1">
          <cell r="J1">
            <v>1.7453292519943295E-2</v>
          </cell>
        </row>
      </sheetData>
      <sheetData sheetId="1245">
        <row r="1">
          <cell r="J1">
            <v>1.7453292519943295E-2</v>
          </cell>
        </row>
      </sheetData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>
        <row r="1">
          <cell r="J1">
            <v>1.7453292519943295E-2</v>
          </cell>
        </row>
      </sheetData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1">
          <cell r="J1">
            <v>1.7453292519943295E-2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>
        <row r="1">
          <cell r="J1">
            <v>1.7453292519943295E-2</v>
          </cell>
        </row>
      </sheetData>
      <sheetData sheetId="1299">
        <row r="1">
          <cell r="J1">
            <v>1.7453292519943295E-2</v>
          </cell>
        </row>
      </sheetData>
      <sheetData sheetId="1300">
        <row r="1">
          <cell r="J1">
            <v>1.7453292519943295E-2</v>
          </cell>
        </row>
      </sheetData>
      <sheetData sheetId="1301">
        <row r="1">
          <cell r="J1">
            <v>1.7453292519943295E-2</v>
          </cell>
        </row>
      </sheetData>
      <sheetData sheetId="1302">
        <row r="1">
          <cell r="J1">
            <v>1.7453292519943295E-2</v>
          </cell>
        </row>
      </sheetData>
      <sheetData sheetId="1303">
        <row r="1">
          <cell r="J1">
            <v>1.7453292519943295E-2</v>
          </cell>
        </row>
      </sheetData>
      <sheetData sheetId="1304">
        <row r="1">
          <cell r="J1">
            <v>1.7453292519943295E-2</v>
          </cell>
        </row>
      </sheetData>
      <sheetData sheetId="1305">
        <row r="1">
          <cell r="J1">
            <v>1.7453292519943295E-2</v>
          </cell>
        </row>
      </sheetData>
      <sheetData sheetId="1306">
        <row r="1">
          <cell r="J1">
            <v>1.7453292519943295E-2</v>
          </cell>
        </row>
      </sheetData>
      <sheetData sheetId="1307">
        <row r="1">
          <cell r="J1">
            <v>1.7453292519943295E-2</v>
          </cell>
        </row>
      </sheetData>
      <sheetData sheetId="1308">
        <row r="1">
          <cell r="J1">
            <v>1.7453292519943295E-2</v>
          </cell>
        </row>
      </sheetData>
      <sheetData sheetId="1309">
        <row r="1">
          <cell r="J1">
            <v>1.7453292519943295E-2</v>
          </cell>
        </row>
      </sheetData>
      <sheetData sheetId="1310">
        <row r="1">
          <cell r="J1">
            <v>1.7453292519943295E-2</v>
          </cell>
        </row>
      </sheetData>
      <sheetData sheetId="1311">
        <row r="1">
          <cell r="J1">
            <v>1.7453292519943295E-2</v>
          </cell>
        </row>
      </sheetData>
      <sheetData sheetId="1312">
        <row r="1">
          <cell r="J1">
            <v>1.7453292519943295E-2</v>
          </cell>
        </row>
      </sheetData>
      <sheetData sheetId="1313">
        <row r="1">
          <cell r="J1">
            <v>1.7453292519943295E-2</v>
          </cell>
        </row>
      </sheetData>
      <sheetData sheetId="1314">
        <row r="1">
          <cell r="J1">
            <v>1.7453292519943295E-2</v>
          </cell>
        </row>
      </sheetData>
      <sheetData sheetId="1315">
        <row r="1">
          <cell r="J1">
            <v>1.7453292519943295E-2</v>
          </cell>
        </row>
      </sheetData>
      <sheetData sheetId="1316">
        <row r="1">
          <cell r="J1">
            <v>1.7453292519943295E-2</v>
          </cell>
        </row>
      </sheetData>
      <sheetData sheetId="1317">
        <row r="1">
          <cell r="J1">
            <v>1.7453292519943295E-2</v>
          </cell>
        </row>
      </sheetData>
      <sheetData sheetId="1318">
        <row r="1">
          <cell r="J1">
            <v>1.7453292519943295E-2</v>
          </cell>
        </row>
      </sheetData>
      <sheetData sheetId="1319">
        <row r="1">
          <cell r="J1">
            <v>1.7453292519943295E-2</v>
          </cell>
        </row>
      </sheetData>
      <sheetData sheetId="1320">
        <row r="1">
          <cell r="J1">
            <v>1.7453292519943295E-2</v>
          </cell>
        </row>
      </sheetData>
      <sheetData sheetId="1321">
        <row r="1">
          <cell r="J1">
            <v>1.7453292519943295E-2</v>
          </cell>
        </row>
      </sheetData>
      <sheetData sheetId="1322">
        <row r="1">
          <cell r="J1">
            <v>1.7453292519943295E-2</v>
          </cell>
        </row>
      </sheetData>
      <sheetData sheetId="1323">
        <row r="1">
          <cell r="J1">
            <v>1.7453292519943295E-2</v>
          </cell>
        </row>
      </sheetData>
      <sheetData sheetId="1324">
        <row r="1">
          <cell r="J1">
            <v>1.7453292519943295E-2</v>
          </cell>
        </row>
      </sheetData>
      <sheetData sheetId="1325">
        <row r="1">
          <cell r="J1">
            <v>1.7453292519943295E-2</v>
          </cell>
        </row>
      </sheetData>
      <sheetData sheetId="1326">
        <row r="1">
          <cell r="J1">
            <v>1.7453292519943295E-2</v>
          </cell>
        </row>
      </sheetData>
      <sheetData sheetId="1327">
        <row r="1">
          <cell r="J1">
            <v>1.7453292519943295E-2</v>
          </cell>
        </row>
      </sheetData>
      <sheetData sheetId="1328">
        <row r="1">
          <cell r="J1">
            <v>1.7453292519943295E-2</v>
          </cell>
        </row>
      </sheetData>
      <sheetData sheetId="1329">
        <row r="1">
          <cell r="J1">
            <v>1.7453292519943295E-2</v>
          </cell>
        </row>
      </sheetData>
      <sheetData sheetId="1330">
        <row r="1">
          <cell r="J1">
            <v>1.7453292519943295E-2</v>
          </cell>
        </row>
      </sheetData>
      <sheetData sheetId="1331">
        <row r="1">
          <cell r="J1">
            <v>1.7453292519943295E-2</v>
          </cell>
        </row>
      </sheetData>
      <sheetData sheetId="1332">
        <row r="1">
          <cell r="J1">
            <v>1.7453292519943295E-2</v>
          </cell>
        </row>
      </sheetData>
      <sheetData sheetId="1333">
        <row r="1">
          <cell r="J1">
            <v>1.7453292519943295E-2</v>
          </cell>
        </row>
      </sheetData>
      <sheetData sheetId="1334">
        <row r="1">
          <cell r="J1">
            <v>1.7453292519943295E-2</v>
          </cell>
        </row>
      </sheetData>
      <sheetData sheetId="1335">
        <row r="1">
          <cell r="J1">
            <v>1.7453292519943295E-2</v>
          </cell>
        </row>
      </sheetData>
      <sheetData sheetId="1336">
        <row r="1">
          <cell r="J1">
            <v>1.7453292519943295E-2</v>
          </cell>
        </row>
      </sheetData>
      <sheetData sheetId="1337">
        <row r="1">
          <cell r="J1">
            <v>1.7453292519943295E-2</v>
          </cell>
        </row>
      </sheetData>
      <sheetData sheetId="1338">
        <row r="1">
          <cell r="J1">
            <v>1.7453292519943295E-2</v>
          </cell>
        </row>
      </sheetData>
      <sheetData sheetId="1339">
        <row r="1">
          <cell r="J1">
            <v>1.7453292519943295E-2</v>
          </cell>
        </row>
      </sheetData>
      <sheetData sheetId="1340">
        <row r="1">
          <cell r="J1">
            <v>1.7453292519943295E-2</v>
          </cell>
        </row>
      </sheetData>
      <sheetData sheetId="1341">
        <row r="1">
          <cell r="J1">
            <v>1.7453292519943295E-2</v>
          </cell>
        </row>
      </sheetData>
      <sheetData sheetId="1342">
        <row r="1">
          <cell r="J1">
            <v>1.7453292519943295E-2</v>
          </cell>
        </row>
      </sheetData>
      <sheetData sheetId="1343">
        <row r="1">
          <cell r="J1">
            <v>1.7453292519943295E-2</v>
          </cell>
        </row>
      </sheetData>
      <sheetData sheetId="1344">
        <row r="1">
          <cell r="J1">
            <v>1.7453292519943295E-2</v>
          </cell>
        </row>
      </sheetData>
      <sheetData sheetId="1345">
        <row r="1">
          <cell r="J1">
            <v>1.7453292519943295E-2</v>
          </cell>
        </row>
      </sheetData>
      <sheetData sheetId="1346">
        <row r="1">
          <cell r="J1">
            <v>1.7453292519943295E-2</v>
          </cell>
        </row>
      </sheetData>
      <sheetData sheetId="1347">
        <row r="1">
          <cell r="J1">
            <v>1.7453292519943295E-2</v>
          </cell>
        </row>
      </sheetData>
      <sheetData sheetId="1348">
        <row r="1">
          <cell r="J1">
            <v>1.7453292519943295E-2</v>
          </cell>
        </row>
      </sheetData>
      <sheetData sheetId="1349">
        <row r="1">
          <cell r="J1">
            <v>1.7453292519943295E-2</v>
          </cell>
        </row>
      </sheetData>
      <sheetData sheetId="1350">
        <row r="1">
          <cell r="J1">
            <v>1.7453292519943295E-2</v>
          </cell>
        </row>
      </sheetData>
      <sheetData sheetId="1351">
        <row r="1">
          <cell r="J1">
            <v>1.7453292519943295E-2</v>
          </cell>
        </row>
      </sheetData>
      <sheetData sheetId="1352">
        <row r="1">
          <cell r="J1">
            <v>1.7453292519943295E-2</v>
          </cell>
        </row>
      </sheetData>
      <sheetData sheetId="1353">
        <row r="1">
          <cell r="J1">
            <v>1.7453292519943295E-2</v>
          </cell>
        </row>
      </sheetData>
      <sheetData sheetId="1354">
        <row r="1">
          <cell r="J1">
            <v>1.7453292519943295E-2</v>
          </cell>
        </row>
      </sheetData>
      <sheetData sheetId="1355">
        <row r="1">
          <cell r="J1">
            <v>1.7453292519943295E-2</v>
          </cell>
        </row>
      </sheetData>
      <sheetData sheetId="1356">
        <row r="1">
          <cell r="J1">
            <v>1.7453292519943295E-2</v>
          </cell>
        </row>
      </sheetData>
      <sheetData sheetId="1357">
        <row r="1">
          <cell r="J1">
            <v>1.7453292519943295E-2</v>
          </cell>
        </row>
      </sheetData>
      <sheetData sheetId="1358">
        <row r="1">
          <cell r="J1">
            <v>1.7453292519943295E-2</v>
          </cell>
        </row>
      </sheetData>
      <sheetData sheetId="1359">
        <row r="1">
          <cell r="J1">
            <v>1.7453292519943295E-2</v>
          </cell>
        </row>
      </sheetData>
      <sheetData sheetId="1360">
        <row r="1">
          <cell r="J1">
            <v>1.7453292519943295E-2</v>
          </cell>
        </row>
      </sheetData>
      <sheetData sheetId="1361">
        <row r="1">
          <cell r="J1">
            <v>1.7453292519943295E-2</v>
          </cell>
        </row>
      </sheetData>
      <sheetData sheetId="1362">
        <row r="1">
          <cell r="J1">
            <v>1.7453292519943295E-2</v>
          </cell>
        </row>
      </sheetData>
      <sheetData sheetId="1363">
        <row r="1">
          <cell r="J1">
            <v>1.7453292519943295E-2</v>
          </cell>
        </row>
      </sheetData>
      <sheetData sheetId="1364">
        <row r="1">
          <cell r="J1">
            <v>1.7453292519943295E-2</v>
          </cell>
        </row>
      </sheetData>
      <sheetData sheetId="1365">
        <row r="1">
          <cell r="J1">
            <v>1.7453292519943295E-2</v>
          </cell>
        </row>
      </sheetData>
      <sheetData sheetId="1366">
        <row r="1">
          <cell r="J1">
            <v>1.7453292519943295E-2</v>
          </cell>
        </row>
      </sheetData>
      <sheetData sheetId="1367">
        <row r="1">
          <cell r="J1">
            <v>1.7453292519943295E-2</v>
          </cell>
        </row>
      </sheetData>
      <sheetData sheetId="1368">
        <row r="1">
          <cell r="J1">
            <v>1.7453292519943295E-2</v>
          </cell>
        </row>
      </sheetData>
      <sheetData sheetId="1369">
        <row r="1">
          <cell r="J1">
            <v>1.7453292519943295E-2</v>
          </cell>
        </row>
      </sheetData>
      <sheetData sheetId="1370">
        <row r="1">
          <cell r="J1">
            <v>1.7453292519943295E-2</v>
          </cell>
        </row>
      </sheetData>
      <sheetData sheetId="1371">
        <row r="1">
          <cell r="J1">
            <v>1.7453292519943295E-2</v>
          </cell>
        </row>
      </sheetData>
      <sheetData sheetId="1372">
        <row r="1">
          <cell r="J1">
            <v>1.7453292519943295E-2</v>
          </cell>
        </row>
      </sheetData>
      <sheetData sheetId="1373">
        <row r="1">
          <cell r="J1">
            <v>1.7453292519943295E-2</v>
          </cell>
        </row>
      </sheetData>
      <sheetData sheetId="1374">
        <row r="1">
          <cell r="J1">
            <v>1.7453292519943295E-2</v>
          </cell>
        </row>
      </sheetData>
      <sheetData sheetId="1375">
        <row r="1">
          <cell r="J1">
            <v>1.7453292519943295E-2</v>
          </cell>
        </row>
      </sheetData>
      <sheetData sheetId="1376">
        <row r="1">
          <cell r="J1">
            <v>1.7453292519943295E-2</v>
          </cell>
        </row>
      </sheetData>
      <sheetData sheetId="1377">
        <row r="1">
          <cell r="J1">
            <v>1.7453292519943295E-2</v>
          </cell>
        </row>
      </sheetData>
      <sheetData sheetId="1378">
        <row r="1">
          <cell r="J1">
            <v>1.7453292519943295E-2</v>
          </cell>
        </row>
      </sheetData>
      <sheetData sheetId="1379">
        <row r="1">
          <cell r="J1">
            <v>1.7453292519943295E-2</v>
          </cell>
        </row>
      </sheetData>
      <sheetData sheetId="1380">
        <row r="1">
          <cell r="J1">
            <v>1.7453292519943295E-2</v>
          </cell>
        </row>
      </sheetData>
      <sheetData sheetId="1381">
        <row r="1">
          <cell r="J1">
            <v>1.7453292519943295E-2</v>
          </cell>
        </row>
      </sheetData>
      <sheetData sheetId="1382">
        <row r="1">
          <cell r="J1">
            <v>1.7453292519943295E-2</v>
          </cell>
        </row>
      </sheetData>
      <sheetData sheetId="1383">
        <row r="1">
          <cell r="J1">
            <v>1.7453292519943295E-2</v>
          </cell>
        </row>
      </sheetData>
      <sheetData sheetId="1384">
        <row r="1">
          <cell r="J1">
            <v>1.7453292519943295E-2</v>
          </cell>
        </row>
      </sheetData>
      <sheetData sheetId="1385">
        <row r="1">
          <cell r="J1">
            <v>1.7453292519943295E-2</v>
          </cell>
        </row>
      </sheetData>
      <sheetData sheetId="1386">
        <row r="1">
          <cell r="J1">
            <v>1.7453292519943295E-2</v>
          </cell>
        </row>
      </sheetData>
      <sheetData sheetId="1387">
        <row r="1">
          <cell r="J1">
            <v>1.7453292519943295E-2</v>
          </cell>
        </row>
      </sheetData>
      <sheetData sheetId="1388">
        <row r="1">
          <cell r="J1">
            <v>1.7453292519943295E-2</v>
          </cell>
        </row>
      </sheetData>
      <sheetData sheetId="1389">
        <row r="1">
          <cell r="J1">
            <v>1.7453292519943295E-2</v>
          </cell>
        </row>
      </sheetData>
      <sheetData sheetId="1390">
        <row r="1">
          <cell r="J1">
            <v>1.7453292519943295E-2</v>
          </cell>
        </row>
      </sheetData>
      <sheetData sheetId="1391">
        <row r="1">
          <cell r="J1">
            <v>1.7453292519943295E-2</v>
          </cell>
        </row>
      </sheetData>
      <sheetData sheetId="1392">
        <row r="1">
          <cell r="J1">
            <v>1.7453292519943295E-2</v>
          </cell>
        </row>
      </sheetData>
      <sheetData sheetId="1393">
        <row r="1">
          <cell r="J1">
            <v>1.7453292519943295E-2</v>
          </cell>
        </row>
      </sheetData>
      <sheetData sheetId="1394">
        <row r="1">
          <cell r="J1">
            <v>1.7453292519943295E-2</v>
          </cell>
        </row>
      </sheetData>
      <sheetData sheetId="1395">
        <row r="1">
          <cell r="J1">
            <v>1.7453292519943295E-2</v>
          </cell>
        </row>
      </sheetData>
      <sheetData sheetId="1396">
        <row r="1">
          <cell r="J1">
            <v>1.7453292519943295E-2</v>
          </cell>
        </row>
      </sheetData>
      <sheetData sheetId="1397">
        <row r="1">
          <cell r="J1">
            <v>1.7453292519943295E-2</v>
          </cell>
        </row>
      </sheetData>
      <sheetData sheetId="1398">
        <row r="1">
          <cell r="J1">
            <v>1.7453292519943295E-2</v>
          </cell>
        </row>
      </sheetData>
      <sheetData sheetId="1399">
        <row r="1">
          <cell r="J1">
            <v>1.7453292519943295E-2</v>
          </cell>
        </row>
      </sheetData>
      <sheetData sheetId="1400">
        <row r="1">
          <cell r="J1">
            <v>1.7453292519943295E-2</v>
          </cell>
        </row>
      </sheetData>
      <sheetData sheetId="1401">
        <row r="1">
          <cell r="J1">
            <v>1.7453292519943295E-2</v>
          </cell>
        </row>
      </sheetData>
      <sheetData sheetId="1402">
        <row r="1">
          <cell r="J1">
            <v>1.7453292519943295E-2</v>
          </cell>
        </row>
      </sheetData>
      <sheetData sheetId="1403">
        <row r="1">
          <cell r="J1">
            <v>1.7453292519943295E-2</v>
          </cell>
        </row>
      </sheetData>
      <sheetData sheetId="1404">
        <row r="1">
          <cell r="J1">
            <v>1.7453292519943295E-2</v>
          </cell>
        </row>
      </sheetData>
      <sheetData sheetId="1405">
        <row r="1">
          <cell r="J1">
            <v>1.7453292519943295E-2</v>
          </cell>
        </row>
      </sheetData>
      <sheetData sheetId="1406">
        <row r="1">
          <cell r="J1">
            <v>1.7453292519943295E-2</v>
          </cell>
        </row>
      </sheetData>
      <sheetData sheetId="1407">
        <row r="1">
          <cell r="J1">
            <v>1.7453292519943295E-2</v>
          </cell>
        </row>
      </sheetData>
      <sheetData sheetId="1408">
        <row r="1">
          <cell r="J1">
            <v>1.7453292519943295E-2</v>
          </cell>
        </row>
      </sheetData>
      <sheetData sheetId="1409">
        <row r="1">
          <cell r="J1">
            <v>1.7453292519943295E-2</v>
          </cell>
        </row>
      </sheetData>
      <sheetData sheetId="1410">
        <row r="1">
          <cell r="J1">
            <v>1.7453292519943295E-2</v>
          </cell>
        </row>
      </sheetData>
      <sheetData sheetId="1411">
        <row r="1">
          <cell r="J1">
            <v>1.7453292519943295E-2</v>
          </cell>
        </row>
      </sheetData>
      <sheetData sheetId="1412">
        <row r="1">
          <cell r="J1">
            <v>1.7453292519943295E-2</v>
          </cell>
        </row>
      </sheetData>
      <sheetData sheetId="1413">
        <row r="1">
          <cell r="J1">
            <v>1.7453292519943295E-2</v>
          </cell>
        </row>
      </sheetData>
      <sheetData sheetId="1414">
        <row r="1">
          <cell r="J1">
            <v>1.7453292519943295E-2</v>
          </cell>
        </row>
      </sheetData>
      <sheetData sheetId="1415">
        <row r="1">
          <cell r="J1">
            <v>1.7453292519943295E-2</v>
          </cell>
        </row>
      </sheetData>
      <sheetData sheetId="1416">
        <row r="1">
          <cell r="J1">
            <v>1.7453292519943295E-2</v>
          </cell>
        </row>
      </sheetData>
      <sheetData sheetId="1417">
        <row r="1">
          <cell r="J1">
            <v>1.7453292519943295E-2</v>
          </cell>
        </row>
      </sheetData>
      <sheetData sheetId="1418">
        <row r="1">
          <cell r="J1">
            <v>1.7453292519943295E-2</v>
          </cell>
        </row>
      </sheetData>
      <sheetData sheetId="1419">
        <row r="1">
          <cell r="J1">
            <v>1.7453292519943295E-2</v>
          </cell>
        </row>
      </sheetData>
      <sheetData sheetId="1420">
        <row r="1">
          <cell r="J1">
            <v>1.7453292519943295E-2</v>
          </cell>
        </row>
      </sheetData>
      <sheetData sheetId="1421">
        <row r="1">
          <cell r="J1">
            <v>1.7453292519943295E-2</v>
          </cell>
        </row>
      </sheetData>
      <sheetData sheetId="1422">
        <row r="1">
          <cell r="J1">
            <v>1.7453292519943295E-2</v>
          </cell>
        </row>
      </sheetData>
      <sheetData sheetId="1423">
        <row r="1">
          <cell r="J1">
            <v>1.7453292519943295E-2</v>
          </cell>
        </row>
      </sheetData>
      <sheetData sheetId="1424">
        <row r="1">
          <cell r="J1">
            <v>1.7453292519943295E-2</v>
          </cell>
        </row>
      </sheetData>
      <sheetData sheetId="1425">
        <row r="1">
          <cell r="J1">
            <v>1.7453292519943295E-2</v>
          </cell>
        </row>
      </sheetData>
      <sheetData sheetId="1426">
        <row r="1">
          <cell r="J1">
            <v>1.7453292519943295E-2</v>
          </cell>
        </row>
      </sheetData>
      <sheetData sheetId="1427">
        <row r="1">
          <cell r="J1">
            <v>1.7453292519943295E-2</v>
          </cell>
        </row>
      </sheetData>
      <sheetData sheetId="1428">
        <row r="1">
          <cell r="J1">
            <v>1.7453292519943295E-2</v>
          </cell>
        </row>
      </sheetData>
      <sheetData sheetId="1429">
        <row r="1">
          <cell r="J1">
            <v>1.7453292519943295E-2</v>
          </cell>
        </row>
      </sheetData>
      <sheetData sheetId="1430">
        <row r="1">
          <cell r="J1">
            <v>1.7453292519943295E-2</v>
          </cell>
        </row>
      </sheetData>
      <sheetData sheetId="1431">
        <row r="1">
          <cell r="J1">
            <v>1.7453292519943295E-2</v>
          </cell>
        </row>
      </sheetData>
      <sheetData sheetId="1432">
        <row r="1">
          <cell r="J1">
            <v>1.7453292519943295E-2</v>
          </cell>
        </row>
      </sheetData>
      <sheetData sheetId="1433">
        <row r="1">
          <cell r="J1">
            <v>1.7453292519943295E-2</v>
          </cell>
        </row>
      </sheetData>
      <sheetData sheetId="1434">
        <row r="1">
          <cell r="J1">
            <v>1.7453292519943295E-2</v>
          </cell>
        </row>
      </sheetData>
      <sheetData sheetId="1435">
        <row r="1">
          <cell r="J1">
            <v>1.7453292519943295E-2</v>
          </cell>
        </row>
      </sheetData>
      <sheetData sheetId="1436">
        <row r="1">
          <cell r="J1">
            <v>1.7453292519943295E-2</v>
          </cell>
        </row>
      </sheetData>
      <sheetData sheetId="1437">
        <row r="1">
          <cell r="J1">
            <v>1.7453292519943295E-2</v>
          </cell>
        </row>
      </sheetData>
      <sheetData sheetId="1438">
        <row r="1">
          <cell r="J1">
            <v>1.7453292519943295E-2</v>
          </cell>
        </row>
      </sheetData>
      <sheetData sheetId="1439">
        <row r="1">
          <cell r="J1">
            <v>1.7453292519943295E-2</v>
          </cell>
        </row>
      </sheetData>
      <sheetData sheetId="1440">
        <row r="1">
          <cell r="J1">
            <v>1.7453292519943295E-2</v>
          </cell>
        </row>
      </sheetData>
      <sheetData sheetId="1441">
        <row r="1">
          <cell r="J1">
            <v>1.7453292519943295E-2</v>
          </cell>
        </row>
      </sheetData>
      <sheetData sheetId="1442">
        <row r="1">
          <cell r="J1">
            <v>1.7453292519943295E-2</v>
          </cell>
        </row>
      </sheetData>
      <sheetData sheetId="1443">
        <row r="1">
          <cell r="J1">
            <v>1.7453292519943295E-2</v>
          </cell>
        </row>
      </sheetData>
      <sheetData sheetId="1444">
        <row r="1">
          <cell r="J1">
            <v>1.7453292519943295E-2</v>
          </cell>
        </row>
      </sheetData>
      <sheetData sheetId="1445">
        <row r="1">
          <cell r="J1">
            <v>1.7453292519943295E-2</v>
          </cell>
        </row>
      </sheetData>
      <sheetData sheetId="1446">
        <row r="1">
          <cell r="J1">
            <v>1.7453292519943295E-2</v>
          </cell>
        </row>
      </sheetData>
      <sheetData sheetId="1447">
        <row r="1">
          <cell r="J1">
            <v>1.7453292519943295E-2</v>
          </cell>
        </row>
      </sheetData>
      <sheetData sheetId="1448">
        <row r="1">
          <cell r="J1">
            <v>1.7453292519943295E-2</v>
          </cell>
        </row>
      </sheetData>
      <sheetData sheetId="1449">
        <row r="1">
          <cell r="J1">
            <v>1.7453292519943295E-2</v>
          </cell>
        </row>
      </sheetData>
      <sheetData sheetId="1450">
        <row r="1">
          <cell r="J1">
            <v>1.7453292519943295E-2</v>
          </cell>
        </row>
      </sheetData>
      <sheetData sheetId="1451">
        <row r="1">
          <cell r="J1">
            <v>1.7453292519943295E-2</v>
          </cell>
        </row>
      </sheetData>
      <sheetData sheetId="1452">
        <row r="1">
          <cell r="J1">
            <v>1.7453292519943295E-2</v>
          </cell>
        </row>
      </sheetData>
      <sheetData sheetId="1453">
        <row r="1">
          <cell r="J1">
            <v>1.7453292519943295E-2</v>
          </cell>
        </row>
      </sheetData>
      <sheetData sheetId="1454">
        <row r="1">
          <cell r="J1">
            <v>1.7453292519943295E-2</v>
          </cell>
        </row>
      </sheetData>
      <sheetData sheetId="1455">
        <row r="1">
          <cell r="J1">
            <v>1.7453292519943295E-2</v>
          </cell>
        </row>
      </sheetData>
      <sheetData sheetId="1456">
        <row r="1">
          <cell r="J1">
            <v>1.7453292519943295E-2</v>
          </cell>
        </row>
      </sheetData>
      <sheetData sheetId="1457">
        <row r="1">
          <cell r="J1">
            <v>1.7453292519943295E-2</v>
          </cell>
        </row>
      </sheetData>
      <sheetData sheetId="1458">
        <row r="1">
          <cell r="J1">
            <v>1.7453292519943295E-2</v>
          </cell>
        </row>
      </sheetData>
      <sheetData sheetId="1459">
        <row r="1">
          <cell r="J1">
            <v>1.7453292519943295E-2</v>
          </cell>
        </row>
      </sheetData>
      <sheetData sheetId="1460">
        <row r="1">
          <cell r="J1">
            <v>1.7453292519943295E-2</v>
          </cell>
        </row>
      </sheetData>
      <sheetData sheetId="1461">
        <row r="1">
          <cell r="J1">
            <v>1.7453292519943295E-2</v>
          </cell>
        </row>
      </sheetData>
      <sheetData sheetId="1462">
        <row r="1">
          <cell r="J1">
            <v>1.7453292519943295E-2</v>
          </cell>
        </row>
      </sheetData>
      <sheetData sheetId="1463">
        <row r="1">
          <cell r="J1">
            <v>1.7453292519943295E-2</v>
          </cell>
        </row>
      </sheetData>
      <sheetData sheetId="1464">
        <row r="1">
          <cell r="J1">
            <v>1.7453292519943295E-2</v>
          </cell>
        </row>
      </sheetData>
      <sheetData sheetId="1465">
        <row r="1">
          <cell r="J1">
            <v>1.7453292519943295E-2</v>
          </cell>
        </row>
      </sheetData>
      <sheetData sheetId="1466">
        <row r="1">
          <cell r="J1">
            <v>1.7453292519943295E-2</v>
          </cell>
        </row>
      </sheetData>
      <sheetData sheetId="1467">
        <row r="1">
          <cell r="J1">
            <v>1.7453292519943295E-2</v>
          </cell>
        </row>
      </sheetData>
      <sheetData sheetId="1468">
        <row r="1">
          <cell r="J1">
            <v>1.7453292519943295E-2</v>
          </cell>
        </row>
      </sheetData>
      <sheetData sheetId="1469">
        <row r="1">
          <cell r="J1">
            <v>1.7453292519943295E-2</v>
          </cell>
        </row>
      </sheetData>
      <sheetData sheetId="1470">
        <row r="1">
          <cell r="J1">
            <v>1.7453292519943295E-2</v>
          </cell>
        </row>
      </sheetData>
      <sheetData sheetId="1471">
        <row r="1">
          <cell r="J1">
            <v>1.7453292519943295E-2</v>
          </cell>
        </row>
      </sheetData>
      <sheetData sheetId="1472">
        <row r="1">
          <cell r="J1">
            <v>1.7453292519943295E-2</v>
          </cell>
        </row>
      </sheetData>
      <sheetData sheetId="1473">
        <row r="1">
          <cell r="J1">
            <v>1.7453292519943295E-2</v>
          </cell>
        </row>
      </sheetData>
      <sheetData sheetId="1474">
        <row r="1">
          <cell r="J1">
            <v>1.7453292519943295E-2</v>
          </cell>
        </row>
      </sheetData>
      <sheetData sheetId="1475">
        <row r="1">
          <cell r="J1">
            <v>1.7453292519943295E-2</v>
          </cell>
        </row>
      </sheetData>
      <sheetData sheetId="1476">
        <row r="1">
          <cell r="J1">
            <v>1.7453292519943295E-2</v>
          </cell>
        </row>
      </sheetData>
      <sheetData sheetId="1477">
        <row r="1">
          <cell r="J1">
            <v>1.7453292519943295E-2</v>
          </cell>
        </row>
      </sheetData>
      <sheetData sheetId="1478">
        <row r="1">
          <cell r="J1">
            <v>1.7453292519943295E-2</v>
          </cell>
        </row>
      </sheetData>
      <sheetData sheetId="1479">
        <row r="1">
          <cell r="J1">
            <v>1.7453292519943295E-2</v>
          </cell>
        </row>
      </sheetData>
      <sheetData sheetId="1480">
        <row r="1">
          <cell r="J1">
            <v>1.7453292519943295E-2</v>
          </cell>
        </row>
      </sheetData>
      <sheetData sheetId="1481">
        <row r="1">
          <cell r="J1">
            <v>1.7453292519943295E-2</v>
          </cell>
        </row>
      </sheetData>
      <sheetData sheetId="1482">
        <row r="1">
          <cell r="J1">
            <v>1.7453292519943295E-2</v>
          </cell>
        </row>
      </sheetData>
      <sheetData sheetId="1483">
        <row r="1">
          <cell r="J1">
            <v>1.7453292519943295E-2</v>
          </cell>
        </row>
      </sheetData>
      <sheetData sheetId="1484">
        <row r="1">
          <cell r="J1">
            <v>1.7453292519943295E-2</v>
          </cell>
        </row>
      </sheetData>
      <sheetData sheetId="1485">
        <row r="1">
          <cell r="J1">
            <v>1.7453292519943295E-2</v>
          </cell>
        </row>
      </sheetData>
      <sheetData sheetId="1486">
        <row r="1">
          <cell r="J1">
            <v>1.7453292519943295E-2</v>
          </cell>
        </row>
      </sheetData>
      <sheetData sheetId="1487">
        <row r="1">
          <cell r="J1">
            <v>1.7453292519943295E-2</v>
          </cell>
        </row>
      </sheetData>
      <sheetData sheetId="1488">
        <row r="1">
          <cell r="J1">
            <v>1.7453292519943295E-2</v>
          </cell>
        </row>
      </sheetData>
      <sheetData sheetId="1489">
        <row r="1">
          <cell r="J1">
            <v>1.7453292519943295E-2</v>
          </cell>
        </row>
      </sheetData>
      <sheetData sheetId="1490">
        <row r="1">
          <cell r="J1">
            <v>1.7453292519943295E-2</v>
          </cell>
        </row>
      </sheetData>
      <sheetData sheetId="1491">
        <row r="1">
          <cell r="J1">
            <v>1.7453292519943295E-2</v>
          </cell>
        </row>
      </sheetData>
      <sheetData sheetId="1492">
        <row r="1">
          <cell r="J1">
            <v>1.7453292519943295E-2</v>
          </cell>
        </row>
      </sheetData>
      <sheetData sheetId="1493">
        <row r="1">
          <cell r="J1">
            <v>1.7453292519943295E-2</v>
          </cell>
        </row>
      </sheetData>
      <sheetData sheetId="1494">
        <row r="1">
          <cell r="J1">
            <v>1.7453292519943295E-2</v>
          </cell>
        </row>
      </sheetData>
      <sheetData sheetId="1495">
        <row r="1">
          <cell r="J1">
            <v>1.7453292519943295E-2</v>
          </cell>
        </row>
      </sheetData>
      <sheetData sheetId="1496">
        <row r="1">
          <cell r="J1">
            <v>1.7453292519943295E-2</v>
          </cell>
        </row>
      </sheetData>
      <sheetData sheetId="1497">
        <row r="1">
          <cell r="J1">
            <v>1.7453292519943295E-2</v>
          </cell>
        </row>
      </sheetData>
      <sheetData sheetId="1498">
        <row r="1">
          <cell r="J1">
            <v>1.7453292519943295E-2</v>
          </cell>
        </row>
      </sheetData>
      <sheetData sheetId="1499">
        <row r="1">
          <cell r="J1">
            <v>1.7453292519943295E-2</v>
          </cell>
        </row>
      </sheetData>
      <sheetData sheetId="1500">
        <row r="1">
          <cell r="J1">
            <v>1.7453292519943295E-2</v>
          </cell>
        </row>
      </sheetData>
      <sheetData sheetId="1501">
        <row r="1">
          <cell r="J1">
            <v>1.7453292519943295E-2</v>
          </cell>
        </row>
      </sheetData>
      <sheetData sheetId="1502">
        <row r="1">
          <cell r="J1">
            <v>1.7453292519943295E-2</v>
          </cell>
        </row>
      </sheetData>
      <sheetData sheetId="1503">
        <row r="1">
          <cell r="J1">
            <v>1.7453292519943295E-2</v>
          </cell>
        </row>
      </sheetData>
      <sheetData sheetId="1504">
        <row r="1">
          <cell r="J1">
            <v>1.7453292519943295E-2</v>
          </cell>
        </row>
      </sheetData>
      <sheetData sheetId="1505">
        <row r="1">
          <cell r="J1">
            <v>1.7453292519943295E-2</v>
          </cell>
        </row>
      </sheetData>
      <sheetData sheetId="1506">
        <row r="1">
          <cell r="J1">
            <v>1.7453292519943295E-2</v>
          </cell>
        </row>
      </sheetData>
      <sheetData sheetId="1507">
        <row r="1">
          <cell r="J1">
            <v>1.7453292519943295E-2</v>
          </cell>
        </row>
      </sheetData>
      <sheetData sheetId="1508">
        <row r="1">
          <cell r="J1">
            <v>1.7453292519943295E-2</v>
          </cell>
        </row>
      </sheetData>
      <sheetData sheetId="1509">
        <row r="1">
          <cell r="J1">
            <v>1.7453292519943295E-2</v>
          </cell>
        </row>
      </sheetData>
      <sheetData sheetId="1510">
        <row r="1">
          <cell r="J1">
            <v>1.7453292519943295E-2</v>
          </cell>
        </row>
      </sheetData>
      <sheetData sheetId="1511">
        <row r="1">
          <cell r="J1">
            <v>1.7453292519943295E-2</v>
          </cell>
        </row>
      </sheetData>
      <sheetData sheetId="1512">
        <row r="1">
          <cell r="J1">
            <v>1.7453292519943295E-2</v>
          </cell>
        </row>
      </sheetData>
      <sheetData sheetId="1513">
        <row r="1">
          <cell r="J1">
            <v>1.7453292519943295E-2</v>
          </cell>
        </row>
      </sheetData>
      <sheetData sheetId="1514">
        <row r="1">
          <cell r="J1">
            <v>1.7453292519943295E-2</v>
          </cell>
        </row>
      </sheetData>
      <sheetData sheetId="1515">
        <row r="1">
          <cell r="J1">
            <v>1.7453292519943295E-2</v>
          </cell>
        </row>
      </sheetData>
      <sheetData sheetId="1516">
        <row r="1">
          <cell r="J1">
            <v>1.7453292519943295E-2</v>
          </cell>
        </row>
      </sheetData>
      <sheetData sheetId="1517">
        <row r="1">
          <cell r="J1">
            <v>1.7453292519943295E-2</v>
          </cell>
        </row>
      </sheetData>
      <sheetData sheetId="1518">
        <row r="1">
          <cell r="J1">
            <v>1.7453292519943295E-2</v>
          </cell>
        </row>
      </sheetData>
      <sheetData sheetId="1519">
        <row r="1">
          <cell r="J1">
            <v>1.7453292519943295E-2</v>
          </cell>
        </row>
      </sheetData>
      <sheetData sheetId="1520">
        <row r="1">
          <cell r="J1">
            <v>1.7453292519943295E-2</v>
          </cell>
        </row>
      </sheetData>
      <sheetData sheetId="1521">
        <row r="1">
          <cell r="J1">
            <v>1.7453292519943295E-2</v>
          </cell>
        </row>
      </sheetData>
      <sheetData sheetId="1522">
        <row r="1">
          <cell r="J1">
            <v>1.7453292519943295E-2</v>
          </cell>
        </row>
      </sheetData>
      <sheetData sheetId="1523">
        <row r="1">
          <cell r="J1">
            <v>1.7453292519943295E-2</v>
          </cell>
        </row>
      </sheetData>
      <sheetData sheetId="1524">
        <row r="1">
          <cell r="J1">
            <v>1.7453292519943295E-2</v>
          </cell>
        </row>
      </sheetData>
      <sheetData sheetId="1525">
        <row r="1">
          <cell r="J1">
            <v>1.7453292519943295E-2</v>
          </cell>
        </row>
      </sheetData>
      <sheetData sheetId="1526">
        <row r="1">
          <cell r="J1">
            <v>1.7453292519943295E-2</v>
          </cell>
        </row>
      </sheetData>
      <sheetData sheetId="1527">
        <row r="1">
          <cell r="J1">
            <v>1.7453292519943295E-2</v>
          </cell>
        </row>
      </sheetData>
      <sheetData sheetId="1528">
        <row r="1">
          <cell r="J1">
            <v>1.7453292519943295E-2</v>
          </cell>
        </row>
      </sheetData>
      <sheetData sheetId="1529">
        <row r="1">
          <cell r="J1">
            <v>1.7453292519943295E-2</v>
          </cell>
        </row>
      </sheetData>
      <sheetData sheetId="1530">
        <row r="1">
          <cell r="J1">
            <v>1.7453292519943295E-2</v>
          </cell>
        </row>
      </sheetData>
      <sheetData sheetId="1531">
        <row r="1">
          <cell r="J1">
            <v>1.7453292519943295E-2</v>
          </cell>
        </row>
      </sheetData>
      <sheetData sheetId="1532">
        <row r="1">
          <cell r="J1">
            <v>1.7453292519943295E-2</v>
          </cell>
        </row>
      </sheetData>
      <sheetData sheetId="1533">
        <row r="1">
          <cell r="J1">
            <v>1.7453292519943295E-2</v>
          </cell>
        </row>
      </sheetData>
      <sheetData sheetId="1534">
        <row r="1">
          <cell r="J1">
            <v>1.7453292519943295E-2</v>
          </cell>
        </row>
      </sheetData>
      <sheetData sheetId="1535">
        <row r="1">
          <cell r="J1">
            <v>1.7453292519943295E-2</v>
          </cell>
        </row>
      </sheetData>
      <sheetData sheetId="1536">
        <row r="1">
          <cell r="J1">
            <v>1.7453292519943295E-2</v>
          </cell>
        </row>
      </sheetData>
      <sheetData sheetId="1537">
        <row r="1">
          <cell r="J1">
            <v>1.7453292519943295E-2</v>
          </cell>
        </row>
      </sheetData>
      <sheetData sheetId="1538">
        <row r="1">
          <cell r="J1">
            <v>1.7453292519943295E-2</v>
          </cell>
        </row>
      </sheetData>
      <sheetData sheetId="1539">
        <row r="1">
          <cell r="J1">
            <v>1.7453292519943295E-2</v>
          </cell>
        </row>
      </sheetData>
      <sheetData sheetId="1540">
        <row r="1">
          <cell r="J1">
            <v>1.7453292519943295E-2</v>
          </cell>
        </row>
      </sheetData>
      <sheetData sheetId="1541">
        <row r="1">
          <cell r="J1">
            <v>1.7453292519943295E-2</v>
          </cell>
        </row>
      </sheetData>
      <sheetData sheetId="1542">
        <row r="1">
          <cell r="J1">
            <v>1.7453292519943295E-2</v>
          </cell>
        </row>
      </sheetData>
      <sheetData sheetId="1543">
        <row r="1">
          <cell r="J1">
            <v>1.7453292519943295E-2</v>
          </cell>
        </row>
      </sheetData>
      <sheetData sheetId="1544">
        <row r="1">
          <cell r="J1">
            <v>1.7453292519943295E-2</v>
          </cell>
        </row>
      </sheetData>
      <sheetData sheetId="1545">
        <row r="1">
          <cell r="J1">
            <v>1.7453292519943295E-2</v>
          </cell>
        </row>
      </sheetData>
      <sheetData sheetId="1546">
        <row r="1">
          <cell r="J1">
            <v>1.7453292519943295E-2</v>
          </cell>
        </row>
      </sheetData>
      <sheetData sheetId="1547">
        <row r="1">
          <cell r="J1">
            <v>1.7453292519943295E-2</v>
          </cell>
        </row>
      </sheetData>
      <sheetData sheetId="1548">
        <row r="1">
          <cell r="J1">
            <v>1.7453292519943295E-2</v>
          </cell>
        </row>
      </sheetData>
      <sheetData sheetId="1549">
        <row r="1">
          <cell r="J1">
            <v>1.7453292519943295E-2</v>
          </cell>
        </row>
      </sheetData>
      <sheetData sheetId="1550">
        <row r="1">
          <cell r="J1">
            <v>1.7453292519943295E-2</v>
          </cell>
        </row>
      </sheetData>
      <sheetData sheetId="1551">
        <row r="1">
          <cell r="J1">
            <v>1.7453292519943295E-2</v>
          </cell>
        </row>
      </sheetData>
      <sheetData sheetId="1552">
        <row r="1">
          <cell r="J1">
            <v>1.7453292519943295E-2</v>
          </cell>
        </row>
      </sheetData>
      <sheetData sheetId="1553">
        <row r="1">
          <cell r="J1">
            <v>1.7453292519943295E-2</v>
          </cell>
        </row>
      </sheetData>
      <sheetData sheetId="1554">
        <row r="1">
          <cell r="J1">
            <v>1.7453292519943295E-2</v>
          </cell>
        </row>
      </sheetData>
      <sheetData sheetId="1555">
        <row r="1">
          <cell r="J1">
            <v>1.7453292519943295E-2</v>
          </cell>
        </row>
      </sheetData>
      <sheetData sheetId="1556">
        <row r="1">
          <cell r="J1">
            <v>1.7453292519943295E-2</v>
          </cell>
        </row>
      </sheetData>
      <sheetData sheetId="1557">
        <row r="1">
          <cell r="J1">
            <v>1.7453292519943295E-2</v>
          </cell>
        </row>
      </sheetData>
      <sheetData sheetId="1558">
        <row r="1">
          <cell r="J1">
            <v>1.7453292519943295E-2</v>
          </cell>
        </row>
      </sheetData>
      <sheetData sheetId="1559">
        <row r="1">
          <cell r="J1">
            <v>1.7453292519943295E-2</v>
          </cell>
        </row>
      </sheetData>
      <sheetData sheetId="1560">
        <row r="1">
          <cell r="J1">
            <v>1.7453292519943295E-2</v>
          </cell>
        </row>
      </sheetData>
      <sheetData sheetId="1561">
        <row r="1">
          <cell r="J1">
            <v>1.7453292519943295E-2</v>
          </cell>
        </row>
      </sheetData>
      <sheetData sheetId="1562">
        <row r="1">
          <cell r="J1">
            <v>1.7453292519943295E-2</v>
          </cell>
        </row>
      </sheetData>
      <sheetData sheetId="1563">
        <row r="1">
          <cell r="J1">
            <v>1.7453292519943295E-2</v>
          </cell>
        </row>
      </sheetData>
      <sheetData sheetId="1564">
        <row r="1">
          <cell r="J1">
            <v>1.7453292519943295E-2</v>
          </cell>
        </row>
      </sheetData>
      <sheetData sheetId="1565">
        <row r="1">
          <cell r="J1">
            <v>1.7453292519943295E-2</v>
          </cell>
        </row>
      </sheetData>
      <sheetData sheetId="1566">
        <row r="1">
          <cell r="J1">
            <v>1.7453292519943295E-2</v>
          </cell>
        </row>
      </sheetData>
      <sheetData sheetId="1567">
        <row r="1">
          <cell r="J1">
            <v>1.7453292519943295E-2</v>
          </cell>
        </row>
      </sheetData>
      <sheetData sheetId="1568">
        <row r="1">
          <cell r="J1">
            <v>1.7453292519943295E-2</v>
          </cell>
        </row>
      </sheetData>
      <sheetData sheetId="1569">
        <row r="1">
          <cell r="J1">
            <v>1.7453292519943295E-2</v>
          </cell>
        </row>
      </sheetData>
      <sheetData sheetId="1570">
        <row r="1">
          <cell r="J1">
            <v>1.7453292519943295E-2</v>
          </cell>
        </row>
      </sheetData>
      <sheetData sheetId="1571">
        <row r="1">
          <cell r="J1">
            <v>1.7453292519943295E-2</v>
          </cell>
        </row>
      </sheetData>
      <sheetData sheetId="1572">
        <row r="1">
          <cell r="J1">
            <v>1.7453292519943295E-2</v>
          </cell>
        </row>
      </sheetData>
      <sheetData sheetId="1573">
        <row r="1">
          <cell r="J1">
            <v>1.7453292519943295E-2</v>
          </cell>
        </row>
      </sheetData>
      <sheetData sheetId="1574">
        <row r="1">
          <cell r="J1">
            <v>1.7453292519943295E-2</v>
          </cell>
        </row>
      </sheetData>
      <sheetData sheetId="1575">
        <row r="1">
          <cell r="J1">
            <v>1.7453292519943295E-2</v>
          </cell>
        </row>
      </sheetData>
      <sheetData sheetId="1576">
        <row r="1">
          <cell r="J1">
            <v>1.7453292519943295E-2</v>
          </cell>
        </row>
      </sheetData>
      <sheetData sheetId="1577">
        <row r="1">
          <cell r="J1">
            <v>1.7453292519943295E-2</v>
          </cell>
        </row>
      </sheetData>
      <sheetData sheetId="1578">
        <row r="1">
          <cell r="J1">
            <v>1.7453292519943295E-2</v>
          </cell>
        </row>
      </sheetData>
      <sheetData sheetId="1579">
        <row r="1">
          <cell r="J1">
            <v>1.7453292519943295E-2</v>
          </cell>
        </row>
      </sheetData>
      <sheetData sheetId="1580">
        <row r="1">
          <cell r="J1">
            <v>1.7453292519943295E-2</v>
          </cell>
        </row>
      </sheetData>
      <sheetData sheetId="1581">
        <row r="1">
          <cell r="J1">
            <v>1.7453292519943295E-2</v>
          </cell>
        </row>
      </sheetData>
      <sheetData sheetId="1582">
        <row r="1">
          <cell r="J1">
            <v>1.7453292519943295E-2</v>
          </cell>
        </row>
      </sheetData>
      <sheetData sheetId="1583">
        <row r="1">
          <cell r="J1">
            <v>1.7453292519943295E-2</v>
          </cell>
        </row>
      </sheetData>
      <sheetData sheetId="1584">
        <row r="1">
          <cell r="J1">
            <v>1.7453292519943295E-2</v>
          </cell>
        </row>
      </sheetData>
      <sheetData sheetId="1585">
        <row r="1">
          <cell r="J1">
            <v>1.7453292519943295E-2</v>
          </cell>
        </row>
      </sheetData>
      <sheetData sheetId="1586">
        <row r="1">
          <cell r="J1">
            <v>1.7453292519943295E-2</v>
          </cell>
        </row>
      </sheetData>
      <sheetData sheetId="1587">
        <row r="1">
          <cell r="J1">
            <v>1.7453292519943295E-2</v>
          </cell>
        </row>
      </sheetData>
      <sheetData sheetId="1588">
        <row r="1">
          <cell r="J1">
            <v>1.7453292519943295E-2</v>
          </cell>
        </row>
      </sheetData>
      <sheetData sheetId="1589">
        <row r="1">
          <cell r="J1">
            <v>1.7453292519943295E-2</v>
          </cell>
        </row>
      </sheetData>
      <sheetData sheetId="1590">
        <row r="1">
          <cell r="J1">
            <v>1.7453292519943295E-2</v>
          </cell>
        </row>
      </sheetData>
      <sheetData sheetId="1591">
        <row r="1">
          <cell r="J1">
            <v>1.7453292519943295E-2</v>
          </cell>
        </row>
      </sheetData>
      <sheetData sheetId="1592">
        <row r="1">
          <cell r="J1">
            <v>1.7453292519943295E-2</v>
          </cell>
        </row>
      </sheetData>
      <sheetData sheetId="1593">
        <row r="1">
          <cell r="J1">
            <v>1.7453292519943295E-2</v>
          </cell>
        </row>
      </sheetData>
      <sheetData sheetId="1594">
        <row r="1">
          <cell r="J1">
            <v>1.7453292519943295E-2</v>
          </cell>
        </row>
      </sheetData>
      <sheetData sheetId="1595">
        <row r="1">
          <cell r="J1">
            <v>1.7453292519943295E-2</v>
          </cell>
        </row>
      </sheetData>
      <sheetData sheetId="1596">
        <row r="1">
          <cell r="J1">
            <v>1.7453292519943295E-2</v>
          </cell>
        </row>
      </sheetData>
      <sheetData sheetId="1597">
        <row r="1">
          <cell r="J1">
            <v>1.7453292519943295E-2</v>
          </cell>
        </row>
      </sheetData>
      <sheetData sheetId="1598">
        <row r="1">
          <cell r="J1">
            <v>1.7453292519943295E-2</v>
          </cell>
        </row>
      </sheetData>
      <sheetData sheetId="1599">
        <row r="1">
          <cell r="J1">
            <v>1.7453292519943295E-2</v>
          </cell>
        </row>
      </sheetData>
      <sheetData sheetId="1600">
        <row r="1">
          <cell r="J1">
            <v>1.7453292519943295E-2</v>
          </cell>
        </row>
      </sheetData>
      <sheetData sheetId="1601">
        <row r="1">
          <cell r="J1">
            <v>1.7453292519943295E-2</v>
          </cell>
        </row>
      </sheetData>
      <sheetData sheetId="1602">
        <row r="1">
          <cell r="J1">
            <v>1.7453292519943295E-2</v>
          </cell>
        </row>
      </sheetData>
      <sheetData sheetId="1603">
        <row r="1">
          <cell r="J1">
            <v>1.7453292519943295E-2</v>
          </cell>
        </row>
      </sheetData>
      <sheetData sheetId="1604">
        <row r="1">
          <cell r="J1">
            <v>1.7453292519943295E-2</v>
          </cell>
        </row>
      </sheetData>
      <sheetData sheetId="1605">
        <row r="1">
          <cell r="J1">
            <v>1.7453292519943295E-2</v>
          </cell>
        </row>
      </sheetData>
      <sheetData sheetId="1606">
        <row r="1">
          <cell r="J1">
            <v>1.7453292519943295E-2</v>
          </cell>
        </row>
      </sheetData>
      <sheetData sheetId="1607">
        <row r="1">
          <cell r="J1">
            <v>1.7453292519943295E-2</v>
          </cell>
        </row>
      </sheetData>
      <sheetData sheetId="1608">
        <row r="1">
          <cell r="J1">
            <v>1.7453292519943295E-2</v>
          </cell>
        </row>
      </sheetData>
      <sheetData sheetId="1609">
        <row r="1">
          <cell r="J1">
            <v>1.7453292519943295E-2</v>
          </cell>
        </row>
      </sheetData>
      <sheetData sheetId="1610">
        <row r="1">
          <cell r="J1">
            <v>1.7453292519943295E-2</v>
          </cell>
        </row>
      </sheetData>
      <sheetData sheetId="1611">
        <row r="1">
          <cell r="J1">
            <v>1.7453292519943295E-2</v>
          </cell>
        </row>
      </sheetData>
      <sheetData sheetId="1612">
        <row r="1">
          <cell r="J1">
            <v>1.7453292519943295E-2</v>
          </cell>
        </row>
      </sheetData>
      <sheetData sheetId="1613">
        <row r="1">
          <cell r="J1">
            <v>1.7453292519943295E-2</v>
          </cell>
        </row>
      </sheetData>
      <sheetData sheetId="1614">
        <row r="1">
          <cell r="J1">
            <v>1.7453292519943295E-2</v>
          </cell>
        </row>
      </sheetData>
      <sheetData sheetId="1615">
        <row r="1">
          <cell r="J1">
            <v>1.7453292519943295E-2</v>
          </cell>
        </row>
      </sheetData>
      <sheetData sheetId="1616">
        <row r="1">
          <cell r="J1">
            <v>1.7453292519943295E-2</v>
          </cell>
        </row>
      </sheetData>
      <sheetData sheetId="1617">
        <row r="1">
          <cell r="J1">
            <v>1.7453292519943295E-2</v>
          </cell>
        </row>
      </sheetData>
      <sheetData sheetId="1618">
        <row r="1">
          <cell r="J1">
            <v>1.7453292519943295E-2</v>
          </cell>
        </row>
      </sheetData>
      <sheetData sheetId="1619">
        <row r="1">
          <cell r="J1">
            <v>1.7453292519943295E-2</v>
          </cell>
        </row>
      </sheetData>
      <sheetData sheetId="1620">
        <row r="1">
          <cell r="J1">
            <v>1.7453292519943295E-2</v>
          </cell>
        </row>
      </sheetData>
      <sheetData sheetId="1621">
        <row r="1">
          <cell r="J1">
            <v>1.7453292519943295E-2</v>
          </cell>
        </row>
      </sheetData>
      <sheetData sheetId="1622">
        <row r="1">
          <cell r="J1">
            <v>1.7453292519943295E-2</v>
          </cell>
        </row>
      </sheetData>
      <sheetData sheetId="1623">
        <row r="1">
          <cell r="J1">
            <v>1.7453292519943295E-2</v>
          </cell>
        </row>
      </sheetData>
      <sheetData sheetId="1624">
        <row r="1">
          <cell r="J1">
            <v>1.7453292519943295E-2</v>
          </cell>
        </row>
      </sheetData>
      <sheetData sheetId="1625">
        <row r="1">
          <cell r="J1">
            <v>1.7453292519943295E-2</v>
          </cell>
        </row>
      </sheetData>
      <sheetData sheetId="1626">
        <row r="1">
          <cell r="J1">
            <v>1.7453292519943295E-2</v>
          </cell>
        </row>
      </sheetData>
      <sheetData sheetId="1627">
        <row r="1">
          <cell r="J1">
            <v>1.7453292519943295E-2</v>
          </cell>
        </row>
      </sheetData>
      <sheetData sheetId="1628">
        <row r="1">
          <cell r="J1">
            <v>1.7453292519943295E-2</v>
          </cell>
        </row>
      </sheetData>
      <sheetData sheetId="1629">
        <row r="1">
          <cell r="J1">
            <v>1.7453292519943295E-2</v>
          </cell>
        </row>
      </sheetData>
      <sheetData sheetId="1630">
        <row r="1">
          <cell r="J1">
            <v>1.7453292519943295E-2</v>
          </cell>
        </row>
      </sheetData>
      <sheetData sheetId="1631">
        <row r="1">
          <cell r="J1">
            <v>1.7453292519943295E-2</v>
          </cell>
        </row>
      </sheetData>
      <sheetData sheetId="1632">
        <row r="1">
          <cell r="J1">
            <v>1.7453292519943295E-2</v>
          </cell>
        </row>
      </sheetData>
      <sheetData sheetId="1633">
        <row r="1">
          <cell r="J1">
            <v>1.7453292519943295E-2</v>
          </cell>
        </row>
      </sheetData>
      <sheetData sheetId="1634">
        <row r="1">
          <cell r="J1">
            <v>1.7453292519943295E-2</v>
          </cell>
        </row>
      </sheetData>
      <sheetData sheetId="1635">
        <row r="1">
          <cell r="J1">
            <v>1.7453292519943295E-2</v>
          </cell>
        </row>
      </sheetData>
      <sheetData sheetId="1636">
        <row r="1">
          <cell r="J1">
            <v>1.7453292519943295E-2</v>
          </cell>
        </row>
      </sheetData>
      <sheetData sheetId="1637">
        <row r="1">
          <cell r="J1">
            <v>1.7453292519943295E-2</v>
          </cell>
        </row>
      </sheetData>
      <sheetData sheetId="1638">
        <row r="1">
          <cell r="J1">
            <v>1.7453292519943295E-2</v>
          </cell>
        </row>
      </sheetData>
      <sheetData sheetId="1639">
        <row r="1">
          <cell r="J1">
            <v>1.7453292519943295E-2</v>
          </cell>
        </row>
      </sheetData>
      <sheetData sheetId="1640">
        <row r="1">
          <cell r="J1">
            <v>1.7453292519943295E-2</v>
          </cell>
        </row>
      </sheetData>
      <sheetData sheetId="1641">
        <row r="1">
          <cell r="J1">
            <v>1.7453292519943295E-2</v>
          </cell>
        </row>
      </sheetData>
      <sheetData sheetId="1642">
        <row r="1">
          <cell r="J1">
            <v>1.7453292519943295E-2</v>
          </cell>
        </row>
      </sheetData>
      <sheetData sheetId="1643">
        <row r="1">
          <cell r="J1">
            <v>1.7453292519943295E-2</v>
          </cell>
        </row>
      </sheetData>
      <sheetData sheetId="1644">
        <row r="1">
          <cell r="J1">
            <v>1.7453292519943295E-2</v>
          </cell>
        </row>
      </sheetData>
      <sheetData sheetId="1645">
        <row r="1">
          <cell r="J1">
            <v>1.7453292519943295E-2</v>
          </cell>
        </row>
      </sheetData>
      <sheetData sheetId="1646">
        <row r="1">
          <cell r="J1">
            <v>1.7453292519943295E-2</v>
          </cell>
        </row>
      </sheetData>
      <sheetData sheetId="1647">
        <row r="1">
          <cell r="J1">
            <v>1.7453292519943295E-2</v>
          </cell>
        </row>
      </sheetData>
      <sheetData sheetId="1648">
        <row r="1">
          <cell r="J1">
            <v>1.7453292519943295E-2</v>
          </cell>
        </row>
      </sheetData>
      <sheetData sheetId="1649">
        <row r="1">
          <cell r="J1">
            <v>1.7453292519943295E-2</v>
          </cell>
        </row>
      </sheetData>
      <sheetData sheetId="1650">
        <row r="1">
          <cell r="J1">
            <v>1.7453292519943295E-2</v>
          </cell>
        </row>
      </sheetData>
      <sheetData sheetId="1651">
        <row r="1">
          <cell r="J1">
            <v>1.7453292519943295E-2</v>
          </cell>
        </row>
      </sheetData>
      <sheetData sheetId="1652">
        <row r="1">
          <cell r="J1">
            <v>1.7453292519943295E-2</v>
          </cell>
        </row>
      </sheetData>
      <sheetData sheetId="1653">
        <row r="1">
          <cell r="J1">
            <v>1.7453292519943295E-2</v>
          </cell>
        </row>
      </sheetData>
      <sheetData sheetId="1654">
        <row r="1">
          <cell r="J1">
            <v>1.7453292519943295E-2</v>
          </cell>
        </row>
      </sheetData>
      <sheetData sheetId="1655">
        <row r="1">
          <cell r="J1">
            <v>1.7453292519943295E-2</v>
          </cell>
        </row>
      </sheetData>
      <sheetData sheetId="1656">
        <row r="1">
          <cell r="J1">
            <v>1.7453292519943295E-2</v>
          </cell>
        </row>
      </sheetData>
      <sheetData sheetId="1657">
        <row r="1">
          <cell r="J1">
            <v>1.7453292519943295E-2</v>
          </cell>
        </row>
      </sheetData>
      <sheetData sheetId="1658">
        <row r="1">
          <cell r="J1">
            <v>1.7453292519943295E-2</v>
          </cell>
        </row>
      </sheetData>
      <sheetData sheetId="1659">
        <row r="1">
          <cell r="J1">
            <v>1.7453292519943295E-2</v>
          </cell>
        </row>
      </sheetData>
      <sheetData sheetId="1660">
        <row r="1">
          <cell r="J1">
            <v>1.7453292519943295E-2</v>
          </cell>
        </row>
      </sheetData>
      <sheetData sheetId="1661">
        <row r="1">
          <cell r="J1">
            <v>1.7453292519943295E-2</v>
          </cell>
        </row>
      </sheetData>
      <sheetData sheetId="1662">
        <row r="1">
          <cell r="J1">
            <v>1.7453292519943295E-2</v>
          </cell>
        </row>
      </sheetData>
      <sheetData sheetId="1663">
        <row r="1">
          <cell r="J1">
            <v>1.7453292519943295E-2</v>
          </cell>
        </row>
      </sheetData>
      <sheetData sheetId="1664">
        <row r="1">
          <cell r="J1">
            <v>1.7453292519943295E-2</v>
          </cell>
        </row>
      </sheetData>
      <sheetData sheetId="1665">
        <row r="1">
          <cell r="J1">
            <v>1.7453292519943295E-2</v>
          </cell>
        </row>
      </sheetData>
      <sheetData sheetId="1666">
        <row r="1">
          <cell r="J1">
            <v>1.7453292519943295E-2</v>
          </cell>
        </row>
      </sheetData>
      <sheetData sheetId="1667">
        <row r="1">
          <cell r="J1">
            <v>1.7453292519943295E-2</v>
          </cell>
        </row>
      </sheetData>
      <sheetData sheetId="1668">
        <row r="1">
          <cell r="J1">
            <v>1.7453292519943295E-2</v>
          </cell>
        </row>
      </sheetData>
      <sheetData sheetId="1669">
        <row r="1">
          <cell r="J1">
            <v>1.7453292519943295E-2</v>
          </cell>
        </row>
      </sheetData>
      <sheetData sheetId="1670">
        <row r="1">
          <cell r="J1">
            <v>1.7453292519943295E-2</v>
          </cell>
        </row>
      </sheetData>
      <sheetData sheetId="1671">
        <row r="1">
          <cell r="J1">
            <v>1.7453292519943295E-2</v>
          </cell>
        </row>
      </sheetData>
      <sheetData sheetId="1672">
        <row r="1">
          <cell r="J1">
            <v>1.7453292519943295E-2</v>
          </cell>
        </row>
      </sheetData>
      <sheetData sheetId="1673">
        <row r="1">
          <cell r="J1">
            <v>1.7453292519943295E-2</v>
          </cell>
        </row>
      </sheetData>
      <sheetData sheetId="1674">
        <row r="1">
          <cell r="J1">
            <v>1.7453292519943295E-2</v>
          </cell>
        </row>
      </sheetData>
      <sheetData sheetId="1675">
        <row r="1">
          <cell r="J1">
            <v>1.7453292519943295E-2</v>
          </cell>
        </row>
      </sheetData>
      <sheetData sheetId="1676">
        <row r="1">
          <cell r="J1">
            <v>1.7453292519943295E-2</v>
          </cell>
        </row>
      </sheetData>
      <sheetData sheetId="1677">
        <row r="1">
          <cell r="J1">
            <v>1.7453292519943295E-2</v>
          </cell>
        </row>
      </sheetData>
      <sheetData sheetId="1678">
        <row r="1">
          <cell r="J1">
            <v>1.7453292519943295E-2</v>
          </cell>
        </row>
      </sheetData>
      <sheetData sheetId="1679">
        <row r="1">
          <cell r="J1">
            <v>1.7453292519943295E-2</v>
          </cell>
        </row>
      </sheetData>
      <sheetData sheetId="1680">
        <row r="1">
          <cell r="J1">
            <v>1.7453292519943295E-2</v>
          </cell>
        </row>
      </sheetData>
      <sheetData sheetId="1681">
        <row r="1">
          <cell r="J1">
            <v>1.7453292519943295E-2</v>
          </cell>
        </row>
      </sheetData>
      <sheetData sheetId="1682">
        <row r="1">
          <cell r="J1">
            <v>1.7453292519943295E-2</v>
          </cell>
        </row>
      </sheetData>
      <sheetData sheetId="1683">
        <row r="1">
          <cell r="J1">
            <v>1.7453292519943295E-2</v>
          </cell>
        </row>
      </sheetData>
      <sheetData sheetId="1684">
        <row r="1">
          <cell r="J1">
            <v>1.7453292519943295E-2</v>
          </cell>
        </row>
      </sheetData>
      <sheetData sheetId="1685">
        <row r="1">
          <cell r="J1">
            <v>1.7453292519943295E-2</v>
          </cell>
        </row>
      </sheetData>
      <sheetData sheetId="1686">
        <row r="1">
          <cell r="J1">
            <v>1.7453292519943295E-2</v>
          </cell>
        </row>
      </sheetData>
      <sheetData sheetId="1687">
        <row r="1">
          <cell r="J1">
            <v>1.7453292519943295E-2</v>
          </cell>
        </row>
      </sheetData>
      <sheetData sheetId="1688">
        <row r="1">
          <cell r="J1">
            <v>1.7453292519943295E-2</v>
          </cell>
        </row>
      </sheetData>
      <sheetData sheetId="1689">
        <row r="1">
          <cell r="J1">
            <v>1.7453292519943295E-2</v>
          </cell>
        </row>
      </sheetData>
      <sheetData sheetId="1690">
        <row r="1">
          <cell r="J1">
            <v>1.7453292519943295E-2</v>
          </cell>
        </row>
      </sheetData>
      <sheetData sheetId="1691">
        <row r="1">
          <cell r="J1">
            <v>1.7453292519943295E-2</v>
          </cell>
        </row>
      </sheetData>
      <sheetData sheetId="1692">
        <row r="1">
          <cell r="J1">
            <v>1.7453292519943295E-2</v>
          </cell>
        </row>
      </sheetData>
      <sheetData sheetId="1693">
        <row r="1">
          <cell r="J1">
            <v>1.7453292519943295E-2</v>
          </cell>
        </row>
      </sheetData>
      <sheetData sheetId="1694">
        <row r="1">
          <cell r="J1">
            <v>1.7453292519943295E-2</v>
          </cell>
        </row>
      </sheetData>
      <sheetData sheetId="1695">
        <row r="1">
          <cell r="J1">
            <v>1.7453292519943295E-2</v>
          </cell>
        </row>
      </sheetData>
      <sheetData sheetId="1696">
        <row r="1">
          <cell r="J1">
            <v>1.7453292519943295E-2</v>
          </cell>
        </row>
      </sheetData>
      <sheetData sheetId="1697">
        <row r="1">
          <cell r="J1">
            <v>1.7453292519943295E-2</v>
          </cell>
        </row>
      </sheetData>
      <sheetData sheetId="1698">
        <row r="1">
          <cell r="J1">
            <v>1.7453292519943295E-2</v>
          </cell>
        </row>
      </sheetData>
      <sheetData sheetId="1699">
        <row r="1">
          <cell r="J1">
            <v>1.7453292519943295E-2</v>
          </cell>
        </row>
      </sheetData>
      <sheetData sheetId="1700">
        <row r="1">
          <cell r="J1">
            <v>1.7453292519943295E-2</v>
          </cell>
        </row>
      </sheetData>
      <sheetData sheetId="1701">
        <row r="1">
          <cell r="J1">
            <v>1.7453292519943295E-2</v>
          </cell>
        </row>
      </sheetData>
      <sheetData sheetId="1702">
        <row r="1">
          <cell r="J1">
            <v>1.7453292519943295E-2</v>
          </cell>
        </row>
      </sheetData>
      <sheetData sheetId="1703">
        <row r="1">
          <cell r="J1">
            <v>1.7453292519943295E-2</v>
          </cell>
        </row>
      </sheetData>
      <sheetData sheetId="1704">
        <row r="1">
          <cell r="J1">
            <v>1.7453292519943295E-2</v>
          </cell>
        </row>
      </sheetData>
      <sheetData sheetId="1705">
        <row r="1">
          <cell r="J1">
            <v>1.7453292519943295E-2</v>
          </cell>
        </row>
      </sheetData>
      <sheetData sheetId="1706">
        <row r="1">
          <cell r="J1">
            <v>1.7453292519943295E-2</v>
          </cell>
        </row>
      </sheetData>
      <sheetData sheetId="1707">
        <row r="1">
          <cell r="J1">
            <v>1.7453292519943295E-2</v>
          </cell>
        </row>
      </sheetData>
      <sheetData sheetId="1708">
        <row r="1">
          <cell r="J1">
            <v>1.7453292519943295E-2</v>
          </cell>
        </row>
      </sheetData>
      <sheetData sheetId="1709">
        <row r="1">
          <cell r="J1">
            <v>1.7453292519943295E-2</v>
          </cell>
        </row>
      </sheetData>
      <sheetData sheetId="1710">
        <row r="1">
          <cell r="J1">
            <v>1.7453292519943295E-2</v>
          </cell>
        </row>
      </sheetData>
      <sheetData sheetId="1711">
        <row r="1">
          <cell r="J1">
            <v>1.7453292519943295E-2</v>
          </cell>
        </row>
      </sheetData>
      <sheetData sheetId="1712">
        <row r="1">
          <cell r="J1">
            <v>1.7453292519943295E-2</v>
          </cell>
        </row>
      </sheetData>
      <sheetData sheetId="1713">
        <row r="1">
          <cell r="J1">
            <v>1.7453292519943295E-2</v>
          </cell>
        </row>
      </sheetData>
      <sheetData sheetId="1714">
        <row r="1">
          <cell r="J1">
            <v>1.7453292519943295E-2</v>
          </cell>
        </row>
      </sheetData>
      <sheetData sheetId="1715">
        <row r="1">
          <cell r="J1">
            <v>1.7453292519943295E-2</v>
          </cell>
        </row>
      </sheetData>
      <sheetData sheetId="1716">
        <row r="1">
          <cell r="J1">
            <v>1.7453292519943295E-2</v>
          </cell>
        </row>
      </sheetData>
      <sheetData sheetId="1717">
        <row r="1">
          <cell r="J1">
            <v>1.7453292519943295E-2</v>
          </cell>
        </row>
      </sheetData>
      <sheetData sheetId="1718">
        <row r="1">
          <cell r="J1">
            <v>1.7453292519943295E-2</v>
          </cell>
        </row>
      </sheetData>
      <sheetData sheetId="1719">
        <row r="1">
          <cell r="J1">
            <v>1.7453292519943295E-2</v>
          </cell>
        </row>
      </sheetData>
      <sheetData sheetId="1720">
        <row r="1">
          <cell r="J1">
            <v>1.7453292519943295E-2</v>
          </cell>
        </row>
      </sheetData>
      <sheetData sheetId="1721">
        <row r="1">
          <cell r="J1">
            <v>1.7453292519943295E-2</v>
          </cell>
        </row>
      </sheetData>
      <sheetData sheetId="1722">
        <row r="1">
          <cell r="J1">
            <v>1.7453292519943295E-2</v>
          </cell>
        </row>
      </sheetData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1">
          <cell r="J1">
            <v>1.7453292519943295E-2</v>
          </cell>
        </row>
      </sheetData>
      <sheetData sheetId="1815">
        <row r="1">
          <cell r="J1">
            <v>1.7453292519943295E-2</v>
          </cell>
        </row>
      </sheetData>
      <sheetData sheetId="1816">
        <row r="1">
          <cell r="J1">
            <v>1.7453292519943295E-2</v>
          </cell>
        </row>
      </sheetData>
      <sheetData sheetId="1817">
        <row r="1">
          <cell r="J1">
            <v>1.7453292519943295E-2</v>
          </cell>
        </row>
      </sheetData>
      <sheetData sheetId="1818">
        <row r="1">
          <cell r="J1">
            <v>1.7453292519943295E-2</v>
          </cell>
        </row>
      </sheetData>
      <sheetData sheetId="1819">
        <row r="1">
          <cell r="J1">
            <v>1.7453292519943295E-2</v>
          </cell>
        </row>
      </sheetData>
      <sheetData sheetId="1820">
        <row r="1">
          <cell r="J1">
            <v>1.7453292519943295E-2</v>
          </cell>
        </row>
      </sheetData>
      <sheetData sheetId="1821">
        <row r="1">
          <cell r="J1">
            <v>1.7453292519943295E-2</v>
          </cell>
        </row>
      </sheetData>
      <sheetData sheetId="1822">
        <row r="1">
          <cell r="J1">
            <v>1.7453292519943295E-2</v>
          </cell>
        </row>
      </sheetData>
      <sheetData sheetId="1823">
        <row r="1">
          <cell r="J1">
            <v>1.7453292519943295E-2</v>
          </cell>
        </row>
      </sheetData>
      <sheetData sheetId="1824">
        <row r="1">
          <cell r="J1">
            <v>1.7453292519943295E-2</v>
          </cell>
        </row>
      </sheetData>
      <sheetData sheetId="1825">
        <row r="1">
          <cell r="J1">
            <v>1.7453292519943295E-2</v>
          </cell>
        </row>
      </sheetData>
      <sheetData sheetId="1826">
        <row r="1">
          <cell r="J1">
            <v>1.7453292519943295E-2</v>
          </cell>
        </row>
      </sheetData>
      <sheetData sheetId="1827">
        <row r="1">
          <cell r="J1">
            <v>1.7453292519943295E-2</v>
          </cell>
        </row>
      </sheetData>
      <sheetData sheetId="1828">
        <row r="1">
          <cell r="J1">
            <v>1.7453292519943295E-2</v>
          </cell>
        </row>
      </sheetData>
      <sheetData sheetId="1829">
        <row r="1">
          <cell r="J1">
            <v>1.7453292519943295E-2</v>
          </cell>
        </row>
      </sheetData>
      <sheetData sheetId="1830">
        <row r="1">
          <cell r="J1">
            <v>1.7453292519943295E-2</v>
          </cell>
        </row>
      </sheetData>
      <sheetData sheetId="1831">
        <row r="1">
          <cell r="J1">
            <v>1.7453292519943295E-2</v>
          </cell>
        </row>
      </sheetData>
      <sheetData sheetId="1832">
        <row r="1">
          <cell r="J1">
            <v>1.7453292519943295E-2</v>
          </cell>
        </row>
      </sheetData>
      <sheetData sheetId="1833">
        <row r="1">
          <cell r="J1">
            <v>1.7453292519943295E-2</v>
          </cell>
        </row>
      </sheetData>
      <sheetData sheetId="1834">
        <row r="1">
          <cell r="J1">
            <v>1.7453292519943295E-2</v>
          </cell>
        </row>
      </sheetData>
      <sheetData sheetId="1835">
        <row r="1">
          <cell r="J1">
            <v>1.7453292519943295E-2</v>
          </cell>
        </row>
      </sheetData>
      <sheetData sheetId="1836">
        <row r="1">
          <cell r="J1">
            <v>1.7453292519943295E-2</v>
          </cell>
        </row>
      </sheetData>
      <sheetData sheetId="1837">
        <row r="1">
          <cell r="J1">
            <v>1.7453292519943295E-2</v>
          </cell>
        </row>
      </sheetData>
      <sheetData sheetId="1838">
        <row r="1">
          <cell r="J1">
            <v>1.7453292519943295E-2</v>
          </cell>
        </row>
      </sheetData>
      <sheetData sheetId="1839">
        <row r="1">
          <cell r="J1">
            <v>1.7453292519943295E-2</v>
          </cell>
        </row>
      </sheetData>
      <sheetData sheetId="1840">
        <row r="1">
          <cell r="J1">
            <v>1.7453292519943295E-2</v>
          </cell>
        </row>
      </sheetData>
      <sheetData sheetId="1841">
        <row r="1">
          <cell r="J1">
            <v>1.7453292519943295E-2</v>
          </cell>
        </row>
      </sheetData>
      <sheetData sheetId="1842">
        <row r="1">
          <cell r="J1">
            <v>1.7453292519943295E-2</v>
          </cell>
        </row>
      </sheetData>
      <sheetData sheetId="1843">
        <row r="1">
          <cell r="J1">
            <v>1.7453292519943295E-2</v>
          </cell>
        </row>
      </sheetData>
      <sheetData sheetId="1844">
        <row r="1">
          <cell r="J1">
            <v>1.7453292519943295E-2</v>
          </cell>
        </row>
      </sheetData>
      <sheetData sheetId="1845">
        <row r="1">
          <cell r="J1">
            <v>1.7453292519943295E-2</v>
          </cell>
        </row>
      </sheetData>
      <sheetData sheetId="1846">
        <row r="1">
          <cell r="J1">
            <v>1.7453292519943295E-2</v>
          </cell>
        </row>
      </sheetData>
      <sheetData sheetId="1847">
        <row r="1">
          <cell r="J1">
            <v>1.7453292519943295E-2</v>
          </cell>
        </row>
      </sheetData>
      <sheetData sheetId="1848">
        <row r="1">
          <cell r="J1">
            <v>1.7453292519943295E-2</v>
          </cell>
        </row>
      </sheetData>
      <sheetData sheetId="1849">
        <row r="1">
          <cell r="J1">
            <v>1.7453292519943295E-2</v>
          </cell>
        </row>
      </sheetData>
      <sheetData sheetId="1850">
        <row r="1">
          <cell r="J1">
            <v>1.7453292519943295E-2</v>
          </cell>
        </row>
      </sheetData>
      <sheetData sheetId="1851">
        <row r="1">
          <cell r="J1">
            <v>1.7453292519943295E-2</v>
          </cell>
        </row>
      </sheetData>
      <sheetData sheetId="1852">
        <row r="1">
          <cell r="J1">
            <v>1.7453292519943295E-2</v>
          </cell>
        </row>
      </sheetData>
      <sheetData sheetId="1853">
        <row r="1">
          <cell r="J1">
            <v>1.7453292519943295E-2</v>
          </cell>
        </row>
      </sheetData>
      <sheetData sheetId="1854">
        <row r="1">
          <cell r="J1">
            <v>1.7453292519943295E-2</v>
          </cell>
        </row>
      </sheetData>
      <sheetData sheetId="1855">
        <row r="1">
          <cell r="J1">
            <v>1.7453292519943295E-2</v>
          </cell>
        </row>
      </sheetData>
      <sheetData sheetId="1856">
        <row r="1">
          <cell r="J1">
            <v>1.7453292519943295E-2</v>
          </cell>
        </row>
      </sheetData>
      <sheetData sheetId="1857">
        <row r="1">
          <cell r="J1">
            <v>1.7453292519943295E-2</v>
          </cell>
        </row>
      </sheetData>
      <sheetData sheetId="1858">
        <row r="1">
          <cell r="J1">
            <v>1.7453292519943295E-2</v>
          </cell>
        </row>
      </sheetData>
      <sheetData sheetId="1859">
        <row r="1">
          <cell r="J1">
            <v>1.7453292519943295E-2</v>
          </cell>
        </row>
      </sheetData>
      <sheetData sheetId="1860">
        <row r="1">
          <cell r="J1">
            <v>1.7453292519943295E-2</v>
          </cell>
        </row>
      </sheetData>
      <sheetData sheetId="1861">
        <row r="1">
          <cell r="J1">
            <v>1.7453292519943295E-2</v>
          </cell>
        </row>
      </sheetData>
      <sheetData sheetId="1862">
        <row r="1">
          <cell r="J1">
            <v>1.7453292519943295E-2</v>
          </cell>
        </row>
      </sheetData>
      <sheetData sheetId="1863">
        <row r="1">
          <cell r="J1">
            <v>1.7453292519943295E-2</v>
          </cell>
        </row>
      </sheetData>
      <sheetData sheetId="1864">
        <row r="1">
          <cell r="J1">
            <v>1.7453292519943295E-2</v>
          </cell>
        </row>
      </sheetData>
      <sheetData sheetId="1865">
        <row r="1">
          <cell r="J1">
            <v>1.7453292519943295E-2</v>
          </cell>
        </row>
      </sheetData>
      <sheetData sheetId="1866">
        <row r="1">
          <cell r="J1">
            <v>1.7453292519943295E-2</v>
          </cell>
        </row>
      </sheetData>
      <sheetData sheetId="1867">
        <row r="1">
          <cell r="J1">
            <v>1.7453292519943295E-2</v>
          </cell>
        </row>
      </sheetData>
      <sheetData sheetId="1868">
        <row r="1">
          <cell r="J1">
            <v>1.7453292519943295E-2</v>
          </cell>
        </row>
      </sheetData>
      <sheetData sheetId="1869">
        <row r="1">
          <cell r="J1">
            <v>1.7453292519943295E-2</v>
          </cell>
        </row>
      </sheetData>
      <sheetData sheetId="1870">
        <row r="1">
          <cell r="J1">
            <v>1.7453292519943295E-2</v>
          </cell>
        </row>
      </sheetData>
      <sheetData sheetId="1871">
        <row r="1">
          <cell r="J1">
            <v>1.7453292519943295E-2</v>
          </cell>
        </row>
      </sheetData>
      <sheetData sheetId="1872">
        <row r="1">
          <cell r="J1">
            <v>1.7453292519943295E-2</v>
          </cell>
        </row>
      </sheetData>
      <sheetData sheetId="1873">
        <row r="1">
          <cell r="J1">
            <v>1.7453292519943295E-2</v>
          </cell>
        </row>
      </sheetData>
      <sheetData sheetId="1874">
        <row r="1">
          <cell r="J1">
            <v>1.7453292519943295E-2</v>
          </cell>
        </row>
      </sheetData>
      <sheetData sheetId="1875">
        <row r="1">
          <cell r="J1">
            <v>1.7453292519943295E-2</v>
          </cell>
        </row>
      </sheetData>
      <sheetData sheetId="1876">
        <row r="1">
          <cell r="J1">
            <v>1.7453292519943295E-2</v>
          </cell>
        </row>
      </sheetData>
      <sheetData sheetId="1877">
        <row r="1">
          <cell r="J1">
            <v>1.7453292519943295E-2</v>
          </cell>
        </row>
      </sheetData>
      <sheetData sheetId="1878">
        <row r="1">
          <cell r="J1">
            <v>1.7453292519943295E-2</v>
          </cell>
        </row>
      </sheetData>
      <sheetData sheetId="1879">
        <row r="1">
          <cell r="J1">
            <v>1.7453292519943295E-2</v>
          </cell>
        </row>
      </sheetData>
      <sheetData sheetId="1880">
        <row r="1">
          <cell r="J1">
            <v>1.7453292519943295E-2</v>
          </cell>
        </row>
      </sheetData>
      <sheetData sheetId="1881">
        <row r="1">
          <cell r="J1">
            <v>1.7453292519943295E-2</v>
          </cell>
        </row>
      </sheetData>
      <sheetData sheetId="1882">
        <row r="1">
          <cell r="J1">
            <v>1.7453292519943295E-2</v>
          </cell>
        </row>
      </sheetData>
      <sheetData sheetId="1883">
        <row r="1">
          <cell r="J1">
            <v>1.7453292519943295E-2</v>
          </cell>
        </row>
      </sheetData>
      <sheetData sheetId="1884">
        <row r="1">
          <cell r="J1">
            <v>1.7453292519943295E-2</v>
          </cell>
        </row>
      </sheetData>
      <sheetData sheetId="1885">
        <row r="1">
          <cell r="J1">
            <v>1.7453292519943295E-2</v>
          </cell>
        </row>
      </sheetData>
      <sheetData sheetId="1886">
        <row r="1">
          <cell r="J1">
            <v>1.7453292519943295E-2</v>
          </cell>
        </row>
      </sheetData>
      <sheetData sheetId="1887">
        <row r="1">
          <cell r="J1">
            <v>1.7453292519943295E-2</v>
          </cell>
        </row>
      </sheetData>
      <sheetData sheetId="1888">
        <row r="1">
          <cell r="J1">
            <v>1.7453292519943295E-2</v>
          </cell>
        </row>
      </sheetData>
      <sheetData sheetId="1889">
        <row r="1">
          <cell r="J1">
            <v>1.7453292519943295E-2</v>
          </cell>
        </row>
      </sheetData>
      <sheetData sheetId="1890">
        <row r="1">
          <cell r="J1">
            <v>1.7453292519943295E-2</v>
          </cell>
        </row>
      </sheetData>
      <sheetData sheetId="1891">
        <row r="1">
          <cell r="J1">
            <v>1.7453292519943295E-2</v>
          </cell>
        </row>
      </sheetData>
      <sheetData sheetId="1892">
        <row r="1">
          <cell r="J1">
            <v>1.7453292519943295E-2</v>
          </cell>
        </row>
      </sheetData>
      <sheetData sheetId="1893">
        <row r="1">
          <cell r="J1">
            <v>1.7453292519943295E-2</v>
          </cell>
        </row>
      </sheetData>
      <sheetData sheetId="1894">
        <row r="1">
          <cell r="J1">
            <v>1.7453292519943295E-2</v>
          </cell>
        </row>
      </sheetData>
      <sheetData sheetId="1895">
        <row r="1">
          <cell r="J1">
            <v>1.7453292519943295E-2</v>
          </cell>
        </row>
      </sheetData>
      <sheetData sheetId="1896">
        <row r="1">
          <cell r="J1">
            <v>1.7453292519943295E-2</v>
          </cell>
        </row>
      </sheetData>
      <sheetData sheetId="1897">
        <row r="1">
          <cell r="J1">
            <v>1.7453292519943295E-2</v>
          </cell>
        </row>
      </sheetData>
      <sheetData sheetId="1898">
        <row r="1">
          <cell r="J1">
            <v>1.7453292519943295E-2</v>
          </cell>
        </row>
      </sheetData>
      <sheetData sheetId="1899">
        <row r="1">
          <cell r="J1">
            <v>1.7453292519943295E-2</v>
          </cell>
        </row>
      </sheetData>
      <sheetData sheetId="1900">
        <row r="1">
          <cell r="J1">
            <v>1.7453292519943295E-2</v>
          </cell>
        </row>
      </sheetData>
      <sheetData sheetId="1901">
        <row r="1">
          <cell r="J1">
            <v>1.7453292519943295E-2</v>
          </cell>
        </row>
      </sheetData>
      <sheetData sheetId="1902">
        <row r="1">
          <cell r="J1">
            <v>1.7453292519943295E-2</v>
          </cell>
        </row>
      </sheetData>
      <sheetData sheetId="1903">
        <row r="1">
          <cell r="J1">
            <v>1.7453292519943295E-2</v>
          </cell>
        </row>
      </sheetData>
      <sheetData sheetId="1904">
        <row r="1">
          <cell r="J1">
            <v>1.7453292519943295E-2</v>
          </cell>
        </row>
      </sheetData>
      <sheetData sheetId="1905">
        <row r="1">
          <cell r="J1">
            <v>1.7453292519943295E-2</v>
          </cell>
        </row>
      </sheetData>
      <sheetData sheetId="1906">
        <row r="1">
          <cell r="J1">
            <v>1.7453292519943295E-2</v>
          </cell>
        </row>
      </sheetData>
      <sheetData sheetId="1907">
        <row r="1">
          <cell r="J1">
            <v>1.7453292519943295E-2</v>
          </cell>
        </row>
      </sheetData>
      <sheetData sheetId="1908">
        <row r="1">
          <cell r="J1">
            <v>1.7453292519943295E-2</v>
          </cell>
        </row>
      </sheetData>
      <sheetData sheetId="1909">
        <row r="1">
          <cell r="J1">
            <v>1.7453292519943295E-2</v>
          </cell>
        </row>
      </sheetData>
      <sheetData sheetId="1910">
        <row r="1">
          <cell r="J1">
            <v>1.7453292519943295E-2</v>
          </cell>
        </row>
      </sheetData>
      <sheetData sheetId="1911">
        <row r="1">
          <cell r="J1">
            <v>1.7453292519943295E-2</v>
          </cell>
        </row>
      </sheetData>
      <sheetData sheetId="1912">
        <row r="1">
          <cell r="J1">
            <v>1.7453292519943295E-2</v>
          </cell>
        </row>
      </sheetData>
      <sheetData sheetId="1913">
        <row r="1">
          <cell r="J1">
            <v>1.7453292519943295E-2</v>
          </cell>
        </row>
      </sheetData>
      <sheetData sheetId="1914">
        <row r="1">
          <cell r="J1">
            <v>1.7453292519943295E-2</v>
          </cell>
        </row>
      </sheetData>
      <sheetData sheetId="1915">
        <row r="1">
          <cell r="J1">
            <v>1.7453292519943295E-2</v>
          </cell>
        </row>
      </sheetData>
      <sheetData sheetId="1916">
        <row r="1">
          <cell r="J1">
            <v>1.7453292519943295E-2</v>
          </cell>
        </row>
      </sheetData>
      <sheetData sheetId="1917">
        <row r="1">
          <cell r="J1">
            <v>1.7453292519943295E-2</v>
          </cell>
        </row>
      </sheetData>
      <sheetData sheetId="1918">
        <row r="1">
          <cell r="J1">
            <v>1.7453292519943295E-2</v>
          </cell>
        </row>
      </sheetData>
      <sheetData sheetId="1919">
        <row r="1">
          <cell r="J1">
            <v>1.7453292519943295E-2</v>
          </cell>
        </row>
      </sheetData>
      <sheetData sheetId="1920">
        <row r="1">
          <cell r="J1">
            <v>1.7453292519943295E-2</v>
          </cell>
        </row>
      </sheetData>
      <sheetData sheetId="1921">
        <row r="1">
          <cell r="J1">
            <v>1.7453292519943295E-2</v>
          </cell>
        </row>
      </sheetData>
      <sheetData sheetId="1922">
        <row r="1">
          <cell r="J1">
            <v>1.7453292519943295E-2</v>
          </cell>
        </row>
      </sheetData>
      <sheetData sheetId="1923">
        <row r="1">
          <cell r="J1">
            <v>1.7453292519943295E-2</v>
          </cell>
        </row>
      </sheetData>
      <sheetData sheetId="1924">
        <row r="1">
          <cell r="J1">
            <v>1.7453292519943295E-2</v>
          </cell>
        </row>
      </sheetData>
      <sheetData sheetId="1925">
        <row r="1">
          <cell r="J1">
            <v>1.7453292519943295E-2</v>
          </cell>
        </row>
      </sheetData>
      <sheetData sheetId="1926">
        <row r="1">
          <cell r="J1">
            <v>1.7453292519943295E-2</v>
          </cell>
        </row>
      </sheetData>
      <sheetData sheetId="1927">
        <row r="1">
          <cell r="J1">
            <v>1.7453292519943295E-2</v>
          </cell>
        </row>
      </sheetData>
      <sheetData sheetId="1928">
        <row r="1">
          <cell r="J1">
            <v>1.7453292519943295E-2</v>
          </cell>
        </row>
      </sheetData>
      <sheetData sheetId="1929">
        <row r="1">
          <cell r="J1">
            <v>1.7453292519943295E-2</v>
          </cell>
        </row>
      </sheetData>
      <sheetData sheetId="1930">
        <row r="1">
          <cell r="J1">
            <v>1.7453292519943295E-2</v>
          </cell>
        </row>
      </sheetData>
      <sheetData sheetId="1931">
        <row r="1">
          <cell r="J1">
            <v>1.7453292519943295E-2</v>
          </cell>
        </row>
      </sheetData>
      <sheetData sheetId="1932">
        <row r="1">
          <cell r="J1">
            <v>1.7453292519943295E-2</v>
          </cell>
        </row>
      </sheetData>
      <sheetData sheetId="1933">
        <row r="1">
          <cell r="J1">
            <v>1.7453292519943295E-2</v>
          </cell>
        </row>
      </sheetData>
      <sheetData sheetId="1934">
        <row r="1">
          <cell r="J1">
            <v>1.7453292519943295E-2</v>
          </cell>
        </row>
      </sheetData>
      <sheetData sheetId="1935">
        <row r="1">
          <cell r="J1">
            <v>1.7453292519943295E-2</v>
          </cell>
        </row>
      </sheetData>
      <sheetData sheetId="1936">
        <row r="1">
          <cell r="J1">
            <v>1.7453292519943295E-2</v>
          </cell>
        </row>
      </sheetData>
      <sheetData sheetId="1937">
        <row r="1">
          <cell r="J1">
            <v>1.7453292519943295E-2</v>
          </cell>
        </row>
      </sheetData>
      <sheetData sheetId="1938">
        <row r="1">
          <cell r="J1">
            <v>1.7453292519943295E-2</v>
          </cell>
        </row>
      </sheetData>
      <sheetData sheetId="1939">
        <row r="1">
          <cell r="J1">
            <v>1.7453292519943295E-2</v>
          </cell>
        </row>
      </sheetData>
      <sheetData sheetId="1940">
        <row r="1">
          <cell r="J1">
            <v>1.7453292519943295E-2</v>
          </cell>
        </row>
      </sheetData>
      <sheetData sheetId="1941">
        <row r="1">
          <cell r="J1">
            <v>1.7453292519943295E-2</v>
          </cell>
        </row>
      </sheetData>
      <sheetData sheetId="1942">
        <row r="1">
          <cell r="J1">
            <v>1.7453292519943295E-2</v>
          </cell>
        </row>
      </sheetData>
      <sheetData sheetId="1943">
        <row r="1">
          <cell r="J1">
            <v>1.7453292519943295E-2</v>
          </cell>
        </row>
      </sheetData>
      <sheetData sheetId="1944">
        <row r="1">
          <cell r="J1">
            <v>1.7453292519943295E-2</v>
          </cell>
        </row>
      </sheetData>
      <sheetData sheetId="1945">
        <row r="1">
          <cell r="J1">
            <v>1.7453292519943295E-2</v>
          </cell>
        </row>
      </sheetData>
      <sheetData sheetId="1946">
        <row r="1">
          <cell r="J1">
            <v>1.7453292519943295E-2</v>
          </cell>
        </row>
      </sheetData>
      <sheetData sheetId="1947">
        <row r="1">
          <cell r="J1">
            <v>1.7453292519943295E-2</v>
          </cell>
        </row>
      </sheetData>
      <sheetData sheetId="1948">
        <row r="1">
          <cell r="J1">
            <v>1.7453292519943295E-2</v>
          </cell>
        </row>
      </sheetData>
      <sheetData sheetId="1949">
        <row r="1">
          <cell r="J1">
            <v>1.7453292519943295E-2</v>
          </cell>
        </row>
      </sheetData>
      <sheetData sheetId="1950">
        <row r="1">
          <cell r="J1">
            <v>1.7453292519943295E-2</v>
          </cell>
        </row>
      </sheetData>
      <sheetData sheetId="1951">
        <row r="1">
          <cell r="J1">
            <v>1.7453292519943295E-2</v>
          </cell>
        </row>
      </sheetData>
      <sheetData sheetId="1952">
        <row r="1">
          <cell r="J1">
            <v>1.7453292519943295E-2</v>
          </cell>
        </row>
      </sheetData>
      <sheetData sheetId="1953">
        <row r="1">
          <cell r="J1">
            <v>1.7453292519943295E-2</v>
          </cell>
        </row>
      </sheetData>
      <sheetData sheetId="1954">
        <row r="1">
          <cell r="J1">
            <v>1.7453292519943295E-2</v>
          </cell>
        </row>
      </sheetData>
      <sheetData sheetId="1955">
        <row r="1">
          <cell r="J1">
            <v>1.7453292519943295E-2</v>
          </cell>
        </row>
      </sheetData>
      <sheetData sheetId="1956">
        <row r="1">
          <cell r="J1">
            <v>1.7453292519943295E-2</v>
          </cell>
        </row>
      </sheetData>
      <sheetData sheetId="1957">
        <row r="1">
          <cell r="J1">
            <v>1.7453292519943295E-2</v>
          </cell>
        </row>
      </sheetData>
      <sheetData sheetId="1958">
        <row r="1">
          <cell r="J1">
            <v>1.7453292519943295E-2</v>
          </cell>
        </row>
      </sheetData>
      <sheetData sheetId="1959">
        <row r="1">
          <cell r="J1">
            <v>1.7453292519943295E-2</v>
          </cell>
        </row>
      </sheetData>
      <sheetData sheetId="1960">
        <row r="1">
          <cell r="J1">
            <v>1.7453292519943295E-2</v>
          </cell>
        </row>
      </sheetData>
      <sheetData sheetId="1961">
        <row r="1">
          <cell r="J1">
            <v>1.7453292519943295E-2</v>
          </cell>
        </row>
      </sheetData>
      <sheetData sheetId="1962">
        <row r="1">
          <cell r="J1">
            <v>1.7453292519943295E-2</v>
          </cell>
        </row>
      </sheetData>
      <sheetData sheetId="1963">
        <row r="1">
          <cell r="J1">
            <v>1.7453292519943295E-2</v>
          </cell>
        </row>
      </sheetData>
      <sheetData sheetId="1964">
        <row r="1">
          <cell r="J1">
            <v>1.7453292519943295E-2</v>
          </cell>
        </row>
      </sheetData>
      <sheetData sheetId="1965">
        <row r="1">
          <cell r="J1">
            <v>1.7453292519943295E-2</v>
          </cell>
        </row>
      </sheetData>
      <sheetData sheetId="1966">
        <row r="1">
          <cell r="J1">
            <v>1.7453292519943295E-2</v>
          </cell>
        </row>
      </sheetData>
      <sheetData sheetId="1967">
        <row r="1">
          <cell r="J1">
            <v>1.7453292519943295E-2</v>
          </cell>
        </row>
      </sheetData>
      <sheetData sheetId="1968">
        <row r="1">
          <cell r="J1">
            <v>1.7453292519943295E-2</v>
          </cell>
        </row>
      </sheetData>
      <sheetData sheetId="1969">
        <row r="1">
          <cell r="J1">
            <v>1.7453292519943295E-2</v>
          </cell>
        </row>
      </sheetData>
      <sheetData sheetId="1970">
        <row r="1">
          <cell r="J1">
            <v>1.7453292519943295E-2</v>
          </cell>
        </row>
      </sheetData>
      <sheetData sheetId="1971">
        <row r="1">
          <cell r="J1">
            <v>1.7453292519943295E-2</v>
          </cell>
        </row>
      </sheetData>
      <sheetData sheetId="1972">
        <row r="1">
          <cell r="J1">
            <v>1.7453292519943295E-2</v>
          </cell>
        </row>
      </sheetData>
      <sheetData sheetId="1973">
        <row r="1">
          <cell r="J1">
            <v>1.7453292519943295E-2</v>
          </cell>
        </row>
      </sheetData>
      <sheetData sheetId="1974">
        <row r="1">
          <cell r="J1">
            <v>1.7453292519943295E-2</v>
          </cell>
        </row>
      </sheetData>
      <sheetData sheetId="1975">
        <row r="1">
          <cell r="J1">
            <v>1.7453292519943295E-2</v>
          </cell>
        </row>
      </sheetData>
      <sheetData sheetId="1976">
        <row r="1">
          <cell r="J1">
            <v>1.7453292519943295E-2</v>
          </cell>
        </row>
      </sheetData>
      <sheetData sheetId="1977">
        <row r="1">
          <cell r="J1">
            <v>1.7453292519943295E-2</v>
          </cell>
        </row>
      </sheetData>
      <sheetData sheetId="1978">
        <row r="1">
          <cell r="J1">
            <v>1.7453292519943295E-2</v>
          </cell>
        </row>
      </sheetData>
      <sheetData sheetId="1979">
        <row r="1">
          <cell r="J1">
            <v>1.7453292519943295E-2</v>
          </cell>
        </row>
      </sheetData>
      <sheetData sheetId="1980">
        <row r="1">
          <cell r="J1">
            <v>1.7453292519943295E-2</v>
          </cell>
        </row>
      </sheetData>
      <sheetData sheetId="1981">
        <row r="1">
          <cell r="J1">
            <v>1.7453292519943295E-2</v>
          </cell>
        </row>
      </sheetData>
      <sheetData sheetId="1982">
        <row r="1">
          <cell r="J1">
            <v>1.7453292519943295E-2</v>
          </cell>
        </row>
      </sheetData>
      <sheetData sheetId="1983">
        <row r="1">
          <cell r="J1">
            <v>1.7453292519943295E-2</v>
          </cell>
        </row>
      </sheetData>
      <sheetData sheetId="1984">
        <row r="1">
          <cell r="J1">
            <v>1.7453292519943295E-2</v>
          </cell>
        </row>
      </sheetData>
      <sheetData sheetId="1985">
        <row r="1">
          <cell r="J1">
            <v>1.7453292519943295E-2</v>
          </cell>
        </row>
      </sheetData>
      <sheetData sheetId="1986">
        <row r="1">
          <cell r="J1">
            <v>1.7453292519943295E-2</v>
          </cell>
        </row>
      </sheetData>
      <sheetData sheetId="1987">
        <row r="1">
          <cell r="J1">
            <v>1.7453292519943295E-2</v>
          </cell>
        </row>
      </sheetData>
      <sheetData sheetId="1988">
        <row r="1">
          <cell r="J1">
            <v>1.7453292519943295E-2</v>
          </cell>
        </row>
      </sheetData>
      <sheetData sheetId="1989">
        <row r="1">
          <cell r="J1">
            <v>1.7453292519943295E-2</v>
          </cell>
        </row>
      </sheetData>
      <sheetData sheetId="1990">
        <row r="1">
          <cell r="J1">
            <v>1.7453292519943295E-2</v>
          </cell>
        </row>
      </sheetData>
      <sheetData sheetId="1991">
        <row r="1">
          <cell r="J1">
            <v>1.7453292519943295E-2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>
        <row r="1">
          <cell r="J1">
            <v>1.7453292519943295E-2</v>
          </cell>
        </row>
      </sheetData>
      <sheetData sheetId="2009">
        <row r="1">
          <cell r="J1">
            <v>1.7453292519943295E-2</v>
          </cell>
        </row>
      </sheetData>
      <sheetData sheetId="2010">
        <row r="1">
          <cell r="J1">
            <v>1.7453292519943295E-2</v>
          </cell>
        </row>
      </sheetData>
      <sheetData sheetId="2011">
        <row r="1">
          <cell r="J1">
            <v>1.7453292519943295E-2</v>
          </cell>
        </row>
      </sheetData>
      <sheetData sheetId="2012">
        <row r="1">
          <cell r="J1">
            <v>1.7453292519943295E-2</v>
          </cell>
        </row>
      </sheetData>
      <sheetData sheetId="2013">
        <row r="1">
          <cell r="J1">
            <v>1.7453292519943295E-2</v>
          </cell>
        </row>
      </sheetData>
      <sheetData sheetId="2014">
        <row r="1">
          <cell r="J1">
            <v>1.7453292519943295E-2</v>
          </cell>
        </row>
      </sheetData>
      <sheetData sheetId="2015">
        <row r="1">
          <cell r="J1">
            <v>1.7453292519943295E-2</v>
          </cell>
        </row>
      </sheetData>
      <sheetData sheetId="2016">
        <row r="1">
          <cell r="J1">
            <v>1.7453292519943295E-2</v>
          </cell>
        </row>
      </sheetData>
      <sheetData sheetId="2017">
        <row r="1">
          <cell r="J1">
            <v>1.7453292519943295E-2</v>
          </cell>
        </row>
      </sheetData>
      <sheetData sheetId="2018">
        <row r="1">
          <cell r="J1">
            <v>1.7453292519943295E-2</v>
          </cell>
        </row>
      </sheetData>
      <sheetData sheetId="2019">
        <row r="1">
          <cell r="J1">
            <v>1.7453292519943295E-2</v>
          </cell>
        </row>
      </sheetData>
      <sheetData sheetId="2020">
        <row r="1">
          <cell r="J1">
            <v>1.7453292519943295E-2</v>
          </cell>
        </row>
      </sheetData>
      <sheetData sheetId="2021">
        <row r="1">
          <cell r="J1">
            <v>1.7453292519943295E-2</v>
          </cell>
        </row>
      </sheetData>
      <sheetData sheetId="2022">
        <row r="1">
          <cell r="J1">
            <v>1.7453292519943295E-2</v>
          </cell>
        </row>
      </sheetData>
      <sheetData sheetId="2023">
        <row r="1">
          <cell r="J1">
            <v>1.7453292519943295E-2</v>
          </cell>
        </row>
      </sheetData>
      <sheetData sheetId="2024">
        <row r="1">
          <cell r="J1">
            <v>1.7453292519943295E-2</v>
          </cell>
        </row>
      </sheetData>
      <sheetData sheetId="2025">
        <row r="1">
          <cell r="J1">
            <v>1.7453292519943295E-2</v>
          </cell>
        </row>
      </sheetData>
      <sheetData sheetId="2026">
        <row r="1">
          <cell r="J1">
            <v>1.7453292519943295E-2</v>
          </cell>
        </row>
      </sheetData>
      <sheetData sheetId="2027">
        <row r="1">
          <cell r="J1">
            <v>1.7453292519943295E-2</v>
          </cell>
        </row>
      </sheetData>
      <sheetData sheetId="2028">
        <row r="1">
          <cell r="J1">
            <v>1.7453292519943295E-2</v>
          </cell>
        </row>
      </sheetData>
      <sheetData sheetId="2029">
        <row r="1">
          <cell r="J1">
            <v>1.7453292519943295E-2</v>
          </cell>
        </row>
      </sheetData>
      <sheetData sheetId="2030">
        <row r="1">
          <cell r="J1">
            <v>1.7453292519943295E-2</v>
          </cell>
        </row>
      </sheetData>
      <sheetData sheetId="2031">
        <row r="1">
          <cell r="J1">
            <v>1.7453292519943295E-2</v>
          </cell>
        </row>
      </sheetData>
      <sheetData sheetId="2032">
        <row r="1">
          <cell r="J1">
            <v>1.7453292519943295E-2</v>
          </cell>
        </row>
      </sheetData>
      <sheetData sheetId="2033">
        <row r="1">
          <cell r="J1">
            <v>1.7453292519943295E-2</v>
          </cell>
        </row>
      </sheetData>
      <sheetData sheetId="2034">
        <row r="1">
          <cell r="J1">
            <v>1.7453292519943295E-2</v>
          </cell>
        </row>
      </sheetData>
      <sheetData sheetId="2035">
        <row r="1">
          <cell r="J1">
            <v>1.7453292519943295E-2</v>
          </cell>
        </row>
      </sheetData>
      <sheetData sheetId="2036">
        <row r="1">
          <cell r="J1">
            <v>1.7453292519943295E-2</v>
          </cell>
        </row>
      </sheetData>
      <sheetData sheetId="2037">
        <row r="1">
          <cell r="J1">
            <v>1.7453292519943295E-2</v>
          </cell>
        </row>
      </sheetData>
      <sheetData sheetId="2038">
        <row r="1">
          <cell r="J1">
            <v>1.7453292519943295E-2</v>
          </cell>
        </row>
      </sheetData>
      <sheetData sheetId="2039">
        <row r="1">
          <cell r="J1">
            <v>1.7453292519943295E-2</v>
          </cell>
        </row>
      </sheetData>
      <sheetData sheetId="2040">
        <row r="1">
          <cell r="J1">
            <v>1.7453292519943295E-2</v>
          </cell>
        </row>
      </sheetData>
      <sheetData sheetId="2041">
        <row r="1">
          <cell r="J1">
            <v>1.7453292519943295E-2</v>
          </cell>
        </row>
      </sheetData>
      <sheetData sheetId="2042">
        <row r="1">
          <cell r="J1">
            <v>1.7453292519943295E-2</v>
          </cell>
        </row>
      </sheetData>
      <sheetData sheetId="2043">
        <row r="1">
          <cell r="J1">
            <v>1.7453292519943295E-2</v>
          </cell>
        </row>
      </sheetData>
      <sheetData sheetId="2044">
        <row r="1">
          <cell r="J1">
            <v>1.7453292519943295E-2</v>
          </cell>
        </row>
      </sheetData>
      <sheetData sheetId="2045">
        <row r="1">
          <cell r="J1">
            <v>1.7453292519943295E-2</v>
          </cell>
        </row>
      </sheetData>
      <sheetData sheetId="2046">
        <row r="1">
          <cell r="J1">
            <v>1.7453292519943295E-2</v>
          </cell>
        </row>
      </sheetData>
      <sheetData sheetId="2047">
        <row r="1">
          <cell r="J1">
            <v>1.7453292519943295E-2</v>
          </cell>
        </row>
      </sheetData>
      <sheetData sheetId="2048">
        <row r="1">
          <cell r="J1">
            <v>1.7453292519943295E-2</v>
          </cell>
        </row>
      </sheetData>
      <sheetData sheetId="2049">
        <row r="1">
          <cell r="J1">
            <v>1.7453292519943295E-2</v>
          </cell>
        </row>
      </sheetData>
      <sheetData sheetId="2050">
        <row r="1">
          <cell r="J1">
            <v>1.7453292519943295E-2</v>
          </cell>
        </row>
      </sheetData>
      <sheetData sheetId="2051">
        <row r="1">
          <cell r="J1">
            <v>1.7453292519943295E-2</v>
          </cell>
        </row>
      </sheetData>
      <sheetData sheetId="2052">
        <row r="1">
          <cell r="J1">
            <v>1.7453292519943295E-2</v>
          </cell>
        </row>
      </sheetData>
      <sheetData sheetId="2053">
        <row r="1">
          <cell r="J1">
            <v>1.7453292519943295E-2</v>
          </cell>
        </row>
      </sheetData>
      <sheetData sheetId="2054">
        <row r="1">
          <cell r="J1">
            <v>1.7453292519943295E-2</v>
          </cell>
        </row>
      </sheetData>
      <sheetData sheetId="2055">
        <row r="1">
          <cell r="J1">
            <v>1.7453292519943295E-2</v>
          </cell>
        </row>
      </sheetData>
      <sheetData sheetId="2056">
        <row r="1">
          <cell r="J1">
            <v>1.7453292519943295E-2</v>
          </cell>
        </row>
      </sheetData>
      <sheetData sheetId="2057">
        <row r="1">
          <cell r="J1">
            <v>1.7453292519943295E-2</v>
          </cell>
        </row>
      </sheetData>
      <sheetData sheetId="2058">
        <row r="1">
          <cell r="J1">
            <v>1.7453292519943295E-2</v>
          </cell>
        </row>
      </sheetData>
      <sheetData sheetId="2059">
        <row r="1">
          <cell r="J1">
            <v>1.7453292519943295E-2</v>
          </cell>
        </row>
      </sheetData>
      <sheetData sheetId="2060">
        <row r="1">
          <cell r="J1">
            <v>1.7453292519943295E-2</v>
          </cell>
        </row>
      </sheetData>
      <sheetData sheetId="2061">
        <row r="1">
          <cell r="J1">
            <v>1.7453292519943295E-2</v>
          </cell>
        </row>
      </sheetData>
      <sheetData sheetId="2062">
        <row r="1">
          <cell r="J1">
            <v>1.7453292519943295E-2</v>
          </cell>
        </row>
      </sheetData>
      <sheetData sheetId="2063">
        <row r="1">
          <cell r="J1">
            <v>1.7453292519943295E-2</v>
          </cell>
        </row>
      </sheetData>
      <sheetData sheetId="2064">
        <row r="1">
          <cell r="J1">
            <v>1.7453292519943295E-2</v>
          </cell>
        </row>
      </sheetData>
      <sheetData sheetId="2065">
        <row r="1">
          <cell r="J1">
            <v>1.7453292519943295E-2</v>
          </cell>
        </row>
      </sheetData>
      <sheetData sheetId="2066">
        <row r="1">
          <cell r="J1">
            <v>1.7453292519943295E-2</v>
          </cell>
        </row>
      </sheetData>
      <sheetData sheetId="2067">
        <row r="1">
          <cell r="J1">
            <v>1.7453292519943295E-2</v>
          </cell>
        </row>
      </sheetData>
      <sheetData sheetId="2068">
        <row r="1">
          <cell r="J1">
            <v>1.7453292519943295E-2</v>
          </cell>
        </row>
      </sheetData>
      <sheetData sheetId="2069">
        <row r="1">
          <cell r="J1">
            <v>1.7453292519943295E-2</v>
          </cell>
        </row>
      </sheetData>
      <sheetData sheetId="2070">
        <row r="1">
          <cell r="J1">
            <v>1.7453292519943295E-2</v>
          </cell>
        </row>
      </sheetData>
      <sheetData sheetId="2071">
        <row r="1">
          <cell r="J1">
            <v>1.7453292519943295E-2</v>
          </cell>
        </row>
      </sheetData>
      <sheetData sheetId="2072">
        <row r="1">
          <cell r="J1">
            <v>1.7453292519943295E-2</v>
          </cell>
        </row>
      </sheetData>
      <sheetData sheetId="2073">
        <row r="1">
          <cell r="J1">
            <v>1.7453292519943295E-2</v>
          </cell>
        </row>
      </sheetData>
      <sheetData sheetId="2074">
        <row r="1">
          <cell r="J1">
            <v>1.7453292519943295E-2</v>
          </cell>
        </row>
      </sheetData>
      <sheetData sheetId="2075">
        <row r="1">
          <cell r="J1">
            <v>1.7453292519943295E-2</v>
          </cell>
        </row>
      </sheetData>
      <sheetData sheetId="2076">
        <row r="1">
          <cell r="J1">
            <v>1.7453292519943295E-2</v>
          </cell>
        </row>
      </sheetData>
      <sheetData sheetId="2077">
        <row r="1">
          <cell r="J1">
            <v>1.7453292519943295E-2</v>
          </cell>
        </row>
      </sheetData>
      <sheetData sheetId="2078">
        <row r="1">
          <cell r="J1">
            <v>1.7453292519943295E-2</v>
          </cell>
        </row>
      </sheetData>
      <sheetData sheetId="2079">
        <row r="1">
          <cell r="J1">
            <v>1.7453292519943295E-2</v>
          </cell>
        </row>
      </sheetData>
      <sheetData sheetId="2080">
        <row r="1">
          <cell r="J1">
            <v>1.7453292519943295E-2</v>
          </cell>
        </row>
      </sheetData>
      <sheetData sheetId="2081">
        <row r="1">
          <cell r="J1">
            <v>1.7453292519943295E-2</v>
          </cell>
        </row>
      </sheetData>
      <sheetData sheetId="2082">
        <row r="1">
          <cell r="J1">
            <v>1.7453292519943295E-2</v>
          </cell>
        </row>
      </sheetData>
      <sheetData sheetId="2083">
        <row r="1">
          <cell r="J1">
            <v>1.7453292519943295E-2</v>
          </cell>
        </row>
      </sheetData>
      <sheetData sheetId="2084">
        <row r="1">
          <cell r="J1">
            <v>1.7453292519943295E-2</v>
          </cell>
        </row>
      </sheetData>
      <sheetData sheetId="2085">
        <row r="1">
          <cell r="J1">
            <v>1.7453292519943295E-2</v>
          </cell>
        </row>
      </sheetData>
      <sheetData sheetId="2086">
        <row r="1">
          <cell r="J1">
            <v>1.7453292519943295E-2</v>
          </cell>
        </row>
      </sheetData>
      <sheetData sheetId="2087">
        <row r="1">
          <cell r="J1">
            <v>1.7453292519943295E-2</v>
          </cell>
        </row>
      </sheetData>
      <sheetData sheetId="2088">
        <row r="1">
          <cell r="J1">
            <v>1.7453292519943295E-2</v>
          </cell>
        </row>
      </sheetData>
      <sheetData sheetId="2089">
        <row r="1">
          <cell r="J1">
            <v>1.7453292519943295E-2</v>
          </cell>
        </row>
      </sheetData>
      <sheetData sheetId="2090">
        <row r="1">
          <cell r="J1">
            <v>1.7453292519943295E-2</v>
          </cell>
        </row>
      </sheetData>
      <sheetData sheetId="2091">
        <row r="1">
          <cell r="J1">
            <v>1.7453292519943295E-2</v>
          </cell>
        </row>
      </sheetData>
      <sheetData sheetId="2092">
        <row r="1">
          <cell r="J1">
            <v>1.7453292519943295E-2</v>
          </cell>
        </row>
      </sheetData>
      <sheetData sheetId="2093">
        <row r="1">
          <cell r="J1">
            <v>1.7453292519943295E-2</v>
          </cell>
        </row>
      </sheetData>
      <sheetData sheetId="2094">
        <row r="1">
          <cell r="J1">
            <v>1.7453292519943295E-2</v>
          </cell>
        </row>
      </sheetData>
      <sheetData sheetId="2095">
        <row r="1">
          <cell r="J1">
            <v>1.7453292519943295E-2</v>
          </cell>
        </row>
      </sheetData>
      <sheetData sheetId="2096">
        <row r="1">
          <cell r="J1">
            <v>1.7453292519943295E-2</v>
          </cell>
        </row>
      </sheetData>
      <sheetData sheetId="2097">
        <row r="1">
          <cell r="J1">
            <v>1.7453292519943295E-2</v>
          </cell>
        </row>
      </sheetData>
      <sheetData sheetId="2098">
        <row r="1">
          <cell r="J1">
            <v>1.7453292519943295E-2</v>
          </cell>
        </row>
      </sheetData>
      <sheetData sheetId="2099">
        <row r="1">
          <cell r="J1">
            <v>1.7453292519943295E-2</v>
          </cell>
        </row>
      </sheetData>
      <sheetData sheetId="2100">
        <row r="1">
          <cell r="J1">
            <v>1.7453292519943295E-2</v>
          </cell>
        </row>
      </sheetData>
      <sheetData sheetId="2101">
        <row r="1">
          <cell r="J1">
            <v>1.7453292519943295E-2</v>
          </cell>
        </row>
      </sheetData>
      <sheetData sheetId="2102">
        <row r="1">
          <cell r="J1">
            <v>1.7453292519943295E-2</v>
          </cell>
        </row>
      </sheetData>
      <sheetData sheetId="2103">
        <row r="1">
          <cell r="J1">
            <v>1.7453292519943295E-2</v>
          </cell>
        </row>
      </sheetData>
      <sheetData sheetId="2104">
        <row r="1">
          <cell r="J1">
            <v>1.7453292519943295E-2</v>
          </cell>
        </row>
      </sheetData>
      <sheetData sheetId="2105">
        <row r="1">
          <cell r="J1">
            <v>1.7453292519943295E-2</v>
          </cell>
        </row>
      </sheetData>
      <sheetData sheetId="2106">
        <row r="1">
          <cell r="J1">
            <v>1.7453292519943295E-2</v>
          </cell>
        </row>
      </sheetData>
      <sheetData sheetId="2107">
        <row r="1">
          <cell r="J1">
            <v>1.7453292519943295E-2</v>
          </cell>
        </row>
      </sheetData>
      <sheetData sheetId="2108">
        <row r="1">
          <cell r="J1">
            <v>1.7453292519943295E-2</v>
          </cell>
        </row>
      </sheetData>
      <sheetData sheetId="2109">
        <row r="1">
          <cell r="J1">
            <v>1.7453292519943295E-2</v>
          </cell>
        </row>
      </sheetData>
      <sheetData sheetId="2110">
        <row r="1">
          <cell r="J1">
            <v>1.7453292519943295E-2</v>
          </cell>
        </row>
      </sheetData>
      <sheetData sheetId="2111">
        <row r="1">
          <cell r="J1">
            <v>1.7453292519943295E-2</v>
          </cell>
        </row>
      </sheetData>
      <sheetData sheetId="2112">
        <row r="1">
          <cell r="J1">
            <v>1.7453292519943295E-2</v>
          </cell>
        </row>
      </sheetData>
      <sheetData sheetId="2113">
        <row r="1">
          <cell r="J1">
            <v>1.7453292519943295E-2</v>
          </cell>
        </row>
      </sheetData>
      <sheetData sheetId="2114">
        <row r="1">
          <cell r="J1">
            <v>1.7453292519943295E-2</v>
          </cell>
        </row>
      </sheetData>
      <sheetData sheetId="2115">
        <row r="1">
          <cell r="J1">
            <v>1.7453292519943295E-2</v>
          </cell>
        </row>
      </sheetData>
      <sheetData sheetId="2116">
        <row r="1">
          <cell r="J1">
            <v>1.7453292519943295E-2</v>
          </cell>
        </row>
      </sheetData>
      <sheetData sheetId="2117">
        <row r="1">
          <cell r="J1">
            <v>1.7453292519943295E-2</v>
          </cell>
        </row>
      </sheetData>
      <sheetData sheetId="2118">
        <row r="1">
          <cell r="J1">
            <v>1.7453292519943295E-2</v>
          </cell>
        </row>
      </sheetData>
      <sheetData sheetId="2119">
        <row r="1">
          <cell r="J1">
            <v>1.7453292519943295E-2</v>
          </cell>
        </row>
      </sheetData>
      <sheetData sheetId="2120">
        <row r="1">
          <cell r="J1">
            <v>1.7453292519943295E-2</v>
          </cell>
        </row>
      </sheetData>
      <sheetData sheetId="2121">
        <row r="1">
          <cell r="J1">
            <v>1.7453292519943295E-2</v>
          </cell>
        </row>
      </sheetData>
      <sheetData sheetId="2122">
        <row r="1">
          <cell r="J1">
            <v>1.7453292519943295E-2</v>
          </cell>
        </row>
      </sheetData>
      <sheetData sheetId="2123">
        <row r="1">
          <cell r="J1">
            <v>1.7453292519943295E-2</v>
          </cell>
        </row>
      </sheetData>
      <sheetData sheetId="2124">
        <row r="1">
          <cell r="J1">
            <v>1.7453292519943295E-2</v>
          </cell>
        </row>
      </sheetData>
      <sheetData sheetId="2125">
        <row r="1">
          <cell r="J1">
            <v>1.7453292519943295E-2</v>
          </cell>
        </row>
      </sheetData>
      <sheetData sheetId="2126">
        <row r="1">
          <cell r="J1">
            <v>1.7453292519943295E-2</v>
          </cell>
        </row>
      </sheetData>
      <sheetData sheetId="2127">
        <row r="1">
          <cell r="J1">
            <v>1.7453292519943295E-2</v>
          </cell>
        </row>
      </sheetData>
      <sheetData sheetId="2128">
        <row r="1">
          <cell r="J1">
            <v>1.7453292519943295E-2</v>
          </cell>
        </row>
      </sheetData>
      <sheetData sheetId="2129">
        <row r="1">
          <cell r="J1">
            <v>1.7453292519943295E-2</v>
          </cell>
        </row>
      </sheetData>
      <sheetData sheetId="2130">
        <row r="1">
          <cell r="J1">
            <v>1.7453292519943295E-2</v>
          </cell>
        </row>
      </sheetData>
      <sheetData sheetId="2131">
        <row r="1">
          <cell r="J1">
            <v>1.7453292519943295E-2</v>
          </cell>
        </row>
      </sheetData>
      <sheetData sheetId="2132">
        <row r="1">
          <cell r="J1">
            <v>1.7453292519943295E-2</v>
          </cell>
        </row>
      </sheetData>
      <sheetData sheetId="2133">
        <row r="1">
          <cell r="J1">
            <v>1.7453292519943295E-2</v>
          </cell>
        </row>
      </sheetData>
      <sheetData sheetId="2134">
        <row r="1">
          <cell r="J1">
            <v>1.7453292519943295E-2</v>
          </cell>
        </row>
      </sheetData>
      <sheetData sheetId="2135">
        <row r="1">
          <cell r="J1">
            <v>1.7453292519943295E-2</v>
          </cell>
        </row>
      </sheetData>
      <sheetData sheetId="2136">
        <row r="1">
          <cell r="J1">
            <v>1.7453292519943295E-2</v>
          </cell>
        </row>
      </sheetData>
      <sheetData sheetId="2137">
        <row r="1">
          <cell r="J1">
            <v>1.7453292519943295E-2</v>
          </cell>
        </row>
      </sheetData>
      <sheetData sheetId="2138">
        <row r="1">
          <cell r="J1">
            <v>1.7453292519943295E-2</v>
          </cell>
        </row>
      </sheetData>
      <sheetData sheetId="2139">
        <row r="1">
          <cell r="J1">
            <v>1.7453292519943295E-2</v>
          </cell>
        </row>
      </sheetData>
      <sheetData sheetId="2140">
        <row r="1">
          <cell r="J1">
            <v>1.7453292519943295E-2</v>
          </cell>
        </row>
      </sheetData>
      <sheetData sheetId="2141">
        <row r="1">
          <cell r="J1">
            <v>1.7453292519943295E-2</v>
          </cell>
        </row>
      </sheetData>
      <sheetData sheetId="2142">
        <row r="1">
          <cell r="J1">
            <v>1.7453292519943295E-2</v>
          </cell>
        </row>
      </sheetData>
      <sheetData sheetId="2143">
        <row r="1">
          <cell r="J1">
            <v>1.7453292519943295E-2</v>
          </cell>
        </row>
      </sheetData>
      <sheetData sheetId="2144">
        <row r="1">
          <cell r="J1">
            <v>1.7453292519943295E-2</v>
          </cell>
        </row>
      </sheetData>
      <sheetData sheetId="2145">
        <row r="1">
          <cell r="J1">
            <v>1.7453292519943295E-2</v>
          </cell>
        </row>
      </sheetData>
      <sheetData sheetId="2146">
        <row r="1">
          <cell r="J1">
            <v>1.7453292519943295E-2</v>
          </cell>
        </row>
      </sheetData>
      <sheetData sheetId="2147">
        <row r="1">
          <cell r="J1">
            <v>1.7453292519943295E-2</v>
          </cell>
        </row>
      </sheetData>
      <sheetData sheetId="2148">
        <row r="1">
          <cell r="J1">
            <v>1.7453292519943295E-2</v>
          </cell>
        </row>
      </sheetData>
      <sheetData sheetId="2149">
        <row r="1">
          <cell r="J1">
            <v>1.7453292519943295E-2</v>
          </cell>
        </row>
      </sheetData>
      <sheetData sheetId="2150">
        <row r="1">
          <cell r="J1">
            <v>1.7453292519943295E-2</v>
          </cell>
        </row>
      </sheetData>
      <sheetData sheetId="2151">
        <row r="1">
          <cell r="J1">
            <v>1.7453292519943295E-2</v>
          </cell>
        </row>
      </sheetData>
      <sheetData sheetId="2152">
        <row r="1">
          <cell r="J1">
            <v>1.7453292519943295E-2</v>
          </cell>
        </row>
      </sheetData>
      <sheetData sheetId="2153">
        <row r="1">
          <cell r="J1">
            <v>1.7453292519943295E-2</v>
          </cell>
        </row>
      </sheetData>
      <sheetData sheetId="2154">
        <row r="1">
          <cell r="J1">
            <v>1.7453292519943295E-2</v>
          </cell>
        </row>
      </sheetData>
      <sheetData sheetId="2155">
        <row r="1">
          <cell r="J1">
            <v>1.7453292519943295E-2</v>
          </cell>
        </row>
      </sheetData>
      <sheetData sheetId="2156">
        <row r="1">
          <cell r="J1">
            <v>1.7453292519943295E-2</v>
          </cell>
        </row>
      </sheetData>
      <sheetData sheetId="2157">
        <row r="1">
          <cell r="J1">
            <v>1.7453292519943295E-2</v>
          </cell>
        </row>
      </sheetData>
      <sheetData sheetId="2158">
        <row r="1">
          <cell r="J1">
            <v>1.7453292519943295E-2</v>
          </cell>
        </row>
      </sheetData>
      <sheetData sheetId="2159">
        <row r="1">
          <cell r="J1">
            <v>1.7453292519943295E-2</v>
          </cell>
        </row>
      </sheetData>
      <sheetData sheetId="2160">
        <row r="1">
          <cell r="J1">
            <v>1.7453292519943295E-2</v>
          </cell>
        </row>
      </sheetData>
      <sheetData sheetId="2161">
        <row r="1">
          <cell r="J1">
            <v>1.7453292519943295E-2</v>
          </cell>
        </row>
      </sheetData>
      <sheetData sheetId="2162">
        <row r="1">
          <cell r="J1">
            <v>1.7453292519943295E-2</v>
          </cell>
        </row>
      </sheetData>
      <sheetData sheetId="2163">
        <row r="1">
          <cell r="J1">
            <v>1.7453292519943295E-2</v>
          </cell>
        </row>
      </sheetData>
      <sheetData sheetId="2164">
        <row r="1">
          <cell r="J1">
            <v>1.7453292519943295E-2</v>
          </cell>
        </row>
      </sheetData>
      <sheetData sheetId="2165">
        <row r="1">
          <cell r="J1">
            <v>1.7453292519943295E-2</v>
          </cell>
        </row>
      </sheetData>
      <sheetData sheetId="2166">
        <row r="1">
          <cell r="J1">
            <v>1.7453292519943295E-2</v>
          </cell>
        </row>
      </sheetData>
      <sheetData sheetId="2167">
        <row r="1">
          <cell r="J1">
            <v>1.7453292519943295E-2</v>
          </cell>
        </row>
      </sheetData>
      <sheetData sheetId="2168">
        <row r="1">
          <cell r="J1">
            <v>1.7453292519943295E-2</v>
          </cell>
        </row>
      </sheetData>
      <sheetData sheetId="2169">
        <row r="1">
          <cell r="J1">
            <v>1.7453292519943295E-2</v>
          </cell>
        </row>
      </sheetData>
      <sheetData sheetId="2170">
        <row r="1">
          <cell r="J1">
            <v>1.7453292519943295E-2</v>
          </cell>
        </row>
      </sheetData>
      <sheetData sheetId="2171">
        <row r="1">
          <cell r="J1">
            <v>1.7453292519943295E-2</v>
          </cell>
        </row>
      </sheetData>
      <sheetData sheetId="2172">
        <row r="1">
          <cell r="J1">
            <v>1.7453292519943295E-2</v>
          </cell>
        </row>
      </sheetData>
      <sheetData sheetId="2173">
        <row r="1">
          <cell r="J1">
            <v>1.7453292519943295E-2</v>
          </cell>
        </row>
      </sheetData>
      <sheetData sheetId="2174">
        <row r="1">
          <cell r="J1">
            <v>1.7453292519943295E-2</v>
          </cell>
        </row>
      </sheetData>
      <sheetData sheetId="2175">
        <row r="1">
          <cell r="J1">
            <v>1.7453292519943295E-2</v>
          </cell>
        </row>
      </sheetData>
      <sheetData sheetId="2176">
        <row r="1">
          <cell r="J1">
            <v>1.7453292519943295E-2</v>
          </cell>
        </row>
      </sheetData>
      <sheetData sheetId="2177">
        <row r="1">
          <cell r="J1">
            <v>1.7453292519943295E-2</v>
          </cell>
        </row>
      </sheetData>
      <sheetData sheetId="2178">
        <row r="1">
          <cell r="J1">
            <v>1.7453292519943295E-2</v>
          </cell>
        </row>
      </sheetData>
      <sheetData sheetId="2179">
        <row r="1">
          <cell r="J1">
            <v>1.7453292519943295E-2</v>
          </cell>
        </row>
      </sheetData>
      <sheetData sheetId="2180">
        <row r="1">
          <cell r="J1">
            <v>1.7453292519943295E-2</v>
          </cell>
        </row>
      </sheetData>
      <sheetData sheetId="2181">
        <row r="1">
          <cell r="J1">
            <v>1.7453292519943295E-2</v>
          </cell>
        </row>
      </sheetData>
      <sheetData sheetId="2182">
        <row r="1">
          <cell r="J1">
            <v>1.7453292519943295E-2</v>
          </cell>
        </row>
      </sheetData>
      <sheetData sheetId="2183">
        <row r="1">
          <cell r="J1">
            <v>1.7453292519943295E-2</v>
          </cell>
        </row>
      </sheetData>
      <sheetData sheetId="2184">
        <row r="1">
          <cell r="J1">
            <v>1.7453292519943295E-2</v>
          </cell>
        </row>
      </sheetData>
      <sheetData sheetId="2185">
        <row r="1">
          <cell r="J1">
            <v>1.7453292519943295E-2</v>
          </cell>
        </row>
      </sheetData>
      <sheetData sheetId="2186">
        <row r="1">
          <cell r="J1">
            <v>1.7453292519943295E-2</v>
          </cell>
        </row>
      </sheetData>
      <sheetData sheetId="2187">
        <row r="1">
          <cell r="J1">
            <v>1.7453292519943295E-2</v>
          </cell>
        </row>
      </sheetData>
      <sheetData sheetId="2188">
        <row r="1">
          <cell r="J1">
            <v>1.7453292519943295E-2</v>
          </cell>
        </row>
      </sheetData>
      <sheetData sheetId="2189">
        <row r="1">
          <cell r="J1">
            <v>1.7453292519943295E-2</v>
          </cell>
        </row>
      </sheetData>
      <sheetData sheetId="2190">
        <row r="1">
          <cell r="J1">
            <v>1.7453292519943295E-2</v>
          </cell>
        </row>
      </sheetData>
      <sheetData sheetId="2191">
        <row r="1">
          <cell r="J1">
            <v>1.7453292519943295E-2</v>
          </cell>
        </row>
      </sheetData>
      <sheetData sheetId="2192">
        <row r="1">
          <cell r="J1">
            <v>1.7453292519943295E-2</v>
          </cell>
        </row>
      </sheetData>
      <sheetData sheetId="2193">
        <row r="1">
          <cell r="J1">
            <v>1.7453292519943295E-2</v>
          </cell>
        </row>
      </sheetData>
      <sheetData sheetId="2194">
        <row r="1">
          <cell r="J1">
            <v>1.7453292519943295E-2</v>
          </cell>
        </row>
      </sheetData>
      <sheetData sheetId="2195">
        <row r="1">
          <cell r="J1">
            <v>1.7453292519943295E-2</v>
          </cell>
        </row>
      </sheetData>
      <sheetData sheetId="2196">
        <row r="1">
          <cell r="J1">
            <v>1.7453292519943295E-2</v>
          </cell>
        </row>
      </sheetData>
      <sheetData sheetId="2197">
        <row r="1">
          <cell r="J1">
            <v>1.7453292519943295E-2</v>
          </cell>
        </row>
      </sheetData>
      <sheetData sheetId="2198">
        <row r="1">
          <cell r="J1">
            <v>1.7453292519943295E-2</v>
          </cell>
        </row>
      </sheetData>
      <sheetData sheetId="2199">
        <row r="1">
          <cell r="J1">
            <v>1.7453292519943295E-2</v>
          </cell>
        </row>
      </sheetData>
      <sheetData sheetId="2200">
        <row r="1">
          <cell r="J1">
            <v>1.7453292519943295E-2</v>
          </cell>
        </row>
      </sheetData>
      <sheetData sheetId="2201">
        <row r="1">
          <cell r="J1">
            <v>1.7453292519943295E-2</v>
          </cell>
        </row>
      </sheetData>
      <sheetData sheetId="2202">
        <row r="1">
          <cell r="J1">
            <v>1.7453292519943295E-2</v>
          </cell>
        </row>
      </sheetData>
      <sheetData sheetId="2203">
        <row r="1">
          <cell r="J1">
            <v>1.7453292519943295E-2</v>
          </cell>
        </row>
      </sheetData>
      <sheetData sheetId="2204">
        <row r="1">
          <cell r="J1">
            <v>1.7453292519943295E-2</v>
          </cell>
        </row>
      </sheetData>
      <sheetData sheetId="2205">
        <row r="1">
          <cell r="J1">
            <v>1.7453292519943295E-2</v>
          </cell>
        </row>
      </sheetData>
      <sheetData sheetId="2206">
        <row r="1">
          <cell r="J1">
            <v>1.7453292519943295E-2</v>
          </cell>
        </row>
      </sheetData>
      <sheetData sheetId="2207">
        <row r="1">
          <cell r="J1">
            <v>1.7453292519943295E-2</v>
          </cell>
        </row>
      </sheetData>
      <sheetData sheetId="2208">
        <row r="1">
          <cell r="J1">
            <v>1.7453292519943295E-2</v>
          </cell>
        </row>
      </sheetData>
      <sheetData sheetId="2209">
        <row r="1">
          <cell r="J1">
            <v>1.7453292519943295E-2</v>
          </cell>
        </row>
      </sheetData>
      <sheetData sheetId="2210">
        <row r="1">
          <cell r="J1">
            <v>1.7453292519943295E-2</v>
          </cell>
        </row>
      </sheetData>
      <sheetData sheetId="2211">
        <row r="1">
          <cell r="J1">
            <v>1.7453292519943295E-2</v>
          </cell>
        </row>
      </sheetData>
      <sheetData sheetId="2212">
        <row r="1">
          <cell r="J1">
            <v>1.7453292519943295E-2</v>
          </cell>
        </row>
      </sheetData>
      <sheetData sheetId="2213">
        <row r="1">
          <cell r="J1">
            <v>1.7453292519943295E-2</v>
          </cell>
        </row>
      </sheetData>
      <sheetData sheetId="2214">
        <row r="1">
          <cell r="J1">
            <v>1.7453292519943295E-2</v>
          </cell>
        </row>
      </sheetData>
      <sheetData sheetId="2215">
        <row r="1">
          <cell r="J1">
            <v>1.7453292519943295E-2</v>
          </cell>
        </row>
      </sheetData>
      <sheetData sheetId="2216">
        <row r="1">
          <cell r="J1">
            <v>1.7453292519943295E-2</v>
          </cell>
        </row>
      </sheetData>
      <sheetData sheetId="2217">
        <row r="1">
          <cell r="J1">
            <v>1.7453292519943295E-2</v>
          </cell>
        </row>
      </sheetData>
      <sheetData sheetId="2218">
        <row r="1">
          <cell r="J1">
            <v>1.7453292519943295E-2</v>
          </cell>
        </row>
      </sheetData>
      <sheetData sheetId="2219">
        <row r="1">
          <cell r="J1">
            <v>1.7453292519943295E-2</v>
          </cell>
        </row>
      </sheetData>
      <sheetData sheetId="2220">
        <row r="1">
          <cell r="J1">
            <v>1.7453292519943295E-2</v>
          </cell>
        </row>
      </sheetData>
      <sheetData sheetId="2221">
        <row r="1">
          <cell r="J1">
            <v>1.7453292519943295E-2</v>
          </cell>
        </row>
      </sheetData>
      <sheetData sheetId="2222">
        <row r="1">
          <cell r="J1">
            <v>1.7453292519943295E-2</v>
          </cell>
        </row>
      </sheetData>
      <sheetData sheetId="2223">
        <row r="1">
          <cell r="J1">
            <v>1.7453292519943295E-2</v>
          </cell>
        </row>
      </sheetData>
      <sheetData sheetId="2224">
        <row r="1">
          <cell r="J1">
            <v>1.7453292519943295E-2</v>
          </cell>
        </row>
      </sheetData>
      <sheetData sheetId="2225">
        <row r="1">
          <cell r="J1">
            <v>1.7453292519943295E-2</v>
          </cell>
        </row>
      </sheetData>
      <sheetData sheetId="2226">
        <row r="1">
          <cell r="J1">
            <v>1.7453292519943295E-2</v>
          </cell>
        </row>
      </sheetData>
      <sheetData sheetId="2227">
        <row r="1">
          <cell r="J1">
            <v>1.7453292519943295E-2</v>
          </cell>
        </row>
      </sheetData>
      <sheetData sheetId="2228">
        <row r="1">
          <cell r="J1">
            <v>1.7453292519943295E-2</v>
          </cell>
        </row>
      </sheetData>
      <sheetData sheetId="2229">
        <row r="1">
          <cell r="J1">
            <v>1.7453292519943295E-2</v>
          </cell>
        </row>
      </sheetData>
      <sheetData sheetId="2230">
        <row r="1">
          <cell r="J1">
            <v>1.7453292519943295E-2</v>
          </cell>
        </row>
      </sheetData>
      <sheetData sheetId="2231">
        <row r="1">
          <cell r="J1">
            <v>1.7453292519943295E-2</v>
          </cell>
        </row>
      </sheetData>
      <sheetData sheetId="2232">
        <row r="1">
          <cell r="J1">
            <v>1.7453292519943295E-2</v>
          </cell>
        </row>
      </sheetData>
      <sheetData sheetId="2233">
        <row r="1">
          <cell r="J1">
            <v>1.7453292519943295E-2</v>
          </cell>
        </row>
      </sheetData>
      <sheetData sheetId="2234">
        <row r="1">
          <cell r="J1">
            <v>1.7453292519943295E-2</v>
          </cell>
        </row>
      </sheetData>
      <sheetData sheetId="2235">
        <row r="1">
          <cell r="J1">
            <v>1.7453292519943295E-2</v>
          </cell>
        </row>
      </sheetData>
      <sheetData sheetId="2236">
        <row r="1">
          <cell r="J1">
            <v>1.7453292519943295E-2</v>
          </cell>
        </row>
      </sheetData>
      <sheetData sheetId="2237">
        <row r="1">
          <cell r="J1">
            <v>1.7453292519943295E-2</v>
          </cell>
        </row>
      </sheetData>
      <sheetData sheetId="2238">
        <row r="1">
          <cell r="J1">
            <v>1.7453292519943295E-2</v>
          </cell>
        </row>
      </sheetData>
      <sheetData sheetId="2239">
        <row r="1">
          <cell r="J1">
            <v>1.7453292519943295E-2</v>
          </cell>
        </row>
      </sheetData>
      <sheetData sheetId="2240">
        <row r="1">
          <cell r="J1">
            <v>1.7453292519943295E-2</v>
          </cell>
        </row>
      </sheetData>
      <sheetData sheetId="2241">
        <row r="1">
          <cell r="J1">
            <v>1.7453292519943295E-2</v>
          </cell>
        </row>
      </sheetData>
      <sheetData sheetId="2242">
        <row r="1">
          <cell r="J1">
            <v>1.7453292519943295E-2</v>
          </cell>
        </row>
      </sheetData>
      <sheetData sheetId="2243">
        <row r="1">
          <cell r="J1">
            <v>1.7453292519943295E-2</v>
          </cell>
        </row>
      </sheetData>
      <sheetData sheetId="2244">
        <row r="1">
          <cell r="J1">
            <v>1.7453292519943295E-2</v>
          </cell>
        </row>
      </sheetData>
      <sheetData sheetId="2245">
        <row r="1">
          <cell r="J1">
            <v>1.7453292519943295E-2</v>
          </cell>
        </row>
      </sheetData>
      <sheetData sheetId="2246">
        <row r="1">
          <cell r="J1">
            <v>1.7453292519943295E-2</v>
          </cell>
        </row>
      </sheetData>
      <sheetData sheetId="2247">
        <row r="1">
          <cell r="J1">
            <v>1.7453292519943295E-2</v>
          </cell>
        </row>
      </sheetData>
      <sheetData sheetId="2248">
        <row r="1">
          <cell r="J1">
            <v>1.7453292519943295E-2</v>
          </cell>
        </row>
      </sheetData>
      <sheetData sheetId="2249">
        <row r="1">
          <cell r="J1">
            <v>1.7453292519943295E-2</v>
          </cell>
        </row>
      </sheetData>
      <sheetData sheetId="2250">
        <row r="1">
          <cell r="J1">
            <v>1.7453292519943295E-2</v>
          </cell>
        </row>
      </sheetData>
      <sheetData sheetId="2251">
        <row r="1">
          <cell r="J1">
            <v>1.7453292519943295E-2</v>
          </cell>
        </row>
      </sheetData>
      <sheetData sheetId="2252">
        <row r="1">
          <cell r="J1">
            <v>1.7453292519943295E-2</v>
          </cell>
        </row>
      </sheetData>
      <sheetData sheetId="2253">
        <row r="1">
          <cell r="J1">
            <v>1.7453292519943295E-2</v>
          </cell>
        </row>
      </sheetData>
      <sheetData sheetId="2254">
        <row r="1">
          <cell r="J1">
            <v>1.7453292519943295E-2</v>
          </cell>
        </row>
      </sheetData>
      <sheetData sheetId="2255">
        <row r="1">
          <cell r="J1">
            <v>1.7453292519943295E-2</v>
          </cell>
        </row>
      </sheetData>
      <sheetData sheetId="2256">
        <row r="1">
          <cell r="J1">
            <v>1.7453292519943295E-2</v>
          </cell>
        </row>
      </sheetData>
      <sheetData sheetId="2257">
        <row r="1">
          <cell r="J1">
            <v>1.7453292519943295E-2</v>
          </cell>
        </row>
      </sheetData>
      <sheetData sheetId="2258">
        <row r="1">
          <cell r="J1">
            <v>1.7453292519943295E-2</v>
          </cell>
        </row>
      </sheetData>
      <sheetData sheetId="2259">
        <row r="1">
          <cell r="J1">
            <v>1.7453292519943295E-2</v>
          </cell>
        </row>
      </sheetData>
      <sheetData sheetId="2260">
        <row r="1">
          <cell r="J1">
            <v>1.7453292519943295E-2</v>
          </cell>
        </row>
      </sheetData>
      <sheetData sheetId="2261">
        <row r="1">
          <cell r="J1">
            <v>1.7453292519943295E-2</v>
          </cell>
        </row>
      </sheetData>
      <sheetData sheetId="2262">
        <row r="1">
          <cell r="J1">
            <v>1.7453292519943295E-2</v>
          </cell>
        </row>
      </sheetData>
      <sheetData sheetId="2263">
        <row r="1">
          <cell r="J1">
            <v>1.7453292519943295E-2</v>
          </cell>
        </row>
      </sheetData>
      <sheetData sheetId="2264">
        <row r="1">
          <cell r="J1">
            <v>1.7453292519943295E-2</v>
          </cell>
        </row>
      </sheetData>
      <sheetData sheetId="2265">
        <row r="1">
          <cell r="J1">
            <v>1.7453292519943295E-2</v>
          </cell>
        </row>
      </sheetData>
      <sheetData sheetId="2266">
        <row r="1">
          <cell r="J1">
            <v>1.7453292519943295E-2</v>
          </cell>
        </row>
      </sheetData>
      <sheetData sheetId="2267">
        <row r="1">
          <cell r="J1">
            <v>1.7453292519943295E-2</v>
          </cell>
        </row>
      </sheetData>
      <sheetData sheetId="2268">
        <row r="1">
          <cell r="J1">
            <v>1.7453292519943295E-2</v>
          </cell>
        </row>
      </sheetData>
      <sheetData sheetId="2269">
        <row r="1">
          <cell r="J1">
            <v>1.7453292519943295E-2</v>
          </cell>
        </row>
      </sheetData>
      <sheetData sheetId="2270">
        <row r="1">
          <cell r="J1">
            <v>1.7453292519943295E-2</v>
          </cell>
        </row>
      </sheetData>
      <sheetData sheetId="2271">
        <row r="1">
          <cell r="J1">
            <v>1.7453292519943295E-2</v>
          </cell>
        </row>
      </sheetData>
      <sheetData sheetId="2272">
        <row r="1">
          <cell r="J1">
            <v>1.7453292519943295E-2</v>
          </cell>
        </row>
      </sheetData>
      <sheetData sheetId="2273">
        <row r="1">
          <cell r="J1">
            <v>1.7453292519943295E-2</v>
          </cell>
        </row>
      </sheetData>
      <sheetData sheetId="2274">
        <row r="1">
          <cell r="J1">
            <v>1.7453292519943295E-2</v>
          </cell>
        </row>
      </sheetData>
      <sheetData sheetId="2275">
        <row r="1">
          <cell r="J1">
            <v>1.7453292519943295E-2</v>
          </cell>
        </row>
      </sheetData>
      <sheetData sheetId="2276">
        <row r="1">
          <cell r="J1">
            <v>1.7453292519943295E-2</v>
          </cell>
        </row>
      </sheetData>
      <sheetData sheetId="2277">
        <row r="1">
          <cell r="J1">
            <v>1.7453292519943295E-2</v>
          </cell>
        </row>
      </sheetData>
      <sheetData sheetId="2278">
        <row r="1">
          <cell r="J1">
            <v>1.7453292519943295E-2</v>
          </cell>
        </row>
      </sheetData>
      <sheetData sheetId="2279">
        <row r="1">
          <cell r="J1">
            <v>1.7453292519943295E-2</v>
          </cell>
        </row>
      </sheetData>
      <sheetData sheetId="2280">
        <row r="1">
          <cell r="J1">
            <v>1.7453292519943295E-2</v>
          </cell>
        </row>
      </sheetData>
      <sheetData sheetId="2281">
        <row r="1">
          <cell r="J1">
            <v>1.7453292519943295E-2</v>
          </cell>
        </row>
      </sheetData>
      <sheetData sheetId="2282">
        <row r="1">
          <cell r="J1">
            <v>1.7453292519943295E-2</v>
          </cell>
        </row>
      </sheetData>
      <sheetData sheetId="2283">
        <row r="1">
          <cell r="J1">
            <v>1.7453292519943295E-2</v>
          </cell>
        </row>
      </sheetData>
      <sheetData sheetId="2284">
        <row r="1">
          <cell r="J1">
            <v>1.7453292519943295E-2</v>
          </cell>
        </row>
      </sheetData>
      <sheetData sheetId="2285">
        <row r="1">
          <cell r="J1">
            <v>1.7453292519943295E-2</v>
          </cell>
        </row>
      </sheetData>
      <sheetData sheetId="2286">
        <row r="1">
          <cell r="J1">
            <v>1.7453292519943295E-2</v>
          </cell>
        </row>
      </sheetData>
      <sheetData sheetId="2287">
        <row r="1">
          <cell r="J1">
            <v>1.7453292519943295E-2</v>
          </cell>
        </row>
      </sheetData>
      <sheetData sheetId="2288">
        <row r="1">
          <cell r="J1">
            <v>1.7453292519943295E-2</v>
          </cell>
        </row>
      </sheetData>
      <sheetData sheetId="2289">
        <row r="1">
          <cell r="J1">
            <v>1.7453292519943295E-2</v>
          </cell>
        </row>
      </sheetData>
      <sheetData sheetId="2290">
        <row r="1">
          <cell r="J1">
            <v>1.7453292519943295E-2</v>
          </cell>
        </row>
      </sheetData>
      <sheetData sheetId="2291">
        <row r="1">
          <cell r="J1">
            <v>1.7453292519943295E-2</v>
          </cell>
        </row>
      </sheetData>
      <sheetData sheetId="2292">
        <row r="1">
          <cell r="J1">
            <v>1.7453292519943295E-2</v>
          </cell>
        </row>
      </sheetData>
      <sheetData sheetId="2293">
        <row r="1">
          <cell r="J1">
            <v>1.7453292519943295E-2</v>
          </cell>
        </row>
      </sheetData>
      <sheetData sheetId="2294">
        <row r="1">
          <cell r="J1">
            <v>1.7453292519943295E-2</v>
          </cell>
        </row>
      </sheetData>
      <sheetData sheetId="2295">
        <row r="1">
          <cell r="J1">
            <v>1.7453292519943295E-2</v>
          </cell>
        </row>
      </sheetData>
      <sheetData sheetId="2296">
        <row r="1">
          <cell r="J1">
            <v>1.7453292519943295E-2</v>
          </cell>
        </row>
      </sheetData>
      <sheetData sheetId="2297">
        <row r="1">
          <cell r="J1">
            <v>1.7453292519943295E-2</v>
          </cell>
        </row>
      </sheetData>
      <sheetData sheetId="2298">
        <row r="1">
          <cell r="J1">
            <v>1.7453292519943295E-2</v>
          </cell>
        </row>
      </sheetData>
      <sheetData sheetId="2299">
        <row r="1">
          <cell r="J1">
            <v>1.7453292519943295E-2</v>
          </cell>
        </row>
      </sheetData>
      <sheetData sheetId="2300">
        <row r="1">
          <cell r="J1">
            <v>1.7453292519943295E-2</v>
          </cell>
        </row>
      </sheetData>
      <sheetData sheetId="2301">
        <row r="1">
          <cell r="J1">
            <v>1.7453292519943295E-2</v>
          </cell>
        </row>
      </sheetData>
      <sheetData sheetId="2302">
        <row r="1">
          <cell r="J1">
            <v>1.7453292519943295E-2</v>
          </cell>
        </row>
      </sheetData>
      <sheetData sheetId="2303">
        <row r="1">
          <cell r="J1">
            <v>1.7453292519943295E-2</v>
          </cell>
        </row>
      </sheetData>
      <sheetData sheetId="2304">
        <row r="1">
          <cell r="J1">
            <v>1.7453292519943295E-2</v>
          </cell>
        </row>
      </sheetData>
      <sheetData sheetId="2305">
        <row r="1">
          <cell r="J1">
            <v>1.7453292519943295E-2</v>
          </cell>
        </row>
      </sheetData>
      <sheetData sheetId="2306">
        <row r="1">
          <cell r="J1">
            <v>1.7453292519943295E-2</v>
          </cell>
        </row>
      </sheetData>
      <sheetData sheetId="2307">
        <row r="1">
          <cell r="J1">
            <v>1.7453292519943295E-2</v>
          </cell>
        </row>
      </sheetData>
      <sheetData sheetId="2308">
        <row r="1">
          <cell r="J1">
            <v>1.7453292519943295E-2</v>
          </cell>
        </row>
      </sheetData>
      <sheetData sheetId="2309">
        <row r="1">
          <cell r="J1">
            <v>1.7453292519943295E-2</v>
          </cell>
        </row>
      </sheetData>
      <sheetData sheetId="2310">
        <row r="1">
          <cell r="J1">
            <v>1.7453292519943295E-2</v>
          </cell>
        </row>
      </sheetData>
      <sheetData sheetId="2311">
        <row r="1">
          <cell r="J1">
            <v>1.7453292519943295E-2</v>
          </cell>
        </row>
      </sheetData>
      <sheetData sheetId="2312">
        <row r="1">
          <cell r="J1">
            <v>1.7453292519943295E-2</v>
          </cell>
        </row>
      </sheetData>
      <sheetData sheetId="2313">
        <row r="1">
          <cell r="J1">
            <v>1.7453292519943295E-2</v>
          </cell>
        </row>
      </sheetData>
      <sheetData sheetId="2314">
        <row r="1">
          <cell r="J1">
            <v>1.7453292519943295E-2</v>
          </cell>
        </row>
      </sheetData>
      <sheetData sheetId="2315">
        <row r="1">
          <cell r="J1">
            <v>1.7453292519943295E-2</v>
          </cell>
        </row>
      </sheetData>
      <sheetData sheetId="2316">
        <row r="1">
          <cell r="J1">
            <v>1.7453292519943295E-2</v>
          </cell>
        </row>
      </sheetData>
      <sheetData sheetId="2317">
        <row r="1">
          <cell r="J1">
            <v>1.7453292519943295E-2</v>
          </cell>
        </row>
      </sheetData>
      <sheetData sheetId="2318">
        <row r="1">
          <cell r="J1">
            <v>1.7453292519943295E-2</v>
          </cell>
        </row>
      </sheetData>
      <sheetData sheetId="2319">
        <row r="1">
          <cell r="J1">
            <v>1.7453292519943295E-2</v>
          </cell>
        </row>
      </sheetData>
      <sheetData sheetId="2320">
        <row r="1">
          <cell r="J1">
            <v>1.7453292519943295E-2</v>
          </cell>
        </row>
      </sheetData>
      <sheetData sheetId="2321">
        <row r="1">
          <cell r="J1">
            <v>1.7453292519943295E-2</v>
          </cell>
        </row>
      </sheetData>
      <sheetData sheetId="2322">
        <row r="1">
          <cell r="J1">
            <v>1.7453292519943295E-2</v>
          </cell>
        </row>
      </sheetData>
      <sheetData sheetId="2323">
        <row r="1">
          <cell r="J1">
            <v>1.7453292519943295E-2</v>
          </cell>
        </row>
      </sheetData>
      <sheetData sheetId="2324">
        <row r="1">
          <cell r="J1">
            <v>1.7453292519943295E-2</v>
          </cell>
        </row>
      </sheetData>
      <sheetData sheetId="2325">
        <row r="1">
          <cell r="J1">
            <v>1.7453292519943295E-2</v>
          </cell>
        </row>
      </sheetData>
      <sheetData sheetId="2326">
        <row r="1">
          <cell r="J1">
            <v>1.7453292519943295E-2</v>
          </cell>
        </row>
      </sheetData>
      <sheetData sheetId="2327">
        <row r="1">
          <cell r="J1">
            <v>1.7453292519943295E-2</v>
          </cell>
        </row>
      </sheetData>
      <sheetData sheetId="2328">
        <row r="1">
          <cell r="J1">
            <v>1.7453292519943295E-2</v>
          </cell>
        </row>
      </sheetData>
      <sheetData sheetId="2329">
        <row r="1">
          <cell r="J1">
            <v>1.7453292519943295E-2</v>
          </cell>
        </row>
      </sheetData>
      <sheetData sheetId="2330">
        <row r="1">
          <cell r="J1">
            <v>1.7453292519943295E-2</v>
          </cell>
        </row>
      </sheetData>
      <sheetData sheetId="2331">
        <row r="1">
          <cell r="J1">
            <v>1.7453292519943295E-2</v>
          </cell>
        </row>
      </sheetData>
      <sheetData sheetId="2332">
        <row r="1">
          <cell r="J1">
            <v>1.7453292519943295E-2</v>
          </cell>
        </row>
      </sheetData>
      <sheetData sheetId="2333">
        <row r="1">
          <cell r="J1">
            <v>1.7453292519943295E-2</v>
          </cell>
        </row>
      </sheetData>
      <sheetData sheetId="2334">
        <row r="1">
          <cell r="J1">
            <v>1.7453292519943295E-2</v>
          </cell>
        </row>
      </sheetData>
      <sheetData sheetId="2335">
        <row r="1">
          <cell r="J1">
            <v>1.7453292519943295E-2</v>
          </cell>
        </row>
      </sheetData>
      <sheetData sheetId="2336">
        <row r="1">
          <cell r="J1">
            <v>1.7453292519943295E-2</v>
          </cell>
        </row>
      </sheetData>
      <sheetData sheetId="2337">
        <row r="1">
          <cell r="J1">
            <v>1.7453292519943295E-2</v>
          </cell>
        </row>
      </sheetData>
      <sheetData sheetId="2338">
        <row r="1">
          <cell r="J1">
            <v>1.7453292519943295E-2</v>
          </cell>
        </row>
      </sheetData>
      <sheetData sheetId="2339">
        <row r="1">
          <cell r="J1">
            <v>1.7453292519943295E-2</v>
          </cell>
        </row>
      </sheetData>
      <sheetData sheetId="2340">
        <row r="1">
          <cell r="J1">
            <v>1.7453292519943295E-2</v>
          </cell>
        </row>
      </sheetData>
      <sheetData sheetId="2341">
        <row r="1">
          <cell r="J1">
            <v>1.7453292519943295E-2</v>
          </cell>
        </row>
      </sheetData>
      <sheetData sheetId="2342">
        <row r="1">
          <cell r="J1">
            <v>1.7453292519943295E-2</v>
          </cell>
        </row>
      </sheetData>
      <sheetData sheetId="2343">
        <row r="1">
          <cell r="J1">
            <v>1.7453292519943295E-2</v>
          </cell>
        </row>
      </sheetData>
      <sheetData sheetId="2344">
        <row r="1">
          <cell r="J1">
            <v>1.7453292519943295E-2</v>
          </cell>
        </row>
      </sheetData>
      <sheetData sheetId="2345">
        <row r="1">
          <cell r="J1">
            <v>1.7453292519943295E-2</v>
          </cell>
        </row>
      </sheetData>
      <sheetData sheetId="2346">
        <row r="1">
          <cell r="J1">
            <v>1.7453292519943295E-2</v>
          </cell>
        </row>
      </sheetData>
      <sheetData sheetId="2347">
        <row r="1">
          <cell r="J1">
            <v>1.7453292519943295E-2</v>
          </cell>
        </row>
      </sheetData>
      <sheetData sheetId="2348">
        <row r="1">
          <cell r="J1">
            <v>1.7453292519943295E-2</v>
          </cell>
        </row>
      </sheetData>
      <sheetData sheetId="2349">
        <row r="1">
          <cell r="J1">
            <v>1.7453292519943295E-2</v>
          </cell>
        </row>
      </sheetData>
      <sheetData sheetId="2350">
        <row r="1">
          <cell r="J1">
            <v>1.7453292519943295E-2</v>
          </cell>
        </row>
      </sheetData>
      <sheetData sheetId="2351">
        <row r="1">
          <cell r="J1">
            <v>1.7453292519943295E-2</v>
          </cell>
        </row>
      </sheetData>
      <sheetData sheetId="2352">
        <row r="1">
          <cell r="J1">
            <v>1.7453292519943295E-2</v>
          </cell>
        </row>
      </sheetData>
      <sheetData sheetId="2353">
        <row r="1">
          <cell r="J1">
            <v>1.7453292519943295E-2</v>
          </cell>
        </row>
      </sheetData>
      <sheetData sheetId="2354">
        <row r="1">
          <cell r="J1">
            <v>1.7453292519943295E-2</v>
          </cell>
        </row>
      </sheetData>
      <sheetData sheetId="2355">
        <row r="1">
          <cell r="J1">
            <v>1.7453292519943295E-2</v>
          </cell>
        </row>
      </sheetData>
      <sheetData sheetId="2356">
        <row r="1">
          <cell r="J1">
            <v>1.7453292519943295E-2</v>
          </cell>
        </row>
      </sheetData>
      <sheetData sheetId="2357">
        <row r="1">
          <cell r="J1">
            <v>1.7453292519943295E-2</v>
          </cell>
        </row>
      </sheetData>
      <sheetData sheetId="2358">
        <row r="1">
          <cell r="J1">
            <v>1.7453292519943295E-2</v>
          </cell>
        </row>
      </sheetData>
      <sheetData sheetId="2359">
        <row r="1">
          <cell r="J1">
            <v>1.7453292519943295E-2</v>
          </cell>
        </row>
      </sheetData>
      <sheetData sheetId="2360">
        <row r="1">
          <cell r="J1">
            <v>1.7453292519943295E-2</v>
          </cell>
        </row>
      </sheetData>
      <sheetData sheetId="2361">
        <row r="1">
          <cell r="J1">
            <v>1.7453292519943295E-2</v>
          </cell>
        </row>
      </sheetData>
      <sheetData sheetId="2362">
        <row r="1">
          <cell r="J1">
            <v>1.7453292519943295E-2</v>
          </cell>
        </row>
      </sheetData>
      <sheetData sheetId="2363">
        <row r="1">
          <cell r="J1">
            <v>1.7453292519943295E-2</v>
          </cell>
        </row>
      </sheetData>
      <sheetData sheetId="2364">
        <row r="1">
          <cell r="J1">
            <v>1.7453292519943295E-2</v>
          </cell>
        </row>
      </sheetData>
      <sheetData sheetId="2365">
        <row r="1">
          <cell r="J1">
            <v>1.7453292519943295E-2</v>
          </cell>
        </row>
      </sheetData>
      <sheetData sheetId="2366">
        <row r="1">
          <cell r="J1">
            <v>1.7453292519943295E-2</v>
          </cell>
        </row>
      </sheetData>
      <sheetData sheetId="2367">
        <row r="1">
          <cell r="J1">
            <v>1.7453292519943295E-2</v>
          </cell>
        </row>
      </sheetData>
      <sheetData sheetId="2368">
        <row r="1">
          <cell r="J1">
            <v>1.7453292519943295E-2</v>
          </cell>
        </row>
      </sheetData>
      <sheetData sheetId="2369">
        <row r="1">
          <cell r="J1">
            <v>1.7453292519943295E-2</v>
          </cell>
        </row>
      </sheetData>
      <sheetData sheetId="2370">
        <row r="1">
          <cell r="J1">
            <v>1.7453292519943295E-2</v>
          </cell>
        </row>
      </sheetData>
      <sheetData sheetId="2371">
        <row r="1">
          <cell r="J1">
            <v>1.7453292519943295E-2</v>
          </cell>
        </row>
      </sheetData>
      <sheetData sheetId="2372">
        <row r="1">
          <cell r="J1">
            <v>1.7453292519943295E-2</v>
          </cell>
        </row>
      </sheetData>
      <sheetData sheetId="2373">
        <row r="1">
          <cell r="J1">
            <v>1.7453292519943295E-2</v>
          </cell>
        </row>
      </sheetData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>
        <row r="1">
          <cell r="J1">
            <v>1.7453292519943295E-2</v>
          </cell>
        </row>
      </sheetData>
      <sheetData sheetId="2469">
        <row r="1">
          <cell r="J1">
            <v>1.7453292519943295E-2</v>
          </cell>
        </row>
      </sheetData>
      <sheetData sheetId="2470">
        <row r="1">
          <cell r="J1">
            <v>1.7453292519943295E-2</v>
          </cell>
        </row>
      </sheetData>
      <sheetData sheetId="2471">
        <row r="1">
          <cell r="J1">
            <v>1.7453292519943295E-2</v>
          </cell>
        </row>
      </sheetData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>
        <row r="1">
          <cell r="J1">
            <v>1.7453292519943295E-2</v>
          </cell>
        </row>
      </sheetData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>
        <row r="1">
          <cell r="J1">
            <v>1.7453292519943295E-2</v>
          </cell>
        </row>
      </sheetData>
      <sheetData sheetId="2594">
        <row r="1">
          <cell r="J1">
            <v>1.7453292519943295E-2</v>
          </cell>
        </row>
      </sheetData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>
        <row r="1">
          <cell r="J1">
            <v>1.7453292519943295E-2</v>
          </cell>
        </row>
      </sheetData>
      <sheetData sheetId="2608">
        <row r="1">
          <cell r="J1">
            <v>1.7453292519943295E-2</v>
          </cell>
        </row>
      </sheetData>
      <sheetData sheetId="2609">
        <row r="1">
          <cell r="J1">
            <v>1.7453292519943295E-2</v>
          </cell>
        </row>
      </sheetData>
      <sheetData sheetId="2610">
        <row r="1">
          <cell r="J1">
            <v>1.7453292519943295E-2</v>
          </cell>
        </row>
      </sheetData>
      <sheetData sheetId="2611">
        <row r="1">
          <cell r="J1">
            <v>1.7453292519943295E-2</v>
          </cell>
        </row>
      </sheetData>
      <sheetData sheetId="2612">
        <row r="1">
          <cell r="J1">
            <v>1.7453292519943295E-2</v>
          </cell>
        </row>
      </sheetData>
      <sheetData sheetId="2613">
        <row r="1">
          <cell r="J1">
            <v>1.7453292519943295E-2</v>
          </cell>
        </row>
      </sheetData>
      <sheetData sheetId="2614">
        <row r="1">
          <cell r="J1">
            <v>1.7453292519943295E-2</v>
          </cell>
        </row>
      </sheetData>
      <sheetData sheetId="2615">
        <row r="1">
          <cell r="J1">
            <v>1.7453292519943295E-2</v>
          </cell>
        </row>
      </sheetData>
      <sheetData sheetId="2616">
        <row r="1">
          <cell r="J1">
            <v>1.7453292519943295E-2</v>
          </cell>
        </row>
      </sheetData>
      <sheetData sheetId="2617">
        <row r="1">
          <cell r="J1">
            <v>1.7453292519943295E-2</v>
          </cell>
        </row>
      </sheetData>
      <sheetData sheetId="2618">
        <row r="1">
          <cell r="J1">
            <v>1.7453292519943295E-2</v>
          </cell>
        </row>
      </sheetData>
      <sheetData sheetId="2619">
        <row r="1">
          <cell r="J1">
            <v>1.7453292519943295E-2</v>
          </cell>
        </row>
      </sheetData>
      <sheetData sheetId="2620">
        <row r="1">
          <cell r="J1">
            <v>1.7453292519943295E-2</v>
          </cell>
        </row>
      </sheetData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>
        <row r="1">
          <cell r="J1">
            <v>1.7453292519943295E-2</v>
          </cell>
        </row>
      </sheetData>
      <sheetData sheetId="2649">
        <row r="1">
          <cell r="J1">
            <v>1.7453292519943295E-2</v>
          </cell>
        </row>
      </sheetData>
      <sheetData sheetId="2650">
        <row r="1">
          <cell r="J1">
            <v>1.7453292519943295E-2</v>
          </cell>
        </row>
      </sheetData>
      <sheetData sheetId="2651">
        <row r="1">
          <cell r="J1">
            <v>1.7453292519943295E-2</v>
          </cell>
        </row>
      </sheetData>
      <sheetData sheetId="2652">
        <row r="1">
          <cell r="J1">
            <v>1.7453292519943295E-2</v>
          </cell>
        </row>
      </sheetData>
      <sheetData sheetId="2653">
        <row r="1">
          <cell r="J1">
            <v>1.7453292519943295E-2</v>
          </cell>
        </row>
      </sheetData>
      <sheetData sheetId="2654">
        <row r="1">
          <cell r="J1">
            <v>1.7453292519943295E-2</v>
          </cell>
        </row>
      </sheetData>
      <sheetData sheetId="2655">
        <row r="1">
          <cell r="J1">
            <v>1.7453292519943295E-2</v>
          </cell>
        </row>
      </sheetData>
      <sheetData sheetId="2656">
        <row r="1">
          <cell r="J1">
            <v>1.7453292519943295E-2</v>
          </cell>
        </row>
      </sheetData>
      <sheetData sheetId="2657">
        <row r="1">
          <cell r="J1">
            <v>1.7453292519943295E-2</v>
          </cell>
        </row>
      </sheetData>
      <sheetData sheetId="2658">
        <row r="1">
          <cell r="J1">
            <v>1.7453292519943295E-2</v>
          </cell>
        </row>
      </sheetData>
      <sheetData sheetId="2659">
        <row r="1">
          <cell r="J1">
            <v>1.7453292519943295E-2</v>
          </cell>
        </row>
      </sheetData>
      <sheetData sheetId="2660">
        <row r="1">
          <cell r="J1">
            <v>1.7453292519943295E-2</v>
          </cell>
        </row>
      </sheetData>
      <sheetData sheetId="2661">
        <row r="1">
          <cell r="J1">
            <v>1.7453292519943295E-2</v>
          </cell>
        </row>
      </sheetData>
      <sheetData sheetId="2662">
        <row r="1">
          <cell r="J1">
            <v>1.7453292519943295E-2</v>
          </cell>
        </row>
      </sheetData>
      <sheetData sheetId="2663">
        <row r="1">
          <cell r="J1">
            <v>1.7453292519943295E-2</v>
          </cell>
        </row>
      </sheetData>
      <sheetData sheetId="2664">
        <row r="1">
          <cell r="J1">
            <v>1.7453292519943295E-2</v>
          </cell>
        </row>
      </sheetData>
      <sheetData sheetId="2665">
        <row r="1">
          <cell r="J1">
            <v>1.7453292519943295E-2</v>
          </cell>
        </row>
      </sheetData>
      <sheetData sheetId="2666">
        <row r="1">
          <cell r="J1">
            <v>1.7453292519943295E-2</v>
          </cell>
        </row>
      </sheetData>
      <sheetData sheetId="2667">
        <row r="1">
          <cell r="J1">
            <v>1.7453292519943295E-2</v>
          </cell>
        </row>
      </sheetData>
      <sheetData sheetId="2668">
        <row r="1">
          <cell r="J1">
            <v>1.7453292519943295E-2</v>
          </cell>
        </row>
      </sheetData>
      <sheetData sheetId="2669">
        <row r="1">
          <cell r="J1">
            <v>1.7453292519943295E-2</v>
          </cell>
        </row>
      </sheetData>
      <sheetData sheetId="2670">
        <row r="1">
          <cell r="J1">
            <v>1.7453292519943295E-2</v>
          </cell>
        </row>
      </sheetData>
      <sheetData sheetId="2671">
        <row r="1">
          <cell r="J1">
            <v>1.7453292519943295E-2</v>
          </cell>
        </row>
      </sheetData>
      <sheetData sheetId="2672">
        <row r="1">
          <cell r="J1">
            <v>1.7453292519943295E-2</v>
          </cell>
        </row>
      </sheetData>
      <sheetData sheetId="2673">
        <row r="1">
          <cell r="J1">
            <v>1.7453292519943295E-2</v>
          </cell>
        </row>
      </sheetData>
      <sheetData sheetId="2674">
        <row r="1">
          <cell r="J1">
            <v>1.7453292519943295E-2</v>
          </cell>
        </row>
      </sheetData>
      <sheetData sheetId="2675">
        <row r="1">
          <cell r="J1">
            <v>1.7453292519943295E-2</v>
          </cell>
        </row>
      </sheetData>
      <sheetData sheetId="2676">
        <row r="1">
          <cell r="J1">
            <v>1.7453292519943295E-2</v>
          </cell>
        </row>
      </sheetData>
      <sheetData sheetId="2677">
        <row r="1">
          <cell r="J1">
            <v>1.7453292519943295E-2</v>
          </cell>
        </row>
      </sheetData>
      <sheetData sheetId="2678">
        <row r="1">
          <cell r="J1">
            <v>1.7453292519943295E-2</v>
          </cell>
        </row>
      </sheetData>
      <sheetData sheetId="2679">
        <row r="1">
          <cell r="J1">
            <v>1.7453292519943295E-2</v>
          </cell>
        </row>
      </sheetData>
      <sheetData sheetId="2680">
        <row r="1">
          <cell r="J1">
            <v>1.7453292519943295E-2</v>
          </cell>
        </row>
      </sheetData>
      <sheetData sheetId="2681">
        <row r="1">
          <cell r="J1">
            <v>1.7453292519943295E-2</v>
          </cell>
        </row>
      </sheetData>
      <sheetData sheetId="2682">
        <row r="1">
          <cell r="J1">
            <v>1.7453292519943295E-2</v>
          </cell>
        </row>
      </sheetData>
      <sheetData sheetId="2683">
        <row r="1">
          <cell r="J1">
            <v>1.7453292519943295E-2</v>
          </cell>
        </row>
      </sheetData>
      <sheetData sheetId="2684">
        <row r="1">
          <cell r="J1">
            <v>1.7453292519943295E-2</v>
          </cell>
        </row>
      </sheetData>
      <sheetData sheetId="2685">
        <row r="1">
          <cell r="J1">
            <v>1.7453292519943295E-2</v>
          </cell>
        </row>
      </sheetData>
      <sheetData sheetId="2686">
        <row r="1">
          <cell r="J1">
            <v>1.7453292519943295E-2</v>
          </cell>
        </row>
      </sheetData>
      <sheetData sheetId="2687">
        <row r="1">
          <cell r="J1">
            <v>1.7453292519943295E-2</v>
          </cell>
        </row>
      </sheetData>
      <sheetData sheetId="2688">
        <row r="1">
          <cell r="J1">
            <v>1.7453292519943295E-2</v>
          </cell>
        </row>
      </sheetData>
      <sheetData sheetId="2689">
        <row r="1">
          <cell r="J1">
            <v>1.7453292519943295E-2</v>
          </cell>
        </row>
      </sheetData>
      <sheetData sheetId="2690">
        <row r="1">
          <cell r="J1">
            <v>1.7453292519943295E-2</v>
          </cell>
        </row>
      </sheetData>
      <sheetData sheetId="2691">
        <row r="1">
          <cell r="J1">
            <v>1.7453292519943295E-2</v>
          </cell>
        </row>
      </sheetData>
      <sheetData sheetId="2692">
        <row r="1">
          <cell r="J1">
            <v>1.7453292519943295E-2</v>
          </cell>
        </row>
      </sheetData>
      <sheetData sheetId="2693">
        <row r="1">
          <cell r="J1">
            <v>1.7453292519943295E-2</v>
          </cell>
        </row>
      </sheetData>
      <sheetData sheetId="2694">
        <row r="1">
          <cell r="J1">
            <v>1.7453292519943295E-2</v>
          </cell>
        </row>
      </sheetData>
      <sheetData sheetId="2695">
        <row r="1">
          <cell r="J1">
            <v>1.7453292519943295E-2</v>
          </cell>
        </row>
      </sheetData>
      <sheetData sheetId="2696">
        <row r="1">
          <cell r="J1">
            <v>1.7453292519943295E-2</v>
          </cell>
        </row>
      </sheetData>
      <sheetData sheetId="2697">
        <row r="1">
          <cell r="J1">
            <v>1.7453292519943295E-2</v>
          </cell>
        </row>
      </sheetData>
      <sheetData sheetId="2698">
        <row r="1">
          <cell r="J1">
            <v>1.7453292519943295E-2</v>
          </cell>
        </row>
      </sheetData>
      <sheetData sheetId="2699">
        <row r="1">
          <cell r="J1">
            <v>1.7453292519943295E-2</v>
          </cell>
        </row>
      </sheetData>
      <sheetData sheetId="2700">
        <row r="1">
          <cell r="J1">
            <v>1.7453292519943295E-2</v>
          </cell>
        </row>
      </sheetData>
      <sheetData sheetId="2701">
        <row r="1">
          <cell r="J1">
            <v>1.7453292519943295E-2</v>
          </cell>
        </row>
      </sheetData>
      <sheetData sheetId="2702">
        <row r="1">
          <cell r="J1">
            <v>1.7453292519943295E-2</v>
          </cell>
        </row>
      </sheetData>
      <sheetData sheetId="2703">
        <row r="1">
          <cell r="J1">
            <v>1.7453292519943295E-2</v>
          </cell>
        </row>
      </sheetData>
      <sheetData sheetId="2704">
        <row r="1">
          <cell r="J1">
            <v>1.7453292519943295E-2</v>
          </cell>
        </row>
      </sheetData>
      <sheetData sheetId="2705">
        <row r="1">
          <cell r="J1">
            <v>1.7453292519943295E-2</v>
          </cell>
        </row>
      </sheetData>
      <sheetData sheetId="2706">
        <row r="1">
          <cell r="J1">
            <v>1.7453292519943295E-2</v>
          </cell>
        </row>
      </sheetData>
      <sheetData sheetId="2707">
        <row r="1">
          <cell r="J1">
            <v>1.7453292519943295E-2</v>
          </cell>
        </row>
      </sheetData>
      <sheetData sheetId="2708">
        <row r="1">
          <cell r="J1">
            <v>1.7453292519943295E-2</v>
          </cell>
        </row>
      </sheetData>
      <sheetData sheetId="2709">
        <row r="1">
          <cell r="J1">
            <v>1.7453292519943295E-2</v>
          </cell>
        </row>
      </sheetData>
      <sheetData sheetId="2710">
        <row r="1">
          <cell r="J1">
            <v>1.7453292519943295E-2</v>
          </cell>
        </row>
      </sheetData>
      <sheetData sheetId="2711">
        <row r="1">
          <cell r="J1">
            <v>1.7453292519943295E-2</v>
          </cell>
        </row>
      </sheetData>
      <sheetData sheetId="2712">
        <row r="1">
          <cell r="J1">
            <v>1.7453292519943295E-2</v>
          </cell>
        </row>
      </sheetData>
      <sheetData sheetId="2713">
        <row r="1">
          <cell r="J1">
            <v>1.7453292519943295E-2</v>
          </cell>
        </row>
      </sheetData>
      <sheetData sheetId="2714">
        <row r="1">
          <cell r="J1">
            <v>1.7453292519943295E-2</v>
          </cell>
        </row>
      </sheetData>
      <sheetData sheetId="2715">
        <row r="1">
          <cell r="J1">
            <v>1.7453292519943295E-2</v>
          </cell>
        </row>
      </sheetData>
      <sheetData sheetId="2716">
        <row r="1">
          <cell r="J1">
            <v>1.7453292519943295E-2</v>
          </cell>
        </row>
      </sheetData>
      <sheetData sheetId="2717">
        <row r="1">
          <cell r="J1">
            <v>1.7453292519943295E-2</v>
          </cell>
        </row>
      </sheetData>
      <sheetData sheetId="2718">
        <row r="1">
          <cell r="J1">
            <v>1.7453292519943295E-2</v>
          </cell>
        </row>
      </sheetData>
      <sheetData sheetId="2719">
        <row r="1">
          <cell r="J1">
            <v>1.7453292519943295E-2</v>
          </cell>
        </row>
      </sheetData>
      <sheetData sheetId="2720">
        <row r="1">
          <cell r="J1">
            <v>1.7453292519943295E-2</v>
          </cell>
        </row>
      </sheetData>
      <sheetData sheetId="2721">
        <row r="1">
          <cell r="J1">
            <v>1.7453292519943295E-2</v>
          </cell>
        </row>
      </sheetData>
      <sheetData sheetId="2722">
        <row r="1">
          <cell r="J1">
            <v>1.7453292519943295E-2</v>
          </cell>
        </row>
      </sheetData>
      <sheetData sheetId="2723">
        <row r="1">
          <cell r="J1">
            <v>1.7453292519943295E-2</v>
          </cell>
        </row>
      </sheetData>
      <sheetData sheetId="2724">
        <row r="1">
          <cell r="J1">
            <v>1.7453292519943295E-2</v>
          </cell>
        </row>
      </sheetData>
      <sheetData sheetId="2725">
        <row r="1">
          <cell r="J1">
            <v>1.7453292519943295E-2</v>
          </cell>
        </row>
      </sheetData>
      <sheetData sheetId="2726">
        <row r="1">
          <cell r="J1">
            <v>1.7453292519943295E-2</v>
          </cell>
        </row>
      </sheetData>
      <sheetData sheetId="2727">
        <row r="1">
          <cell r="J1">
            <v>1.7453292519943295E-2</v>
          </cell>
        </row>
      </sheetData>
      <sheetData sheetId="2728">
        <row r="1">
          <cell r="J1">
            <v>1.7453292519943295E-2</v>
          </cell>
        </row>
      </sheetData>
      <sheetData sheetId="2729">
        <row r="1">
          <cell r="J1">
            <v>1.7453292519943295E-2</v>
          </cell>
        </row>
      </sheetData>
      <sheetData sheetId="2730">
        <row r="1">
          <cell r="J1">
            <v>1.7453292519943295E-2</v>
          </cell>
        </row>
      </sheetData>
      <sheetData sheetId="2731">
        <row r="1">
          <cell r="J1">
            <v>1.7453292519943295E-2</v>
          </cell>
        </row>
      </sheetData>
      <sheetData sheetId="2732">
        <row r="1">
          <cell r="J1">
            <v>1.7453292519943295E-2</v>
          </cell>
        </row>
      </sheetData>
      <sheetData sheetId="2733">
        <row r="1">
          <cell r="J1">
            <v>1.7453292519943295E-2</v>
          </cell>
        </row>
      </sheetData>
      <sheetData sheetId="2734">
        <row r="1">
          <cell r="J1">
            <v>1.7453292519943295E-2</v>
          </cell>
        </row>
      </sheetData>
      <sheetData sheetId="2735">
        <row r="1">
          <cell r="J1">
            <v>1.7453292519943295E-2</v>
          </cell>
        </row>
      </sheetData>
      <sheetData sheetId="2736">
        <row r="1">
          <cell r="J1">
            <v>1.7453292519943295E-2</v>
          </cell>
        </row>
      </sheetData>
      <sheetData sheetId="2737">
        <row r="1">
          <cell r="J1">
            <v>1.7453292519943295E-2</v>
          </cell>
        </row>
      </sheetData>
      <sheetData sheetId="2738">
        <row r="1">
          <cell r="J1">
            <v>1.7453292519943295E-2</v>
          </cell>
        </row>
      </sheetData>
      <sheetData sheetId="2739">
        <row r="1">
          <cell r="J1">
            <v>1.7453292519943295E-2</v>
          </cell>
        </row>
      </sheetData>
      <sheetData sheetId="2740">
        <row r="1">
          <cell r="J1">
            <v>1.7453292519943295E-2</v>
          </cell>
        </row>
      </sheetData>
      <sheetData sheetId="2741">
        <row r="1">
          <cell r="J1">
            <v>1.7453292519943295E-2</v>
          </cell>
        </row>
      </sheetData>
      <sheetData sheetId="2742">
        <row r="1">
          <cell r="J1">
            <v>1.7453292519943295E-2</v>
          </cell>
        </row>
      </sheetData>
      <sheetData sheetId="2743">
        <row r="1">
          <cell r="J1">
            <v>1.7453292519943295E-2</v>
          </cell>
        </row>
      </sheetData>
      <sheetData sheetId="2744">
        <row r="1">
          <cell r="J1">
            <v>1.7453292519943295E-2</v>
          </cell>
        </row>
      </sheetData>
      <sheetData sheetId="2745">
        <row r="1">
          <cell r="J1">
            <v>1.7453292519943295E-2</v>
          </cell>
        </row>
      </sheetData>
      <sheetData sheetId="2746">
        <row r="1">
          <cell r="J1">
            <v>1.7453292519943295E-2</v>
          </cell>
        </row>
      </sheetData>
      <sheetData sheetId="2747">
        <row r="1">
          <cell r="J1">
            <v>1.7453292519943295E-2</v>
          </cell>
        </row>
      </sheetData>
      <sheetData sheetId="2748">
        <row r="1">
          <cell r="J1">
            <v>1.7453292519943295E-2</v>
          </cell>
        </row>
      </sheetData>
      <sheetData sheetId="2749">
        <row r="1">
          <cell r="J1">
            <v>1.7453292519943295E-2</v>
          </cell>
        </row>
      </sheetData>
      <sheetData sheetId="2750">
        <row r="1">
          <cell r="J1">
            <v>1.7453292519943295E-2</v>
          </cell>
        </row>
      </sheetData>
      <sheetData sheetId="2751">
        <row r="1">
          <cell r="J1">
            <v>1.7453292519943295E-2</v>
          </cell>
        </row>
      </sheetData>
      <sheetData sheetId="2752">
        <row r="1">
          <cell r="J1">
            <v>1.7453292519943295E-2</v>
          </cell>
        </row>
      </sheetData>
      <sheetData sheetId="2753">
        <row r="1">
          <cell r="J1">
            <v>1.7453292519943295E-2</v>
          </cell>
        </row>
      </sheetData>
      <sheetData sheetId="2754">
        <row r="1">
          <cell r="J1">
            <v>1.7453292519943295E-2</v>
          </cell>
        </row>
      </sheetData>
      <sheetData sheetId="2755">
        <row r="1">
          <cell r="J1">
            <v>1.7453292519943295E-2</v>
          </cell>
        </row>
      </sheetData>
      <sheetData sheetId="2756">
        <row r="1">
          <cell r="J1">
            <v>1.7453292519943295E-2</v>
          </cell>
        </row>
      </sheetData>
      <sheetData sheetId="2757">
        <row r="1">
          <cell r="J1">
            <v>1.7453292519943295E-2</v>
          </cell>
        </row>
      </sheetData>
      <sheetData sheetId="2758">
        <row r="1">
          <cell r="J1">
            <v>1.7453292519943295E-2</v>
          </cell>
        </row>
      </sheetData>
      <sheetData sheetId="2759">
        <row r="1">
          <cell r="J1">
            <v>1.7453292519943295E-2</v>
          </cell>
        </row>
      </sheetData>
      <sheetData sheetId="2760">
        <row r="1">
          <cell r="J1">
            <v>1.7453292519943295E-2</v>
          </cell>
        </row>
      </sheetData>
      <sheetData sheetId="2761">
        <row r="1">
          <cell r="J1">
            <v>1.7453292519943295E-2</v>
          </cell>
        </row>
      </sheetData>
      <sheetData sheetId="2762">
        <row r="1">
          <cell r="J1">
            <v>1.7453292519943295E-2</v>
          </cell>
        </row>
      </sheetData>
      <sheetData sheetId="2763">
        <row r="1">
          <cell r="J1">
            <v>1.7453292519943295E-2</v>
          </cell>
        </row>
      </sheetData>
      <sheetData sheetId="2764">
        <row r="1">
          <cell r="J1">
            <v>1.7453292519943295E-2</v>
          </cell>
        </row>
      </sheetData>
      <sheetData sheetId="2765">
        <row r="1">
          <cell r="J1">
            <v>1.7453292519943295E-2</v>
          </cell>
        </row>
      </sheetData>
      <sheetData sheetId="2766">
        <row r="1">
          <cell r="J1">
            <v>1.7453292519943295E-2</v>
          </cell>
        </row>
      </sheetData>
      <sheetData sheetId="2767">
        <row r="1">
          <cell r="J1">
            <v>1.7453292519943295E-2</v>
          </cell>
        </row>
      </sheetData>
      <sheetData sheetId="2768">
        <row r="1">
          <cell r="J1">
            <v>1.7453292519943295E-2</v>
          </cell>
        </row>
      </sheetData>
      <sheetData sheetId="2769">
        <row r="1">
          <cell r="J1">
            <v>1.7453292519943295E-2</v>
          </cell>
        </row>
      </sheetData>
      <sheetData sheetId="2770">
        <row r="1">
          <cell r="J1">
            <v>1.7453292519943295E-2</v>
          </cell>
        </row>
      </sheetData>
      <sheetData sheetId="2771">
        <row r="1">
          <cell r="J1">
            <v>1.7453292519943295E-2</v>
          </cell>
        </row>
      </sheetData>
      <sheetData sheetId="2772">
        <row r="1">
          <cell r="J1">
            <v>1.7453292519943295E-2</v>
          </cell>
        </row>
      </sheetData>
      <sheetData sheetId="2773">
        <row r="1">
          <cell r="J1">
            <v>1.7453292519943295E-2</v>
          </cell>
        </row>
      </sheetData>
      <sheetData sheetId="2774">
        <row r="1">
          <cell r="J1">
            <v>1.7453292519943295E-2</v>
          </cell>
        </row>
      </sheetData>
      <sheetData sheetId="2775">
        <row r="1">
          <cell r="J1">
            <v>1.7453292519943295E-2</v>
          </cell>
        </row>
      </sheetData>
      <sheetData sheetId="2776">
        <row r="1">
          <cell r="J1">
            <v>1.7453292519943295E-2</v>
          </cell>
        </row>
      </sheetData>
      <sheetData sheetId="2777">
        <row r="1">
          <cell r="J1">
            <v>1.7453292519943295E-2</v>
          </cell>
        </row>
      </sheetData>
      <sheetData sheetId="2778">
        <row r="1">
          <cell r="J1">
            <v>1.7453292519943295E-2</v>
          </cell>
        </row>
      </sheetData>
      <sheetData sheetId="2779">
        <row r="1">
          <cell r="J1">
            <v>1.7453292519943295E-2</v>
          </cell>
        </row>
      </sheetData>
      <sheetData sheetId="2780">
        <row r="1">
          <cell r="J1">
            <v>1.7453292519943295E-2</v>
          </cell>
        </row>
      </sheetData>
      <sheetData sheetId="2781">
        <row r="1">
          <cell r="J1">
            <v>1.7453292519943295E-2</v>
          </cell>
        </row>
      </sheetData>
      <sheetData sheetId="2782">
        <row r="1">
          <cell r="J1">
            <v>1.7453292519943295E-2</v>
          </cell>
        </row>
      </sheetData>
      <sheetData sheetId="2783">
        <row r="1">
          <cell r="J1">
            <v>1.7453292519943295E-2</v>
          </cell>
        </row>
      </sheetData>
      <sheetData sheetId="2784">
        <row r="1">
          <cell r="J1">
            <v>1.7453292519943295E-2</v>
          </cell>
        </row>
      </sheetData>
      <sheetData sheetId="2785">
        <row r="1">
          <cell r="J1">
            <v>1.7453292519943295E-2</v>
          </cell>
        </row>
      </sheetData>
      <sheetData sheetId="2786">
        <row r="1">
          <cell r="J1">
            <v>1.7453292519943295E-2</v>
          </cell>
        </row>
      </sheetData>
      <sheetData sheetId="2787">
        <row r="1">
          <cell r="J1">
            <v>1.7453292519943295E-2</v>
          </cell>
        </row>
      </sheetData>
      <sheetData sheetId="2788">
        <row r="1">
          <cell r="J1">
            <v>1.7453292519943295E-2</v>
          </cell>
        </row>
      </sheetData>
      <sheetData sheetId="2789">
        <row r="1">
          <cell r="J1">
            <v>1.7453292519943295E-2</v>
          </cell>
        </row>
      </sheetData>
      <sheetData sheetId="2790">
        <row r="1">
          <cell r="J1">
            <v>1.7453292519943295E-2</v>
          </cell>
        </row>
      </sheetData>
      <sheetData sheetId="2791">
        <row r="1">
          <cell r="J1">
            <v>1.7453292519943295E-2</v>
          </cell>
        </row>
      </sheetData>
      <sheetData sheetId="2792">
        <row r="1">
          <cell r="J1">
            <v>1.7453292519943295E-2</v>
          </cell>
        </row>
      </sheetData>
      <sheetData sheetId="2793">
        <row r="1">
          <cell r="J1">
            <v>1.7453292519943295E-2</v>
          </cell>
        </row>
      </sheetData>
      <sheetData sheetId="2794">
        <row r="1">
          <cell r="J1">
            <v>1.7453292519943295E-2</v>
          </cell>
        </row>
      </sheetData>
      <sheetData sheetId="2795">
        <row r="1">
          <cell r="J1">
            <v>1.7453292519943295E-2</v>
          </cell>
        </row>
      </sheetData>
      <sheetData sheetId="2796">
        <row r="1">
          <cell r="J1">
            <v>1.7453292519943295E-2</v>
          </cell>
        </row>
      </sheetData>
      <sheetData sheetId="2797">
        <row r="1">
          <cell r="J1">
            <v>1.7453292519943295E-2</v>
          </cell>
        </row>
      </sheetData>
      <sheetData sheetId="2798">
        <row r="1">
          <cell r="J1">
            <v>1.7453292519943295E-2</v>
          </cell>
        </row>
      </sheetData>
      <sheetData sheetId="2799">
        <row r="1">
          <cell r="J1">
            <v>1.7453292519943295E-2</v>
          </cell>
        </row>
      </sheetData>
      <sheetData sheetId="2800">
        <row r="1">
          <cell r="J1">
            <v>1.7453292519943295E-2</v>
          </cell>
        </row>
      </sheetData>
      <sheetData sheetId="2801">
        <row r="1">
          <cell r="J1">
            <v>1.7453292519943295E-2</v>
          </cell>
        </row>
      </sheetData>
      <sheetData sheetId="2802">
        <row r="1">
          <cell r="J1">
            <v>1.7453292519943295E-2</v>
          </cell>
        </row>
      </sheetData>
      <sheetData sheetId="2803">
        <row r="1">
          <cell r="J1">
            <v>1.7453292519943295E-2</v>
          </cell>
        </row>
      </sheetData>
      <sheetData sheetId="2804">
        <row r="1">
          <cell r="J1">
            <v>1.7453292519943295E-2</v>
          </cell>
        </row>
      </sheetData>
      <sheetData sheetId="2805">
        <row r="1">
          <cell r="J1">
            <v>1.7453292519943295E-2</v>
          </cell>
        </row>
      </sheetData>
      <sheetData sheetId="2806">
        <row r="1">
          <cell r="J1">
            <v>1.7453292519943295E-2</v>
          </cell>
        </row>
      </sheetData>
      <sheetData sheetId="2807">
        <row r="1">
          <cell r="J1">
            <v>1.7453292519943295E-2</v>
          </cell>
        </row>
      </sheetData>
      <sheetData sheetId="2808">
        <row r="1">
          <cell r="J1">
            <v>1.7453292519943295E-2</v>
          </cell>
        </row>
      </sheetData>
      <sheetData sheetId="2809">
        <row r="1">
          <cell r="J1">
            <v>1.7453292519943295E-2</v>
          </cell>
        </row>
      </sheetData>
      <sheetData sheetId="2810">
        <row r="1">
          <cell r="J1">
            <v>1.7453292519943295E-2</v>
          </cell>
        </row>
      </sheetData>
      <sheetData sheetId="2811">
        <row r="1">
          <cell r="J1">
            <v>1.7453292519943295E-2</v>
          </cell>
        </row>
      </sheetData>
      <sheetData sheetId="2812">
        <row r="1">
          <cell r="J1">
            <v>1.7453292519943295E-2</v>
          </cell>
        </row>
      </sheetData>
      <sheetData sheetId="2813">
        <row r="1">
          <cell r="J1">
            <v>1.7453292519943295E-2</v>
          </cell>
        </row>
      </sheetData>
      <sheetData sheetId="2814">
        <row r="1">
          <cell r="J1">
            <v>1.7453292519943295E-2</v>
          </cell>
        </row>
      </sheetData>
      <sheetData sheetId="2815">
        <row r="1">
          <cell r="J1">
            <v>1.7453292519943295E-2</v>
          </cell>
        </row>
      </sheetData>
      <sheetData sheetId="2816">
        <row r="1">
          <cell r="J1">
            <v>1.7453292519943295E-2</v>
          </cell>
        </row>
      </sheetData>
      <sheetData sheetId="2817">
        <row r="1">
          <cell r="J1">
            <v>1.7453292519943295E-2</v>
          </cell>
        </row>
      </sheetData>
      <sheetData sheetId="2818">
        <row r="1">
          <cell r="J1">
            <v>1.7453292519943295E-2</v>
          </cell>
        </row>
      </sheetData>
      <sheetData sheetId="2819">
        <row r="1">
          <cell r="J1">
            <v>1.7453292519943295E-2</v>
          </cell>
        </row>
      </sheetData>
      <sheetData sheetId="2820">
        <row r="1">
          <cell r="J1">
            <v>1.7453292519943295E-2</v>
          </cell>
        </row>
      </sheetData>
      <sheetData sheetId="2821">
        <row r="1">
          <cell r="J1">
            <v>1.7453292519943295E-2</v>
          </cell>
        </row>
      </sheetData>
      <sheetData sheetId="2822">
        <row r="1">
          <cell r="J1">
            <v>1.7453292519943295E-2</v>
          </cell>
        </row>
      </sheetData>
      <sheetData sheetId="2823">
        <row r="1">
          <cell r="J1">
            <v>1.7453292519943295E-2</v>
          </cell>
        </row>
      </sheetData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>
        <row r="1">
          <cell r="J1">
            <v>1.7453292519943295E-2</v>
          </cell>
        </row>
      </sheetData>
      <sheetData sheetId="2844">
        <row r="1">
          <cell r="J1">
            <v>1.7453292519943295E-2</v>
          </cell>
        </row>
      </sheetData>
      <sheetData sheetId="2845">
        <row r="1">
          <cell r="J1">
            <v>1.7453292519943295E-2</v>
          </cell>
        </row>
      </sheetData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>
        <row r="1">
          <cell r="J1">
            <v>1.7453292519943295E-2</v>
          </cell>
        </row>
      </sheetData>
      <sheetData sheetId="3042">
        <row r="1">
          <cell r="J1">
            <v>1.7453292519943295E-2</v>
          </cell>
        </row>
      </sheetData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>
        <row r="1">
          <cell r="J1">
            <v>1.7453292519943295E-2</v>
          </cell>
        </row>
      </sheetData>
      <sheetData sheetId="3051" refreshError="1"/>
      <sheetData sheetId="3052" refreshError="1"/>
      <sheetData sheetId="3053">
        <row r="1">
          <cell r="J1">
            <v>1.7453292519943295E-2</v>
          </cell>
        </row>
      </sheetData>
      <sheetData sheetId="3054" refreshError="1"/>
      <sheetData sheetId="3055"/>
      <sheetData sheetId="3056" refreshError="1"/>
      <sheetData sheetId="3057" refreshError="1"/>
      <sheetData sheetId="3058"/>
      <sheetData sheetId="3059">
        <row r="1">
          <cell r="J1">
            <v>1.7453292519943295E-2</v>
          </cell>
        </row>
      </sheetData>
      <sheetData sheetId="3060">
        <row r="1">
          <cell r="J1">
            <v>1.7453292519943295E-2</v>
          </cell>
        </row>
      </sheetData>
      <sheetData sheetId="3061">
        <row r="1">
          <cell r="J1">
            <v>1.7453292519943295E-2</v>
          </cell>
        </row>
      </sheetData>
      <sheetData sheetId="3062">
        <row r="1">
          <cell r="J1">
            <v>1.7453292519943295E-2</v>
          </cell>
        </row>
      </sheetData>
      <sheetData sheetId="3063">
        <row r="1">
          <cell r="J1">
            <v>1.7453292519943295E-2</v>
          </cell>
        </row>
      </sheetData>
      <sheetData sheetId="3064">
        <row r="1">
          <cell r="J1">
            <v>1.7453292519943295E-2</v>
          </cell>
        </row>
      </sheetData>
      <sheetData sheetId="3065">
        <row r="1">
          <cell r="J1">
            <v>1.7453292519943295E-2</v>
          </cell>
        </row>
      </sheetData>
      <sheetData sheetId="3066">
        <row r="1">
          <cell r="J1">
            <v>1.7453292519943295E-2</v>
          </cell>
        </row>
      </sheetData>
      <sheetData sheetId="3067">
        <row r="1">
          <cell r="J1">
            <v>1.7453292519943295E-2</v>
          </cell>
        </row>
      </sheetData>
      <sheetData sheetId="3068">
        <row r="1">
          <cell r="J1">
            <v>1.7453292519943295E-2</v>
          </cell>
        </row>
      </sheetData>
      <sheetData sheetId="3069">
        <row r="1">
          <cell r="J1">
            <v>1.7453292519943295E-2</v>
          </cell>
        </row>
      </sheetData>
      <sheetData sheetId="3070">
        <row r="1">
          <cell r="J1">
            <v>1.7453292519943295E-2</v>
          </cell>
        </row>
      </sheetData>
      <sheetData sheetId="3071">
        <row r="1">
          <cell r="J1">
            <v>1.7453292519943295E-2</v>
          </cell>
        </row>
      </sheetData>
      <sheetData sheetId="3072">
        <row r="1">
          <cell r="J1">
            <v>1.7453292519943295E-2</v>
          </cell>
        </row>
      </sheetData>
      <sheetData sheetId="3073">
        <row r="1">
          <cell r="J1">
            <v>1.7453292519943295E-2</v>
          </cell>
        </row>
      </sheetData>
      <sheetData sheetId="3074">
        <row r="1">
          <cell r="J1">
            <v>1.7453292519943295E-2</v>
          </cell>
        </row>
      </sheetData>
      <sheetData sheetId="3075">
        <row r="1">
          <cell r="J1">
            <v>1.7453292519943295E-2</v>
          </cell>
        </row>
      </sheetData>
      <sheetData sheetId="3076">
        <row r="1">
          <cell r="J1">
            <v>1.7453292519943295E-2</v>
          </cell>
        </row>
      </sheetData>
      <sheetData sheetId="3077">
        <row r="1">
          <cell r="J1">
            <v>1.7453292519943295E-2</v>
          </cell>
        </row>
      </sheetData>
      <sheetData sheetId="3078">
        <row r="1">
          <cell r="J1">
            <v>1.7453292519943295E-2</v>
          </cell>
        </row>
      </sheetData>
      <sheetData sheetId="3079">
        <row r="1">
          <cell r="J1">
            <v>1.7453292519943295E-2</v>
          </cell>
        </row>
      </sheetData>
      <sheetData sheetId="3080">
        <row r="1">
          <cell r="J1">
            <v>1.7453292519943295E-2</v>
          </cell>
        </row>
      </sheetData>
      <sheetData sheetId="3081">
        <row r="1">
          <cell r="J1">
            <v>1.7453292519943295E-2</v>
          </cell>
        </row>
      </sheetData>
      <sheetData sheetId="3082">
        <row r="1">
          <cell r="J1">
            <v>1.7453292519943295E-2</v>
          </cell>
        </row>
      </sheetData>
      <sheetData sheetId="3083">
        <row r="1">
          <cell r="J1">
            <v>1.7453292519943295E-2</v>
          </cell>
        </row>
      </sheetData>
      <sheetData sheetId="3084">
        <row r="1">
          <cell r="J1">
            <v>1.7453292519943295E-2</v>
          </cell>
        </row>
      </sheetData>
      <sheetData sheetId="3085">
        <row r="1">
          <cell r="J1">
            <v>1.7453292519943295E-2</v>
          </cell>
        </row>
      </sheetData>
      <sheetData sheetId="3086">
        <row r="1">
          <cell r="J1">
            <v>1.7453292519943295E-2</v>
          </cell>
        </row>
      </sheetData>
      <sheetData sheetId="3087">
        <row r="1">
          <cell r="J1">
            <v>1.7453292519943295E-2</v>
          </cell>
        </row>
      </sheetData>
      <sheetData sheetId="3088">
        <row r="1">
          <cell r="J1">
            <v>1.7453292519943295E-2</v>
          </cell>
        </row>
      </sheetData>
      <sheetData sheetId="3089">
        <row r="1">
          <cell r="J1">
            <v>1.7453292519943295E-2</v>
          </cell>
        </row>
      </sheetData>
      <sheetData sheetId="3090">
        <row r="1">
          <cell r="J1">
            <v>1.7453292519943295E-2</v>
          </cell>
        </row>
      </sheetData>
      <sheetData sheetId="3091">
        <row r="1">
          <cell r="J1">
            <v>1.7453292519943295E-2</v>
          </cell>
        </row>
      </sheetData>
      <sheetData sheetId="3092">
        <row r="1">
          <cell r="J1">
            <v>1.7453292519943295E-2</v>
          </cell>
        </row>
      </sheetData>
      <sheetData sheetId="3093">
        <row r="1">
          <cell r="J1">
            <v>1.7453292519943295E-2</v>
          </cell>
        </row>
      </sheetData>
      <sheetData sheetId="3094">
        <row r="1">
          <cell r="J1">
            <v>1.7453292519943295E-2</v>
          </cell>
        </row>
      </sheetData>
      <sheetData sheetId="3095">
        <row r="1">
          <cell r="J1">
            <v>1.7453292519943295E-2</v>
          </cell>
        </row>
      </sheetData>
      <sheetData sheetId="3096">
        <row r="1">
          <cell r="J1">
            <v>1.7453292519943295E-2</v>
          </cell>
        </row>
      </sheetData>
      <sheetData sheetId="3097">
        <row r="1">
          <cell r="J1">
            <v>1.7453292519943295E-2</v>
          </cell>
        </row>
      </sheetData>
      <sheetData sheetId="3098">
        <row r="1">
          <cell r="J1">
            <v>1.7453292519943295E-2</v>
          </cell>
        </row>
      </sheetData>
      <sheetData sheetId="3099">
        <row r="1">
          <cell r="J1">
            <v>1.7453292519943295E-2</v>
          </cell>
        </row>
      </sheetData>
      <sheetData sheetId="3100">
        <row r="1">
          <cell r="J1">
            <v>1.7453292519943295E-2</v>
          </cell>
        </row>
      </sheetData>
      <sheetData sheetId="3101">
        <row r="1">
          <cell r="J1">
            <v>1.7453292519943295E-2</v>
          </cell>
        </row>
      </sheetData>
      <sheetData sheetId="3102">
        <row r="1">
          <cell r="J1">
            <v>1.7453292519943295E-2</v>
          </cell>
        </row>
      </sheetData>
      <sheetData sheetId="3103">
        <row r="1">
          <cell r="J1">
            <v>1.7453292519943295E-2</v>
          </cell>
        </row>
      </sheetData>
      <sheetData sheetId="3104">
        <row r="1">
          <cell r="J1">
            <v>1.7453292519943295E-2</v>
          </cell>
        </row>
      </sheetData>
      <sheetData sheetId="3105">
        <row r="1">
          <cell r="J1">
            <v>1.7453292519943295E-2</v>
          </cell>
        </row>
      </sheetData>
      <sheetData sheetId="3106">
        <row r="1">
          <cell r="J1">
            <v>1.7453292519943295E-2</v>
          </cell>
        </row>
      </sheetData>
      <sheetData sheetId="3107">
        <row r="1">
          <cell r="J1">
            <v>1.7453292519943295E-2</v>
          </cell>
        </row>
      </sheetData>
      <sheetData sheetId="3108" refreshError="1"/>
      <sheetData sheetId="3109">
        <row r="1">
          <cell r="J1">
            <v>1.7453292519943295E-2</v>
          </cell>
        </row>
      </sheetData>
      <sheetData sheetId="3110">
        <row r="1">
          <cell r="J1">
            <v>1.7453292519943295E-2</v>
          </cell>
        </row>
      </sheetData>
      <sheetData sheetId="3111" refreshError="1"/>
      <sheetData sheetId="3112" refreshError="1"/>
      <sheetData sheetId="3113" refreshError="1"/>
      <sheetData sheetId="3114" refreshError="1"/>
      <sheetData sheetId="3115">
        <row r="1">
          <cell r="J1">
            <v>1.7453292519943295E-2</v>
          </cell>
        </row>
      </sheetData>
      <sheetData sheetId="3116">
        <row r="1">
          <cell r="J1">
            <v>1.7453292519943295E-2</v>
          </cell>
        </row>
      </sheetData>
      <sheetData sheetId="3117" refreshError="1"/>
      <sheetData sheetId="3118" refreshError="1"/>
      <sheetData sheetId="3119">
        <row r="1">
          <cell r="J1">
            <v>1.7453292519943295E-2</v>
          </cell>
        </row>
      </sheetData>
      <sheetData sheetId="3120">
        <row r="1">
          <cell r="J1">
            <v>1.7453292519943295E-2</v>
          </cell>
        </row>
      </sheetData>
      <sheetData sheetId="3121">
        <row r="1">
          <cell r="J1">
            <v>1.7453292519943295E-2</v>
          </cell>
        </row>
      </sheetData>
      <sheetData sheetId="3122" refreshError="1"/>
      <sheetData sheetId="3123" refreshError="1"/>
      <sheetData sheetId="3124" refreshError="1"/>
      <sheetData sheetId="3125" refreshError="1"/>
      <sheetData sheetId="3126">
        <row r="1">
          <cell r="J1">
            <v>1.7453292519943295E-2</v>
          </cell>
        </row>
      </sheetData>
      <sheetData sheetId="3127">
        <row r="1">
          <cell r="J1">
            <v>1.7453292519943295E-2</v>
          </cell>
        </row>
      </sheetData>
      <sheetData sheetId="3128">
        <row r="1">
          <cell r="J1">
            <v>1.7453292519943295E-2</v>
          </cell>
        </row>
      </sheetData>
      <sheetData sheetId="3129" refreshError="1"/>
      <sheetData sheetId="3130" refreshError="1"/>
      <sheetData sheetId="3131">
        <row r="1">
          <cell r="J1">
            <v>1.7453292519943295E-2</v>
          </cell>
        </row>
      </sheetData>
      <sheetData sheetId="3132" refreshError="1"/>
      <sheetData sheetId="3133">
        <row r="1">
          <cell r="J1">
            <v>1.7453292519943295E-2</v>
          </cell>
        </row>
      </sheetData>
      <sheetData sheetId="3134">
        <row r="1">
          <cell r="J1">
            <v>1.7453292519943295E-2</v>
          </cell>
        </row>
      </sheetData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>
        <row r="1">
          <cell r="J1">
            <v>1.7453292519943295E-2</v>
          </cell>
        </row>
      </sheetData>
      <sheetData sheetId="3150">
        <row r="1">
          <cell r="J1">
            <v>1.7453292519943295E-2</v>
          </cell>
        </row>
      </sheetData>
      <sheetData sheetId="3151" refreshError="1"/>
      <sheetData sheetId="3152" refreshError="1"/>
      <sheetData sheetId="3153" refreshError="1"/>
      <sheetData sheetId="3154" refreshError="1"/>
      <sheetData sheetId="3155">
        <row r="1">
          <cell r="J1">
            <v>1.7453292519943295E-2</v>
          </cell>
        </row>
      </sheetData>
      <sheetData sheetId="3156">
        <row r="1">
          <cell r="J1">
            <v>1.7453292519943295E-2</v>
          </cell>
        </row>
      </sheetData>
      <sheetData sheetId="3157">
        <row r="1">
          <cell r="J1">
            <v>1.7453292519943295E-2</v>
          </cell>
        </row>
      </sheetData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>
        <row r="1">
          <cell r="J1">
            <v>1.7453292519943295E-2</v>
          </cell>
        </row>
      </sheetData>
      <sheetData sheetId="3173">
        <row r="1">
          <cell r="J1">
            <v>1.7453292519943295E-2</v>
          </cell>
        </row>
      </sheetData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/>
      <sheetData sheetId="3181"/>
      <sheetData sheetId="3182"/>
      <sheetData sheetId="3183"/>
      <sheetData sheetId="3184"/>
      <sheetData sheetId="3185"/>
      <sheetData sheetId="3186"/>
      <sheetData sheetId="3187">
        <row r="1">
          <cell r="J1">
            <v>1.7453292519943295E-2</v>
          </cell>
        </row>
      </sheetData>
      <sheetData sheetId="3188">
        <row r="1">
          <cell r="J1">
            <v>1.7453292519943295E-2</v>
          </cell>
        </row>
      </sheetData>
      <sheetData sheetId="3189"/>
      <sheetData sheetId="3190"/>
      <sheetData sheetId="3191"/>
      <sheetData sheetId="3192"/>
      <sheetData sheetId="3193">
        <row r="1">
          <cell r="J1">
            <v>1.7453292519943295E-2</v>
          </cell>
        </row>
      </sheetData>
      <sheetData sheetId="3194">
        <row r="1">
          <cell r="J1">
            <v>1.7453292519943295E-2</v>
          </cell>
        </row>
      </sheetData>
      <sheetData sheetId="3195">
        <row r="1">
          <cell r="J1">
            <v>1.7453292519943295E-2</v>
          </cell>
        </row>
      </sheetData>
      <sheetData sheetId="3196"/>
      <sheetData sheetId="3197"/>
      <sheetData sheetId="3198">
        <row r="1">
          <cell r="J1">
            <v>1.7453292519943295E-2</v>
          </cell>
        </row>
      </sheetData>
      <sheetData sheetId="3199">
        <row r="1">
          <cell r="J1">
            <v>1.7453292519943295E-2</v>
          </cell>
        </row>
      </sheetData>
      <sheetData sheetId="3200">
        <row r="1">
          <cell r="J1">
            <v>1.7453292519943295E-2</v>
          </cell>
        </row>
      </sheetData>
      <sheetData sheetId="3201">
        <row r="1">
          <cell r="J1">
            <v>1.7453292519943295E-2</v>
          </cell>
        </row>
      </sheetData>
      <sheetData sheetId="3202">
        <row r="1">
          <cell r="J1">
            <v>1.7453292519943295E-2</v>
          </cell>
        </row>
      </sheetData>
      <sheetData sheetId="3203">
        <row r="1">
          <cell r="J1">
            <v>1.7453292519943295E-2</v>
          </cell>
        </row>
      </sheetData>
      <sheetData sheetId="3204">
        <row r="1">
          <cell r="J1">
            <v>1.7453292519943295E-2</v>
          </cell>
        </row>
      </sheetData>
      <sheetData sheetId="3205">
        <row r="1">
          <cell r="J1">
            <v>1.7453292519943295E-2</v>
          </cell>
        </row>
      </sheetData>
      <sheetData sheetId="3206">
        <row r="1">
          <cell r="J1">
            <v>1.7453292519943295E-2</v>
          </cell>
        </row>
      </sheetData>
      <sheetData sheetId="3207">
        <row r="1">
          <cell r="J1">
            <v>1.7453292519943295E-2</v>
          </cell>
        </row>
      </sheetData>
      <sheetData sheetId="3208">
        <row r="1">
          <cell r="J1">
            <v>1.7453292519943295E-2</v>
          </cell>
        </row>
      </sheetData>
      <sheetData sheetId="3209">
        <row r="1">
          <cell r="J1">
            <v>1.7453292519943295E-2</v>
          </cell>
        </row>
      </sheetData>
      <sheetData sheetId="3210">
        <row r="1">
          <cell r="J1">
            <v>1.7453292519943295E-2</v>
          </cell>
        </row>
      </sheetData>
      <sheetData sheetId="3211">
        <row r="1">
          <cell r="J1">
            <v>1.7453292519943295E-2</v>
          </cell>
        </row>
      </sheetData>
      <sheetData sheetId="3212">
        <row r="1">
          <cell r="J1">
            <v>1.7453292519943295E-2</v>
          </cell>
        </row>
      </sheetData>
      <sheetData sheetId="3213">
        <row r="1">
          <cell r="J1">
            <v>1.7453292519943295E-2</v>
          </cell>
        </row>
      </sheetData>
      <sheetData sheetId="3214">
        <row r="1">
          <cell r="J1">
            <v>1.7453292519943295E-2</v>
          </cell>
        </row>
      </sheetData>
      <sheetData sheetId="3215">
        <row r="1">
          <cell r="J1">
            <v>1.7453292519943295E-2</v>
          </cell>
        </row>
      </sheetData>
      <sheetData sheetId="3216">
        <row r="1">
          <cell r="J1">
            <v>1.7453292519943295E-2</v>
          </cell>
        </row>
      </sheetData>
      <sheetData sheetId="3217">
        <row r="1">
          <cell r="J1">
            <v>1.7453292519943295E-2</v>
          </cell>
        </row>
      </sheetData>
      <sheetData sheetId="3218">
        <row r="1">
          <cell r="J1">
            <v>1.7453292519943295E-2</v>
          </cell>
        </row>
      </sheetData>
      <sheetData sheetId="3219">
        <row r="1">
          <cell r="J1">
            <v>1.7453292519943295E-2</v>
          </cell>
        </row>
      </sheetData>
      <sheetData sheetId="3220">
        <row r="1">
          <cell r="J1">
            <v>1.7453292519943295E-2</v>
          </cell>
        </row>
      </sheetData>
      <sheetData sheetId="3221">
        <row r="1">
          <cell r="J1">
            <v>1.7453292519943295E-2</v>
          </cell>
        </row>
      </sheetData>
      <sheetData sheetId="3222">
        <row r="1">
          <cell r="J1">
            <v>1.7453292519943295E-2</v>
          </cell>
        </row>
      </sheetData>
      <sheetData sheetId="3223">
        <row r="1">
          <cell r="J1">
            <v>1.7453292519943295E-2</v>
          </cell>
        </row>
      </sheetData>
      <sheetData sheetId="3224">
        <row r="1">
          <cell r="J1">
            <v>1.7453292519943295E-2</v>
          </cell>
        </row>
      </sheetData>
      <sheetData sheetId="3225">
        <row r="1">
          <cell r="J1">
            <v>1.7453292519943295E-2</v>
          </cell>
        </row>
      </sheetData>
      <sheetData sheetId="3226">
        <row r="1">
          <cell r="J1">
            <v>1.7453292519943295E-2</v>
          </cell>
        </row>
      </sheetData>
      <sheetData sheetId="3227">
        <row r="1">
          <cell r="J1">
            <v>1.7453292519943295E-2</v>
          </cell>
        </row>
      </sheetData>
      <sheetData sheetId="3228">
        <row r="1">
          <cell r="J1">
            <v>1.7453292519943295E-2</v>
          </cell>
        </row>
      </sheetData>
      <sheetData sheetId="3229">
        <row r="1">
          <cell r="J1">
            <v>1.7453292519943295E-2</v>
          </cell>
        </row>
      </sheetData>
      <sheetData sheetId="3230">
        <row r="1">
          <cell r="J1">
            <v>1.7453292519943295E-2</v>
          </cell>
        </row>
      </sheetData>
      <sheetData sheetId="3231">
        <row r="1">
          <cell r="J1">
            <v>1.7453292519943295E-2</v>
          </cell>
        </row>
      </sheetData>
      <sheetData sheetId="3232">
        <row r="1">
          <cell r="J1">
            <v>1.7453292519943295E-2</v>
          </cell>
        </row>
      </sheetData>
      <sheetData sheetId="3233">
        <row r="1">
          <cell r="J1">
            <v>1.7453292519943295E-2</v>
          </cell>
        </row>
      </sheetData>
      <sheetData sheetId="3234">
        <row r="1">
          <cell r="J1">
            <v>1.7453292519943295E-2</v>
          </cell>
        </row>
      </sheetData>
      <sheetData sheetId="3235">
        <row r="1">
          <cell r="J1">
            <v>1.7453292519943295E-2</v>
          </cell>
        </row>
      </sheetData>
      <sheetData sheetId="3236">
        <row r="1">
          <cell r="J1">
            <v>1.7453292519943295E-2</v>
          </cell>
        </row>
      </sheetData>
      <sheetData sheetId="3237">
        <row r="1">
          <cell r="J1">
            <v>1.7453292519943295E-2</v>
          </cell>
        </row>
      </sheetData>
      <sheetData sheetId="3238">
        <row r="1">
          <cell r="J1">
            <v>1.7453292519943295E-2</v>
          </cell>
        </row>
      </sheetData>
      <sheetData sheetId="3239">
        <row r="1">
          <cell r="J1">
            <v>1.7453292519943295E-2</v>
          </cell>
        </row>
      </sheetData>
      <sheetData sheetId="3240">
        <row r="1">
          <cell r="J1">
            <v>1.7453292519943295E-2</v>
          </cell>
        </row>
      </sheetData>
      <sheetData sheetId="3241">
        <row r="1">
          <cell r="J1">
            <v>1.7453292519943295E-2</v>
          </cell>
        </row>
      </sheetData>
      <sheetData sheetId="3242">
        <row r="1">
          <cell r="J1">
            <v>1.7453292519943295E-2</v>
          </cell>
        </row>
      </sheetData>
      <sheetData sheetId="3243">
        <row r="1">
          <cell r="J1">
            <v>1.7453292519943295E-2</v>
          </cell>
        </row>
      </sheetData>
      <sheetData sheetId="3244">
        <row r="1">
          <cell r="J1">
            <v>1.7453292519943295E-2</v>
          </cell>
        </row>
      </sheetData>
      <sheetData sheetId="3245">
        <row r="1">
          <cell r="J1">
            <v>1.7453292519943295E-2</v>
          </cell>
        </row>
      </sheetData>
      <sheetData sheetId="3246">
        <row r="1">
          <cell r="J1">
            <v>1.7453292519943295E-2</v>
          </cell>
        </row>
      </sheetData>
      <sheetData sheetId="3247">
        <row r="1">
          <cell r="J1">
            <v>1.7453292519943295E-2</v>
          </cell>
        </row>
      </sheetData>
      <sheetData sheetId="3248">
        <row r="1">
          <cell r="J1">
            <v>1.7453292519943295E-2</v>
          </cell>
        </row>
      </sheetData>
      <sheetData sheetId="3249">
        <row r="1">
          <cell r="J1">
            <v>1.7453292519943295E-2</v>
          </cell>
        </row>
      </sheetData>
      <sheetData sheetId="3250">
        <row r="1">
          <cell r="J1">
            <v>1.7453292519943295E-2</v>
          </cell>
        </row>
      </sheetData>
      <sheetData sheetId="3251">
        <row r="1">
          <cell r="J1">
            <v>1.7453292519943295E-2</v>
          </cell>
        </row>
      </sheetData>
      <sheetData sheetId="3252">
        <row r="1">
          <cell r="J1">
            <v>1.7453292519943295E-2</v>
          </cell>
        </row>
      </sheetData>
      <sheetData sheetId="3253">
        <row r="1">
          <cell r="J1">
            <v>1.7453292519943295E-2</v>
          </cell>
        </row>
      </sheetData>
      <sheetData sheetId="3254">
        <row r="1">
          <cell r="J1">
            <v>1.7453292519943295E-2</v>
          </cell>
        </row>
      </sheetData>
      <sheetData sheetId="3255">
        <row r="1">
          <cell r="J1">
            <v>1.7453292519943295E-2</v>
          </cell>
        </row>
      </sheetData>
      <sheetData sheetId="3256">
        <row r="1">
          <cell r="J1">
            <v>1.7453292519943295E-2</v>
          </cell>
        </row>
      </sheetData>
      <sheetData sheetId="3257">
        <row r="1">
          <cell r="J1">
            <v>1.7453292519943295E-2</v>
          </cell>
        </row>
      </sheetData>
      <sheetData sheetId="3258">
        <row r="1">
          <cell r="J1">
            <v>1.7453292519943295E-2</v>
          </cell>
        </row>
      </sheetData>
      <sheetData sheetId="3259">
        <row r="1">
          <cell r="J1">
            <v>1.7453292519943295E-2</v>
          </cell>
        </row>
      </sheetData>
      <sheetData sheetId="3260">
        <row r="1">
          <cell r="J1">
            <v>1.7453292519943295E-2</v>
          </cell>
        </row>
      </sheetData>
      <sheetData sheetId="3261">
        <row r="1">
          <cell r="J1">
            <v>1.7453292519943295E-2</v>
          </cell>
        </row>
      </sheetData>
      <sheetData sheetId="3262">
        <row r="1">
          <cell r="J1">
            <v>1.7453292519943295E-2</v>
          </cell>
        </row>
      </sheetData>
      <sheetData sheetId="3263">
        <row r="1">
          <cell r="J1">
            <v>1.7453292519943295E-2</v>
          </cell>
        </row>
      </sheetData>
      <sheetData sheetId="3264">
        <row r="1">
          <cell r="J1">
            <v>1.7453292519943295E-2</v>
          </cell>
        </row>
      </sheetData>
      <sheetData sheetId="3265">
        <row r="1">
          <cell r="J1">
            <v>1.7453292519943295E-2</v>
          </cell>
        </row>
      </sheetData>
      <sheetData sheetId="3266">
        <row r="1">
          <cell r="J1">
            <v>1.7453292519943295E-2</v>
          </cell>
        </row>
      </sheetData>
      <sheetData sheetId="3267">
        <row r="1">
          <cell r="J1">
            <v>1.7453292519943295E-2</v>
          </cell>
        </row>
      </sheetData>
      <sheetData sheetId="3268">
        <row r="1">
          <cell r="J1">
            <v>1.7453292519943295E-2</v>
          </cell>
        </row>
      </sheetData>
      <sheetData sheetId="3269">
        <row r="1">
          <cell r="J1">
            <v>1.7453292519943295E-2</v>
          </cell>
        </row>
      </sheetData>
      <sheetData sheetId="3270">
        <row r="1">
          <cell r="J1">
            <v>1.7453292519943295E-2</v>
          </cell>
        </row>
      </sheetData>
      <sheetData sheetId="3271">
        <row r="1">
          <cell r="J1">
            <v>1.7453292519943295E-2</v>
          </cell>
        </row>
      </sheetData>
      <sheetData sheetId="3272">
        <row r="1">
          <cell r="J1">
            <v>1.7453292519943295E-2</v>
          </cell>
        </row>
      </sheetData>
      <sheetData sheetId="3273">
        <row r="1">
          <cell r="J1">
            <v>1.7453292519943295E-2</v>
          </cell>
        </row>
      </sheetData>
      <sheetData sheetId="3274">
        <row r="1">
          <cell r="J1">
            <v>1.7453292519943295E-2</v>
          </cell>
        </row>
      </sheetData>
      <sheetData sheetId="3275">
        <row r="1">
          <cell r="J1">
            <v>1.7453292519943295E-2</v>
          </cell>
        </row>
      </sheetData>
      <sheetData sheetId="3276">
        <row r="1">
          <cell r="J1">
            <v>1.7453292519943295E-2</v>
          </cell>
        </row>
      </sheetData>
      <sheetData sheetId="3277">
        <row r="1">
          <cell r="J1">
            <v>1.7453292519943295E-2</v>
          </cell>
        </row>
      </sheetData>
      <sheetData sheetId="3278">
        <row r="1">
          <cell r="J1">
            <v>1.7453292519943295E-2</v>
          </cell>
        </row>
      </sheetData>
      <sheetData sheetId="3279">
        <row r="1">
          <cell r="J1">
            <v>1.7453292519943295E-2</v>
          </cell>
        </row>
      </sheetData>
      <sheetData sheetId="3280">
        <row r="1">
          <cell r="J1">
            <v>1.7453292519943295E-2</v>
          </cell>
        </row>
      </sheetData>
      <sheetData sheetId="3281">
        <row r="1">
          <cell r="J1">
            <v>1.7453292519943295E-2</v>
          </cell>
        </row>
      </sheetData>
      <sheetData sheetId="3282">
        <row r="1">
          <cell r="J1">
            <v>1.7453292519943295E-2</v>
          </cell>
        </row>
      </sheetData>
      <sheetData sheetId="3283">
        <row r="1">
          <cell r="J1">
            <v>1.7453292519943295E-2</v>
          </cell>
        </row>
      </sheetData>
      <sheetData sheetId="3284">
        <row r="1">
          <cell r="J1">
            <v>1.7453292519943295E-2</v>
          </cell>
        </row>
      </sheetData>
      <sheetData sheetId="3285">
        <row r="1">
          <cell r="J1">
            <v>1.7453292519943295E-2</v>
          </cell>
        </row>
      </sheetData>
      <sheetData sheetId="3286">
        <row r="1">
          <cell r="J1">
            <v>1.7453292519943295E-2</v>
          </cell>
        </row>
      </sheetData>
      <sheetData sheetId="3287">
        <row r="1">
          <cell r="J1">
            <v>1.7453292519943295E-2</v>
          </cell>
        </row>
      </sheetData>
      <sheetData sheetId="3288">
        <row r="1">
          <cell r="J1">
            <v>1.7453292519943295E-2</v>
          </cell>
        </row>
      </sheetData>
      <sheetData sheetId="3289">
        <row r="1">
          <cell r="J1">
            <v>1.7453292519943295E-2</v>
          </cell>
        </row>
      </sheetData>
      <sheetData sheetId="3290">
        <row r="1">
          <cell r="J1">
            <v>1.7453292519943295E-2</v>
          </cell>
        </row>
      </sheetData>
      <sheetData sheetId="3291">
        <row r="1">
          <cell r="J1">
            <v>1.7453292519943295E-2</v>
          </cell>
        </row>
      </sheetData>
      <sheetData sheetId="3292">
        <row r="1">
          <cell r="J1">
            <v>1.7453292519943295E-2</v>
          </cell>
        </row>
      </sheetData>
      <sheetData sheetId="3293">
        <row r="1">
          <cell r="J1">
            <v>1.7453292519943295E-2</v>
          </cell>
        </row>
      </sheetData>
      <sheetData sheetId="3294">
        <row r="1">
          <cell r="J1">
            <v>1.7453292519943295E-2</v>
          </cell>
        </row>
      </sheetData>
      <sheetData sheetId="3295">
        <row r="1">
          <cell r="J1">
            <v>1.7453292519943295E-2</v>
          </cell>
        </row>
      </sheetData>
      <sheetData sheetId="3296">
        <row r="1">
          <cell r="J1">
            <v>1.7453292519943295E-2</v>
          </cell>
        </row>
      </sheetData>
      <sheetData sheetId="3297">
        <row r="1">
          <cell r="J1">
            <v>1.7453292519943295E-2</v>
          </cell>
        </row>
      </sheetData>
      <sheetData sheetId="3298">
        <row r="1">
          <cell r="J1">
            <v>1.7453292519943295E-2</v>
          </cell>
        </row>
      </sheetData>
      <sheetData sheetId="3299">
        <row r="1">
          <cell r="J1">
            <v>1.7453292519943295E-2</v>
          </cell>
        </row>
      </sheetData>
      <sheetData sheetId="3300">
        <row r="1">
          <cell r="J1">
            <v>1.7453292519943295E-2</v>
          </cell>
        </row>
      </sheetData>
      <sheetData sheetId="3301">
        <row r="1">
          <cell r="J1">
            <v>1.7453292519943295E-2</v>
          </cell>
        </row>
      </sheetData>
      <sheetData sheetId="3302">
        <row r="1">
          <cell r="J1">
            <v>1.7453292519943295E-2</v>
          </cell>
        </row>
      </sheetData>
      <sheetData sheetId="3303">
        <row r="1">
          <cell r="J1">
            <v>1.7453292519943295E-2</v>
          </cell>
        </row>
      </sheetData>
      <sheetData sheetId="3304">
        <row r="1">
          <cell r="J1">
            <v>1.7453292519943295E-2</v>
          </cell>
        </row>
      </sheetData>
      <sheetData sheetId="3305">
        <row r="1">
          <cell r="J1">
            <v>1.7453292519943295E-2</v>
          </cell>
        </row>
      </sheetData>
      <sheetData sheetId="3306">
        <row r="1">
          <cell r="J1">
            <v>1.7453292519943295E-2</v>
          </cell>
        </row>
      </sheetData>
      <sheetData sheetId="3307">
        <row r="1">
          <cell r="J1">
            <v>1.7453292519943295E-2</v>
          </cell>
        </row>
      </sheetData>
      <sheetData sheetId="3308">
        <row r="1">
          <cell r="J1">
            <v>1.7453292519943295E-2</v>
          </cell>
        </row>
      </sheetData>
      <sheetData sheetId="3309">
        <row r="1">
          <cell r="J1">
            <v>1.7453292519943295E-2</v>
          </cell>
        </row>
      </sheetData>
      <sheetData sheetId="3310">
        <row r="1">
          <cell r="J1">
            <v>1.7453292519943295E-2</v>
          </cell>
        </row>
      </sheetData>
      <sheetData sheetId="3311">
        <row r="1">
          <cell r="J1">
            <v>1.7453292519943295E-2</v>
          </cell>
        </row>
      </sheetData>
      <sheetData sheetId="3312">
        <row r="1">
          <cell r="J1">
            <v>1.7453292519943295E-2</v>
          </cell>
        </row>
      </sheetData>
      <sheetData sheetId="3313">
        <row r="1">
          <cell r="J1">
            <v>1.7453292519943295E-2</v>
          </cell>
        </row>
      </sheetData>
      <sheetData sheetId="3314">
        <row r="1">
          <cell r="J1">
            <v>1.7453292519943295E-2</v>
          </cell>
        </row>
      </sheetData>
      <sheetData sheetId="3315">
        <row r="1">
          <cell r="J1">
            <v>1.7453292519943295E-2</v>
          </cell>
        </row>
      </sheetData>
      <sheetData sheetId="3316">
        <row r="1">
          <cell r="J1">
            <v>1.7453292519943295E-2</v>
          </cell>
        </row>
      </sheetData>
      <sheetData sheetId="3317">
        <row r="1">
          <cell r="J1">
            <v>1.7453292519943295E-2</v>
          </cell>
        </row>
      </sheetData>
      <sheetData sheetId="3318">
        <row r="1">
          <cell r="J1">
            <v>1.7453292519943295E-2</v>
          </cell>
        </row>
      </sheetData>
      <sheetData sheetId="3319">
        <row r="1">
          <cell r="J1">
            <v>1.7453292519943295E-2</v>
          </cell>
        </row>
      </sheetData>
      <sheetData sheetId="3320">
        <row r="1">
          <cell r="J1">
            <v>1.7453292519943295E-2</v>
          </cell>
        </row>
      </sheetData>
      <sheetData sheetId="3321">
        <row r="1">
          <cell r="J1">
            <v>1.7453292519943295E-2</v>
          </cell>
        </row>
      </sheetData>
      <sheetData sheetId="3322">
        <row r="1">
          <cell r="J1">
            <v>1.7453292519943295E-2</v>
          </cell>
        </row>
      </sheetData>
      <sheetData sheetId="3323">
        <row r="1">
          <cell r="J1">
            <v>1.7453292519943295E-2</v>
          </cell>
        </row>
      </sheetData>
      <sheetData sheetId="3324">
        <row r="1">
          <cell r="J1">
            <v>1.7453292519943295E-2</v>
          </cell>
        </row>
      </sheetData>
      <sheetData sheetId="3325">
        <row r="1">
          <cell r="J1">
            <v>1.7453292519943295E-2</v>
          </cell>
        </row>
      </sheetData>
      <sheetData sheetId="3326">
        <row r="1">
          <cell r="J1">
            <v>1.7453292519943295E-2</v>
          </cell>
        </row>
      </sheetData>
      <sheetData sheetId="3327">
        <row r="1">
          <cell r="J1">
            <v>1.7453292519943295E-2</v>
          </cell>
        </row>
      </sheetData>
      <sheetData sheetId="3328">
        <row r="1">
          <cell r="J1">
            <v>1.7453292519943295E-2</v>
          </cell>
        </row>
      </sheetData>
      <sheetData sheetId="3329">
        <row r="1">
          <cell r="J1">
            <v>1.7453292519943295E-2</v>
          </cell>
        </row>
      </sheetData>
      <sheetData sheetId="3330">
        <row r="1">
          <cell r="J1">
            <v>1.7453292519943295E-2</v>
          </cell>
        </row>
      </sheetData>
      <sheetData sheetId="3331">
        <row r="1">
          <cell r="J1">
            <v>1.7453292519943295E-2</v>
          </cell>
        </row>
      </sheetData>
      <sheetData sheetId="3332">
        <row r="1">
          <cell r="J1">
            <v>1.7453292519943295E-2</v>
          </cell>
        </row>
      </sheetData>
      <sheetData sheetId="3333">
        <row r="1">
          <cell r="J1">
            <v>1.7453292519943295E-2</v>
          </cell>
        </row>
      </sheetData>
      <sheetData sheetId="3334">
        <row r="1">
          <cell r="J1">
            <v>1.7453292519943295E-2</v>
          </cell>
        </row>
      </sheetData>
      <sheetData sheetId="3335">
        <row r="1">
          <cell r="J1">
            <v>1.7453292519943295E-2</v>
          </cell>
        </row>
      </sheetData>
      <sheetData sheetId="3336">
        <row r="1">
          <cell r="J1">
            <v>1.7453292519943295E-2</v>
          </cell>
        </row>
      </sheetData>
      <sheetData sheetId="3337">
        <row r="1">
          <cell r="J1">
            <v>1.7453292519943295E-2</v>
          </cell>
        </row>
      </sheetData>
      <sheetData sheetId="3338">
        <row r="1">
          <cell r="J1">
            <v>1.7453292519943295E-2</v>
          </cell>
        </row>
      </sheetData>
      <sheetData sheetId="3339">
        <row r="1">
          <cell r="J1">
            <v>1.7453292519943295E-2</v>
          </cell>
        </row>
      </sheetData>
      <sheetData sheetId="3340">
        <row r="1">
          <cell r="J1">
            <v>1.7453292519943295E-2</v>
          </cell>
        </row>
      </sheetData>
      <sheetData sheetId="3341">
        <row r="1">
          <cell r="J1">
            <v>1.7453292519943295E-2</v>
          </cell>
        </row>
      </sheetData>
      <sheetData sheetId="3342">
        <row r="1">
          <cell r="J1">
            <v>1.7453292519943295E-2</v>
          </cell>
        </row>
      </sheetData>
      <sheetData sheetId="3343">
        <row r="1">
          <cell r="J1">
            <v>1.7453292519943295E-2</v>
          </cell>
        </row>
      </sheetData>
      <sheetData sheetId="3344">
        <row r="1">
          <cell r="J1">
            <v>1.7453292519943295E-2</v>
          </cell>
        </row>
      </sheetData>
      <sheetData sheetId="3345">
        <row r="1">
          <cell r="J1">
            <v>1.7453292519943295E-2</v>
          </cell>
        </row>
      </sheetData>
      <sheetData sheetId="3346">
        <row r="1">
          <cell r="J1">
            <v>1.7453292519943295E-2</v>
          </cell>
        </row>
      </sheetData>
      <sheetData sheetId="3347">
        <row r="1">
          <cell r="J1">
            <v>1.7453292519943295E-2</v>
          </cell>
        </row>
      </sheetData>
      <sheetData sheetId="3348">
        <row r="1">
          <cell r="J1">
            <v>1.7453292519943295E-2</v>
          </cell>
        </row>
      </sheetData>
      <sheetData sheetId="3349">
        <row r="1">
          <cell r="J1">
            <v>1.7453292519943295E-2</v>
          </cell>
        </row>
      </sheetData>
      <sheetData sheetId="3350">
        <row r="1">
          <cell r="J1">
            <v>1.7453292519943295E-2</v>
          </cell>
        </row>
      </sheetData>
      <sheetData sheetId="3351">
        <row r="1">
          <cell r="J1">
            <v>1.7453292519943295E-2</v>
          </cell>
        </row>
      </sheetData>
      <sheetData sheetId="3352">
        <row r="1">
          <cell r="J1">
            <v>1.7453292519943295E-2</v>
          </cell>
        </row>
      </sheetData>
      <sheetData sheetId="3353">
        <row r="1">
          <cell r="J1">
            <v>1.7453292519943295E-2</v>
          </cell>
        </row>
      </sheetData>
      <sheetData sheetId="3354">
        <row r="1">
          <cell r="J1">
            <v>1.7453292519943295E-2</v>
          </cell>
        </row>
      </sheetData>
      <sheetData sheetId="3355">
        <row r="1">
          <cell r="J1">
            <v>1.7453292519943295E-2</v>
          </cell>
        </row>
      </sheetData>
      <sheetData sheetId="3356">
        <row r="1">
          <cell r="J1">
            <v>1.7453292519943295E-2</v>
          </cell>
        </row>
      </sheetData>
      <sheetData sheetId="3357">
        <row r="1">
          <cell r="J1">
            <v>1.7453292519943295E-2</v>
          </cell>
        </row>
      </sheetData>
      <sheetData sheetId="3358">
        <row r="1">
          <cell r="J1">
            <v>1.7453292519943295E-2</v>
          </cell>
        </row>
      </sheetData>
      <sheetData sheetId="3359">
        <row r="1">
          <cell r="J1">
            <v>1.7453292519943295E-2</v>
          </cell>
        </row>
      </sheetData>
      <sheetData sheetId="3360">
        <row r="1">
          <cell r="J1">
            <v>1.7453292519943295E-2</v>
          </cell>
        </row>
      </sheetData>
      <sheetData sheetId="3361">
        <row r="1">
          <cell r="J1">
            <v>1.7453292519943295E-2</v>
          </cell>
        </row>
      </sheetData>
      <sheetData sheetId="3362">
        <row r="1">
          <cell r="J1">
            <v>1.7453292519943295E-2</v>
          </cell>
        </row>
      </sheetData>
      <sheetData sheetId="3363">
        <row r="1">
          <cell r="J1">
            <v>1.7453292519943295E-2</v>
          </cell>
        </row>
      </sheetData>
      <sheetData sheetId="3364">
        <row r="1">
          <cell r="J1">
            <v>1.7453292519943295E-2</v>
          </cell>
        </row>
      </sheetData>
      <sheetData sheetId="3365">
        <row r="1">
          <cell r="J1">
            <v>1.7453292519943295E-2</v>
          </cell>
        </row>
      </sheetData>
      <sheetData sheetId="3366">
        <row r="1">
          <cell r="J1">
            <v>1.7453292519943295E-2</v>
          </cell>
        </row>
      </sheetData>
      <sheetData sheetId="3367">
        <row r="1">
          <cell r="J1">
            <v>1.7453292519943295E-2</v>
          </cell>
        </row>
      </sheetData>
      <sheetData sheetId="3368">
        <row r="1">
          <cell r="J1">
            <v>1.7453292519943295E-2</v>
          </cell>
        </row>
      </sheetData>
      <sheetData sheetId="3369">
        <row r="1">
          <cell r="J1">
            <v>1.7453292519943295E-2</v>
          </cell>
        </row>
      </sheetData>
      <sheetData sheetId="3370">
        <row r="1">
          <cell r="J1">
            <v>1.7453292519943295E-2</v>
          </cell>
        </row>
      </sheetData>
      <sheetData sheetId="3371">
        <row r="1">
          <cell r="J1">
            <v>1.7453292519943295E-2</v>
          </cell>
        </row>
      </sheetData>
      <sheetData sheetId="3372">
        <row r="1">
          <cell r="J1">
            <v>1.7453292519943295E-2</v>
          </cell>
        </row>
      </sheetData>
      <sheetData sheetId="3373">
        <row r="1">
          <cell r="J1">
            <v>1.7453292519943295E-2</v>
          </cell>
        </row>
      </sheetData>
      <sheetData sheetId="3374">
        <row r="1">
          <cell r="J1">
            <v>1.7453292519943295E-2</v>
          </cell>
        </row>
      </sheetData>
      <sheetData sheetId="3375">
        <row r="1">
          <cell r="J1">
            <v>1.7453292519943295E-2</v>
          </cell>
        </row>
      </sheetData>
      <sheetData sheetId="3376">
        <row r="1">
          <cell r="J1">
            <v>1.7453292519943295E-2</v>
          </cell>
        </row>
      </sheetData>
      <sheetData sheetId="3377">
        <row r="1">
          <cell r="J1">
            <v>1.7453292519943295E-2</v>
          </cell>
        </row>
      </sheetData>
      <sheetData sheetId="3378">
        <row r="1">
          <cell r="J1">
            <v>1.7453292519943295E-2</v>
          </cell>
        </row>
      </sheetData>
      <sheetData sheetId="3379">
        <row r="1">
          <cell r="J1">
            <v>1.7453292519943295E-2</v>
          </cell>
        </row>
      </sheetData>
      <sheetData sheetId="3380">
        <row r="1">
          <cell r="J1">
            <v>1.7453292519943295E-2</v>
          </cell>
        </row>
      </sheetData>
      <sheetData sheetId="3381">
        <row r="1">
          <cell r="J1">
            <v>1.7453292519943295E-2</v>
          </cell>
        </row>
      </sheetData>
      <sheetData sheetId="3382">
        <row r="1">
          <cell r="J1">
            <v>1.7453292519943295E-2</v>
          </cell>
        </row>
      </sheetData>
      <sheetData sheetId="3383">
        <row r="1">
          <cell r="J1">
            <v>1.7453292519943295E-2</v>
          </cell>
        </row>
      </sheetData>
      <sheetData sheetId="3384">
        <row r="1">
          <cell r="J1">
            <v>1.7453292519943295E-2</v>
          </cell>
        </row>
      </sheetData>
      <sheetData sheetId="3385">
        <row r="1">
          <cell r="J1">
            <v>1.7453292519943295E-2</v>
          </cell>
        </row>
      </sheetData>
      <sheetData sheetId="3386">
        <row r="1">
          <cell r="J1">
            <v>1.7453292519943295E-2</v>
          </cell>
        </row>
      </sheetData>
      <sheetData sheetId="3387">
        <row r="1">
          <cell r="J1">
            <v>1.7453292519943295E-2</v>
          </cell>
        </row>
      </sheetData>
      <sheetData sheetId="3388">
        <row r="1">
          <cell r="J1">
            <v>1.7453292519943295E-2</v>
          </cell>
        </row>
      </sheetData>
      <sheetData sheetId="3389">
        <row r="1">
          <cell r="J1">
            <v>1.7453292519943295E-2</v>
          </cell>
        </row>
      </sheetData>
      <sheetData sheetId="3390">
        <row r="1">
          <cell r="J1">
            <v>1.7453292519943295E-2</v>
          </cell>
        </row>
      </sheetData>
      <sheetData sheetId="3391">
        <row r="1">
          <cell r="J1">
            <v>1.7453292519943295E-2</v>
          </cell>
        </row>
      </sheetData>
      <sheetData sheetId="3392">
        <row r="1">
          <cell r="J1">
            <v>1.7453292519943295E-2</v>
          </cell>
        </row>
      </sheetData>
      <sheetData sheetId="3393">
        <row r="1">
          <cell r="J1">
            <v>1.7453292519943295E-2</v>
          </cell>
        </row>
      </sheetData>
      <sheetData sheetId="3394">
        <row r="1">
          <cell r="J1">
            <v>1.7453292519943295E-2</v>
          </cell>
        </row>
      </sheetData>
      <sheetData sheetId="3395">
        <row r="1">
          <cell r="J1">
            <v>1.7453292519943295E-2</v>
          </cell>
        </row>
      </sheetData>
      <sheetData sheetId="3396">
        <row r="1">
          <cell r="J1">
            <v>1.7453292519943295E-2</v>
          </cell>
        </row>
      </sheetData>
      <sheetData sheetId="3397">
        <row r="1">
          <cell r="J1">
            <v>1.7453292519943295E-2</v>
          </cell>
        </row>
      </sheetData>
      <sheetData sheetId="3398">
        <row r="1">
          <cell r="J1">
            <v>1.7453292519943295E-2</v>
          </cell>
        </row>
      </sheetData>
      <sheetData sheetId="3399">
        <row r="1">
          <cell r="J1">
            <v>1.7453292519943295E-2</v>
          </cell>
        </row>
      </sheetData>
      <sheetData sheetId="3400">
        <row r="1">
          <cell r="J1">
            <v>1.7453292519943295E-2</v>
          </cell>
        </row>
      </sheetData>
      <sheetData sheetId="3401">
        <row r="1">
          <cell r="J1">
            <v>1.7453292519943295E-2</v>
          </cell>
        </row>
      </sheetData>
      <sheetData sheetId="3402">
        <row r="1">
          <cell r="J1">
            <v>1.7453292519943295E-2</v>
          </cell>
        </row>
      </sheetData>
      <sheetData sheetId="3403">
        <row r="1">
          <cell r="J1">
            <v>1.7453292519943295E-2</v>
          </cell>
        </row>
      </sheetData>
      <sheetData sheetId="3404">
        <row r="1">
          <cell r="J1">
            <v>1.7453292519943295E-2</v>
          </cell>
        </row>
      </sheetData>
      <sheetData sheetId="3405">
        <row r="1">
          <cell r="J1">
            <v>1.7453292519943295E-2</v>
          </cell>
        </row>
      </sheetData>
      <sheetData sheetId="3406">
        <row r="1">
          <cell r="J1">
            <v>1.7453292519943295E-2</v>
          </cell>
        </row>
      </sheetData>
      <sheetData sheetId="3407">
        <row r="1">
          <cell r="J1">
            <v>1.7453292519943295E-2</v>
          </cell>
        </row>
      </sheetData>
      <sheetData sheetId="3408">
        <row r="1">
          <cell r="J1">
            <v>1.7453292519943295E-2</v>
          </cell>
        </row>
      </sheetData>
      <sheetData sheetId="3409">
        <row r="1">
          <cell r="J1">
            <v>1.7453292519943295E-2</v>
          </cell>
        </row>
      </sheetData>
      <sheetData sheetId="3410">
        <row r="1">
          <cell r="J1">
            <v>1.7453292519943295E-2</v>
          </cell>
        </row>
      </sheetData>
      <sheetData sheetId="3411">
        <row r="1">
          <cell r="J1">
            <v>1.7453292519943295E-2</v>
          </cell>
        </row>
      </sheetData>
      <sheetData sheetId="3412">
        <row r="1">
          <cell r="J1">
            <v>1.7453292519943295E-2</v>
          </cell>
        </row>
      </sheetData>
      <sheetData sheetId="3413">
        <row r="1">
          <cell r="J1">
            <v>1.7453292519943295E-2</v>
          </cell>
        </row>
      </sheetData>
      <sheetData sheetId="3414">
        <row r="1">
          <cell r="J1">
            <v>1.7453292519943295E-2</v>
          </cell>
        </row>
      </sheetData>
      <sheetData sheetId="3415">
        <row r="1">
          <cell r="J1">
            <v>1.7453292519943295E-2</v>
          </cell>
        </row>
      </sheetData>
      <sheetData sheetId="3416">
        <row r="1">
          <cell r="J1">
            <v>1.7453292519943295E-2</v>
          </cell>
        </row>
      </sheetData>
      <sheetData sheetId="3417">
        <row r="1">
          <cell r="J1">
            <v>1.7453292519943295E-2</v>
          </cell>
        </row>
      </sheetData>
      <sheetData sheetId="3418">
        <row r="1">
          <cell r="J1">
            <v>1.7453292519943295E-2</v>
          </cell>
        </row>
      </sheetData>
      <sheetData sheetId="3419">
        <row r="1">
          <cell r="J1">
            <v>1.7453292519943295E-2</v>
          </cell>
        </row>
      </sheetData>
      <sheetData sheetId="3420">
        <row r="1">
          <cell r="J1">
            <v>1.7453292519943295E-2</v>
          </cell>
        </row>
      </sheetData>
      <sheetData sheetId="3421">
        <row r="1">
          <cell r="J1">
            <v>1.7453292519943295E-2</v>
          </cell>
        </row>
      </sheetData>
      <sheetData sheetId="3422">
        <row r="1">
          <cell r="J1">
            <v>1.7453292519943295E-2</v>
          </cell>
        </row>
      </sheetData>
      <sheetData sheetId="3423">
        <row r="1">
          <cell r="J1">
            <v>1.7453292519943295E-2</v>
          </cell>
        </row>
      </sheetData>
      <sheetData sheetId="3424">
        <row r="1">
          <cell r="J1">
            <v>1.7453292519943295E-2</v>
          </cell>
        </row>
      </sheetData>
      <sheetData sheetId="3425">
        <row r="1">
          <cell r="J1">
            <v>1.7453292519943295E-2</v>
          </cell>
        </row>
      </sheetData>
      <sheetData sheetId="3426">
        <row r="1">
          <cell r="J1">
            <v>1.7453292519943295E-2</v>
          </cell>
        </row>
      </sheetData>
      <sheetData sheetId="3427">
        <row r="1">
          <cell r="J1">
            <v>1.7453292519943295E-2</v>
          </cell>
        </row>
      </sheetData>
      <sheetData sheetId="3428">
        <row r="1">
          <cell r="J1">
            <v>1.7453292519943295E-2</v>
          </cell>
        </row>
      </sheetData>
      <sheetData sheetId="3429">
        <row r="1">
          <cell r="J1">
            <v>1.7453292519943295E-2</v>
          </cell>
        </row>
      </sheetData>
      <sheetData sheetId="3430">
        <row r="1">
          <cell r="J1">
            <v>1.7453292519943295E-2</v>
          </cell>
        </row>
      </sheetData>
      <sheetData sheetId="3431">
        <row r="1">
          <cell r="J1">
            <v>1.7453292519943295E-2</v>
          </cell>
        </row>
      </sheetData>
      <sheetData sheetId="3432">
        <row r="1">
          <cell r="J1">
            <v>1.7453292519943295E-2</v>
          </cell>
        </row>
      </sheetData>
      <sheetData sheetId="3433">
        <row r="1">
          <cell r="J1">
            <v>1.7453292519943295E-2</v>
          </cell>
        </row>
      </sheetData>
      <sheetData sheetId="3434">
        <row r="1">
          <cell r="J1">
            <v>1.7453292519943295E-2</v>
          </cell>
        </row>
      </sheetData>
      <sheetData sheetId="3435">
        <row r="1">
          <cell r="J1">
            <v>1.7453292519943295E-2</v>
          </cell>
        </row>
      </sheetData>
      <sheetData sheetId="3436">
        <row r="1">
          <cell r="J1">
            <v>1.7453292519943295E-2</v>
          </cell>
        </row>
      </sheetData>
      <sheetData sheetId="3437">
        <row r="1">
          <cell r="J1">
            <v>1.7453292519943295E-2</v>
          </cell>
        </row>
      </sheetData>
      <sheetData sheetId="3438">
        <row r="1">
          <cell r="J1">
            <v>1.7453292519943295E-2</v>
          </cell>
        </row>
      </sheetData>
      <sheetData sheetId="3439">
        <row r="1">
          <cell r="J1">
            <v>1.7453292519943295E-2</v>
          </cell>
        </row>
      </sheetData>
      <sheetData sheetId="3440">
        <row r="1">
          <cell r="J1">
            <v>1.7453292519943295E-2</v>
          </cell>
        </row>
      </sheetData>
      <sheetData sheetId="3441">
        <row r="1">
          <cell r="J1">
            <v>1.7453292519943295E-2</v>
          </cell>
        </row>
      </sheetData>
      <sheetData sheetId="3442">
        <row r="1">
          <cell r="J1">
            <v>1.7453292519943295E-2</v>
          </cell>
        </row>
      </sheetData>
      <sheetData sheetId="3443">
        <row r="1">
          <cell r="J1">
            <v>1.7453292519943295E-2</v>
          </cell>
        </row>
      </sheetData>
      <sheetData sheetId="3444">
        <row r="1">
          <cell r="J1">
            <v>1.7453292519943295E-2</v>
          </cell>
        </row>
      </sheetData>
      <sheetData sheetId="3445">
        <row r="1">
          <cell r="J1">
            <v>1.7453292519943295E-2</v>
          </cell>
        </row>
      </sheetData>
      <sheetData sheetId="3446">
        <row r="1">
          <cell r="J1">
            <v>1.7453292519943295E-2</v>
          </cell>
        </row>
      </sheetData>
      <sheetData sheetId="3447">
        <row r="1">
          <cell r="J1">
            <v>1.7453292519943295E-2</v>
          </cell>
        </row>
      </sheetData>
      <sheetData sheetId="3448">
        <row r="1">
          <cell r="J1">
            <v>1.7453292519943295E-2</v>
          </cell>
        </row>
      </sheetData>
      <sheetData sheetId="3449">
        <row r="1">
          <cell r="J1">
            <v>1.7453292519943295E-2</v>
          </cell>
        </row>
      </sheetData>
      <sheetData sheetId="3450">
        <row r="1">
          <cell r="J1">
            <v>1.7453292519943295E-2</v>
          </cell>
        </row>
      </sheetData>
      <sheetData sheetId="3451">
        <row r="1">
          <cell r="J1">
            <v>1.7453292519943295E-2</v>
          </cell>
        </row>
      </sheetData>
      <sheetData sheetId="3452">
        <row r="1">
          <cell r="J1">
            <v>1.7453292519943295E-2</v>
          </cell>
        </row>
      </sheetData>
      <sheetData sheetId="3453">
        <row r="1">
          <cell r="J1">
            <v>1.7453292519943295E-2</v>
          </cell>
        </row>
      </sheetData>
      <sheetData sheetId="3454">
        <row r="1">
          <cell r="J1">
            <v>1.7453292519943295E-2</v>
          </cell>
        </row>
      </sheetData>
      <sheetData sheetId="3455">
        <row r="1">
          <cell r="J1">
            <v>1.7453292519943295E-2</v>
          </cell>
        </row>
      </sheetData>
      <sheetData sheetId="3456">
        <row r="1">
          <cell r="J1">
            <v>1.7453292519943295E-2</v>
          </cell>
        </row>
      </sheetData>
      <sheetData sheetId="3457">
        <row r="1">
          <cell r="J1">
            <v>1.7453292519943295E-2</v>
          </cell>
        </row>
      </sheetData>
      <sheetData sheetId="3458">
        <row r="1">
          <cell r="J1">
            <v>1.7453292519943295E-2</v>
          </cell>
        </row>
      </sheetData>
      <sheetData sheetId="3459">
        <row r="1">
          <cell r="J1">
            <v>1.7453292519943295E-2</v>
          </cell>
        </row>
      </sheetData>
      <sheetData sheetId="3460">
        <row r="1">
          <cell r="J1">
            <v>1.7453292519943295E-2</v>
          </cell>
        </row>
      </sheetData>
      <sheetData sheetId="3461">
        <row r="1">
          <cell r="J1">
            <v>1.7453292519943295E-2</v>
          </cell>
        </row>
      </sheetData>
      <sheetData sheetId="3462">
        <row r="1">
          <cell r="J1">
            <v>1.7453292519943295E-2</v>
          </cell>
        </row>
      </sheetData>
      <sheetData sheetId="3463">
        <row r="1">
          <cell r="J1">
            <v>1.7453292519943295E-2</v>
          </cell>
        </row>
      </sheetData>
      <sheetData sheetId="3464">
        <row r="1">
          <cell r="J1">
            <v>1.7453292519943295E-2</v>
          </cell>
        </row>
      </sheetData>
      <sheetData sheetId="3465">
        <row r="1">
          <cell r="J1">
            <v>1.7453292519943295E-2</v>
          </cell>
        </row>
      </sheetData>
      <sheetData sheetId="3466">
        <row r="1">
          <cell r="J1">
            <v>1.7453292519943295E-2</v>
          </cell>
        </row>
      </sheetData>
      <sheetData sheetId="3467">
        <row r="1">
          <cell r="J1">
            <v>1.7453292519943295E-2</v>
          </cell>
        </row>
      </sheetData>
      <sheetData sheetId="3468">
        <row r="1">
          <cell r="J1">
            <v>1.7453292519943295E-2</v>
          </cell>
        </row>
      </sheetData>
      <sheetData sheetId="3469">
        <row r="1">
          <cell r="J1">
            <v>1.7453292519943295E-2</v>
          </cell>
        </row>
      </sheetData>
      <sheetData sheetId="3470">
        <row r="1">
          <cell r="J1">
            <v>1.7453292519943295E-2</v>
          </cell>
        </row>
      </sheetData>
      <sheetData sheetId="3471">
        <row r="1">
          <cell r="J1">
            <v>1.7453292519943295E-2</v>
          </cell>
        </row>
      </sheetData>
      <sheetData sheetId="3472">
        <row r="1">
          <cell r="J1">
            <v>1.7453292519943295E-2</v>
          </cell>
        </row>
      </sheetData>
      <sheetData sheetId="3473">
        <row r="1">
          <cell r="J1">
            <v>1.7453292519943295E-2</v>
          </cell>
        </row>
      </sheetData>
      <sheetData sheetId="3474">
        <row r="1">
          <cell r="J1">
            <v>1.7453292519943295E-2</v>
          </cell>
        </row>
      </sheetData>
      <sheetData sheetId="3475">
        <row r="1">
          <cell r="J1">
            <v>1.7453292519943295E-2</v>
          </cell>
        </row>
      </sheetData>
      <sheetData sheetId="3476">
        <row r="1">
          <cell r="J1">
            <v>1.7453292519943295E-2</v>
          </cell>
        </row>
      </sheetData>
      <sheetData sheetId="3477">
        <row r="1">
          <cell r="J1">
            <v>1.7453292519943295E-2</v>
          </cell>
        </row>
      </sheetData>
      <sheetData sheetId="3478">
        <row r="1">
          <cell r="J1">
            <v>1.7453292519943295E-2</v>
          </cell>
        </row>
      </sheetData>
      <sheetData sheetId="3479">
        <row r="1">
          <cell r="J1">
            <v>1.7453292519943295E-2</v>
          </cell>
        </row>
      </sheetData>
      <sheetData sheetId="3480">
        <row r="1">
          <cell r="J1">
            <v>1.7453292519943295E-2</v>
          </cell>
        </row>
      </sheetData>
      <sheetData sheetId="3481">
        <row r="1">
          <cell r="J1">
            <v>1.7453292519943295E-2</v>
          </cell>
        </row>
      </sheetData>
      <sheetData sheetId="3482">
        <row r="1">
          <cell r="J1">
            <v>1.7453292519943295E-2</v>
          </cell>
        </row>
      </sheetData>
      <sheetData sheetId="3483">
        <row r="1">
          <cell r="J1">
            <v>1.7453292519943295E-2</v>
          </cell>
        </row>
      </sheetData>
      <sheetData sheetId="3484">
        <row r="1">
          <cell r="J1">
            <v>1.7453292519943295E-2</v>
          </cell>
        </row>
      </sheetData>
      <sheetData sheetId="3485">
        <row r="1">
          <cell r="J1">
            <v>1.7453292519943295E-2</v>
          </cell>
        </row>
      </sheetData>
      <sheetData sheetId="3486">
        <row r="1">
          <cell r="J1">
            <v>1.7453292519943295E-2</v>
          </cell>
        </row>
      </sheetData>
      <sheetData sheetId="3487">
        <row r="1">
          <cell r="J1">
            <v>1.7453292519943295E-2</v>
          </cell>
        </row>
      </sheetData>
      <sheetData sheetId="3488">
        <row r="1">
          <cell r="J1">
            <v>1.7453292519943295E-2</v>
          </cell>
        </row>
      </sheetData>
      <sheetData sheetId="3489">
        <row r="1">
          <cell r="J1">
            <v>1.7453292519943295E-2</v>
          </cell>
        </row>
      </sheetData>
      <sheetData sheetId="3490">
        <row r="1">
          <cell r="J1">
            <v>1.7453292519943295E-2</v>
          </cell>
        </row>
      </sheetData>
      <sheetData sheetId="3491">
        <row r="1">
          <cell r="J1">
            <v>1.7453292519943295E-2</v>
          </cell>
        </row>
      </sheetData>
      <sheetData sheetId="3492">
        <row r="1">
          <cell r="J1">
            <v>1.7453292519943295E-2</v>
          </cell>
        </row>
      </sheetData>
      <sheetData sheetId="3493">
        <row r="1">
          <cell r="J1">
            <v>1.7453292519943295E-2</v>
          </cell>
        </row>
      </sheetData>
      <sheetData sheetId="3494">
        <row r="1">
          <cell r="J1">
            <v>1.7453292519943295E-2</v>
          </cell>
        </row>
      </sheetData>
      <sheetData sheetId="3495">
        <row r="1">
          <cell r="J1">
            <v>1.7453292519943295E-2</v>
          </cell>
        </row>
      </sheetData>
      <sheetData sheetId="3496">
        <row r="1">
          <cell r="J1">
            <v>1.7453292519943295E-2</v>
          </cell>
        </row>
      </sheetData>
      <sheetData sheetId="3497">
        <row r="1">
          <cell r="J1">
            <v>1.7453292519943295E-2</v>
          </cell>
        </row>
      </sheetData>
      <sheetData sheetId="3498">
        <row r="1">
          <cell r="J1">
            <v>1.7453292519943295E-2</v>
          </cell>
        </row>
      </sheetData>
      <sheetData sheetId="3499">
        <row r="1">
          <cell r="J1">
            <v>1.7453292519943295E-2</v>
          </cell>
        </row>
      </sheetData>
      <sheetData sheetId="3500">
        <row r="1">
          <cell r="J1">
            <v>1.7453292519943295E-2</v>
          </cell>
        </row>
      </sheetData>
      <sheetData sheetId="3501">
        <row r="1">
          <cell r="J1">
            <v>1.7453292519943295E-2</v>
          </cell>
        </row>
      </sheetData>
      <sheetData sheetId="3502">
        <row r="1">
          <cell r="J1">
            <v>1.7453292519943295E-2</v>
          </cell>
        </row>
      </sheetData>
      <sheetData sheetId="3503">
        <row r="1">
          <cell r="J1">
            <v>1.7453292519943295E-2</v>
          </cell>
        </row>
      </sheetData>
      <sheetData sheetId="3504">
        <row r="1">
          <cell r="J1">
            <v>1.7453292519943295E-2</v>
          </cell>
        </row>
      </sheetData>
      <sheetData sheetId="3505">
        <row r="1">
          <cell r="J1">
            <v>1.7453292519943295E-2</v>
          </cell>
        </row>
      </sheetData>
      <sheetData sheetId="3506">
        <row r="1">
          <cell r="J1">
            <v>1.7453292519943295E-2</v>
          </cell>
        </row>
      </sheetData>
      <sheetData sheetId="3507">
        <row r="1">
          <cell r="J1">
            <v>1.7453292519943295E-2</v>
          </cell>
        </row>
      </sheetData>
      <sheetData sheetId="3508">
        <row r="1">
          <cell r="J1">
            <v>1.7453292519943295E-2</v>
          </cell>
        </row>
      </sheetData>
      <sheetData sheetId="3509">
        <row r="1">
          <cell r="J1">
            <v>1.7453292519943295E-2</v>
          </cell>
        </row>
      </sheetData>
      <sheetData sheetId="3510">
        <row r="1">
          <cell r="J1">
            <v>1.7453292519943295E-2</v>
          </cell>
        </row>
      </sheetData>
      <sheetData sheetId="3511">
        <row r="1">
          <cell r="J1">
            <v>1.7453292519943295E-2</v>
          </cell>
        </row>
      </sheetData>
      <sheetData sheetId="3512">
        <row r="1">
          <cell r="J1">
            <v>1.7453292519943295E-2</v>
          </cell>
        </row>
      </sheetData>
      <sheetData sheetId="3513">
        <row r="1">
          <cell r="J1">
            <v>1.7453292519943295E-2</v>
          </cell>
        </row>
      </sheetData>
      <sheetData sheetId="3514">
        <row r="1">
          <cell r="J1">
            <v>1.7453292519943295E-2</v>
          </cell>
        </row>
      </sheetData>
      <sheetData sheetId="3515">
        <row r="1">
          <cell r="J1">
            <v>1.7453292519943295E-2</v>
          </cell>
        </row>
      </sheetData>
      <sheetData sheetId="3516">
        <row r="1">
          <cell r="J1">
            <v>1.7453292519943295E-2</v>
          </cell>
        </row>
      </sheetData>
      <sheetData sheetId="3517">
        <row r="1">
          <cell r="J1">
            <v>1.7453292519943295E-2</v>
          </cell>
        </row>
      </sheetData>
      <sheetData sheetId="3518">
        <row r="1">
          <cell r="J1">
            <v>1.7453292519943295E-2</v>
          </cell>
        </row>
      </sheetData>
      <sheetData sheetId="3519">
        <row r="1">
          <cell r="J1">
            <v>1.7453292519943295E-2</v>
          </cell>
        </row>
      </sheetData>
      <sheetData sheetId="3520">
        <row r="1">
          <cell r="J1">
            <v>1.7453292519943295E-2</v>
          </cell>
        </row>
      </sheetData>
      <sheetData sheetId="3521">
        <row r="1">
          <cell r="J1">
            <v>1.7453292519943295E-2</v>
          </cell>
        </row>
      </sheetData>
      <sheetData sheetId="3522">
        <row r="1">
          <cell r="J1">
            <v>1.7453292519943295E-2</v>
          </cell>
        </row>
      </sheetData>
      <sheetData sheetId="3523">
        <row r="1">
          <cell r="J1">
            <v>1.7453292519943295E-2</v>
          </cell>
        </row>
      </sheetData>
      <sheetData sheetId="3524">
        <row r="1">
          <cell r="J1">
            <v>1.7453292519943295E-2</v>
          </cell>
        </row>
      </sheetData>
      <sheetData sheetId="3525">
        <row r="1">
          <cell r="J1">
            <v>1.7453292519943295E-2</v>
          </cell>
        </row>
      </sheetData>
      <sheetData sheetId="3526">
        <row r="1">
          <cell r="J1">
            <v>1.7453292519943295E-2</v>
          </cell>
        </row>
      </sheetData>
      <sheetData sheetId="3527">
        <row r="1">
          <cell r="J1">
            <v>1.7453292519943295E-2</v>
          </cell>
        </row>
      </sheetData>
      <sheetData sheetId="3528">
        <row r="1">
          <cell r="J1">
            <v>1.7453292519943295E-2</v>
          </cell>
        </row>
      </sheetData>
      <sheetData sheetId="3529">
        <row r="1">
          <cell r="J1">
            <v>1.7453292519943295E-2</v>
          </cell>
        </row>
      </sheetData>
      <sheetData sheetId="3530">
        <row r="1">
          <cell r="J1">
            <v>1.7453292519943295E-2</v>
          </cell>
        </row>
      </sheetData>
      <sheetData sheetId="3531">
        <row r="1">
          <cell r="J1">
            <v>1.7453292519943295E-2</v>
          </cell>
        </row>
      </sheetData>
      <sheetData sheetId="3532">
        <row r="1">
          <cell r="J1">
            <v>1.7453292519943295E-2</v>
          </cell>
        </row>
      </sheetData>
      <sheetData sheetId="3533">
        <row r="1">
          <cell r="J1">
            <v>1.7453292519943295E-2</v>
          </cell>
        </row>
      </sheetData>
      <sheetData sheetId="3534">
        <row r="1">
          <cell r="J1">
            <v>1.7453292519943295E-2</v>
          </cell>
        </row>
      </sheetData>
      <sheetData sheetId="3535">
        <row r="1">
          <cell r="J1">
            <v>1.7453292519943295E-2</v>
          </cell>
        </row>
      </sheetData>
      <sheetData sheetId="3536">
        <row r="1">
          <cell r="J1">
            <v>1.7453292519943295E-2</v>
          </cell>
        </row>
      </sheetData>
      <sheetData sheetId="3537">
        <row r="1">
          <cell r="J1">
            <v>1.7453292519943295E-2</v>
          </cell>
        </row>
      </sheetData>
      <sheetData sheetId="3538">
        <row r="1">
          <cell r="J1">
            <v>1.7453292519943295E-2</v>
          </cell>
        </row>
      </sheetData>
      <sheetData sheetId="3539">
        <row r="1">
          <cell r="J1">
            <v>1.7453292519943295E-2</v>
          </cell>
        </row>
      </sheetData>
      <sheetData sheetId="3540">
        <row r="1">
          <cell r="J1">
            <v>1.7453292519943295E-2</v>
          </cell>
        </row>
      </sheetData>
      <sheetData sheetId="3541">
        <row r="1">
          <cell r="J1">
            <v>1.7453292519943295E-2</v>
          </cell>
        </row>
      </sheetData>
      <sheetData sheetId="3542">
        <row r="1">
          <cell r="J1">
            <v>1.7453292519943295E-2</v>
          </cell>
        </row>
      </sheetData>
      <sheetData sheetId="3543">
        <row r="1">
          <cell r="J1">
            <v>1.7453292519943295E-2</v>
          </cell>
        </row>
      </sheetData>
      <sheetData sheetId="3544">
        <row r="1">
          <cell r="J1">
            <v>1.7453292519943295E-2</v>
          </cell>
        </row>
      </sheetData>
      <sheetData sheetId="3545">
        <row r="1">
          <cell r="J1">
            <v>1.7453292519943295E-2</v>
          </cell>
        </row>
      </sheetData>
      <sheetData sheetId="3546">
        <row r="1">
          <cell r="J1">
            <v>1.7453292519943295E-2</v>
          </cell>
        </row>
      </sheetData>
      <sheetData sheetId="3547">
        <row r="1">
          <cell r="J1">
            <v>1.7453292519943295E-2</v>
          </cell>
        </row>
      </sheetData>
      <sheetData sheetId="3548">
        <row r="1">
          <cell r="J1">
            <v>1.7453292519943295E-2</v>
          </cell>
        </row>
      </sheetData>
      <sheetData sheetId="3549">
        <row r="1">
          <cell r="J1">
            <v>1.7453292519943295E-2</v>
          </cell>
        </row>
      </sheetData>
      <sheetData sheetId="3550">
        <row r="1">
          <cell r="J1">
            <v>1.7453292519943295E-2</v>
          </cell>
        </row>
      </sheetData>
      <sheetData sheetId="3551">
        <row r="1">
          <cell r="J1">
            <v>1.7453292519943295E-2</v>
          </cell>
        </row>
      </sheetData>
      <sheetData sheetId="3552">
        <row r="1">
          <cell r="J1">
            <v>1.7453292519943295E-2</v>
          </cell>
        </row>
      </sheetData>
      <sheetData sheetId="3553">
        <row r="1">
          <cell r="J1">
            <v>1.7453292519943295E-2</v>
          </cell>
        </row>
      </sheetData>
      <sheetData sheetId="3554">
        <row r="1">
          <cell r="J1">
            <v>1.7453292519943295E-2</v>
          </cell>
        </row>
      </sheetData>
      <sheetData sheetId="3555">
        <row r="1">
          <cell r="J1">
            <v>1.7453292519943295E-2</v>
          </cell>
        </row>
      </sheetData>
      <sheetData sheetId="3556">
        <row r="1">
          <cell r="J1">
            <v>1.7453292519943295E-2</v>
          </cell>
        </row>
      </sheetData>
      <sheetData sheetId="3557">
        <row r="1">
          <cell r="J1">
            <v>1.7453292519943295E-2</v>
          </cell>
        </row>
      </sheetData>
      <sheetData sheetId="3558">
        <row r="1">
          <cell r="J1">
            <v>1.7453292519943295E-2</v>
          </cell>
        </row>
      </sheetData>
      <sheetData sheetId="3559">
        <row r="1">
          <cell r="J1">
            <v>1.7453292519943295E-2</v>
          </cell>
        </row>
      </sheetData>
      <sheetData sheetId="3560">
        <row r="1">
          <cell r="J1">
            <v>1.7453292519943295E-2</v>
          </cell>
        </row>
      </sheetData>
      <sheetData sheetId="3561">
        <row r="1">
          <cell r="J1">
            <v>1.7453292519943295E-2</v>
          </cell>
        </row>
      </sheetData>
      <sheetData sheetId="3562">
        <row r="1">
          <cell r="J1">
            <v>1.7453292519943295E-2</v>
          </cell>
        </row>
      </sheetData>
      <sheetData sheetId="3563">
        <row r="1">
          <cell r="J1">
            <v>1.7453292519943295E-2</v>
          </cell>
        </row>
      </sheetData>
      <sheetData sheetId="3564">
        <row r="1">
          <cell r="J1">
            <v>1.7453292519943295E-2</v>
          </cell>
        </row>
      </sheetData>
      <sheetData sheetId="3565">
        <row r="1">
          <cell r="J1">
            <v>1.7453292519943295E-2</v>
          </cell>
        </row>
      </sheetData>
      <sheetData sheetId="3566">
        <row r="1">
          <cell r="J1">
            <v>1.7453292519943295E-2</v>
          </cell>
        </row>
      </sheetData>
      <sheetData sheetId="3567">
        <row r="1">
          <cell r="J1">
            <v>1.7453292519943295E-2</v>
          </cell>
        </row>
      </sheetData>
      <sheetData sheetId="3568">
        <row r="1">
          <cell r="J1">
            <v>1.7453292519943295E-2</v>
          </cell>
        </row>
      </sheetData>
      <sheetData sheetId="3569">
        <row r="1">
          <cell r="J1">
            <v>1.7453292519943295E-2</v>
          </cell>
        </row>
      </sheetData>
      <sheetData sheetId="3570">
        <row r="1">
          <cell r="J1">
            <v>1.7453292519943295E-2</v>
          </cell>
        </row>
      </sheetData>
      <sheetData sheetId="3571">
        <row r="1">
          <cell r="J1">
            <v>1.7453292519943295E-2</v>
          </cell>
        </row>
      </sheetData>
      <sheetData sheetId="3572">
        <row r="1">
          <cell r="J1">
            <v>1.7453292519943295E-2</v>
          </cell>
        </row>
      </sheetData>
      <sheetData sheetId="3573">
        <row r="1">
          <cell r="J1">
            <v>1.7453292519943295E-2</v>
          </cell>
        </row>
      </sheetData>
      <sheetData sheetId="3574">
        <row r="1">
          <cell r="J1">
            <v>1.7453292519943295E-2</v>
          </cell>
        </row>
      </sheetData>
      <sheetData sheetId="3575">
        <row r="1">
          <cell r="J1">
            <v>1.7453292519943295E-2</v>
          </cell>
        </row>
      </sheetData>
      <sheetData sheetId="3576">
        <row r="1">
          <cell r="J1">
            <v>1.7453292519943295E-2</v>
          </cell>
        </row>
      </sheetData>
      <sheetData sheetId="3577">
        <row r="1">
          <cell r="J1">
            <v>1.7453292519943295E-2</v>
          </cell>
        </row>
      </sheetData>
      <sheetData sheetId="3578">
        <row r="1">
          <cell r="J1">
            <v>1.7453292519943295E-2</v>
          </cell>
        </row>
      </sheetData>
      <sheetData sheetId="3579">
        <row r="1">
          <cell r="J1">
            <v>1.7453292519943295E-2</v>
          </cell>
        </row>
      </sheetData>
      <sheetData sheetId="3580">
        <row r="1">
          <cell r="J1">
            <v>1.7453292519943295E-2</v>
          </cell>
        </row>
      </sheetData>
      <sheetData sheetId="3581">
        <row r="1">
          <cell r="J1">
            <v>1.7453292519943295E-2</v>
          </cell>
        </row>
      </sheetData>
      <sheetData sheetId="3582">
        <row r="1">
          <cell r="J1">
            <v>1.7453292519943295E-2</v>
          </cell>
        </row>
      </sheetData>
      <sheetData sheetId="3583">
        <row r="1">
          <cell r="J1">
            <v>1.7453292519943295E-2</v>
          </cell>
        </row>
      </sheetData>
      <sheetData sheetId="3584">
        <row r="1">
          <cell r="J1">
            <v>1.7453292519943295E-2</v>
          </cell>
        </row>
      </sheetData>
      <sheetData sheetId="3585">
        <row r="1">
          <cell r="J1">
            <v>1.7453292519943295E-2</v>
          </cell>
        </row>
      </sheetData>
      <sheetData sheetId="3586">
        <row r="1">
          <cell r="J1">
            <v>1.7453292519943295E-2</v>
          </cell>
        </row>
      </sheetData>
      <sheetData sheetId="3587">
        <row r="1">
          <cell r="J1">
            <v>1.7453292519943295E-2</v>
          </cell>
        </row>
      </sheetData>
      <sheetData sheetId="3588">
        <row r="1">
          <cell r="J1">
            <v>1.7453292519943295E-2</v>
          </cell>
        </row>
      </sheetData>
      <sheetData sheetId="3589">
        <row r="1">
          <cell r="J1">
            <v>1.7453292519943295E-2</v>
          </cell>
        </row>
      </sheetData>
      <sheetData sheetId="3590">
        <row r="1">
          <cell r="J1">
            <v>1.7453292519943295E-2</v>
          </cell>
        </row>
      </sheetData>
      <sheetData sheetId="3591">
        <row r="1">
          <cell r="J1">
            <v>1.7453292519943295E-2</v>
          </cell>
        </row>
      </sheetData>
      <sheetData sheetId="3592">
        <row r="1">
          <cell r="J1">
            <v>1.7453292519943295E-2</v>
          </cell>
        </row>
      </sheetData>
      <sheetData sheetId="3593">
        <row r="1">
          <cell r="J1">
            <v>1.7453292519943295E-2</v>
          </cell>
        </row>
      </sheetData>
      <sheetData sheetId="3594">
        <row r="1">
          <cell r="J1">
            <v>1.7453292519943295E-2</v>
          </cell>
        </row>
      </sheetData>
      <sheetData sheetId="3595">
        <row r="1">
          <cell r="J1">
            <v>1.7453292519943295E-2</v>
          </cell>
        </row>
      </sheetData>
      <sheetData sheetId="3596">
        <row r="1">
          <cell r="J1">
            <v>1.7453292519943295E-2</v>
          </cell>
        </row>
      </sheetData>
      <sheetData sheetId="3597">
        <row r="1">
          <cell r="J1">
            <v>1.7453292519943295E-2</v>
          </cell>
        </row>
      </sheetData>
      <sheetData sheetId="3598">
        <row r="1">
          <cell r="J1">
            <v>1.7453292519943295E-2</v>
          </cell>
        </row>
      </sheetData>
      <sheetData sheetId="3599">
        <row r="1">
          <cell r="J1">
            <v>1.7453292519943295E-2</v>
          </cell>
        </row>
      </sheetData>
      <sheetData sheetId="3600">
        <row r="1">
          <cell r="J1">
            <v>1.7453292519943295E-2</v>
          </cell>
        </row>
      </sheetData>
      <sheetData sheetId="3601">
        <row r="1">
          <cell r="J1">
            <v>1.7453292519943295E-2</v>
          </cell>
        </row>
      </sheetData>
      <sheetData sheetId="3602">
        <row r="1">
          <cell r="J1">
            <v>1.7453292519943295E-2</v>
          </cell>
        </row>
      </sheetData>
      <sheetData sheetId="3603">
        <row r="1">
          <cell r="J1">
            <v>1.7453292519943295E-2</v>
          </cell>
        </row>
      </sheetData>
      <sheetData sheetId="3604">
        <row r="1">
          <cell r="J1">
            <v>1.7453292519943295E-2</v>
          </cell>
        </row>
      </sheetData>
      <sheetData sheetId="3605">
        <row r="1">
          <cell r="J1">
            <v>1.7453292519943295E-2</v>
          </cell>
        </row>
      </sheetData>
      <sheetData sheetId="3606">
        <row r="1">
          <cell r="J1">
            <v>1.7453292519943295E-2</v>
          </cell>
        </row>
      </sheetData>
      <sheetData sheetId="3607">
        <row r="1">
          <cell r="J1">
            <v>1.7453292519943295E-2</v>
          </cell>
        </row>
      </sheetData>
      <sheetData sheetId="3608">
        <row r="1">
          <cell r="J1">
            <v>1.7453292519943295E-2</v>
          </cell>
        </row>
      </sheetData>
      <sheetData sheetId="3609">
        <row r="1">
          <cell r="J1">
            <v>1.7453292519943295E-2</v>
          </cell>
        </row>
      </sheetData>
      <sheetData sheetId="3610">
        <row r="1">
          <cell r="J1">
            <v>1.7453292519943295E-2</v>
          </cell>
        </row>
      </sheetData>
      <sheetData sheetId="3611">
        <row r="1">
          <cell r="J1">
            <v>1.7453292519943295E-2</v>
          </cell>
        </row>
      </sheetData>
      <sheetData sheetId="3612">
        <row r="1">
          <cell r="J1">
            <v>1.7453292519943295E-2</v>
          </cell>
        </row>
      </sheetData>
      <sheetData sheetId="3613">
        <row r="1">
          <cell r="J1">
            <v>1.7453292519943295E-2</v>
          </cell>
        </row>
      </sheetData>
      <sheetData sheetId="3614">
        <row r="1">
          <cell r="J1">
            <v>1.7453292519943295E-2</v>
          </cell>
        </row>
      </sheetData>
      <sheetData sheetId="3615">
        <row r="1">
          <cell r="J1">
            <v>1.7453292519943295E-2</v>
          </cell>
        </row>
      </sheetData>
      <sheetData sheetId="3616">
        <row r="1">
          <cell r="J1">
            <v>1.7453292519943295E-2</v>
          </cell>
        </row>
      </sheetData>
      <sheetData sheetId="3617">
        <row r="1">
          <cell r="J1">
            <v>1.7453292519943295E-2</v>
          </cell>
        </row>
      </sheetData>
      <sheetData sheetId="3618">
        <row r="1">
          <cell r="J1">
            <v>1.7453292519943295E-2</v>
          </cell>
        </row>
      </sheetData>
      <sheetData sheetId="3619">
        <row r="1">
          <cell r="J1">
            <v>1.7453292519943295E-2</v>
          </cell>
        </row>
      </sheetData>
      <sheetData sheetId="3620">
        <row r="1">
          <cell r="J1">
            <v>1.7453292519943295E-2</v>
          </cell>
        </row>
      </sheetData>
      <sheetData sheetId="3621">
        <row r="1">
          <cell r="J1">
            <v>1.7453292519943295E-2</v>
          </cell>
        </row>
      </sheetData>
      <sheetData sheetId="3622">
        <row r="1">
          <cell r="J1">
            <v>1.7453292519943295E-2</v>
          </cell>
        </row>
      </sheetData>
      <sheetData sheetId="3623">
        <row r="1">
          <cell r="J1">
            <v>1.7453292519943295E-2</v>
          </cell>
        </row>
      </sheetData>
      <sheetData sheetId="3624">
        <row r="1">
          <cell r="J1">
            <v>1.7453292519943295E-2</v>
          </cell>
        </row>
      </sheetData>
      <sheetData sheetId="3625">
        <row r="1">
          <cell r="J1">
            <v>1.7453292519943295E-2</v>
          </cell>
        </row>
      </sheetData>
      <sheetData sheetId="3626">
        <row r="1">
          <cell r="J1">
            <v>1.7453292519943295E-2</v>
          </cell>
        </row>
      </sheetData>
      <sheetData sheetId="3627">
        <row r="1">
          <cell r="J1">
            <v>1.7453292519943295E-2</v>
          </cell>
        </row>
      </sheetData>
      <sheetData sheetId="3628">
        <row r="1">
          <cell r="J1">
            <v>1.7453292519943295E-2</v>
          </cell>
        </row>
      </sheetData>
      <sheetData sheetId="3629">
        <row r="1">
          <cell r="J1">
            <v>1.7453292519943295E-2</v>
          </cell>
        </row>
      </sheetData>
      <sheetData sheetId="3630">
        <row r="1">
          <cell r="J1">
            <v>1.7453292519943295E-2</v>
          </cell>
        </row>
      </sheetData>
      <sheetData sheetId="3631">
        <row r="1">
          <cell r="J1">
            <v>1.7453292519943295E-2</v>
          </cell>
        </row>
      </sheetData>
      <sheetData sheetId="3632">
        <row r="1">
          <cell r="J1">
            <v>1.7453292519943295E-2</v>
          </cell>
        </row>
      </sheetData>
      <sheetData sheetId="3633">
        <row r="1">
          <cell r="J1">
            <v>1.7453292519943295E-2</v>
          </cell>
        </row>
      </sheetData>
      <sheetData sheetId="3634">
        <row r="1">
          <cell r="J1">
            <v>1.7453292519943295E-2</v>
          </cell>
        </row>
      </sheetData>
      <sheetData sheetId="3635">
        <row r="1">
          <cell r="J1">
            <v>1.7453292519943295E-2</v>
          </cell>
        </row>
      </sheetData>
      <sheetData sheetId="3636">
        <row r="1">
          <cell r="J1">
            <v>1.7453292519943295E-2</v>
          </cell>
        </row>
      </sheetData>
      <sheetData sheetId="3637">
        <row r="1">
          <cell r="J1">
            <v>1.7453292519943295E-2</v>
          </cell>
        </row>
      </sheetData>
      <sheetData sheetId="3638">
        <row r="1">
          <cell r="J1">
            <v>1.7453292519943295E-2</v>
          </cell>
        </row>
      </sheetData>
      <sheetData sheetId="3639">
        <row r="1">
          <cell r="J1">
            <v>1.7453292519943295E-2</v>
          </cell>
        </row>
      </sheetData>
      <sheetData sheetId="3640">
        <row r="1">
          <cell r="J1">
            <v>1.7453292519943295E-2</v>
          </cell>
        </row>
      </sheetData>
      <sheetData sheetId="3641">
        <row r="1">
          <cell r="J1">
            <v>1.7453292519943295E-2</v>
          </cell>
        </row>
      </sheetData>
      <sheetData sheetId="3642">
        <row r="1">
          <cell r="J1">
            <v>1.7453292519943295E-2</v>
          </cell>
        </row>
      </sheetData>
      <sheetData sheetId="3643">
        <row r="1">
          <cell r="J1">
            <v>1.7453292519943295E-2</v>
          </cell>
        </row>
      </sheetData>
      <sheetData sheetId="3644">
        <row r="1">
          <cell r="J1">
            <v>1.7453292519943295E-2</v>
          </cell>
        </row>
      </sheetData>
      <sheetData sheetId="3645">
        <row r="1">
          <cell r="J1">
            <v>1.7453292519943295E-2</v>
          </cell>
        </row>
      </sheetData>
      <sheetData sheetId="3646">
        <row r="1">
          <cell r="J1">
            <v>1.7453292519943295E-2</v>
          </cell>
        </row>
      </sheetData>
      <sheetData sheetId="3647">
        <row r="1">
          <cell r="J1">
            <v>1.7453292519943295E-2</v>
          </cell>
        </row>
      </sheetData>
      <sheetData sheetId="3648">
        <row r="1">
          <cell r="J1">
            <v>1.7453292519943295E-2</v>
          </cell>
        </row>
      </sheetData>
      <sheetData sheetId="3649">
        <row r="1">
          <cell r="J1">
            <v>1.7453292519943295E-2</v>
          </cell>
        </row>
      </sheetData>
      <sheetData sheetId="3650">
        <row r="1">
          <cell r="J1">
            <v>1.7453292519943295E-2</v>
          </cell>
        </row>
      </sheetData>
      <sheetData sheetId="3651">
        <row r="1">
          <cell r="J1">
            <v>1.7453292519943295E-2</v>
          </cell>
        </row>
      </sheetData>
      <sheetData sheetId="3652">
        <row r="1">
          <cell r="J1">
            <v>1.7453292519943295E-2</v>
          </cell>
        </row>
      </sheetData>
      <sheetData sheetId="3653">
        <row r="1">
          <cell r="J1">
            <v>1.7453292519943295E-2</v>
          </cell>
        </row>
      </sheetData>
      <sheetData sheetId="3654">
        <row r="1">
          <cell r="J1">
            <v>1.7453292519943295E-2</v>
          </cell>
        </row>
      </sheetData>
      <sheetData sheetId="3655">
        <row r="1">
          <cell r="J1">
            <v>1.7453292519943295E-2</v>
          </cell>
        </row>
      </sheetData>
      <sheetData sheetId="3656">
        <row r="1">
          <cell r="J1">
            <v>1.7453292519943295E-2</v>
          </cell>
        </row>
      </sheetData>
      <sheetData sheetId="3657">
        <row r="1">
          <cell r="J1">
            <v>1.7453292519943295E-2</v>
          </cell>
        </row>
      </sheetData>
      <sheetData sheetId="3658">
        <row r="1">
          <cell r="J1">
            <v>1.7453292519943295E-2</v>
          </cell>
        </row>
      </sheetData>
      <sheetData sheetId="3659">
        <row r="1">
          <cell r="J1">
            <v>1.7453292519943295E-2</v>
          </cell>
        </row>
      </sheetData>
      <sheetData sheetId="3660">
        <row r="1">
          <cell r="J1">
            <v>1.7453292519943295E-2</v>
          </cell>
        </row>
      </sheetData>
      <sheetData sheetId="3661">
        <row r="1">
          <cell r="J1">
            <v>1.7453292519943295E-2</v>
          </cell>
        </row>
      </sheetData>
      <sheetData sheetId="3662">
        <row r="1">
          <cell r="J1">
            <v>1.7453292519943295E-2</v>
          </cell>
        </row>
      </sheetData>
      <sheetData sheetId="3663">
        <row r="1">
          <cell r="J1">
            <v>1.7453292519943295E-2</v>
          </cell>
        </row>
      </sheetData>
      <sheetData sheetId="3664">
        <row r="1">
          <cell r="J1">
            <v>1.7453292519943295E-2</v>
          </cell>
        </row>
      </sheetData>
      <sheetData sheetId="3665">
        <row r="1">
          <cell r="J1">
            <v>1.7453292519943295E-2</v>
          </cell>
        </row>
      </sheetData>
      <sheetData sheetId="3666">
        <row r="1">
          <cell r="J1">
            <v>1.7453292519943295E-2</v>
          </cell>
        </row>
      </sheetData>
      <sheetData sheetId="3667">
        <row r="1">
          <cell r="J1">
            <v>1.7453292519943295E-2</v>
          </cell>
        </row>
      </sheetData>
      <sheetData sheetId="3668">
        <row r="1">
          <cell r="J1">
            <v>1.7453292519943295E-2</v>
          </cell>
        </row>
      </sheetData>
      <sheetData sheetId="3669">
        <row r="1">
          <cell r="J1">
            <v>1.7453292519943295E-2</v>
          </cell>
        </row>
      </sheetData>
      <sheetData sheetId="3670">
        <row r="1">
          <cell r="J1">
            <v>1.7453292519943295E-2</v>
          </cell>
        </row>
      </sheetData>
      <sheetData sheetId="3671">
        <row r="1">
          <cell r="J1">
            <v>1.7453292519943295E-2</v>
          </cell>
        </row>
      </sheetData>
      <sheetData sheetId="3672">
        <row r="1">
          <cell r="J1">
            <v>1.7453292519943295E-2</v>
          </cell>
        </row>
      </sheetData>
      <sheetData sheetId="3673">
        <row r="1">
          <cell r="J1">
            <v>1.7453292519943295E-2</v>
          </cell>
        </row>
      </sheetData>
      <sheetData sheetId="3674">
        <row r="1">
          <cell r="J1">
            <v>1.7453292519943295E-2</v>
          </cell>
        </row>
      </sheetData>
      <sheetData sheetId="3675">
        <row r="1">
          <cell r="J1">
            <v>1.7453292519943295E-2</v>
          </cell>
        </row>
      </sheetData>
      <sheetData sheetId="3676">
        <row r="1">
          <cell r="J1">
            <v>1.7453292519943295E-2</v>
          </cell>
        </row>
      </sheetData>
      <sheetData sheetId="3677">
        <row r="1">
          <cell r="J1">
            <v>1.7453292519943295E-2</v>
          </cell>
        </row>
      </sheetData>
      <sheetData sheetId="3678">
        <row r="1">
          <cell r="J1">
            <v>1.7453292519943295E-2</v>
          </cell>
        </row>
      </sheetData>
      <sheetData sheetId="3679">
        <row r="1">
          <cell r="J1">
            <v>1.7453292519943295E-2</v>
          </cell>
        </row>
      </sheetData>
      <sheetData sheetId="3680">
        <row r="1">
          <cell r="J1">
            <v>1.7453292519943295E-2</v>
          </cell>
        </row>
      </sheetData>
      <sheetData sheetId="3681">
        <row r="1">
          <cell r="J1">
            <v>1.7453292519943295E-2</v>
          </cell>
        </row>
      </sheetData>
      <sheetData sheetId="3682">
        <row r="1">
          <cell r="J1">
            <v>1.7453292519943295E-2</v>
          </cell>
        </row>
      </sheetData>
      <sheetData sheetId="3683">
        <row r="1">
          <cell r="J1">
            <v>1.7453292519943295E-2</v>
          </cell>
        </row>
      </sheetData>
      <sheetData sheetId="3684">
        <row r="1">
          <cell r="J1">
            <v>1.7453292519943295E-2</v>
          </cell>
        </row>
      </sheetData>
      <sheetData sheetId="3685">
        <row r="1">
          <cell r="J1">
            <v>1.7453292519943295E-2</v>
          </cell>
        </row>
      </sheetData>
      <sheetData sheetId="3686">
        <row r="1">
          <cell r="J1">
            <v>1.7453292519943295E-2</v>
          </cell>
        </row>
      </sheetData>
      <sheetData sheetId="3687">
        <row r="1">
          <cell r="J1">
            <v>1.7453292519943295E-2</v>
          </cell>
        </row>
      </sheetData>
      <sheetData sheetId="3688">
        <row r="1">
          <cell r="J1">
            <v>1.7453292519943295E-2</v>
          </cell>
        </row>
      </sheetData>
      <sheetData sheetId="3689">
        <row r="1">
          <cell r="J1">
            <v>1.7453292519943295E-2</v>
          </cell>
        </row>
      </sheetData>
      <sheetData sheetId="3690">
        <row r="1">
          <cell r="J1">
            <v>1.7453292519943295E-2</v>
          </cell>
        </row>
      </sheetData>
      <sheetData sheetId="3691">
        <row r="1">
          <cell r="J1">
            <v>1.7453292519943295E-2</v>
          </cell>
        </row>
      </sheetData>
      <sheetData sheetId="3692">
        <row r="1">
          <cell r="J1">
            <v>1.7453292519943295E-2</v>
          </cell>
        </row>
      </sheetData>
      <sheetData sheetId="3693">
        <row r="1">
          <cell r="J1">
            <v>1.7453292519943295E-2</v>
          </cell>
        </row>
      </sheetData>
      <sheetData sheetId="3694">
        <row r="1">
          <cell r="J1">
            <v>1.7453292519943295E-2</v>
          </cell>
        </row>
      </sheetData>
      <sheetData sheetId="3695">
        <row r="1">
          <cell r="J1">
            <v>1.7453292519943295E-2</v>
          </cell>
        </row>
      </sheetData>
      <sheetData sheetId="3696">
        <row r="1">
          <cell r="J1">
            <v>1.7453292519943295E-2</v>
          </cell>
        </row>
      </sheetData>
      <sheetData sheetId="3697">
        <row r="1">
          <cell r="J1">
            <v>1.7453292519943295E-2</v>
          </cell>
        </row>
      </sheetData>
      <sheetData sheetId="3698">
        <row r="1">
          <cell r="J1">
            <v>1.7453292519943295E-2</v>
          </cell>
        </row>
      </sheetData>
      <sheetData sheetId="3699">
        <row r="1">
          <cell r="J1">
            <v>1.7453292519943295E-2</v>
          </cell>
        </row>
      </sheetData>
      <sheetData sheetId="3700">
        <row r="1">
          <cell r="J1">
            <v>1.7453292519943295E-2</v>
          </cell>
        </row>
      </sheetData>
      <sheetData sheetId="3701">
        <row r="1">
          <cell r="J1">
            <v>1.7453292519943295E-2</v>
          </cell>
        </row>
      </sheetData>
      <sheetData sheetId="3702">
        <row r="1">
          <cell r="J1">
            <v>1.7453292519943295E-2</v>
          </cell>
        </row>
      </sheetData>
      <sheetData sheetId="3703">
        <row r="1">
          <cell r="J1">
            <v>1.7453292519943295E-2</v>
          </cell>
        </row>
      </sheetData>
      <sheetData sheetId="3704">
        <row r="1">
          <cell r="J1">
            <v>1.7453292519943295E-2</v>
          </cell>
        </row>
      </sheetData>
      <sheetData sheetId="3705">
        <row r="1">
          <cell r="J1">
            <v>1.7453292519943295E-2</v>
          </cell>
        </row>
      </sheetData>
      <sheetData sheetId="3706">
        <row r="1">
          <cell r="J1">
            <v>1.7453292519943295E-2</v>
          </cell>
        </row>
      </sheetData>
      <sheetData sheetId="3707">
        <row r="1">
          <cell r="J1">
            <v>1.7453292519943295E-2</v>
          </cell>
        </row>
      </sheetData>
      <sheetData sheetId="3708">
        <row r="1">
          <cell r="J1">
            <v>1.7453292519943295E-2</v>
          </cell>
        </row>
      </sheetData>
      <sheetData sheetId="3709">
        <row r="1">
          <cell r="J1">
            <v>1.7453292519943295E-2</v>
          </cell>
        </row>
      </sheetData>
      <sheetData sheetId="3710">
        <row r="1">
          <cell r="J1">
            <v>1.7453292519943295E-2</v>
          </cell>
        </row>
      </sheetData>
      <sheetData sheetId="3711">
        <row r="1">
          <cell r="J1">
            <v>1.7453292519943295E-2</v>
          </cell>
        </row>
      </sheetData>
      <sheetData sheetId="3712">
        <row r="1">
          <cell r="J1">
            <v>1.7453292519943295E-2</v>
          </cell>
        </row>
      </sheetData>
      <sheetData sheetId="3713">
        <row r="1">
          <cell r="J1">
            <v>1.7453292519943295E-2</v>
          </cell>
        </row>
      </sheetData>
      <sheetData sheetId="3714">
        <row r="1">
          <cell r="J1">
            <v>1.7453292519943295E-2</v>
          </cell>
        </row>
      </sheetData>
      <sheetData sheetId="3715">
        <row r="1">
          <cell r="J1">
            <v>1.7453292519943295E-2</v>
          </cell>
        </row>
      </sheetData>
      <sheetData sheetId="3716">
        <row r="1">
          <cell r="J1">
            <v>1.7453292519943295E-2</v>
          </cell>
        </row>
      </sheetData>
      <sheetData sheetId="3717">
        <row r="1">
          <cell r="J1">
            <v>1.7453292519943295E-2</v>
          </cell>
        </row>
      </sheetData>
      <sheetData sheetId="3718">
        <row r="1">
          <cell r="J1">
            <v>1.7453292519943295E-2</v>
          </cell>
        </row>
      </sheetData>
      <sheetData sheetId="3719">
        <row r="1">
          <cell r="J1">
            <v>1.7453292519943295E-2</v>
          </cell>
        </row>
      </sheetData>
      <sheetData sheetId="3720">
        <row r="1">
          <cell r="J1">
            <v>1.7453292519943295E-2</v>
          </cell>
        </row>
      </sheetData>
      <sheetData sheetId="3721">
        <row r="1">
          <cell r="J1">
            <v>1.7453292519943295E-2</v>
          </cell>
        </row>
      </sheetData>
      <sheetData sheetId="3722">
        <row r="1">
          <cell r="J1">
            <v>1.7453292519943295E-2</v>
          </cell>
        </row>
      </sheetData>
      <sheetData sheetId="3723">
        <row r="1">
          <cell r="J1">
            <v>1.7453292519943295E-2</v>
          </cell>
        </row>
      </sheetData>
      <sheetData sheetId="3724">
        <row r="1">
          <cell r="J1">
            <v>1.7453292519943295E-2</v>
          </cell>
        </row>
      </sheetData>
      <sheetData sheetId="3725">
        <row r="1">
          <cell r="J1">
            <v>1.7453292519943295E-2</v>
          </cell>
        </row>
      </sheetData>
      <sheetData sheetId="3726">
        <row r="1">
          <cell r="J1">
            <v>1.7453292519943295E-2</v>
          </cell>
        </row>
      </sheetData>
      <sheetData sheetId="3727">
        <row r="1">
          <cell r="J1">
            <v>1.7453292519943295E-2</v>
          </cell>
        </row>
      </sheetData>
      <sheetData sheetId="3728">
        <row r="1">
          <cell r="J1">
            <v>1.7453292519943295E-2</v>
          </cell>
        </row>
      </sheetData>
      <sheetData sheetId="3729">
        <row r="1">
          <cell r="J1">
            <v>1.7453292519943295E-2</v>
          </cell>
        </row>
      </sheetData>
      <sheetData sheetId="3730">
        <row r="1">
          <cell r="J1">
            <v>1.7453292519943295E-2</v>
          </cell>
        </row>
      </sheetData>
      <sheetData sheetId="3731">
        <row r="1">
          <cell r="J1">
            <v>1.7453292519943295E-2</v>
          </cell>
        </row>
      </sheetData>
      <sheetData sheetId="3732">
        <row r="1">
          <cell r="J1">
            <v>1.7453292519943295E-2</v>
          </cell>
        </row>
      </sheetData>
      <sheetData sheetId="3733">
        <row r="1">
          <cell r="J1">
            <v>1.7453292519943295E-2</v>
          </cell>
        </row>
      </sheetData>
      <sheetData sheetId="3734">
        <row r="1">
          <cell r="J1">
            <v>1.7453292519943295E-2</v>
          </cell>
        </row>
      </sheetData>
      <sheetData sheetId="3735">
        <row r="1">
          <cell r="J1">
            <v>1.7453292519943295E-2</v>
          </cell>
        </row>
      </sheetData>
      <sheetData sheetId="3736">
        <row r="1">
          <cell r="J1">
            <v>1.7453292519943295E-2</v>
          </cell>
        </row>
      </sheetData>
      <sheetData sheetId="3737">
        <row r="1">
          <cell r="J1">
            <v>1.7453292519943295E-2</v>
          </cell>
        </row>
      </sheetData>
      <sheetData sheetId="3738">
        <row r="1">
          <cell r="J1">
            <v>1.7453292519943295E-2</v>
          </cell>
        </row>
      </sheetData>
      <sheetData sheetId="3739">
        <row r="1">
          <cell r="J1">
            <v>1.7453292519943295E-2</v>
          </cell>
        </row>
      </sheetData>
      <sheetData sheetId="3740">
        <row r="1">
          <cell r="J1">
            <v>1.7453292519943295E-2</v>
          </cell>
        </row>
      </sheetData>
      <sheetData sheetId="3741">
        <row r="1">
          <cell r="J1">
            <v>1.7453292519943295E-2</v>
          </cell>
        </row>
      </sheetData>
      <sheetData sheetId="3742">
        <row r="1">
          <cell r="J1">
            <v>1.7453292519943295E-2</v>
          </cell>
        </row>
      </sheetData>
      <sheetData sheetId="3743">
        <row r="1">
          <cell r="J1">
            <v>1.7453292519943295E-2</v>
          </cell>
        </row>
      </sheetData>
      <sheetData sheetId="3744">
        <row r="1">
          <cell r="J1">
            <v>1.7453292519943295E-2</v>
          </cell>
        </row>
      </sheetData>
      <sheetData sheetId="3745">
        <row r="1">
          <cell r="J1">
            <v>1.7453292519943295E-2</v>
          </cell>
        </row>
      </sheetData>
      <sheetData sheetId="3746">
        <row r="1">
          <cell r="J1">
            <v>1.7453292519943295E-2</v>
          </cell>
        </row>
      </sheetData>
      <sheetData sheetId="3747">
        <row r="1">
          <cell r="J1">
            <v>1.7453292519943295E-2</v>
          </cell>
        </row>
      </sheetData>
      <sheetData sheetId="3748">
        <row r="1">
          <cell r="J1">
            <v>1.7453292519943295E-2</v>
          </cell>
        </row>
      </sheetData>
      <sheetData sheetId="3749">
        <row r="1">
          <cell r="J1">
            <v>1.7453292519943295E-2</v>
          </cell>
        </row>
      </sheetData>
      <sheetData sheetId="3750">
        <row r="1">
          <cell r="J1">
            <v>1.7453292519943295E-2</v>
          </cell>
        </row>
      </sheetData>
      <sheetData sheetId="3751">
        <row r="1">
          <cell r="J1">
            <v>1.7453292519943295E-2</v>
          </cell>
        </row>
      </sheetData>
      <sheetData sheetId="3752">
        <row r="1">
          <cell r="J1">
            <v>1.7453292519943295E-2</v>
          </cell>
        </row>
      </sheetData>
      <sheetData sheetId="3753">
        <row r="1">
          <cell r="J1">
            <v>1.7453292519943295E-2</v>
          </cell>
        </row>
      </sheetData>
      <sheetData sheetId="3754">
        <row r="1">
          <cell r="J1">
            <v>1.7453292519943295E-2</v>
          </cell>
        </row>
      </sheetData>
      <sheetData sheetId="3755">
        <row r="1">
          <cell r="J1">
            <v>1.7453292519943295E-2</v>
          </cell>
        </row>
      </sheetData>
      <sheetData sheetId="3756">
        <row r="1">
          <cell r="J1">
            <v>1.7453292519943295E-2</v>
          </cell>
        </row>
      </sheetData>
      <sheetData sheetId="3757">
        <row r="1">
          <cell r="J1">
            <v>1.7453292519943295E-2</v>
          </cell>
        </row>
      </sheetData>
      <sheetData sheetId="3758">
        <row r="1">
          <cell r="J1">
            <v>1.7453292519943295E-2</v>
          </cell>
        </row>
      </sheetData>
      <sheetData sheetId="3759">
        <row r="1">
          <cell r="J1">
            <v>1.7453292519943295E-2</v>
          </cell>
        </row>
      </sheetData>
      <sheetData sheetId="3760">
        <row r="1">
          <cell r="J1">
            <v>1.7453292519943295E-2</v>
          </cell>
        </row>
      </sheetData>
      <sheetData sheetId="3761">
        <row r="1">
          <cell r="J1">
            <v>1.7453292519943295E-2</v>
          </cell>
        </row>
      </sheetData>
      <sheetData sheetId="3762">
        <row r="1">
          <cell r="J1">
            <v>1.7453292519943295E-2</v>
          </cell>
        </row>
      </sheetData>
      <sheetData sheetId="3763">
        <row r="1">
          <cell r="J1">
            <v>1.7453292519943295E-2</v>
          </cell>
        </row>
      </sheetData>
      <sheetData sheetId="3764">
        <row r="1">
          <cell r="J1">
            <v>1.7453292519943295E-2</v>
          </cell>
        </row>
      </sheetData>
      <sheetData sheetId="3765">
        <row r="1">
          <cell r="J1">
            <v>1.7453292519943295E-2</v>
          </cell>
        </row>
      </sheetData>
      <sheetData sheetId="3766">
        <row r="1">
          <cell r="J1">
            <v>1.7453292519943295E-2</v>
          </cell>
        </row>
      </sheetData>
      <sheetData sheetId="3767">
        <row r="1">
          <cell r="J1">
            <v>1.7453292519943295E-2</v>
          </cell>
        </row>
      </sheetData>
      <sheetData sheetId="3768">
        <row r="1">
          <cell r="J1">
            <v>1.7453292519943295E-2</v>
          </cell>
        </row>
      </sheetData>
      <sheetData sheetId="3769">
        <row r="1">
          <cell r="J1">
            <v>1.7453292519943295E-2</v>
          </cell>
        </row>
      </sheetData>
      <sheetData sheetId="3770">
        <row r="1">
          <cell r="J1">
            <v>1.7453292519943295E-2</v>
          </cell>
        </row>
      </sheetData>
      <sheetData sheetId="3771">
        <row r="1">
          <cell r="J1">
            <v>1.7453292519943295E-2</v>
          </cell>
        </row>
      </sheetData>
      <sheetData sheetId="3772">
        <row r="1">
          <cell r="J1">
            <v>1.7453292519943295E-2</v>
          </cell>
        </row>
      </sheetData>
      <sheetData sheetId="3773">
        <row r="1">
          <cell r="J1">
            <v>1.7453292519943295E-2</v>
          </cell>
        </row>
      </sheetData>
      <sheetData sheetId="3774">
        <row r="1">
          <cell r="J1">
            <v>1.7453292519943295E-2</v>
          </cell>
        </row>
      </sheetData>
      <sheetData sheetId="3775">
        <row r="1">
          <cell r="J1">
            <v>1.7453292519943295E-2</v>
          </cell>
        </row>
      </sheetData>
      <sheetData sheetId="3776">
        <row r="1">
          <cell r="J1">
            <v>1.7453292519943295E-2</v>
          </cell>
        </row>
      </sheetData>
      <sheetData sheetId="3777">
        <row r="1">
          <cell r="J1">
            <v>1.7453292519943295E-2</v>
          </cell>
        </row>
      </sheetData>
      <sheetData sheetId="3778">
        <row r="1">
          <cell r="J1">
            <v>1.7453292519943295E-2</v>
          </cell>
        </row>
      </sheetData>
      <sheetData sheetId="3779">
        <row r="1">
          <cell r="J1">
            <v>1.7453292519943295E-2</v>
          </cell>
        </row>
      </sheetData>
      <sheetData sheetId="3780">
        <row r="1">
          <cell r="J1">
            <v>1.7453292519943295E-2</v>
          </cell>
        </row>
      </sheetData>
      <sheetData sheetId="3781">
        <row r="1">
          <cell r="J1">
            <v>1.7453292519943295E-2</v>
          </cell>
        </row>
      </sheetData>
      <sheetData sheetId="3782">
        <row r="1">
          <cell r="J1">
            <v>1.7453292519943295E-2</v>
          </cell>
        </row>
      </sheetData>
      <sheetData sheetId="3783">
        <row r="1">
          <cell r="J1">
            <v>1.7453292519943295E-2</v>
          </cell>
        </row>
      </sheetData>
      <sheetData sheetId="3784">
        <row r="1">
          <cell r="J1">
            <v>1.7453292519943295E-2</v>
          </cell>
        </row>
      </sheetData>
      <sheetData sheetId="3785">
        <row r="1">
          <cell r="J1">
            <v>1.7453292519943295E-2</v>
          </cell>
        </row>
      </sheetData>
      <sheetData sheetId="3786">
        <row r="1">
          <cell r="J1">
            <v>1.7453292519943295E-2</v>
          </cell>
        </row>
      </sheetData>
      <sheetData sheetId="3787">
        <row r="1">
          <cell r="J1">
            <v>1.7453292519943295E-2</v>
          </cell>
        </row>
      </sheetData>
      <sheetData sheetId="3788">
        <row r="1">
          <cell r="J1">
            <v>1.7453292519943295E-2</v>
          </cell>
        </row>
      </sheetData>
      <sheetData sheetId="3789">
        <row r="1">
          <cell r="J1">
            <v>1.7453292519943295E-2</v>
          </cell>
        </row>
      </sheetData>
      <sheetData sheetId="3790">
        <row r="1">
          <cell r="J1">
            <v>1.7453292519943295E-2</v>
          </cell>
        </row>
      </sheetData>
      <sheetData sheetId="3791">
        <row r="1">
          <cell r="J1">
            <v>1.7453292519943295E-2</v>
          </cell>
        </row>
      </sheetData>
      <sheetData sheetId="3792">
        <row r="1">
          <cell r="J1">
            <v>1.7453292519943295E-2</v>
          </cell>
        </row>
      </sheetData>
      <sheetData sheetId="3793">
        <row r="1">
          <cell r="J1">
            <v>1.7453292519943295E-2</v>
          </cell>
        </row>
      </sheetData>
      <sheetData sheetId="3794">
        <row r="1">
          <cell r="J1">
            <v>1.7453292519943295E-2</v>
          </cell>
        </row>
      </sheetData>
      <sheetData sheetId="3795">
        <row r="1">
          <cell r="J1">
            <v>1.7453292519943295E-2</v>
          </cell>
        </row>
      </sheetData>
      <sheetData sheetId="3796">
        <row r="1">
          <cell r="J1">
            <v>1.7453292519943295E-2</v>
          </cell>
        </row>
      </sheetData>
      <sheetData sheetId="3797">
        <row r="1">
          <cell r="J1">
            <v>1.7453292519943295E-2</v>
          </cell>
        </row>
      </sheetData>
      <sheetData sheetId="3798">
        <row r="1">
          <cell r="J1">
            <v>1.7453292519943295E-2</v>
          </cell>
        </row>
      </sheetData>
      <sheetData sheetId="3799">
        <row r="1">
          <cell r="J1">
            <v>1.7453292519943295E-2</v>
          </cell>
        </row>
      </sheetData>
      <sheetData sheetId="3800">
        <row r="1">
          <cell r="J1">
            <v>1.7453292519943295E-2</v>
          </cell>
        </row>
      </sheetData>
      <sheetData sheetId="3801">
        <row r="1">
          <cell r="J1">
            <v>1.7453292519943295E-2</v>
          </cell>
        </row>
      </sheetData>
      <sheetData sheetId="3802">
        <row r="1">
          <cell r="J1">
            <v>1.7453292519943295E-2</v>
          </cell>
        </row>
      </sheetData>
      <sheetData sheetId="3803">
        <row r="1">
          <cell r="J1">
            <v>1.7453292519943295E-2</v>
          </cell>
        </row>
      </sheetData>
      <sheetData sheetId="3804">
        <row r="1">
          <cell r="J1">
            <v>1.7453292519943295E-2</v>
          </cell>
        </row>
      </sheetData>
      <sheetData sheetId="3805">
        <row r="1">
          <cell r="J1">
            <v>1.7453292519943295E-2</v>
          </cell>
        </row>
      </sheetData>
      <sheetData sheetId="3806">
        <row r="1">
          <cell r="J1">
            <v>1.7453292519943295E-2</v>
          </cell>
        </row>
      </sheetData>
      <sheetData sheetId="3807">
        <row r="1">
          <cell r="J1">
            <v>1.7453292519943295E-2</v>
          </cell>
        </row>
      </sheetData>
      <sheetData sheetId="3808">
        <row r="1">
          <cell r="J1">
            <v>1.7453292519943295E-2</v>
          </cell>
        </row>
      </sheetData>
      <sheetData sheetId="3809">
        <row r="1">
          <cell r="J1">
            <v>1.7453292519943295E-2</v>
          </cell>
        </row>
      </sheetData>
      <sheetData sheetId="3810">
        <row r="1">
          <cell r="J1">
            <v>1.7453292519943295E-2</v>
          </cell>
        </row>
      </sheetData>
      <sheetData sheetId="3811">
        <row r="1">
          <cell r="J1">
            <v>1.7453292519943295E-2</v>
          </cell>
        </row>
      </sheetData>
      <sheetData sheetId="3812">
        <row r="1">
          <cell r="J1">
            <v>1.7453292519943295E-2</v>
          </cell>
        </row>
      </sheetData>
      <sheetData sheetId="3813">
        <row r="1">
          <cell r="J1">
            <v>1.7453292519943295E-2</v>
          </cell>
        </row>
      </sheetData>
      <sheetData sheetId="3814">
        <row r="1">
          <cell r="J1">
            <v>1.7453292519943295E-2</v>
          </cell>
        </row>
      </sheetData>
      <sheetData sheetId="3815">
        <row r="1">
          <cell r="J1">
            <v>1.7453292519943295E-2</v>
          </cell>
        </row>
      </sheetData>
      <sheetData sheetId="3816">
        <row r="1">
          <cell r="J1">
            <v>1.7453292519943295E-2</v>
          </cell>
        </row>
      </sheetData>
      <sheetData sheetId="3817">
        <row r="1">
          <cell r="J1">
            <v>1.7453292519943295E-2</v>
          </cell>
        </row>
      </sheetData>
      <sheetData sheetId="3818">
        <row r="1">
          <cell r="J1">
            <v>1.7453292519943295E-2</v>
          </cell>
        </row>
      </sheetData>
      <sheetData sheetId="3819">
        <row r="1">
          <cell r="J1">
            <v>1.7453292519943295E-2</v>
          </cell>
        </row>
      </sheetData>
      <sheetData sheetId="3820">
        <row r="1">
          <cell r="J1">
            <v>1.7453292519943295E-2</v>
          </cell>
        </row>
      </sheetData>
      <sheetData sheetId="3821">
        <row r="1">
          <cell r="J1">
            <v>1.7453292519943295E-2</v>
          </cell>
        </row>
      </sheetData>
      <sheetData sheetId="3822">
        <row r="1">
          <cell r="J1">
            <v>1.7453292519943295E-2</v>
          </cell>
        </row>
      </sheetData>
      <sheetData sheetId="3823">
        <row r="1">
          <cell r="J1">
            <v>1.7453292519943295E-2</v>
          </cell>
        </row>
      </sheetData>
      <sheetData sheetId="3824">
        <row r="1">
          <cell r="J1">
            <v>1.7453292519943295E-2</v>
          </cell>
        </row>
      </sheetData>
      <sheetData sheetId="3825">
        <row r="1">
          <cell r="J1">
            <v>1.7453292519943295E-2</v>
          </cell>
        </row>
      </sheetData>
      <sheetData sheetId="3826">
        <row r="1">
          <cell r="J1">
            <v>1.7453292519943295E-2</v>
          </cell>
        </row>
      </sheetData>
      <sheetData sheetId="3827">
        <row r="1">
          <cell r="J1">
            <v>1.7453292519943295E-2</v>
          </cell>
        </row>
      </sheetData>
      <sheetData sheetId="3828">
        <row r="1">
          <cell r="J1">
            <v>1.7453292519943295E-2</v>
          </cell>
        </row>
      </sheetData>
      <sheetData sheetId="3829">
        <row r="1">
          <cell r="J1">
            <v>1.7453292519943295E-2</v>
          </cell>
        </row>
      </sheetData>
      <sheetData sheetId="3830">
        <row r="1">
          <cell r="J1">
            <v>1.7453292519943295E-2</v>
          </cell>
        </row>
      </sheetData>
      <sheetData sheetId="3831">
        <row r="1">
          <cell r="J1">
            <v>1.7453292519943295E-2</v>
          </cell>
        </row>
      </sheetData>
      <sheetData sheetId="3832">
        <row r="1">
          <cell r="J1">
            <v>1.7453292519943295E-2</v>
          </cell>
        </row>
      </sheetData>
      <sheetData sheetId="3833">
        <row r="1">
          <cell r="J1">
            <v>1.7453292519943295E-2</v>
          </cell>
        </row>
      </sheetData>
      <sheetData sheetId="3834">
        <row r="1">
          <cell r="J1">
            <v>1.7453292519943295E-2</v>
          </cell>
        </row>
      </sheetData>
      <sheetData sheetId="3835">
        <row r="1">
          <cell r="J1">
            <v>1.7453292519943295E-2</v>
          </cell>
        </row>
      </sheetData>
      <sheetData sheetId="3836">
        <row r="1">
          <cell r="J1">
            <v>1.7453292519943295E-2</v>
          </cell>
        </row>
      </sheetData>
      <sheetData sheetId="3837">
        <row r="1">
          <cell r="J1">
            <v>1.7453292519943295E-2</v>
          </cell>
        </row>
      </sheetData>
      <sheetData sheetId="3838">
        <row r="1">
          <cell r="J1">
            <v>1.7453292519943295E-2</v>
          </cell>
        </row>
      </sheetData>
      <sheetData sheetId="3839">
        <row r="1">
          <cell r="J1">
            <v>1.7453292519943295E-2</v>
          </cell>
        </row>
      </sheetData>
      <sheetData sheetId="3840">
        <row r="1">
          <cell r="J1">
            <v>1.7453292519943295E-2</v>
          </cell>
        </row>
      </sheetData>
      <sheetData sheetId="3841">
        <row r="1">
          <cell r="J1">
            <v>1.7453292519943295E-2</v>
          </cell>
        </row>
      </sheetData>
      <sheetData sheetId="3842">
        <row r="1">
          <cell r="J1">
            <v>1.7453292519943295E-2</v>
          </cell>
        </row>
      </sheetData>
      <sheetData sheetId="3843">
        <row r="1">
          <cell r="J1">
            <v>1.7453292519943295E-2</v>
          </cell>
        </row>
      </sheetData>
      <sheetData sheetId="3844">
        <row r="1">
          <cell r="J1">
            <v>1.7453292519943295E-2</v>
          </cell>
        </row>
      </sheetData>
      <sheetData sheetId="3845">
        <row r="1">
          <cell r="J1">
            <v>1.7453292519943295E-2</v>
          </cell>
        </row>
      </sheetData>
      <sheetData sheetId="3846">
        <row r="1">
          <cell r="J1">
            <v>1.7453292519943295E-2</v>
          </cell>
        </row>
      </sheetData>
      <sheetData sheetId="3847">
        <row r="1">
          <cell r="J1">
            <v>1.7453292519943295E-2</v>
          </cell>
        </row>
      </sheetData>
      <sheetData sheetId="3848">
        <row r="1">
          <cell r="J1">
            <v>1.7453292519943295E-2</v>
          </cell>
        </row>
      </sheetData>
      <sheetData sheetId="3849">
        <row r="1">
          <cell r="J1">
            <v>1.7453292519943295E-2</v>
          </cell>
        </row>
      </sheetData>
      <sheetData sheetId="3850">
        <row r="1">
          <cell r="J1">
            <v>1.7453292519943295E-2</v>
          </cell>
        </row>
      </sheetData>
      <sheetData sheetId="3851">
        <row r="1">
          <cell r="J1">
            <v>1.7453292519943295E-2</v>
          </cell>
        </row>
      </sheetData>
      <sheetData sheetId="3852">
        <row r="1">
          <cell r="J1">
            <v>1.7453292519943295E-2</v>
          </cell>
        </row>
      </sheetData>
      <sheetData sheetId="3853">
        <row r="1">
          <cell r="J1">
            <v>1.7453292519943295E-2</v>
          </cell>
        </row>
      </sheetData>
      <sheetData sheetId="3854">
        <row r="1">
          <cell r="J1">
            <v>1.7453292519943295E-2</v>
          </cell>
        </row>
      </sheetData>
      <sheetData sheetId="3855">
        <row r="1">
          <cell r="J1">
            <v>1.7453292519943295E-2</v>
          </cell>
        </row>
      </sheetData>
      <sheetData sheetId="3856">
        <row r="1">
          <cell r="J1">
            <v>1.7453292519943295E-2</v>
          </cell>
        </row>
      </sheetData>
      <sheetData sheetId="3857">
        <row r="1">
          <cell r="J1">
            <v>1.7453292519943295E-2</v>
          </cell>
        </row>
      </sheetData>
      <sheetData sheetId="3858">
        <row r="1">
          <cell r="J1">
            <v>1.7453292519943295E-2</v>
          </cell>
        </row>
      </sheetData>
      <sheetData sheetId="3859">
        <row r="1">
          <cell r="J1">
            <v>1.7453292519943295E-2</v>
          </cell>
        </row>
      </sheetData>
      <sheetData sheetId="3860">
        <row r="1">
          <cell r="J1">
            <v>1.7453292519943295E-2</v>
          </cell>
        </row>
      </sheetData>
      <sheetData sheetId="3861">
        <row r="1">
          <cell r="J1">
            <v>1.7453292519943295E-2</v>
          </cell>
        </row>
      </sheetData>
      <sheetData sheetId="3862">
        <row r="1">
          <cell r="J1">
            <v>1.7453292519943295E-2</v>
          </cell>
        </row>
      </sheetData>
      <sheetData sheetId="3863">
        <row r="1">
          <cell r="J1">
            <v>1.7453292519943295E-2</v>
          </cell>
        </row>
      </sheetData>
      <sheetData sheetId="3864">
        <row r="1">
          <cell r="J1">
            <v>1.7453292519943295E-2</v>
          </cell>
        </row>
      </sheetData>
      <sheetData sheetId="3865">
        <row r="1">
          <cell r="J1">
            <v>1.7453292519943295E-2</v>
          </cell>
        </row>
      </sheetData>
      <sheetData sheetId="3866">
        <row r="1">
          <cell r="J1">
            <v>1.7453292519943295E-2</v>
          </cell>
        </row>
      </sheetData>
      <sheetData sheetId="3867">
        <row r="1">
          <cell r="J1">
            <v>1.7453292519943295E-2</v>
          </cell>
        </row>
      </sheetData>
      <sheetData sheetId="3868">
        <row r="1">
          <cell r="J1">
            <v>1.7453292519943295E-2</v>
          </cell>
        </row>
      </sheetData>
      <sheetData sheetId="3869">
        <row r="1">
          <cell r="J1">
            <v>1.7453292519943295E-2</v>
          </cell>
        </row>
      </sheetData>
      <sheetData sheetId="3870">
        <row r="1">
          <cell r="J1">
            <v>1.7453292519943295E-2</v>
          </cell>
        </row>
      </sheetData>
      <sheetData sheetId="3871">
        <row r="1">
          <cell r="J1">
            <v>1.7453292519943295E-2</v>
          </cell>
        </row>
      </sheetData>
      <sheetData sheetId="3872">
        <row r="1">
          <cell r="J1">
            <v>1.7453292519943295E-2</v>
          </cell>
        </row>
      </sheetData>
      <sheetData sheetId="3873">
        <row r="1">
          <cell r="J1">
            <v>1.7453292519943295E-2</v>
          </cell>
        </row>
      </sheetData>
      <sheetData sheetId="3874">
        <row r="1">
          <cell r="J1">
            <v>1.7453292519943295E-2</v>
          </cell>
        </row>
      </sheetData>
      <sheetData sheetId="3875">
        <row r="1">
          <cell r="J1">
            <v>1.7453292519943295E-2</v>
          </cell>
        </row>
      </sheetData>
      <sheetData sheetId="3876">
        <row r="1">
          <cell r="J1">
            <v>1.7453292519943295E-2</v>
          </cell>
        </row>
      </sheetData>
      <sheetData sheetId="3877">
        <row r="1">
          <cell r="J1">
            <v>1.7453292519943295E-2</v>
          </cell>
        </row>
      </sheetData>
      <sheetData sheetId="3878">
        <row r="1">
          <cell r="J1">
            <v>1.7453292519943295E-2</v>
          </cell>
        </row>
      </sheetData>
      <sheetData sheetId="3879">
        <row r="1">
          <cell r="J1">
            <v>1.7453292519943295E-2</v>
          </cell>
        </row>
      </sheetData>
      <sheetData sheetId="3880">
        <row r="1">
          <cell r="J1">
            <v>1.7453292519943295E-2</v>
          </cell>
        </row>
      </sheetData>
      <sheetData sheetId="3881">
        <row r="1">
          <cell r="J1">
            <v>1.7453292519943295E-2</v>
          </cell>
        </row>
      </sheetData>
      <sheetData sheetId="3882">
        <row r="1">
          <cell r="J1">
            <v>1.7453292519943295E-2</v>
          </cell>
        </row>
      </sheetData>
      <sheetData sheetId="3883">
        <row r="1">
          <cell r="J1">
            <v>1.7453292519943295E-2</v>
          </cell>
        </row>
      </sheetData>
      <sheetData sheetId="3884">
        <row r="1">
          <cell r="J1">
            <v>1.7453292519943295E-2</v>
          </cell>
        </row>
      </sheetData>
      <sheetData sheetId="3885">
        <row r="1">
          <cell r="J1">
            <v>1.7453292519943295E-2</v>
          </cell>
        </row>
      </sheetData>
      <sheetData sheetId="3886">
        <row r="1">
          <cell r="J1">
            <v>1.7453292519943295E-2</v>
          </cell>
        </row>
      </sheetData>
      <sheetData sheetId="3887">
        <row r="1">
          <cell r="J1">
            <v>1.7453292519943295E-2</v>
          </cell>
        </row>
      </sheetData>
      <sheetData sheetId="3888">
        <row r="1">
          <cell r="J1">
            <v>1.7453292519943295E-2</v>
          </cell>
        </row>
      </sheetData>
      <sheetData sheetId="3889">
        <row r="1">
          <cell r="J1">
            <v>1.7453292519943295E-2</v>
          </cell>
        </row>
      </sheetData>
      <sheetData sheetId="3890">
        <row r="1">
          <cell r="J1">
            <v>1.7453292519943295E-2</v>
          </cell>
        </row>
      </sheetData>
      <sheetData sheetId="3891">
        <row r="1">
          <cell r="J1">
            <v>1.7453292519943295E-2</v>
          </cell>
        </row>
      </sheetData>
      <sheetData sheetId="3892">
        <row r="1">
          <cell r="J1">
            <v>1.7453292519943295E-2</v>
          </cell>
        </row>
      </sheetData>
      <sheetData sheetId="3893">
        <row r="1">
          <cell r="J1">
            <v>1.7453292519943295E-2</v>
          </cell>
        </row>
      </sheetData>
      <sheetData sheetId="3894">
        <row r="1">
          <cell r="J1">
            <v>1.7453292519943295E-2</v>
          </cell>
        </row>
      </sheetData>
      <sheetData sheetId="3895">
        <row r="1">
          <cell r="J1">
            <v>1.7453292519943295E-2</v>
          </cell>
        </row>
      </sheetData>
      <sheetData sheetId="3896">
        <row r="1">
          <cell r="J1">
            <v>1.7453292519943295E-2</v>
          </cell>
        </row>
      </sheetData>
      <sheetData sheetId="3897">
        <row r="1">
          <cell r="J1">
            <v>1.7453292519943295E-2</v>
          </cell>
        </row>
      </sheetData>
      <sheetData sheetId="3898">
        <row r="1">
          <cell r="J1">
            <v>1.7453292519943295E-2</v>
          </cell>
        </row>
      </sheetData>
      <sheetData sheetId="3899">
        <row r="1">
          <cell r="J1">
            <v>1.7453292519943295E-2</v>
          </cell>
        </row>
      </sheetData>
      <sheetData sheetId="3900">
        <row r="1">
          <cell r="J1">
            <v>1.7453292519943295E-2</v>
          </cell>
        </row>
      </sheetData>
      <sheetData sheetId="3901">
        <row r="1">
          <cell r="J1">
            <v>1.7453292519943295E-2</v>
          </cell>
        </row>
      </sheetData>
      <sheetData sheetId="3902">
        <row r="1">
          <cell r="J1">
            <v>1.7453292519943295E-2</v>
          </cell>
        </row>
      </sheetData>
      <sheetData sheetId="3903">
        <row r="1">
          <cell r="J1">
            <v>1.7453292519943295E-2</v>
          </cell>
        </row>
      </sheetData>
      <sheetData sheetId="3904">
        <row r="1">
          <cell r="J1">
            <v>1.7453292519943295E-2</v>
          </cell>
        </row>
      </sheetData>
      <sheetData sheetId="3905">
        <row r="1">
          <cell r="J1">
            <v>1.7453292519943295E-2</v>
          </cell>
        </row>
      </sheetData>
      <sheetData sheetId="3906">
        <row r="1">
          <cell r="J1">
            <v>1.7453292519943295E-2</v>
          </cell>
        </row>
      </sheetData>
      <sheetData sheetId="3907">
        <row r="1">
          <cell r="J1">
            <v>1.7453292519943295E-2</v>
          </cell>
        </row>
      </sheetData>
      <sheetData sheetId="3908">
        <row r="1">
          <cell r="J1">
            <v>1.7453292519943295E-2</v>
          </cell>
        </row>
      </sheetData>
      <sheetData sheetId="3909">
        <row r="1">
          <cell r="J1">
            <v>1.7453292519943295E-2</v>
          </cell>
        </row>
      </sheetData>
      <sheetData sheetId="3910">
        <row r="1">
          <cell r="J1">
            <v>1.7453292519943295E-2</v>
          </cell>
        </row>
      </sheetData>
      <sheetData sheetId="3911">
        <row r="1">
          <cell r="J1">
            <v>1.7453292519943295E-2</v>
          </cell>
        </row>
      </sheetData>
      <sheetData sheetId="3912">
        <row r="1">
          <cell r="J1">
            <v>1.7453292519943295E-2</v>
          </cell>
        </row>
      </sheetData>
      <sheetData sheetId="3913">
        <row r="1">
          <cell r="J1">
            <v>1.7453292519943295E-2</v>
          </cell>
        </row>
      </sheetData>
      <sheetData sheetId="3914">
        <row r="1">
          <cell r="J1">
            <v>1.7453292519943295E-2</v>
          </cell>
        </row>
      </sheetData>
      <sheetData sheetId="3915">
        <row r="1">
          <cell r="J1">
            <v>1.7453292519943295E-2</v>
          </cell>
        </row>
      </sheetData>
      <sheetData sheetId="3916">
        <row r="1">
          <cell r="J1">
            <v>1.7453292519943295E-2</v>
          </cell>
        </row>
      </sheetData>
      <sheetData sheetId="3917">
        <row r="1">
          <cell r="J1">
            <v>1.7453292519943295E-2</v>
          </cell>
        </row>
      </sheetData>
      <sheetData sheetId="3918">
        <row r="1">
          <cell r="J1">
            <v>1.7453292519943295E-2</v>
          </cell>
        </row>
      </sheetData>
      <sheetData sheetId="3919">
        <row r="1">
          <cell r="J1">
            <v>1.7453292519943295E-2</v>
          </cell>
        </row>
      </sheetData>
      <sheetData sheetId="3920">
        <row r="1">
          <cell r="J1">
            <v>1.7453292519943295E-2</v>
          </cell>
        </row>
      </sheetData>
      <sheetData sheetId="3921">
        <row r="1">
          <cell r="J1">
            <v>1.7453292519943295E-2</v>
          </cell>
        </row>
      </sheetData>
      <sheetData sheetId="3922">
        <row r="1">
          <cell r="J1">
            <v>1.7453292519943295E-2</v>
          </cell>
        </row>
      </sheetData>
      <sheetData sheetId="3923">
        <row r="1">
          <cell r="J1">
            <v>1.7453292519943295E-2</v>
          </cell>
        </row>
      </sheetData>
      <sheetData sheetId="3924">
        <row r="1">
          <cell r="J1">
            <v>1.7453292519943295E-2</v>
          </cell>
        </row>
      </sheetData>
      <sheetData sheetId="3925">
        <row r="1">
          <cell r="J1">
            <v>1.7453292519943295E-2</v>
          </cell>
        </row>
      </sheetData>
      <sheetData sheetId="3926">
        <row r="1">
          <cell r="J1">
            <v>1.7453292519943295E-2</v>
          </cell>
        </row>
      </sheetData>
      <sheetData sheetId="3927">
        <row r="1">
          <cell r="J1">
            <v>1.7453292519943295E-2</v>
          </cell>
        </row>
      </sheetData>
      <sheetData sheetId="3928">
        <row r="1">
          <cell r="J1">
            <v>1.7453292519943295E-2</v>
          </cell>
        </row>
      </sheetData>
      <sheetData sheetId="3929">
        <row r="1">
          <cell r="J1">
            <v>1.7453292519943295E-2</v>
          </cell>
        </row>
      </sheetData>
      <sheetData sheetId="3930">
        <row r="1">
          <cell r="J1">
            <v>1.7453292519943295E-2</v>
          </cell>
        </row>
      </sheetData>
      <sheetData sheetId="3931">
        <row r="1">
          <cell r="J1">
            <v>1.7453292519943295E-2</v>
          </cell>
        </row>
      </sheetData>
      <sheetData sheetId="3932">
        <row r="1">
          <cell r="J1">
            <v>1.7453292519943295E-2</v>
          </cell>
        </row>
      </sheetData>
      <sheetData sheetId="3933">
        <row r="1">
          <cell r="J1">
            <v>1.7453292519943295E-2</v>
          </cell>
        </row>
      </sheetData>
      <sheetData sheetId="3934">
        <row r="1">
          <cell r="J1">
            <v>1.7453292519943295E-2</v>
          </cell>
        </row>
      </sheetData>
      <sheetData sheetId="3935">
        <row r="1">
          <cell r="J1">
            <v>1.7453292519943295E-2</v>
          </cell>
        </row>
      </sheetData>
      <sheetData sheetId="3936">
        <row r="1">
          <cell r="J1">
            <v>1.7453292519943295E-2</v>
          </cell>
        </row>
      </sheetData>
      <sheetData sheetId="3937">
        <row r="1">
          <cell r="J1">
            <v>1.7453292519943295E-2</v>
          </cell>
        </row>
      </sheetData>
      <sheetData sheetId="3938">
        <row r="1">
          <cell r="J1">
            <v>1.7453292519943295E-2</v>
          </cell>
        </row>
      </sheetData>
      <sheetData sheetId="3939">
        <row r="1">
          <cell r="J1">
            <v>1.7453292519943295E-2</v>
          </cell>
        </row>
      </sheetData>
      <sheetData sheetId="3940">
        <row r="1">
          <cell r="J1">
            <v>1.7453292519943295E-2</v>
          </cell>
        </row>
      </sheetData>
      <sheetData sheetId="3941">
        <row r="1">
          <cell r="J1">
            <v>1.7453292519943295E-2</v>
          </cell>
        </row>
      </sheetData>
      <sheetData sheetId="3942">
        <row r="1">
          <cell r="J1">
            <v>1.7453292519943295E-2</v>
          </cell>
        </row>
      </sheetData>
      <sheetData sheetId="3943">
        <row r="1">
          <cell r="J1">
            <v>1.7453292519943295E-2</v>
          </cell>
        </row>
      </sheetData>
      <sheetData sheetId="3944">
        <row r="1">
          <cell r="J1">
            <v>1.7453292519943295E-2</v>
          </cell>
        </row>
      </sheetData>
      <sheetData sheetId="3945">
        <row r="1">
          <cell r="J1">
            <v>1.7453292519943295E-2</v>
          </cell>
        </row>
      </sheetData>
      <sheetData sheetId="3946">
        <row r="1">
          <cell r="J1">
            <v>1.7453292519943295E-2</v>
          </cell>
        </row>
      </sheetData>
      <sheetData sheetId="3947">
        <row r="1">
          <cell r="J1">
            <v>1.7453292519943295E-2</v>
          </cell>
        </row>
      </sheetData>
      <sheetData sheetId="3948">
        <row r="1">
          <cell r="J1">
            <v>1.7453292519943295E-2</v>
          </cell>
        </row>
      </sheetData>
      <sheetData sheetId="3949">
        <row r="1">
          <cell r="J1">
            <v>1.7453292519943295E-2</v>
          </cell>
        </row>
      </sheetData>
      <sheetData sheetId="3950">
        <row r="1">
          <cell r="J1">
            <v>1.7453292519943295E-2</v>
          </cell>
        </row>
      </sheetData>
      <sheetData sheetId="3951">
        <row r="1">
          <cell r="J1">
            <v>1.7453292519943295E-2</v>
          </cell>
        </row>
      </sheetData>
      <sheetData sheetId="3952">
        <row r="1">
          <cell r="J1">
            <v>1.7453292519943295E-2</v>
          </cell>
        </row>
      </sheetData>
      <sheetData sheetId="3953">
        <row r="1">
          <cell r="J1">
            <v>1.7453292519943295E-2</v>
          </cell>
        </row>
      </sheetData>
      <sheetData sheetId="3954">
        <row r="1">
          <cell r="J1">
            <v>1.7453292519943295E-2</v>
          </cell>
        </row>
      </sheetData>
      <sheetData sheetId="3955">
        <row r="1">
          <cell r="J1">
            <v>1.7453292519943295E-2</v>
          </cell>
        </row>
      </sheetData>
      <sheetData sheetId="3956">
        <row r="1">
          <cell r="J1">
            <v>1.7453292519943295E-2</v>
          </cell>
        </row>
      </sheetData>
      <sheetData sheetId="3957">
        <row r="1">
          <cell r="J1">
            <v>1.7453292519943295E-2</v>
          </cell>
        </row>
      </sheetData>
      <sheetData sheetId="3958">
        <row r="1">
          <cell r="J1">
            <v>1.7453292519943295E-2</v>
          </cell>
        </row>
      </sheetData>
      <sheetData sheetId="3959">
        <row r="1">
          <cell r="J1">
            <v>1.7453292519943295E-2</v>
          </cell>
        </row>
      </sheetData>
      <sheetData sheetId="3960">
        <row r="1">
          <cell r="J1">
            <v>1.7453292519943295E-2</v>
          </cell>
        </row>
      </sheetData>
      <sheetData sheetId="3961">
        <row r="1">
          <cell r="J1">
            <v>1.7453292519943295E-2</v>
          </cell>
        </row>
      </sheetData>
      <sheetData sheetId="3962">
        <row r="1">
          <cell r="J1">
            <v>1.7453292519943295E-2</v>
          </cell>
        </row>
      </sheetData>
      <sheetData sheetId="3963">
        <row r="1">
          <cell r="J1">
            <v>1.7453292519943295E-2</v>
          </cell>
        </row>
      </sheetData>
      <sheetData sheetId="3964">
        <row r="1">
          <cell r="J1">
            <v>1.7453292519943295E-2</v>
          </cell>
        </row>
      </sheetData>
      <sheetData sheetId="3965">
        <row r="1">
          <cell r="J1">
            <v>1.7453292519943295E-2</v>
          </cell>
        </row>
      </sheetData>
      <sheetData sheetId="3966">
        <row r="1">
          <cell r="J1">
            <v>1.7453292519943295E-2</v>
          </cell>
        </row>
      </sheetData>
      <sheetData sheetId="3967">
        <row r="1">
          <cell r="J1">
            <v>1.7453292519943295E-2</v>
          </cell>
        </row>
      </sheetData>
      <sheetData sheetId="3968">
        <row r="1">
          <cell r="J1">
            <v>1.7453292519943295E-2</v>
          </cell>
        </row>
      </sheetData>
      <sheetData sheetId="3969">
        <row r="1">
          <cell r="J1">
            <v>1.7453292519943295E-2</v>
          </cell>
        </row>
      </sheetData>
      <sheetData sheetId="3970">
        <row r="1">
          <cell r="J1">
            <v>1.7453292519943295E-2</v>
          </cell>
        </row>
      </sheetData>
      <sheetData sheetId="3971">
        <row r="1">
          <cell r="J1">
            <v>1.7453292519943295E-2</v>
          </cell>
        </row>
      </sheetData>
      <sheetData sheetId="3972">
        <row r="1">
          <cell r="J1">
            <v>1.7453292519943295E-2</v>
          </cell>
        </row>
      </sheetData>
      <sheetData sheetId="3973">
        <row r="1">
          <cell r="J1">
            <v>1.7453292519943295E-2</v>
          </cell>
        </row>
      </sheetData>
      <sheetData sheetId="3974">
        <row r="1">
          <cell r="J1">
            <v>1.7453292519943295E-2</v>
          </cell>
        </row>
      </sheetData>
      <sheetData sheetId="3975">
        <row r="1">
          <cell r="J1">
            <v>1.7453292519943295E-2</v>
          </cell>
        </row>
      </sheetData>
      <sheetData sheetId="3976">
        <row r="1">
          <cell r="J1">
            <v>1.7453292519943295E-2</v>
          </cell>
        </row>
      </sheetData>
      <sheetData sheetId="3977">
        <row r="1">
          <cell r="J1">
            <v>1.7453292519943295E-2</v>
          </cell>
        </row>
      </sheetData>
      <sheetData sheetId="3978">
        <row r="1">
          <cell r="J1">
            <v>1.7453292519943295E-2</v>
          </cell>
        </row>
      </sheetData>
      <sheetData sheetId="3979">
        <row r="1">
          <cell r="J1">
            <v>1.7453292519943295E-2</v>
          </cell>
        </row>
      </sheetData>
      <sheetData sheetId="3980">
        <row r="1">
          <cell r="J1">
            <v>1.7453292519943295E-2</v>
          </cell>
        </row>
      </sheetData>
      <sheetData sheetId="3981">
        <row r="1">
          <cell r="J1">
            <v>1.7453292519943295E-2</v>
          </cell>
        </row>
      </sheetData>
      <sheetData sheetId="3982">
        <row r="1">
          <cell r="J1">
            <v>1.7453292519943295E-2</v>
          </cell>
        </row>
      </sheetData>
      <sheetData sheetId="3983">
        <row r="1">
          <cell r="J1">
            <v>1.7453292519943295E-2</v>
          </cell>
        </row>
      </sheetData>
      <sheetData sheetId="3984">
        <row r="1">
          <cell r="J1">
            <v>1.7453292519943295E-2</v>
          </cell>
        </row>
      </sheetData>
      <sheetData sheetId="3985">
        <row r="1">
          <cell r="J1">
            <v>1.7453292519943295E-2</v>
          </cell>
        </row>
      </sheetData>
      <sheetData sheetId="3986">
        <row r="1">
          <cell r="J1">
            <v>1.7453292519943295E-2</v>
          </cell>
        </row>
      </sheetData>
      <sheetData sheetId="3987">
        <row r="1">
          <cell r="J1">
            <v>1.7453292519943295E-2</v>
          </cell>
        </row>
      </sheetData>
      <sheetData sheetId="3988">
        <row r="1">
          <cell r="J1">
            <v>1.7453292519943295E-2</v>
          </cell>
        </row>
      </sheetData>
      <sheetData sheetId="3989">
        <row r="1">
          <cell r="J1">
            <v>1.7453292519943295E-2</v>
          </cell>
        </row>
      </sheetData>
      <sheetData sheetId="3990">
        <row r="1">
          <cell r="J1">
            <v>1.7453292519943295E-2</v>
          </cell>
        </row>
      </sheetData>
      <sheetData sheetId="3991">
        <row r="1">
          <cell r="J1">
            <v>1.7453292519943295E-2</v>
          </cell>
        </row>
      </sheetData>
      <sheetData sheetId="3992">
        <row r="1">
          <cell r="J1">
            <v>1.7453292519943295E-2</v>
          </cell>
        </row>
      </sheetData>
      <sheetData sheetId="3993">
        <row r="1">
          <cell r="J1">
            <v>1.7453292519943295E-2</v>
          </cell>
        </row>
      </sheetData>
      <sheetData sheetId="3994">
        <row r="1">
          <cell r="J1">
            <v>1.7453292519943295E-2</v>
          </cell>
        </row>
      </sheetData>
      <sheetData sheetId="3995">
        <row r="1">
          <cell r="J1">
            <v>1.7453292519943295E-2</v>
          </cell>
        </row>
      </sheetData>
      <sheetData sheetId="3996">
        <row r="1">
          <cell r="J1">
            <v>1.7453292519943295E-2</v>
          </cell>
        </row>
      </sheetData>
      <sheetData sheetId="3997">
        <row r="1">
          <cell r="J1">
            <v>1.7453292519943295E-2</v>
          </cell>
        </row>
      </sheetData>
      <sheetData sheetId="3998">
        <row r="1">
          <cell r="J1">
            <v>1.7453292519943295E-2</v>
          </cell>
        </row>
      </sheetData>
      <sheetData sheetId="3999">
        <row r="1">
          <cell r="J1">
            <v>1.7453292519943295E-2</v>
          </cell>
        </row>
      </sheetData>
      <sheetData sheetId="4000">
        <row r="1">
          <cell r="J1">
            <v>1.7453292519943295E-2</v>
          </cell>
        </row>
      </sheetData>
      <sheetData sheetId="4001">
        <row r="1">
          <cell r="J1">
            <v>1.7453292519943295E-2</v>
          </cell>
        </row>
      </sheetData>
      <sheetData sheetId="4002">
        <row r="1">
          <cell r="J1">
            <v>1.7453292519943295E-2</v>
          </cell>
        </row>
      </sheetData>
      <sheetData sheetId="4003">
        <row r="1">
          <cell r="J1">
            <v>1.7453292519943295E-2</v>
          </cell>
        </row>
      </sheetData>
      <sheetData sheetId="4004">
        <row r="1">
          <cell r="J1">
            <v>1.7453292519943295E-2</v>
          </cell>
        </row>
      </sheetData>
      <sheetData sheetId="4005">
        <row r="1">
          <cell r="J1">
            <v>1.7453292519943295E-2</v>
          </cell>
        </row>
      </sheetData>
      <sheetData sheetId="4006">
        <row r="1">
          <cell r="J1">
            <v>1.7453292519943295E-2</v>
          </cell>
        </row>
      </sheetData>
      <sheetData sheetId="4007">
        <row r="1">
          <cell r="J1">
            <v>1.7453292519943295E-2</v>
          </cell>
        </row>
      </sheetData>
      <sheetData sheetId="4008">
        <row r="1">
          <cell r="J1">
            <v>1.7453292519943295E-2</v>
          </cell>
        </row>
      </sheetData>
      <sheetData sheetId="4009">
        <row r="1">
          <cell r="J1">
            <v>1.7453292519943295E-2</v>
          </cell>
        </row>
      </sheetData>
      <sheetData sheetId="4010">
        <row r="1">
          <cell r="J1">
            <v>1.7453292519943295E-2</v>
          </cell>
        </row>
      </sheetData>
      <sheetData sheetId="4011">
        <row r="1">
          <cell r="J1">
            <v>1.7453292519943295E-2</v>
          </cell>
        </row>
      </sheetData>
      <sheetData sheetId="4012">
        <row r="1">
          <cell r="J1">
            <v>1.7453292519943295E-2</v>
          </cell>
        </row>
      </sheetData>
      <sheetData sheetId="4013">
        <row r="1">
          <cell r="J1">
            <v>1.7453292519943295E-2</v>
          </cell>
        </row>
      </sheetData>
      <sheetData sheetId="4014">
        <row r="1">
          <cell r="J1">
            <v>1.7453292519943295E-2</v>
          </cell>
        </row>
      </sheetData>
      <sheetData sheetId="4015">
        <row r="1">
          <cell r="J1">
            <v>1.7453292519943295E-2</v>
          </cell>
        </row>
      </sheetData>
      <sheetData sheetId="4016">
        <row r="1">
          <cell r="J1">
            <v>1.7453292519943295E-2</v>
          </cell>
        </row>
      </sheetData>
      <sheetData sheetId="4017">
        <row r="1">
          <cell r="J1">
            <v>1.7453292519943295E-2</v>
          </cell>
        </row>
      </sheetData>
      <sheetData sheetId="4018">
        <row r="1">
          <cell r="J1">
            <v>1.7453292519943295E-2</v>
          </cell>
        </row>
      </sheetData>
      <sheetData sheetId="4019">
        <row r="1">
          <cell r="J1">
            <v>1.7453292519943295E-2</v>
          </cell>
        </row>
      </sheetData>
      <sheetData sheetId="4020">
        <row r="1">
          <cell r="J1">
            <v>1.7453292519943295E-2</v>
          </cell>
        </row>
      </sheetData>
      <sheetData sheetId="4021">
        <row r="1">
          <cell r="J1">
            <v>1.7453292519943295E-2</v>
          </cell>
        </row>
      </sheetData>
      <sheetData sheetId="4022">
        <row r="1">
          <cell r="J1">
            <v>1.7453292519943295E-2</v>
          </cell>
        </row>
      </sheetData>
      <sheetData sheetId="4023">
        <row r="1">
          <cell r="J1">
            <v>1.7453292519943295E-2</v>
          </cell>
        </row>
      </sheetData>
      <sheetData sheetId="4024">
        <row r="1">
          <cell r="J1">
            <v>1.7453292519943295E-2</v>
          </cell>
        </row>
      </sheetData>
      <sheetData sheetId="4025">
        <row r="1">
          <cell r="J1">
            <v>1.7453292519943295E-2</v>
          </cell>
        </row>
      </sheetData>
      <sheetData sheetId="4026">
        <row r="1">
          <cell r="J1">
            <v>1.7453292519943295E-2</v>
          </cell>
        </row>
      </sheetData>
      <sheetData sheetId="4027">
        <row r="1">
          <cell r="J1">
            <v>1.7453292519943295E-2</v>
          </cell>
        </row>
      </sheetData>
      <sheetData sheetId="4028">
        <row r="1">
          <cell r="J1">
            <v>1.7453292519943295E-2</v>
          </cell>
        </row>
      </sheetData>
      <sheetData sheetId="4029">
        <row r="1">
          <cell r="J1">
            <v>1.7453292519943295E-2</v>
          </cell>
        </row>
      </sheetData>
      <sheetData sheetId="4030">
        <row r="1">
          <cell r="J1">
            <v>1.7453292519943295E-2</v>
          </cell>
        </row>
      </sheetData>
      <sheetData sheetId="4031">
        <row r="1">
          <cell r="J1">
            <v>1.7453292519943295E-2</v>
          </cell>
        </row>
      </sheetData>
      <sheetData sheetId="4032">
        <row r="1">
          <cell r="J1">
            <v>1.7453292519943295E-2</v>
          </cell>
        </row>
      </sheetData>
      <sheetData sheetId="4033">
        <row r="1">
          <cell r="J1">
            <v>1.7453292519943295E-2</v>
          </cell>
        </row>
      </sheetData>
      <sheetData sheetId="4034">
        <row r="1">
          <cell r="J1">
            <v>1.7453292519943295E-2</v>
          </cell>
        </row>
      </sheetData>
      <sheetData sheetId="4035">
        <row r="1">
          <cell r="J1">
            <v>1.7453292519943295E-2</v>
          </cell>
        </row>
      </sheetData>
      <sheetData sheetId="4036">
        <row r="1">
          <cell r="J1">
            <v>1.7453292519943295E-2</v>
          </cell>
        </row>
      </sheetData>
      <sheetData sheetId="4037">
        <row r="1">
          <cell r="J1">
            <v>1.7453292519943295E-2</v>
          </cell>
        </row>
      </sheetData>
      <sheetData sheetId="4038">
        <row r="1">
          <cell r="J1">
            <v>1.7453292519943295E-2</v>
          </cell>
        </row>
      </sheetData>
      <sheetData sheetId="4039">
        <row r="1">
          <cell r="J1">
            <v>1.7453292519943295E-2</v>
          </cell>
        </row>
      </sheetData>
      <sheetData sheetId="4040">
        <row r="1">
          <cell r="J1">
            <v>1.7453292519943295E-2</v>
          </cell>
        </row>
      </sheetData>
      <sheetData sheetId="4041">
        <row r="1">
          <cell r="J1">
            <v>1.7453292519943295E-2</v>
          </cell>
        </row>
      </sheetData>
      <sheetData sheetId="4042">
        <row r="1">
          <cell r="J1">
            <v>1.7453292519943295E-2</v>
          </cell>
        </row>
      </sheetData>
      <sheetData sheetId="4043">
        <row r="1">
          <cell r="J1">
            <v>1.7453292519943295E-2</v>
          </cell>
        </row>
      </sheetData>
      <sheetData sheetId="4044">
        <row r="1">
          <cell r="J1">
            <v>1.7453292519943295E-2</v>
          </cell>
        </row>
      </sheetData>
      <sheetData sheetId="4045">
        <row r="1">
          <cell r="J1">
            <v>1.7453292519943295E-2</v>
          </cell>
        </row>
      </sheetData>
      <sheetData sheetId="4046">
        <row r="1">
          <cell r="J1">
            <v>1.7453292519943295E-2</v>
          </cell>
        </row>
      </sheetData>
      <sheetData sheetId="4047">
        <row r="1">
          <cell r="J1">
            <v>1.7453292519943295E-2</v>
          </cell>
        </row>
      </sheetData>
      <sheetData sheetId="4048">
        <row r="1">
          <cell r="J1">
            <v>1.7453292519943295E-2</v>
          </cell>
        </row>
      </sheetData>
      <sheetData sheetId="4049">
        <row r="1">
          <cell r="J1">
            <v>1.7453292519943295E-2</v>
          </cell>
        </row>
      </sheetData>
      <sheetData sheetId="4050">
        <row r="1">
          <cell r="J1">
            <v>1.7453292519943295E-2</v>
          </cell>
        </row>
      </sheetData>
      <sheetData sheetId="4051">
        <row r="1">
          <cell r="J1">
            <v>1.7453292519943295E-2</v>
          </cell>
        </row>
      </sheetData>
      <sheetData sheetId="4052">
        <row r="1">
          <cell r="J1">
            <v>1.7453292519943295E-2</v>
          </cell>
        </row>
      </sheetData>
      <sheetData sheetId="4053">
        <row r="1">
          <cell r="J1">
            <v>1.7453292519943295E-2</v>
          </cell>
        </row>
      </sheetData>
      <sheetData sheetId="4054">
        <row r="1">
          <cell r="J1">
            <v>1.7453292519943295E-2</v>
          </cell>
        </row>
      </sheetData>
      <sheetData sheetId="4055">
        <row r="1">
          <cell r="J1">
            <v>1.7453292519943295E-2</v>
          </cell>
        </row>
      </sheetData>
      <sheetData sheetId="4056">
        <row r="1">
          <cell r="J1">
            <v>1.7453292519943295E-2</v>
          </cell>
        </row>
      </sheetData>
      <sheetData sheetId="4057">
        <row r="1">
          <cell r="J1">
            <v>1.7453292519943295E-2</v>
          </cell>
        </row>
      </sheetData>
      <sheetData sheetId="4058">
        <row r="1">
          <cell r="J1">
            <v>1.7453292519943295E-2</v>
          </cell>
        </row>
      </sheetData>
      <sheetData sheetId="4059">
        <row r="1">
          <cell r="J1">
            <v>1.7453292519943295E-2</v>
          </cell>
        </row>
      </sheetData>
      <sheetData sheetId="4060">
        <row r="1">
          <cell r="J1">
            <v>1.7453292519943295E-2</v>
          </cell>
        </row>
      </sheetData>
      <sheetData sheetId="4061">
        <row r="1">
          <cell r="J1">
            <v>1.7453292519943295E-2</v>
          </cell>
        </row>
      </sheetData>
      <sheetData sheetId="4062">
        <row r="1">
          <cell r="J1">
            <v>1.7453292519943295E-2</v>
          </cell>
        </row>
      </sheetData>
      <sheetData sheetId="4063">
        <row r="1">
          <cell r="J1">
            <v>1.7453292519943295E-2</v>
          </cell>
        </row>
      </sheetData>
      <sheetData sheetId="4064">
        <row r="1">
          <cell r="J1">
            <v>1.7453292519943295E-2</v>
          </cell>
        </row>
      </sheetData>
      <sheetData sheetId="4065">
        <row r="1">
          <cell r="J1">
            <v>1.7453292519943295E-2</v>
          </cell>
        </row>
      </sheetData>
      <sheetData sheetId="4066">
        <row r="1">
          <cell r="J1">
            <v>1.7453292519943295E-2</v>
          </cell>
        </row>
      </sheetData>
      <sheetData sheetId="4067">
        <row r="1">
          <cell r="J1">
            <v>1.7453292519943295E-2</v>
          </cell>
        </row>
      </sheetData>
      <sheetData sheetId="4068">
        <row r="1">
          <cell r="J1">
            <v>1.7453292519943295E-2</v>
          </cell>
        </row>
      </sheetData>
      <sheetData sheetId="4069">
        <row r="1">
          <cell r="J1">
            <v>1.7453292519943295E-2</v>
          </cell>
        </row>
      </sheetData>
      <sheetData sheetId="4070">
        <row r="1">
          <cell r="J1">
            <v>1.7453292519943295E-2</v>
          </cell>
        </row>
      </sheetData>
      <sheetData sheetId="4071">
        <row r="1">
          <cell r="J1">
            <v>1.7453292519943295E-2</v>
          </cell>
        </row>
      </sheetData>
      <sheetData sheetId="4072">
        <row r="1">
          <cell r="J1">
            <v>1.7453292519943295E-2</v>
          </cell>
        </row>
      </sheetData>
      <sheetData sheetId="4073">
        <row r="1">
          <cell r="J1">
            <v>1.7453292519943295E-2</v>
          </cell>
        </row>
      </sheetData>
      <sheetData sheetId="4074">
        <row r="1">
          <cell r="J1">
            <v>1.7453292519943295E-2</v>
          </cell>
        </row>
      </sheetData>
      <sheetData sheetId="4075">
        <row r="1">
          <cell r="J1">
            <v>1.7453292519943295E-2</v>
          </cell>
        </row>
      </sheetData>
      <sheetData sheetId="4076">
        <row r="1">
          <cell r="J1">
            <v>1.7453292519943295E-2</v>
          </cell>
        </row>
      </sheetData>
      <sheetData sheetId="4077">
        <row r="1">
          <cell r="J1">
            <v>1.7453292519943295E-2</v>
          </cell>
        </row>
      </sheetData>
      <sheetData sheetId="4078">
        <row r="1">
          <cell r="J1">
            <v>1.7453292519943295E-2</v>
          </cell>
        </row>
      </sheetData>
      <sheetData sheetId="4079">
        <row r="1">
          <cell r="J1">
            <v>1.7453292519943295E-2</v>
          </cell>
        </row>
      </sheetData>
      <sheetData sheetId="4080">
        <row r="1">
          <cell r="J1">
            <v>1.7453292519943295E-2</v>
          </cell>
        </row>
      </sheetData>
      <sheetData sheetId="4081">
        <row r="1">
          <cell r="J1">
            <v>1.7453292519943295E-2</v>
          </cell>
        </row>
      </sheetData>
      <sheetData sheetId="4082">
        <row r="1">
          <cell r="J1">
            <v>1.7453292519943295E-2</v>
          </cell>
        </row>
      </sheetData>
      <sheetData sheetId="4083">
        <row r="1">
          <cell r="J1">
            <v>1.7453292519943295E-2</v>
          </cell>
        </row>
      </sheetData>
      <sheetData sheetId="4084">
        <row r="1">
          <cell r="J1">
            <v>1.7453292519943295E-2</v>
          </cell>
        </row>
      </sheetData>
      <sheetData sheetId="4085">
        <row r="1">
          <cell r="J1">
            <v>1.7453292519943295E-2</v>
          </cell>
        </row>
      </sheetData>
      <sheetData sheetId="4086">
        <row r="1">
          <cell r="J1">
            <v>1.7453292519943295E-2</v>
          </cell>
        </row>
      </sheetData>
      <sheetData sheetId="4087">
        <row r="1">
          <cell r="J1">
            <v>1.7453292519943295E-2</v>
          </cell>
        </row>
      </sheetData>
      <sheetData sheetId="4088">
        <row r="1">
          <cell r="J1">
            <v>1.7453292519943295E-2</v>
          </cell>
        </row>
      </sheetData>
      <sheetData sheetId="4089">
        <row r="1">
          <cell r="J1">
            <v>1.7453292519943295E-2</v>
          </cell>
        </row>
      </sheetData>
      <sheetData sheetId="4090">
        <row r="1">
          <cell r="J1">
            <v>1.7453292519943295E-2</v>
          </cell>
        </row>
      </sheetData>
      <sheetData sheetId="4091">
        <row r="1">
          <cell r="J1">
            <v>1.7453292519943295E-2</v>
          </cell>
        </row>
      </sheetData>
      <sheetData sheetId="4092">
        <row r="1">
          <cell r="J1">
            <v>1.7453292519943295E-2</v>
          </cell>
        </row>
      </sheetData>
      <sheetData sheetId="4093">
        <row r="1">
          <cell r="J1">
            <v>1.7453292519943295E-2</v>
          </cell>
        </row>
      </sheetData>
      <sheetData sheetId="4094">
        <row r="1">
          <cell r="J1">
            <v>1.7453292519943295E-2</v>
          </cell>
        </row>
      </sheetData>
      <sheetData sheetId="4095">
        <row r="1">
          <cell r="J1">
            <v>1.7453292519943295E-2</v>
          </cell>
        </row>
      </sheetData>
      <sheetData sheetId="4096">
        <row r="1">
          <cell r="J1">
            <v>1.7453292519943295E-2</v>
          </cell>
        </row>
      </sheetData>
      <sheetData sheetId="4097">
        <row r="1">
          <cell r="J1">
            <v>1.7453292519943295E-2</v>
          </cell>
        </row>
      </sheetData>
      <sheetData sheetId="4098">
        <row r="1">
          <cell r="J1">
            <v>1.7453292519943295E-2</v>
          </cell>
        </row>
      </sheetData>
      <sheetData sheetId="4099">
        <row r="1">
          <cell r="J1">
            <v>1.7453292519943295E-2</v>
          </cell>
        </row>
      </sheetData>
      <sheetData sheetId="4100">
        <row r="1">
          <cell r="J1">
            <v>1.7453292519943295E-2</v>
          </cell>
        </row>
      </sheetData>
      <sheetData sheetId="4101">
        <row r="1">
          <cell r="J1">
            <v>1.7453292519943295E-2</v>
          </cell>
        </row>
      </sheetData>
      <sheetData sheetId="4102">
        <row r="1">
          <cell r="J1">
            <v>1.7453292519943295E-2</v>
          </cell>
        </row>
      </sheetData>
      <sheetData sheetId="4103">
        <row r="1">
          <cell r="J1">
            <v>1.7453292519943295E-2</v>
          </cell>
        </row>
      </sheetData>
      <sheetData sheetId="4104">
        <row r="1">
          <cell r="J1">
            <v>1.7453292519943295E-2</v>
          </cell>
        </row>
      </sheetData>
      <sheetData sheetId="4105">
        <row r="1">
          <cell r="J1">
            <v>1.7453292519943295E-2</v>
          </cell>
        </row>
      </sheetData>
      <sheetData sheetId="4106">
        <row r="1">
          <cell r="J1">
            <v>1.7453292519943295E-2</v>
          </cell>
        </row>
      </sheetData>
      <sheetData sheetId="4107">
        <row r="1">
          <cell r="J1">
            <v>1.7453292519943295E-2</v>
          </cell>
        </row>
      </sheetData>
      <sheetData sheetId="4108">
        <row r="1">
          <cell r="J1">
            <v>1.7453292519943295E-2</v>
          </cell>
        </row>
      </sheetData>
      <sheetData sheetId="4109">
        <row r="1">
          <cell r="J1">
            <v>1.7453292519943295E-2</v>
          </cell>
        </row>
      </sheetData>
      <sheetData sheetId="4110">
        <row r="1">
          <cell r="J1">
            <v>1.7453292519943295E-2</v>
          </cell>
        </row>
      </sheetData>
      <sheetData sheetId="4111">
        <row r="1">
          <cell r="J1">
            <v>1.7453292519943295E-2</v>
          </cell>
        </row>
      </sheetData>
      <sheetData sheetId="4112">
        <row r="1">
          <cell r="J1">
            <v>1.7453292519943295E-2</v>
          </cell>
        </row>
      </sheetData>
      <sheetData sheetId="4113">
        <row r="1">
          <cell r="J1">
            <v>1.7453292519943295E-2</v>
          </cell>
        </row>
      </sheetData>
      <sheetData sheetId="4114">
        <row r="1">
          <cell r="J1">
            <v>1.7453292519943295E-2</v>
          </cell>
        </row>
      </sheetData>
      <sheetData sheetId="4115">
        <row r="1">
          <cell r="J1">
            <v>1.7453292519943295E-2</v>
          </cell>
        </row>
      </sheetData>
      <sheetData sheetId="4116">
        <row r="1">
          <cell r="J1">
            <v>1.7453292519943295E-2</v>
          </cell>
        </row>
      </sheetData>
      <sheetData sheetId="4117">
        <row r="1">
          <cell r="J1">
            <v>1.7453292519943295E-2</v>
          </cell>
        </row>
      </sheetData>
      <sheetData sheetId="4118">
        <row r="1">
          <cell r="J1">
            <v>1.7453292519943295E-2</v>
          </cell>
        </row>
      </sheetData>
      <sheetData sheetId="4119">
        <row r="1">
          <cell r="J1">
            <v>1.7453292519943295E-2</v>
          </cell>
        </row>
      </sheetData>
      <sheetData sheetId="4120">
        <row r="1">
          <cell r="J1">
            <v>1.7453292519943295E-2</v>
          </cell>
        </row>
      </sheetData>
      <sheetData sheetId="4121">
        <row r="1">
          <cell r="J1">
            <v>1.7453292519943295E-2</v>
          </cell>
        </row>
      </sheetData>
      <sheetData sheetId="4122">
        <row r="1">
          <cell r="J1">
            <v>1.7453292519943295E-2</v>
          </cell>
        </row>
      </sheetData>
      <sheetData sheetId="4123">
        <row r="1">
          <cell r="J1">
            <v>1.7453292519943295E-2</v>
          </cell>
        </row>
      </sheetData>
      <sheetData sheetId="4124">
        <row r="1">
          <cell r="J1">
            <v>1.7453292519943295E-2</v>
          </cell>
        </row>
      </sheetData>
      <sheetData sheetId="4125">
        <row r="1">
          <cell r="J1">
            <v>1.7453292519943295E-2</v>
          </cell>
        </row>
      </sheetData>
      <sheetData sheetId="4126">
        <row r="1">
          <cell r="J1">
            <v>1.7453292519943295E-2</v>
          </cell>
        </row>
      </sheetData>
      <sheetData sheetId="4127">
        <row r="1">
          <cell r="J1">
            <v>1.7453292519943295E-2</v>
          </cell>
        </row>
      </sheetData>
      <sheetData sheetId="4128">
        <row r="1">
          <cell r="J1">
            <v>1.7453292519943295E-2</v>
          </cell>
        </row>
      </sheetData>
      <sheetData sheetId="4129">
        <row r="1">
          <cell r="J1">
            <v>1.7453292519943295E-2</v>
          </cell>
        </row>
      </sheetData>
      <sheetData sheetId="4130">
        <row r="1">
          <cell r="J1">
            <v>1.7453292519943295E-2</v>
          </cell>
        </row>
      </sheetData>
      <sheetData sheetId="4131">
        <row r="1">
          <cell r="J1">
            <v>1.7453292519943295E-2</v>
          </cell>
        </row>
      </sheetData>
      <sheetData sheetId="4132">
        <row r="1">
          <cell r="J1">
            <v>1.7453292519943295E-2</v>
          </cell>
        </row>
      </sheetData>
      <sheetData sheetId="4133">
        <row r="1">
          <cell r="J1">
            <v>1.7453292519943295E-2</v>
          </cell>
        </row>
      </sheetData>
      <sheetData sheetId="4134">
        <row r="1">
          <cell r="J1">
            <v>1.7453292519943295E-2</v>
          </cell>
        </row>
      </sheetData>
      <sheetData sheetId="4135">
        <row r="1">
          <cell r="J1">
            <v>1.7453292519943295E-2</v>
          </cell>
        </row>
      </sheetData>
      <sheetData sheetId="4136">
        <row r="1">
          <cell r="J1">
            <v>1.7453292519943295E-2</v>
          </cell>
        </row>
      </sheetData>
      <sheetData sheetId="4137">
        <row r="1">
          <cell r="J1">
            <v>1.7453292519943295E-2</v>
          </cell>
        </row>
      </sheetData>
      <sheetData sheetId="4138">
        <row r="1">
          <cell r="J1">
            <v>1.7453292519943295E-2</v>
          </cell>
        </row>
      </sheetData>
      <sheetData sheetId="4139">
        <row r="1">
          <cell r="J1">
            <v>1.7453292519943295E-2</v>
          </cell>
        </row>
      </sheetData>
      <sheetData sheetId="4140">
        <row r="1">
          <cell r="J1">
            <v>1.7453292519943295E-2</v>
          </cell>
        </row>
      </sheetData>
      <sheetData sheetId="4141">
        <row r="1">
          <cell r="J1">
            <v>1.7453292519943295E-2</v>
          </cell>
        </row>
      </sheetData>
      <sheetData sheetId="4142">
        <row r="1">
          <cell r="J1">
            <v>1.7453292519943295E-2</v>
          </cell>
        </row>
      </sheetData>
      <sheetData sheetId="4143">
        <row r="1">
          <cell r="J1">
            <v>1.7453292519943295E-2</v>
          </cell>
        </row>
      </sheetData>
      <sheetData sheetId="4144">
        <row r="1">
          <cell r="J1">
            <v>1.7453292519943295E-2</v>
          </cell>
        </row>
      </sheetData>
      <sheetData sheetId="4145">
        <row r="1">
          <cell r="J1">
            <v>1.7453292519943295E-2</v>
          </cell>
        </row>
      </sheetData>
      <sheetData sheetId="4146">
        <row r="1">
          <cell r="J1">
            <v>1.7453292519943295E-2</v>
          </cell>
        </row>
      </sheetData>
      <sheetData sheetId="4147">
        <row r="1">
          <cell r="J1">
            <v>1.7453292519943295E-2</v>
          </cell>
        </row>
      </sheetData>
      <sheetData sheetId="4148">
        <row r="1">
          <cell r="J1">
            <v>1.7453292519943295E-2</v>
          </cell>
        </row>
      </sheetData>
      <sheetData sheetId="4149">
        <row r="1">
          <cell r="J1">
            <v>1.7453292519943295E-2</v>
          </cell>
        </row>
      </sheetData>
      <sheetData sheetId="4150">
        <row r="1">
          <cell r="J1">
            <v>1.7453292519943295E-2</v>
          </cell>
        </row>
      </sheetData>
      <sheetData sheetId="4151">
        <row r="1">
          <cell r="J1">
            <v>1.7453292519943295E-2</v>
          </cell>
        </row>
      </sheetData>
      <sheetData sheetId="4152">
        <row r="1">
          <cell r="J1">
            <v>1.7453292519943295E-2</v>
          </cell>
        </row>
      </sheetData>
      <sheetData sheetId="4153">
        <row r="1">
          <cell r="J1">
            <v>1.7453292519943295E-2</v>
          </cell>
        </row>
      </sheetData>
      <sheetData sheetId="4154">
        <row r="1">
          <cell r="J1">
            <v>1.7453292519943295E-2</v>
          </cell>
        </row>
      </sheetData>
      <sheetData sheetId="4155">
        <row r="1">
          <cell r="J1">
            <v>1.7453292519943295E-2</v>
          </cell>
        </row>
      </sheetData>
      <sheetData sheetId="4156">
        <row r="1">
          <cell r="J1">
            <v>1.7453292519943295E-2</v>
          </cell>
        </row>
      </sheetData>
      <sheetData sheetId="4157">
        <row r="1">
          <cell r="J1">
            <v>1.7453292519943295E-2</v>
          </cell>
        </row>
      </sheetData>
      <sheetData sheetId="4158">
        <row r="1">
          <cell r="J1">
            <v>1.7453292519943295E-2</v>
          </cell>
        </row>
      </sheetData>
      <sheetData sheetId="4159">
        <row r="1">
          <cell r="J1">
            <v>1.7453292519943295E-2</v>
          </cell>
        </row>
      </sheetData>
      <sheetData sheetId="4160">
        <row r="1">
          <cell r="J1">
            <v>1.7453292519943295E-2</v>
          </cell>
        </row>
      </sheetData>
      <sheetData sheetId="4161">
        <row r="1">
          <cell r="J1">
            <v>1.7453292519943295E-2</v>
          </cell>
        </row>
      </sheetData>
      <sheetData sheetId="4162">
        <row r="1">
          <cell r="J1">
            <v>1.7453292519943295E-2</v>
          </cell>
        </row>
      </sheetData>
      <sheetData sheetId="4163">
        <row r="1">
          <cell r="J1">
            <v>1.7453292519943295E-2</v>
          </cell>
        </row>
      </sheetData>
      <sheetData sheetId="4164">
        <row r="1">
          <cell r="J1">
            <v>1.7453292519943295E-2</v>
          </cell>
        </row>
      </sheetData>
      <sheetData sheetId="4165">
        <row r="1">
          <cell r="J1">
            <v>1.7453292519943295E-2</v>
          </cell>
        </row>
      </sheetData>
      <sheetData sheetId="4166">
        <row r="1">
          <cell r="J1">
            <v>1.7453292519943295E-2</v>
          </cell>
        </row>
      </sheetData>
      <sheetData sheetId="4167">
        <row r="1">
          <cell r="J1">
            <v>1.7453292519943295E-2</v>
          </cell>
        </row>
      </sheetData>
      <sheetData sheetId="4168">
        <row r="1">
          <cell r="J1">
            <v>1.7453292519943295E-2</v>
          </cell>
        </row>
      </sheetData>
      <sheetData sheetId="4169">
        <row r="1">
          <cell r="J1">
            <v>1.7453292519943295E-2</v>
          </cell>
        </row>
      </sheetData>
      <sheetData sheetId="4170">
        <row r="1">
          <cell r="J1">
            <v>1.7453292519943295E-2</v>
          </cell>
        </row>
      </sheetData>
      <sheetData sheetId="4171">
        <row r="1">
          <cell r="J1">
            <v>1.7453292519943295E-2</v>
          </cell>
        </row>
      </sheetData>
      <sheetData sheetId="4172">
        <row r="1">
          <cell r="J1">
            <v>1.7453292519943295E-2</v>
          </cell>
        </row>
      </sheetData>
      <sheetData sheetId="4173">
        <row r="1">
          <cell r="J1">
            <v>1.7453292519943295E-2</v>
          </cell>
        </row>
      </sheetData>
      <sheetData sheetId="4174">
        <row r="1">
          <cell r="J1">
            <v>1.7453292519943295E-2</v>
          </cell>
        </row>
      </sheetData>
      <sheetData sheetId="4175">
        <row r="1">
          <cell r="J1">
            <v>1.7453292519943295E-2</v>
          </cell>
        </row>
      </sheetData>
      <sheetData sheetId="4176">
        <row r="1">
          <cell r="J1">
            <v>1.7453292519943295E-2</v>
          </cell>
        </row>
      </sheetData>
      <sheetData sheetId="4177">
        <row r="1">
          <cell r="J1">
            <v>1.7453292519943295E-2</v>
          </cell>
        </row>
      </sheetData>
      <sheetData sheetId="4178">
        <row r="1">
          <cell r="J1">
            <v>1.7453292519943295E-2</v>
          </cell>
        </row>
      </sheetData>
      <sheetData sheetId="4179">
        <row r="1">
          <cell r="J1">
            <v>1.7453292519943295E-2</v>
          </cell>
        </row>
      </sheetData>
      <sheetData sheetId="4180">
        <row r="1">
          <cell r="J1">
            <v>1.7453292519943295E-2</v>
          </cell>
        </row>
      </sheetData>
      <sheetData sheetId="4181">
        <row r="1">
          <cell r="J1">
            <v>1.7453292519943295E-2</v>
          </cell>
        </row>
      </sheetData>
      <sheetData sheetId="4182">
        <row r="1">
          <cell r="J1">
            <v>1.7453292519943295E-2</v>
          </cell>
        </row>
      </sheetData>
      <sheetData sheetId="4183">
        <row r="1">
          <cell r="J1">
            <v>1.7453292519943295E-2</v>
          </cell>
        </row>
      </sheetData>
      <sheetData sheetId="4184">
        <row r="1">
          <cell r="J1">
            <v>1.7453292519943295E-2</v>
          </cell>
        </row>
      </sheetData>
      <sheetData sheetId="4185">
        <row r="1">
          <cell r="J1">
            <v>1.7453292519943295E-2</v>
          </cell>
        </row>
      </sheetData>
      <sheetData sheetId="4186">
        <row r="1">
          <cell r="J1">
            <v>1.7453292519943295E-2</v>
          </cell>
        </row>
      </sheetData>
      <sheetData sheetId="4187">
        <row r="1">
          <cell r="J1">
            <v>1.7453292519943295E-2</v>
          </cell>
        </row>
      </sheetData>
      <sheetData sheetId="4188">
        <row r="1">
          <cell r="J1">
            <v>1.7453292519943295E-2</v>
          </cell>
        </row>
      </sheetData>
      <sheetData sheetId="4189">
        <row r="1">
          <cell r="J1">
            <v>1.7453292519943295E-2</v>
          </cell>
        </row>
      </sheetData>
      <sheetData sheetId="4190">
        <row r="1">
          <cell r="J1">
            <v>1.7453292519943295E-2</v>
          </cell>
        </row>
      </sheetData>
      <sheetData sheetId="4191">
        <row r="1">
          <cell r="J1">
            <v>1.7453292519943295E-2</v>
          </cell>
        </row>
      </sheetData>
      <sheetData sheetId="4192">
        <row r="1">
          <cell r="J1">
            <v>1.7453292519943295E-2</v>
          </cell>
        </row>
      </sheetData>
      <sheetData sheetId="4193">
        <row r="1">
          <cell r="J1">
            <v>1.7453292519943295E-2</v>
          </cell>
        </row>
      </sheetData>
      <sheetData sheetId="4194">
        <row r="1">
          <cell r="J1">
            <v>1.7453292519943295E-2</v>
          </cell>
        </row>
      </sheetData>
      <sheetData sheetId="4195">
        <row r="1">
          <cell r="J1">
            <v>1.7453292519943295E-2</v>
          </cell>
        </row>
      </sheetData>
      <sheetData sheetId="4196">
        <row r="1">
          <cell r="J1">
            <v>1.7453292519943295E-2</v>
          </cell>
        </row>
      </sheetData>
      <sheetData sheetId="4197">
        <row r="1">
          <cell r="J1">
            <v>1.7453292519943295E-2</v>
          </cell>
        </row>
      </sheetData>
      <sheetData sheetId="4198">
        <row r="1">
          <cell r="J1">
            <v>1.7453292519943295E-2</v>
          </cell>
        </row>
      </sheetData>
      <sheetData sheetId="4199">
        <row r="1">
          <cell r="J1">
            <v>1.7453292519943295E-2</v>
          </cell>
        </row>
      </sheetData>
      <sheetData sheetId="4200">
        <row r="1">
          <cell r="J1">
            <v>1.7453292519943295E-2</v>
          </cell>
        </row>
      </sheetData>
      <sheetData sheetId="4201">
        <row r="1">
          <cell r="J1">
            <v>1.7453292519943295E-2</v>
          </cell>
        </row>
      </sheetData>
      <sheetData sheetId="4202">
        <row r="1">
          <cell r="J1">
            <v>1.7453292519943295E-2</v>
          </cell>
        </row>
      </sheetData>
      <sheetData sheetId="4203">
        <row r="1">
          <cell r="J1">
            <v>1.7453292519943295E-2</v>
          </cell>
        </row>
      </sheetData>
      <sheetData sheetId="4204">
        <row r="1">
          <cell r="J1">
            <v>1.7453292519943295E-2</v>
          </cell>
        </row>
      </sheetData>
      <sheetData sheetId="4205">
        <row r="1">
          <cell r="J1">
            <v>1.7453292519943295E-2</v>
          </cell>
        </row>
      </sheetData>
      <sheetData sheetId="4206">
        <row r="1">
          <cell r="J1">
            <v>1.7453292519943295E-2</v>
          </cell>
        </row>
      </sheetData>
      <sheetData sheetId="4207">
        <row r="1">
          <cell r="J1">
            <v>1.7453292519943295E-2</v>
          </cell>
        </row>
      </sheetData>
      <sheetData sheetId="4208">
        <row r="1">
          <cell r="J1">
            <v>1.7453292519943295E-2</v>
          </cell>
        </row>
      </sheetData>
      <sheetData sheetId="4209">
        <row r="1">
          <cell r="J1">
            <v>1.7453292519943295E-2</v>
          </cell>
        </row>
      </sheetData>
      <sheetData sheetId="4210">
        <row r="1">
          <cell r="J1">
            <v>1.7453292519943295E-2</v>
          </cell>
        </row>
      </sheetData>
      <sheetData sheetId="4211">
        <row r="1">
          <cell r="J1">
            <v>1.7453292519943295E-2</v>
          </cell>
        </row>
      </sheetData>
      <sheetData sheetId="4212">
        <row r="1">
          <cell r="J1">
            <v>1.7453292519943295E-2</v>
          </cell>
        </row>
      </sheetData>
      <sheetData sheetId="4213">
        <row r="1">
          <cell r="J1">
            <v>1.7453292519943295E-2</v>
          </cell>
        </row>
      </sheetData>
      <sheetData sheetId="4214">
        <row r="1">
          <cell r="J1">
            <v>1.7453292519943295E-2</v>
          </cell>
        </row>
      </sheetData>
      <sheetData sheetId="4215">
        <row r="1">
          <cell r="J1">
            <v>1.7453292519943295E-2</v>
          </cell>
        </row>
      </sheetData>
      <sheetData sheetId="4216">
        <row r="1">
          <cell r="J1">
            <v>1.7453292519943295E-2</v>
          </cell>
        </row>
      </sheetData>
      <sheetData sheetId="4217">
        <row r="1">
          <cell r="J1">
            <v>1.7453292519943295E-2</v>
          </cell>
        </row>
      </sheetData>
      <sheetData sheetId="4218">
        <row r="1">
          <cell r="J1">
            <v>1.7453292519943295E-2</v>
          </cell>
        </row>
      </sheetData>
      <sheetData sheetId="4219">
        <row r="1">
          <cell r="J1">
            <v>1.7453292519943295E-2</v>
          </cell>
        </row>
      </sheetData>
      <sheetData sheetId="4220">
        <row r="1">
          <cell r="J1">
            <v>1.7453292519943295E-2</v>
          </cell>
        </row>
      </sheetData>
      <sheetData sheetId="4221">
        <row r="1">
          <cell r="J1">
            <v>1.7453292519943295E-2</v>
          </cell>
        </row>
      </sheetData>
      <sheetData sheetId="4222">
        <row r="1">
          <cell r="J1">
            <v>1.7453292519943295E-2</v>
          </cell>
        </row>
      </sheetData>
      <sheetData sheetId="4223">
        <row r="1">
          <cell r="J1">
            <v>1.7453292519943295E-2</v>
          </cell>
        </row>
      </sheetData>
      <sheetData sheetId="4224">
        <row r="1">
          <cell r="J1">
            <v>1.7453292519943295E-2</v>
          </cell>
        </row>
      </sheetData>
      <sheetData sheetId="4225">
        <row r="1">
          <cell r="J1">
            <v>1.7453292519943295E-2</v>
          </cell>
        </row>
      </sheetData>
      <sheetData sheetId="4226">
        <row r="1">
          <cell r="J1">
            <v>1.7453292519943295E-2</v>
          </cell>
        </row>
      </sheetData>
      <sheetData sheetId="4227">
        <row r="1">
          <cell r="J1">
            <v>1.7453292519943295E-2</v>
          </cell>
        </row>
      </sheetData>
      <sheetData sheetId="4228">
        <row r="1">
          <cell r="J1">
            <v>1.7453292519943295E-2</v>
          </cell>
        </row>
      </sheetData>
      <sheetData sheetId="4229">
        <row r="1">
          <cell r="J1">
            <v>1.7453292519943295E-2</v>
          </cell>
        </row>
      </sheetData>
      <sheetData sheetId="4230">
        <row r="1">
          <cell r="J1">
            <v>1.7453292519943295E-2</v>
          </cell>
        </row>
      </sheetData>
      <sheetData sheetId="4231">
        <row r="1">
          <cell r="J1">
            <v>1.7453292519943295E-2</v>
          </cell>
        </row>
      </sheetData>
      <sheetData sheetId="4232">
        <row r="1">
          <cell r="J1">
            <v>1.7453292519943295E-2</v>
          </cell>
        </row>
      </sheetData>
      <sheetData sheetId="4233">
        <row r="1">
          <cell r="J1">
            <v>1.7453292519943295E-2</v>
          </cell>
        </row>
      </sheetData>
      <sheetData sheetId="4234">
        <row r="1">
          <cell r="J1">
            <v>1.7453292519943295E-2</v>
          </cell>
        </row>
      </sheetData>
      <sheetData sheetId="4235">
        <row r="1">
          <cell r="J1">
            <v>1.7453292519943295E-2</v>
          </cell>
        </row>
      </sheetData>
      <sheetData sheetId="4236">
        <row r="1">
          <cell r="J1">
            <v>1.7453292519943295E-2</v>
          </cell>
        </row>
      </sheetData>
      <sheetData sheetId="4237">
        <row r="1">
          <cell r="J1">
            <v>1.7453292519943295E-2</v>
          </cell>
        </row>
      </sheetData>
      <sheetData sheetId="4238">
        <row r="1">
          <cell r="J1">
            <v>1.7453292519943295E-2</v>
          </cell>
        </row>
      </sheetData>
      <sheetData sheetId="4239">
        <row r="1">
          <cell r="J1">
            <v>1.7453292519943295E-2</v>
          </cell>
        </row>
      </sheetData>
      <sheetData sheetId="4240">
        <row r="1">
          <cell r="J1">
            <v>1.7453292519943295E-2</v>
          </cell>
        </row>
      </sheetData>
      <sheetData sheetId="4241">
        <row r="1">
          <cell r="J1">
            <v>1.7453292519943295E-2</v>
          </cell>
        </row>
      </sheetData>
      <sheetData sheetId="4242">
        <row r="1">
          <cell r="J1">
            <v>1.7453292519943295E-2</v>
          </cell>
        </row>
      </sheetData>
      <sheetData sheetId="4243">
        <row r="1">
          <cell r="J1">
            <v>1.7453292519943295E-2</v>
          </cell>
        </row>
      </sheetData>
      <sheetData sheetId="4244">
        <row r="1">
          <cell r="J1">
            <v>1.7453292519943295E-2</v>
          </cell>
        </row>
      </sheetData>
      <sheetData sheetId="4245">
        <row r="1">
          <cell r="J1">
            <v>1.7453292519943295E-2</v>
          </cell>
        </row>
      </sheetData>
      <sheetData sheetId="4246">
        <row r="1">
          <cell r="J1">
            <v>1.7453292519943295E-2</v>
          </cell>
        </row>
      </sheetData>
      <sheetData sheetId="4247">
        <row r="1">
          <cell r="J1">
            <v>1.7453292519943295E-2</v>
          </cell>
        </row>
      </sheetData>
      <sheetData sheetId="4248">
        <row r="1">
          <cell r="J1">
            <v>1.7453292519943295E-2</v>
          </cell>
        </row>
      </sheetData>
      <sheetData sheetId="4249">
        <row r="1">
          <cell r="J1">
            <v>1.7453292519943295E-2</v>
          </cell>
        </row>
      </sheetData>
      <sheetData sheetId="4250">
        <row r="1">
          <cell r="J1">
            <v>1.7453292519943295E-2</v>
          </cell>
        </row>
      </sheetData>
      <sheetData sheetId="4251">
        <row r="1">
          <cell r="J1">
            <v>1.7453292519943295E-2</v>
          </cell>
        </row>
      </sheetData>
      <sheetData sheetId="4252">
        <row r="1">
          <cell r="J1">
            <v>1.7453292519943295E-2</v>
          </cell>
        </row>
      </sheetData>
      <sheetData sheetId="4253">
        <row r="1">
          <cell r="J1">
            <v>1.7453292519943295E-2</v>
          </cell>
        </row>
      </sheetData>
      <sheetData sheetId="4254">
        <row r="1">
          <cell r="J1">
            <v>1.7453292519943295E-2</v>
          </cell>
        </row>
      </sheetData>
      <sheetData sheetId="4255">
        <row r="1">
          <cell r="J1">
            <v>1.7453292519943295E-2</v>
          </cell>
        </row>
      </sheetData>
      <sheetData sheetId="4256">
        <row r="1">
          <cell r="J1">
            <v>1.7453292519943295E-2</v>
          </cell>
        </row>
      </sheetData>
      <sheetData sheetId="4257">
        <row r="1">
          <cell r="J1">
            <v>1.7453292519943295E-2</v>
          </cell>
        </row>
      </sheetData>
      <sheetData sheetId="4258">
        <row r="1">
          <cell r="J1">
            <v>1.7453292519943295E-2</v>
          </cell>
        </row>
      </sheetData>
      <sheetData sheetId="4259">
        <row r="1">
          <cell r="J1">
            <v>1.7453292519943295E-2</v>
          </cell>
        </row>
      </sheetData>
      <sheetData sheetId="4260">
        <row r="1">
          <cell r="J1">
            <v>1.7453292519943295E-2</v>
          </cell>
        </row>
      </sheetData>
      <sheetData sheetId="4261">
        <row r="1">
          <cell r="J1">
            <v>1.7453292519943295E-2</v>
          </cell>
        </row>
      </sheetData>
      <sheetData sheetId="4262">
        <row r="1">
          <cell r="J1">
            <v>1.7453292519943295E-2</v>
          </cell>
        </row>
      </sheetData>
      <sheetData sheetId="4263">
        <row r="1">
          <cell r="J1">
            <v>1.7453292519943295E-2</v>
          </cell>
        </row>
      </sheetData>
      <sheetData sheetId="4264">
        <row r="1">
          <cell r="J1">
            <v>1.7453292519943295E-2</v>
          </cell>
        </row>
      </sheetData>
      <sheetData sheetId="4265">
        <row r="1">
          <cell r="J1">
            <v>1.7453292519943295E-2</v>
          </cell>
        </row>
      </sheetData>
      <sheetData sheetId="4266">
        <row r="1">
          <cell r="J1">
            <v>1.7453292519943295E-2</v>
          </cell>
        </row>
      </sheetData>
      <sheetData sheetId="4267">
        <row r="1">
          <cell r="J1">
            <v>1.7453292519943295E-2</v>
          </cell>
        </row>
      </sheetData>
      <sheetData sheetId="4268">
        <row r="1">
          <cell r="J1">
            <v>1.7453292519943295E-2</v>
          </cell>
        </row>
      </sheetData>
      <sheetData sheetId="4269">
        <row r="1">
          <cell r="J1">
            <v>1.7453292519943295E-2</v>
          </cell>
        </row>
      </sheetData>
      <sheetData sheetId="4270">
        <row r="1">
          <cell r="J1">
            <v>1.7453292519943295E-2</v>
          </cell>
        </row>
      </sheetData>
      <sheetData sheetId="4271">
        <row r="1">
          <cell r="J1">
            <v>1.7453292519943295E-2</v>
          </cell>
        </row>
      </sheetData>
      <sheetData sheetId="4272">
        <row r="1">
          <cell r="J1">
            <v>1.7453292519943295E-2</v>
          </cell>
        </row>
      </sheetData>
      <sheetData sheetId="4273">
        <row r="1">
          <cell r="J1">
            <v>1.7453292519943295E-2</v>
          </cell>
        </row>
      </sheetData>
      <sheetData sheetId="4274">
        <row r="1">
          <cell r="J1">
            <v>1.7453292519943295E-2</v>
          </cell>
        </row>
      </sheetData>
      <sheetData sheetId="4275">
        <row r="1">
          <cell r="J1">
            <v>1.7453292519943295E-2</v>
          </cell>
        </row>
      </sheetData>
      <sheetData sheetId="4276">
        <row r="1">
          <cell r="J1">
            <v>1.7453292519943295E-2</v>
          </cell>
        </row>
      </sheetData>
      <sheetData sheetId="4277">
        <row r="1">
          <cell r="J1">
            <v>1.7453292519943295E-2</v>
          </cell>
        </row>
      </sheetData>
      <sheetData sheetId="4278">
        <row r="1">
          <cell r="J1">
            <v>1.7453292519943295E-2</v>
          </cell>
        </row>
      </sheetData>
      <sheetData sheetId="4279">
        <row r="1">
          <cell r="J1">
            <v>1.7453292519943295E-2</v>
          </cell>
        </row>
      </sheetData>
      <sheetData sheetId="4280">
        <row r="1">
          <cell r="J1">
            <v>1.7453292519943295E-2</v>
          </cell>
        </row>
      </sheetData>
      <sheetData sheetId="4281">
        <row r="1">
          <cell r="J1">
            <v>1.7453292519943295E-2</v>
          </cell>
        </row>
      </sheetData>
      <sheetData sheetId="4282">
        <row r="1">
          <cell r="J1">
            <v>1.7453292519943295E-2</v>
          </cell>
        </row>
      </sheetData>
      <sheetData sheetId="4283">
        <row r="1">
          <cell r="J1">
            <v>1.7453292519943295E-2</v>
          </cell>
        </row>
      </sheetData>
      <sheetData sheetId="4284">
        <row r="1">
          <cell r="J1">
            <v>1.7453292519943295E-2</v>
          </cell>
        </row>
      </sheetData>
      <sheetData sheetId="4285">
        <row r="1">
          <cell r="J1">
            <v>1.7453292519943295E-2</v>
          </cell>
        </row>
      </sheetData>
      <sheetData sheetId="4286">
        <row r="1">
          <cell r="J1">
            <v>1.7453292519943295E-2</v>
          </cell>
        </row>
      </sheetData>
      <sheetData sheetId="4287">
        <row r="1">
          <cell r="J1">
            <v>1.7453292519943295E-2</v>
          </cell>
        </row>
      </sheetData>
      <sheetData sheetId="4288">
        <row r="1">
          <cell r="J1">
            <v>1.7453292519943295E-2</v>
          </cell>
        </row>
      </sheetData>
      <sheetData sheetId="4289">
        <row r="1">
          <cell r="J1">
            <v>1.7453292519943295E-2</v>
          </cell>
        </row>
      </sheetData>
      <sheetData sheetId="4290">
        <row r="1">
          <cell r="J1">
            <v>1.7453292519943295E-2</v>
          </cell>
        </row>
      </sheetData>
      <sheetData sheetId="4291">
        <row r="1">
          <cell r="J1">
            <v>1.7453292519943295E-2</v>
          </cell>
        </row>
      </sheetData>
      <sheetData sheetId="4292">
        <row r="1">
          <cell r="J1">
            <v>1.7453292519943295E-2</v>
          </cell>
        </row>
      </sheetData>
      <sheetData sheetId="4293">
        <row r="1">
          <cell r="J1">
            <v>1.7453292519943295E-2</v>
          </cell>
        </row>
      </sheetData>
      <sheetData sheetId="4294">
        <row r="1">
          <cell r="J1">
            <v>1.7453292519943295E-2</v>
          </cell>
        </row>
      </sheetData>
      <sheetData sheetId="4295">
        <row r="1">
          <cell r="J1">
            <v>1.7453292519943295E-2</v>
          </cell>
        </row>
      </sheetData>
      <sheetData sheetId="4296">
        <row r="1">
          <cell r="J1">
            <v>1.7453292519943295E-2</v>
          </cell>
        </row>
      </sheetData>
      <sheetData sheetId="4297">
        <row r="1">
          <cell r="J1">
            <v>1.7453292519943295E-2</v>
          </cell>
        </row>
      </sheetData>
      <sheetData sheetId="4298">
        <row r="1">
          <cell r="J1">
            <v>1.7453292519943295E-2</v>
          </cell>
        </row>
      </sheetData>
      <sheetData sheetId="4299">
        <row r="1">
          <cell r="J1">
            <v>1.7453292519943295E-2</v>
          </cell>
        </row>
      </sheetData>
      <sheetData sheetId="4300">
        <row r="1">
          <cell r="J1">
            <v>1.7453292519943295E-2</v>
          </cell>
        </row>
      </sheetData>
      <sheetData sheetId="4301">
        <row r="1">
          <cell r="J1">
            <v>1.7453292519943295E-2</v>
          </cell>
        </row>
      </sheetData>
      <sheetData sheetId="4302">
        <row r="1">
          <cell r="J1">
            <v>1.7453292519943295E-2</v>
          </cell>
        </row>
      </sheetData>
      <sheetData sheetId="4303">
        <row r="1">
          <cell r="J1">
            <v>1.7453292519943295E-2</v>
          </cell>
        </row>
      </sheetData>
      <sheetData sheetId="4304">
        <row r="1">
          <cell r="J1">
            <v>1.7453292519943295E-2</v>
          </cell>
        </row>
      </sheetData>
      <sheetData sheetId="4305">
        <row r="1">
          <cell r="J1">
            <v>1.7453292519943295E-2</v>
          </cell>
        </row>
      </sheetData>
      <sheetData sheetId="4306">
        <row r="1">
          <cell r="J1">
            <v>1.7453292519943295E-2</v>
          </cell>
        </row>
      </sheetData>
      <sheetData sheetId="4307">
        <row r="1">
          <cell r="J1">
            <v>1.7453292519943295E-2</v>
          </cell>
        </row>
      </sheetData>
      <sheetData sheetId="4308">
        <row r="1">
          <cell r="J1">
            <v>1.7453292519943295E-2</v>
          </cell>
        </row>
      </sheetData>
      <sheetData sheetId="4309">
        <row r="1">
          <cell r="J1">
            <v>1.7453292519943295E-2</v>
          </cell>
        </row>
      </sheetData>
      <sheetData sheetId="4310">
        <row r="1">
          <cell r="J1">
            <v>1.7453292519943295E-2</v>
          </cell>
        </row>
      </sheetData>
      <sheetData sheetId="4311">
        <row r="1">
          <cell r="J1">
            <v>1.7453292519943295E-2</v>
          </cell>
        </row>
      </sheetData>
      <sheetData sheetId="4312">
        <row r="1">
          <cell r="J1">
            <v>1.7453292519943295E-2</v>
          </cell>
        </row>
      </sheetData>
      <sheetData sheetId="4313">
        <row r="1">
          <cell r="J1">
            <v>1.7453292519943295E-2</v>
          </cell>
        </row>
      </sheetData>
      <sheetData sheetId="4314">
        <row r="1">
          <cell r="J1">
            <v>1.7453292519943295E-2</v>
          </cell>
        </row>
      </sheetData>
      <sheetData sheetId="4315">
        <row r="1">
          <cell r="J1">
            <v>1.7453292519943295E-2</v>
          </cell>
        </row>
      </sheetData>
      <sheetData sheetId="4316">
        <row r="1">
          <cell r="J1">
            <v>1.7453292519943295E-2</v>
          </cell>
        </row>
      </sheetData>
      <sheetData sheetId="4317">
        <row r="1">
          <cell r="J1">
            <v>1.7453292519943295E-2</v>
          </cell>
        </row>
      </sheetData>
      <sheetData sheetId="4318">
        <row r="1">
          <cell r="J1">
            <v>1.7453292519943295E-2</v>
          </cell>
        </row>
      </sheetData>
      <sheetData sheetId="4319">
        <row r="1">
          <cell r="J1">
            <v>1.7453292519943295E-2</v>
          </cell>
        </row>
      </sheetData>
      <sheetData sheetId="4320">
        <row r="1">
          <cell r="J1">
            <v>1.7453292519943295E-2</v>
          </cell>
        </row>
      </sheetData>
      <sheetData sheetId="4321">
        <row r="1">
          <cell r="J1">
            <v>1.7453292519943295E-2</v>
          </cell>
        </row>
      </sheetData>
      <sheetData sheetId="4322">
        <row r="1">
          <cell r="J1">
            <v>1.7453292519943295E-2</v>
          </cell>
        </row>
      </sheetData>
      <sheetData sheetId="4323">
        <row r="1">
          <cell r="J1">
            <v>1.7453292519943295E-2</v>
          </cell>
        </row>
      </sheetData>
      <sheetData sheetId="4324">
        <row r="1">
          <cell r="J1">
            <v>1.7453292519943295E-2</v>
          </cell>
        </row>
      </sheetData>
      <sheetData sheetId="4325">
        <row r="1">
          <cell r="J1">
            <v>1.7453292519943295E-2</v>
          </cell>
        </row>
      </sheetData>
      <sheetData sheetId="4326">
        <row r="1">
          <cell r="J1">
            <v>1.7453292519943295E-2</v>
          </cell>
        </row>
      </sheetData>
      <sheetData sheetId="4327">
        <row r="1">
          <cell r="J1">
            <v>1.7453292519943295E-2</v>
          </cell>
        </row>
      </sheetData>
      <sheetData sheetId="4328">
        <row r="1">
          <cell r="J1">
            <v>1.7453292519943295E-2</v>
          </cell>
        </row>
      </sheetData>
      <sheetData sheetId="4329">
        <row r="1">
          <cell r="J1">
            <v>1.7453292519943295E-2</v>
          </cell>
        </row>
      </sheetData>
      <sheetData sheetId="4330">
        <row r="1">
          <cell r="J1">
            <v>1.7453292519943295E-2</v>
          </cell>
        </row>
      </sheetData>
      <sheetData sheetId="4331">
        <row r="1">
          <cell r="J1">
            <v>1.7453292519943295E-2</v>
          </cell>
        </row>
      </sheetData>
      <sheetData sheetId="4332">
        <row r="1">
          <cell r="J1">
            <v>1.7453292519943295E-2</v>
          </cell>
        </row>
      </sheetData>
      <sheetData sheetId="4333">
        <row r="1">
          <cell r="J1">
            <v>1.7453292519943295E-2</v>
          </cell>
        </row>
      </sheetData>
      <sheetData sheetId="4334">
        <row r="1">
          <cell r="J1">
            <v>1.7453292519943295E-2</v>
          </cell>
        </row>
      </sheetData>
      <sheetData sheetId="4335">
        <row r="1">
          <cell r="J1">
            <v>1.7453292519943295E-2</v>
          </cell>
        </row>
      </sheetData>
      <sheetData sheetId="4336">
        <row r="1">
          <cell r="J1">
            <v>1.7453292519943295E-2</v>
          </cell>
        </row>
      </sheetData>
      <sheetData sheetId="4337">
        <row r="1">
          <cell r="J1">
            <v>1.7453292519943295E-2</v>
          </cell>
        </row>
      </sheetData>
      <sheetData sheetId="4338">
        <row r="1">
          <cell r="J1">
            <v>1.7453292519943295E-2</v>
          </cell>
        </row>
      </sheetData>
      <sheetData sheetId="4339">
        <row r="1">
          <cell r="J1">
            <v>1.7453292519943295E-2</v>
          </cell>
        </row>
      </sheetData>
      <sheetData sheetId="4340">
        <row r="1">
          <cell r="J1">
            <v>1.7453292519943295E-2</v>
          </cell>
        </row>
      </sheetData>
      <sheetData sheetId="4341">
        <row r="1">
          <cell r="J1">
            <v>1.7453292519943295E-2</v>
          </cell>
        </row>
      </sheetData>
      <sheetData sheetId="4342">
        <row r="1">
          <cell r="J1">
            <v>1.7453292519943295E-2</v>
          </cell>
        </row>
      </sheetData>
      <sheetData sheetId="4343">
        <row r="1">
          <cell r="J1">
            <v>1.7453292519943295E-2</v>
          </cell>
        </row>
      </sheetData>
      <sheetData sheetId="4344">
        <row r="1">
          <cell r="J1">
            <v>1.7453292519943295E-2</v>
          </cell>
        </row>
      </sheetData>
      <sheetData sheetId="4345">
        <row r="1">
          <cell r="J1">
            <v>1.7453292519943295E-2</v>
          </cell>
        </row>
      </sheetData>
      <sheetData sheetId="4346">
        <row r="1">
          <cell r="J1">
            <v>1.7453292519943295E-2</v>
          </cell>
        </row>
      </sheetData>
      <sheetData sheetId="4347">
        <row r="1">
          <cell r="J1">
            <v>1.7453292519943295E-2</v>
          </cell>
        </row>
      </sheetData>
      <sheetData sheetId="4348">
        <row r="1">
          <cell r="J1">
            <v>1.7453292519943295E-2</v>
          </cell>
        </row>
      </sheetData>
      <sheetData sheetId="4349">
        <row r="1">
          <cell r="J1">
            <v>1.7453292519943295E-2</v>
          </cell>
        </row>
      </sheetData>
      <sheetData sheetId="4350">
        <row r="1">
          <cell r="J1">
            <v>1.7453292519943295E-2</v>
          </cell>
        </row>
      </sheetData>
      <sheetData sheetId="4351">
        <row r="1">
          <cell r="J1">
            <v>1.7453292519943295E-2</v>
          </cell>
        </row>
      </sheetData>
      <sheetData sheetId="4352">
        <row r="1">
          <cell r="J1">
            <v>1.7453292519943295E-2</v>
          </cell>
        </row>
      </sheetData>
      <sheetData sheetId="4353">
        <row r="1">
          <cell r="J1">
            <v>1.7453292519943295E-2</v>
          </cell>
        </row>
      </sheetData>
      <sheetData sheetId="4354">
        <row r="1">
          <cell r="J1">
            <v>1.7453292519943295E-2</v>
          </cell>
        </row>
      </sheetData>
      <sheetData sheetId="4355">
        <row r="1">
          <cell r="J1">
            <v>1.7453292519943295E-2</v>
          </cell>
        </row>
      </sheetData>
      <sheetData sheetId="4356">
        <row r="1">
          <cell r="J1">
            <v>1.7453292519943295E-2</v>
          </cell>
        </row>
      </sheetData>
      <sheetData sheetId="4357">
        <row r="1">
          <cell r="J1">
            <v>1.7453292519943295E-2</v>
          </cell>
        </row>
      </sheetData>
      <sheetData sheetId="4358">
        <row r="1">
          <cell r="J1">
            <v>1.7453292519943295E-2</v>
          </cell>
        </row>
      </sheetData>
      <sheetData sheetId="4359">
        <row r="1">
          <cell r="J1">
            <v>1.7453292519943295E-2</v>
          </cell>
        </row>
      </sheetData>
      <sheetData sheetId="4360">
        <row r="1">
          <cell r="J1">
            <v>1.7453292519943295E-2</v>
          </cell>
        </row>
      </sheetData>
      <sheetData sheetId="4361">
        <row r="1">
          <cell r="J1">
            <v>1.7453292519943295E-2</v>
          </cell>
        </row>
      </sheetData>
      <sheetData sheetId="4362">
        <row r="1">
          <cell r="J1">
            <v>1.7453292519943295E-2</v>
          </cell>
        </row>
      </sheetData>
      <sheetData sheetId="4363">
        <row r="1">
          <cell r="J1">
            <v>1.7453292519943295E-2</v>
          </cell>
        </row>
      </sheetData>
      <sheetData sheetId="4364">
        <row r="1">
          <cell r="J1">
            <v>1.7453292519943295E-2</v>
          </cell>
        </row>
      </sheetData>
      <sheetData sheetId="4365">
        <row r="1">
          <cell r="J1">
            <v>1.7453292519943295E-2</v>
          </cell>
        </row>
      </sheetData>
      <sheetData sheetId="4366">
        <row r="1">
          <cell r="J1">
            <v>1.7453292519943295E-2</v>
          </cell>
        </row>
      </sheetData>
      <sheetData sheetId="4367">
        <row r="1">
          <cell r="J1">
            <v>1.7453292519943295E-2</v>
          </cell>
        </row>
      </sheetData>
      <sheetData sheetId="4368">
        <row r="1">
          <cell r="J1">
            <v>1.7453292519943295E-2</v>
          </cell>
        </row>
      </sheetData>
      <sheetData sheetId="4369">
        <row r="1">
          <cell r="J1">
            <v>1.7453292519943295E-2</v>
          </cell>
        </row>
      </sheetData>
      <sheetData sheetId="4370">
        <row r="1">
          <cell r="J1">
            <v>1.7453292519943295E-2</v>
          </cell>
        </row>
      </sheetData>
      <sheetData sheetId="4371">
        <row r="1">
          <cell r="J1">
            <v>1.7453292519943295E-2</v>
          </cell>
        </row>
      </sheetData>
      <sheetData sheetId="4372">
        <row r="1">
          <cell r="J1">
            <v>1.7453292519943295E-2</v>
          </cell>
        </row>
      </sheetData>
      <sheetData sheetId="4373">
        <row r="1">
          <cell r="J1">
            <v>1.7453292519943295E-2</v>
          </cell>
        </row>
      </sheetData>
      <sheetData sheetId="4374">
        <row r="1">
          <cell r="J1">
            <v>1.7453292519943295E-2</v>
          </cell>
        </row>
      </sheetData>
      <sheetData sheetId="4375">
        <row r="1">
          <cell r="J1">
            <v>1.7453292519943295E-2</v>
          </cell>
        </row>
      </sheetData>
      <sheetData sheetId="4376">
        <row r="1">
          <cell r="J1">
            <v>1.7453292519943295E-2</v>
          </cell>
        </row>
      </sheetData>
      <sheetData sheetId="4377">
        <row r="1">
          <cell r="J1">
            <v>1.7453292519943295E-2</v>
          </cell>
        </row>
      </sheetData>
      <sheetData sheetId="4378">
        <row r="1">
          <cell r="J1">
            <v>1.7453292519943295E-2</v>
          </cell>
        </row>
      </sheetData>
      <sheetData sheetId="4379">
        <row r="1">
          <cell r="J1">
            <v>1.7453292519943295E-2</v>
          </cell>
        </row>
      </sheetData>
      <sheetData sheetId="4380">
        <row r="1">
          <cell r="J1">
            <v>1.7453292519943295E-2</v>
          </cell>
        </row>
      </sheetData>
      <sheetData sheetId="4381">
        <row r="1">
          <cell r="J1">
            <v>1.7453292519943295E-2</v>
          </cell>
        </row>
      </sheetData>
      <sheetData sheetId="4382">
        <row r="1">
          <cell r="J1">
            <v>1.7453292519943295E-2</v>
          </cell>
        </row>
      </sheetData>
      <sheetData sheetId="4383">
        <row r="1">
          <cell r="J1">
            <v>1.7453292519943295E-2</v>
          </cell>
        </row>
      </sheetData>
      <sheetData sheetId="4384">
        <row r="1">
          <cell r="J1">
            <v>1.7453292519943295E-2</v>
          </cell>
        </row>
      </sheetData>
      <sheetData sheetId="4385">
        <row r="1">
          <cell r="J1">
            <v>1.7453292519943295E-2</v>
          </cell>
        </row>
      </sheetData>
      <sheetData sheetId="4386">
        <row r="1">
          <cell r="J1">
            <v>1.7453292519943295E-2</v>
          </cell>
        </row>
      </sheetData>
      <sheetData sheetId="4387">
        <row r="1">
          <cell r="J1">
            <v>1.7453292519943295E-2</v>
          </cell>
        </row>
      </sheetData>
      <sheetData sheetId="4388">
        <row r="1">
          <cell r="J1">
            <v>1.7453292519943295E-2</v>
          </cell>
        </row>
      </sheetData>
      <sheetData sheetId="4389">
        <row r="1">
          <cell r="J1">
            <v>1.7453292519943295E-2</v>
          </cell>
        </row>
      </sheetData>
      <sheetData sheetId="4390">
        <row r="1">
          <cell r="J1">
            <v>1.7453292519943295E-2</v>
          </cell>
        </row>
      </sheetData>
      <sheetData sheetId="4391">
        <row r="1">
          <cell r="J1">
            <v>1.7453292519943295E-2</v>
          </cell>
        </row>
      </sheetData>
      <sheetData sheetId="4392">
        <row r="1">
          <cell r="J1">
            <v>1.7453292519943295E-2</v>
          </cell>
        </row>
      </sheetData>
      <sheetData sheetId="4393">
        <row r="1">
          <cell r="J1">
            <v>1.7453292519943295E-2</v>
          </cell>
        </row>
      </sheetData>
      <sheetData sheetId="4394">
        <row r="1">
          <cell r="J1">
            <v>1.7453292519943295E-2</v>
          </cell>
        </row>
      </sheetData>
      <sheetData sheetId="4395">
        <row r="1">
          <cell r="J1">
            <v>1.7453292519943295E-2</v>
          </cell>
        </row>
      </sheetData>
      <sheetData sheetId="4396">
        <row r="1">
          <cell r="J1">
            <v>1.7453292519943295E-2</v>
          </cell>
        </row>
      </sheetData>
      <sheetData sheetId="4397">
        <row r="1">
          <cell r="J1">
            <v>1.7453292519943295E-2</v>
          </cell>
        </row>
      </sheetData>
      <sheetData sheetId="4398">
        <row r="1">
          <cell r="J1">
            <v>1.7453292519943295E-2</v>
          </cell>
        </row>
      </sheetData>
      <sheetData sheetId="4399">
        <row r="1">
          <cell r="J1">
            <v>1.7453292519943295E-2</v>
          </cell>
        </row>
      </sheetData>
      <sheetData sheetId="4400">
        <row r="1">
          <cell r="J1">
            <v>1.7453292519943295E-2</v>
          </cell>
        </row>
      </sheetData>
      <sheetData sheetId="4401">
        <row r="1">
          <cell r="J1">
            <v>1.7453292519943295E-2</v>
          </cell>
        </row>
      </sheetData>
      <sheetData sheetId="4402">
        <row r="1">
          <cell r="J1">
            <v>1.7453292519943295E-2</v>
          </cell>
        </row>
      </sheetData>
      <sheetData sheetId="4403">
        <row r="1">
          <cell r="J1">
            <v>1.7453292519943295E-2</v>
          </cell>
        </row>
      </sheetData>
      <sheetData sheetId="4404">
        <row r="1">
          <cell r="J1">
            <v>1.7453292519943295E-2</v>
          </cell>
        </row>
      </sheetData>
      <sheetData sheetId="4405">
        <row r="1">
          <cell r="J1">
            <v>1.7453292519943295E-2</v>
          </cell>
        </row>
      </sheetData>
      <sheetData sheetId="4406">
        <row r="1">
          <cell r="J1">
            <v>1.7453292519943295E-2</v>
          </cell>
        </row>
      </sheetData>
      <sheetData sheetId="4407">
        <row r="1">
          <cell r="J1">
            <v>1.7453292519943295E-2</v>
          </cell>
        </row>
      </sheetData>
      <sheetData sheetId="4408">
        <row r="1">
          <cell r="J1">
            <v>1.7453292519943295E-2</v>
          </cell>
        </row>
      </sheetData>
      <sheetData sheetId="4409">
        <row r="1">
          <cell r="J1">
            <v>1.7453292519943295E-2</v>
          </cell>
        </row>
      </sheetData>
      <sheetData sheetId="4410">
        <row r="1">
          <cell r="J1">
            <v>1.7453292519943295E-2</v>
          </cell>
        </row>
      </sheetData>
      <sheetData sheetId="4411">
        <row r="1">
          <cell r="J1">
            <v>1.7453292519943295E-2</v>
          </cell>
        </row>
      </sheetData>
      <sheetData sheetId="4412">
        <row r="1">
          <cell r="J1">
            <v>1.7453292519943295E-2</v>
          </cell>
        </row>
      </sheetData>
      <sheetData sheetId="4413">
        <row r="1">
          <cell r="J1">
            <v>1.7453292519943295E-2</v>
          </cell>
        </row>
      </sheetData>
      <sheetData sheetId="4414">
        <row r="1">
          <cell r="J1">
            <v>1.7453292519943295E-2</v>
          </cell>
        </row>
      </sheetData>
      <sheetData sheetId="4415">
        <row r="1">
          <cell r="J1">
            <v>1.7453292519943295E-2</v>
          </cell>
        </row>
      </sheetData>
      <sheetData sheetId="4416">
        <row r="1">
          <cell r="J1">
            <v>1.7453292519943295E-2</v>
          </cell>
        </row>
      </sheetData>
      <sheetData sheetId="4417">
        <row r="1">
          <cell r="J1">
            <v>1.7453292519943295E-2</v>
          </cell>
        </row>
      </sheetData>
      <sheetData sheetId="4418">
        <row r="1">
          <cell r="J1">
            <v>1.7453292519943295E-2</v>
          </cell>
        </row>
      </sheetData>
      <sheetData sheetId="4419">
        <row r="1">
          <cell r="J1">
            <v>1.7453292519943295E-2</v>
          </cell>
        </row>
      </sheetData>
      <sheetData sheetId="4420">
        <row r="1">
          <cell r="J1">
            <v>1.7453292519943295E-2</v>
          </cell>
        </row>
      </sheetData>
      <sheetData sheetId="4421">
        <row r="1">
          <cell r="J1">
            <v>1.7453292519943295E-2</v>
          </cell>
        </row>
      </sheetData>
      <sheetData sheetId="4422">
        <row r="1">
          <cell r="J1">
            <v>1.7453292519943295E-2</v>
          </cell>
        </row>
      </sheetData>
      <sheetData sheetId="4423">
        <row r="1">
          <cell r="J1">
            <v>1.7453292519943295E-2</v>
          </cell>
        </row>
      </sheetData>
      <sheetData sheetId="4424">
        <row r="1">
          <cell r="J1">
            <v>1.7453292519943295E-2</v>
          </cell>
        </row>
      </sheetData>
      <sheetData sheetId="4425">
        <row r="1">
          <cell r="J1">
            <v>1.7453292519943295E-2</v>
          </cell>
        </row>
      </sheetData>
      <sheetData sheetId="4426">
        <row r="1">
          <cell r="J1">
            <v>1.7453292519943295E-2</v>
          </cell>
        </row>
      </sheetData>
      <sheetData sheetId="4427">
        <row r="1">
          <cell r="J1">
            <v>1.7453292519943295E-2</v>
          </cell>
        </row>
      </sheetData>
      <sheetData sheetId="4428">
        <row r="1">
          <cell r="J1">
            <v>1.7453292519943295E-2</v>
          </cell>
        </row>
      </sheetData>
      <sheetData sheetId="4429">
        <row r="1">
          <cell r="J1">
            <v>1.7453292519943295E-2</v>
          </cell>
        </row>
      </sheetData>
      <sheetData sheetId="4430">
        <row r="1">
          <cell r="J1">
            <v>1.7453292519943295E-2</v>
          </cell>
        </row>
      </sheetData>
      <sheetData sheetId="4431">
        <row r="1">
          <cell r="J1">
            <v>1.7453292519943295E-2</v>
          </cell>
        </row>
      </sheetData>
      <sheetData sheetId="4432">
        <row r="1">
          <cell r="J1">
            <v>1.7453292519943295E-2</v>
          </cell>
        </row>
      </sheetData>
      <sheetData sheetId="4433">
        <row r="1">
          <cell r="J1">
            <v>1.7453292519943295E-2</v>
          </cell>
        </row>
      </sheetData>
      <sheetData sheetId="4434">
        <row r="1">
          <cell r="J1">
            <v>1.7453292519943295E-2</v>
          </cell>
        </row>
      </sheetData>
      <sheetData sheetId="4435">
        <row r="1">
          <cell r="J1">
            <v>1.7453292519943295E-2</v>
          </cell>
        </row>
      </sheetData>
      <sheetData sheetId="4436">
        <row r="1">
          <cell r="J1">
            <v>1.7453292519943295E-2</v>
          </cell>
        </row>
      </sheetData>
      <sheetData sheetId="4437">
        <row r="1">
          <cell r="J1">
            <v>1.7453292519943295E-2</v>
          </cell>
        </row>
      </sheetData>
      <sheetData sheetId="4438">
        <row r="1">
          <cell r="J1">
            <v>1.7453292519943295E-2</v>
          </cell>
        </row>
      </sheetData>
      <sheetData sheetId="4439">
        <row r="1">
          <cell r="J1">
            <v>1.7453292519943295E-2</v>
          </cell>
        </row>
      </sheetData>
      <sheetData sheetId="4440">
        <row r="1">
          <cell r="J1">
            <v>1.7453292519943295E-2</v>
          </cell>
        </row>
      </sheetData>
      <sheetData sheetId="4441">
        <row r="1">
          <cell r="J1">
            <v>1.7453292519943295E-2</v>
          </cell>
        </row>
      </sheetData>
      <sheetData sheetId="4442">
        <row r="1">
          <cell r="J1">
            <v>1.7453292519943295E-2</v>
          </cell>
        </row>
      </sheetData>
      <sheetData sheetId="4443">
        <row r="1">
          <cell r="J1">
            <v>1.7453292519943295E-2</v>
          </cell>
        </row>
      </sheetData>
      <sheetData sheetId="4444">
        <row r="1">
          <cell r="J1">
            <v>1.7453292519943295E-2</v>
          </cell>
        </row>
      </sheetData>
      <sheetData sheetId="4445">
        <row r="1">
          <cell r="J1">
            <v>1.7453292519943295E-2</v>
          </cell>
        </row>
      </sheetData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>
        <row r="1">
          <cell r="J1">
            <v>1.7453292519943295E-2</v>
          </cell>
        </row>
      </sheetData>
      <sheetData sheetId="4505">
        <row r="1">
          <cell r="J1">
            <v>1.7453292519943295E-2</v>
          </cell>
        </row>
      </sheetData>
      <sheetData sheetId="4506">
        <row r="1">
          <cell r="J1">
            <v>1.7453292519943295E-2</v>
          </cell>
        </row>
      </sheetData>
      <sheetData sheetId="4507">
        <row r="1">
          <cell r="J1">
            <v>1.7453292519943295E-2</v>
          </cell>
        </row>
      </sheetData>
      <sheetData sheetId="4508">
        <row r="1">
          <cell r="J1">
            <v>1.7453292519943295E-2</v>
          </cell>
        </row>
      </sheetData>
      <sheetData sheetId="4509">
        <row r="1">
          <cell r="J1">
            <v>1.7453292519943295E-2</v>
          </cell>
        </row>
      </sheetData>
      <sheetData sheetId="4510">
        <row r="1">
          <cell r="J1">
            <v>1.7453292519943295E-2</v>
          </cell>
        </row>
      </sheetData>
      <sheetData sheetId="4511">
        <row r="1">
          <cell r="J1">
            <v>1.7453292519943295E-2</v>
          </cell>
        </row>
      </sheetData>
      <sheetData sheetId="4512">
        <row r="1">
          <cell r="J1">
            <v>1.7453292519943295E-2</v>
          </cell>
        </row>
      </sheetData>
      <sheetData sheetId="4513">
        <row r="1">
          <cell r="J1">
            <v>1.7453292519943295E-2</v>
          </cell>
        </row>
      </sheetData>
      <sheetData sheetId="4514">
        <row r="1">
          <cell r="J1">
            <v>1.7453292519943295E-2</v>
          </cell>
        </row>
      </sheetData>
      <sheetData sheetId="4515">
        <row r="1">
          <cell r="J1">
            <v>1.7453292519943295E-2</v>
          </cell>
        </row>
      </sheetData>
      <sheetData sheetId="4516">
        <row r="1">
          <cell r="J1">
            <v>1.7453292519943295E-2</v>
          </cell>
        </row>
      </sheetData>
      <sheetData sheetId="4517">
        <row r="1">
          <cell r="J1">
            <v>1.7453292519943295E-2</v>
          </cell>
        </row>
      </sheetData>
      <sheetData sheetId="4518">
        <row r="1">
          <cell r="J1">
            <v>1.7453292519943295E-2</v>
          </cell>
        </row>
      </sheetData>
      <sheetData sheetId="4519">
        <row r="1">
          <cell r="J1">
            <v>1.7453292519943295E-2</v>
          </cell>
        </row>
      </sheetData>
      <sheetData sheetId="4520">
        <row r="1">
          <cell r="J1">
            <v>1.7453292519943295E-2</v>
          </cell>
        </row>
      </sheetData>
      <sheetData sheetId="4521">
        <row r="1">
          <cell r="J1">
            <v>1.7453292519943295E-2</v>
          </cell>
        </row>
      </sheetData>
      <sheetData sheetId="4522">
        <row r="1">
          <cell r="J1">
            <v>1.7453292519943295E-2</v>
          </cell>
        </row>
      </sheetData>
      <sheetData sheetId="4523">
        <row r="1">
          <cell r="J1">
            <v>1.7453292519943295E-2</v>
          </cell>
        </row>
      </sheetData>
      <sheetData sheetId="4524">
        <row r="1">
          <cell r="J1">
            <v>1.7453292519943295E-2</v>
          </cell>
        </row>
      </sheetData>
      <sheetData sheetId="4525">
        <row r="1">
          <cell r="J1">
            <v>1.7453292519943295E-2</v>
          </cell>
        </row>
      </sheetData>
      <sheetData sheetId="4526">
        <row r="1">
          <cell r="J1">
            <v>1.7453292519943295E-2</v>
          </cell>
        </row>
      </sheetData>
      <sheetData sheetId="4527">
        <row r="1">
          <cell r="J1">
            <v>1.7453292519943295E-2</v>
          </cell>
        </row>
      </sheetData>
      <sheetData sheetId="4528">
        <row r="1">
          <cell r="J1">
            <v>1.7453292519943295E-2</v>
          </cell>
        </row>
      </sheetData>
      <sheetData sheetId="4529">
        <row r="1">
          <cell r="J1">
            <v>1.7453292519943295E-2</v>
          </cell>
        </row>
      </sheetData>
      <sheetData sheetId="4530">
        <row r="1">
          <cell r="J1">
            <v>1.7453292519943295E-2</v>
          </cell>
        </row>
      </sheetData>
      <sheetData sheetId="4531">
        <row r="1">
          <cell r="J1">
            <v>1.7453292519943295E-2</v>
          </cell>
        </row>
      </sheetData>
      <sheetData sheetId="4532">
        <row r="1">
          <cell r="J1">
            <v>1.7453292519943295E-2</v>
          </cell>
        </row>
      </sheetData>
      <sheetData sheetId="4533">
        <row r="1">
          <cell r="J1">
            <v>1.7453292519943295E-2</v>
          </cell>
        </row>
      </sheetData>
      <sheetData sheetId="4534">
        <row r="1">
          <cell r="J1">
            <v>1.7453292519943295E-2</v>
          </cell>
        </row>
      </sheetData>
      <sheetData sheetId="4535">
        <row r="1">
          <cell r="J1">
            <v>1.7453292519943295E-2</v>
          </cell>
        </row>
      </sheetData>
      <sheetData sheetId="4536">
        <row r="1">
          <cell r="J1">
            <v>1.7453292519943295E-2</v>
          </cell>
        </row>
      </sheetData>
      <sheetData sheetId="4537">
        <row r="1">
          <cell r="J1">
            <v>1.7453292519943295E-2</v>
          </cell>
        </row>
      </sheetData>
      <sheetData sheetId="4538">
        <row r="1">
          <cell r="J1">
            <v>1.7453292519943295E-2</v>
          </cell>
        </row>
      </sheetData>
      <sheetData sheetId="4539">
        <row r="1">
          <cell r="J1">
            <v>1.7453292519943295E-2</v>
          </cell>
        </row>
      </sheetData>
      <sheetData sheetId="4540">
        <row r="1">
          <cell r="J1">
            <v>1.7453292519943295E-2</v>
          </cell>
        </row>
      </sheetData>
      <sheetData sheetId="4541">
        <row r="1">
          <cell r="J1">
            <v>1.7453292519943295E-2</v>
          </cell>
        </row>
      </sheetData>
      <sheetData sheetId="4542">
        <row r="1">
          <cell r="J1">
            <v>1.7453292519943295E-2</v>
          </cell>
        </row>
      </sheetData>
      <sheetData sheetId="4543">
        <row r="1">
          <cell r="J1">
            <v>1.7453292519943295E-2</v>
          </cell>
        </row>
      </sheetData>
      <sheetData sheetId="4544"/>
      <sheetData sheetId="4545"/>
      <sheetData sheetId="4546">
        <row r="1">
          <cell r="J1">
            <v>1.7453292519943295E-2</v>
          </cell>
        </row>
      </sheetData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>
        <row r="1">
          <cell r="J1">
            <v>1.7453292519943295E-2</v>
          </cell>
        </row>
      </sheetData>
      <sheetData sheetId="4598">
        <row r="1">
          <cell r="J1">
            <v>1.7453292519943295E-2</v>
          </cell>
        </row>
      </sheetData>
      <sheetData sheetId="4599">
        <row r="1">
          <cell r="J1">
            <v>1.7453292519943295E-2</v>
          </cell>
        </row>
      </sheetData>
      <sheetData sheetId="4600">
        <row r="1">
          <cell r="J1">
            <v>1.7453292519943295E-2</v>
          </cell>
        </row>
      </sheetData>
      <sheetData sheetId="4601">
        <row r="1">
          <cell r="J1">
            <v>1.7453292519943295E-2</v>
          </cell>
        </row>
      </sheetData>
      <sheetData sheetId="4602">
        <row r="1">
          <cell r="J1">
            <v>1.7453292519943295E-2</v>
          </cell>
        </row>
      </sheetData>
      <sheetData sheetId="4603">
        <row r="1">
          <cell r="J1">
            <v>1.7453292519943295E-2</v>
          </cell>
        </row>
      </sheetData>
      <sheetData sheetId="4604">
        <row r="1">
          <cell r="J1">
            <v>1.7453292519943295E-2</v>
          </cell>
        </row>
      </sheetData>
      <sheetData sheetId="4605">
        <row r="1">
          <cell r="J1">
            <v>1.7453292519943295E-2</v>
          </cell>
        </row>
      </sheetData>
      <sheetData sheetId="4606">
        <row r="1">
          <cell r="J1">
            <v>1.7453292519943295E-2</v>
          </cell>
        </row>
      </sheetData>
      <sheetData sheetId="4607">
        <row r="1">
          <cell r="J1">
            <v>1.7453292519943295E-2</v>
          </cell>
        </row>
      </sheetData>
      <sheetData sheetId="4608">
        <row r="1">
          <cell r="J1">
            <v>1.7453292519943295E-2</v>
          </cell>
        </row>
      </sheetData>
      <sheetData sheetId="4609">
        <row r="1">
          <cell r="J1">
            <v>1.7453292519943295E-2</v>
          </cell>
        </row>
      </sheetData>
      <sheetData sheetId="4610">
        <row r="1">
          <cell r="J1">
            <v>1.7453292519943295E-2</v>
          </cell>
        </row>
      </sheetData>
      <sheetData sheetId="4611">
        <row r="1">
          <cell r="J1">
            <v>1.7453292519943295E-2</v>
          </cell>
        </row>
      </sheetData>
      <sheetData sheetId="4612">
        <row r="1">
          <cell r="J1">
            <v>1.7453292519943295E-2</v>
          </cell>
        </row>
      </sheetData>
      <sheetData sheetId="4613">
        <row r="1">
          <cell r="J1">
            <v>1.7453292519943295E-2</v>
          </cell>
        </row>
      </sheetData>
      <sheetData sheetId="4614">
        <row r="1">
          <cell r="J1">
            <v>1.7453292519943295E-2</v>
          </cell>
        </row>
      </sheetData>
      <sheetData sheetId="4615">
        <row r="1">
          <cell r="J1">
            <v>1.7453292519943295E-2</v>
          </cell>
        </row>
      </sheetData>
      <sheetData sheetId="4616">
        <row r="1">
          <cell r="J1">
            <v>1.7453292519943295E-2</v>
          </cell>
        </row>
      </sheetData>
      <sheetData sheetId="4617">
        <row r="1">
          <cell r="J1">
            <v>1.7453292519943295E-2</v>
          </cell>
        </row>
      </sheetData>
      <sheetData sheetId="4618">
        <row r="1">
          <cell r="J1">
            <v>1.7453292519943295E-2</v>
          </cell>
        </row>
      </sheetData>
      <sheetData sheetId="4619">
        <row r="1">
          <cell r="J1">
            <v>1.7453292519943295E-2</v>
          </cell>
        </row>
      </sheetData>
      <sheetData sheetId="4620">
        <row r="1">
          <cell r="J1">
            <v>1.7453292519943295E-2</v>
          </cell>
        </row>
      </sheetData>
      <sheetData sheetId="4621">
        <row r="1">
          <cell r="J1">
            <v>1.7453292519943295E-2</v>
          </cell>
        </row>
      </sheetData>
      <sheetData sheetId="4622">
        <row r="1">
          <cell r="J1">
            <v>1.7453292519943295E-2</v>
          </cell>
        </row>
      </sheetData>
      <sheetData sheetId="4623">
        <row r="1">
          <cell r="J1">
            <v>1.7453292519943295E-2</v>
          </cell>
        </row>
      </sheetData>
      <sheetData sheetId="4624">
        <row r="1">
          <cell r="J1">
            <v>1.7453292519943295E-2</v>
          </cell>
        </row>
      </sheetData>
      <sheetData sheetId="4625">
        <row r="1">
          <cell r="J1">
            <v>1.7453292519943295E-2</v>
          </cell>
        </row>
      </sheetData>
      <sheetData sheetId="4626">
        <row r="1">
          <cell r="J1">
            <v>1.7453292519943295E-2</v>
          </cell>
        </row>
      </sheetData>
      <sheetData sheetId="4627">
        <row r="1">
          <cell r="J1">
            <v>1.7453292519943295E-2</v>
          </cell>
        </row>
      </sheetData>
      <sheetData sheetId="4628">
        <row r="1">
          <cell r="J1">
            <v>1.7453292519943295E-2</v>
          </cell>
        </row>
      </sheetData>
      <sheetData sheetId="4629">
        <row r="1">
          <cell r="J1">
            <v>1.7453292519943295E-2</v>
          </cell>
        </row>
      </sheetData>
      <sheetData sheetId="4630">
        <row r="1">
          <cell r="J1">
            <v>1.7453292519943295E-2</v>
          </cell>
        </row>
      </sheetData>
      <sheetData sheetId="4631">
        <row r="1">
          <cell r="J1">
            <v>1.7453292519943295E-2</v>
          </cell>
        </row>
      </sheetData>
      <sheetData sheetId="4632">
        <row r="1">
          <cell r="J1">
            <v>1.7453292519943295E-2</v>
          </cell>
        </row>
      </sheetData>
      <sheetData sheetId="4633">
        <row r="1">
          <cell r="J1">
            <v>1.7453292519943295E-2</v>
          </cell>
        </row>
      </sheetData>
      <sheetData sheetId="4634">
        <row r="1">
          <cell r="J1">
            <v>1.7453292519943295E-2</v>
          </cell>
        </row>
      </sheetData>
      <sheetData sheetId="4635">
        <row r="1">
          <cell r="J1">
            <v>1.7453292519943295E-2</v>
          </cell>
        </row>
      </sheetData>
      <sheetData sheetId="4636">
        <row r="1">
          <cell r="J1">
            <v>1.7453292519943295E-2</v>
          </cell>
        </row>
      </sheetData>
      <sheetData sheetId="4637">
        <row r="1">
          <cell r="J1">
            <v>1.7453292519943295E-2</v>
          </cell>
        </row>
      </sheetData>
      <sheetData sheetId="4638">
        <row r="1">
          <cell r="J1">
            <v>1.7453292519943295E-2</v>
          </cell>
        </row>
      </sheetData>
      <sheetData sheetId="4639">
        <row r="1">
          <cell r="J1">
            <v>1.7453292519943295E-2</v>
          </cell>
        </row>
      </sheetData>
      <sheetData sheetId="4640">
        <row r="1">
          <cell r="J1">
            <v>1.7453292519943295E-2</v>
          </cell>
        </row>
      </sheetData>
      <sheetData sheetId="4641">
        <row r="1">
          <cell r="J1">
            <v>1.7453292519943295E-2</v>
          </cell>
        </row>
      </sheetData>
      <sheetData sheetId="4642">
        <row r="1">
          <cell r="J1">
            <v>1.7453292519943295E-2</v>
          </cell>
        </row>
      </sheetData>
      <sheetData sheetId="4643">
        <row r="1">
          <cell r="J1">
            <v>1.7453292519943295E-2</v>
          </cell>
        </row>
      </sheetData>
      <sheetData sheetId="4644">
        <row r="1">
          <cell r="J1">
            <v>1.7453292519943295E-2</v>
          </cell>
        </row>
      </sheetData>
      <sheetData sheetId="4645">
        <row r="1">
          <cell r="J1">
            <v>1.7453292519943295E-2</v>
          </cell>
        </row>
      </sheetData>
      <sheetData sheetId="4646">
        <row r="1">
          <cell r="J1">
            <v>1.7453292519943295E-2</v>
          </cell>
        </row>
      </sheetData>
      <sheetData sheetId="4647">
        <row r="1">
          <cell r="J1">
            <v>1.7453292519943295E-2</v>
          </cell>
        </row>
      </sheetData>
      <sheetData sheetId="4648">
        <row r="1">
          <cell r="J1">
            <v>1.7453292519943295E-2</v>
          </cell>
        </row>
      </sheetData>
      <sheetData sheetId="4649">
        <row r="1">
          <cell r="J1">
            <v>1.7453292519943295E-2</v>
          </cell>
        </row>
      </sheetData>
      <sheetData sheetId="4650">
        <row r="1">
          <cell r="J1">
            <v>1.7453292519943295E-2</v>
          </cell>
        </row>
      </sheetData>
      <sheetData sheetId="4651">
        <row r="1">
          <cell r="J1">
            <v>1.7453292519943295E-2</v>
          </cell>
        </row>
      </sheetData>
      <sheetData sheetId="4652">
        <row r="1">
          <cell r="J1">
            <v>1.7453292519943295E-2</v>
          </cell>
        </row>
      </sheetData>
      <sheetData sheetId="4653">
        <row r="1">
          <cell r="J1">
            <v>1.7453292519943295E-2</v>
          </cell>
        </row>
      </sheetData>
      <sheetData sheetId="4654">
        <row r="1">
          <cell r="J1">
            <v>1.7453292519943295E-2</v>
          </cell>
        </row>
      </sheetData>
      <sheetData sheetId="4655">
        <row r="1">
          <cell r="J1">
            <v>1.7453292519943295E-2</v>
          </cell>
        </row>
      </sheetData>
      <sheetData sheetId="4656">
        <row r="1">
          <cell r="J1">
            <v>1.7453292519943295E-2</v>
          </cell>
        </row>
      </sheetData>
      <sheetData sheetId="4657">
        <row r="1">
          <cell r="J1">
            <v>1.7453292519943295E-2</v>
          </cell>
        </row>
      </sheetData>
      <sheetData sheetId="4658">
        <row r="1">
          <cell r="J1">
            <v>1.7453292519943295E-2</v>
          </cell>
        </row>
      </sheetData>
      <sheetData sheetId="4659">
        <row r="1">
          <cell r="J1">
            <v>1.7453292519943295E-2</v>
          </cell>
        </row>
      </sheetData>
      <sheetData sheetId="4660">
        <row r="1">
          <cell r="J1">
            <v>1.7453292519943295E-2</v>
          </cell>
        </row>
      </sheetData>
      <sheetData sheetId="4661">
        <row r="1">
          <cell r="J1">
            <v>1.7453292519943295E-2</v>
          </cell>
        </row>
      </sheetData>
      <sheetData sheetId="4662">
        <row r="1">
          <cell r="J1">
            <v>1.7453292519943295E-2</v>
          </cell>
        </row>
      </sheetData>
      <sheetData sheetId="4663">
        <row r="1">
          <cell r="J1">
            <v>1.7453292519943295E-2</v>
          </cell>
        </row>
      </sheetData>
      <sheetData sheetId="4664">
        <row r="1">
          <cell r="J1">
            <v>1.7453292519943295E-2</v>
          </cell>
        </row>
      </sheetData>
      <sheetData sheetId="4665">
        <row r="1">
          <cell r="J1">
            <v>1.7453292519943295E-2</v>
          </cell>
        </row>
      </sheetData>
      <sheetData sheetId="4666">
        <row r="1">
          <cell r="J1">
            <v>1.7453292519943295E-2</v>
          </cell>
        </row>
      </sheetData>
      <sheetData sheetId="4667">
        <row r="1">
          <cell r="J1">
            <v>1.7453292519943295E-2</v>
          </cell>
        </row>
      </sheetData>
      <sheetData sheetId="4668">
        <row r="1">
          <cell r="J1">
            <v>1.7453292519943295E-2</v>
          </cell>
        </row>
      </sheetData>
      <sheetData sheetId="4669">
        <row r="1">
          <cell r="J1">
            <v>1.7453292519943295E-2</v>
          </cell>
        </row>
      </sheetData>
      <sheetData sheetId="4670">
        <row r="1">
          <cell r="J1">
            <v>1.7453292519943295E-2</v>
          </cell>
        </row>
      </sheetData>
      <sheetData sheetId="4671">
        <row r="1">
          <cell r="J1">
            <v>1.7453292519943295E-2</v>
          </cell>
        </row>
      </sheetData>
      <sheetData sheetId="4672">
        <row r="1">
          <cell r="J1">
            <v>1.7453292519943295E-2</v>
          </cell>
        </row>
      </sheetData>
      <sheetData sheetId="4673">
        <row r="1">
          <cell r="J1">
            <v>1.7453292519943295E-2</v>
          </cell>
        </row>
      </sheetData>
      <sheetData sheetId="4674">
        <row r="1">
          <cell r="J1">
            <v>1.7453292519943295E-2</v>
          </cell>
        </row>
      </sheetData>
      <sheetData sheetId="4675">
        <row r="1">
          <cell r="J1">
            <v>1.7453292519943295E-2</v>
          </cell>
        </row>
      </sheetData>
      <sheetData sheetId="4676">
        <row r="1">
          <cell r="J1">
            <v>1.7453292519943295E-2</v>
          </cell>
        </row>
      </sheetData>
      <sheetData sheetId="4677">
        <row r="1">
          <cell r="J1">
            <v>1.7453292519943295E-2</v>
          </cell>
        </row>
      </sheetData>
      <sheetData sheetId="4678">
        <row r="1">
          <cell r="J1">
            <v>1.7453292519943295E-2</v>
          </cell>
        </row>
      </sheetData>
      <sheetData sheetId="4679">
        <row r="1">
          <cell r="J1">
            <v>1.7453292519943295E-2</v>
          </cell>
        </row>
      </sheetData>
      <sheetData sheetId="4680">
        <row r="1">
          <cell r="J1">
            <v>1.7453292519943295E-2</v>
          </cell>
        </row>
      </sheetData>
      <sheetData sheetId="4681">
        <row r="1">
          <cell r="J1">
            <v>1.7453292519943295E-2</v>
          </cell>
        </row>
      </sheetData>
      <sheetData sheetId="4682">
        <row r="1">
          <cell r="J1">
            <v>1.7453292519943295E-2</v>
          </cell>
        </row>
      </sheetData>
      <sheetData sheetId="4683">
        <row r="1">
          <cell r="J1">
            <v>1.7453292519943295E-2</v>
          </cell>
        </row>
      </sheetData>
      <sheetData sheetId="4684">
        <row r="1">
          <cell r="J1">
            <v>1.7453292519943295E-2</v>
          </cell>
        </row>
      </sheetData>
      <sheetData sheetId="4685">
        <row r="1">
          <cell r="J1">
            <v>1.7453292519943295E-2</v>
          </cell>
        </row>
      </sheetData>
      <sheetData sheetId="4686">
        <row r="1">
          <cell r="J1">
            <v>1.7453292519943295E-2</v>
          </cell>
        </row>
      </sheetData>
      <sheetData sheetId="4687">
        <row r="1">
          <cell r="J1">
            <v>1.7453292519943295E-2</v>
          </cell>
        </row>
      </sheetData>
      <sheetData sheetId="4688">
        <row r="1">
          <cell r="J1">
            <v>1.7453292519943295E-2</v>
          </cell>
        </row>
      </sheetData>
      <sheetData sheetId="4689">
        <row r="1">
          <cell r="J1">
            <v>1.7453292519943295E-2</v>
          </cell>
        </row>
      </sheetData>
      <sheetData sheetId="4690">
        <row r="1">
          <cell r="J1">
            <v>1.7453292519943295E-2</v>
          </cell>
        </row>
      </sheetData>
      <sheetData sheetId="4691">
        <row r="1">
          <cell r="J1">
            <v>1.7453292519943295E-2</v>
          </cell>
        </row>
      </sheetData>
      <sheetData sheetId="4692">
        <row r="1">
          <cell r="J1">
            <v>1.7453292519943295E-2</v>
          </cell>
        </row>
      </sheetData>
      <sheetData sheetId="4693">
        <row r="1">
          <cell r="J1">
            <v>1.7453292519943295E-2</v>
          </cell>
        </row>
      </sheetData>
      <sheetData sheetId="4694">
        <row r="1">
          <cell r="J1">
            <v>1.7453292519943295E-2</v>
          </cell>
        </row>
      </sheetData>
      <sheetData sheetId="4695">
        <row r="1">
          <cell r="J1">
            <v>1.7453292519943295E-2</v>
          </cell>
        </row>
      </sheetData>
      <sheetData sheetId="4696">
        <row r="1">
          <cell r="J1">
            <v>1.7453292519943295E-2</v>
          </cell>
        </row>
      </sheetData>
      <sheetData sheetId="4697">
        <row r="1">
          <cell r="J1">
            <v>1.7453292519943295E-2</v>
          </cell>
        </row>
      </sheetData>
      <sheetData sheetId="4698">
        <row r="1">
          <cell r="J1">
            <v>1.7453292519943295E-2</v>
          </cell>
        </row>
      </sheetData>
      <sheetData sheetId="4699">
        <row r="1">
          <cell r="J1">
            <v>1.7453292519943295E-2</v>
          </cell>
        </row>
      </sheetData>
      <sheetData sheetId="4700">
        <row r="1">
          <cell r="J1">
            <v>1.7453292519943295E-2</v>
          </cell>
        </row>
      </sheetData>
      <sheetData sheetId="4701">
        <row r="1">
          <cell r="J1">
            <v>1.7453292519943295E-2</v>
          </cell>
        </row>
      </sheetData>
      <sheetData sheetId="4702">
        <row r="1">
          <cell r="J1">
            <v>1.7453292519943295E-2</v>
          </cell>
        </row>
      </sheetData>
      <sheetData sheetId="4703">
        <row r="1">
          <cell r="J1">
            <v>1.7453292519943295E-2</v>
          </cell>
        </row>
      </sheetData>
      <sheetData sheetId="4704">
        <row r="1">
          <cell r="J1">
            <v>1.7453292519943295E-2</v>
          </cell>
        </row>
      </sheetData>
      <sheetData sheetId="4705">
        <row r="1">
          <cell r="J1">
            <v>1.7453292519943295E-2</v>
          </cell>
        </row>
      </sheetData>
      <sheetData sheetId="4706">
        <row r="1">
          <cell r="J1">
            <v>1.7453292519943295E-2</v>
          </cell>
        </row>
      </sheetData>
      <sheetData sheetId="4707">
        <row r="1">
          <cell r="J1">
            <v>1.7453292519943295E-2</v>
          </cell>
        </row>
      </sheetData>
      <sheetData sheetId="4708">
        <row r="1">
          <cell r="J1">
            <v>1.7453292519943295E-2</v>
          </cell>
        </row>
      </sheetData>
      <sheetData sheetId="4709">
        <row r="1">
          <cell r="J1">
            <v>1.7453292519943295E-2</v>
          </cell>
        </row>
      </sheetData>
      <sheetData sheetId="4710">
        <row r="1">
          <cell r="J1">
            <v>1.7453292519943295E-2</v>
          </cell>
        </row>
      </sheetData>
      <sheetData sheetId="4711">
        <row r="1">
          <cell r="J1">
            <v>1.7453292519943295E-2</v>
          </cell>
        </row>
      </sheetData>
      <sheetData sheetId="4712">
        <row r="1">
          <cell r="J1">
            <v>1.7453292519943295E-2</v>
          </cell>
        </row>
      </sheetData>
      <sheetData sheetId="4713">
        <row r="1">
          <cell r="J1">
            <v>1.7453292519943295E-2</v>
          </cell>
        </row>
      </sheetData>
      <sheetData sheetId="4714">
        <row r="1">
          <cell r="J1">
            <v>1.7453292519943295E-2</v>
          </cell>
        </row>
      </sheetData>
      <sheetData sheetId="4715">
        <row r="1">
          <cell r="J1">
            <v>1.7453292519943295E-2</v>
          </cell>
        </row>
      </sheetData>
      <sheetData sheetId="4716">
        <row r="1">
          <cell r="J1">
            <v>1.7453292519943295E-2</v>
          </cell>
        </row>
      </sheetData>
      <sheetData sheetId="4717">
        <row r="1">
          <cell r="J1">
            <v>1.7453292519943295E-2</v>
          </cell>
        </row>
      </sheetData>
      <sheetData sheetId="4718"/>
      <sheetData sheetId="4719" refreshError="1"/>
      <sheetData sheetId="4720">
        <row r="1">
          <cell r="J1">
            <v>1.7453292519943295E-2</v>
          </cell>
        </row>
      </sheetData>
      <sheetData sheetId="4721">
        <row r="1">
          <cell r="J1">
            <v>1.7453292519943295E-2</v>
          </cell>
        </row>
      </sheetData>
      <sheetData sheetId="4722" refreshError="1"/>
      <sheetData sheetId="4723" refreshError="1"/>
      <sheetData sheetId="4724" refreshError="1"/>
      <sheetData sheetId="4725" refreshError="1"/>
      <sheetData sheetId="4726">
        <row r="1">
          <cell r="J1">
            <v>1.7453292519943295E-2</v>
          </cell>
        </row>
      </sheetData>
      <sheetData sheetId="4727">
        <row r="1">
          <cell r="J1">
            <v>1.7453292519943295E-2</v>
          </cell>
        </row>
      </sheetData>
      <sheetData sheetId="4728">
        <row r="1">
          <cell r="J1">
            <v>1.7453292519943295E-2</v>
          </cell>
        </row>
      </sheetData>
      <sheetData sheetId="4729" refreshError="1"/>
      <sheetData sheetId="4730" refreshError="1"/>
      <sheetData sheetId="4731">
        <row r="1">
          <cell r="J1">
            <v>1.7453292519943295E-2</v>
          </cell>
        </row>
      </sheetData>
      <sheetData sheetId="4732">
        <row r="1">
          <cell r="J1">
            <v>1.7453292519943295E-2</v>
          </cell>
        </row>
      </sheetData>
      <sheetData sheetId="4733" refreshError="1"/>
      <sheetData sheetId="4734" refreshError="1"/>
      <sheetData sheetId="4735"/>
      <sheetData sheetId="4736">
        <row r="1">
          <cell r="J1">
            <v>1.7453292519943295E-2</v>
          </cell>
        </row>
      </sheetData>
      <sheetData sheetId="4737" refreshError="1"/>
      <sheetData sheetId="4738">
        <row r="1">
          <cell r="J1">
            <v>1.7453292519943295E-2</v>
          </cell>
        </row>
      </sheetData>
      <sheetData sheetId="4739">
        <row r="1">
          <cell r="J1">
            <v>1.7453292519943295E-2</v>
          </cell>
        </row>
      </sheetData>
      <sheetData sheetId="4740">
        <row r="1">
          <cell r="J1">
            <v>1.7453292519943295E-2</v>
          </cell>
        </row>
      </sheetData>
      <sheetData sheetId="4741">
        <row r="1">
          <cell r="J1">
            <v>1.7453292519943295E-2</v>
          </cell>
        </row>
      </sheetData>
      <sheetData sheetId="4742">
        <row r="1">
          <cell r="J1">
            <v>1.7453292519943295E-2</v>
          </cell>
        </row>
      </sheetData>
      <sheetData sheetId="4743">
        <row r="1">
          <cell r="J1">
            <v>1.7453292519943295E-2</v>
          </cell>
        </row>
      </sheetData>
      <sheetData sheetId="4744">
        <row r="1">
          <cell r="J1">
            <v>1.7453292519943295E-2</v>
          </cell>
        </row>
      </sheetData>
      <sheetData sheetId="4745">
        <row r="1">
          <cell r="J1">
            <v>1.7453292519943295E-2</v>
          </cell>
        </row>
      </sheetData>
      <sheetData sheetId="4746">
        <row r="1">
          <cell r="J1">
            <v>1.7453292519943295E-2</v>
          </cell>
        </row>
      </sheetData>
      <sheetData sheetId="4747">
        <row r="1">
          <cell r="J1">
            <v>1.7453292519943295E-2</v>
          </cell>
        </row>
      </sheetData>
      <sheetData sheetId="4748">
        <row r="1">
          <cell r="J1">
            <v>1.7453292519943295E-2</v>
          </cell>
        </row>
      </sheetData>
      <sheetData sheetId="4749">
        <row r="1">
          <cell r="J1">
            <v>1.7453292519943295E-2</v>
          </cell>
        </row>
      </sheetData>
      <sheetData sheetId="4750">
        <row r="1">
          <cell r="J1">
            <v>1.7453292519943295E-2</v>
          </cell>
        </row>
      </sheetData>
      <sheetData sheetId="4751">
        <row r="1">
          <cell r="J1">
            <v>1.7453292519943295E-2</v>
          </cell>
        </row>
      </sheetData>
      <sheetData sheetId="4752">
        <row r="1">
          <cell r="J1">
            <v>1.7453292519943295E-2</v>
          </cell>
        </row>
      </sheetData>
      <sheetData sheetId="4753" refreshError="1"/>
      <sheetData sheetId="4754">
        <row r="1">
          <cell r="J1">
            <v>1.7453292519943295E-2</v>
          </cell>
        </row>
      </sheetData>
      <sheetData sheetId="4755">
        <row r="1">
          <cell r="J1">
            <v>1.7453292519943295E-2</v>
          </cell>
        </row>
      </sheetData>
      <sheetData sheetId="4756" refreshError="1"/>
      <sheetData sheetId="4757" refreshError="1"/>
      <sheetData sheetId="4758">
        <row r="1">
          <cell r="J1">
            <v>1.7453292519943295E-2</v>
          </cell>
        </row>
      </sheetData>
      <sheetData sheetId="4759" refreshError="1"/>
      <sheetData sheetId="4760">
        <row r="1">
          <cell r="J1">
            <v>1.7453292519943295E-2</v>
          </cell>
        </row>
      </sheetData>
      <sheetData sheetId="4761" refreshError="1"/>
      <sheetData sheetId="4762">
        <row r="1">
          <cell r="J1">
            <v>1.7453292519943295E-2</v>
          </cell>
        </row>
      </sheetData>
      <sheetData sheetId="4763"/>
      <sheetData sheetId="4764">
        <row r="1">
          <cell r="J1">
            <v>1.7453292519943295E-2</v>
          </cell>
        </row>
      </sheetData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/>
      <sheetData sheetId="4773"/>
      <sheetData sheetId="4774">
        <row r="1">
          <cell r="J1">
            <v>1.7453292519943295E-2</v>
          </cell>
        </row>
      </sheetData>
      <sheetData sheetId="4775">
        <row r="1">
          <cell r="J1">
            <v>1.7453292519943295E-2</v>
          </cell>
        </row>
      </sheetData>
      <sheetData sheetId="4776">
        <row r="1">
          <cell r="J1">
            <v>1.7453292519943295E-2</v>
          </cell>
        </row>
      </sheetData>
      <sheetData sheetId="4777">
        <row r="1">
          <cell r="J1">
            <v>1.7453292519943295E-2</v>
          </cell>
        </row>
      </sheetData>
      <sheetData sheetId="4778">
        <row r="1">
          <cell r="J1">
            <v>1.7453292519943295E-2</v>
          </cell>
        </row>
      </sheetData>
      <sheetData sheetId="4779">
        <row r="1">
          <cell r="J1">
            <v>1.7453292519943295E-2</v>
          </cell>
        </row>
      </sheetData>
      <sheetData sheetId="4780">
        <row r="1">
          <cell r="J1">
            <v>1.7453292519943295E-2</v>
          </cell>
        </row>
      </sheetData>
      <sheetData sheetId="4781">
        <row r="1">
          <cell r="J1">
            <v>1.7453292519943295E-2</v>
          </cell>
        </row>
      </sheetData>
      <sheetData sheetId="4782">
        <row r="1">
          <cell r="J1">
            <v>1.7453292519943295E-2</v>
          </cell>
        </row>
      </sheetData>
      <sheetData sheetId="4783">
        <row r="1">
          <cell r="J1">
            <v>1.7453292519943295E-2</v>
          </cell>
        </row>
      </sheetData>
      <sheetData sheetId="4784">
        <row r="1">
          <cell r="J1">
            <v>1.7453292519943295E-2</v>
          </cell>
        </row>
      </sheetData>
      <sheetData sheetId="4785">
        <row r="1">
          <cell r="J1">
            <v>1.7453292519943295E-2</v>
          </cell>
        </row>
      </sheetData>
      <sheetData sheetId="4786">
        <row r="1">
          <cell r="J1">
            <v>1.7453292519943295E-2</v>
          </cell>
        </row>
      </sheetData>
      <sheetData sheetId="4787">
        <row r="1">
          <cell r="J1">
            <v>1.7453292519943295E-2</v>
          </cell>
        </row>
      </sheetData>
      <sheetData sheetId="4788"/>
      <sheetData sheetId="4789" refreshError="1"/>
      <sheetData sheetId="4790" refreshError="1"/>
      <sheetData sheetId="479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>
        <row r="1">
          <cell r="J1">
            <v>1.7453292519943295E-2</v>
          </cell>
        </row>
      </sheetData>
      <sheetData sheetId="4801" refreshError="1"/>
      <sheetData sheetId="4802" refreshError="1"/>
      <sheetData sheetId="4803">
        <row r="1">
          <cell r="J1">
            <v>1.7453292519943295E-2</v>
          </cell>
        </row>
      </sheetData>
      <sheetData sheetId="4804">
        <row r="1">
          <cell r="J1">
            <v>1.7453292519943295E-2</v>
          </cell>
        </row>
      </sheetData>
      <sheetData sheetId="4805">
        <row r="1">
          <cell r="J1">
            <v>1.7453292519943295E-2</v>
          </cell>
        </row>
      </sheetData>
      <sheetData sheetId="4806">
        <row r="1">
          <cell r="J1">
            <v>1.7453292519943295E-2</v>
          </cell>
        </row>
      </sheetData>
      <sheetData sheetId="4807">
        <row r="1">
          <cell r="J1">
            <v>1.7453292519943295E-2</v>
          </cell>
        </row>
      </sheetData>
      <sheetData sheetId="4808">
        <row r="1">
          <cell r="J1">
            <v>1.7453292519943295E-2</v>
          </cell>
        </row>
      </sheetData>
      <sheetData sheetId="4809">
        <row r="1">
          <cell r="J1">
            <v>1.7453292519943295E-2</v>
          </cell>
        </row>
      </sheetData>
      <sheetData sheetId="4810">
        <row r="1">
          <cell r="J1">
            <v>1.7453292519943295E-2</v>
          </cell>
        </row>
      </sheetData>
      <sheetData sheetId="4811">
        <row r="1">
          <cell r="J1">
            <v>1.7453292519943295E-2</v>
          </cell>
        </row>
      </sheetData>
      <sheetData sheetId="4812">
        <row r="1">
          <cell r="J1">
            <v>1.7453292519943295E-2</v>
          </cell>
        </row>
      </sheetData>
      <sheetData sheetId="4813">
        <row r="1">
          <cell r="J1">
            <v>1.7453292519943295E-2</v>
          </cell>
        </row>
      </sheetData>
      <sheetData sheetId="4814">
        <row r="1">
          <cell r="J1">
            <v>1.7453292519943295E-2</v>
          </cell>
        </row>
      </sheetData>
      <sheetData sheetId="4815">
        <row r="1">
          <cell r="J1">
            <v>1.7453292519943295E-2</v>
          </cell>
        </row>
      </sheetData>
      <sheetData sheetId="4816">
        <row r="1">
          <cell r="J1">
            <v>1.7453292519943295E-2</v>
          </cell>
        </row>
      </sheetData>
      <sheetData sheetId="4817">
        <row r="1">
          <cell r="J1">
            <v>1.7453292519943295E-2</v>
          </cell>
        </row>
      </sheetData>
      <sheetData sheetId="4818">
        <row r="1">
          <cell r="J1">
            <v>1.7453292519943295E-2</v>
          </cell>
        </row>
      </sheetData>
      <sheetData sheetId="4819" refreshError="1"/>
      <sheetData sheetId="4820">
        <row r="1">
          <cell r="J1">
            <v>1.7453292519943295E-2</v>
          </cell>
        </row>
      </sheetData>
      <sheetData sheetId="4821">
        <row r="1">
          <cell r="J1">
            <v>1.7453292519943295E-2</v>
          </cell>
        </row>
      </sheetData>
      <sheetData sheetId="4822">
        <row r="1">
          <cell r="J1">
            <v>1.7453292519943295E-2</v>
          </cell>
        </row>
      </sheetData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/>
      <sheetData sheetId="4829" refreshError="1"/>
      <sheetData sheetId="4830">
        <row r="1">
          <cell r="J1">
            <v>1.7453292519943295E-2</v>
          </cell>
        </row>
      </sheetData>
      <sheetData sheetId="4831">
        <row r="1">
          <cell r="J1">
            <v>1.7453292519943295E-2</v>
          </cell>
        </row>
      </sheetData>
      <sheetData sheetId="4832">
        <row r="1">
          <cell r="J1">
            <v>1.7453292519943295E-2</v>
          </cell>
        </row>
      </sheetData>
      <sheetData sheetId="4833" refreshError="1"/>
      <sheetData sheetId="4834">
        <row r="1">
          <cell r="J1">
            <v>1.7453292519943295E-2</v>
          </cell>
        </row>
      </sheetData>
      <sheetData sheetId="4835" refreshError="1"/>
      <sheetData sheetId="4836" refreshError="1"/>
      <sheetData sheetId="4837">
        <row r="1">
          <cell r="J1">
            <v>1.7453292519943295E-2</v>
          </cell>
        </row>
      </sheetData>
      <sheetData sheetId="4838">
        <row r="1">
          <cell r="J1">
            <v>1.7453292519943295E-2</v>
          </cell>
        </row>
      </sheetData>
      <sheetData sheetId="4839">
        <row r="1">
          <cell r="J1">
            <v>1.7453292519943295E-2</v>
          </cell>
        </row>
      </sheetData>
      <sheetData sheetId="4840" refreshError="1"/>
      <sheetData sheetId="4841" refreshError="1"/>
      <sheetData sheetId="4842" refreshError="1"/>
      <sheetData sheetId="4843">
        <row r="1">
          <cell r="J1">
            <v>1.7453292519943295E-2</v>
          </cell>
        </row>
      </sheetData>
      <sheetData sheetId="4844" refreshError="1"/>
      <sheetData sheetId="4845">
        <row r="1">
          <cell r="J1">
            <v>1.7453292519943295E-2</v>
          </cell>
        </row>
      </sheetData>
      <sheetData sheetId="4846" refreshError="1"/>
      <sheetData sheetId="4847">
        <row r="1">
          <cell r="J1">
            <v>1.7453292519943295E-2</v>
          </cell>
        </row>
      </sheetData>
      <sheetData sheetId="4848">
        <row r="1">
          <cell r="J1">
            <v>1.7453292519943295E-2</v>
          </cell>
        </row>
      </sheetData>
      <sheetData sheetId="4849">
        <row r="1">
          <cell r="J1">
            <v>1.7453292519943295E-2</v>
          </cell>
        </row>
      </sheetData>
      <sheetData sheetId="4850">
        <row r="1">
          <cell r="J1">
            <v>1.7453292519943295E-2</v>
          </cell>
        </row>
      </sheetData>
      <sheetData sheetId="4851">
        <row r="1">
          <cell r="J1">
            <v>1.7453292519943295E-2</v>
          </cell>
        </row>
      </sheetData>
      <sheetData sheetId="4852">
        <row r="1">
          <cell r="J1">
            <v>1.7453292519943295E-2</v>
          </cell>
        </row>
      </sheetData>
      <sheetData sheetId="4853">
        <row r="1">
          <cell r="J1">
            <v>1.7453292519943295E-2</v>
          </cell>
        </row>
      </sheetData>
      <sheetData sheetId="4854">
        <row r="1">
          <cell r="J1">
            <v>1.7453292519943295E-2</v>
          </cell>
        </row>
      </sheetData>
      <sheetData sheetId="4855">
        <row r="1">
          <cell r="J1">
            <v>1.7453292519943295E-2</v>
          </cell>
        </row>
      </sheetData>
      <sheetData sheetId="4856">
        <row r="1">
          <cell r="J1">
            <v>1.7453292519943295E-2</v>
          </cell>
        </row>
      </sheetData>
      <sheetData sheetId="4857">
        <row r="1">
          <cell r="J1">
            <v>1.7453292519943295E-2</v>
          </cell>
        </row>
      </sheetData>
      <sheetData sheetId="4858">
        <row r="1">
          <cell r="J1">
            <v>1.7453292519943295E-2</v>
          </cell>
        </row>
      </sheetData>
      <sheetData sheetId="4859">
        <row r="1">
          <cell r="J1">
            <v>1.7453292519943295E-2</v>
          </cell>
        </row>
      </sheetData>
      <sheetData sheetId="4860">
        <row r="1">
          <cell r="J1">
            <v>1.7453292519943295E-2</v>
          </cell>
        </row>
      </sheetData>
      <sheetData sheetId="4861">
        <row r="1">
          <cell r="J1">
            <v>1.7453292519943295E-2</v>
          </cell>
        </row>
      </sheetData>
      <sheetData sheetId="4862">
        <row r="1">
          <cell r="J1">
            <v>1.7453292519943295E-2</v>
          </cell>
        </row>
      </sheetData>
      <sheetData sheetId="4863">
        <row r="1">
          <cell r="J1">
            <v>1.7453292519943295E-2</v>
          </cell>
        </row>
      </sheetData>
      <sheetData sheetId="4864">
        <row r="1">
          <cell r="J1">
            <v>1.7453292519943295E-2</v>
          </cell>
        </row>
      </sheetData>
      <sheetData sheetId="4865">
        <row r="1">
          <cell r="J1">
            <v>1.7453292519943295E-2</v>
          </cell>
        </row>
      </sheetData>
      <sheetData sheetId="4866">
        <row r="1">
          <cell r="J1">
            <v>1.7453292519943295E-2</v>
          </cell>
        </row>
      </sheetData>
      <sheetData sheetId="4867">
        <row r="1">
          <cell r="J1">
            <v>1.7453292519943295E-2</v>
          </cell>
        </row>
      </sheetData>
      <sheetData sheetId="4868">
        <row r="1">
          <cell r="J1">
            <v>1.7453292519943295E-2</v>
          </cell>
        </row>
      </sheetData>
      <sheetData sheetId="4869">
        <row r="1">
          <cell r="J1">
            <v>1.7453292519943295E-2</v>
          </cell>
        </row>
      </sheetData>
      <sheetData sheetId="4870" refreshError="1"/>
      <sheetData sheetId="4871">
        <row r="1">
          <cell r="J1">
            <v>1.7453292519943295E-2</v>
          </cell>
        </row>
      </sheetData>
      <sheetData sheetId="4872" refreshError="1"/>
      <sheetData sheetId="4873"/>
      <sheetData sheetId="4874"/>
      <sheetData sheetId="4875">
        <row r="1">
          <cell r="J1">
            <v>1.7453292519943295E-2</v>
          </cell>
        </row>
      </sheetData>
      <sheetData sheetId="4876" refreshError="1"/>
      <sheetData sheetId="4877">
        <row r="1">
          <cell r="J1">
            <v>1.7453292519943295E-2</v>
          </cell>
        </row>
      </sheetData>
      <sheetData sheetId="4878" refreshError="1"/>
      <sheetData sheetId="4879">
        <row r="1">
          <cell r="J1">
            <v>1.7453292519943295E-2</v>
          </cell>
        </row>
      </sheetData>
      <sheetData sheetId="4880">
        <row r="1">
          <cell r="J1">
            <v>1.7453292519943295E-2</v>
          </cell>
        </row>
      </sheetData>
      <sheetData sheetId="4881">
        <row r="1">
          <cell r="J1">
            <v>1.7453292519943295E-2</v>
          </cell>
        </row>
      </sheetData>
      <sheetData sheetId="4882">
        <row r="1">
          <cell r="J1">
            <v>1.7453292519943295E-2</v>
          </cell>
        </row>
      </sheetData>
      <sheetData sheetId="4883">
        <row r="1">
          <cell r="J1">
            <v>1.7453292519943295E-2</v>
          </cell>
        </row>
      </sheetData>
      <sheetData sheetId="4884">
        <row r="1">
          <cell r="J1">
            <v>1.7453292519943295E-2</v>
          </cell>
        </row>
      </sheetData>
      <sheetData sheetId="4885">
        <row r="1">
          <cell r="J1">
            <v>1.7453292519943295E-2</v>
          </cell>
        </row>
      </sheetData>
      <sheetData sheetId="4886">
        <row r="1">
          <cell r="J1">
            <v>1.7453292519943295E-2</v>
          </cell>
        </row>
      </sheetData>
      <sheetData sheetId="4887">
        <row r="1">
          <cell r="J1">
            <v>1.7453292519943295E-2</v>
          </cell>
        </row>
      </sheetData>
      <sheetData sheetId="4888">
        <row r="1">
          <cell r="J1">
            <v>1.7453292519943295E-2</v>
          </cell>
        </row>
      </sheetData>
      <sheetData sheetId="4889">
        <row r="1">
          <cell r="J1">
            <v>1.7453292519943295E-2</v>
          </cell>
        </row>
      </sheetData>
      <sheetData sheetId="4890">
        <row r="1">
          <cell r="J1">
            <v>1.7453292519943295E-2</v>
          </cell>
        </row>
      </sheetData>
      <sheetData sheetId="4891">
        <row r="1">
          <cell r="J1">
            <v>1.7453292519943295E-2</v>
          </cell>
        </row>
      </sheetData>
      <sheetData sheetId="4892">
        <row r="1">
          <cell r="J1">
            <v>1.7453292519943295E-2</v>
          </cell>
        </row>
      </sheetData>
      <sheetData sheetId="4893">
        <row r="1">
          <cell r="J1">
            <v>1.7453292519943295E-2</v>
          </cell>
        </row>
      </sheetData>
      <sheetData sheetId="4894">
        <row r="1">
          <cell r="J1">
            <v>1.7453292519943295E-2</v>
          </cell>
        </row>
      </sheetData>
      <sheetData sheetId="4895">
        <row r="1">
          <cell r="J1">
            <v>1.7453292519943295E-2</v>
          </cell>
        </row>
      </sheetData>
      <sheetData sheetId="4896">
        <row r="1">
          <cell r="J1">
            <v>1.7453292519943295E-2</v>
          </cell>
        </row>
      </sheetData>
      <sheetData sheetId="4897">
        <row r="1">
          <cell r="J1">
            <v>1.7453292519943295E-2</v>
          </cell>
        </row>
      </sheetData>
      <sheetData sheetId="4898">
        <row r="1">
          <cell r="J1">
            <v>1.7453292519943295E-2</v>
          </cell>
        </row>
      </sheetData>
      <sheetData sheetId="4899">
        <row r="1">
          <cell r="J1">
            <v>1.7453292519943295E-2</v>
          </cell>
        </row>
      </sheetData>
      <sheetData sheetId="4900"/>
      <sheetData sheetId="4901" refreshError="1"/>
      <sheetData sheetId="4902">
        <row r="1">
          <cell r="J1">
            <v>1.7453292519943295E-2</v>
          </cell>
        </row>
      </sheetData>
      <sheetData sheetId="4903" refreshError="1"/>
      <sheetData sheetId="4904">
        <row r="1">
          <cell r="J1">
            <v>1.7453292519943295E-2</v>
          </cell>
        </row>
      </sheetData>
      <sheetData sheetId="4905"/>
      <sheetData sheetId="4906" refreshError="1"/>
      <sheetData sheetId="4907">
        <row r="1">
          <cell r="J1">
            <v>1.7453292519943295E-2</v>
          </cell>
        </row>
      </sheetData>
      <sheetData sheetId="4908" refreshError="1"/>
      <sheetData sheetId="4909" refreshError="1"/>
      <sheetData sheetId="4910">
        <row r="1">
          <cell r="J1">
            <v>1.7453292519943295E-2</v>
          </cell>
        </row>
      </sheetData>
      <sheetData sheetId="4911" refreshError="1"/>
      <sheetData sheetId="4912">
        <row r="1">
          <cell r="J1">
            <v>1.7453292519943295E-2</v>
          </cell>
        </row>
      </sheetData>
      <sheetData sheetId="4913"/>
      <sheetData sheetId="4914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 refreshError="1"/>
      <sheetData sheetId="4922" refreshError="1"/>
      <sheetData sheetId="4923" refreshError="1"/>
      <sheetData sheetId="4924">
        <row r="1">
          <cell r="J1">
            <v>1.7453292519943295E-2</v>
          </cell>
        </row>
      </sheetData>
      <sheetData sheetId="4925" refreshError="1"/>
      <sheetData sheetId="4926" refreshError="1"/>
      <sheetData sheetId="4927" refreshError="1"/>
      <sheetData sheetId="4928">
        <row r="1">
          <cell r="J1">
            <v>1.7453292519943295E-2</v>
          </cell>
        </row>
      </sheetData>
      <sheetData sheetId="4929" refreshError="1"/>
      <sheetData sheetId="4930">
        <row r="1">
          <cell r="J1">
            <v>1.7453292519943295E-2</v>
          </cell>
        </row>
      </sheetData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>
        <row r="1">
          <cell r="J1">
            <v>1.7453292519943295E-2</v>
          </cell>
        </row>
      </sheetData>
      <sheetData sheetId="4937">
        <row r="1">
          <cell r="J1">
            <v>1.7453292519943295E-2</v>
          </cell>
        </row>
      </sheetData>
      <sheetData sheetId="4938">
        <row r="1">
          <cell r="J1">
            <v>1.7453292519943295E-2</v>
          </cell>
        </row>
      </sheetData>
      <sheetData sheetId="4939">
        <row r="1">
          <cell r="J1">
            <v>1.7453292519943295E-2</v>
          </cell>
        </row>
      </sheetData>
      <sheetData sheetId="4940">
        <row r="1">
          <cell r="J1">
            <v>1.7453292519943295E-2</v>
          </cell>
        </row>
      </sheetData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>
        <row r="1">
          <cell r="J1">
            <v>1.7453292519943295E-2</v>
          </cell>
        </row>
      </sheetData>
      <sheetData sheetId="4958">
        <row r="1">
          <cell r="J1">
            <v>1.7453292519943295E-2</v>
          </cell>
        </row>
      </sheetData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>
        <row r="1">
          <cell r="J1">
            <v>1.7453292519943295E-2</v>
          </cell>
        </row>
      </sheetData>
      <sheetData sheetId="4970" refreshError="1"/>
      <sheetData sheetId="4971">
        <row r="1">
          <cell r="J1">
            <v>1.7453292519943295E-2</v>
          </cell>
        </row>
      </sheetData>
      <sheetData sheetId="4972" refreshError="1"/>
      <sheetData sheetId="4973">
        <row r="1">
          <cell r="J1">
            <v>1.7453292519943295E-2</v>
          </cell>
        </row>
      </sheetData>
      <sheetData sheetId="4974">
        <row r="1">
          <cell r="J1">
            <v>1.7453292519943295E-2</v>
          </cell>
        </row>
      </sheetData>
      <sheetData sheetId="4975">
        <row r="1">
          <cell r="J1">
            <v>1.7453292519943295E-2</v>
          </cell>
        </row>
      </sheetData>
      <sheetData sheetId="4976">
        <row r="1">
          <cell r="J1">
            <v>1.7453292519943295E-2</v>
          </cell>
        </row>
      </sheetData>
      <sheetData sheetId="4977">
        <row r="1">
          <cell r="J1">
            <v>1.7453292519943295E-2</v>
          </cell>
        </row>
      </sheetData>
      <sheetData sheetId="4978">
        <row r="1">
          <cell r="J1">
            <v>1.7453292519943295E-2</v>
          </cell>
        </row>
      </sheetData>
      <sheetData sheetId="4979" refreshError="1"/>
      <sheetData sheetId="4980" refreshError="1"/>
      <sheetData sheetId="4981" refreshError="1"/>
      <sheetData sheetId="4982"/>
      <sheetData sheetId="4983"/>
      <sheetData sheetId="4984"/>
      <sheetData sheetId="4985">
        <row r="1">
          <cell r="J1">
            <v>1.7453292519943295E-2</v>
          </cell>
        </row>
      </sheetData>
      <sheetData sheetId="4986"/>
      <sheetData sheetId="4987"/>
      <sheetData sheetId="4988"/>
      <sheetData sheetId="4989"/>
      <sheetData sheetId="4990">
        <row r="1">
          <cell r="J1">
            <v>1.7453292519943295E-2</v>
          </cell>
        </row>
      </sheetData>
      <sheetData sheetId="4991">
        <row r="1">
          <cell r="J1">
            <v>1.7453292519943295E-2</v>
          </cell>
        </row>
      </sheetData>
      <sheetData sheetId="4992">
        <row r="1">
          <cell r="J1">
            <v>1.7453292519943295E-2</v>
          </cell>
        </row>
      </sheetData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 refreshError="1"/>
      <sheetData sheetId="5005">
        <row r="1">
          <cell r="J1">
            <v>1.7453292519943295E-2</v>
          </cell>
        </row>
      </sheetData>
      <sheetData sheetId="5006" refreshError="1"/>
      <sheetData sheetId="5007"/>
      <sheetData sheetId="5008"/>
      <sheetData sheetId="5009"/>
      <sheetData sheetId="5010" refreshError="1"/>
      <sheetData sheetId="5011"/>
      <sheetData sheetId="5012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>
        <row r="1">
          <cell r="J1">
            <v>1.7453292519943295E-2</v>
          </cell>
        </row>
      </sheetData>
      <sheetData sheetId="5117">
        <row r="1">
          <cell r="J1">
            <v>1.7453292519943295E-2</v>
          </cell>
        </row>
      </sheetData>
      <sheetData sheetId="5118">
        <row r="1">
          <cell r="J1">
            <v>1.7453292519943295E-2</v>
          </cell>
        </row>
      </sheetData>
      <sheetData sheetId="5119">
        <row r="1">
          <cell r="J1">
            <v>1.7453292519943295E-2</v>
          </cell>
        </row>
      </sheetData>
      <sheetData sheetId="5120">
        <row r="1">
          <cell r="J1">
            <v>1.7453292519943295E-2</v>
          </cell>
        </row>
      </sheetData>
      <sheetData sheetId="5121">
        <row r="1">
          <cell r="J1">
            <v>1.7453292519943295E-2</v>
          </cell>
        </row>
      </sheetData>
      <sheetData sheetId="5122">
        <row r="1">
          <cell r="J1">
            <v>1.7453292519943295E-2</v>
          </cell>
        </row>
      </sheetData>
      <sheetData sheetId="5123">
        <row r="1">
          <cell r="J1">
            <v>1.7453292519943295E-2</v>
          </cell>
        </row>
      </sheetData>
      <sheetData sheetId="5124">
        <row r="1">
          <cell r="J1">
            <v>1.7453292519943295E-2</v>
          </cell>
        </row>
      </sheetData>
      <sheetData sheetId="5125">
        <row r="1">
          <cell r="J1">
            <v>1.7453292519943295E-2</v>
          </cell>
        </row>
      </sheetData>
      <sheetData sheetId="5126">
        <row r="1">
          <cell r="J1">
            <v>1.7453292519943295E-2</v>
          </cell>
        </row>
      </sheetData>
      <sheetData sheetId="5127">
        <row r="1">
          <cell r="J1">
            <v>1.7453292519943295E-2</v>
          </cell>
        </row>
      </sheetData>
      <sheetData sheetId="5128">
        <row r="1">
          <cell r="J1">
            <v>1.7453292519943295E-2</v>
          </cell>
        </row>
      </sheetData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>
        <row r="1">
          <cell r="J1">
            <v>1.7453292519943295E-2</v>
          </cell>
        </row>
      </sheetData>
      <sheetData sheetId="5151"/>
      <sheetData sheetId="5152">
        <row r="1">
          <cell r="J1">
            <v>1.7453292519943295E-2</v>
          </cell>
        </row>
      </sheetData>
      <sheetData sheetId="5153">
        <row r="1">
          <cell r="J1">
            <v>1.7453292519943295E-2</v>
          </cell>
        </row>
      </sheetData>
      <sheetData sheetId="5154">
        <row r="1">
          <cell r="J1">
            <v>1.7453292519943295E-2</v>
          </cell>
        </row>
      </sheetData>
      <sheetData sheetId="5155">
        <row r="1">
          <cell r="J1">
            <v>1.7453292519943295E-2</v>
          </cell>
        </row>
      </sheetData>
      <sheetData sheetId="5156">
        <row r="1">
          <cell r="J1">
            <v>1.7453292519943295E-2</v>
          </cell>
        </row>
      </sheetData>
      <sheetData sheetId="5157">
        <row r="1">
          <cell r="J1">
            <v>1.7453292519943295E-2</v>
          </cell>
        </row>
      </sheetData>
      <sheetData sheetId="5158">
        <row r="1">
          <cell r="J1">
            <v>1.7453292519943295E-2</v>
          </cell>
        </row>
      </sheetData>
      <sheetData sheetId="5159">
        <row r="1">
          <cell r="J1">
            <v>1.7453292519943295E-2</v>
          </cell>
        </row>
      </sheetData>
      <sheetData sheetId="5160">
        <row r="1">
          <cell r="J1">
            <v>1.7453292519943295E-2</v>
          </cell>
        </row>
      </sheetData>
      <sheetData sheetId="5161">
        <row r="1">
          <cell r="J1">
            <v>1.7453292519943295E-2</v>
          </cell>
        </row>
      </sheetData>
      <sheetData sheetId="5162">
        <row r="1">
          <cell r="J1">
            <v>1.7453292519943295E-2</v>
          </cell>
        </row>
      </sheetData>
      <sheetData sheetId="5163">
        <row r="1">
          <cell r="J1">
            <v>1.7453292519943295E-2</v>
          </cell>
        </row>
      </sheetData>
      <sheetData sheetId="5164">
        <row r="1">
          <cell r="J1">
            <v>1.7453292519943295E-2</v>
          </cell>
        </row>
      </sheetData>
      <sheetData sheetId="5165">
        <row r="1">
          <cell r="J1">
            <v>1.7453292519943295E-2</v>
          </cell>
        </row>
      </sheetData>
      <sheetData sheetId="5166">
        <row r="1">
          <cell r="J1">
            <v>1.7453292519943295E-2</v>
          </cell>
        </row>
      </sheetData>
      <sheetData sheetId="5167">
        <row r="1">
          <cell r="J1">
            <v>1.7453292519943295E-2</v>
          </cell>
        </row>
      </sheetData>
      <sheetData sheetId="5168">
        <row r="1">
          <cell r="J1">
            <v>1.7453292519943295E-2</v>
          </cell>
        </row>
      </sheetData>
      <sheetData sheetId="5169">
        <row r="1">
          <cell r="J1">
            <v>1.7453292519943295E-2</v>
          </cell>
        </row>
      </sheetData>
      <sheetData sheetId="5170">
        <row r="1">
          <cell r="J1">
            <v>1.7453292519943295E-2</v>
          </cell>
        </row>
      </sheetData>
      <sheetData sheetId="5171">
        <row r="1">
          <cell r="J1">
            <v>1.7453292519943295E-2</v>
          </cell>
        </row>
      </sheetData>
      <sheetData sheetId="5172">
        <row r="1">
          <cell r="J1">
            <v>1.7453292519943295E-2</v>
          </cell>
        </row>
      </sheetData>
      <sheetData sheetId="5173">
        <row r="1">
          <cell r="J1">
            <v>1.7453292519943295E-2</v>
          </cell>
        </row>
      </sheetData>
      <sheetData sheetId="5174">
        <row r="1">
          <cell r="J1">
            <v>1.7453292519943295E-2</v>
          </cell>
        </row>
      </sheetData>
      <sheetData sheetId="5175">
        <row r="1">
          <cell r="J1">
            <v>1.7453292519943295E-2</v>
          </cell>
        </row>
      </sheetData>
      <sheetData sheetId="5176">
        <row r="1">
          <cell r="J1">
            <v>1.7453292519943295E-2</v>
          </cell>
        </row>
      </sheetData>
      <sheetData sheetId="5177">
        <row r="1">
          <cell r="J1">
            <v>1.7453292519943295E-2</v>
          </cell>
        </row>
      </sheetData>
      <sheetData sheetId="5178">
        <row r="1">
          <cell r="J1">
            <v>1.7453292519943295E-2</v>
          </cell>
        </row>
      </sheetData>
      <sheetData sheetId="5179">
        <row r="1">
          <cell r="J1">
            <v>1.7453292519943295E-2</v>
          </cell>
        </row>
      </sheetData>
      <sheetData sheetId="5180">
        <row r="1">
          <cell r="J1">
            <v>1.7453292519943295E-2</v>
          </cell>
        </row>
      </sheetData>
      <sheetData sheetId="5181">
        <row r="1">
          <cell r="J1">
            <v>1.7453292519943295E-2</v>
          </cell>
        </row>
      </sheetData>
      <sheetData sheetId="5182">
        <row r="1">
          <cell r="J1">
            <v>1.7453292519943295E-2</v>
          </cell>
        </row>
      </sheetData>
      <sheetData sheetId="5183">
        <row r="1">
          <cell r="J1">
            <v>1.7453292519943295E-2</v>
          </cell>
        </row>
      </sheetData>
      <sheetData sheetId="5184">
        <row r="1">
          <cell r="J1">
            <v>1.7453292519943295E-2</v>
          </cell>
        </row>
      </sheetData>
      <sheetData sheetId="5185">
        <row r="1">
          <cell r="J1">
            <v>1.7453292519943295E-2</v>
          </cell>
        </row>
      </sheetData>
      <sheetData sheetId="5186">
        <row r="1">
          <cell r="J1">
            <v>1.7453292519943295E-2</v>
          </cell>
        </row>
      </sheetData>
      <sheetData sheetId="5187">
        <row r="1">
          <cell r="J1">
            <v>1.7453292519943295E-2</v>
          </cell>
        </row>
      </sheetData>
      <sheetData sheetId="5188">
        <row r="1">
          <cell r="J1">
            <v>1.7453292519943295E-2</v>
          </cell>
        </row>
      </sheetData>
      <sheetData sheetId="5189">
        <row r="1">
          <cell r="J1">
            <v>1.7453292519943295E-2</v>
          </cell>
        </row>
      </sheetData>
      <sheetData sheetId="5190">
        <row r="1">
          <cell r="J1">
            <v>1.7453292519943295E-2</v>
          </cell>
        </row>
      </sheetData>
      <sheetData sheetId="5191">
        <row r="1">
          <cell r="J1">
            <v>1.7453292519943295E-2</v>
          </cell>
        </row>
      </sheetData>
      <sheetData sheetId="5192">
        <row r="1">
          <cell r="J1">
            <v>1.7453292519943295E-2</v>
          </cell>
        </row>
      </sheetData>
      <sheetData sheetId="5193">
        <row r="1">
          <cell r="J1">
            <v>1.7453292519943295E-2</v>
          </cell>
        </row>
      </sheetData>
      <sheetData sheetId="5194">
        <row r="1">
          <cell r="J1">
            <v>1.7453292519943295E-2</v>
          </cell>
        </row>
      </sheetData>
      <sheetData sheetId="5195">
        <row r="1">
          <cell r="J1">
            <v>1.7453292519943295E-2</v>
          </cell>
        </row>
      </sheetData>
      <sheetData sheetId="5196">
        <row r="1">
          <cell r="J1">
            <v>1.7453292519943295E-2</v>
          </cell>
        </row>
      </sheetData>
      <sheetData sheetId="5197">
        <row r="1">
          <cell r="J1">
            <v>1.7453292519943295E-2</v>
          </cell>
        </row>
      </sheetData>
      <sheetData sheetId="5198">
        <row r="1">
          <cell r="J1">
            <v>1.7453292519943295E-2</v>
          </cell>
        </row>
      </sheetData>
      <sheetData sheetId="5199">
        <row r="1">
          <cell r="J1">
            <v>1.7453292519943295E-2</v>
          </cell>
        </row>
      </sheetData>
      <sheetData sheetId="5200">
        <row r="1">
          <cell r="J1">
            <v>1.7453292519943295E-2</v>
          </cell>
        </row>
      </sheetData>
      <sheetData sheetId="5201">
        <row r="1">
          <cell r="J1">
            <v>1.7453292519943295E-2</v>
          </cell>
        </row>
      </sheetData>
      <sheetData sheetId="5202">
        <row r="1">
          <cell r="J1">
            <v>1.7453292519943295E-2</v>
          </cell>
        </row>
      </sheetData>
      <sheetData sheetId="5203">
        <row r="1">
          <cell r="J1">
            <v>1.7453292519943295E-2</v>
          </cell>
        </row>
      </sheetData>
      <sheetData sheetId="5204">
        <row r="1">
          <cell r="J1">
            <v>1.7453292519943295E-2</v>
          </cell>
        </row>
      </sheetData>
      <sheetData sheetId="5205">
        <row r="1">
          <cell r="J1">
            <v>1.7453292519943295E-2</v>
          </cell>
        </row>
      </sheetData>
      <sheetData sheetId="5206">
        <row r="1">
          <cell r="J1">
            <v>1.7453292519943295E-2</v>
          </cell>
        </row>
      </sheetData>
      <sheetData sheetId="5207">
        <row r="1">
          <cell r="J1">
            <v>1.7453292519943295E-2</v>
          </cell>
        </row>
      </sheetData>
      <sheetData sheetId="5208">
        <row r="1">
          <cell r="J1">
            <v>1.7453292519943295E-2</v>
          </cell>
        </row>
      </sheetData>
      <sheetData sheetId="5209">
        <row r="1">
          <cell r="J1">
            <v>1.7453292519943295E-2</v>
          </cell>
        </row>
      </sheetData>
      <sheetData sheetId="5210">
        <row r="1">
          <cell r="J1">
            <v>1.7453292519943295E-2</v>
          </cell>
        </row>
      </sheetData>
      <sheetData sheetId="5211">
        <row r="1">
          <cell r="J1">
            <v>1.7453292519943295E-2</v>
          </cell>
        </row>
      </sheetData>
      <sheetData sheetId="5212">
        <row r="1">
          <cell r="J1">
            <v>1.7453292519943295E-2</v>
          </cell>
        </row>
      </sheetData>
      <sheetData sheetId="5213">
        <row r="1">
          <cell r="J1">
            <v>1.7453292519943295E-2</v>
          </cell>
        </row>
      </sheetData>
      <sheetData sheetId="5214">
        <row r="1">
          <cell r="J1">
            <v>1.7453292519943295E-2</v>
          </cell>
        </row>
      </sheetData>
      <sheetData sheetId="5215">
        <row r="1">
          <cell r="J1">
            <v>1.7453292519943295E-2</v>
          </cell>
        </row>
      </sheetData>
      <sheetData sheetId="5216">
        <row r="1">
          <cell r="J1">
            <v>1.7453292519943295E-2</v>
          </cell>
        </row>
      </sheetData>
      <sheetData sheetId="5217">
        <row r="1">
          <cell r="J1">
            <v>1.7453292519943295E-2</v>
          </cell>
        </row>
      </sheetData>
      <sheetData sheetId="5218">
        <row r="1">
          <cell r="J1">
            <v>1.7453292519943295E-2</v>
          </cell>
        </row>
      </sheetData>
      <sheetData sheetId="5219">
        <row r="1">
          <cell r="J1">
            <v>1.7453292519943295E-2</v>
          </cell>
        </row>
      </sheetData>
      <sheetData sheetId="5220">
        <row r="1">
          <cell r="J1">
            <v>1.7453292519943295E-2</v>
          </cell>
        </row>
      </sheetData>
      <sheetData sheetId="5221">
        <row r="1">
          <cell r="J1">
            <v>1.7453292519943295E-2</v>
          </cell>
        </row>
      </sheetData>
      <sheetData sheetId="5222">
        <row r="1">
          <cell r="J1">
            <v>1.7453292519943295E-2</v>
          </cell>
        </row>
      </sheetData>
      <sheetData sheetId="5223">
        <row r="1">
          <cell r="J1">
            <v>1.7453292519943295E-2</v>
          </cell>
        </row>
      </sheetData>
      <sheetData sheetId="5224">
        <row r="1">
          <cell r="J1">
            <v>1.7453292519943295E-2</v>
          </cell>
        </row>
      </sheetData>
      <sheetData sheetId="5225">
        <row r="1">
          <cell r="J1">
            <v>1.7453292519943295E-2</v>
          </cell>
        </row>
      </sheetData>
      <sheetData sheetId="5226">
        <row r="1">
          <cell r="J1">
            <v>1.7453292519943295E-2</v>
          </cell>
        </row>
      </sheetData>
      <sheetData sheetId="5227">
        <row r="1">
          <cell r="J1">
            <v>1.7453292519943295E-2</v>
          </cell>
        </row>
      </sheetData>
      <sheetData sheetId="5228">
        <row r="1">
          <cell r="J1">
            <v>1.7453292519943295E-2</v>
          </cell>
        </row>
      </sheetData>
      <sheetData sheetId="5229">
        <row r="1">
          <cell r="J1">
            <v>1.7453292519943295E-2</v>
          </cell>
        </row>
      </sheetData>
      <sheetData sheetId="5230">
        <row r="1">
          <cell r="J1">
            <v>1.7453292519943295E-2</v>
          </cell>
        </row>
      </sheetData>
      <sheetData sheetId="5231">
        <row r="1">
          <cell r="J1">
            <v>1.7453292519943295E-2</v>
          </cell>
        </row>
      </sheetData>
      <sheetData sheetId="5232">
        <row r="1">
          <cell r="J1">
            <v>1.7453292519943295E-2</v>
          </cell>
        </row>
      </sheetData>
      <sheetData sheetId="5233">
        <row r="1">
          <cell r="J1">
            <v>1.7453292519943295E-2</v>
          </cell>
        </row>
      </sheetData>
      <sheetData sheetId="5234">
        <row r="1">
          <cell r="J1">
            <v>1.7453292519943295E-2</v>
          </cell>
        </row>
      </sheetData>
      <sheetData sheetId="5235">
        <row r="1">
          <cell r="J1">
            <v>1.7453292519943295E-2</v>
          </cell>
        </row>
      </sheetData>
      <sheetData sheetId="5236">
        <row r="1">
          <cell r="J1">
            <v>1.7453292519943295E-2</v>
          </cell>
        </row>
      </sheetData>
      <sheetData sheetId="5237">
        <row r="1">
          <cell r="J1">
            <v>1.7453292519943295E-2</v>
          </cell>
        </row>
      </sheetData>
      <sheetData sheetId="5238">
        <row r="1">
          <cell r="J1">
            <v>1.7453292519943295E-2</v>
          </cell>
        </row>
      </sheetData>
      <sheetData sheetId="5239">
        <row r="1">
          <cell r="J1">
            <v>1.7453292519943295E-2</v>
          </cell>
        </row>
      </sheetData>
      <sheetData sheetId="5240">
        <row r="1">
          <cell r="J1">
            <v>1.7453292519943295E-2</v>
          </cell>
        </row>
      </sheetData>
      <sheetData sheetId="5241">
        <row r="1">
          <cell r="J1">
            <v>1.7453292519943295E-2</v>
          </cell>
        </row>
      </sheetData>
      <sheetData sheetId="5242">
        <row r="1">
          <cell r="J1">
            <v>1.7453292519943295E-2</v>
          </cell>
        </row>
      </sheetData>
      <sheetData sheetId="5243">
        <row r="1">
          <cell r="J1">
            <v>1.7453292519943295E-2</v>
          </cell>
        </row>
      </sheetData>
      <sheetData sheetId="5244">
        <row r="1">
          <cell r="J1">
            <v>1.7453292519943295E-2</v>
          </cell>
        </row>
      </sheetData>
      <sheetData sheetId="5245">
        <row r="1">
          <cell r="J1">
            <v>1.7453292519943295E-2</v>
          </cell>
        </row>
      </sheetData>
      <sheetData sheetId="5246">
        <row r="1">
          <cell r="J1">
            <v>1.7453292519943295E-2</v>
          </cell>
        </row>
      </sheetData>
      <sheetData sheetId="5247">
        <row r="1">
          <cell r="J1">
            <v>1.7453292519943295E-2</v>
          </cell>
        </row>
      </sheetData>
      <sheetData sheetId="5248">
        <row r="1">
          <cell r="J1">
            <v>1.7453292519943295E-2</v>
          </cell>
        </row>
      </sheetData>
      <sheetData sheetId="5249">
        <row r="1">
          <cell r="J1">
            <v>1.7453292519943295E-2</v>
          </cell>
        </row>
      </sheetData>
      <sheetData sheetId="5250">
        <row r="1">
          <cell r="J1">
            <v>1.7453292519943295E-2</v>
          </cell>
        </row>
      </sheetData>
      <sheetData sheetId="5251">
        <row r="1">
          <cell r="J1">
            <v>1.7453292519943295E-2</v>
          </cell>
        </row>
      </sheetData>
      <sheetData sheetId="5252">
        <row r="1">
          <cell r="J1">
            <v>1.7453292519943295E-2</v>
          </cell>
        </row>
      </sheetData>
      <sheetData sheetId="5253">
        <row r="1">
          <cell r="J1">
            <v>1.7453292519943295E-2</v>
          </cell>
        </row>
      </sheetData>
      <sheetData sheetId="5254">
        <row r="1">
          <cell r="J1">
            <v>1.7453292519943295E-2</v>
          </cell>
        </row>
      </sheetData>
      <sheetData sheetId="5255">
        <row r="1">
          <cell r="J1">
            <v>1.7453292519943295E-2</v>
          </cell>
        </row>
      </sheetData>
      <sheetData sheetId="5256">
        <row r="1">
          <cell r="J1">
            <v>1.7453292519943295E-2</v>
          </cell>
        </row>
      </sheetData>
      <sheetData sheetId="5257">
        <row r="1">
          <cell r="J1">
            <v>1.7453292519943295E-2</v>
          </cell>
        </row>
      </sheetData>
      <sheetData sheetId="5258">
        <row r="1">
          <cell r="J1">
            <v>1.7453292519943295E-2</v>
          </cell>
        </row>
      </sheetData>
      <sheetData sheetId="5259">
        <row r="1">
          <cell r="J1">
            <v>1.7453292519943295E-2</v>
          </cell>
        </row>
      </sheetData>
      <sheetData sheetId="5260">
        <row r="1">
          <cell r="J1">
            <v>1.7453292519943295E-2</v>
          </cell>
        </row>
      </sheetData>
      <sheetData sheetId="5261">
        <row r="1">
          <cell r="J1">
            <v>1.7453292519943295E-2</v>
          </cell>
        </row>
      </sheetData>
      <sheetData sheetId="5262">
        <row r="1">
          <cell r="J1">
            <v>1.7453292519943295E-2</v>
          </cell>
        </row>
      </sheetData>
      <sheetData sheetId="5263">
        <row r="1">
          <cell r="J1">
            <v>1.7453292519943295E-2</v>
          </cell>
        </row>
      </sheetData>
      <sheetData sheetId="5264">
        <row r="1">
          <cell r="J1">
            <v>1.7453292519943295E-2</v>
          </cell>
        </row>
      </sheetData>
      <sheetData sheetId="5265">
        <row r="1">
          <cell r="J1">
            <v>1.7453292519943295E-2</v>
          </cell>
        </row>
      </sheetData>
      <sheetData sheetId="5266">
        <row r="1">
          <cell r="J1">
            <v>1.7453292519943295E-2</v>
          </cell>
        </row>
      </sheetData>
      <sheetData sheetId="5267">
        <row r="1">
          <cell r="J1">
            <v>1.7453292519943295E-2</v>
          </cell>
        </row>
      </sheetData>
      <sheetData sheetId="5268">
        <row r="1">
          <cell r="J1">
            <v>1.7453292519943295E-2</v>
          </cell>
        </row>
      </sheetData>
      <sheetData sheetId="5269">
        <row r="1">
          <cell r="J1">
            <v>1.7453292519943295E-2</v>
          </cell>
        </row>
      </sheetData>
      <sheetData sheetId="5270">
        <row r="1">
          <cell r="J1">
            <v>1.7453292519943295E-2</v>
          </cell>
        </row>
      </sheetData>
      <sheetData sheetId="5271">
        <row r="1">
          <cell r="J1">
            <v>1.7453292519943295E-2</v>
          </cell>
        </row>
      </sheetData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>
        <row r="1">
          <cell r="J1">
            <v>1.7453292519943295E-2</v>
          </cell>
        </row>
      </sheetData>
      <sheetData sheetId="5472">
        <row r="1">
          <cell r="J1">
            <v>1.7453292519943295E-2</v>
          </cell>
        </row>
      </sheetData>
      <sheetData sheetId="5473">
        <row r="1">
          <cell r="J1">
            <v>1.7453292519943295E-2</v>
          </cell>
        </row>
      </sheetData>
      <sheetData sheetId="5474">
        <row r="1">
          <cell r="J1">
            <v>1.7453292519943295E-2</v>
          </cell>
        </row>
      </sheetData>
      <sheetData sheetId="5475">
        <row r="1">
          <cell r="J1">
            <v>1.7453292519943295E-2</v>
          </cell>
        </row>
      </sheetData>
      <sheetData sheetId="5476">
        <row r="1">
          <cell r="J1">
            <v>1.7453292519943295E-2</v>
          </cell>
        </row>
      </sheetData>
      <sheetData sheetId="5477">
        <row r="1">
          <cell r="J1">
            <v>1.7453292519943295E-2</v>
          </cell>
        </row>
      </sheetData>
      <sheetData sheetId="5478">
        <row r="1">
          <cell r="J1">
            <v>1.7453292519943295E-2</v>
          </cell>
        </row>
      </sheetData>
      <sheetData sheetId="5479">
        <row r="1">
          <cell r="J1">
            <v>1.7453292519943295E-2</v>
          </cell>
        </row>
      </sheetData>
      <sheetData sheetId="5480">
        <row r="1">
          <cell r="J1">
            <v>1.7453292519943295E-2</v>
          </cell>
        </row>
      </sheetData>
      <sheetData sheetId="5481">
        <row r="1">
          <cell r="J1">
            <v>1.7453292519943295E-2</v>
          </cell>
        </row>
      </sheetData>
      <sheetData sheetId="5482">
        <row r="1">
          <cell r="J1">
            <v>1.7453292519943295E-2</v>
          </cell>
        </row>
      </sheetData>
      <sheetData sheetId="5483">
        <row r="1">
          <cell r="J1">
            <v>1.7453292519943295E-2</v>
          </cell>
        </row>
      </sheetData>
      <sheetData sheetId="5484">
        <row r="1">
          <cell r="J1">
            <v>1.7453292519943295E-2</v>
          </cell>
        </row>
      </sheetData>
      <sheetData sheetId="5485">
        <row r="1">
          <cell r="J1">
            <v>1.7453292519943295E-2</v>
          </cell>
        </row>
      </sheetData>
      <sheetData sheetId="5486">
        <row r="1">
          <cell r="J1">
            <v>1.7453292519943295E-2</v>
          </cell>
        </row>
      </sheetData>
      <sheetData sheetId="5487">
        <row r="1">
          <cell r="J1">
            <v>1.7453292519943295E-2</v>
          </cell>
        </row>
      </sheetData>
      <sheetData sheetId="5488">
        <row r="1">
          <cell r="J1">
            <v>1.7453292519943295E-2</v>
          </cell>
        </row>
      </sheetData>
      <sheetData sheetId="5489">
        <row r="1">
          <cell r="J1">
            <v>1.7453292519943295E-2</v>
          </cell>
        </row>
      </sheetData>
      <sheetData sheetId="5490">
        <row r="1">
          <cell r="J1">
            <v>1.7453292519943295E-2</v>
          </cell>
        </row>
      </sheetData>
      <sheetData sheetId="5491">
        <row r="1">
          <cell r="J1">
            <v>1.7453292519943295E-2</v>
          </cell>
        </row>
      </sheetData>
      <sheetData sheetId="5492">
        <row r="1">
          <cell r="J1">
            <v>1.7453292519943295E-2</v>
          </cell>
        </row>
      </sheetData>
      <sheetData sheetId="5493">
        <row r="1">
          <cell r="J1">
            <v>1.7453292519943295E-2</v>
          </cell>
        </row>
      </sheetData>
      <sheetData sheetId="5494">
        <row r="1">
          <cell r="J1">
            <v>1.7453292519943295E-2</v>
          </cell>
        </row>
      </sheetData>
      <sheetData sheetId="5495">
        <row r="1">
          <cell r="J1">
            <v>1.7453292519943295E-2</v>
          </cell>
        </row>
      </sheetData>
      <sheetData sheetId="5496">
        <row r="1">
          <cell r="J1">
            <v>1.7453292519943295E-2</v>
          </cell>
        </row>
      </sheetData>
      <sheetData sheetId="5497">
        <row r="1">
          <cell r="J1">
            <v>1.7453292519943295E-2</v>
          </cell>
        </row>
      </sheetData>
      <sheetData sheetId="5498">
        <row r="1">
          <cell r="J1">
            <v>1.7453292519943295E-2</v>
          </cell>
        </row>
      </sheetData>
      <sheetData sheetId="5499">
        <row r="1">
          <cell r="J1">
            <v>1.7453292519943295E-2</v>
          </cell>
        </row>
      </sheetData>
      <sheetData sheetId="5500">
        <row r="1">
          <cell r="J1">
            <v>1.7453292519943295E-2</v>
          </cell>
        </row>
      </sheetData>
      <sheetData sheetId="5501">
        <row r="1">
          <cell r="J1">
            <v>1.7453292519943295E-2</v>
          </cell>
        </row>
      </sheetData>
      <sheetData sheetId="5502">
        <row r="1">
          <cell r="J1">
            <v>1.7453292519943295E-2</v>
          </cell>
        </row>
      </sheetData>
      <sheetData sheetId="5503">
        <row r="1">
          <cell r="J1">
            <v>1.7453292519943295E-2</v>
          </cell>
        </row>
      </sheetData>
      <sheetData sheetId="5504">
        <row r="1">
          <cell r="J1">
            <v>1.7453292519943295E-2</v>
          </cell>
        </row>
      </sheetData>
      <sheetData sheetId="5505">
        <row r="1">
          <cell r="J1">
            <v>1.7453292519943295E-2</v>
          </cell>
        </row>
      </sheetData>
      <sheetData sheetId="5506">
        <row r="1">
          <cell r="J1">
            <v>1.7453292519943295E-2</v>
          </cell>
        </row>
      </sheetData>
      <sheetData sheetId="5507">
        <row r="1">
          <cell r="J1">
            <v>1.7453292519943295E-2</v>
          </cell>
        </row>
      </sheetData>
      <sheetData sheetId="5508">
        <row r="1">
          <cell r="J1">
            <v>1.7453292519943295E-2</v>
          </cell>
        </row>
      </sheetData>
      <sheetData sheetId="5509">
        <row r="1">
          <cell r="J1">
            <v>1.7453292519943295E-2</v>
          </cell>
        </row>
      </sheetData>
      <sheetData sheetId="5510">
        <row r="1">
          <cell r="J1">
            <v>1.7453292519943295E-2</v>
          </cell>
        </row>
      </sheetData>
      <sheetData sheetId="5511">
        <row r="1">
          <cell r="J1">
            <v>1.7453292519943295E-2</v>
          </cell>
        </row>
      </sheetData>
      <sheetData sheetId="5512">
        <row r="1">
          <cell r="J1">
            <v>1.7453292519943295E-2</v>
          </cell>
        </row>
      </sheetData>
      <sheetData sheetId="5513">
        <row r="1">
          <cell r="J1">
            <v>1.7453292519943295E-2</v>
          </cell>
        </row>
      </sheetData>
      <sheetData sheetId="5514">
        <row r="1">
          <cell r="J1">
            <v>1.7453292519943295E-2</v>
          </cell>
        </row>
      </sheetData>
      <sheetData sheetId="5515">
        <row r="1">
          <cell r="J1">
            <v>1.7453292519943295E-2</v>
          </cell>
        </row>
      </sheetData>
      <sheetData sheetId="5516">
        <row r="1">
          <cell r="J1">
            <v>1.7453292519943295E-2</v>
          </cell>
        </row>
      </sheetData>
      <sheetData sheetId="5517">
        <row r="1">
          <cell r="J1">
            <v>1.7453292519943295E-2</v>
          </cell>
        </row>
      </sheetData>
      <sheetData sheetId="5518">
        <row r="1">
          <cell r="J1">
            <v>1.7453292519943295E-2</v>
          </cell>
        </row>
      </sheetData>
      <sheetData sheetId="5519">
        <row r="1">
          <cell r="J1">
            <v>1.7453292519943295E-2</v>
          </cell>
        </row>
      </sheetData>
      <sheetData sheetId="5520">
        <row r="1">
          <cell r="J1">
            <v>1.7453292519943295E-2</v>
          </cell>
        </row>
      </sheetData>
      <sheetData sheetId="5521">
        <row r="1">
          <cell r="J1">
            <v>1.7453292519943295E-2</v>
          </cell>
        </row>
      </sheetData>
      <sheetData sheetId="5522">
        <row r="1">
          <cell r="J1">
            <v>1.7453292519943295E-2</v>
          </cell>
        </row>
      </sheetData>
      <sheetData sheetId="5523">
        <row r="1">
          <cell r="J1">
            <v>1.7453292519943295E-2</v>
          </cell>
        </row>
      </sheetData>
      <sheetData sheetId="5524">
        <row r="1">
          <cell r="J1">
            <v>1.7453292519943295E-2</v>
          </cell>
        </row>
      </sheetData>
      <sheetData sheetId="5525">
        <row r="1">
          <cell r="J1">
            <v>1.7453292519943295E-2</v>
          </cell>
        </row>
      </sheetData>
      <sheetData sheetId="5526">
        <row r="1">
          <cell r="J1">
            <v>1.7453292519943295E-2</v>
          </cell>
        </row>
      </sheetData>
      <sheetData sheetId="5527">
        <row r="1">
          <cell r="J1">
            <v>1.7453292519943295E-2</v>
          </cell>
        </row>
      </sheetData>
      <sheetData sheetId="5528">
        <row r="1">
          <cell r="J1">
            <v>1.7453292519943295E-2</v>
          </cell>
        </row>
      </sheetData>
      <sheetData sheetId="5529">
        <row r="1">
          <cell r="J1">
            <v>1.7453292519943295E-2</v>
          </cell>
        </row>
      </sheetData>
      <sheetData sheetId="5530">
        <row r="1">
          <cell r="J1">
            <v>1.7453292519943295E-2</v>
          </cell>
        </row>
      </sheetData>
      <sheetData sheetId="5531">
        <row r="1">
          <cell r="J1">
            <v>1.7453292519943295E-2</v>
          </cell>
        </row>
      </sheetData>
      <sheetData sheetId="5532">
        <row r="1">
          <cell r="J1">
            <v>1.7453292519943295E-2</v>
          </cell>
        </row>
      </sheetData>
      <sheetData sheetId="5533">
        <row r="1">
          <cell r="J1">
            <v>1.7453292519943295E-2</v>
          </cell>
        </row>
      </sheetData>
      <sheetData sheetId="5534">
        <row r="1">
          <cell r="J1">
            <v>1.7453292519943295E-2</v>
          </cell>
        </row>
      </sheetData>
      <sheetData sheetId="5535">
        <row r="1">
          <cell r="J1">
            <v>1.7453292519943295E-2</v>
          </cell>
        </row>
      </sheetData>
      <sheetData sheetId="5536">
        <row r="1">
          <cell r="J1">
            <v>1.7453292519943295E-2</v>
          </cell>
        </row>
      </sheetData>
      <sheetData sheetId="5537">
        <row r="1">
          <cell r="J1">
            <v>1.7453292519943295E-2</v>
          </cell>
        </row>
      </sheetData>
      <sheetData sheetId="5538">
        <row r="1">
          <cell r="J1">
            <v>1.7453292519943295E-2</v>
          </cell>
        </row>
      </sheetData>
      <sheetData sheetId="5539">
        <row r="1">
          <cell r="J1">
            <v>1.7453292519943295E-2</v>
          </cell>
        </row>
      </sheetData>
      <sheetData sheetId="5540">
        <row r="1">
          <cell r="J1">
            <v>1.7453292519943295E-2</v>
          </cell>
        </row>
      </sheetData>
      <sheetData sheetId="5541">
        <row r="1">
          <cell r="J1">
            <v>1.7453292519943295E-2</v>
          </cell>
        </row>
      </sheetData>
      <sheetData sheetId="5542">
        <row r="1">
          <cell r="J1">
            <v>1.7453292519943295E-2</v>
          </cell>
        </row>
      </sheetData>
      <sheetData sheetId="5543">
        <row r="1">
          <cell r="J1">
            <v>1.7453292519943295E-2</v>
          </cell>
        </row>
      </sheetData>
      <sheetData sheetId="5544">
        <row r="1">
          <cell r="J1">
            <v>1.7453292519943295E-2</v>
          </cell>
        </row>
      </sheetData>
      <sheetData sheetId="5545">
        <row r="1">
          <cell r="J1">
            <v>1.7453292519943295E-2</v>
          </cell>
        </row>
      </sheetData>
      <sheetData sheetId="5546">
        <row r="1">
          <cell r="J1">
            <v>1.7453292519943295E-2</v>
          </cell>
        </row>
      </sheetData>
      <sheetData sheetId="5547">
        <row r="1">
          <cell r="J1">
            <v>1.7453292519943295E-2</v>
          </cell>
        </row>
      </sheetData>
      <sheetData sheetId="5548">
        <row r="1">
          <cell r="J1">
            <v>1.7453292519943295E-2</v>
          </cell>
        </row>
      </sheetData>
      <sheetData sheetId="5549">
        <row r="1">
          <cell r="J1">
            <v>1.7453292519943295E-2</v>
          </cell>
        </row>
      </sheetData>
      <sheetData sheetId="5550">
        <row r="1">
          <cell r="J1">
            <v>1.7453292519943295E-2</v>
          </cell>
        </row>
      </sheetData>
      <sheetData sheetId="5551">
        <row r="1">
          <cell r="J1">
            <v>1.7453292519943295E-2</v>
          </cell>
        </row>
      </sheetData>
      <sheetData sheetId="5552">
        <row r="1">
          <cell r="J1">
            <v>1.7453292519943295E-2</v>
          </cell>
        </row>
      </sheetData>
      <sheetData sheetId="5553">
        <row r="1">
          <cell r="J1">
            <v>1.7453292519943295E-2</v>
          </cell>
        </row>
      </sheetData>
      <sheetData sheetId="5554">
        <row r="1">
          <cell r="J1">
            <v>1.7453292519943295E-2</v>
          </cell>
        </row>
      </sheetData>
      <sheetData sheetId="5555">
        <row r="1">
          <cell r="J1">
            <v>1.7453292519943295E-2</v>
          </cell>
        </row>
      </sheetData>
      <sheetData sheetId="5556">
        <row r="1">
          <cell r="J1">
            <v>1.7453292519943295E-2</v>
          </cell>
        </row>
      </sheetData>
      <sheetData sheetId="5557">
        <row r="1">
          <cell r="J1">
            <v>1.7453292519943295E-2</v>
          </cell>
        </row>
      </sheetData>
      <sheetData sheetId="5558">
        <row r="1">
          <cell r="J1">
            <v>1.7453292519943295E-2</v>
          </cell>
        </row>
      </sheetData>
      <sheetData sheetId="5559">
        <row r="1">
          <cell r="J1">
            <v>1.7453292519943295E-2</v>
          </cell>
        </row>
      </sheetData>
      <sheetData sheetId="5560">
        <row r="1">
          <cell r="J1">
            <v>1.7453292519943295E-2</v>
          </cell>
        </row>
      </sheetData>
      <sheetData sheetId="5561">
        <row r="1">
          <cell r="J1">
            <v>1.7453292519943295E-2</v>
          </cell>
        </row>
      </sheetData>
      <sheetData sheetId="5562">
        <row r="1">
          <cell r="J1">
            <v>1.7453292519943295E-2</v>
          </cell>
        </row>
      </sheetData>
      <sheetData sheetId="5563">
        <row r="1">
          <cell r="J1">
            <v>1.7453292519943295E-2</v>
          </cell>
        </row>
      </sheetData>
      <sheetData sheetId="5564">
        <row r="1">
          <cell r="J1">
            <v>1.7453292519943295E-2</v>
          </cell>
        </row>
      </sheetData>
      <sheetData sheetId="5565">
        <row r="1">
          <cell r="J1">
            <v>1.7453292519943295E-2</v>
          </cell>
        </row>
      </sheetData>
      <sheetData sheetId="5566">
        <row r="1">
          <cell r="J1">
            <v>1.7453292519943295E-2</v>
          </cell>
        </row>
      </sheetData>
      <sheetData sheetId="5567">
        <row r="1">
          <cell r="J1">
            <v>1.7453292519943295E-2</v>
          </cell>
        </row>
      </sheetData>
      <sheetData sheetId="5568">
        <row r="1">
          <cell r="J1">
            <v>1.7453292519943295E-2</v>
          </cell>
        </row>
      </sheetData>
      <sheetData sheetId="5569">
        <row r="1">
          <cell r="J1">
            <v>1.7453292519943295E-2</v>
          </cell>
        </row>
      </sheetData>
      <sheetData sheetId="5570">
        <row r="1">
          <cell r="J1">
            <v>1.7453292519943295E-2</v>
          </cell>
        </row>
      </sheetData>
      <sheetData sheetId="5571">
        <row r="1">
          <cell r="J1">
            <v>1.7453292519943295E-2</v>
          </cell>
        </row>
      </sheetData>
      <sheetData sheetId="5572">
        <row r="1">
          <cell r="J1">
            <v>1.7453292519943295E-2</v>
          </cell>
        </row>
      </sheetData>
      <sheetData sheetId="5573">
        <row r="1">
          <cell r="J1">
            <v>1.7453292519943295E-2</v>
          </cell>
        </row>
      </sheetData>
      <sheetData sheetId="5574">
        <row r="1">
          <cell r="J1">
            <v>1.7453292519943295E-2</v>
          </cell>
        </row>
      </sheetData>
      <sheetData sheetId="5575">
        <row r="1">
          <cell r="J1">
            <v>1.7453292519943295E-2</v>
          </cell>
        </row>
      </sheetData>
      <sheetData sheetId="5576">
        <row r="1">
          <cell r="J1">
            <v>1.7453292519943295E-2</v>
          </cell>
        </row>
      </sheetData>
      <sheetData sheetId="5577">
        <row r="1">
          <cell r="J1">
            <v>1.7453292519943295E-2</v>
          </cell>
        </row>
      </sheetData>
      <sheetData sheetId="5578">
        <row r="1">
          <cell r="J1">
            <v>1.7453292519943295E-2</v>
          </cell>
        </row>
      </sheetData>
      <sheetData sheetId="5579">
        <row r="1">
          <cell r="J1">
            <v>1.7453292519943295E-2</v>
          </cell>
        </row>
      </sheetData>
      <sheetData sheetId="5580">
        <row r="1">
          <cell r="J1">
            <v>1.7453292519943295E-2</v>
          </cell>
        </row>
      </sheetData>
      <sheetData sheetId="5581">
        <row r="1">
          <cell r="J1">
            <v>1.7453292519943295E-2</v>
          </cell>
        </row>
      </sheetData>
      <sheetData sheetId="5582">
        <row r="1">
          <cell r="J1">
            <v>1.7453292519943295E-2</v>
          </cell>
        </row>
      </sheetData>
      <sheetData sheetId="5583">
        <row r="1">
          <cell r="J1">
            <v>1.7453292519943295E-2</v>
          </cell>
        </row>
      </sheetData>
      <sheetData sheetId="5584">
        <row r="1">
          <cell r="J1">
            <v>1.7453292519943295E-2</v>
          </cell>
        </row>
      </sheetData>
      <sheetData sheetId="5585">
        <row r="1">
          <cell r="J1">
            <v>1.7453292519943295E-2</v>
          </cell>
        </row>
      </sheetData>
      <sheetData sheetId="5586">
        <row r="1">
          <cell r="J1">
            <v>1.7453292519943295E-2</v>
          </cell>
        </row>
      </sheetData>
      <sheetData sheetId="5587">
        <row r="1">
          <cell r="J1">
            <v>1.7453292519943295E-2</v>
          </cell>
        </row>
      </sheetData>
      <sheetData sheetId="5588">
        <row r="1">
          <cell r="J1">
            <v>1.7453292519943295E-2</v>
          </cell>
        </row>
      </sheetData>
      <sheetData sheetId="5589">
        <row r="1">
          <cell r="J1">
            <v>1.7453292519943295E-2</v>
          </cell>
        </row>
      </sheetData>
      <sheetData sheetId="5590">
        <row r="1">
          <cell r="J1">
            <v>1.7453292519943295E-2</v>
          </cell>
        </row>
      </sheetData>
      <sheetData sheetId="5591">
        <row r="1">
          <cell r="J1">
            <v>1.7453292519943295E-2</v>
          </cell>
        </row>
      </sheetData>
      <sheetData sheetId="5592">
        <row r="1">
          <cell r="J1">
            <v>1.7453292519943295E-2</v>
          </cell>
        </row>
      </sheetData>
      <sheetData sheetId="5593">
        <row r="1">
          <cell r="J1">
            <v>1.7453292519943295E-2</v>
          </cell>
        </row>
      </sheetData>
      <sheetData sheetId="5594">
        <row r="1">
          <cell r="J1">
            <v>1.7453292519943295E-2</v>
          </cell>
        </row>
      </sheetData>
      <sheetData sheetId="5595">
        <row r="1">
          <cell r="J1">
            <v>1.7453292519943295E-2</v>
          </cell>
        </row>
      </sheetData>
      <sheetData sheetId="5596">
        <row r="1">
          <cell r="J1">
            <v>1.7453292519943295E-2</v>
          </cell>
        </row>
      </sheetData>
      <sheetData sheetId="5597">
        <row r="1">
          <cell r="J1">
            <v>1.7453292519943295E-2</v>
          </cell>
        </row>
      </sheetData>
      <sheetData sheetId="5598">
        <row r="1">
          <cell r="J1">
            <v>1.7453292519943295E-2</v>
          </cell>
        </row>
      </sheetData>
      <sheetData sheetId="5599">
        <row r="1">
          <cell r="J1">
            <v>1.7453292519943295E-2</v>
          </cell>
        </row>
      </sheetData>
      <sheetData sheetId="5600">
        <row r="1">
          <cell r="J1">
            <v>1.7453292519943295E-2</v>
          </cell>
        </row>
      </sheetData>
      <sheetData sheetId="5601">
        <row r="1">
          <cell r="J1">
            <v>1.7453292519943295E-2</v>
          </cell>
        </row>
      </sheetData>
      <sheetData sheetId="5602">
        <row r="1">
          <cell r="J1">
            <v>1.7453292519943295E-2</v>
          </cell>
        </row>
      </sheetData>
      <sheetData sheetId="5603">
        <row r="1">
          <cell r="J1">
            <v>1.7453292519943295E-2</v>
          </cell>
        </row>
      </sheetData>
      <sheetData sheetId="5604">
        <row r="1">
          <cell r="J1">
            <v>1.7453292519943295E-2</v>
          </cell>
        </row>
      </sheetData>
      <sheetData sheetId="5605">
        <row r="1">
          <cell r="J1">
            <v>1.7453292519943295E-2</v>
          </cell>
        </row>
      </sheetData>
      <sheetData sheetId="5606">
        <row r="1">
          <cell r="J1">
            <v>1.7453292519943295E-2</v>
          </cell>
        </row>
      </sheetData>
      <sheetData sheetId="5607">
        <row r="1">
          <cell r="J1">
            <v>1.7453292519943295E-2</v>
          </cell>
        </row>
      </sheetData>
      <sheetData sheetId="5608">
        <row r="1">
          <cell r="J1">
            <v>1.7453292519943295E-2</v>
          </cell>
        </row>
      </sheetData>
      <sheetData sheetId="5609">
        <row r="1">
          <cell r="J1">
            <v>1.7453292519943295E-2</v>
          </cell>
        </row>
      </sheetData>
      <sheetData sheetId="5610">
        <row r="1">
          <cell r="J1">
            <v>1.7453292519943295E-2</v>
          </cell>
        </row>
      </sheetData>
      <sheetData sheetId="5611">
        <row r="1">
          <cell r="J1">
            <v>1.7453292519943295E-2</v>
          </cell>
        </row>
      </sheetData>
      <sheetData sheetId="5612">
        <row r="1">
          <cell r="J1">
            <v>1.7453292519943295E-2</v>
          </cell>
        </row>
      </sheetData>
      <sheetData sheetId="5613">
        <row r="1">
          <cell r="J1">
            <v>1.7453292519943295E-2</v>
          </cell>
        </row>
      </sheetData>
      <sheetData sheetId="5614">
        <row r="1">
          <cell r="J1">
            <v>1.7453292519943295E-2</v>
          </cell>
        </row>
      </sheetData>
      <sheetData sheetId="5615">
        <row r="1">
          <cell r="J1">
            <v>1.7453292519943295E-2</v>
          </cell>
        </row>
      </sheetData>
      <sheetData sheetId="5616">
        <row r="1">
          <cell r="J1">
            <v>1.7453292519943295E-2</v>
          </cell>
        </row>
      </sheetData>
      <sheetData sheetId="5617">
        <row r="1">
          <cell r="J1">
            <v>1.7453292519943295E-2</v>
          </cell>
        </row>
      </sheetData>
      <sheetData sheetId="5618">
        <row r="1">
          <cell r="J1">
            <v>1.7453292519943295E-2</v>
          </cell>
        </row>
      </sheetData>
      <sheetData sheetId="5619">
        <row r="1">
          <cell r="J1">
            <v>1.7453292519943295E-2</v>
          </cell>
        </row>
      </sheetData>
      <sheetData sheetId="5620">
        <row r="1">
          <cell r="J1">
            <v>1.7453292519943295E-2</v>
          </cell>
        </row>
      </sheetData>
      <sheetData sheetId="5621">
        <row r="1">
          <cell r="J1">
            <v>1.7453292519943295E-2</v>
          </cell>
        </row>
      </sheetData>
      <sheetData sheetId="5622">
        <row r="1">
          <cell r="J1">
            <v>1.7453292519943295E-2</v>
          </cell>
        </row>
      </sheetData>
      <sheetData sheetId="5623">
        <row r="1">
          <cell r="J1">
            <v>1.7453292519943295E-2</v>
          </cell>
        </row>
      </sheetData>
      <sheetData sheetId="5624">
        <row r="1">
          <cell r="J1">
            <v>1.7453292519943295E-2</v>
          </cell>
        </row>
      </sheetData>
      <sheetData sheetId="5625">
        <row r="1">
          <cell r="J1">
            <v>1.7453292519943295E-2</v>
          </cell>
        </row>
      </sheetData>
      <sheetData sheetId="5626">
        <row r="1">
          <cell r="J1">
            <v>1.7453292519943295E-2</v>
          </cell>
        </row>
      </sheetData>
      <sheetData sheetId="5627">
        <row r="1">
          <cell r="J1">
            <v>1.7453292519943295E-2</v>
          </cell>
        </row>
      </sheetData>
      <sheetData sheetId="5628">
        <row r="1">
          <cell r="J1">
            <v>1.7453292519943295E-2</v>
          </cell>
        </row>
      </sheetData>
      <sheetData sheetId="5629">
        <row r="1">
          <cell r="J1">
            <v>1.7453292519943295E-2</v>
          </cell>
        </row>
      </sheetData>
      <sheetData sheetId="5630">
        <row r="1">
          <cell r="J1">
            <v>1.7453292519943295E-2</v>
          </cell>
        </row>
      </sheetData>
      <sheetData sheetId="5631">
        <row r="1">
          <cell r="J1">
            <v>1.7453292519943295E-2</v>
          </cell>
        </row>
      </sheetData>
      <sheetData sheetId="5632">
        <row r="1">
          <cell r="J1">
            <v>1.7453292519943295E-2</v>
          </cell>
        </row>
      </sheetData>
      <sheetData sheetId="5633">
        <row r="1">
          <cell r="J1">
            <v>1.7453292519943295E-2</v>
          </cell>
        </row>
      </sheetData>
      <sheetData sheetId="5634">
        <row r="1">
          <cell r="J1">
            <v>1.7453292519943295E-2</v>
          </cell>
        </row>
      </sheetData>
      <sheetData sheetId="5635">
        <row r="1">
          <cell r="J1">
            <v>1.7453292519943295E-2</v>
          </cell>
        </row>
      </sheetData>
      <sheetData sheetId="5636">
        <row r="1">
          <cell r="J1">
            <v>1.7453292519943295E-2</v>
          </cell>
        </row>
      </sheetData>
      <sheetData sheetId="5637">
        <row r="1">
          <cell r="J1">
            <v>1.7453292519943295E-2</v>
          </cell>
        </row>
      </sheetData>
      <sheetData sheetId="5638">
        <row r="1">
          <cell r="J1">
            <v>1.7453292519943295E-2</v>
          </cell>
        </row>
      </sheetData>
      <sheetData sheetId="5639">
        <row r="1">
          <cell r="J1">
            <v>1.7453292519943295E-2</v>
          </cell>
        </row>
      </sheetData>
      <sheetData sheetId="5640">
        <row r="1">
          <cell r="J1">
            <v>1.7453292519943295E-2</v>
          </cell>
        </row>
      </sheetData>
      <sheetData sheetId="5641">
        <row r="1">
          <cell r="J1">
            <v>1.7453292519943295E-2</v>
          </cell>
        </row>
      </sheetData>
      <sheetData sheetId="5642">
        <row r="1">
          <cell r="J1">
            <v>1.7453292519943295E-2</v>
          </cell>
        </row>
      </sheetData>
      <sheetData sheetId="5643">
        <row r="1">
          <cell r="J1">
            <v>1.7453292519943295E-2</v>
          </cell>
        </row>
      </sheetData>
      <sheetData sheetId="5644">
        <row r="1">
          <cell r="J1">
            <v>1.7453292519943295E-2</v>
          </cell>
        </row>
      </sheetData>
      <sheetData sheetId="5645">
        <row r="1">
          <cell r="J1">
            <v>1.7453292519943295E-2</v>
          </cell>
        </row>
      </sheetData>
      <sheetData sheetId="5646">
        <row r="1">
          <cell r="J1">
            <v>1.7453292519943295E-2</v>
          </cell>
        </row>
      </sheetData>
      <sheetData sheetId="5647">
        <row r="1">
          <cell r="J1">
            <v>1.7453292519943295E-2</v>
          </cell>
        </row>
      </sheetData>
      <sheetData sheetId="5648">
        <row r="1">
          <cell r="J1">
            <v>1.7453292519943295E-2</v>
          </cell>
        </row>
      </sheetData>
      <sheetData sheetId="5649">
        <row r="1">
          <cell r="J1">
            <v>1.7453292519943295E-2</v>
          </cell>
        </row>
      </sheetData>
      <sheetData sheetId="5650">
        <row r="1">
          <cell r="J1">
            <v>1.7453292519943295E-2</v>
          </cell>
        </row>
      </sheetData>
      <sheetData sheetId="5651">
        <row r="1">
          <cell r="J1">
            <v>1.7453292519943295E-2</v>
          </cell>
        </row>
      </sheetData>
      <sheetData sheetId="5652">
        <row r="1">
          <cell r="J1">
            <v>1.7453292519943295E-2</v>
          </cell>
        </row>
      </sheetData>
      <sheetData sheetId="5653">
        <row r="1">
          <cell r="J1">
            <v>1.7453292519943295E-2</v>
          </cell>
        </row>
      </sheetData>
      <sheetData sheetId="5654">
        <row r="1">
          <cell r="J1">
            <v>1.7453292519943295E-2</v>
          </cell>
        </row>
      </sheetData>
      <sheetData sheetId="5655">
        <row r="1">
          <cell r="J1">
            <v>1.7453292519943295E-2</v>
          </cell>
        </row>
      </sheetData>
      <sheetData sheetId="5656">
        <row r="1">
          <cell r="J1">
            <v>1.7453292519943295E-2</v>
          </cell>
        </row>
      </sheetData>
      <sheetData sheetId="5657">
        <row r="1">
          <cell r="J1">
            <v>1.7453292519943295E-2</v>
          </cell>
        </row>
      </sheetData>
      <sheetData sheetId="5658">
        <row r="1">
          <cell r="J1">
            <v>1.7453292519943295E-2</v>
          </cell>
        </row>
      </sheetData>
      <sheetData sheetId="5659">
        <row r="1">
          <cell r="J1">
            <v>1.7453292519943295E-2</v>
          </cell>
        </row>
      </sheetData>
      <sheetData sheetId="5660">
        <row r="1">
          <cell r="J1">
            <v>1.7453292519943295E-2</v>
          </cell>
        </row>
      </sheetData>
      <sheetData sheetId="5661">
        <row r="1">
          <cell r="J1">
            <v>1.7453292519943295E-2</v>
          </cell>
        </row>
      </sheetData>
      <sheetData sheetId="5662">
        <row r="1">
          <cell r="J1">
            <v>1.7453292519943295E-2</v>
          </cell>
        </row>
      </sheetData>
      <sheetData sheetId="5663">
        <row r="1">
          <cell r="J1">
            <v>1.7453292519943295E-2</v>
          </cell>
        </row>
      </sheetData>
      <sheetData sheetId="5664">
        <row r="1">
          <cell r="J1">
            <v>1.7453292519943295E-2</v>
          </cell>
        </row>
      </sheetData>
      <sheetData sheetId="5665">
        <row r="1">
          <cell r="J1">
            <v>1.7453292519943295E-2</v>
          </cell>
        </row>
      </sheetData>
      <sheetData sheetId="5666">
        <row r="1">
          <cell r="J1">
            <v>1.7453292519943295E-2</v>
          </cell>
        </row>
      </sheetData>
      <sheetData sheetId="5667">
        <row r="1">
          <cell r="J1">
            <v>1.7453292519943295E-2</v>
          </cell>
        </row>
      </sheetData>
      <sheetData sheetId="5668">
        <row r="1">
          <cell r="J1">
            <v>1.7453292519943295E-2</v>
          </cell>
        </row>
      </sheetData>
      <sheetData sheetId="5669">
        <row r="1">
          <cell r="J1">
            <v>1.7453292519943295E-2</v>
          </cell>
        </row>
      </sheetData>
      <sheetData sheetId="5670">
        <row r="1">
          <cell r="J1">
            <v>1.7453292519943295E-2</v>
          </cell>
        </row>
      </sheetData>
      <sheetData sheetId="5671">
        <row r="1">
          <cell r="J1">
            <v>1.7453292519943295E-2</v>
          </cell>
        </row>
      </sheetData>
      <sheetData sheetId="5672" refreshError="1"/>
      <sheetData sheetId="5673" refreshError="1"/>
      <sheetData sheetId="5674">
        <row r="1">
          <cell r="J1">
            <v>1.7453292519943295E-2</v>
          </cell>
        </row>
      </sheetData>
      <sheetData sheetId="5675">
        <row r="1">
          <cell r="J1">
            <v>1.7453292519943295E-2</v>
          </cell>
        </row>
      </sheetData>
      <sheetData sheetId="5676">
        <row r="1">
          <cell r="J1">
            <v>1.7453292519943295E-2</v>
          </cell>
        </row>
      </sheetData>
      <sheetData sheetId="5677">
        <row r="1">
          <cell r="J1">
            <v>1.7453292519943295E-2</v>
          </cell>
        </row>
      </sheetData>
      <sheetData sheetId="5678">
        <row r="1">
          <cell r="J1">
            <v>1.7453292519943295E-2</v>
          </cell>
        </row>
      </sheetData>
      <sheetData sheetId="5679">
        <row r="1">
          <cell r="J1">
            <v>1.7453292519943295E-2</v>
          </cell>
        </row>
      </sheetData>
      <sheetData sheetId="5680">
        <row r="1">
          <cell r="J1">
            <v>1.7453292519943295E-2</v>
          </cell>
        </row>
      </sheetData>
      <sheetData sheetId="5681">
        <row r="1">
          <cell r="J1">
            <v>1.7453292519943295E-2</v>
          </cell>
        </row>
      </sheetData>
      <sheetData sheetId="5682">
        <row r="1">
          <cell r="J1">
            <v>1.7453292519943295E-2</v>
          </cell>
        </row>
      </sheetData>
      <sheetData sheetId="5683">
        <row r="1">
          <cell r="J1">
            <v>1.7453292519943295E-2</v>
          </cell>
        </row>
      </sheetData>
      <sheetData sheetId="5684">
        <row r="1">
          <cell r="J1">
            <v>1.7453292519943295E-2</v>
          </cell>
        </row>
      </sheetData>
      <sheetData sheetId="5685">
        <row r="1">
          <cell r="J1">
            <v>1.7453292519943295E-2</v>
          </cell>
        </row>
      </sheetData>
      <sheetData sheetId="5686">
        <row r="1">
          <cell r="J1">
            <v>1.7453292519943295E-2</v>
          </cell>
        </row>
      </sheetData>
      <sheetData sheetId="5687">
        <row r="1">
          <cell r="J1">
            <v>1.7453292519943295E-2</v>
          </cell>
        </row>
      </sheetData>
      <sheetData sheetId="5688">
        <row r="1">
          <cell r="J1">
            <v>1.7453292519943295E-2</v>
          </cell>
        </row>
      </sheetData>
      <sheetData sheetId="5689">
        <row r="1">
          <cell r="J1">
            <v>1.7453292519943295E-2</v>
          </cell>
        </row>
      </sheetData>
      <sheetData sheetId="5690">
        <row r="1">
          <cell r="J1">
            <v>1.7453292519943295E-2</v>
          </cell>
        </row>
      </sheetData>
      <sheetData sheetId="5691">
        <row r="1">
          <cell r="J1">
            <v>1.7453292519943295E-2</v>
          </cell>
        </row>
      </sheetData>
      <sheetData sheetId="5692">
        <row r="1">
          <cell r="J1">
            <v>1.7453292519943295E-2</v>
          </cell>
        </row>
      </sheetData>
      <sheetData sheetId="5693">
        <row r="1">
          <cell r="J1">
            <v>1.7453292519943295E-2</v>
          </cell>
        </row>
      </sheetData>
      <sheetData sheetId="5694">
        <row r="1">
          <cell r="J1">
            <v>1.7453292519943295E-2</v>
          </cell>
        </row>
      </sheetData>
      <sheetData sheetId="5695">
        <row r="1">
          <cell r="J1">
            <v>1.7453292519943295E-2</v>
          </cell>
        </row>
      </sheetData>
      <sheetData sheetId="5696">
        <row r="1">
          <cell r="J1">
            <v>1.7453292519943295E-2</v>
          </cell>
        </row>
      </sheetData>
      <sheetData sheetId="5697">
        <row r="1">
          <cell r="J1">
            <v>1.7453292519943295E-2</v>
          </cell>
        </row>
      </sheetData>
      <sheetData sheetId="5698">
        <row r="1">
          <cell r="J1">
            <v>1.7453292519943295E-2</v>
          </cell>
        </row>
      </sheetData>
      <sheetData sheetId="5699">
        <row r="1">
          <cell r="J1">
            <v>1.7453292519943295E-2</v>
          </cell>
        </row>
      </sheetData>
      <sheetData sheetId="5700">
        <row r="1">
          <cell r="J1">
            <v>1.7453292519943295E-2</v>
          </cell>
        </row>
      </sheetData>
      <sheetData sheetId="5701">
        <row r="1">
          <cell r="J1">
            <v>1.7453292519943295E-2</v>
          </cell>
        </row>
      </sheetData>
      <sheetData sheetId="5702">
        <row r="1">
          <cell r="J1">
            <v>1.7453292519943295E-2</v>
          </cell>
        </row>
      </sheetData>
      <sheetData sheetId="5703">
        <row r="1">
          <cell r="J1">
            <v>1.7453292519943295E-2</v>
          </cell>
        </row>
      </sheetData>
      <sheetData sheetId="5704">
        <row r="1">
          <cell r="J1">
            <v>1.7453292519943295E-2</v>
          </cell>
        </row>
      </sheetData>
      <sheetData sheetId="5705">
        <row r="1">
          <cell r="J1">
            <v>1.7453292519943295E-2</v>
          </cell>
        </row>
      </sheetData>
      <sheetData sheetId="5706">
        <row r="1">
          <cell r="J1">
            <v>1.7453292519943295E-2</v>
          </cell>
        </row>
      </sheetData>
      <sheetData sheetId="5707">
        <row r="1">
          <cell r="J1">
            <v>1.7453292519943295E-2</v>
          </cell>
        </row>
      </sheetData>
      <sheetData sheetId="5708">
        <row r="1">
          <cell r="J1">
            <v>1.7453292519943295E-2</v>
          </cell>
        </row>
      </sheetData>
      <sheetData sheetId="5709">
        <row r="1">
          <cell r="J1">
            <v>1.7453292519943295E-2</v>
          </cell>
        </row>
      </sheetData>
      <sheetData sheetId="5710">
        <row r="1">
          <cell r="J1">
            <v>1.7453292519943295E-2</v>
          </cell>
        </row>
      </sheetData>
      <sheetData sheetId="5711">
        <row r="1">
          <cell r="J1">
            <v>1.7453292519943295E-2</v>
          </cell>
        </row>
      </sheetData>
      <sheetData sheetId="5712">
        <row r="1">
          <cell r="J1">
            <v>1.7453292519943295E-2</v>
          </cell>
        </row>
      </sheetData>
      <sheetData sheetId="5713">
        <row r="1">
          <cell r="J1">
            <v>1.7453292519943295E-2</v>
          </cell>
        </row>
      </sheetData>
      <sheetData sheetId="5714">
        <row r="1">
          <cell r="J1">
            <v>1.7453292519943295E-2</v>
          </cell>
        </row>
      </sheetData>
      <sheetData sheetId="5715">
        <row r="1">
          <cell r="J1">
            <v>1.7453292519943295E-2</v>
          </cell>
        </row>
      </sheetData>
      <sheetData sheetId="5716">
        <row r="1">
          <cell r="J1">
            <v>1.7453292519943295E-2</v>
          </cell>
        </row>
      </sheetData>
      <sheetData sheetId="5717">
        <row r="1">
          <cell r="J1">
            <v>1.7453292519943295E-2</v>
          </cell>
        </row>
      </sheetData>
      <sheetData sheetId="5718"/>
      <sheetData sheetId="5719"/>
      <sheetData sheetId="5720">
        <row r="1">
          <cell r="J1">
            <v>1.7453292519943295E-2</v>
          </cell>
        </row>
      </sheetData>
      <sheetData sheetId="5721">
        <row r="1">
          <cell r="J1">
            <v>1.7453292519943295E-2</v>
          </cell>
        </row>
      </sheetData>
      <sheetData sheetId="5722">
        <row r="1">
          <cell r="J1">
            <v>1.7453292519943295E-2</v>
          </cell>
        </row>
      </sheetData>
      <sheetData sheetId="5723">
        <row r="1">
          <cell r="J1">
            <v>1.7453292519943295E-2</v>
          </cell>
        </row>
      </sheetData>
      <sheetData sheetId="5724">
        <row r="1">
          <cell r="J1">
            <v>1.7453292519943295E-2</v>
          </cell>
        </row>
      </sheetData>
      <sheetData sheetId="5725">
        <row r="1">
          <cell r="J1">
            <v>1.7453292519943295E-2</v>
          </cell>
        </row>
      </sheetData>
      <sheetData sheetId="5726">
        <row r="1">
          <cell r="J1">
            <v>1.7453292519943295E-2</v>
          </cell>
        </row>
      </sheetData>
      <sheetData sheetId="5727">
        <row r="1">
          <cell r="J1">
            <v>1.7453292519943295E-2</v>
          </cell>
        </row>
      </sheetData>
      <sheetData sheetId="5728">
        <row r="1">
          <cell r="J1">
            <v>1.7453292519943295E-2</v>
          </cell>
        </row>
      </sheetData>
      <sheetData sheetId="5729">
        <row r="1">
          <cell r="J1">
            <v>1.7453292519943295E-2</v>
          </cell>
        </row>
      </sheetData>
      <sheetData sheetId="5730">
        <row r="1">
          <cell r="J1">
            <v>1.7453292519943295E-2</v>
          </cell>
        </row>
      </sheetData>
      <sheetData sheetId="5731">
        <row r="1">
          <cell r="J1">
            <v>1.7453292519943295E-2</v>
          </cell>
        </row>
      </sheetData>
      <sheetData sheetId="5732">
        <row r="1">
          <cell r="J1">
            <v>1.7453292519943295E-2</v>
          </cell>
        </row>
      </sheetData>
      <sheetData sheetId="5733">
        <row r="1">
          <cell r="J1">
            <v>1.7453292519943295E-2</v>
          </cell>
        </row>
      </sheetData>
      <sheetData sheetId="5734">
        <row r="1">
          <cell r="J1">
            <v>1.7453292519943295E-2</v>
          </cell>
        </row>
      </sheetData>
      <sheetData sheetId="5735">
        <row r="1">
          <cell r="J1">
            <v>1.7453292519943295E-2</v>
          </cell>
        </row>
      </sheetData>
      <sheetData sheetId="5736">
        <row r="1">
          <cell r="J1">
            <v>1.7453292519943295E-2</v>
          </cell>
        </row>
      </sheetData>
      <sheetData sheetId="5737">
        <row r="1">
          <cell r="J1">
            <v>1.7453292519943295E-2</v>
          </cell>
        </row>
      </sheetData>
      <sheetData sheetId="5738">
        <row r="1">
          <cell r="J1">
            <v>1.7453292519943295E-2</v>
          </cell>
        </row>
      </sheetData>
      <sheetData sheetId="5739">
        <row r="1">
          <cell r="J1">
            <v>1.7453292519943295E-2</v>
          </cell>
        </row>
      </sheetData>
      <sheetData sheetId="5740">
        <row r="1">
          <cell r="J1">
            <v>1.7453292519943295E-2</v>
          </cell>
        </row>
      </sheetData>
      <sheetData sheetId="5741">
        <row r="1">
          <cell r="J1">
            <v>1.7453292519943295E-2</v>
          </cell>
        </row>
      </sheetData>
      <sheetData sheetId="5742">
        <row r="1">
          <cell r="J1">
            <v>1.7453292519943295E-2</v>
          </cell>
        </row>
      </sheetData>
      <sheetData sheetId="5743">
        <row r="1">
          <cell r="J1">
            <v>1.7453292519943295E-2</v>
          </cell>
        </row>
      </sheetData>
      <sheetData sheetId="5744">
        <row r="1">
          <cell r="J1">
            <v>1.7453292519943295E-2</v>
          </cell>
        </row>
      </sheetData>
      <sheetData sheetId="5745">
        <row r="1">
          <cell r="J1">
            <v>1.7453292519943295E-2</v>
          </cell>
        </row>
      </sheetData>
      <sheetData sheetId="5746">
        <row r="1">
          <cell r="J1">
            <v>1.7453292519943295E-2</v>
          </cell>
        </row>
      </sheetData>
      <sheetData sheetId="5747">
        <row r="1">
          <cell r="J1">
            <v>1.7453292519943295E-2</v>
          </cell>
        </row>
      </sheetData>
      <sheetData sheetId="5748">
        <row r="1">
          <cell r="J1">
            <v>1.7453292519943295E-2</v>
          </cell>
        </row>
      </sheetData>
      <sheetData sheetId="5749">
        <row r="1">
          <cell r="J1">
            <v>1.7453292519943295E-2</v>
          </cell>
        </row>
      </sheetData>
      <sheetData sheetId="5750">
        <row r="1">
          <cell r="J1">
            <v>1.7453292519943295E-2</v>
          </cell>
        </row>
      </sheetData>
      <sheetData sheetId="5751" refreshError="1"/>
      <sheetData sheetId="5752" refreshError="1"/>
      <sheetData sheetId="5753">
        <row r="1">
          <cell r="J1">
            <v>1.7453292519943295E-2</v>
          </cell>
        </row>
      </sheetData>
      <sheetData sheetId="5754">
        <row r="1">
          <cell r="J1">
            <v>1.7453292519943295E-2</v>
          </cell>
        </row>
      </sheetData>
      <sheetData sheetId="5755">
        <row r="1">
          <cell r="J1">
            <v>1.7453292519943295E-2</v>
          </cell>
        </row>
      </sheetData>
      <sheetData sheetId="5756">
        <row r="1">
          <cell r="J1">
            <v>1.7453292519943295E-2</v>
          </cell>
        </row>
      </sheetData>
      <sheetData sheetId="5757">
        <row r="1">
          <cell r="J1">
            <v>1.7453292519943295E-2</v>
          </cell>
        </row>
      </sheetData>
      <sheetData sheetId="5758">
        <row r="1">
          <cell r="J1">
            <v>1.7453292519943295E-2</v>
          </cell>
        </row>
      </sheetData>
      <sheetData sheetId="5759">
        <row r="1">
          <cell r="J1">
            <v>1.7453292519943295E-2</v>
          </cell>
        </row>
      </sheetData>
      <sheetData sheetId="5760">
        <row r="1">
          <cell r="J1">
            <v>1.7453292519943295E-2</v>
          </cell>
        </row>
      </sheetData>
      <sheetData sheetId="5761">
        <row r="1">
          <cell r="J1">
            <v>1.7453292519943295E-2</v>
          </cell>
        </row>
      </sheetData>
      <sheetData sheetId="5762">
        <row r="1">
          <cell r="J1">
            <v>1.7453292519943295E-2</v>
          </cell>
        </row>
      </sheetData>
      <sheetData sheetId="5763">
        <row r="1">
          <cell r="J1">
            <v>1.7453292519943295E-2</v>
          </cell>
        </row>
      </sheetData>
      <sheetData sheetId="5764">
        <row r="1">
          <cell r="J1">
            <v>1.7453292519943295E-2</v>
          </cell>
        </row>
      </sheetData>
      <sheetData sheetId="5765">
        <row r="1">
          <cell r="J1">
            <v>1.7453292519943295E-2</v>
          </cell>
        </row>
      </sheetData>
      <sheetData sheetId="5766">
        <row r="1">
          <cell r="J1">
            <v>1.7453292519943295E-2</v>
          </cell>
        </row>
      </sheetData>
      <sheetData sheetId="5767">
        <row r="1">
          <cell r="J1">
            <v>1.7453292519943295E-2</v>
          </cell>
        </row>
      </sheetData>
      <sheetData sheetId="5768">
        <row r="1">
          <cell r="J1">
            <v>1.7453292519943295E-2</v>
          </cell>
        </row>
      </sheetData>
      <sheetData sheetId="5769">
        <row r="1">
          <cell r="J1">
            <v>1.7453292519943295E-2</v>
          </cell>
        </row>
      </sheetData>
      <sheetData sheetId="5770">
        <row r="1">
          <cell r="J1">
            <v>1.7453292519943295E-2</v>
          </cell>
        </row>
      </sheetData>
      <sheetData sheetId="5771">
        <row r="1">
          <cell r="J1">
            <v>1.7453292519943295E-2</v>
          </cell>
        </row>
      </sheetData>
      <sheetData sheetId="5772">
        <row r="1">
          <cell r="J1">
            <v>1.7453292519943295E-2</v>
          </cell>
        </row>
      </sheetData>
      <sheetData sheetId="5773">
        <row r="1">
          <cell r="J1">
            <v>1.7453292519943295E-2</v>
          </cell>
        </row>
      </sheetData>
      <sheetData sheetId="5774">
        <row r="1">
          <cell r="J1">
            <v>1.7453292519943295E-2</v>
          </cell>
        </row>
      </sheetData>
      <sheetData sheetId="5775">
        <row r="1">
          <cell r="J1">
            <v>1.7453292519943295E-2</v>
          </cell>
        </row>
      </sheetData>
      <sheetData sheetId="5776">
        <row r="1">
          <cell r="J1">
            <v>1.7453292519943295E-2</v>
          </cell>
        </row>
      </sheetData>
      <sheetData sheetId="5777">
        <row r="1">
          <cell r="J1">
            <v>1.7453292519943295E-2</v>
          </cell>
        </row>
      </sheetData>
      <sheetData sheetId="5778">
        <row r="1">
          <cell r="J1">
            <v>1.7453292519943295E-2</v>
          </cell>
        </row>
      </sheetData>
      <sheetData sheetId="5779">
        <row r="1">
          <cell r="J1">
            <v>1.7453292519943295E-2</v>
          </cell>
        </row>
      </sheetData>
      <sheetData sheetId="5780">
        <row r="1">
          <cell r="J1">
            <v>1.7453292519943295E-2</v>
          </cell>
        </row>
      </sheetData>
      <sheetData sheetId="5781">
        <row r="1">
          <cell r="J1">
            <v>1.7453292519943295E-2</v>
          </cell>
        </row>
      </sheetData>
      <sheetData sheetId="5782">
        <row r="1">
          <cell r="J1">
            <v>1.7453292519943295E-2</v>
          </cell>
        </row>
      </sheetData>
      <sheetData sheetId="5783">
        <row r="1">
          <cell r="J1">
            <v>1.7453292519943295E-2</v>
          </cell>
        </row>
      </sheetData>
      <sheetData sheetId="5784">
        <row r="1">
          <cell r="J1">
            <v>1.7453292519943295E-2</v>
          </cell>
        </row>
      </sheetData>
      <sheetData sheetId="5785">
        <row r="1">
          <cell r="J1">
            <v>1.7453292519943295E-2</v>
          </cell>
        </row>
      </sheetData>
      <sheetData sheetId="5786">
        <row r="1">
          <cell r="J1">
            <v>1.7453292519943295E-2</v>
          </cell>
        </row>
      </sheetData>
      <sheetData sheetId="5787">
        <row r="1">
          <cell r="J1">
            <v>1.7453292519943295E-2</v>
          </cell>
        </row>
      </sheetData>
      <sheetData sheetId="5788">
        <row r="1">
          <cell r="J1">
            <v>1.7453292519943295E-2</v>
          </cell>
        </row>
      </sheetData>
      <sheetData sheetId="5789">
        <row r="1">
          <cell r="J1">
            <v>1.7453292519943295E-2</v>
          </cell>
        </row>
      </sheetData>
      <sheetData sheetId="5790">
        <row r="1">
          <cell r="J1">
            <v>1.7453292519943295E-2</v>
          </cell>
        </row>
      </sheetData>
      <sheetData sheetId="5791">
        <row r="1">
          <cell r="J1">
            <v>1.7453292519943295E-2</v>
          </cell>
        </row>
      </sheetData>
      <sheetData sheetId="5792">
        <row r="1">
          <cell r="J1">
            <v>1.7453292519943295E-2</v>
          </cell>
        </row>
      </sheetData>
      <sheetData sheetId="5793">
        <row r="1">
          <cell r="J1">
            <v>1.7453292519943295E-2</v>
          </cell>
        </row>
      </sheetData>
      <sheetData sheetId="5794">
        <row r="1">
          <cell r="J1">
            <v>1.7453292519943295E-2</v>
          </cell>
        </row>
      </sheetData>
      <sheetData sheetId="5795">
        <row r="1">
          <cell r="J1">
            <v>1.7453292519943295E-2</v>
          </cell>
        </row>
      </sheetData>
      <sheetData sheetId="5796">
        <row r="1">
          <cell r="J1">
            <v>1.7453292519943295E-2</v>
          </cell>
        </row>
      </sheetData>
      <sheetData sheetId="5797"/>
      <sheetData sheetId="5798"/>
      <sheetData sheetId="5799">
        <row r="1">
          <cell r="J1">
            <v>1.7453292519943295E-2</v>
          </cell>
        </row>
      </sheetData>
      <sheetData sheetId="5800">
        <row r="1">
          <cell r="J1">
            <v>1.7453292519943295E-2</v>
          </cell>
        </row>
      </sheetData>
      <sheetData sheetId="5801">
        <row r="1">
          <cell r="J1">
            <v>1.7453292519943295E-2</v>
          </cell>
        </row>
      </sheetData>
      <sheetData sheetId="5802">
        <row r="1">
          <cell r="J1">
            <v>1.7453292519943295E-2</v>
          </cell>
        </row>
      </sheetData>
      <sheetData sheetId="5803">
        <row r="1">
          <cell r="J1">
            <v>1.7453292519943295E-2</v>
          </cell>
        </row>
      </sheetData>
      <sheetData sheetId="5804">
        <row r="1">
          <cell r="J1">
            <v>1.7453292519943295E-2</v>
          </cell>
        </row>
      </sheetData>
      <sheetData sheetId="5805">
        <row r="1">
          <cell r="J1">
            <v>1.7453292519943295E-2</v>
          </cell>
        </row>
      </sheetData>
      <sheetData sheetId="5806">
        <row r="1">
          <cell r="J1">
            <v>1.7453292519943295E-2</v>
          </cell>
        </row>
      </sheetData>
      <sheetData sheetId="5807">
        <row r="1">
          <cell r="J1">
            <v>1.7453292519943295E-2</v>
          </cell>
        </row>
      </sheetData>
      <sheetData sheetId="5808">
        <row r="1">
          <cell r="J1">
            <v>1.7453292519943295E-2</v>
          </cell>
        </row>
      </sheetData>
      <sheetData sheetId="5809">
        <row r="1">
          <cell r="J1">
            <v>1.7453292519943295E-2</v>
          </cell>
        </row>
      </sheetData>
      <sheetData sheetId="5810">
        <row r="1">
          <cell r="J1">
            <v>1.7453292519943295E-2</v>
          </cell>
        </row>
      </sheetData>
      <sheetData sheetId="5811">
        <row r="1">
          <cell r="J1">
            <v>1.7453292519943295E-2</v>
          </cell>
        </row>
      </sheetData>
      <sheetData sheetId="5812">
        <row r="1">
          <cell r="J1">
            <v>1.7453292519943295E-2</v>
          </cell>
        </row>
      </sheetData>
      <sheetData sheetId="5813">
        <row r="1">
          <cell r="J1">
            <v>1.7453292519943295E-2</v>
          </cell>
        </row>
      </sheetData>
      <sheetData sheetId="5814">
        <row r="1">
          <cell r="J1">
            <v>1.7453292519943295E-2</v>
          </cell>
        </row>
      </sheetData>
      <sheetData sheetId="5815">
        <row r="1">
          <cell r="J1">
            <v>1.7453292519943295E-2</v>
          </cell>
        </row>
      </sheetData>
      <sheetData sheetId="5816">
        <row r="1">
          <cell r="J1">
            <v>1.7453292519943295E-2</v>
          </cell>
        </row>
      </sheetData>
      <sheetData sheetId="5817">
        <row r="1">
          <cell r="J1">
            <v>1.7453292519943295E-2</v>
          </cell>
        </row>
      </sheetData>
      <sheetData sheetId="5818">
        <row r="1">
          <cell r="J1">
            <v>1.7453292519943295E-2</v>
          </cell>
        </row>
      </sheetData>
      <sheetData sheetId="5819">
        <row r="1">
          <cell r="J1">
            <v>1.7453292519943295E-2</v>
          </cell>
        </row>
      </sheetData>
      <sheetData sheetId="5820">
        <row r="1">
          <cell r="J1">
            <v>1.7453292519943295E-2</v>
          </cell>
        </row>
      </sheetData>
      <sheetData sheetId="5821">
        <row r="1">
          <cell r="J1">
            <v>1.7453292519943295E-2</v>
          </cell>
        </row>
      </sheetData>
      <sheetData sheetId="5822">
        <row r="1">
          <cell r="J1">
            <v>1.7453292519943295E-2</v>
          </cell>
        </row>
      </sheetData>
      <sheetData sheetId="5823">
        <row r="1">
          <cell r="J1">
            <v>1.7453292519943295E-2</v>
          </cell>
        </row>
      </sheetData>
      <sheetData sheetId="5824">
        <row r="1">
          <cell r="J1">
            <v>1.7453292519943295E-2</v>
          </cell>
        </row>
      </sheetData>
      <sheetData sheetId="5825">
        <row r="1">
          <cell r="J1">
            <v>1.7453292519943295E-2</v>
          </cell>
        </row>
      </sheetData>
      <sheetData sheetId="5826">
        <row r="1">
          <cell r="J1">
            <v>1.7453292519943295E-2</v>
          </cell>
        </row>
      </sheetData>
      <sheetData sheetId="5827">
        <row r="1">
          <cell r="J1">
            <v>1.7453292519943295E-2</v>
          </cell>
        </row>
      </sheetData>
      <sheetData sheetId="5828">
        <row r="1">
          <cell r="J1">
            <v>1.7453292519943295E-2</v>
          </cell>
        </row>
      </sheetData>
      <sheetData sheetId="5829">
        <row r="1">
          <cell r="J1">
            <v>1.7453292519943295E-2</v>
          </cell>
        </row>
      </sheetData>
      <sheetData sheetId="5830">
        <row r="1">
          <cell r="J1">
            <v>1.7453292519943295E-2</v>
          </cell>
        </row>
      </sheetData>
      <sheetData sheetId="5831">
        <row r="1">
          <cell r="J1">
            <v>1.7453292519943295E-2</v>
          </cell>
        </row>
      </sheetData>
      <sheetData sheetId="5832">
        <row r="1">
          <cell r="J1">
            <v>1.7453292519943295E-2</v>
          </cell>
        </row>
      </sheetData>
      <sheetData sheetId="5833">
        <row r="1">
          <cell r="J1">
            <v>1.7453292519943295E-2</v>
          </cell>
        </row>
      </sheetData>
      <sheetData sheetId="5834">
        <row r="1">
          <cell r="J1">
            <v>1.7453292519943295E-2</v>
          </cell>
        </row>
      </sheetData>
      <sheetData sheetId="5835">
        <row r="1">
          <cell r="J1">
            <v>1.7453292519943295E-2</v>
          </cell>
        </row>
      </sheetData>
      <sheetData sheetId="5836">
        <row r="1">
          <cell r="J1">
            <v>1.7453292519943295E-2</v>
          </cell>
        </row>
      </sheetData>
      <sheetData sheetId="5837">
        <row r="1">
          <cell r="J1">
            <v>1.7453292519943295E-2</v>
          </cell>
        </row>
      </sheetData>
      <sheetData sheetId="5838">
        <row r="1">
          <cell r="J1">
            <v>1.7453292519943295E-2</v>
          </cell>
        </row>
      </sheetData>
      <sheetData sheetId="5839">
        <row r="1">
          <cell r="J1">
            <v>1.7453292519943295E-2</v>
          </cell>
        </row>
      </sheetData>
      <sheetData sheetId="5840">
        <row r="1">
          <cell r="J1">
            <v>1.7453292519943295E-2</v>
          </cell>
        </row>
      </sheetData>
      <sheetData sheetId="5841">
        <row r="1">
          <cell r="J1">
            <v>1.7453292519943295E-2</v>
          </cell>
        </row>
      </sheetData>
      <sheetData sheetId="5842">
        <row r="1">
          <cell r="J1">
            <v>1.7453292519943295E-2</v>
          </cell>
        </row>
      </sheetData>
      <sheetData sheetId="5843">
        <row r="1">
          <cell r="J1">
            <v>1.7453292519943295E-2</v>
          </cell>
        </row>
      </sheetData>
      <sheetData sheetId="5844">
        <row r="1">
          <cell r="J1">
            <v>1.7453292519943295E-2</v>
          </cell>
        </row>
      </sheetData>
      <sheetData sheetId="5845">
        <row r="1">
          <cell r="J1">
            <v>1.7453292519943295E-2</v>
          </cell>
        </row>
      </sheetData>
      <sheetData sheetId="5846">
        <row r="1">
          <cell r="J1">
            <v>1.7453292519943295E-2</v>
          </cell>
        </row>
      </sheetData>
      <sheetData sheetId="5847">
        <row r="1">
          <cell r="J1">
            <v>1.7453292519943295E-2</v>
          </cell>
        </row>
      </sheetData>
      <sheetData sheetId="5848">
        <row r="1">
          <cell r="J1">
            <v>1.7453292519943295E-2</v>
          </cell>
        </row>
      </sheetData>
      <sheetData sheetId="5849">
        <row r="1">
          <cell r="J1">
            <v>1.7453292519943295E-2</v>
          </cell>
        </row>
      </sheetData>
      <sheetData sheetId="5850">
        <row r="1">
          <cell r="J1">
            <v>1.7453292519943295E-2</v>
          </cell>
        </row>
      </sheetData>
      <sheetData sheetId="5851">
        <row r="1">
          <cell r="J1">
            <v>1.7453292519943295E-2</v>
          </cell>
        </row>
      </sheetData>
      <sheetData sheetId="5852">
        <row r="1">
          <cell r="J1">
            <v>1.7453292519943295E-2</v>
          </cell>
        </row>
      </sheetData>
      <sheetData sheetId="5853">
        <row r="1">
          <cell r="J1">
            <v>1.7453292519943295E-2</v>
          </cell>
        </row>
      </sheetData>
      <sheetData sheetId="5854">
        <row r="1">
          <cell r="J1">
            <v>1.7453292519943295E-2</v>
          </cell>
        </row>
      </sheetData>
      <sheetData sheetId="5855">
        <row r="1">
          <cell r="J1">
            <v>1.7453292519943295E-2</v>
          </cell>
        </row>
      </sheetData>
      <sheetData sheetId="5856">
        <row r="1">
          <cell r="J1">
            <v>1.7453292519943295E-2</v>
          </cell>
        </row>
      </sheetData>
      <sheetData sheetId="5857">
        <row r="1">
          <cell r="J1">
            <v>1.7453292519943295E-2</v>
          </cell>
        </row>
      </sheetData>
      <sheetData sheetId="5858">
        <row r="1">
          <cell r="J1">
            <v>1.7453292519943295E-2</v>
          </cell>
        </row>
      </sheetData>
      <sheetData sheetId="5859">
        <row r="1">
          <cell r="J1">
            <v>1.7453292519943295E-2</v>
          </cell>
        </row>
      </sheetData>
      <sheetData sheetId="5860">
        <row r="1">
          <cell r="J1">
            <v>1.7453292519943295E-2</v>
          </cell>
        </row>
      </sheetData>
      <sheetData sheetId="5861">
        <row r="1">
          <cell r="J1">
            <v>1.7453292519943295E-2</v>
          </cell>
        </row>
      </sheetData>
      <sheetData sheetId="5862">
        <row r="1">
          <cell r="J1">
            <v>1.7453292519943295E-2</v>
          </cell>
        </row>
      </sheetData>
      <sheetData sheetId="5863">
        <row r="1">
          <cell r="J1">
            <v>1.7453292519943295E-2</v>
          </cell>
        </row>
      </sheetData>
      <sheetData sheetId="5864">
        <row r="1">
          <cell r="J1">
            <v>1.7453292519943295E-2</v>
          </cell>
        </row>
      </sheetData>
      <sheetData sheetId="5865">
        <row r="1">
          <cell r="J1">
            <v>1.7453292519943295E-2</v>
          </cell>
        </row>
      </sheetData>
      <sheetData sheetId="5866">
        <row r="1">
          <cell r="J1">
            <v>1.7453292519943295E-2</v>
          </cell>
        </row>
      </sheetData>
      <sheetData sheetId="5867">
        <row r="1">
          <cell r="J1">
            <v>1.7453292519943295E-2</v>
          </cell>
        </row>
      </sheetData>
      <sheetData sheetId="5868">
        <row r="1">
          <cell r="J1">
            <v>1.7453292519943295E-2</v>
          </cell>
        </row>
      </sheetData>
      <sheetData sheetId="5869">
        <row r="1">
          <cell r="J1">
            <v>1.7453292519943295E-2</v>
          </cell>
        </row>
      </sheetData>
      <sheetData sheetId="5870">
        <row r="1">
          <cell r="J1">
            <v>1.7453292519943295E-2</v>
          </cell>
        </row>
      </sheetData>
      <sheetData sheetId="5871">
        <row r="1">
          <cell r="J1">
            <v>1.7453292519943295E-2</v>
          </cell>
        </row>
      </sheetData>
      <sheetData sheetId="5872">
        <row r="1">
          <cell r="J1">
            <v>1.7453292519943295E-2</v>
          </cell>
        </row>
      </sheetData>
      <sheetData sheetId="5873">
        <row r="1">
          <cell r="J1">
            <v>1.7453292519943295E-2</v>
          </cell>
        </row>
      </sheetData>
      <sheetData sheetId="5874">
        <row r="1">
          <cell r="J1">
            <v>1.7453292519943295E-2</v>
          </cell>
        </row>
      </sheetData>
      <sheetData sheetId="5875">
        <row r="1">
          <cell r="J1">
            <v>1.7453292519943295E-2</v>
          </cell>
        </row>
      </sheetData>
      <sheetData sheetId="5876">
        <row r="1">
          <cell r="J1">
            <v>1.7453292519943295E-2</v>
          </cell>
        </row>
      </sheetData>
      <sheetData sheetId="5877">
        <row r="1">
          <cell r="J1">
            <v>1.7453292519943295E-2</v>
          </cell>
        </row>
      </sheetData>
      <sheetData sheetId="5878">
        <row r="1">
          <cell r="J1">
            <v>1.7453292519943295E-2</v>
          </cell>
        </row>
      </sheetData>
      <sheetData sheetId="5879">
        <row r="1">
          <cell r="J1">
            <v>1.7453292519943295E-2</v>
          </cell>
        </row>
      </sheetData>
      <sheetData sheetId="5880">
        <row r="1">
          <cell r="J1">
            <v>1.7453292519943295E-2</v>
          </cell>
        </row>
      </sheetData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>
        <row r="1">
          <cell r="J1">
            <v>1.7453292519943295E-2</v>
          </cell>
        </row>
      </sheetData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>
        <row r="1">
          <cell r="J1">
            <v>1.7453292519943295E-2</v>
          </cell>
        </row>
      </sheetData>
      <sheetData sheetId="6331">
        <row r="1">
          <cell r="J1">
            <v>1.7453292519943295E-2</v>
          </cell>
        </row>
      </sheetData>
      <sheetData sheetId="6332" refreshError="1"/>
      <sheetData sheetId="6333" refreshError="1"/>
      <sheetData sheetId="6334" refreshError="1"/>
      <sheetData sheetId="6335">
        <row r="1">
          <cell r="J1">
            <v>1.7453292519943295E-2</v>
          </cell>
        </row>
      </sheetData>
      <sheetData sheetId="6336">
        <row r="1">
          <cell r="J1">
            <v>1.7453292519943295E-2</v>
          </cell>
        </row>
      </sheetData>
      <sheetData sheetId="6337" refreshError="1"/>
      <sheetData sheetId="6338" refreshError="1"/>
      <sheetData sheetId="6339" refreshError="1"/>
      <sheetData sheetId="6340">
        <row r="1">
          <cell r="J1">
            <v>1.7453292519943295E-2</v>
          </cell>
        </row>
      </sheetData>
      <sheetData sheetId="6341" refreshError="1"/>
      <sheetData sheetId="6342">
        <row r="1">
          <cell r="J1">
            <v>1.7453292519943295E-2</v>
          </cell>
        </row>
      </sheetData>
      <sheetData sheetId="6343">
        <row r="1">
          <cell r="J1">
            <v>1.7453292519943295E-2</v>
          </cell>
        </row>
      </sheetData>
      <sheetData sheetId="6344">
        <row r="1">
          <cell r="J1">
            <v>1.7453292519943295E-2</v>
          </cell>
        </row>
      </sheetData>
      <sheetData sheetId="6345">
        <row r="1">
          <cell r="J1">
            <v>1.7453292519943295E-2</v>
          </cell>
        </row>
      </sheetData>
      <sheetData sheetId="6346">
        <row r="1">
          <cell r="J1">
            <v>1.7453292519943295E-2</v>
          </cell>
        </row>
      </sheetData>
      <sheetData sheetId="6347">
        <row r="1">
          <cell r="J1">
            <v>1.7453292519943295E-2</v>
          </cell>
        </row>
      </sheetData>
      <sheetData sheetId="6348">
        <row r="1">
          <cell r="J1">
            <v>1.7453292519943295E-2</v>
          </cell>
        </row>
      </sheetData>
      <sheetData sheetId="6349">
        <row r="1">
          <cell r="J1">
            <v>1.7453292519943295E-2</v>
          </cell>
        </row>
      </sheetData>
      <sheetData sheetId="6350">
        <row r="1">
          <cell r="J1">
            <v>1.7453292519943295E-2</v>
          </cell>
        </row>
      </sheetData>
      <sheetData sheetId="6351">
        <row r="1">
          <cell r="J1">
            <v>1.7453292519943295E-2</v>
          </cell>
        </row>
      </sheetData>
      <sheetData sheetId="6352">
        <row r="1">
          <cell r="J1">
            <v>1.7453292519943295E-2</v>
          </cell>
        </row>
      </sheetData>
      <sheetData sheetId="6353">
        <row r="1">
          <cell r="J1">
            <v>1.7453292519943295E-2</v>
          </cell>
        </row>
      </sheetData>
      <sheetData sheetId="6354">
        <row r="1">
          <cell r="J1">
            <v>1.7453292519943295E-2</v>
          </cell>
        </row>
      </sheetData>
      <sheetData sheetId="6355">
        <row r="1">
          <cell r="J1">
            <v>1.7453292519943295E-2</v>
          </cell>
        </row>
      </sheetData>
      <sheetData sheetId="6356">
        <row r="1">
          <cell r="J1">
            <v>1.7453292519943295E-2</v>
          </cell>
        </row>
      </sheetData>
      <sheetData sheetId="6357">
        <row r="1">
          <cell r="J1">
            <v>1.7453292519943295E-2</v>
          </cell>
        </row>
      </sheetData>
      <sheetData sheetId="6358">
        <row r="1">
          <cell r="J1">
            <v>1.7453292519943295E-2</v>
          </cell>
        </row>
      </sheetData>
      <sheetData sheetId="6359">
        <row r="1">
          <cell r="J1">
            <v>1.7453292519943295E-2</v>
          </cell>
        </row>
      </sheetData>
      <sheetData sheetId="6360">
        <row r="1">
          <cell r="J1">
            <v>1.7453292519943295E-2</v>
          </cell>
        </row>
      </sheetData>
      <sheetData sheetId="6361">
        <row r="1">
          <cell r="J1">
            <v>1.7453292519943295E-2</v>
          </cell>
        </row>
      </sheetData>
      <sheetData sheetId="6362">
        <row r="1">
          <cell r="J1">
            <v>1.7453292519943295E-2</v>
          </cell>
        </row>
      </sheetData>
      <sheetData sheetId="6363">
        <row r="1">
          <cell r="J1">
            <v>1.7453292519943295E-2</v>
          </cell>
        </row>
      </sheetData>
      <sheetData sheetId="6364" refreshError="1"/>
      <sheetData sheetId="6365" refreshError="1"/>
      <sheetData sheetId="6366" refreshError="1"/>
      <sheetData sheetId="6367" refreshError="1"/>
      <sheetData sheetId="6368">
        <row r="1">
          <cell r="J1">
            <v>1.7453292519943295E-2</v>
          </cell>
        </row>
      </sheetData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>
        <row r="1">
          <cell r="J1">
            <v>1.7453292519943295E-2</v>
          </cell>
        </row>
      </sheetData>
      <sheetData sheetId="6375">
        <row r="1">
          <cell r="J1">
            <v>1.7453292519943295E-2</v>
          </cell>
        </row>
      </sheetData>
      <sheetData sheetId="6376" refreshError="1"/>
      <sheetData sheetId="6377">
        <row r="1">
          <cell r="J1">
            <v>1.7453292519943295E-2</v>
          </cell>
        </row>
      </sheetData>
      <sheetData sheetId="6378" refreshError="1"/>
      <sheetData sheetId="6379">
        <row r="1">
          <cell r="J1">
            <v>1.7453292519943295E-2</v>
          </cell>
        </row>
      </sheetData>
      <sheetData sheetId="6380" refreshError="1"/>
      <sheetData sheetId="6381" refreshError="1"/>
      <sheetData sheetId="6382">
        <row r="1">
          <cell r="J1">
            <v>1.7453292519943295E-2</v>
          </cell>
        </row>
      </sheetData>
      <sheetData sheetId="6383">
        <row r="1">
          <cell r="J1">
            <v>1.7453292519943295E-2</v>
          </cell>
        </row>
      </sheetData>
      <sheetData sheetId="6384">
        <row r="1">
          <cell r="J1">
            <v>1.7453292519943295E-2</v>
          </cell>
        </row>
      </sheetData>
      <sheetData sheetId="6385">
        <row r="1">
          <cell r="J1">
            <v>1.7453292519943295E-2</v>
          </cell>
        </row>
      </sheetData>
      <sheetData sheetId="6386">
        <row r="1">
          <cell r="J1">
            <v>1.7453292519943295E-2</v>
          </cell>
        </row>
      </sheetData>
      <sheetData sheetId="6387">
        <row r="1">
          <cell r="J1">
            <v>1.7453292519943295E-2</v>
          </cell>
        </row>
      </sheetData>
      <sheetData sheetId="6388">
        <row r="1">
          <cell r="J1">
            <v>1.7453292519943295E-2</v>
          </cell>
        </row>
      </sheetData>
      <sheetData sheetId="6389">
        <row r="1">
          <cell r="J1">
            <v>1.7453292519943295E-2</v>
          </cell>
        </row>
      </sheetData>
      <sheetData sheetId="6390">
        <row r="1">
          <cell r="J1">
            <v>1.7453292519943295E-2</v>
          </cell>
        </row>
      </sheetData>
      <sheetData sheetId="6391">
        <row r="1">
          <cell r="J1">
            <v>1.7453292519943295E-2</v>
          </cell>
        </row>
      </sheetData>
      <sheetData sheetId="6392">
        <row r="1">
          <cell r="J1">
            <v>1.7453292519943295E-2</v>
          </cell>
        </row>
      </sheetData>
      <sheetData sheetId="6393">
        <row r="1">
          <cell r="J1">
            <v>1.7453292519943295E-2</v>
          </cell>
        </row>
      </sheetData>
      <sheetData sheetId="6394">
        <row r="1">
          <cell r="J1">
            <v>1.7453292519943295E-2</v>
          </cell>
        </row>
      </sheetData>
      <sheetData sheetId="6395">
        <row r="1">
          <cell r="J1">
            <v>1.7453292519943295E-2</v>
          </cell>
        </row>
      </sheetData>
      <sheetData sheetId="6396">
        <row r="1">
          <cell r="J1">
            <v>1.7453292519943295E-2</v>
          </cell>
        </row>
      </sheetData>
      <sheetData sheetId="6397">
        <row r="1">
          <cell r="J1">
            <v>1.7453292519943295E-2</v>
          </cell>
        </row>
      </sheetData>
      <sheetData sheetId="6398">
        <row r="1">
          <cell r="J1">
            <v>1.7453292519943295E-2</v>
          </cell>
        </row>
      </sheetData>
      <sheetData sheetId="6399">
        <row r="1">
          <cell r="J1">
            <v>1.7453292519943295E-2</v>
          </cell>
        </row>
      </sheetData>
      <sheetData sheetId="6400">
        <row r="1">
          <cell r="J1">
            <v>1.7453292519943295E-2</v>
          </cell>
        </row>
      </sheetData>
      <sheetData sheetId="6401">
        <row r="1">
          <cell r="J1">
            <v>1.7453292519943295E-2</v>
          </cell>
        </row>
      </sheetData>
      <sheetData sheetId="6402">
        <row r="1">
          <cell r="J1">
            <v>1.7453292519943295E-2</v>
          </cell>
        </row>
      </sheetData>
      <sheetData sheetId="6403">
        <row r="1">
          <cell r="J1">
            <v>1.7453292519943295E-2</v>
          </cell>
        </row>
      </sheetData>
      <sheetData sheetId="6404">
        <row r="1">
          <cell r="J1">
            <v>1.7453292519943295E-2</v>
          </cell>
        </row>
      </sheetData>
      <sheetData sheetId="6405">
        <row r="1">
          <cell r="J1">
            <v>1.7453292519943295E-2</v>
          </cell>
        </row>
      </sheetData>
      <sheetData sheetId="6406">
        <row r="1">
          <cell r="J1">
            <v>1.7453292519943295E-2</v>
          </cell>
        </row>
      </sheetData>
      <sheetData sheetId="6407">
        <row r="1">
          <cell r="J1">
            <v>1.7453292519943295E-2</v>
          </cell>
        </row>
      </sheetData>
      <sheetData sheetId="6408">
        <row r="1">
          <cell r="J1">
            <v>1.7453292519943295E-2</v>
          </cell>
        </row>
      </sheetData>
      <sheetData sheetId="6409">
        <row r="1">
          <cell r="J1">
            <v>1.7453292519943295E-2</v>
          </cell>
        </row>
      </sheetData>
      <sheetData sheetId="6410">
        <row r="1">
          <cell r="J1">
            <v>1.7453292519943295E-2</v>
          </cell>
        </row>
      </sheetData>
      <sheetData sheetId="6411">
        <row r="1">
          <cell r="J1">
            <v>1.7453292519943295E-2</v>
          </cell>
        </row>
      </sheetData>
      <sheetData sheetId="6412">
        <row r="1">
          <cell r="J1">
            <v>1.7453292519943295E-2</v>
          </cell>
        </row>
      </sheetData>
      <sheetData sheetId="6413" refreshError="1"/>
      <sheetData sheetId="6414">
        <row r="1">
          <cell r="J1">
            <v>1.7453292519943295E-2</v>
          </cell>
        </row>
      </sheetData>
      <sheetData sheetId="6415">
        <row r="1">
          <cell r="J1">
            <v>1.7453292519943295E-2</v>
          </cell>
        </row>
      </sheetData>
      <sheetData sheetId="6416">
        <row r="1">
          <cell r="J1">
            <v>1.7453292519943295E-2</v>
          </cell>
        </row>
      </sheetData>
      <sheetData sheetId="6417">
        <row r="1">
          <cell r="J1">
            <v>1.7453292519943295E-2</v>
          </cell>
        </row>
      </sheetData>
      <sheetData sheetId="6418" refreshError="1"/>
      <sheetData sheetId="6419" refreshError="1"/>
      <sheetData sheetId="6420">
        <row r="1">
          <cell r="J1">
            <v>1.7453292519943295E-2</v>
          </cell>
        </row>
      </sheetData>
      <sheetData sheetId="6421">
        <row r="1">
          <cell r="J1">
            <v>1.7453292519943295E-2</v>
          </cell>
        </row>
      </sheetData>
      <sheetData sheetId="6422">
        <row r="1">
          <cell r="J1">
            <v>1.7453292519943295E-2</v>
          </cell>
        </row>
      </sheetData>
      <sheetData sheetId="6423">
        <row r="1">
          <cell r="J1">
            <v>1.7453292519943295E-2</v>
          </cell>
        </row>
      </sheetData>
      <sheetData sheetId="6424">
        <row r="1">
          <cell r="J1">
            <v>1.7453292519943295E-2</v>
          </cell>
        </row>
      </sheetData>
      <sheetData sheetId="6425">
        <row r="1">
          <cell r="J1">
            <v>1.7453292519943295E-2</v>
          </cell>
        </row>
      </sheetData>
      <sheetData sheetId="6426">
        <row r="1">
          <cell r="J1">
            <v>1.7453292519943295E-2</v>
          </cell>
        </row>
      </sheetData>
      <sheetData sheetId="6427">
        <row r="1">
          <cell r="J1">
            <v>1.7453292519943295E-2</v>
          </cell>
        </row>
      </sheetData>
      <sheetData sheetId="6428">
        <row r="1">
          <cell r="J1">
            <v>1.7453292519943295E-2</v>
          </cell>
        </row>
      </sheetData>
      <sheetData sheetId="6429">
        <row r="1">
          <cell r="J1">
            <v>1.7453292519943295E-2</v>
          </cell>
        </row>
      </sheetData>
      <sheetData sheetId="6430">
        <row r="1">
          <cell r="J1">
            <v>1.7453292519943295E-2</v>
          </cell>
        </row>
      </sheetData>
      <sheetData sheetId="6431">
        <row r="1">
          <cell r="J1">
            <v>1.7453292519943295E-2</v>
          </cell>
        </row>
      </sheetData>
      <sheetData sheetId="6432">
        <row r="1">
          <cell r="J1">
            <v>1.7453292519943295E-2</v>
          </cell>
        </row>
      </sheetData>
      <sheetData sheetId="6433">
        <row r="1">
          <cell r="J1">
            <v>1.7453292519943295E-2</v>
          </cell>
        </row>
      </sheetData>
      <sheetData sheetId="6434">
        <row r="1">
          <cell r="J1">
            <v>1.7453292519943295E-2</v>
          </cell>
        </row>
      </sheetData>
      <sheetData sheetId="6435">
        <row r="1">
          <cell r="J1">
            <v>1.7453292519943295E-2</v>
          </cell>
        </row>
      </sheetData>
      <sheetData sheetId="6436" refreshError="1"/>
      <sheetData sheetId="6437">
        <row r="1">
          <cell r="J1">
            <v>1.7453292519943295E-2</v>
          </cell>
        </row>
      </sheetData>
      <sheetData sheetId="6438">
        <row r="1">
          <cell r="J1">
            <v>1.7453292519943295E-2</v>
          </cell>
        </row>
      </sheetData>
      <sheetData sheetId="6439">
        <row r="1">
          <cell r="J1">
            <v>1.7453292519943295E-2</v>
          </cell>
        </row>
      </sheetData>
      <sheetData sheetId="6440" refreshError="1"/>
      <sheetData sheetId="6441">
        <row r="1">
          <cell r="J1">
            <v>1.7453292519943295E-2</v>
          </cell>
        </row>
      </sheetData>
      <sheetData sheetId="6442" refreshError="1"/>
      <sheetData sheetId="6443" refreshError="1"/>
      <sheetData sheetId="6444" refreshError="1"/>
      <sheetData sheetId="6445">
        <row r="1">
          <cell r="J1">
            <v>1.7453292519943295E-2</v>
          </cell>
        </row>
      </sheetData>
      <sheetData sheetId="6446">
        <row r="1">
          <cell r="J1">
            <v>1.7453292519943295E-2</v>
          </cell>
        </row>
      </sheetData>
      <sheetData sheetId="6447">
        <row r="1">
          <cell r="J1">
            <v>1.7453292519943295E-2</v>
          </cell>
        </row>
      </sheetData>
      <sheetData sheetId="6448" refreshError="1"/>
      <sheetData sheetId="6449" refreshError="1"/>
      <sheetData sheetId="6450">
        <row r="1">
          <cell r="J1">
            <v>1.7453292519943295E-2</v>
          </cell>
        </row>
      </sheetData>
      <sheetData sheetId="6451">
        <row r="1">
          <cell r="J1">
            <v>1.7453292519943295E-2</v>
          </cell>
        </row>
      </sheetData>
      <sheetData sheetId="6452">
        <row r="1">
          <cell r="J1">
            <v>1.7453292519943295E-2</v>
          </cell>
        </row>
      </sheetData>
      <sheetData sheetId="6453">
        <row r="1">
          <cell r="J1">
            <v>1.7453292519943295E-2</v>
          </cell>
        </row>
      </sheetData>
      <sheetData sheetId="6454">
        <row r="1">
          <cell r="J1">
            <v>1.7453292519943295E-2</v>
          </cell>
        </row>
      </sheetData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>
        <row r="1">
          <cell r="J1">
            <v>1.7453292519943295E-2</v>
          </cell>
        </row>
      </sheetData>
      <sheetData sheetId="6461">
        <row r="1">
          <cell r="J1">
            <v>1.7453292519943295E-2</v>
          </cell>
        </row>
      </sheetData>
      <sheetData sheetId="6462">
        <row r="1">
          <cell r="J1">
            <v>1.7453292519943295E-2</v>
          </cell>
        </row>
      </sheetData>
      <sheetData sheetId="6463">
        <row r="1">
          <cell r="J1">
            <v>1.7453292519943295E-2</v>
          </cell>
        </row>
      </sheetData>
      <sheetData sheetId="6464">
        <row r="1">
          <cell r="J1">
            <v>1.7453292519943295E-2</v>
          </cell>
        </row>
      </sheetData>
      <sheetData sheetId="6465">
        <row r="1">
          <cell r="J1">
            <v>1.7453292519943295E-2</v>
          </cell>
        </row>
      </sheetData>
      <sheetData sheetId="6466">
        <row r="1">
          <cell r="J1">
            <v>1.7453292519943295E-2</v>
          </cell>
        </row>
      </sheetData>
      <sheetData sheetId="6467">
        <row r="1">
          <cell r="J1">
            <v>1.7453292519943295E-2</v>
          </cell>
        </row>
      </sheetData>
      <sheetData sheetId="6468">
        <row r="1">
          <cell r="J1">
            <v>1.7453292519943295E-2</v>
          </cell>
        </row>
      </sheetData>
      <sheetData sheetId="6469">
        <row r="1">
          <cell r="J1">
            <v>1.7453292519943295E-2</v>
          </cell>
        </row>
      </sheetData>
      <sheetData sheetId="6470">
        <row r="1">
          <cell r="J1">
            <v>1.7453292519943295E-2</v>
          </cell>
        </row>
      </sheetData>
      <sheetData sheetId="6471">
        <row r="1">
          <cell r="J1">
            <v>1.7453292519943295E-2</v>
          </cell>
        </row>
      </sheetData>
      <sheetData sheetId="6472">
        <row r="1">
          <cell r="J1">
            <v>1.7453292519943295E-2</v>
          </cell>
        </row>
      </sheetData>
      <sheetData sheetId="6473">
        <row r="1">
          <cell r="J1">
            <v>1.7453292519943295E-2</v>
          </cell>
        </row>
      </sheetData>
      <sheetData sheetId="6474">
        <row r="1">
          <cell r="J1">
            <v>1.7453292519943295E-2</v>
          </cell>
        </row>
      </sheetData>
      <sheetData sheetId="6475">
        <row r="1">
          <cell r="J1">
            <v>1.7453292519943295E-2</v>
          </cell>
        </row>
      </sheetData>
      <sheetData sheetId="6476">
        <row r="1">
          <cell r="J1">
            <v>1.7453292519943295E-2</v>
          </cell>
        </row>
      </sheetData>
      <sheetData sheetId="6477">
        <row r="1">
          <cell r="J1">
            <v>1.7453292519943295E-2</v>
          </cell>
        </row>
      </sheetData>
      <sheetData sheetId="6478">
        <row r="1">
          <cell r="J1">
            <v>1.7453292519943295E-2</v>
          </cell>
        </row>
      </sheetData>
      <sheetData sheetId="6479">
        <row r="1">
          <cell r="J1">
            <v>1.7453292519943295E-2</v>
          </cell>
        </row>
      </sheetData>
      <sheetData sheetId="6480">
        <row r="1">
          <cell r="J1">
            <v>1.7453292519943295E-2</v>
          </cell>
        </row>
      </sheetData>
      <sheetData sheetId="6481" refreshError="1"/>
      <sheetData sheetId="6482">
        <row r="1">
          <cell r="J1">
            <v>1.7453292519943295E-2</v>
          </cell>
        </row>
      </sheetData>
      <sheetData sheetId="6483">
        <row r="1">
          <cell r="J1">
            <v>1.7453292519943295E-2</v>
          </cell>
        </row>
      </sheetData>
      <sheetData sheetId="6484">
        <row r="1">
          <cell r="J1">
            <v>1.7453292519943295E-2</v>
          </cell>
        </row>
      </sheetData>
      <sheetData sheetId="6485">
        <row r="1">
          <cell r="J1">
            <v>1.7453292519943295E-2</v>
          </cell>
        </row>
      </sheetData>
      <sheetData sheetId="6486">
        <row r="1">
          <cell r="J1">
            <v>1.7453292519943295E-2</v>
          </cell>
        </row>
      </sheetData>
      <sheetData sheetId="6487">
        <row r="1">
          <cell r="J1">
            <v>1.7453292519943295E-2</v>
          </cell>
        </row>
      </sheetData>
      <sheetData sheetId="6488">
        <row r="1">
          <cell r="J1">
            <v>1.7453292519943295E-2</v>
          </cell>
        </row>
      </sheetData>
      <sheetData sheetId="6489">
        <row r="1">
          <cell r="J1">
            <v>1.7453292519943295E-2</v>
          </cell>
        </row>
      </sheetData>
      <sheetData sheetId="6490">
        <row r="1">
          <cell r="J1">
            <v>1.7453292519943295E-2</v>
          </cell>
        </row>
      </sheetData>
      <sheetData sheetId="6491">
        <row r="1">
          <cell r="J1">
            <v>1.7453292519943295E-2</v>
          </cell>
        </row>
      </sheetData>
      <sheetData sheetId="6492">
        <row r="1">
          <cell r="J1">
            <v>1.7453292519943295E-2</v>
          </cell>
        </row>
      </sheetData>
      <sheetData sheetId="6493">
        <row r="1">
          <cell r="J1">
            <v>1.7453292519943295E-2</v>
          </cell>
        </row>
      </sheetData>
      <sheetData sheetId="6494">
        <row r="1">
          <cell r="J1">
            <v>1.7453292519943295E-2</v>
          </cell>
        </row>
      </sheetData>
      <sheetData sheetId="6495">
        <row r="1">
          <cell r="J1">
            <v>1.7453292519943295E-2</v>
          </cell>
        </row>
      </sheetData>
      <sheetData sheetId="6496">
        <row r="1">
          <cell r="J1">
            <v>1.7453292519943295E-2</v>
          </cell>
        </row>
      </sheetData>
      <sheetData sheetId="6497">
        <row r="1">
          <cell r="J1">
            <v>1.7453292519943295E-2</v>
          </cell>
        </row>
      </sheetData>
      <sheetData sheetId="6498">
        <row r="1">
          <cell r="J1">
            <v>1.7453292519943295E-2</v>
          </cell>
        </row>
      </sheetData>
      <sheetData sheetId="6499">
        <row r="1">
          <cell r="J1">
            <v>1.7453292519943295E-2</v>
          </cell>
        </row>
      </sheetData>
      <sheetData sheetId="6500">
        <row r="1">
          <cell r="J1">
            <v>1.7453292519943295E-2</v>
          </cell>
        </row>
      </sheetData>
      <sheetData sheetId="6501">
        <row r="1">
          <cell r="J1">
            <v>1.7453292519943295E-2</v>
          </cell>
        </row>
      </sheetData>
      <sheetData sheetId="6502">
        <row r="1">
          <cell r="J1">
            <v>1.7453292519943295E-2</v>
          </cell>
        </row>
      </sheetData>
      <sheetData sheetId="6503">
        <row r="1">
          <cell r="J1">
            <v>1.7453292519943295E-2</v>
          </cell>
        </row>
      </sheetData>
      <sheetData sheetId="6504">
        <row r="1">
          <cell r="J1">
            <v>1.7453292519943295E-2</v>
          </cell>
        </row>
      </sheetData>
      <sheetData sheetId="6505">
        <row r="1">
          <cell r="J1">
            <v>1.7453292519943295E-2</v>
          </cell>
        </row>
      </sheetData>
      <sheetData sheetId="6506">
        <row r="1">
          <cell r="J1">
            <v>1.7453292519943295E-2</v>
          </cell>
        </row>
      </sheetData>
      <sheetData sheetId="6507">
        <row r="1">
          <cell r="J1">
            <v>1.7453292519943295E-2</v>
          </cell>
        </row>
      </sheetData>
      <sheetData sheetId="6508">
        <row r="1">
          <cell r="J1">
            <v>1.7453292519943295E-2</v>
          </cell>
        </row>
      </sheetData>
      <sheetData sheetId="6509">
        <row r="1">
          <cell r="J1">
            <v>1.7453292519943295E-2</v>
          </cell>
        </row>
      </sheetData>
      <sheetData sheetId="6510">
        <row r="1">
          <cell r="J1">
            <v>1.7453292519943295E-2</v>
          </cell>
        </row>
      </sheetData>
      <sheetData sheetId="6511" refreshError="1"/>
      <sheetData sheetId="6512">
        <row r="1">
          <cell r="J1">
            <v>1.7453292519943295E-2</v>
          </cell>
        </row>
      </sheetData>
      <sheetData sheetId="6513" refreshError="1"/>
      <sheetData sheetId="6514">
        <row r="1">
          <cell r="J1">
            <v>1.7453292519943295E-2</v>
          </cell>
        </row>
      </sheetData>
      <sheetData sheetId="6515">
        <row r="1">
          <cell r="J1">
            <v>1.7453292519943295E-2</v>
          </cell>
        </row>
      </sheetData>
      <sheetData sheetId="6516">
        <row r="1">
          <cell r="J1">
            <v>1.7453292519943295E-2</v>
          </cell>
        </row>
      </sheetData>
      <sheetData sheetId="6517">
        <row r="1">
          <cell r="J1">
            <v>1.7453292519943295E-2</v>
          </cell>
        </row>
      </sheetData>
      <sheetData sheetId="6518">
        <row r="1">
          <cell r="J1">
            <v>1.7453292519943295E-2</v>
          </cell>
        </row>
      </sheetData>
      <sheetData sheetId="6519">
        <row r="1">
          <cell r="J1">
            <v>1.7453292519943295E-2</v>
          </cell>
        </row>
      </sheetData>
      <sheetData sheetId="6520">
        <row r="1">
          <cell r="J1">
            <v>1.7453292519943295E-2</v>
          </cell>
        </row>
      </sheetData>
      <sheetData sheetId="6521">
        <row r="1">
          <cell r="J1">
            <v>1.7453292519943295E-2</v>
          </cell>
        </row>
      </sheetData>
      <sheetData sheetId="6522" refreshError="1"/>
      <sheetData sheetId="6523" refreshError="1"/>
      <sheetData sheetId="6524">
        <row r="1">
          <cell r="J1">
            <v>1.7453292519943295E-2</v>
          </cell>
        </row>
      </sheetData>
      <sheetData sheetId="6525" refreshError="1"/>
      <sheetData sheetId="6526" refreshError="1"/>
      <sheetData sheetId="6527" refreshError="1"/>
      <sheetData sheetId="6528" refreshError="1"/>
      <sheetData sheetId="6529">
        <row r="1">
          <cell r="J1">
            <v>1.7453292519943295E-2</v>
          </cell>
        </row>
      </sheetData>
      <sheetData sheetId="6530">
        <row r="1">
          <cell r="J1">
            <v>1.7453292519943295E-2</v>
          </cell>
        </row>
      </sheetData>
      <sheetData sheetId="6531" refreshError="1"/>
      <sheetData sheetId="6532">
        <row r="1">
          <cell r="J1">
            <v>1.7453292519943295E-2</v>
          </cell>
        </row>
      </sheetData>
      <sheetData sheetId="6533">
        <row r="1">
          <cell r="J1">
            <v>1.7453292519943295E-2</v>
          </cell>
        </row>
      </sheetData>
      <sheetData sheetId="6534">
        <row r="1">
          <cell r="J1">
            <v>1.7453292519943295E-2</v>
          </cell>
        </row>
      </sheetData>
      <sheetData sheetId="6535">
        <row r="1">
          <cell r="J1">
            <v>1.7453292519943295E-2</v>
          </cell>
        </row>
      </sheetData>
      <sheetData sheetId="6536">
        <row r="1">
          <cell r="J1">
            <v>1.7453292519943295E-2</v>
          </cell>
        </row>
      </sheetData>
      <sheetData sheetId="6537">
        <row r="1">
          <cell r="J1">
            <v>1.7453292519943295E-2</v>
          </cell>
        </row>
      </sheetData>
      <sheetData sheetId="6538">
        <row r="1">
          <cell r="J1">
            <v>1.7453292519943295E-2</v>
          </cell>
        </row>
      </sheetData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>
        <row r="1">
          <cell r="J1">
            <v>1.7453292519943295E-2</v>
          </cell>
        </row>
      </sheetData>
      <sheetData sheetId="6549">
        <row r="1">
          <cell r="J1">
            <v>1.7453292519943295E-2</v>
          </cell>
        </row>
      </sheetData>
      <sheetData sheetId="6550">
        <row r="1">
          <cell r="J1">
            <v>1.7453292519943295E-2</v>
          </cell>
        </row>
      </sheetData>
      <sheetData sheetId="6551" refreshError="1"/>
      <sheetData sheetId="6552" refreshError="1"/>
      <sheetData sheetId="6553" refreshError="1"/>
      <sheetData sheetId="6554">
        <row r="1">
          <cell r="J1">
            <v>1.7453292519943295E-2</v>
          </cell>
        </row>
      </sheetData>
      <sheetData sheetId="6555">
        <row r="1">
          <cell r="J1">
            <v>1.7453292519943295E-2</v>
          </cell>
        </row>
      </sheetData>
      <sheetData sheetId="6556">
        <row r="1">
          <cell r="J1">
            <v>1.7453292519943295E-2</v>
          </cell>
        </row>
      </sheetData>
      <sheetData sheetId="6557" refreshError="1"/>
      <sheetData sheetId="6558">
        <row r="1">
          <cell r="J1">
            <v>1.7453292519943295E-2</v>
          </cell>
        </row>
      </sheetData>
      <sheetData sheetId="6559">
        <row r="1">
          <cell r="J1">
            <v>1.7453292519943295E-2</v>
          </cell>
        </row>
      </sheetData>
      <sheetData sheetId="6560" refreshError="1"/>
      <sheetData sheetId="6561" refreshError="1"/>
      <sheetData sheetId="6562">
        <row r="1">
          <cell r="J1">
            <v>1.7453292519943295E-2</v>
          </cell>
        </row>
      </sheetData>
      <sheetData sheetId="6563" refreshError="1"/>
      <sheetData sheetId="6564">
        <row r="1">
          <cell r="J1">
            <v>1.7453292519943295E-2</v>
          </cell>
        </row>
      </sheetData>
      <sheetData sheetId="6565">
        <row r="1">
          <cell r="J1">
            <v>1.7453292519943295E-2</v>
          </cell>
        </row>
      </sheetData>
      <sheetData sheetId="6566" refreshError="1"/>
      <sheetData sheetId="6567" refreshError="1"/>
      <sheetData sheetId="6568">
        <row r="1">
          <cell r="J1">
            <v>1.7453292519943295E-2</v>
          </cell>
        </row>
      </sheetData>
      <sheetData sheetId="6569" refreshError="1"/>
      <sheetData sheetId="6570">
        <row r="1">
          <cell r="J1">
            <v>1.7453292519943295E-2</v>
          </cell>
        </row>
      </sheetData>
      <sheetData sheetId="6571">
        <row r="1">
          <cell r="J1">
            <v>1.7453292519943295E-2</v>
          </cell>
        </row>
      </sheetData>
      <sheetData sheetId="6572">
        <row r="1">
          <cell r="J1">
            <v>1.7453292519943295E-2</v>
          </cell>
        </row>
      </sheetData>
      <sheetData sheetId="6573">
        <row r="1">
          <cell r="J1">
            <v>1.7453292519943295E-2</v>
          </cell>
        </row>
      </sheetData>
      <sheetData sheetId="6574" refreshError="1"/>
      <sheetData sheetId="6575">
        <row r="1">
          <cell r="J1">
            <v>1.7453292519943295E-2</v>
          </cell>
        </row>
      </sheetData>
      <sheetData sheetId="6576" refreshError="1"/>
      <sheetData sheetId="6577">
        <row r="1">
          <cell r="J1">
            <v>1.7453292519943295E-2</v>
          </cell>
        </row>
      </sheetData>
      <sheetData sheetId="6578">
        <row r="1">
          <cell r="J1">
            <v>1.7453292519943295E-2</v>
          </cell>
        </row>
      </sheetData>
      <sheetData sheetId="6579">
        <row r="1">
          <cell r="J1">
            <v>1.7453292519943295E-2</v>
          </cell>
        </row>
      </sheetData>
      <sheetData sheetId="6580" refreshError="1"/>
      <sheetData sheetId="6581" refreshError="1"/>
      <sheetData sheetId="6582">
        <row r="1">
          <cell r="J1">
            <v>1.7453292519943295E-2</v>
          </cell>
        </row>
      </sheetData>
      <sheetData sheetId="6583">
        <row r="1">
          <cell r="J1">
            <v>1.7453292519943295E-2</v>
          </cell>
        </row>
      </sheetData>
      <sheetData sheetId="6584" refreshError="1"/>
      <sheetData sheetId="6585" refreshError="1"/>
      <sheetData sheetId="6586" refreshError="1"/>
      <sheetData sheetId="6587">
        <row r="1">
          <cell r="J1">
            <v>1.7453292519943295E-2</v>
          </cell>
        </row>
      </sheetData>
      <sheetData sheetId="6588" refreshError="1"/>
      <sheetData sheetId="6589" refreshError="1"/>
      <sheetData sheetId="6590" refreshError="1"/>
      <sheetData sheetId="6591">
        <row r="1">
          <cell r="J1">
            <v>1.7453292519943295E-2</v>
          </cell>
        </row>
      </sheetData>
      <sheetData sheetId="6592">
        <row r="1">
          <cell r="J1">
            <v>1.7453292519943295E-2</v>
          </cell>
        </row>
      </sheetData>
      <sheetData sheetId="6593" refreshError="1"/>
      <sheetData sheetId="6594">
        <row r="1">
          <cell r="J1">
            <v>1.7453292519943295E-2</v>
          </cell>
        </row>
      </sheetData>
      <sheetData sheetId="6595">
        <row r="1">
          <cell r="J1">
            <v>1.7453292519943295E-2</v>
          </cell>
        </row>
      </sheetData>
      <sheetData sheetId="6596">
        <row r="1">
          <cell r="J1">
            <v>1.7453292519943295E-2</v>
          </cell>
        </row>
      </sheetData>
      <sheetData sheetId="6597" refreshError="1"/>
      <sheetData sheetId="6598" refreshError="1"/>
      <sheetData sheetId="6599">
        <row r="1">
          <cell r="J1">
            <v>1.7453292519943295E-2</v>
          </cell>
        </row>
      </sheetData>
      <sheetData sheetId="6600">
        <row r="1">
          <cell r="J1">
            <v>1.7453292519943295E-2</v>
          </cell>
        </row>
      </sheetData>
      <sheetData sheetId="6601">
        <row r="1">
          <cell r="J1">
            <v>1.7453292519943295E-2</v>
          </cell>
        </row>
      </sheetData>
      <sheetData sheetId="6602" refreshError="1"/>
      <sheetData sheetId="6603" refreshError="1"/>
      <sheetData sheetId="6604" refreshError="1"/>
      <sheetData sheetId="6605">
        <row r="1">
          <cell r="J1">
            <v>1.7453292519943295E-2</v>
          </cell>
        </row>
      </sheetData>
      <sheetData sheetId="6606">
        <row r="1">
          <cell r="J1">
            <v>1.7453292519943295E-2</v>
          </cell>
        </row>
      </sheetData>
      <sheetData sheetId="6607">
        <row r="1">
          <cell r="J1">
            <v>1.7453292519943295E-2</v>
          </cell>
        </row>
      </sheetData>
      <sheetData sheetId="6608" refreshError="1"/>
      <sheetData sheetId="6609">
        <row r="1">
          <cell r="J1">
            <v>1.7453292519943295E-2</v>
          </cell>
        </row>
      </sheetData>
      <sheetData sheetId="6610" refreshError="1"/>
      <sheetData sheetId="6611">
        <row r="1">
          <cell r="J1">
            <v>1.7453292519943295E-2</v>
          </cell>
        </row>
      </sheetData>
      <sheetData sheetId="6612" refreshError="1"/>
      <sheetData sheetId="6613" refreshError="1"/>
      <sheetData sheetId="6614">
        <row r="1">
          <cell r="J1">
            <v>1.7453292519943295E-2</v>
          </cell>
        </row>
      </sheetData>
      <sheetData sheetId="6615">
        <row r="1">
          <cell r="J1">
            <v>1.7453292519943295E-2</v>
          </cell>
        </row>
      </sheetData>
      <sheetData sheetId="6616" refreshError="1"/>
      <sheetData sheetId="6617">
        <row r="1">
          <cell r="J1">
            <v>1.7453292519943295E-2</v>
          </cell>
        </row>
      </sheetData>
      <sheetData sheetId="6618">
        <row r="1">
          <cell r="J1">
            <v>1.7453292519943295E-2</v>
          </cell>
        </row>
      </sheetData>
      <sheetData sheetId="6619" refreshError="1"/>
      <sheetData sheetId="6620">
        <row r="1">
          <cell r="J1">
            <v>1.7453292519943295E-2</v>
          </cell>
        </row>
      </sheetData>
      <sheetData sheetId="6621">
        <row r="1">
          <cell r="J1">
            <v>1.7453292519943295E-2</v>
          </cell>
        </row>
      </sheetData>
      <sheetData sheetId="6622">
        <row r="1">
          <cell r="J1">
            <v>1.7453292519943295E-2</v>
          </cell>
        </row>
      </sheetData>
      <sheetData sheetId="6623" refreshError="1"/>
      <sheetData sheetId="6624" refreshError="1"/>
      <sheetData sheetId="6625">
        <row r="1">
          <cell r="J1">
            <v>1.7453292519943295E-2</v>
          </cell>
        </row>
      </sheetData>
      <sheetData sheetId="6626" refreshError="1"/>
      <sheetData sheetId="6627" refreshError="1"/>
      <sheetData sheetId="6628">
        <row r="1">
          <cell r="J1">
            <v>1.7453292519943295E-2</v>
          </cell>
        </row>
      </sheetData>
      <sheetData sheetId="6629">
        <row r="1">
          <cell r="J1">
            <v>1.7453292519943295E-2</v>
          </cell>
        </row>
      </sheetData>
      <sheetData sheetId="6630" refreshError="1"/>
      <sheetData sheetId="6631">
        <row r="1">
          <cell r="J1">
            <v>1.7453292519943295E-2</v>
          </cell>
        </row>
      </sheetData>
      <sheetData sheetId="6632">
        <row r="1">
          <cell r="J1">
            <v>1.7453292519943295E-2</v>
          </cell>
        </row>
      </sheetData>
      <sheetData sheetId="6633" refreshError="1"/>
      <sheetData sheetId="6634" refreshError="1"/>
      <sheetData sheetId="6635" refreshError="1"/>
      <sheetData sheetId="6636">
        <row r="1">
          <cell r="J1">
            <v>1.7453292519943295E-2</v>
          </cell>
        </row>
      </sheetData>
      <sheetData sheetId="6637">
        <row r="1">
          <cell r="J1">
            <v>1.7453292519943295E-2</v>
          </cell>
        </row>
      </sheetData>
      <sheetData sheetId="6638">
        <row r="1">
          <cell r="J1">
            <v>1.7453292519943295E-2</v>
          </cell>
        </row>
      </sheetData>
      <sheetData sheetId="6639">
        <row r="1">
          <cell r="J1">
            <v>1.7453292519943295E-2</v>
          </cell>
        </row>
      </sheetData>
      <sheetData sheetId="6640">
        <row r="1">
          <cell r="J1">
            <v>1.7453292519943295E-2</v>
          </cell>
        </row>
      </sheetData>
      <sheetData sheetId="6641">
        <row r="1">
          <cell r="J1">
            <v>1.7453292519943295E-2</v>
          </cell>
        </row>
      </sheetData>
      <sheetData sheetId="6642">
        <row r="1">
          <cell r="J1">
            <v>1.7453292519943295E-2</v>
          </cell>
        </row>
      </sheetData>
      <sheetData sheetId="6643">
        <row r="1">
          <cell r="J1">
            <v>1.7453292519943295E-2</v>
          </cell>
        </row>
      </sheetData>
      <sheetData sheetId="6644">
        <row r="1">
          <cell r="J1">
            <v>1.7453292519943295E-2</v>
          </cell>
        </row>
      </sheetData>
      <sheetData sheetId="6645">
        <row r="1">
          <cell r="J1">
            <v>1.7453292519943295E-2</v>
          </cell>
        </row>
      </sheetData>
      <sheetData sheetId="6646">
        <row r="1">
          <cell r="J1">
            <v>1.7453292519943295E-2</v>
          </cell>
        </row>
      </sheetData>
      <sheetData sheetId="6647">
        <row r="1">
          <cell r="J1">
            <v>1.7453292519943295E-2</v>
          </cell>
        </row>
      </sheetData>
      <sheetData sheetId="6648">
        <row r="1">
          <cell r="J1">
            <v>1.7453292519943295E-2</v>
          </cell>
        </row>
      </sheetData>
      <sheetData sheetId="6649" refreshError="1"/>
      <sheetData sheetId="6650">
        <row r="1">
          <cell r="J1">
            <v>1.7453292519943295E-2</v>
          </cell>
        </row>
      </sheetData>
      <sheetData sheetId="6651">
        <row r="1">
          <cell r="J1">
            <v>1.7453292519943295E-2</v>
          </cell>
        </row>
      </sheetData>
      <sheetData sheetId="6652">
        <row r="1">
          <cell r="J1">
            <v>1.7453292519943295E-2</v>
          </cell>
        </row>
      </sheetData>
      <sheetData sheetId="6653" refreshError="1"/>
      <sheetData sheetId="6654" refreshError="1"/>
      <sheetData sheetId="6655">
        <row r="1">
          <cell r="J1">
            <v>1.7453292519943295E-2</v>
          </cell>
        </row>
      </sheetData>
      <sheetData sheetId="6656">
        <row r="1">
          <cell r="J1">
            <v>1.7453292519943295E-2</v>
          </cell>
        </row>
      </sheetData>
      <sheetData sheetId="6657">
        <row r="1">
          <cell r="J1">
            <v>1.7453292519943295E-2</v>
          </cell>
        </row>
      </sheetData>
      <sheetData sheetId="6658" refreshError="1"/>
      <sheetData sheetId="6659">
        <row r="1">
          <cell r="J1">
            <v>1.7453292519943295E-2</v>
          </cell>
        </row>
      </sheetData>
      <sheetData sheetId="6660" refreshError="1"/>
      <sheetData sheetId="6661" refreshError="1"/>
      <sheetData sheetId="6662">
        <row r="1">
          <cell r="J1">
            <v>1.7453292519943295E-2</v>
          </cell>
        </row>
      </sheetData>
      <sheetData sheetId="6663">
        <row r="1">
          <cell r="J1">
            <v>1.7453292519943295E-2</v>
          </cell>
        </row>
      </sheetData>
      <sheetData sheetId="6664" refreshError="1"/>
      <sheetData sheetId="6665">
        <row r="1">
          <cell r="J1">
            <v>1.7453292519943295E-2</v>
          </cell>
        </row>
      </sheetData>
      <sheetData sheetId="6666">
        <row r="1">
          <cell r="J1">
            <v>1.7453292519943295E-2</v>
          </cell>
        </row>
      </sheetData>
      <sheetData sheetId="6667">
        <row r="1">
          <cell r="J1">
            <v>1.7453292519943295E-2</v>
          </cell>
        </row>
      </sheetData>
      <sheetData sheetId="6668" refreshError="1"/>
      <sheetData sheetId="6669" refreshError="1"/>
      <sheetData sheetId="6670" refreshError="1"/>
      <sheetData sheetId="6671">
        <row r="1">
          <cell r="J1">
            <v>1.7453292519943295E-2</v>
          </cell>
        </row>
      </sheetData>
      <sheetData sheetId="6672">
        <row r="1">
          <cell r="J1">
            <v>1.7453292519943295E-2</v>
          </cell>
        </row>
      </sheetData>
      <sheetData sheetId="6673">
        <row r="1">
          <cell r="J1">
            <v>1.7453292519943295E-2</v>
          </cell>
        </row>
      </sheetData>
      <sheetData sheetId="6674">
        <row r="1">
          <cell r="J1">
            <v>1.7453292519943295E-2</v>
          </cell>
        </row>
      </sheetData>
      <sheetData sheetId="6675">
        <row r="1">
          <cell r="J1">
            <v>1.7453292519943295E-2</v>
          </cell>
        </row>
      </sheetData>
      <sheetData sheetId="6676">
        <row r="1">
          <cell r="J1">
            <v>1.7453292519943295E-2</v>
          </cell>
        </row>
      </sheetData>
      <sheetData sheetId="6677">
        <row r="1">
          <cell r="J1">
            <v>1.7453292519943295E-2</v>
          </cell>
        </row>
      </sheetData>
      <sheetData sheetId="6678">
        <row r="1">
          <cell r="J1">
            <v>1.7453292519943295E-2</v>
          </cell>
        </row>
      </sheetData>
      <sheetData sheetId="6679">
        <row r="1">
          <cell r="J1">
            <v>1.7453292519943295E-2</v>
          </cell>
        </row>
      </sheetData>
      <sheetData sheetId="6680">
        <row r="1">
          <cell r="J1">
            <v>1.7453292519943295E-2</v>
          </cell>
        </row>
      </sheetData>
      <sheetData sheetId="6681">
        <row r="1">
          <cell r="J1">
            <v>1.7453292519943295E-2</v>
          </cell>
        </row>
      </sheetData>
      <sheetData sheetId="6682">
        <row r="1">
          <cell r="J1">
            <v>1.7453292519943295E-2</v>
          </cell>
        </row>
      </sheetData>
      <sheetData sheetId="6683">
        <row r="1">
          <cell r="J1">
            <v>1.7453292519943295E-2</v>
          </cell>
        </row>
      </sheetData>
      <sheetData sheetId="6684">
        <row r="1">
          <cell r="J1">
            <v>1.7453292519943295E-2</v>
          </cell>
        </row>
      </sheetData>
      <sheetData sheetId="6685" refreshError="1"/>
      <sheetData sheetId="6686" refreshError="1"/>
      <sheetData sheetId="6687">
        <row r="1">
          <cell r="J1">
            <v>1.7453292519943295E-2</v>
          </cell>
        </row>
      </sheetData>
      <sheetData sheetId="6688">
        <row r="1">
          <cell r="J1">
            <v>1.7453292519943295E-2</v>
          </cell>
        </row>
      </sheetData>
      <sheetData sheetId="6689" refreshError="1"/>
      <sheetData sheetId="6690">
        <row r="1">
          <cell r="J1">
            <v>1.7453292519943295E-2</v>
          </cell>
        </row>
      </sheetData>
      <sheetData sheetId="6691" refreshError="1"/>
      <sheetData sheetId="6692">
        <row r="1">
          <cell r="J1">
            <v>1.7453292519943295E-2</v>
          </cell>
        </row>
      </sheetData>
      <sheetData sheetId="6693" refreshError="1"/>
      <sheetData sheetId="6694" refreshError="1"/>
      <sheetData sheetId="6695" refreshError="1"/>
      <sheetData sheetId="6696">
        <row r="1">
          <cell r="J1">
            <v>1.7453292519943295E-2</v>
          </cell>
        </row>
      </sheetData>
      <sheetData sheetId="6697">
        <row r="1">
          <cell r="J1">
            <v>1.7453292519943295E-2</v>
          </cell>
        </row>
      </sheetData>
      <sheetData sheetId="6698">
        <row r="1">
          <cell r="J1">
            <v>1.7453292519943295E-2</v>
          </cell>
        </row>
      </sheetData>
      <sheetData sheetId="6699">
        <row r="1">
          <cell r="J1">
            <v>1.7453292519943295E-2</v>
          </cell>
        </row>
      </sheetData>
      <sheetData sheetId="6700">
        <row r="1">
          <cell r="J1">
            <v>1.7453292519943295E-2</v>
          </cell>
        </row>
      </sheetData>
      <sheetData sheetId="6701">
        <row r="1">
          <cell r="J1">
            <v>1.7453292519943295E-2</v>
          </cell>
        </row>
      </sheetData>
      <sheetData sheetId="6702">
        <row r="1">
          <cell r="J1">
            <v>1.7453292519943295E-2</v>
          </cell>
        </row>
      </sheetData>
      <sheetData sheetId="6703">
        <row r="1">
          <cell r="J1">
            <v>1.7453292519943295E-2</v>
          </cell>
        </row>
      </sheetData>
      <sheetData sheetId="6704">
        <row r="1">
          <cell r="J1">
            <v>1.7453292519943295E-2</v>
          </cell>
        </row>
      </sheetData>
      <sheetData sheetId="6705">
        <row r="1">
          <cell r="J1">
            <v>1.7453292519943295E-2</v>
          </cell>
        </row>
      </sheetData>
      <sheetData sheetId="6706">
        <row r="1">
          <cell r="J1">
            <v>1.7453292519943295E-2</v>
          </cell>
        </row>
      </sheetData>
      <sheetData sheetId="6707">
        <row r="1">
          <cell r="J1">
            <v>1.7453292519943295E-2</v>
          </cell>
        </row>
      </sheetData>
      <sheetData sheetId="6708">
        <row r="1">
          <cell r="J1">
            <v>1.7453292519943295E-2</v>
          </cell>
        </row>
      </sheetData>
      <sheetData sheetId="6709">
        <row r="1">
          <cell r="J1">
            <v>1.7453292519943295E-2</v>
          </cell>
        </row>
      </sheetData>
      <sheetData sheetId="6710" refreshError="1"/>
      <sheetData sheetId="6711" refreshError="1"/>
      <sheetData sheetId="6712">
        <row r="1">
          <cell r="J1">
            <v>1.7453292519943295E-2</v>
          </cell>
        </row>
      </sheetData>
      <sheetData sheetId="6713">
        <row r="1">
          <cell r="J1">
            <v>1.7453292519943295E-2</v>
          </cell>
        </row>
      </sheetData>
      <sheetData sheetId="6714" refreshError="1"/>
      <sheetData sheetId="6715">
        <row r="1">
          <cell r="J1">
            <v>1.7453292519943295E-2</v>
          </cell>
        </row>
      </sheetData>
      <sheetData sheetId="6716">
        <row r="1">
          <cell r="J1">
            <v>1.7453292519943295E-2</v>
          </cell>
        </row>
      </sheetData>
      <sheetData sheetId="6717">
        <row r="1">
          <cell r="J1">
            <v>1.7453292519943295E-2</v>
          </cell>
        </row>
      </sheetData>
      <sheetData sheetId="6718" refreshError="1"/>
      <sheetData sheetId="6719" refreshError="1"/>
      <sheetData sheetId="6720" refreshError="1"/>
      <sheetData sheetId="6721">
        <row r="1">
          <cell r="J1">
            <v>1.7453292519943295E-2</v>
          </cell>
        </row>
      </sheetData>
      <sheetData sheetId="6722">
        <row r="1">
          <cell r="J1">
            <v>1.7453292519943295E-2</v>
          </cell>
        </row>
      </sheetData>
      <sheetData sheetId="6723">
        <row r="1">
          <cell r="J1">
            <v>1.7453292519943295E-2</v>
          </cell>
        </row>
      </sheetData>
      <sheetData sheetId="6724">
        <row r="1">
          <cell r="J1">
            <v>1.7453292519943295E-2</v>
          </cell>
        </row>
      </sheetData>
      <sheetData sheetId="6725">
        <row r="1">
          <cell r="J1">
            <v>1.7453292519943295E-2</v>
          </cell>
        </row>
      </sheetData>
      <sheetData sheetId="6726">
        <row r="1">
          <cell r="J1">
            <v>1.7453292519943295E-2</v>
          </cell>
        </row>
      </sheetData>
      <sheetData sheetId="6727">
        <row r="1">
          <cell r="J1">
            <v>1.7453292519943295E-2</v>
          </cell>
        </row>
      </sheetData>
      <sheetData sheetId="6728">
        <row r="1">
          <cell r="J1">
            <v>1.7453292519943295E-2</v>
          </cell>
        </row>
      </sheetData>
      <sheetData sheetId="6729">
        <row r="1">
          <cell r="J1">
            <v>1.7453292519943295E-2</v>
          </cell>
        </row>
      </sheetData>
      <sheetData sheetId="6730">
        <row r="1">
          <cell r="J1">
            <v>1.7453292519943295E-2</v>
          </cell>
        </row>
      </sheetData>
      <sheetData sheetId="6731">
        <row r="1">
          <cell r="J1">
            <v>1.7453292519943295E-2</v>
          </cell>
        </row>
      </sheetData>
      <sheetData sheetId="6732">
        <row r="1">
          <cell r="J1">
            <v>1.7453292519943295E-2</v>
          </cell>
        </row>
      </sheetData>
      <sheetData sheetId="6733">
        <row r="1">
          <cell r="J1">
            <v>1.7453292519943295E-2</v>
          </cell>
        </row>
      </sheetData>
      <sheetData sheetId="6734">
        <row r="1">
          <cell r="J1">
            <v>1.7453292519943295E-2</v>
          </cell>
        </row>
      </sheetData>
      <sheetData sheetId="6735">
        <row r="1">
          <cell r="J1">
            <v>1.7453292519943295E-2</v>
          </cell>
        </row>
      </sheetData>
      <sheetData sheetId="6736" refreshError="1"/>
      <sheetData sheetId="6737" refreshError="1"/>
      <sheetData sheetId="6738">
        <row r="1">
          <cell r="J1">
            <v>1.7453292519943295E-2</v>
          </cell>
        </row>
      </sheetData>
      <sheetData sheetId="6739">
        <row r="1">
          <cell r="J1">
            <v>1.7453292519943295E-2</v>
          </cell>
        </row>
      </sheetData>
      <sheetData sheetId="6740">
        <row r="1">
          <cell r="J1">
            <v>1.7453292519943295E-2</v>
          </cell>
        </row>
      </sheetData>
      <sheetData sheetId="6741" refreshError="1"/>
      <sheetData sheetId="6742">
        <row r="1">
          <cell r="J1">
            <v>1.7453292519943295E-2</v>
          </cell>
        </row>
      </sheetData>
      <sheetData sheetId="6743">
        <row r="1">
          <cell r="J1">
            <v>1.7453292519943295E-2</v>
          </cell>
        </row>
      </sheetData>
      <sheetData sheetId="6744">
        <row r="1">
          <cell r="J1">
            <v>1.7453292519943295E-2</v>
          </cell>
        </row>
      </sheetData>
      <sheetData sheetId="6745" refreshError="1"/>
      <sheetData sheetId="6746" refreshError="1"/>
      <sheetData sheetId="6747">
        <row r="1">
          <cell r="J1">
            <v>1.7453292519943295E-2</v>
          </cell>
        </row>
      </sheetData>
      <sheetData sheetId="6748">
        <row r="1">
          <cell r="J1">
            <v>1.7453292519943295E-2</v>
          </cell>
        </row>
      </sheetData>
      <sheetData sheetId="6749" refreshError="1"/>
      <sheetData sheetId="6750" refreshError="1"/>
      <sheetData sheetId="6751">
        <row r="1">
          <cell r="J1">
            <v>1.7453292519943295E-2</v>
          </cell>
        </row>
      </sheetData>
      <sheetData sheetId="6752">
        <row r="1">
          <cell r="J1">
            <v>1.7453292519943295E-2</v>
          </cell>
        </row>
      </sheetData>
      <sheetData sheetId="6753" refreshError="1"/>
      <sheetData sheetId="6754" refreshError="1"/>
      <sheetData sheetId="6755">
        <row r="1">
          <cell r="J1">
            <v>1.7453292519943295E-2</v>
          </cell>
        </row>
      </sheetData>
      <sheetData sheetId="6756">
        <row r="1">
          <cell r="J1">
            <v>1.7453292519943295E-2</v>
          </cell>
        </row>
      </sheetData>
      <sheetData sheetId="6757" refreshError="1"/>
      <sheetData sheetId="6758">
        <row r="1">
          <cell r="J1">
            <v>1.7453292519943295E-2</v>
          </cell>
        </row>
      </sheetData>
      <sheetData sheetId="6759">
        <row r="1">
          <cell r="J1">
            <v>1.7453292519943295E-2</v>
          </cell>
        </row>
      </sheetData>
      <sheetData sheetId="6760" refreshError="1"/>
      <sheetData sheetId="6761" refreshError="1"/>
      <sheetData sheetId="6762" refreshError="1"/>
      <sheetData sheetId="6763">
        <row r="1">
          <cell r="J1">
            <v>1.7453292519943295E-2</v>
          </cell>
        </row>
      </sheetData>
      <sheetData sheetId="6764">
        <row r="1">
          <cell r="J1">
            <v>1.7453292519943295E-2</v>
          </cell>
        </row>
      </sheetData>
      <sheetData sheetId="6765" refreshError="1"/>
      <sheetData sheetId="6766" refreshError="1"/>
      <sheetData sheetId="6767">
        <row r="1">
          <cell r="J1">
            <v>1.7453292519943295E-2</v>
          </cell>
        </row>
      </sheetData>
      <sheetData sheetId="6768">
        <row r="1">
          <cell r="J1">
            <v>1.7453292519943295E-2</v>
          </cell>
        </row>
      </sheetData>
      <sheetData sheetId="6769">
        <row r="1">
          <cell r="J1">
            <v>1.7453292519943295E-2</v>
          </cell>
        </row>
      </sheetData>
      <sheetData sheetId="6770" refreshError="1"/>
      <sheetData sheetId="6771">
        <row r="1">
          <cell r="J1">
            <v>1.7453292519943295E-2</v>
          </cell>
        </row>
      </sheetData>
      <sheetData sheetId="6772">
        <row r="1">
          <cell r="J1">
            <v>1.7453292519943295E-2</v>
          </cell>
        </row>
      </sheetData>
      <sheetData sheetId="6773">
        <row r="1">
          <cell r="J1">
            <v>1.7453292519943295E-2</v>
          </cell>
        </row>
      </sheetData>
      <sheetData sheetId="6774" refreshError="1"/>
      <sheetData sheetId="6775" refreshError="1"/>
      <sheetData sheetId="6776">
        <row r="1">
          <cell r="J1">
            <v>1.7453292519943295E-2</v>
          </cell>
        </row>
      </sheetData>
      <sheetData sheetId="6777">
        <row r="1">
          <cell r="J1">
            <v>1.7453292519943295E-2</v>
          </cell>
        </row>
      </sheetData>
      <sheetData sheetId="6778">
        <row r="1">
          <cell r="J1">
            <v>1.7453292519943295E-2</v>
          </cell>
        </row>
      </sheetData>
      <sheetData sheetId="6779" refreshError="1"/>
      <sheetData sheetId="6780">
        <row r="1">
          <cell r="J1">
            <v>1.7453292519943295E-2</v>
          </cell>
        </row>
      </sheetData>
      <sheetData sheetId="6781">
        <row r="1">
          <cell r="J1">
            <v>1.7453292519943295E-2</v>
          </cell>
        </row>
      </sheetData>
      <sheetData sheetId="6782" refreshError="1"/>
      <sheetData sheetId="6783" refreshError="1"/>
      <sheetData sheetId="6784">
        <row r="1">
          <cell r="J1">
            <v>1.7453292519943295E-2</v>
          </cell>
        </row>
      </sheetData>
      <sheetData sheetId="6785">
        <row r="1">
          <cell r="J1">
            <v>1.7453292519943295E-2</v>
          </cell>
        </row>
      </sheetData>
      <sheetData sheetId="6786" refreshError="1"/>
      <sheetData sheetId="6787" refreshError="1"/>
      <sheetData sheetId="6788" refreshError="1"/>
      <sheetData sheetId="6789">
        <row r="1">
          <cell r="J1">
            <v>1.7453292519943295E-2</v>
          </cell>
        </row>
      </sheetData>
      <sheetData sheetId="6790" refreshError="1"/>
      <sheetData sheetId="6791" refreshError="1"/>
      <sheetData sheetId="6792" refreshError="1"/>
      <sheetData sheetId="6793" refreshError="1"/>
      <sheetData sheetId="6794">
        <row r="1">
          <cell r="J1">
            <v>1.7453292519943295E-2</v>
          </cell>
        </row>
      </sheetData>
      <sheetData sheetId="6795">
        <row r="1">
          <cell r="J1">
            <v>1.7453292519943295E-2</v>
          </cell>
        </row>
      </sheetData>
      <sheetData sheetId="6796">
        <row r="1">
          <cell r="J1">
            <v>1.7453292519943295E-2</v>
          </cell>
        </row>
      </sheetData>
      <sheetData sheetId="6797">
        <row r="1">
          <cell r="J1">
            <v>1.7453292519943295E-2</v>
          </cell>
        </row>
      </sheetData>
      <sheetData sheetId="6798">
        <row r="1">
          <cell r="J1">
            <v>1.7453292519943295E-2</v>
          </cell>
        </row>
      </sheetData>
      <sheetData sheetId="6799">
        <row r="1">
          <cell r="J1">
            <v>1.7453292519943295E-2</v>
          </cell>
        </row>
      </sheetData>
      <sheetData sheetId="6800">
        <row r="1">
          <cell r="J1">
            <v>1.7453292519943295E-2</v>
          </cell>
        </row>
      </sheetData>
      <sheetData sheetId="6801">
        <row r="1">
          <cell r="J1">
            <v>1.7453292519943295E-2</v>
          </cell>
        </row>
      </sheetData>
      <sheetData sheetId="6802">
        <row r="1">
          <cell r="J1">
            <v>1.7453292519943295E-2</v>
          </cell>
        </row>
      </sheetData>
      <sheetData sheetId="6803">
        <row r="1">
          <cell r="J1">
            <v>1.7453292519943295E-2</v>
          </cell>
        </row>
      </sheetData>
      <sheetData sheetId="6804">
        <row r="1">
          <cell r="J1">
            <v>1.7453292519943295E-2</v>
          </cell>
        </row>
      </sheetData>
      <sheetData sheetId="6805">
        <row r="1">
          <cell r="J1">
            <v>1.7453292519943295E-2</v>
          </cell>
        </row>
      </sheetData>
      <sheetData sheetId="6806">
        <row r="1">
          <cell r="J1">
            <v>1.7453292519943295E-2</v>
          </cell>
        </row>
      </sheetData>
      <sheetData sheetId="6807">
        <row r="1">
          <cell r="J1">
            <v>1.7453292519943295E-2</v>
          </cell>
        </row>
      </sheetData>
      <sheetData sheetId="6808">
        <row r="1">
          <cell r="J1">
            <v>1.7453292519943295E-2</v>
          </cell>
        </row>
      </sheetData>
      <sheetData sheetId="6809" refreshError="1"/>
      <sheetData sheetId="6810" refreshError="1"/>
      <sheetData sheetId="6811">
        <row r="1">
          <cell r="J1">
            <v>1.7453292519943295E-2</v>
          </cell>
        </row>
      </sheetData>
      <sheetData sheetId="6812">
        <row r="1">
          <cell r="J1">
            <v>1.7453292519943295E-2</v>
          </cell>
        </row>
      </sheetData>
      <sheetData sheetId="6813" refreshError="1"/>
      <sheetData sheetId="6814">
        <row r="1">
          <cell r="J1">
            <v>1.7453292519943295E-2</v>
          </cell>
        </row>
      </sheetData>
      <sheetData sheetId="6815">
        <row r="1">
          <cell r="J1">
            <v>1.7453292519943295E-2</v>
          </cell>
        </row>
      </sheetData>
      <sheetData sheetId="6816" refreshError="1"/>
      <sheetData sheetId="6817" refreshError="1"/>
      <sheetData sheetId="6818" refreshError="1"/>
      <sheetData sheetId="6819">
        <row r="1">
          <cell r="J1">
            <v>1.7453292519943295E-2</v>
          </cell>
        </row>
      </sheetData>
      <sheetData sheetId="6820">
        <row r="1">
          <cell r="J1">
            <v>1.7453292519943295E-2</v>
          </cell>
        </row>
      </sheetData>
      <sheetData sheetId="6821">
        <row r="1">
          <cell r="J1">
            <v>1.7453292519943295E-2</v>
          </cell>
        </row>
      </sheetData>
      <sheetData sheetId="6822">
        <row r="1">
          <cell r="J1">
            <v>1.7453292519943295E-2</v>
          </cell>
        </row>
      </sheetData>
      <sheetData sheetId="6823">
        <row r="1">
          <cell r="J1">
            <v>1.7453292519943295E-2</v>
          </cell>
        </row>
      </sheetData>
      <sheetData sheetId="6824">
        <row r="1">
          <cell r="J1">
            <v>1.7453292519943295E-2</v>
          </cell>
        </row>
      </sheetData>
      <sheetData sheetId="6825">
        <row r="1">
          <cell r="J1">
            <v>1.7453292519943295E-2</v>
          </cell>
        </row>
      </sheetData>
      <sheetData sheetId="6826">
        <row r="1">
          <cell r="J1">
            <v>1.7453292519943295E-2</v>
          </cell>
        </row>
      </sheetData>
      <sheetData sheetId="6827">
        <row r="1">
          <cell r="J1">
            <v>1.7453292519943295E-2</v>
          </cell>
        </row>
      </sheetData>
      <sheetData sheetId="6828">
        <row r="1">
          <cell r="J1">
            <v>1.7453292519943295E-2</v>
          </cell>
        </row>
      </sheetData>
      <sheetData sheetId="6829">
        <row r="1">
          <cell r="J1">
            <v>1.7453292519943295E-2</v>
          </cell>
        </row>
      </sheetData>
      <sheetData sheetId="6830">
        <row r="1">
          <cell r="J1">
            <v>1.7453292519943295E-2</v>
          </cell>
        </row>
      </sheetData>
      <sheetData sheetId="6831">
        <row r="1">
          <cell r="J1">
            <v>1.7453292519943295E-2</v>
          </cell>
        </row>
      </sheetData>
      <sheetData sheetId="6832">
        <row r="1">
          <cell r="J1">
            <v>1.7453292519943295E-2</v>
          </cell>
        </row>
      </sheetData>
      <sheetData sheetId="6833">
        <row r="1">
          <cell r="J1">
            <v>1.7453292519943295E-2</v>
          </cell>
        </row>
      </sheetData>
      <sheetData sheetId="6834" refreshError="1"/>
      <sheetData sheetId="6835" refreshError="1"/>
      <sheetData sheetId="6836">
        <row r="1">
          <cell r="J1">
            <v>1.7453292519943295E-2</v>
          </cell>
        </row>
      </sheetData>
      <sheetData sheetId="6837">
        <row r="1">
          <cell r="J1">
            <v>1.7453292519943295E-2</v>
          </cell>
        </row>
      </sheetData>
      <sheetData sheetId="6838" refreshError="1"/>
      <sheetData sheetId="6839">
        <row r="1">
          <cell r="J1">
            <v>1.7453292519943295E-2</v>
          </cell>
        </row>
      </sheetData>
      <sheetData sheetId="6840">
        <row r="1">
          <cell r="J1">
            <v>1.7453292519943295E-2</v>
          </cell>
        </row>
      </sheetData>
      <sheetData sheetId="6841" refreshError="1"/>
      <sheetData sheetId="6842" refreshError="1"/>
      <sheetData sheetId="6843" refreshError="1"/>
      <sheetData sheetId="6844">
        <row r="1">
          <cell r="J1">
            <v>1.7453292519943295E-2</v>
          </cell>
        </row>
      </sheetData>
      <sheetData sheetId="6845">
        <row r="1">
          <cell r="J1">
            <v>1.7453292519943295E-2</v>
          </cell>
        </row>
      </sheetData>
      <sheetData sheetId="6846">
        <row r="1">
          <cell r="J1">
            <v>1.7453292519943295E-2</v>
          </cell>
        </row>
      </sheetData>
      <sheetData sheetId="6847">
        <row r="1">
          <cell r="J1">
            <v>1.7453292519943295E-2</v>
          </cell>
        </row>
      </sheetData>
      <sheetData sheetId="6848">
        <row r="1">
          <cell r="J1">
            <v>1.7453292519943295E-2</v>
          </cell>
        </row>
      </sheetData>
      <sheetData sheetId="6849">
        <row r="1">
          <cell r="J1">
            <v>1.7453292519943295E-2</v>
          </cell>
        </row>
      </sheetData>
      <sheetData sheetId="6850">
        <row r="1">
          <cell r="J1">
            <v>1.7453292519943295E-2</v>
          </cell>
        </row>
      </sheetData>
      <sheetData sheetId="6851">
        <row r="1">
          <cell r="J1">
            <v>1.7453292519943295E-2</v>
          </cell>
        </row>
      </sheetData>
      <sheetData sheetId="6852">
        <row r="1">
          <cell r="J1">
            <v>1.7453292519943295E-2</v>
          </cell>
        </row>
      </sheetData>
      <sheetData sheetId="6853">
        <row r="1">
          <cell r="J1">
            <v>1.7453292519943295E-2</v>
          </cell>
        </row>
      </sheetData>
      <sheetData sheetId="6854">
        <row r="1">
          <cell r="J1">
            <v>1.7453292519943295E-2</v>
          </cell>
        </row>
      </sheetData>
      <sheetData sheetId="6855">
        <row r="1">
          <cell r="J1">
            <v>1.7453292519943295E-2</v>
          </cell>
        </row>
      </sheetData>
      <sheetData sheetId="6856">
        <row r="1">
          <cell r="J1">
            <v>1.7453292519943295E-2</v>
          </cell>
        </row>
      </sheetData>
      <sheetData sheetId="6857">
        <row r="1">
          <cell r="J1">
            <v>1.7453292519943295E-2</v>
          </cell>
        </row>
      </sheetData>
      <sheetData sheetId="6858" refreshError="1"/>
      <sheetData sheetId="6859" refreshError="1"/>
      <sheetData sheetId="6860" refreshError="1"/>
      <sheetData sheetId="6861">
        <row r="1">
          <cell r="J1">
            <v>1.7453292519943295E-2</v>
          </cell>
        </row>
      </sheetData>
      <sheetData sheetId="6862">
        <row r="1">
          <cell r="J1">
            <v>1.7453292519943295E-2</v>
          </cell>
        </row>
      </sheetData>
      <sheetData sheetId="6863" refreshError="1"/>
      <sheetData sheetId="6864" refreshError="1"/>
      <sheetData sheetId="6865">
        <row r="1">
          <cell r="J1">
            <v>1.7453292519943295E-2</v>
          </cell>
        </row>
      </sheetData>
      <sheetData sheetId="6866" refreshError="1"/>
      <sheetData sheetId="6867" refreshError="1"/>
      <sheetData sheetId="6868" refreshError="1"/>
      <sheetData sheetId="6869">
        <row r="1">
          <cell r="J1">
            <v>1.7453292519943295E-2</v>
          </cell>
        </row>
      </sheetData>
      <sheetData sheetId="6870">
        <row r="1">
          <cell r="J1">
            <v>1.7453292519943295E-2</v>
          </cell>
        </row>
      </sheetData>
      <sheetData sheetId="6871">
        <row r="1">
          <cell r="J1">
            <v>1.7453292519943295E-2</v>
          </cell>
        </row>
      </sheetData>
      <sheetData sheetId="6872">
        <row r="1">
          <cell r="J1">
            <v>1.7453292519943295E-2</v>
          </cell>
        </row>
      </sheetData>
      <sheetData sheetId="6873">
        <row r="1">
          <cell r="J1">
            <v>1.7453292519943295E-2</v>
          </cell>
        </row>
      </sheetData>
      <sheetData sheetId="6874">
        <row r="1">
          <cell r="J1">
            <v>1.7453292519943295E-2</v>
          </cell>
        </row>
      </sheetData>
      <sheetData sheetId="6875">
        <row r="1">
          <cell r="J1">
            <v>1.7453292519943295E-2</v>
          </cell>
        </row>
      </sheetData>
      <sheetData sheetId="6876">
        <row r="1">
          <cell r="J1">
            <v>1.7453292519943295E-2</v>
          </cell>
        </row>
      </sheetData>
      <sheetData sheetId="6877">
        <row r="1">
          <cell r="J1">
            <v>1.7453292519943295E-2</v>
          </cell>
        </row>
      </sheetData>
      <sheetData sheetId="6878">
        <row r="1">
          <cell r="J1">
            <v>1.7453292519943295E-2</v>
          </cell>
        </row>
      </sheetData>
      <sheetData sheetId="6879">
        <row r="1">
          <cell r="J1">
            <v>1.7453292519943295E-2</v>
          </cell>
        </row>
      </sheetData>
      <sheetData sheetId="6880">
        <row r="1">
          <cell r="J1">
            <v>1.7453292519943295E-2</v>
          </cell>
        </row>
      </sheetData>
      <sheetData sheetId="6881">
        <row r="1">
          <cell r="J1">
            <v>1.7453292519943295E-2</v>
          </cell>
        </row>
      </sheetData>
      <sheetData sheetId="6882">
        <row r="1">
          <cell r="J1">
            <v>1.7453292519943295E-2</v>
          </cell>
        </row>
      </sheetData>
      <sheetData sheetId="6883">
        <row r="1">
          <cell r="J1">
            <v>1.7453292519943295E-2</v>
          </cell>
        </row>
      </sheetData>
      <sheetData sheetId="6884" refreshError="1"/>
      <sheetData sheetId="6885" refreshError="1"/>
      <sheetData sheetId="6886">
        <row r="1">
          <cell r="J1">
            <v>1.7453292519943295E-2</v>
          </cell>
        </row>
      </sheetData>
      <sheetData sheetId="6887">
        <row r="1">
          <cell r="J1">
            <v>1.7453292519943295E-2</v>
          </cell>
        </row>
      </sheetData>
      <sheetData sheetId="6888" refreshError="1"/>
      <sheetData sheetId="6889">
        <row r="1">
          <cell r="J1">
            <v>1.7453292519943295E-2</v>
          </cell>
        </row>
      </sheetData>
      <sheetData sheetId="6890">
        <row r="1">
          <cell r="J1">
            <v>1.7453292519943295E-2</v>
          </cell>
        </row>
      </sheetData>
      <sheetData sheetId="6891" refreshError="1"/>
      <sheetData sheetId="6892" refreshError="1"/>
      <sheetData sheetId="6893" refreshError="1"/>
      <sheetData sheetId="6894">
        <row r="1">
          <cell r="J1">
            <v>1.7453292519943295E-2</v>
          </cell>
        </row>
      </sheetData>
      <sheetData sheetId="6895">
        <row r="1">
          <cell r="J1">
            <v>1.7453292519943295E-2</v>
          </cell>
        </row>
      </sheetData>
      <sheetData sheetId="6896">
        <row r="1">
          <cell r="J1">
            <v>1.7453292519943295E-2</v>
          </cell>
        </row>
      </sheetData>
      <sheetData sheetId="6897">
        <row r="1">
          <cell r="J1">
            <v>1.7453292519943295E-2</v>
          </cell>
        </row>
      </sheetData>
      <sheetData sheetId="6898">
        <row r="1">
          <cell r="J1">
            <v>1.7453292519943295E-2</v>
          </cell>
        </row>
      </sheetData>
      <sheetData sheetId="6899">
        <row r="1">
          <cell r="J1">
            <v>1.7453292519943295E-2</v>
          </cell>
        </row>
      </sheetData>
      <sheetData sheetId="6900">
        <row r="1">
          <cell r="J1">
            <v>1.7453292519943295E-2</v>
          </cell>
        </row>
      </sheetData>
      <sheetData sheetId="6901">
        <row r="1">
          <cell r="J1">
            <v>1.7453292519943295E-2</v>
          </cell>
        </row>
      </sheetData>
      <sheetData sheetId="6902">
        <row r="1">
          <cell r="J1">
            <v>1.7453292519943295E-2</v>
          </cell>
        </row>
      </sheetData>
      <sheetData sheetId="6903">
        <row r="1">
          <cell r="J1">
            <v>1.7453292519943295E-2</v>
          </cell>
        </row>
      </sheetData>
      <sheetData sheetId="6904">
        <row r="1">
          <cell r="J1">
            <v>1.7453292519943295E-2</v>
          </cell>
        </row>
      </sheetData>
      <sheetData sheetId="6905">
        <row r="1">
          <cell r="J1">
            <v>1.7453292519943295E-2</v>
          </cell>
        </row>
      </sheetData>
      <sheetData sheetId="6906">
        <row r="1">
          <cell r="J1">
            <v>1.7453292519943295E-2</v>
          </cell>
        </row>
      </sheetData>
      <sheetData sheetId="6907">
        <row r="1">
          <cell r="J1">
            <v>1.7453292519943295E-2</v>
          </cell>
        </row>
      </sheetData>
      <sheetData sheetId="6908">
        <row r="1">
          <cell r="J1">
            <v>1.7453292519943295E-2</v>
          </cell>
        </row>
      </sheetData>
      <sheetData sheetId="6909" refreshError="1"/>
      <sheetData sheetId="6910" refreshError="1"/>
      <sheetData sheetId="6911">
        <row r="1">
          <cell r="J1">
            <v>1.7453292519943295E-2</v>
          </cell>
        </row>
      </sheetData>
      <sheetData sheetId="6912">
        <row r="1">
          <cell r="J1">
            <v>1.7453292519943295E-2</v>
          </cell>
        </row>
      </sheetData>
      <sheetData sheetId="6913">
        <row r="1">
          <cell r="J1">
            <v>1.7453292519943295E-2</v>
          </cell>
        </row>
      </sheetData>
      <sheetData sheetId="6914" refreshError="1"/>
      <sheetData sheetId="6915">
        <row r="1">
          <cell r="J1">
            <v>1.7453292519943295E-2</v>
          </cell>
        </row>
      </sheetData>
      <sheetData sheetId="6916">
        <row r="1">
          <cell r="J1">
            <v>1.7453292519943295E-2</v>
          </cell>
        </row>
      </sheetData>
      <sheetData sheetId="6917" refreshError="1"/>
      <sheetData sheetId="6918" refreshError="1"/>
      <sheetData sheetId="6919">
        <row r="1">
          <cell r="J1">
            <v>1.7453292519943295E-2</v>
          </cell>
        </row>
      </sheetData>
      <sheetData sheetId="6920">
        <row r="1">
          <cell r="J1">
            <v>1.7453292519943295E-2</v>
          </cell>
        </row>
      </sheetData>
      <sheetData sheetId="6921" refreshError="1"/>
      <sheetData sheetId="6922" refreshError="1"/>
      <sheetData sheetId="6923" refreshError="1"/>
      <sheetData sheetId="6924">
        <row r="1">
          <cell r="J1">
            <v>1.7453292519943295E-2</v>
          </cell>
        </row>
      </sheetData>
      <sheetData sheetId="6925" refreshError="1"/>
      <sheetData sheetId="6926">
        <row r="1">
          <cell r="J1">
            <v>1.7453292519943295E-2</v>
          </cell>
        </row>
      </sheetData>
      <sheetData sheetId="6927">
        <row r="1">
          <cell r="J1">
            <v>1.7453292519943295E-2</v>
          </cell>
        </row>
      </sheetData>
      <sheetData sheetId="6928">
        <row r="1">
          <cell r="J1">
            <v>1.7453292519943295E-2</v>
          </cell>
        </row>
      </sheetData>
      <sheetData sheetId="6929">
        <row r="1">
          <cell r="J1">
            <v>1.7453292519943295E-2</v>
          </cell>
        </row>
      </sheetData>
      <sheetData sheetId="6930">
        <row r="1">
          <cell r="J1">
            <v>1.7453292519943295E-2</v>
          </cell>
        </row>
      </sheetData>
      <sheetData sheetId="6931">
        <row r="1">
          <cell r="J1">
            <v>1.7453292519943295E-2</v>
          </cell>
        </row>
      </sheetData>
      <sheetData sheetId="6932">
        <row r="1">
          <cell r="J1">
            <v>1.7453292519943295E-2</v>
          </cell>
        </row>
      </sheetData>
      <sheetData sheetId="6933">
        <row r="1">
          <cell r="J1">
            <v>1.7453292519943295E-2</v>
          </cell>
        </row>
      </sheetData>
      <sheetData sheetId="6934">
        <row r="1">
          <cell r="J1">
            <v>1.7453292519943295E-2</v>
          </cell>
        </row>
      </sheetData>
      <sheetData sheetId="6935">
        <row r="1">
          <cell r="J1">
            <v>1.7453292519943295E-2</v>
          </cell>
        </row>
      </sheetData>
      <sheetData sheetId="6936">
        <row r="1">
          <cell r="J1">
            <v>1.7453292519943295E-2</v>
          </cell>
        </row>
      </sheetData>
      <sheetData sheetId="6937">
        <row r="1">
          <cell r="J1">
            <v>1.7453292519943295E-2</v>
          </cell>
        </row>
      </sheetData>
      <sheetData sheetId="6938">
        <row r="1">
          <cell r="J1">
            <v>1.7453292519943295E-2</v>
          </cell>
        </row>
      </sheetData>
      <sheetData sheetId="6939">
        <row r="1">
          <cell r="J1">
            <v>1.7453292519943295E-2</v>
          </cell>
        </row>
      </sheetData>
      <sheetData sheetId="6940">
        <row r="1">
          <cell r="J1">
            <v>1.7453292519943295E-2</v>
          </cell>
        </row>
      </sheetData>
      <sheetData sheetId="6941">
        <row r="1">
          <cell r="J1">
            <v>1.7453292519943295E-2</v>
          </cell>
        </row>
      </sheetData>
      <sheetData sheetId="6942" refreshError="1"/>
      <sheetData sheetId="6943" refreshError="1"/>
      <sheetData sheetId="6944">
        <row r="1">
          <cell r="J1">
            <v>1.7453292519943295E-2</v>
          </cell>
        </row>
      </sheetData>
      <sheetData sheetId="6945">
        <row r="1">
          <cell r="J1">
            <v>1.7453292519943295E-2</v>
          </cell>
        </row>
      </sheetData>
      <sheetData sheetId="6946" refreshError="1"/>
      <sheetData sheetId="6947">
        <row r="1">
          <cell r="J1">
            <v>1.7453292519943295E-2</v>
          </cell>
        </row>
      </sheetData>
      <sheetData sheetId="6948">
        <row r="1">
          <cell r="J1">
            <v>1.7453292519943295E-2</v>
          </cell>
        </row>
      </sheetData>
      <sheetData sheetId="6949">
        <row r="1">
          <cell r="J1">
            <v>1.7453292519943295E-2</v>
          </cell>
        </row>
      </sheetData>
      <sheetData sheetId="6950" refreshError="1"/>
      <sheetData sheetId="6951" refreshError="1"/>
      <sheetData sheetId="6952">
        <row r="1">
          <cell r="J1">
            <v>1.7453292519943295E-2</v>
          </cell>
        </row>
      </sheetData>
      <sheetData sheetId="6953">
        <row r="1">
          <cell r="J1">
            <v>1.7453292519943295E-2</v>
          </cell>
        </row>
      </sheetData>
      <sheetData sheetId="6954">
        <row r="1">
          <cell r="J1">
            <v>1.7453292519943295E-2</v>
          </cell>
        </row>
      </sheetData>
      <sheetData sheetId="6955" refreshError="1"/>
      <sheetData sheetId="6956">
        <row r="1">
          <cell r="J1">
            <v>1.7453292519943295E-2</v>
          </cell>
        </row>
      </sheetData>
      <sheetData sheetId="6957">
        <row r="1">
          <cell r="J1">
            <v>1.7453292519943295E-2</v>
          </cell>
        </row>
      </sheetData>
      <sheetData sheetId="6958">
        <row r="1">
          <cell r="J1">
            <v>1.7453292519943295E-2</v>
          </cell>
        </row>
      </sheetData>
      <sheetData sheetId="6959" refreshError="1"/>
      <sheetData sheetId="6960" refreshError="1"/>
      <sheetData sheetId="6961" refreshError="1"/>
      <sheetData sheetId="6962">
        <row r="1">
          <cell r="J1">
            <v>1.7453292519943295E-2</v>
          </cell>
        </row>
      </sheetData>
      <sheetData sheetId="6963">
        <row r="1">
          <cell r="J1">
            <v>1.7453292519943295E-2</v>
          </cell>
        </row>
      </sheetData>
      <sheetData sheetId="6964">
        <row r="1">
          <cell r="J1">
            <v>1.7453292519943295E-2</v>
          </cell>
        </row>
      </sheetData>
      <sheetData sheetId="6965" refreshError="1"/>
      <sheetData sheetId="6966" refreshError="1"/>
      <sheetData sheetId="6967" refreshError="1"/>
      <sheetData sheetId="6968">
        <row r="1">
          <cell r="J1">
            <v>1.7453292519943295E-2</v>
          </cell>
        </row>
      </sheetData>
      <sheetData sheetId="6969">
        <row r="1">
          <cell r="J1">
            <v>1.7453292519943295E-2</v>
          </cell>
        </row>
      </sheetData>
      <sheetData sheetId="6970">
        <row r="1">
          <cell r="J1">
            <v>1.7453292519943295E-2</v>
          </cell>
        </row>
      </sheetData>
      <sheetData sheetId="6971" refreshError="1"/>
      <sheetData sheetId="6972" refreshError="1"/>
      <sheetData sheetId="6973" refreshError="1"/>
      <sheetData sheetId="6974">
        <row r="1">
          <cell r="J1">
            <v>1.7453292519943295E-2</v>
          </cell>
        </row>
      </sheetData>
      <sheetData sheetId="6975" refreshError="1"/>
      <sheetData sheetId="6976">
        <row r="1">
          <cell r="J1">
            <v>1.7453292519943295E-2</v>
          </cell>
        </row>
      </sheetData>
      <sheetData sheetId="6977">
        <row r="1">
          <cell r="J1">
            <v>1.7453292519943295E-2</v>
          </cell>
        </row>
      </sheetData>
      <sheetData sheetId="6978">
        <row r="1">
          <cell r="J1">
            <v>1.7453292519943295E-2</v>
          </cell>
        </row>
      </sheetData>
      <sheetData sheetId="6979">
        <row r="1">
          <cell r="J1">
            <v>1.7453292519943295E-2</v>
          </cell>
        </row>
      </sheetData>
      <sheetData sheetId="6980">
        <row r="1">
          <cell r="J1">
            <v>1.7453292519943295E-2</v>
          </cell>
        </row>
      </sheetData>
      <sheetData sheetId="6981">
        <row r="1">
          <cell r="J1">
            <v>1.7453292519943295E-2</v>
          </cell>
        </row>
      </sheetData>
      <sheetData sheetId="6982">
        <row r="1">
          <cell r="J1">
            <v>1.7453292519943295E-2</v>
          </cell>
        </row>
      </sheetData>
      <sheetData sheetId="6983">
        <row r="1">
          <cell r="J1">
            <v>1.7453292519943295E-2</v>
          </cell>
        </row>
      </sheetData>
      <sheetData sheetId="6984">
        <row r="1">
          <cell r="J1">
            <v>1.7453292519943295E-2</v>
          </cell>
        </row>
      </sheetData>
      <sheetData sheetId="6985">
        <row r="1">
          <cell r="J1">
            <v>1.7453292519943295E-2</v>
          </cell>
        </row>
      </sheetData>
      <sheetData sheetId="6986">
        <row r="1">
          <cell r="J1">
            <v>1.7453292519943295E-2</v>
          </cell>
        </row>
      </sheetData>
      <sheetData sheetId="6987">
        <row r="1">
          <cell r="J1">
            <v>1.7453292519943295E-2</v>
          </cell>
        </row>
      </sheetData>
      <sheetData sheetId="6988">
        <row r="1">
          <cell r="J1">
            <v>1.7453292519943295E-2</v>
          </cell>
        </row>
      </sheetData>
      <sheetData sheetId="6989">
        <row r="1">
          <cell r="J1">
            <v>1.7453292519943295E-2</v>
          </cell>
        </row>
      </sheetData>
      <sheetData sheetId="6990">
        <row r="1">
          <cell r="J1">
            <v>1.7453292519943295E-2</v>
          </cell>
        </row>
      </sheetData>
      <sheetData sheetId="6991" refreshError="1"/>
      <sheetData sheetId="6992">
        <row r="1">
          <cell r="J1">
            <v>1.7453292519943295E-2</v>
          </cell>
        </row>
      </sheetData>
      <sheetData sheetId="6993" refreshError="1"/>
      <sheetData sheetId="6994">
        <row r="1">
          <cell r="J1">
            <v>1.7453292519943295E-2</v>
          </cell>
        </row>
      </sheetData>
      <sheetData sheetId="6995">
        <row r="1">
          <cell r="J1">
            <v>1.7453292519943295E-2</v>
          </cell>
        </row>
      </sheetData>
      <sheetData sheetId="6996" refreshError="1"/>
      <sheetData sheetId="6997">
        <row r="1">
          <cell r="J1">
            <v>1.7453292519943295E-2</v>
          </cell>
        </row>
      </sheetData>
      <sheetData sheetId="6998">
        <row r="1">
          <cell r="J1">
            <v>1.7453292519943295E-2</v>
          </cell>
        </row>
      </sheetData>
      <sheetData sheetId="6999" refreshError="1"/>
      <sheetData sheetId="7000">
        <row r="1">
          <cell r="J1">
            <v>1.7453292519943295E-2</v>
          </cell>
        </row>
      </sheetData>
      <sheetData sheetId="7001">
        <row r="1">
          <cell r="J1">
            <v>1.7453292519943295E-2</v>
          </cell>
        </row>
      </sheetData>
      <sheetData sheetId="7002">
        <row r="1">
          <cell r="J1">
            <v>1.7453292519943295E-2</v>
          </cell>
        </row>
      </sheetData>
      <sheetData sheetId="7003" refreshError="1"/>
      <sheetData sheetId="7004">
        <row r="1">
          <cell r="J1">
            <v>1.7453292519943295E-2</v>
          </cell>
        </row>
      </sheetData>
      <sheetData sheetId="7005">
        <row r="1">
          <cell r="J1">
            <v>1.7453292519943295E-2</v>
          </cell>
        </row>
      </sheetData>
      <sheetData sheetId="7006">
        <row r="1">
          <cell r="J1">
            <v>1.7453292519943295E-2</v>
          </cell>
        </row>
      </sheetData>
      <sheetData sheetId="7007"/>
      <sheetData sheetId="7008" refreshError="1"/>
      <sheetData sheetId="7009">
        <row r="1">
          <cell r="J1">
            <v>1.7453292519943295E-2</v>
          </cell>
        </row>
      </sheetData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/>
      <sheetData sheetId="7017" refreshError="1"/>
      <sheetData sheetId="7018">
        <row r="1">
          <cell r="J1">
            <v>1.7453292519943295E-2</v>
          </cell>
        </row>
      </sheetData>
      <sheetData sheetId="7019">
        <row r="1">
          <cell r="J1">
            <v>1.7453292519943295E-2</v>
          </cell>
        </row>
      </sheetData>
      <sheetData sheetId="7020">
        <row r="1">
          <cell r="J1">
            <v>1.7453292519943295E-2</v>
          </cell>
        </row>
      </sheetData>
      <sheetData sheetId="7021">
        <row r="1">
          <cell r="J1">
            <v>1.7453292519943295E-2</v>
          </cell>
        </row>
      </sheetData>
      <sheetData sheetId="7022">
        <row r="1">
          <cell r="J1">
            <v>1.7453292519943295E-2</v>
          </cell>
        </row>
      </sheetData>
      <sheetData sheetId="7023">
        <row r="1">
          <cell r="J1">
            <v>1.7453292519943295E-2</v>
          </cell>
        </row>
      </sheetData>
      <sheetData sheetId="7024">
        <row r="1">
          <cell r="J1">
            <v>1.7453292519943295E-2</v>
          </cell>
        </row>
      </sheetData>
      <sheetData sheetId="7025">
        <row r="1">
          <cell r="J1">
            <v>1.7453292519943295E-2</v>
          </cell>
        </row>
      </sheetData>
      <sheetData sheetId="7026">
        <row r="1">
          <cell r="J1">
            <v>1.7453292519943295E-2</v>
          </cell>
        </row>
      </sheetData>
      <sheetData sheetId="7027">
        <row r="1">
          <cell r="J1">
            <v>1.7453292519943295E-2</v>
          </cell>
        </row>
      </sheetData>
      <sheetData sheetId="7028">
        <row r="1">
          <cell r="J1">
            <v>1.7453292519943295E-2</v>
          </cell>
        </row>
      </sheetData>
      <sheetData sheetId="7029">
        <row r="1">
          <cell r="J1">
            <v>1.7453292519943295E-2</v>
          </cell>
        </row>
      </sheetData>
      <sheetData sheetId="7030">
        <row r="1">
          <cell r="J1">
            <v>1.7453292519943295E-2</v>
          </cell>
        </row>
      </sheetData>
      <sheetData sheetId="7031">
        <row r="1">
          <cell r="J1">
            <v>1.7453292519943295E-2</v>
          </cell>
        </row>
      </sheetData>
      <sheetData sheetId="7032" refreshError="1"/>
      <sheetData sheetId="7033" refreshError="1"/>
      <sheetData sheetId="7034">
        <row r="1">
          <cell r="J1">
            <v>1.7453292519943295E-2</v>
          </cell>
        </row>
      </sheetData>
      <sheetData sheetId="7035">
        <row r="1">
          <cell r="J1">
            <v>1.7453292519943295E-2</v>
          </cell>
        </row>
      </sheetData>
      <sheetData sheetId="7036">
        <row r="1">
          <cell r="J1">
            <v>1.7453292519943295E-2</v>
          </cell>
        </row>
      </sheetData>
      <sheetData sheetId="7037">
        <row r="1">
          <cell r="J1">
            <v>1.7453292519943295E-2</v>
          </cell>
        </row>
      </sheetData>
      <sheetData sheetId="7038" refreshError="1"/>
      <sheetData sheetId="7039">
        <row r="1">
          <cell r="J1">
            <v>1.7453292519943295E-2</v>
          </cell>
        </row>
      </sheetData>
      <sheetData sheetId="7040">
        <row r="1">
          <cell r="J1">
            <v>1.7453292519943295E-2</v>
          </cell>
        </row>
      </sheetData>
      <sheetData sheetId="7041" refreshError="1"/>
      <sheetData sheetId="7042" refreshError="1"/>
      <sheetData sheetId="7043">
        <row r="1">
          <cell r="J1">
            <v>1.7453292519943295E-2</v>
          </cell>
        </row>
      </sheetData>
      <sheetData sheetId="7044">
        <row r="1">
          <cell r="J1">
            <v>1.7453292519943295E-2</v>
          </cell>
        </row>
      </sheetData>
      <sheetData sheetId="7045">
        <row r="1">
          <cell r="J1">
            <v>1.7453292519943295E-2</v>
          </cell>
        </row>
      </sheetData>
      <sheetData sheetId="7046" refreshError="1"/>
      <sheetData sheetId="7047" refreshError="1"/>
      <sheetData sheetId="7048" refreshError="1"/>
      <sheetData sheetId="7049">
        <row r="1">
          <cell r="J1">
            <v>1.7453292519943295E-2</v>
          </cell>
        </row>
      </sheetData>
      <sheetData sheetId="7050" refreshError="1"/>
      <sheetData sheetId="7051">
        <row r="1">
          <cell r="J1">
            <v>1.7453292519943295E-2</v>
          </cell>
        </row>
      </sheetData>
      <sheetData sheetId="7052">
        <row r="1">
          <cell r="J1">
            <v>1.7453292519943295E-2</v>
          </cell>
        </row>
      </sheetData>
      <sheetData sheetId="7053">
        <row r="1">
          <cell r="J1">
            <v>1.7453292519943295E-2</v>
          </cell>
        </row>
      </sheetData>
      <sheetData sheetId="7054">
        <row r="1">
          <cell r="J1">
            <v>1.7453292519943295E-2</v>
          </cell>
        </row>
      </sheetData>
      <sheetData sheetId="7055">
        <row r="1">
          <cell r="J1">
            <v>1.7453292519943295E-2</v>
          </cell>
        </row>
      </sheetData>
      <sheetData sheetId="7056">
        <row r="1">
          <cell r="J1">
            <v>1.7453292519943295E-2</v>
          </cell>
        </row>
      </sheetData>
      <sheetData sheetId="7057">
        <row r="1">
          <cell r="J1">
            <v>1.7453292519943295E-2</v>
          </cell>
        </row>
      </sheetData>
      <sheetData sheetId="7058">
        <row r="1">
          <cell r="J1">
            <v>1.7453292519943295E-2</v>
          </cell>
        </row>
      </sheetData>
      <sheetData sheetId="7059">
        <row r="1">
          <cell r="J1">
            <v>1.7453292519943295E-2</v>
          </cell>
        </row>
      </sheetData>
      <sheetData sheetId="7060">
        <row r="1">
          <cell r="J1">
            <v>1.7453292519943295E-2</v>
          </cell>
        </row>
      </sheetData>
      <sheetData sheetId="7061">
        <row r="1">
          <cell r="J1">
            <v>1.7453292519943295E-2</v>
          </cell>
        </row>
      </sheetData>
      <sheetData sheetId="7062">
        <row r="1">
          <cell r="J1">
            <v>1.7453292519943295E-2</v>
          </cell>
        </row>
      </sheetData>
      <sheetData sheetId="7063">
        <row r="1">
          <cell r="J1">
            <v>1.7453292519943295E-2</v>
          </cell>
        </row>
      </sheetData>
      <sheetData sheetId="7064">
        <row r="1">
          <cell r="J1">
            <v>1.7453292519943295E-2</v>
          </cell>
        </row>
      </sheetData>
      <sheetData sheetId="7065">
        <row r="1">
          <cell r="J1">
            <v>1.7453292519943295E-2</v>
          </cell>
        </row>
      </sheetData>
      <sheetData sheetId="7066">
        <row r="1">
          <cell r="J1">
            <v>1.7453292519943295E-2</v>
          </cell>
        </row>
      </sheetData>
      <sheetData sheetId="7067" refreshError="1"/>
      <sheetData sheetId="7068" refreshError="1"/>
      <sheetData sheetId="7069">
        <row r="1">
          <cell r="J1">
            <v>1.7453292519943295E-2</v>
          </cell>
        </row>
      </sheetData>
      <sheetData sheetId="7070">
        <row r="1">
          <cell r="J1">
            <v>1.7453292519943295E-2</v>
          </cell>
        </row>
      </sheetData>
      <sheetData sheetId="7071">
        <row r="1">
          <cell r="J1">
            <v>1.7453292519943295E-2</v>
          </cell>
        </row>
      </sheetData>
      <sheetData sheetId="7072" refreshError="1"/>
      <sheetData sheetId="7073">
        <row r="1">
          <cell r="J1">
            <v>1.7453292519943295E-2</v>
          </cell>
        </row>
      </sheetData>
      <sheetData sheetId="7074" refreshError="1"/>
      <sheetData sheetId="7075" refreshError="1"/>
      <sheetData sheetId="7076">
        <row r="1">
          <cell r="J1">
            <v>1.7453292519943295E-2</v>
          </cell>
        </row>
      </sheetData>
      <sheetData sheetId="7077">
        <row r="1">
          <cell r="J1">
            <v>1.7453292519943295E-2</v>
          </cell>
        </row>
      </sheetData>
      <sheetData sheetId="7078">
        <row r="1">
          <cell r="J1">
            <v>1.7453292519943295E-2</v>
          </cell>
        </row>
      </sheetData>
      <sheetData sheetId="7079" refreshError="1"/>
      <sheetData sheetId="7080" refreshError="1"/>
      <sheetData sheetId="7081" refreshError="1"/>
      <sheetData sheetId="7082">
        <row r="1">
          <cell r="J1">
            <v>1.7453292519943295E-2</v>
          </cell>
        </row>
      </sheetData>
      <sheetData sheetId="7083" refreshError="1"/>
      <sheetData sheetId="7084">
        <row r="1">
          <cell r="J1">
            <v>1.7453292519943295E-2</v>
          </cell>
        </row>
      </sheetData>
      <sheetData sheetId="7085">
        <row r="1">
          <cell r="J1">
            <v>1.7453292519943295E-2</v>
          </cell>
        </row>
      </sheetData>
      <sheetData sheetId="7086">
        <row r="1">
          <cell r="J1">
            <v>1.7453292519943295E-2</v>
          </cell>
        </row>
      </sheetData>
      <sheetData sheetId="7087">
        <row r="1">
          <cell r="J1">
            <v>1.7453292519943295E-2</v>
          </cell>
        </row>
      </sheetData>
      <sheetData sheetId="7088">
        <row r="1">
          <cell r="J1">
            <v>1.7453292519943295E-2</v>
          </cell>
        </row>
      </sheetData>
      <sheetData sheetId="7089">
        <row r="1">
          <cell r="J1">
            <v>1.7453292519943295E-2</v>
          </cell>
        </row>
      </sheetData>
      <sheetData sheetId="7090">
        <row r="1">
          <cell r="J1">
            <v>1.7453292519943295E-2</v>
          </cell>
        </row>
      </sheetData>
      <sheetData sheetId="7091">
        <row r="1">
          <cell r="J1">
            <v>1.7453292519943295E-2</v>
          </cell>
        </row>
      </sheetData>
      <sheetData sheetId="7092">
        <row r="1">
          <cell r="J1">
            <v>1.7453292519943295E-2</v>
          </cell>
        </row>
      </sheetData>
      <sheetData sheetId="7093">
        <row r="1">
          <cell r="J1">
            <v>1.7453292519943295E-2</v>
          </cell>
        </row>
      </sheetData>
      <sheetData sheetId="7094">
        <row r="1">
          <cell r="J1">
            <v>1.7453292519943295E-2</v>
          </cell>
        </row>
      </sheetData>
      <sheetData sheetId="7095">
        <row r="1">
          <cell r="J1">
            <v>1.7453292519943295E-2</v>
          </cell>
        </row>
      </sheetData>
      <sheetData sheetId="7096">
        <row r="1">
          <cell r="J1">
            <v>1.7453292519943295E-2</v>
          </cell>
        </row>
      </sheetData>
      <sheetData sheetId="7097">
        <row r="1">
          <cell r="J1">
            <v>1.7453292519943295E-2</v>
          </cell>
        </row>
      </sheetData>
      <sheetData sheetId="7098">
        <row r="1">
          <cell r="J1">
            <v>1.7453292519943295E-2</v>
          </cell>
        </row>
      </sheetData>
      <sheetData sheetId="7099">
        <row r="1">
          <cell r="J1">
            <v>1.7453292519943295E-2</v>
          </cell>
        </row>
      </sheetData>
      <sheetData sheetId="7100">
        <row r="1">
          <cell r="J1">
            <v>1.7453292519943295E-2</v>
          </cell>
        </row>
      </sheetData>
      <sheetData sheetId="7101">
        <row r="1">
          <cell r="J1">
            <v>1.7453292519943295E-2</v>
          </cell>
        </row>
      </sheetData>
      <sheetData sheetId="7102">
        <row r="1">
          <cell r="J1">
            <v>1.7453292519943295E-2</v>
          </cell>
        </row>
      </sheetData>
      <sheetData sheetId="7103">
        <row r="1">
          <cell r="J1">
            <v>1.7453292519943295E-2</v>
          </cell>
        </row>
      </sheetData>
      <sheetData sheetId="7104">
        <row r="1">
          <cell r="J1">
            <v>1.7453292519943295E-2</v>
          </cell>
        </row>
      </sheetData>
      <sheetData sheetId="7105">
        <row r="1">
          <cell r="J1">
            <v>1.7453292519943295E-2</v>
          </cell>
        </row>
      </sheetData>
      <sheetData sheetId="7106" refreshError="1"/>
      <sheetData sheetId="7107" refreshError="1"/>
      <sheetData sheetId="7108" refreshError="1"/>
      <sheetData sheetId="7109">
        <row r="1">
          <cell r="J1">
            <v>1.7453292519943295E-2</v>
          </cell>
        </row>
      </sheetData>
      <sheetData sheetId="7110" refreshError="1"/>
      <sheetData sheetId="7111">
        <row r="1">
          <cell r="J1">
            <v>1.7453292519943295E-2</v>
          </cell>
        </row>
      </sheetData>
      <sheetData sheetId="7112">
        <row r="1">
          <cell r="J1">
            <v>1.7453292519943295E-2</v>
          </cell>
        </row>
      </sheetData>
      <sheetData sheetId="7113">
        <row r="1">
          <cell r="J1">
            <v>1.7453292519943295E-2</v>
          </cell>
        </row>
      </sheetData>
      <sheetData sheetId="7114">
        <row r="1">
          <cell r="J1">
            <v>1.7453292519943295E-2</v>
          </cell>
        </row>
      </sheetData>
      <sheetData sheetId="7115" refreshError="1"/>
      <sheetData sheetId="7116" refreshError="1"/>
      <sheetData sheetId="7117" refreshError="1"/>
      <sheetData sheetId="7118" refreshError="1"/>
      <sheetData sheetId="7119">
        <row r="1">
          <cell r="J1">
            <v>1.7453292519943295E-2</v>
          </cell>
        </row>
      </sheetData>
      <sheetData sheetId="7120" refreshError="1"/>
      <sheetData sheetId="7121">
        <row r="1">
          <cell r="J1">
            <v>1.7453292519943295E-2</v>
          </cell>
        </row>
      </sheetData>
      <sheetData sheetId="7122">
        <row r="1">
          <cell r="J1">
            <v>1.7453292519943295E-2</v>
          </cell>
        </row>
      </sheetData>
      <sheetData sheetId="7123">
        <row r="1">
          <cell r="J1">
            <v>1.7453292519943295E-2</v>
          </cell>
        </row>
      </sheetData>
      <sheetData sheetId="7124">
        <row r="1">
          <cell r="J1">
            <v>1.7453292519943295E-2</v>
          </cell>
        </row>
      </sheetData>
      <sheetData sheetId="7125">
        <row r="1">
          <cell r="J1">
            <v>1.7453292519943295E-2</v>
          </cell>
        </row>
      </sheetData>
      <sheetData sheetId="7126">
        <row r="1">
          <cell r="J1">
            <v>1.7453292519943295E-2</v>
          </cell>
        </row>
      </sheetData>
      <sheetData sheetId="7127">
        <row r="1">
          <cell r="J1">
            <v>1.7453292519943295E-2</v>
          </cell>
        </row>
      </sheetData>
      <sheetData sheetId="7128">
        <row r="1">
          <cell r="J1">
            <v>1.7453292519943295E-2</v>
          </cell>
        </row>
      </sheetData>
      <sheetData sheetId="7129" refreshError="1"/>
      <sheetData sheetId="7130" refreshError="1"/>
      <sheetData sheetId="7131" refreshError="1"/>
      <sheetData sheetId="7132">
        <row r="1">
          <cell r="J1">
            <v>1.7453292519943295E-2</v>
          </cell>
        </row>
      </sheetData>
      <sheetData sheetId="7133">
        <row r="1">
          <cell r="J1">
            <v>1.7453292519943295E-2</v>
          </cell>
        </row>
      </sheetData>
      <sheetData sheetId="7134" refreshError="1"/>
      <sheetData sheetId="7135">
        <row r="1">
          <cell r="J1">
            <v>1.7453292519943295E-2</v>
          </cell>
        </row>
      </sheetData>
      <sheetData sheetId="7136" refreshError="1"/>
      <sheetData sheetId="7137" refreshError="1"/>
      <sheetData sheetId="7138">
        <row r="1">
          <cell r="J1">
            <v>1.7453292519943295E-2</v>
          </cell>
        </row>
      </sheetData>
      <sheetData sheetId="7139">
        <row r="1">
          <cell r="J1">
            <v>1.7453292519943295E-2</v>
          </cell>
        </row>
      </sheetData>
      <sheetData sheetId="7140" refreshError="1"/>
      <sheetData sheetId="7141" refreshError="1"/>
      <sheetData sheetId="7142" refreshError="1"/>
      <sheetData sheetId="7143">
        <row r="1">
          <cell r="J1">
            <v>1.7453292519943295E-2</v>
          </cell>
        </row>
      </sheetData>
      <sheetData sheetId="7144" refreshError="1"/>
      <sheetData sheetId="7145">
        <row r="1">
          <cell r="J1">
            <v>1.7453292519943295E-2</v>
          </cell>
        </row>
      </sheetData>
      <sheetData sheetId="7146">
        <row r="1">
          <cell r="J1">
            <v>1.7453292519943295E-2</v>
          </cell>
        </row>
      </sheetData>
      <sheetData sheetId="7147">
        <row r="1">
          <cell r="J1">
            <v>1.7453292519943295E-2</v>
          </cell>
        </row>
      </sheetData>
      <sheetData sheetId="7148">
        <row r="1">
          <cell r="J1">
            <v>1.7453292519943295E-2</v>
          </cell>
        </row>
      </sheetData>
      <sheetData sheetId="7149">
        <row r="1">
          <cell r="J1">
            <v>1.7453292519943295E-2</v>
          </cell>
        </row>
      </sheetData>
      <sheetData sheetId="7150">
        <row r="1">
          <cell r="J1">
            <v>1.7453292519943295E-2</v>
          </cell>
        </row>
      </sheetData>
      <sheetData sheetId="7151">
        <row r="1">
          <cell r="J1">
            <v>1.7453292519943295E-2</v>
          </cell>
        </row>
      </sheetData>
      <sheetData sheetId="7152">
        <row r="1">
          <cell r="J1">
            <v>1.7453292519943295E-2</v>
          </cell>
        </row>
      </sheetData>
      <sheetData sheetId="7153">
        <row r="1">
          <cell r="J1">
            <v>1.7453292519943295E-2</v>
          </cell>
        </row>
      </sheetData>
      <sheetData sheetId="7154">
        <row r="1">
          <cell r="J1">
            <v>1.7453292519943295E-2</v>
          </cell>
        </row>
      </sheetData>
      <sheetData sheetId="7155">
        <row r="1">
          <cell r="J1">
            <v>1.7453292519943295E-2</v>
          </cell>
        </row>
      </sheetData>
      <sheetData sheetId="7156">
        <row r="1">
          <cell r="J1">
            <v>1.7453292519943295E-2</v>
          </cell>
        </row>
      </sheetData>
      <sheetData sheetId="7157">
        <row r="1">
          <cell r="J1">
            <v>1.7453292519943295E-2</v>
          </cell>
        </row>
      </sheetData>
      <sheetData sheetId="7158">
        <row r="1">
          <cell r="J1">
            <v>1.7453292519943295E-2</v>
          </cell>
        </row>
      </sheetData>
      <sheetData sheetId="7159">
        <row r="1">
          <cell r="J1">
            <v>1.7453292519943295E-2</v>
          </cell>
        </row>
      </sheetData>
      <sheetData sheetId="7160">
        <row r="1">
          <cell r="J1">
            <v>1.7453292519943295E-2</v>
          </cell>
        </row>
      </sheetData>
      <sheetData sheetId="7161">
        <row r="1">
          <cell r="J1">
            <v>1.7453292519943295E-2</v>
          </cell>
        </row>
      </sheetData>
      <sheetData sheetId="7162">
        <row r="1">
          <cell r="J1">
            <v>1.7453292519943295E-2</v>
          </cell>
        </row>
      </sheetData>
      <sheetData sheetId="7163">
        <row r="1">
          <cell r="J1">
            <v>1.7453292519943295E-2</v>
          </cell>
        </row>
      </sheetData>
      <sheetData sheetId="7164">
        <row r="1">
          <cell r="J1">
            <v>1.7453292519943295E-2</v>
          </cell>
        </row>
      </sheetData>
      <sheetData sheetId="7165">
        <row r="1">
          <cell r="J1">
            <v>1.7453292519943295E-2</v>
          </cell>
        </row>
      </sheetData>
      <sheetData sheetId="7166">
        <row r="1">
          <cell r="J1">
            <v>1.7453292519943295E-2</v>
          </cell>
        </row>
      </sheetData>
      <sheetData sheetId="7167">
        <row r="1">
          <cell r="J1">
            <v>1.7453292519943295E-2</v>
          </cell>
        </row>
      </sheetData>
      <sheetData sheetId="7168" refreshError="1"/>
      <sheetData sheetId="7169" refreshError="1"/>
      <sheetData sheetId="7170">
        <row r="1">
          <cell r="J1">
            <v>1.7453292519943295E-2</v>
          </cell>
        </row>
      </sheetData>
      <sheetData sheetId="7171">
        <row r="1">
          <cell r="J1">
            <v>1.7453292519943295E-2</v>
          </cell>
        </row>
      </sheetData>
      <sheetData sheetId="7172">
        <row r="1">
          <cell r="J1">
            <v>1.7453292519943295E-2</v>
          </cell>
        </row>
      </sheetData>
      <sheetData sheetId="7173" refreshError="1"/>
      <sheetData sheetId="7174">
        <row r="1">
          <cell r="J1">
            <v>1.7453292519943295E-2</v>
          </cell>
        </row>
      </sheetData>
      <sheetData sheetId="7175">
        <row r="1">
          <cell r="J1">
            <v>1.7453292519943295E-2</v>
          </cell>
        </row>
      </sheetData>
      <sheetData sheetId="7176">
        <row r="1">
          <cell r="J1">
            <v>1.7453292519943295E-2</v>
          </cell>
        </row>
      </sheetData>
      <sheetData sheetId="7177" refreshError="1"/>
      <sheetData sheetId="7178" refreshError="1"/>
      <sheetData sheetId="7179">
        <row r="1">
          <cell r="J1">
            <v>1.7453292519943295E-2</v>
          </cell>
        </row>
      </sheetData>
      <sheetData sheetId="7180">
        <row r="1">
          <cell r="J1">
            <v>1.7453292519943295E-2</v>
          </cell>
        </row>
      </sheetData>
      <sheetData sheetId="7181">
        <row r="1">
          <cell r="J1">
            <v>1.7453292519943295E-2</v>
          </cell>
        </row>
      </sheetData>
      <sheetData sheetId="7182" refreshError="1"/>
      <sheetData sheetId="7183">
        <row r="1">
          <cell r="J1">
            <v>1.7453292519943295E-2</v>
          </cell>
        </row>
      </sheetData>
      <sheetData sheetId="7184">
        <row r="1">
          <cell r="J1">
            <v>1.7453292519943295E-2</v>
          </cell>
        </row>
      </sheetData>
      <sheetData sheetId="7185" refreshError="1"/>
      <sheetData sheetId="7186" refreshError="1"/>
      <sheetData sheetId="7187">
        <row r="1">
          <cell r="J1">
            <v>1.7453292519943295E-2</v>
          </cell>
        </row>
      </sheetData>
      <sheetData sheetId="7188">
        <row r="1">
          <cell r="J1">
            <v>1.7453292519943295E-2</v>
          </cell>
        </row>
      </sheetData>
      <sheetData sheetId="7189">
        <row r="1">
          <cell r="J1">
            <v>1.7453292519943295E-2</v>
          </cell>
        </row>
      </sheetData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>
        <row r="1">
          <cell r="J1">
            <v>1.7453292519943295E-2</v>
          </cell>
        </row>
      </sheetData>
      <sheetData sheetId="7196">
        <row r="1">
          <cell r="J1">
            <v>1.7453292519943295E-2</v>
          </cell>
        </row>
      </sheetData>
      <sheetData sheetId="7197">
        <row r="1">
          <cell r="J1">
            <v>1.7453292519943295E-2</v>
          </cell>
        </row>
      </sheetData>
      <sheetData sheetId="7198" refreshError="1"/>
      <sheetData sheetId="7199" refreshError="1"/>
      <sheetData sheetId="7200" refreshError="1"/>
      <sheetData sheetId="7201">
        <row r="1">
          <cell r="J1">
            <v>1.7453292519943295E-2</v>
          </cell>
        </row>
      </sheetData>
      <sheetData sheetId="7202" refreshError="1"/>
      <sheetData sheetId="7203">
        <row r="1">
          <cell r="J1">
            <v>1.7453292519943295E-2</v>
          </cell>
        </row>
      </sheetData>
      <sheetData sheetId="7204">
        <row r="1">
          <cell r="J1">
            <v>1.7453292519943295E-2</v>
          </cell>
        </row>
      </sheetData>
      <sheetData sheetId="7205">
        <row r="1">
          <cell r="J1">
            <v>1.7453292519943295E-2</v>
          </cell>
        </row>
      </sheetData>
      <sheetData sheetId="7206">
        <row r="1">
          <cell r="J1">
            <v>1.7453292519943295E-2</v>
          </cell>
        </row>
      </sheetData>
      <sheetData sheetId="7207">
        <row r="1">
          <cell r="J1">
            <v>1.7453292519943295E-2</v>
          </cell>
        </row>
      </sheetData>
      <sheetData sheetId="7208">
        <row r="1">
          <cell r="J1">
            <v>1.7453292519943295E-2</v>
          </cell>
        </row>
      </sheetData>
      <sheetData sheetId="7209">
        <row r="1">
          <cell r="J1">
            <v>1.7453292519943295E-2</v>
          </cell>
        </row>
      </sheetData>
      <sheetData sheetId="7210">
        <row r="1">
          <cell r="J1">
            <v>1.7453292519943295E-2</v>
          </cell>
        </row>
      </sheetData>
      <sheetData sheetId="7211">
        <row r="1">
          <cell r="J1">
            <v>1.7453292519943295E-2</v>
          </cell>
        </row>
      </sheetData>
      <sheetData sheetId="7212">
        <row r="1">
          <cell r="J1">
            <v>1.7453292519943295E-2</v>
          </cell>
        </row>
      </sheetData>
      <sheetData sheetId="7213">
        <row r="1">
          <cell r="J1">
            <v>1.7453292519943295E-2</v>
          </cell>
        </row>
      </sheetData>
      <sheetData sheetId="7214">
        <row r="1">
          <cell r="J1">
            <v>1.7453292519943295E-2</v>
          </cell>
        </row>
      </sheetData>
      <sheetData sheetId="7215">
        <row r="1">
          <cell r="J1">
            <v>1.7453292519943295E-2</v>
          </cell>
        </row>
      </sheetData>
      <sheetData sheetId="7216">
        <row r="1">
          <cell r="J1">
            <v>1.7453292519943295E-2</v>
          </cell>
        </row>
      </sheetData>
      <sheetData sheetId="7217" refreshError="1"/>
      <sheetData sheetId="7218" refreshError="1"/>
      <sheetData sheetId="7219">
        <row r="1">
          <cell r="J1">
            <v>1.7453292519943295E-2</v>
          </cell>
        </row>
      </sheetData>
      <sheetData sheetId="7220">
        <row r="1">
          <cell r="J1">
            <v>1.7453292519943295E-2</v>
          </cell>
        </row>
      </sheetData>
      <sheetData sheetId="7221">
        <row r="1">
          <cell r="J1">
            <v>1.7453292519943295E-2</v>
          </cell>
        </row>
      </sheetData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>
        <row r="1">
          <cell r="J1">
            <v>1.7453292519943295E-2</v>
          </cell>
        </row>
      </sheetData>
      <sheetData sheetId="7228">
        <row r="1">
          <cell r="J1">
            <v>1.7453292519943295E-2</v>
          </cell>
        </row>
      </sheetData>
      <sheetData sheetId="7229">
        <row r="1">
          <cell r="J1">
            <v>1.7453292519943295E-2</v>
          </cell>
        </row>
      </sheetData>
      <sheetData sheetId="7230" refreshError="1"/>
      <sheetData sheetId="7231">
        <row r="1">
          <cell r="J1">
            <v>1.7453292519943295E-2</v>
          </cell>
        </row>
      </sheetData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>
        <row r="1">
          <cell r="J1">
            <v>1.7453292519943295E-2</v>
          </cell>
        </row>
      </sheetData>
      <sheetData sheetId="7238">
        <row r="1">
          <cell r="J1">
            <v>1.7453292519943295E-2</v>
          </cell>
        </row>
      </sheetData>
      <sheetData sheetId="7239">
        <row r="1">
          <cell r="J1">
            <v>1.7453292519943295E-2</v>
          </cell>
        </row>
      </sheetData>
      <sheetData sheetId="7240">
        <row r="1">
          <cell r="J1">
            <v>1.7453292519943295E-2</v>
          </cell>
        </row>
      </sheetData>
      <sheetData sheetId="7241">
        <row r="1">
          <cell r="J1">
            <v>1.7453292519943295E-2</v>
          </cell>
        </row>
      </sheetData>
      <sheetData sheetId="7242">
        <row r="1">
          <cell r="J1">
            <v>1.7453292519943295E-2</v>
          </cell>
        </row>
      </sheetData>
      <sheetData sheetId="7243">
        <row r="1">
          <cell r="J1">
            <v>1.7453292519943295E-2</v>
          </cell>
        </row>
      </sheetData>
      <sheetData sheetId="7244">
        <row r="1">
          <cell r="J1">
            <v>1.7453292519943295E-2</v>
          </cell>
        </row>
      </sheetData>
      <sheetData sheetId="7245">
        <row r="1">
          <cell r="J1">
            <v>1.7453292519943295E-2</v>
          </cell>
        </row>
      </sheetData>
      <sheetData sheetId="7246">
        <row r="1">
          <cell r="J1">
            <v>1.7453292519943295E-2</v>
          </cell>
        </row>
      </sheetData>
      <sheetData sheetId="7247">
        <row r="1">
          <cell r="J1">
            <v>1.7453292519943295E-2</v>
          </cell>
        </row>
      </sheetData>
      <sheetData sheetId="7248">
        <row r="1">
          <cell r="J1">
            <v>1.7453292519943295E-2</v>
          </cell>
        </row>
      </sheetData>
      <sheetData sheetId="7249">
        <row r="1">
          <cell r="J1">
            <v>1.7453292519943295E-2</v>
          </cell>
        </row>
      </sheetData>
      <sheetData sheetId="7250">
        <row r="1">
          <cell r="J1">
            <v>1.7453292519943295E-2</v>
          </cell>
        </row>
      </sheetData>
      <sheetData sheetId="7251">
        <row r="1">
          <cell r="J1">
            <v>1.7453292519943295E-2</v>
          </cell>
        </row>
      </sheetData>
      <sheetData sheetId="7252">
        <row r="1">
          <cell r="J1">
            <v>1.7453292519943295E-2</v>
          </cell>
        </row>
      </sheetData>
      <sheetData sheetId="7253">
        <row r="1">
          <cell r="J1">
            <v>1.7453292519943295E-2</v>
          </cell>
        </row>
      </sheetData>
      <sheetData sheetId="7254">
        <row r="1">
          <cell r="J1">
            <v>1.7453292519943295E-2</v>
          </cell>
        </row>
      </sheetData>
      <sheetData sheetId="7255">
        <row r="1">
          <cell r="J1">
            <v>1.7453292519943295E-2</v>
          </cell>
        </row>
      </sheetData>
      <sheetData sheetId="7256">
        <row r="1">
          <cell r="J1">
            <v>1.7453292519943295E-2</v>
          </cell>
        </row>
      </sheetData>
      <sheetData sheetId="7257" refreshError="1"/>
      <sheetData sheetId="7258" refreshError="1"/>
      <sheetData sheetId="7259">
        <row r="1">
          <cell r="J1">
            <v>1.7453292519943295E-2</v>
          </cell>
        </row>
      </sheetData>
      <sheetData sheetId="7260">
        <row r="1">
          <cell r="J1">
            <v>1.7453292519943295E-2</v>
          </cell>
        </row>
      </sheetData>
      <sheetData sheetId="7261">
        <row r="1">
          <cell r="J1">
            <v>1.7453292519943295E-2</v>
          </cell>
        </row>
      </sheetData>
      <sheetData sheetId="7262" refreshError="1"/>
      <sheetData sheetId="7263" refreshError="1"/>
      <sheetData sheetId="7264" refreshError="1"/>
      <sheetData sheetId="7265">
        <row r="1">
          <cell r="J1">
            <v>1.7453292519943295E-2</v>
          </cell>
        </row>
      </sheetData>
      <sheetData sheetId="7266" refreshError="1"/>
      <sheetData sheetId="7267">
        <row r="1">
          <cell r="J1">
            <v>1.7453292519943295E-2</v>
          </cell>
        </row>
      </sheetData>
      <sheetData sheetId="7268">
        <row r="1">
          <cell r="J1">
            <v>1.7453292519943295E-2</v>
          </cell>
        </row>
      </sheetData>
      <sheetData sheetId="7269">
        <row r="1">
          <cell r="J1">
            <v>1.7453292519943295E-2</v>
          </cell>
        </row>
      </sheetData>
      <sheetData sheetId="7270">
        <row r="1">
          <cell r="J1">
            <v>1.7453292519943295E-2</v>
          </cell>
        </row>
      </sheetData>
      <sheetData sheetId="7271">
        <row r="1">
          <cell r="J1">
            <v>1.7453292519943295E-2</v>
          </cell>
        </row>
      </sheetData>
      <sheetData sheetId="7272">
        <row r="1">
          <cell r="J1">
            <v>1.7453292519943295E-2</v>
          </cell>
        </row>
      </sheetData>
      <sheetData sheetId="7273">
        <row r="1">
          <cell r="J1">
            <v>1.7453292519943295E-2</v>
          </cell>
        </row>
      </sheetData>
      <sheetData sheetId="7274">
        <row r="1">
          <cell r="J1">
            <v>1.7453292519943295E-2</v>
          </cell>
        </row>
      </sheetData>
      <sheetData sheetId="7275">
        <row r="1">
          <cell r="J1">
            <v>1.7453292519943295E-2</v>
          </cell>
        </row>
      </sheetData>
      <sheetData sheetId="7276">
        <row r="1">
          <cell r="J1">
            <v>1.7453292519943295E-2</v>
          </cell>
        </row>
      </sheetData>
      <sheetData sheetId="7277">
        <row r="1">
          <cell r="J1">
            <v>1.7453292519943295E-2</v>
          </cell>
        </row>
      </sheetData>
      <sheetData sheetId="7278">
        <row r="1">
          <cell r="J1">
            <v>1.7453292519943295E-2</v>
          </cell>
        </row>
      </sheetData>
      <sheetData sheetId="7279">
        <row r="1">
          <cell r="J1">
            <v>1.7453292519943295E-2</v>
          </cell>
        </row>
      </sheetData>
      <sheetData sheetId="7280">
        <row r="1">
          <cell r="J1">
            <v>1.7453292519943295E-2</v>
          </cell>
        </row>
      </sheetData>
      <sheetData sheetId="7281">
        <row r="1">
          <cell r="J1">
            <v>1.7453292519943295E-2</v>
          </cell>
        </row>
      </sheetData>
      <sheetData sheetId="7282">
        <row r="1">
          <cell r="J1">
            <v>1.7453292519943295E-2</v>
          </cell>
        </row>
      </sheetData>
      <sheetData sheetId="7283">
        <row r="1">
          <cell r="J1">
            <v>1.7453292519943295E-2</v>
          </cell>
        </row>
      </sheetData>
      <sheetData sheetId="7284">
        <row r="1">
          <cell r="J1">
            <v>1.7453292519943295E-2</v>
          </cell>
        </row>
      </sheetData>
      <sheetData sheetId="7285">
        <row r="1">
          <cell r="J1">
            <v>1.7453292519943295E-2</v>
          </cell>
        </row>
      </sheetData>
      <sheetData sheetId="7286">
        <row r="1">
          <cell r="J1">
            <v>1.7453292519943295E-2</v>
          </cell>
        </row>
      </sheetData>
      <sheetData sheetId="7287">
        <row r="1">
          <cell r="J1">
            <v>1.7453292519943295E-2</v>
          </cell>
        </row>
      </sheetData>
      <sheetData sheetId="7288">
        <row r="1">
          <cell r="J1">
            <v>1.7453292519943295E-2</v>
          </cell>
        </row>
      </sheetData>
      <sheetData sheetId="7289" refreshError="1"/>
      <sheetData sheetId="7290" refreshError="1"/>
      <sheetData sheetId="7291">
        <row r="1">
          <cell r="J1">
            <v>1.7453292519943295E-2</v>
          </cell>
        </row>
      </sheetData>
      <sheetData sheetId="7292">
        <row r="1">
          <cell r="J1">
            <v>1.7453292519943295E-2</v>
          </cell>
        </row>
      </sheetData>
      <sheetData sheetId="7293">
        <row r="1">
          <cell r="J1">
            <v>1.7453292519943295E-2</v>
          </cell>
        </row>
      </sheetData>
      <sheetData sheetId="7294">
        <row r="1">
          <cell r="J1">
            <v>1.7453292519943295E-2</v>
          </cell>
        </row>
      </sheetData>
      <sheetData sheetId="7295" refreshError="1"/>
      <sheetData sheetId="7296">
        <row r="1">
          <cell r="J1">
            <v>1.7453292519943295E-2</v>
          </cell>
        </row>
      </sheetData>
      <sheetData sheetId="7297">
        <row r="1">
          <cell r="J1">
            <v>1.7453292519943295E-2</v>
          </cell>
        </row>
      </sheetData>
      <sheetData sheetId="7298" refreshError="1"/>
      <sheetData sheetId="7299">
        <row r="1">
          <cell r="J1">
            <v>1.7453292519943295E-2</v>
          </cell>
        </row>
      </sheetData>
      <sheetData sheetId="7300">
        <row r="1">
          <cell r="J1">
            <v>1.7453292519943295E-2</v>
          </cell>
        </row>
      </sheetData>
      <sheetData sheetId="7301" refreshError="1"/>
      <sheetData sheetId="7302" refreshError="1"/>
      <sheetData sheetId="7303" refreshError="1"/>
      <sheetData sheetId="7304">
        <row r="1">
          <cell r="J1">
            <v>1.7453292519943295E-2</v>
          </cell>
        </row>
      </sheetData>
      <sheetData sheetId="7305" refreshError="1"/>
      <sheetData sheetId="7306" refreshError="1"/>
      <sheetData sheetId="7307">
        <row r="1">
          <cell r="J1">
            <v>1.7453292519943295E-2</v>
          </cell>
        </row>
      </sheetData>
      <sheetData sheetId="7308">
        <row r="1">
          <cell r="J1">
            <v>1.7453292519943295E-2</v>
          </cell>
        </row>
      </sheetData>
      <sheetData sheetId="7309">
        <row r="1">
          <cell r="J1">
            <v>1.7453292519943295E-2</v>
          </cell>
        </row>
      </sheetData>
      <sheetData sheetId="7310">
        <row r="1">
          <cell r="J1">
            <v>1.7453292519943295E-2</v>
          </cell>
        </row>
      </sheetData>
      <sheetData sheetId="7311">
        <row r="1">
          <cell r="J1">
            <v>1.7453292519943295E-2</v>
          </cell>
        </row>
      </sheetData>
      <sheetData sheetId="7312">
        <row r="1">
          <cell r="J1">
            <v>1.7453292519943295E-2</v>
          </cell>
        </row>
      </sheetData>
      <sheetData sheetId="7313">
        <row r="1">
          <cell r="J1">
            <v>1.7453292519943295E-2</v>
          </cell>
        </row>
      </sheetData>
      <sheetData sheetId="7314">
        <row r="1">
          <cell r="J1">
            <v>1.7453292519943295E-2</v>
          </cell>
        </row>
      </sheetData>
      <sheetData sheetId="7315">
        <row r="1">
          <cell r="J1">
            <v>1.7453292519943295E-2</v>
          </cell>
        </row>
      </sheetData>
      <sheetData sheetId="7316">
        <row r="1">
          <cell r="J1">
            <v>1.7453292519943295E-2</v>
          </cell>
        </row>
      </sheetData>
      <sheetData sheetId="7317">
        <row r="1">
          <cell r="J1">
            <v>1.7453292519943295E-2</v>
          </cell>
        </row>
      </sheetData>
      <sheetData sheetId="7318">
        <row r="1">
          <cell r="J1">
            <v>1.7453292519943295E-2</v>
          </cell>
        </row>
      </sheetData>
      <sheetData sheetId="7319">
        <row r="1">
          <cell r="J1">
            <v>1.7453292519943295E-2</v>
          </cell>
        </row>
      </sheetData>
      <sheetData sheetId="7320">
        <row r="1">
          <cell r="J1">
            <v>1.7453292519943295E-2</v>
          </cell>
        </row>
      </sheetData>
      <sheetData sheetId="7321">
        <row r="1">
          <cell r="J1">
            <v>1.7453292519943295E-2</v>
          </cell>
        </row>
      </sheetData>
      <sheetData sheetId="7322">
        <row r="1">
          <cell r="J1">
            <v>1.7453292519943295E-2</v>
          </cell>
        </row>
      </sheetData>
      <sheetData sheetId="7323">
        <row r="1">
          <cell r="J1">
            <v>1.7453292519943295E-2</v>
          </cell>
        </row>
      </sheetData>
      <sheetData sheetId="7324">
        <row r="1">
          <cell r="J1">
            <v>1.7453292519943295E-2</v>
          </cell>
        </row>
      </sheetData>
      <sheetData sheetId="7325">
        <row r="1">
          <cell r="J1">
            <v>1.7453292519943295E-2</v>
          </cell>
        </row>
      </sheetData>
      <sheetData sheetId="7326">
        <row r="1">
          <cell r="J1">
            <v>1.7453292519943295E-2</v>
          </cell>
        </row>
      </sheetData>
      <sheetData sheetId="7327">
        <row r="1">
          <cell r="J1">
            <v>1.7453292519943295E-2</v>
          </cell>
        </row>
      </sheetData>
      <sheetData sheetId="7328">
        <row r="1">
          <cell r="J1">
            <v>1.7453292519943295E-2</v>
          </cell>
        </row>
      </sheetData>
      <sheetData sheetId="7329" refreshError="1"/>
      <sheetData sheetId="7330" refreshError="1"/>
      <sheetData sheetId="7331" refreshError="1"/>
      <sheetData sheetId="7332" refreshError="1"/>
      <sheetData sheetId="7333">
        <row r="1">
          <cell r="J1">
            <v>1.7453292519943295E-2</v>
          </cell>
        </row>
      </sheetData>
      <sheetData sheetId="7334">
        <row r="1">
          <cell r="J1">
            <v>1.7453292519943295E-2</v>
          </cell>
        </row>
      </sheetData>
      <sheetData sheetId="7335">
        <row r="1">
          <cell r="J1">
            <v>1.7453292519943295E-2</v>
          </cell>
        </row>
      </sheetData>
      <sheetData sheetId="7336" refreshError="1"/>
      <sheetData sheetId="7337" refreshError="1"/>
      <sheetData sheetId="7338" refreshError="1"/>
      <sheetData sheetId="7339" refreshError="1"/>
      <sheetData sheetId="7340">
        <row r="1">
          <cell r="J1">
            <v>1.7453292519943295E-2</v>
          </cell>
        </row>
      </sheetData>
      <sheetData sheetId="7341">
        <row r="1">
          <cell r="J1">
            <v>1.7453292519943295E-2</v>
          </cell>
        </row>
      </sheetData>
      <sheetData sheetId="7342" refreshError="1"/>
      <sheetData sheetId="7343" refreshError="1"/>
      <sheetData sheetId="7344" refreshError="1"/>
      <sheetData sheetId="7345" refreshError="1"/>
      <sheetData sheetId="7346">
        <row r="1">
          <cell r="J1">
            <v>1.7453292519943295E-2</v>
          </cell>
        </row>
      </sheetData>
      <sheetData sheetId="7347" refreshError="1"/>
      <sheetData sheetId="7348">
        <row r="1">
          <cell r="J1">
            <v>1.7453292519943295E-2</v>
          </cell>
        </row>
      </sheetData>
      <sheetData sheetId="7349">
        <row r="1">
          <cell r="J1">
            <v>1.7453292519943295E-2</v>
          </cell>
        </row>
      </sheetData>
      <sheetData sheetId="7350">
        <row r="1">
          <cell r="J1">
            <v>1.7453292519943295E-2</v>
          </cell>
        </row>
      </sheetData>
      <sheetData sheetId="7351">
        <row r="1">
          <cell r="J1">
            <v>1.7453292519943295E-2</v>
          </cell>
        </row>
      </sheetData>
      <sheetData sheetId="7352">
        <row r="1">
          <cell r="J1">
            <v>1.7453292519943295E-2</v>
          </cell>
        </row>
      </sheetData>
      <sheetData sheetId="7353">
        <row r="1">
          <cell r="J1">
            <v>1.7453292519943295E-2</v>
          </cell>
        </row>
      </sheetData>
      <sheetData sheetId="7354">
        <row r="1">
          <cell r="J1">
            <v>1.7453292519943295E-2</v>
          </cell>
        </row>
      </sheetData>
      <sheetData sheetId="7355">
        <row r="1">
          <cell r="J1">
            <v>1.7453292519943295E-2</v>
          </cell>
        </row>
      </sheetData>
      <sheetData sheetId="7356">
        <row r="1">
          <cell r="J1">
            <v>1.7453292519943295E-2</v>
          </cell>
        </row>
      </sheetData>
      <sheetData sheetId="7357">
        <row r="1">
          <cell r="J1">
            <v>1.7453292519943295E-2</v>
          </cell>
        </row>
      </sheetData>
      <sheetData sheetId="7358">
        <row r="1">
          <cell r="J1">
            <v>1.7453292519943295E-2</v>
          </cell>
        </row>
      </sheetData>
      <sheetData sheetId="7359">
        <row r="1">
          <cell r="J1">
            <v>1.7453292519943295E-2</v>
          </cell>
        </row>
      </sheetData>
      <sheetData sheetId="7360">
        <row r="1">
          <cell r="J1">
            <v>1.7453292519943295E-2</v>
          </cell>
        </row>
      </sheetData>
      <sheetData sheetId="7361">
        <row r="1">
          <cell r="J1">
            <v>1.7453292519943295E-2</v>
          </cell>
        </row>
      </sheetData>
      <sheetData sheetId="7362">
        <row r="1">
          <cell r="J1">
            <v>1.7453292519943295E-2</v>
          </cell>
        </row>
      </sheetData>
      <sheetData sheetId="7363" refreshError="1"/>
      <sheetData sheetId="7364" refreshError="1"/>
      <sheetData sheetId="7365">
        <row r="1">
          <cell r="J1">
            <v>1.7453292519943295E-2</v>
          </cell>
        </row>
      </sheetData>
      <sheetData sheetId="7366" refreshError="1"/>
      <sheetData sheetId="7367">
        <row r="1">
          <cell r="J1">
            <v>1.7453292519943295E-2</v>
          </cell>
        </row>
      </sheetData>
      <sheetData sheetId="7368">
        <row r="1">
          <cell r="J1">
            <v>1.7453292519943295E-2</v>
          </cell>
        </row>
      </sheetData>
      <sheetData sheetId="7369" refreshError="1"/>
      <sheetData sheetId="7370">
        <row r="1">
          <cell r="J1">
            <v>1.7453292519943295E-2</v>
          </cell>
        </row>
      </sheetData>
      <sheetData sheetId="7371">
        <row r="1">
          <cell r="J1">
            <v>1.7453292519943295E-2</v>
          </cell>
        </row>
      </sheetData>
      <sheetData sheetId="7372" refreshError="1"/>
      <sheetData sheetId="7373">
        <row r="1">
          <cell r="J1">
            <v>1.7453292519943295E-2</v>
          </cell>
        </row>
      </sheetData>
      <sheetData sheetId="7374">
        <row r="1">
          <cell r="J1">
            <v>1.7453292519943295E-2</v>
          </cell>
        </row>
      </sheetData>
      <sheetData sheetId="7375">
        <row r="1">
          <cell r="J1">
            <v>1.7453292519943295E-2</v>
          </cell>
        </row>
      </sheetData>
      <sheetData sheetId="7376" refreshError="1"/>
      <sheetData sheetId="7377">
        <row r="1">
          <cell r="J1">
            <v>1.7453292519943295E-2</v>
          </cell>
        </row>
      </sheetData>
      <sheetData sheetId="7378">
        <row r="1">
          <cell r="J1">
            <v>1.7453292519943295E-2</v>
          </cell>
        </row>
      </sheetData>
      <sheetData sheetId="7379" refreshError="1"/>
      <sheetData sheetId="7380" refreshError="1"/>
      <sheetData sheetId="7381">
        <row r="1">
          <cell r="J1">
            <v>1.7453292519943295E-2</v>
          </cell>
        </row>
      </sheetData>
      <sheetData sheetId="7382">
        <row r="1">
          <cell r="J1">
            <v>1.7453292519943295E-2</v>
          </cell>
        </row>
      </sheetData>
      <sheetData sheetId="7383">
        <row r="1">
          <cell r="J1">
            <v>1.7453292519943295E-2</v>
          </cell>
        </row>
      </sheetData>
      <sheetData sheetId="7384" refreshError="1"/>
      <sheetData sheetId="7385" refreshError="1"/>
      <sheetData sheetId="7386" refreshError="1"/>
      <sheetData sheetId="7387">
        <row r="1">
          <cell r="J1">
            <v>1.7453292519943295E-2</v>
          </cell>
        </row>
      </sheetData>
      <sheetData sheetId="7388">
        <row r="1">
          <cell r="J1">
            <v>1.7453292519943295E-2</v>
          </cell>
        </row>
      </sheetData>
      <sheetData sheetId="7389">
        <row r="1">
          <cell r="J1">
            <v>1.7453292519943295E-2</v>
          </cell>
        </row>
      </sheetData>
      <sheetData sheetId="7390">
        <row r="1">
          <cell r="J1">
            <v>1.7453292519943295E-2</v>
          </cell>
        </row>
      </sheetData>
      <sheetData sheetId="7391">
        <row r="1">
          <cell r="J1">
            <v>1.7453292519943295E-2</v>
          </cell>
        </row>
      </sheetData>
      <sheetData sheetId="7392">
        <row r="1">
          <cell r="J1">
            <v>1.7453292519943295E-2</v>
          </cell>
        </row>
      </sheetData>
      <sheetData sheetId="7393">
        <row r="1">
          <cell r="J1">
            <v>1.7453292519943295E-2</v>
          </cell>
        </row>
      </sheetData>
      <sheetData sheetId="7394">
        <row r="1">
          <cell r="J1">
            <v>1.7453292519943295E-2</v>
          </cell>
        </row>
      </sheetData>
      <sheetData sheetId="7395">
        <row r="1">
          <cell r="J1">
            <v>1.7453292519943295E-2</v>
          </cell>
        </row>
      </sheetData>
      <sheetData sheetId="7396">
        <row r="1">
          <cell r="J1">
            <v>1.7453292519943295E-2</v>
          </cell>
        </row>
      </sheetData>
      <sheetData sheetId="7397">
        <row r="1">
          <cell r="J1">
            <v>1.7453292519943295E-2</v>
          </cell>
        </row>
      </sheetData>
      <sheetData sheetId="7398">
        <row r="1">
          <cell r="J1">
            <v>1.7453292519943295E-2</v>
          </cell>
        </row>
      </sheetData>
      <sheetData sheetId="7399">
        <row r="1">
          <cell r="J1">
            <v>1.7453292519943295E-2</v>
          </cell>
        </row>
      </sheetData>
      <sheetData sheetId="7400">
        <row r="1">
          <cell r="J1">
            <v>1.7453292519943295E-2</v>
          </cell>
        </row>
      </sheetData>
      <sheetData sheetId="7401">
        <row r="1">
          <cell r="J1">
            <v>1.7453292519943295E-2</v>
          </cell>
        </row>
      </sheetData>
      <sheetData sheetId="7402">
        <row r="1">
          <cell r="J1">
            <v>1.7453292519943295E-2</v>
          </cell>
        </row>
      </sheetData>
      <sheetData sheetId="7403">
        <row r="1">
          <cell r="J1">
            <v>1.7453292519943295E-2</v>
          </cell>
        </row>
      </sheetData>
      <sheetData sheetId="7404">
        <row r="1">
          <cell r="J1">
            <v>1.7453292519943295E-2</v>
          </cell>
        </row>
      </sheetData>
      <sheetData sheetId="7405">
        <row r="1">
          <cell r="J1">
            <v>1.7453292519943295E-2</v>
          </cell>
        </row>
      </sheetData>
      <sheetData sheetId="7406">
        <row r="1">
          <cell r="J1">
            <v>1.7453292519943295E-2</v>
          </cell>
        </row>
      </sheetData>
      <sheetData sheetId="7407">
        <row r="1">
          <cell r="J1">
            <v>1.7453292519943295E-2</v>
          </cell>
        </row>
      </sheetData>
      <sheetData sheetId="7408">
        <row r="1">
          <cell r="J1">
            <v>1.7453292519943295E-2</v>
          </cell>
        </row>
      </sheetData>
      <sheetData sheetId="7409">
        <row r="1">
          <cell r="J1">
            <v>1.7453292519943295E-2</v>
          </cell>
        </row>
      </sheetData>
      <sheetData sheetId="7410" refreshError="1"/>
      <sheetData sheetId="7411" refreshError="1"/>
      <sheetData sheetId="7412">
        <row r="1">
          <cell r="J1">
            <v>1.7453292519943295E-2</v>
          </cell>
        </row>
      </sheetData>
      <sheetData sheetId="7413">
        <row r="1">
          <cell r="J1">
            <v>1.7453292519943295E-2</v>
          </cell>
        </row>
      </sheetData>
      <sheetData sheetId="7414">
        <row r="1">
          <cell r="J1">
            <v>1.7453292519943295E-2</v>
          </cell>
        </row>
      </sheetData>
      <sheetData sheetId="7415" refreshError="1"/>
      <sheetData sheetId="7416" refreshError="1"/>
      <sheetData sheetId="7417">
        <row r="1">
          <cell r="J1">
            <v>1.7453292519943295E-2</v>
          </cell>
        </row>
      </sheetData>
      <sheetData sheetId="7418">
        <row r="1">
          <cell r="J1">
            <v>1.7453292519943295E-2</v>
          </cell>
        </row>
      </sheetData>
      <sheetData sheetId="7419" refreshError="1"/>
      <sheetData sheetId="7420" refreshError="1"/>
      <sheetData sheetId="7421" refreshError="1"/>
      <sheetData sheetId="7422" refreshError="1"/>
      <sheetData sheetId="7423">
        <row r="1">
          <cell r="J1">
            <v>1.7453292519943295E-2</v>
          </cell>
        </row>
      </sheetData>
      <sheetData sheetId="7424">
        <row r="1">
          <cell r="J1">
            <v>1.7453292519943295E-2</v>
          </cell>
        </row>
      </sheetData>
      <sheetData sheetId="7425" refreshError="1"/>
      <sheetData sheetId="7426" refreshError="1"/>
      <sheetData sheetId="7427">
        <row r="1">
          <cell r="J1">
            <v>1.7453292519943295E-2</v>
          </cell>
        </row>
      </sheetData>
      <sheetData sheetId="7428">
        <row r="1">
          <cell r="J1">
            <v>1.7453292519943295E-2</v>
          </cell>
        </row>
      </sheetData>
      <sheetData sheetId="7429">
        <row r="1">
          <cell r="J1">
            <v>1.7453292519943295E-2</v>
          </cell>
        </row>
      </sheetData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>
        <row r="1">
          <cell r="J1">
            <v>1.7453292519943295E-2</v>
          </cell>
        </row>
      </sheetData>
      <sheetData sheetId="7436">
        <row r="1">
          <cell r="J1">
            <v>1.7453292519943295E-2</v>
          </cell>
        </row>
      </sheetData>
      <sheetData sheetId="7437">
        <row r="1">
          <cell r="J1">
            <v>1.7453292519943295E-2</v>
          </cell>
        </row>
      </sheetData>
      <sheetData sheetId="7438" refreshError="1"/>
      <sheetData sheetId="7439">
        <row r="1">
          <cell r="J1">
            <v>1.7453292519943295E-2</v>
          </cell>
        </row>
      </sheetData>
      <sheetData sheetId="7440">
        <row r="1">
          <cell r="J1">
            <v>1.7453292519943295E-2</v>
          </cell>
        </row>
      </sheetData>
      <sheetData sheetId="7441">
        <row r="1">
          <cell r="J1">
            <v>1.7453292519943295E-2</v>
          </cell>
        </row>
      </sheetData>
      <sheetData sheetId="7442" refreshError="1"/>
      <sheetData sheetId="7443">
        <row r="1">
          <cell r="J1">
            <v>1.7453292519943295E-2</v>
          </cell>
        </row>
      </sheetData>
      <sheetData sheetId="7444">
        <row r="1">
          <cell r="J1">
            <v>1.7453292519943295E-2</v>
          </cell>
        </row>
      </sheetData>
      <sheetData sheetId="7445">
        <row r="1">
          <cell r="J1">
            <v>1.7453292519943295E-2</v>
          </cell>
        </row>
      </sheetData>
      <sheetData sheetId="7446">
        <row r="1">
          <cell r="J1">
            <v>1.7453292519943295E-2</v>
          </cell>
        </row>
      </sheetData>
      <sheetData sheetId="7447">
        <row r="1">
          <cell r="J1">
            <v>1.7453292519943295E-2</v>
          </cell>
        </row>
      </sheetData>
      <sheetData sheetId="7448">
        <row r="1">
          <cell r="J1">
            <v>1.7453292519943295E-2</v>
          </cell>
        </row>
      </sheetData>
      <sheetData sheetId="7449">
        <row r="1">
          <cell r="J1">
            <v>1.7453292519943295E-2</v>
          </cell>
        </row>
      </sheetData>
      <sheetData sheetId="7450">
        <row r="1">
          <cell r="J1">
            <v>1.7453292519943295E-2</v>
          </cell>
        </row>
      </sheetData>
      <sheetData sheetId="7451">
        <row r="1">
          <cell r="J1">
            <v>1.7453292519943295E-2</v>
          </cell>
        </row>
      </sheetData>
      <sheetData sheetId="7452">
        <row r="1">
          <cell r="J1">
            <v>1.7453292519943295E-2</v>
          </cell>
        </row>
      </sheetData>
      <sheetData sheetId="7453">
        <row r="1">
          <cell r="J1">
            <v>1.7453292519943295E-2</v>
          </cell>
        </row>
      </sheetData>
      <sheetData sheetId="7454">
        <row r="1">
          <cell r="J1">
            <v>1.7453292519943295E-2</v>
          </cell>
        </row>
      </sheetData>
      <sheetData sheetId="7455">
        <row r="1">
          <cell r="J1">
            <v>1.7453292519943295E-2</v>
          </cell>
        </row>
      </sheetData>
      <sheetData sheetId="7456">
        <row r="1">
          <cell r="J1">
            <v>1.7453292519943295E-2</v>
          </cell>
        </row>
      </sheetData>
      <sheetData sheetId="7457">
        <row r="1">
          <cell r="J1">
            <v>1.7453292519943295E-2</v>
          </cell>
        </row>
      </sheetData>
      <sheetData sheetId="7458">
        <row r="1">
          <cell r="J1">
            <v>1.7453292519943295E-2</v>
          </cell>
        </row>
      </sheetData>
      <sheetData sheetId="7459">
        <row r="1">
          <cell r="J1">
            <v>1.7453292519943295E-2</v>
          </cell>
        </row>
      </sheetData>
      <sheetData sheetId="7460">
        <row r="1">
          <cell r="J1">
            <v>1.7453292519943295E-2</v>
          </cell>
        </row>
      </sheetData>
      <sheetData sheetId="7461">
        <row r="1">
          <cell r="J1">
            <v>1.7453292519943295E-2</v>
          </cell>
        </row>
      </sheetData>
      <sheetData sheetId="7462">
        <row r="1">
          <cell r="J1">
            <v>1.7453292519943295E-2</v>
          </cell>
        </row>
      </sheetData>
      <sheetData sheetId="7463">
        <row r="1">
          <cell r="J1">
            <v>1.7453292519943295E-2</v>
          </cell>
        </row>
      </sheetData>
      <sheetData sheetId="7464">
        <row r="1">
          <cell r="J1">
            <v>1.7453292519943295E-2</v>
          </cell>
        </row>
      </sheetData>
      <sheetData sheetId="7465" refreshError="1"/>
      <sheetData sheetId="7466" refreshError="1"/>
      <sheetData sheetId="7467" refreshError="1"/>
      <sheetData sheetId="7468" refreshError="1"/>
      <sheetData sheetId="7469">
        <row r="1">
          <cell r="J1">
            <v>1.7453292519943295E-2</v>
          </cell>
        </row>
      </sheetData>
      <sheetData sheetId="7470">
        <row r="1">
          <cell r="J1">
            <v>1.7453292519943295E-2</v>
          </cell>
        </row>
      </sheetData>
      <sheetData sheetId="7471" refreshError="1"/>
      <sheetData sheetId="7472" refreshError="1"/>
      <sheetData sheetId="7473" refreshError="1"/>
      <sheetData sheetId="7474" refreshError="1"/>
      <sheetData sheetId="7475">
        <row r="1">
          <cell r="J1">
            <v>1.7453292519943295E-2</v>
          </cell>
        </row>
      </sheetData>
      <sheetData sheetId="7476">
        <row r="1">
          <cell r="J1">
            <v>1.7453292519943295E-2</v>
          </cell>
        </row>
      </sheetData>
      <sheetData sheetId="7477">
        <row r="1">
          <cell r="J1">
            <v>1.7453292519943295E-2</v>
          </cell>
        </row>
      </sheetData>
      <sheetData sheetId="7478">
        <row r="1">
          <cell r="J1">
            <v>1.7453292519943295E-2</v>
          </cell>
        </row>
      </sheetData>
      <sheetData sheetId="7479">
        <row r="1">
          <cell r="J1">
            <v>1.7453292519943295E-2</v>
          </cell>
        </row>
      </sheetData>
      <sheetData sheetId="7480">
        <row r="1">
          <cell r="J1">
            <v>1.7453292519943295E-2</v>
          </cell>
        </row>
      </sheetData>
      <sheetData sheetId="7481">
        <row r="1">
          <cell r="J1">
            <v>1.7453292519943295E-2</v>
          </cell>
        </row>
      </sheetData>
      <sheetData sheetId="7482">
        <row r="1">
          <cell r="J1">
            <v>1.7453292519943295E-2</v>
          </cell>
        </row>
      </sheetData>
      <sheetData sheetId="7483">
        <row r="1">
          <cell r="J1">
            <v>1.7453292519943295E-2</v>
          </cell>
        </row>
      </sheetData>
      <sheetData sheetId="7484">
        <row r="1">
          <cell r="J1">
            <v>1.7453292519943295E-2</v>
          </cell>
        </row>
      </sheetData>
      <sheetData sheetId="7485">
        <row r="1">
          <cell r="J1">
            <v>1.7453292519943295E-2</v>
          </cell>
        </row>
      </sheetData>
      <sheetData sheetId="7486">
        <row r="1">
          <cell r="J1">
            <v>1.7453292519943295E-2</v>
          </cell>
        </row>
      </sheetData>
      <sheetData sheetId="7487">
        <row r="1">
          <cell r="J1">
            <v>1.7453292519943295E-2</v>
          </cell>
        </row>
      </sheetData>
      <sheetData sheetId="7488">
        <row r="1">
          <cell r="J1">
            <v>1.7453292519943295E-2</v>
          </cell>
        </row>
      </sheetData>
      <sheetData sheetId="7489">
        <row r="1">
          <cell r="J1">
            <v>1.7453292519943295E-2</v>
          </cell>
        </row>
      </sheetData>
      <sheetData sheetId="7490">
        <row r="1">
          <cell r="J1">
            <v>1.7453292519943295E-2</v>
          </cell>
        </row>
      </sheetData>
      <sheetData sheetId="7491">
        <row r="1">
          <cell r="J1">
            <v>1.7453292519943295E-2</v>
          </cell>
        </row>
      </sheetData>
      <sheetData sheetId="7492">
        <row r="1">
          <cell r="J1">
            <v>1.7453292519943295E-2</v>
          </cell>
        </row>
      </sheetData>
      <sheetData sheetId="7493">
        <row r="1">
          <cell r="J1">
            <v>1.7453292519943295E-2</v>
          </cell>
        </row>
      </sheetData>
      <sheetData sheetId="7494">
        <row r="1">
          <cell r="J1">
            <v>1.7453292519943295E-2</v>
          </cell>
        </row>
      </sheetData>
      <sheetData sheetId="7495" refreshError="1"/>
      <sheetData sheetId="7496" refreshError="1"/>
      <sheetData sheetId="7497">
        <row r="1">
          <cell r="J1">
            <v>1.7453292519943295E-2</v>
          </cell>
        </row>
      </sheetData>
      <sheetData sheetId="7498">
        <row r="1">
          <cell r="J1">
            <v>1.7453292519943295E-2</v>
          </cell>
        </row>
      </sheetData>
      <sheetData sheetId="7499">
        <row r="1">
          <cell r="J1">
            <v>1.7453292519943295E-2</v>
          </cell>
        </row>
      </sheetData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>
        <row r="1">
          <cell r="J1">
            <v>1.7453292519943295E-2</v>
          </cell>
        </row>
      </sheetData>
      <sheetData sheetId="7506">
        <row r="1">
          <cell r="J1">
            <v>1.7453292519943295E-2</v>
          </cell>
        </row>
      </sheetData>
      <sheetData sheetId="7507">
        <row r="1">
          <cell r="J1">
            <v>1.7453292519943295E-2</v>
          </cell>
        </row>
      </sheetData>
      <sheetData sheetId="7508" refreshError="1"/>
      <sheetData sheetId="7509">
        <row r="1">
          <cell r="J1">
            <v>1.7453292519943295E-2</v>
          </cell>
        </row>
      </sheetData>
      <sheetData sheetId="7510">
        <row r="1">
          <cell r="J1">
            <v>1.7453292519943295E-2</v>
          </cell>
        </row>
      </sheetData>
      <sheetData sheetId="7511">
        <row r="1">
          <cell r="J1">
            <v>1.7453292519943295E-2</v>
          </cell>
        </row>
      </sheetData>
      <sheetData sheetId="7512" refreshError="1"/>
      <sheetData sheetId="7513">
        <row r="1">
          <cell r="J1">
            <v>1.7453292519943295E-2</v>
          </cell>
        </row>
      </sheetData>
      <sheetData sheetId="7514">
        <row r="1">
          <cell r="J1">
            <v>1.7453292519943295E-2</v>
          </cell>
        </row>
      </sheetData>
      <sheetData sheetId="7515">
        <row r="1">
          <cell r="J1">
            <v>1.7453292519943295E-2</v>
          </cell>
        </row>
      </sheetData>
      <sheetData sheetId="7516">
        <row r="1">
          <cell r="J1">
            <v>1.7453292519943295E-2</v>
          </cell>
        </row>
      </sheetData>
      <sheetData sheetId="7517">
        <row r="1">
          <cell r="J1">
            <v>1.7453292519943295E-2</v>
          </cell>
        </row>
      </sheetData>
      <sheetData sheetId="7518">
        <row r="1">
          <cell r="J1">
            <v>1.7453292519943295E-2</v>
          </cell>
        </row>
      </sheetData>
      <sheetData sheetId="7519">
        <row r="1">
          <cell r="J1">
            <v>1.7453292519943295E-2</v>
          </cell>
        </row>
      </sheetData>
      <sheetData sheetId="7520">
        <row r="1">
          <cell r="J1">
            <v>1.7453292519943295E-2</v>
          </cell>
        </row>
      </sheetData>
      <sheetData sheetId="7521">
        <row r="1">
          <cell r="J1">
            <v>1.7453292519943295E-2</v>
          </cell>
        </row>
      </sheetData>
      <sheetData sheetId="7522">
        <row r="1">
          <cell r="J1">
            <v>1.7453292519943295E-2</v>
          </cell>
        </row>
      </sheetData>
      <sheetData sheetId="7523">
        <row r="1">
          <cell r="J1">
            <v>1.7453292519943295E-2</v>
          </cell>
        </row>
      </sheetData>
      <sheetData sheetId="7524">
        <row r="1">
          <cell r="J1">
            <v>1.7453292519943295E-2</v>
          </cell>
        </row>
      </sheetData>
      <sheetData sheetId="7525">
        <row r="1">
          <cell r="J1">
            <v>1.7453292519943295E-2</v>
          </cell>
        </row>
      </sheetData>
      <sheetData sheetId="7526">
        <row r="1">
          <cell r="J1">
            <v>1.7453292519943295E-2</v>
          </cell>
        </row>
      </sheetData>
      <sheetData sheetId="7527">
        <row r="1">
          <cell r="J1">
            <v>1.7453292519943295E-2</v>
          </cell>
        </row>
      </sheetData>
      <sheetData sheetId="7528">
        <row r="1">
          <cell r="J1">
            <v>1.7453292519943295E-2</v>
          </cell>
        </row>
      </sheetData>
      <sheetData sheetId="7529">
        <row r="1">
          <cell r="J1">
            <v>1.7453292519943295E-2</v>
          </cell>
        </row>
      </sheetData>
      <sheetData sheetId="7530">
        <row r="1">
          <cell r="J1">
            <v>1.7453292519943295E-2</v>
          </cell>
        </row>
      </sheetData>
      <sheetData sheetId="7531">
        <row r="1">
          <cell r="J1">
            <v>1.7453292519943295E-2</v>
          </cell>
        </row>
      </sheetData>
      <sheetData sheetId="7532">
        <row r="1">
          <cell r="J1">
            <v>1.7453292519943295E-2</v>
          </cell>
        </row>
      </sheetData>
      <sheetData sheetId="7533">
        <row r="1">
          <cell r="J1">
            <v>1.7453292519943295E-2</v>
          </cell>
        </row>
      </sheetData>
      <sheetData sheetId="7534">
        <row r="1">
          <cell r="J1">
            <v>1.7453292519943295E-2</v>
          </cell>
        </row>
      </sheetData>
      <sheetData sheetId="7535" refreshError="1"/>
      <sheetData sheetId="7536" refreshError="1"/>
      <sheetData sheetId="7537" refreshError="1"/>
      <sheetData sheetId="7538" refreshError="1"/>
      <sheetData sheetId="7539">
        <row r="1">
          <cell r="J1">
            <v>1.7453292519943295E-2</v>
          </cell>
        </row>
      </sheetData>
      <sheetData sheetId="7540">
        <row r="1">
          <cell r="J1">
            <v>1.7453292519943295E-2</v>
          </cell>
        </row>
      </sheetData>
      <sheetData sheetId="7541" refreshError="1"/>
      <sheetData sheetId="7542" refreshError="1"/>
      <sheetData sheetId="7543" refreshError="1"/>
      <sheetData sheetId="7544" refreshError="1"/>
      <sheetData sheetId="7545">
        <row r="1">
          <cell r="J1">
            <v>1.7453292519943295E-2</v>
          </cell>
        </row>
      </sheetData>
      <sheetData sheetId="7546">
        <row r="1">
          <cell r="J1">
            <v>1.7453292519943295E-2</v>
          </cell>
        </row>
      </sheetData>
      <sheetData sheetId="7547">
        <row r="1">
          <cell r="J1">
            <v>1.7453292519943295E-2</v>
          </cell>
        </row>
      </sheetData>
      <sheetData sheetId="7548">
        <row r="1">
          <cell r="J1">
            <v>1.7453292519943295E-2</v>
          </cell>
        </row>
      </sheetData>
      <sheetData sheetId="7549">
        <row r="1">
          <cell r="J1">
            <v>1.7453292519943295E-2</v>
          </cell>
        </row>
      </sheetData>
      <sheetData sheetId="7550">
        <row r="1">
          <cell r="J1">
            <v>1.7453292519943295E-2</v>
          </cell>
        </row>
      </sheetData>
      <sheetData sheetId="7551">
        <row r="1">
          <cell r="J1">
            <v>1.7453292519943295E-2</v>
          </cell>
        </row>
      </sheetData>
      <sheetData sheetId="7552">
        <row r="1">
          <cell r="J1">
            <v>1.7453292519943295E-2</v>
          </cell>
        </row>
      </sheetData>
      <sheetData sheetId="7553">
        <row r="1">
          <cell r="J1">
            <v>1.7453292519943295E-2</v>
          </cell>
        </row>
      </sheetData>
      <sheetData sheetId="7554">
        <row r="1">
          <cell r="J1">
            <v>1.7453292519943295E-2</v>
          </cell>
        </row>
      </sheetData>
      <sheetData sheetId="7555">
        <row r="1">
          <cell r="J1">
            <v>1.7453292519943295E-2</v>
          </cell>
        </row>
      </sheetData>
      <sheetData sheetId="7556">
        <row r="1">
          <cell r="J1">
            <v>1.7453292519943295E-2</v>
          </cell>
        </row>
      </sheetData>
      <sheetData sheetId="7557">
        <row r="1">
          <cell r="J1">
            <v>1.7453292519943295E-2</v>
          </cell>
        </row>
      </sheetData>
      <sheetData sheetId="7558">
        <row r="1">
          <cell r="J1">
            <v>1.7453292519943295E-2</v>
          </cell>
        </row>
      </sheetData>
      <sheetData sheetId="7559">
        <row r="1">
          <cell r="J1">
            <v>1.7453292519943295E-2</v>
          </cell>
        </row>
      </sheetData>
      <sheetData sheetId="7560">
        <row r="1">
          <cell r="J1">
            <v>1.7453292519943295E-2</v>
          </cell>
        </row>
      </sheetData>
      <sheetData sheetId="7561">
        <row r="1">
          <cell r="J1">
            <v>1.7453292519943295E-2</v>
          </cell>
        </row>
      </sheetData>
      <sheetData sheetId="7562">
        <row r="1">
          <cell r="J1">
            <v>1.7453292519943295E-2</v>
          </cell>
        </row>
      </sheetData>
      <sheetData sheetId="7563">
        <row r="1">
          <cell r="J1">
            <v>1.7453292519943295E-2</v>
          </cell>
        </row>
      </sheetData>
      <sheetData sheetId="7564">
        <row r="1">
          <cell r="J1">
            <v>1.7453292519943295E-2</v>
          </cell>
        </row>
      </sheetData>
      <sheetData sheetId="7565">
        <row r="1">
          <cell r="J1">
            <v>1.7453292519943295E-2</v>
          </cell>
        </row>
      </sheetData>
      <sheetData sheetId="7566" refreshError="1"/>
      <sheetData sheetId="7567" refreshError="1"/>
      <sheetData sheetId="7568">
        <row r="1">
          <cell r="J1">
            <v>1.7453292519943295E-2</v>
          </cell>
        </row>
      </sheetData>
      <sheetData sheetId="7569">
        <row r="1">
          <cell r="J1">
            <v>1.7453292519943295E-2</v>
          </cell>
        </row>
      </sheetData>
      <sheetData sheetId="7570">
        <row r="1">
          <cell r="J1">
            <v>1.7453292519943295E-2</v>
          </cell>
        </row>
      </sheetData>
      <sheetData sheetId="7571" refreshError="1"/>
      <sheetData sheetId="7572">
        <row r="1">
          <cell r="J1">
            <v>1.7453292519943295E-2</v>
          </cell>
        </row>
      </sheetData>
      <sheetData sheetId="7573"/>
      <sheetData sheetId="7574"/>
      <sheetData sheetId="7575" refreshError="1"/>
      <sheetData sheetId="7576" refreshError="1"/>
      <sheetData sheetId="7577">
        <row r="1">
          <cell r="J1">
            <v>1.7453292519943295E-2</v>
          </cell>
        </row>
      </sheetData>
      <sheetData sheetId="7578">
        <row r="1">
          <cell r="J1">
            <v>1.7453292519943295E-2</v>
          </cell>
        </row>
      </sheetData>
      <sheetData sheetId="7579">
        <row r="1">
          <cell r="J1">
            <v>1.7453292519943295E-2</v>
          </cell>
        </row>
      </sheetData>
      <sheetData sheetId="7580" refreshError="1"/>
      <sheetData sheetId="7581" refreshError="1"/>
      <sheetData sheetId="7582" refreshError="1"/>
      <sheetData sheetId="7583">
        <row r="1">
          <cell r="J1">
            <v>1.7453292519943295E-2</v>
          </cell>
        </row>
      </sheetData>
      <sheetData sheetId="7584" refreshError="1"/>
      <sheetData sheetId="7585">
        <row r="1">
          <cell r="J1">
            <v>1.7453292519943295E-2</v>
          </cell>
        </row>
      </sheetData>
      <sheetData sheetId="7586">
        <row r="1">
          <cell r="J1">
            <v>1.7453292519943295E-2</v>
          </cell>
        </row>
      </sheetData>
      <sheetData sheetId="7587">
        <row r="1">
          <cell r="J1">
            <v>1.7453292519943295E-2</v>
          </cell>
        </row>
      </sheetData>
      <sheetData sheetId="7588">
        <row r="1">
          <cell r="J1">
            <v>1.7453292519943295E-2</v>
          </cell>
        </row>
      </sheetData>
      <sheetData sheetId="7589">
        <row r="1">
          <cell r="J1">
            <v>1.7453292519943295E-2</v>
          </cell>
        </row>
      </sheetData>
      <sheetData sheetId="7590">
        <row r="1">
          <cell r="J1">
            <v>1.7453292519943295E-2</v>
          </cell>
        </row>
      </sheetData>
      <sheetData sheetId="7591">
        <row r="1">
          <cell r="J1">
            <v>1.7453292519943295E-2</v>
          </cell>
        </row>
      </sheetData>
      <sheetData sheetId="7592">
        <row r="1">
          <cell r="J1">
            <v>1.7453292519943295E-2</v>
          </cell>
        </row>
      </sheetData>
      <sheetData sheetId="7593">
        <row r="1">
          <cell r="J1">
            <v>1.7453292519943295E-2</v>
          </cell>
        </row>
      </sheetData>
      <sheetData sheetId="7594">
        <row r="1">
          <cell r="J1">
            <v>1.7453292519943295E-2</v>
          </cell>
        </row>
      </sheetData>
      <sheetData sheetId="7595">
        <row r="1">
          <cell r="J1">
            <v>1.7453292519943295E-2</v>
          </cell>
        </row>
      </sheetData>
      <sheetData sheetId="7596">
        <row r="1">
          <cell r="J1">
            <v>1.7453292519943295E-2</v>
          </cell>
        </row>
      </sheetData>
      <sheetData sheetId="7597">
        <row r="1">
          <cell r="J1">
            <v>1.7453292519943295E-2</v>
          </cell>
        </row>
      </sheetData>
      <sheetData sheetId="7598">
        <row r="1">
          <cell r="J1">
            <v>1.7453292519943295E-2</v>
          </cell>
        </row>
      </sheetData>
      <sheetData sheetId="7599">
        <row r="1">
          <cell r="J1">
            <v>1.7453292519943295E-2</v>
          </cell>
        </row>
      </sheetData>
      <sheetData sheetId="7600">
        <row r="1">
          <cell r="J1">
            <v>1.7453292519943295E-2</v>
          </cell>
        </row>
      </sheetData>
      <sheetData sheetId="7601">
        <row r="1">
          <cell r="J1">
            <v>1.7453292519943295E-2</v>
          </cell>
        </row>
      </sheetData>
      <sheetData sheetId="7602">
        <row r="1">
          <cell r="J1">
            <v>1.7453292519943295E-2</v>
          </cell>
        </row>
      </sheetData>
      <sheetData sheetId="7603">
        <row r="1">
          <cell r="J1">
            <v>1.7453292519943295E-2</v>
          </cell>
        </row>
      </sheetData>
      <sheetData sheetId="7604">
        <row r="1">
          <cell r="J1">
            <v>1.7453292519943295E-2</v>
          </cell>
        </row>
      </sheetData>
      <sheetData sheetId="7605">
        <row r="1">
          <cell r="J1">
            <v>1.7453292519943295E-2</v>
          </cell>
        </row>
      </sheetData>
      <sheetData sheetId="7606" refreshError="1"/>
      <sheetData sheetId="7607" refreshError="1"/>
      <sheetData sheetId="7608">
        <row r="1">
          <cell r="J1">
            <v>1.7453292519943295E-2</v>
          </cell>
        </row>
      </sheetData>
      <sheetData sheetId="7609">
        <row r="1">
          <cell r="J1">
            <v>1.7453292519943295E-2</v>
          </cell>
        </row>
      </sheetData>
      <sheetData sheetId="7610">
        <row r="1">
          <cell r="J1">
            <v>1.7453292519943295E-2</v>
          </cell>
        </row>
      </sheetData>
      <sheetData sheetId="7611" refreshError="1"/>
      <sheetData sheetId="7612"/>
      <sheetData sheetId="7613">
        <row r="1">
          <cell r="J1">
            <v>1.7453292519943295E-2</v>
          </cell>
        </row>
      </sheetData>
      <sheetData sheetId="7614"/>
      <sheetData sheetId="7615" refreshError="1"/>
      <sheetData sheetId="7616" refreshError="1"/>
      <sheetData sheetId="7617"/>
      <sheetData sheetId="7618"/>
      <sheetData sheetId="7619">
        <row r="1">
          <cell r="J1">
            <v>1.7453292519943295E-2</v>
          </cell>
        </row>
      </sheetData>
      <sheetData sheetId="7620" refreshError="1"/>
      <sheetData sheetId="7621"/>
      <sheetData sheetId="7622">
        <row r="1">
          <cell r="J1">
            <v>1.7453292519943295E-2</v>
          </cell>
        </row>
      </sheetData>
      <sheetData sheetId="7623" refreshError="1"/>
      <sheetData sheetId="7624" refreshError="1"/>
      <sheetData sheetId="7625">
        <row r="1">
          <cell r="J1">
            <v>1.7453292519943295E-2</v>
          </cell>
        </row>
      </sheetData>
      <sheetData sheetId="7626"/>
      <sheetData sheetId="7627">
        <row r="1">
          <cell r="J1">
            <v>1.7453292519943295E-2</v>
          </cell>
        </row>
      </sheetData>
      <sheetData sheetId="7628" refreshError="1"/>
      <sheetData sheetId="7629" refreshError="1"/>
      <sheetData sheetId="7630" refreshError="1"/>
      <sheetData sheetId="7631"/>
      <sheetData sheetId="7632" refreshError="1"/>
      <sheetData sheetId="7633">
        <row r="1">
          <cell r="J1">
            <v>1.7453292519943295E-2</v>
          </cell>
        </row>
      </sheetData>
      <sheetData sheetId="7634">
        <row r="1">
          <cell r="J1">
            <v>1.7453292519943295E-2</v>
          </cell>
        </row>
      </sheetData>
      <sheetData sheetId="7635">
        <row r="1">
          <cell r="J1">
            <v>1.7453292519943295E-2</v>
          </cell>
        </row>
      </sheetData>
      <sheetData sheetId="7636">
        <row r="1">
          <cell r="J1">
            <v>1.7453292519943295E-2</v>
          </cell>
        </row>
      </sheetData>
      <sheetData sheetId="7637">
        <row r="1">
          <cell r="J1">
            <v>1.7453292519943295E-2</v>
          </cell>
        </row>
      </sheetData>
      <sheetData sheetId="7638">
        <row r="1">
          <cell r="J1">
            <v>1.7453292519943295E-2</v>
          </cell>
        </row>
      </sheetData>
      <sheetData sheetId="7639">
        <row r="1">
          <cell r="J1">
            <v>1.7453292519943295E-2</v>
          </cell>
        </row>
      </sheetData>
      <sheetData sheetId="7640">
        <row r="1">
          <cell r="J1">
            <v>1.7453292519943295E-2</v>
          </cell>
        </row>
      </sheetData>
      <sheetData sheetId="7641">
        <row r="1">
          <cell r="J1">
            <v>1.7453292519943295E-2</v>
          </cell>
        </row>
      </sheetData>
      <sheetData sheetId="7642">
        <row r="1">
          <cell r="J1">
            <v>1.7453292519943295E-2</v>
          </cell>
        </row>
      </sheetData>
      <sheetData sheetId="7643">
        <row r="1">
          <cell r="J1">
            <v>1.7453292519943295E-2</v>
          </cell>
        </row>
      </sheetData>
      <sheetData sheetId="7644">
        <row r="1">
          <cell r="J1">
            <v>1.7453292519943295E-2</v>
          </cell>
        </row>
      </sheetData>
      <sheetData sheetId="7645">
        <row r="1">
          <cell r="J1">
            <v>1.7453292519943295E-2</v>
          </cell>
        </row>
      </sheetData>
      <sheetData sheetId="7646">
        <row r="1">
          <cell r="J1">
            <v>1.7453292519943295E-2</v>
          </cell>
        </row>
      </sheetData>
      <sheetData sheetId="7647">
        <row r="1">
          <cell r="J1">
            <v>1.7453292519943295E-2</v>
          </cell>
        </row>
      </sheetData>
      <sheetData sheetId="7648">
        <row r="1">
          <cell r="J1">
            <v>1.7453292519943295E-2</v>
          </cell>
        </row>
      </sheetData>
      <sheetData sheetId="7649">
        <row r="1">
          <cell r="J1">
            <v>1.7453292519943295E-2</v>
          </cell>
        </row>
      </sheetData>
      <sheetData sheetId="7650">
        <row r="1">
          <cell r="J1">
            <v>1.7453292519943295E-2</v>
          </cell>
        </row>
      </sheetData>
      <sheetData sheetId="7651">
        <row r="1">
          <cell r="J1">
            <v>1.7453292519943295E-2</v>
          </cell>
        </row>
      </sheetData>
      <sheetData sheetId="7652">
        <row r="1">
          <cell r="J1">
            <v>1.7453292519943295E-2</v>
          </cell>
        </row>
      </sheetData>
      <sheetData sheetId="7653">
        <row r="1">
          <cell r="J1">
            <v>1.7453292519943295E-2</v>
          </cell>
        </row>
      </sheetData>
      <sheetData sheetId="7654">
        <row r="1">
          <cell r="J1">
            <v>1.7453292519943295E-2</v>
          </cell>
        </row>
      </sheetData>
      <sheetData sheetId="7655" refreshError="1"/>
      <sheetData sheetId="7656" refreshError="1"/>
      <sheetData sheetId="7657"/>
      <sheetData sheetId="7658">
        <row r="1">
          <cell r="J1">
            <v>1.7453292519943295E-2</v>
          </cell>
        </row>
      </sheetData>
      <sheetData sheetId="7659" refreshError="1"/>
      <sheetData sheetId="7660"/>
      <sheetData sheetId="7661">
        <row r="1">
          <cell r="J1">
            <v>1.7453292519943295E-2</v>
          </cell>
        </row>
      </sheetData>
      <sheetData sheetId="7662">
        <row r="1">
          <cell r="J1">
            <v>1.7453292519943295E-2</v>
          </cell>
        </row>
      </sheetData>
      <sheetData sheetId="7663" refreshError="1"/>
      <sheetData sheetId="7664" refreshError="1"/>
      <sheetData sheetId="7665">
        <row r="1">
          <cell r="J1">
            <v>1.7453292519943295E-2</v>
          </cell>
        </row>
      </sheetData>
      <sheetData sheetId="7666">
        <row r="1">
          <cell r="J1">
            <v>1.7453292519943295E-2</v>
          </cell>
        </row>
      </sheetData>
      <sheetData sheetId="7667" refreshError="1"/>
      <sheetData sheetId="7668">
        <row r="1">
          <cell r="J1">
            <v>1.7453292519943295E-2</v>
          </cell>
        </row>
      </sheetData>
      <sheetData sheetId="7669"/>
      <sheetData sheetId="7670">
        <row r="1">
          <cell r="J1">
            <v>1.7453292519943295E-2</v>
          </cell>
        </row>
      </sheetData>
      <sheetData sheetId="7671" refreshError="1"/>
      <sheetData sheetId="7672" refreshError="1"/>
      <sheetData sheetId="7673">
        <row r="1">
          <cell r="J1">
            <v>1.7453292519943295E-2</v>
          </cell>
        </row>
      </sheetData>
      <sheetData sheetId="7674">
        <row r="1">
          <cell r="J1">
            <v>1.7453292519943295E-2</v>
          </cell>
        </row>
      </sheetData>
      <sheetData sheetId="7675" refreshError="1"/>
      <sheetData sheetId="7676"/>
      <sheetData sheetId="7677">
        <row r="1">
          <cell r="J1">
            <v>1.7453292519943295E-2</v>
          </cell>
        </row>
      </sheetData>
      <sheetData sheetId="7678"/>
      <sheetData sheetId="7679" refreshError="1"/>
      <sheetData sheetId="7680" refreshError="1"/>
      <sheetData sheetId="7681">
        <row r="1">
          <cell r="J1">
            <v>1.7453292519943295E-2</v>
          </cell>
        </row>
      </sheetData>
      <sheetData sheetId="7682">
        <row r="1">
          <cell r="J1">
            <v>1.7453292519943295E-2</v>
          </cell>
        </row>
      </sheetData>
      <sheetData sheetId="7683" refreshError="1"/>
      <sheetData sheetId="7684"/>
      <sheetData sheetId="7685"/>
      <sheetData sheetId="7686">
        <row r="1">
          <cell r="J1">
            <v>1.7453292519943295E-2</v>
          </cell>
        </row>
      </sheetData>
      <sheetData sheetId="7687">
        <row r="1">
          <cell r="J1">
            <v>1.7453292519943295E-2</v>
          </cell>
        </row>
      </sheetData>
      <sheetData sheetId="7688" refreshError="1"/>
      <sheetData sheetId="7689" refreshError="1"/>
      <sheetData sheetId="7690" refreshError="1"/>
      <sheetData sheetId="7691">
        <row r="1">
          <cell r="J1">
            <v>1.7453292519943295E-2</v>
          </cell>
        </row>
      </sheetData>
      <sheetData sheetId="7692">
        <row r="1">
          <cell r="J1">
            <v>1.7453292519943295E-2</v>
          </cell>
        </row>
      </sheetData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>
        <row r="1">
          <cell r="J1">
            <v>1.7453292519943295E-2</v>
          </cell>
        </row>
      </sheetData>
      <sheetData sheetId="7701"/>
      <sheetData sheetId="7702" refreshError="1"/>
      <sheetData sheetId="7703" refreshError="1"/>
      <sheetData sheetId="7704">
        <row r="1">
          <cell r="J1">
            <v>1.7453292519943295E-2</v>
          </cell>
        </row>
      </sheetData>
      <sheetData sheetId="7705"/>
      <sheetData sheetId="7706">
        <row r="1">
          <cell r="J1">
            <v>1.7453292519943295E-2</v>
          </cell>
        </row>
      </sheetData>
      <sheetData sheetId="7707" refreshError="1"/>
      <sheetData sheetId="7708">
        <row r="1">
          <cell r="J1">
            <v>1.7453292519943295E-2</v>
          </cell>
        </row>
      </sheetData>
      <sheetData sheetId="7709">
        <row r="1">
          <cell r="J1">
            <v>1.7453292519943295E-2</v>
          </cell>
        </row>
      </sheetData>
      <sheetData sheetId="7710">
        <row r="1">
          <cell r="J1">
            <v>1.7453292519943295E-2</v>
          </cell>
        </row>
      </sheetData>
      <sheetData sheetId="7711">
        <row r="1">
          <cell r="J1">
            <v>1.7453292519943295E-2</v>
          </cell>
        </row>
      </sheetData>
      <sheetData sheetId="7712">
        <row r="1">
          <cell r="J1">
            <v>1.7453292519943295E-2</v>
          </cell>
        </row>
      </sheetData>
      <sheetData sheetId="7713">
        <row r="1">
          <cell r="J1">
            <v>1.7453292519943295E-2</v>
          </cell>
        </row>
      </sheetData>
      <sheetData sheetId="7714">
        <row r="1">
          <cell r="J1">
            <v>1.7453292519943295E-2</v>
          </cell>
        </row>
      </sheetData>
      <sheetData sheetId="7715">
        <row r="1">
          <cell r="J1">
            <v>1.7453292519943295E-2</v>
          </cell>
        </row>
      </sheetData>
      <sheetData sheetId="7716">
        <row r="1">
          <cell r="J1">
            <v>1.7453292519943295E-2</v>
          </cell>
        </row>
      </sheetData>
      <sheetData sheetId="7717">
        <row r="1">
          <cell r="J1">
            <v>1.7453292519943295E-2</v>
          </cell>
        </row>
      </sheetData>
      <sheetData sheetId="7718">
        <row r="1">
          <cell r="J1">
            <v>1.7453292519943295E-2</v>
          </cell>
        </row>
      </sheetData>
      <sheetData sheetId="7719">
        <row r="1">
          <cell r="J1">
            <v>1.7453292519943295E-2</v>
          </cell>
        </row>
      </sheetData>
      <sheetData sheetId="7720">
        <row r="1">
          <cell r="J1">
            <v>1.7453292519943295E-2</v>
          </cell>
        </row>
      </sheetData>
      <sheetData sheetId="7721">
        <row r="1">
          <cell r="J1">
            <v>1.7453292519943295E-2</v>
          </cell>
        </row>
      </sheetData>
      <sheetData sheetId="7722">
        <row r="1">
          <cell r="J1">
            <v>1.7453292519943295E-2</v>
          </cell>
        </row>
      </sheetData>
      <sheetData sheetId="7723">
        <row r="1">
          <cell r="J1">
            <v>1.7453292519943295E-2</v>
          </cell>
        </row>
      </sheetData>
      <sheetData sheetId="7724">
        <row r="1">
          <cell r="J1">
            <v>1.7453292519943295E-2</v>
          </cell>
        </row>
      </sheetData>
      <sheetData sheetId="7725">
        <row r="1">
          <cell r="J1">
            <v>1.7453292519943295E-2</v>
          </cell>
        </row>
      </sheetData>
      <sheetData sheetId="7726">
        <row r="1">
          <cell r="J1">
            <v>1.7453292519943295E-2</v>
          </cell>
        </row>
      </sheetData>
      <sheetData sheetId="7727">
        <row r="1">
          <cell r="J1">
            <v>1.7453292519943295E-2</v>
          </cell>
        </row>
      </sheetData>
      <sheetData sheetId="7728">
        <row r="1">
          <cell r="J1">
            <v>1.7453292519943295E-2</v>
          </cell>
        </row>
      </sheetData>
      <sheetData sheetId="7729" refreshError="1"/>
      <sheetData sheetId="7730" refreshError="1"/>
      <sheetData sheetId="7731" refreshError="1"/>
      <sheetData sheetId="7732" refreshError="1"/>
      <sheetData sheetId="7733"/>
      <sheetData sheetId="7734"/>
      <sheetData sheetId="7735" refreshError="1"/>
      <sheetData sheetId="7736" refreshError="1"/>
      <sheetData sheetId="7737">
        <row r="1">
          <cell r="J1">
            <v>1.7453292519943295E-2</v>
          </cell>
        </row>
      </sheetData>
      <sheetData sheetId="7738" refreshError="1"/>
      <sheetData sheetId="7739" refreshError="1"/>
      <sheetData sheetId="7740">
        <row r="1">
          <cell r="J1">
            <v>1.7453292519943295E-2</v>
          </cell>
        </row>
      </sheetData>
      <sheetData sheetId="7741">
        <row r="1">
          <cell r="J1">
            <v>1.7453292519943295E-2</v>
          </cell>
        </row>
      </sheetData>
      <sheetData sheetId="7742">
        <row r="1">
          <cell r="J1">
            <v>1.7453292519943295E-2</v>
          </cell>
        </row>
      </sheetData>
      <sheetData sheetId="7743">
        <row r="1">
          <cell r="J1">
            <v>1.7453292519943295E-2</v>
          </cell>
        </row>
      </sheetData>
      <sheetData sheetId="7744">
        <row r="1">
          <cell r="J1">
            <v>1.7453292519943295E-2</v>
          </cell>
        </row>
      </sheetData>
      <sheetData sheetId="7745">
        <row r="1">
          <cell r="J1">
            <v>1.7453292519943295E-2</v>
          </cell>
        </row>
      </sheetData>
      <sheetData sheetId="7746">
        <row r="1">
          <cell r="J1">
            <v>1.7453292519943295E-2</v>
          </cell>
        </row>
      </sheetData>
      <sheetData sheetId="7747">
        <row r="1">
          <cell r="J1">
            <v>1.7453292519943295E-2</v>
          </cell>
        </row>
      </sheetData>
      <sheetData sheetId="7748">
        <row r="1">
          <cell r="J1">
            <v>1.7453292519943295E-2</v>
          </cell>
        </row>
      </sheetData>
      <sheetData sheetId="7749">
        <row r="1">
          <cell r="J1">
            <v>1.7453292519943295E-2</v>
          </cell>
        </row>
      </sheetData>
      <sheetData sheetId="7750">
        <row r="1">
          <cell r="J1">
            <v>1.7453292519943295E-2</v>
          </cell>
        </row>
      </sheetData>
      <sheetData sheetId="7751">
        <row r="1">
          <cell r="J1">
            <v>1.7453292519943295E-2</v>
          </cell>
        </row>
      </sheetData>
      <sheetData sheetId="7752">
        <row r="1">
          <cell r="J1">
            <v>1.7453292519943295E-2</v>
          </cell>
        </row>
      </sheetData>
      <sheetData sheetId="7753">
        <row r="1">
          <cell r="J1">
            <v>1.7453292519943295E-2</v>
          </cell>
        </row>
      </sheetData>
      <sheetData sheetId="7754">
        <row r="1">
          <cell r="J1">
            <v>1.7453292519943295E-2</v>
          </cell>
        </row>
      </sheetData>
      <sheetData sheetId="7755">
        <row r="1">
          <cell r="J1">
            <v>1.7453292519943295E-2</v>
          </cell>
        </row>
      </sheetData>
      <sheetData sheetId="7756">
        <row r="1">
          <cell r="J1">
            <v>1.7453292519943295E-2</v>
          </cell>
        </row>
      </sheetData>
      <sheetData sheetId="7757">
        <row r="1">
          <cell r="J1">
            <v>1.7453292519943295E-2</v>
          </cell>
        </row>
      </sheetData>
      <sheetData sheetId="7758">
        <row r="1">
          <cell r="J1">
            <v>1.7453292519943295E-2</v>
          </cell>
        </row>
      </sheetData>
      <sheetData sheetId="7759">
        <row r="1">
          <cell r="J1">
            <v>1.7453292519943295E-2</v>
          </cell>
        </row>
      </sheetData>
      <sheetData sheetId="7760" refreshError="1"/>
      <sheetData sheetId="7761" refreshError="1"/>
      <sheetData sheetId="7762">
        <row r="1">
          <cell r="J1">
            <v>1.7453292519943295E-2</v>
          </cell>
        </row>
      </sheetData>
      <sheetData sheetId="7763" refreshError="1"/>
      <sheetData sheetId="7764" refreshError="1"/>
      <sheetData sheetId="7765">
        <row r="1">
          <cell r="J1">
            <v>1.7453292519943295E-2</v>
          </cell>
        </row>
      </sheetData>
      <sheetData sheetId="7766"/>
      <sheetData sheetId="7767">
        <row r="1">
          <cell r="J1">
            <v>1.7453292519943295E-2</v>
          </cell>
        </row>
      </sheetData>
      <sheetData sheetId="7768" refreshError="1"/>
      <sheetData sheetId="7769" refreshError="1"/>
      <sheetData sheetId="7770"/>
      <sheetData sheetId="7771">
        <row r="1">
          <cell r="J1">
            <v>1.7453292519943295E-2</v>
          </cell>
        </row>
      </sheetData>
      <sheetData sheetId="7772">
        <row r="1">
          <cell r="J1">
            <v>1.7453292519943295E-2</v>
          </cell>
        </row>
      </sheetData>
      <sheetData sheetId="7773" refreshError="1"/>
      <sheetData sheetId="7774" refreshError="1"/>
      <sheetData sheetId="7775">
        <row r="1">
          <cell r="J1">
            <v>1.7453292519943295E-2</v>
          </cell>
        </row>
      </sheetData>
      <sheetData sheetId="7776" refreshError="1"/>
      <sheetData sheetId="7777"/>
      <sheetData sheetId="7778" refreshError="1"/>
      <sheetData sheetId="7779">
        <row r="1">
          <cell r="J1">
            <v>1.7453292519943295E-2</v>
          </cell>
        </row>
      </sheetData>
      <sheetData sheetId="7780">
        <row r="1">
          <cell r="J1">
            <v>1.7453292519943295E-2</v>
          </cell>
        </row>
      </sheetData>
      <sheetData sheetId="7781">
        <row r="1">
          <cell r="J1">
            <v>1.7453292519943295E-2</v>
          </cell>
        </row>
      </sheetData>
      <sheetData sheetId="7782">
        <row r="1">
          <cell r="J1">
            <v>1.7453292519943295E-2</v>
          </cell>
        </row>
      </sheetData>
      <sheetData sheetId="7783">
        <row r="1">
          <cell r="J1">
            <v>1.7453292519943295E-2</v>
          </cell>
        </row>
      </sheetData>
      <sheetData sheetId="7784">
        <row r="1">
          <cell r="J1">
            <v>1.7453292519943295E-2</v>
          </cell>
        </row>
      </sheetData>
      <sheetData sheetId="7785">
        <row r="1">
          <cell r="J1">
            <v>1.7453292519943295E-2</v>
          </cell>
        </row>
      </sheetData>
      <sheetData sheetId="7786">
        <row r="1">
          <cell r="J1">
            <v>1.7453292519943295E-2</v>
          </cell>
        </row>
      </sheetData>
      <sheetData sheetId="7787">
        <row r="1">
          <cell r="J1">
            <v>1.7453292519943295E-2</v>
          </cell>
        </row>
      </sheetData>
      <sheetData sheetId="7788">
        <row r="1">
          <cell r="J1">
            <v>1.7453292519943295E-2</v>
          </cell>
        </row>
      </sheetData>
      <sheetData sheetId="7789">
        <row r="1">
          <cell r="J1">
            <v>1.7453292519943295E-2</v>
          </cell>
        </row>
      </sheetData>
      <sheetData sheetId="7790">
        <row r="1">
          <cell r="J1">
            <v>1.7453292519943295E-2</v>
          </cell>
        </row>
      </sheetData>
      <sheetData sheetId="7791">
        <row r="1">
          <cell r="J1">
            <v>1.7453292519943295E-2</v>
          </cell>
        </row>
      </sheetData>
      <sheetData sheetId="7792">
        <row r="1">
          <cell r="J1">
            <v>1.7453292519943295E-2</v>
          </cell>
        </row>
      </sheetData>
      <sheetData sheetId="7793">
        <row r="1">
          <cell r="J1">
            <v>1.7453292519943295E-2</v>
          </cell>
        </row>
      </sheetData>
      <sheetData sheetId="7794">
        <row r="1">
          <cell r="J1">
            <v>1.7453292519943295E-2</v>
          </cell>
        </row>
      </sheetData>
      <sheetData sheetId="7795">
        <row r="1">
          <cell r="J1">
            <v>1.7453292519943295E-2</v>
          </cell>
        </row>
      </sheetData>
      <sheetData sheetId="7796">
        <row r="1">
          <cell r="J1">
            <v>1.7453292519943295E-2</v>
          </cell>
        </row>
      </sheetData>
      <sheetData sheetId="7797">
        <row r="1">
          <cell r="J1">
            <v>1.7453292519943295E-2</v>
          </cell>
        </row>
      </sheetData>
      <sheetData sheetId="7798">
        <row r="1">
          <cell r="J1">
            <v>1.7453292519943295E-2</v>
          </cell>
        </row>
      </sheetData>
      <sheetData sheetId="7799">
        <row r="1">
          <cell r="J1">
            <v>1.7453292519943295E-2</v>
          </cell>
        </row>
      </sheetData>
      <sheetData sheetId="7800" refreshError="1"/>
      <sheetData sheetId="7801" refreshError="1"/>
      <sheetData sheetId="7802"/>
      <sheetData sheetId="7803">
        <row r="1">
          <cell r="J1">
            <v>1.7453292519943295E-2</v>
          </cell>
        </row>
      </sheetData>
      <sheetData sheetId="7804"/>
      <sheetData sheetId="7805"/>
      <sheetData sheetId="7806" refreshError="1"/>
      <sheetData sheetId="7807" refreshError="1"/>
      <sheetData sheetId="7808"/>
      <sheetData sheetId="7809">
        <row r="1">
          <cell r="J1">
            <v>1.7453292519943295E-2</v>
          </cell>
        </row>
      </sheetData>
      <sheetData sheetId="7810"/>
      <sheetData sheetId="7811" refreshError="1"/>
      <sheetData sheetId="7812">
        <row r="1">
          <cell r="J1">
            <v>1.7453292519943295E-2</v>
          </cell>
        </row>
      </sheetData>
      <sheetData sheetId="7813">
        <row r="1">
          <cell r="J1">
            <v>1.7453292519943295E-2</v>
          </cell>
        </row>
      </sheetData>
      <sheetData sheetId="7814">
        <row r="1">
          <cell r="J1">
            <v>1.7453292519943295E-2</v>
          </cell>
        </row>
      </sheetData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>
        <row r="1">
          <cell r="J1">
            <v>1.7453292519943295E-2</v>
          </cell>
        </row>
      </sheetData>
      <sheetData sheetId="7821">
        <row r="1">
          <cell r="J1">
            <v>1.7453292519943295E-2</v>
          </cell>
        </row>
      </sheetData>
      <sheetData sheetId="7822">
        <row r="1">
          <cell r="J1">
            <v>1.7453292519943295E-2</v>
          </cell>
        </row>
      </sheetData>
      <sheetData sheetId="7823">
        <row r="1">
          <cell r="J1">
            <v>1.7453292519943295E-2</v>
          </cell>
        </row>
      </sheetData>
      <sheetData sheetId="7824">
        <row r="1">
          <cell r="J1">
            <v>1.7453292519943295E-2</v>
          </cell>
        </row>
      </sheetData>
      <sheetData sheetId="7825">
        <row r="1">
          <cell r="J1">
            <v>1.7453292519943295E-2</v>
          </cell>
        </row>
      </sheetData>
      <sheetData sheetId="7826">
        <row r="1">
          <cell r="J1">
            <v>1.7453292519943295E-2</v>
          </cell>
        </row>
      </sheetData>
      <sheetData sheetId="7827">
        <row r="1">
          <cell r="J1">
            <v>1.7453292519943295E-2</v>
          </cell>
        </row>
      </sheetData>
      <sheetData sheetId="7828">
        <row r="1">
          <cell r="J1">
            <v>1.7453292519943295E-2</v>
          </cell>
        </row>
      </sheetData>
      <sheetData sheetId="7829">
        <row r="1">
          <cell r="J1">
            <v>1.7453292519943295E-2</v>
          </cell>
        </row>
      </sheetData>
      <sheetData sheetId="7830">
        <row r="1">
          <cell r="J1">
            <v>1.7453292519943295E-2</v>
          </cell>
        </row>
      </sheetData>
      <sheetData sheetId="7831">
        <row r="1">
          <cell r="J1">
            <v>1.7453292519943295E-2</v>
          </cell>
        </row>
      </sheetData>
      <sheetData sheetId="7832">
        <row r="1">
          <cell r="J1">
            <v>1.7453292519943295E-2</v>
          </cell>
        </row>
      </sheetData>
      <sheetData sheetId="7833">
        <row r="1">
          <cell r="J1">
            <v>1.7453292519943295E-2</v>
          </cell>
        </row>
      </sheetData>
      <sheetData sheetId="7834">
        <row r="1">
          <cell r="J1">
            <v>1.7453292519943295E-2</v>
          </cell>
        </row>
      </sheetData>
      <sheetData sheetId="7835">
        <row r="1">
          <cell r="J1">
            <v>1.7453292519943295E-2</v>
          </cell>
        </row>
      </sheetData>
      <sheetData sheetId="7836">
        <row r="1">
          <cell r="J1">
            <v>1.7453292519943295E-2</v>
          </cell>
        </row>
      </sheetData>
      <sheetData sheetId="7837">
        <row r="1">
          <cell r="J1">
            <v>1.7453292519943295E-2</v>
          </cell>
        </row>
      </sheetData>
      <sheetData sheetId="7838">
        <row r="1">
          <cell r="J1">
            <v>1.7453292519943295E-2</v>
          </cell>
        </row>
      </sheetData>
      <sheetData sheetId="7839">
        <row r="1">
          <cell r="J1">
            <v>1.7453292519943295E-2</v>
          </cell>
        </row>
      </sheetData>
      <sheetData sheetId="7840">
        <row r="1">
          <cell r="J1">
            <v>1.7453292519943295E-2</v>
          </cell>
        </row>
      </sheetData>
      <sheetData sheetId="7841" refreshError="1"/>
      <sheetData sheetId="7842" refreshError="1"/>
      <sheetData sheetId="7843"/>
      <sheetData sheetId="7844"/>
      <sheetData sheetId="7845" refreshError="1"/>
      <sheetData sheetId="7846">
        <row r="1">
          <cell r="J1">
            <v>1.7453292519943295E-2</v>
          </cell>
        </row>
      </sheetData>
      <sheetData sheetId="7847">
        <row r="1">
          <cell r="J1">
            <v>1.7453292519943295E-2</v>
          </cell>
        </row>
      </sheetData>
      <sheetData sheetId="7848" refreshError="1"/>
      <sheetData sheetId="7849" refreshError="1"/>
      <sheetData sheetId="7850" refreshError="1"/>
      <sheetData sheetId="7851" refreshError="1"/>
      <sheetData sheetId="7852">
        <row r="1">
          <cell r="J1">
            <v>1.7453292519943295E-2</v>
          </cell>
        </row>
      </sheetData>
      <sheetData sheetId="7853">
        <row r="1">
          <cell r="J1">
            <v>1.7453292519943295E-2</v>
          </cell>
        </row>
      </sheetData>
      <sheetData sheetId="7854">
        <row r="1">
          <cell r="J1">
            <v>1.7453292519943295E-2</v>
          </cell>
        </row>
      </sheetData>
      <sheetData sheetId="7855">
        <row r="1">
          <cell r="J1">
            <v>1.7453292519943295E-2</v>
          </cell>
        </row>
      </sheetData>
      <sheetData sheetId="7856">
        <row r="1">
          <cell r="J1">
            <v>1.7453292519943295E-2</v>
          </cell>
        </row>
      </sheetData>
      <sheetData sheetId="7857">
        <row r="1">
          <cell r="J1">
            <v>1.7453292519943295E-2</v>
          </cell>
        </row>
      </sheetData>
      <sheetData sheetId="7858">
        <row r="1">
          <cell r="J1">
            <v>1.7453292519943295E-2</v>
          </cell>
        </row>
      </sheetData>
      <sheetData sheetId="7859">
        <row r="1">
          <cell r="J1">
            <v>1.7453292519943295E-2</v>
          </cell>
        </row>
      </sheetData>
      <sheetData sheetId="7860">
        <row r="1">
          <cell r="J1">
            <v>1.7453292519943295E-2</v>
          </cell>
        </row>
      </sheetData>
      <sheetData sheetId="7861">
        <row r="1">
          <cell r="J1">
            <v>1.7453292519943295E-2</v>
          </cell>
        </row>
      </sheetData>
      <sheetData sheetId="7862">
        <row r="1">
          <cell r="J1">
            <v>1.7453292519943295E-2</v>
          </cell>
        </row>
      </sheetData>
      <sheetData sheetId="7863">
        <row r="1">
          <cell r="J1">
            <v>1.7453292519943295E-2</v>
          </cell>
        </row>
      </sheetData>
      <sheetData sheetId="7864">
        <row r="1">
          <cell r="J1">
            <v>1.7453292519943295E-2</v>
          </cell>
        </row>
      </sheetData>
      <sheetData sheetId="7865">
        <row r="1">
          <cell r="J1">
            <v>1.7453292519943295E-2</v>
          </cell>
        </row>
      </sheetData>
      <sheetData sheetId="7866">
        <row r="1">
          <cell r="J1">
            <v>1.7453292519943295E-2</v>
          </cell>
        </row>
      </sheetData>
      <sheetData sheetId="7867">
        <row r="1">
          <cell r="J1">
            <v>1.7453292519943295E-2</v>
          </cell>
        </row>
      </sheetData>
      <sheetData sheetId="7868">
        <row r="1">
          <cell r="J1">
            <v>1.7453292519943295E-2</v>
          </cell>
        </row>
      </sheetData>
      <sheetData sheetId="7869">
        <row r="1">
          <cell r="J1">
            <v>1.7453292519943295E-2</v>
          </cell>
        </row>
      </sheetData>
      <sheetData sheetId="7870">
        <row r="1">
          <cell r="J1">
            <v>1.7453292519943295E-2</v>
          </cell>
        </row>
      </sheetData>
      <sheetData sheetId="7871">
        <row r="1">
          <cell r="J1">
            <v>1.7453292519943295E-2</v>
          </cell>
        </row>
      </sheetData>
      <sheetData sheetId="7872" refreshError="1"/>
      <sheetData sheetId="7873" refreshError="1"/>
      <sheetData sheetId="7874">
        <row r="1">
          <cell r="J1">
            <v>1.7453292519943295E-2</v>
          </cell>
        </row>
      </sheetData>
      <sheetData sheetId="7875">
        <row r="1">
          <cell r="J1">
            <v>1.7453292519943295E-2</v>
          </cell>
        </row>
      </sheetData>
      <sheetData sheetId="7876">
        <row r="1">
          <cell r="J1">
            <v>1.7453292519943295E-2</v>
          </cell>
        </row>
      </sheetData>
      <sheetData sheetId="7877">
        <row r="1">
          <cell r="J1">
            <v>1.7453292519943295E-2</v>
          </cell>
        </row>
      </sheetData>
      <sheetData sheetId="7878">
        <row r="1">
          <cell r="J1">
            <v>1.7453292519943295E-2</v>
          </cell>
        </row>
      </sheetData>
      <sheetData sheetId="7879">
        <row r="1">
          <cell r="J1">
            <v>1.7453292519943295E-2</v>
          </cell>
        </row>
      </sheetData>
      <sheetData sheetId="7880">
        <row r="1">
          <cell r="J1">
            <v>1.7453292519943295E-2</v>
          </cell>
        </row>
      </sheetData>
      <sheetData sheetId="7881">
        <row r="1">
          <cell r="J1">
            <v>1.7453292519943295E-2</v>
          </cell>
        </row>
      </sheetData>
      <sheetData sheetId="7882">
        <row r="1">
          <cell r="J1">
            <v>1.7453292519943295E-2</v>
          </cell>
        </row>
      </sheetData>
      <sheetData sheetId="7883">
        <row r="1">
          <cell r="J1">
            <v>1.7453292519943295E-2</v>
          </cell>
        </row>
      </sheetData>
      <sheetData sheetId="7884">
        <row r="1">
          <cell r="J1">
            <v>1.7453292519943295E-2</v>
          </cell>
        </row>
      </sheetData>
      <sheetData sheetId="7885">
        <row r="1">
          <cell r="J1">
            <v>1.7453292519943295E-2</v>
          </cell>
        </row>
      </sheetData>
      <sheetData sheetId="7886">
        <row r="1">
          <cell r="J1">
            <v>1.7453292519943295E-2</v>
          </cell>
        </row>
      </sheetData>
      <sheetData sheetId="7887">
        <row r="1">
          <cell r="J1">
            <v>1.7453292519943295E-2</v>
          </cell>
        </row>
      </sheetData>
      <sheetData sheetId="7888">
        <row r="1">
          <cell r="J1">
            <v>1.7453292519943295E-2</v>
          </cell>
        </row>
      </sheetData>
      <sheetData sheetId="7889">
        <row r="1">
          <cell r="J1">
            <v>1.7453292519943295E-2</v>
          </cell>
        </row>
      </sheetData>
      <sheetData sheetId="7890">
        <row r="1">
          <cell r="J1">
            <v>1.7453292519943295E-2</v>
          </cell>
        </row>
      </sheetData>
      <sheetData sheetId="7891">
        <row r="1">
          <cell r="J1">
            <v>1.7453292519943295E-2</v>
          </cell>
        </row>
      </sheetData>
      <sheetData sheetId="7892">
        <row r="1">
          <cell r="J1">
            <v>1.7453292519943295E-2</v>
          </cell>
        </row>
      </sheetData>
      <sheetData sheetId="7893">
        <row r="1">
          <cell r="J1">
            <v>1.7453292519943295E-2</v>
          </cell>
        </row>
      </sheetData>
      <sheetData sheetId="7894">
        <row r="1">
          <cell r="J1">
            <v>1.7453292519943295E-2</v>
          </cell>
        </row>
      </sheetData>
      <sheetData sheetId="7895">
        <row r="1">
          <cell r="J1">
            <v>1.7453292519943295E-2</v>
          </cell>
        </row>
      </sheetData>
      <sheetData sheetId="7896">
        <row r="1">
          <cell r="J1">
            <v>1.7453292519943295E-2</v>
          </cell>
        </row>
      </sheetData>
      <sheetData sheetId="7897">
        <row r="1">
          <cell r="J1">
            <v>1.7453292519943295E-2</v>
          </cell>
        </row>
      </sheetData>
      <sheetData sheetId="7898" refreshError="1"/>
      <sheetData sheetId="7899" refreshError="1"/>
      <sheetData sheetId="7900">
        <row r="1">
          <cell r="J1">
            <v>1.7453292519943295E-2</v>
          </cell>
        </row>
      </sheetData>
      <sheetData sheetId="7901">
        <row r="1">
          <cell r="J1">
            <v>1.7453292519943295E-2</v>
          </cell>
        </row>
      </sheetData>
      <sheetData sheetId="7902">
        <row r="1">
          <cell r="J1">
            <v>1.7453292519943295E-2</v>
          </cell>
        </row>
      </sheetData>
      <sheetData sheetId="7903"/>
      <sheetData sheetId="7904"/>
      <sheetData sheetId="7905" refreshError="1"/>
      <sheetData sheetId="7906">
        <row r="1">
          <cell r="J1">
            <v>1.7453292519943295E-2</v>
          </cell>
        </row>
      </sheetData>
      <sheetData sheetId="7907">
        <row r="1">
          <cell r="J1">
            <v>1.7453292519943295E-2</v>
          </cell>
        </row>
      </sheetData>
      <sheetData sheetId="7908">
        <row r="1">
          <cell r="J1">
            <v>1.7453292519943295E-2</v>
          </cell>
        </row>
      </sheetData>
      <sheetData sheetId="7909" refreshError="1"/>
      <sheetData sheetId="7910">
        <row r="1">
          <cell r="J1">
            <v>1.7453292519943295E-2</v>
          </cell>
        </row>
      </sheetData>
      <sheetData sheetId="7911" refreshError="1"/>
      <sheetData sheetId="7912" refreshError="1"/>
      <sheetData sheetId="7913" refreshError="1"/>
      <sheetData sheetId="7914">
        <row r="1">
          <cell r="J1">
            <v>1.7453292519943295E-2</v>
          </cell>
        </row>
      </sheetData>
      <sheetData sheetId="7915">
        <row r="1">
          <cell r="J1">
            <v>1.7453292519943295E-2</v>
          </cell>
        </row>
      </sheetData>
      <sheetData sheetId="7916">
        <row r="1">
          <cell r="J1">
            <v>1.7453292519943295E-2</v>
          </cell>
        </row>
      </sheetData>
      <sheetData sheetId="7917">
        <row r="1">
          <cell r="J1">
            <v>1.7453292519943295E-2</v>
          </cell>
        </row>
      </sheetData>
      <sheetData sheetId="7918">
        <row r="1">
          <cell r="J1">
            <v>1.7453292519943295E-2</v>
          </cell>
        </row>
      </sheetData>
      <sheetData sheetId="7919">
        <row r="1">
          <cell r="J1">
            <v>1.7453292519943295E-2</v>
          </cell>
        </row>
      </sheetData>
      <sheetData sheetId="7920">
        <row r="1">
          <cell r="J1">
            <v>1.7453292519943295E-2</v>
          </cell>
        </row>
      </sheetData>
      <sheetData sheetId="7921">
        <row r="1">
          <cell r="J1">
            <v>1.7453292519943295E-2</v>
          </cell>
        </row>
      </sheetData>
      <sheetData sheetId="7922">
        <row r="1">
          <cell r="J1">
            <v>1.7453292519943295E-2</v>
          </cell>
        </row>
      </sheetData>
      <sheetData sheetId="7923">
        <row r="1">
          <cell r="J1">
            <v>1.7453292519943295E-2</v>
          </cell>
        </row>
      </sheetData>
      <sheetData sheetId="7924">
        <row r="1">
          <cell r="J1">
            <v>1.7453292519943295E-2</v>
          </cell>
        </row>
      </sheetData>
      <sheetData sheetId="7925">
        <row r="1">
          <cell r="J1">
            <v>1.7453292519943295E-2</v>
          </cell>
        </row>
      </sheetData>
      <sheetData sheetId="7926">
        <row r="1">
          <cell r="J1">
            <v>1.7453292519943295E-2</v>
          </cell>
        </row>
      </sheetData>
      <sheetData sheetId="7927">
        <row r="1">
          <cell r="J1">
            <v>1.7453292519943295E-2</v>
          </cell>
        </row>
      </sheetData>
      <sheetData sheetId="7928">
        <row r="1">
          <cell r="J1">
            <v>1.7453292519943295E-2</v>
          </cell>
        </row>
      </sheetData>
      <sheetData sheetId="7929">
        <row r="1">
          <cell r="J1">
            <v>1.7453292519943295E-2</v>
          </cell>
        </row>
      </sheetData>
      <sheetData sheetId="7930">
        <row r="1">
          <cell r="J1">
            <v>1.7453292519943295E-2</v>
          </cell>
        </row>
      </sheetData>
      <sheetData sheetId="7931">
        <row r="1">
          <cell r="J1">
            <v>1.7453292519943295E-2</v>
          </cell>
        </row>
      </sheetData>
      <sheetData sheetId="7932">
        <row r="1">
          <cell r="J1">
            <v>1.7453292519943295E-2</v>
          </cell>
        </row>
      </sheetData>
      <sheetData sheetId="7933">
        <row r="1">
          <cell r="J1">
            <v>1.7453292519943295E-2</v>
          </cell>
        </row>
      </sheetData>
      <sheetData sheetId="7934">
        <row r="1">
          <cell r="J1">
            <v>1.7453292519943295E-2</v>
          </cell>
        </row>
      </sheetData>
      <sheetData sheetId="7935">
        <row r="1">
          <cell r="J1">
            <v>1.7453292519943295E-2</v>
          </cell>
        </row>
      </sheetData>
      <sheetData sheetId="7936">
        <row r="1">
          <cell r="J1">
            <v>1.7453292519943295E-2</v>
          </cell>
        </row>
      </sheetData>
      <sheetData sheetId="7937">
        <row r="1">
          <cell r="J1">
            <v>1.7453292519943295E-2</v>
          </cell>
        </row>
      </sheetData>
      <sheetData sheetId="7938">
        <row r="1">
          <cell r="J1">
            <v>1.7453292519943295E-2</v>
          </cell>
        </row>
      </sheetData>
      <sheetData sheetId="7939">
        <row r="1">
          <cell r="J1">
            <v>1.7453292519943295E-2</v>
          </cell>
        </row>
      </sheetData>
      <sheetData sheetId="7940">
        <row r="1">
          <cell r="J1">
            <v>1.7453292519943295E-2</v>
          </cell>
        </row>
      </sheetData>
      <sheetData sheetId="7941">
        <row r="1">
          <cell r="J1">
            <v>1.7453292519943295E-2</v>
          </cell>
        </row>
      </sheetData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>
        <row r="1">
          <cell r="J1">
            <v>1.7453292519943295E-2</v>
          </cell>
        </row>
      </sheetData>
      <sheetData sheetId="7950">
        <row r="1">
          <cell r="J1">
            <v>1.7453292519943295E-2</v>
          </cell>
        </row>
      </sheetData>
      <sheetData sheetId="7951" refreshError="1"/>
      <sheetData sheetId="7952" refreshError="1"/>
      <sheetData sheetId="7953" refreshError="1"/>
      <sheetData sheetId="7954">
        <row r="1">
          <cell r="J1">
            <v>1.7453292519943295E-2</v>
          </cell>
        </row>
      </sheetData>
      <sheetData sheetId="7955">
        <row r="1">
          <cell r="J1">
            <v>1.7453292519943295E-2</v>
          </cell>
        </row>
      </sheetData>
      <sheetData sheetId="7956">
        <row r="1">
          <cell r="J1">
            <v>1.7453292519943295E-2</v>
          </cell>
        </row>
      </sheetData>
      <sheetData sheetId="7957">
        <row r="1">
          <cell r="J1">
            <v>1.7453292519943295E-2</v>
          </cell>
        </row>
      </sheetData>
      <sheetData sheetId="7958">
        <row r="1">
          <cell r="J1">
            <v>1.7453292519943295E-2</v>
          </cell>
        </row>
      </sheetData>
      <sheetData sheetId="7959">
        <row r="1">
          <cell r="J1">
            <v>1.7453292519943295E-2</v>
          </cell>
        </row>
      </sheetData>
      <sheetData sheetId="7960">
        <row r="1">
          <cell r="J1">
            <v>1.7453292519943295E-2</v>
          </cell>
        </row>
      </sheetData>
      <sheetData sheetId="7961">
        <row r="1">
          <cell r="J1">
            <v>1.7453292519943295E-2</v>
          </cell>
        </row>
      </sheetData>
      <sheetData sheetId="7962">
        <row r="1">
          <cell r="J1">
            <v>1.7453292519943295E-2</v>
          </cell>
        </row>
      </sheetData>
      <sheetData sheetId="7963">
        <row r="1">
          <cell r="J1">
            <v>1.7453292519943295E-2</v>
          </cell>
        </row>
      </sheetData>
      <sheetData sheetId="7964">
        <row r="1">
          <cell r="J1">
            <v>1.7453292519943295E-2</v>
          </cell>
        </row>
      </sheetData>
      <sheetData sheetId="7965">
        <row r="1">
          <cell r="J1">
            <v>1.7453292519943295E-2</v>
          </cell>
        </row>
      </sheetData>
      <sheetData sheetId="7966">
        <row r="1">
          <cell r="J1">
            <v>1.7453292519943295E-2</v>
          </cell>
        </row>
      </sheetData>
      <sheetData sheetId="7967">
        <row r="1">
          <cell r="J1">
            <v>1.7453292519943295E-2</v>
          </cell>
        </row>
      </sheetData>
      <sheetData sheetId="7968">
        <row r="1">
          <cell r="J1">
            <v>1.7453292519943295E-2</v>
          </cell>
        </row>
      </sheetData>
      <sheetData sheetId="7969">
        <row r="1">
          <cell r="J1">
            <v>1.7453292519943295E-2</v>
          </cell>
        </row>
      </sheetData>
      <sheetData sheetId="7970">
        <row r="1">
          <cell r="J1">
            <v>1.7453292519943295E-2</v>
          </cell>
        </row>
      </sheetData>
      <sheetData sheetId="7971">
        <row r="1">
          <cell r="J1">
            <v>1.7453292519943295E-2</v>
          </cell>
        </row>
      </sheetData>
      <sheetData sheetId="7972">
        <row r="1">
          <cell r="J1">
            <v>1.7453292519943295E-2</v>
          </cell>
        </row>
      </sheetData>
      <sheetData sheetId="7973">
        <row r="1">
          <cell r="J1">
            <v>1.7453292519943295E-2</v>
          </cell>
        </row>
      </sheetData>
      <sheetData sheetId="7974">
        <row r="1">
          <cell r="J1">
            <v>1.7453292519943295E-2</v>
          </cell>
        </row>
      </sheetData>
      <sheetData sheetId="7975">
        <row r="1">
          <cell r="J1">
            <v>1.7453292519943295E-2</v>
          </cell>
        </row>
      </sheetData>
      <sheetData sheetId="7976">
        <row r="1">
          <cell r="J1">
            <v>1.7453292519943295E-2</v>
          </cell>
        </row>
      </sheetData>
      <sheetData sheetId="7977" refreshError="1"/>
      <sheetData sheetId="7978" refreshError="1"/>
      <sheetData sheetId="7979">
        <row r="1">
          <cell r="J1">
            <v>1.7453292519943295E-2</v>
          </cell>
        </row>
      </sheetData>
      <sheetData sheetId="7980" refreshError="1"/>
      <sheetData sheetId="7981" refreshError="1"/>
      <sheetData sheetId="7982">
        <row r="1">
          <cell r="J1">
            <v>1.7453292519943295E-2</v>
          </cell>
        </row>
      </sheetData>
      <sheetData sheetId="7983" refreshError="1"/>
      <sheetData sheetId="7984" refreshError="1"/>
      <sheetData sheetId="7985">
        <row r="1">
          <cell r="J1">
            <v>1.7453292519943295E-2</v>
          </cell>
        </row>
      </sheetData>
      <sheetData sheetId="7986">
        <row r="1">
          <cell r="J1">
            <v>1.7453292519943295E-2</v>
          </cell>
        </row>
      </sheetData>
      <sheetData sheetId="7987">
        <row r="1">
          <cell r="J1">
            <v>1.7453292519943295E-2</v>
          </cell>
        </row>
      </sheetData>
      <sheetData sheetId="7988">
        <row r="1">
          <cell r="J1">
            <v>1.7453292519943295E-2</v>
          </cell>
        </row>
      </sheetData>
      <sheetData sheetId="7989">
        <row r="1">
          <cell r="J1">
            <v>1.7453292519943295E-2</v>
          </cell>
        </row>
      </sheetData>
      <sheetData sheetId="7990">
        <row r="1">
          <cell r="J1">
            <v>1.7453292519943295E-2</v>
          </cell>
        </row>
      </sheetData>
      <sheetData sheetId="7991">
        <row r="1">
          <cell r="J1">
            <v>1.7453292519943295E-2</v>
          </cell>
        </row>
      </sheetData>
      <sheetData sheetId="7992">
        <row r="1">
          <cell r="J1">
            <v>1.7453292519943295E-2</v>
          </cell>
        </row>
      </sheetData>
      <sheetData sheetId="7993">
        <row r="1">
          <cell r="J1">
            <v>1.7453292519943295E-2</v>
          </cell>
        </row>
      </sheetData>
      <sheetData sheetId="7994">
        <row r="1">
          <cell r="J1">
            <v>1.7453292519943295E-2</v>
          </cell>
        </row>
      </sheetData>
      <sheetData sheetId="7995">
        <row r="1">
          <cell r="J1">
            <v>1.7453292519943295E-2</v>
          </cell>
        </row>
      </sheetData>
      <sheetData sheetId="7996">
        <row r="1">
          <cell r="J1">
            <v>1.7453292519943295E-2</v>
          </cell>
        </row>
      </sheetData>
      <sheetData sheetId="7997">
        <row r="1">
          <cell r="J1">
            <v>1.7453292519943295E-2</v>
          </cell>
        </row>
      </sheetData>
      <sheetData sheetId="7998">
        <row r="1">
          <cell r="J1">
            <v>1.7453292519943295E-2</v>
          </cell>
        </row>
      </sheetData>
      <sheetData sheetId="7999">
        <row r="1">
          <cell r="J1">
            <v>1.7453292519943295E-2</v>
          </cell>
        </row>
      </sheetData>
      <sheetData sheetId="8000">
        <row r="1">
          <cell r="J1">
            <v>1.7453292519943295E-2</v>
          </cell>
        </row>
      </sheetData>
      <sheetData sheetId="8001">
        <row r="1">
          <cell r="J1">
            <v>1.7453292519943295E-2</v>
          </cell>
        </row>
      </sheetData>
      <sheetData sheetId="8002">
        <row r="1">
          <cell r="J1">
            <v>1.7453292519943295E-2</v>
          </cell>
        </row>
      </sheetData>
      <sheetData sheetId="8003">
        <row r="1">
          <cell r="J1">
            <v>1.7453292519943295E-2</v>
          </cell>
        </row>
      </sheetData>
      <sheetData sheetId="8004">
        <row r="1">
          <cell r="J1">
            <v>1.7453292519943295E-2</v>
          </cell>
        </row>
      </sheetData>
      <sheetData sheetId="8005">
        <row r="1">
          <cell r="J1">
            <v>1.7453292519943295E-2</v>
          </cell>
        </row>
      </sheetData>
      <sheetData sheetId="8006" refreshError="1"/>
      <sheetData sheetId="8007" refreshError="1"/>
      <sheetData sheetId="8008" refreshError="1"/>
      <sheetData sheetId="8009">
        <row r="1">
          <cell r="J1">
            <v>1.7453292519943295E-2</v>
          </cell>
        </row>
      </sheetData>
      <sheetData sheetId="8010">
        <row r="1">
          <cell r="J1">
            <v>1.7453292519943295E-2</v>
          </cell>
        </row>
      </sheetData>
      <sheetData sheetId="8011">
        <row r="1">
          <cell r="J1">
            <v>1.7453292519943295E-2</v>
          </cell>
        </row>
      </sheetData>
      <sheetData sheetId="8012">
        <row r="1">
          <cell r="J1">
            <v>1.7453292519943295E-2</v>
          </cell>
        </row>
      </sheetData>
      <sheetData sheetId="8013">
        <row r="1">
          <cell r="J1">
            <v>1.7453292519943295E-2</v>
          </cell>
        </row>
      </sheetData>
      <sheetData sheetId="8014">
        <row r="1">
          <cell r="J1">
            <v>1.7453292519943295E-2</v>
          </cell>
        </row>
      </sheetData>
      <sheetData sheetId="8015">
        <row r="1">
          <cell r="J1">
            <v>1.7453292519943295E-2</v>
          </cell>
        </row>
      </sheetData>
      <sheetData sheetId="8016">
        <row r="1">
          <cell r="J1">
            <v>1.7453292519943295E-2</v>
          </cell>
        </row>
      </sheetData>
      <sheetData sheetId="8017">
        <row r="1">
          <cell r="J1">
            <v>1.7453292519943295E-2</v>
          </cell>
        </row>
      </sheetData>
      <sheetData sheetId="8018">
        <row r="1">
          <cell r="J1">
            <v>1.7453292519943295E-2</v>
          </cell>
        </row>
      </sheetData>
      <sheetData sheetId="8019">
        <row r="1">
          <cell r="J1">
            <v>1.7453292519943295E-2</v>
          </cell>
        </row>
      </sheetData>
      <sheetData sheetId="8020">
        <row r="1">
          <cell r="J1">
            <v>1.7453292519943295E-2</v>
          </cell>
        </row>
      </sheetData>
      <sheetData sheetId="8021">
        <row r="1">
          <cell r="J1">
            <v>1.7453292519943295E-2</v>
          </cell>
        </row>
      </sheetData>
      <sheetData sheetId="8022">
        <row r="1">
          <cell r="J1">
            <v>1.7453292519943295E-2</v>
          </cell>
        </row>
      </sheetData>
      <sheetData sheetId="8023">
        <row r="1">
          <cell r="J1">
            <v>1.7453292519943295E-2</v>
          </cell>
        </row>
      </sheetData>
      <sheetData sheetId="8024">
        <row r="1">
          <cell r="J1">
            <v>1.7453292519943295E-2</v>
          </cell>
        </row>
      </sheetData>
      <sheetData sheetId="8025">
        <row r="1">
          <cell r="J1">
            <v>1.7453292519943295E-2</v>
          </cell>
        </row>
      </sheetData>
      <sheetData sheetId="8026">
        <row r="1">
          <cell r="J1">
            <v>1.7453292519943295E-2</v>
          </cell>
        </row>
      </sheetData>
      <sheetData sheetId="8027">
        <row r="1">
          <cell r="J1">
            <v>1.7453292519943295E-2</v>
          </cell>
        </row>
      </sheetData>
      <sheetData sheetId="8028">
        <row r="1">
          <cell r="J1">
            <v>1.7453292519943295E-2</v>
          </cell>
        </row>
      </sheetData>
      <sheetData sheetId="8029">
        <row r="1">
          <cell r="J1">
            <v>1.7453292519943295E-2</v>
          </cell>
        </row>
      </sheetData>
      <sheetData sheetId="8030" refreshError="1"/>
      <sheetData sheetId="8031" refreshError="1"/>
      <sheetData sheetId="8032" refreshError="1"/>
      <sheetData sheetId="8033">
        <row r="1">
          <cell r="J1">
            <v>1.7453292519943295E-2</v>
          </cell>
        </row>
      </sheetData>
      <sheetData sheetId="8034">
        <row r="1">
          <cell r="J1">
            <v>1.7453292519943295E-2</v>
          </cell>
        </row>
      </sheetData>
      <sheetData sheetId="8035" refreshError="1"/>
      <sheetData sheetId="8036">
        <row r="1">
          <cell r="J1">
            <v>1.7453292519943295E-2</v>
          </cell>
        </row>
      </sheetData>
      <sheetData sheetId="8037" refreshError="1"/>
      <sheetData sheetId="8038" refreshError="1"/>
      <sheetData sheetId="8039" refreshError="1"/>
      <sheetData sheetId="8040">
        <row r="1">
          <cell r="J1">
            <v>1.7453292519943295E-2</v>
          </cell>
        </row>
      </sheetData>
      <sheetData sheetId="8041">
        <row r="1">
          <cell r="J1">
            <v>1.7453292519943295E-2</v>
          </cell>
        </row>
      </sheetData>
      <sheetData sheetId="8042">
        <row r="1">
          <cell r="J1">
            <v>1.7453292519943295E-2</v>
          </cell>
        </row>
      </sheetData>
      <sheetData sheetId="8043">
        <row r="1">
          <cell r="J1">
            <v>1.7453292519943295E-2</v>
          </cell>
        </row>
      </sheetData>
      <sheetData sheetId="8044">
        <row r="1">
          <cell r="J1">
            <v>1.7453292519943295E-2</v>
          </cell>
        </row>
      </sheetData>
      <sheetData sheetId="8045">
        <row r="1">
          <cell r="J1">
            <v>1.7453292519943295E-2</v>
          </cell>
        </row>
      </sheetData>
      <sheetData sheetId="8046">
        <row r="1">
          <cell r="J1">
            <v>1.7453292519943295E-2</v>
          </cell>
        </row>
      </sheetData>
      <sheetData sheetId="8047">
        <row r="1">
          <cell r="J1">
            <v>1.7453292519943295E-2</v>
          </cell>
        </row>
      </sheetData>
      <sheetData sheetId="8048">
        <row r="1">
          <cell r="J1">
            <v>1.7453292519943295E-2</v>
          </cell>
        </row>
      </sheetData>
      <sheetData sheetId="8049">
        <row r="1">
          <cell r="J1">
            <v>1.7453292519943295E-2</v>
          </cell>
        </row>
      </sheetData>
      <sheetData sheetId="8050">
        <row r="1">
          <cell r="J1">
            <v>1.7453292519943295E-2</v>
          </cell>
        </row>
      </sheetData>
      <sheetData sheetId="8051">
        <row r="1">
          <cell r="J1">
            <v>1.7453292519943295E-2</v>
          </cell>
        </row>
      </sheetData>
      <sheetData sheetId="8052">
        <row r="1">
          <cell r="J1">
            <v>1.7453292519943295E-2</v>
          </cell>
        </row>
      </sheetData>
      <sheetData sheetId="8053">
        <row r="1">
          <cell r="J1">
            <v>1.7453292519943295E-2</v>
          </cell>
        </row>
      </sheetData>
      <sheetData sheetId="8054">
        <row r="1">
          <cell r="J1">
            <v>1.7453292519943295E-2</v>
          </cell>
        </row>
      </sheetData>
      <sheetData sheetId="8055">
        <row r="1">
          <cell r="J1">
            <v>1.7453292519943295E-2</v>
          </cell>
        </row>
      </sheetData>
      <sheetData sheetId="8056">
        <row r="1">
          <cell r="J1">
            <v>1.7453292519943295E-2</v>
          </cell>
        </row>
      </sheetData>
      <sheetData sheetId="8057">
        <row r="1">
          <cell r="J1">
            <v>1.7453292519943295E-2</v>
          </cell>
        </row>
      </sheetData>
      <sheetData sheetId="8058">
        <row r="1">
          <cell r="J1">
            <v>1.7453292519943295E-2</v>
          </cell>
        </row>
      </sheetData>
      <sheetData sheetId="8059">
        <row r="1">
          <cell r="J1">
            <v>1.7453292519943295E-2</v>
          </cell>
        </row>
      </sheetData>
      <sheetData sheetId="8060">
        <row r="1">
          <cell r="J1">
            <v>1.7453292519943295E-2</v>
          </cell>
        </row>
      </sheetData>
      <sheetData sheetId="8061">
        <row r="1">
          <cell r="J1">
            <v>1.7453292519943295E-2</v>
          </cell>
        </row>
      </sheetData>
      <sheetData sheetId="8062" refreshError="1"/>
      <sheetData sheetId="8063">
        <row r="1">
          <cell r="J1">
            <v>1.7453292519943295E-2</v>
          </cell>
        </row>
      </sheetData>
      <sheetData sheetId="8064" refreshError="1"/>
      <sheetData sheetId="8065">
        <row r="1">
          <cell r="J1">
            <v>1.7453292519943295E-2</v>
          </cell>
        </row>
      </sheetData>
      <sheetData sheetId="8066">
        <row r="1">
          <cell r="J1">
            <v>1.7453292519943295E-2</v>
          </cell>
        </row>
      </sheetData>
      <sheetData sheetId="8067" refreshError="1"/>
      <sheetData sheetId="8068">
        <row r="1">
          <cell r="J1">
            <v>1.7453292519943295E-2</v>
          </cell>
        </row>
      </sheetData>
      <sheetData sheetId="8069" refreshError="1"/>
      <sheetData sheetId="8070">
        <row r="1">
          <cell r="J1">
            <v>1.7453292519943295E-2</v>
          </cell>
        </row>
      </sheetData>
      <sheetData sheetId="8071" refreshError="1"/>
      <sheetData sheetId="8072" refreshError="1"/>
      <sheetData sheetId="8073">
        <row r="1">
          <cell r="J1">
            <v>1.7453292519943295E-2</v>
          </cell>
        </row>
      </sheetData>
      <sheetData sheetId="8074">
        <row r="1">
          <cell r="J1">
            <v>1.7453292519943295E-2</v>
          </cell>
        </row>
      </sheetData>
      <sheetData sheetId="8075">
        <row r="1">
          <cell r="J1">
            <v>1.7453292519943295E-2</v>
          </cell>
        </row>
      </sheetData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>
        <row r="1">
          <cell r="J1">
            <v>1.7453292519943295E-2</v>
          </cell>
        </row>
      </sheetData>
      <sheetData sheetId="8082">
        <row r="1">
          <cell r="J1">
            <v>1.7453292519943295E-2</v>
          </cell>
        </row>
      </sheetData>
      <sheetData sheetId="8083" refreshError="1"/>
      <sheetData sheetId="8084" refreshError="1"/>
      <sheetData sheetId="8085">
        <row r="1">
          <cell r="J1">
            <v>1.7453292519943295E-2</v>
          </cell>
        </row>
      </sheetData>
      <sheetData sheetId="8086">
        <row r="1">
          <cell r="J1">
            <v>1.7453292519943295E-2</v>
          </cell>
        </row>
      </sheetData>
      <sheetData sheetId="8087" refreshError="1"/>
      <sheetData sheetId="8088">
        <row r="1">
          <cell r="J1">
            <v>1.7453292519943295E-2</v>
          </cell>
        </row>
      </sheetData>
      <sheetData sheetId="8089">
        <row r="1">
          <cell r="J1">
            <v>1.7453292519943295E-2</v>
          </cell>
        </row>
      </sheetData>
      <sheetData sheetId="8090" refreshError="1"/>
      <sheetData sheetId="8091" refreshError="1"/>
      <sheetData sheetId="8092" refreshError="1"/>
      <sheetData sheetId="8093" refreshError="1"/>
      <sheetData sheetId="8094">
        <row r="1">
          <cell r="J1">
            <v>1.7453292519943295E-2</v>
          </cell>
        </row>
      </sheetData>
      <sheetData sheetId="8095">
        <row r="1">
          <cell r="J1">
            <v>1.7453292519943295E-2</v>
          </cell>
        </row>
      </sheetData>
      <sheetData sheetId="8096">
        <row r="1">
          <cell r="J1">
            <v>1.7453292519943295E-2</v>
          </cell>
        </row>
      </sheetData>
      <sheetData sheetId="8097">
        <row r="1">
          <cell r="J1">
            <v>1.7453292519943295E-2</v>
          </cell>
        </row>
      </sheetData>
      <sheetData sheetId="8098">
        <row r="1">
          <cell r="J1">
            <v>1.7453292519943295E-2</v>
          </cell>
        </row>
      </sheetData>
      <sheetData sheetId="8099">
        <row r="1">
          <cell r="J1">
            <v>1.7453292519943295E-2</v>
          </cell>
        </row>
      </sheetData>
      <sheetData sheetId="8100">
        <row r="1">
          <cell r="J1">
            <v>1.7453292519943295E-2</v>
          </cell>
        </row>
      </sheetData>
      <sheetData sheetId="8101">
        <row r="1">
          <cell r="J1">
            <v>1.7453292519943295E-2</v>
          </cell>
        </row>
      </sheetData>
      <sheetData sheetId="8102">
        <row r="1">
          <cell r="J1">
            <v>1.7453292519943295E-2</v>
          </cell>
        </row>
      </sheetData>
      <sheetData sheetId="8103">
        <row r="1">
          <cell r="J1">
            <v>1.7453292519943295E-2</v>
          </cell>
        </row>
      </sheetData>
      <sheetData sheetId="8104">
        <row r="1">
          <cell r="J1">
            <v>1.7453292519943295E-2</v>
          </cell>
        </row>
      </sheetData>
      <sheetData sheetId="8105">
        <row r="1">
          <cell r="J1">
            <v>1.7453292519943295E-2</v>
          </cell>
        </row>
      </sheetData>
      <sheetData sheetId="8106">
        <row r="1">
          <cell r="J1">
            <v>1.7453292519943295E-2</v>
          </cell>
        </row>
      </sheetData>
      <sheetData sheetId="8107">
        <row r="1">
          <cell r="J1">
            <v>1.7453292519943295E-2</v>
          </cell>
        </row>
      </sheetData>
      <sheetData sheetId="8108">
        <row r="1">
          <cell r="J1">
            <v>1.7453292519943295E-2</v>
          </cell>
        </row>
      </sheetData>
      <sheetData sheetId="8109">
        <row r="1">
          <cell r="J1">
            <v>1.7453292519943295E-2</v>
          </cell>
        </row>
      </sheetData>
      <sheetData sheetId="8110">
        <row r="1">
          <cell r="J1">
            <v>1.7453292519943295E-2</v>
          </cell>
        </row>
      </sheetData>
      <sheetData sheetId="8111">
        <row r="1">
          <cell r="J1">
            <v>1.7453292519943295E-2</v>
          </cell>
        </row>
      </sheetData>
      <sheetData sheetId="8112">
        <row r="1">
          <cell r="J1">
            <v>1.7453292519943295E-2</v>
          </cell>
        </row>
      </sheetData>
      <sheetData sheetId="8113">
        <row r="1">
          <cell r="J1">
            <v>1.7453292519943295E-2</v>
          </cell>
        </row>
      </sheetData>
      <sheetData sheetId="8114">
        <row r="1">
          <cell r="J1">
            <v>1.7453292519943295E-2</v>
          </cell>
        </row>
      </sheetData>
      <sheetData sheetId="8115">
        <row r="1">
          <cell r="J1">
            <v>1.7453292519943295E-2</v>
          </cell>
        </row>
      </sheetData>
      <sheetData sheetId="8116">
        <row r="1">
          <cell r="J1">
            <v>1.7453292519943295E-2</v>
          </cell>
        </row>
      </sheetData>
      <sheetData sheetId="8117">
        <row r="1">
          <cell r="J1">
            <v>1.7453292519943295E-2</v>
          </cell>
        </row>
      </sheetData>
      <sheetData sheetId="8118">
        <row r="1">
          <cell r="J1">
            <v>1.7453292519943295E-2</v>
          </cell>
        </row>
      </sheetData>
      <sheetData sheetId="8119" refreshError="1"/>
      <sheetData sheetId="8120">
        <row r="1">
          <cell r="J1">
            <v>1.7453292519943295E-2</v>
          </cell>
        </row>
      </sheetData>
      <sheetData sheetId="8121" refreshError="1"/>
      <sheetData sheetId="8122" refreshError="1"/>
      <sheetData sheetId="8123">
        <row r="1">
          <cell r="J1">
            <v>1.7453292519943295E-2</v>
          </cell>
        </row>
      </sheetData>
      <sheetData sheetId="8124">
        <row r="1">
          <cell r="J1">
            <v>1.7453292519943295E-2</v>
          </cell>
        </row>
      </sheetData>
      <sheetData sheetId="8125">
        <row r="1">
          <cell r="J1">
            <v>1.7453292519943295E-2</v>
          </cell>
        </row>
      </sheetData>
      <sheetData sheetId="8126">
        <row r="1">
          <cell r="J1">
            <v>1.7453292519943295E-2</v>
          </cell>
        </row>
      </sheetData>
      <sheetData sheetId="8127" refreshError="1"/>
      <sheetData sheetId="8128" refreshError="1"/>
      <sheetData sheetId="8129">
        <row r="1">
          <cell r="J1">
            <v>1.7453292519943295E-2</v>
          </cell>
        </row>
      </sheetData>
      <sheetData sheetId="8130">
        <row r="1">
          <cell r="J1">
            <v>1.7453292519943295E-2</v>
          </cell>
        </row>
      </sheetData>
      <sheetData sheetId="8131" refreshError="1"/>
      <sheetData sheetId="8132" refreshError="1"/>
      <sheetData sheetId="8133">
        <row r="1">
          <cell r="J1">
            <v>1.7453292519943295E-2</v>
          </cell>
        </row>
      </sheetData>
      <sheetData sheetId="8134">
        <row r="1">
          <cell r="J1">
            <v>1.7453292519943295E-2</v>
          </cell>
        </row>
      </sheetData>
      <sheetData sheetId="8135">
        <row r="1">
          <cell r="J1">
            <v>1.7453292519943295E-2</v>
          </cell>
        </row>
      </sheetData>
      <sheetData sheetId="8136"/>
      <sheetData sheetId="8137" refreshError="1"/>
      <sheetData sheetId="8138">
        <row r="1">
          <cell r="J1">
            <v>1.7453292519943295E-2</v>
          </cell>
        </row>
      </sheetData>
      <sheetData sheetId="8139" refreshError="1"/>
      <sheetData sheetId="8140">
        <row r="1">
          <cell r="J1">
            <v>1.7453292519943295E-2</v>
          </cell>
        </row>
      </sheetData>
      <sheetData sheetId="8141" refreshError="1"/>
      <sheetData sheetId="8142" refreshError="1"/>
      <sheetData sheetId="8143">
        <row r="1">
          <cell r="J1">
            <v>1.7453292519943295E-2</v>
          </cell>
        </row>
      </sheetData>
      <sheetData sheetId="8144" refreshError="1"/>
      <sheetData sheetId="8145" refreshError="1"/>
      <sheetData sheetId="8146">
        <row r="1">
          <cell r="J1">
            <v>1.7453292519943295E-2</v>
          </cell>
        </row>
      </sheetData>
      <sheetData sheetId="8147">
        <row r="1">
          <cell r="J1">
            <v>1.7453292519943295E-2</v>
          </cell>
        </row>
      </sheetData>
      <sheetData sheetId="8148">
        <row r="1">
          <cell r="J1">
            <v>1.7453292519943295E-2</v>
          </cell>
        </row>
      </sheetData>
      <sheetData sheetId="8149">
        <row r="1">
          <cell r="J1">
            <v>1.7453292519943295E-2</v>
          </cell>
        </row>
      </sheetData>
      <sheetData sheetId="8150">
        <row r="1">
          <cell r="J1">
            <v>1.7453292519943295E-2</v>
          </cell>
        </row>
      </sheetData>
      <sheetData sheetId="8151">
        <row r="1">
          <cell r="J1">
            <v>1.7453292519943295E-2</v>
          </cell>
        </row>
      </sheetData>
      <sheetData sheetId="8152">
        <row r="1">
          <cell r="J1">
            <v>1.7453292519943295E-2</v>
          </cell>
        </row>
      </sheetData>
      <sheetData sheetId="8153">
        <row r="1">
          <cell r="J1">
            <v>1.7453292519943295E-2</v>
          </cell>
        </row>
      </sheetData>
      <sheetData sheetId="8154">
        <row r="1">
          <cell r="J1">
            <v>1.7453292519943295E-2</v>
          </cell>
        </row>
      </sheetData>
      <sheetData sheetId="8155">
        <row r="1">
          <cell r="J1">
            <v>1.7453292519943295E-2</v>
          </cell>
        </row>
      </sheetData>
      <sheetData sheetId="8156">
        <row r="1">
          <cell r="J1">
            <v>1.7453292519943295E-2</v>
          </cell>
        </row>
      </sheetData>
      <sheetData sheetId="8157">
        <row r="1">
          <cell r="J1">
            <v>1.7453292519943295E-2</v>
          </cell>
        </row>
      </sheetData>
      <sheetData sheetId="8158">
        <row r="1">
          <cell r="J1">
            <v>1.7453292519943295E-2</v>
          </cell>
        </row>
      </sheetData>
      <sheetData sheetId="8159">
        <row r="1">
          <cell r="J1">
            <v>1.7453292519943295E-2</v>
          </cell>
        </row>
      </sheetData>
      <sheetData sheetId="8160">
        <row r="1">
          <cell r="J1">
            <v>1.7453292519943295E-2</v>
          </cell>
        </row>
      </sheetData>
      <sheetData sheetId="8161">
        <row r="1">
          <cell r="J1">
            <v>1.7453292519943295E-2</v>
          </cell>
        </row>
      </sheetData>
      <sheetData sheetId="8162">
        <row r="1">
          <cell r="J1">
            <v>1.7453292519943295E-2</v>
          </cell>
        </row>
      </sheetData>
      <sheetData sheetId="8163">
        <row r="1">
          <cell r="J1">
            <v>1.7453292519943295E-2</v>
          </cell>
        </row>
      </sheetData>
      <sheetData sheetId="8164" refreshError="1"/>
      <sheetData sheetId="8165">
        <row r="1">
          <cell r="J1">
            <v>1.7453292519943295E-2</v>
          </cell>
        </row>
      </sheetData>
      <sheetData sheetId="8166">
        <row r="1">
          <cell r="J1">
            <v>1.7453292519943295E-2</v>
          </cell>
        </row>
      </sheetData>
      <sheetData sheetId="8167">
        <row r="1">
          <cell r="J1">
            <v>1.7453292519943295E-2</v>
          </cell>
        </row>
      </sheetData>
      <sheetData sheetId="8168" refreshError="1"/>
      <sheetData sheetId="8169">
        <row r="1">
          <cell r="J1">
            <v>1.7453292519943295E-2</v>
          </cell>
        </row>
      </sheetData>
      <sheetData sheetId="8170">
        <row r="1">
          <cell r="J1">
            <v>1.7453292519943295E-2</v>
          </cell>
        </row>
      </sheetData>
      <sheetData sheetId="8171" refreshError="1"/>
      <sheetData sheetId="8172" refreshError="1"/>
      <sheetData sheetId="8173">
        <row r="1">
          <cell r="J1">
            <v>1.7453292519943295E-2</v>
          </cell>
        </row>
      </sheetData>
      <sheetData sheetId="8174">
        <row r="1">
          <cell r="J1">
            <v>1.7453292519943295E-2</v>
          </cell>
        </row>
      </sheetData>
      <sheetData sheetId="8175">
        <row r="1">
          <cell r="J1">
            <v>1.7453292519943295E-2</v>
          </cell>
        </row>
      </sheetData>
      <sheetData sheetId="8176" refreshError="1"/>
      <sheetData sheetId="8177" refreshError="1"/>
      <sheetData sheetId="8178" refreshError="1"/>
      <sheetData sheetId="8179">
        <row r="1">
          <cell r="J1">
            <v>1.7453292519943295E-2</v>
          </cell>
        </row>
      </sheetData>
      <sheetData sheetId="8180" refreshError="1"/>
      <sheetData sheetId="8181">
        <row r="1">
          <cell r="J1">
            <v>1.7453292519943295E-2</v>
          </cell>
        </row>
      </sheetData>
      <sheetData sheetId="8182">
        <row r="1">
          <cell r="J1">
            <v>1.7453292519943295E-2</v>
          </cell>
        </row>
      </sheetData>
      <sheetData sheetId="8183">
        <row r="1">
          <cell r="J1">
            <v>1.7453292519943295E-2</v>
          </cell>
        </row>
      </sheetData>
      <sheetData sheetId="8184">
        <row r="1">
          <cell r="J1">
            <v>1.7453292519943295E-2</v>
          </cell>
        </row>
      </sheetData>
      <sheetData sheetId="8185">
        <row r="1">
          <cell r="J1">
            <v>1.7453292519943295E-2</v>
          </cell>
        </row>
      </sheetData>
      <sheetData sheetId="8186">
        <row r="1">
          <cell r="J1">
            <v>1.7453292519943295E-2</v>
          </cell>
        </row>
      </sheetData>
      <sheetData sheetId="8187">
        <row r="1">
          <cell r="J1">
            <v>1.7453292519943295E-2</v>
          </cell>
        </row>
      </sheetData>
      <sheetData sheetId="8188">
        <row r="1">
          <cell r="J1">
            <v>1.7453292519943295E-2</v>
          </cell>
        </row>
      </sheetData>
      <sheetData sheetId="8189">
        <row r="1">
          <cell r="J1">
            <v>1.7453292519943295E-2</v>
          </cell>
        </row>
      </sheetData>
      <sheetData sheetId="8190">
        <row r="1">
          <cell r="J1">
            <v>1.7453292519943295E-2</v>
          </cell>
        </row>
      </sheetData>
      <sheetData sheetId="8191">
        <row r="1">
          <cell r="J1">
            <v>1.7453292519943295E-2</v>
          </cell>
        </row>
      </sheetData>
      <sheetData sheetId="8192">
        <row r="1">
          <cell r="J1">
            <v>1.7453292519943295E-2</v>
          </cell>
        </row>
      </sheetData>
      <sheetData sheetId="8193">
        <row r="1">
          <cell r="J1">
            <v>1.7453292519943295E-2</v>
          </cell>
        </row>
      </sheetData>
      <sheetData sheetId="8194">
        <row r="1">
          <cell r="J1">
            <v>1.7453292519943295E-2</v>
          </cell>
        </row>
      </sheetData>
      <sheetData sheetId="8195">
        <row r="1">
          <cell r="J1">
            <v>1.7453292519943295E-2</v>
          </cell>
        </row>
      </sheetData>
      <sheetData sheetId="8196">
        <row r="1">
          <cell r="J1">
            <v>1.7453292519943295E-2</v>
          </cell>
        </row>
      </sheetData>
      <sheetData sheetId="8197">
        <row r="1">
          <cell r="J1">
            <v>1.7453292519943295E-2</v>
          </cell>
        </row>
      </sheetData>
      <sheetData sheetId="8198">
        <row r="1">
          <cell r="J1">
            <v>1.7453292519943295E-2</v>
          </cell>
        </row>
      </sheetData>
      <sheetData sheetId="8199">
        <row r="1">
          <cell r="J1">
            <v>1.7453292519943295E-2</v>
          </cell>
        </row>
      </sheetData>
      <sheetData sheetId="8200">
        <row r="1">
          <cell r="J1">
            <v>1.7453292519943295E-2</v>
          </cell>
        </row>
      </sheetData>
      <sheetData sheetId="8201">
        <row r="1">
          <cell r="J1">
            <v>1.7453292519943295E-2</v>
          </cell>
        </row>
      </sheetData>
      <sheetData sheetId="8202">
        <row r="1">
          <cell r="J1">
            <v>1.7453292519943295E-2</v>
          </cell>
        </row>
      </sheetData>
      <sheetData sheetId="8203">
        <row r="1">
          <cell r="J1">
            <v>1.7453292519943295E-2</v>
          </cell>
        </row>
      </sheetData>
      <sheetData sheetId="8204">
        <row r="1">
          <cell r="J1">
            <v>1.7453292519943295E-2</v>
          </cell>
        </row>
      </sheetData>
      <sheetData sheetId="8205">
        <row r="1">
          <cell r="J1">
            <v>1.7453292519943295E-2</v>
          </cell>
        </row>
      </sheetData>
      <sheetData sheetId="8206">
        <row r="1">
          <cell r="J1">
            <v>1.7453292519943295E-2</v>
          </cell>
        </row>
      </sheetData>
      <sheetData sheetId="8207">
        <row r="1">
          <cell r="J1">
            <v>1.7453292519943295E-2</v>
          </cell>
        </row>
      </sheetData>
      <sheetData sheetId="8208">
        <row r="1">
          <cell r="J1">
            <v>1.7453292519943295E-2</v>
          </cell>
        </row>
      </sheetData>
      <sheetData sheetId="8209">
        <row r="1">
          <cell r="J1">
            <v>1.7453292519943295E-2</v>
          </cell>
        </row>
      </sheetData>
      <sheetData sheetId="8210">
        <row r="1">
          <cell r="J1">
            <v>1.7453292519943295E-2</v>
          </cell>
        </row>
      </sheetData>
      <sheetData sheetId="8211" refreshError="1"/>
      <sheetData sheetId="8212" refreshError="1"/>
      <sheetData sheetId="8213">
        <row r="1">
          <cell r="J1">
            <v>1.7453292519943295E-2</v>
          </cell>
        </row>
      </sheetData>
      <sheetData sheetId="8214">
        <row r="1">
          <cell r="J1">
            <v>1.7453292519943295E-2</v>
          </cell>
        </row>
      </sheetData>
      <sheetData sheetId="8215" refreshError="1"/>
      <sheetData sheetId="8216">
        <row r="1">
          <cell r="J1">
            <v>1.7453292519943295E-2</v>
          </cell>
        </row>
      </sheetData>
      <sheetData sheetId="8217">
        <row r="1">
          <cell r="J1">
            <v>1.7453292519943295E-2</v>
          </cell>
        </row>
      </sheetData>
      <sheetData sheetId="8218">
        <row r="1">
          <cell r="J1">
            <v>1.7453292519943295E-2</v>
          </cell>
        </row>
      </sheetData>
      <sheetData sheetId="8219" refreshError="1"/>
      <sheetData sheetId="8220" refreshError="1"/>
      <sheetData sheetId="8221">
        <row r="1">
          <cell r="J1">
            <v>1.7453292519943295E-2</v>
          </cell>
        </row>
      </sheetData>
      <sheetData sheetId="8222">
        <row r="1">
          <cell r="J1">
            <v>1.7453292519943295E-2</v>
          </cell>
        </row>
      </sheetData>
      <sheetData sheetId="8223" refreshError="1"/>
      <sheetData sheetId="8224">
        <row r="1">
          <cell r="J1">
            <v>1.7453292519943295E-2</v>
          </cell>
        </row>
      </sheetData>
      <sheetData sheetId="8225">
        <row r="1">
          <cell r="J1">
            <v>1.7453292519943295E-2</v>
          </cell>
        </row>
      </sheetData>
      <sheetData sheetId="8226">
        <row r="1">
          <cell r="J1">
            <v>1.7453292519943295E-2</v>
          </cell>
        </row>
      </sheetData>
      <sheetData sheetId="8227" refreshError="1"/>
      <sheetData sheetId="8228" refreshError="1"/>
      <sheetData sheetId="8229">
        <row r="1">
          <cell r="J1">
            <v>1.7453292519943295E-2</v>
          </cell>
        </row>
      </sheetData>
      <sheetData sheetId="8230">
        <row r="1">
          <cell r="J1">
            <v>1.7453292519943295E-2</v>
          </cell>
        </row>
      </sheetData>
      <sheetData sheetId="8231" refreshError="1"/>
      <sheetData sheetId="8232">
        <row r="1">
          <cell r="J1">
            <v>1.7453292519943295E-2</v>
          </cell>
        </row>
      </sheetData>
      <sheetData sheetId="8233">
        <row r="1">
          <cell r="J1">
            <v>1.7453292519943295E-2</v>
          </cell>
        </row>
      </sheetData>
      <sheetData sheetId="8234">
        <row r="1">
          <cell r="J1">
            <v>1.7453292519943295E-2</v>
          </cell>
        </row>
      </sheetData>
      <sheetData sheetId="8235" refreshError="1"/>
      <sheetData sheetId="8236">
        <row r="1">
          <cell r="J1">
            <v>1.7453292519943295E-2</v>
          </cell>
        </row>
      </sheetData>
      <sheetData sheetId="8237">
        <row r="1">
          <cell r="J1">
            <v>1.7453292519943295E-2</v>
          </cell>
        </row>
      </sheetData>
      <sheetData sheetId="8238">
        <row r="1">
          <cell r="J1">
            <v>1.7453292519943295E-2</v>
          </cell>
        </row>
      </sheetData>
      <sheetData sheetId="8239">
        <row r="1">
          <cell r="J1">
            <v>1.7453292519943295E-2</v>
          </cell>
        </row>
      </sheetData>
      <sheetData sheetId="8240" refreshError="1"/>
      <sheetData sheetId="8241" refreshError="1"/>
      <sheetData sheetId="8242">
        <row r="1">
          <cell r="J1">
            <v>1.7453292519943295E-2</v>
          </cell>
        </row>
      </sheetData>
      <sheetData sheetId="8243">
        <row r="1">
          <cell r="J1">
            <v>1.7453292519943295E-2</v>
          </cell>
        </row>
      </sheetData>
      <sheetData sheetId="8244" refreshError="1"/>
      <sheetData sheetId="8245">
        <row r="1">
          <cell r="J1">
            <v>1.7453292519943295E-2</v>
          </cell>
        </row>
      </sheetData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>
        <row r="1">
          <cell r="J1">
            <v>1.7453292519943295E-2</v>
          </cell>
        </row>
      </sheetData>
      <sheetData sheetId="8254">
        <row r="1">
          <cell r="J1">
            <v>1.7453292519943295E-2</v>
          </cell>
        </row>
      </sheetData>
      <sheetData sheetId="8255">
        <row r="1">
          <cell r="J1">
            <v>1.7453292519943295E-2</v>
          </cell>
        </row>
      </sheetData>
      <sheetData sheetId="8256">
        <row r="1">
          <cell r="J1">
            <v>1.7453292519943295E-2</v>
          </cell>
        </row>
      </sheetData>
      <sheetData sheetId="8257">
        <row r="1">
          <cell r="J1">
            <v>1.7453292519943295E-2</v>
          </cell>
        </row>
      </sheetData>
      <sheetData sheetId="8258">
        <row r="1">
          <cell r="J1">
            <v>1.7453292519943295E-2</v>
          </cell>
        </row>
      </sheetData>
      <sheetData sheetId="8259">
        <row r="1">
          <cell r="J1">
            <v>1.7453292519943295E-2</v>
          </cell>
        </row>
      </sheetData>
      <sheetData sheetId="8260">
        <row r="1">
          <cell r="J1">
            <v>1.7453292519943295E-2</v>
          </cell>
        </row>
      </sheetData>
      <sheetData sheetId="8261">
        <row r="1">
          <cell r="J1">
            <v>1.7453292519943295E-2</v>
          </cell>
        </row>
      </sheetData>
      <sheetData sheetId="8262">
        <row r="1">
          <cell r="J1">
            <v>1.7453292519943295E-2</v>
          </cell>
        </row>
      </sheetData>
      <sheetData sheetId="8263">
        <row r="1">
          <cell r="J1">
            <v>1.7453292519943295E-2</v>
          </cell>
        </row>
      </sheetData>
      <sheetData sheetId="8264">
        <row r="1">
          <cell r="J1">
            <v>1.7453292519943295E-2</v>
          </cell>
        </row>
      </sheetData>
      <sheetData sheetId="8265">
        <row r="1">
          <cell r="J1">
            <v>1.7453292519943295E-2</v>
          </cell>
        </row>
      </sheetData>
      <sheetData sheetId="8266">
        <row r="1">
          <cell r="J1">
            <v>1.7453292519943295E-2</v>
          </cell>
        </row>
      </sheetData>
      <sheetData sheetId="8267">
        <row r="1">
          <cell r="J1">
            <v>1.7453292519943295E-2</v>
          </cell>
        </row>
      </sheetData>
      <sheetData sheetId="8268">
        <row r="1">
          <cell r="J1">
            <v>1.7453292519943295E-2</v>
          </cell>
        </row>
      </sheetData>
      <sheetData sheetId="8269">
        <row r="1">
          <cell r="J1">
            <v>1.7453292519943295E-2</v>
          </cell>
        </row>
      </sheetData>
      <sheetData sheetId="8270">
        <row r="1">
          <cell r="J1">
            <v>1.7453292519943295E-2</v>
          </cell>
        </row>
      </sheetData>
      <sheetData sheetId="8271">
        <row r="1">
          <cell r="J1">
            <v>1.7453292519943295E-2</v>
          </cell>
        </row>
      </sheetData>
      <sheetData sheetId="8272">
        <row r="1">
          <cell r="J1">
            <v>1.7453292519943295E-2</v>
          </cell>
        </row>
      </sheetData>
      <sheetData sheetId="8273">
        <row r="1">
          <cell r="J1">
            <v>1.7453292519943295E-2</v>
          </cell>
        </row>
      </sheetData>
      <sheetData sheetId="8274">
        <row r="1">
          <cell r="J1">
            <v>1.7453292519943295E-2</v>
          </cell>
        </row>
      </sheetData>
      <sheetData sheetId="8275" refreshError="1"/>
      <sheetData sheetId="8276" refreshError="1"/>
      <sheetData sheetId="8277">
        <row r="1">
          <cell r="J1">
            <v>1.7453292519943295E-2</v>
          </cell>
        </row>
      </sheetData>
      <sheetData sheetId="8278">
        <row r="1">
          <cell r="J1">
            <v>1.7453292519943295E-2</v>
          </cell>
        </row>
      </sheetData>
      <sheetData sheetId="8279">
        <row r="1">
          <cell r="J1">
            <v>1.7453292519943295E-2</v>
          </cell>
        </row>
      </sheetData>
      <sheetData sheetId="8280" refreshError="1"/>
      <sheetData sheetId="8281" refreshError="1"/>
      <sheetData sheetId="8282" refreshError="1"/>
      <sheetData sheetId="8283">
        <row r="1">
          <cell r="J1">
            <v>1.7453292519943295E-2</v>
          </cell>
        </row>
      </sheetData>
      <sheetData sheetId="8284" refreshError="1"/>
      <sheetData sheetId="8285">
        <row r="1">
          <cell r="J1">
            <v>1.7453292519943295E-2</v>
          </cell>
        </row>
      </sheetData>
      <sheetData sheetId="8286">
        <row r="1">
          <cell r="J1">
            <v>1.7453292519943295E-2</v>
          </cell>
        </row>
      </sheetData>
      <sheetData sheetId="8287">
        <row r="1">
          <cell r="J1">
            <v>1.7453292519943295E-2</v>
          </cell>
        </row>
      </sheetData>
      <sheetData sheetId="8288">
        <row r="1">
          <cell r="J1">
            <v>1.7453292519943295E-2</v>
          </cell>
        </row>
      </sheetData>
      <sheetData sheetId="8289">
        <row r="1">
          <cell r="J1">
            <v>1.7453292519943295E-2</v>
          </cell>
        </row>
      </sheetData>
      <sheetData sheetId="8290">
        <row r="1">
          <cell r="J1">
            <v>1.7453292519943295E-2</v>
          </cell>
        </row>
      </sheetData>
      <sheetData sheetId="8291">
        <row r="1">
          <cell r="J1">
            <v>1.7453292519943295E-2</v>
          </cell>
        </row>
      </sheetData>
      <sheetData sheetId="8292">
        <row r="1">
          <cell r="J1">
            <v>1.7453292519943295E-2</v>
          </cell>
        </row>
      </sheetData>
      <sheetData sheetId="8293">
        <row r="1">
          <cell r="J1">
            <v>1.7453292519943295E-2</v>
          </cell>
        </row>
      </sheetData>
      <sheetData sheetId="8294">
        <row r="1">
          <cell r="J1">
            <v>1.7453292519943295E-2</v>
          </cell>
        </row>
      </sheetData>
      <sheetData sheetId="8295">
        <row r="1">
          <cell r="J1">
            <v>1.7453292519943295E-2</v>
          </cell>
        </row>
      </sheetData>
      <sheetData sheetId="8296">
        <row r="1">
          <cell r="J1">
            <v>1.7453292519943295E-2</v>
          </cell>
        </row>
      </sheetData>
      <sheetData sheetId="8297">
        <row r="1">
          <cell r="J1">
            <v>1.7453292519943295E-2</v>
          </cell>
        </row>
      </sheetData>
      <sheetData sheetId="8298">
        <row r="1">
          <cell r="J1">
            <v>1.7453292519943295E-2</v>
          </cell>
        </row>
      </sheetData>
      <sheetData sheetId="8299">
        <row r="1">
          <cell r="J1">
            <v>1.7453292519943295E-2</v>
          </cell>
        </row>
      </sheetData>
      <sheetData sheetId="8300">
        <row r="1">
          <cell r="J1">
            <v>1.7453292519943295E-2</v>
          </cell>
        </row>
      </sheetData>
      <sheetData sheetId="8301">
        <row r="1">
          <cell r="J1">
            <v>1.7453292519943295E-2</v>
          </cell>
        </row>
      </sheetData>
      <sheetData sheetId="8302">
        <row r="1">
          <cell r="J1">
            <v>1.7453292519943295E-2</v>
          </cell>
        </row>
      </sheetData>
      <sheetData sheetId="8303">
        <row r="1">
          <cell r="J1">
            <v>1.7453292519943295E-2</v>
          </cell>
        </row>
      </sheetData>
      <sheetData sheetId="8304">
        <row r="1">
          <cell r="J1">
            <v>1.7453292519943295E-2</v>
          </cell>
        </row>
      </sheetData>
      <sheetData sheetId="8305">
        <row r="1">
          <cell r="J1">
            <v>1.7453292519943295E-2</v>
          </cell>
        </row>
      </sheetData>
      <sheetData sheetId="8306">
        <row r="1">
          <cell r="J1">
            <v>1.7453292519943295E-2</v>
          </cell>
        </row>
      </sheetData>
      <sheetData sheetId="8307" refreshError="1"/>
      <sheetData sheetId="8308" refreshError="1"/>
      <sheetData sheetId="8309">
        <row r="1">
          <cell r="J1">
            <v>1.7453292519943295E-2</v>
          </cell>
        </row>
      </sheetData>
      <sheetData sheetId="8310">
        <row r="1">
          <cell r="J1">
            <v>1.7453292519943295E-2</v>
          </cell>
        </row>
      </sheetData>
      <sheetData sheetId="8311">
        <row r="1">
          <cell r="J1">
            <v>1.7453292519943295E-2</v>
          </cell>
        </row>
      </sheetData>
      <sheetData sheetId="8312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>
        <row r="1">
          <cell r="J1">
            <v>1.7453292519943295E-2</v>
          </cell>
        </row>
      </sheetData>
      <sheetData sheetId="8320">
        <row r="1">
          <cell r="J1">
            <v>1.7453292519943295E-2</v>
          </cell>
        </row>
      </sheetData>
      <sheetData sheetId="8321" refreshError="1"/>
      <sheetData sheetId="8322"/>
      <sheetData sheetId="8323" refreshError="1"/>
      <sheetData sheetId="8324" refreshError="1"/>
      <sheetData sheetId="8325">
        <row r="1">
          <cell r="J1">
            <v>1.7453292519943295E-2</v>
          </cell>
        </row>
      </sheetData>
      <sheetData sheetId="8326">
        <row r="1">
          <cell r="J1">
            <v>1.7453292519943295E-2</v>
          </cell>
        </row>
      </sheetData>
      <sheetData sheetId="8327">
        <row r="1">
          <cell r="J1">
            <v>1.7453292519943295E-2</v>
          </cell>
        </row>
      </sheetData>
      <sheetData sheetId="8328" refreshError="1"/>
      <sheetData sheetId="8329" refreshError="1"/>
      <sheetData sheetId="8330" refreshError="1"/>
      <sheetData sheetId="8331">
        <row r="1">
          <cell r="J1">
            <v>1.7453292519943295E-2</v>
          </cell>
        </row>
      </sheetData>
      <sheetData sheetId="8332" refreshError="1"/>
      <sheetData sheetId="8333">
        <row r="1">
          <cell r="J1">
            <v>1.7453292519943295E-2</v>
          </cell>
        </row>
      </sheetData>
      <sheetData sheetId="8334">
        <row r="1">
          <cell r="J1">
            <v>1.7453292519943295E-2</v>
          </cell>
        </row>
      </sheetData>
      <sheetData sheetId="8335">
        <row r="1">
          <cell r="J1">
            <v>1.7453292519943295E-2</v>
          </cell>
        </row>
      </sheetData>
      <sheetData sheetId="8336">
        <row r="1">
          <cell r="J1">
            <v>1.7453292519943295E-2</v>
          </cell>
        </row>
      </sheetData>
      <sheetData sheetId="8337"/>
      <sheetData sheetId="8338"/>
      <sheetData sheetId="8339"/>
      <sheetData sheetId="8340">
        <row r="1">
          <cell r="J1">
            <v>1.7453292519943295E-2</v>
          </cell>
        </row>
      </sheetData>
      <sheetData sheetId="8341"/>
      <sheetData sheetId="8342">
        <row r="1">
          <cell r="J1">
            <v>1.7453292519943295E-2</v>
          </cell>
        </row>
      </sheetData>
      <sheetData sheetId="8343">
        <row r="1">
          <cell r="J1">
            <v>1.7453292519943295E-2</v>
          </cell>
        </row>
      </sheetData>
      <sheetData sheetId="8344">
        <row r="1">
          <cell r="J1">
            <v>1.7453292519943295E-2</v>
          </cell>
        </row>
      </sheetData>
      <sheetData sheetId="8345">
        <row r="1">
          <cell r="J1">
            <v>1.7453292519943295E-2</v>
          </cell>
        </row>
      </sheetData>
      <sheetData sheetId="8346">
        <row r="1">
          <cell r="J1">
            <v>1.7453292519943295E-2</v>
          </cell>
        </row>
      </sheetData>
      <sheetData sheetId="8347">
        <row r="1">
          <cell r="J1">
            <v>1.7453292519943295E-2</v>
          </cell>
        </row>
      </sheetData>
      <sheetData sheetId="8348" refreshError="1"/>
      <sheetData sheetId="8349">
        <row r="1">
          <cell r="J1">
            <v>1.7453292519943295E-2</v>
          </cell>
        </row>
      </sheetData>
      <sheetData sheetId="8350"/>
      <sheetData sheetId="8351"/>
      <sheetData sheetId="8352" refreshError="1"/>
      <sheetData sheetId="8353" refreshError="1"/>
      <sheetData sheetId="8354" refreshError="1"/>
      <sheetData sheetId="8355"/>
      <sheetData sheetId="8356" refreshError="1"/>
      <sheetData sheetId="8357" refreshError="1"/>
      <sheetData sheetId="8358">
        <row r="1">
          <cell r="J1">
            <v>1.7453292519943295E-2</v>
          </cell>
        </row>
      </sheetData>
      <sheetData sheetId="8359">
        <row r="1">
          <cell r="J1">
            <v>1.7453292519943295E-2</v>
          </cell>
        </row>
      </sheetData>
      <sheetData sheetId="8360">
        <row r="1">
          <cell r="J1">
            <v>1.7453292519943295E-2</v>
          </cell>
        </row>
      </sheetData>
      <sheetData sheetId="8361">
        <row r="1">
          <cell r="J1">
            <v>1.7453292519943295E-2</v>
          </cell>
        </row>
      </sheetData>
      <sheetData sheetId="8362">
        <row r="1">
          <cell r="J1">
            <v>1.7453292519943295E-2</v>
          </cell>
        </row>
      </sheetData>
      <sheetData sheetId="8363">
        <row r="1">
          <cell r="J1">
            <v>1.7453292519943295E-2</v>
          </cell>
        </row>
      </sheetData>
      <sheetData sheetId="8364">
        <row r="1">
          <cell r="J1">
            <v>1.7453292519943295E-2</v>
          </cell>
        </row>
      </sheetData>
      <sheetData sheetId="8365">
        <row r="1">
          <cell r="J1">
            <v>1.7453292519943295E-2</v>
          </cell>
        </row>
      </sheetData>
      <sheetData sheetId="8366">
        <row r="1">
          <cell r="J1">
            <v>1.7453292519943295E-2</v>
          </cell>
        </row>
      </sheetData>
      <sheetData sheetId="8367">
        <row r="1">
          <cell r="J1">
            <v>1.7453292519943295E-2</v>
          </cell>
        </row>
      </sheetData>
      <sheetData sheetId="8368">
        <row r="1">
          <cell r="J1">
            <v>1.7453292519943295E-2</v>
          </cell>
        </row>
      </sheetData>
      <sheetData sheetId="8369">
        <row r="1">
          <cell r="J1">
            <v>1.7453292519943295E-2</v>
          </cell>
        </row>
      </sheetData>
      <sheetData sheetId="8370">
        <row r="1">
          <cell r="J1">
            <v>1.7453292519943295E-2</v>
          </cell>
        </row>
      </sheetData>
      <sheetData sheetId="8371">
        <row r="1">
          <cell r="J1">
            <v>1.7453292519943295E-2</v>
          </cell>
        </row>
      </sheetData>
      <sheetData sheetId="8372">
        <row r="1">
          <cell r="J1">
            <v>1.7453292519943295E-2</v>
          </cell>
        </row>
      </sheetData>
      <sheetData sheetId="8373">
        <row r="1">
          <cell r="J1">
            <v>1.7453292519943295E-2</v>
          </cell>
        </row>
      </sheetData>
      <sheetData sheetId="8374">
        <row r="1">
          <cell r="J1">
            <v>1.7453292519943295E-2</v>
          </cell>
        </row>
      </sheetData>
      <sheetData sheetId="8375" refreshError="1"/>
      <sheetData sheetId="8376" refreshError="1"/>
      <sheetData sheetId="8377">
        <row r="1">
          <cell r="J1">
            <v>1.7453292519943295E-2</v>
          </cell>
        </row>
      </sheetData>
      <sheetData sheetId="8378" refreshError="1"/>
      <sheetData sheetId="8379" refreshError="1"/>
      <sheetData sheetId="8380">
        <row r="1">
          <cell r="J1">
            <v>1.7453292519943295E-2</v>
          </cell>
        </row>
      </sheetData>
      <sheetData sheetId="8381" refreshError="1"/>
      <sheetData sheetId="8382">
        <row r="1">
          <cell r="J1">
            <v>1.7453292519943295E-2</v>
          </cell>
        </row>
      </sheetData>
      <sheetData sheetId="8383">
        <row r="1">
          <cell r="J1">
            <v>1.7453292519943295E-2</v>
          </cell>
        </row>
      </sheetData>
      <sheetData sheetId="8384">
        <row r="1">
          <cell r="J1">
            <v>1.7453292519943295E-2</v>
          </cell>
        </row>
      </sheetData>
      <sheetData sheetId="8385">
        <row r="1">
          <cell r="J1">
            <v>1.7453292519943295E-2</v>
          </cell>
        </row>
      </sheetData>
      <sheetData sheetId="8386">
        <row r="1">
          <cell r="J1">
            <v>1.7453292519943295E-2</v>
          </cell>
        </row>
      </sheetData>
      <sheetData sheetId="8387">
        <row r="1">
          <cell r="J1">
            <v>1.7453292519943295E-2</v>
          </cell>
        </row>
      </sheetData>
      <sheetData sheetId="8388">
        <row r="1">
          <cell r="J1">
            <v>1.7453292519943295E-2</v>
          </cell>
        </row>
      </sheetData>
      <sheetData sheetId="8389">
        <row r="1">
          <cell r="J1">
            <v>1.7453292519943295E-2</v>
          </cell>
        </row>
      </sheetData>
      <sheetData sheetId="8390">
        <row r="1">
          <cell r="J1">
            <v>1.7453292519943295E-2</v>
          </cell>
        </row>
      </sheetData>
      <sheetData sheetId="8391">
        <row r="1">
          <cell r="J1">
            <v>1.7453292519943295E-2</v>
          </cell>
        </row>
      </sheetData>
      <sheetData sheetId="8392">
        <row r="1">
          <cell r="J1">
            <v>1.7453292519943295E-2</v>
          </cell>
        </row>
      </sheetData>
      <sheetData sheetId="8393">
        <row r="1">
          <cell r="J1">
            <v>1.7453292519943295E-2</v>
          </cell>
        </row>
      </sheetData>
      <sheetData sheetId="8394">
        <row r="1">
          <cell r="J1">
            <v>1.7453292519943295E-2</v>
          </cell>
        </row>
      </sheetData>
      <sheetData sheetId="8395">
        <row r="1">
          <cell r="J1">
            <v>1.7453292519943295E-2</v>
          </cell>
        </row>
      </sheetData>
      <sheetData sheetId="8396">
        <row r="1">
          <cell r="J1">
            <v>1.7453292519943295E-2</v>
          </cell>
        </row>
      </sheetData>
      <sheetData sheetId="8397">
        <row r="1">
          <cell r="J1">
            <v>1.7453292519943295E-2</v>
          </cell>
        </row>
      </sheetData>
      <sheetData sheetId="8398">
        <row r="1">
          <cell r="J1">
            <v>1.7453292519943295E-2</v>
          </cell>
        </row>
      </sheetData>
      <sheetData sheetId="8399">
        <row r="1">
          <cell r="J1">
            <v>1.7453292519943295E-2</v>
          </cell>
        </row>
      </sheetData>
      <sheetData sheetId="8400">
        <row r="1">
          <cell r="J1">
            <v>1.7453292519943295E-2</v>
          </cell>
        </row>
      </sheetData>
      <sheetData sheetId="8401">
        <row r="1">
          <cell r="J1">
            <v>1.7453292519943295E-2</v>
          </cell>
        </row>
      </sheetData>
      <sheetData sheetId="8402">
        <row r="1">
          <cell r="J1">
            <v>1.7453292519943295E-2</v>
          </cell>
        </row>
      </sheetData>
      <sheetData sheetId="8403">
        <row r="1">
          <cell r="J1">
            <v>1.7453292519943295E-2</v>
          </cell>
        </row>
      </sheetData>
      <sheetData sheetId="8404">
        <row r="1">
          <cell r="J1">
            <v>1.7453292519943295E-2</v>
          </cell>
        </row>
      </sheetData>
      <sheetData sheetId="8405">
        <row r="1">
          <cell r="J1">
            <v>1.7453292519943295E-2</v>
          </cell>
        </row>
      </sheetData>
      <sheetData sheetId="8406">
        <row r="1">
          <cell r="J1">
            <v>1.7453292519943295E-2</v>
          </cell>
        </row>
      </sheetData>
      <sheetData sheetId="8407">
        <row r="1">
          <cell r="J1">
            <v>1.7453292519943295E-2</v>
          </cell>
        </row>
      </sheetData>
      <sheetData sheetId="8408">
        <row r="1">
          <cell r="J1">
            <v>1.7453292519943295E-2</v>
          </cell>
        </row>
      </sheetData>
      <sheetData sheetId="8409" refreshError="1"/>
      <sheetData sheetId="8410" refreshError="1"/>
      <sheetData sheetId="8411">
        <row r="1">
          <cell r="J1">
            <v>1.7453292519943295E-2</v>
          </cell>
        </row>
      </sheetData>
      <sheetData sheetId="8412">
        <row r="1">
          <cell r="J1">
            <v>1.7453292519943295E-2</v>
          </cell>
        </row>
      </sheetData>
      <sheetData sheetId="8413">
        <row r="1">
          <cell r="J1">
            <v>1.7453292519943295E-2</v>
          </cell>
        </row>
      </sheetData>
      <sheetData sheetId="8414">
        <row r="1">
          <cell r="J1">
            <v>1.7453292519943295E-2</v>
          </cell>
        </row>
      </sheetData>
      <sheetData sheetId="8415">
        <row r="1">
          <cell r="J1">
            <v>1.7453292519943295E-2</v>
          </cell>
        </row>
      </sheetData>
      <sheetData sheetId="8416">
        <row r="1">
          <cell r="J1">
            <v>1.7453292519943295E-2</v>
          </cell>
        </row>
      </sheetData>
      <sheetData sheetId="8417">
        <row r="1">
          <cell r="J1">
            <v>1.7453292519943295E-2</v>
          </cell>
        </row>
      </sheetData>
      <sheetData sheetId="8418">
        <row r="1">
          <cell r="J1">
            <v>1.7453292519943295E-2</v>
          </cell>
        </row>
      </sheetData>
      <sheetData sheetId="8419">
        <row r="1">
          <cell r="J1">
            <v>1.7453292519943295E-2</v>
          </cell>
        </row>
      </sheetData>
      <sheetData sheetId="8420">
        <row r="1">
          <cell r="J1">
            <v>1.7453292519943295E-2</v>
          </cell>
        </row>
      </sheetData>
      <sheetData sheetId="8421">
        <row r="1">
          <cell r="J1">
            <v>1.7453292519943295E-2</v>
          </cell>
        </row>
      </sheetData>
      <sheetData sheetId="8422">
        <row r="1">
          <cell r="J1">
            <v>1.7453292519943295E-2</v>
          </cell>
        </row>
      </sheetData>
      <sheetData sheetId="8423">
        <row r="1">
          <cell r="J1">
            <v>1.7453292519943295E-2</v>
          </cell>
        </row>
      </sheetData>
      <sheetData sheetId="8424">
        <row r="1">
          <cell r="J1">
            <v>1.7453292519943295E-2</v>
          </cell>
        </row>
      </sheetData>
      <sheetData sheetId="8425">
        <row r="1">
          <cell r="J1">
            <v>1.7453292519943295E-2</v>
          </cell>
        </row>
      </sheetData>
      <sheetData sheetId="8426">
        <row r="1">
          <cell r="J1">
            <v>1.7453292519943295E-2</v>
          </cell>
        </row>
      </sheetData>
      <sheetData sheetId="8427">
        <row r="1">
          <cell r="J1">
            <v>1.7453292519943295E-2</v>
          </cell>
        </row>
      </sheetData>
      <sheetData sheetId="8428">
        <row r="1">
          <cell r="J1">
            <v>1.7453292519943295E-2</v>
          </cell>
        </row>
      </sheetData>
      <sheetData sheetId="8429">
        <row r="1">
          <cell r="J1">
            <v>1.7453292519943295E-2</v>
          </cell>
        </row>
      </sheetData>
      <sheetData sheetId="8430">
        <row r="1">
          <cell r="J1">
            <v>1.7453292519943295E-2</v>
          </cell>
        </row>
      </sheetData>
      <sheetData sheetId="8431">
        <row r="1">
          <cell r="J1">
            <v>1.7453292519943295E-2</v>
          </cell>
        </row>
      </sheetData>
      <sheetData sheetId="8432">
        <row r="1">
          <cell r="J1">
            <v>1.7453292519943295E-2</v>
          </cell>
        </row>
      </sheetData>
      <sheetData sheetId="8433"/>
      <sheetData sheetId="8434" refreshError="1"/>
      <sheetData sheetId="8435" refreshError="1"/>
      <sheetData sheetId="8436">
        <row r="1">
          <cell r="J1">
            <v>1.7453292519943295E-2</v>
          </cell>
        </row>
      </sheetData>
      <sheetData sheetId="8437">
        <row r="1">
          <cell r="J1">
            <v>1.7453292519943295E-2</v>
          </cell>
        </row>
      </sheetData>
      <sheetData sheetId="8438" refreshError="1"/>
      <sheetData sheetId="8439">
        <row r="1">
          <cell r="J1">
            <v>1.7453292519943295E-2</v>
          </cell>
        </row>
      </sheetData>
      <sheetData sheetId="8440">
        <row r="1">
          <cell r="J1">
            <v>1.7453292519943295E-2</v>
          </cell>
        </row>
      </sheetData>
      <sheetData sheetId="8441">
        <row r="1">
          <cell r="J1">
            <v>1.7453292519943295E-2</v>
          </cell>
        </row>
      </sheetData>
      <sheetData sheetId="8442">
        <row r="1">
          <cell r="J1">
            <v>1.7453292519943295E-2</v>
          </cell>
        </row>
      </sheetData>
      <sheetData sheetId="8443">
        <row r="1">
          <cell r="J1">
            <v>1.7453292519943295E-2</v>
          </cell>
        </row>
      </sheetData>
      <sheetData sheetId="8444">
        <row r="1">
          <cell r="J1">
            <v>1.7453292519943295E-2</v>
          </cell>
        </row>
      </sheetData>
      <sheetData sheetId="8445"/>
      <sheetData sheetId="8446">
        <row r="1">
          <cell r="J1">
            <v>1.7453292519943295E-2</v>
          </cell>
        </row>
      </sheetData>
      <sheetData sheetId="8447">
        <row r="1">
          <cell r="J1">
            <v>1.7453292519943295E-2</v>
          </cell>
        </row>
      </sheetData>
      <sheetData sheetId="8448">
        <row r="1">
          <cell r="J1">
            <v>1.7453292519943295E-2</v>
          </cell>
        </row>
      </sheetData>
      <sheetData sheetId="8449">
        <row r="1">
          <cell r="J1">
            <v>1.7453292519943295E-2</v>
          </cell>
        </row>
      </sheetData>
      <sheetData sheetId="8450">
        <row r="1">
          <cell r="J1">
            <v>1.7453292519943295E-2</v>
          </cell>
        </row>
      </sheetData>
      <sheetData sheetId="8451">
        <row r="1">
          <cell r="J1">
            <v>1.7453292519943295E-2</v>
          </cell>
        </row>
      </sheetData>
      <sheetData sheetId="8452">
        <row r="1">
          <cell r="J1">
            <v>1.7453292519943295E-2</v>
          </cell>
        </row>
      </sheetData>
      <sheetData sheetId="8453" refreshError="1"/>
      <sheetData sheetId="8454">
        <row r="1">
          <cell r="J1">
            <v>1.7453292519943295E-2</v>
          </cell>
        </row>
      </sheetData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>
        <row r="1">
          <cell r="J1">
            <v>1.7453292519943295E-2</v>
          </cell>
        </row>
      </sheetData>
      <sheetData sheetId="8461">
        <row r="1">
          <cell r="J1">
            <v>1.7453292519943295E-2</v>
          </cell>
        </row>
      </sheetData>
      <sheetData sheetId="8462">
        <row r="1">
          <cell r="J1">
            <v>1.7453292519943295E-2</v>
          </cell>
        </row>
      </sheetData>
      <sheetData sheetId="8463">
        <row r="1">
          <cell r="J1">
            <v>1.7453292519943295E-2</v>
          </cell>
        </row>
      </sheetData>
      <sheetData sheetId="8464">
        <row r="1">
          <cell r="J1">
            <v>1.7453292519943295E-2</v>
          </cell>
        </row>
      </sheetData>
      <sheetData sheetId="8465">
        <row r="1">
          <cell r="J1">
            <v>1.7453292519943295E-2</v>
          </cell>
        </row>
      </sheetData>
      <sheetData sheetId="8466">
        <row r="1">
          <cell r="J1">
            <v>1.7453292519943295E-2</v>
          </cell>
        </row>
      </sheetData>
      <sheetData sheetId="8467">
        <row r="1">
          <cell r="J1">
            <v>1.7453292519943295E-2</v>
          </cell>
        </row>
      </sheetData>
      <sheetData sheetId="8468">
        <row r="1">
          <cell r="J1">
            <v>1.7453292519943295E-2</v>
          </cell>
        </row>
      </sheetData>
      <sheetData sheetId="8469">
        <row r="1">
          <cell r="J1">
            <v>1.7453292519943295E-2</v>
          </cell>
        </row>
      </sheetData>
      <sheetData sheetId="8470">
        <row r="1">
          <cell r="J1">
            <v>1.7453292519943295E-2</v>
          </cell>
        </row>
      </sheetData>
      <sheetData sheetId="8471">
        <row r="1">
          <cell r="J1">
            <v>1.7453292519943295E-2</v>
          </cell>
        </row>
      </sheetData>
      <sheetData sheetId="8472">
        <row r="1">
          <cell r="J1">
            <v>1.7453292519943295E-2</v>
          </cell>
        </row>
      </sheetData>
      <sheetData sheetId="8473">
        <row r="1">
          <cell r="J1">
            <v>1.7453292519943295E-2</v>
          </cell>
        </row>
      </sheetData>
      <sheetData sheetId="8474">
        <row r="1">
          <cell r="J1">
            <v>1.7453292519943295E-2</v>
          </cell>
        </row>
      </sheetData>
      <sheetData sheetId="8475">
        <row r="1">
          <cell r="J1">
            <v>1.7453292519943295E-2</v>
          </cell>
        </row>
      </sheetData>
      <sheetData sheetId="8476">
        <row r="1">
          <cell r="J1">
            <v>1.7453292519943295E-2</v>
          </cell>
        </row>
      </sheetData>
      <sheetData sheetId="8477">
        <row r="1">
          <cell r="J1">
            <v>1.7453292519943295E-2</v>
          </cell>
        </row>
      </sheetData>
      <sheetData sheetId="8478">
        <row r="1">
          <cell r="J1">
            <v>1.7453292519943295E-2</v>
          </cell>
        </row>
      </sheetData>
      <sheetData sheetId="8479">
        <row r="1">
          <cell r="J1">
            <v>1.7453292519943295E-2</v>
          </cell>
        </row>
      </sheetData>
      <sheetData sheetId="8480">
        <row r="1">
          <cell r="J1">
            <v>1.7453292519943295E-2</v>
          </cell>
        </row>
      </sheetData>
      <sheetData sheetId="8481">
        <row r="1">
          <cell r="J1">
            <v>1.7453292519943295E-2</v>
          </cell>
        </row>
      </sheetData>
      <sheetData sheetId="8482">
        <row r="1">
          <cell r="J1">
            <v>1.7453292519943295E-2</v>
          </cell>
        </row>
      </sheetData>
      <sheetData sheetId="8483" refreshError="1"/>
      <sheetData sheetId="8484">
        <row r="1">
          <cell r="J1">
            <v>1.7453292519943295E-2</v>
          </cell>
        </row>
      </sheetData>
      <sheetData sheetId="8485"/>
      <sheetData sheetId="8486" refreshError="1"/>
      <sheetData sheetId="8487" refreshError="1"/>
      <sheetData sheetId="8488"/>
      <sheetData sheetId="8489"/>
      <sheetData sheetId="8490" refreshError="1"/>
      <sheetData sheetId="8491">
        <row r="1">
          <cell r="J1">
            <v>1.7453292519943295E-2</v>
          </cell>
        </row>
      </sheetData>
      <sheetData sheetId="8492">
        <row r="1">
          <cell r="J1">
            <v>1.7453292519943295E-2</v>
          </cell>
        </row>
      </sheetData>
      <sheetData sheetId="8493" refreshError="1"/>
      <sheetData sheetId="8494" refreshError="1"/>
      <sheetData sheetId="8495" refreshError="1"/>
      <sheetData sheetId="8496">
        <row r="1">
          <cell r="J1">
            <v>1.7453292519943295E-2</v>
          </cell>
        </row>
      </sheetData>
      <sheetData sheetId="8497" refreshError="1"/>
      <sheetData sheetId="8498">
        <row r="1">
          <cell r="J1">
            <v>1.7453292519943295E-2</v>
          </cell>
        </row>
      </sheetData>
      <sheetData sheetId="8499"/>
      <sheetData sheetId="8500" refreshError="1"/>
      <sheetData sheetId="8501" refreshError="1"/>
      <sheetData sheetId="8502"/>
      <sheetData sheetId="8503" refreshError="1"/>
      <sheetData sheetId="8504">
        <row r="1">
          <cell r="J1">
            <v>1.7453292519943295E-2</v>
          </cell>
        </row>
      </sheetData>
      <sheetData sheetId="8505">
        <row r="1">
          <cell r="J1">
            <v>1.7453292519943295E-2</v>
          </cell>
        </row>
      </sheetData>
      <sheetData sheetId="8506"/>
      <sheetData sheetId="8507">
        <row r="1">
          <cell r="J1">
            <v>1.7453292519943295E-2</v>
          </cell>
        </row>
      </sheetData>
      <sheetData sheetId="8508"/>
      <sheetData sheetId="8509">
        <row r="1">
          <cell r="J1">
            <v>1.7453292519943295E-2</v>
          </cell>
        </row>
      </sheetData>
      <sheetData sheetId="8510"/>
      <sheetData sheetId="8511"/>
      <sheetData sheetId="8512"/>
      <sheetData sheetId="8513">
        <row r="1">
          <cell r="J1">
            <v>1.7453292519943295E-2</v>
          </cell>
        </row>
      </sheetData>
      <sheetData sheetId="8514">
        <row r="1">
          <cell r="J1">
            <v>1.7453292519943295E-2</v>
          </cell>
        </row>
      </sheetData>
      <sheetData sheetId="8515">
        <row r="1">
          <cell r="J1">
            <v>1.7453292519943295E-2</v>
          </cell>
        </row>
      </sheetData>
      <sheetData sheetId="8516"/>
      <sheetData sheetId="8517"/>
      <sheetData sheetId="8518"/>
      <sheetData sheetId="8519"/>
      <sheetData sheetId="8520"/>
      <sheetData sheetId="8521"/>
      <sheetData sheetId="8522">
        <row r="1">
          <cell r="J1">
            <v>1.7453292519943295E-2</v>
          </cell>
        </row>
      </sheetData>
      <sheetData sheetId="8523"/>
      <sheetData sheetId="8524"/>
      <sheetData sheetId="8525"/>
      <sheetData sheetId="8526">
        <row r="1">
          <cell r="J1">
            <v>1.7453292519943295E-2</v>
          </cell>
        </row>
      </sheetData>
      <sheetData sheetId="8527">
        <row r="1">
          <cell r="J1">
            <v>1.7453292519943295E-2</v>
          </cell>
        </row>
      </sheetData>
      <sheetData sheetId="8528">
        <row r="1">
          <cell r="J1">
            <v>1.7453292519943295E-2</v>
          </cell>
        </row>
      </sheetData>
      <sheetData sheetId="8529"/>
      <sheetData sheetId="8530" refreshError="1"/>
      <sheetData sheetId="8531">
        <row r="1">
          <cell r="J1">
            <v>1.7453292519943295E-2</v>
          </cell>
        </row>
      </sheetData>
      <sheetData sheetId="8532" refreshError="1"/>
      <sheetData sheetId="8533" refreshError="1"/>
      <sheetData sheetId="8534" refreshError="1"/>
      <sheetData sheetId="8535" refreshError="1"/>
      <sheetData sheetId="8536">
        <row r="1">
          <cell r="J1">
            <v>1.7453292519943295E-2</v>
          </cell>
        </row>
      </sheetData>
      <sheetData sheetId="8537" refreshError="1"/>
      <sheetData sheetId="8538">
        <row r="1">
          <cell r="J1">
            <v>1.7453292519943295E-2</v>
          </cell>
        </row>
      </sheetData>
      <sheetData sheetId="8539"/>
      <sheetData sheetId="8540" refreshError="1"/>
      <sheetData sheetId="8541" refreshError="1"/>
      <sheetData sheetId="8542">
        <row r="1">
          <cell r="J1">
            <v>1.7453292519943295E-2</v>
          </cell>
        </row>
      </sheetData>
      <sheetData sheetId="8543"/>
      <sheetData sheetId="8544" refreshError="1"/>
      <sheetData sheetId="8545">
        <row r="1">
          <cell r="J1">
            <v>1.7453292519943295E-2</v>
          </cell>
        </row>
      </sheetData>
      <sheetData sheetId="8546">
        <row r="1">
          <cell r="J1">
            <v>1.7453292519943295E-2</v>
          </cell>
        </row>
      </sheetData>
      <sheetData sheetId="8547" refreshError="1"/>
      <sheetData sheetId="8548" refreshError="1"/>
      <sheetData sheetId="8549" refreshError="1"/>
      <sheetData sheetId="8550">
        <row r="1">
          <cell r="J1">
            <v>1.7453292519943295E-2</v>
          </cell>
        </row>
      </sheetData>
      <sheetData sheetId="8551">
        <row r="1">
          <cell r="J1">
            <v>1.7453292519943295E-2</v>
          </cell>
        </row>
      </sheetData>
      <sheetData sheetId="8552">
        <row r="1">
          <cell r="J1">
            <v>1.7453292519943295E-2</v>
          </cell>
        </row>
      </sheetData>
      <sheetData sheetId="8553" refreshError="1"/>
      <sheetData sheetId="8554">
        <row r="1">
          <cell r="J1">
            <v>1.7453292519943295E-2</v>
          </cell>
        </row>
      </sheetData>
      <sheetData sheetId="8555" refreshError="1"/>
      <sheetData sheetId="8556">
        <row r="1">
          <cell r="J1">
            <v>1.7453292519943295E-2</v>
          </cell>
        </row>
      </sheetData>
      <sheetData sheetId="8557"/>
      <sheetData sheetId="8558">
        <row r="1">
          <cell r="J1">
            <v>1.7453292519943295E-2</v>
          </cell>
        </row>
      </sheetData>
      <sheetData sheetId="8559" refreshError="1"/>
      <sheetData sheetId="8560" refreshError="1"/>
      <sheetData sheetId="8561"/>
      <sheetData sheetId="8562">
        <row r="1">
          <cell r="J1">
            <v>1.7453292519943295E-2</v>
          </cell>
        </row>
      </sheetData>
      <sheetData sheetId="8563">
        <row r="1">
          <cell r="J1">
            <v>1.7453292519943295E-2</v>
          </cell>
        </row>
      </sheetData>
      <sheetData sheetId="8564"/>
      <sheetData sheetId="8565">
        <row r="1">
          <cell r="J1">
            <v>1.7453292519943295E-2</v>
          </cell>
        </row>
      </sheetData>
      <sheetData sheetId="8566">
        <row r="1">
          <cell r="J1">
            <v>1.7453292519943295E-2</v>
          </cell>
        </row>
      </sheetData>
      <sheetData sheetId="8567">
        <row r="1">
          <cell r="J1">
            <v>1.7453292519943295E-2</v>
          </cell>
        </row>
      </sheetData>
      <sheetData sheetId="8568"/>
      <sheetData sheetId="8569">
        <row r="1">
          <cell r="J1">
            <v>1.7453292519943295E-2</v>
          </cell>
        </row>
      </sheetData>
      <sheetData sheetId="8570">
        <row r="1">
          <cell r="J1">
            <v>1.7453292519943295E-2</v>
          </cell>
        </row>
      </sheetData>
      <sheetData sheetId="8571">
        <row r="1">
          <cell r="J1">
            <v>1.7453292519943295E-2</v>
          </cell>
        </row>
      </sheetData>
      <sheetData sheetId="8572" refreshError="1"/>
      <sheetData sheetId="8573"/>
      <sheetData sheetId="8574" refreshError="1"/>
      <sheetData sheetId="8575">
        <row r="1">
          <cell r="J1">
            <v>1.7453292519943295E-2</v>
          </cell>
        </row>
      </sheetData>
      <sheetData sheetId="8576" refreshError="1"/>
      <sheetData sheetId="8577"/>
      <sheetData sheetId="8578" refreshError="1"/>
      <sheetData sheetId="8579">
        <row r="1">
          <cell r="J1">
            <v>1.7453292519943295E-2</v>
          </cell>
        </row>
      </sheetData>
      <sheetData sheetId="8580" refreshError="1"/>
      <sheetData sheetId="8581" refreshError="1"/>
      <sheetData sheetId="8582"/>
      <sheetData sheetId="8583">
        <row r="1">
          <cell r="J1">
            <v>1.7453292519943295E-2</v>
          </cell>
        </row>
      </sheetData>
      <sheetData sheetId="8584">
        <row r="1">
          <cell r="J1">
            <v>1.7453292519943295E-2</v>
          </cell>
        </row>
      </sheetData>
      <sheetData sheetId="8585"/>
      <sheetData sheetId="8586"/>
      <sheetData sheetId="8587"/>
      <sheetData sheetId="8588">
        <row r="1">
          <cell r="J1">
            <v>1.7453292519943295E-2</v>
          </cell>
        </row>
      </sheetData>
      <sheetData sheetId="8589">
        <row r="1">
          <cell r="J1">
            <v>1.7453292519943295E-2</v>
          </cell>
        </row>
      </sheetData>
      <sheetData sheetId="8590">
        <row r="1">
          <cell r="J1">
            <v>1.7453292519943295E-2</v>
          </cell>
        </row>
      </sheetData>
      <sheetData sheetId="8591"/>
      <sheetData sheetId="8592">
        <row r="1">
          <cell r="J1">
            <v>1.7453292519943295E-2</v>
          </cell>
        </row>
      </sheetData>
      <sheetData sheetId="8593">
        <row r="1">
          <cell r="J1">
            <v>1.7453292519943295E-2</v>
          </cell>
        </row>
      </sheetData>
      <sheetData sheetId="8594">
        <row r="1">
          <cell r="J1">
            <v>1.7453292519943295E-2</v>
          </cell>
        </row>
      </sheetData>
      <sheetData sheetId="8595">
        <row r="1">
          <cell r="J1">
            <v>1.7453292519943295E-2</v>
          </cell>
        </row>
      </sheetData>
      <sheetData sheetId="8596">
        <row r="1">
          <cell r="J1">
            <v>1.7453292519943295E-2</v>
          </cell>
        </row>
      </sheetData>
      <sheetData sheetId="8597">
        <row r="1">
          <cell r="J1">
            <v>1.7453292519943295E-2</v>
          </cell>
        </row>
      </sheetData>
      <sheetData sheetId="8598">
        <row r="1">
          <cell r="J1">
            <v>1.7453292519943295E-2</v>
          </cell>
        </row>
      </sheetData>
      <sheetData sheetId="8599">
        <row r="1">
          <cell r="J1">
            <v>1.7453292519943295E-2</v>
          </cell>
        </row>
      </sheetData>
      <sheetData sheetId="8600">
        <row r="1">
          <cell r="J1">
            <v>1.7453292519943295E-2</v>
          </cell>
        </row>
      </sheetData>
      <sheetData sheetId="8601">
        <row r="1">
          <cell r="J1">
            <v>1.7453292519943295E-2</v>
          </cell>
        </row>
      </sheetData>
      <sheetData sheetId="8602">
        <row r="1">
          <cell r="J1">
            <v>1.7453292519943295E-2</v>
          </cell>
        </row>
      </sheetData>
      <sheetData sheetId="8603">
        <row r="1">
          <cell r="J1">
            <v>1.7453292519943295E-2</v>
          </cell>
        </row>
      </sheetData>
      <sheetData sheetId="8604" refreshError="1"/>
      <sheetData sheetId="8605" refreshError="1"/>
      <sheetData sheetId="8606">
        <row r="1">
          <cell r="J1">
            <v>1.7453292519943295E-2</v>
          </cell>
        </row>
      </sheetData>
      <sheetData sheetId="8607">
        <row r="1">
          <cell r="J1">
            <v>1.7453292519943295E-2</v>
          </cell>
        </row>
      </sheetData>
      <sheetData sheetId="8608">
        <row r="1">
          <cell r="J1">
            <v>1.7453292519943295E-2</v>
          </cell>
        </row>
      </sheetData>
      <sheetData sheetId="8609" refreshError="1"/>
      <sheetData sheetId="8610"/>
      <sheetData sheetId="8611"/>
      <sheetData sheetId="8612"/>
      <sheetData sheetId="8613"/>
      <sheetData sheetId="8614" refreshError="1"/>
      <sheetData sheetId="8615" refreshError="1"/>
      <sheetData sheetId="8616"/>
      <sheetData sheetId="8617" refreshError="1"/>
      <sheetData sheetId="8618">
        <row r="1">
          <cell r="J1">
            <v>1.7453292519943295E-2</v>
          </cell>
        </row>
      </sheetData>
      <sheetData sheetId="8619">
        <row r="1">
          <cell r="J1">
            <v>1.7453292519943295E-2</v>
          </cell>
        </row>
      </sheetData>
      <sheetData sheetId="8620" refreshError="1"/>
      <sheetData sheetId="8621" refreshError="1"/>
      <sheetData sheetId="8622" refreshError="1"/>
      <sheetData sheetId="8623" refreshError="1"/>
      <sheetData sheetId="8624">
        <row r="1">
          <cell r="J1">
            <v>1.7453292519943295E-2</v>
          </cell>
        </row>
      </sheetData>
      <sheetData sheetId="8625" refreshError="1"/>
      <sheetData sheetId="8626">
        <row r="1">
          <cell r="J1">
            <v>1.7453292519943295E-2</v>
          </cell>
        </row>
      </sheetData>
      <sheetData sheetId="8627">
        <row r="1">
          <cell r="J1">
            <v>1.7453292519943295E-2</v>
          </cell>
        </row>
      </sheetData>
      <sheetData sheetId="8628">
        <row r="1">
          <cell r="J1">
            <v>1.7453292519943295E-2</v>
          </cell>
        </row>
      </sheetData>
      <sheetData sheetId="8629">
        <row r="1">
          <cell r="J1">
            <v>1.7453292519943295E-2</v>
          </cell>
        </row>
      </sheetData>
      <sheetData sheetId="8630">
        <row r="1">
          <cell r="J1">
            <v>1.7453292519943295E-2</v>
          </cell>
        </row>
      </sheetData>
      <sheetData sheetId="8631" refreshError="1"/>
      <sheetData sheetId="8632">
        <row r="1">
          <cell r="J1">
            <v>1.7453292519943295E-2</v>
          </cell>
        </row>
      </sheetData>
      <sheetData sheetId="8633">
        <row r="1">
          <cell r="J1">
            <v>1.7453292519943295E-2</v>
          </cell>
        </row>
      </sheetData>
      <sheetData sheetId="8634" refreshError="1"/>
      <sheetData sheetId="8635" refreshError="1"/>
      <sheetData sheetId="8636">
        <row r="1">
          <cell r="J1">
            <v>1.7453292519943295E-2</v>
          </cell>
        </row>
      </sheetData>
      <sheetData sheetId="8637" refreshError="1"/>
      <sheetData sheetId="8638" refreshError="1"/>
      <sheetData sheetId="8639">
        <row r="1">
          <cell r="J1">
            <v>1.7453292519943295E-2</v>
          </cell>
        </row>
      </sheetData>
      <sheetData sheetId="8640">
        <row r="1">
          <cell r="J1">
            <v>1.7453292519943295E-2</v>
          </cell>
        </row>
      </sheetData>
      <sheetData sheetId="8641">
        <row r="1">
          <cell r="J1">
            <v>1.7453292519943295E-2</v>
          </cell>
        </row>
      </sheetData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>
        <row r="1">
          <cell r="J1">
            <v>1.7453292519943295E-2</v>
          </cell>
        </row>
      </sheetData>
      <sheetData sheetId="8648">
        <row r="1">
          <cell r="J1">
            <v>1.7453292519943295E-2</v>
          </cell>
        </row>
      </sheetData>
      <sheetData sheetId="8649">
        <row r="1">
          <cell r="J1">
            <v>1.7453292519943295E-2</v>
          </cell>
        </row>
      </sheetData>
      <sheetData sheetId="8650" refreshError="1"/>
      <sheetData sheetId="8651" refreshError="1"/>
      <sheetData sheetId="8652" refreshError="1"/>
      <sheetData sheetId="8653">
        <row r="1">
          <cell r="J1">
            <v>1.7453292519943295E-2</v>
          </cell>
        </row>
      </sheetData>
      <sheetData sheetId="8654" refreshError="1"/>
      <sheetData sheetId="8655">
        <row r="1">
          <cell r="J1">
            <v>1.7453292519943295E-2</v>
          </cell>
        </row>
      </sheetData>
      <sheetData sheetId="8656">
        <row r="1">
          <cell r="J1">
            <v>1.7453292519943295E-2</v>
          </cell>
        </row>
      </sheetData>
      <sheetData sheetId="8657">
        <row r="1">
          <cell r="J1">
            <v>1.7453292519943295E-2</v>
          </cell>
        </row>
      </sheetData>
      <sheetData sheetId="8658">
        <row r="1">
          <cell r="J1">
            <v>1.7453292519943295E-2</v>
          </cell>
        </row>
      </sheetData>
      <sheetData sheetId="8659">
        <row r="1">
          <cell r="J1">
            <v>1.7453292519943295E-2</v>
          </cell>
        </row>
      </sheetData>
      <sheetData sheetId="8660">
        <row r="1">
          <cell r="J1">
            <v>1.7453292519943295E-2</v>
          </cell>
        </row>
      </sheetData>
      <sheetData sheetId="8661">
        <row r="1">
          <cell r="J1">
            <v>1.7453292519943295E-2</v>
          </cell>
        </row>
      </sheetData>
      <sheetData sheetId="8662">
        <row r="1">
          <cell r="J1">
            <v>1.7453292519943295E-2</v>
          </cell>
        </row>
      </sheetData>
      <sheetData sheetId="8663">
        <row r="1">
          <cell r="J1">
            <v>1.7453292519943295E-2</v>
          </cell>
        </row>
      </sheetData>
      <sheetData sheetId="8664">
        <row r="1">
          <cell r="J1">
            <v>1.7453292519943295E-2</v>
          </cell>
        </row>
      </sheetData>
      <sheetData sheetId="8665">
        <row r="1">
          <cell r="J1">
            <v>1.7453292519943295E-2</v>
          </cell>
        </row>
      </sheetData>
      <sheetData sheetId="8666">
        <row r="1">
          <cell r="J1">
            <v>1.7453292519943295E-2</v>
          </cell>
        </row>
      </sheetData>
      <sheetData sheetId="8667">
        <row r="1">
          <cell r="J1">
            <v>1.7453292519943295E-2</v>
          </cell>
        </row>
      </sheetData>
      <sheetData sheetId="8668">
        <row r="1">
          <cell r="J1">
            <v>1.7453292519943295E-2</v>
          </cell>
        </row>
      </sheetData>
      <sheetData sheetId="8669">
        <row r="1">
          <cell r="J1">
            <v>1.7453292519943295E-2</v>
          </cell>
        </row>
      </sheetData>
      <sheetData sheetId="8670">
        <row r="1">
          <cell r="J1">
            <v>1.7453292519943295E-2</v>
          </cell>
        </row>
      </sheetData>
      <sheetData sheetId="8671">
        <row r="1">
          <cell r="J1">
            <v>1.7453292519943295E-2</v>
          </cell>
        </row>
      </sheetData>
      <sheetData sheetId="8672">
        <row r="1">
          <cell r="J1">
            <v>1.7453292519943295E-2</v>
          </cell>
        </row>
      </sheetData>
      <sheetData sheetId="8673">
        <row r="1">
          <cell r="J1">
            <v>1.7453292519943295E-2</v>
          </cell>
        </row>
      </sheetData>
      <sheetData sheetId="8674">
        <row r="1">
          <cell r="J1">
            <v>1.7453292519943295E-2</v>
          </cell>
        </row>
      </sheetData>
      <sheetData sheetId="8675">
        <row r="1">
          <cell r="J1">
            <v>1.7453292519943295E-2</v>
          </cell>
        </row>
      </sheetData>
      <sheetData sheetId="8676">
        <row r="1">
          <cell r="J1">
            <v>1.7453292519943295E-2</v>
          </cell>
        </row>
      </sheetData>
      <sheetData sheetId="8677" refreshError="1"/>
      <sheetData sheetId="8678">
        <row r="1">
          <cell r="J1">
            <v>1.7453292519943295E-2</v>
          </cell>
        </row>
      </sheetData>
      <sheetData sheetId="8679">
        <row r="1">
          <cell r="J1">
            <v>1.7453292519943295E-2</v>
          </cell>
        </row>
      </sheetData>
      <sheetData sheetId="8680" refreshError="1"/>
      <sheetData sheetId="8681">
        <row r="1">
          <cell r="J1">
            <v>1.7453292519943295E-2</v>
          </cell>
        </row>
      </sheetData>
      <sheetData sheetId="8682" refreshError="1"/>
      <sheetData sheetId="8683">
        <row r="1">
          <cell r="J1">
            <v>1.7453292519943295E-2</v>
          </cell>
        </row>
      </sheetData>
      <sheetData sheetId="8684" refreshError="1"/>
      <sheetData sheetId="8685" refreshError="1"/>
      <sheetData sheetId="8686" refreshError="1"/>
      <sheetData sheetId="8687">
        <row r="1">
          <cell r="J1">
            <v>1.7453292519943295E-2</v>
          </cell>
        </row>
      </sheetData>
      <sheetData sheetId="8688">
        <row r="1">
          <cell r="J1">
            <v>1.7453292519943295E-2</v>
          </cell>
        </row>
      </sheetData>
      <sheetData sheetId="8689">
        <row r="1">
          <cell r="J1">
            <v>1.7453292519943295E-2</v>
          </cell>
        </row>
      </sheetData>
      <sheetData sheetId="8690">
        <row r="1">
          <cell r="J1">
            <v>1.7453292519943295E-2</v>
          </cell>
        </row>
      </sheetData>
      <sheetData sheetId="8691">
        <row r="1">
          <cell r="J1">
            <v>1.7453292519943295E-2</v>
          </cell>
        </row>
      </sheetData>
      <sheetData sheetId="8692">
        <row r="1">
          <cell r="J1">
            <v>1.7453292519943295E-2</v>
          </cell>
        </row>
      </sheetData>
      <sheetData sheetId="8693">
        <row r="1">
          <cell r="J1">
            <v>1.7453292519943295E-2</v>
          </cell>
        </row>
      </sheetData>
      <sheetData sheetId="8694">
        <row r="1">
          <cell r="J1">
            <v>1.7453292519943295E-2</v>
          </cell>
        </row>
      </sheetData>
      <sheetData sheetId="8695">
        <row r="1">
          <cell r="J1">
            <v>1.7453292519943295E-2</v>
          </cell>
        </row>
      </sheetData>
      <sheetData sheetId="8696">
        <row r="1">
          <cell r="J1">
            <v>1.7453292519943295E-2</v>
          </cell>
        </row>
      </sheetData>
      <sheetData sheetId="8697">
        <row r="1">
          <cell r="J1">
            <v>1.7453292519943295E-2</v>
          </cell>
        </row>
      </sheetData>
      <sheetData sheetId="8698">
        <row r="1">
          <cell r="J1">
            <v>1.7453292519943295E-2</v>
          </cell>
        </row>
      </sheetData>
      <sheetData sheetId="8699">
        <row r="1">
          <cell r="J1">
            <v>1.7453292519943295E-2</v>
          </cell>
        </row>
      </sheetData>
      <sheetData sheetId="8700">
        <row r="1">
          <cell r="J1">
            <v>1.7453292519943295E-2</v>
          </cell>
        </row>
      </sheetData>
      <sheetData sheetId="8701">
        <row r="1">
          <cell r="J1">
            <v>1.7453292519943295E-2</v>
          </cell>
        </row>
      </sheetData>
      <sheetData sheetId="8702">
        <row r="1">
          <cell r="J1">
            <v>1.7453292519943295E-2</v>
          </cell>
        </row>
      </sheetData>
      <sheetData sheetId="8703">
        <row r="1">
          <cell r="J1">
            <v>1.7453292519943295E-2</v>
          </cell>
        </row>
      </sheetData>
      <sheetData sheetId="8704">
        <row r="1">
          <cell r="J1">
            <v>1.7453292519943295E-2</v>
          </cell>
        </row>
      </sheetData>
      <sheetData sheetId="8705">
        <row r="1">
          <cell r="J1">
            <v>1.7453292519943295E-2</v>
          </cell>
        </row>
      </sheetData>
      <sheetData sheetId="8706">
        <row r="1">
          <cell r="J1">
            <v>1.7453292519943295E-2</v>
          </cell>
        </row>
      </sheetData>
      <sheetData sheetId="8707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/>
      <sheetData sheetId="8719"/>
      <sheetData sheetId="8720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/>
      <sheetData sheetId="8770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>
        <row r="1">
          <cell r="J1">
            <v>1.7453292519943295E-2</v>
          </cell>
        </row>
      </sheetData>
      <sheetData sheetId="8798" refreshError="1"/>
      <sheetData sheetId="8799" refreshError="1"/>
      <sheetData sheetId="8800">
        <row r="1">
          <cell r="J1">
            <v>1.7453292519943295E-2</v>
          </cell>
        </row>
      </sheetData>
      <sheetData sheetId="8801">
        <row r="1">
          <cell r="J1">
            <v>1.7453292519943295E-2</v>
          </cell>
        </row>
      </sheetData>
      <sheetData sheetId="8802" refreshError="1"/>
      <sheetData sheetId="8803">
        <row r="1">
          <cell r="J1">
            <v>1.7453292519943295E-2</v>
          </cell>
        </row>
      </sheetData>
      <sheetData sheetId="8804" refreshError="1"/>
      <sheetData sheetId="8805">
        <row r="1">
          <cell r="J1">
            <v>1.7453292519943295E-2</v>
          </cell>
        </row>
      </sheetData>
      <sheetData sheetId="8806">
        <row r="1">
          <cell r="J1">
            <v>1.7453292519943295E-2</v>
          </cell>
        </row>
      </sheetData>
      <sheetData sheetId="8807" refreshError="1"/>
      <sheetData sheetId="8808">
        <row r="1">
          <cell r="J1">
            <v>1.7453292519943295E-2</v>
          </cell>
        </row>
      </sheetData>
      <sheetData sheetId="8809" refreshError="1"/>
      <sheetData sheetId="8810"/>
      <sheetData sheetId="8811">
        <row r="1">
          <cell r="J1">
            <v>1.7453292519943295E-2</v>
          </cell>
        </row>
      </sheetData>
      <sheetData sheetId="8812">
        <row r="1">
          <cell r="J1">
            <v>1.7453292519943295E-2</v>
          </cell>
        </row>
      </sheetData>
      <sheetData sheetId="8813" refreshError="1"/>
      <sheetData sheetId="8814" refreshError="1"/>
      <sheetData sheetId="8815" refreshError="1"/>
      <sheetData sheetId="8816">
        <row r="1">
          <cell r="J1">
            <v>1.7453292519943295E-2</v>
          </cell>
        </row>
      </sheetData>
      <sheetData sheetId="8817">
        <row r="1">
          <cell r="J1">
            <v>1.7453292519943295E-2</v>
          </cell>
        </row>
      </sheetData>
      <sheetData sheetId="8818"/>
      <sheetData sheetId="8819" refreshError="1"/>
      <sheetData sheetId="8820"/>
      <sheetData sheetId="8821"/>
      <sheetData sheetId="8822" refreshError="1"/>
      <sheetData sheetId="8823" refreshError="1"/>
      <sheetData sheetId="8824">
        <row r="1">
          <cell r="J1">
            <v>1.7453292519943295E-2</v>
          </cell>
        </row>
      </sheetData>
      <sheetData sheetId="8825">
        <row r="1">
          <cell r="J1">
            <v>1.7453292519943295E-2</v>
          </cell>
        </row>
      </sheetData>
      <sheetData sheetId="8826">
        <row r="1">
          <cell r="J1">
            <v>1.7453292519943295E-2</v>
          </cell>
        </row>
      </sheetData>
      <sheetData sheetId="8827">
        <row r="1">
          <cell r="J1">
            <v>1.7453292519943295E-2</v>
          </cell>
        </row>
      </sheetData>
      <sheetData sheetId="8828">
        <row r="1">
          <cell r="J1">
            <v>1.7453292519943295E-2</v>
          </cell>
        </row>
      </sheetData>
      <sheetData sheetId="8829">
        <row r="1">
          <cell r="J1">
            <v>1.7453292519943295E-2</v>
          </cell>
        </row>
      </sheetData>
      <sheetData sheetId="8830">
        <row r="1">
          <cell r="J1">
            <v>1.7453292519943295E-2</v>
          </cell>
        </row>
      </sheetData>
      <sheetData sheetId="8831">
        <row r="1">
          <cell r="J1">
            <v>1.7453292519943295E-2</v>
          </cell>
        </row>
      </sheetData>
      <sheetData sheetId="8832">
        <row r="1">
          <cell r="J1">
            <v>1.7453292519943295E-2</v>
          </cell>
        </row>
      </sheetData>
      <sheetData sheetId="8833">
        <row r="1">
          <cell r="J1">
            <v>1.7453292519943295E-2</v>
          </cell>
        </row>
      </sheetData>
      <sheetData sheetId="8834">
        <row r="1">
          <cell r="J1">
            <v>1.7453292519943295E-2</v>
          </cell>
        </row>
      </sheetData>
      <sheetData sheetId="8835">
        <row r="1">
          <cell r="J1">
            <v>1.7453292519943295E-2</v>
          </cell>
        </row>
      </sheetData>
      <sheetData sheetId="8836">
        <row r="1">
          <cell r="J1">
            <v>1.7453292519943295E-2</v>
          </cell>
        </row>
      </sheetData>
      <sheetData sheetId="8837">
        <row r="1">
          <cell r="J1">
            <v>1.7453292519943295E-2</v>
          </cell>
        </row>
      </sheetData>
      <sheetData sheetId="8838" refreshError="1"/>
      <sheetData sheetId="8839"/>
      <sheetData sheetId="8840">
        <row r="1">
          <cell r="J1">
            <v>1.7453292519943295E-2</v>
          </cell>
        </row>
      </sheetData>
      <sheetData sheetId="8841">
        <row r="1">
          <cell r="J1">
            <v>1.7453292519943295E-2</v>
          </cell>
        </row>
      </sheetData>
      <sheetData sheetId="8842" refreshError="1"/>
      <sheetData sheetId="8843"/>
      <sheetData sheetId="8844">
        <row r="1">
          <cell r="J1">
            <v>1.7453292519943295E-2</v>
          </cell>
        </row>
      </sheetData>
      <sheetData sheetId="8845" refreshError="1"/>
      <sheetData sheetId="8846">
        <row r="1">
          <cell r="J1">
            <v>1.7453292519943295E-2</v>
          </cell>
        </row>
      </sheetData>
      <sheetData sheetId="8847">
        <row r="1">
          <cell r="J1">
            <v>1.7453292519943295E-2</v>
          </cell>
        </row>
      </sheetData>
      <sheetData sheetId="8848">
        <row r="1">
          <cell r="J1">
            <v>1.7453292519943295E-2</v>
          </cell>
        </row>
      </sheetData>
      <sheetData sheetId="8849">
        <row r="1">
          <cell r="J1">
            <v>1.7453292519943295E-2</v>
          </cell>
        </row>
      </sheetData>
      <sheetData sheetId="8850">
        <row r="1">
          <cell r="J1">
            <v>1.7453292519943295E-2</v>
          </cell>
        </row>
      </sheetData>
      <sheetData sheetId="8851">
        <row r="1">
          <cell r="J1">
            <v>1.7453292519943295E-2</v>
          </cell>
        </row>
      </sheetData>
      <sheetData sheetId="8852">
        <row r="1">
          <cell r="J1">
            <v>1.7453292519943295E-2</v>
          </cell>
        </row>
      </sheetData>
      <sheetData sheetId="8853">
        <row r="1">
          <cell r="J1">
            <v>1.7453292519943295E-2</v>
          </cell>
        </row>
      </sheetData>
      <sheetData sheetId="8854">
        <row r="1">
          <cell r="J1">
            <v>1.7453292519943295E-2</v>
          </cell>
        </row>
      </sheetData>
      <sheetData sheetId="8855">
        <row r="1">
          <cell r="J1">
            <v>1.7453292519943295E-2</v>
          </cell>
        </row>
      </sheetData>
      <sheetData sheetId="8856">
        <row r="1">
          <cell r="J1">
            <v>1.7453292519943295E-2</v>
          </cell>
        </row>
      </sheetData>
      <sheetData sheetId="8857">
        <row r="1">
          <cell r="J1">
            <v>1.7453292519943295E-2</v>
          </cell>
        </row>
      </sheetData>
      <sheetData sheetId="8858">
        <row r="1">
          <cell r="J1">
            <v>1.7453292519943295E-2</v>
          </cell>
        </row>
      </sheetData>
      <sheetData sheetId="8859">
        <row r="1">
          <cell r="J1">
            <v>1.7453292519943295E-2</v>
          </cell>
        </row>
      </sheetData>
      <sheetData sheetId="8860">
        <row r="1">
          <cell r="J1">
            <v>1.7453292519943295E-2</v>
          </cell>
        </row>
      </sheetData>
      <sheetData sheetId="8861">
        <row r="1">
          <cell r="J1">
            <v>1.7453292519943295E-2</v>
          </cell>
        </row>
      </sheetData>
      <sheetData sheetId="8862">
        <row r="1">
          <cell r="J1">
            <v>1.7453292519943295E-2</v>
          </cell>
        </row>
      </sheetData>
      <sheetData sheetId="8863">
        <row r="1">
          <cell r="J1">
            <v>1.7453292519943295E-2</v>
          </cell>
        </row>
      </sheetData>
      <sheetData sheetId="8864">
        <row r="1">
          <cell r="J1">
            <v>1.7453292519943295E-2</v>
          </cell>
        </row>
      </sheetData>
      <sheetData sheetId="8865">
        <row r="1">
          <cell r="J1">
            <v>1.7453292519943295E-2</v>
          </cell>
        </row>
      </sheetData>
      <sheetData sheetId="8866">
        <row r="1">
          <cell r="J1">
            <v>1.7453292519943295E-2</v>
          </cell>
        </row>
      </sheetData>
      <sheetData sheetId="8867">
        <row r="1">
          <cell r="J1">
            <v>1.7453292519943295E-2</v>
          </cell>
        </row>
      </sheetData>
      <sheetData sheetId="8868" refreshError="1"/>
      <sheetData sheetId="8869" refreshError="1"/>
      <sheetData sheetId="8870">
        <row r="1">
          <cell r="J1">
            <v>1.7453292519943295E-2</v>
          </cell>
        </row>
      </sheetData>
      <sheetData sheetId="8871">
        <row r="1">
          <cell r="J1">
            <v>1.7453292519943295E-2</v>
          </cell>
        </row>
      </sheetData>
      <sheetData sheetId="8872">
        <row r="1">
          <cell r="J1">
            <v>1.7453292519943295E-2</v>
          </cell>
        </row>
      </sheetData>
      <sheetData sheetId="8873" refreshError="1"/>
      <sheetData sheetId="8874" refreshError="1"/>
      <sheetData sheetId="8875">
        <row r="1">
          <cell r="J1">
            <v>1.7453292519943295E-2</v>
          </cell>
        </row>
      </sheetData>
      <sheetData sheetId="8876">
        <row r="1">
          <cell r="J1">
            <v>1.7453292519943295E-2</v>
          </cell>
        </row>
      </sheetData>
      <sheetData sheetId="8877">
        <row r="1">
          <cell r="J1">
            <v>1.7453292519943295E-2</v>
          </cell>
        </row>
      </sheetData>
      <sheetData sheetId="8878" refreshError="1"/>
      <sheetData sheetId="8879">
        <row r="1">
          <cell r="J1">
            <v>1.7453292519943295E-2</v>
          </cell>
        </row>
      </sheetData>
      <sheetData sheetId="8880" refreshError="1"/>
      <sheetData sheetId="8881">
        <row r="1">
          <cell r="J1">
            <v>1.7453292519943295E-2</v>
          </cell>
        </row>
      </sheetData>
      <sheetData sheetId="8882" refreshError="1"/>
      <sheetData sheetId="8883">
        <row r="1">
          <cell r="J1">
            <v>1.7453292519943295E-2</v>
          </cell>
        </row>
      </sheetData>
      <sheetData sheetId="8884">
        <row r="1">
          <cell r="J1">
            <v>1.7453292519943295E-2</v>
          </cell>
        </row>
      </sheetData>
      <sheetData sheetId="8885">
        <row r="1">
          <cell r="J1">
            <v>1.7453292519943295E-2</v>
          </cell>
        </row>
      </sheetData>
      <sheetData sheetId="8886">
        <row r="1">
          <cell r="J1">
            <v>1.7453292519943295E-2</v>
          </cell>
        </row>
      </sheetData>
      <sheetData sheetId="8887">
        <row r="1">
          <cell r="J1">
            <v>1.7453292519943295E-2</v>
          </cell>
        </row>
      </sheetData>
      <sheetData sheetId="8888">
        <row r="1">
          <cell r="J1">
            <v>1.7453292519943295E-2</v>
          </cell>
        </row>
      </sheetData>
      <sheetData sheetId="8889">
        <row r="1">
          <cell r="J1">
            <v>1.7453292519943295E-2</v>
          </cell>
        </row>
      </sheetData>
      <sheetData sheetId="8890">
        <row r="1">
          <cell r="J1">
            <v>1.7453292519943295E-2</v>
          </cell>
        </row>
      </sheetData>
      <sheetData sheetId="8891">
        <row r="1">
          <cell r="J1">
            <v>1.7453292519943295E-2</v>
          </cell>
        </row>
      </sheetData>
      <sheetData sheetId="8892">
        <row r="1">
          <cell r="J1">
            <v>1.7453292519943295E-2</v>
          </cell>
        </row>
      </sheetData>
      <sheetData sheetId="8893">
        <row r="1">
          <cell r="J1">
            <v>1.7453292519943295E-2</v>
          </cell>
        </row>
      </sheetData>
      <sheetData sheetId="8894">
        <row r="1">
          <cell r="J1">
            <v>1.7453292519943295E-2</v>
          </cell>
        </row>
      </sheetData>
      <sheetData sheetId="8895">
        <row r="1">
          <cell r="J1">
            <v>1.7453292519943295E-2</v>
          </cell>
        </row>
      </sheetData>
      <sheetData sheetId="8896">
        <row r="1">
          <cell r="J1">
            <v>1.7453292519943295E-2</v>
          </cell>
        </row>
      </sheetData>
      <sheetData sheetId="8897">
        <row r="1">
          <cell r="J1">
            <v>1.7453292519943295E-2</v>
          </cell>
        </row>
      </sheetData>
      <sheetData sheetId="8898">
        <row r="1">
          <cell r="J1">
            <v>1.7453292519943295E-2</v>
          </cell>
        </row>
      </sheetData>
      <sheetData sheetId="8899">
        <row r="1">
          <cell r="J1">
            <v>1.7453292519943295E-2</v>
          </cell>
        </row>
      </sheetData>
      <sheetData sheetId="8900">
        <row r="1">
          <cell r="J1">
            <v>1.7453292519943295E-2</v>
          </cell>
        </row>
      </sheetData>
      <sheetData sheetId="8901">
        <row r="1">
          <cell r="J1">
            <v>1.7453292519943295E-2</v>
          </cell>
        </row>
      </sheetData>
      <sheetData sheetId="8902">
        <row r="1">
          <cell r="J1">
            <v>1.7453292519943295E-2</v>
          </cell>
        </row>
      </sheetData>
      <sheetData sheetId="8903">
        <row r="1">
          <cell r="J1">
            <v>1.7453292519943295E-2</v>
          </cell>
        </row>
      </sheetData>
      <sheetData sheetId="8904">
        <row r="1">
          <cell r="J1">
            <v>1.7453292519943295E-2</v>
          </cell>
        </row>
      </sheetData>
      <sheetData sheetId="8905" refreshError="1"/>
      <sheetData sheetId="8906" refreshError="1"/>
      <sheetData sheetId="8907">
        <row r="1">
          <cell r="J1">
            <v>1.7453292519943295E-2</v>
          </cell>
        </row>
      </sheetData>
      <sheetData sheetId="8908">
        <row r="1">
          <cell r="J1">
            <v>1.7453292519943295E-2</v>
          </cell>
        </row>
      </sheetData>
      <sheetData sheetId="8909" refreshError="1"/>
      <sheetData sheetId="8910" refreshError="1"/>
      <sheetData sheetId="8911" refreshError="1"/>
      <sheetData sheetId="8912">
        <row r="1">
          <cell r="J1">
            <v>1.7453292519943295E-2</v>
          </cell>
        </row>
      </sheetData>
      <sheetData sheetId="8913" refreshError="1"/>
      <sheetData sheetId="8914">
        <row r="1">
          <cell r="J1">
            <v>1.7453292519943295E-2</v>
          </cell>
        </row>
      </sheetData>
      <sheetData sheetId="8915">
        <row r="1">
          <cell r="J1">
            <v>1.7453292519943295E-2</v>
          </cell>
        </row>
      </sheetData>
      <sheetData sheetId="8916">
        <row r="1">
          <cell r="J1">
            <v>1.7453292519943295E-2</v>
          </cell>
        </row>
      </sheetData>
      <sheetData sheetId="8917">
        <row r="1">
          <cell r="J1">
            <v>1.7453292519943295E-2</v>
          </cell>
        </row>
      </sheetData>
      <sheetData sheetId="8918">
        <row r="1">
          <cell r="J1">
            <v>1.7453292519943295E-2</v>
          </cell>
        </row>
      </sheetData>
      <sheetData sheetId="8919">
        <row r="1">
          <cell r="J1">
            <v>1.7453292519943295E-2</v>
          </cell>
        </row>
      </sheetData>
      <sheetData sheetId="8920">
        <row r="1">
          <cell r="J1">
            <v>1.7453292519943295E-2</v>
          </cell>
        </row>
      </sheetData>
      <sheetData sheetId="8921">
        <row r="1">
          <cell r="J1">
            <v>1.7453292519943295E-2</v>
          </cell>
        </row>
      </sheetData>
      <sheetData sheetId="8922">
        <row r="1">
          <cell r="J1">
            <v>1.7453292519943295E-2</v>
          </cell>
        </row>
      </sheetData>
      <sheetData sheetId="8923">
        <row r="1">
          <cell r="J1">
            <v>1.7453292519943295E-2</v>
          </cell>
        </row>
      </sheetData>
      <sheetData sheetId="8924">
        <row r="1">
          <cell r="J1">
            <v>1.7453292519943295E-2</v>
          </cell>
        </row>
      </sheetData>
      <sheetData sheetId="8925">
        <row r="1">
          <cell r="J1">
            <v>1.7453292519943295E-2</v>
          </cell>
        </row>
      </sheetData>
      <sheetData sheetId="8926">
        <row r="1">
          <cell r="J1">
            <v>1.7453292519943295E-2</v>
          </cell>
        </row>
      </sheetData>
      <sheetData sheetId="8927">
        <row r="1">
          <cell r="J1">
            <v>1.7453292519943295E-2</v>
          </cell>
        </row>
      </sheetData>
      <sheetData sheetId="8928">
        <row r="1">
          <cell r="J1">
            <v>1.7453292519943295E-2</v>
          </cell>
        </row>
      </sheetData>
      <sheetData sheetId="8929">
        <row r="1">
          <cell r="J1">
            <v>1.7453292519943295E-2</v>
          </cell>
        </row>
      </sheetData>
      <sheetData sheetId="8930">
        <row r="1">
          <cell r="J1">
            <v>1.7453292519943295E-2</v>
          </cell>
        </row>
      </sheetData>
      <sheetData sheetId="8931">
        <row r="1">
          <cell r="J1">
            <v>1.7453292519943295E-2</v>
          </cell>
        </row>
      </sheetData>
      <sheetData sheetId="8932">
        <row r="1">
          <cell r="J1">
            <v>1.7453292519943295E-2</v>
          </cell>
        </row>
      </sheetData>
      <sheetData sheetId="8933">
        <row r="1">
          <cell r="J1">
            <v>1.7453292519943295E-2</v>
          </cell>
        </row>
      </sheetData>
      <sheetData sheetId="8934">
        <row r="1">
          <cell r="J1">
            <v>1.7453292519943295E-2</v>
          </cell>
        </row>
      </sheetData>
      <sheetData sheetId="8935" refreshError="1"/>
      <sheetData sheetId="8936" refreshError="1"/>
      <sheetData sheetId="8937" refreshError="1"/>
      <sheetData sheetId="8938">
        <row r="1">
          <cell r="J1">
            <v>1.7453292519943295E-2</v>
          </cell>
        </row>
      </sheetData>
      <sheetData sheetId="8939">
        <row r="1">
          <cell r="J1">
            <v>1.7453292519943295E-2</v>
          </cell>
        </row>
      </sheetData>
      <sheetData sheetId="8940">
        <row r="1">
          <cell r="J1">
            <v>1.7453292519943295E-2</v>
          </cell>
        </row>
      </sheetData>
      <sheetData sheetId="8941">
        <row r="1">
          <cell r="J1">
            <v>1.7453292519943295E-2</v>
          </cell>
        </row>
      </sheetData>
      <sheetData sheetId="8942">
        <row r="1">
          <cell r="J1">
            <v>1.7453292519943295E-2</v>
          </cell>
        </row>
      </sheetData>
      <sheetData sheetId="8943">
        <row r="1">
          <cell r="J1">
            <v>1.7453292519943295E-2</v>
          </cell>
        </row>
      </sheetData>
      <sheetData sheetId="8944">
        <row r="1">
          <cell r="J1">
            <v>1.7453292519943295E-2</v>
          </cell>
        </row>
      </sheetData>
      <sheetData sheetId="8945">
        <row r="1">
          <cell r="J1">
            <v>1.7453292519943295E-2</v>
          </cell>
        </row>
      </sheetData>
      <sheetData sheetId="8946">
        <row r="1">
          <cell r="J1">
            <v>1.7453292519943295E-2</v>
          </cell>
        </row>
      </sheetData>
      <sheetData sheetId="8947">
        <row r="1">
          <cell r="J1">
            <v>1.7453292519943295E-2</v>
          </cell>
        </row>
      </sheetData>
      <sheetData sheetId="8948">
        <row r="1">
          <cell r="J1">
            <v>1.7453292519943295E-2</v>
          </cell>
        </row>
      </sheetData>
      <sheetData sheetId="8949">
        <row r="1">
          <cell r="J1">
            <v>1.7453292519943295E-2</v>
          </cell>
        </row>
      </sheetData>
      <sheetData sheetId="8950">
        <row r="1">
          <cell r="J1">
            <v>1.7453292519943295E-2</v>
          </cell>
        </row>
      </sheetData>
      <sheetData sheetId="8951">
        <row r="1">
          <cell r="J1">
            <v>1.7453292519943295E-2</v>
          </cell>
        </row>
      </sheetData>
      <sheetData sheetId="8952">
        <row r="1">
          <cell r="J1">
            <v>1.7453292519943295E-2</v>
          </cell>
        </row>
      </sheetData>
      <sheetData sheetId="8953">
        <row r="1">
          <cell r="J1">
            <v>1.7453292519943295E-2</v>
          </cell>
        </row>
      </sheetData>
      <sheetData sheetId="8954" refreshError="1"/>
      <sheetData sheetId="8955" refreshError="1"/>
      <sheetData sheetId="8956">
        <row r="1">
          <cell r="J1">
            <v>1.7453292519943295E-2</v>
          </cell>
        </row>
      </sheetData>
      <sheetData sheetId="8957">
        <row r="1">
          <cell r="J1">
            <v>1.7453292519943295E-2</v>
          </cell>
        </row>
      </sheetData>
      <sheetData sheetId="8958">
        <row r="1">
          <cell r="J1">
            <v>1.7453292519943295E-2</v>
          </cell>
        </row>
      </sheetData>
      <sheetData sheetId="8959" refreshError="1"/>
      <sheetData sheetId="8960"/>
      <sheetData sheetId="8961" refreshError="1"/>
      <sheetData sheetId="8962">
        <row r="1">
          <cell r="J1">
            <v>1.7453292519943295E-2</v>
          </cell>
        </row>
      </sheetData>
      <sheetData sheetId="8963" refreshError="1"/>
      <sheetData sheetId="8964" refreshError="1"/>
      <sheetData sheetId="8965">
        <row r="1">
          <cell r="J1">
            <v>1.7453292519943295E-2</v>
          </cell>
        </row>
      </sheetData>
      <sheetData sheetId="8966">
        <row r="1">
          <cell r="J1">
            <v>1.7453292519943295E-2</v>
          </cell>
        </row>
      </sheetData>
      <sheetData sheetId="8967" refreshError="1"/>
      <sheetData sheetId="8968">
        <row r="1">
          <cell r="J1">
            <v>1.7453292519943295E-2</v>
          </cell>
        </row>
      </sheetData>
      <sheetData sheetId="8969" refreshError="1"/>
      <sheetData sheetId="8970" refreshError="1"/>
      <sheetData sheetId="8971">
        <row r="1">
          <cell r="J1">
            <v>1.7453292519943295E-2</v>
          </cell>
        </row>
      </sheetData>
      <sheetData sheetId="8972">
        <row r="1">
          <cell r="J1">
            <v>1.7453292519943295E-2</v>
          </cell>
        </row>
      </sheetData>
      <sheetData sheetId="8973">
        <row r="1">
          <cell r="J1">
            <v>1.7453292519943295E-2</v>
          </cell>
        </row>
      </sheetData>
      <sheetData sheetId="8974" refreshError="1"/>
      <sheetData sheetId="8975" refreshError="1"/>
      <sheetData sheetId="8976" refreshError="1"/>
      <sheetData sheetId="8977">
        <row r="1">
          <cell r="J1">
            <v>1.7453292519943295E-2</v>
          </cell>
        </row>
      </sheetData>
      <sheetData sheetId="8978" refreshError="1"/>
      <sheetData sheetId="8979" refreshError="1"/>
      <sheetData sheetId="8980">
        <row r="1">
          <cell r="J1">
            <v>1.7453292519943295E-2</v>
          </cell>
        </row>
      </sheetData>
      <sheetData sheetId="8981">
        <row r="1">
          <cell r="J1">
            <v>1.7453292519943295E-2</v>
          </cell>
        </row>
      </sheetData>
      <sheetData sheetId="8982">
        <row r="1">
          <cell r="J1">
            <v>1.7453292519943295E-2</v>
          </cell>
        </row>
      </sheetData>
      <sheetData sheetId="8983">
        <row r="1">
          <cell r="J1">
            <v>1.7453292519943295E-2</v>
          </cell>
        </row>
      </sheetData>
      <sheetData sheetId="8984">
        <row r="1">
          <cell r="J1">
            <v>1.7453292519943295E-2</v>
          </cell>
        </row>
      </sheetData>
      <sheetData sheetId="8985">
        <row r="1">
          <cell r="J1">
            <v>1.7453292519943295E-2</v>
          </cell>
        </row>
      </sheetData>
      <sheetData sheetId="8986">
        <row r="1">
          <cell r="J1">
            <v>1.7453292519943295E-2</v>
          </cell>
        </row>
      </sheetData>
      <sheetData sheetId="8987">
        <row r="1">
          <cell r="J1">
            <v>1.7453292519943295E-2</v>
          </cell>
        </row>
      </sheetData>
      <sheetData sheetId="8988">
        <row r="1">
          <cell r="J1">
            <v>1.7453292519943295E-2</v>
          </cell>
        </row>
      </sheetData>
      <sheetData sheetId="8989">
        <row r="1">
          <cell r="J1">
            <v>1.7453292519943295E-2</v>
          </cell>
        </row>
      </sheetData>
      <sheetData sheetId="8990">
        <row r="1">
          <cell r="J1">
            <v>1.7453292519943295E-2</v>
          </cell>
        </row>
      </sheetData>
      <sheetData sheetId="8991">
        <row r="1">
          <cell r="J1">
            <v>1.7453292519943295E-2</v>
          </cell>
        </row>
      </sheetData>
      <sheetData sheetId="8992">
        <row r="1">
          <cell r="J1">
            <v>1.7453292519943295E-2</v>
          </cell>
        </row>
      </sheetData>
      <sheetData sheetId="8993">
        <row r="1">
          <cell r="J1">
            <v>1.7453292519943295E-2</v>
          </cell>
        </row>
      </sheetData>
      <sheetData sheetId="8994">
        <row r="1">
          <cell r="J1">
            <v>1.7453292519943295E-2</v>
          </cell>
        </row>
      </sheetData>
      <sheetData sheetId="8995">
        <row r="1">
          <cell r="J1">
            <v>1.7453292519943295E-2</v>
          </cell>
        </row>
      </sheetData>
      <sheetData sheetId="8996">
        <row r="1">
          <cell r="J1">
            <v>1.7453292519943295E-2</v>
          </cell>
        </row>
      </sheetData>
      <sheetData sheetId="8997">
        <row r="1">
          <cell r="J1">
            <v>1.7453292519943295E-2</v>
          </cell>
        </row>
      </sheetData>
      <sheetData sheetId="8998">
        <row r="1">
          <cell r="J1">
            <v>1.7453292519943295E-2</v>
          </cell>
        </row>
      </sheetData>
      <sheetData sheetId="8999">
        <row r="1">
          <cell r="J1">
            <v>1.7453292519943295E-2</v>
          </cell>
        </row>
      </sheetData>
      <sheetData sheetId="9000">
        <row r="1">
          <cell r="J1">
            <v>1.7453292519943295E-2</v>
          </cell>
        </row>
      </sheetData>
      <sheetData sheetId="9001" refreshError="1"/>
      <sheetData sheetId="9002" refreshError="1"/>
      <sheetData sheetId="9003" refreshError="1"/>
      <sheetData sheetId="9004">
        <row r="1">
          <cell r="J1">
            <v>1.7453292519943295E-2</v>
          </cell>
        </row>
      </sheetData>
      <sheetData sheetId="9005">
        <row r="1">
          <cell r="J1">
            <v>1.7453292519943295E-2</v>
          </cell>
        </row>
      </sheetData>
      <sheetData sheetId="9006">
        <row r="1">
          <cell r="J1">
            <v>1.7453292519943295E-2</v>
          </cell>
        </row>
      </sheetData>
      <sheetData sheetId="9007">
        <row r="1">
          <cell r="J1">
            <v>1.7453292519943295E-2</v>
          </cell>
        </row>
      </sheetData>
      <sheetData sheetId="9008">
        <row r="1">
          <cell r="J1">
            <v>1.7453292519943295E-2</v>
          </cell>
        </row>
      </sheetData>
      <sheetData sheetId="9009">
        <row r="1">
          <cell r="J1">
            <v>1.7453292519943295E-2</v>
          </cell>
        </row>
      </sheetData>
      <sheetData sheetId="9010">
        <row r="1">
          <cell r="J1">
            <v>1.7453292519943295E-2</v>
          </cell>
        </row>
      </sheetData>
      <sheetData sheetId="9011">
        <row r="1">
          <cell r="J1">
            <v>1.7453292519943295E-2</v>
          </cell>
        </row>
      </sheetData>
      <sheetData sheetId="9012">
        <row r="1">
          <cell r="J1">
            <v>1.7453292519943295E-2</v>
          </cell>
        </row>
      </sheetData>
      <sheetData sheetId="9013">
        <row r="1">
          <cell r="J1">
            <v>1.7453292519943295E-2</v>
          </cell>
        </row>
      </sheetData>
      <sheetData sheetId="9014">
        <row r="1">
          <cell r="J1">
            <v>1.7453292519943295E-2</v>
          </cell>
        </row>
      </sheetData>
      <sheetData sheetId="9015">
        <row r="1">
          <cell r="J1">
            <v>1.7453292519943295E-2</v>
          </cell>
        </row>
      </sheetData>
      <sheetData sheetId="9016">
        <row r="1">
          <cell r="J1">
            <v>1.7453292519943295E-2</v>
          </cell>
        </row>
      </sheetData>
      <sheetData sheetId="9017">
        <row r="1">
          <cell r="J1">
            <v>1.7453292519943295E-2</v>
          </cell>
        </row>
      </sheetData>
      <sheetData sheetId="9018">
        <row r="1">
          <cell r="J1">
            <v>1.7453292519943295E-2</v>
          </cell>
        </row>
      </sheetData>
      <sheetData sheetId="9019">
        <row r="1">
          <cell r="J1">
            <v>1.7453292519943295E-2</v>
          </cell>
        </row>
      </sheetData>
      <sheetData sheetId="9020">
        <row r="1">
          <cell r="J1">
            <v>1.7453292519943295E-2</v>
          </cell>
        </row>
      </sheetData>
      <sheetData sheetId="9021">
        <row r="1">
          <cell r="J1">
            <v>1.7453292519943295E-2</v>
          </cell>
        </row>
      </sheetData>
      <sheetData sheetId="9022">
        <row r="1">
          <cell r="J1">
            <v>1.7453292519943295E-2</v>
          </cell>
        </row>
      </sheetData>
      <sheetData sheetId="9023">
        <row r="1">
          <cell r="J1">
            <v>1.7453292519943295E-2</v>
          </cell>
        </row>
      </sheetData>
      <sheetData sheetId="9024" refreshError="1"/>
      <sheetData sheetId="9025" refreshError="1"/>
      <sheetData sheetId="9026" refreshError="1"/>
      <sheetData sheetId="9027">
        <row r="1">
          <cell r="J1">
            <v>1.7453292519943295E-2</v>
          </cell>
        </row>
      </sheetData>
      <sheetData sheetId="9028">
        <row r="1">
          <cell r="J1">
            <v>1.7453292519943295E-2</v>
          </cell>
        </row>
      </sheetData>
      <sheetData sheetId="9029" refreshError="1"/>
      <sheetData sheetId="9030" refreshError="1"/>
      <sheetData sheetId="9031">
        <row r="1">
          <cell r="J1">
            <v>1.7453292519943295E-2</v>
          </cell>
        </row>
      </sheetData>
      <sheetData sheetId="9032" refreshError="1"/>
      <sheetData sheetId="9033" refreshError="1"/>
      <sheetData sheetId="9034" refreshError="1"/>
      <sheetData sheetId="9035">
        <row r="1">
          <cell r="J1">
            <v>1.7453292519943295E-2</v>
          </cell>
        </row>
      </sheetData>
      <sheetData sheetId="9036" refreshError="1"/>
      <sheetData sheetId="9037" refreshError="1"/>
      <sheetData sheetId="9038">
        <row r="1">
          <cell r="J1">
            <v>1.7453292519943295E-2</v>
          </cell>
        </row>
      </sheetData>
      <sheetData sheetId="9039" refreshError="1"/>
      <sheetData sheetId="9040" refreshError="1"/>
      <sheetData sheetId="9041" refreshError="1"/>
      <sheetData sheetId="9042">
        <row r="1">
          <cell r="J1">
            <v>1.7453292519943295E-2</v>
          </cell>
        </row>
      </sheetData>
      <sheetData sheetId="9043">
        <row r="1">
          <cell r="J1">
            <v>1.7453292519943295E-2</v>
          </cell>
        </row>
      </sheetData>
      <sheetData sheetId="9044">
        <row r="1">
          <cell r="J1">
            <v>1.7453292519943295E-2</v>
          </cell>
        </row>
      </sheetData>
      <sheetData sheetId="9045">
        <row r="1">
          <cell r="J1">
            <v>1.7453292519943295E-2</v>
          </cell>
        </row>
      </sheetData>
      <sheetData sheetId="9046">
        <row r="1">
          <cell r="J1">
            <v>1.7453292519943295E-2</v>
          </cell>
        </row>
      </sheetData>
      <sheetData sheetId="9047">
        <row r="1">
          <cell r="J1">
            <v>1.7453292519943295E-2</v>
          </cell>
        </row>
      </sheetData>
      <sheetData sheetId="9048">
        <row r="1">
          <cell r="J1">
            <v>1.7453292519943295E-2</v>
          </cell>
        </row>
      </sheetData>
      <sheetData sheetId="9049">
        <row r="1">
          <cell r="J1">
            <v>1.7453292519943295E-2</v>
          </cell>
        </row>
      </sheetData>
      <sheetData sheetId="9050">
        <row r="1">
          <cell r="J1">
            <v>1.7453292519943295E-2</v>
          </cell>
        </row>
      </sheetData>
      <sheetData sheetId="9051">
        <row r="1">
          <cell r="J1">
            <v>1.7453292519943295E-2</v>
          </cell>
        </row>
      </sheetData>
      <sheetData sheetId="9052">
        <row r="1">
          <cell r="J1">
            <v>1.7453292519943295E-2</v>
          </cell>
        </row>
      </sheetData>
      <sheetData sheetId="9053">
        <row r="1">
          <cell r="J1">
            <v>1.7453292519943295E-2</v>
          </cell>
        </row>
      </sheetData>
      <sheetData sheetId="9054">
        <row r="1">
          <cell r="J1">
            <v>1.7453292519943295E-2</v>
          </cell>
        </row>
      </sheetData>
      <sheetData sheetId="9055">
        <row r="1">
          <cell r="J1">
            <v>1.7453292519943295E-2</v>
          </cell>
        </row>
      </sheetData>
      <sheetData sheetId="9056">
        <row r="1">
          <cell r="J1">
            <v>1.7453292519943295E-2</v>
          </cell>
        </row>
      </sheetData>
      <sheetData sheetId="9057">
        <row r="1">
          <cell r="J1">
            <v>1.7453292519943295E-2</v>
          </cell>
        </row>
      </sheetData>
      <sheetData sheetId="9058">
        <row r="1">
          <cell r="J1">
            <v>1.7453292519943295E-2</v>
          </cell>
        </row>
      </sheetData>
      <sheetData sheetId="9059">
        <row r="1">
          <cell r="J1">
            <v>1.7453292519943295E-2</v>
          </cell>
        </row>
      </sheetData>
      <sheetData sheetId="9060">
        <row r="1">
          <cell r="J1">
            <v>1.7453292519943295E-2</v>
          </cell>
        </row>
      </sheetData>
      <sheetData sheetId="9061">
        <row r="1">
          <cell r="J1">
            <v>1.7453292519943295E-2</v>
          </cell>
        </row>
      </sheetData>
      <sheetData sheetId="9062">
        <row r="1">
          <cell r="J1">
            <v>1.7453292519943295E-2</v>
          </cell>
        </row>
      </sheetData>
      <sheetData sheetId="9063">
        <row r="1">
          <cell r="J1">
            <v>1.7453292519943295E-2</v>
          </cell>
        </row>
      </sheetData>
      <sheetData sheetId="9064">
        <row r="1">
          <cell r="J1">
            <v>1.7453292519943295E-2</v>
          </cell>
        </row>
      </sheetData>
      <sheetData sheetId="9065" refreshError="1"/>
      <sheetData sheetId="9066">
        <row r="1">
          <cell r="J1">
            <v>1.7453292519943295E-2</v>
          </cell>
        </row>
      </sheetData>
      <sheetData sheetId="9067" refreshError="1"/>
      <sheetData sheetId="9068" refreshError="1"/>
      <sheetData sheetId="9069">
        <row r="1">
          <cell r="J1">
            <v>1.7453292519943295E-2</v>
          </cell>
        </row>
      </sheetData>
      <sheetData sheetId="9070" refreshError="1"/>
      <sheetData sheetId="9071" refreshError="1"/>
      <sheetData sheetId="9072">
        <row r="1">
          <cell r="J1">
            <v>1.7453292519943295E-2</v>
          </cell>
        </row>
      </sheetData>
      <sheetData sheetId="9073">
        <row r="1">
          <cell r="J1">
            <v>1.7453292519943295E-2</v>
          </cell>
        </row>
      </sheetData>
      <sheetData sheetId="9074">
        <row r="1">
          <cell r="J1">
            <v>1.7453292519943295E-2</v>
          </cell>
        </row>
      </sheetData>
      <sheetData sheetId="9075">
        <row r="1">
          <cell r="J1">
            <v>1.7453292519943295E-2</v>
          </cell>
        </row>
      </sheetData>
      <sheetData sheetId="9076">
        <row r="1">
          <cell r="J1">
            <v>1.7453292519943295E-2</v>
          </cell>
        </row>
      </sheetData>
      <sheetData sheetId="9077">
        <row r="1">
          <cell r="J1">
            <v>1.7453292519943295E-2</v>
          </cell>
        </row>
      </sheetData>
      <sheetData sheetId="9078">
        <row r="1">
          <cell r="J1">
            <v>1.7453292519943295E-2</v>
          </cell>
        </row>
      </sheetData>
      <sheetData sheetId="9079">
        <row r="1">
          <cell r="J1">
            <v>1.7453292519943295E-2</v>
          </cell>
        </row>
      </sheetData>
      <sheetData sheetId="9080">
        <row r="1">
          <cell r="J1">
            <v>1.7453292519943295E-2</v>
          </cell>
        </row>
      </sheetData>
      <sheetData sheetId="9081">
        <row r="1">
          <cell r="J1">
            <v>1.7453292519943295E-2</v>
          </cell>
        </row>
      </sheetData>
      <sheetData sheetId="9082">
        <row r="1">
          <cell r="J1">
            <v>1.7453292519943295E-2</v>
          </cell>
        </row>
      </sheetData>
      <sheetData sheetId="9083">
        <row r="1">
          <cell r="J1">
            <v>1.7453292519943295E-2</v>
          </cell>
        </row>
      </sheetData>
      <sheetData sheetId="9084">
        <row r="1">
          <cell r="J1">
            <v>1.7453292519943295E-2</v>
          </cell>
        </row>
      </sheetData>
      <sheetData sheetId="9085">
        <row r="1">
          <cell r="J1">
            <v>1.7453292519943295E-2</v>
          </cell>
        </row>
      </sheetData>
      <sheetData sheetId="9086">
        <row r="1">
          <cell r="J1">
            <v>1.7453292519943295E-2</v>
          </cell>
        </row>
      </sheetData>
      <sheetData sheetId="9087">
        <row r="1">
          <cell r="J1">
            <v>1.7453292519943295E-2</v>
          </cell>
        </row>
      </sheetData>
      <sheetData sheetId="9088">
        <row r="1">
          <cell r="J1">
            <v>1.7453292519943295E-2</v>
          </cell>
        </row>
      </sheetData>
      <sheetData sheetId="9089">
        <row r="1">
          <cell r="J1">
            <v>1.7453292519943295E-2</v>
          </cell>
        </row>
      </sheetData>
      <sheetData sheetId="9090">
        <row r="1">
          <cell r="J1">
            <v>1.7453292519943295E-2</v>
          </cell>
        </row>
      </sheetData>
      <sheetData sheetId="9091">
        <row r="1">
          <cell r="J1">
            <v>1.7453292519943295E-2</v>
          </cell>
        </row>
      </sheetData>
      <sheetData sheetId="9092">
        <row r="1">
          <cell r="J1">
            <v>1.7453292519943295E-2</v>
          </cell>
        </row>
      </sheetData>
      <sheetData sheetId="9093" refreshError="1"/>
      <sheetData sheetId="9094" refreshError="1"/>
      <sheetData sheetId="9095" refreshError="1"/>
      <sheetData sheetId="9096">
        <row r="1">
          <cell r="J1">
            <v>1.7453292519943295E-2</v>
          </cell>
        </row>
      </sheetData>
      <sheetData sheetId="9097">
        <row r="1">
          <cell r="J1">
            <v>1.7453292519943295E-2</v>
          </cell>
        </row>
      </sheetData>
      <sheetData sheetId="9098">
        <row r="1">
          <cell r="J1">
            <v>1.7453292519943295E-2</v>
          </cell>
        </row>
      </sheetData>
      <sheetData sheetId="9099">
        <row r="1">
          <cell r="J1">
            <v>1.7453292519943295E-2</v>
          </cell>
        </row>
      </sheetData>
      <sheetData sheetId="9100">
        <row r="1">
          <cell r="J1">
            <v>1.7453292519943295E-2</v>
          </cell>
        </row>
      </sheetData>
      <sheetData sheetId="9101">
        <row r="1">
          <cell r="J1">
            <v>1.7453292519943295E-2</v>
          </cell>
        </row>
      </sheetData>
      <sheetData sheetId="9102">
        <row r="1">
          <cell r="J1">
            <v>1.7453292519943295E-2</v>
          </cell>
        </row>
      </sheetData>
      <sheetData sheetId="9103">
        <row r="1">
          <cell r="J1">
            <v>1.7453292519943295E-2</v>
          </cell>
        </row>
      </sheetData>
      <sheetData sheetId="9104">
        <row r="1">
          <cell r="J1">
            <v>1.7453292519943295E-2</v>
          </cell>
        </row>
      </sheetData>
      <sheetData sheetId="9105">
        <row r="1">
          <cell r="J1">
            <v>1.7453292519943295E-2</v>
          </cell>
        </row>
      </sheetData>
      <sheetData sheetId="9106">
        <row r="1">
          <cell r="J1">
            <v>1.7453292519943295E-2</v>
          </cell>
        </row>
      </sheetData>
      <sheetData sheetId="9107">
        <row r="1">
          <cell r="J1">
            <v>1.7453292519943295E-2</v>
          </cell>
        </row>
      </sheetData>
      <sheetData sheetId="9108">
        <row r="1">
          <cell r="J1">
            <v>1.7453292519943295E-2</v>
          </cell>
        </row>
      </sheetData>
      <sheetData sheetId="9109">
        <row r="1">
          <cell r="J1">
            <v>1.7453292519943295E-2</v>
          </cell>
        </row>
      </sheetData>
      <sheetData sheetId="9110">
        <row r="1">
          <cell r="J1">
            <v>1.7453292519943295E-2</v>
          </cell>
        </row>
      </sheetData>
      <sheetData sheetId="9111">
        <row r="1">
          <cell r="J1">
            <v>1.7453292519943295E-2</v>
          </cell>
        </row>
      </sheetData>
      <sheetData sheetId="9112">
        <row r="1">
          <cell r="J1">
            <v>1.7453292519943295E-2</v>
          </cell>
        </row>
      </sheetData>
      <sheetData sheetId="9113">
        <row r="1">
          <cell r="J1">
            <v>1.7453292519943295E-2</v>
          </cell>
        </row>
      </sheetData>
      <sheetData sheetId="9114">
        <row r="1">
          <cell r="J1">
            <v>1.7453292519943295E-2</v>
          </cell>
        </row>
      </sheetData>
      <sheetData sheetId="9115">
        <row r="1">
          <cell r="J1">
            <v>1.7453292519943295E-2</v>
          </cell>
        </row>
      </sheetData>
      <sheetData sheetId="9116">
        <row r="1">
          <cell r="J1">
            <v>1.7453292519943295E-2</v>
          </cell>
        </row>
      </sheetData>
      <sheetData sheetId="9117">
        <row r="1">
          <cell r="J1">
            <v>1.7453292519943295E-2</v>
          </cell>
        </row>
      </sheetData>
      <sheetData sheetId="9118" refreshError="1"/>
      <sheetData sheetId="9119">
        <row r="1">
          <cell r="J1">
            <v>1.7453292519943295E-2</v>
          </cell>
        </row>
      </sheetData>
      <sheetData sheetId="9120" refreshError="1"/>
      <sheetData sheetId="9121" refreshError="1"/>
      <sheetData sheetId="9122">
        <row r="1">
          <cell r="J1">
            <v>1.7453292519943295E-2</v>
          </cell>
        </row>
      </sheetData>
      <sheetData sheetId="9123">
        <row r="1">
          <cell r="J1">
            <v>1.7453292519943295E-2</v>
          </cell>
        </row>
      </sheetData>
      <sheetData sheetId="9124">
        <row r="1">
          <cell r="J1">
            <v>1.7453292519943295E-2</v>
          </cell>
        </row>
      </sheetData>
      <sheetData sheetId="9125" refreshError="1"/>
      <sheetData sheetId="9126">
        <row r="1">
          <cell r="J1">
            <v>1.7453292519943295E-2</v>
          </cell>
        </row>
      </sheetData>
      <sheetData sheetId="9127">
        <row r="1">
          <cell r="J1">
            <v>1.7453292519943295E-2</v>
          </cell>
        </row>
      </sheetData>
      <sheetData sheetId="9128">
        <row r="1">
          <cell r="J1">
            <v>1.7453292519943295E-2</v>
          </cell>
        </row>
      </sheetData>
      <sheetData sheetId="9129">
        <row r="1">
          <cell r="J1">
            <v>1.7453292519943295E-2</v>
          </cell>
        </row>
      </sheetData>
      <sheetData sheetId="9130" refreshError="1"/>
      <sheetData sheetId="9131">
        <row r="1">
          <cell r="J1">
            <v>1.7453292519943295E-2</v>
          </cell>
        </row>
      </sheetData>
      <sheetData sheetId="9132">
        <row r="1">
          <cell r="J1">
            <v>1.7453292519943295E-2</v>
          </cell>
        </row>
      </sheetData>
      <sheetData sheetId="9133">
        <row r="1">
          <cell r="J1">
            <v>1.7453292519943295E-2</v>
          </cell>
        </row>
      </sheetData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>
        <row r="1">
          <cell r="J1">
            <v>1.7453292519943295E-2</v>
          </cell>
        </row>
      </sheetData>
      <sheetData sheetId="9141">
        <row r="1">
          <cell r="J1">
            <v>1.7453292519943295E-2</v>
          </cell>
        </row>
      </sheetData>
      <sheetData sheetId="9142" refreshError="1"/>
      <sheetData sheetId="9143" refreshError="1"/>
      <sheetData sheetId="9144">
        <row r="1">
          <cell r="J1">
            <v>1.7453292519943295E-2</v>
          </cell>
        </row>
      </sheetData>
      <sheetData sheetId="9145" refreshError="1"/>
      <sheetData sheetId="9146">
        <row r="1">
          <cell r="J1">
            <v>1.7453292519943295E-2</v>
          </cell>
        </row>
      </sheetData>
      <sheetData sheetId="9147">
        <row r="1">
          <cell r="J1">
            <v>1.7453292519943295E-2</v>
          </cell>
        </row>
      </sheetData>
      <sheetData sheetId="9148">
        <row r="1">
          <cell r="J1">
            <v>1.7453292519943295E-2</v>
          </cell>
        </row>
      </sheetData>
      <sheetData sheetId="9149">
        <row r="1">
          <cell r="J1">
            <v>1.7453292519943295E-2</v>
          </cell>
        </row>
      </sheetData>
      <sheetData sheetId="9150">
        <row r="1">
          <cell r="J1">
            <v>1.7453292519943295E-2</v>
          </cell>
        </row>
      </sheetData>
      <sheetData sheetId="9151">
        <row r="1">
          <cell r="J1">
            <v>1.7453292519943295E-2</v>
          </cell>
        </row>
      </sheetData>
      <sheetData sheetId="9152">
        <row r="1">
          <cell r="J1">
            <v>1.7453292519943295E-2</v>
          </cell>
        </row>
      </sheetData>
      <sheetData sheetId="9153">
        <row r="1">
          <cell r="J1">
            <v>1.7453292519943295E-2</v>
          </cell>
        </row>
      </sheetData>
      <sheetData sheetId="9154">
        <row r="1">
          <cell r="J1">
            <v>1.7453292519943295E-2</v>
          </cell>
        </row>
      </sheetData>
      <sheetData sheetId="9155">
        <row r="1">
          <cell r="J1">
            <v>1.7453292519943295E-2</v>
          </cell>
        </row>
      </sheetData>
      <sheetData sheetId="9156">
        <row r="1">
          <cell r="J1">
            <v>1.7453292519943295E-2</v>
          </cell>
        </row>
      </sheetData>
      <sheetData sheetId="9157">
        <row r="1">
          <cell r="J1">
            <v>1.7453292519943295E-2</v>
          </cell>
        </row>
      </sheetData>
      <sheetData sheetId="9158">
        <row r="1">
          <cell r="J1">
            <v>1.7453292519943295E-2</v>
          </cell>
        </row>
      </sheetData>
      <sheetData sheetId="9159">
        <row r="1">
          <cell r="J1">
            <v>1.7453292519943295E-2</v>
          </cell>
        </row>
      </sheetData>
      <sheetData sheetId="9160">
        <row r="1">
          <cell r="J1">
            <v>1.7453292519943295E-2</v>
          </cell>
        </row>
      </sheetData>
      <sheetData sheetId="9161">
        <row r="1">
          <cell r="J1">
            <v>1.7453292519943295E-2</v>
          </cell>
        </row>
      </sheetData>
      <sheetData sheetId="9162">
        <row r="1">
          <cell r="J1">
            <v>1.7453292519943295E-2</v>
          </cell>
        </row>
      </sheetData>
      <sheetData sheetId="9163">
        <row r="1">
          <cell r="J1">
            <v>1.7453292519943295E-2</v>
          </cell>
        </row>
      </sheetData>
      <sheetData sheetId="9164">
        <row r="1">
          <cell r="J1">
            <v>1.7453292519943295E-2</v>
          </cell>
        </row>
      </sheetData>
      <sheetData sheetId="9165">
        <row r="1">
          <cell r="J1">
            <v>1.7453292519943295E-2</v>
          </cell>
        </row>
      </sheetData>
      <sheetData sheetId="9166">
        <row r="1">
          <cell r="J1">
            <v>1.7453292519943295E-2</v>
          </cell>
        </row>
      </sheetData>
      <sheetData sheetId="9167">
        <row r="1">
          <cell r="J1">
            <v>1.7453292519943295E-2</v>
          </cell>
        </row>
      </sheetData>
      <sheetData sheetId="9168">
        <row r="1">
          <cell r="J1">
            <v>1.7453292519943295E-2</v>
          </cell>
        </row>
      </sheetData>
      <sheetData sheetId="9169">
        <row r="1">
          <cell r="J1">
            <v>1.7453292519943295E-2</v>
          </cell>
        </row>
      </sheetData>
      <sheetData sheetId="9170">
        <row r="1">
          <cell r="J1">
            <v>1.7453292519943295E-2</v>
          </cell>
        </row>
      </sheetData>
      <sheetData sheetId="9171" refreshError="1"/>
      <sheetData sheetId="9172">
        <row r="1">
          <cell r="J1">
            <v>1.7453292519943295E-2</v>
          </cell>
        </row>
      </sheetData>
      <sheetData sheetId="9173" refreshError="1"/>
      <sheetData sheetId="9174" refreshError="1"/>
      <sheetData sheetId="9175">
        <row r="1">
          <cell r="J1">
            <v>1.7453292519943295E-2</v>
          </cell>
        </row>
      </sheetData>
      <sheetData sheetId="9176">
        <row r="1">
          <cell r="J1">
            <v>1.7453292519943295E-2</v>
          </cell>
        </row>
      </sheetData>
      <sheetData sheetId="9177" refreshError="1"/>
      <sheetData sheetId="9178">
        <row r="1">
          <cell r="J1">
            <v>1.7453292519943295E-2</v>
          </cell>
        </row>
      </sheetData>
      <sheetData sheetId="9179">
        <row r="1">
          <cell r="J1">
            <v>1.7453292519943295E-2</v>
          </cell>
        </row>
      </sheetData>
      <sheetData sheetId="9180" refreshError="1"/>
      <sheetData sheetId="9181" refreshError="1"/>
      <sheetData sheetId="9182">
        <row r="1">
          <cell r="J1">
            <v>1.7453292519943295E-2</v>
          </cell>
        </row>
      </sheetData>
      <sheetData sheetId="9183">
        <row r="1">
          <cell r="J1">
            <v>1.7453292519943295E-2</v>
          </cell>
        </row>
      </sheetData>
      <sheetData sheetId="9184" refreshError="1"/>
      <sheetData sheetId="9185" refreshError="1"/>
      <sheetData sheetId="9186">
        <row r="1">
          <cell r="J1">
            <v>1.7453292519943295E-2</v>
          </cell>
        </row>
      </sheetData>
      <sheetData sheetId="9187">
        <row r="1">
          <cell r="J1">
            <v>1.7453292519943295E-2</v>
          </cell>
        </row>
      </sheetData>
      <sheetData sheetId="9188" refreshError="1"/>
      <sheetData sheetId="9189">
        <row r="1">
          <cell r="J1">
            <v>1.7453292519943295E-2</v>
          </cell>
        </row>
      </sheetData>
      <sheetData sheetId="9190" refreshError="1"/>
      <sheetData sheetId="9191" refreshError="1"/>
      <sheetData sheetId="9192">
        <row r="1">
          <cell r="J1">
            <v>1.7453292519943295E-2</v>
          </cell>
        </row>
      </sheetData>
      <sheetData sheetId="9193">
        <row r="1">
          <cell r="J1">
            <v>1.7453292519943295E-2</v>
          </cell>
        </row>
      </sheetData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>
        <row r="1">
          <cell r="J1">
            <v>1.7453292519943295E-2</v>
          </cell>
        </row>
      </sheetData>
      <sheetData sheetId="9200" refreshError="1"/>
      <sheetData sheetId="9201" refreshError="1"/>
      <sheetData sheetId="9202" refreshError="1"/>
      <sheetData sheetId="9203">
        <row r="1">
          <cell r="J1">
            <v>1.7453292519943295E-2</v>
          </cell>
        </row>
      </sheetData>
      <sheetData sheetId="9204">
        <row r="1">
          <cell r="J1">
            <v>1.7453292519943295E-2</v>
          </cell>
        </row>
      </sheetData>
      <sheetData sheetId="9205" refreshError="1"/>
      <sheetData sheetId="9206">
        <row r="1">
          <cell r="J1">
            <v>1.7453292519943295E-2</v>
          </cell>
        </row>
      </sheetData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>
        <row r="1">
          <cell r="J1">
            <v>1.7453292519943295E-2</v>
          </cell>
        </row>
      </sheetData>
      <sheetData sheetId="9214" refreshError="1"/>
      <sheetData sheetId="9215" refreshError="1"/>
      <sheetData sheetId="9216">
        <row r="1">
          <cell r="J1">
            <v>1.7453292519943295E-2</v>
          </cell>
        </row>
      </sheetData>
      <sheetData sheetId="9217">
        <row r="1">
          <cell r="J1">
            <v>1.7453292519943295E-2</v>
          </cell>
        </row>
      </sheetData>
      <sheetData sheetId="9218">
        <row r="1">
          <cell r="J1">
            <v>1.7453292519943295E-2</v>
          </cell>
        </row>
      </sheetData>
      <sheetData sheetId="9219">
        <row r="1">
          <cell r="J1">
            <v>1.7453292519943295E-2</v>
          </cell>
        </row>
      </sheetData>
      <sheetData sheetId="9220" refreshError="1"/>
      <sheetData sheetId="9221">
        <row r="1">
          <cell r="J1">
            <v>1.7453292519943295E-2</v>
          </cell>
        </row>
      </sheetData>
      <sheetData sheetId="9222" refreshError="1"/>
      <sheetData sheetId="9223" refreshError="1"/>
      <sheetData sheetId="9224" refreshError="1"/>
      <sheetData sheetId="9225">
        <row r="1">
          <cell r="J1">
            <v>1.7453292519943295E-2</v>
          </cell>
        </row>
      </sheetData>
      <sheetData sheetId="9226">
        <row r="1">
          <cell r="J1">
            <v>1.7453292519943295E-2</v>
          </cell>
        </row>
      </sheetData>
      <sheetData sheetId="9227" refreshError="1"/>
      <sheetData sheetId="9228">
        <row r="1">
          <cell r="J1">
            <v>1.7453292519943295E-2</v>
          </cell>
        </row>
      </sheetData>
      <sheetData sheetId="9229" refreshError="1"/>
      <sheetData sheetId="9230" refreshError="1"/>
      <sheetData sheetId="9231">
        <row r="1">
          <cell r="J1">
            <v>1.7453292519943295E-2</v>
          </cell>
        </row>
      </sheetData>
      <sheetData sheetId="9232">
        <row r="1">
          <cell r="J1">
            <v>1.7453292519943295E-2</v>
          </cell>
        </row>
      </sheetData>
      <sheetData sheetId="9233">
        <row r="1">
          <cell r="J1">
            <v>1.7453292519943295E-2</v>
          </cell>
        </row>
      </sheetData>
      <sheetData sheetId="9234" refreshError="1"/>
      <sheetData sheetId="9235">
        <row r="1">
          <cell r="J1">
            <v>1.7453292519943295E-2</v>
          </cell>
        </row>
      </sheetData>
      <sheetData sheetId="9236" refreshError="1"/>
      <sheetData sheetId="9237" refreshError="1"/>
      <sheetData sheetId="9238">
        <row r="1">
          <cell r="J1">
            <v>1.7453292519943295E-2</v>
          </cell>
        </row>
      </sheetData>
      <sheetData sheetId="9239">
        <row r="1">
          <cell r="J1">
            <v>1.7453292519943295E-2</v>
          </cell>
        </row>
      </sheetData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>
        <row r="1">
          <cell r="J1">
            <v>1.7453292519943295E-2</v>
          </cell>
        </row>
      </sheetData>
      <sheetData sheetId="9246">
        <row r="1">
          <cell r="J1">
            <v>1.7453292519943295E-2</v>
          </cell>
        </row>
      </sheetData>
      <sheetData sheetId="9247" refreshError="1"/>
      <sheetData sheetId="9248">
        <row r="1">
          <cell r="J1">
            <v>1.7453292519943295E-2</v>
          </cell>
        </row>
      </sheetData>
      <sheetData sheetId="9249" refreshError="1"/>
      <sheetData sheetId="9250" refreshError="1"/>
      <sheetData sheetId="9251" refreshError="1"/>
      <sheetData sheetId="9252">
        <row r="1">
          <cell r="J1">
            <v>1.7453292519943295E-2</v>
          </cell>
        </row>
      </sheetData>
      <sheetData sheetId="9253"/>
      <sheetData sheetId="9254" refreshError="1"/>
      <sheetData sheetId="9255"/>
      <sheetData sheetId="9256" refreshError="1"/>
      <sheetData sheetId="9257" refreshError="1"/>
      <sheetData sheetId="9258">
        <row r="1">
          <cell r="J1">
            <v>1.7453292519943295E-2</v>
          </cell>
        </row>
      </sheetData>
      <sheetData sheetId="9259">
        <row r="1">
          <cell r="J1">
            <v>1.7453292519943295E-2</v>
          </cell>
        </row>
      </sheetData>
      <sheetData sheetId="9260" refreshError="1"/>
      <sheetData sheetId="9261">
        <row r="1">
          <cell r="J1">
            <v>1.7453292519943295E-2</v>
          </cell>
        </row>
      </sheetData>
      <sheetData sheetId="9262" refreshError="1"/>
      <sheetData sheetId="9263" refreshError="1"/>
      <sheetData sheetId="9264" refreshError="1"/>
      <sheetData sheetId="9265">
        <row r="1">
          <cell r="J1">
            <v>1.7453292519943295E-2</v>
          </cell>
        </row>
      </sheetData>
      <sheetData sheetId="9266"/>
      <sheetData sheetId="9267" refreshError="1"/>
      <sheetData sheetId="9268"/>
      <sheetData sheetId="9269" refreshError="1"/>
      <sheetData sheetId="9270" refreshError="1"/>
      <sheetData sheetId="9271">
        <row r="1">
          <cell r="J1">
            <v>1.7453292519943295E-2</v>
          </cell>
        </row>
      </sheetData>
      <sheetData sheetId="9272">
        <row r="1">
          <cell r="J1">
            <v>1.7453292519943295E-2</v>
          </cell>
        </row>
      </sheetData>
      <sheetData sheetId="9273" refreshError="1"/>
      <sheetData sheetId="9274" refreshError="1"/>
      <sheetData sheetId="9275"/>
      <sheetData sheetId="9276" refreshError="1"/>
      <sheetData sheetId="9277" refreshError="1"/>
      <sheetData sheetId="9278" refreshError="1"/>
      <sheetData sheetId="9279">
        <row r="1">
          <cell r="J1">
            <v>1.7453292519943295E-2</v>
          </cell>
        </row>
      </sheetData>
      <sheetData sheetId="9280"/>
      <sheetData sheetId="9281" refreshError="1"/>
      <sheetData sheetId="9282"/>
      <sheetData sheetId="9283" refreshError="1"/>
      <sheetData sheetId="9284" refreshError="1"/>
      <sheetData sheetId="9285" refreshError="1"/>
      <sheetData sheetId="9286">
        <row r="1">
          <cell r="J1">
            <v>1.7453292519943295E-2</v>
          </cell>
        </row>
      </sheetData>
      <sheetData sheetId="9287"/>
      <sheetData sheetId="9288" refreshError="1"/>
      <sheetData sheetId="9289"/>
      <sheetData sheetId="9290" refreshError="1"/>
      <sheetData sheetId="9291" refreshError="1"/>
      <sheetData sheetId="9292">
        <row r="1">
          <cell r="J1">
            <v>1.7453292519943295E-2</v>
          </cell>
        </row>
      </sheetData>
      <sheetData sheetId="9293"/>
      <sheetData sheetId="9294" refreshError="1"/>
      <sheetData sheetId="9295"/>
      <sheetData sheetId="9296" refreshError="1"/>
      <sheetData sheetId="9297"/>
      <sheetData sheetId="9298"/>
      <sheetData sheetId="9299" refreshError="1"/>
      <sheetData sheetId="9300" refreshError="1"/>
      <sheetData sheetId="9301">
        <row r="1">
          <cell r="J1">
            <v>1.7453292519943295E-2</v>
          </cell>
        </row>
      </sheetData>
      <sheetData sheetId="9302" refreshError="1"/>
      <sheetData sheetId="9303"/>
      <sheetData sheetId="9304"/>
      <sheetData sheetId="9305" refreshError="1"/>
      <sheetData sheetId="9306">
        <row r="1">
          <cell r="J1">
            <v>1.7453292519943295E-2</v>
          </cell>
        </row>
      </sheetData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/>
      <sheetData sheetId="9313">
        <row r="1">
          <cell r="J1">
            <v>1.7453292519943295E-2</v>
          </cell>
        </row>
      </sheetData>
      <sheetData sheetId="9314" refreshError="1"/>
      <sheetData sheetId="9315"/>
      <sheetData sheetId="9316" refreshError="1"/>
      <sheetData sheetId="9317" refreshError="1"/>
      <sheetData sheetId="9318"/>
      <sheetData sheetId="9319">
        <row r="1">
          <cell r="J1">
            <v>1.7453292519943295E-2</v>
          </cell>
        </row>
      </sheetData>
      <sheetData sheetId="9320" refreshError="1"/>
      <sheetData sheetId="9321"/>
      <sheetData sheetId="9322" refreshError="1"/>
      <sheetData sheetId="9323" refreshError="1"/>
      <sheetData sheetId="9324" refreshError="1"/>
      <sheetData sheetId="9325"/>
      <sheetData sheetId="9326">
        <row r="1">
          <cell r="J1">
            <v>1.7453292519943295E-2</v>
          </cell>
        </row>
      </sheetData>
      <sheetData sheetId="9327" refreshError="1"/>
      <sheetData sheetId="9328"/>
      <sheetData sheetId="9329" refreshError="1"/>
      <sheetData sheetId="9330"/>
      <sheetData sheetId="9331" refreshError="1"/>
      <sheetData sheetId="9332" refreshError="1"/>
      <sheetData sheetId="9333"/>
      <sheetData sheetId="9334">
        <row r="1">
          <cell r="J1">
            <v>1.7453292519943295E-2</v>
          </cell>
        </row>
      </sheetData>
      <sheetData sheetId="9335" refreshError="1"/>
      <sheetData sheetId="9336" refreshError="1"/>
      <sheetData sheetId="9337"/>
      <sheetData sheetId="9338">
        <row r="1">
          <cell r="J1">
            <v>1.7453292519943295E-2</v>
          </cell>
        </row>
      </sheetData>
      <sheetData sheetId="9339" refreshError="1"/>
      <sheetData sheetId="9340" refreshError="1"/>
      <sheetData sheetId="9341"/>
      <sheetData sheetId="9342">
        <row r="1">
          <cell r="J1">
            <v>1.7453292519943295E-2</v>
          </cell>
        </row>
      </sheetData>
      <sheetData sheetId="9343"/>
      <sheetData sheetId="9344" refreshError="1"/>
      <sheetData sheetId="9345">
        <row r="1">
          <cell r="J1">
            <v>1.7453292519943295E-2</v>
          </cell>
        </row>
      </sheetData>
      <sheetData sheetId="9346">
        <row r="1">
          <cell r="J1">
            <v>1.7453292519943295E-2</v>
          </cell>
        </row>
      </sheetData>
      <sheetData sheetId="9347" refreshError="1"/>
      <sheetData sheetId="9348" refreshError="1"/>
      <sheetData sheetId="9349"/>
      <sheetData sheetId="9350"/>
      <sheetData sheetId="9351" refreshError="1"/>
      <sheetData sheetId="9352" refreshError="1"/>
      <sheetData sheetId="9353" refreshError="1"/>
      <sheetData sheetId="9354"/>
      <sheetData sheetId="9355"/>
      <sheetData sheetId="9356" refreshError="1"/>
      <sheetData sheetId="9357">
        <row r="1">
          <cell r="J1">
            <v>1.7453292519943295E-2</v>
          </cell>
        </row>
      </sheetData>
      <sheetData sheetId="9358" refreshError="1"/>
      <sheetData sheetId="9359" refreshError="1"/>
      <sheetData sheetId="9360" refreshError="1"/>
      <sheetData sheetId="9361">
        <row r="1">
          <cell r="J1">
            <v>1.7453292519943295E-2</v>
          </cell>
        </row>
      </sheetData>
      <sheetData sheetId="9362">
        <row r="1">
          <cell r="J1">
            <v>1.7453292519943295E-2</v>
          </cell>
        </row>
      </sheetData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/>
      <sheetData sheetId="9369"/>
      <sheetData sheetId="9370" refreshError="1"/>
      <sheetData sheetId="9371">
        <row r="1">
          <cell r="J1">
            <v>1.7453292519943295E-2</v>
          </cell>
        </row>
      </sheetData>
      <sheetData sheetId="9372" refreshError="1"/>
      <sheetData sheetId="9373" refreshError="1"/>
      <sheetData sheetId="9374"/>
      <sheetData sheetId="9375"/>
      <sheetData sheetId="9376" refreshError="1"/>
      <sheetData sheetId="9377">
        <row r="1">
          <cell r="J1">
            <v>1.7453292519943295E-2</v>
          </cell>
        </row>
      </sheetData>
      <sheetData sheetId="9378" refreshError="1"/>
      <sheetData sheetId="9379">
        <row r="1">
          <cell r="J1">
            <v>1.7453292519943295E-2</v>
          </cell>
        </row>
      </sheetData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>
        <row r="1">
          <cell r="J1">
            <v>1.7453292519943295E-2</v>
          </cell>
        </row>
      </sheetData>
      <sheetData sheetId="9386" refreshError="1"/>
      <sheetData sheetId="9387" refreshError="1"/>
      <sheetData sheetId="9388">
        <row r="1">
          <cell r="J1">
            <v>1.7453292519943295E-2</v>
          </cell>
        </row>
      </sheetData>
      <sheetData sheetId="9389"/>
      <sheetData sheetId="9390" refreshError="1"/>
      <sheetData sheetId="9391" refreshError="1"/>
      <sheetData sheetId="9392" refreshError="1"/>
      <sheetData sheetId="9393" refreshError="1"/>
      <sheetData sheetId="9394">
        <row r="1">
          <cell r="J1">
            <v>1.7453292519943295E-2</v>
          </cell>
        </row>
      </sheetData>
      <sheetData sheetId="9395" refreshError="1"/>
      <sheetData sheetId="9396" refreshError="1"/>
      <sheetData sheetId="9397"/>
      <sheetData sheetId="9398"/>
      <sheetData sheetId="9399">
        <row r="1">
          <cell r="J1">
            <v>1.7453292519943295E-2</v>
          </cell>
        </row>
      </sheetData>
      <sheetData sheetId="9400">
        <row r="1">
          <cell r="J1">
            <v>1.7453292519943295E-2</v>
          </cell>
        </row>
      </sheetData>
      <sheetData sheetId="9401" refreshError="1"/>
      <sheetData sheetId="9402">
        <row r="1">
          <cell r="J1">
            <v>1.7453292519943295E-2</v>
          </cell>
        </row>
      </sheetData>
      <sheetData sheetId="9403" refreshError="1"/>
      <sheetData sheetId="9404" refreshError="1"/>
      <sheetData sheetId="9405">
        <row r="1">
          <cell r="J1">
            <v>1.7453292519943295E-2</v>
          </cell>
        </row>
      </sheetData>
      <sheetData sheetId="9406">
        <row r="1">
          <cell r="J1">
            <v>1.7453292519943295E-2</v>
          </cell>
        </row>
      </sheetData>
      <sheetData sheetId="9407" refreshError="1"/>
      <sheetData sheetId="9408"/>
      <sheetData sheetId="9409" refreshError="1"/>
      <sheetData sheetId="9410">
        <row r="1">
          <cell r="J1">
            <v>1.7453292519943295E-2</v>
          </cell>
        </row>
      </sheetData>
      <sheetData sheetId="9411">
        <row r="1">
          <cell r="J1">
            <v>1.7453292519943295E-2</v>
          </cell>
        </row>
      </sheetData>
      <sheetData sheetId="9412" refreshError="1"/>
      <sheetData sheetId="9413" refreshError="1"/>
      <sheetData sheetId="9414" refreshError="1"/>
      <sheetData sheetId="9415">
        <row r="1">
          <cell r="J1">
            <v>1.7453292519943295E-2</v>
          </cell>
        </row>
      </sheetData>
      <sheetData sheetId="9416" refreshError="1"/>
      <sheetData sheetId="9417" refreshError="1"/>
      <sheetData sheetId="9418">
        <row r="1">
          <cell r="J1">
            <v>1.7453292519943295E-2</v>
          </cell>
        </row>
      </sheetData>
      <sheetData sheetId="9419">
        <row r="1">
          <cell r="J1">
            <v>1.7453292519943295E-2</v>
          </cell>
        </row>
      </sheetData>
      <sheetData sheetId="9420" refreshError="1"/>
      <sheetData sheetId="9421">
        <row r="1">
          <cell r="J1">
            <v>1.7453292519943295E-2</v>
          </cell>
        </row>
      </sheetData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>
        <row r="1">
          <cell r="J1">
            <v>1.7453292519943295E-2</v>
          </cell>
        </row>
      </sheetData>
      <sheetData sheetId="9429">
        <row r="1">
          <cell r="J1">
            <v>1.7453292519943295E-2</v>
          </cell>
        </row>
      </sheetData>
      <sheetData sheetId="9430" refreshError="1"/>
      <sheetData sheetId="9431">
        <row r="1">
          <cell r="J1">
            <v>1.7453292519943295E-2</v>
          </cell>
        </row>
      </sheetData>
      <sheetData sheetId="9432" refreshError="1"/>
      <sheetData sheetId="9433">
        <row r="1">
          <cell r="J1">
            <v>1.7453292519943295E-2</v>
          </cell>
        </row>
      </sheetData>
      <sheetData sheetId="9434">
        <row r="1">
          <cell r="J1">
            <v>1.7453292519943295E-2</v>
          </cell>
        </row>
      </sheetData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>
        <row r="1">
          <cell r="J1">
            <v>1.7453292519943295E-2</v>
          </cell>
        </row>
      </sheetData>
      <sheetData sheetId="9442">
        <row r="1">
          <cell r="J1">
            <v>1.7453292519943295E-2</v>
          </cell>
        </row>
      </sheetData>
      <sheetData sheetId="9443" refreshError="1"/>
      <sheetData sheetId="9444">
        <row r="1">
          <cell r="J1">
            <v>1.7453292519943295E-2</v>
          </cell>
        </row>
      </sheetData>
      <sheetData sheetId="9445" refreshError="1"/>
      <sheetData sheetId="9446" refreshError="1"/>
      <sheetData sheetId="9447" refreshError="1"/>
      <sheetData sheetId="9448">
        <row r="1">
          <cell r="J1">
            <v>1.7453292519943295E-2</v>
          </cell>
        </row>
      </sheetData>
      <sheetData sheetId="9449">
        <row r="1">
          <cell r="J1">
            <v>1.7453292519943295E-2</v>
          </cell>
        </row>
      </sheetData>
      <sheetData sheetId="9450">
        <row r="1">
          <cell r="J1">
            <v>1.7453292519943295E-2</v>
          </cell>
        </row>
      </sheetData>
      <sheetData sheetId="9451" refreshError="1"/>
      <sheetData sheetId="9452" refreshError="1"/>
      <sheetData sheetId="9453">
        <row r="1">
          <cell r="J1">
            <v>1.7453292519943295E-2</v>
          </cell>
        </row>
      </sheetData>
      <sheetData sheetId="9454" refreshError="1"/>
      <sheetData sheetId="9455" refreshError="1"/>
      <sheetData sheetId="9456">
        <row r="1">
          <cell r="J1">
            <v>1.7453292519943295E-2</v>
          </cell>
        </row>
      </sheetData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>
        <row r="1">
          <cell r="J1">
            <v>1.7453292519943295E-2</v>
          </cell>
        </row>
      </sheetData>
      <sheetData sheetId="9465">
        <row r="1">
          <cell r="J1">
            <v>1.7453292519943295E-2</v>
          </cell>
        </row>
      </sheetData>
      <sheetData sheetId="9466">
        <row r="1">
          <cell r="J1">
            <v>1.7453292519943295E-2</v>
          </cell>
        </row>
      </sheetData>
      <sheetData sheetId="9467" refreshError="1"/>
      <sheetData sheetId="9468">
        <row r="1">
          <cell r="J1">
            <v>1.7453292519943295E-2</v>
          </cell>
        </row>
      </sheetData>
      <sheetData sheetId="9469" refreshError="1"/>
      <sheetData sheetId="9470">
        <row r="1">
          <cell r="J1">
            <v>1.7453292519943295E-2</v>
          </cell>
        </row>
      </sheetData>
      <sheetData sheetId="9471" refreshError="1"/>
      <sheetData sheetId="9472">
        <row r="1">
          <cell r="J1">
            <v>1.7453292519943295E-2</v>
          </cell>
        </row>
      </sheetData>
      <sheetData sheetId="9473" refreshError="1"/>
      <sheetData sheetId="9474" refreshError="1"/>
      <sheetData sheetId="9475" refreshError="1"/>
      <sheetData sheetId="9476">
        <row r="1">
          <cell r="J1">
            <v>1.7453292519943295E-2</v>
          </cell>
        </row>
      </sheetData>
      <sheetData sheetId="9477">
        <row r="1">
          <cell r="J1">
            <v>1.7453292519943295E-2</v>
          </cell>
        </row>
      </sheetData>
      <sheetData sheetId="9478" refreshError="1"/>
      <sheetData sheetId="9479">
        <row r="1">
          <cell r="J1">
            <v>1.7453292519943295E-2</v>
          </cell>
        </row>
      </sheetData>
      <sheetData sheetId="9480" refreshError="1"/>
      <sheetData sheetId="9481" refreshError="1"/>
      <sheetData sheetId="9482">
        <row r="1">
          <cell r="J1">
            <v>1.7453292519943295E-2</v>
          </cell>
        </row>
      </sheetData>
      <sheetData sheetId="9483">
        <row r="1">
          <cell r="J1">
            <v>1.7453292519943295E-2</v>
          </cell>
        </row>
      </sheetData>
      <sheetData sheetId="9484" refreshError="1"/>
      <sheetData sheetId="9485" refreshError="1"/>
      <sheetData sheetId="9486" refreshError="1"/>
      <sheetData sheetId="9487" refreshError="1"/>
      <sheetData sheetId="9488">
        <row r="1">
          <cell r="J1">
            <v>1.7453292519943295E-2</v>
          </cell>
        </row>
      </sheetData>
      <sheetData sheetId="9489">
        <row r="1">
          <cell r="J1">
            <v>1.7453292519943295E-2</v>
          </cell>
        </row>
      </sheetData>
      <sheetData sheetId="9490" refreshError="1"/>
      <sheetData sheetId="9491">
        <row r="1">
          <cell r="J1">
            <v>1.7453292519943295E-2</v>
          </cell>
        </row>
      </sheetData>
      <sheetData sheetId="9492" refreshError="1"/>
      <sheetData sheetId="9493">
        <row r="1">
          <cell r="J1">
            <v>1.7453292519943295E-2</v>
          </cell>
        </row>
      </sheetData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>
        <row r="1">
          <cell r="J1">
            <v>1.7453292519943295E-2</v>
          </cell>
        </row>
      </sheetData>
      <sheetData sheetId="9503">
        <row r="1">
          <cell r="J1">
            <v>1.7453292519943295E-2</v>
          </cell>
        </row>
      </sheetData>
      <sheetData sheetId="9504">
        <row r="1">
          <cell r="J1">
            <v>1.7453292519943295E-2</v>
          </cell>
        </row>
      </sheetData>
      <sheetData sheetId="9505">
        <row r="1">
          <cell r="J1">
            <v>1.7453292519943295E-2</v>
          </cell>
        </row>
      </sheetData>
      <sheetData sheetId="9506" refreshError="1"/>
      <sheetData sheetId="9507">
        <row r="1">
          <cell r="J1">
            <v>1.7453292519943295E-2</v>
          </cell>
        </row>
      </sheetData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>
        <row r="1">
          <cell r="J1">
            <v>1.7453292519943295E-2</v>
          </cell>
        </row>
      </sheetData>
      <sheetData sheetId="9514">
        <row r="1">
          <cell r="J1">
            <v>1.7453292519943295E-2</v>
          </cell>
        </row>
      </sheetData>
      <sheetData sheetId="9515" refreshError="1"/>
      <sheetData sheetId="9516">
        <row r="1">
          <cell r="J1">
            <v>1.7453292519943295E-2</v>
          </cell>
        </row>
      </sheetData>
      <sheetData sheetId="9517" refreshError="1"/>
      <sheetData sheetId="9518" refreshError="1"/>
      <sheetData sheetId="9519">
        <row r="1">
          <cell r="J1">
            <v>1.7453292519943295E-2</v>
          </cell>
        </row>
      </sheetData>
      <sheetData sheetId="9520" refreshError="1"/>
      <sheetData sheetId="9521" refreshError="1"/>
      <sheetData sheetId="9522">
        <row r="1">
          <cell r="J1">
            <v>1.7453292519943295E-2</v>
          </cell>
        </row>
      </sheetData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>
        <row r="1">
          <cell r="J1">
            <v>1.7453292519943295E-2</v>
          </cell>
        </row>
      </sheetData>
      <sheetData sheetId="9531">
        <row r="1">
          <cell r="J1">
            <v>1.7453292519943295E-2</v>
          </cell>
        </row>
      </sheetData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>
        <row r="1">
          <cell r="J1">
            <v>1.7453292519943295E-2</v>
          </cell>
        </row>
      </sheetData>
      <sheetData sheetId="9540">
        <row r="1">
          <cell r="J1">
            <v>1.7453292519943295E-2</v>
          </cell>
        </row>
      </sheetData>
      <sheetData sheetId="9541" refreshError="1"/>
      <sheetData sheetId="9542">
        <row r="1">
          <cell r="J1">
            <v>1.7453292519943295E-2</v>
          </cell>
        </row>
      </sheetData>
      <sheetData sheetId="9543" refreshError="1"/>
      <sheetData sheetId="9544" refreshError="1"/>
      <sheetData sheetId="9545" refreshError="1"/>
      <sheetData sheetId="9546" refreshError="1"/>
      <sheetData sheetId="9547">
        <row r="1">
          <cell r="J1">
            <v>1.7453292519943295E-2</v>
          </cell>
        </row>
      </sheetData>
      <sheetData sheetId="9548" refreshError="1"/>
      <sheetData sheetId="9549" refreshError="1"/>
      <sheetData sheetId="9550">
        <row r="1">
          <cell r="J1">
            <v>1.7453292519943295E-2</v>
          </cell>
        </row>
      </sheetData>
      <sheetData sheetId="9551" refreshError="1"/>
      <sheetData sheetId="9552" refreshError="1"/>
      <sheetData sheetId="9553" refreshError="1"/>
      <sheetData sheetId="9554" refreshError="1"/>
      <sheetData sheetId="9555">
        <row r="1">
          <cell r="J1">
            <v>1.7453292519943295E-2</v>
          </cell>
        </row>
      </sheetData>
      <sheetData sheetId="9556">
        <row r="1">
          <cell r="J1">
            <v>1.7453292519943295E-2</v>
          </cell>
        </row>
      </sheetData>
      <sheetData sheetId="9557" refreshError="1"/>
      <sheetData sheetId="9558">
        <row r="1">
          <cell r="J1">
            <v>1.7453292519943295E-2</v>
          </cell>
        </row>
      </sheetData>
      <sheetData sheetId="9559" refreshError="1"/>
      <sheetData sheetId="9560" refreshError="1"/>
      <sheetData sheetId="9561">
        <row r="1">
          <cell r="J1">
            <v>1.7453292519943295E-2</v>
          </cell>
        </row>
      </sheetData>
      <sheetData sheetId="9562">
        <row r="1">
          <cell r="J1">
            <v>1.7453292519943295E-2</v>
          </cell>
        </row>
      </sheetData>
      <sheetData sheetId="9563" refreshError="1"/>
      <sheetData sheetId="9564">
        <row r="1">
          <cell r="J1">
            <v>1.7453292519943295E-2</v>
          </cell>
        </row>
      </sheetData>
      <sheetData sheetId="9565" refreshError="1"/>
      <sheetData sheetId="9566">
        <row r="1">
          <cell r="J1">
            <v>1.7453292519943295E-2</v>
          </cell>
        </row>
      </sheetData>
      <sheetData sheetId="9567">
        <row r="1">
          <cell r="J1">
            <v>1.7453292519943295E-2</v>
          </cell>
        </row>
      </sheetData>
      <sheetData sheetId="9568" refreshError="1"/>
      <sheetData sheetId="9569">
        <row r="1">
          <cell r="J1">
            <v>1.7453292519943295E-2</v>
          </cell>
        </row>
      </sheetData>
      <sheetData sheetId="9570" refreshError="1"/>
      <sheetData sheetId="9571" refreshError="1"/>
      <sheetData sheetId="9572">
        <row r="1">
          <cell r="J1">
            <v>1.7453292519943295E-2</v>
          </cell>
        </row>
      </sheetData>
      <sheetData sheetId="9573">
        <row r="1">
          <cell r="J1">
            <v>1.7453292519943295E-2</v>
          </cell>
        </row>
      </sheetData>
      <sheetData sheetId="9574" refreshError="1"/>
      <sheetData sheetId="9575">
        <row r="1">
          <cell r="J1">
            <v>1.7453292519943295E-2</v>
          </cell>
        </row>
      </sheetData>
      <sheetData sheetId="9576"/>
      <sheetData sheetId="9577" refreshError="1"/>
      <sheetData sheetId="9578">
        <row r="1">
          <cell r="J1">
            <v>1.7453292519943295E-2</v>
          </cell>
        </row>
      </sheetData>
      <sheetData sheetId="9579"/>
      <sheetData sheetId="9580">
        <row r="1">
          <cell r="J1">
            <v>1.7453292519943295E-2</v>
          </cell>
        </row>
      </sheetData>
      <sheetData sheetId="9581">
        <row r="1">
          <cell r="J1">
            <v>1.7453292519943295E-2</v>
          </cell>
        </row>
      </sheetData>
      <sheetData sheetId="9582">
        <row r="1">
          <cell r="J1">
            <v>1.7453292519943295E-2</v>
          </cell>
        </row>
      </sheetData>
      <sheetData sheetId="9583">
        <row r="1">
          <cell r="J1">
            <v>1.7453292519943295E-2</v>
          </cell>
        </row>
      </sheetData>
      <sheetData sheetId="9584">
        <row r="1">
          <cell r="J1">
            <v>1.7453292519943295E-2</v>
          </cell>
        </row>
      </sheetData>
      <sheetData sheetId="9585">
        <row r="1">
          <cell r="J1">
            <v>1.7453292519943295E-2</v>
          </cell>
        </row>
      </sheetData>
      <sheetData sheetId="9586">
        <row r="1">
          <cell r="J1">
            <v>1.7453292519943295E-2</v>
          </cell>
        </row>
      </sheetData>
      <sheetData sheetId="9587">
        <row r="1">
          <cell r="J1">
            <v>1.7453292519943295E-2</v>
          </cell>
        </row>
      </sheetData>
      <sheetData sheetId="9588">
        <row r="1">
          <cell r="J1">
            <v>1.7453292519943295E-2</v>
          </cell>
        </row>
      </sheetData>
      <sheetData sheetId="9589">
        <row r="1">
          <cell r="J1">
            <v>1.7453292519943295E-2</v>
          </cell>
        </row>
      </sheetData>
      <sheetData sheetId="9590">
        <row r="1">
          <cell r="J1">
            <v>1.7453292519943295E-2</v>
          </cell>
        </row>
      </sheetData>
      <sheetData sheetId="9591">
        <row r="1">
          <cell r="J1">
            <v>1.7453292519943295E-2</v>
          </cell>
        </row>
      </sheetData>
      <sheetData sheetId="9592">
        <row r="1">
          <cell r="J1">
            <v>1.7453292519943295E-2</v>
          </cell>
        </row>
      </sheetData>
      <sheetData sheetId="9593">
        <row r="1">
          <cell r="J1">
            <v>1.7453292519943295E-2</v>
          </cell>
        </row>
      </sheetData>
      <sheetData sheetId="9594">
        <row r="1">
          <cell r="J1">
            <v>1.7453292519943295E-2</v>
          </cell>
        </row>
      </sheetData>
      <sheetData sheetId="9595">
        <row r="1">
          <cell r="J1">
            <v>1.7453292519943295E-2</v>
          </cell>
        </row>
      </sheetData>
      <sheetData sheetId="9596">
        <row r="1">
          <cell r="J1">
            <v>1.7453292519943295E-2</v>
          </cell>
        </row>
      </sheetData>
      <sheetData sheetId="9597">
        <row r="1">
          <cell r="J1">
            <v>1.7453292519943295E-2</v>
          </cell>
        </row>
      </sheetData>
      <sheetData sheetId="9598">
        <row r="1">
          <cell r="J1">
            <v>1.7453292519943295E-2</v>
          </cell>
        </row>
      </sheetData>
      <sheetData sheetId="9599">
        <row r="1">
          <cell r="J1">
            <v>1.7453292519943295E-2</v>
          </cell>
        </row>
      </sheetData>
      <sheetData sheetId="9600">
        <row r="1">
          <cell r="J1">
            <v>1.7453292519943295E-2</v>
          </cell>
        </row>
      </sheetData>
      <sheetData sheetId="9601">
        <row r="1">
          <cell r="J1">
            <v>1.7453292519943295E-2</v>
          </cell>
        </row>
      </sheetData>
      <sheetData sheetId="9602">
        <row r="1">
          <cell r="J1">
            <v>1.7453292519943295E-2</v>
          </cell>
        </row>
      </sheetData>
      <sheetData sheetId="9603">
        <row r="1">
          <cell r="J1">
            <v>1.7453292519943295E-2</v>
          </cell>
        </row>
      </sheetData>
      <sheetData sheetId="9604">
        <row r="1">
          <cell r="J1">
            <v>1.7453292519943295E-2</v>
          </cell>
        </row>
      </sheetData>
      <sheetData sheetId="9605">
        <row r="1">
          <cell r="J1">
            <v>1.7453292519943295E-2</v>
          </cell>
        </row>
      </sheetData>
      <sheetData sheetId="9606" refreshError="1"/>
      <sheetData sheetId="9607" refreshError="1"/>
      <sheetData sheetId="9608">
        <row r="1">
          <cell r="J1">
            <v>1.7453292519943295E-2</v>
          </cell>
        </row>
      </sheetData>
      <sheetData sheetId="9609" refreshError="1"/>
      <sheetData sheetId="9610" refreshError="1"/>
      <sheetData sheetId="9611">
        <row r="1">
          <cell r="J1">
            <v>1.7453292519943295E-2</v>
          </cell>
        </row>
      </sheetData>
      <sheetData sheetId="9612">
        <row r="1">
          <cell r="J1">
            <v>1.7453292519943295E-2</v>
          </cell>
        </row>
      </sheetData>
      <sheetData sheetId="9613">
        <row r="1">
          <cell r="J1">
            <v>1.7453292519943295E-2</v>
          </cell>
        </row>
      </sheetData>
      <sheetData sheetId="9614">
        <row r="1">
          <cell r="J1">
            <v>1.7453292519943295E-2</v>
          </cell>
        </row>
      </sheetData>
      <sheetData sheetId="9615">
        <row r="1">
          <cell r="J1">
            <v>1.7453292519943295E-2</v>
          </cell>
        </row>
      </sheetData>
      <sheetData sheetId="9616">
        <row r="1">
          <cell r="J1">
            <v>1.7453292519943295E-2</v>
          </cell>
        </row>
      </sheetData>
      <sheetData sheetId="9617">
        <row r="1">
          <cell r="J1">
            <v>1.7453292519943295E-2</v>
          </cell>
        </row>
      </sheetData>
      <sheetData sheetId="9618">
        <row r="1">
          <cell r="J1">
            <v>1.7453292519943295E-2</v>
          </cell>
        </row>
      </sheetData>
      <sheetData sheetId="9619">
        <row r="1">
          <cell r="J1">
            <v>1.7453292519943295E-2</v>
          </cell>
        </row>
      </sheetData>
      <sheetData sheetId="9620">
        <row r="1">
          <cell r="J1">
            <v>1.7453292519943295E-2</v>
          </cell>
        </row>
      </sheetData>
      <sheetData sheetId="9621">
        <row r="1">
          <cell r="J1">
            <v>1.7453292519943295E-2</v>
          </cell>
        </row>
      </sheetData>
      <sheetData sheetId="9622">
        <row r="1">
          <cell r="J1">
            <v>1.7453292519943295E-2</v>
          </cell>
        </row>
      </sheetData>
      <sheetData sheetId="9623">
        <row r="1">
          <cell r="J1">
            <v>1.7453292519943295E-2</v>
          </cell>
        </row>
      </sheetData>
      <sheetData sheetId="9624">
        <row r="1">
          <cell r="J1">
            <v>1.7453292519943295E-2</v>
          </cell>
        </row>
      </sheetData>
      <sheetData sheetId="9625">
        <row r="1">
          <cell r="J1">
            <v>1.7453292519943295E-2</v>
          </cell>
        </row>
      </sheetData>
      <sheetData sheetId="9626">
        <row r="1">
          <cell r="J1">
            <v>1.7453292519943295E-2</v>
          </cell>
        </row>
      </sheetData>
      <sheetData sheetId="9627">
        <row r="1">
          <cell r="J1">
            <v>1.7453292519943295E-2</v>
          </cell>
        </row>
      </sheetData>
      <sheetData sheetId="9628">
        <row r="1">
          <cell r="J1">
            <v>1.7453292519943295E-2</v>
          </cell>
        </row>
      </sheetData>
      <sheetData sheetId="9629">
        <row r="1">
          <cell r="J1">
            <v>1.7453292519943295E-2</v>
          </cell>
        </row>
      </sheetData>
      <sheetData sheetId="9630">
        <row r="1">
          <cell r="J1">
            <v>1.7453292519943295E-2</v>
          </cell>
        </row>
      </sheetData>
      <sheetData sheetId="9631">
        <row r="1">
          <cell r="J1">
            <v>1.7453292519943295E-2</v>
          </cell>
        </row>
      </sheetData>
      <sheetData sheetId="9632">
        <row r="1">
          <cell r="J1">
            <v>1.7453292519943295E-2</v>
          </cell>
        </row>
      </sheetData>
      <sheetData sheetId="9633">
        <row r="1">
          <cell r="J1">
            <v>1.7453292519943295E-2</v>
          </cell>
        </row>
      </sheetData>
      <sheetData sheetId="9634">
        <row r="1">
          <cell r="J1">
            <v>1.7453292519943295E-2</v>
          </cell>
        </row>
      </sheetData>
      <sheetData sheetId="9635">
        <row r="1">
          <cell r="J1">
            <v>1.7453292519943295E-2</v>
          </cell>
        </row>
      </sheetData>
      <sheetData sheetId="9636">
        <row r="1">
          <cell r="J1">
            <v>1.7453292519943295E-2</v>
          </cell>
        </row>
      </sheetData>
      <sheetData sheetId="9637">
        <row r="1">
          <cell r="J1">
            <v>1.7453292519943295E-2</v>
          </cell>
        </row>
      </sheetData>
      <sheetData sheetId="9638">
        <row r="1">
          <cell r="J1">
            <v>1.7453292519943295E-2</v>
          </cell>
        </row>
      </sheetData>
      <sheetData sheetId="9639">
        <row r="1">
          <cell r="J1">
            <v>1.7453292519943295E-2</v>
          </cell>
        </row>
      </sheetData>
      <sheetData sheetId="9640">
        <row r="1">
          <cell r="J1">
            <v>1.7453292519943295E-2</v>
          </cell>
        </row>
      </sheetData>
      <sheetData sheetId="9641">
        <row r="1">
          <cell r="J1">
            <v>1.7453292519943295E-2</v>
          </cell>
        </row>
      </sheetData>
      <sheetData sheetId="9642">
        <row r="1">
          <cell r="J1">
            <v>1.7453292519943295E-2</v>
          </cell>
        </row>
      </sheetData>
      <sheetData sheetId="9643">
        <row r="1">
          <cell r="J1">
            <v>1.7453292519943295E-2</v>
          </cell>
        </row>
      </sheetData>
      <sheetData sheetId="9644" refreshError="1"/>
      <sheetData sheetId="9645">
        <row r="1">
          <cell r="J1">
            <v>1.7453292519943295E-2</v>
          </cell>
        </row>
      </sheetData>
      <sheetData sheetId="9646" refreshError="1"/>
      <sheetData sheetId="9647" refreshError="1"/>
      <sheetData sheetId="9648" refreshError="1"/>
      <sheetData sheetId="9649" refreshError="1"/>
      <sheetData sheetId="9650">
        <row r="1">
          <cell r="J1">
            <v>1.7453292519943295E-2</v>
          </cell>
        </row>
      </sheetData>
      <sheetData sheetId="9651">
        <row r="1">
          <cell r="J1">
            <v>1.7453292519943295E-2</v>
          </cell>
        </row>
      </sheetData>
      <sheetData sheetId="9652">
        <row r="1">
          <cell r="J1">
            <v>1.7453292519943295E-2</v>
          </cell>
        </row>
      </sheetData>
      <sheetData sheetId="9653">
        <row r="1">
          <cell r="J1">
            <v>1.7453292519943295E-2</v>
          </cell>
        </row>
      </sheetData>
      <sheetData sheetId="9654">
        <row r="1">
          <cell r="J1">
            <v>1.7453292519943295E-2</v>
          </cell>
        </row>
      </sheetData>
      <sheetData sheetId="9655">
        <row r="1">
          <cell r="J1">
            <v>1.7453292519943295E-2</v>
          </cell>
        </row>
      </sheetData>
      <sheetData sheetId="9656">
        <row r="1">
          <cell r="J1">
            <v>1.7453292519943295E-2</v>
          </cell>
        </row>
      </sheetData>
      <sheetData sheetId="9657">
        <row r="1">
          <cell r="J1">
            <v>1.7453292519943295E-2</v>
          </cell>
        </row>
      </sheetData>
      <sheetData sheetId="9658">
        <row r="1">
          <cell r="J1">
            <v>1.7453292519943295E-2</v>
          </cell>
        </row>
      </sheetData>
      <sheetData sheetId="9659">
        <row r="1">
          <cell r="J1">
            <v>1.7453292519943295E-2</v>
          </cell>
        </row>
      </sheetData>
      <sheetData sheetId="9660">
        <row r="1">
          <cell r="J1">
            <v>1.7453292519943295E-2</v>
          </cell>
        </row>
      </sheetData>
      <sheetData sheetId="9661">
        <row r="1">
          <cell r="J1">
            <v>1.7453292519943295E-2</v>
          </cell>
        </row>
      </sheetData>
      <sheetData sheetId="9662">
        <row r="1">
          <cell r="J1">
            <v>1.7453292519943295E-2</v>
          </cell>
        </row>
      </sheetData>
      <sheetData sheetId="9663">
        <row r="1">
          <cell r="J1">
            <v>1.7453292519943295E-2</v>
          </cell>
        </row>
      </sheetData>
      <sheetData sheetId="9664">
        <row r="1">
          <cell r="J1">
            <v>1.7453292519943295E-2</v>
          </cell>
        </row>
      </sheetData>
      <sheetData sheetId="9665">
        <row r="1">
          <cell r="J1">
            <v>1.7453292519943295E-2</v>
          </cell>
        </row>
      </sheetData>
      <sheetData sheetId="9666">
        <row r="1">
          <cell r="J1">
            <v>1.7453292519943295E-2</v>
          </cell>
        </row>
      </sheetData>
      <sheetData sheetId="9667">
        <row r="1">
          <cell r="J1">
            <v>1.7453292519943295E-2</v>
          </cell>
        </row>
      </sheetData>
      <sheetData sheetId="9668">
        <row r="1">
          <cell r="J1">
            <v>1.7453292519943295E-2</v>
          </cell>
        </row>
      </sheetData>
      <sheetData sheetId="9669">
        <row r="1">
          <cell r="J1">
            <v>1.7453292519943295E-2</v>
          </cell>
        </row>
      </sheetData>
      <sheetData sheetId="9670">
        <row r="1">
          <cell r="J1">
            <v>1.7453292519943295E-2</v>
          </cell>
        </row>
      </sheetData>
      <sheetData sheetId="9671">
        <row r="1">
          <cell r="J1">
            <v>1.7453292519943295E-2</v>
          </cell>
        </row>
      </sheetData>
      <sheetData sheetId="9672">
        <row r="1">
          <cell r="J1">
            <v>1.7453292519943295E-2</v>
          </cell>
        </row>
      </sheetData>
      <sheetData sheetId="9673">
        <row r="1">
          <cell r="J1">
            <v>1.7453292519943295E-2</v>
          </cell>
        </row>
      </sheetData>
      <sheetData sheetId="9674">
        <row r="1">
          <cell r="J1">
            <v>1.7453292519943295E-2</v>
          </cell>
        </row>
      </sheetData>
      <sheetData sheetId="9675">
        <row r="1">
          <cell r="J1">
            <v>1.7453292519943295E-2</v>
          </cell>
        </row>
      </sheetData>
      <sheetData sheetId="9676">
        <row r="1">
          <cell r="J1">
            <v>1.7453292519943295E-2</v>
          </cell>
        </row>
      </sheetData>
      <sheetData sheetId="9677">
        <row r="1">
          <cell r="J1">
            <v>1.7453292519943295E-2</v>
          </cell>
        </row>
      </sheetData>
      <sheetData sheetId="9678">
        <row r="1">
          <cell r="J1">
            <v>1.7453292519943295E-2</v>
          </cell>
        </row>
      </sheetData>
      <sheetData sheetId="9679">
        <row r="1">
          <cell r="J1">
            <v>1.7453292519943295E-2</v>
          </cell>
        </row>
      </sheetData>
      <sheetData sheetId="9680">
        <row r="1">
          <cell r="J1">
            <v>1.7453292519943295E-2</v>
          </cell>
        </row>
      </sheetData>
      <sheetData sheetId="9681">
        <row r="1">
          <cell r="J1">
            <v>1.7453292519943295E-2</v>
          </cell>
        </row>
      </sheetData>
      <sheetData sheetId="9682">
        <row r="1">
          <cell r="J1">
            <v>1.7453292519943295E-2</v>
          </cell>
        </row>
      </sheetData>
      <sheetData sheetId="9683">
        <row r="1">
          <cell r="J1">
            <v>1.7453292519943295E-2</v>
          </cell>
        </row>
      </sheetData>
      <sheetData sheetId="9684">
        <row r="1">
          <cell r="J1">
            <v>1.7453292519943295E-2</v>
          </cell>
        </row>
      </sheetData>
      <sheetData sheetId="9685">
        <row r="1">
          <cell r="J1">
            <v>1.7453292519943295E-2</v>
          </cell>
        </row>
      </sheetData>
      <sheetData sheetId="9686">
        <row r="1">
          <cell r="J1">
            <v>1.7453292519943295E-2</v>
          </cell>
        </row>
      </sheetData>
      <sheetData sheetId="9687">
        <row r="1">
          <cell r="J1">
            <v>1.7453292519943295E-2</v>
          </cell>
        </row>
      </sheetData>
      <sheetData sheetId="9688">
        <row r="1">
          <cell r="J1">
            <v>1.7453292519943295E-2</v>
          </cell>
        </row>
      </sheetData>
      <sheetData sheetId="9689">
        <row r="1">
          <cell r="J1">
            <v>1.7453292519943295E-2</v>
          </cell>
        </row>
      </sheetData>
      <sheetData sheetId="9690">
        <row r="1">
          <cell r="J1">
            <v>1.7453292519943295E-2</v>
          </cell>
        </row>
      </sheetData>
      <sheetData sheetId="9691">
        <row r="1">
          <cell r="J1">
            <v>1.7453292519943295E-2</v>
          </cell>
        </row>
      </sheetData>
      <sheetData sheetId="9692">
        <row r="1">
          <cell r="J1">
            <v>1.7453292519943295E-2</v>
          </cell>
        </row>
      </sheetData>
      <sheetData sheetId="9693">
        <row r="1">
          <cell r="J1">
            <v>1.7453292519943295E-2</v>
          </cell>
        </row>
      </sheetData>
      <sheetData sheetId="9694">
        <row r="1">
          <cell r="J1">
            <v>1.7453292519943295E-2</v>
          </cell>
        </row>
      </sheetData>
      <sheetData sheetId="9695" refreshError="1"/>
      <sheetData sheetId="9696">
        <row r="1">
          <cell r="J1">
            <v>1.7453292519943295E-2</v>
          </cell>
        </row>
      </sheetData>
      <sheetData sheetId="9697">
        <row r="1">
          <cell r="J1">
            <v>1.7453292519943295E-2</v>
          </cell>
        </row>
      </sheetData>
      <sheetData sheetId="9698">
        <row r="1">
          <cell r="J1">
            <v>1.7453292519943295E-2</v>
          </cell>
        </row>
      </sheetData>
      <sheetData sheetId="9699">
        <row r="1">
          <cell r="J1">
            <v>1.7453292519943295E-2</v>
          </cell>
        </row>
      </sheetData>
      <sheetData sheetId="9700">
        <row r="1">
          <cell r="J1">
            <v>1.7453292519943295E-2</v>
          </cell>
        </row>
      </sheetData>
      <sheetData sheetId="9701">
        <row r="1">
          <cell r="J1">
            <v>1.7453292519943295E-2</v>
          </cell>
        </row>
      </sheetData>
      <sheetData sheetId="9702">
        <row r="1">
          <cell r="J1">
            <v>1.7453292519943295E-2</v>
          </cell>
        </row>
      </sheetData>
      <sheetData sheetId="9703">
        <row r="1">
          <cell r="J1">
            <v>1.7453292519943295E-2</v>
          </cell>
        </row>
      </sheetData>
      <sheetData sheetId="9704">
        <row r="1">
          <cell r="J1">
            <v>1.7453292519943295E-2</v>
          </cell>
        </row>
      </sheetData>
      <sheetData sheetId="9705">
        <row r="1">
          <cell r="J1">
            <v>1.7453292519943295E-2</v>
          </cell>
        </row>
      </sheetData>
      <sheetData sheetId="9706">
        <row r="1">
          <cell r="J1">
            <v>1.7453292519943295E-2</v>
          </cell>
        </row>
      </sheetData>
      <sheetData sheetId="9707">
        <row r="1">
          <cell r="J1">
            <v>1.7453292519943295E-2</v>
          </cell>
        </row>
      </sheetData>
      <sheetData sheetId="9708">
        <row r="1">
          <cell r="J1">
            <v>1.7453292519943295E-2</v>
          </cell>
        </row>
      </sheetData>
      <sheetData sheetId="9709">
        <row r="1">
          <cell r="J1">
            <v>1.7453292519943295E-2</v>
          </cell>
        </row>
      </sheetData>
      <sheetData sheetId="9710">
        <row r="1">
          <cell r="J1">
            <v>1.7453292519943295E-2</v>
          </cell>
        </row>
      </sheetData>
      <sheetData sheetId="9711">
        <row r="1">
          <cell r="J1">
            <v>1.7453292519943295E-2</v>
          </cell>
        </row>
      </sheetData>
      <sheetData sheetId="9712">
        <row r="1">
          <cell r="J1">
            <v>1.7453292519943295E-2</v>
          </cell>
        </row>
      </sheetData>
      <sheetData sheetId="9713">
        <row r="1">
          <cell r="J1">
            <v>1.7453292519943295E-2</v>
          </cell>
        </row>
      </sheetData>
      <sheetData sheetId="9714">
        <row r="1">
          <cell r="J1">
            <v>1.7453292519943295E-2</v>
          </cell>
        </row>
      </sheetData>
      <sheetData sheetId="9715">
        <row r="1">
          <cell r="J1">
            <v>1.7453292519943295E-2</v>
          </cell>
        </row>
      </sheetData>
      <sheetData sheetId="9716">
        <row r="1">
          <cell r="J1">
            <v>1.7453292519943295E-2</v>
          </cell>
        </row>
      </sheetData>
      <sheetData sheetId="9717">
        <row r="1">
          <cell r="J1">
            <v>1.7453292519943295E-2</v>
          </cell>
        </row>
      </sheetData>
      <sheetData sheetId="9718">
        <row r="1">
          <cell r="J1">
            <v>1.7453292519943295E-2</v>
          </cell>
        </row>
      </sheetData>
      <sheetData sheetId="9719">
        <row r="1">
          <cell r="J1">
            <v>1.7453292519943295E-2</v>
          </cell>
        </row>
      </sheetData>
      <sheetData sheetId="9720">
        <row r="1">
          <cell r="J1">
            <v>1.7453292519943295E-2</v>
          </cell>
        </row>
      </sheetData>
      <sheetData sheetId="9721">
        <row r="1">
          <cell r="J1">
            <v>1.7453292519943295E-2</v>
          </cell>
        </row>
      </sheetData>
      <sheetData sheetId="9722" refreshError="1"/>
      <sheetData sheetId="9723">
        <row r="1">
          <cell r="J1">
            <v>1.7453292519943295E-2</v>
          </cell>
        </row>
      </sheetData>
      <sheetData sheetId="9724">
        <row r="1">
          <cell r="J1">
            <v>1.7453292519943295E-2</v>
          </cell>
        </row>
      </sheetData>
      <sheetData sheetId="9725">
        <row r="1">
          <cell r="J1">
            <v>1.7453292519943295E-2</v>
          </cell>
        </row>
      </sheetData>
      <sheetData sheetId="9726">
        <row r="1">
          <cell r="J1">
            <v>1.7453292519943295E-2</v>
          </cell>
        </row>
      </sheetData>
      <sheetData sheetId="9727">
        <row r="1">
          <cell r="J1">
            <v>1.7453292519943295E-2</v>
          </cell>
        </row>
      </sheetData>
      <sheetData sheetId="9728">
        <row r="1">
          <cell r="J1">
            <v>1.7453292519943295E-2</v>
          </cell>
        </row>
      </sheetData>
      <sheetData sheetId="9729">
        <row r="1">
          <cell r="J1">
            <v>1.7453292519943295E-2</v>
          </cell>
        </row>
      </sheetData>
      <sheetData sheetId="9730">
        <row r="1">
          <cell r="J1">
            <v>1.7453292519943295E-2</v>
          </cell>
        </row>
      </sheetData>
      <sheetData sheetId="9731">
        <row r="1">
          <cell r="J1">
            <v>1.7453292519943295E-2</v>
          </cell>
        </row>
      </sheetData>
      <sheetData sheetId="9732">
        <row r="1">
          <cell r="J1">
            <v>1.7453292519943295E-2</v>
          </cell>
        </row>
      </sheetData>
      <sheetData sheetId="9733">
        <row r="1">
          <cell r="J1">
            <v>1.7453292519943295E-2</v>
          </cell>
        </row>
      </sheetData>
      <sheetData sheetId="9734">
        <row r="1">
          <cell r="J1">
            <v>1.7453292519943295E-2</v>
          </cell>
        </row>
      </sheetData>
      <sheetData sheetId="9735">
        <row r="1">
          <cell r="J1">
            <v>1.7453292519943295E-2</v>
          </cell>
        </row>
      </sheetData>
      <sheetData sheetId="9736">
        <row r="1">
          <cell r="J1">
            <v>1.7453292519943295E-2</v>
          </cell>
        </row>
      </sheetData>
      <sheetData sheetId="9737">
        <row r="1">
          <cell r="J1">
            <v>1.7453292519943295E-2</v>
          </cell>
        </row>
      </sheetData>
      <sheetData sheetId="9738">
        <row r="1">
          <cell r="J1">
            <v>1.7453292519943295E-2</v>
          </cell>
        </row>
      </sheetData>
      <sheetData sheetId="9739">
        <row r="1">
          <cell r="J1">
            <v>1.7453292519943295E-2</v>
          </cell>
        </row>
      </sheetData>
      <sheetData sheetId="9740">
        <row r="1">
          <cell r="J1">
            <v>1.7453292519943295E-2</v>
          </cell>
        </row>
      </sheetData>
      <sheetData sheetId="9741">
        <row r="1">
          <cell r="J1">
            <v>1.7453292519943295E-2</v>
          </cell>
        </row>
      </sheetData>
      <sheetData sheetId="9742">
        <row r="1">
          <cell r="J1">
            <v>1.7453292519943295E-2</v>
          </cell>
        </row>
      </sheetData>
      <sheetData sheetId="9743">
        <row r="1">
          <cell r="J1">
            <v>1.7453292519943295E-2</v>
          </cell>
        </row>
      </sheetData>
      <sheetData sheetId="9744">
        <row r="1">
          <cell r="J1">
            <v>1.7453292519943295E-2</v>
          </cell>
        </row>
      </sheetData>
      <sheetData sheetId="9745">
        <row r="1">
          <cell r="J1">
            <v>1.7453292519943295E-2</v>
          </cell>
        </row>
      </sheetData>
      <sheetData sheetId="9746">
        <row r="1">
          <cell r="J1">
            <v>1.7453292519943295E-2</v>
          </cell>
        </row>
      </sheetData>
      <sheetData sheetId="9747">
        <row r="1">
          <cell r="J1">
            <v>1.7453292519943295E-2</v>
          </cell>
        </row>
      </sheetData>
      <sheetData sheetId="9748">
        <row r="1">
          <cell r="J1">
            <v>1.7453292519943295E-2</v>
          </cell>
        </row>
      </sheetData>
      <sheetData sheetId="9749">
        <row r="1">
          <cell r="J1">
            <v>1.7453292519943295E-2</v>
          </cell>
        </row>
      </sheetData>
      <sheetData sheetId="9750">
        <row r="1">
          <cell r="J1">
            <v>1.7453292519943295E-2</v>
          </cell>
        </row>
      </sheetData>
      <sheetData sheetId="9751">
        <row r="1">
          <cell r="J1">
            <v>1.7453292519943295E-2</v>
          </cell>
        </row>
      </sheetData>
      <sheetData sheetId="9752">
        <row r="1">
          <cell r="J1">
            <v>1.7453292519943295E-2</v>
          </cell>
        </row>
      </sheetData>
      <sheetData sheetId="9753">
        <row r="1">
          <cell r="J1">
            <v>1.7453292519943295E-2</v>
          </cell>
        </row>
      </sheetData>
      <sheetData sheetId="9754">
        <row r="1">
          <cell r="J1">
            <v>1.7453292519943295E-2</v>
          </cell>
        </row>
      </sheetData>
      <sheetData sheetId="9755">
        <row r="1">
          <cell r="J1">
            <v>1.7453292519943295E-2</v>
          </cell>
        </row>
      </sheetData>
      <sheetData sheetId="9756">
        <row r="1">
          <cell r="J1">
            <v>1.7453292519943295E-2</v>
          </cell>
        </row>
      </sheetData>
      <sheetData sheetId="9757">
        <row r="1">
          <cell r="J1">
            <v>1.7453292519943295E-2</v>
          </cell>
        </row>
      </sheetData>
      <sheetData sheetId="9758">
        <row r="1">
          <cell r="J1">
            <v>1.7453292519943295E-2</v>
          </cell>
        </row>
      </sheetData>
      <sheetData sheetId="9759">
        <row r="1">
          <cell r="J1">
            <v>1.7453292519943295E-2</v>
          </cell>
        </row>
      </sheetData>
      <sheetData sheetId="9760">
        <row r="1">
          <cell r="J1">
            <v>1.7453292519943295E-2</v>
          </cell>
        </row>
      </sheetData>
      <sheetData sheetId="9761">
        <row r="1">
          <cell r="J1">
            <v>1.7453292519943295E-2</v>
          </cell>
        </row>
      </sheetData>
      <sheetData sheetId="9762">
        <row r="1">
          <cell r="J1">
            <v>1.7453292519943295E-2</v>
          </cell>
        </row>
      </sheetData>
      <sheetData sheetId="9763">
        <row r="1">
          <cell r="J1">
            <v>1.7453292519943295E-2</v>
          </cell>
        </row>
      </sheetData>
      <sheetData sheetId="9764">
        <row r="1">
          <cell r="J1">
            <v>1.7453292519943295E-2</v>
          </cell>
        </row>
      </sheetData>
      <sheetData sheetId="9765">
        <row r="1">
          <cell r="J1">
            <v>1.7453292519943295E-2</v>
          </cell>
        </row>
      </sheetData>
      <sheetData sheetId="9766">
        <row r="1">
          <cell r="J1">
            <v>1.7453292519943295E-2</v>
          </cell>
        </row>
      </sheetData>
      <sheetData sheetId="9767">
        <row r="1">
          <cell r="J1">
            <v>1.7453292519943295E-2</v>
          </cell>
        </row>
      </sheetData>
      <sheetData sheetId="9768">
        <row r="1">
          <cell r="J1">
            <v>1.7453292519943295E-2</v>
          </cell>
        </row>
      </sheetData>
      <sheetData sheetId="9769">
        <row r="1">
          <cell r="J1">
            <v>1.7453292519943295E-2</v>
          </cell>
        </row>
      </sheetData>
      <sheetData sheetId="9770">
        <row r="1">
          <cell r="J1">
            <v>1.7453292519943295E-2</v>
          </cell>
        </row>
      </sheetData>
      <sheetData sheetId="9771">
        <row r="1">
          <cell r="J1">
            <v>1.7453292519943295E-2</v>
          </cell>
        </row>
      </sheetData>
      <sheetData sheetId="9772">
        <row r="1">
          <cell r="J1">
            <v>1.7453292519943295E-2</v>
          </cell>
        </row>
      </sheetData>
      <sheetData sheetId="9773">
        <row r="1">
          <cell r="J1">
            <v>1.7453292519943295E-2</v>
          </cell>
        </row>
      </sheetData>
      <sheetData sheetId="9774">
        <row r="1">
          <cell r="J1">
            <v>1.7453292519943295E-2</v>
          </cell>
        </row>
      </sheetData>
      <sheetData sheetId="9775">
        <row r="1">
          <cell r="J1">
            <v>1.7453292519943295E-2</v>
          </cell>
        </row>
      </sheetData>
      <sheetData sheetId="9776">
        <row r="1">
          <cell r="J1">
            <v>1.7453292519943295E-2</v>
          </cell>
        </row>
      </sheetData>
      <sheetData sheetId="9777">
        <row r="1">
          <cell r="J1">
            <v>1.7453292519943295E-2</v>
          </cell>
        </row>
      </sheetData>
      <sheetData sheetId="9778">
        <row r="1">
          <cell r="J1">
            <v>1.7453292519943295E-2</v>
          </cell>
        </row>
      </sheetData>
      <sheetData sheetId="9779">
        <row r="1">
          <cell r="J1">
            <v>1.7453292519943295E-2</v>
          </cell>
        </row>
      </sheetData>
      <sheetData sheetId="9780">
        <row r="1">
          <cell r="J1">
            <v>1.7453292519943295E-2</v>
          </cell>
        </row>
      </sheetData>
      <sheetData sheetId="9781">
        <row r="1">
          <cell r="J1">
            <v>1.7453292519943295E-2</v>
          </cell>
        </row>
      </sheetData>
      <sheetData sheetId="9782">
        <row r="1">
          <cell r="J1">
            <v>1.7453292519943295E-2</v>
          </cell>
        </row>
      </sheetData>
      <sheetData sheetId="9783">
        <row r="1">
          <cell r="J1">
            <v>1.7453292519943295E-2</v>
          </cell>
        </row>
      </sheetData>
      <sheetData sheetId="9784">
        <row r="1">
          <cell r="J1">
            <v>1.7453292519943295E-2</v>
          </cell>
        </row>
      </sheetData>
      <sheetData sheetId="9785">
        <row r="1">
          <cell r="J1">
            <v>1.7453292519943295E-2</v>
          </cell>
        </row>
      </sheetData>
      <sheetData sheetId="9786">
        <row r="1">
          <cell r="J1">
            <v>1.7453292519943295E-2</v>
          </cell>
        </row>
      </sheetData>
      <sheetData sheetId="9787">
        <row r="1">
          <cell r="J1">
            <v>1.7453292519943295E-2</v>
          </cell>
        </row>
      </sheetData>
      <sheetData sheetId="9788">
        <row r="1">
          <cell r="J1">
            <v>1.7453292519943295E-2</v>
          </cell>
        </row>
      </sheetData>
      <sheetData sheetId="9789">
        <row r="1">
          <cell r="J1">
            <v>1.7453292519943295E-2</v>
          </cell>
        </row>
      </sheetData>
      <sheetData sheetId="9790">
        <row r="1">
          <cell r="J1">
            <v>1.7453292519943295E-2</v>
          </cell>
        </row>
      </sheetData>
      <sheetData sheetId="9791">
        <row r="1">
          <cell r="J1">
            <v>1.7453292519943295E-2</v>
          </cell>
        </row>
      </sheetData>
      <sheetData sheetId="9792">
        <row r="1">
          <cell r="J1">
            <v>1.7453292519943295E-2</v>
          </cell>
        </row>
      </sheetData>
      <sheetData sheetId="9793">
        <row r="1">
          <cell r="J1">
            <v>1.7453292519943295E-2</v>
          </cell>
        </row>
      </sheetData>
      <sheetData sheetId="9794">
        <row r="1">
          <cell r="J1">
            <v>1.7453292519943295E-2</v>
          </cell>
        </row>
      </sheetData>
      <sheetData sheetId="9795">
        <row r="1">
          <cell r="J1">
            <v>1.7453292519943295E-2</v>
          </cell>
        </row>
      </sheetData>
      <sheetData sheetId="9796">
        <row r="1">
          <cell r="J1">
            <v>1.7453292519943295E-2</v>
          </cell>
        </row>
      </sheetData>
      <sheetData sheetId="9797">
        <row r="1">
          <cell r="J1">
            <v>1.7453292519943295E-2</v>
          </cell>
        </row>
      </sheetData>
      <sheetData sheetId="9798">
        <row r="1">
          <cell r="J1">
            <v>1.7453292519943295E-2</v>
          </cell>
        </row>
      </sheetData>
      <sheetData sheetId="9799">
        <row r="1">
          <cell r="J1">
            <v>1.7453292519943295E-2</v>
          </cell>
        </row>
      </sheetData>
      <sheetData sheetId="9800">
        <row r="1">
          <cell r="J1">
            <v>1.7453292519943295E-2</v>
          </cell>
        </row>
      </sheetData>
      <sheetData sheetId="9801">
        <row r="1">
          <cell r="J1">
            <v>1.7453292519943295E-2</v>
          </cell>
        </row>
      </sheetData>
      <sheetData sheetId="9802">
        <row r="1">
          <cell r="J1">
            <v>1.7453292519943295E-2</v>
          </cell>
        </row>
      </sheetData>
      <sheetData sheetId="9803">
        <row r="1">
          <cell r="J1">
            <v>1.7453292519943295E-2</v>
          </cell>
        </row>
      </sheetData>
      <sheetData sheetId="9804">
        <row r="1">
          <cell r="J1">
            <v>1.7453292519943295E-2</v>
          </cell>
        </row>
      </sheetData>
      <sheetData sheetId="9805">
        <row r="1">
          <cell r="J1">
            <v>1.7453292519943295E-2</v>
          </cell>
        </row>
      </sheetData>
      <sheetData sheetId="9806">
        <row r="1">
          <cell r="J1">
            <v>1.7453292519943295E-2</v>
          </cell>
        </row>
      </sheetData>
      <sheetData sheetId="9807">
        <row r="1">
          <cell r="J1">
            <v>1.7453292519943295E-2</v>
          </cell>
        </row>
      </sheetData>
      <sheetData sheetId="9808">
        <row r="1">
          <cell r="J1">
            <v>1.7453292519943295E-2</v>
          </cell>
        </row>
      </sheetData>
      <sheetData sheetId="9809">
        <row r="1">
          <cell r="J1">
            <v>1.7453292519943295E-2</v>
          </cell>
        </row>
      </sheetData>
      <sheetData sheetId="9810">
        <row r="1">
          <cell r="J1">
            <v>1.7453292519943295E-2</v>
          </cell>
        </row>
      </sheetData>
      <sheetData sheetId="9811">
        <row r="1">
          <cell r="J1">
            <v>1.7453292519943295E-2</v>
          </cell>
        </row>
      </sheetData>
      <sheetData sheetId="9812">
        <row r="1">
          <cell r="J1">
            <v>1.7453292519943295E-2</v>
          </cell>
        </row>
      </sheetData>
      <sheetData sheetId="9813">
        <row r="1">
          <cell r="J1">
            <v>1.7453292519943295E-2</v>
          </cell>
        </row>
      </sheetData>
      <sheetData sheetId="9814">
        <row r="1">
          <cell r="J1">
            <v>1.7453292519943295E-2</v>
          </cell>
        </row>
      </sheetData>
      <sheetData sheetId="9815">
        <row r="1">
          <cell r="J1">
            <v>1.7453292519943295E-2</v>
          </cell>
        </row>
      </sheetData>
      <sheetData sheetId="9816">
        <row r="1">
          <cell r="J1">
            <v>1.7453292519943295E-2</v>
          </cell>
        </row>
      </sheetData>
      <sheetData sheetId="9817">
        <row r="1">
          <cell r="J1">
            <v>1.7453292519943295E-2</v>
          </cell>
        </row>
      </sheetData>
      <sheetData sheetId="9818">
        <row r="1">
          <cell r="J1">
            <v>1.7453292519943295E-2</v>
          </cell>
        </row>
      </sheetData>
      <sheetData sheetId="9819">
        <row r="1">
          <cell r="J1">
            <v>1.7453292519943295E-2</v>
          </cell>
        </row>
      </sheetData>
      <sheetData sheetId="9820">
        <row r="1">
          <cell r="J1">
            <v>1.7453292519943295E-2</v>
          </cell>
        </row>
      </sheetData>
      <sheetData sheetId="9821">
        <row r="1">
          <cell r="J1">
            <v>1.7453292519943295E-2</v>
          </cell>
        </row>
      </sheetData>
      <sheetData sheetId="9822">
        <row r="1">
          <cell r="J1">
            <v>1.7453292519943295E-2</v>
          </cell>
        </row>
      </sheetData>
      <sheetData sheetId="9823">
        <row r="1">
          <cell r="J1">
            <v>1.7453292519943295E-2</v>
          </cell>
        </row>
      </sheetData>
      <sheetData sheetId="9824">
        <row r="1">
          <cell r="J1">
            <v>1.7453292519943295E-2</v>
          </cell>
        </row>
      </sheetData>
      <sheetData sheetId="9825">
        <row r="1">
          <cell r="J1">
            <v>1.7453292519943295E-2</v>
          </cell>
        </row>
      </sheetData>
      <sheetData sheetId="9826">
        <row r="1">
          <cell r="J1">
            <v>1.7453292519943295E-2</v>
          </cell>
        </row>
      </sheetData>
      <sheetData sheetId="9827">
        <row r="1">
          <cell r="J1">
            <v>1.7453292519943295E-2</v>
          </cell>
        </row>
      </sheetData>
      <sheetData sheetId="9828">
        <row r="1">
          <cell r="J1">
            <v>1.7453292519943295E-2</v>
          </cell>
        </row>
      </sheetData>
      <sheetData sheetId="9829">
        <row r="1">
          <cell r="J1">
            <v>1.7453292519943295E-2</v>
          </cell>
        </row>
      </sheetData>
      <sheetData sheetId="9830">
        <row r="1">
          <cell r="J1">
            <v>1.7453292519943295E-2</v>
          </cell>
        </row>
      </sheetData>
      <sheetData sheetId="9831">
        <row r="1">
          <cell r="J1">
            <v>1.7453292519943295E-2</v>
          </cell>
        </row>
      </sheetData>
      <sheetData sheetId="9832">
        <row r="1">
          <cell r="J1">
            <v>1.7453292519943295E-2</v>
          </cell>
        </row>
      </sheetData>
      <sheetData sheetId="9833">
        <row r="1">
          <cell r="J1">
            <v>1.7453292519943295E-2</v>
          </cell>
        </row>
      </sheetData>
      <sheetData sheetId="9834">
        <row r="1">
          <cell r="J1">
            <v>1.7453292519943295E-2</v>
          </cell>
        </row>
      </sheetData>
      <sheetData sheetId="9835">
        <row r="1">
          <cell r="J1">
            <v>1.7453292519943295E-2</v>
          </cell>
        </row>
      </sheetData>
      <sheetData sheetId="9836">
        <row r="1">
          <cell r="J1">
            <v>1.7453292519943295E-2</v>
          </cell>
        </row>
      </sheetData>
      <sheetData sheetId="9837">
        <row r="1">
          <cell r="J1">
            <v>1.7453292519943295E-2</v>
          </cell>
        </row>
      </sheetData>
      <sheetData sheetId="9838">
        <row r="1">
          <cell r="J1">
            <v>1.7453292519943295E-2</v>
          </cell>
        </row>
      </sheetData>
      <sheetData sheetId="9839">
        <row r="1">
          <cell r="J1">
            <v>1.7453292519943295E-2</v>
          </cell>
        </row>
      </sheetData>
      <sheetData sheetId="9840">
        <row r="1">
          <cell r="J1">
            <v>1.7453292519943295E-2</v>
          </cell>
        </row>
      </sheetData>
      <sheetData sheetId="9841">
        <row r="1">
          <cell r="J1">
            <v>1.7453292519943295E-2</v>
          </cell>
        </row>
      </sheetData>
      <sheetData sheetId="9842">
        <row r="1">
          <cell r="J1">
            <v>1.7453292519943295E-2</v>
          </cell>
        </row>
      </sheetData>
      <sheetData sheetId="9843">
        <row r="1">
          <cell r="J1">
            <v>1.7453292519943295E-2</v>
          </cell>
        </row>
      </sheetData>
      <sheetData sheetId="9844">
        <row r="1">
          <cell r="J1">
            <v>1.7453292519943295E-2</v>
          </cell>
        </row>
      </sheetData>
      <sheetData sheetId="9845">
        <row r="1">
          <cell r="J1">
            <v>1.7453292519943295E-2</v>
          </cell>
        </row>
      </sheetData>
      <sheetData sheetId="9846">
        <row r="1">
          <cell r="J1">
            <v>1.7453292519943295E-2</v>
          </cell>
        </row>
      </sheetData>
      <sheetData sheetId="9847">
        <row r="1">
          <cell r="J1">
            <v>1.7453292519943295E-2</v>
          </cell>
        </row>
      </sheetData>
      <sheetData sheetId="9848">
        <row r="1">
          <cell r="J1">
            <v>1.7453292519943295E-2</v>
          </cell>
        </row>
      </sheetData>
      <sheetData sheetId="9849">
        <row r="1">
          <cell r="J1">
            <v>1.7453292519943295E-2</v>
          </cell>
        </row>
      </sheetData>
      <sheetData sheetId="9850">
        <row r="1">
          <cell r="J1">
            <v>1.7453292519943295E-2</v>
          </cell>
        </row>
      </sheetData>
      <sheetData sheetId="9851">
        <row r="1">
          <cell r="J1">
            <v>1.7453292519943295E-2</v>
          </cell>
        </row>
      </sheetData>
      <sheetData sheetId="9852">
        <row r="1">
          <cell r="J1">
            <v>1.7453292519943295E-2</v>
          </cell>
        </row>
      </sheetData>
      <sheetData sheetId="9853">
        <row r="1">
          <cell r="J1">
            <v>1.7453292519943295E-2</v>
          </cell>
        </row>
      </sheetData>
      <sheetData sheetId="9854">
        <row r="1">
          <cell r="J1">
            <v>1.7453292519943295E-2</v>
          </cell>
        </row>
      </sheetData>
      <sheetData sheetId="9855">
        <row r="1">
          <cell r="J1">
            <v>1.7453292519943295E-2</v>
          </cell>
        </row>
      </sheetData>
      <sheetData sheetId="9856">
        <row r="1">
          <cell r="J1">
            <v>1.7453292519943295E-2</v>
          </cell>
        </row>
      </sheetData>
      <sheetData sheetId="9857">
        <row r="1">
          <cell r="J1">
            <v>1.7453292519943295E-2</v>
          </cell>
        </row>
      </sheetData>
      <sheetData sheetId="9858">
        <row r="1">
          <cell r="J1">
            <v>1.7453292519943295E-2</v>
          </cell>
        </row>
      </sheetData>
      <sheetData sheetId="9859">
        <row r="1">
          <cell r="J1">
            <v>1.7453292519943295E-2</v>
          </cell>
        </row>
      </sheetData>
      <sheetData sheetId="9860">
        <row r="1">
          <cell r="J1">
            <v>1.7453292519943295E-2</v>
          </cell>
        </row>
      </sheetData>
      <sheetData sheetId="9861">
        <row r="1">
          <cell r="J1">
            <v>1.7453292519943295E-2</v>
          </cell>
        </row>
      </sheetData>
      <sheetData sheetId="9862">
        <row r="1">
          <cell r="J1">
            <v>1.7453292519943295E-2</v>
          </cell>
        </row>
      </sheetData>
      <sheetData sheetId="9863">
        <row r="1">
          <cell r="J1">
            <v>1.7453292519943295E-2</v>
          </cell>
        </row>
      </sheetData>
      <sheetData sheetId="9864">
        <row r="1">
          <cell r="J1">
            <v>1.7453292519943295E-2</v>
          </cell>
        </row>
      </sheetData>
      <sheetData sheetId="9865">
        <row r="1">
          <cell r="J1">
            <v>1.7453292519943295E-2</v>
          </cell>
        </row>
      </sheetData>
      <sheetData sheetId="9866">
        <row r="1">
          <cell r="J1">
            <v>1.7453292519943295E-2</v>
          </cell>
        </row>
      </sheetData>
      <sheetData sheetId="9867">
        <row r="1">
          <cell r="J1">
            <v>1.7453292519943295E-2</v>
          </cell>
        </row>
      </sheetData>
      <sheetData sheetId="9868">
        <row r="1">
          <cell r="J1">
            <v>1.7453292519943295E-2</v>
          </cell>
        </row>
      </sheetData>
      <sheetData sheetId="9869">
        <row r="1">
          <cell r="J1">
            <v>1.7453292519943295E-2</v>
          </cell>
        </row>
      </sheetData>
      <sheetData sheetId="9870">
        <row r="1">
          <cell r="J1">
            <v>1.7453292519943295E-2</v>
          </cell>
        </row>
      </sheetData>
      <sheetData sheetId="9871">
        <row r="1">
          <cell r="J1">
            <v>1.7453292519943295E-2</v>
          </cell>
        </row>
      </sheetData>
      <sheetData sheetId="9872">
        <row r="1">
          <cell r="J1">
            <v>1.7453292519943295E-2</v>
          </cell>
        </row>
      </sheetData>
      <sheetData sheetId="9873">
        <row r="1">
          <cell r="J1">
            <v>1.7453292519943295E-2</v>
          </cell>
        </row>
      </sheetData>
      <sheetData sheetId="9874">
        <row r="1">
          <cell r="J1">
            <v>1.7453292519943295E-2</v>
          </cell>
        </row>
      </sheetData>
      <sheetData sheetId="9875">
        <row r="1">
          <cell r="J1">
            <v>1.7453292519943295E-2</v>
          </cell>
        </row>
      </sheetData>
      <sheetData sheetId="9876">
        <row r="1">
          <cell r="J1">
            <v>1.7453292519943295E-2</v>
          </cell>
        </row>
      </sheetData>
      <sheetData sheetId="9877">
        <row r="1">
          <cell r="J1">
            <v>1.7453292519943295E-2</v>
          </cell>
        </row>
      </sheetData>
      <sheetData sheetId="9878">
        <row r="1">
          <cell r="J1">
            <v>1.7453292519943295E-2</v>
          </cell>
        </row>
      </sheetData>
      <sheetData sheetId="9879">
        <row r="1">
          <cell r="J1">
            <v>1.7453292519943295E-2</v>
          </cell>
        </row>
      </sheetData>
      <sheetData sheetId="9880">
        <row r="1">
          <cell r="J1">
            <v>1.7453292519943295E-2</v>
          </cell>
        </row>
      </sheetData>
      <sheetData sheetId="9881">
        <row r="1">
          <cell r="J1">
            <v>1.7453292519943295E-2</v>
          </cell>
        </row>
      </sheetData>
      <sheetData sheetId="9882">
        <row r="1">
          <cell r="J1">
            <v>1.7453292519943295E-2</v>
          </cell>
        </row>
      </sheetData>
      <sheetData sheetId="9883">
        <row r="1">
          <cell r="J1">
            <v>1.7453292519943295E-2</v>
          </cell>
        </row>
      </sheetData>
      <sheetData sheetId="9884">
        <row r="1">
          <cell r="J1">
            <v>1.7453292519943295E-2</v>
          </cell>
        </row>
      </sheetData>
      <sheetData sheetId="9885">
        <row r="1">
          <cell r="J1">
            <v>1.7453292519943295E-2</v>
          </cell>
        </row>
      </sheetData>
      <sheetData sheetId="9886">
        <row r="1">
          <cell r="J1">
            <v>1.7453292519943295E-2</v>
          </cell>
        </row>
      </sheetData>
      <sheetData sheetId="9887">
        <row r="1">
          <cell r="J1">
            <v>1.7453292519943295E-2</v>
          </cell>
        </row>
      </sheetData>
      <sheetData sheetId="9888"/>
      <sheetData sheetId="9889">
        <row r="1">
          <cell r="J1">
            <v>1.7453292519943295E-2</v>
          </cell>
        </row>
      </sheetData>
      <sheetData sheetId="9890" refreshError="1"/>
      <sheetData sheetId="9891">
        <row r="1">
          <cell r="J1">
            <v>1.7453292519943295E-2</v>
          </cell>
        </row>
      </sheetData>
      <sheetData sheetId="9892">
        <row r="1">
          <cell r="J1">
            <v>1.7453292519943295E-2</v>
          </cell>
        </row>
      </sheetData>
      <sheetData sheetId="9893">
        <row r="1">
          <cell r="J1">
            <v>1.7453292519943295E-2</v>
          </cell>
        </row>
      </sheetData>
      <sheetData sheetId="9894">
        <row r="1">
          <cell r="J1">
            <v>1.7453292519943295E-2</v>
          </cell>
        </row>
      </sheetData>
      <sheetData sheetId="9895">
        <row r="1">
          <cell r="J1">
            <v>1.7453292519943295E-2</v>
          </cell>
        </row>
      </sheetData>
      <sheetData sheetId="9896">
        <row r="1">
          <cell r="J1">
            <v>1.7453292519943295E-2</v>
          </cell>
        </row>
      </sheetData>
      <sheetData sheetId="9897">
        <row r="1">
          <cell r="J1">
            <v>1.7453292519943295E-2</v>
          </cell>
        </row>
      </sheetData>
      <sheetData sheetId="9898">
        <row r="1">
          <cell r="J1">
            <v>1.7453292519943295E-2</v>
          </cell>
        </row>
      </sheetData>
      <sheetData sheetId="9899">
        <row r="1">
          <cell r="J1">
            <v>1.7453292519943295E-2</v>
          </cell>
        </row>
      </sheetData>
      <sheetData sheetId="9900">
        <row r="1">
          <cell r="J1">
            <v>1.7453292519943295E-2</v>
          </cell>
        </row>
      </sheetData>
      <sheetData sheetId="9901">
        <row r="1">
          <cell r="J1">
            <v>1.7453292519943295E-2</v>
          </cell>
        </row>
      </sheetData>
      <sheetData sheetId="9902">
        <row r="1">
          <cell r="J1">
            <v>1.7453292519943295E-2</v>
          </cell>
        </row>
      </sheetData>
      <sheetData sheetId="9903">
        <row r="1">
          <cell r="J1">
            <v>1.7453292519943295E-2</v>
          </cell>
        </row>
      </sheetData>
      <sheetData sheetId="9904">
        <row r="1">
          <cell r="J1">
            <v>1.7453292519943295E-2</v>
          </cell>
        </row>
      </sheetData>
      <sheetData sheetId="9905">
        <row r="1">
          <cell r="J1">
            <v>1.7453292519943295E-2</v>
          </cell>
        </row>
      </sheetData>
      <sheetData sheetId="9906">
        <row r="1">
          <cell r="J1">
            <v>1.7453292519943295E-2</v>
          </cell>
        </row>
      </sheetData>
      <sheetData sheetId="9907">
        <row r="1">
          <cell r="J1">
            <v>1.7453292519943295E-2</v>
          </cell>
        </row>
      </sheetData>
      <sheetData sheetId="9908">
        <row r="1">
          <cell r="J1">
            <v>1.7453292519943295E-2</v>
          </cell>
        </row>
      </sheetData>
      <sheetData sheetId="9909">
        <row r="1">
          <cell r="J1">
            <v>1.7453292519943295E-2</v>
          </cell>
        </row>
      </sheetData>
      <sheetData sheetId="9910">
        <row r="1">
          <cell r="J1">
            <v>1.7453292519943295E-2</v>
          </cell>
        </row>
      </sheetData>
      <sheetData sheetId="9911"/>
      <sheetData sheetId="9912">
        <row r="1">
          <cell r="J1">
            <v>1.7453292519943295E-2</v>
          </cell>
        </row>
      </sheetData>
      <sheetData sheetId="9913"/>
      <sheetData sheetId="9914">
        <row r="1">
          <cell r="J1">
            <v>1.7453292519943295E-2</v>
          </cell>
        </row>
      </sheetData>
      <sheetData sheetId="9915" refreshError="1"/>
      <sheetData sheetId="9916" refreshError="1"/>
      <sheetData sheetId="9917">
        <row r="1">
          <cell r="J1">
            <v>1.7453292519943295E-2</v>
          </cell>
        </row>
      </sheetData>
      <sheetData sheetId="9918">
        <row r="1">
          <cell r="J1">
            <v>1.7453292519943295E-2</v>
          </cell>
        </row>
      </sheetData>
      <sheetData sheetId="9919">
        <row r="1">
          <cell r="J1">
            <v>1.7453292519943295E-2</v>
          </cell>
        </row>
      </sheetData>
      <sheetData sheetId="9920">
        <row r="1">
          <cell r="J1">
            <v>1.7453292519943295E-2</v>
          </cell>
        </row>
      </sheetData>
      <sheetData sheetId="9921">
        <row r="1">
          <cell r="J1">
            <v>1.7453292519943295E-2</v>
          </cell>
        </row>
      </sheetData>
      <sheetData sheetId="9922">
        <row r="1">
          <cell r="J1">
            <v>1.7453292519943295E-2</v>
          </cell>
        </row>
      </sheetData>
      <sheetData sheetId="9923">
        <row r="1">
          <cell r="J1">
            <v>1.7453292519943295E-2</v>
          </cell>
        </row>
      </sheetData>
      <sheetData sheetId="9924">
        <row r="1">
          <cell r="J1">
            <v>1.7453292519943295E-2</v>
          </cell>
        </row>
      </sheetData>
      <sheetData sheetId="9925">
        <row r="1">
          <cell r="J1">
            <v>1.7453292519943295E-2</v>
          </cell>
        </row>
      </sheetData>
      <sheetData sheetId="9926">
        <row r="1">
          <cell r="J1">
            <v>1.7453292519943295E-2</v>
          </cell>
        </row>
      </sheetData>
      <sheetData sheetId="9927">
        <row r="1">
          <cell r="J1">
            <v>1.7453292519943295E-2</v>
          </cell>
        </row>
      </sheetData>
      <sheetData sheetId="9928">
        <row r="1">
          <cell r="J1">
            <v>1.7453292519943295E-2</v>
          </cell>
        </row>
      </sheetData>
      <sheetData sheetId="9929">
        <row r="1">
          <cell r="J1">
            <v>1.7453292519943295E-2</v>
          </cell>
        </row>
      </sheetData>
      <sheetData sheetId="9930">
        <row r="1">
          <cell r="J1">
            <v>1.7453292519943295E-2</v>
          </cell>
        </row>
      </sheetData>
      <sheetData sheetId="9931">
        <row r="1">
          <cell r="J1">
            <v>1.7453292519943295E-2</v>
          </cell>
        </row>
      </sheetData>
      <sheetData sheetId="9932">
        <row r="1">
          <cell r="J1">
            <v>1.7453292519943295E-2</v>
          </cell>
        </row>
      </sheetData>
      <sheetData sheetId="9933">
        <row r="1">
          <cell r="J1">
            <v>1.7453292519943295E-2</v>
          </cell>
        </row>
      </sheetData>
      <sheetData sheetId="9934">
        <row r="1">
          <cell r="J1">
            <v>1.7453292519943295E-2</v>
          </cell>
        </row>
      </sheetData>
      <sheetData sheetId="9935">
        <row r="1">
          <cell r="J1">
            <v>1.7453292519943295E-2</v>
          </cell>
        </row>
      </sheetData>
      <sheetData sheetId="9936">
        <row r="1">
          <cell r="J1">
            <v>1.7453292519943295E-2</v>
          </cell>
        </row>
      </sheetData>
      <sheetData sheetId="9937">
        <row r="1">
          <cell r="J1">
            <v>1.7453292519943295E-2</v>
          </cell>
        </row>
      </sheetData>
      <sheetData sheetId="9938">
        <row r="1">
          <cell r="J1">
            <v>1.7453292519943295E-2</v>
          </cell>
        </row>
      </sheetData>
      <sheetData sheetId="9939">
        <row r="1">
          <cell r="J1">
            <v>1.7453292519943295E-2</v>
          </cell>
        </row>
      </sheetData>
      <sheetData sheetId="9940">
        <row r="1">
          <cell r="J1">
            <v>1.7453292519943295E-2</v>
          </cell>
        </row>
      </sheetData>
      <sheetData sheetId="9941">
        <row r="1">
          <cell r="J1">
            <v>1.7453292519943295E-2</v>
          </cell>
        </row>
      </sheetData>
      <sheetData sheetId="9942" refreshError="1"/>
      <sheetData sheetId="9943" refreshError="1"/>
      <sheetData sheetId="9944">
        <row r="1">
          <cell r="J1">
            <v>1.7453292519943295E-2</v>
          </cell>
        </row>
      </sheetData>
      <sheetData sheetId="9945">
        <row r="1">
          <cell r="J1">
            <v>1.7453292519943295E-2</v>
          </cell>
        </row>
      </sheetData>
      <sheetData sheetId="9946">
        <row r="1">
          <cell r="J1">
            <v>1.7453292519943295E-2</v>
          </cell>
        </row>
      </sheetData>
      <sheetData sheetId="9947">
        <row r="1">
          <cell r="J1">
            <v>1.7453292519943295E-2</v>
          </cell>
        </row>
      </sheetData>
      <sheetData sheetId="9948">
        <row r="1">
          <cell r="J1">
            <v>1.7453292519943295E-2</v>
          </cell>
        </row>
      </sheetData>
      <sheetData sheetId="9949">
        <row r="1">
          <cell r="J1">
            <v>1.7453292519943295E-2</v>
          </cell>
        </row>
      </sheetData>
      <sheetData sheetId="9950">
        <row r="1">
          <cell r="J1">
            <v>1.7453292519943295E-2</v>
          </cell>
        </row>
      </sheetData>
      <sheetData sheetId="9951">
        <row r="1">
          <cell r="J1">
            <v>1.7453292519943295E-2</v>
          </cell>
        </row>
      </sheetData>
      <sheetData sheetId="9952">
        <row r="1">
          <cell r="J1">
            <v>1.7453292519943295E-2</v>
          </cell>
        </row>
      </sheetData>
      <sheetData sheetId="9953">
        <row r="1">
          <cell r="J1">
            <v>1.7453292519943295E-2</v>
          </cell>
        </row>
      </sheetData>
      <sheetData sheetId="9954">
        <row r="1">
          <cell r="J1">
            <v>1.7453292519943295E-2</v>
          </cell>
        </row>
      </sheetData>
      <sheetData sheetId="9955">
        <row r="1">
          <cell r="J1">
            <v>1.7453292519943295E-2</v>
          </cell>
        </row>
      </sheetData>
      <sheetData sheetId="9956">
        <row r="1">
          <cell r="J1">
            <v>1.7453292519943295E-2</v>
          </cell>
        </row>
      </sheetData>
      <sheetData sheetId="9957">
        <row r="1">
          <cell r="J1">
            <v>1.7453292519943295E-2</v>
          </cell>
        </row>
      </sheetData>
      <sheetData sheetId="9958">
        <row r="1">
          <cell r="J1">
            <v>1.7453292519943295E-2</v>
          </cell>
        </row>
      </sheetData>
      <sheetData sheetId="9959">
        <row r="1">
          <cell r="J1">
            <v>1.7453292519943295E-2</v>
          </cell>
        </row>
      </sheetData>
      <sheetData sheetId="9960">
        <row r="1">
          <cell r="J1">
            <v>1.7453292519943295E-2</v>
          </cell>
        </row>
      </sheetData>
      <sheetData sheetId="9961">
        <row r="1">
          <cell r="J1">
            <v>1.7453292519943295E-2</v>
          </cell>
        </row>
      </sheetData>
      <sheetData sheetId="9962">
        <row r="1">
          <cell r="J1">
            <v>1.7453292519943295E-2</v>
          </cell>
        </row>
      </sheetData>
      <sheetData sheetId="9963">
        <row r="1">
          <cell r="J1">
            <v>1.7453292519943295E-2</v>
          </cell>
        </row>
      </sheetData>
      <sheetData sheetId="9964">
        <row r="1">
          <cell r="J1">
            <v>1.7453292519943295E-2</v>
          </cell>
        </row>
      </sheetData>
      <sheetData sheetId="9965">
        <row r="1">
          <cell r="J1">
            <v>1.7453292519943295E-2</v>
          </cell>
        </row>
      </sheetData>
      <sheetData sheetId="9966">
        <row r="1">
          <cell r="J1">
            <v>1.7453292519943295E-2</v>
          </cell>
        </row>
      </sheetData>
      <sheetData sheetId="9967"/>
      <sheetData sheetId="9968">
        <row r="1">
          <cell r="J1">
            <v>1.7453292519943295E-2</v>
          </cell>
        </row>
      </sheetData>
      <sheetData sheetId="9969">
        <row r="1">
          <cell r="J1">
            <v>1.7453292519943295E-2</v>
          </cell>
        </row>
      </sheetData>
      <sheetData sheetId="9970">
        <row r="1">
          <cell r="J1">
            <v>1.7453292519943295E-2</v>
          </cell>
        </row>
      </sheetData>
      <sheetData sheetId="9971" refreshError="1"/>
      <sheetData sheetId="9972" refreshError="1"/>
      <sheetData sheetId="9973">
        <row r="1">
          <cell r="J1">
            <v>1.7453292519943295E-2</v>
          </cell>
        </row>
      </sheetData>
      <sheetData sheetId="9974">
        <row r="1">
          <cell r="J1">
            <v>1.7453292519943295E-2</v>
          </cell>
        </row>
      </sheetData>
      <sheetData sheetId="9975">
        <row r="1">
          <cell r="J1">
            <v>1.7453292519943295E-2</v>
          </cell>
        </row>
      </sheetData>
      <sheetData sheetId="9976">
        <row r="1">
          <cell r="J1">
            <v>1.7453292519943295E-2</v>
          </cell>
        </row>
      </sheetData>
      <sheetData sheetId="9977">
        <row r="1">
          <cell r="J1">
            <v>1.7453292519943295E-2</v>
          </cell>
        </row>
      </sheetData>
      <sheetData sheetId="9978">
        <row r="1">
          <cell r="J1">
            <v>1.7453292519943295E-2</v>
          </cell>
        </row>
      </sheetData>
      <sheetData sheetId="9979">
        <row r="1">
          <cell r="J1">
            <v>1.7453292519943295E-2</v>
          </cell>
        </row>
      </sheetData>
      <sheetData sheetId="9980">
        <row r="1">
          <cell r="J1">
            <v>1.7453292519943295E-2</v>
          </cell>
        </row>
      </sheetData>
      <sheetData sheetId="9981">
        <row r="1">
          <cell r="J1">
            <v>1.7453292519943295E-2</v>
          </cell>
        </row>
      </sheetData>
      <sheetData sheetId="9982">
        <row r="1">
          <cell r="J1">
            <v>1.7453292519943295E-2</v>
          </cell>
        </row>
      </sheetData>
      <sheetData sheetId="9983">
        <row r="1">
          <cell r="J1">
            <v>1.7453292519943295E-2</v>
          </cell>
        </row>
      </sheetData>
      <sheetData sheetId="9984">
        <row r="1">
          <cell r="J1">
            <v>1.7453292519943295E-2</v>
          </cell>
        </row>
      </sheetData>
      <sheetData sheetId="9985">
        <row r="1">
          <cell r="J1">
            <v>1.7453292519943295E-2</v>
          </cell>
        </row>
      </sheetData>
      <sheetData sheetId="9986">
        <row r="1">
          <cell r="J1">
            <v>1.7453292519943295E-2</v>
          </cell>
        </row>
      </sheetData>
      <sheetData sheetId="9987">
        <row r="1">
          <cell r="J1">
            <v>1.7453292519943295E-2</v>
          </cell>
        </row>
      </sheetData>
      <sheetData sheetId="9988">
        <row r="1">
          <cell r="J1">
            <v>1.7453292519943295E-2</v>
          </cell>
        </row>
      </sheetData>
      <sheetData sheetId="9989">
        <row r="1">
          <cell r="J1">
            <v>1.7453292519943295E-2</v>
          </cell>
        </row>
      </sheetData>
      <sheetData sheetId="9990">
        <row r="1">
          <cell r="J1">
            <v>1.7453292519943295E-2</v>
          </cell>
        </row>
      </sheetData>
      <sheetData sheetId="9991">
        <row r="1">
          <cell r="J1">
            <v>1.7453292519943295E-2</v>
          </cell>
        </row>
      </sheetData>
      <sheetData sheetId="9992">
        <row r="1">
          <cell r="J1">
            <v>1.7453292519943295E-2</v>
          </cell>
        </row>
      </sheetData>
      <sheetData sheetId="9993">
        <row r="1">
          <cell r="J1">
            <v>1.7453292519943295E-2</v>
          </cell>
        </row>
      </sheetData>
      <sheetData sheetId="9994">
        <row r="1">
          <cell r="J1">
            <v>1.7453292519943295E-2</v>
          </cell>
        </row>
      </sheetData>
      <sheetData sheetId="9995">
        <row r="1">
          <cell r="J1">
            <v>1.7453292519943295E-2</v>
          </cell>
        </row>
      </sheetData>
      <sheetData sheetId="9996"/>
      <sheetData sheetId="9997">
        <row r="1">
          <cell r="J1">
            <v>1.7453292519943295E-2</v>
          </cell>
        </row>
      </sheetData>
      <sheetData sheetId="9998">
        <row r="1">
          <cell r="J1">
            <v>1.7453292519943295E-2</v>
          </cell>
        </row>
      </sheetData>
      <sheetData sheetId="9999">
        <row r="1">
          <cell r="J1">
            <v>1.7453292519943295E-2</v>
          </cell>
        </row>
      </sheetData>
      <sheetData sheetId="10000" refreshError="1"/>
      <sheetData sheetId="10001">
        <row r="1">
          <cell r="J1">
            <v>1.7453292519943295E-2</v>
          </cell>
        </row>
      </sheetData>
      <sheetData sheetId="10002">
        <row r="1">
          <cell r="J1">
            <v>1.7453292519943295E-2</v>
          </cell>
        </row>
      </sheetData>
      <sheetData sheetId="10003">
        <row r="1">
          <cell r="J1">
            <v>1.7453292519943295E-2</v>
          </cell>
        </row>
      </sheetData>
      <sheetData sheetId="10004">
        <row r="1">
          <cell r="J1">
            <v>1.7453292519943295E-2</v>
          </cell>
        </row>
      </sheetData>
      <sheetData sheetId="10005">
        <row r="1">
          <cell r="J1">
            <v>1.7453292519943295E-2</v>
          </cell>
        </row>
      </sheetData>
      <sheetData sheetId="10006">
        <row r="1">
          <cell r="J1">
            <v>1.7453292519943295E-2</v>
          </cell>
        </row>
      </sheetData>
      <sheetData sheetId="10007">
        <row r="1">
          <cell r="J1">
            <v>1.7453292519943295E-2</v>
          </cell>
        </row>
      </sheetData>
      <sheetData sheetId="10008">
        <row r="1">
          <cell r="J1">
            <v>1.7453292519943295E-2</v>
          </cell>
        </row>
      </sheetData>
      <sheetData sheetId="10009">
        <row r="1">
          <cell r="J1">
            <v>1.7453292519943295E-2</v>
          </cell>
        </row>
      </sheetData>
      <sheetData sheetId="10010">
        <row r="1">
          <cell r="J1">
            <v>1.7453292519943295E-2</v>
          </cell>
        </row>
      </sheetData>
      <sheetData sheetId="10011" refreshError="1"/>
      <sheetData sheetId="10012" refreshError="1"/>
      <sheetData sheetId="10013">
        <row r="1">
          <cell r="J1">
            <v>1.7453292519943295E-2</v>
          </cell>
        </row>
      </sheetData>
      <sheetData sheetId="10014">
        <row r="1">
          <cell r="J1">
            <v>1.7453292519943295E-2</v>
          </cell>
        </row>
      </sheetData>
      <sheetData sheetId="10015">
        <row r="1">
          <cell r="J1">
            <v>1.7453292519943295E-2</v>
          </cell>
        </row>
      </sheetData>
      <sheetData sheetId="10016">
        <row r="1">
          <cell r="J1">
            <v>1.7453292519943295E-2</v>
          </cell>
        </row>
      </sheetData>
      <sheetData sheetId="10017">
        <row r="1">
          <cell r="J1">
            <v>1.7453292519943295E-2</v>
          </cell>
        </row>
      </sheetData>
      <sheetData sheetId="10018">
        <row r="1">
          <cell r="J1">
            <v>1.7453292519943295E-2</v>
          </cell>
        </row>
      </sheetData>
      <sheetData sheetId="10019">
        <row r="1">
          <cell r="J1">
            <v>1.7453292519943295E-2</v>
          </cell>
        </row>
      </sheetData>
      <sheetData sheetId="10020">
        <row r="1">
          <cell r="J1">
            <v>1.7453292519943295E-2</v>
          </cell>
        </row>
      </sheetData>
      <sheetData sheetId="10021">
        <row r="1">
          <cell r="J1">
            <v>1.7453292519943295E-2</v>
          </cell>
        </row>
      </sheetData>
      <sheetData sheetId="10022">
        <row r="1">
          <cell r="J1">
            <v>1.7453292519943295E-2</v>
          </cell>
        </row>
      </sheetData>
      <sheetData sheetId="10023">
        <row r="1">
          <cell r="J1">
            <v>1.7453292519943295E-2</v>
          </cell>
        </row>
      </sheetData>
      <sheetData sheetId="10024">
        <row r="1">
          <cell r="J1">
            <v>1.7453292519943295E-2</v>
          </cell>
        </row>
      </sheetData>
      <sheetData sheetId="10025">
        <row r="1">
          <cell r="J1">
            <v>1.7453292519943295E-2</v>
          </cell>
        </row>
      </sheetData>
      <sheetData sheetId="10026">
        <row r="1">
          <cell r="J1">
            <v>1.7453292519943295E-2</v>
          </cell>
        </row>
      </sheetData>
      <sheetData sheetId="10027">
        <row r="1">
          <cell r="J1">
            <v>1.7453292519943295E-2</v>
          </cell>
        </row>
      </sheetData>
      <sheetData sheetId="10028">
        <row r="1">
          <cell r="J1">
            <v>1.7453292519943295E-2</v>
          </cell>
        </row>
      </sheetData>
      <sheetData sheetId="10029">
        <row r="1">
          <cell r="J1">
            <v>1.7453292519943295E-2</v>
          </cell>
        </row>
      </sheetData>
      <sheetData sheetId="10030">
        <row r="1">
          <cell r="J1">
            <v>1.7453292519943295E-2</v>
          </cell>
        </row>
      </sheetData>
      <sheetData sheetId="10031">
        <row r="1">
          <cell r="J1">
            <v>1.7453292519943295E-2</v>
          </cell>
        </row>
      </sheetData>
      <sheetData sheetId="10032">
        <row r="1">
          <cell r="J1">
            <v>1.7453292519943295E-2</v>
          </cell>
        </row>
      </sheetData>
      <sheetData sheetId="10033">
        <row r="1">
          <cell r="J1">
            <v>1.7453292519943295E-2</v>
          </cell>
        </row>
      </sheetData>
      <sheetData sheetId="10034">
        <row r="1">
          <cell r="J1">
            <v>1.7453292519943295E-2</v>
          </cell>
        </row>
      </sheetData>
      <sheetData sheetId="10035">
        <row r="1">
          <cell r="J1">
            <v>1.7453292519943295E-2</v>
          </cell>
        </row>
      </sheetData>
      <sheetData sheetId="10036">
        <row r="1">
          <cell r="J1">
            <v>1.7453292519943295E-2</v>
          </cell>
        </row>
      </sheetData>
      <sheetData sheetId="10037" refreshError="1"/>
      <sheetData sheetId="10038" refreshError="1"/>
      <sheetData sheetId="10039" refreshError="1"/>
      <sheetData sheetId="10040">
        <row r="1">
          <cell r="J1">
            <v>1.7453292519943295E-2</v>
          </cell>
        </row>
      </sheetData>
      <sheetData sheetId="10041">
        <row r="1">
          <cell r="J1">
            <v>1.7453292519943295E-2</v>
          </cell>
        </row>
      </sheetData>
      <sheetData sheetId="10042">
        <row r="1">
          <cell r="J1">
            <v>1.7453292519943295E-2</v>
          </cell>
        </row>
      </sheetData>
      <sheetData sheetId="10043">
        <row r="1">
          <cell r="J1">
            <v>1.7453292519943295E-2</v>
          </cell>
        </row>
      </sheetData>
      <sheetData sheetId="10044">
        <row r="1">
          <cell r="J1">
            <v>1.7453292519943295E-2</v>
          </cell>
        </row>
      </sheetData>
      <sheetData sheetId="10045">
        <row r="1">
          <cell r="J1">
            <v>1.7453292519943295E-2</v>
          </cell>
        </row>
      </sheetData>
      <sheetData sheetId="10046">
        <row r="1">
          <cell r="J1">
            <v>1.7453292519943295E-2</v>
          </cell>
        </row>
      </sheetData>
      <sheetData sheetId="10047">
        <row r="1">
          <cell r="J1">
            <v>1.7453292519943295E-2</v>
          </cell>
        </row>
      </sheetData>
      <sheetData sheetId="10048">
        <row r="1">
          <cell r="J1">
            <v>1.7453292519943295E-2</v>
          </cell>
        </row>
      </sheetData>
      <sheetData sheetId="10049">
        <row r="1">
          <cell r="J1">
            <v>1.7453292519943295E-2</v>
          </cell>
        </row>
      </sheetData>
      <sheetData sheetId="10050">
        <row r="1">
          <cell r="J1">
            <v>1.7453292519943295E-2</v>
          </cell>
        </row>
      </sheetData>
      <sheetData sheetId="10051">
        <row r="1">
          <cell r="J1">
            <v>1.7453292519943295E-2</v>
          </cell>
        </row>
      </sheetData>
      <sheetData sheetId="10052">
        <row r="1">
          <cell r="J1">
            <v>1.7453292519943295E-2</v>
          </cell>
        </row>
      </sheetData>
      <sheetData sheetId="10053">
        <row r="1">
          <cell r="J1">
            <v>1.7453292519943295E-2</v>
          </cell>
        </row>
      </sheetData>
      <sheetData sheetId="10054">
        <row r="1">
          <cell r="J1">
            <v>1.7453292519943295E-2</v>
          </cell>
        </row>
      </sheetData>
      <sheetData sheetId="10055">
        <row r="1">
          <cell r="J1">
            <v>1.7453292519943295E-2</v>
          </cell>
        </row>
      </sheetData>
      <sheetData sheetId="10056">
        <row r="1">
          <cell r="J1">
            <v>1.7453292519943295E-2</v>
          </cell>
        </row>
      </sheetData>
      <sheetData sheetId="10057">
        <row r="1">
          <cell r="J1">
            <v>1.7453292519943295E-2</v>
          </cell>
        </row>
      </sheetData>
      <sheetData sheetId="10058">
        <row r="1">
          <cell r="J1">
            <v>1.7453292519943295E-2</v>
          </cell>
        </row>
      </sheetData>
      <sheetData sheetId="10059">
        <row r="1">
          <cell r="J1">
            <v>1.7453292519943295E-2</v>
          </cell>
        </row>
      </sheetData>
      <sheetData sheetId="10060">
        <row r="1">
          <cell r="J1">
            <v>1.7453292519943295E-2</v>
          </cell>
        </row>
      </sheetData>
      <sheetData sheetId="10061">
        <row r="1">
          <cell r="J1">
            <v>1.7453292519943295E-2</v>
          </cell>
        </row>
      </sheetData>
      <sheetData sheetId="10062">
        <row r="1">
          <cell r="J1">
            <v>1.7453292519943295E-2</v>
          </cell>
        </row>
      </sheetData>
      <sheetData sheetId="10063">
        <row r="1">
          <cell r="J1">
            <v>1.7453292519943295E-2</v>
          </cell>
        </row>
      </sheetData>
      <sheetData sheetId="10064">
        <row r="1">
          <cell r="J1">
            <v>1.7453292519943295E-2</v>
          </cell>
        </row>
      </sheetData>
      <sheetData sheetId="10065">
        <row r="1">
          <cell r="J1">
            <v>1.7453292519943295E-2</v>
          </cell>
        </row>
      </sheetData>
      <sheetData sheetId="10066" refreshError="1"/>
      <sheetData sheetId="10067" refreshError="1"/>
      <sheetData sheetId="10068">
        <row r="1">
          <cell r="J1">
            <v>1.7453292519943295E-2</v>
          </cell>
        </row>
      </sheetData>
      <sheetData sheetId="10069">
        <row r="1">
          <cell r="J1">
            <v>1.7453292519943295E-2</v>
          </cell>
        </row>
      </sheetData>
      <sheetData sheetId="10070">
        <row r="1">
          <cell r="J1">
            <v>1.7453292519943295E-2</v>
          </cell>
        </row>
      </sheetData>
      <sheetData sheetId="10071">
        <row r="1">
          <cell r="J1">
            <v>1.7453292519943295E-2</v>
          </cell>
        </row>
      </sheetData>
      <sheetData sheetId="10072">
        <row r="1">
          <cell r="J1">
            <v>1.7453292519943295E-2</v>
          </cell>
        </row>
      </sheetData>
      <sheetData sheetId="10073">
        <row r="1">
          <cell r="J1">
            <v>1.7453292519943295E-2</v>
          </cell>
        </row>
      </sheetData>
      <sheetData sheetId="10074">
        <row r="1">
          <cell r="J1">
            <v>1.7453292519943295E-2</v>
          </cell>
        </row>
      </sheetData>
      <sheetData sheetId="10075">
        <row r="1">
          <cell r="J1">
            <v>1.7453292519943295E-2</v>
          </cell>
        </row>
      </sheetData>
      <sheetData sheetId="10076">
        <row r="1">
          <cell r="J1">
            <v>1.7453292519943295E-2</v>
          </cell>
        </row>
      </sheetData>
      <sheetData sheetId="10077">
        <row r="1">
          <cell r="J1">
            <v>1.7453292519943295E-2</v>
          </cell>
        </row>
      </sheetData>
      <sheetData sheetId="10078">
        <row r="1">
          <cell r="J1">
            <v>1.7453292519943295E-2</v>
          </cell>
        </row>
      </sheetData>
      <sheetData sheetId="10079">
        <row r="1">
          <cell r="J1">
            <v>1.7453292519943295E-2</v>
          </cell>
        </row>
      </sheetData>
      <sheetData sheetId="10080">
        <row r="1">
          <cell r="J1">
            <v>1.7453292519943295E-2</v>
          </cell>
        </row>
      </sheetData>
      <sheetData sheetId="10081">
        <row r="1">
          <cell r="J1">
            <v>1.7453292519943295E-2</v>
          </cell>
        </row>
      </sheetData>
      <sheetData sheetId="10082">
        <row r="1">
          <cell r="J1">
            <v>1.7453292519943295E-2</v>
          </cell>
        </row>
      </sheetData>
      <sheetData sheetId="10083">
        <row r="1">
          <cell r="J1">
            <v>1.7453292519943295E-2</v>
          </cell>
        </row>
      </sheetData>
      <sheetData sheetId="10084">
        <row r="1">
          <cell r="J1">
            <v>1.7453292519943295E-2</v>
          </cell>
        </row>
      </sheetData>
      <sheetData sheetId="10085">
        <row r="1">
          <cell r="J1">
            <v>1.7453292519943295E-2</v>
          </cell>
        </row>
      </sheetData>
      <sheetData sheetId="10086">
        <row r="1">
          <cell r="J1">
            <v>1.7453292519943295E-2</v>
          </cell>
        </row>
      </sheetData>
      <sheetData sheetId="10087">
        <row r="1">
          <cell r="J1">
            <v>1.7453292519943295E-2</v>
          </cell>
        </row>
      </sheetData>
      <sheetData sheetId="10088">
        <row r="1">
          <cell r="J1">
            <v>1.7453292519943295E-2</v>
          </cell>
        </row>
      </sheetData>
      <sheetData sheetId="10089">
        <row r="1">
          <cell r="J1">
            <v>1.7453292519943295E-2</v>
          </cell>
        </row>
      </sheetData>
      <sheetData sheetId="10090">
        <row r="1">
          <cell r="J1">
            <v>1.7453292519943295E-2</v>
          </cell>
        </row>
      </sheetData>
      <sheetData sheetId="10091">
        <row r="1">
          <cell r="J1">
            <v>1.7453292519943295E-2</v>
          </cell>
        </row>
      </sheetData>
      <sheetData sheetId="10092">
        <row r="1">
          <cell r="J1">
            <v>1.7453292519943295E-2</v>
          </cell>
        </row>
      </sheetData>
      <sheetData sheetId="10093" refreshError="1"/>
      <sheetData sheetId="10094">
        <row r="1">
          <cell r="J1">
            <v>1.7453292519943295E-2</v>
          </cell>
        </row>
      </sheetData>
      <sheetData sheetId="10095">
        <row r="1">
          <cell r="J1">
            <v>1.7453292519943295E-2</v>
          </cell>
        </row>
      </sheetData>
      <sheetData sheetId="10096">
        <row r="1">
          <cell r="J1">
            <v>1.7453292519943295E-2</v>
          </cell>
        </row>
      </sheetData>
      <sheetData sheetId="10097">
        <row r="1">
          <cell r="J1">
            <v>1.7453292519943295E-2</v>
          </cell>
        </row>
      </sheetData>
      <sheetData sheetId="10098" refreshError="1"/>
      <sheetData sheetId="10099">
        <row r="1">
          <cell r="J1">
            <v>1.7453292519943295E-2</v>
          </cell>
        </row>
      </sheetData>
      <sheetData sheetId="10100">
        <row r="1">
          <cell r="J1">
            <v>1.7453292519943295E-2</v>
          </cell>
        </row>
      </sheetData>
      <sheetData sheetId="10101" refreshError="1"/>
      <sheetData sheetId="10102" refreshError="1"/>
      <sheetData sheetId="10103" refreshError="1"/>
      <sheetData sheetId="10104" refreshError="1"/>
      <sheetData sheetId="10105">
        <row r="1">
          <cell r="J1">
            <v>1.7453292519943295E-2</v>
          </cell>
        </row>
      </sheetData>
      <sheetData sheetId="10106">
        <row r="1">
          <cell r="J1">
            <v>1.7453292519943295E-2</v>
          </cell>
        </row>
      </sheetData>
      <sheetData sheetId="10107">
        <row r="1">
          <cell r="J1">
            <v>1.7453292519943295E-2</v>
          </cell>
        </row>
      </sheetData>
      <sheetData sheetId="10108" refreshError="1"/>
      <sheetData sheetId="10109" refreshError="1"/>
      <sheetData sheetId="10110" refreshError="1"/>
      <sheetData sheetId="10111">
        <row r="1">
          <cell r="J1">
            <v>1.7453292519943295E-2</v>
          </cell>
        </row>
      </sheetData>
      <sheetData sheetId="10112">
        <row r="1">
          <cell r="J1">
            <v>1.7453292519943295E-2</v>
          </cell>
        </row>
      </sheetData>
      <sheetData sheetId="10113">
        <row r="1">
          <cell r="J1">
            <v>1.7453292519943295E-2</v>
          </cell>
        </row>
      </sheetData>
      <sheetData sheetId="10114">
        <row r="1">
          <cell r="J1">
            <v>1.7453292519943295E-2</v>
          </cell>
        </row>
      </sheetData>
      <sheetData sheetId="10115">
        <row r="1">
          <cell r="J1">
            <v>1.7453292519943295E-2</v>
          </cell>
        </row>
      </sheetData>
      <sheetData sheetId="10116">
        <row r="1">
          <cell r="J1">
            <v>1.7453292519943295E-2</v>
          </cell>
        </row>
      </sheetData>
      <sheetData sheetId="10117">
        <row r="1">
          <cell r="J1">
            <v>1.7453292519943295E-2</v>
          </cell>
        </row>
      </sheetData>
      <sheetData sheetId="10118">
        <row r="1">
          <cell r="J1">
            <v>1.7453292519943295E-2</v>
          </cell>
        </row>
      </sheetData>
      <sheetData sheetId="10119">
        <row r="1">
          <cell r="J1">
            <v>1.7453292519943295E-2</v>
          </cell>
        </row>
      </sheetData>
      <sheetData sheetId="10120">
        <row r="1">
          <cell r="J1">
            <v>1.7453292519943295E-2</v>
          </cell>
        </row>
      </sheetData>
      <sheetData sheetId="10121">
        <row r="1">
          <cell r="J1">
            <v>1.7453292519943295E-2</v>
          </cell>
        </row>
      </sheetData>
      <sheetData sheetId="10122">
        <row r="1">
          <cell r="J1">
            <v>1.7453292519943295E-2</v>
          </cell>
        </row>
      </sheetData>
      <sheetData sheetId="10123">
        <row r="1">
          <cell r="J1">
            <v>1.7453292519943295E-2</v>
          </cell>
        </row>
      </sheetData>
      <sheetData sheetId="10124">
        <row r="1">
          <cell r="J1">
            <v>1.7453292519943295E-2</v>
          </cell>
        </row>
      </sheetData>
      <sheetData sheetId="10125">
        <row r="1">
          <cell r="J1">
            <v>1.7453292519943295E-2</v>
          </cell>
        </row>
      </sheetData>
      <sheetData sheetId="10126">
        <row r="1">
          <cell r="J1">
            <v>1.7453292519943295E-2</v>
          </cell>
        </row>
      </sheetData>
      <sheetData sheetId="10127">
        <row r="1">
          <cell r="J1">
            <v>1.7453292519943295E-2</v>
          </cell>
        </row>
      </sheetData>
      <sheetData sheetId="10128">
        <row r="1">
          <cell r="J1">
            <v>1.7453292519943295E-2</v>
          </cell>
        </row>
      </sheetData>
      <sheetData sheetId="10129">
        <row r="1">
          <cell r="J1">
            <v>1.7453292519943295E-2</v>
          </cell>
        </row>
      </sheetData>
      <sheetData sheetId="10130">
        <row r="1">
          <cell r="J1">
            <v>1.7453292519943295E-2</v>
          </cell>
        </row>
      </sheetData>
      <sheetData sheetId="10131">
        <row r="1">
          <cell r="J1">
            <v>1.7453292519943295E-2</v>
          </cell>
        </row>
      </sheetData>
      <sheetData sheetId="10132">
        <row r="1">
          <cell r="J1">
            <v>1.7453292519943295E-2</v>
          </cell>
        </row>
      </sheetData>
      <sheetData sheetId="10133">
        <row r="1">
          <cell r="J1">
            <v>1.7453292519943295E-2</v>
          </cell>
        </row>
      </sheetData>
      <sheetData sheetId="10134">
        <row r="1">
          <cell r="J1">
            <v>1.7453292519943295E-2</v>
          </cell>
        </row>
      </sheetData>
      <sheetData sheetId="10135">
        <row r="1">
          <cell r="J1">
            <v>1.7453292519943295E-2</v>
          </cell>
        </row>
      </sheetData>
      <sheetData sheetId="10136" refreshError="1"/>
      <sheetData sheetId="10137" refreshError="1"/>
      <sheetData sheetId="10138" refreshError="1"/>
      <sheetData sheetId="10139">
        <row r="1">
          <cell r="J1">
            <v>1.7453292519943295E-2</v>
          </cell>
        </row>
      </sheetData>
      <sheetData sheetId="10140">
        <row r="1">
          <cell r="J1">
            <v>1.7453292519943295E-2</v>
          </cell>
        </row>
      </sheetData>
      <sheetData sheetId="10141">
        <row r="1">
          <cell r="J1">
            <v>1.7453292519943295E-2</v>
          </cell>
        </row>
      </sheetData>
      <sheetData sheetId="10142" refreshError="1"/>
      <sheetData sheetId="10143" refreshError="1"/>
      <sheetData sheetId="10144" refreshError="1"/>
      <sheetData sheetId="10145">
        <row r="1">
          <cell r="J1">
            <v>1.7453292519943295E-2</v>
          </cell>
        </row>
      </sheetData>
      <sheetData sheetId="10146">
        <row r="1">
          <cell r="J1">
            <v>1.7453292519943295E-2</v>
          </cell>
        </row>
      </sheetData>
      <sheetData sheetId="10147">
        <row r="1">
          <cell r="J1">
            <v>1.7453292519943295E-2</v>
          </cell>
        </row>
      </sheetData>
      <sheetData sheetId="10148">
        <row r="1">
          <cell r="J1">
            <v>1.7453292519943295E-2</v>
          </cell>
        </row>
      </sheetData>
      <sheetData sheetId="10149">
        <row r="1">
          <cell r="J1">
            <v>1.7453292519943295E-2</v>
          </cell>
        </row>
      </sheetData>
      <sheetData sheetId="10150">
        <row r="1">
          <cell r="J1">
            <v>1.7453292519943295E-2</v>
          </cell>
        </row>
      </sheetData>
      <sheetData sheetId="10151">
        <row r="1">
          <cell r="J1">
            <v>1.7453292519943295E-2</v>
          </cell>
        </row>
      </sheetData>
      <sheetData sheetId="10152">
        <row r="1">
          <cell r="J1">
            <v>1.7453292519943295E-2</v>
          </cell>
        </row>
      </sheetData>
      <sheetData sheetId="10153">
        <row r="1">
          <cell r="J1">
            <v>1.7453292519943295E-2</v>
          </cell>
        </row>
      </sheetData>
      <sheetData sheetId="10154">
        <row r="1">
          <cell r="J1">
            <v>1.7453292519943295E-2</v>
          </cell>
        </row>
      </sheetData>
      <sheetData sheetId="10155">
        <row r="1">
          <cell r="J1">
            <v>1.7453292519943295E-2</v>
          </cell>
        </row>
      </sheetData>
      <sheetData sheetId="10156">
        <row r="1">
          <cell r="J1">
            <v>1.7453292519943295E-2</v>
          </cell>
        </row>
      </sheetData>
      <sheetData sheetId="10157">
        <row r="1">
          <cell r="J1">
            <v>1.7453292519943295E-2</v>
          </cell>
        </row>
      </sheetData>
      <sheetData sheetId="10158">
        <row r="1">
          <cell r="J1">
            <v>1.7453292519943295E-2</v>
          </cell>
        </row>
      </sheetData>
      <sheetData sheetId="10159">
        <row r="1">
          <cell r="J1">
            <v>1.7453292519943295E-2</v>
          </cell>
        </row>
      </sheetData>
      <sheetData sheetId="10160">
        <row r="1">
          <cell r="J1">
            <v>1.7453292519943295E-2</v>
          </cell>
        </row>
      </sheetData>
      <sheetData sheetId="10161">
        <row r="1">
          <cell r="J1">
            <v>1.7453292519943295E-2</v>
          </cell>
        </row>
      </sheetData>
      <sheetData sheetId="10162">
        <row r="1">
          <cell r="J1">
            <v>1.7453292519943295E-2</v>
          </cell>
        </row>
      </sheetData>
      <sheetData sheetId="10163">
        <row r="1">
          <cell r="J1">
            <v>1.7453292519943295E-2</v>
          </cell>
        </row>
      </sheetData>
      <sheetData sheetId="10164">
        <row r="1">
          <cell r="J1">
            <v>1.7453292519943295E-2</v>
          </cell>
        </row>
      </sheetData>
      <sheetData sheetId="10165">
        <row r="1">
          <cell r="J1">
            <v>1.7453292519943295E-2</v>
          </cell>
        </row>
      </sheetData>
      <sheetData sheetId="10166">
        <row r="1">
          <cell r="J1">
            <v>1.7453292519943295E-2</v>
          </cell>
        </row>
      </sheetData>
      <sheetData sheetId="10167" refreshError="1"/>
      <sheetData sheetId="10168" refreshError="1"/>
      <sheetData sheetId="10169" refreshError="1"/>
      <sheetData sheetId="10170">
        <row r="1">
          <cell r="J1">
            <v>1.7453292519943295E-2</v>
          </cell>
        </row>
      </sheetData>
      <sheetData sheetId="10171">
        <row r="1">
          <cell r="J1">
            <v>1.7453292519943295E-2</v>
          </cell>
        </row>
      </sheetData>
      <sheetData sheetId="10172">
        <row r="1">
          <cell r="J1">
            <v>1.7453292519943295E-2</v>
          </cell>
        </row>
      </sheetData>
      <sheetData sheetId="10173" refreshError="1"/>
      <sheetData sheetId="10174" refreshError="1"/>
      <sheetData sheetId="10175" refreshError="1"/>
      <sheetData sheetId="10176">
        <row r="1">
          <cell r="J1">
            <v>1.7453292519943295E-2</v>
          </cell>
        </row>
      </sheetData>
      <sheetData sheetId="10177">
        <row r="1">
          <cell r="J1">
            <v>1.7453292519943295E-2</v>
          </cell>
        </row>
      </sheetData>
      <sheetData sheetId="10178">
        <row r="1">
          <cell r="J1">
            <v>1.7453292519943295E-2</v>
          </cell>
        </row>
      </sheetData>
      <sheetData sheetId="10179">
        <row r="1">
          <cell r="J1">
            <v>1.7453292519943295E-2</v>
          </cell>
        </row>
      </sheetData>
      <sheetData sheetId="10180">
        <row r="1">
          <cell r="J1">
            <v>1.7453292519943295E-2</v>
          </cell>
        </row>
      </sheetData>
      <sheetData sheetId="10181">
        <row r="1">
          <cell r="J1">
            <v>1.7453292519943295E-2</v>
          </cell>
        </row>
      </sheetData>
      <sheetData sheetId="10182">
        <row r="1">
          <cell r="J1">
            <v>1.7453292519943295E-2</v>
          </cell>
        </row>
      </sheetData>
      <sheetData sheetId="10183">
        <row r="1">
          <cell r="J1">
            <v>1.7453292519943295E-2</v>
          </cell>
        </row>
      </sheetData>
      <sheetData sheetId="10184">
        <row r="1">
          <cell r="J1">
            <v>1.7453292519943295E-2</v>
          </cell>
        </row>
      </sheetData>
      <sheetData sheetId="10185">
        <row r="1">
          <cell r="J1">
            <v>1.7453292519943295E-2</v>
          </cell>
        </row>
      </sheetData>
      <sheetData sheetId="10186">
        <row r="1">
          <cell r="J1">
            <v>1.7453292519943295E-2</v>
          </cell>
        </row>
      </sheetData>
      <sheetData sheetId="10187">
        <row r="1">
          <cell r="J1">
            <v>1.7453292519943295E-2</v>
          </cell>
        </row>
      </sheetData>
      <sheetData sheetId="10188">
        <row r="1">
          <cell r="J1">
            <v>1.7453292519943295E-2</v>
          </cell>
        </row>
      </sheetData>
      <sheetData sheetId="10189">
        <row r="1">
          <cell r="J1">
            <v>1.7453292519943295E-2</v>
          </cell>
        </row>
      </sheetData>
      <sheetData sheetId="10190">
        <row r="1">
          <cell r="J1">
            <v>1.7453292519943295E-2</v>
          </cell>
        </row>
      </sheetData>
      <sheetData sheetId="10191">
        <row r="1">
          <cell r="J1">
            <v>1.7453292519943295E-2</v>
          </cell>
        </row>
      </sheetData>
      <sheetData sheetId="10192">
        <row r="1">
          <cell r="J1">
            <v>1.7453292519943295E-2</v>
          </cell>
        </row>
      </sheetData>
      <sheetData sheetId="10193">
        <row r="1">
          <cell r="J1">
            <v>1.7453292519943295E-2</v>
          </cell>
        </row>
      </sheetData>
      <sheetData sheetId="10194">
        <row r="1">
          <cell r="J1">
            <v>1.7453292519943295E-2</v>
          </cell>
        </row>
      </sheetData>
      <sheetData sheetId="10195">
        <row r="1">
          <cell r="J1">
            <v>1.7453292519943295E-2</v>
          </cell>
        </row>
      </sheetData>
      <sheetData sheetId="10196" refreshError="1"/>
      <sheetData sheetId="10197" refreshError="1"/>
      <sheetData sheetId="10198">
        <row r="1">
          <cell r="J1">
            <v>1.7453292519943295E-2</v>
          </cell>
        </row>
      </sheetData>
      <sheetData sheetId="10199">
        <row r="1">
          <cell r="J1">
            <v>1.7453292519943295E-2</v>
          </cell>
        </row>
      </sheetData>
      <sheetData sheetId="10200" refreshError="1"/>
      <sheetData sheetId="10201" refreshError="1"/>
      <sheetData sheetId="10202">
        <row r="1">
          <cell r="J1">
            <v>1.7453292519943295E-2</v>
          </cell>
        </row>
      </sheetData>
      <sheetData sheetId="10203">
        <row r="1">
          <cell r="J1">
            <v>1.7453292519943295E-2</v>
          </cell>
        </row>
      </sheetData>
      <sheetData sheetId="10204" refreshError="1"/>
      <sheetData sheetId="10205" refreshError="1"/>
      <sheetData sheetId="10206">
        <row r="1">
          <cell r="J1">
            <v>1.7453292519943295E-2</v>
          </cell>
        </row>
      </sheetData>
      <sheetData sheetId="10207">
        <row r="1">
          <cell r="J1">
            <v>1.7453292519943295E-2</v>
          </cell>
        </row>
      </sheetData>
      <sheetData sheetId="10208">
        <row r="1">
          <cell r="J1">
            <v>1.7453292519943295E-2</v>
          </cell>
        </row>
      </sheetData>
      <sheetData sheetId="10209" refreshError="1"/>
      <sheetData sheetId="10210">
        <row r="1">
          <cell r="J1">
            <v>1.7453292519943295E-2</v>
          </cell>
        </row>
      </sheetData>
      <sheetData sheetId="10211">
        <row r="1">
          <cell r="J1">
            <v>1.7453292519943295E-2</v>
          </cell>
        </row>
      </sheetData>
      <sheetData sheetId="10212" refreshError="1"/>
      <sheetData sheetId="10213">
        <row r="1">
          <cell r="J1">
            <v>1.7453292519943295E-2</v>
          </cell>
        </row>
      </sheetData>
      <sheetData sheetId="10214">
        <row r="1">
          <cell r="J1">
            <v>1.7453292519943295E-2</v>
          </cell>
        </row>
      </sheetData>
      <sheetData sheetId="10215" refreshError="1"/>
      <sheetData sheetId="10216" refreshError="1"/>
      <sheetData sheetId="10217" refreshError="1"/>
      <sheetData sheetId="10218">
        <row r="1">
          <cell r="J1">
            <v>1.7453292519943295E-2</v>
          </cell>
        </row>
      </sheetData>
      <sheetData sheetId="10219" refreshError="1"/>
      <sheetData sheetId="10220" refreshError="1"/>
      <sheetData sheetId="10221">
        <row r="1">
          <cell r="J1">
            <v>1.7453292519943295E-2</v>
          </cell>
        </row>
      </sheetData>
      <sheetData sheetId="10222">
        <row r="1">
          <cell r="J1">
            <v>1.7453292519943295E-2</v>
          </cell>
        </row>
      </sheetData>
      <sheetData sheetId="10223">
        <row r="1">
          <cell r="J1">
            <v>1.7453292519943295E-2</v>
          </cell>
        </row>
      </sheetData>
      <sheetData sheetId="10224">
        <row r="1">
          <cell r="J1">
            <v>1.7453292519943295E-2</v>
          </cell>
        </row>
      </sheetData>
      <sheetData sheetId="10225">
        <row r="1">
          <cell r="J1">
            <v>1.7453292519943295E-2</v>
          </cell>
        </row>
      </sheetData>
      <sheetData sheetId="10226">
        <row r="1">
          <cell r="J1">
            <v>1.7453292519943295E-2</v>
          </cell>
        </row>
      </sheetData>
      <sheetData sheetId="10227">
        <row r="1">
          <cell r="J1">
            <v>1.7453292519943295E-2</v>
          </cell>
        </row>
      </sheetData>
      <sheetData sheetId="10228">
        <row r="1">
          <cell r="J1">
            <v>1.7453292519943295E-2</v>
          </cell>
        </row>
      </sheetData>
      <sheetData sheetId="10229">
        <row r="1">
          <cell r="J1">
            <v>1.7453292519943295E-2</v>
          </cell>
        </row>
      </sheetData>
      <sheetData sheetId="10230">
        <row r="1">
          <cell r="J1">
            <v>1.7453292519943295E-2</v>
          </cell>
        </row>
      </sheetData>
      <sheetData sheetId="10231">
        <row r="1">
          <cell r="J1">
            <v>1.7453292519943295E-2</v>
          </cell>
        </row>
      </sheetData>
      <sheetData sheetId="10232">
        <row r="1">
          <cell r="J1">
            <v>1.7453292519943295E-2</v>
          </cell>
        </row>
      </sheetData>
      <sheetData sheetId="10233">
        <row r="1">
          <cell r="J1">
            <v>1.7453292519943295E-2</v>
          </cell>
        </row>
      </sheetData>
      <sheetData sheetId="10234">
        <row r="1">
          <cell r="J1">
            <v>1.7453292519943295E-2</v>
          </cell>
        </row>
      </sheetData>
      <sheetData sheetId="10235">
        <row r="1">
          <cell r="J1">
            <v>1.7453292519943295E-2</v>
          </cell>
        </row>
      </sheetData>
      <sheetData sheetId="10236">
        <row r="1">
          <cell r="J1">
            <v>1.7453292519943295E-2</v>
          </cell>
        </row>
      </sheetData>
      <sheetData sheetId="10237">
        <row r="1">
          <cell r="J1">
            <v>1.7453292519943295E-2</v>
          </cell>
        </row>
      </sheetData>
      <sheetData sheetId="10238">
        <row r="1">
          <cell r="J1">
            <v>1.7453292519943295E-2</v>
          </cell>
        </row>
      </sheetData>
      <sheetData sheetId="10239">
        <row r="1">
          <cell r="J1">
            <v>1.7453292519943295E-2</v>
          </cell>
        </row>
      </sheetData>
      <sheetData sheetId="10240">
        <row r="1">
          <cell r="J1">
            <v>1.7453292519943295E-2</v>
          </cell>
        </row>
      </sheetData>
      <sheetData sheetId="10241">
        <row r="1">
          <cell r="J1">
            <v>1.7453292519943295E-2</v>
          </cell>
        </row>
      </sheetData>
      <sheetData sheetId="10242" refreshError="1"/>
      <sheetData sheetId="10243" refreshError="1"/>
      <sheetData sheetId="10244" refreshError="1"/>
      <sheetData sheetId="10245">
        <row r="1">
          <cell r="J1">
            <v>1.7453292519943295E-2</v>
          </cell>
        </row>
      </sheetData>
      <sheetData sheetId="10246">
        <row r="1">
          <cell r="J1">
            <v>1.7453292519943295E-2</v>
          </cell>
        </row>
      </sheetData>
      <sheetData sheetId="10247">
        <row r="1">
          <cell r="J1">
            <v>1.7453292519943295E-2</v>
          </cell>
        </row>
      </sheetData>
      <sheetData sheetId="10248">
        <row r="1">
          <cell r="J1">
            <v>1.7453292519943295E-2</v>
          </cell>
        </row>
      </sheetData>
      <sheetData sheetId="10249">
        <row r="1">
          <cell r="J1">
            <v>1.7453292519943295E-2</v>
          </cell>
        </row>
      </sheetData>
      <sheetData sheetId="10250">
        <row r="1">
          <cell r="J1">
            <v>1.7453292519943295E-2</v>
          </cell>
        </row>
      </sheetData>
      <sheetData sheetId="10251">
        <row r="1">
          <cell r="J1">
            <v>1.7453292519943295E-2</v>
          </cell>
        </row>
      </sheetData>
      <sheetData sheetId="10252">
        <row r="1">
          <cell r="J1">
            <v>1.7453292519943295E-2</v>
          </cell>
        </row>
      </sheetData>
      <sheetData sheetId="10253">
        <row r="1">
          <cell r="J1">
            <v>1.7453292519943295E-2</v>
          </cell>
        </row>
      </sheetData>
      <sheetData sheetId="10254">
        <row r="1">
          <cell r="J1">
            <v>1.7453292519943295E-2</v>
          </cell>
        </row>
      </sheetData>
      <sheetData sheetId="10255">
        <row r="1">
          <cell r="J1">
            <v>1.7453292519943295E-2</v>
          </cell>
        </row>
      </sheetData>
      <sheetData sheetId="10256">
        <row r="1">
          <cell r="J1">
            <v>1.7453292519943295E-2</v>
          </cell>
        </row>
      </sheetData>
      <sheetData sheetId="10257">
        <row r="1">
          <cell r="J1">
            <v>1.7453292519943295E-2</v>
          </cell>
        </row>
      </sheetData>
      <sheetData sheetId="10258">
        <row r="1">
          <cell r="J1">
            <v>1.7453292519943295E-2</v>
          </cell>
        </row>
      </sheetData>
      <sheetData sheetId="10259">
        <row r="1">
          <cell r="J1">
            <v>1.7453292519943295E-2</v>
          </cell>
        </row>
      </sheetData>
      <sheetData sheetId="10260">
        <row r="1">
          <cell r="J1">
            <v>1.7453292519943295E-2</v>
          </cell>
        </row>
      </sheetData>
      <sheetData sheetId="10261">
        <row r="1">
          <cell r="J1">
            <v>1.7453292519943295E-2</v>
          </cell>
        </row>
      </sheetData>
      <sheetData sheetId="10262">
        <row r="1">
          <cell r="J1">
            <v>1.7453292519943295E-2</v>
          </cell>
        </row>
      </sheetData>
      <sheetData sheetId="10263">
        <row r="1">
          <cell r="J1">
            <v>1.7453292519943295E-2</v>
          </cell>
        </row>
      </sheetData>
      <sheetData sheetId="10264">
        <row r="1">
          <cell r="J1">
            <v>1.7453292519943295E-2</v>
          </cell>
        </row>
      </sheetData>
      <sheetData sheetId="10265" refreshError="1"/>
      <sheetData sheetId="10266" refreshError="1"/>
      <sheetData sheetId="10267" refreshError="1"/>
      <sheetData sheetId="10268">
        <row r="1">
          <cell r="J1">
            <v>1.7453292519943295E-2</v>
          </cell>
        </row>
      </sheetData>
      <sheetData sheetId="10269">
        <row r="1">
          <cell r="J1">
            <v>1.7453292519943295E-2</v>
          </cell>
        </row>
      </sheetData>
      <sheetData sheetId="10270" refreshError="1"/>
      <sheetData sheetId="10271"/>
      <sheetData sheetId="10272">
        <row r="1">
          <cell r="J1">
            <v>1.7453292519943295E-2</v>
          </cell>
        </row>
      </sheetData>
      <sheetData sheetId="10273" refreshError="1"/>
      <sheetData sheetId="10274">
        <row r="1">
          <cell r="J1">
            <v>1.7453292519943295E-2</v>
          </cell>
        </row>
      </sheetData>
      <sheetData sheetId="10275" refreshError="1"/>
      <sheetData sheetId="10276">
        <row r="1">
          <cell r="J1">
            <v>1.7453292519943295E-2</v>
          </cell>
        </row>
      </sheetData>
      <sheetData sheetId="10277">
        <row r="1">
          <cell r="J1">
            <v>1.7453292519943295E-2</v>
          </cell>
        </row>
      </sheetData>
      <sheetData sheetId="10278">
        <row r="1">
          <cell r="J1">
            <v>1.7453292519943295E-2</v>
          </cell>
        </row>
      </sheetData>
      <sheetData sheetId="10279">
        <row r="1">
          <cell r="J1">
            <v>1.7453292519943295E-2</v>
          </cell>
        </row>
      </sheetData>
      <sheetData sheetId="10280">
        <row r="1">
          <cell r="J1">
            <v>1.7453292519943295E-2</v>
          </cell>
        </row>
      </sheetData>
      <sheetData sheetId="10281">
        <row r="1">
          <cell r="J1">
            <v>1.7453292519943295E-2</v>
          </cell>
        </row>
      </sheetData>
      <sheetData sheetId="10282">
        <row r="1">
          <cell r="J1">
            <v>1.7453292519943295E-2</v>
          </cell>
        </row>
      </sheetData>
      <sheetData sheetId="10283">
        <row r="1">
          <cell r="J1">
            <v>1.7453292519943295E-2</v>
          </cell>
        </row>
      </sheetData>
      <sheetData sheetId="10284">
        <row r="1">
          <cell r="J1">
            <v>1.7453292519943295E-2</v>
          </cell>
        </row>
      </sheetData>
      <sheetData sheetId="10285">
        <row r="1">
          <cell r="J1">
            <v>1.7453292519943295E-2</v>
          </cell>
        </row>
      </sheetData>
      <sheetData sheetId="10286">
        <row r="1">
          <cell r="J1">
            <v>1.7453292519943295E-2</v>
          </cell>
        </row>
      </sheetData>
      <sheetData sheetId="10287">
        <row r="1">
          <cell r="J1">
            <v>1.7453292519943295E-2</v>
          </cell>
        </row>
      </sheetData>
      <sheetData sheetId="10288">
        <row r="1">
          <cell r="J1">
            <v>1.7453292519943295E-2</v>
          </cell>
        </row>
      </sheetData>
      <sheetData sheetId="10289">
        <row r="1">
          <cell r="J1">
            <v>1.7453292519943295E-2</v>
          </cell>
        </row>
      </sheetData>
      <sheetData sheetId="10290">
        <row r="1">
          <cell r="J1">
            <v>1.7453292519943295E-2</v>
          </cell>
        </row>
      </sheetData>
      <sheetData sheetId="10291">
        <row r="1">
          <cell r="J1">
            <v>1.7453292519943295E-2</v>
          </cell>
        </row>
      </sheetData>
      <sheetData sheetId="10292">
        <row r="1">
          <cell r="J1">
            <v>1.7453292519943295E-2</v>
          </cell>
        </row>
      </sheetData>
      <sheetData sheetId="10293">
        <row r="1">
          <cell r="J1">
            <v>1.7453292519943295E-2</v>
          </cell>
        </row>
      </sheetData>
      <sheetData sheetId="10294">
        <row r="1">
          <cell r="J1">
            <v>1.7453292519943295E-2</v>
          </cell>
        </row>
      </sheetData>
      <sheetData sheetId="10295">
        <row r="1">
          <cell r="J1">
            <v>1.7453292519943295E-2</v>
          </cell>
        </row>
      </sheetData>
      <sheetData sheetId="10296" refreshError="1"/>
      <sheetData sheetId="10297" refreshError="1"/>
      <sheetData sheetId="10298">
        <row r="1">
          <cell r="J1">
            <v>1.7453292519943295E-2</v>
          </cell>
        </row>
      </sheetData>
      <sheetData sheetId="10299">
        <row r="1">
          <cell r="J1">
            <v>1.7453292519943295E-2</v>
          </cell>
        </row>
      </sheetData>
      <sheetData sheetId="10300" refreshError="1"/>
      <sheetData sheetId="10301">
        <row r="1">
          <cell r="J1">
            <v>1.7453292519943295E-2</v>
          </cell>
        </row>
      </sheetData>
      <sheetData sheetId="10302" refreshError="1"/>
      <sheetData sheetId="10303" refreshError="1"/>
      <sheetData sheetId="10304" refreshError="1"/>
      <sheetData sheetId="10305">
        <row r="1">
          <cell r="J1">
            <v>1.7453292519943295E-2</v>
          </cell>
        </row>
      </sheetData>
      <sheetData sheetId="10306">
        <row r="1">
          <cell r="J1">
            <v>1.7453292519943295E-2</v>
          </cell>
        </row>
      </sheetData>
      <sheetData sheetId="10307">
        <row r="1">
          <cell r="J1">
            <v>1.7453292519943295E-2</v>
          </cell>
        </row>
      </sheetData>
      <sheetData sheetId="10308">
        <row r="1">
          <cell r="J1">
            <v>1.7453292519943295E-2</v>
          </cell>
        </row>
      </sheetData>
      <sheetData sheetId="10309">
        <row r="1">
          <cell r="J1">
            <v>1.7453292519943295E-2</v>
          </cell>
        </row>
      </sheetData>
      <sheetData sheetId="10310">
        <row r="1">
          <cell r="J1">
            <v>1.7453292519943295E-2</v>
          </cell>
        </row>
      </sheetData>
      <sheetData sheetId="10311">
        <row r="1">
          <cell r="J1">
            <v>1.7453292519943295E-2</v>
          </cell>
        </row>
      </sheetData>
      <sheetData sheetId="10312">
        <row r="1">
          <cell r="J1">
            <v>1.7453292519943295E-2</v>
          </cell>
        </row>
      </sheetData>
      <sheetData sheetId="10313">
        <row r="1">
          <cell r="J1">
            <v>1.7453292519943295E-2</v>
          </cell>
        </row>
      </sheetData>
      <sheetData sheetId="10314">
        <row r="1">
          <cell r="J1">
            <v>1.7453292519943295E-2</v>
          </cell>
        </row>
      </sheetData>
      <sheetData sheetId="10315">
        <row r="1">
          <cell r="J1">
            <v>1.7453292519943295E-2</v>
          </cell>
        </row>
      </sheetData>
      <sheetData sheetId="10316">
        <row r="1">
          <cell r="J1">
            <v>1.7453292519943295E-2</v>
          </cell>
        </row>
      </sheetData>
      <sheetData sheetId="10317">
        <row r="1">
          <cell r="J1">
            <v>1.7453292519943295E-2</v>
          </cell>
        </row>
      </sheetData>
      <sheetData sheetId="10318">
        <row r="1">
          <cell r="J1">
            <v>1.7453292519943295E-2</v>
          </cell>
        </row>
      </sheetData>
      <sheetData sheetId="10319">
        <row r="1">
          <cell r="J1">
            <v>1.7453292519943295E-2</v>
          </cell>
        </row>
      </sheetData>
      <sheetData sheetId="10320">
        <row r="1">
          <cell r="J1">
            <v>1.7453292519943295E-2</v>
          </cell>
        </row>
      </sheetData>
      <sheetData sheetId="10321">
        <row r="1">
          <cell r="J1">
            <v>1.7453292519943295E-2</v>
          </cell>
        </row>
      </sheetData>
      <sheetData sheetId="10322">
        <row r="1">
          <cell r="J1">
            <v>1.7453292519943295E-2</v>
          </cell>
        </row>
      </sheetData>
      <sheetData sheetId="10323">
        <row r="1">
          <cell r="J1">
            <v>1.7453292519943295E-2</v>
          </cell>
        </row>
      </sheetData>
      <sheetData sheetId="10324">
        <row r="1">
          <cell r="J1">
            <v>1.7453292519943295E-2</v>
          </cell>
        </row>
      </sheetData>
      <sheetData sheetId="10325">
        <row r="1">
          <cell r="J1">
            <v>1.7453292519943295E-2</v>
          </cell>
        </row>
      </sheetData>
      <sheetData sheetId="10326">
        <row r="1">
          <cell r="J1">
            <v>1.7453292519943295E-2</v>
          </cell>
        </row>
      </sheetData>
      <sheetData sheetId="10327">
        <row r="1">
          <cell r="J1">
            <v>1.7453292519943295E-2</v>
          </cell>
        </row>
      </sheetData>
      <sheetData sheetId="10328" refreshError="1"/>
      <sheetData sheetId="10329" refreshError="1"/>
      <sheetData sheetId="10330">
        <row r="1">
          <cell r="J1">
            <v>1.7453292519943295E-2</v>
          </cell>
        </row>
      </sheetData>
      <sheetData sheetId="10331" refreshError="1"/>
      <sheetData sheetId="10332" refreshError="1"/>
      <sheetData sheetId="10333" refreshError="1"/>
      <sheetData sheetId="10334">
        <row r="1">
          <cell r="J1">
            <v>1.7453292519943295E-2</v>
          </cell>
        </row>
      </sheetData>
      <sheetData sheetId="10335">
        <row r="1">
          <cell r="J1">
            <v>1.7453292519943295E-2</v>
          </cell>
        </row>
      </sheetData>
      <sheetData sheetId="10336">
        <row r="1">
          <cell r="J1">
            <v>1.7453292519943295E-2</v>
          </cell>
        </row>
      </sheetData>
      <sheetData sheetId="10337">
        <row r="1">
          <cell r="J1">
            <v>1.7453292519943295E-2</v>
          </cell>
        </row>
      </sheetData>
      <sheetData sheetId="10338">
        <row r="1">
          <cell r="J1">
            <v>1.7453292519943295E-2</v>
          </cell>
        </row>
      </sheetData>
      <sheetData sheetId="10339">
        <row r="1">
          <cell r="J1">
            <v>1.7453292519943295E-2</v>
          </cell>
        </row>
      </sheetData>
      <sheetData sheetId="10340">
        <row r="1">
          <cell r="J1">
            <v>1.7453292519943295E-2</v>
          </cell>
        </row>
      </sheetData>
      <sheetData sheetId="10341">
        <row r="1">
          <cell r="J1">
            <v>1.7453292519943295E-2</v>
          </cell>
        </row>
      </sheetData>
      <sheetData sheetId="10342">
        <row r="1">
          <cell r="J1">
            <v>1.7453292519943295E-2</v>
          </cell>
        </row>
      </sheetData>
      <sheetData sheetId="10343">
        <row r="1">
          <cell r="J1">
            <v>1.7453292519943295E-2</v>
          </cell>
        </row>
      </sheetData>
      <sheetData sheetId="10344">
        <row r="1">
          <cell r="J1">
            <v>1.7453292519943295E-2</v>
          </cell>
        </row>
      </sheetData>
      <sheetData sheetId="10345">
        <row r="1">
          <cell r="J1">
            <v>1.7453292519943295E-2</v>
          </cell>
        </row>
      </sheetData>
      <sheetData sheetId="10346">
        <row r="1">
          <cell r="J1">
            <v>1.7453292519943295E-2</v>
          </cell>
        </row>
      </sheetData>
      <sheetData sheetId="10347">
        <row r="1">
          <cell r="J1">
            <v>1.7453292519943295E-2</v>
          </cell>
        </row>
      </sheetData>
      <sheetData sheetId="10348" refreshError="1"/>
      <sheetData sheetId="10349">
        <row r="1">
          <cell r="J1">
            <v>1.7453292519943295E-2</v>
          </cell>
        </row>
      </sheetData>
      <sheetData sheetId="10350">
        <row r="1">
          <cell r="J1">
            <v>1.7453292519943295E-2</v>
          </cell>
        </row>
      </sheetData>
      <sheetData sheetId="10351" refreshError="1"/>
      <sheetData sheetId="10352" refreshError="1"/>
      <sheetData sheetId="10353" refreshError="1"/>
      <sheetData sheetId="10354" refreshError="1"/>
      <sheetData sheetId="10355">
        <row r="1">
          <cell r="J1">
            <v>1.7453292519943295E-2</v>
          </cell>
        </row>
      </sheetData>
      <sheetData sheetId="10356" refreshError="1"/>
      <sheetData sheetId="10357" refreshError="1"/>
      <sheetData sheetId="10358">
        <row r="1">
          <cell r="J1">
            <v>1.7453292519943295E-2</v>
          </cell>
        </row>
      </sheetData>
      <sheetData sheetId="10359">
        <row r="1">
          <cell r="J1">
            <v>1.7453292519943295E-2</v>
          </cell>
        </row>
      </sheetData>
      <sheetData sheetId="10360" refreshError="1"/>
      <sheetData sheetId="10361">
        <row r="1">
          <cell r="J1">
            <v>1.7453292519943295E-2</v>
          </cell>
        </row>
      </sheetData>
      <sheetData sheetId="10362">
        <row r="1">
          <cell r="J1">
            <v>1.7453292519943295E-2</v>
          </cell>
        </row>
      </sheetData>
      <sheetData sheetId="10363">
        <row r="1">
          <cell r="J1">
            <v>1.7453292519943295E-2</v>
          </cell>
        </row>
      </sheetData>
      <sheetData sheetId="10364">
        <row r="1">
          <cell r="J1">
            <v>1.7453292519943295E-2</v>
          </cell>
        </row>
      </sheetData>
      <sheetData sheetId="10365" refreshError="1"/>
      <sheetData sheetId="10366" refreshError="1"/>
      <sheetData sheetId="10367" refreshError="1"/>
      <sheetData sheetId="10368">
        <row r="1">
          <cell r="J1">
            <v>1.7453292519943295E-2</v>
          </cell>
        </row>
      </sheetData>
      <sheetData sheetId="10369" refreshError="1"/>
      <sheetData sheetId="10370" refreshError="1"/>
      <sheetData sheetId="10371" refreshError="1"/>
      <sheetData sheetId="10372">
        <row r="1">
          <cell r="J1">
            <v>1.7453292519943295E-2</v>
          </cell>
        </row>
      </sheetData>
      <sheetData sheetId="10373">
        <row r="1">
          <cell r="J1">
            <v>1.7453292519943295E-2</v>
          </cell>
        </row>
      </sheetData>
      <sheetData sheetId="10374" refreshError="1"/>
      <sheetData sheetId="10375">
        <row r="1">
          <cell r="J1">
            <v>1.7453292519943295E-2</v>
          </cell>
        </row>
      </sheetData>
      <sheetData sheetId="10376">
        <row r="1">
          <cell r="J1">
            <v>1.7453292519943295E-2</v>
          </cell>
        </row>
      </sheetData>
      <sheetData sheetId="10377">
        <row r="1">
          <cell r="J1">
            <v>1.7453292519943295E-2</v>
          </cell>
        </row>
      </sheetData>
      <sheetData sheetId="10378">
        <row r="1">
          <cell r="J1">
            <v>1.7453292519943295E-2</v>
          </cell>
        </row>
      </sheetData>
      <sheetData sheetId="10379">
        <row r="1">
          <cell r="J1">
            <v>1.7453292519943295E-2</v>
          </cell>
        </row>
      </sheetData>
      <sheetData sheetId="10380">
        <row r="1">
          <cell r="J1">
            <v>1.7453292519943295E-2</v>
          </cell>
        </row>
      </sheetData>
      <sheetData sheetId="10381">
        <row r="1">
          <cell r="J1">
            <v>1.7453292519943295E-2</v>
          </cell>
        </row>
      </sheetData>
      <sheetData sheetId="10382">
        <row r="1">
          <cell r="J1">
            <v>1.7453292519943295E-2</v>
          </cell>
        </row>
      </sheetData>
      <sheetData sheetId="10383">
        <row r="1">
          <cell r="J1">
            <v>1.7453292519943295E-2</v>
          </cell>
        </row>
      </sheetData>
      <sheetData sheetId="10384">
        <row r="1">
          <cell r="J1">
            <v>1.7453292519943295E-2</v>
          </cell>
        </row>
      </sheetData>
      <sheetData sheetId="10385">
        <row r="1">
          <cell r="J1">
            <v>1.7453292519943295E-2</v>
          </cell>
        </row>
      </sheetData>
      <sheetData sheetId="10386">
        <row r="1">
          <cell r="J1">
            <v>1.7453292519943295E-2</v>
          </cell>
        </row>
      </sheetData>
      <sheetData sheetId="10387">
        <row r="1">
          <cell r="J1">
            <v>1.7453292519943295E-2</v>
          </cell>
        </row>
      </sheetData>
      <sheetData sheetId="10388">
        <row r="1">
          <cell r="J1">
            <v>1.7453292519943295E-2</v>
          </cell>
        </row>
      </sheetData>
      <sheetData sheetId="10389">
        <row r="1">
          <cell r="J1">
            <v>1.7453292519943295E-2</v>
          </cell>
        </row>
      </sheetData>
      <sheetData sheetId="10390">
        <row r="1">
          <cell r="J1">
            <v>1.7453292519943295E-2</v>
          </cell>
        </row>
      </sheetData>
      <sheetData sheetId="10391">
        <row r="1">
          <cell r="J1">
            <v>1.7453292519943295E-2</v>
          </cell>
        </row>
      </sheetData>
      <sheetData sheetId="10392">
        <row r="1">
          <cell r="J1">
            <v>1.7453292519943295E-2</v>
          </cell>
        </row>
      </sheetData>
      <sheetData sheetId="10393">
        <row r="1">
          <cell r="J1">
            <v>1.7453292519943295E-2</v>
          </cell>
        </row>
      </sheetData>
      <sheetData sheetId="10394">
        <row r="1">
          <cell r="J1">
            <v>1.7453292519943295E-2</v>
          </cell>
        </row>
      </sheetData>
      <sheetData sheetId="10395">
        <row r="1">
          <cell r="J1">
            <v>1.7453292519943295E-2</v>
          </cell>
        </row>
      </sheetData>
      <sheetData sheetId="10396">
        <row r="1">
          <cell r="J1">
            <v>1.7453292519943295E-2</v>
          </cell>
        </row>
      </sheetData>
      <sheetData sheetId="10397">
        <row r="1">
          <cell r="J1">
            <v>1.7453292519943295E-2</v>
          </cell>
        </row>
      </sheetData>
      <sheetData sheetId="10398">
        <row r="1">
          <cell r="J1">
            <v>1.7453292519943295E-2</v>
          </cell>
        </row>
      </sheetData>
      <sheetData sheetId="10399">
        <row r="1">
          <cell r="J1">
            <v>1.7453292519943295E-2</v>
          </cell>
        </row>
      </sheetData>
      <sheetData sheetId="10400">
        <row r="1">
          <cell r="J1">
            <v>1.7453292519943295E-2</v>
          </cell>
        </row>
      </sheetData>
      <sheetData sheetId="10401">
        <row r="1">
          <cell r="J1">
            <v>1.7453292519943295E-2</v>
          </cell>
        </row>
      </sheetData>
      <sheetData sheetId="10402">
        <row r="1">
          <cell r="J1">
            <v>1.7453292519943295E-2</v>
          </cell>
        </row>
      </sheetData>
      <sheetData sheetId="10403">
        <row r="1">
          <cell r="J1">
            <v>1.7453292519943295E-2</v>
          </cell>
        </row>
      </sheetData>
      <sheetData sheetId="10404">
        <row r="1">
          <cell r="J1">
            <v>1.7453292519943295E-2</v>
          </cell>
        </row>
      </sheetData>
      <sheetData sheetId="10405">
        <row r="1">
          <cell r="J1">
            <v>1.7453292519943295E-2</v>
          </cell>
        </row>
      </sheetData>
      <sheetData sheetId="10406">
        <row r="1">
          <cell r="J1">
            <v>1.7453292519943295E-2</v>
          </cell>
        </row>
      </sheetData>
      <sheetData sheetId="10407">
        <row r="1">
          <cell r="J1">
            <v>1.7453292519943295E-2</v>
          </cell>
        </row>
      </sheetData>
      <sheetData sheetId="10408">
        <row r="1">
          <cell r="J1">
            <v>1.7453292519943295E-2</v>
          </cell>
        </row>
      </sheetData>
      <sheetData sheetId="10409">
        <row r="1">
          <cell r="J1">
            <v>1.7453292519943295E-2</v>
          </cell>
        </row>
      </sheetData>
      <sheetData sheetId="10410">
        <row r="1">
          <cell r="J1">
            <v>1.7453292519943295E-2</v>
          </cell>
        </row>
      </sheetData>
      <sheetData sheetId="10411">
        <row r="1">
          <cell r="J1">
            <v>1.7453292519943295E-2</v>
          </cell>
        </row>
      </sheetData>
      <sheetData sheetId="10412">
        <row r="1">
          <cell r="J1">
            <v>1.7453292519943295E-2</v>
          </cell>
        </row>
      </sheetData>
      <sheetData sheetId="10413">
        <row r="1">
          <cell r="J1">
            <v>1.7453292519943295E-2</v>
          </cell>
        </row>
      </sheetData>
      <sheetData sheetId="10414">
        <row r="1">
          <cell r="J1">
            <v>1.7453292519943295E-2</v>
          </cell>
        </row>
      </sheetData>
      <sheetData sheetId="10415">
        <row r="1">
          <cell r="J1">
            <v>1.7453292519943295E-2</v>
          </cell>
        </row>
      </sheetData>
      <sheetData sheetId="10416">
        <row r="1">
          <cell r="J1">
            <v>1.7453292519943295E-2</v>
          </cell>
        </row>
      </sheetData>
      <sheetData sheetId="10417">
        <row r="1">
          <cell r="J1">
            <v>1.7453292519943295E-2</v>
          </cell>
        </row>
      </sheetData>
      <sheetData sheetId="10418">
        <row r="1">
          <cell r="J1">
            <v>1.7453292519943295E-2</v>
          </cell>
        </row>
      </sheetData>
      <sheetData sheetId="10419">
        <row r="1">
          <cell r="J1">
            <v>1.7453292519943295E-2</v>
          </cell>
        </row>
      </sheetData>
      <sheetData sheetId="10420">
        <row r="1">
          <cell r="J1">
            <v>1.7453292519943295E-2</v>
          </cell>
        </row>
      </sheetData>
      <sheetData sheetId="10421">
        <row r="1">
          <cell r="J1">
            <v>1.7453292519943295E-2</v>
          </cell>
        </row>
      </sheetData>
      <sheetData sheetId="10422">
        <row r="1">
          <cell r="J1">
            <v>1.7453292519943295E-2</v>
          </cell>
        </row>
      </sheetData>
      <sheetData sheetId="10423">
        <row r="1">
          <cell r="J1">
            <v>1.7453292519943295E-2</v>
          </cell>
        </row>
      </sheetData>
      <sheetData sheetId="10424">
        <row r="1">
          <cell r="J1">
            <v>1.7453292519943295E-2</v>
          </cell>
        </row>
      </sheetData>
      <sheetData sheetId="10425">
        <row r="1">
          <cell r="J1">
            <v>1.7453292519943295E-2</v>
          </cell>
        </row>
      </sheetData>
      <sheetData sheetId="10426">
        <row r="1">
          <cell r="J1">
            <v>1.7453292519943295E-2</v>
          </cell>
        </row>
      </sheetData>
      <sheetData sheetId="10427">
        <row r="1">
          <cell r="J1">
            <v>1.7453292519943295E-2</v>
          </cell>
        </row>
      </sheetData>
      <sheetData sheetId="10428">
        <row r="1">
          <cell r="J1">
            <v>1.7453292519943295E-2</v>
          </cell>
        </row>
      </sheetData>
      <sheetData sheetId="10429">
        <row r="1">
          <cell r="J1">
            <v>1.7453292519943295E-2</v>
          </cell>
        </row>
      </sheetData>
      <sheetData sheetId="10430">
        <row r="1">
          <cell r="J1">
            <v>1.7453292519943295E-2</v>
          </cell>
        </row>
      </sheetData>
      <sheetData sheetId="10431">
        <row r="1">
          <cell r="J1">
            <v>1.7453292519943295E-2</v>
          </cell>
        </row>
      </sheetData>
      <sheetData sheetId="10432">
        <row r="1">
          <cell r="J1">
            <v>1.7453292519943295E-2</v>
          </cell>
        </row>
      </sheetData>
      <sheetData sheetId="10433">
        <row r="1">
          <cell r="J1">
            <v>1.7453292519943295E-2</v>
          </cell>
        </row>
      </sheetData>
      <sheetData sheetId="10434">
        <row r="1">
          <cell r="J1">
            <v>1.7453292519943295E-2</v>
          </cell>
        </row>
      </sheetData>
      <sheetData sheetId="10435">
        <row r="1">
          <cell r="J1">
            <v>1.7453292519943295E-2</v>
          </cell>
        </row>
      </sheetData>
      <sheetData sheetId="10436">
        <row r="1">
          <cell r="J1">
            <v>1.7453292519943295E-2</v>
          </cell>
        </row>
      </sheetData>
      <sheetData sheetId="10437">
        <row r="1">
          <cell r="J1">
            <v>1.7453292519943295E-2</v>
          </cell>
        </row>
      </sheetData>
      <sheetData sheetId="10438">
        <row r="1">
          <cell r="J1">
            <v>1.7453292519943295E-2</v>
          </cell>
        </row>
      </sheetData>
      <sheetData sheetId="10439">
        <row r="1">
          <cell r="J1">
            <v>1.7453292519943295E-2</v>
          </cell>
        </row>
      </sheetData>
      <sheetData sheetId="10440">
        <row r="1">
          <cell r="J1">
            <v>1.7453292519943295E-2</v>
          </cell>
        </row>
      </sheetData>
      <sheetData sheetId="10441">
        <row r="1">
          <cell r="J1">
            <v>1.7453292519943295E-2</v>
          </cell>
        </row>
      </sheetData>
      <sheetData sheetId="10442">
        <row r="1">
          <cell r="J1">
            <v>1.7453292519943295E-2</v>
          </cell>
        </row>
      </sheetData>
      <sheetData sheetId="10443">
        <row r="1">
          <cell r="J1">
            <v>1.7453292519943295E-2</v>
          </cell>
        </row>
      </sheetData>
      <sheetData sheetId="10444">
        <row r="1">
          <cell r="J1">
            <v>1.7453292519943295E-2</v>
          </cell>
        </row>
      </sheetData>
      <sheetData sheetId="10445">
        <row r="1">
          <cell r="J1">
            <v>1.7453292519943295E-2</v>
          </cell>
        </row>
      </sheetData>
      <sheetData sheetId="10446">
        <row r="1">
          <cell r="J1">
            <v>1.7453292519943295E-2</v>
          </cell>
        </row>
      </sheetData>
      <sheetData sheetId="10447">
        <row r="1">
          <cell r="J1">
            <v>1.7453292519943295E-2</v>
          </cell>
        </row>
      </sheetData>
      <sheetData sheetId="10448">
        <row r="1">
          <cell r="J1">
            <v>1.7453292519943295E-2</v>
          </cell>
        </row>
      </sheetData>
      <sheetData sheetId="10449">
        <row r="1">
          <cell r="J1">
            <v>1.7453292519943295E-2</v>
          </cell>
        </row>
      </sheetData>
      <sheetData sheetId="10450">
        <row r="1">
          <cell r="J1">
            <v>1.7453292519943295E-2</v>
          </cell>
        </row>
      </sheetData>
      <sheetData sheetId="10451">
        <row r="1">
          <cell r="J1">
            <v>1.7453292519943295E-2</v>
          </cell>
        </row>
      </sheetData>
      <sheetData sheetId="10452">
        <row r="1">
          <cell r="J1">
            <v>1.7453292519943295E-2</v>
          </cell>
        </row>
      </sheetData>
      <sheetData sheetId="10453">
        <row r="1">
          <cell r="J1">
            <v>1.7453292519943295E-2</v>
          </cell>
        </row>
      </sheetData>
      <sheetData sheetId="10454">
        <row r="1">
          <cell r="J1">
            <v>1.7453292519943295E-2</v>
          </cell>
        </row>
      </sheetData>
      <sheetData sheetId="10455">
        <row r="1">
          <cell r="J1">
            <v>1.7453292519943295E-2</v>
          </cell>
        </row>
      </sheetData>
      <sheetData sheetId="10456">
        <row r="1">
          <cell r="J1">
            <v>1.7453292519943295E-2</v>
          </cell>
        </row>
      </sheetData>
      <sheetData sheetId="10457">
        <row r="1">
          <cell r="J1">
            <v>1.7453292519943295E-2</v>
          </cell>
        </row>
      </sheetData>
      <sheetData sheetId="10458">
        <row r="1">
          <cell r="J1">
            <v>1.7453292519943295E-2</v>
          </cell>
        </row>
      </sheetData>
      <sheetData sheetId="10459">
        <row r="1">
          <cell r="J1">
            <v>1.7453292519943295E-2</v>
          </cell>
        </row>
      </sheetData>
      <sheetData sheetId="10460">
        <row r="1">
          <cell r="J1">
            <v>1.7453292519943295E-2</v>
          </cell>
        </row>
      </sheetData>
      <sheetData sheetId="10461">
        <row r="1">
          <cell r="J1">
            <v>1.7453292519943295E-2</v>
          </cell>
        </row>
      </sheetData>
      <sheetData sheetId="10462">
        <row r="1">
          <cell r="J1">
            <v>1.7453292519943295E-2</v>
          </cell>
        </row>
      </sheetData>
      <sheetData sheetId="10463">
        <row r="1">
          <cell r="J1">
            <v>1.7453292519943295E-2</v>
          </cell>
        </row>
      </sheetData>
      <sheetData sheetId="10464">
        <row r="1">
          <cell r="J1">
            <v>1.7453292519943295E-2</v>
          </cell>
        </row>
      </sheetData>
      <sheetData sheetId="10465">
        <row r="1">
          <cell r="J1">
            <v>1.7453292519943295E-2</v>
          </cell>
        </row>
      </sheetData>
      <sheetData sheetId="10466">
        <row r="1">
          <cell r="J1">
            <v>1.7453292519943295E-2</v>
          </cell>
        </row>
      </sheetData>
      <sheetData sheetId="10467">
        <row r="1">
          <cell r="J1">
            <v>1.7453292519943295E-2</v>
          </cell>
        </row>
      </sheetData>
      <sheetData sheetId="10468">
        <row r="1">
          <cell r="J1">
            <v>1.7453292519943295E-2</v>
          </cell>
        </row>
      </sheetData>
      <sheetData sheetId="10469">
        <row r="1">
          <cell r="J1">
            <v>1.7453292519943295E-2</v>
          </cell>
        </row>
      </sheetData>
      <sheetData sheetId="10470">
        <row r="1">
          <cell r="J1">
            <v>1.7453292519943295E-2</v>
          </cell>
        </row>
      </sheetData>
      <sheetData sheetId="10471">
        <row r="1">
          <cell r="J1">
            <v>1.7453292519943295E-2</v>
          </cell>
        </row>
      </sheetData>
      <sheetData sheetId="10472">
        <row r="1">
          <cell r="J1">
            <v>1.7453292519943295E-2</v>
          </cell>
        </row>
      </sheetData>
      <sheetData sheetId="10473">
        <row r="1">
          <cell r="J1">
            <v>1.7453292519943295E-2</v>
          </cell>
        </row>
      </sheetData>
      <sheetData sheetId="10474">
        <row r="1">
          <cell r="J1">
            <v>1.7453292519943295E-2</v>
          </cell>
        </row>
      </sheetData>
      <sheetData sheetId="10475">
        <row r="1">
          <cell r="J1">
            <v>1.7453292519943295E-2</v>
          </cell>
        </row>
      </sheetData>
      <sheetData sheetId="10476">
        <row r="1">
          <cell r="J1">
            <v>1.7453292519943295E-2</v>
          </cell>
        </row>
      </sheetData>
      <sheetData sheetId="10477">
        <row r="1">
          <cell r="J1">
            <v>1.7453292519943295E-2</v>
          </cell>
        </row>
      </sheetData>
      <sheetData sheetId="10478">
        <row r="1">
          <cell r="J1">
            <v>1.7453292519943295E-2</v>
          </cell>
        </row>
      </sheetData>
      <sheetData sheetId="10479">
        <row r="1">
          <cell r="J1">
            <v>1.7453292519943295E-2</v>
          </cell>
        </row>
      </sheetData>
      <sheetData sheetId="10480">
        <row r="1">
          <cell r="J1">
            <v>1.7453292519943295E-2</v>
          </cell>
        </row>
      </sheetData>
      <sheetData sheetId="10481">
        <row r="1">
          <cell r="J1">
            <v>1.7453292519943295E-2</v>
          </cell>
        </row>
      </sheetData>
      <sheetData sheetId="10482">
        <row r="1">
          <cell r="J1">
            <v>1.7453292519943295E-2</v>
          </cell>
        </row>
      </sheetData>
      <sheetData sheetId="10483">
        <row r="1">
          <cell r="J1">
            <v>1.7453292519943295E-2</v>
          </cell>
        </row>
      </sheetData>
      <sheetData sheetId="10484">
        <row r="1">
          <cell r="J1">
            <v>1.7453292519943295E-2</v>
          </cell>
        </row>
      </sheetData>
      <sheetData sheetId="10485">
        <row r="1">
          <cell r="J1">
            <v>1.7453292519943295E-2</v>
          </cell>
        </row>
      </sheetData>
      <sheetData sheetId="10486">
        <row r="1">
          <cell r="J1">
            <v>1.7453292519943295E-2</v>
          </cell>
        </row>
      </sheetData>
      <sheetData sheetId="10487">
        <row r="1">
          <cell r="J1">
            <v>1.7453292519943295E-2</v>
          </cell>
        </row>
      </sheetData>
      <sheetData sheetId="10488">
        <row r="1">
          <cell r="J1">
            <v>1.7453292519943295E-2</v>
          </cell>
        </row>
      </sheetData>
      <sheetData sheetId="10489">
        <row r="1">
          <cell r="J1">
            <v>1.7453292519943295E-2</v>
          </cell>
        </row>
      </sheetData>
      <sheetData sheetId="10490">
        <row r="1">
          <cell r="J1">
            <v>1.7453292519943295E-2</v>
          </cell>
        </row>
      </sheetData>
      <sheetData sheetId="10491">
        <row r="1">
          <cell r="J1">
            <v>1.7453292519943295E-2</v>
          </cell>
        </row>
      </sheetData>
      <sheetData sheetId="10492">
        <row r="1">
          <cell r="J1">
            <v>1.7453292519943295E-2</v>
          </cell>
        </row>
      </sheetData>
      <sheetData sheetId="10493">
        <row r="1">
          <cell r="J1">
            <v>1.7453292519943295E-2</v>
          </cell>
        </row>
      </sheetData>
      <sheetData sheetId="10494">
        <row r="1">
          <cell r="J1">
            <v>1.7453292519943295E-2</v>
          </cell>
        </row>
      </sheetData>
      <sheetData sheetId="10495">
        <row r="1">
          <cell r="J1">
            <v>1.7453292519943295E-2</v>
          </cell>
        </row>
      </sheetData>
      <sheetData sheetId="10496">
        <row r="1">
          <cell r="J1">
            <v>1.7453292519943295E-2</v>
          </cell>
        </row>
      </sheetData>
      <sheetData sheetId="10497">
        <row r="1">
          <cell r="J1">
            <v>1.7453292519943295E-2</v>
          </cell>
        </row>
      </sheetData>
      <sheetData sheetId="10498">
        <row r="1">
          <cell r="J1">
            <v>1.7453292519943295E-2</v>
          </cell>
        </row>
      </sheetData>
      <sheetData sheetId="10499">
        <row r="1">
          <cell r="J1">
            <v>1.7453292519943295E-2</v>
          </cell>
        </row>
      </sheetData>
      <sheetData sheetId="10500">
        <row r="1">
          <cell r="J1">
            <v>1.7453292519943295E-2</v>
          </cell>
        </row>
      </sheetData>
      <sheetData sheetId="10501">
        <row r="1">
          <cell r="J1">
            <v>1.7453292519943295E-2</v>
          </cell>
        </row>
      </sheetData>
      <sheetData sheetId="10502">
        <row r="1">
          <cell r="J1">
            <v>1.7453292519943295E-2</v>
          </cell>
        </row>
      </sheetData>
      <sheetData sheetId="10503">
        <row r="1">
          <cell r="J1">
            <v>1.7453292519943295E-2</v>
          </cell>
        </row>
      </sheetData>
      <sheetData sheetId="10504">
        <row r="1">
          <cell r="J1">
            <v>1.7453292519943295E-2</v>
          </cell>
        </row>
      </sheetData>
      <sheetData sheetId="10505">
        <row r="1">
          <cell r="J1">
            <v>1.7453292519943295E-2</v>
          </cell>
        </row>
      </sheetData>
      <sheetData sheetId="10506">
        <row r="1">
          <cell r="J1">
            <v>1.7453292519943295E-2</v>
          </cell>
        </row>
      </sheetData>
      <sheetData sheetId="10507">
        <row r="1">
          <cell r="J1">
            <v>1.7453292519943295E-2</v>
          </cell>
        </row>
      </sheetData>
      <sheetData sheetId="10508">
        <row r="1">
          <cell r="J1">
            <v>1.7453292519943295E-2</v>
          </cell>
        </row>
      </sheetData>
      <sheetData sheetId="10509">
        <row r="1">
          <cell r="J1">
            <v>1.7453292519943295E-2</v>
          </cell>
        </row>
      </sheetData>
      <sheetData sheetId="10510">
        <row r="1">
          <cell r="J1">
            <v>1.7453292519943295E-2</v>
          </cell>
        </row>
      </sheetData>
      <sheetData sheetId="10511">
        <row r="1">
          <cell r="J1">
            <v>1.7453292519943295E-2</v>
          </cell>
        </row>
      </sheetData>
      <sheetData sheetId="10512">
        <row r="1">
          <cell r="J1">
            <v>1.7453292519943295E-2</v>
          </cell>
        </row>
      </sheetData>
      <sheetData sheetId="10513">
        <row r="1">
          <cell r="J1">
            <v>1.7453292519943295E-2</v>
          </cell>
        </row>
      </sheetData>
      <sheetData sheetId="10514">
        <row r="1">
          <cell r="J1">
            <v>1.7453292519943295E-2</v>
          </cell>
        </row>
      </sheetData>
      <sheetData sheetId="10515">
        <row r="1">
          <cell r="J1">
            <v>1.7453292519943295E-2</v>
          </cell>
        </row>
      </sheetData>
      <sheetData sheetId="10516">
        <row r="1">
          <cell r="J1">
            <v>1.7453292519943295E-2</v>
          </cell>
        </row>
      </sheetData>
      <sheetData sheetId="10517">
        <row r="1">
          <cell r="J1">
            <v>1.7453292519943295E-2</v>
          </cell>
        </row>
      </sheetData>
      <sheetData sheetId="10518">
        <row r="1">
          <cell r="J1">
            <v>1.7453292519943295E-2</v>
          </cell>
        </row>
      </sheetData>
      <sheetData sheetId="10519">
        <row r="1">
          <cell r="J1">
            <v>1.7453292519943295E-2</v>
          </cell>
        </row>
      </sheetData>
      <sheetData sheetId="10520">
        <row r="1">
          <cell r="J1">
            <v>1.7453292519943295E-2</v>
          </cell>
        </row>
      </sheetData>
      <sheetData sheetId="10521">
        <row r="1">
          <cell r="J1">
            <v>1.7453292519943295E-2</v>
          </cell>
        </row>
      </sheetData>
      <sheetData sheetId="10522">
        <row r="1">
          <cell r="J1">
            <v>1.7453292519943295E-2</v>
          </cell>
        </row>
      </sheetData>
      <sheetData sheetId="10523">
        <row r="1">
          <cell r="J1">
            <v>1.7453292519943295E-2</v>
          </cell>
        </row>
      </sheetData>
      <sheetData sheetId="10524">
        <row r="1">
          <cell r="J1">
            <v>1.7453292519943295E-2</v>
          </cell>
        </row>
      </sheetData>
      <sheetData sheetId="10525">
        <row r="1">
          <cell r="J1">
            <v>1.7453292519943295E-2</v>
          </cell>
        </row>
      </sheetData>
      <sheetData sheetId="10526">
        <row r="1">
          <cell r="J1">
            <v>1.7453292519943295E-2</v>
          </cell>
        </row>
      </sheetData>
      <sheetData sheetId="10527">
        <row r="1">
          <cell r="J1">
            <v>1.7453292519943295E-2</v>
          </cell>
        </row>
      </sheetData>
      <sheetData sheetId="10528">
        <row r="1">
          <cell r="J1">
            <v>1.7453292519943295E-2</v>
          </cell>
        </row>
      </sheetData>
      <sheetData sheetId="10529">
        <row r="1">
          <cell r="J1">
            <v>1.7453292519943295E-2</v>
          </cell>
        </row>
      </sheetData>
      <sheetData sheetId="10530">
        <row r="1">
          <cell r="J1">
            <v>1.7453292519943295E-2</v>
          </cell>
        </row>
      </sheetData>
      <sheetData sheetId="10531">
        <row r="1">
          <cell r="J1">
            <v>1.7453292519943295E-2</v>
          </cell>
        </row>
      </sheetData>
      <sheetData sheetId="10532">
        <row r="1">
          <cell r="J1">
            <v>1.7453292519943295E-2</v>
          </cell>
        </row>
      </sheetData>
      <sheetData sheetId="10533">
        <row r="1">
          <cell r="J1">
            <v>1.7453292519943295E-2</v>
          </cell>
        </row>
      </sheetData>
      <sheetData sheetId="10534">
        <row r="1">
          <cell r="J1">
            <v>1.7453292519943295E-2</v>
          </cell>
        </row>
      </sheetData>
      <sheetData sheetId="10535">
        <row r="1">
          <cell r="J1">
            <v>1.7453292519943295E-2</v>
          </cell>
        </row>
      </sheetData>
      <sheetData sheetId="10536">
        <row r="1">
          <cell r="J1">
            <v>1.7453292519943295E-2</v>
          </cell>
        </row>
      </sheetData>
      <sheetData sheetId="10537">
        <row r="1">
          <cell r="J1">
            <v>1.7453292519943295E-2</v>
          </cell>
        </row>
      </sheetData>
      <sheetData sheetId="10538">
        <row r="1">
          <cell r="J1">
            <v>1.7453292519943295E-2</v>
          </cell>
        </row>
      </sheetData>
      <sheetData sheetId="10539">
        <row r="1">
          <cell r="J1">
            <v>1.7453292519943295E-2</v>
          </cell>
        </row>
      </sheetData>
      <sheetData sheetId="10540">
        <row r="1">
          <cell r="J1">
            <v>1.7453292519943295E-2</v>
          </cell>
        </row>
      </sheetData>
      <sheetData sheetId="10541">
        <row r="1">
          <cell r="J1">
            <v>1.7453292519943295E-2</v>
          </cell>
        </row>
      </sheetData>
      <sheetData sheetId="10542">
        <row r="1">
          <cell r="J1">
            <v>1.7453292519943295E-2</v>
          </cell>
        </row>
      </sheetData>
      <sheetData sheetId="10543">
        <row r="1">
          <cell r="J1">
            <v>1.7453292519943295E-2</v>
          </cell>
        </row>
      </sheetData>
      <sheetData sheetId="10544">
        <row r="1">
          <cell r="J1">
            <v>1.7453292519943295E-2</v>
          </cell>
        </row>
      </sheetData>
      <sheetData sheetId="10545">
        <row r="1">
          <cell r="J1">
            <v>1.7453292519943295E-2</v>
          </cell>
        </row>
      </sheetData>
      <sheetData sheetId="10546">
        <row r="1">
          <cell r="J1">
            <v>1.7453292519943295E-2</v>
          </cell>
        </row>
      </sheetData>
      <sheetData sheetId="10547">
        <row r="1">
          <cell r="J1">
            <v>1.7453292519943295E-2</v>
          </cell>
        </row>
      </sheetData>
      <sheetData sheetId="10548">
        <row r="1">
          <cell r="J1">
            <v>1.7453292519943295E-2</v>
          </cell>
        </row>
      </sheetData>
      <sheetData sheetId="10549">
        <row r="1">
          <cell r="J1">
            <v>1.7453292519943295E-2</v>
          </cell>
        </row>
      </sheetData>
      <sheetData sheetId="10550">
        <row r="1">
          <cell r="J1">
            <v>1.7453292519943295E-2</v>
          </cell>
        </row>
      </sheetData>
      <sheetData sheetId="10551">
        <row r="1">
          <cell r="J1">
            <v>1.7453292519943295E-2</v>
          </cell>
        </row>
      </sheetData>
      <sheetData sheetId="10552">
        <row r="1">
          <cell r="J1">
            <v>1.7453292519943295E-2</v>
          </cell>
        </row>
      </sheetData>
      <sheetData sheetId="10553">
        <row r="1">
          <cell r="J1">
            <v>1.7453292519943295E-2</v>
          </cell>
        </row>
      </sheetData>
      <sheetData sheetId="10554">
        <row r="1">
          <cell r="J1">
            <v>1.7453292519943295E-2</v>
          </cell>
        </row>
      </sheetData>
      <sheetData sheetId="10555">
        <row r="1">
          <cell r="J1">
            <v>1.7453292519943295E-2</v>
          </cell>
        </row>
      </sheetData>
      <sheetData sheetId="10556">
        <row r="1">
          <cell r="J1">
            <v>1.7453292519943295E-2</v>
          </cell>
        </row>
      </sheetData>
      <sheetData sheetId="10557">
        <row r="1">
          <cell r="J1">
            <v>1.7453292519943295E-2</v>
          </cell>
        </row>
      </sheetData>
      <sheetData sheetId="10558">
        <row r="1">
          <cell r="J1">
            <v>1.7453292519943295E-2</v>
          </cell>
        </row>
      </sheetData>
      <sheetData sheetId="10559">
        <row r="1">
          <cell r="J1">
            <v>1.7453292519943295E-2</v>
          </cell>
        </row>
      </sheetData>
      <sheetData sheetId="10560">
        <row r="1">
          <cell r="J1">
            <v>1.7453292519943295E-2</v>
          </cell>
        </row>
      </sheetData>
      <sheetData sheetId="10561">
        <row r="1">
          <cell r="J1">
            <v>1.7453292519943295E-2</v>
          </cell>
        </row>
      </sheetData>
      <sheetData sheetId="10562">
        <row r="1">
          <cell r="J1">
            <v>1.7453292519943295E-2</v>
          </cell>
        </row>
      </sheetData>
      <sheetData sheetId="10563">
        <row r="1">
          <cell r="J1">
            <v>1.7453292519943295E-2</v>
          </cell>
        </row>
      </sheetData>
      <sheetData sheetId="10564">
        <row r="1">
          <cell r="J1">
            <v>1.7453292519943295E-2</v>
          </cell>
        </row>
      </sheetData>
      <sheetData sheetId="10565">
        <row r="1">
          <cell r="J1">
            <v>1.7453292519943295E-2</v>
          </cell>
        </row>
      </sheetData>
      <sheetData sheetId="10566">
        <row r="1">
          <cell r="J1">
            <v>1.7453292519943295E-2</v>
          </cell>
        </row>
      </sheetData>
      <sheetData sheetId="10567">
        <row r="1">
          <cell r="J1">
            <v>1.7453292519943295E-2</v>
          </cell>
        </row>
      </sheetData>
      <sheetData sheetId="10568">
        <row r="1">
          <cell r="J1">
            <v>1.7453292519943295E-2</v>
          </cell>
        </row>
      </sheetData>
      <sheetData sheetId="10569">
        <row r="1">
          <cell r="J1">
            <v>1.7453292519943295E-2</v>
          </cell>
        </row>
      </sheetData>
      <sheetData sheetId="10570">
        <row r="1">
          <cell r="J1">
            <v>1.7453292519943295E-2</v>
          </cell>
        </row>
      </sheetData>
      <sheetData sheetId="10571">
        <row r="1">
          <cell r="J1">
            <v>1.7453292519943295E-2</v>
          </cell>
        </row>
      </sheetData>
      <sheetData sheetId="10572">
        <row r="1">
          <cell r="J1">
            <v>1.7453292519943295E-2</v>
          </cell>
        </row>
      </sheetData>
      <sheetData sheetId="10573">
        <row r="1">
          <cell r="J1">
            <v>1.7453292519943295E-2</v>
          </cell>
        </row>
      </sheetData>
      <sheetData sheetId="10574">
        <row r="1">
          <cell r="J1">
            <v>1.7453292519943295E-2</v>
          </cell>
        </row>
      </sheetData>
      <sheetData sheetId="10575">
        <row r="1">
          <cell r="J1">
            <v>1.7453292519943295E-2</v>
          </cell>
        </row>
      </sheetData>
      <sheetData sheetId="10576">
        <row r="1">
          <cell r="J1">
            <v>1.7453292519943295E-2</v>
          </cell>
        </row>
      </sheetData>
      <sheetData sheetId="10577">
        <row r="1">
          <cell r="J1">
            <v>1.7453292519943295E-2</v>
          </cell>
        </row>
      </sheetData>
      <sheetData sheetId="10578">
        <row r="1">
          <cell r="J1">
            <v>1.7453292519943295E-2</v>
          </cell>
        </row>
      </sheetData>
      <sheetData sheetId="10579">
        <row r="1">
          <cell r="J1">
            <v>1.7453292519943295E-2</v>
          </cell>
        </row>
      </sheetData>
      <sheetData sheetId="10580">
        <row r="1">
          <cell r="J1">
            <v>1.7453292519943295E-2</v>
          </cell>
        </row>
      </sheetData>
      <sheetData sheetId="10581">
        <row r="1">
          <cell r="J1">
            <v>1.7453292519943295E-2</v>
          </cell>
        </row>
      </sheetData>
      <sheetData sheetId="10582">
        <row r="1">
          <cell r="J1">
            <v>1.7453292519943295E-2</v>
          </cell>
        </row>
      </sheetData>
      <sheetData sheetId="10583">
        <row r="1">
          <cell r="J1">
            <v>1.7453292519943295E-2</v>
          </cell>
        </row>
      </sheetData>
      <sheetData sheetId="10584">
        <row r="1">
          <cell r="J1">
            <v>1.7453292519943295E-2</v>
          </cell>
        </row>
      </sheetData>
      <sheetData sheetId="10585">
        <row r="1">
          <cell r="J1">
            <v>1.7453292519943295E-2</v>
          </cell>
        </row>
      </sheetData>
      <sheetData sheetId="10586">
        <row r="1">
          <cell r="J1">
            <v>1.7453292519943295E-2</v>
          </cell>
        </row>
      </sheetData>
      <sheetData sheetId="10587">
        <row r="1">
          <cell r="J1">
            <v>1.7453292519943295E-2</v>
          </cell>
        </row>
      </sheetData>
      <sheetData sheetId="10588">
        <row r="1">
          <cell r="J1">
            <v>1.7453292519943295E-2</v>
          </cell>
        </row>
      </sheetData>
      <sheetData sheetId="10589">
        <row r="1">
          <cell r="J1">
            <v>1.7453292519943295E-2</v>
          </cell>
        </row>
      </sheetData>
      <sheetData sheetId="10590">
        <row r="1">
          <cell r="J1">
            <v>1.7453292519943295E-2</v>
          </cell>
        </row>
      </sheetData>
      <sheetData sheetId="10591">
        <row r="1">
          <cell r="J1">
            <v>1.7453292519943295E-2</v>
          </cell>
        </row>
      </sheetData>
      <sheetData sheetId="10592">
        <row r="1">
          <cell r="J1">
            <v>1.7453292519943295E-2</v>
          </cell>
        </row>
      </sheetData>
      <sheetData sheetId="10593">
        <row r="1">
          <cell r="J1">
            <v>1.7453292519943295E-2</v>
          </cell>
        </row>
      </sheetData>
      <sheetData sheetId="10594">
        <row r="1">
          <cell r="J1">
            <v>1.7453292519943295E-2</v>
          </cell>
        </row>
      </sheetData>
      <sheetData sheetId="10595">
        <row r="1">
          <cell r="J1">
            <v>1.7453292519943295E-2</v>
          </cell>
        </row>
      </sheetData>
      <sheetData sheetId="10596">
        <row r="1">
          <cell r="J1">
            <v>1.7453292519943295E-2</v>
          </cell>
        </row>
      </sheetData>
      <sheetData sheetId="10597">
        <row r="1">
          <cell r="J1">
            <v>1.7453292519943295E-2</v>
          </cell>
        </row>
      </sheetData>
      <sheetData sheetId="10598">
        <row r="1">
          <cell r="J1">
            <v>1.7453292519943295E-2</v>
          </cell>
        </row>
      </sheetData>
      <sheetData sheetId="10599">
        <row r="1">
          <cell r="J1">
            <v>1.7453292519943295E-2</v>
          </cell>
        </row>
      </sheetData>
      <sheetData sheetId="10600">
        <row r="1">
          <cell r="J1">
            <v>1.7453292519943295E-2</v>
          </cell>
        </row>
      </sheetData>
      <sheetData sheetId="10601">
        <row r="1">
          <cell r="J1">
            <v>1.7453292519943295E-2</v>
          </cell>
        </row>
      </sheetData>
      <sheetData sheetId="10602">
        <row r="1">
          <cell r="J1">
            <v>1.7453292519943295E-2</v>
          </cell>
        </row>
      </sheetData>
      <sheetData sheetId="10603">
        <row r="1">
          <cell r="J1">
            <v>1.7453292519943295E-2</v>
          </cell>
        </row>
      </sheetData>
      <sheetData sheetId="10604">
        <row r="1">
          <cell r="J1">
            <v>1.7453292519943295E-2</v>
          </cell>
        </row>
      </sheetData>
      <sheetData sheetId="10605">
        <row r="1">
          <cell r="J1">
            <v>1.7453292519943295E-2</v>
          </cell>
        </row>
      </sheetData>
      <sheetData sheetId="10606">
        <row r="1">
          <cell r="J1">
            <v>1.7453292519943295E-2</v>
          </cell>
        </row>
      </sheetData>
      <sheetData sheetId="10607">
        <row r="1">
          <cell r="J1">
            <v>1.7453292519943295E-2</v>
          </cell>
        </row>
      </sheetData>
      <sheetData sheetId="10608">
        <row r="1">
          <cell r="J1">
            <v>1.7453292519943295E-2</v>
          </cell>
        </row>
      </sheetData>
      <sheetData sheetId="10609">
        <row r="1">
          <cell r="J1">
            <v>1.7453292519943295E-2</v>
          </cell>
        </row>
      </sheetData>
      <sheetData sheetId="10610">
        <row r="1">
          <cell r="J1">
            <v>1.7453292519943295E-2</v>
          </cell>
        </row>
      </sheetData>
      <sheetData sheetId="10611">
        <row r="1">
          <cell r="J1">
            <v>1.7453292519943295E-2</v>
          </cell>
        </row>
      </sheetData>
      <sheetData sheetId="10612">
        <row r="1">
          <cell r="J1">
            <v>1.7453292519943295E-2</v>
          </cell>
        </row>
      </sheetData>
      <sheetData sheetId="10613">
        <row r="1">
          <cell r="J1">
            <v>1.7453292519943295E-2</v>
          </cell>
        </row>
      </sheetData>
      <sheetData sheetId="10614">
        <row r="1">
          <cell r="J1">
            <v>1.7453292519943295E-2</v>
          </cell>
        </row>
      </sheetData>
      <sheetData sheetId="10615">
        <row r="1">
          <cell r="J1">
            <v>1.7453292519943295E-2</v>
          </cell>
        </row>
      </sheetData>
      <sheetData sheetId="10616">
        <row r="1">
          <cell r="J1">
            <v>1.7453292519943295E-2</v>
          </cell>
        </row>
      </sheetData>
      <sheetData sheetId="10617">
        <row r="1">
          <cell r="J1">
            <v>1.7453292519943295E-2</v>
          </cell>
        </row>
      </sheetData>
      <sheetData sheetId="10618">
        <row r="1">
          <cell r="J1">
            <v>1.7453292519943295E-2</v>
          </cell>
        </row>
      </sheetData>
      <sheetData sheetId="10619">
        <row r="1">
          <cell r="J1">
            <v>1.7453292519943295E-2</v>
          </cell>
        </row>
      </sheetData>
      <sheetData sheetId="10620">
        <row r="1">
          <cell r="J1">
            <v>1.7453292519943295E-2</v>
          </cell>
        </row>
      </sheetData>
      <sheetData sheetId="10621">
        <row r="1">
          <cell r="J1">
            <v>1.7453292519943295E-2</v>
          </cell>
        </row>
      </sheetData>
      <sheetData sheetId="10622">
        <row r="1">
          <cell r="J1">
            <v>1.7453292519943295E-2</v>
          </cell>
        </row>
      </sheetData>
      <sheetData sheetId="10623">
        <row r="1">
          <cell r="J1">
            <v>1.7453292519943295E-2</v>
          </cell>
        </row>
      </sheetData>
      <sheetData sheetId="10624">
        <row r="1">
          <cell r="J1">
            <v>1.7453292519943295E-2</v>
          </cell>
        </row>
      </sheetData>
      <sheetData sheetId="10625">
        <row r="1">
          <cell r="J1">
            <v>1.7453292519943295E-2</v>
          </cell>
        </row>
      </sheetData>
      <sheetData sheetId="10626">
        <row r="1">
          <cell r="J1">
            <v>1.7453292519943295E-2</v>
          </cell>
        </row>
      </sheetData>
      <sheetData sheetId="10627">
        <row r="1">
          <cell r="J1">
            <v>1.7453292519943295E-2</v>
          </cell>
        </row>
      </sheetData>
      <sheetData sheetId="10628">
        <row r="1">
          <cell r="J1">
            <v>1.7453292519943295E-2</v>
          </cell>
        </row>
      </sheetData>
      <sheetData sheetId="10629">
        <row r="1">
          <cell r="J1">
            <v>1.7453292519943295E-2</v>
          </cell>
        </row>
      </sheetData>
      <sheetData sheetId="10630">
        <row r="1">
          <cell r="J1">
            <v>1.7453292519943295E-2</v>
          </cell>
        </row>
      </sheetData>
      <sheetData sheetId="10631">
        <row r="1">
          <cell r="J1">
            <v>1.7453292519943295E-2</v>
          </cell>
        </row>
      </sheetData>
      <sheetData sheetId="10632">
        <row r="1">
          <cell r="J1">
            <v>1.7453292519943295E-2</v>
          </cell>
        </row>
      </sheetData>
      <sheetData sheetId="10633">
        <row r="1">
          <cell r="J1">
            <v>1.7453292519943295E-2</v>
          </cell>
        </row>
      </sheetData>
      <sheetData sheetId="10634">
        <row r="1">
          <cell r="J1">
            <v>1.7453292519943295E-2</v>
          </cell>
        </row>
      </sheetData>
      <sheetData sheetId="10635">
        <row r="1">
          <cell r="J1">
            <v>1.7453292519943295E-2</v>
          </cell>
        </row>
      </sheetData>
      <sheetData sheetId="10636">
        <row r="1">
          <cell r="J1">
            <v>1.7453292519943295E-2</v>
          </cell>
        </row>
      </sheetData>
      <sheetData sheetId="10637">
        <row r="1">
          <cell r="J1">
            <v>1.7453292519943295E-2</v>
          </cell>
        </row>
      </sheetData>
      <sheetData sheetId="10638">
        <row r="1">
          <cell r="J1">
            <v>1.7453292519943295E-2</v>
          </cell>
        </row>
      </sheetData>
      <sheetData sheetId="10639">
        <row r="1">
          <cell r="J1">
            <v>1.7453292519943295E-2</v>
          </cell>
        </row>
      </sheetData>
      <sheetData sheetId="10640">
        <row r="1">
          <cell r="J1">
            <v>1.7453292519943295E-2</v>
          </cell>
        </row>
      </sheetData>
      <sheetData sheetId="10641">
        <row r="1">
          <cell r="J1">
            <v>1.7453292519943295E-2</v>
          </cell>
        </row>
      </sheetData>
      <sheetData sheetId="10642">
        <row r="1">
          <cell r="J1">
            <v>1.7453292519943295E-2</v>
          </cell>
        </row>
      </sheetData>
      <sheetData sheetId="10643">
        <row r="1">
          <cell r="J1">
            <v>1.7453292519943295E-2</v>
          </cell>
        </row>
      </sheetData>
      <sheetData sheetId="10644">
        <row r="1">
          <cell r="J1">
            <v>1.7453292519943295E-2</v>
          </cell>
        </row>
      </sheetData>
      <sheetData sheetId="10645">
        <row r="1">
          <cell r="J1">
            <v>1.7453292519943295E-2</v>
          </cell>
        </row>
      </sheetData>
      <sheetData sheetId="10646">
        <row r="1">
          <cell r="J1">
            <v>1.7453292519943295E-2</v>
          </cell>
        </row>
      </sheetData>
      <sheetData sheetId="10647">
        <row r="1">
          <cell r="J1">
            <v>1.7453292519943295E-2</v>
          </cell>
        </row>
      </sheetData>
      <sheetData sheetId="10648">
        <row r="1">
          <cell r="J1">
            <v>1.7453292519943295E-2</v>
          </cell>
        </row>
      </sheetData>
      <sheetData sheetId="10649">
        <row r="1">
          <cell r="J1">
            <v>1.7453292519943295E-2</v>
          </cell>
        </row>
      </sheetData>
      <sheetData sheetId="10650">
        <row r="1">
          <cell r="J1">
            <v>1.7453292519943295E-2</v>
          </cell>
        </row>
      </sheetData>
      <sheetData sheetId="10651">
        <row r="1">
          <cell r="J1">
            <v>1.7453292519943295E-2</v>
          </cell>
        </row>
      </sheetData>
      <sheetData sheetId="10652">
        <row r="1">
          <cell r="J1">
            <v>1.7453292519943295E-2</v>
          </cell>
        </row>
      </sheetData>
      <sheetData sheetId="10653">
        <row r="1">
          <cell r="J1">
            <v>1.7453292519943295E-2</v>
          </cell>
        </row>
      </sheetData>
      <sheetData sheetId="10654">
        <row r="1">
          <cell r="J1">
            <v>1.7453292519943295E-2</v>
          </cell>
        </row>
      </sheetData>
      <sheetData sheetId="10655">
        <row r="1">
          <cell r="J1">
            <v>1.7453292519943295E-2</v>
          </cell>
        </row>
      </sheetData>
      <sheetData sheetId="10656">
        <row r="1">
          <cell r="J1">
            <v>1.7453292519943295E-2</v>
          </cell>
        </row>
      </sheetData>
      <sheetData sheetId="10657">
        <row r="1">
          <cell r="J1">
            <v>1.7453292519943295E-2</v>
          </cell>
        </row>
      </sheetData>
      <sheetData sheetId="10658">
        <row r="1">
          <cell r="J1">
            <v>1.7453292519943295E-2</v>
          </cell>
        </row>
      </sheetData>
      <sheetData sheetId="10659">
        <row r="1">
          <cell r="J1">
            <v>1.7453292519943295E-2</v>
          </cell>
        </row>
      </sheetData>
      <sheetData sheetId="10660">
        <row r="1">
          <cell r="J1">
            <v>1.7453292519943295E-2</v>
          </cell>
        </row>
      </sheetData>
      <sheetData sheetId="10661">
        <row r="1">
          <cell r="J1">
            <v>1.7453292519943295E-2</v>
          </cell>
        </row>
      </sheetData>
      <sheetData sheetId="10662">
        <row r="1">
          <cell r="J1">
            <v>1.7453292519943295E-2</v>
          </cell>
        </row>
      </sheetData>
      <sheetData sheetId="10663">
        <row r="1">
          <cell r="J1">
            <v>1.7453292519943295E-2</v>
          </cell>
        </row>
      </sheetData>
      <sheetData sheetId="10664">
        <row r="1">
          <cell r="J1">
            <v>1.7453292519943295E-2</v>
          </cell>
        </row>
      </sheetData>
      <sheetData sheetId="10665">
        <row r="1">
          <cell r="J1">
            <v>1.7453292519943295E-2</v>
          </cell>
        </row>
      </sheetData>
      <sheetData sheetId="10666">
        <row r="1">
          <cell r="J1">
            <v>1.7453292519943295E-2</v>
          </cell>
        </row>
      </sheetData>
      <sheetData sheetId="10667">
        <row r="1">
          <cell r="J1">
            <v>1.7453292519943295E-2</v>
          </cell>
        </row>
      </sheetData>
      <sheetData sheetId="10668">
        <row r="1">
          <cell r="J1">
            <v>1.7453292519943295E-2</v>
          </cell>
        </row>
      </sheetData>
      <sheetData sheetId="10669">
        <row r="1">
          <cell r="J1">
            <v>1.7453292519943295E-2</v>
          </cell>
        </row>
      </sheetData>
      <sheetData sheetId="10670">
        <row r="1">
          <cell r="J1">
            <v>1.7453292519943295E-2</v>
          </cell>
        </row>
      </sheetData>
      <sheetData sheetId="10671">
        <row r="1">
          <cell r="J1">
            <v>1.7453292519943295E-2</v>
          </cell>
        </row>
      </sheetData>
      <sheetData sheetId="10672">
        <row r="1">
          <cell r="J1">
            <v>1.7453292519943295E-2</v>
          </cell>
        </row>
      </sheetData>
      <sheetData sheetId="10673">
        <row r="1">
          <cell r="J1">
            <v>1.7453292519943295E-2</v>
          </cell>
        </row>
      </sheetData>
      <sheetData sheetId="10674">
        <row r="1">
          <cell r="J1">
            <v>1.7453292519943295E-2</v>
          </cell>
        </row>
      </sheetData>
      <sheetData sheetId="10675">
        <row r="1">
          <cell r="J1">
            <v>1.7453292519943295E-2</v>
          </cell>
        </row>
      </sheetData>
      <sheetData sheetId="10676">
        <row r="1">
          <cell r="J1">
            <v>1.7453292519943295E-2</v>
          </cell>
        </row>
      </sheetData>
      <sheetData sheetId="10677">
        <row r="1">
          <cell r="J1">
            <v>1.7453292519943295E-2</v>
          </cell>
        </row>
      </sheetData>
      <sheetData sheetId="10678">
        <row r="1">
          <cell r="J1">
            <v>1.7453292519943295E-2</v>
          </cell>
        </row>
      </sheetData>
      <sheetData sheetId="10679">
        <row r="1">
          <cell r="J1">
            <v>1.7453292519943295E-2</v>
          </cell>
        </row>
      </sheetData>
      <sheetData sheetId="10680">
        <row r="1">
          <cell r="J1">
            <v>1.7453292519943295E-2</v>
          </cell>
        </row>
      </sheetData>
      <sheetData sheetId="10681">
        <row r="1">
          <cell r="J1">
            <v>1.7453292519943295E-2</v>
          </cell>
        </row>
      </sheetData>
      <sheetData sheetId="10682">
        <row r="1">
          <cell r="J1">
            <v>1.7453292519943295E-2</v>
          </cell>
        </row>
      </sheetData>
      <sheetData sheetId="10683">
        <row r="1">
          <cell r="J1">
            <v>1.7453292519943295E-2</v>
          </cell>
        </row>
      </sheetData>
      <sheetData sheetId="10684">
        <row r="1">
          <cell r="J1">
            <v>1.7453292519943295E-2</v>
          </cell>
        </row>
      </sheetData>
      <sheetData sheetId="10685">
        <row r="1">
          <cell r="J1">
            <v>1.7453292519943295E-2</v>
          </cell>
        </row>
      </sheetData>
      <sheetData sheetId="10686">
        <row r="1">
          <cell r="J1">
            <v>1.7453292519943295E-2</v>
          </cell>
        </row>
      </sheetData>
      <sheetData sheetId="10687">
        <row r="1">
          <cell r="J1">
            <v>1.7453292519943295E-2</v>
          </cell>
        </row>
      </sheetData>
      <sheetData sheetId="10688">
        <row r="1">
          <cell r="J1">
            <v>1.7453292519943295E-2</v>
          </cell>
        </row>
      </sheetData>
      <sheetData sheetId="10689">
        <row r="1">
          <cell r="J1">
            <v>1.7453292519943295E-2</v>
          </cell>
        </row>
      </sheetData>
      <sheetData sheetId="10690">
        <row r="1">
          <cell r="J1">
            <v>1.7453292519943295E-2</v>
          </cell>
        </row>
      </sheetData>
      <sheetData sheetId="10691">
        <row r="1">
          <cell r="J1">
            <v>1.7453292519943295E-2</v>
          </cell>
        </row>
      </sheetData>
      <sheetData sheetId="10692">
        <row r="1">
          <cell r="J1">
            <v>1.7453292519943295E-2</v>
          </cell>
        </row>
      </sheetData>
      <sheetData sheetId="10693">
        <row r="1">
          <cell r="J1">
            <v>1.7453292519943295E-2</v>
          </cell>
        </row>
      </sheetData>
      <sheetData sheetId="10694">
        <row r="1">
          <cell r="J1">
            <v>1.7453292519943295E-2</v>
          </cell>
        </row>
      </sheetData>
      <sheetData sheetId="10695">
        <row r="1">
          <cell r="J1">
            <v>1.7453292519943295E-2</v>
          </cell>
        </row>
      </sheetData>
      <sheetData sheetId="10696">
        <row r="1">
          <cell r="J1">
            <v>1.7453292519943295E-2</v>
          </cell>
        </row>
      </sheetData>
      <sheetData sheetId="10697">
        <row r="1">
          <cell r="J1">
            <v>1.7453292519943295E-2</v>
          </cell>
        </row>
      </sheetData>
      <sheetData sheetId="10698">
        <row r="1">
          <cell r="J1">
            <v>1.7453292519943295E-2</v>
          </cell>
        </row>
      </sheetData>
      <sheetData sheetId="10699">
        <row r="1">
          <cell r="J1">
            <v>1.7453292519943295E-2</v>
          </cell>
        </row>
      </sheetData>
      <sheetData sheetId="10700">
        <row r="1">
          <cell r="J1">
            <v>1.7453292519943295E-2</v>
          </cell>
        </row>
      </sheetData>
      <sheetData sheetId="10701">
        <row r="1">
          <cell r="J1">
            <v>1.7453292519943295E-2</v>
          </cell>
        </row>
      </sheetData>
      <sheetData sheetId="10702">
        <row r="1">
          <cell r="J1">
            <v>1.7453292519943295E-2</v>
          </cell>
        </row>
      </sheetData>
      <sheetData sheetId="10703">
        <row r="1">
          <cell r="J1">
            <v>1.7453292519943295E-2</v>
          </cell>
        </row>
      </sheetData>
      <sheetData sheetId="10704">
        <row r="1">
          <cell r="J1">
            <v>1.7453292519943295E-2</v>
          </cell>
        </row>
      </sheetData>
      <sheetData sheetId="10705">
        <row r="1">
          <cell r="J1">
            <v>1.7453292519943295E-2</v>
          </cell>
        </row>
      </sheetData>
      <sheetData sheetId="10706">
        <row r="1">
          <cell r="J1">
            <v>1.7453292519943295E-2</v>
          </cell>
        </row>
      </sheetData>
      <sheetData sheetId="10707">
        <row r="1">
          <cell r="J1">
            <v>1.7453292519943295E-2</v>
          </cell>
        </row>
      </sheetData>
      <sheetData sheetId="10708">
        <row r="1">
          <cell r="J1">
            <v>1.7453292519943295E-2</v>
          </cell>
        </row>
      </sheetData>
      <sheetData sheetId="10709">
        <row r="1">
          <cell r="J1">
            <v>1.7453292519943295E-2</v>
          </cell>
        </row>
      </sheetData>
      <sheetData sheetId="10710">
        <row r="1">
          <cell r="J1">
            <v>1.7453292519943295E-2</v>
          </cell>
        </row>
      </sheetData>
      <sheetData sheetId="10711">
        <row r="1">
          <cell r="J1">
            <v>1.7453292519943295E-2</v>
          </cell>
        </row>
      </sheetData>
      <sheetData sheetId="10712">
        <row r="1">
          <cell r="J1">
            <v>1.7453292519943295E-2</v>
          </cell>
        </row>
      </sheetData>
      <sheetData sheetId="10713">
        <row r="1">
          <cell r="J1">
            <v>1.7453292519943295E-2</v>
          </cell>
        </row>
      </sheetData>
      <sheetData sheetId="10714">
        <row r="1">
          <cell r="J1">
            <v>1.7453292519943295E-2</v>
          </cell>
        </row>
      </sheetData>
      <sheetData sheetId="10715">
        <row r="1">
          <cell r="J1">
            <v>1.7453292519943295E-2</v>
          </cell>
        </row>
      </sheetData>
      <sheetData sheetId="10716">
        <row r="1">
          <cell r="J1">
            <v>1.7453292519943295E-2</v>
          </cell>
        </row>
      </sheetData>
      <sheetData sheetId="10717">
        <row r="1">
          <cell r="J1">
            <v>1.7453292519943295E-2</v>
          </cell>
        </row>
      </sheetData>
      <sheetData sheetId="10718">
        <row r="1">
          <cell r="J1">
            <v>1.7453292519943295E-2</v>
          </cell>
        </row>
      </sheetData>
      <sheetData sheetId="10719">
        <row r="1">
          <cell r="J1">
            <v>1.7453292519943295E-2</v>
          </cell>
        </row>
      </sheetData>
      <sheetData sheetId="10720">
        <row r="1">
          <cell r="J1">
            <v>1.7453292519943295E-2</v>
          </cell>
        </row>
      </sheetData>
      <sheetData sheetId="10721">
        <row r="1">
          <cell r="J1">
            <v>1.7453292519943295E-2</v>
          </cell>
        </row>
      </sheetData>
      <sheetData sheetId="10722">
        <row r="1">
          <cell r="J1">
            <v>1.7453292519943295E-2</v>
          </cell>
        </row>
      </sheetData>
      <sheetData sheetId="10723">
        <row r="1">
          <cell r="J1">
            <v>1.7453292519943295E-2</v>
          </cell>
        </row>
      </sheetData>
      <sheetData sheetId="10724">
        <row r="1">
          <cell r="J1">
            <v>1.7453292519943295E-2</v>
          </cell>
        </row>
      </sheetData>
      <sheetData sheetId="10725">
        <row r="1">
          <cell r="J1">
            <v>1.7453292519943295E-2</v>
          </cell>
        </row>
      </sheetData>
      <sheetData sheetId="10726">
        <row r="1">
          <cell r="J1">
            <v>1.7453292519943295E-2</v>
          </cell>
        </row>
      </sheetData>
      <sheetData sheetId="10727">
        <row r="1">
          <cell r="J1">
            <v>1.7453292519943295E-2</v>
          </cell>
        </row>
      </sheetData>
      <sheetData sheetId="10728">
        <row r="1">
          <cell r="J1">
            <v>1.7453292519943295E-2</v>
          </cell>
        </row>
      </sheetData>
      <sheetData sheetId="10729">
        <row r="1">
          <cell r="J1">
            <v>1.7453292519943295E-2</v>
          </cell>
        </row>
      </sheetData>
      <sheetData sheetId="10730">
        <row r="1">
          <cell r="J1">
            <v>1.7453292519943295E-2</v>
          </cell>
        </row>
      </sheetData>
      <sheetData sheetId="10731">
        <row r="1">
          <cell r="J1">
            <v>1.7453292519943295E-2</v>
          </cell>
        </row>
      </sheetData>
      <sheetData sheetId="10732">
        <row r="1">
          <cell r="J1">
            <v>1.7453292519943295E-2</v>
          </cell>
        </row>
      </sheetData>
      <sheetData sheetId="10733">
        <row r="1">
          <cell r="J1">
            <v>1.7453292519943295E-2</v>
          </cell>
        </row>
      </sheetData>
      <sheetData sheetId="10734">
        <row r="1">
          <cell r="J1">
            <v>1.7453292519943295E-2</v>
          </cell>
        </row>
      </sheetData>
      <sheetData sheetId="10735">
        <row r="1">
          <cell r="J1">
            <v>1.7453292519943295E-2</v>
          </cell>
        </row>
      </sheetData>
      <sheetData sheetId="10736">
        <row r="1">
          <cell r="J1">
            <v>1.7453292519943295E-2</v>
          </cell>
        </row>
      </sheetData>
      <sheetData sheetId="10737">
        <row r="1">
          <cell r="J1">
            <v>1.7453292519943295E-2</v>
          </cell>
        </row>
      </sheetData>
      <sheetData sheetId="10738">
        <row r="1">
          <cell r="J1">
            <v>1.7453292519943295E-2</v>
          </cell>
        </row>
      </sheetData>
      <sheetData sheetId="10739">
        <row r="1">
          <cell r="J1">
            <v>1.7453292519943295E-2</v>
          </cell>
        </row>
      </sheetData>
      <sheetData sheetId="10740">
        <row r="1">
          <cell r="J1">
            <v>1.7453292519943295E-2</v>
          </cell>
        </row>
      </sheetData>
      <sheetData sheetId="10741">
        <row r="1">
          <cell r="J1">
            <v>1.7453292519943295E-2</v>
          </cell>
        </row>
      </sheetData>
      <sheetData sheetId="10742">
        <row r="1">
          <cell r="J1">
            <v>1.7453292519943295E-2</v>
          </cell>
        </row>
      </sheetData>
      <sheetData sheetId="10743">
        <row r="1">
          <cell r="J1">
            <v>1.7453292519943295E-2</v>
          </cell>
        </row>
      </sheetData>
      <sheetData sheetId="10744">
        <row r="1">
          <cell r="J1">
            <v>1.7453292519943295E-2</v>
          </cell>
        </row>
      </sheetData>
      <sheetData sheetId="10745">
        <row r="1">
          <cell r="J1">
            <v>1.7453292519943295E-2</v>
          </cell>
        </row>
      </sheetData>
      <sheetData sheetId="10746">
        <row r="1">
          <cell r="J1">
            <v>1.7453292519943295E-2</v>
          </cell>
        </row>
      </sheetData>
      <sheetData sheetId="10747">
        <row r="1">
          <cell r="J1">
            <v>1.7453292519943295E-2</v>
          </cell>
        </row>
      </sheetData>
      <sheetData sheetId="10748">
        <row r="1">
          <cell r="J1">
            <v>1.7453292519943295E-2</v>
          </cell>
        </row>
      </sheetData>
      <sheetData sheetId="10749">
        <row r="1">
          <cell r="J1">
            <v>1.7453292519943295E-2</v>
          </cell>
        </row>
      </sheetData>
      <sheetData sheetId="10750">
        <row r="1">
          <cell r="J1">
            <v>1.7453292519943295E-2</v>
          </cell>
        </row>
      </sheetData>
      <sheetData sheetId="10751">
        <row r="1">
          <cell r="J1">
            <v>1.7453292519943295E-2</v>
          </cell>
        </row>
      </sheetData>
      <sheetData sheetId="10752">
        <row r="1">
          <cell r="J1">
            <v>1.7453292519943295E-2</v>
          </cell>
        </row>
      </sheetData>
      <sheetData sheetId="10753">
        <row r="1">
          <cell r="J1">
            <v>1.7453292519943295E-2</v>
          </cell>
        </row>
      </sheetData>
      <sheetData sheetId="10754">
        <row r="1">
          <cell r="J1">
            <v>1.7453292519943295E-2</v>
          </cell>
        </row>
      </sheetData>
      <sheetData sheetId="10755">
        <row r="1">
          <cell r="J1">
            <v>1.7453292519943295E-2</v>
          </cell>
        </row>
      </sheetData>
      <sheetData sheetId="10756">
        <row r="1">
          <cell r="J1">
            <v>1.7453292519943295E-2</v>
          </cell>
        </row>
      </sheetData>
      <sheetData sheetId="10757">
        <row r="1">
          <cell r="J1">
            <v>1.7453292519943295E-2</v>
          </cell>
        </row>
      </sheetData>
      <sheetData sheetId="10758">
        <row r="1">
          <cell r="J1">
            <v>1.7453292519943295E-2</v>
          </cell>
        </row>
      </sheetData>
      <sheetData sheetId="10759">
        <row r="1">
          <cell r="J1">
            <v>1.7453292519943295E-2</v>
          </cell>
        </row>
      </sheetData>
      <sheetData sheetId="10760">
        <row r="1">
          <cell r="J1">
            <v>1.7453292519943295E-2</v>
          </cell>
        </row>
      </sheetData>
      <sheetData sheetId="10761">
        <row r="1">
          <cell r="J1">
            <v>1.7453292519943295E-2</v>
          </cell>
        </row>
      </sheetData>
      <sheetData sheetId="10762">
        <row r="1">
          <cell r="J1">
            <v>1.7453292519943295E-2</v>
          </cell>
        </row>
      </sheetData>
      <sheetData sheetId="10763">
        <row r="1">
          <cell r="J1">
            <v>1.7453292519943295E-2</v>
          </cell>
        </row>
      </sheetData>
      <sheetData sheetId="10764">
        <row r="1">
          <cell r="J1">
            <v>1.7453292519943295E-2</v>
          </cell>
        </row>
      </sheetData>
      <sheetData sheetId="10765">
        <row r="1">
          <cell r="J1">
            <v>1.7453292519943295E-2</v>
          </cell>
        </row>
      </sheetData>
      <sheetData sheetId="10766">
        <row r="1">
          <cell r="J1">
            <v>1.7453292519943295E-2</v>
          </cell>
        </row>
      </sheetData>
      <sheetData sheetId="10767">
        <row r="1">
          <cell r="J1">
            <v>1.7453292519943295E-2</v>
          </cell>
        </row>
      </sheetData>
      <sheetData sheetId="10768">
        <row r="1">
          <cell r="J1">
            <v>1.7453292519943295E-2</v>
          </cell>
        </row>
      </sheetData>
      <sheetData sheetId="10769">
        <row r="1">
          <cell r="J1">
            <v>1.7453292519943295E-2</v>
          </cell>
        </row>
      </sheetData>
      <sheetData sheetId="10770">
        <row r="1">
          <cell r="J1">
            <v>1.7453292519943295E-2</v>
          </cell>
        </row>
      </sheetData>
      <sheetData sheetId="10771">
        <row r="1">
          <cell r="J1">
            <v>1.7453292519943295E-2</v>
          </cell>
        </row>
      </sheetData>
      <sheetData sheetId="10772">
        <row r="1">
          <cell r="J1">
            <v>1.7453292519943295E-2</v>
          </cell>
        </row>
      </sheetData>
      <sheetData sheetId="10773">
        <row r="1">
          <cell r="J1">
            <v>1.7453292519943295E-2</v>
          </cell>
        </row>
      </sheetData>
      <sheetData sheetId="10774">
        <row r="1">
          <cell r="J1">
            <v>1.7453292519943295E-2</v>
          </cell>
        </row>
      </sheetData>
      <sheetData sheetId="10775">
        <row r="1">
          <cell r="J1">
            <v>1.7453292519943295E-2</v>
          </cell>
        </row>
      </sheetData>
      <sheetData sheetId="10776">
        <row r="1">
          <cell r="J1">
            <v>1.7453292519943295E-2</v>
          </cell>
        </row>
      </sheetData>
      <sheetData sheetId="10777">
        <row r="1">
          <cell r="J1">
            <v>1.7453292519943295E-2</v>
          </cell>
        </row>
      </sheetData>
      <sheetData sheetId="10778">
        <row r="1">
          <cell r="J1">
            <v>1.7453292519943295E-2</v>
          </cell>
        </row>
      </sheetData>
      <sheetData sheetId="10779">
        <row r="1">
          <cell r="J1">
            <v>1.7453292519943295E-2</v>
          </cell>
        </row>
      </sheetData>
      <sheetData sheetId="10780">
        <row r="1">
          <cell r="J1">
            <v>1.7453292519943295E-2</v>
          </cell>
        </row>
      </sheetData>
      <sheetData sheetId="10781">
        <row r="1">
          <cell r="J1">
            <v>1.7453292519943295E-2</v>
          </cell>
        </row>
      </sheetData>
      <sheetData sheetId="10782">
        <row r="1">
          <cell r="J1">
            <v>1.7453292519943295E-2</v>
          </cell>
        </row>
      </sheetData>
      <sheetData sheetId="10783">
        <row r="1">
          <cell r="J1">
            <v>1.7453292519943295E-2</v>
          </cell>
        </row>
      </sheetData>
      <sheetData sheetId="10784">
        <row r="1">
          <cell r="J1">
            <v>1.7453292519943295E-2</v>
          </cell>
        </row>
      </sheetData>
      <sheetData sheetId="10785">
        <row r="1">
          <cell r="J1">
            <v>1.7453292519943295E-2</v>
          </cell>
        </row>
      </sheetData>
      <sheetData sheetId="10786">
        <row r="1">
          <cell r="J1">
            <v>1.7453292519943295E-2</v>
          </cell>
        </row>
      </sheetData>
      <sheetData sheetId="10787">
        <row r="1">
          <cell r="J1">
            <v>1.7453292519943295E-2</v>
          </cell>
        </row>
      </sheetData>
      <sheetData sheetId="10788">
        <row r="1">
          <cell r="J1">
            <v>1.7453292519943295E-2</v>
          </cell>
        </row>
      </sheetData>
      <sheetData sheetId="10789">
        <row r="1">
          <cell r="J1">
            <v>1.7453292519943295E-2</v>
          </cell>
        </row>
      </sheetData>
      <sheetData sheetId="10790">
        <row r="1">
          <cell r="J1">
            <v>1.7453292519943295E-2</v>
          </cell>
        </row>
      </sheetData>
      <sheetData sheetId="10791">
        <row r="1">
          <cell r="J1">
            <v>1.7453292519943295E-2</v>
          </cell>
        </row>
      </sheetData>
      <sheetData sheetId="10792">
        <row r="1">
          <cell r="J1">
            <v>1.7453292519943295E-2</v>
          </cell>
        </row>
      </sheetData>
      <sheetData sheetId="10793">
        <row r="1">
          <cell r="J1">
            <v>1.7453292519943295E-2</v>
          </cell>
        </row>
      </sheetData>
      <sheetData sheetId="10794">
        <row r="1">
          <cell r="J1">
            <v>1.7453292519943295E-2</v>
          </cell>
        </row>
      </sheetData>
      <sheetData sheetId="10795">
        <row r="1">
          <cell r="J1">
            <v>1.7453292519943295E-2</v>
          </cell>
        </row>
      </sheetData>
      <sheetData sheetId="10796">
        <row r="1">
          <cell r="J1">
            <v>1.7453292519943295E-2</v>
          </cell>
        </row>
      </sheetData>
      <sheetData sheetId="10797">
        <row r="1">
          <cell r="J1">
            <v>1.7453292519943295E-2</v>
          </cell>
        </row>
      </sheetData>
      <sheetData sheetId="10798">
        <row r="1">
          <cell r="J1">
            <v>1.7453292519943295E-2</v>
          </cell>
        </row>
      </sheetData>
      <sheetData sheetId="10799">
        <row r="1">
          <cell r="J1">
            <v>1.7453292519943295E-2</v>
          </cell>
        </row>
      </sheetData>
      <sheetData sheetId="10800">
        <row r="1">
          <cell r="J1">
            <v>1.7453292519943295E-2</v>
          </cell>
        </row>
      </sheetData>
      <sheetData sheetId="10801">
        <row r="1">
          <cell r="J1">
            <v>1.7453292519943295E-2</v>
          </cell>
        </row>
      </sheetData>
      <sheetData sheetId="10802">
        <row r="1">
          <cell r="J1">
            <v>1.7453292519943295E-2</v>
          </cell>
        </row>
      </sheetData>
      <sheetData sheetId="10803">
        <row r="1">
          <cell r="J1">
            <v>1.7453292519943295E-2</v>
          </cell>
        </row>
      </sheetData>
      <sheetData sheetId="10804">
        <row r="1">
          <cell r="J1">
            <v>1.7453292519943295E-2</v>
          </cell>
        </row>
      </sheetData>
      <sheetData sheetId="10805">
        <row r="1">
          <cell r="J1">
            <v>1.7453292519943295E-2</v>
          </cell>
        </row>
      </sheetData>
      <sheetData sheetId="10806">
        <row r="1">
          <cell r="J1">
            <v>1.7453292519943295E-2</v>
          </cell>
        </row>
      </sheetData>
      <sheetData sheetId="10807">
        <row r="1">
          <cell r="J1">
            <v>1.7453292519943295E-2</v>
          </cell>
        </row>
      </sheetData>
      <sheetData sheetId="10808">
        <row r="1">
          <cell r="J1">
            <v>1.7453292519943295E-2</v>
          </cell>
        </row>
      </sheetData>
      <sheetData sheetId="10809">
        <row r="1">
          <cell r="J1">
            <v>1.7453292519943295E-2</v>
          </cell>
        </row>
      </sheetData>
      <sheetData sheetId="10810">
        <row r="1">
          <cell r="J1">
            <v>1.7453292519943295E-2</v>
          </cell>
        </row>
      </sheetData>
      <sheetData sheetId="10811">
        <row r="1">
          <cell r="J1">
            <v>1.7453292519943295E-2</v>
          </cell>
        </row>
      </sheetData>
      <sheetData sheetId="10812">
        <row r="1">
          <cell r="J1">
            <v>1.7453292519943295E-2</v>
          </cell>
        </row>
      </sheetData>
      <sheetData sheetId="10813">
        <row r="1">
          <cell r="J1">
            <v>1.7453292519943295E-2</v>
          </cell>
        </row>
      </sheetData>
      <sheetData sheetId="10814">
        <row r="1">
          <cell r="J1">
            <v>1.7453292519943295E-2</v>
          </cell>
        </row>
      </sheetData>
      <sheetData sheetId="10815">
        <row r="1">
          <cell r="J1">
            <v>1.7453292519943295E-2</v>
          </cell>
        </row>
      </sheetData>
      <sheetData sheetId="10816">
        <row r="1">
          <cell r="J1">
            <v>1.7453292519943295E-2</v>
          </cell>
        </row>
      </sheetData>
      <sheetData sheetId="10817">
        <row r="1">
          <cell r="J1">
            <v>1.7453292519943295E-2</v>
          </cell>
        </row>
      </sheetData>
      <sheetData sheetId="10818">
        <row r="1">
          <cell r="J1">
            <v>1.7453292519943295E-2</v>
          </cell>
        </row>
      </sheetData>
      <sheetData sheetId="10819">
        <row r="1">
          <cell r="J1">
            <v>1.7453292519943295E-2</v>
          </cell>
        </row>
      </sheetData>
      <sheetData sheetId="10820">
        <row r="1">
          <cell r="J1">
            <v>1.7453292519943295E-2</v>
          </cell>
        </row>
      </sheetData>
      <sheetData sheetId="10821">
        <row r="1">
          <cell r="J1">
            <v>1.7453292519943295E-2</v>
          </cell>
        </row>
      </sheetData>
      <sheetData sheetId="10822">
        <row r="1">
          <cell r="J1">
            <v>1.7453292519943295E-2</v>
          </cell>
        </row>
      </sheetData>
      <sheetData sheetId="10823">
        <row r="1">
          <cell r="J1">
            <v>1.7453292519943295E-2</v>
          </cell>
        </row>
      </sheetData>
      <sheetData sheetId="10824">
        <row r="1">
          <cell r="J1">
            <v>1.7453292519943295E-2</v>
          </cell>
        </row>
      </sheetData>
      <sheetData sheetId="10825">
        <row r="1">
          <cell r="J1">
            <v>1.7453292519943295E-2</v>
          </cell>
        </row>
      </sheetData>
      <sheetData sheetId="10826">
        <row r="1">
          <cell r="J1">
            <v>1.7453292519943295E-2</v>
          </cell>
        </row>
      </sheetData>
      <sheetData sheetId="10827">
        <row r="1">
          <cell r="J1">
            <v>1.7453292519943295E-2</v>
          </cell>
        </row>
      </sheetData>
      <sheetData sheetId="10828">
        <row r="1">
          <cell r="J1">
            <v>1.7453292519943295E-2</v>
          </cell>
        </row>
      </sheetData>
      <sheetData sheetId="10829">
        <row r="1">
          <cell r="J1">
            <v>1.7453292519943295E-2</v>
          </cell>
        </row>
      </sheetData>
      <sheetData sheetId="10830">
        <row r="1">
          <cell r="J1">
            <v>1.7453292519943295E-2</v>
          </cell>
        </row>
      </sheetData>
      <sheetData sheetId="10831">
        <row r="1">
          <cell r="J1">
            <v>1.7453292519943295E-2</v>
          </cell>
        </row>
      </sheetData>
      <sheetData sheetId="10832">
        <row r="1">
          <cell r="J1">
            <v>1.7453292519943295E-2</v>
          </cell>
        </row>
      </sheetData>
      <sheetData sheetId="10833">
        <row r="1">
          <cell r="J1">
            <v>1.7453292519943295E-2</v>
          </cell>
        </row>
      </sheetData>
      <sheetData sheetId="10834">
        <row r="1">
          <cell r="J1">
            <v>1.7453292519943295E-2</v>
          </cell>
        </row>
      </sheetData>
      <sheetData sheetId="10835">
        <row r="1">
          <cell r="J1">
            <v>1.7453292519943295E-2</v>
          </cell>
        </row>
      </sheetData>
      <sheetData sheetId="10836">
        <row r="1">
          <cell r="J1">
            <v>1.7453292519943295E-2</v>
          </cell>
        </row>
      </sheetData>
      <sheetData sheetId="10837">
        <row r="1">
          <cell r="J1">
            <v>1.7453292519943295E-2</v>
          </cell>
        </row>
      </sheetData>
      <sheetData sheetId="10838">
        <row r="1">
          <cell r="J1">
            <v>1.7453292519943295E-2</v>
          </cell>
        </row>
      </sheetData>
      <sheetData sheetId="10839">
        <row r="1">
          <cell r="J1">
            <v>1.7453292519943295E-2</v>
          </cell>
        </row>
      </sheetData>
      <sheetData sheetId="10840">
        <row r="1">
          <cell r="J1">
            <v>1.7453292519943295E-2</v>
          </cell>
        </row>
      </sheetData>
      <sheetData sheetId="10841">
        <row r="1">
          <cell r="J1">
            <v>1.7453292519943295E-2</v>
          </cell>
        </row>
      </sheetData>
      <sheetData sheetId="10842">
        <row r="1">
          <cell r="J1">
            <v>1.7453292519943295E-2</v>
          </cell>
        </row>
      </sheetData>
      <sheetData sheetId="10843">
        <row r="1">
          <cell r="J1">
            <v>1.7453292519943295E-2</v>
          </cell>
        </row>
      </sheetData>
      <sheetData sheetId="10844">
        <row r="1">
          <cell r="J1">
            <v>1.7453292519943295E-2</v>
          </cell>
        </row>
      </sheetData>
      <sheetData sheetId="10845">
        <row r="1">
          <cell r="J1">
            <v>1.7453292519943295E-2</v>
          </cell>
        </row>
      </sheetData>
      <sheetData sheetId="10846">
        <row r="1">
          <cell r="J1">
            <v>1.7453292519943295E-2</v>
          </cell>
        </row>
      </sheetData>
      <sheetData sheetId="10847">
        <row r="1">
          <cell r="J1">
            <v>1.7453292519943295E-2</v>
          </cell>
        </row>
      </sheetData>
      <sheetData sheetId="10848">
        <row r="1">
          <cell r="J1">
            <v>1.7453292519943295E-2</v>
          </cell>
        </row>
      </sheetData>
      <sheetData sheetId="10849">
        <row r="1">
          <cell r="J1">
            <v>1.7453292519943295E-2</v>
          </cell>
        </row>
      </sheetData>
      <sheetData sheetId="10850">
        <row r="1">
          <cell r="J1">
            <v>1.7453292519943295E-2</v>
          </cell>
        </row>
      </sheetData>
      <sheetData sheetId="10851">
        <row r="1">
          <cell r="J1">
            <v>1.7453292519943295E-2</v>
          </cell>
        </row>
      </sheetData>
      <sheetData sheetId="10852">
        <row r="1">
          <cell r="J1">
            <v>1.7453292519943295E-2</v>
          </cell>
        </row>
      </sheetData>
      <sheetData sheetId="10853">
        <row r="1">
          <cell r="J1">
            <v>1.7453292519943295E-2</v>
          </cell>
        </row>
      </sheetData>
      <sheetData sheetId="10854">
        <row r="1">
          <cell r="J1">
            <v>1.7453292519943295E-2</v>
          </cell>
        </row>
      </sheetData>
      <sheetData sheetId="10855">
        <row r="1">
          <cell r="J1">
            <v>1.7453292519943295E-2</v>
          </cell>
        </row>
      </sheetData>
      <sheetData sheetId="10856">
        <row r="1">
          <cell r="J1">
            <v>1.7453292519943295E-2</v>
          </cell>
        </row>
      </sheetData>
      <sheetData sheetId="10857">
        <row r="1">
          <cell r="J1">
            <v>1.7453292519943295E-2</v>
          </cell>
        </row>
      </sheetData>
      <sheetData sheetId="10858">
        <row r="1">
          <cell r="J1">
            <v>1.7453292519943295E-2</v>
          </cell>
        </row>
      </sheetData>
      <sheetData sheetId="10859">
        <row r="1">
          <cell r="J1">
            <v>1.7453292519943295E-2</v>
          </cell>
        </row>
      </sheetData>
      <sheetData sheetId="10860">
        <row r="1">
          <cell r="J1">
            <v>1.7453292519943295E-2</v>
          </cell>
        </row>
      </sheetData>
      <sheetData sheetId="10861">
        <row r="1">
          <cell r="J1">
            <v>1.7453292519943295E-2</v>
          </cell>
        </row>
      </sheetData>
      <sheetData sheetId="10862">
        <row r="1">
          <cell r="J1">
            <v>1.7453292519943295E-2</v>
          </cell>
        </row>
      </sheetData>
      <sheetData sheetId="10863">
        <row r="1">
          <cell r="J1">
            <v>1.7453292519943295E-2</v>
          </cell>
        </row>
      </sheetData>
      <sheetData sheetId="10864">
        <row r="1">
          <cell r="J1">
            <v>1.7453292519943295E-2</v>
          </cell>
        </row>
      </sheetData>
      <sheetData sheetId="10865">
        <row r="1">
          <cell r="J1">
            <v>1.7453292519943295E-2</v>
          </cell>
        </row>
      </sheetData>
      <sheetData sheetId="10866">
        <row r="1">
          <cell r="J1">
            <v>1.7453292519943295E-2</v>
          </cell>
        </row>
      </sheetData>
      <sheetData sheetId="10867">
        <row r="1">
          <cell r="J1">
            <v>1.7453292519943295E-2</v>
          </cell>
        </row>
      </sheetData>
      <sheetData sheetId="10868">
        <row r="1">
          <cell r="J1">
            <v>1.7453292519943295E-2</v>
          </cell>
        </row>
      </sheetData>
      <sheetData sheetId="10869">
        <row r="1">
          <cell r="J1">
            <v>1.7453292519943295E-2</v>
          </cell>
        </row>
      </sheetData>
      <sheetData sheetId="10870">
        <row r="1">
          <cell r="J1">
            <v>1.7453292519943295E-2</v>
          </cell>
        </row>
      </sheetData>
      <sheetData sheetId="10871">
        <row r="1">
          <cell r="J1">
            <v>1.7453292519943295E-2</v>
          </cell>
        </row>
      </sheetData>
      <sheetData sheetId="10872">
        <row r="1">
          <cell r="J1">
            <v>1.7453292519943295E-2</v>
          </cell>
        </row>
      </sheetData>
      <sheetData sheetId="10873">
        <row r="1">
          <cell r="J1">
            <v>1.7453292519943295E-2</v>
          </cell>
        </row>
      </sheetData>
      <sheetData sheetId="10874">
        <row r="1">
          <cell r="J1">
            <v>1.7453292519943295E-2</v>
          </cell>
        </row>
      </sheetData>
      <sheetData sheetId="10875">
        <row r="1">
          <cell r="J1">
            <v>1.7453292519943295E-2</v>
          </cell>
        </row>
      </sheetData>
      <sheetData sheetId="10876">
        <row r="1">
          <cell r="J1">
            <v>1.7453292519943295E-2</v>
          </cell>
        </row>
      </sheetData>
      <sheetData sheetId="10877">
        <row r="1">
          <cell r="J1">
            <v>1.7453292519943295E-2</v>
          </cell>
        </row>
      </sheetData>
      <sheetData sheetId="10878">
        <row r="1">
          <cell r="J1">
            <v>1.7453292519943295E-2</v>
          </cell>
        </row>
      </sheetData>
      <sheetData sheetId="10879">
        <row r="1">
          <cell r="J1">
            <v>1.7453292519943295E-2</v>
          </cell>
        </row>
      </sheetData>
      <sheetData sheetId="10880">
        <row r="1">
          <cell r="J1">
            <v>1.7453292519943295E-2</v>
          </cell>
        </row>
      </sheetData>
      <sheetData sheetId="10881">
        <row r="1">
          <cell r="J1">
            <v>1.7453292519943295E-2</v>
          </cell>
        </row>
      </sheetData>
      <sheetData sheetId="10882">
        <row r="1">
          <cell r="J1">
            <v>1.7453292519943295E-2</v>
          </cell>
        </row>
      </sheetData>
      <sheetData sheetId="10883">
        <row r="1">
          <cell r="J1">
            <v>1.7453292519943295E-2</v>
          </cell>
        </row>
      </sheetData>
      <sheetData sheetId="10884">
        <row r="1">
          <cell r="J1">
            <v>1.7453292519943295E-2</v>
          </cell>
        </row>
      </sheetData>
      <sheetData sheetId="10885">
        <row r="1">
          <cell r="J1">
            <v>1.7453292519943295E-2</v>
          </cell>
        </row>
      </sheetData>
      <sheetData sheetId="10886">
        <row r="1">
          <cell r="J1">
            <v>1.7453292519943295E-2</v>
          </cell>
        </row>
      </sheetData>
      <sheetData sheetId="10887">
        <row r="1">
          <cell r="J1">
            <v>1.7453292519943295E-2</v>
          </cell>
        </row>
      </sheetData>
      <sheetData sheetId="10888">
        <row r="1">
          <cell r="J1">
            <v>1.7453292519943295E-2</v>
          </cell>
        </row>
      </sheetData>
      <sheetData sheetId="10889">
        <row r="1">
          <cell r="J1">
            <v>1.7453292519943295E-2</v>
          </cell>
        </row>
      </sheetData>
      <sheetData sheetId="10890">
        <row r="1">
          <cell r="J1">
            <v>1.7453292519943295E-2</v>
          </cell>
        </row>
      </sheetData>
      <sheetData sheetId="10891">
        <row r="1">
          <cell r="J1">
            <v>1.7453292519943295E-2</v>
          </cell>
        </row>
      </sheetData>
      <sheetData sheetId="10892">
        <row r="1">
          <cell r="J1">
            <v>1.7453292519943295E-2</v>
          </cell>
        </row>
      </sheetData>
      <sheetData sheetId="10893">
        <row r="1">
          <cell r="J1">
            <v>1.7453292519943295E-2</v>
          </cell>
        </row>
      </sheetData>
      <sheetData sheetId="10894">
        <row r="1">
          <cell r="J1">
            <v>1.7453292519943295E-2</v>
          </cell>
        </row>
      </sheetData>
      <sheetData sheetId="10895">
        <row r="1">
          <cell r="J1">
            <v>1.7453292519943295E-2</v>
          </cell>
        </row>
      </sheetData>
      <sheetData sheetId="10896">
        <row r="1">
          <cell r="J1">
            <v>1.7453292519943295E-2</v>
          </cell>
        </row>
      </sheetData>
      <sheetData sheetId="10897">
        <row r="1">
          <cell r="J1">
            <v>1.7453292519943295E-2</v>
          </cell>
        </row>
      </sheetData>
      <sheetData sheetId="10898">
        <row r="1">
          <cell r="J1">
            <v>1.7453292519943295E-2</v>
          </cell>
        </row>
      </sheetData>
      <sheetData sheetId="10899">
        <row r="1">
          <cell r="J1">
            <v>1.7453292519943295E-2</v>
          </cell>
        </row>
      </sheetData>
      <sheetData sheetId="10900">
        <row r="1">
          <cell r="J1">
            <v>1.7453292519943295E-2</v>
          </cell>
        </row>
      </sheetData>
      <sheetData sheetId="10901">
        <row r="1">
          <cell r="J1">
            <v>1.7453292519943295E-2</v>
          </cell>
        </row>
      </sheetData>
      <sheetData sheetId="10902">
        <row r="1">
          <cell r="J1">
            <v>1.7453292519943295E-2</v>
          </cell>
        </row>
      </sheetData>
      <sheetData sheetId="10903">
        <row r="1">
          <cell r="J1">
            <v>1.7453292519943295E-2</v>
          </cell>
        </row>
      </sheetData>
      <sheetData sheetId="10904">
        <row r="1">
          <cell r="J1">
            <v>1.7453292519943295E-2</v>
          </cell>
        </row>
      </sheetData>
      <sheetData sheetId="10905">
        <row r="1">
          <cell r="J1">
            <v>1.7453292519943295E-2</v>
          </cell>
        </row>
      </sheetData>
      <sheetData sheetId="10906">
        <row r="1">
          <cell r="J1">
            <v>1.7453292519943295E-2</v>
          </cell>
        </row>
      </sheetData>
      <sheetData sheetId="10907">
        <row r="1">
          <cell r="J1">
            <v>1.7453292519943295E-2</v>
          </cell>
        </row>
      </sheetData>
      <sheetData sheetId="10908">
        <row r="1">
          <cell r="J1">
            <v>1.7453292519943295E-2</v>
          </cell>
        </row>
      </sheetData>
      <sheetData sheetId="10909">
        <row r="1">
          <cell r="J1">
            <v>1.7453292519943295E-2</v>
          </cell>
        </row>
      </sheetData>
      <sheetData sheetId="10910">
        <row r="1">
          <cell r="J1">
            <v>1.7453292519943295E-2</v>
          </cell>
        </row>
      </sheetData>
      <sheetData sheetId="10911">
        <row r="1">
          <cell r="J1">
            <v>1.7453292519943295E-2</v>
          </cell>
        </row>
      </sheetData>
      <sheetData sheetId="10912">
        <row r="1">
          <cell r="J1">
            <v>1.7453292519943295E-2</v>
          </cell>
        </row>
      </sheetData>
      <sheetData sheetId="10913">
        <row r="1">
          <cell r="J1">
            <v>1.7453292519943295E-2</v>
          </cell>
        </row>
      </sheetData>
      <sheetData sheetId="10914">
        <row r="1">
          <cell r="J1">
            <v>1.7453292519943295E-2</v>
          </cell>
        </row>
      </sheetData>
      <sheetData sheetId="10915">
        <row r="1">
          <cell r="J1">
            <v>1.7453292519943295E-2</v>
          </cell>
        </row>
      </sheetData>
      <sheetData sheetId="10916">
        <row r="1">
          <cell r="J1">
            <v>1.7453292519943295E-2</v>
          </cell>
        </row>
      </sheetData>
      <sheetData sheetId="10917">
        <row r="1">
          <cell r="J1">
            <v>1.7453292519943295E-2</v>
          </cell>
        </row>
      </sheetData>
      <sheetData sheetId="10918">
        <row r="1">
          <cell r="J1">
            <v>1.7453292519943295E-2</v>
          </cell>
        </row>
      </sheetData>
      <sheetData sheetId="10919">
        <row r="1">
          <cell r="J1">
            <v>1.7453292519943295E-2</v>
          </cell>
        </row>
      </sheetData>
      <sheetData sheetId="10920">
        <row r="1">
          <cell r="J1">
            <v>1.7453292519943295E-2</v>
          </cell>
        </row>
      </sheetData>
      <sheetData sheetId="10921">
        <row r="1">
          <cell r="J1">
            <v>1.7453292519943295E-2</v>
          </cell>
        </row>
      </sheetData>
      <sheetData sheetId="10922">
        <row r="1">
          <cell r="J1">
            <v>1.7453292519943295E-2</v>
          </cell>
        </row>
      </sheetData>
      <sheetData sheetId="10923">
        <row r="1">
          <cell r="J1">
            <v>1.7453292519943295E-2</v>
          </cell>
        </row>
      </sheetData>
      <sheetData sheetId="10924">
        <row r="1">
          <cell r="J1">
            <v>1.7453292519943295E-2</v>
          </cell>
        </row>
      </sheetData>
      <sheetData sheetId="10925">
        <row r="1">
          <cell r="J1">
            <v>1.7453292519943295E-2</v>
          </cell>
        </row>
      </sheetData>
      <sheetData sheetId="10926">
        <row r="1">
          <cell r="J1">
            <v>1.7453292519943295E-2</v>
          </cell>
        </row>
      </sheetData>
      <sheetData sheetId="10927">
        <row r="1">
          <cell r="J1">
            <v>1.7453292519943295E-2</v>
          </cell>
        </row>
      </sheetData>
      <sheetData sheetId="10928">
        <row r="1">
          <cell r="J1">
            <v>1.7453292519943295E-2</v>
          </cell>
        </row>
      </sheetData>
      <sheetData sheetId="10929">
        <row r="1">
          <cell r="J1">
            <v>1.7453292519943295E-2</v>
          </cell>
        </row>
      </sheetData>
      <sheetData sheetId="10930">
        <row r="1">
          <cell r="J1">
            <v>1.7453292519943295E-2</v>
          </cell>
        </row>
      </sheetData>
      <sheetData sheetId="10931">
        <row r="1">
          <cell r="J1">
            <v>1.7453292519943295E-2</v>
          </cell>
        </row>
      </sheetData>
      <sheetData sheetId="10932">
        <row r="1">
          <cell r="J1">
            <v>1.7453292519943295E-2</v>
          </cell>
        </row>
      </sheetData>
      <sheetData sheetId="10933">
        <row r="1">
          <cell r="J1">
            <v>1.7453292519943295E-2</v>
          </cell>
        </row>
      </sheetData>
      <sheetData sheetId="10934">
        <row r="1">
          <cell r="J1">
            <v>1.7453292519943295E-2</v>
          </cell>
        </row>
      </sheetData>
      <sheetData sheetId="10935">
        <row r="1">
          <cell r="J1">
            <v>1.7453292519943295E-2</v>
          </cell>
        </row>
      </sheetData>
      <sheetData sheetId="10936">
        <row r="1">
          <cell r="J1">
            <v>1.7453292519943295E-2</v>
          </cell>
        </row>
      </sheetData>
      <sheetData sheetId="10937">
        <row r="1">
          <cell r="J1">
            <v>1.7453292519943295E-2</v>
          </cell>
        </row>
      </sheetData>
      <sheetData sheetId="10938">
        <row r="1">
          <cell r="J1">
            <v>1.7453292519943295E-2</v>
          </cell>
        </row>
      </sheetData>
      <sheetData sheetId="10939">
        <row r="1">
          <cell r="J1">
            <v>1.7453292519943295E-2</v>
          </cell>
        </row>
      </sheetData>
      <sheetData sheetId="10940">
        <row r="1">
          <cell r="J1">
            <v>1.7453292519943295E-2</v>
          </cell>
        </row>
      </sheetData>
      <sheetData sheetId="10941">
        <row r="1">
          <cell r="J1">
            <v>1.7453292519943295E-2</v>
          </cell>
        </row>
      </sheetData>
      <sheetData sheetId="10942">
        <row r="1">
          <cell r="J1">
            <v>1.7453292519943295E-2</v>
          </cell>
        </row>
      </sheetData>
      <sheetData sheetId="10943">
        <row r="1">
          <cell r="J1">
            <v>1.7453292519943295E-2</v>
          </cell>
        </row>
      </sheetData>
      <sheetData sheetId="10944">
        <row r="1">
          <cell r="J1">
            <v>1.7453292519943295E-2</v>
          </cell>
        </row>
      </sheetData>
      <sheetData sheetId="10945">
        <row r="1">
          <cell r="J1">
            <v>1.7453292519943295E-2</v>
          </cell>
        </row>
      </sheetData>
      <sheetData sheetId="10946">
        <row r="1">
          <cell r="J1">
            <v>1.7453292519943295E-2</v>
          </cell>
        </row>
      </sheetData>
      <sheetData sheetId="10947">
        <row r="1">
          <cell r="J1">
            <v>1.7453292519943295E-2</v>
          </cell>
        </row>
      </sheetData>
      <sheetData sheetId="10948">
        <row r="1">
          <cell r="J1">
            <v>1.7453292519943295E-2</v>
          </cell>
        </row>
      </sheetData>
      <sheetData sheetId="10949">
        <row r="1">
          <cell r="J1">
            <v>1.7453292519943295E-2</v>
          </cell>
        </row>
      </sheetData>
      <sheetData sheetId="10950">
        <row r="1">
          <cell r="J1">
            <v>1.7453292519943295E-2</v>
          </cell>
        </row>
      </sheetData>
      <sheetData sheetId="10951">
        <row r="1">
          <cell r="J1">
            <v>1.7453292519943295E-2</v>
          </cell>
        </row>
      </sheetData>
      <sheetData sheetId="10952">
        <row r="1">
          <cell r="J1">
            <v>1.7453292519943295E-2</v>
          </cell>
        </row>
      </sheetData>
      <sheetData sheetId="10953">
        <row r="1">
          <cell r="J1">
            <v>1.7453292519943295E-2</v>
          </cell>
        </row>
      </sheetData>
      <sheetData sheetId="10954">
        <row r="1">
          <cell r="J1">
            <v>1.7453292519943295E-2</v>
          </cell>
        </row>
      </sheetData>
      <sheetData sheetId="10955">
        <row r="1">
          <cell r="J1">
            <v>1.7453292519943295E-2</v>
          </cell>
        </row>
      </sheetData>
      <sheetData sheetId="10956">
        <row r="1">
          <cell r="J1">
            <v>1.7453292519943295E-2</v>
          </cell>
        </row>
      </sheetData>
      <sheetData sheetId="10957">
        <row r="1">
          <cell r="J1">
            <v>1.7453292519943295E-2</v>
          </cell>
        </row>
      </sheetData>
      <sheetData sheetId="10958">
        <row r="1">
          <cell r="J1">
            <v>1.7453292519943295E-2</v>
          </cell>
        </row>
      </sheetData>
      <sheetData sheetId="10959">
        <row r="1">
          <cell r="J1">
            <v>1.7453292519943295E-2</v>
          </cell>
        </row>
      </sheetData>
      <sheetData sheetId="10960">
        <row r="1">
          <cell r="J1">
            <v>1.7453292519943295E-2</v>
          </cell>
        </row>
      </sheetData>
      <sheetData sheetId="10961">
        <row r="1">
          <cell r="J1">
            <v>1.7453292519943295E-2</v>
          </cell>
        </row>
      </sheetData>
      <sheetData sheetId="10962">
        <row r="1">
          <cell r="J1">
            <v>1.7453292519943295E-2</v>
          </cell>
        </row>
      </sheetData>
      <sheetData sheetId="10963">
        <row r="1">
          <cell r="J1">
            <v>1.7453292519943295E-2</v>
          </cell>
        </row>
      </sheetData>
      <sheetData sheetId="10964">
        <row r="1">
          <cell r="J1">
            <v>1.7453292519943295E-2</v>
          </cell>
        </row>
      </sheetData>
      <sheetData sheetId="10965">
        <row r="1">
          <cell r="J1">
            <v>1.7453292519943295E-2</v>
          </cell>
        </row>
      </sheetData>
      <sheetData sheetId="10966">
        <row r="1">
          <cell r="J1">
            <v>1.7453292519943295E-2</v>
          </cell>
        </row>
      </sheetData>
      <sheetData sheetId="10967">
        <row r="1">
          <cell r="J1">
            <v>1.7453292519943295E-2</v>
          </cell>
        </row>
      </sheetData>
      <sheetData sheetId="10968">
        <row r="1">
          <cell r="J1">
            <v>1.7453292519943295E-2</v>
          </cell>
        </row>
      </sheetData>
      <sheetData sheetId="10969">
        <row r="1">
          <cell r="J1">
            <v>1.7453292519943295E-2</v>
          </cell>
        </row>
      </sheetData>
      <sheetData sheetId="10970">
        <row r="1">
          <cell r="J1">
            <v>1.7453292519943295E-2</v>
          </cell>
        </row>
      </sheetData>
      <sheetData sheetId="10971">
        <row r="1">
          <cell r="J1">
            <v>1.7453292519943295E-2</v>
          </cell>
        </row>
      </sheetData>
      <sheetData sheetId="10972">
        <row r="1">
          <cell r="J1">
            <v>1.7453292519943295E-2</v>
          </cell>
        </row>
      </sheetData>
      <sheetData sheetId="10973">
        <row r="1">
          <cell r="J1">
            <v>1.7453292519943295E-2</v>
          </cell>
        </row>
      </sheetData>
      <sheetData sheetId="10974">
        <row r="1">
          <cell r="J1">
            <v>1.7453292519943295E-2</v>
          </cell>
        </row>
      </sheetData>
      <sheetData sheetId="10975">
        <row r="1">
          <cell r="J1">
            <v>1.7453292519943295E-2</v>
          </cell>
        </row>
      </sheetData>
      <sheetData sheetId="10976">
        <row r="1">
          <cell r="J1">
            <v>1.7453292519943295E-2</v>
          </cell>
        </row>
      </sheetData>
      <sheetData sheetId="10977">
        <row r="1">
          <cell r="J1">
            <v>1.7453292519943295E-2</v>
          </cell>
        </row>
      </sheetData>
      <sheetData sheetId="10978">
        <row r="1">
          <cell r="J1">
            <v>1.7453292519943295E-2</v>
          </cell>
        </row>
      </sheetData>
      <sheetData sheetId="10979">
        <row r="1">
          <cell r="J1">
            <v>1.7453292519943295E-2</v>
          </cell>
        </row>
      </sheetData>
      <sheetData sheetId="10980">
        <row r="1">
          <cell r="J1">
            <v>1.7453292519943295E-2</v>
          </cell>
        </row>
      </sheetData>
      <sheetData sheetId="10981">
        <row r="1">
          <cell r="J1">
            <v>1.7453292519943295E-2</v>
          </cell>
        </row>
      </sheetData>
      <sheetData sheetId="10982">
        <row r="1">
          <cell r="J1">
            <v>1.7453292519943295E-2</v>
          </cell>
        </row>
      </sheetData>
      <sheetData sheetId="10983">
        <row r="1">
          <cell r="J1">
            <v>1.7453292519943295E-2</v>
          </cell>
        </row>
      </sheetData>
      <sheetData sheetId="10984">
        <row r="1">
          <cell r="J1">
            <v>1.7453292519943295E-2</v>
          </cell>
        </row>
      </sheetData>
      <sheetData sheetId="10985">
        <row r="1">
          <cell r="J1">
            <v>1.7453292519943295E-2</v>
          </cell>
        </row>
      </sheetData>
      <sheetData sheetId="10986">
        <row r="1">
          <cell r="J1">
            <v>1.7453292519943295E-2</v>
          </cell>
        </row>
      </sheetData>
      <sheetData sheetId="10987">
        <row r="1">
          <cell r="J1">
            <v>1.7453292519943295E-2</v>
          </cell>
        </row>
      </sheetData>
      <sheetData sheetId="10988">
        <row r="1">
          <cell r="J1">
            <v>1.7453292519943295E-2</v>
          </cell>
        </row>
      </sheetData>
      <sheetData sheetId="10989">
        <row r="1">
          <cell r="J1">
            <v>1.7453292519943295E-2</v>
          </cell>
        </row>
      </sheetData>
      <sheetData sheetId="10990">
        <row r="1">
          <cell r="J1">
            <v>1.7453292519943295E-2</v>
          </cell>
        </row>
      </sheetData>
      <sheetData sheetId="10991">
        <row r="1">
          <cell r="J1">
            <v>1.7453292519943295E-2</v>
          </cell>
        </row>
      </sheetData>
      <sheetData sheetId="10992">
        <row r="1">
          <cell r="J1">
            <v>1.7453292519943295E-2</v>
          </cell>
        </row>
      </sheetData>
      <sheetData sheetId="10993">
        <row r="1">
          <cell r="J1">
            <v>1.7453292519943295E-2</v>
          </cell>
        </row>
      </sheetData>
      <sheetData sheetId="10994">
        <row r="1">
          <cell r="J1">
            <v>1.7453292519943295E-2</v>
          </cell>
        </row>
      </sheetData>
      <sheetData sheetId="10995">
        <row r="1">
          <cell r="J1">
            <v>1.7453292519943295E-2</v>
          </cell>
        </row>
      </sheetData>
      <sheetData sheetId="10996">
        <row r="1">
          <cell r="J1">
            <v>1.7453292519943295E-2</v>
          </cell>
        </row>
      </sheetData>
      <sheetData sheetId="10997">
        <row r="1">
          <cell r="J1">
            <v>1.7453292519943295E-2</v>
          </cell>
        </row>
      </sheetData>
      <sheetData sheetId="10998">
        <row r="1">
          <cell r="J1">
            <v>1.7453292519943295E-2</v>
          </cell>
        </row>
      </sheetData>
      <sheetData sheetId="10999">
        <row r="1">
          <cell r="J1">
            <v>1.7453292519943295E-2</v>
          </cell>
        </row>
      </sheetData>
      <sheetData sheetId="11000">
        <row r="1">
          <cell r="J1">
            <v>1.7453292519943295E-2</v>
          </cell>
        </row>
      </sheetData>
      <sheetData sheetId="11001">
        <row r="1">
          <cell r="J1">
            <v>1.7453292519943295E-2</v>
          </cell>
        </row>
      </sheetData>
      <sheetData sheetId="11002">
        <row r="1">
          <cell r="J1">
            <v>1.7453292519943295E-2</v>
          </cell>
        </row>
      </sheetData>
      <sheetData sheetId="11003">
        <row r="1">
          <cell r="J1">
            <v>1.7453292519943295E-2</v>
          </cell>
        </row>
      </sheetData>
      <sheetData sheetId="11004">
        <row r="1">
          <cell r="J1">
            <v>1.7453292519943295E-2</v>
          </cell>
        </row>
      </sheetData>
      <sheetData sheetId="11005">
        <row r="1">
          <cell r="J1">
            <v>1.7453292519943295E-2</v>
          </cell>
        </row>
      </sheetData>
      <sheetData sheetId="11006">
        <row r="1">
          <cell r="J1">
            <v>1.7453292519943295E-2</v>
          </cell>
        </row>
      </sheetData>
      <sheetData sheetId="11007">
        <row r="1">
          <cell r="J1">
            <v>1.7453292519943295E-2</v>
          </cell>
        </row>
      </sheetData>
      <sheetData sheetId="11008">
        <row r="1">
          <cell r="J1">
            <v>1.7453292519943295E-2</v>
          </cell>
        </row>
      </sheetData>
      <sheetData sheetId="11009">
        <row r="1">
          <cell r="J1">
            <v>1.7453292519943295E-2</v>
          </cell>
        </row>
      </sheetData>
      <sheetData sheetId="11010">
        <row r="1">
          <cell r="J1">
            <v>1.7453292519943295E-2</v>
          </cell>
        </row>
      </sheetData>
      <sheetData sheetId="11011">
        <row r="1">
          <cell r="J1">
            <v>1.7453292519943295E-2</v>
          </cell>
        </row>
      </sheetData>
      <sheetData sheetId="11012">
        <row r="1">
          <cell r="J1">
            <v>1.7453292519943295E-2</v>
          </cell>
        </row>
      </sheetData>
      <sheetData sheetId="11013">
        <row r="1">
          <cell r="J1">
            <v>1.7453292519943295E-2</v>
          </cell>
        </row>
      </sheetData>
      <sheetData sheetId="11014">
        <row r="1">
          <cell r="J1">
            <v>1.7453292519943295E-2</v>
          </cell>
        </row>
      </sheetData>
      <sheetData sheetId="11015">
        <row r="1">
          <cell r="J1">
            <v>1.7453292519943295E-2</v>
          </cell>
        </row>
      </sheetData>
      <sheetData sheetId="11016">
        <row r="1">
          <cell r="J1">
            <v>1.7453292519943295E-2</v>
          </cell>
        </row>
      </sheetData>
      <sheetData sheetId="11017">
        <row r="1">
          <cell r="J1">
            <v>1.7453292519943295E-2</v>
          </cell>
        </row>
      </sheetData>
      <sheetData sheetId="11018">
        <row r="1">
          <cell r="J1">
            <v>1.7453292519943295E-2</v>
          </cell>
        </row>
      </sheetData>
      <sheetData sheetId="11019">
        <row r="1">
          <cell r="J1">
            <v>1.7453292519943295E-2</v>
          </cell>
        </row>
      </sheetData>
      <sheetData sheetId="11020">
        <row r="1">
          <cell r="J1">
            <v>1.7453292519943295E-2</v>
          </cell>
        </row>
      </sheetData>
      <sheetData sheetId="11021">
        <row r="1">
          <cell r="J1">
            <v>1.7453292519943295E-2</v>
          </cell>
        </row>
      </sheetData>
      <sheetData sheetId="11022">
        <row r="1">
          <cell r="J1">
            <v>1.7453292519943295E-2</v>
          </cell>
        </row>
      </sheetData>
      <sheetData sheetId="11023">
        <row r="1">
          <cell r="J1">
            <v>1.7453292519943295E-2</v>
          </cell>
        </row>
      </sheetData>
      <sheetData sheetId="11024">
        <row r="1">
          <cell r="J1">
            <v>1.7453292519943295E-2</v>
          </cell>
        </row>
      </sheetData>
      <sheetData sheetId="11025">
        <row r="1">
          <cell r="J1">
            <v>1.7453292519943295E-2</v>
          </cell>
        </row>
      </sheetData>
      <sheetData sheetId="11026">
        <row r="1">
          <cell r="J1">
            <v>1.7453292519943295E-2</v>
          </cell>
        </row>
      </sheetData>
      <sheetData sheetId="11027">
        <row r="1">
          <cell r="J1">
            <v>1.7453292519943295E-2</v>
          </cell>
        </row>
      </sheetData>
      <sheetData sheetId="11028">
        <row r="1">
          <cell r="J1">
            <v>1.7453292519943295E-2</v>
          </cell>
        </row>
      </sheetData>
      <sheetData sheetId="11029">
        <row r="1">
          <cell r="J1">
            <v>1.7453292519943295E-2</v>
          </cell>
        </row>
      </sheetData>
      <sheetData sheetId="11030">
        <row r="1">
          <cell r="J1">
            <v>1.7453292519943295E-2</v>
          </cell>
        </row>
      </sheetData>
      <sheetData sheetId="11031">
        <row r="1">
          <cell r="J1">
            <v>1.7453292519943295E-2</v>
          </cell>
        </row>
      </sheetData>
      <sheetData sheetId="11032">
        <row r="1">
          <cell r="J1">
            <v>1.7453292519943295E-2</v>
          </cell>
        </row>
      </sheetData>
      <sheetData sheetId="11033">
        <row r="1">
          <cell r="J1">
            <v>1.7453292519943295E-2</v>
          </cell>
        </row>
      </sheetData>
      <sheetData sheetId="11034">
        <row r="1">
          <cell r="J1">
            <v>1.7453292519943295E-2</v>
          </cell>
        </row>
      </sheetData>
      <sheetData sheetId="11035">
        <row r="1">
          <cell r="J1">
            <v>1.7453292519943295E-2</v>
          </cell>
        </row>
      </sheetData>
      <sheetData sheetId="11036">
        <row r="1">
          <cell r="J1">
            <v>1.7453292519943295E-2</v>
          </cell>
        </row>
      </sheetData>
      <sheetData sheetId="11037">
        <row r="1">
          <cell r="J1">
            <v>1.7453292519943295E-2</v>
          </cell>
        </row>
      </sheetData>
      <sheetData sheetId="11038">
        <row r="1">
          <cell r="J1">
            <v>1.7453292519943295E-2</v>
          </cell>
        </row>
      </sheetData>
      <sheetData sheetId="11039">
        <row r="1">
          <cell r="J1">
            <v>1.7453292519943295E-2</v>
          </cell>
        </row>
      </sheetData>
      <sheetData sheetId="11040">
        <row r="1">
          <cell r="J1">
            <v>1.7453292519943295E-2</v>
          </cell>
        </row>
      </sheetData>
      <sheetData sheetId="11041">
        <row r="1">
          <cell r="J1">
            <v>1.7453292519943295E-2</v>
          </cell>
        </row>
      </sheetData>
      <sheetData sheetId="11042">
        <row r="1">
          <cell r="J1">
            <v>1.7453292519943295E-2</v>
          </cell>
        </row>
      </sheetData>
      <sheetData sheetId="11043">
        <row r="1">
          <cell r="J1">
            <v>1.7453292519943295E-2</v>
          </cell>
        </row>
      </sheetData>
      <sheetData sheetId="11044">
        <row r="1">
          <cell r="J1">
            <v>1.7453292519943295E-2</v>
          </cell>
        </row>
      </sheetData>
      <sheetData sheetId="11045">
        <row r="1">
          <cell r="J1">
            <v>1.7453292519943295E-2</v>
          </cell>
        </row>
      </sheetData>
      <sheetData sheetId="11046">
        <row r="1">
          <cell r="J1">
            <v>1.7453292519943295E-2</v>
          </cell>
        </row>
      </sheetData>
      <sheetData sheetId="11047">
        <row r="1">
          <cell r="J1">
            <v>1.7453292519943295E-2</v>
          </cell>
        </row>
      </sheetData>
      <sheetData sheetId="11048">
        <row r="1">
          <cell r="J1">
            <v>1.7453292519943295E-2</v>
          </cell>
        </row>
      </sheetData>
      <sheetData sheetId="11049">
        <row r="1">
          <cell r="J1">
            <v>1.7453292519943295E-2</v>
          </cell>
        </row>
      </sheetData>
      <sheetData sheetId="11050">
        <row r="1">
          <cell r="J1">
            <v>1.7453292519943295E-2</v>
          </cell>
        </row>
      </sheetData>
      <sheetData sheetId="11051">
        <row r="1">
          <cell r="J1">
            <v>1.7453292519943295E-2</v>
          </cell>
        </row>
      </sheetData>
      <sheetData sheetId="11052">
        <row r="1">
          <cell r="J1">
            <v>1.7453292519943295E-2</v>
          </cell>
        </row>
      </sheetData>
      <sheetData sheetId="11053">
        <row r="1">
          <cell r="J1">
            <v>1.7453292519943295E-2</v>
          </cell>
        </row>
      </sheetData>
      <sheetData sheetId="11054">
        <row r="1">
          <cell r="J1">
            <v>1.7453292519943295E-2</v>
          </cell>
        </row>
      </sheetData>
      <sheetData sheetId="11055">
        <row r="1">
          <cell r="J1">
            <v>1.7453292519943295E-2</v>
          </cell>
        </row>
      </sheetData>
      <sheetData sheetId="11056">
        <row r="1">
          <cell r="J1">
            <v>1.7453292519943295E-2</v>
          </cell>
        </row>
      </sheetData>
      <sheetData sheetId="11057">
        <row r="1">
          <cell r="J1">
            <v>1.7453292519943295E-2</v>
          </cell>
        </row>
      </sheetData>
      <sheetData sheetId="11058">
        <row r="1">
          <cell r="J1">
            <v>1.7453292519943295E-2</v>
          </cell>
        </row>
      </sheetData>
      <sheetData sheetId="11059">
        <row r="1">
          <cell r="J1">
            <v>1.7453292519943295E-2</v>
          </cell>
        </row>
      </sheetData>
      <sheetData sheetId="11060">
        <row r="1">
          <cell r="J1">
            <v>1.7453292519943295E-2</v>
          </cell>
        </row>
      </sheetData>
      <sheetData sheetId="11061">
        <row r="1">
          <cell r="J1">
            <v>1.7453292519943295E-2</v>
          </cell>
        </row>
      </sheetData>
      <sheetData sheetId="11062">
        <row r="1">
          <cell r="J1">
            <v>1.7453292519943295E-2</v>
          </cell>
        </row>
      </sheetData>
      <sheetData sheetId="11063">
        <row r="1">
          <cell r="J1">
            <v>1.7453292519943295E-2</v>
          </cell>
        </row>
      </sheetData>
      <sheetData sheetId="11064">
        <row r="1">
          <cell r="J1">
            <v>1.7453292519943295E-2</v>
          </cell>
        </row>
      </sheetData>
      <sheetData sheetId="11065">
        <row r="1">
          <cell r="J1">
            <v>1.7453292519943295E-2</v>
          </cell>
        </row>
      </sheetData>
      <sheetData sheetId="11066">
        <row r="1">
          <cell r="J1">
            <v>1.7453292519943295E-2</v>
          </cell>
        </row>
      </sheetData>
      <sheetData sheetId="11067">
        <row r="1">
          <cell r="J1">
            <v>1.7453292519943295E-2</v>
          </cell>
        </row>
      </sheetData>
      <sheetData sheetId="11068">
        <row r="1">
          <cell r="J1">
            <v>1.7453292519943295E-2</v>
          </cell>
        </row>
      </sheetData>
      <sheetData sheetId="11069">
        <row r="1">
          <cell r="J1">
            <v>1.7453292519943295E-2</v>
          </cell>
        </row>
      </sheetData>
      <sheetData sheetId="11070">
        <row r="1">
          <cell r="J1">
            <v>1.7453292519943295E-2</v>
          </cell>
        </row>
      </sheetData>
      <sheetData sheetId="11071">
        <row r="1">
          <cell r="J1">
            <v>1.7453292519943295E-2</v>
          </cell>
        </row>
      </sheetData>
      <sheetData sheetId="11072">
        <row r="1">
          <cell r="J1">
            <v>1.7453292519943295E-2</v>
          </cell>
        </row>
      </sheetData>
      <sheetData sheetId="11073">
        <row r="1">
          <cell r="J1">
            <v>1.7453292519943295E-2</v>
          </cell>
        </row>
      </sheetData>
      <sheetData sheetId="11074">
        <row r="1">
          <cell r="J1">
            <v>1.7453292519943295E-2</v>
          </cell>
        </row>
      </sheetData>
      <sheetData sheetId="11075">
        <row r="1">
          <cell r="J1">
            <v>1.7453292519943295E-2</v>
          </cell>
        </row>
      </sheetData>
      <sheetData sheetId="11076">
        <row r="1">
          <cell r="J1">
            <v>1.7453292519943295E-2</v>
          </cell>
        </row>
      </sheetData>
      <sheetData sheetId="11077">
        <row r="1">
          <cell r="J1">
            <v>1.7453292519943295E-2</v>
          </cell>
        </row>
      </sheetData>
      <sheetData sheetId="11078">
        <row r="1">
          <cell r="J1">
            <v>1.7453292519943295E-2</v>
          </cell>
        </row>
      </sheetData>
      <sheetData sheetId="11079">
        <row r="1">
          <cell r="J1">
            <v>1.7453292519943295E-2</v>
          </cell>
        </row>
      </sheetData>
      <sheetData sheetId="11080">
        <row r="1">
          <cell r="J1">
            <v>1.7453292519943295E-2</v>
          </cell>
        </row>
      </sheetData>
      <sheetData sheetId="11081">
        <row r="1">
          <cell r="J1">
            <v>1.7453292519943295E-2</v>
          </cell>
        </row>
      </sheetData>
      <sheetData sheetId="11082">
        <row r="1">
          <cell r="J1">
            <v>1.7453292519943295E-2</v>
          </cell>
        </row>
      </sheetData>
      <sheetData sheetId="11083">
        <row r="1">
          <cell r="J1">
            <v>1.7453292519943295E-2</v>
          </cell>
        </row>
      </sheetData>
      <sheetData sheetId="11084">
        <row r="1">
          <cell r="J1">
            <v>1.7453292519943295E-2</v>
          </cell>
        </row>
      </sheetData>
      <sheetData sheetId="11085">
        <row r="1">
          <cell r="J1">
            <v>1.7453292519943295E-2</v>
          </cell>
        </row>
      </sheetData>
      <sheetData sheetId="11086">
        <row r="1">
          <cell r="J1">
            <v>1.7453292519943295E-2</v>
          </cell>
        </row>
      </sheetData>
      <sheetData sheetId="11087">
        <row r="1">
          <cell r="J1">
            <v>1.7453292519943295E-2</v>
          </cell>
        </row>
      </sheetData>
      <sheetData sheetId="11088">
        <row r="1">
          <cell r="J1">
            <v>1.7453292519943295E-2</v>
          </cell>
        </row>
      </sheetData>
      <sheetData sheetId="11089">
        <row r="1">
          <cell r="J1">
            <v>1.7453292519943295E-2</v>
          </cell>
        </row>
      </sheetData>
      <sheetData sheetId="11090">
        <row r="1">
          <cell r="J1">
            <v>1.7453292519943295E-2</v>
          </cell>
        </row>
      </sheetData>
      <sheetData sheetId="11091">
        <row r="1">
          <cell r="J1">
            <v>1.7453292519943295E-2</v>
          </cell>
        </row>
      </sheetData>
      <sheetData sheetId="11092">
        <row r="1">
          <cell r="J1">
            <v>1.7453292519943295E-2</v>
          </cell>
        </row>
      </sheetData>
      <sheetData sheetId="11093">
        <row r="1">
          <cell r="J1">
            <v>1.7453292519943295E-2</v>
          </cell>
        </row>
      </sheetData>
      <sheetData sheetId="11094">
        <row r="1">
          <cell r="J1">
            <v>1.7453292519943295E-2</v>
          </cell>
        </row>
      </sheetData>
      <sheetData sheetId="11095">
        <row r="1">
          <cell r="J1">
            <v>1.7453292519943295E-2</v>
          </cell>
        </row>
      </sheetData>
      <sheetData sheetId="11096">
        <row r="1">
          <cell r="J1">
            <v>1.7453292519943295E-2</v>
          </cell>
        </row>
      </sheetData>
      <sheetData sheetId="11097">
        <row r="1">
          <cell r="J1">
            <v>1.7453292519943295E-2</v>
          </cell>
        </row>
      </sheetData>
      <sheetData sheetId="11098">
        <row r="1">
          <cell r="J1">
            <v>1.7453292519943295E-2</v>
          </cell>
        </row>
      </sheetData>
      <sheetData sheetId="11099">
        <row r="1">
          <cell r="J1">
            <v>1.7453292519943295E-2</v>
          </cell>
        </row>
      </sheetData>
      <sheetData sheetId="11100">
        <row r="1">
          <cell r="J1">
            <v>1.7453292519943295E-2</v>
          </cell>
        </row>
      </sheetData>
      <sheetData sheetId="11101">
        <row r="1">
          <cell r="J1">
            <v>1.7453292519943295E-2</v>
          </cell>
        </row>
      </sheetData>
      <sheetData sheetId="11102">
        <row r="1">
          <cell r="J1">
            <v>1.7453292519943295E-2</v>
          </cell>
        </row>
      </sheetData>
      <sheetData sheetId="11103">
        <row r="1">
          <cell r="J1">
            <v>1.7453292519943295E-2</v>
          </cell>
        </row>
      </sheetData>
      <sheetData sheetId="11104">
        <row r="1">
          <cell r="J1">
            <v>1.7453292519943295E-2</v>
          </cell>
        </row>
      </sheetData>
      <sheetData sheetId="11105">
        <row r="1">
          <cell r="J1">
            <v>1.7453292519943295E-2</v>
          </cell>
        </row>
      </sheetData>
      <sheetData sheetId="11106">
        <row r="1">
          <cell r="J1">
            <v>1.7453292519943295E-2</v>
          </cell>
        </row>
      </sheetData>
      <sheetData sheetId="11107">
        <row r="1">
          <cell r="J1">
            <v>1.7453292519943295E-2</v>
          </cell>
        </row>
      </sheetData>
      <sheetData sheetId="11108">
        <row r="1">
          <cell r="J1">
            <v>1.7453292519943295E-2</v>
          </cell>
        </row>
      </sheetData>
      <sheetData sheetId="11109">
        <row r="1">
          <cell r="J1">
            <v>1.7453292519943295E-2</v>
          </cell>
        </row>
      </sheetData>
      <sheetData sheetId="11110">
        <row r="1">
          <cell r="J1">
            <v>1.7453292519943295E-2</v>
          </cell>
        </row>
      </sheetData>
      <sheetData sheetId="11111">
        <row r="1">
          <cell r="J1">
            <v>1.7453292519943295E-2</v>
          </cell>
        </row>
      </sheetData>
      <sheetData sheetId="11112">
        <row r="1">
          <cell r="J1">
            <v>1.7453292519943295E-2</v>
          </cell>
        </row>
      </sheetData>
      <sheetData sheetId="11113">
        <row r="1">
          <cell r="J1">
            <v>1.7453292519943295E-2</v>
          </cell>
        </row>
      </sheetData>
      <sheetData sheetId="11114">
        <row r="1">
          <cell r="J1">
            <v>1.7453292519943295E-2</v>
          </cell>
        </row>
      </sheetData>
      <sheetData sheetId="11115">
        <row r="1">
          <cell r="J1">
            <v>1.7453292519943295E-2</v>
          </cell>
        </row>
      </sheetData>
      <sheetData sheetId="11116">
        <row r="1">
          <cell r="J1">
            <v>1.7453292519943295E-2</v>
          </cell>
        </row>
      </sheetData>
      <sheetData sheetId="11117">
        <row r="1">
          <cell r="J1">
            <v>1.7453292519943295E-2</v>
          </cell>
        </row>
      </sheetData>
      <sheetData sheetId="11118">
        <row r="1">
          <cell r="J1">
            <v>1.7453292519943295E-2</v>
          </cell>
        </row>
      </sheetData>
      <sheetData sheetId="11119">
        <row r="1">
          <cell r="J1">
            <v>1.7453292519943295E-2</v>
          </cell>
        </row>
      </sheetData>
      <sheetData sheetId="11120">
        <row r="1">
          <cell r="J1">
            <v>1.7453292519943295E-2</v>
          </cell>
        </row>
      </sheetData>
      <sheetData sheetId="11121">
        <row r="1">
          <cell r="J1">
            <v>1.7453292519943295E-2</v>
          </cell>
        </row>
      </sheetData>
      <sheetData sheetId="11122">
        <row r="1">
          <cell r="J1">
            <v>1.7453292519943295E-2</v>
          </cell>
        </row>
      </sheetData>
      <sheetData sheetId="11123">
        <row r="1">
          <cell r="J1">
            <v>1.7453292519943295E-2</v>
          </cell>
        </row>
      </sheetData>
      <sheetData sheetId="11124">
        <row r="1">
          <cell r="J1">
            <v>1.7453292519943295E-2</v>
          </cell>
        </row>
      </sheetData>
      <sheetData sheetId="11125">
        <row r="1">
          <cell r="J1">
            <v>1.7453292519943295E-2</v>
          </cell>
        </row>
      </sheetData>
      <sheetData sheetId="11126">
        <row r="1">
          <cell r="J1">
            <v>1.7453292519943295E-2</v>
          </cell>
        </row>
      </sheetData>
      <sheetData sheetId="11127">
        <row r="1">
          <cell r="J1">
            <v>1.7453292519943295E-2</v>
          </cell>
        </row>
      </sheetData>
      <sheetData sheetId="11128">
        <row r="1">
          <cell r="J1">
            <v>1.7453292519943295E-2</v>
          </cell>
        </row>
      </sheetData>
      <sheetData sheetId="11129">
        <row r="1">
          <cell r="J1">
            <v>1.7453292519943295E-2</v>
          </cell>
        </row>
      </sheetData>
      <sheetData sheetId="11130">
        <row r="1">
          <cell r="J1">
            <v>1.7453292519943295E-2</v>
          </cell>
        </row>
      </sheetData>
      <sheetData sheetId="11131">
        <row r="1">
          <cell r="J1">
            <v>1.7453292519943295E-2</v>
          </cell>
        </row>
      </sheetData>
      <sheetData sheetId="11132">
        <row r="1">
          <cell r="J1">
            <v>1.7453292519943295E-2</v>
          </cell>
        </row>
      </sheetData>
      <sheetData sheetId="11133">
        <row r="1">
          <cell r="J1">
            <v>1.7453292519943295E-2</v>
          </cell>
        </row>
      </sheetData>
      <sheetData sheetId="11134">
        <row r="1">
          <cell r="J1">
            <v>1.7453292519943295E-2</v>
          </cell>
        </row>
      </sheetData>
      <sheetData sheetId="11135">
        <row r="1">
          <cell r="J1">
            <v>1.7453292519943295E-2</v>
          </cell>
        </row>
      </sheetData>
      <sheetData sheetId="11136">
        <row r="1">
          <cell r="J1">
            <v>1.7453292519943295E-2</v>
          </cell>
        </row>
      </sheetData>
      <sheetData sheetId="11137">
        <row r="1">
          <cell r="J1">
            <v>1.7453292519943295E-2</v>
          </cell>
        </row>
      </sheetData>
      <sheetData sheetId="11138">
        <row r="1">
          <cell r="J1">
            <v>1.7453292519943295E-2</v>
          </cell>
        </row>
      </sheetData>
      <sheetData sheetId="11139">
        <row r="1">
          <cell r="J1">
            <v>1.7453292519943295E-2</v>
          </cell>
        </row>
      </sheetData>
      <sheetData sheetId="11140">
        <row r="1">
          <cell r="J1">
            <v>1.7453292519943295E-2</v>
          </cell>
        </row>
      </sheetData>
      <sheetData sheetId="11141">
        <row r="1">
          <cell r="J1">
            <v>1.7453292519943295E-2</v>
          </cell>
        </row>
      </sheetData>
      <sheetData sheetId="11142">
        <row r="1">
          <cell r="J1">
            <v>1.7453292519943295E-2</v>
          </cell>
        </row>
      </sheetData>
      <sheetData sheetId="11143">
        <row r="1">
          <cell r="J1">
            <v>1.7453292519943295E-2</v>
          </cell>
        </row>
      </sheetData>
      <sheetData sheetId="11144">
        <row r="1">
          <cell r="J1">
            <v>1.7453292519943295E-2</v>
          </cell>
        </row>
      </sheetData>
      <sheetData sheetId="11145">
        <row r="1">
          <cell r="J1">
            <v>1.7453292519943295E-2</v>
          </cell>
        </row>
      </sheetData>
      <sheetData sheetId="11146">
        <row r="1">
          <cell r="J1">
            <v>1.7453292519943295E-2</v>
          </cell>
        </row>
      </sheetData>
      <sheetData sheetId="11147">
        <row r="1">
          <cell r="J1">
            <v>1.7453292519943295E-2</v>
          </cell>
        </row>
      </sheetData>
      <sheetData sheetId="11148">
        <row r="1">
          <cell r="J1">
            <v>1.7453292519943295E-2</v>
          </cell>
        </row>
      </sheetData>
      <sheetData sheetId="11149">
        <row r="1">
          <cell r="J1">
            <v>1.7453292519943295E-2</v>
          </cell>
        </row>
      </sheetData>
      <sheetData sheetId="11150">
        <row r="1">
          <cell r="J1">
            <v>1.7453292519943295E-2</v>
          </cell>
        </row>
      </sheetData>
      <sheetData sheetId="11151">
        <row r="1">
          <cell r="J1">
            <v>1.7453292519943295E-2</v>
          </cell>
        </row>
      </sheetData>
      <sheetData sheetId="11152">
        <row r="1">
          <cell r="J1">
            <v>1.7453292519943295E-2</v>
          </cell>
        </row>
      </sheetData>
      <sheetData sheetId="11153">
        <row r="1">
          <cell r="J1">
            <v>1.7453292519943295E-2</v>
          </cell>
        </row>
      </sheetData>
      <sheetData sheetId="11154">
        <row r="1">
          <cell r="J1">
            <v>1.7453292519943295E-2</v>
          </cell>
        </row>
      </sheetData>
      <sheetData sheetId="11155">
        <row r="1">
          <cell r="J1">
            <v>1.7453292519943295E-2</v>
          </cell>
        </row>
      </sheetData>
      <sheetData sheetId="11156">
        <row r="1">
          <cell r="J1">
            <v>1.7453292519943295E-2</v>
          </cell>
        </row>
      </sheetData>
      <sheetData sheetId="11157">
        <row r="1">
          <cell r="J1">
            <v>1.7453292519943295E-2</v>
          </cell>
        </row>
      </sheetData>
      <sheetData sheetId="11158">
        <row r="1">
          <cell r="J1">
            <v>1.7453292519943295E-2</v>
          </cell>
        </row>
      </sheetData>
      <sheetData sheetId="11159">
        <row r="1">
          <cell r="J1">
            <v>1.7453292519943295E-2</v>
          </cell>
        </row>
      </sheetData>
      <sheetData sheetId="11160">
        <row r="1">
          <cell r="J1">
            <v>1.7453292519943295E-2</v>
          </cell>
        </row>
      </sheetData>
      <sheetData sheetId="11161">
        <row r="1">
          <cell r="J1">
            <v>1.7453292519943295E-2</v>
          </cell>
        </row>
      </sheetData>
      <sheetData sheetId="11162">
        <row r="1">
          <cell r="J1">
            <v>1.7453292519943295E-2</v>
          </cell>
        </row>
      </sheetData>
      <sheetData sheetId="11163">
        <row r="1">
          <cell r="J1">
            <v>1.7453292519943295E-2</v>
          </cell>
        </row>
      </sheetData>
      <sheetData sheetId="11164">
        <row r="1">
          <cell r="J1">
            <v>1.7453292519943295E-2</v>
          </cell>
        </row>
      </sheetData>
      <sheetData sheetId="11165">
        <row r="1">
          <cell r="J1">
            <v>1.7453292519943295E-2</v>
          </cell>
        </row>
      </sheetData>
      <sheetData sheetId="11166">
        <row r="1">
          <cell r="J1">
            <v>1.7453292519943295E-2</v>
          </cell>
        </row>
      </sheetData>
      <sheetData sheetId="11167">
        <row r="1">
          <cell r="J1">
            <v>1.7453292519943295E-2</v>
          </cell>
        </row>
      </sheetData>
      <sheetData sheetId="11168">
        <row r="1">
          <cell r="J1">
            <v>1.7453292519943295E-2</v>
          </cell>
        </row>
      </sheetData>
      <sheetData sheetId="11169">
        <row r="1">
          <cell r="J1">
            <v>1.7453292519943295E-2</v>
          </cell>
        </row>
      </sheetData>
      <sheetData sheetId="11170">
        <row r="1">
          <cell r="J1">
            <v>1.7453292519943295E-2</v>
          </cell>
        </row>
      </sheetData>
      <sheetData sheetId="11171">
        <row r="1">
          <cell r="J1">
            <v>1.7453292519943295E-2</v>
          </cell>
        </row>
      </sheetData>
      <sheetData sheetId="11172">
        <row r="1">
          <cell r="J1">
            <v>1.7453292519943295E-2</v>
          </cell>
        </row>
      </sheetData>
      <sheetData sheetId="11173">
        <row r="1">
          <cell r="J1">
            <v>1.7453292519943295E-2</v>
          </cell>
        </row>
      </sheetData>
      <sheetData sheetId="11174">
        <row r="1">
          <cell r="J1">
            <v>1.7453292519943295E-2</v>
          </cell>
        </row>
      </sheetData>
      <sheetData sheetId="11175">
        <row r="1">
          <cell r="J1">
            <v>1.7453292519943295E-2</v>
          </cell>
        </row>
      </sheetData>
      <sheetData sheetId="11176">
        <row r="1">
          <cell r="J1">
            <v>1.7453292519943295E-2</v>
          </cell>
        </row>
      </sheetData>
      <sheetData sheetId="11177">
        <row r="1">
          <cell r="J1">
            <v>1.7453292519943295E-2</v>
          </cell>
        </row>
      </sheetData>
      <sheetData sheetId="11178">
        <row r="1">
          <cell r="J1">
            <v>1.7453292519943295E-2</v>
          </cell>
        </row>
      </sheetData>
      <sheetData sheetId="11179">
        <row r="1">
          <cell r="J1">
            <v>1.7453292519943295E-2</v>
          </cell>
        </row>
      </sheetData>
      <sheetData sheetId="11180">
        <row r="1">
          <cell r="J1">
            <v>1.7453292519943295E-2</v>
          </cell>
        </row>
      </sheetData>
      <sheetData sheetId="11181">
        <row r="1">
          <cell r="J1">
            <v>1.7453292519943295E-2</v>
          </cell>
        </row>
      </sheetData>
      <sheetData sheetId="11182">
        <row r="1">
          <cell r="J1">
            <v>1.7453292519943295E-2</v>
          </cell>
        </row>
      </sheetData>
      <sheetData sheetId="11183">
        <row r="1">
          <cell r="J1">
            <v>1.7453292519943295E-2</v>
          </cell>
        </row>
      </sheetData>
      <sheetData sheetId="11184">
        <row r="1">
          <cell r="J1">
            <v>1.7453292519943295E-2</v>
          </cell>
        </row>
      </sheetData>
      <sheetData sheetId="11185">
        <row r="1">
          <cell r="J1">
            <v>1.7453292519943295E-2</v>
          </cell>
        </row>
      </sheetData>
      <sheetData sheetId="11186">
        <row r="1">
          <cell r="J1">
            <v>1.7453292519943295E-2</v>
          </cell>
        </row>
      </sheetData>
      <sheetData sheetId="11187">
        <row r="1">
          <cell r="J1">
            <v>1.7453292519943295E-2</v>
          </cell>
        </row>
      </sheetData>
      <sheetData sheetId="11188">
        <row r="1">
          <cell r="J1">
            <v>1.7453292519943295E-2</v>
          </cell>
        </row>
      </sheetData>
      <sheetData sheetId="11189">
        <row r="1">
          <cell r="J1">
            <v>1.7453292519943295E-2</v>
          </cell>
        </row>
      </sheetData>
      <sheetData sheetId="11190">
        <row r="1">
          <cell r="J1">
            <v>1.7453292519943295E-2</v>
          </cell>
        </row>
      </sheetData>
      <sheetData sheetId="11191">
        <row r="1">
          <cell r="J1">
            <v>1.7453292519943295E-2</v>
          </cell>
        </row>
      </sheetData>
      <sheetData sheetId="11192">
        <row r="1">
          <cell r="J1">
            <v>1.7453292519943295E-2</v>
          </cell>
        </row>
      </sheetData>
      <sheetData sheetId="11193">
        <row r="1">
          <cell r="J1">
            <v>1.7453292519943295E-2</v>
          </cell>
        </row>
      </sheetData>
      <sheetData sheetId="11194">
        <row r="1">
          <cell r="J1">
            <v>1.7453292519943295E-2</v>
          </cell>
        </row>
      </sheetData>
      <sheetData sheetId="11195">
        <row r="1">
          <cell r="J1">
            <v>1.7453292519943295E-2</v>
          </cell>
        </row>
      </sheetData>
      <sheetData sheetId="11196">
        <row r="1">
          <cell r="J1">
            <v>1.7453292519943295E-2</v>
          </cell>
        </row>
      </sheetData>
      <sheetData sheetId="11197">
        <row r="1">
          <cell r="J1">
            <v>1.7453292519943295E-2</v>
          </cell>
        </row>
      </sheetData>
      <sheetData sheetId="11198">
        <row r="1">
          <cell r="J1">
            <v>1.7453292519943295E-2</v>
          </cell>
        </row>
      </sheetData>
      <sheetData sheetId="11199">
        <row r="1">
          <cell r="J1">
            <v>1.7453292519943295E-2</v>
          </cell>
        </row>
      </sheetData>
      <sheetData sheetId="11200">
        <row r="1">
          <cell r="J1">
            <v>1.7453292519943295E-2</v>
          </cell>
        </row>
      </sheetData>
      <sheetData sheetId="11201">
        <row r="1">
          <cell r="J1">
            <v>1.7453292519943295E-2</v>
          </cell>
        </row>
      </sheetData>
      <sheetData sheetId="11202">
        <row r="1">
          <cell r="J1">
            <v>1.7453292519943295E-2</v>
          </cell>
        </row>
      </sheetData>
      <sheetData sheetId="11203">
        <row r="1">
          <cell r="J1">
            <v>1.7453292519943295E-2</v>
          </cell>
        </row>
      </sheetData>
      <sheetData sheetId="11204">
        <row r="1">
          <cell r="J1">
            <v>1.7453292519943295E-2</v>
          </cell>
        </row>
      </sheetData>
      <sheetData sheetId="11205">
        <row r="1">
          <cell r="J1">
            <v>1.7453292519943295E-2</v>
          </cell>
        </row>
      </sheetData>
      <sheetData sheetId="11206">
        <row r="1">
          <cell r="J1">
            <v>1.7453292519943295E-2</v>
          </cell>
        </row>
      </sheetData>
      <sheetData sheetId="11207">
        <row r="1">
          <cell r="J1">
            <v>1.7453292519943295E-2</v>
          </cell>
        </row>
      </sheetData>
      <sheetData sheetId="11208">
        <row r="1">
          <cell r="J1">
            <v>1.7453292519943295E-2</v>
          </cell>
        </row>
      </sheetData>
      <sheetData sheetId="11209">
        <row r="1">
          <cell r="J1">
            <v>1.7453292519943295E-2</v>
          </cell>
        </row>
      </sheetData>
      <sheetData sheetId="11210">
        <row r="1">
          <cell r="J1">
            <v>1.7453292519943295E-2</v>
          </cell>
        </row>
      </sheetData>
      <sheetData sheetId="11211">
        <row r="1">
          <cell r="J1">
            <v>1.7453292519943295E-2</v>
          </cell>
        </row>
      </sheetData>
      <sheetData sheetId="11212">
        <row r="1">
          <cell r="J1">
            <v>1.7453292519943295E-2</v>
          </cell>
        </row>
      </sheetData>
      <sheetData sheetId="11213">
        <row r="1">
          <cell r="J1">
            <v>1.7453292519943295E-2</v>
          </cell>
        </row>
      </sheetData>
      <sheetData sheetId="11214">
        <row r="1">
          <cell r="J1">
            <v>1.7453292519943295E-2</v>
          </cell>
        </row>
      </sheetData>
      <sheetData sheetId="11215">
        <row r="1">
          <cell r="J1">
            <v>1.7453292519943295E-2</v>
          </cell>
        </row>
      </sheetData>
      <sheetData sheetId="11216">
        <row r="1">
          <cell r="J1">
            <v>1.7453292519943295E-2</v>
          </cell>
        </row>
      </sheetData>
      <sheetData sheetId="11217">
        <row r="1">
          <cell r="J1">
            <v>1.7453292519943295E-2</v>
          </cell>
        </row>
      </sheetData>
      <sheetData sheetId="11218">
        <row r="1">
          <cell r="J1">
            <v>1.7453292519943295E-2</v>
          </cell>
        </row>
      </sheetData>
      <sheetData sheetId="11219">
        <row r="1">
          <cell r="J1">
            <v>1.7453292519943295E-2</v>
          </cell>
        </row>
      </sheetData>
      <sheetData sheetId="11220">
        <row r="1">
          <cell r="J1">
            <v>1.7453292519943295E-2</v>
          </cell>
        </row>
      </sheetData>
      <sheetData sheetId="11221">
        <row r="1">
          <cell r="J1">
            <v>1.7453292519943295E-2</v>
          </cell>
        </row>
      </sheetData>
      <sheetData sheetId="11222">
        <row r="1">
          <cell r="J1">
            <v>1.7453292519943295E-2</v>
          </cell>
        </row>
      </sheetData>
      <sheetData sheetId="11223">
        <row r="1">
          <cell r="J1">
            <v>1.7453292519943295E-2</v>
          </cell>
        </row>
      </sheetData>
      <sheetData sheetId="11224">
        <row r="1">
          <cell r="J1">
            <v>1.7453292519943295E-2</v>
          </cell>
        </row>
      </sheetData>
      <sheetData sheetId="11225">
        <row r="1">
          <cell r="J1">
            <v>1.7453292519943295E-2</v>
          </cell>
        </row>
      </sheetData>
      <sheetData sheetId="11226">
        <row r="1">
          <cell r="J1">
            <v>1.7453292519943295E-2</v>
          </cell>
        </row>
      </sheetData>
      <sheetData sheetId="11227">
        <row r="1">
          <cell r="J1">
            <v>1.7453292519943295E-2</v>
          </cell>
        </row>
      </sheetData>
      <sheetData sheetId="11228">
        <row r="1">
          <cell r="J1">
            <v>1.7453292519943295E-2</v>
          </cell>
        </row>
      </sheetData>
      <sheetData sheetId="11229">
        <row r="1">
          <cell r="J1">
            <v>1.7453292519943295E-2</v>
          </cell>
        </row>
      </sheetData>
      <sheetData sheetId="11230">
        <row r="1">
          <cell r="J1">
            <v>1.7453292519943295E-2</v>
          </cell>
        </row>
      </sheetData>
      <sheetData sheetId="11231">
        <row r="1">
          <cell r="J1">
            <v>1.7453292519943295E-2</v>
          </cell>
        </row>
      </sheetData>
      <sheetData sheetId="11232">
        <row r="1">
          <cell r="J1">
            <v>1.7453292519943295E-2</v>
          </cell>
        </row>
      </sheetData>
      <sheetData sheetId="11233">
        <row r="1">
          <cell r="J1">
            <v>1.7453292519943295E-2</v>
          </cell>
        </row>
      </sheetData>
      <sheetData sheetId="11234">
        <row r="1">
          <cell r="J1">
            <v>1.7453292519943295E-2</v>
          </cell>
        </row>
      </sheetData>
      <sheetData sheetId="11235">
        <row r="1">
          <cell r="J1">
            <v>1.7453292519943295E-2</v>
          </cell>
        </row>
      </sheetData>
      <sheetData sheetId="11236">
        <row r="1">
          <cell r="J1">
            <v>1.7453292519943295E-2</v>
          </cell>
        </row>
      </sheetData>
      <sheetData sheetId="11237">
        <row r="1">
          <cell r="J1">
            <v>1.7453292519943295E-2</v>
          </cell>
        </row>
      </sheetData>
      <sheetData sheetId="11238">
        <row r="1">
          <cell r="J1">
            <v>1.7453292519943295E-2</v>
          </cell>
        </row>
      </sheetData>
      <sheetData sheetId="11239">
        <row r="1">
          <cell r="J1">
            <v>1.7453292519943295E-2</v>
          </cell>
        </row>
      </sheetData>
      <sheetData sheetId="11240">
        <row r="1">
          <cell r="J1">
            <v>1.7453292519943295E-2</v>
          </cell>
        </row>
      </sheetData>
      <sheetData sheetId="11241">
        <row r="1">
          <cell r="J1">
            <v>1.7453292519943295E-2</v>
          </cell>
        </row>
      </sheetData>
      <sheetData sheetId="11242">
        <row r="1">
          <cell r="J1">
            <v>1.7453292519943295E-2</v>
          </cell>
        </row>
      </sheetData>
      <sheetData sheetId="11243">
        <row r="1">
          <cell r="J1">
            <v>1.7453292519943295E-2</v>
          </cell>
        </row>
      </sheetData>
      <sheetData sheetId="11244">
        <row r="1">
          <cell r="J1">
            <v>1.7453292519943295E-2</v>
          </cell>
        </row>
      </sheetData>
      <sheetData sheetId="11245">
        <row r="1">
          <cell r="J1">
            <v>1.7453292519943295E-2</v>
          </cell>
        </row>
      </sheetData>
      <sheetData sheetId="11246">
        <row r="1">
          <cell r="J1">
            <v>1.7453292519943295E-2</v>
          </cell>
        </row>
      </sheetData>
      <sheetData sheetId="11247">
        <row r="1">
          <cell r="J1">
            <v>1.7453292519943295E-2</v>
          </cell>
        </row>
      </sheetData>
      <sheetData sheetId="11248">
        <row r="1">
          <cell r="J1">
            <v>1.7453292519943295E-2</v>
          </cell>
        </row>
      </sheetData>
      <sheetData sheetId="11249">
        <row r="1">
          <cell r="J1">
            <v>1.7453292519943295E-2</v>
          </cell>
        </row>
      </sheetData>
      <sheetData sheetId="11250">
        <row r="1">
          <cell r="J1">
            <v>1.7453292519943295E-2</v>
          </cell>
        </row>
      </sheetData>
      <sheetData sheetId="11251">
        <row r="1">
          <cell r="J1">
            <v>1.7453292519943295E-2</v>
          </cell>
        </row>
      </sheetData>
      <sheetData sheetId="11252">
        <row r="1">
          <cell r="J1">
            <v>1.7453292519943295E-2</v>
          </cell>
        </row>
      </sheetData>
      <sheetData sheetId="11253">
        <row r="1">
          <cell r="J1">
            <v>1.7453292519943295E-2</v>
          </cell>
        </row>
      </sheetData>
      <sheetData sheetId="11254">
        <row r="1">
          <cell r="J1">
            <v>1.7453292519943295E-2</v>
          </cell>
        </row>
      </sheetData>
      <sheetData sheetId="11255">
        <row r="1">
          <cell r="J1">
            <v>1.7453292519943295E-2</v>
          </cell>
        </row>
      </sheetData>
      <sheetData sheetId="11256">
        <row r="1">
          <cell r="J1">
            <v>1.7453292519943295E-2</v>
          </cell>
        </row>
      </sheetData>
      <sheetData sheetId="11257">
        <row r="1">
          <cell r="J1">
            <v>1.7453292519943295E-2</v>
          </cell>
        </row>
      </sheetData>
      <sheetData sheetId="11258">
        <row r="1">
          <cell r="J1">
            <v>1.7453292519943295E-2</v>
          </cell>
        </row>
      </sheetData>
      <sheetData sheetId="11259">
        <row r="1">
          <cell r="J1">
            <v>1.7453292519943295E-2</v>
          </cell>
        </row>
      </sheetData>
      <sheetData sheetId="11260">
        <row r="1">
          <cell r="J1">
            <v>1.7453292519943295E-2</v>
          </cell>
        </row>
      </sheetData>
      <sheetData sheetId="11261">
        <row r="1">
          <cell r="J1">
            <v>1.7453292519943295E-2</v>
          </cell>
        </row>
      </sheetData>
      <sheetData sheetId="11262">
        <row r="1">
          <cell r="J1">
            <v>1.7453292519943295E-2</v>
          </cell>
        </row>
      </sheetData>
      <sheetData sheetId="11263">
        <row r="1">
          <cell r="J1">
            <v>1.7453292519943295E-2</v>
          </cell>
        </row>
      </sheetData>
      <sheetData sheetId="11264">
        <row r="1">
          <cell r="J1">
            <v>1.7453292519943295E-2</v>
          </cell>
        </row>
      </sheetData>
      <sheetData sheetId="11265">
        <row r="1">
          <cell r="J1">
            <v>1.7453292519943295E-2</v>
          </cell>
        </row>
      </sheetData>
      <sheetData sheetId="11266">
        <row r="1">
          <cell r="J1">
            <v>1.7453292519943295E-2</v>
          </cell>
        </row>
      </sheetData>
      <sheetData sheetId="11267">
        <row r="1">
          <cell r="J1">
            <v>1.7453292519943295E-2</v>
          </cell>
        </row>
      </sheetData>
      <sheetData sheetId="11268">
        <row r="1">
          <cell r="J1">
            <v>1.7453292519943295E-2</v>
          </cell>
        </row>
      </sheetData>
      <sheetData sheetId="11269">
        <row r="1">
          <cell r="J1">
            <v>1.7453292519943295E-2</v>
          </cell>
        </row>
      </sheetData>
      <sheetData sheetId="11270">
        <row r="1">
          <cell r="J1">
            <v>1.7453292519943295E-2</v>
          </cell>
        </row>
      </sheetData>
      <sheetData sheetId="11271">
        <row r="1">
          <cell r="J1">
            <v>1.7453292519943295E-2</v>
          </cell>
        </row>
      </sheetData>
      <sheetData sheetId="11272">
        <row r="1">
          <cell r="J1">
            <v>1.7453292519943295E-2</v>
          </cell>
        </row>
      </sheetData>
      <sheetData sheetId="11273">
        <row r="1">
          <cell r="J1">
            <v>1.7453292519943295E-2</v>
          </cell>
        </row>
      </sheetData>
      <sheetData sheetId="11274">
        <row r="1">
          <cell r="J1">
            <v>1.7453292519943295E-2</v>
          </cell>
        </row>
      </sheetData>
      <sheetData sheetId="11275">
        <row r="1">
          <cell r="J1">
            <v>1.7453292519943295E-2</v>
          </cell>
        </row>
      </sheetData>
      <sheetData sheetId="11276">
        <row r="1">
          <cell r="J1">
            <v>1.7453292519943295E-2</v>
          </cell>
        </row>
      </sheetData>
      <sheetData sheetId="11277">
        <row r="1">
          <cell r="J1">
            <v>1.7453292519943295E-2</v>
          </cell>
        </row>
      </sheetData>
      <sheetData sheetId="11278">
        <row r="1">
          <cell r="J1">
            <v>1.7453292519943295E-2</v>
          </cell>
        </row>
      </sheetData>
      <sheetData sheetId="11279">
        <row r="1">
          <cell r="J1">
            <v>1.7453292519943295E-2</v>
          </cell>
        </row>
      </sheetData>
      <sheetData sheetId="11280">
        <row r="1">
          <cell r="J1">
            <v>1.7453292519943295E-2</v>
          </cell>
        </row>
      </sheetData>
      <sheetData sheetId="11281">
        <row r="1">
          <cell r="J1">
            <v>1.7453292519943295E-2</v>
          </cell>
        </row>
      </sheetData>
      <sheetData sheetId="11282">
        <row r="1">
          <cell r="J1">
            <v>1.7453292519943295E-2</v>
          </cell>
        </row>
      </sheetData>
      <sheetData sheetId="11283">
        <row r="1">
          <cell r="J1">
            <v>1.7453292519943295E-2</v>
          </cell>
        </row>
      </sheetData>
      <sheetData sheetId="11284">
        <row r="1">
          <cell r="J1">
            <v>1.7453292519943295E-2</v>
          </cell>
        </row>
      </sheetData>
      <sheetData sheetId="11285">
        <row r="1">
          <cell r="J1">
            <v>1.7453292519943295E-2</v>
          </cell>
        </row>
      </sheetData>
      <sheetData sheetId="11286">
        <row r="1">
          <cell r="J1">
            <v>1.7453292519943295E-2</v>
          </cell>
        </row>
      </sheetData>
      <sheetData sheetId="11287">
        <row r="1">
          <cell r="J1">
            <v>1.7453292519943295E-2</v>
          </cell>
        </row>
      </sheetData>
      <sheetData sheetId="11288">
        <row r="1">
          <cell r="J1">
            <v>1.7453292519943295E-2</v>
          </cell>
        </row>
      </sheetData>
      <sheetData sheetId="11289">
        <row r="1">
          <cell r="J1">
            <v>1.7453292519943295E-2</v>
          </cell>
        </row>
      </sheetData>
      <sheetData sheetId="11290">
        <row r="1">
          <cell r="J1">
            <v>1.7453292519943295E-2</v>
          </cell>
        </row>
      </sheetData>
      <sheetData sheetId="11291">
        <row r="1">
          <cell r="J1">
            <v>1.7453292519943295E-2</v>
          </cell>
        </row>
      </sheetData>
      <sheetData sheetId="11292">
        <row r="1">
          <cell r="J1">
            <v>1.7453292519943295E-2</v>
          </cell>
        </row>
      </sheetData>
      <sheetData sheetId="11293">
        <row r="1">
          <cell r="J1">
            <v>1.7453292519943295E-2</v>
          </cell>
        </row>
      </sheetData>
      <sheetData sheetId="11294">
        <row r="1">
          <cell r="J1">
            <v>1.7453292519943295E-2</v>
          </cell>
        </row>
      </sheetData>
      <sheetData sheetId="11295">
        <row r="1">
          <cell r="J1">
            <v>1.7453292519943295E-2</v>
          </cell>
        </row>
      </sheetData>
      <sheetData sheetId="11296">
        <row r="1">
          <cell r="J1">
            <v>1.7453292519943295E-2</v>
          </cell>
        </row>
      </sheetData>
      <sheetData sheetId="11297">
        <row r="1">
          <cell r="J1">
            <v>1.7453292519943295E-2</v>
          </cell>
        </row>
      </sheetData>
      <sheetData sheetId="11298">
        <row r="1">
          <cell r="J1">
            <v>1.7453292519943295E-2</v>
          </cell>
        </row>
      </sheetData>
      <sheetData sheetId="11299">
        <row r="1">
          <cell r="J1">
            <v>1.7453292519943295E-2</v>
          </cell>
        </row>
      </sheetData>
      <sheetData sheetId="11300">
        <row r="1">
          <cell r="J1">
            <v>1.7453292519943295E-2</v>
          </cell>
        </row>
      </sheetData>
      <sheetData sheetId="11301">
        <row r="1">
          <cell r="J1">
            <v>1.7453292519943295E-2</v>
          </cell>
        </row>
      </sheetData>
      <sheetData sheetId="11302">
        <row r="1">
          <cell r="J1">
            <v>1.7453292519943295E-2</v>
          </cell>
        </row>
      </sheetData>
      <sheetData sheetId="11303">
        <row r="1">
          <cell r="J1">
            <v>1.7453292519943295E-2</v>
          </cell>
        </row>
      </sheetData>
      <sheetData sheetId="11304">
        <row r="1">
          <cell r="J1">
            <v>1.7453292519943295E-2</v>
          </cell>
        </row>
      </sheetData>
      <sheetData sheetId="11305">
        <row r="1">
          <cell r="J1">
            <v>1.7453292519943295E-2</v>
          </cell>
        </row>
      </sheetData>
      <sheetData sheetId="11306">
        <row r="1">
          <cell r="J1">
            <v>1.7453292519943295E-2</v>
          </cell>
        </row>
      </sheetData>
      <sheetData sheetId="11307">
        <row r="1">
          <cell r="J1">
            <v>1.7453292519943295E-2</v>
          </cell>
        </row>
      </sheetData>
      <sheetData sheetId="11308">
        <row r="1">
          <cell r="J1">
            <v>1.7453292519943295E-2</v>
          </cell>
        </row>
      </sheetData>
      <sheetData sheetId="11309">
        <row r="1">
          <cell r="J1">
            <v>1.7453292519943295E-2</v>
          </cell>
        </row>
      </sheetData>
      <sheetData sheetId="11310">
        <row r="1">
          <cell r="J1">
            <v>1.7453292519943295E-2</v>
          </cell>
        </row>
      </sheetData>
      <sheetData sheetId="11311">
        <row r="1">
          <cell r="J1">
            <v>1.7453292519943295E-2</v>
          </cell>
        </row>
      </sheetData>
      <sheetData sheetId="11312">
        <row r="1">
          <cell r="J1">
            <v>1.7453292519943295E-2</v>
          </cell>
        </row>
      </sheetData>
      <sheetData sheetId="11313">
        <row r="1">
          <cell r="J1">
            <v>1.7453292519943295E-2</v>
          </cell>
        </row>
      </sheetData>
      <sheetData sheetId="11314">
        <row r="1">
          <cell r="J1">
            <v>1.7453292519943295E-2</v>
          </cell>
        </row>
      </sheetData>
      <sheetData sheetId="11315">
        <row r="1">
          <cell r="J1">
            <v>1.7453292519943295E-2</v>
          </cell>
        </row>
      </sheetData>
      <sheetData sheetId="11316">
        <row r="1">
          <cell r="J1">
            <v>1.7453292519943295E-2</v>
          </cell>
        </row>
      </sheetData>
      <sheetData sheetId="11317">
        <row r="1">
          <cell r="J1">
            <v>1.7453292519943295E-2</v>
          </cell>
        </row>
      </sheetData>
      <sheetData sheetId="11318">
        <row r="1">
          <cell r="J1">
            <v>1.7453292519943295E-2</v>
          </cell>
        </row>
      </sheetData>
      <sheetData sheetId="11319">
        <row r="1">
          <cell r="J1">
            <v>1.7453292519943295E-2</v>
          </cell>
        </row>
      </sheetData>
      <sheetData sheetId="11320">
        <row r="1">
          <cell r="J1">
            <v>1.7453292519943295E-2</v>
          </cell>
        </row>
      </sheetData>
      <sheetData sheetId="11321">
        <row r="1">
          <cell r="J1">
            <v>1.7453292519943295E-2</v>
          </cell>
        </row>
      </sheetData>
      <sheetData sheetId="11322">
        <row r="1">
          <cell r="J1">
            <v>1.7453292519943295E-2</v>
          </cell>
        </row>
      </sheetData>
      <sheetData sheetId="11323">
        <row r="1">
          <cell r="J1">
            <v>1.7453292519943295E-2</v>
          </cell>
        </row>
      </sheetData>
      <sheetData sheetId="11324">
        <row r="1">
          <cell r="J1">
            <v>1.7453292519943295E-2</v>
          </cell>
        </row>
      </sheetData>
      <sheetData sheetId="11325">
        <row r="1">
          <cell r="J1">
            <v>1.7453292519943295E-2</v>
          </cell>
        </row>
      </sheetData>
      <sheetData sheetId="11326">
        <row r="1">
          <cell r="J1">
            <v>1.7453292519943295E-2</v>
          </cell>
        </row>
      </sheetData>
      <sheetData sheetId="11327">
        <row r="1">
          <cell r="J1">
            <v>1.7453292519943295E-2</v>
          </cell>
        </row>
      </sheetData>
      <sheetData sheetId="11328">
        <row r="1">
          <cell r="J1">
            <v>1.7453292519943295E-2</v>
          </cell>
        </row>
      </sheetData>
      <sheetData sheetId="11329">
        <row r="1">
          <cell r="J1">
            <v>1.7453292519943295E-2</v>
          </cell>
        </row>
      </sheetData>
      <sheetData sheetId="11330">
        <row r="1">
          <cell r="J1">
            <v>1.7453292519943295E-2</v>
          </cell>
        </row>
      </sheetData>
      <sheetData sheetId="11331">
        <row r="1">
          <cell r="J1">
            <v>1.7453292519943295E-2</v>
          </cell>
        </row>
      </sheetData>
      <sheetData sheetId="11332">
        <row r="1">
          <cell r="J1">
            <v>1.7453292519943295E-2</v>
          </cell>
        </row>
      </sheetData>
      <sheetData sheetId="11333">
        <row r="1">
          <cell r="J1">
            <v>1.7453292519943295E-2</v>
          </cell>
        </row>
      </sheetData>
      <sheetData sheetId="11334">
        <row r="1">
          <cell r="J1">
            <v>1.7453292519943295E-2</v>
          </cell>
        </row>
      </sheetData>
      <sheetData sheetId="11335">
        <row r="1">
          <cell r="J1">
            <v>1.7453292519943295E-2</v>
          </cell>
        </row>
      </sheetData>
      <sheetData sheetId="11336">
        <row r="1">
          <cell r="J1">
            <v>1.7453292519943295E-2</v>
          </cell>
        </row>
      </sheetData>
      <sheetData sheetId="11337">
        <row r="1">
          <cell r="J1">
            <v>1.7453292519943295E-2</v>
          </cell>
        </row>
      </sheetData>
      <sheetData sheetId="11338">
        <row r="1">
          <cell r="J1">
            <v>1.7453292519943295E-2</v>
          </cell>
        </row>
      </sheetData>
      <sheetData sheetId="11339">
        <row r="1">
          <cell r="J1">
            <v>1.7453292519943295E-2</v>
          </cell>
        </row>
      </sheetData>
      <sheetData sheetId="11340">
        <row r="1">
          <cell r="J1">
            <v>1.7453292519943295E-2</v>
          </cell>
        </row>
      </sheetData>
      <sheetData sheetId="11341">
        <row r="1">
          <cell r="J1">
            <v>1.7453292519943295E-2</v>
          </cell>
        </row>
      </sheetData>
      <sheetData sheetId="11342">
        <row r="1">
          <cell r="J1">
            <v>1.7453292519943295E-2</v>
          </cell>
        </row>
      </sheetData>
      <sheetData sheetId="11343">
        <row r="1">
          <cell r="J1">
            <v>1.7453292519943295E-2</v>
          </cell>
        </row>
      </sheetData>
      <sheetData sheetId="11344">
        <row r="1">
          <cell r="J1">
            <v>1.7453292519943295E-2</v>
          </cell>
        </row>
      </sheetData>
      <sheetData sheetId="11345">
        <row r="1">
          <cell r="J1">
            <v>1.7453292519943295E-2</v>
          </cell>
        </row>
      </sheetData>
      <sheetData sheetId="11346">
        <row r="1">
          <cell r="J1">
            <v>1.7453292519943295E-2</v>
          </cell>
        </row>
      </sheetData>
      <sheetData sheetId="11347">
        <row r="1">
          <cell r="J1">
            <v>1.7453292519943295E-2</v>
          </cell>
        </row>
      </sheetData>
      <sheetData sheetId="11348">
        <row r="1">
          <cell r="J1">
            <v>1.7453292519943295E-2</v>
          </cell>
        </row>
      </sheetData>
      <sheetData sheetId="11349">
        <row r="1">
          <cell r="J1">
            <v>1.7453292519943295E-2</v>
          </cell>
        </row>
      </sheetData>
      <sheetData sheetId="11350">
        <row r="1">
          <cell r="J1">
            <v>1.7453292519943295E-2</v>
          </cell>
        </row>
      </sheetData>
      <sheetData sheetId="11351">
        <row r="1">
          <cell r="J1">
            <v>1.7453292519943295E-2</v>
          </cell>
        </row>
      </sheetData>
      <sheetData sheetId="11352">
        <row r="1">
          <cell r="J1">
            <v>1.7453292519943295E-2</v>
          </cell>
        </row>
      </sheetData>
      <sheetData sheetId="11353">
        <row r="1">
          <cell r="J1">
            <v>1.7453292519943295E-2</v>
          </cell>
        </row>
      </sheetData>
      <sheetData sheetId="11354">
        <row r="1">
          <cell r="J1">
            <v>1.7453292519943295E-2</v>
          </cell>
        </row>
      </sheetData>
      <sheetData sheetId="11355">
        <row r="1">
          <cell r="J1">
            <v>1.7453292519943295E-2</v>
          </cell>
        </row>
      </sheetData>
      <sheetData sheetId="11356">
        <row r="1">
          <cell r="J1">
            <v>1.7453292519943295E-2</v>
          </cell>
        </row>
      </sheetData>
      <sheetData sheetId="11357">
        <row r="1">
          <cell r="J1">
            <v>1.7453292519943295E-2</v>
          </cell>
        </row>
      </sheetData>
      <sheetData sheetId="11358">
        <row r="1">
          <cell r="J1">
            <v>1.7453292519943295E-2</v>
          </cell>
        </row>
      </sheetData>
      <sheetData sheetId="11359">
        <row r="1">
          <cell r="J1">
            <v>1.7453292519943295E-2</v>
          </cell>
        </row>
      </sheetData>
      <sheetData sheetId="11360">
        <row r="1">
          <cell r="J1">
            <v>1.7453292519943295E-2</v>
          </cell>
        </row>
      </sheetData>
      <sheetData sheetId="11361">
        <row r="1">
          <cell r="J1">
            <v>1.7453292519943295E-2</v>
          </cell>
        </row>
      </sheetData>
      <sheetData sheetId="11362">
        <row r="1">
          <cell r="J1">
            <v>1.7453292519943295E-2</v>
          </cell>
        </row>
      </sheetData>
      <sheetData sheetId="11363">
        <row r="1">
          <cell r="J1">
            <v>1.7453292519943295E-2</v>
          </cell>
        </row>
      </sheetData>
      <sheetData sheetId="11364">
        <row r="1">
          <cell r="J1">
            <v>1.7453292519943295E-2</v>
          </cell>
        </row>
      </sheetData>
      <sheetData sheetId="11365">
        <row r="1">
          <cell r="J1">
            <v>1.7453292519943295E-2</v>
          </cell>
        </row>
      </sheetData>
      <sheetData sheetId="11366">
        <row r="1">
          <cell r="J1">
            <v>1.7453292519943295E-2</v>
          </cell>
        </row>
      </sheetData>
      <sheetData sheetId="11367">
        <row r="1">
          <cell r="J1">
            <v>1.7453292519943295E-2</v>
          </cell>
        </row>
      </sheetData>
      <sheetData sheetId="11368">
        <row r="1">
          <cell r="J1">
            <v>1.7453292519943295E-2</v>
          </cell>
        </row>
      </sheetData>
      <sheetData sheetId="11369">
        <row r="1">
          <cell r="J1">
            <v>1.7453292519943295E-2</v>
          </cell>
        </row>
      </sheetData>
      <sheetData sheetId="11370">
        <row r="1">
          <cell r="J1">
            <v>1.7453292519943295E-2</v>
          </cell>
        </row>
      </sheetData>
      <sheetData sheetId="11371">
        <row r="1">
          <cell r="J1">
            <v>1.7453292519943295E-2</v>
          </cell>
        </row>
      </sheetData>
      <sheetData sheetId="11372">
        <row r="1">
          <cell r="J1">
            <v>1.7453292519943295E-2</v>
          </cell>
        </row>
      </sheetData>
      <sheetData sheetId="11373">
        <row r="1">
          <cell r="J1">
            <v>1.7453292519943295E-2</v>
          </cell>
        </row>
      </sheetData>
      <sheetData sheetId="11374">
        <row r="1">
          <cell r="J1">
            <v>1.7453292519943295E-2</v>
          </cell>
        </row>
      </sheetData>
      <sheetData sheetId="11375">
        <row r="1">
          <cell r="J1">
            <v>1.7453292519943295E-2</v>
          </cell>
        </row>
      </sheetData>
      <sheetData sheetId="11376">
        <row r="1">
          <cell r="J1">
            <v>1.7453292519943295E-2</v>
          </cell>
        </row>
      </sheetData>
      <sheetData sheetId="11377">
        <row r="1">
          <cell r="J1">
            <v>1.7453292519943295E-2</v>
          </cell>
        </row>
      </sheetData>
      <sheetData sheetId="11378">
        <row r="1">
          <cell r="J1">
            <v>1.7453292519943295E-2</v>
          </cell>
        </row>
      </sheetData>
      <sheetData sheetId="11379">
        <row r="1">
          <cell r="J1">
            <v>1.7453292519943295E-2</v>
          </cell>
        </row>
      </sheetData>
      <sheetData sheetId="11380">
        <row r="1">
          <cell r="J1">
            <v>1.7453292519943295E-2</v>
          </cell>
        </row>
      </sheetData>
      <sheetData sheetId="11381">
        <row r="1">
          <cell r="J1">
            <v>1.7453292519943295E-2</v>
          </cell>
        </row>
      </sheetData>
      <sheetData sheetId="11382">
        <row r="1">
          <cell r="J1">
            <v>1.7453292519943295E-2</v>
          </cell>
        </row>
      </sheetData>
      <sheetData sheetId="11383">
        <row r="1">
          <cell r="J1">
            <v>1.7453292519943295E-2</v>
          </cell>
        </row>
      </sheetData>
      <sheetData sheetId="11384">
        <row r="1">
          <cell r="J1">
            <v>1.7453292519943295E-2</v>
          </cell>
        </row>
      </sheetData>
      <sheetData sheetId="11385">
        <row r="1">
          <cell r="J1">
            <v>1.7453292519943295E-2</v>
          </cell>
        </row>
      </sheetData>
      <sheetData sheetId="11386">
        <row r="1">
          <cell r="J1">
            <v>1.7453292519943295E-2</v>
          </cell>
        </row>
      </sheetData>
      <sheetData sheetId="11387">
        <row r="1">
          <cell r="J1">
            <v>1.7453292519943295E-2</v>
          </cell>
        </row>
      </sheetData>
      <sheetData sheetId="11388">
        <row r="1">
          <cell r="J1">
            <v>1.7453292519943295E-2</v>
          </cell>
        </row>
      </sheetData>
      <sheetData sheetId="11389">
        <row r="1">
          <cell r="J1">
            <v>1.7453292519943295E-2</v>
          </cell>
        </row>
      </sheetData>
      <sheetData sheetId="11390">
        <row r="1">
          <cell r="J1">
            <v>1.7453292519943295E-2</v>
          </cell>
        </row>
      </sheetData>
      <sheetData sheetId="11391">
        <row r="1">
          <cell r="J1">
            <v>1.7453292519943295E-2</v>
          </cell>
        </row>
      </sheetData>
      <sheetData sheetId="11392">
        <row r="1">
          <cell r="J1">
            <v>1.7453292519943295E-2</v>
          </cell>
        </row>
      </sheetData>
      <sheetData sheetId="11393">
        <row r="1">
          <cell r="J1">
            <v>1.7453292519943295E-2</v>
          </cell>
        </row>
      </sheetData>
      <sheetData sheetId="11394">
        <row r="1">
          <cell r="J1">
            <v>1.7453292519943295E-2</v>
          </cell>
        </row>
      </sheetData>
      <sheetData sheetId="11395">
        <row r="1">
          <cell r="J1">
            <v>1.7453292519943295E-2</v>
          </cell>
        </row>
      </sheetData>
      <sheetData sheetId="11396">
        <row r="1">
          <cell r="J1">
            <v>1.7453292519943295E-2</v>
          </cell>
        </row>
      </sheetData>
      <sheetData sheetId="11397">
        <row r="1">
          <cell r="J1">
            <v>1.7453292519943295E-2</v>
          </cell>
        </row>
      </sheetData>
      <sheetData sheetId="11398">
        <row r="1">
          <cell r="J1">
            <v>1.7453292519943295E-2</v>
          </cell>
        </row>
      </sheetData>
      <sheetData sheetId="11399">
        <row r="1">
          <cell r="J1">
            <v>1.7453292519943295E-2</v>
          </cell>
        </row>
      </sheetData>
      <sheetData sheetId="11400">
        <row r="1">
          <cell r="J1">
            <v>1.7453292519943295E-2</v>
          </cell>
        </row>
      </sheetData>
      <sheetData sheetId="11401">
        <row r="1">
          <cell r="J1">
            <v>1.7453292519943295E-2</v>
          </cell>
        </row>
      </sheetData>
      <sheetData sheetId="11402">
        <row r="1">
          <cell r="J1">
            <v>1.7453292519943295E-2</v>
          </cell>
        </row>
      </sheetData>
      <sheetData sheetId="11403">
        <row r="1">
          <cell r="J1">
            <v>1.7453292519943295E-2</v>
          </cell>
        </row>
      </sheetData>
      <sheetData sheetId="11404">
        <row r="1">
          <cell r="J1">
            <v>1.7453292519943295E-2</v>
          </cell>
        </row>
      </sheetData>
      <sheetData sheetId="11405">
        <row r="1">
          <cell r="J1">
            <v>1.7453292519943295E-2</v>
          </cell>
        </row>
      </sheetData>
      <sheetData sheetId="11406">
        <row r="1">
          <cell r="J1">
            <v>1.7453292519943295E-2</v>
          </cell>
        </row>
      </sheetData>
      <sheetData sheetId="11407">
        <row r="1">
          <cell r="J1">
            <v>1.7453292519943295E-2</v>
          </cell>
        </row>
      </sheetData>
      <sheetData sheetId="11408">
        <row r="1">
          <cell r="J1">
            <v>1.7453292519943295E-2</v>
          </cell>
        </row>
      </sheetData>
      <sheetData sheetId="11409">
        <row r="1">
          <cell r="J1">
            <v>1.7453292519943295E-2</v>
          </cell>
        </row>
      </sheetData>
      <sheetData sheetId="11410">
        <row r="1">
          <cell r="J1">
            <v>1.7453292519943295E-2</v>
          </cell>
        </row>
      </sheetData>
      <sheetData sheetId="11411">
        <row r="1">
          <cell r="J1">
            <v>1.7453292519943295E-2</v>
          </cell>
        </row>
      </sheetData>
      <sheetData sheetId="11412">
        <row r="1">
          <cell r="J1">
            <v>1.7453292519943295E-2</v>
          </cell>
        </row>
      </sheetData>
      <sheetData sheetId="11413">
        <row r="1">
          <cell r="J1">
            <v>1.7453292519943295E-2</v>
          </cell>
        </row>
      </sheetData>
      <sheetData sheetId="11414">
        <row r="1">
          <cell r="J1">
            <v>1.7453292519943295E-2</v>
          </cell>
        </row>
      </sheetData>
      <sheetData sheetId="11415">
        <row r="1">
          <cell r="J1">
            <v>1.7453292519943295E-2</v>
          </cell>
        </row>
      </sheetData>
      <sheetData sheetId="11416">
        <row r="1">
          <cell r="J1">
            <v>1.7453292519943295E-2</v>
          </cell>
        </row>
      </sheetData>
      <sheetData sheetId="11417">
        <row r="1">
          <cell r="J1">
            <v>1.7453292519943295E-2</v>
          </cell>
        </row>
      </sheetData>
      <sheetData sheetId="11418">
        <row r="1">
          <cell r="J1">
            <v>1.7453292519943295E-2</v>
          </cell>
        </row>
      </sheetData>
      <sheetData sheetId="11419">
        <row r="1">
          <cell r="J1">
            <v>1.7453292519943295E-2</v>
          </cell>
        </row>
      </sheetData>
      <sheetData sheetId="11420">
        <row r="1">
          <cell r="J1">
            <v>1.7453292519943295E-2</v>
          </cell>
        </row>
      </sheetData>
      <sheetData sheetId="11421">
        <row r="1">
          <cell r="J1">
            <v>1.7453292519943295E-2</v>
          </cell>
        </row>
      </sheetData>
      <sheetData sheetId="11422">
        <row r="1">
          <cell r="J1">
            <v>1.7453292519943295E-2</v>
          </cell>
        </row>
      </sheetData>
      <sheetData sheetId="11423">
        <row r="1">
          <cell r="J1">
            <v>1.7453292519943295E-2</v>
          </cell>
        </row>
      </sheetData>
      <sheetData sheetId="11424">
        <row r="1">
          <cell r="J1">
            <v>1.7453292519943295E-2</v>
          </cell>
        </row>
      </sheetData>
      <sheetData sheetId="11425">
        <row r="1">
          <cell r="J1">
            <v>1.7453292519943295E-2</v>
          </cell>
        </row>
      </sheetData>
      <sheetData sheetId="11426">
        <row r="1">
          <cell r="J1">
            <v>1.7453292519943295E-2</v>
          </cell>
        </row>
      </sheetData>
      <sheetData sheetId="11427">
        <row r="1">
          <cell r="J1">
            <v>1.7453292519943295E-2</v>
          </cell>
        </row>
      </sheetData>
      <sheetData sheetId="11428">
        <row r="1">
          <cell r="J1">
            <v>1.7453292519943295E-2</v>
          </cell>
        </row>
      </sheetData>
      <sheetData sheetId="11429">
        <row r="1">
          <cell r="J1">
            <v>1.7453292519943295E-2</v>
          </cell>
        </row>
      </sheetData>
      <sheetData sheetId="11430">
        <row r="1">
          <cell r="J1">
            <v>1.7453292519943295E-2</v>
          </cell>
        </row>
      </sheetData>
      <sheetData sheetId="11431">
        <row r="1">
          <cell r="J1">
            <v>1.7453292519943295E-2</v>
          </cell>
        </row>
      </sheetData>
      <sheetData sheetId="11432">
        <row r="1">
          <cell r="J1">
            <v>1.7453292519943295E-2</v>
          </cell>
        </row>
      </sheetData>
      <sheetData sheetId="11433">
        <row r="1">
          <cell r="J1">
            <v>1.7453292519943295E-2</v>
          </cell>
        </row>
      </sheetData>
      <sheetData sheetId="11434">
        <row r="1">
          <cell r="J1">
            <v>1.7453292519943295E-2</v>
          </cell>
        </row>
      </sheetData>
      <sheetData sheetId="11435">
        <row r="1">
          <cell r="J1">
            <v>1.7453292519943295E-2</v>
          </cell>
        </row>
      </sheetData>
      <sheetData sheetId="11436">
        <row r="1">
          <cell r="J1">
            <v>1.7453292519943295E-2</v>
          </cell>
        </row>
      </sheetData>
      <sheetData sheetId="11437">
        <row r="1">
          <cell r="J1">
            <v>1.7453292519943295E-2</v>
          </cell>
        </row>
      </sheetData>
      <sheetData sheetId="11438">
        <row r="1">
          <cell r="J1">
            <v>1.7453292519943295E-2</v>
          </cell>
        </row>
      </sheetData>
      <sheetData sheetId="11439">
        <row r="1">
          <cell r="J1">
            <v>1.7453292519943295E-2</v>
          </cell>
        </row>
      </sheetData>
      <sheetData sheetId="11440">
        <row r="1">
          <cell r="J1">
            <v>1.7453292519943295E-2</v>
          </cell>
        </row>
      </sheetData>
      <sheetData sheetId="11441">
        <row r="1">
          <cell r="J1">
            <v>1.7453292519943295E-2</v>
          </cell>
        </row>
      </sheetData>
      <sheetData sheetId="11442">
        <row r="1">
          <cell r="J1">
            <v>1.7453292519943295E-2</v>
          </cell>
        </row>
      </sheetData>
      <sheetData sheetId="11443">
        <row r="1">
          <cell r="J1">
            <v>1.7453292519943295E-2</v>
          </cell>
        </row>
      </sheetData>
      <sheetData sheetId="11444">
        <row r="1">
          <cell r="J1">
            <v>1.7453292519943295E-2</v>
          </cell>
        </row>
      </sheetData>
      <sheetData sheetId="11445">
        <row r="1">
          <cell r="J1">
            <v>1.7453292519943295E-2</v>
          </cell>
        </row>
      </sheetData>
      <sheetData sheetId="11446">
        <row r="1">
          <cell r="J1">
            <v>1.7453292519943295E-2</v>
          </cell>
        </row>
      </sheetData>
      <sheetData sheetId="11447">
        <row r="1">
          <cell r="J1">
            <v>1.7453292519943295E-2</v>
          </cell>
        </row>
      </sheetData>
      <sheetData sheetId="11448">
        <row r="1">
          <cell r="J1">
            <v>1.7453292519943295E-2</v>
          </cell>
        </row>
      </sheetData>
      <sheetData sheetId="11449">
        <row r="1">
          <cell r="J1">
            <v>1.7453292519943295E-2</v>
          </cell>
        </row>
      </sheetData>
      <sheetData sheetId="11450">
        <row r="1">
          <cell r="J1">
            <v>1.7453292519943295E-2</v>
          </cell>
        </row>
      </sheetData>
      <sheetData sheetId="11451">
        <row r="1">
          <cell r="J1">
            <v>1.7453292519943295E-2</v>
          </cell>
        </row>
      </sheetData>
      <sheetData sheetId="11452">
        <row r="1">
          <cell r="J1">
            <v>1.7453292519943295E-2</v>
          </cell>
        </row>
      </sheetData>
      <sheetData sheetId="11453">
        <row r="1">
          <cell r="J1">
            <v>1.7453292519943295E-2</v>
          </cell>
        </row>
      </sheetData>
      <sheetData sheetId="11454">
        <row r="1">
          <cell r="J1">
            <v>1.7453292519943295E-2</v>
          </cell>
        </row>
      </sheetData>
      <sheetData sheetId="11455">
        <row r="1">
          <cell r="J1">
            <v>1.7453292519943295E-2</v>
          </cell>
        </row>
      </sheetData>
      <sheetData sheetId="11456">
        <row r="1">
          <cell r="J1">
            <v>1.7453292519943295E-2</v>
          </cell>
        </row>
      </sheetData>
      <sheetData sheetId="11457">
        <row r="1">
          <cell r="J1">
            <v>1.7453292519943295E-2</v>
          </cell>
        </row>
      </sheetData>
      <sheetData sheetId="11458">
        <row r="1">
          <cell r="J1">
            <v>1.7453292519943295E-2</v>
          </cell>
        </row>
      </sheetData>
      <sheetData sheetId="11459">
        <row r="1">
          <cell r="J1">
            <v>1.7453292519943295E-2</v>
          </cell>
        </row>
      </sheetData>
      <sheetData sheetId="11460">
        <row r="1">
          <cell r="J1">
            <v>1.7453292519943295E-2</v>
          </cell>
        </row>
      </sheetData>
      <sheetData sheetId="11461">
        <row r="1">
          <cell r="J1">
            <v>1.7453292519943295E-2</v>
          </cell>
        </row>
      </sheetData>
      <sheetData sheetId="11462">
        <row r="1">
          <cell r="J1">
            <v>1.7453292519943295E-2</v>
          </cell>
        </row>
      </sheetData>
      <sheetData sheetId="11463">
        <row r="1">
          <cell r="J1">
            <v>1.7453292519943295E-2</v>
          </cell>
        </row>
      </sheetData>
      <sheetData sheetId="11464">
        <row r="1">
          <cell r="J1">
            <v>1.7453292519943295E-2</v>
          </cell>
        </row>
      </sheetData>
      <sheetData sheetId="11465">
        <row r="1">
          <cell r="J1">
            <v>1.7453292519943295E-2</v>
          </cell>
        </row>
      </sheetData>
      <sheetData sheetId="11466">
        <row r="1">
          <cell r="J1">
            <v>1.7453292519943295E-2</v>
          </cell>
        </row>
      </sheetData>
      <sheetData sheetId="11467">
        <row r="1">
          <cell r="J1">
            <v>1.7453292519943295E-2</v>
          </cell>
        </row>
      </sheetData>
      <sheetData sheetId="11468">
        <row r="1">
          <cell r="J1">
            <v>1.7453292519943295E-2</v>
          </cell>
        </row>
      </sheetData>
      <sheetData sheetId="11469">
        <row r="1">
          <cell r="J1">
            <v>1.7453292519943295E-2</v>
          </cell>
        </row>
      </sheetData>
      <sheetData sheetId="11470">
        <row r="1">
          <cell r="J1">
            <v>1.7453292519943295E-2</v>
          </cell>
        </row>
      </sheetData>
      <sheetData sheetId="11471">
        <row r="1">
          <cell r="J1">
            <v>1.7453292519943295E-2</v>
          </cell>
        </row>
      </sheetData>
      <sheetData sheetId="11472">
        <row r="1">
          <cell r="J1">
            <v>1.7453292519943295E-2</v>
          </cell>
        </row>
      </sheetData>
      <sheetData sheetId="11473">
        <row r="1">
          <cell r="J1">
            <v>1.7453292519943295E-2</v>
          </cell>
        </row>
      </sheetData>
      <sheetData sheetId="11474">
        <row r="1">
          <cell r="J1">
            <v>1.7453292519943295E-2</v>
          </cell>
        </row>
      </sheetData>
      <sheetData sheetId="11475">
        <row r="1">
          <cell r="J1">
            <v>1.7453292519943295E-2</v>
          </cell>
        </row>
      </sheetData>
      <sheetData sheetId="11476">
        <row r="1">
          <cell r="J1">
            <v>1.7453292519943295E-2</v>
          </cell>
        </row>
      </sheetData>
      <sheetData sheetId="11477">
        <row r="1">
          <cell r="J1">
            <v>1.7453292519943295E-2</v>
          </cell>
        </row>
      </sheetData>
      <sheetData sheetId="11478">
        <row r="1">
          <cell r="J1">
            <v>1.7453292519943295E-2</v>
          </cell>
        </row>
      </sheetData>
      <sheetData sheetId="11479">
        <row r="1">
          <cell r="J1">
            <v>1.7453292519943295E-2</v>
          </cell>
        </row>
      </sheetData>
      <sheetData sheetId="11480">
        <row r="1">
          <cell r="J1">
            <v>1.7453292519943295E-2</v>
          </cell>
        </row>
      </sheetData>
      <sheetData sheetId="11481">
        <row r="1">
          <cell r="J1">
            <v>1.7453292519943295E-2</v>
          </cell>
        </row>
      </sheetData>
      <sheetData sheetId="11482">
        <row r="1">
          <cell r="J1">
            <v>1.7453292519943295E-2</v>
          </cell>
        </row>
      </sheetData>
      <sheetData sheetId="11483">
        <row r="1">
          <cell r="J1">
            <v>1.7453292519943295E-2</v>
          </cell>
        </row>
      </sheetData>
      <sheetData sheetId="11484">
        <row r="1">
          <cell r="J1">
            <v>1.7453292519943295E-2</v>
          </cell>
        </row>
      </sheetData>
      <sheetData sheetId="11485">
        <row r="1">
          <cell r="J1">
            <v>1.7453292519943295E-2</v>
          </cell>
        </row>
      </sheetData>
      <sheetData sheetId="11486">
        <row r="1">
          <cell r="J1">
            <v>1.7453292519943295E-2</v>
          </cell>
        </row>
      </sheetData>
      <sheetData sheetId="11487">
        <row r="1">
          <cell r="J1">
            <v>1.7453292519943295E-2</v>
          </cell>
        </row>
      </sheetData>
      <sheetData sheetId="11488">
        <row r="1">
          <cell r="J1">
            <v>1.7453292519943295E-2</v>
          </cell>
        </row>
      </sheetData>
      <sheetData sheetId="11489">
        <row r="1">
          <cell r="J1">
            <v>1.7453292519943295E-2</v>
          </cell>
        </row>
      </sheetData>
      <sheetData sheetId="11490">
        <row r="1">
          <cell r="J1">
            <v>1.7453292519943295E-2</v>
          </cell>
        </row>
      </sheetData>
      <sheetData sheetId="11491">
        <row r="1">
          <cell r="J1">
            <v>1.7453292519943295E-2</v>
          </cell>
        </row>
      </sheetData>
      <sheetData sheetId="11492">
        <row r="1">
          <cell r="J1">
            <v>1.7453292519943295E-2</v>
          </cell>
        </row>
      </sheetData>
      <sheetData sheetId="11493">
        <row r="1">
          <cell r="J1">
            <v>1.7453292519943295E-2</v>
          </cell>
        </row>
      </sheetData>
      <sheetData sheetId="11494">
        <row r="1">
          <cell r="J1">
            <v>1.7453292519943295E-2</v>
          </cell>
        </row>
      </sheetData>
      <sheetData sheetId="11495">
        <row r="1">
          <cell r="J1">
            <v>1.7453292519943295E-2</v>
          </cell>
        </row>
      </sheetData>
      <sheetData sheetId="11496">
        <row r="1">
          <cell r="J1">
            <v>1.7453292519943295E-2</v>
          </cell>
        </row>
      </sheetData>
      <sheetData sheetId="11497">
        <row r="1">
          <cell r="J1">
            <v>1.7453292519943295E-2</v>
          </cell>
        </row>
      </sheetData>
      <sheetData sheetId="11498">
        <row r="1">
          <cell r="J1">
            <v>1.7453292519943295E-2</v>
          </cell>
        </row>
      </sheetData>
      <sheetData sheetId="11499">
        <row r="1">
          <cell r="J1">
            <v>1.7453292519943295E-2</v>
          </cell>
        </row>
      </sheetData>
      <sheetData sheetId="11500">
        <row r="1">
          <cell r="J1">
            <v>1.7453292519943295E-2</v>
          </cell>
        </row>
      </sheetData>
      <sheetData sheetId="11501">
        <row r="1">
          <cell r="J1">
            <v>1.7453292519943295E-2</v>
          </cell>
        </row>
      </sheetData>
      <sheetData sheetId="11502">
        <row r="1">
          <cell r="J1">
            <v>1.7453292519943295E-2</v>
          </cell>
        </row>
      </sheetData>
      <sheetData sheetId="11503">
        <row r="1">
          <cell r="J1">
            <v>1.7453292519943295E-2</v>
          </cell>
        </row>
      </sheetData>
      <sheetData sheetId="11504">
        <row r="1">
          <cell r="J1">
            <v>1.7453292519943295E-2</v>
          </cell>
        </row>
      </sheetData>
      <sheetData sheetId="11505">
        <row r="1">
          <cell r="J1">
            <v>1.7453292519943295E-2</v>
          </cell>
        </row>
      </sheetData>
      <sheetData sheetId="11506">
        <row r="1">
          <cell r="J1">
            <v>1.7453292519943295E-2</v>
          </cell>
        </row>
      </sheetData>
      <sheetData sheetId="11507">
        <row r="1">
          <cell r="J1">
            <v>1.7453292519943295E-2</v>
          </cell>
        </row>
      </sheetData>
      <sheetData sheetId="11508">
        <row r="1">
          <cell r="J1">
            <v>1.7453292519943295E-2</v>
          </cell>
        </row>
      </sheetData>
      <sheetData sheetId="11509">
        <row r="1">
          <cell r="J1">
            <v>1.7453292519943295E-2</v>
          </cell>
        </row>
      </sheetData>
      <sheetData sheetId="11510">
        <row r="1">
          <cell r="J1">
            <v>1.7453292519943295E-2</v>
          </cell>
        </row>
      </sheetData>
      <sheetData sheetId="11511">
        <row r="1">
          <cell r="J1">
            <v>1.7453292519943295E-2</v>
          </cell>
        </row>
      </sheetData>
      <sheetData sheetId="11512">
        <row r="1">
          <cell r="J1">
            <v>1.7453292519943295E-2</v>
          </cell>
        </row>
      </sheetData>
      <sheetData sheetId="11513">
        <row r="1">
          <cell r="J1">
            <v>1.7453292519943295E-2</v>
          </cell>
        </row>
      </sheetData>
      <sheetData sheetId="11514">
        <row r="1">
          <cell r="J1">
            <v>1.7453292519943295E-2</v>
          </cell>
        </row>
      </sheetData>
      <sheetData sheetId="11515">
        <row r="1">
          <cell r="J1">
            <v>1.7453292519943295E-2</v>
          </cell>
        </row>
      </sheetData>
      <sheetData sheetId="11516">
        <row r="1">
          <cell r="J1">
            <v>1.7453292519943295E-2</v>
          </cell>
        </row>
      </sheetData>
      <sheetData sheetId="11517">
        <row r="1">
          <cell r="J1">
            <v>1.7453292519943295E-2</v>
          </cell>
        </row>
      </sheetData>
      <sheetData sheetId="11518">
        <row r="1">
          <cell r="J1">
            <v>1.7453292519943295E-2</v>
          </cell>
        </row>
      </sheetData>
      <sheetData sheetId="11519">
        <row r="1">
          <cell r="J1">
            <v>1.7453292519943295E-2</v>
          </cell>
        </row>
      </sheetData>
      <sheetData sheetId="11520">
        <row r="1">
          <cell r="J1">
            <v>1.7453292519943295E-2</v>
          </cell>
        </row>
      </sheetData>
      <sheetData sheetId="11521">
        <row r="1">
          <cell r="J1">
            <v>1.7453292519943295E-2</v>
          </cell>
        </row>
      </sheetData>
      <sheetData sheetId="11522">
        <row r="1">
          <cell r="J1">
            <v>1.7453292519943295E-2</v>
          </cell>
        </row>
      </sheetData>
      <sheetData sheetId="11523">
        <row r="1">
          <cell r="J1">
            <v>1.7453292519943295E-2</v>
          </cell>
        </row>
      </sheetData>
      <sheetData sheetId="11524">
        <row r="1">
          <cell r="J1">
            <v>1.7453292519943295E-2</v>
          </cell>
        </row>
      </sheetData>
      <sheetData sheetId="11525">
        <row r="1">
          <cell r="J1">
            <v>1.7453292519943295E-2</v>
          </cell>
        </row>
      </sheetData>
      <sheetData sheetId="11526">
        <row r="1">
          <cell r="J1">
            <v>1.7453292519943295E-2</v>
          </cell>
        </row>
      </sheetData>
      <sheetData sheetId="11527">
        <row r="1">
          <cell r="J1">
            <v>1.7453292519943295E-2</v>
          </cell>
        </row>
      </sheetData>
      <sheetData sheetId="11528">
        <row r="1">
          <cell r="J1">
            <v>1.7453292519943295E-2</v>
          </cell>
        </row>
      </sheetData>
      <sheetData sheetId="11529">
        <row r="1">
          <cell r="J1">
            <v>1.7453292519943295E-2</v>
          </cell>
        </row>
      </sheetData>
      <sheetData sheetId="11530">
        <row r="1">
          <cell r="J1">
            <v>1.7453292519943295E-2</v>
          </cell>
        </row>
      </sheetData>
      <sheetData sheetId="11531">
        <row r="1">
          <cell r="J1">
            <v>1.7453292519943295E-2</v>
          </cell>
        </row>
      </sheetData>
      <sheetData sheetId="11532">
        <row r="1">
          <cell r="J1">
            <v>1.7453292519943295E-2</v>
          </cell>
        </row>
      </sheetData>
      <sheetData sheetId="11533">
        <row r="1">
          <cell r="J1">
            <v>1.7453292519943295E-2</v>
          </cell>
        </row>
      </sheetData>
      <sheetData sheetId="11534">
        <row r="1">
          <cell r="J1">
            <v>1.7453292519943295E-2</v>
          </cell>
        </row>
      </sheetData>
      <sheetData sheetId="11535">
        <row r="1">
          <cell r="J1">
            <v>1.7453292519943295E-2</v>
          </cell>
        </row>
      </sheetData>
      <sheetData sheetId="11536">
        <row r="1">
          <cell r="J1">
            <v>1.7453292519943295E-2</v>
          </cell>
        </row>
      </sheetData>
      <sheetData sheetId="11537">
        <row r="1">
          <cell r="J1">
            <v>1.7453292519943295E-2</v>
          </cell>
        </row>
      </sheetData>
      <sheetData sheetId="11538">
        <row r="1">
          <cell r="J1">
            <v>1.7453292519943295E-2</v>
          </cell>
        </row>
      </sheetData>
      <sheetData sheetId="11539">
        <row r="1">
          <cell r="J1">
            <v>1.7453292519943295E-2</v>
          </cell>
        </row>
      </sheetData>
      <sheetData sheetId="11540">
        <row r="1">
          <cell r="J1">
            <v>1.7453292519943295E-2</v>
          </cell>
        </row>
      </sheetData>
      <sheetData sheetId="11541">
        <row r="1">
          <cell r="J1">
            <v>1.7453292519943295E-2</v>
          </cell>
        </row>
      </sheetData>
      <sheetData sheetId="11542">
        <row r="1">
          <cell r="J1">
            <v>1.7453292519943295E-2</v>
          </cell>
        </row>
      </sheetData>
      <sheetData sheetId="11543">
        <row r="1">
          <cell r="J1">
            <v>1.7453292519943295E-2</v>
          </cell>
        </row>
      </sheetData>
      <sheetData sheetId="11544">
        <row r="1">
          <cell r="J1">
            <v>1.7453292519943295E-2</v>
          </cell>
        </row>
      </sheetData>
      <sheetData sheetId="11545">
        <row r="1">
          <cell r="J1">
            <v>1.7453292519943295E-2</v>
          </cell>
        </row>
      </sheetData>
      <sheetData sheetId="11546">
        <row r="1">
          <cell r="J1">
            <v>1.7453292519943295E-2</v>
          </cell>
        </row>
      </sheetData>
      <sheetData sheetId="11547">
        <row r="1">
          <cell r="J1">
            <v>1.7453292519943295E-2</v>
          </cell>
        </row>
      </sheetData>
      <sheetData sheetId="11548">
        <row r="1">
          <cell r="J1">
            <v>1.7453292519943295E-2</v>
          </cell>
        </row>
      </sheetData>
      <sheetData sheetId="11549">
        <row r="1">
          <cell r="J1">
            <v>1.7453292519943295E-2</v>
          </cell>
        </row>
      </sheetData>
      <sheetData sheetId="11550">
        <row r="1">
          <cell r="J1">
            <v>1.7453292519943295E-2</v>
          </cell>
        </row>
      </sheetData>
      <sheetData sheetId="11551">
        <row r="1">
          <cell r="J1">
            <v>1.7453292519943295E-2</v>
          </cell>
        </row>
      </sheetData>
      <sheetData sheetId="11552">
        <row r="1">
          <cell r="J1">
            <v>1.7453292519943295E-2</v>
          </cell>
        </row>
      </sheetData>
      <sheetData sheetId="11553">
        <row r="1">
          <cell r="J1">
            <v>1.7453292519943295E-2</v>
          </cell>
        </row>
      </sheetData>
      <sheetData sheetId="11554">
        <row r="1">
          <cell r="J1">
            <v>1.7453292519943295E-2</v>
          </cell>
        </row>
      </sheetData>
      <sheetData sheetId="11555">
        <row r="1">
          <cell r="J1">
            <v>1.7453292519943295E-2</v>
          </cell>
        </row>
      </sheetData>
      <sheetData sheetId="11556">
        <row r="1">
          <cell r="J1">
            <v>1.7453292519943295E-2</v>
          </cell>
        </row>
      </sheetData>
      <sheetData sheetId="11557">
        <row r="1">
          <cell r="J1">
            <v>1.7453292519943295E-2</v>
          </cell>
        </row>
      </sheetData>
      <sheetData sheetId="11558">
        <row r="1">
          <cell r="J1">
            <v>1.7453292519943295E-2</v>
          </cell>
        </row>
      </sheetData>
      <sheetData sheetId="11559">
        <row r="1">
          <cell r="J1">
            <v>1.7453292519943295E-2</v>
          </cell>
        </row>
      </sheetData>
      <sheetData sheetId="11560">
        <row r="1">
          <cell r="J1">
            <v>1.7453292519943295E-2</v>
          </cell>
        </row>
      </sheetData>
      <sheetData sheetId="11561">
        <row r="1">
          <cell r="J1">
            <v>1.7453292519943295E-2</v>
          </cell>
        </row>
      </sheetData>
      <sheetData sheetId="11562">
        <row r="1">
          <cell r="J1">
            <v>1.7453292519943295E-2</v>
          </cell>
        </row>
      </sheetData>
      <sheetData sheetId="11563">
        <row r="1">
          <cell r="J1">
            <v>1.7453292519943295E-2</v>
          </cell>
        </row>
      </sheetData>
      <sheetData sheetId="11564">
        <row r="1">
          <cell r="J1">
            <v>1.7453292519943295E-2</v>
          </cell>
        </row>
      </sheetData>
      <sheetData sheetId="11565">
        <row r="1">
          <cell r="J1">
            <v>1.7453292519943295E-2</v>
          </cell>
        </row>
      </sheetData>
      <sheetData sheetId="11566">
        <row r="1">
          <cell r="J1">
            <v>1.7453292519943295E-2</v>
          </cell>
        </row>
      </sheetData>
      <sheetData sheetId="11567">
        <row r="1">
          <cell r="J1">
            <v>1.7453292519943295E-2</v>
          </cell>
        </row>
      </sheetData>
      <sheetData sheetId="11568">
        <row r="1">
          <cell r="J1">
            <v>1.7453292519943295E-2</v>
          </cell>
        </row>
      </sheetData>
      <sheetData sheetId="11569">
        <row r="1">
          <cell r="J1">
            <v>1.7453292519943295E-2</v>
          </cell>
        </row>
      </sheetData>
      <sheetData sheetId="11570">
        <row r="1">
          <cell r="J1">
            <v>1.7453292519943295E-2</v>
          </cell>
        </row>
      </sheetData>
      <sheetData sheetId="11571">
        <row r="1">
          <cell r="J1">
            <v>1.7453292519943295E-2</v>
          </cell>
        </row>
      </sheetData>
      <sheetData sheetId="11572">
        <row r="1">
          <cell r="J1">
            <v>1.7453292519943295E-2</v>
          </cell>
        </row>
      </sheetData>
      <sheetData sheetId="11573">
        <row r="1">
          <cell r="J1">
            <v>1.7453292519943295E-2</v>
          </cell>
        </row>
      </sheetData>
      <sheetData sheetId="11574">
        <row r="1">
          <cell r="J1">
            <v>1.7453292519943295E-2</v>
          </cell>
        </row>
      </sheetData>
      <sheetData sheetId="11575">
        <row r="1">
          <cell r="J1">
            <v>1.7453292519943295E-2</v>
          </cell>
        </row>
      </sheetData>
      <sheetData sheetId="11576">
        <row r="1">
          <cell r="J1">
            <v>1.7453292519943295E-2</v>
          </cell>
        </row>
      </sheetData>
      <sheetData sheetId="11577">
        <row r="1">
          <cell r="J1">
            <v>1.7453292519943295E-2</v>
          </cell>
        </row>
      </sheetData>
      <sheetData sheetId="11578">
        <row r="1">
          <cell r="J1">
            <v>1.7453292519943295E-2</v>
          </cell>
        </row>
      </sheetData>
      <sheetData sheetId="11579">
        <row r="1">
          <cell r="J1">
            <v>1.7453292519943295E-2</v>
          </cell>
        </row>
      </sheetData>
      <sheetData sheetId="11580">
        <row r="1">
          <cell r="J1">
            <v>1.7453292519943295E-2</v>
          </cell>
        </row>
      </sheetData>
      <sheetData sheetId="11581">
        <row r="1">
          <cell r="J1">
            <v>1.7453292519943295E-2</v>
          </cell>
        </row>
      </sheetData>
      <sheetData sheetId="11582">
        <row r="1">
          <cell r="J1">
            <v>1.7453292519943295E-2</v>
          </cell>
        </row>
      </sheetData>
      <sheetData sheetId="11583">
        <row r="1">
          <cell r="J1">
            <v>1.7453292519943295E-2</v>
          </cell>
        </row>
      </sheetData>
      <sheetData sheetId="11584">
        <row r="1">
          <cell r="J1">
            <v>1.7453292519943295E-2</v>
          </cell>
        </row>
      </sheetData>
      <sheetData sheetId="11585">
        <row r="1">
          <cell r="J1">
            <v>1.7453292519943295E-2</v>
          </cell>
        </row>
      </sheetData>
      <sheetData sheetId="11586">
        <row r="1">
          <cell r="J1">
            <v>1.7453292519943295E-2</v>
          </cell>
        </row>
      </sheetData>
      <sheetData sheetId="11587">
        <row r="1">
          <cell r="J1">
            <v>1.7453292519943295E-2</v>
          </cell>
        </row>
      </sheetData>
      <sheetData sheetId="11588">
        <row r="1">
          <cell r="J1">
            <v>1.7453292519943295E-2</v>
          </cell>
        </row>
      </sheetData>
      <sheetData sheetId="11589">
        <row r="1">
          <cell r="J1">
            <v>1.7453292519943295E-2</v>
          </cell>
        </row>
      </sheetData>
      <sheetData sheetId="11590">
        <row r="1">
          <cell r="J1">
            <v>1.7453292519943295E-2</v>
          </cell>
        </row>
      </sheetData>
      <sheetData sheetId="11591">
        <row r="1">
          <cell r="J1">
            <v>1.7453292519943295E-2</v>
          </cell>
        </row>
      </sheetData>
      <sheetData sheetId="11592">
        <row r="1">
          <cell r="J1">
            <v>1.7453292519943295E-2</v>
          </cell>
        </row>
      </sheetData>
      <sheetData sheetId="11593">
        <row r="1">
          <cell r="J1">
            <v>1.7453292519943295E-2</v>
          </cell>
        </row>
      </sheetData>
      <sheetData sheetId="11594">
        <row r="1">
          <cell r="J1">
            <v>1.7453292519943295E-2</v>
          </cell>
        </row>
      </sheetData>
      <sheetData sheetId="11595">
        <row r="1">
          <cell r="J1">
            <v>1.7453292519943295E-2</v>
          </cell>
        </row>
      </sheetData>
      <sheetData sheetId="11596">
        <row r="1">
          <cell r="J1">
            <v>1.7453292519943295E-2</v>
          </cell>
        </row>
      </sheetData>
      <sheetData sheetId="11597">
        <row r="1">
          <cell r="J1">
            <v>1.7453292519943295E-2</v>
          </cell>
        </row>
      </sheetData>
      <sheetData sheetId="11598">
        <row r="1">
          <cell r="J1">
            <v>1.7453292519943295E-2</v>
          </cell>
        </row>
      </sheetData>
      <sheetData sheetId="11599">
        <row r="1">
          <cell r="J1">
            <v>1.7453292519943295E-2</v>
          </cell>
        </row>
      </sheetData>
      <sheetData sheetId="11600">
        <row r="1">
          <cell r="J1">
            <v>1.7453292519943295E-2</v>
          </cell>
        </row>
      </sheetData>
      <sheetData sheetId="11601">
        <row r="1">
          <cell r="J1">
            <v>1.7453292519943295E-2</v>
          </cell>
        </row>
      </sheetData>
      <sheetData sheetId="11602">
        <row r="1">
          <cell r="J1">
            <v>1.7453292519943295E-2</v>
          </cell>
        </row>
      </sheetData>
      <sheetData sheetId="11603">
        <row r="1">
          <cell r="J1">
            <v>1.7453292519943295E-2</v>
          </cell>
        </row>
      </sheetData>
      <sheetData sheetId="11604">
        <row r="1">
          <cell r="J1">
            <v>1.7453292519943295E-2</v>
          </cell>
        </row>
      </sheetData>
      <sheetData sheetId="11605">
        <row r="1">
          <cell r="J1">
            <v>1.7453292519943295E-2</v>
          </cell>
        </row>
      </sheetData>
      <sheetData sheetId="11606">
        <row r="1">
          <cell r="J1">
            <v>1.7453292519943295E-2</v>
          </cell>
        </row>
      </sheetData>
      <sheetData sheetId="11607">
        <row r="1">
          <cell r="J1">
            <v>1.7453292519943295E-2</v>
          </cell>
        </row>
      </sheetData>
      <sheetData sheetId="11608">
        <row r="1">
          <cell r="J1">
            <v>1.7453292519943295E-2</v>
          </cell>
        </row>
      </sheetData>
      <sheetData sheetId="11609">
        <row r="1">
          <cell r="J1">
            <v>1.7453292519943295E-2</v>
          </cell>
        </row>
      </sheetData>
      <sheetData sheetId="11610">
        <row r="1">
          <cell r="J1">
            <v>1.7453292519943295E-2</v>
          </cell>
        </row>
      </sheetData>
      <sheetData sheetId="11611">
        <row r="1">
          <cell r="J1">
            <v>1.7453292519943295E-2</v>
          </cell>
        </row>
      </sheetData>
      <sheetData sheetId="11612">
        <row r="1">
          <cell r="J1">
            <v>1.7453292519943295E-2</v>
          </cell>
        </row>
      </sheetData>
      <sheetData sheetId="11613">
        <row r="1">
          <cell r="J1">
            <v>1.7453292519943295E-2</v>
          </cell>
        </row>
      </sheetData>
      <sheetData sheetId="11614">
        <row r="1">
          <cell r="J1">
            <v>1.7453292519943295E-2</v>
          </cell>
        </row>
      </sheetData>
      <sheetData sheetId="11615">
        <row r="1">
          <cell r="J1">
            <v>1.7453292519943295E-2</v>
          </cell>
        </row>
      </sheetData>
      <sheetData sheetId="11616">
        <row r="1">
          <cell r="J1">
            <v>1.7453292519943295E-2</v>
          </cell>
        </row>
      </sheetData>
      <sheetData sheetId="11617">
        <row r="1">
          <cell r="J1">
            <v>1.7453292519943295E-2</v>
          </cell>
        </row>
      </sheetData>
      <sheetData sheetId="11618">
        <row r="1">
          <cell r="J1">
            <v>1.7453292519943295E-2</v>
          </cell>
        </row>
      </sheetData>
      <sheetData sheetId="11619">
        <row r="1">
          <cell r="J1">
            <v>1.7453292519943295E-2</v>
          </cell>
        </row>
      </sheetData>
      <sheetData sheetId="11620">
        <row r="1">
          <cell r="J1">
            <v>1.7453292519943295E-2</v>
          </cell>
        </row>
      </sheetData>
      <sheetData sheetId="11621">
        <row r="1">
          <cell r="J1">
            <v>1.7453292519943295E-2</v>
          </cell>
        </row>
      </sheetData>
      <sheetData sheetId="11622">
        <row r="1">
          <cell r="J1">
            <v>1.7453292519943295E-2</v>
          </cell>
        </row>
      </sheetData>
      <sheetData sheetId="11623">
        <row r="1">
          <cell r="J1">
            <v>1.7453292519943295E-2</v>
          </cell>
        </row>
      </sheetData>
      <sheetData sheetId="11624">
        <row r="1">
          <cell r="J1">
            <v>1.7453292519943295E-2</v>
          </cell>
        </row>
      </sheetData>
      <sheetData sheetId="11625">
        <row r="1">
          <cell r="J1">
            <v>1.7453292519943295E-2</v>
          </cell>
        </row>
      </sheetData>
      <sheetData sheetId="11626">
        <row r="1">
          <cell r="J1">
            <v>1.7453292519943295E-2</v>
          </cell>
        </row>
      </sheetData>
      <sheetData sheetId="11627">
        <row r="1">
          <cell r="J1">
            <v>1.7453292519943295E-2</v>
          </cell>
        </row>
      </sheetData>
      <sheetData sheetId="11628">
        <row r="1">
          <cell r="J1">
            <v>1.7453292519943295E-2</v>
          </cell>
        </row>
      </sheetData>
      <sheetData sheetId="11629">
        <row r="1">
          <cell r="J1">
            <v>1.7453292519943295E-2</v>
          </cell>
        </row>
      </sheetData>
      <sheetData sheetId="11630">
        <row r="1">
          <cell r="J1">
            <v>1.7453292519943295E-2</v>
          </cell>
        </row>
      </sheetData>
      <sheetData sheetId="11631">
        <row r="1">
          <cell r="J1">
            <v>1.7453292519943295E-2</v>
          </cell>
        </row>
      </sheetData>
      <sheetData sheetId="11632">
        <row r="1">
          <cell r="J1">
            <v>1.7453292519943295E-2</v>
          </cell>
        </row>
      </sheetData>
      <sheetData sheetId="11633">
        <row r="1">
          <cell r="J1">
            <v>1.7453292519943295E-2</v>
          </cell>
        </row>
      </sheetData>
      <sheetData sheetId="11634">
        <row r="1">
          <cell r="J1">
            <v>1.7453292519943295E-2</v>
          </cell>
        </row>
      </sheetData>
      <sheetData sheetId="11635">
        <row r="1">
          <cell r="J1">
            <v>1.7453292519943295E-2</v>
          </cell>
        </row>
      </sheetData>
      <sheetData sheetId="11636">
        <row r="1">
          <cell r="J1">
            <v>1.7453292519943295E-2</v>
          </cell>
        </row>
      </sheetData>
      <sheetData sheetId="11637">
        <row r="1">
          <cell r="J1">
            <v>1.7453292519943295E-2</v>
          </cell>
        </row>
      </sheetData>
      <sheetData sheetId="11638">
        <row r="1">
          <cell r="J1">
            <v>1.7453292519943295E-2</v>
          </cell>
        </row>
      </sheetData>
      <sheetData sheetId="11639">
        <row r="1">
          <cell r="J1">
            <v>1.7453292519943295E-2</v>
          </cell>
        </row>
      </sheetData>
      <sheetData sheetId="11640">
        <row r="1">
          <cell r="J1">
            <v>1.7453292519943295E-2</v>
          </cell>
        </row>
      </sheetData>
      <sheetData sheetId="11641">
        <row r="1">
          <cell r="J1">
            <v>1.7453292519943295E-2</v>
          </cell>
        </row>
      </sheetData>
      <sheetData sheetId="11642">
        <row r="1">
          <cell r="J1">
            <v>1.7453292519943295E-2</v>
          </cell>
        </row>
      </sheetData>
      <sheetData sheetId="11643">
        <row r="1">
          <cell r="J1">
            <v>1.7453292519943295E-2</v>
          </cell>
        </row>
      </sheetData>
      <sheetData sheetId="11644">
        <row r="1">
          <cell r="J1">
            <v>1.7453292519943295E-2</v>
          </cell>
        </row>
      </sheetData>
      <sheetData sheetId="11645">
        <row r="1">
          <cell r="J1">
            <v>1.7453292519943295E-2</v>
          </cell>
        </row>
      </sheetData>
      <sheetData sheetId="11646">
        <row r="1">
          <cell r="J1">
            <v>1.7453292519943295E-2</v>
          </cell>
        </row>
      </sheetData>
      <sheetData sheetId="11647">
        <row r="1">
          <cell r="J1">
            <v>1.7453292519943295E-2</v>
          </cell>
        </row>
      </sheetData>
      <sheetData sheetId="11648">
        <row r="1">
          <cell r="J1">
            <v>1.7453292519943295E-2</v>
          </cell>
        </row>
      </sheetData>
      <sheetData sheetId="11649">
        <row r="1">
          <cell r="J1">
            <v>1.7453292519943295E-2</v>
          </cell>
        </row>
      </sheetData>
      <sheetData sheetId="11650">
        <row r="1">
          <cell r="J1">
            <v>1.7453292519943295E-2</v>
          </cell>
        </row>
      </sheetData>
      <sheetData sheetId="11651">
        <row r="1">
          <cell r="J1">
            <v>1.7453292519943295E-2</v>
          </cell>
        </row>
      </sheetData>
      <sheetData sheetId="11652">
        <row r="1">
          <cell r="J1">
            <v>1.7453292519943295E-2</v>
          </cell>
        </row>
      </sheetData>
      <sheetData sheetId="11653">
        <row r="1">
          <cell r="J1">
            <v>1.7453292519943295E-2</v>
          </cell>
        </row>
      </sheetData>
      <sheetData sheetId="11654">
        <row r="1">
          <cell r="J1">
            <v>1.7453292519943295E-2</v>
          </cell>
        </row>
      </sheetData>
      <sheetData sheetId="11655">
        <row r="1">
          <cell r="J1">
            <v>1.7453292519943295E-2</v>
          </cell>
        </row>
      </sheetData>
      <sheetData sheetId="11656">
        <row r="1">
          <cell r="J1">
            <v>1.7453292519943295E-2</v>
          </cell>
        </row>
      </sheetData>
      <sheetData sheetId="11657">
        <row r="1">
          <cell r="J1">
            <v>1.7453292519943295E-2</v>
          </cell>
        </row>
      </sheetData>
      <sheetData sheetId="11658">
        <row r="1">
          <cell r="J1">
            <v>1.7453292519943295E-2</v>
          </cell>
        </row>
      </sheetData>
      <sheetData sheetId="11659">
        <row r="1">
          <cell r="J1">
            <v>1.7453292519943295E-2</v>
          </cell>
        </row>
      </sheetData>
      <sheetData sheetId="11660">
        <row r="1">
          <cell r="J1">
            <v>1.7453292519943295E-2</v>
          </cell>
        </row>
      </sheetData>
      <sheetData sheetId="11661">
        <row r="1">
          <cell r="J1">
            <v>1.7453292519943295E-2</v>
          </cell>
        </row>
      </sheetData>
      <sheetData sheetId="11662">
        <row r="1">
          <cell r="J1">
            <v>1.7453292519943295E-2</v>
          </cell>
        </row>
      </sheetData>
      <sheetData sheetId="11663">
        <row r="1">
          <cell r="J1">
            <v>1.7453292519943295E-2</v>
          </cell>
        </row>
      </sheetData>
      <sheetData sheetId="11664">
        <row r="1">
          <cell r="J1">
            <v>1.7453292519943295E-2</v>
          </cell>
        </row>
      </sheetData>
      <sheetData sheetId="11665">
        <row r="1">
          <cell r="J1">
            <v>1.7453292519943295E-2</v>
          </cell>
        </row>
      </sheetData>
      <sheetData sheetId="11666">
        <row r="1">
          <cell r="J1">
            <v>1.7453292519943295E-2</v>
          </cell>
        </row>
      </sheetData>
      <sheetData sheetId="11667">
        <row r="1">
          <cell r="J1">
            <v>1.7453292519943295E-2</v>
          </cell>
        </row>
      </sheetData>
      <sheetData sheetId="11668">
        <row r="1">
          <cell r="J1">
            <v>1.7453292519943295E-2</v>
          </cell>
        </row>
      </sheetData>
      <sheetData sheetId="11669">
        <row r="1">
          <cell r="J1">
            <v>1.7453292519943295E-2</v>
          </cell>
        </row>
      </sheetData>
      <sheetData sheetId="11670">
        <row r="1">
          <cell r="J1">
            <v>1.7453292519943295E-2</v>
          </cell>
        </row>
      </sheetData>
      <sheetData sheetId="11671">
        <row r="1">
          <cell r="J1">
            <v>1.7453292519943295E-2</v>
          </cell>
        </row>
      </sheetData>
      <sheetData sheetId="11672">
        <row r="1">
          <cell r="J1">
            <v>1.7453292519943295E-2</v>
          </cell>
        </row>
      </sheetData>
      <sheetData sheetId="11673">
        <row r="1">
          <cell r="J1">
            <v>1.7453292519943295E-2</v>
          </cell>
        </row>
      </sheetData>
      <sheetData sheetId="11674">
        <row r="1">
          <cell r="J1">
            <v>1.7453292519943295E-2</v>
          </cell>
        </row>
      </sheetData>
      <sheetData sheetId="11675">
        <row r="1">
          <cell r="J1">
            <v>1.7453292519943295E-2</v>
          </cell>
        </row>
      </sheetData>
      <sheetData sheetId="11676">
        <row r="1">
          <cell r="J1">
            <v>1.7453292519943295E-2</v>
          </cell>
        </row>
      </sheetData>
      <sheetData sheetId="11677">
        <row r="1">
          <cell r="J1">
            <v>1.7453292519943295E-2</v>
          </cell>
        </row>
      </sheetData>
      <sheetData sheetId="11678">
        <row r="1">
          <cell r="J1">
            <v>1.7453292519943295E-2</v>
          </cell>
        </row>
      </sheetData>
      <sheetData sheetId="11679">
        <row r="1">
          <cell r="J1">
            <v>1.7453292519943295E-2</v>
          </cell>
        </row>
      </sheetData>
      <sheetData sheetId="11680">
        <row r="1">
          <cell r="J1">
            <v>1.7453292519943295E-2</v>
          </cell>
        </row>
      </sheetData>
      <sheetData sheetId="11681">
        <row r="1">
          <cell r="J1">
            <v>1.7453292519943295E-2</v>
          </cell>
        </row>
      </sheetData>
      <sheetData sheetId="11682">
        <row r="1">
          <cell r="J1">
            <v>1.7453292519943295E-2</v>
          </cell>
        </row>
      </sheetData>
      <sheetData sheetId="11683">
        <row r="1">
          <cell r="J1">
            <v>1.7453292519943295E-2</v>
          </cell>
        </row>
      </sheetData>
      <sheetData sheetId="11684">
        <row r="1">
          <cell r="J1">
            <v>1.7453292519943295E-2</v>
          </cell>
        </row>
      </sheetData>
      <sheetData sheetId="11685">
        <row r="1">
          <cell r="J1">
            <v>1.7453292519943295E-2</v>
          </cell>
        </row>
      </sheetData>
      <sheetData sheetId="11686">
        <row r="1">
          <cell r="J1">
            <v>1.7453292519943295E-2</v>
          </cell>
        </row>
      </sheetData>
      <sheetData sheetId="11687">
        <row r="1">
          <cell r="J1">
            <v>1.7453292519943295E-2</v>
          </cell>
        </row>
      </sheetData>
      <sheetData sheetId="11688">
        <row r="1">
          <cell r="J1">
            <v>1.7453292519943295E-2</v>
          </cell>
        </row>
      </sheetData>
      <sheetData sheetId="11689">
        <row r="1">
          <cell r="J1">
            <v>1.7453292519943295E-2</v>
          </cell>
        </row>
      </sheetData>
      <sheetData sheetId="11690">
        <row r="1">
          <cell r="J1">
            <v>1.7453292519943295E-2</v>
          </cell>
        </row>
      </sheetData>
      <sheetData sheetId="11691">
        <row r="1">
          <cell r="J1">
            <v>1.7453292519943295E-2</v>
          </cell>
        </row>
      </sheetData>
      <sheetData sheetId="11692">
        <row r="1">
          <cell r="J1">
            <v>1.7453292519943295E-2</v>
          </cell>
        </row>
      </sheetData>
      <sheetData sheetId="11693">
        <row r="1">
          <cell r="J1">
            <v>1.7453292519943295E-2</v>
          </cell>
        </row>
      </sheetData>
      <sheetData sheetId="11694">
        <row r="1">
          <cell r="J1">
            <v>1.7453292519943295E-2</v>
          </cell>
        </row>
      </sheetData>
      <sheetData sheetId="11695">
        <row r="1">
          <cell r="J1">
            <v>1.7453292519943295E-2</v>
          </cell>
        </row>
      </sheetData>
      <sheetData sheetId="11696">
        <row r="1">
          <cell r="J1">
            <v>1.7453292519943295E-2</v>
          </cell>
        </row>
      </sheetData>
      <sheetData sheetId="11697">
        <row r="1">
          <cell r="J1">
            <v>1.7453292519943295E-2</v>
          </cell>
        </row>
      </sheetData>
      <sheetData sheetId="11698">
        <row r="1">
          <cell r="J1">
            <v>1.7453292519943295E-2</v>
          </cell>
        </row>
      </sheetData>
      <sheetData sheetId="11699">
        <row r="1">
          <cell r="J1">
            <v>1.7453292519943295E-2</v>
          </cell>
        </row>
      </sheetData>
      <sheetData sheetId="11700">
        <row r="1">
          <cell r="J1">
            <v>1.7453292519943295E-2</v>
          </cell>
        </row>
      </sheetData>
      <sheetData sheetId="11701">
        <row r="1">
          <cell r="J1">
            <v>1.7453292519943295E-2</v>
          </cell>
        </row>
      </sheetData>
      <sheetData sheetId="11702">
        <row r="1">
          <cell r="J1">
            <v>1.7453292519943295E-2</v>
          </cell>
        </row>
      </sheetData>
      <sheetData sheetId="11703">
        <row r="1">
          <cell r="J1">
            <v>1.7453292519943295E-2</v>
          </cell>
        </row>
      </sheetData>
      <sheetData sheetId="11704">
        <row r="1">
          <cell r="J1">
            <v>1.7453292519943295E-2</v>
          </cell>
        </row>
      </sheetData>
      <sheetData sheetId="11705">
        <row r="1">
          <cell r="J1">
            <v>1.7453292519943295E-2</v>
          </cell>
        </row>
      </sheetData>
      <sheetData sheetId="11706">
        <row r="1">
          <cell r="J1">
            <v>1.7453292519943295E-2</v>
          </cell>
        </row>
      </sheetData>
      <sheetData sheetId="11707">
        <row r="1">
          <cell r="J1">
            <v>1.7453292519943295E-2</v>
          </cell>
        </row>
      </sheetData>
      <sheetData sheetId="11708">
        <row r="1">
          <cell r="J1">
            <v>1.7453292519943295E-2</v>
          </cell>
        </row>
      </sheetData>
      <sheetData sheetId="11709">
        <row r="1">
          <cell r="J1">
            <v>1.7453292519943295E-2</v>
          </cell>
        </row>
      </sheetData>
      <sheetData sheetId="11710">
        <row r="1">
          <cell r="J1">
            <v>1.7453292519943295E-2</v>
          </cell>
        </row>
      </sheetData>
      <sheetData sheetId="11711">
        <row r="1">
          <cell r="J1">
            <v>1.7453292519943295E-2</v>
          </cell>
        </row>
      </sheetData>
      <sheetData sheetId="11712">
        <row r="1">
          <cell r="J1">
            <v>1.7453292519943295E-2</v>
          </cell>
        </row>
      </sheetData>
      <sheetData sheetId="11713">
        <row r="1">
          <cell r="J1">
            <v>1.7453292519943295E-2</v>
          </cell>
        </row>
      </sheetData>
      <sheetData sheetId="11714">
        <row r="1">
          <cell r="J1">
            <v>1.7453292519943295E-2</v>
          </cell>
        </row>
      </sheetData>
      <sheetData sheetId="11715">
        <row r="1">
          <cell r="J1">
            <v>1.7453292519943295E-2</v>
          </cell>
        </row>
      </sheetData>
      <sheetData sheetId="11716">
        <row r="1">
          <cell r="J1">
            <v>1.7453292519943295E-2</v>
          </cell>
        </row>
      </sheetData>
      <sheetData sheetId="11717">
        <row r="1">
          <cell r="J1">
            <v>1.7453292519943295E-2</v>
          </cell>
        </row>
      </sheetData>
      <sheetData sheetId="11718">
        <row r="1">
          <cell r="J1">
            <v>1.7453292519943295E-2</v>
          </cell>
        </row>
      </sheetData>
      <sheetData sheetId="11719">
        <row r="1">
          <cell r="J1">
            <v>1.7453292519943295E-2</v>
          </cell>
        </row>
      </sheetData>
      <sheetData sheetId="11720">
        <row r="1">
          <cell r="J1">
            <v>1.7453292519943295E-2</v>
          </cell>
        </row>
      </sheetData>
      <sheetData sheetId="11721">
        <row r="1">
          <cell r="J1">
            <v>1.7453292519943295E-2</v>
          </cell>
        </row>
      </sheetData>
      <sheetData sheetId="11722">
        <row r="1">
          <cell r="J1">
            <v>1.7453292519943295E-2</v>
          </cell>
        </row>
      </sheetData>
      <sheetData sheetId="11723">
        <row r="1">
          <cell r="J1">
            <v>1.7453292519943295E-2</v>
          </cell>
        </row>
      </sheetData>
      <sheetData sheetId="11724">
        <row r="1">
          <cell r="J1">
            <v>1.7453292519943295E-2</v>
          </cell>
        </row>
      </sheetData>
      <sheetData sheetId="11725">
        <row r="1">
          <cell r="J1">
            <v>1.7453292519943295E-2</v>
          </cell>
        </row>
      </sheetData>
      <sheetData sheetId="11726">
        <row r="1">
          <cell r="J1">
            <v>1.7453292519943295E-2</v>
          </cell>
        </row>
      </sheetData>
      <sheetData sheetId="11727">
        <row r="1">
          <cell r="J1">
            <v>1.7453292519943295E-2</v>
          </cell>
        </row>
      </sheetData>
      <sheetData sheetId="11728">
        <row r="1">
          <cell r="J1">
            <v>1.7453292519943295E-2</v>
          </cell>
        </row>
      </sheetData>
      <sheetData sheetId="11729">
        <row r="1">
          <cell r="J1">
            <v>1.7453292519943295E-2</v>
          </cell>
        </row>
      </sheetData>
      <sheetData sheetId="11730">
        <row r="1">
          <cell r="J1">
            <v>1.7453292519943295E-2</v>
          </cell>
        </row>
      </sheetData>
      <sheetData sheetId="11731">
        <row r="1">
          <cell r="J1">
            <v>1.7453292519943295E-2</v>
          </cell>
        </row>
      </sheetData>
      <sheetData sheetId="11732">
        <row r="1">
          <cell r="J1">
            <v>1.7453292519943295E-2</v>
          </cell>
        </row>
      </sheetData>
      <sheetData sheetId="11733">
        <row r="1">
          <cell r="J1">
            <v>1.7453292519943295E-2</v>
          </cell>
        </row>
      </sheetData>
      <sheetData sheetId="11734">
        <row r="1">
          <cell r="J1">
            <v>1.7453292519943295E-2</v>
          </cell>
        </row>
      </sheetData>
      <sheetData sheetId="11735">
        <row r="1">
          <cell r="J1">
            <v>1.7453292519943295E-2</v>
          </cell>
        </row>
      </sheetData>
      <sheetData sheetId="11736">
        <row r="1">
          <cell r="J1">
            <v>1.7453292519943295E-2</v>
          </cell>
        </row>
      </sheetData>
      <sheetData sheetId="11737">
        <row r="1">
          <cell r="J1">
            <v>1.7453292519943295E-2</v>
          </cell>
        </row>
      </sheetData>
      <sheetData sheetId="11738">
        <row r="1">
          <cell r="J1">
            <v>1.7453292519943295E-2</v>
          </cell>
        </row>
      </sheetData>
      <sheetData sheetId="11739">
        <row r="1">
          <cell r="J1">
            <v>1.7453292519943295E-2</v>
          </cell>
        </row>
      </sheetData>
      <sheetData sheetId="11740">
        <row r="1">
          <cell r="J1">
            <v>1.7453292519943295E-2</v>
          </cell>
        </row>
      </sheetData>
      <sheetData sheetId="11741">
        <row r="1">
          <cell r="J1">
            <v>1.7453292519943295E-2</v>
          </cell>
        </row>
      </sheetData>
      <sheetData sheetId="11742">
        <row r="1">
          <cell r="J1">
            <v>1.7453292519943295E-2</v>
          </cell>
        </row>
      </sheetData>
      <sheetData sheetId="11743">
        <row r="1">
          <cell r="J1">
            <v>1.7453292519943295E-2</v>
          </cell>
        </row>
      </sheetData>
      <sheetData sheetId="11744">
        <row r="1">
          <cell r="J1">
            <v>1.7453292519943295E-2</v>
          </cell>
        </row>
      </sheetData>
      <sheetData sheetId="11745">
        <row r="1">
          <cell r="J1">
            <v>1.7453292519943295E-2</v>
          </cell>
        </row>
      </sheetData>
      <sheetData sheetId="11746">
        <row r="1">
          <cell r="J1">
            <v>1.7453292519943295E-2</v>
          </cell>
        </row>
      </sheetData>
      <sheetData sheetId="11747">
        <row r="1">
          <cell r="J1">
            <v>1.7453292519943295E-2</v>
          </cell>
        </row>
      </sheetData>
      <sheetData sheetId="11748">
        <row r="1">
          <cell r="J1">
            <v>1.7453292519943295E-2</v>
          </cell>
        </row>
      </sheetData>
      <sheetData sheetId="11749">
        <row r="1">
          <cell r="J1">
            <v>1.7453292519943295E-2</v>
          </cell>
        </row>
      </sheetData>
      <sheetData sheetId="11750">
        <row r="1">
          <cell r="J1">
            <v>1.7453292519943295E-2</v>
          </cell>
        </row>
      </sheetData>
      <sheetData sheetId="11751">
        <row r="1">
          <cell r="J1">
            <v>1.7453292519943295E-2</v>
          </cell>
        </row>
      </sheetData>
      <sheetData sheetId="11752">
        <row r="1">
          <cell r="J1">
            <v>1.7453292519943295E-2</v>
          </cell>
        </row>
      </sheetData>
      <sheetData sheetId="11753">
        <row r="1">
          <cell r="J1">
            <v>1.7453292519943295E-2</v>
          </cell>
        </row>
      </sheetData>
      <sheetData sheetId="11754">
        <row r="1">
          <cell r="J1">
            <v>1.7453292519943295E-2</v>
          </cell>
        </row>
      </sheetData>
      <sheetData sheetId="11755">
        <row r="1">
          <cell r="J1">
            <v>1.7453292519943295E-2</v>
          </cell>
        </row>
      </sheetData>
      <sheetData sheetId="11756">
        <row r="1">
          <cell r="J1">
            <v>1.7453292519943295E-2</v>
          </cell>
        </row>
      </sheetData>
      <sheetData sheetId="11757">
        <row r="1">
          <cell r="J1">
            <v>1.7453292519943295E-2</v>
          </cell>
        </row>
      </sheetData>
      <sheetData sheetId="11758">
        <row r="1">
          <cell r="J1">
            <v>1.7453292519943295E-2</v>
          </cell>
        </row>
      </sheetData>
      <sheetData sheetId="11759">
        <row r="1">
          <cell r="J1">
            <v>1.7453292519943295E-2</v>
          </cell>
        </row>
      </sheetData>
      <sheetData sheetId="11760">
        <row r="1">
          <cell r="J1">
            <v>1.7453292519943295E-2</v>
          </cell>
        </row>
      </sheetData>
      <sheetData sheetId="11761">
        <row r="1">
          <cell r="J1">
            <v>1.7453292519943295E-2</v>
          </cell>
        </row>
      </sheetData>
      <sheetData sheetId="11762">
        <row r="1">
          <cell r="J1">
            <v>1.7453292519943295E-2</v>
          </cell>
        </row>
      </sheetData>
      <sheetData sheetId="11763">
        <row r="1">
          <cell r="J1">
            <v>1.7453292519943295E-2</v>
          </cell>
        </row>
      </sheetData>
      <sheetData sheetId="11764">
        <row r="1">
          <cell r="J1">
            <v>1.7453292519943295E-2</v>
          </cell>
        </row>
      </sheetData>
      <sheetData sheetId="11765">
        <row r="1">
          <cell r="J1">
            <v>1.7453292519943295E-2</v>
          </cell>
        </row>
      </sheetData>
      <sheetData sheetId="11766">
        <row r="1">
          <cell r="J1">
            <v>1.7453292519943295E-2</v>
          </cell>
        </row>
      </sheetData>
      <sheetData sheetId="11767">
        <row r="1">
          <cell r="J1">
            <v>1.7453292519943295E-2</v>
          </cell>
        </row>
      </sheetData>
      <sheetData sheetId="11768">
        <row r="1">
          <cell r="J1">
            <v>1.7453292519943295E-2</v>
          </cell>
        </row>
      </sheetData>
      <sheetData sheetId="11769">
        <row r="1">
          <cell r="J1">
            <v>1.7453292519943295E-2</v>
          </cell>
        </row>
      </sheetData>
      <sheetData sheetId="11770">
        <row r="1">
          <cell r="J1">
            <v>1.7453292519943295E-2</v>
          </cell>
        </row>
      </sheetData>
      <sheetData sheetId="11771">
        <row r="1">
          <cell r="J1">
            <v>1.7453292519943295E-2</v>
          </cell>
        </row>
      </sheetData>
      <sheetData sheetId="11772">
        <row r="1">
          <cell r="J1">
            <v>1.7453292519943295E-2</v>
          </cell>
        </row>
      </sheetData>
      <sheetData sheetId="11773">
        <row r="1">
          <cell r="J1">
            <v>1.7453292519943295E-2</v>
          </cell>
        </row>
      </sheetData>
      <sheetData sheetId="11774">
        <row r="1">
          <cell r="J1">
            <v>1.7453292519943295E-2</v>
          </cell>
        </row>
      </sheetData>
      <sheetData sheetId="11775">
        <row r="1">
          <cell r="J1">
            <v>1.7453292519943295E-2</v>
          </cell>
        </row>
      </sheetData>
      <sheetData sheetId="11776">
        <row r="1">
          <cell r="J1">
            <v>1.7453292519943295E-2</v>
          </cell>
        </row>
      </sheetData>
      <sheetData sheetId="11777">
        <row r="1">
          <cell r="J1">
            <v>1.7453292519943295E-2</v>
          </cell>
        </row>
      </sheetData>
      <sheetData sheetId="11778">
        <row r="1">
          <cell r="J1">
            <v>1.7453292519943295E-2</v>
          </cell>
        </row>
      </sheetData>
      <sheetData sheetId="11779">
        <row r="1">
          <cell r="J1">
            <v>1.7453292519943295E-2</v>
          </cell>
        </row>
      </sheetData>
      <sheetData sheetId="11780">
        <row r="1">
          <cell r="J1">
            <v>1.7453292519943295E-2</v>
          </cell>
        </row>
      </sheetData>
      <sheetData sheetId="11781">
        <row r="1">
          <cell r="J1">
            <v>1.7453292519943295E-2</v>
          </cell>
        </row>
      </sheetData>
      <sheetData sheetId="11782">
        <row r="1">
          <cell r="J1">
            <v>1.7453292519943295E-2</v>
          </cell>
        </row>
      </sheetData>
      <sheetData sheetId="11783">
        <row r="1">
          <cell r="J1">
            <v>1.7453292519943295E-2</v>
          </cell>
        </row>
      </sheetData>
      <sheetData sheetId="11784">
        <row r="1">
          <cell r="J1">
            <v>1.7453292519943295E-2</v>
          </cell>
        </row>
      </sheetData>
      <sheetData sheetId="11785">
        <row r="1">
          <cell r="J1">
            <v>1.7453292519943295E-2</v>
          </cell>
        </row>
      </sheetData>
      <sheetData sheetId="11786">
        <row r="1">
          <cell r="J1">
            <v>1.7453292519943295E-2</v>
          </cell>
        </row>
      </sheetData>
      <sheetData sheetId="11787">
        <row r="1">
          <cell r="J1">
            <v>1.7453292519943295E-2</v>
          </cell>
        </row>
      </sheetData>
      <sheetData sheetId="11788">
        <row r="1">
          <cell r="J1">
            <v>1.7453292519943295E-2</v>
          </cell>
        </row>
      </sheetData>
      <sheetData sheetId="11789">
        <row r="1">
          <cell r="J1">
            <v>1.7453292519943295E-2</v>
          </cell>
        </row>
      </sheetData>
      <sheetData sheetId="11790">
        <row r="1">
          <cell r="J1">
            <v>1.7453292519943295E-2</v>
          </cell>
        </row>
      </sheetData>
      <sheetData sheetId="11791">
        <row r="1">
          <cell r="J1">
            <v>1.7453292519943295E-2</v>
          </cell>
        </row>
      </sheetData>
      <sheetData sheetId="11792">
        <row r="1">
          <cell r="J1">
            <v>1.7453292519943295E-2</v>
          </cell>
        </row>
      </sheetData>
      <sheetData sheetId="11793">
        <row r="1">
          <cell r="J1">
            <v>1.7453292519943295E-2</v>
          </cell>
        </row>
      </sheetData>
      <sheetData sheetId="11794">
        <row r="1">
          <cell r="J1">
            <v>1.7453292519943295E-2</v>
          </cell>
        </row>
      </sheetData>
      <sheetData sheetId="11795">
        <row r="1">
          <cell r="J1">
            <v>1.7453292519943295E-2</v>
          </cell>
        </row>
      </sheetData>
      <sheetData sheetId="11796">
        <row r="1">
          <cell r="J1">
            <v>1.7453292519943295E-2</v>
          </cell>
        </row>
      </sheetData>
      <sheetData sheetId="11797">
        <row r="1">
          <cell r="J1">
            <v>1.7453292519943295E-2</v>
          </cell>
        </row>
      </sheetData>
      <sheetData sheetId="11798">
        <row r="1">
          <cell r="J1">
            <v>1.7453292519943295E-2</v>
          </cell>
        </row>
      </sheetData>
      <sheetData sheetId="11799">
        <row r="1">
          <cell r="J1">
            <v>1.7453292519943295E-2</v>
          </cell>
        </row>
      </sheetData>
      <sheetData sheetId="11800">
        <row r="1">
          <cell r="J1">
            <v>1.7453292519943295E-2</v>
          </cell>
        </row>
      </sheetData>
      <sheetData sheetId="11801">
        <row r="1">
          <cell r="J1">
            <v>1.7453292519943295E-2</v>
          </cell>
        </row>
      </sheetData>
      <sheetData sheetId="11802">
        <row r="1">
          <cell r="J1">
            <v>1.7453292519943295E-2</v>
          </cell>
        </row>
      </sheetData>
      <sheetData sheetId="11803">
        <row r="1">
          <cell r="J1">
            <v>1.7453292519943295E-2</v>
          </cell>
        </row>
      </sheetData>
      <sheetData sheetId="11804">
        <row r="1">
          <cell r="J1">
            <v>1.7453292519943295E-2</v>
          </cell>
        </row>
      </sheetData>
      <sheetData sheetId="11805">
        <row r="1">
          <cell r="J1">
            <v>1.7453292519943295E-2</v>
          </cell>
        </row>
      </sheetData>
      <sheetData sheetId="11806">
        <row r="1">
          <cell r="J1">
            <v>1.7453292519943295E-2</v>
          </cell>
        </row>
      </sheetData>
      <sheetData sheetId="11807">
        <row r="1">
          <cell r="J1">
            <v>1.7453292519943295E-2</v>
          </cell>
        </row>
      </sheetData>
      <sheetData sheetId="11808">
        <row r="1">
          <cell r="J1">
            <v>1.7453292519943295E-2</v>
          </cell>
        </row>
      </sheetData>
      <sheetData sheetId="11809">
        <row r="1">
          <cell r="J1">
            <v>1.7453292519943295E-2</v>
          </cell>
        </row>
      </sheetData>
      <sheetData sheetId="11810">
        <row r="1">
          <cell r="J1">
            <v>1.7453292519943295E-2</v>
          </cell>
        </row>
      </sheetData>
      <sheetData sheetId="11811">
        <row r="1">
          <cell r="J1">
            <v>1.7453292519943295E-2</v>
          </cell>
        </row>
      </sheetData>
      <sheetData sheetId="11812">
        <row r="1">
          <cell r="J1">
            <v>1.7453292519943295E-2</v>
          </cell>
        </row>
      </sheetData>
      <sheetData sheetId="11813">
        <row r="1">
          <cell r="J1">
            <v>1.7453292519943295E-2</v>
          </cell>
        </row>
      </sheetData>
      <sheetData sheetId="11814">
        <row r="1">
          <cell r="J1">
            <v>1.7453292519943295E-2</v>
          </cell>
        </row>
      </sheetData>
      <sheetData sheetId="11815">
        <row r="1">
          <cell r="J1">
            <v>1.7453292519943295E-2</v>
          </cell>
        </row>
      </sheetData>
      <sheetData sheetId="11816">
        <row r="1">
          <cell r="J1">
            <v>1.7453292519943295E-2</v>
          </cell>
        </row>
      </sheetData>
      <sheetData sheetId="11817">
        <row r="1">
          <cell r="J1">
            <v>1.7453292519943295E-2</v>
          </cell>
        </row>
      </sheetData>
      <sheetData sheetId="11818">
        <row r="1">
          <cell r="J1">
            <v>1.7453292519943295E-2</v>
          </cell>
        </row>
      </sheetData>
      <sheetData sheetId="11819">
        <row r="1">
          <cell r="J1">
            <v>1.7453292519943295E-2</v>
          </cell>
        </row>
      </sheetData>
      <sheetData sheetId="11820">
        <row r="1">
          <cell r="J1">
            <v>1.7453292519943295E-2</v>
          </cell>
        </row>
      </sheetData>
      <sheetData sheetId="11821">
        <row r="1">
          <cell r="J1">
            <v>1.7453292519943295E-2</v>
          </cell>
        </row>
      </sheetData>
      <sheetData sheetId="11822">
        <row r="1">
          <cell r="J1">
            <v>1.7453292519943295E-2</v>
          </cell>
        </row>
      </sheetData>
      <sheetData sheetId="11823">
        <row r="1">
          <cell r="J1">
            <v>1.7453292519943295E-2</v>
          </cell>
        </row>
      </sheetData>
      <sheetData sheetId="11824">
        <row r="1">
          <cell r="J1">
            <v>1.7453292519943295E-2</v>
          </cell>
        </row>
      </sheetData>
      <sheetData sheetId="11825">
        <row r="1">
          <cell r="J1">
            <v>1.7453292519943295E-2</v>
          </cell>
        </row>
      </sheetData>
      <sheetData sheetId="11826">
        <row r="1">
          <cell r="J1">
            <v>1.7453292519943295E-2</v>
          </cell>
        </row>
      </sheetData>
      <sheetData sheetId="11827">
        <row r="1">
          <cell r="J1">
            <v>1.7453292519943295E-2</v>
          </cell>
        </row>
      </sheetData>
      <sheetData sheetId="11828">
        <row r="1">
          <cell r="J1">
            <v>1.7453292519943295E-2</v>
          </cell>
        </row>
      </sheetData>
      <sheetData sheetId="11829">
        <row r="1">
          <cell r="J1">
            <v>1.7453292519943295E-2</v>
          </cell>
        </row>
      </sheetData>
      <sheetData sheetId="11830">
        <row r="1">
          <cell r="J1">
            <v>1.7453292519943295E-2</v>
          </cell>
        </row>
      </sheetData>
      <sheetData sheetId="11831">
        <row r="1">
          <cell r="J1">
            <v>1.7453292519943295E-2</v>
          </cell>
        </row>
      </sheetData>
      <sheetData sheetId="11832">
        <row r="1">
          <cell r="J1">
            <v>1.7453292519943295E-2</v>
          </cell>
        </row>
      </sheetData>
      <sheetData sheetId="11833">
        <row r="1">
          <cell r="J1">
            <v>1.7453292519943295E-2</v>
          </cell>
        </row>
      </sheetData>
      <sheetData sheetId="11834">
        <row r="1">
          <cell r="J1">
            <v>1.7453292519943295E-2</v>
          </cell>
        </row>
      </sheetData>
      <sheetData sheetId="11835">
        <row r="1">
          <cell r="J1">
            <v>1.7453292519943295E-2</v>
          </cell>
        </row>
      </sheetData>
      <sheetData sheetId="11836">
        <row r="1">
          <cell r="J1">
            <v>1.7453292519943295E-2</v>
          </cell>
        </row>
      </sheetData>
      <sheetData sheetId="11837">
        <row r="1">
          <cell r="J1">
            <v>1.7453292519943295E-2</v>
          </cell>
        </row>
      </sheetData>
      <sheetData sheetId="11838">
        <row r="1">
          <cell r="J1">
            <v>1.7453292519943295E-2</v>
          </cell>
        </row>
      </sheetData>
      <sheetData sheetId="11839">
        <row r="1">
          <cell r="J1">
            <v>1.7453292519943295E-2</v>
          </cell>
        </row>
      </sheetData>
      <sheetData sheetId="11840">
        <row r="1">
          <cell r="J1">
            <v>1.7453292519943295E-2</v>
          </cell>
        </row>
      </sheetData>
      <sheetData sheetId="11841">
        <row r="1">
          <cell r="J1">
            <v>1.7453292519943295E-2</v>
          </cell>
        </row>
      </sheetData>
      <sheetData sheetId="11842">
        <row r="1">
          <cell r="J1">
            <v>1.7453292519943295E-2</v>
          </cell>
        </row>
      </sheetData>
      <sheetData sheetId="11843">
        <row r="1">
          <cell r="J1">
            <v>1.7453292519943295E-2</v>
          </cell>
        </row>
      </sheetData>
      <sheetData sheetId="11844">
        <row r="1">
          <cell r="J1">
            <v>1.7453292519943295E-2</v>
          </cell>
        </row>
      </sheetData>
      <sheetData sheetId="11845">
        <row r="1">
          <cell r="J1">
            <v>1.7453292519943295E-2</v>
          </cell>
        </row>
      </sheetData>
      <sheetData sheetId="11846">
        <row r="1">
          <cell r="J1">
            <v>1.7453292519943295E-2</v>
          </cell>
        </row>
      </sheetData>
      <sheetData sheetId="11847">
        <row r="1">
          <cell r="J1">
            <v>1.7453292519943295E-2</v>
          </cell>
        </row>
      </sheetData>
      <sheetData sheetId="11848">
        <row r="1">
          <cell r="J1">
            <v>1.7453292519943295E-2</v>
          </cell>
        </row>
      </sheetData>
      <sheetData sheetId="11849">
        <row r="1">
          <cell r="J1">
            <v>1.7453292519943295E-2</v>
          </cell>
        </row>
      </sheetData>
      <sheetData sheetId="11850">
        <row r="1">
          <cell r="J1">
            <v>1.7453292519943295E-2</v>
          </cell>
        </row>
      </sheetData>
      <sheetData sheetId="11851">
        <row r="1">
          <cell r="J1">
            <v>1.7453292519943295E-2</v>
          </cell>
        </row>
      </sheetData>
      <sheetData sheetId="11852">
        <row r="1">
          <cell r="J1">
            <v>1.7453292519943295E-2</v>
          </cell>
        </row>
      </sheetData>
      <sheetData sheetId="11853">
        <row r="1">
          <cell r="J1">
            <v>1.7453292519943295E-2</v>
          </cell>
        </row>
      </sheetData>
      <sheetData sheetId="11854">
        <row r="1">
          <cell r="J1">
            <v>1.7453292519943295E-2</v>
          </cell>
        </row>
      </sheetData>
      <sheetData sheetId="11855">
        <row r="1">
          <cell r="J1">
            <v>1.7453292519943295E-2</v>
          </cell>
        </row>
      </sheetData>
      <sheetData sheetId="11856">
        <row r="1">
          <cell r="J1">
            <v>1.7453292519943295E-2</v>
          </cell>
        </row>
      </sheetData>
      <sheetData sheetId="11857">
        <row r="1">
          <cell r="J1">
            <v>1.7453292519943295E-2</v>
          </cell>
        </row>
      </sheetData>
      <sheetData sheetId="11858">
        <row r="1">
          <cell r="J1">
            <v>1.7453292519943295E-2</v>
          </cell>
        </row>
      </sheetData>
      <sheetData sheetId="11859">
        <row r="1">
          <cell r="J1">
            <v>1.7453292519943295E-2</v>
          </cell>
        </row>
      </sheetData>
      <sheetData sheetId="11860">
        <row r="1">
          <cell r="J1">
            <v>1.7453292519943295E-2</v>
          </cell>
        </row>
      </sheetData>
      <sheetData sheetId="11861">
        <row r="1">
          <cell r="J1">
            <v>1.7453292519943295E-2</v>
          </cell>
        </row>
      </sheetData>
      <sheetData sheetId="11862">
        <row r="1">
          <cell r="J1">
            <v>1.7453292519943295E-2</v>
          </cell>
        </row>
      </sheetData>
      <sheetData sheetId="11863">
        <row r="1">
          <cell r="J1">
            <v>1.7453292519943295E-2</v>
          </cell>
        </row>
      </sheetData>
      <sheetData sheetId="11864">
        <row r="1">
          <cell r="J1">
            <v>1.7453292519943295E-2</v>
          </cell>
        </row>
      </sheetData>
      <sheetData sheetId="11865">
        <row r="1">
          <cell r="J1">
            <v>1.7453292519943295E-2</v>
          </cell>
        </row>
      </sheetData>
      <sheetData sheetId="11866">
        <row r="1">
          <cell r="J1">
            <v>1.7453292519943295E-2</v>
          </cell>
        </row>
      </sheetData>
      <sheetData sheetId="11867">
        <row r="1">
          <cell r="J1">
            <v>1.7453292519943295E-2</v>
          </cell>
        </row>
      </sheetData>
      <sheetData sheetId="11868">
        <row r="1">
          <cell r="J1">
            <v>1.7453292519943295E-2</v>
          </cell>
        </row>
      </sheetData>
      <sheetData sheetId="11869">
        <row r="1">
          <cell r="J1">
            <v>1.7453292519943295E-2</v>
          </cell>
        </row>
      </sheetData>
      <sheetData sheetId="11870">
        <row r="1">
          <cell r="J1">
            <v>1.7453292519943295E-2</v>
          </cell>
        </row>
      </sheetData>
      <sheetData sheetId="11871">
        <row r="1">
          <cell r="J1">
            <v>1.7453292519943295E-2</v>
          </cell>
        </row>
      </sheetData>
      <sheetData sheetId="11872">
        <row r="1">
          <cell r="J1">
            <v>1.7453292519943295E-2</v>
          </cell>
        </row>
      </sheetData>
      <sheetData sheetId="11873">
        <row r="1">
          <cell r="J1">
            <v>1.7453292519943295E-2</v>
          </cell>
        </row>
      </sheetData>
      <sheetData sheetId="11874">
        <row r="1">
          <cell r="J1">
            <v>1.7453292519943295E-2</v>
          </cell>
        </row>
      </sheetData>
      <sheetData sheetId="11875">
        <row r="1">
          <cell r="J1">
            <v>1.7453292519943295E-2</v>
          </cell>
        </row>
      </sheetData>
      <sheetData sheetId="11876">
        <row r="1">
          <cell r="J1">
            <v>1.7453292519943295E-2</v>
          </cell>
        </row>
      </sheetData>
      <sheetData sheetId="11877">
        <row r="1">
          <cell r="J1">
            <v>1.7453292519943295E-2</v>
          </cell>
        </row>
      </sheetData>
      <sheetData sheetId="11878">
        <row r="1">
          <cell r="J1">
            <v>1.7453292519943295E-2</v>
          </cell>
        </row>
      </sheetData>
      <sheetData sheetId="11879">
        <row r="1">
          <cell r="J1">
            <v>1.7453292519943295E-2</v>
          </cell>
        </row>
      </sheetData>
      <sheetData sheetId="11880">
        <row r="1">
          <cell r="J1">
            <v>1.7453292519943295E-2</v>
          </cell>
        </row>
      </sheetData>
      <sheetData sheetId="11881">
        <row r="1">
          <cell r="J1">
            <v>1.7453292519943295E-2</v>
          </cell>
        </row>
      </sheetData>
      <sheetData sheetId="11882">
        <row r="1">
          <cell r="J1">
            <v>1.7453292519943295E-2</v>
          </cell>
        </row>
      </sheetData>
      <sheetData sheetId="11883">
        <row r="1">
          <cell r="J1">
            <v>1.7453292519943295E-2</v>
          </cell>
        </row>
      </sheetData>
      <sheetData sheetId="11884">
        <row r="1">
          <cell r="J1">
            <v>1.7453292519943295E-2</v>
          </cell>
        </row>
      </sheetData>
      <sheetData sheetId="11885">
        <row r="1">
          <cell r="J1">
            <v>1.7453292519943295E-2</v>
          </cell>
        </row>
      </sheetData>
      <sheetData sheetId="11886">
        <row r="1">
          <cell r="J1">
            <v>1.7453292519943295E-2</v>
          </cell>
        </row>
      </sheetData>
      <sheetData sheetId="11887">
        <row r="1">
          <cell r="J1">
            <v>1.7453292519943295E-2</v>
          </cell>
        </row>
      </sheetData>
      <sheetData sheetId="11888">
        <row r="1">
          <cell r="J1">
            <v>1.7453292519943295E-2</v>
          </cell>
        </row>
      </sheetData>
      <sheetData sheetId="11889">
        <row r="1">
          <cell r="J1">
            <v>1.7453292519943295E-2</v>
          </cell>
        </row>
      </sheetData>
      <sheetData sheetId="11890">
        <row r="1">
          <cell r="J1">
            <v>1.7453292519943295E-2</v>
          </cell>
        </row>
      </sheetData>
      <sheetData sheetId="11891">
        <row r="1">
          <cell r="J1">
            <v>1.7453292519943295E-2</v>
          </cell>
        </row>
      </sheetData>
      <sheetData sheetId="11892">
        <row r="1">
          <cell r="J1">
            <v>1.7453292519943295E-2</v>
          </cell>
        </row>
      </sheetData>
      <sheetData sheetId="11893">
        <row r="1">
          <cell r="J1">
            <v>1.7453292519943295E-2</v>
          </cell>
        </row>
      </sheetData>
      <sheetData sheetId="11894">
        <row r="1">
          <cell r="J1">
            <v>1.7453292519943295E-2</v>
          </cell>
        </row>
      </sheetData>
      <sheetData sheetId="11895">
        <row r="1">
          <cell r="J1">
            <v>1.7453292519943295E-2</v>
          </cell>
        </row>
      </sheetData>
      <sheetData sheetId="11896">
        <row r="1">
          <cell r="J1">
            <v>1.7453292519943295E-2</v>
          </cell>
        </row>
      </sheetData>
      <sheetData sheetId="11897">
        <row r="1">
          <cell r="J1">
            <v>1.7453292519943295E-2</v>
          </cell>
        </row>
      </sheetData>
      <sheetData sheetId="11898">
        <row r="1">
          <cell r="J1">
            <v>1.7453292519943295E-2</v>
          </cell>
        </row>
      </sheetData>
      <sheetData sheetId="11899">
        <row r="1">
          <cell r="J1">
            <v>1.7453292519943295E-2</v>
          </cell>
        </row>
      </sheetData>
      <sheetData sheetId="11900">
        <row r="1">
          <cell r="J1">
            <v>1.7453292519943295E-2</v>
          </cell>
        </row>
      </sheetData>
      <sheetData sheetId="11901">
        <row r="1">
          <cell r="J1">
            <v>1.7453292519943295E-2</v>
          </cell>
        </row>
      </sheetData>
      <sheetData sheetId="11902">
        <row r="1">
          <cell r="J1">
            <v>1.7453292519943295E-2</v>
          </cell>
        </row>
      </sheetData>
      <sheetData sheetId="11903">
        <row r="1">
          <cell r="J1">
            <v>1.7453292519943295E-2</v>
          </cell>
        </row>
      </sheetData>
      <sheetData sheetId="11904">
        <row r="1">
          <cell r="J1">
            <v>1.7453292519943295E-2</v>
          </cell>
        </row>
      </sheetData>
      <sheetData sheetId="11905">
        <row r="1">
          <cell r="J1">
            <v>1.7453292519943295E-2</v>
          </cell>
        </row>
      </sheetData>
      <sheetData sheetId="11906">
        <row r="1">
          <cell r="J1">
            <v>1.7453292519943295E-2</v>
          </cell>
        </row>
      </sheetData>
      <sheetData sheetId="11907">
        <row r="1">
          <cell r="J1">
            <v>1.7453292519943295E-2</v>
          </cell>
        </row>
      </sheetData>
      <sheetData sheetId="11908">
        <row r="1">
          <cell r="J1">
            <v>1.7453292519943295E-2</v>
          </cell>
        </row>
      </sheetData>
      <sheetData sheetId="11909">
        <row r="1">
          <cell r="J1">
            <v>1.7453292519943295E-2</v>
          </cell>
        </row>
      </sheetData>
      <sheetData sheetId="11910">
        <row r="1">
          <cell r="J1">
            <v>1.7453292519943295E-2</v>
          </cell>
        </row>
      </sheetData>
      <sheetData sheetId="11911">
        <row r="1">
          <cell r="J1">
            <v>1.7453292519943295E-2</v>
          </cell>
        </row>
      </sheetData>
      <sheetData sheetId="11912">
        <row r="1">
          <cell r="J1">
            <v>1.7453292519943295E-2</v>
          </cell>
        </row>
      </sheetData>
      <sheetData sheetId="11913">
        <row r="1">
          <cell r="J1">
            <v>1.7453292519943295E-2</v>
          </cell>
        </row>
      </sheetData>
      <sheetData sheetId="11914">
        <row r="1">
          <cell r="J1">
            <v>1.7453292519943295E-2</v>
          </cell>
        </row>
      </sheetData>
      <sheetData sheetId="11915">
        <row r="1">
          <cell r="J1">
            <v>1.7453292519943295E-2</v>
          </cell>
        </row>
      </sheetData>
      <sheetData sheetId="11916">
        <row r="1">
          <cell r="J1">
            <v>1.7453292519943295E-2</v>
          </cell>
        </row>
      </sheetData>
      <sheetData sheetId="11917">
        <row r="1">
          <cell r="J1">
            <v>1.7453292519943295E-2</v>
          </cell>
        </row>
      </sheetData>
      <sheetData sheetId="11918">
        <row r="1">
          <cell r="J1">
            <v>1.7453292519943295E-2</v>
          </cell>
        </row>
      </sheetData>
      <sheetData sheetId="11919">
        <row r="1">
          <cell r="J1">
            <v>1.7453292519943295E-2</v>
          </cell>
        </row>
      </sheetData>
      <sheetData sheetId="11920">
        <row r="1">
          <cell r="J1">
            <v>1.7453292519943295E-2</v>
          </cell>
        </row>
      </sheetData>
      <sheetData sheetId="11921">
        <row r="1">
          <cell r="J1">
            <v>1.7453292519943295E-2</v>
          </cell>
        </row>
      </sheetData>
      <sheetData sheetId="11922">
        <row r="1">
          <cell r="J1">
            <v>1.7453292519943295E-2</v>
          </cell>
        </row>
      </sheetData>
      <sheetData sheetId="11923">
        <row r="1">
          <cell r="J1">
            <v>1.7453292519943295E-2</v>
          </cell>
        </row>
      </sheetData>
      <sheetData sheetId="11924">
        <row r="1">
          <cell r="J1">
            <v>1.7453292519943295E-2</v>
          </cell>
        </row>
      </sheetData>
      <sheetData sheetId="11925">
        <row r="1">
          <cell r="J1">
            <v>1.7453292519943295E-2</v>
          </cell>
        </row>
      </sheetData>
      <sheetData sheetId="11926">
        <row r="1">
          <cell r="J1">
            <v>1.7453292519943295E-2</v>
          </cell>
        </row>
      </sheetData>
      <sheetData sheetId="11927">
        <row r="1">
          <cell r="J1">
            <v>1.7453292519943295E-2</v>
          </cell>
        </row>
      </sheetData>
      <sheetData sheetId="11928">
        <row r="1">
          <cell r="J1">
            <v>1.7453292519943295E-2</v>
          </cell>
        </row>
      </sheetData>
      <sheetData sheetId="11929">
        <row r="1">
          <cell r="J1">
            <v>1.7453292519943295E-2</v>
          </cell>
        </row>
      </sheetData>
      <sheetData sheetId="11930">
        <row r="1">
          <cell r="J1">
            <v>1.7453292519943295E-2</v>
          </cell>
        </row>
      </sheetData>
      <sheetData sheetId="11931">
        <row r="1">
          <cell r="J1">
            <v>1.7453292519943295E-2</v>
          </cell>
        </row>
      </sheetData>
      <sheetData sheetId="11932">
        <row r="1">
          <cell r="J1">
            <v>1.7453292519943295E-2</v>
          </cell>
        </row>
      </sheetData>
      <sheetData sheetId="11933">
        <row r="1">
          <cell r="J1">
            <v>1.7453292519943295E-2</v>
          </cell>
        </row>
      </sheetData>
      <sheetData sheetId="11934">
        <row r="1">
          <cell r="J1">
            <v>1.7453292519943295E-2</v>
          </cell>
        </row>
      </sheetData>
      <sheetData sheetId="11935">
        <row r="1">
          <cell r="J1">
            <v>1.7453292519943295E-2</v>
          </cell>
        </row>
      </sheetData>
      <sheetData sheetId="11936">
        <row r="1">
          <cell r="J1">
            <v>1.7453292519943295E-2</v>
          </cell>
        </row>
      </sheetData>
      <sheetData sheetId="11937">
        <row r="1">
          <cell r="J1">
            <v>1.7453292519943295E-2</v>
          </cell>
        </row>
      </sheetData>
      <sheetData sheetId="11938">
        <row r="1">
          <cell r="J1">
            <v>1.7453292519943295E-2</v>
          </cell>
        </row>
      </sheetData>
      <sheetData sheetId="11939">
        <row r="1">
          <cell r="J1">
            <v>1.7453292519943295E-2</v>
          </cell>
        </row>
      </sheetData>
      <sheetData sheetId="11940">
        <row r="1">
          <cell r="J1">
            <v>1.7453292519943295E-2</v>
          </cell>
        </row>
      </sheetData>
      <sheetData sheetId="11941">
        <row r="1">
          <cell r="J1">
            <v>1.7453292519943295E-2</v>
          </cell>
        </row>
      </sheetData>
      <sheetData sheetId="11942">
        <row r="1">
          <cell r="J1">
            <v>1.7453292519943295E-2</v>
          </cell>
        </row>
      </sheetData>
      <sheetData sheetId="11943">
        <row r="1">
          <cell r="J1">
            <v>1.7453292519943295E-2</v>
          </cell>
        </row>
      </sheetData>
      <sheetData sheetId="11944">
        <row r="1">
          <cell r="J1">
            <v>1.7453292519943295E-2</v>
          </cell>
        </row>
      </sheetData>
      <sheetData sheetId="11945">
        <row r="1">
          <cell r="J1">
            <v>1.7453292519943295E-2</v>
          </cell>
        </row>
      </sheetData>
      <sheetData sheetId="11946">
        <row r="1">
          <cell r="J1">
            <v>1.7453292519943295E-2</v>
          </cell>
        </row>
      </sheetData>
      <sheetData sheetId="11947">
        <row r="1">
          <cell r="J1">
            <v>1.7453292519943295E-2</v>
          </cell>
        </row>
      </sheetData>
      <sheetData sheetId="11948">
        <row r="1">
          <cell r="J1">
            <v>1.7453292519943295E-2</v>
          </cell>
        </row>
      </sheetData>
      <sheetData sheetId="11949">
        <row r="1">
          <cell r="J1">
            <v>1.7453292519943295E-2</v>
          </cell>
        </row>
      </sheetData>
      <sheetData sheetId="11950">
        <row r="1">
          <cell r="J1">
            <v>1.7453292519943295E-2</v>
          </cell>
        </row>
      </sheetData>
      <sheetData sheetId="11951">
        <row r="1">
          <cell r="J1">
            <v>1.7453292519943295E-2</v>
          </cell>
        </row>
      </sheetData>
      <sheetData sheetId="11952">
        <row r="1">
          <cell r="J1">
            <v>1.7453292519943295E-2</v>
          </cell>
        </row>
      </sheetData>
      <sheetData sheetId="11953">
        <row r="1">
          <cell r="J1">
            <v>1.7453292519943295E-2</v>
          </cell>
        </row>
      </sheetData>
      <sheetData sheetId="11954">
        <row r="1">
          <cell r="J1">
            <v>1.7453292519943295E-2</v>
          </cell>
        </row>
      </sheetData>
      <sheetData sheetId="11955">
        <row r="1">
          <cell r="J1">
            <v>1.7453292519943295E-2</v>
          </cell>
        </row>
      </sheetData>
      <sheetData sheetId="11956">
        <row r="1">
          <cell r="J1">
            <v>1.7453292519943295E-2</v>
          </cell>
        </row>
      </sheetData>
      <sheetData sheetId="11957">
        <row r="1">
          <cell r="J1">
            <v>1.7453292519943295E-2</v>
          </cell>
        </row>
      </sheetData>
      <sheetData sheetId="11958">
        <row r="1">
          <cell r="J1">
            <v>1.7453292519943295E-2</v>
          </cell>
        </row>
      </sheetData>
      <sheetData sheetId="11959">
        <row r="1">
          <cell r="J1">
            <v>1.7453292519943295E-2</v>
          </cell>
        </row>
      </sheetData>
      <sheetData sheetId="11960">
        <row r="1">
          <cell r="J1">
            <v>1.7453292519943295E-2</v>
          </cell>
        </row>
      </sheetData>
      <sheetData sheetId="11961">
        <row r="1">
          <cell r="J1">
            <v>1.7453292519943295E-2</v>
          </cell>
        </row>
      </sheetData>
      <sheetData sheetId="11962">
        <row r="1">
          <cell r="J1">
            <v>1.7453292519943295E-2</v>
          </cell>
        </row>
      </sheetData>
      <sheetData sheetId="11963">
        <row r="1">
          <cell r="J1">
            <v>1.7453292519943295E-2</v>
          </cell>
        </row>
      </sheetData>
      <sheetData sheetId="11964">
        <row r="1">
          <cell r="J1">
            <v>1.7453292519943295E-2</v>
          </cell>
        </row>
      </sheetData>
      <sheetData sheetId="11965">
        <row r="1">
          <cell r="J1">
            <v>1.7453292519943295E-2</v>
          </cell>
        </row>
      </sheetData>
      <sheetData sheetId="11966">
        <row r="1">
          <cell r="J1">
            <v>1.7453292519943295E-2</v>
          </cell>
        </row>
      </sheetData>
      <sheetData sheetId="11967">
        <row r="1">
          <cell r="J1">
            <v>1.7453292519943295E-2</v>
          </cell>
        </row>
      </sheetData>
      <sheetData sheetId="11968">
        <row r="1">
          <cell r="J1">
            <v>1.7453292519943295E-2</v>
          </cell>
        </row>
      </sheetData>
      <sheetData sheetId="11969">
        <row r="1">
          <cell r="J1">
            <v>1.7453292519943295E-2</v>
          </cell>
        </row>
      </sheetData>
      <sheetData sheetId="11970">
        <row r="1">
          <cell r="J1">
            <v>1.7453292519943295E-2</v>
          </cell>
        </row>
      </sheetData>
      <sheetData sheetId="11971">
        <row r="1">
          <cell r="J1">
            <v>1.7453292519943295E-2</v>
          </cell>
        </row>
      </sheetData>
      <sheetData sheetId="11972">
        <row r="1">
          <cell r="J1">
            <v>1.7453292519943295E-2</v>
          </cell>
        </row>
      </sheetData>
      <sheetData sheetId="11973">
        <row r="1">
          <cell r="J1">
            <v>1.7453292519943295E-2</v>
          </cell>
        </row>
      </sheetData>
      <sheetData sheetId="11974">
        <row r="1">
          <cell r="J1">
            <v>1.7453292519943295E-2</v>
          </cell>
        </row>
      </sheetData>
      <sheetData sheetId="11975">
        <row r="1">
          <cell r="J1">
            <v>1.7453292519943295E-2</v>
          </cell>
        </row>
      </sheetData>
      <sheetData sheetId="11976">
        <row r="1">
          <cell r="J1">
            <v>1.7453292519943295E-2</v>
          </cell>
        </row>
      </sheetData>
      <sheetData sheetId="11977">
        <row r="1">
          <cell r="J1">
            <v>1.7453292519943295E-2</v>
          </cell>
        </row>
      </sheetData>
      <sheetData sheetId="11978">
        <row r="1">
          <cell r="J1">
            <v>1.7453292519943295E-2</v>
          </cell>
        </row>
      </sheetData>
      <sheetData sheetId="11979">
        <row r="1">
          <cell r="J1">
            <v>1.7453292519943295E-2</v>
          </cell>
        </row>
      </sheetData>
      <sheetData sheetId="11980">
        <row r="1">
          <cell r="J1">
            <v>1.7453292519943295E-2</v>
          </cell>
        </row>
      </sheetData>
      <sheetData sheetId="11981">
        <row r="1">
          <cell r="J1">
            <v>1.7453292519943295E-2</v>
          </cell>
        </row>
      </sheetData>
      <sheetData sheetId="11982">
        <row r="1">
          <cell r="J1">
            <v>1.7453292519943295E-2</v>
          </cell>
        </row>
      </sheetData>
      <sheetData sheetId="11983">
        <row r="1">
          <cell r="J1">
            <v>1.7453292519943295E-2</v>
          </cell>
        </row>
      </sheetData>
      <sheetData sheetId="11984">
        <row r="1">
          <cell r="J1">
            <v>1.7453292519943295E-2</v>
          </cell>
        </row>
      </sheetData>
      <sheetData sheetId="11985">
        <row r="1">
          <cell r="J1">
            <v>1.7453292519943295E-2</v>
          </cell>
        </row>
      </sheetData>
      <sheetData sheetId="11986">
        <row r="1">
          <cell r="J1">
            <v>1.7453292519943295E-2</v>
          </cell>
        </row>
      </sheetData>
      <sheetData sheetId="11987">
        <row r="1">
          <cell r="J1">
            <v>1.7453292519943295E-2</v>
          </cell>
        </row>
      </sheetData>
      <sheetData sheetId="11988">
        <row r="1">
          <cell r="J1">
            <v>1.7453292519943295E-2</v>
          </cell>
        </row>
      </sheetData>
      <sheetData sheetId="11989">
        <row r="1">
          <cell r="J1">
            <v>1.7453292519943295E-2</v>
          </cell>
        </row>
      </sheetData>
      <sheetData sheetId="11990">
        <row r="1">
          <cell r="J1">
            <v>1.7453292519943295E-2</v>
          </cell>
        </row>
      </sheetData>
      <sheetData sheetId="11991">
        <row r="1">
          <cell r="J1">
            <v>1.7453292519943295E-2</v>
          </cell>
        </row>
      </sheetData>
      <sheetData sheetId="11992">
        <row r="1">
          <cell r="J1">
            <v>1.7453292519943295E-2</v>
          </cell>
        </row>
      </sheetData>
      <sheetData sheetId="11993">
        <row r="1">
          <cell r="J1">
            <v>1.7453292519943295E-2</v>
          </cell>
        </row>
      </sheetData>
      <sheetData sheetId="11994">
        <row r="1">
          <cell r="J1">
            <v>1.7453292519943295E-2</v>
          </cell>
        </row>
      </sheetData>
      <sheetData sheetId="11995">
        <row r="1">
          <cell r="J1">
            <v>1.7453292519943295E-2</v>
          </cell>
        </row>
      </sheetData>
      <sheetData sheetId="11996">
        <row r="1">
          <cell r="J1">
            <v>1.7453292519943295E-2</v>
          </cell>
        </row>
      </sheetData>
      <sheetData sheetId="11997">
        <row r="1">
          <cell r="J1">
            <v>1.7453292519943295E-2</v>
          </cell>
        </row>
      </sheetData>
      <sheetData sheetId="11998">
        <row r="1">
          <cell r="J1">
            <v>1.7453292519943295E-2</v>
          </cell>
        </row>
      </sheetData>
      <sheetData sheetId="11999">
        <row r="1">
          <cell r="J1">
            <v>1.7453292519943295E-2</v>
          </cell>
        </row>
      </sheetData>
      <sheetData sheetId="12000">
        <row r="1">
          <cell r="J1">
            <v>1.7453292519943295E-2</v>
          </cell>
        </row>
      </sheetData>
      <sheetData sheetId="12001">
        <row r="1">
          <cell r="J1">
            <v>1.7453292519943295E-2</v>
          </cell>
        </row>
      </sheetData>
      <sheetData sheetId="12002">
        <row r="1">
          <cell r="J1">
            <v>1.7453292519943295E-2</v>
          </cell>
        </row>
      </sheetData>
      <sheetData sheetId="12003">
        <row r="1">
          <cell r="J1">
            <v>1.7453292519943295E-2</v>
          </cell>
        </row>
      </sheetData>
      <sheetData sheetId="12004">
        <row r="1">
          <cell r="J1">
            <v>1.7453292519943295E-2</v>
          </cell>
        </row>
      </sheetData>
      <sheetData sheetId="12005">
        <row r="1">
          <cell r="J1">
            <v>1.7453292519943295E-2</v>
          </cell>
        </row>
      </sheetData>
      <sheetData sheetId="12006">
        <row r="1">
          <cell r="J1">
            <v>1.7453292519943295E-2</v>
          </cell>
        </row>
      </sheetData>
      <sheetData sheetId="12007">
        <row r="1">
          <cell r="J1">
            <v>1.7453292519943295E-2</v>
          </cell>
        </row>
      </sheetData>
      <sheetData sheetId="12008">
        <row r="1">
          <cell r="J1">
            <v>1.7453292519943295E-2</v>
          </cell>
        </row>
      </sheetData>
      <sheetData sheetId="12009">
        <row r="1">
          <cell r="J1">
            <v>1.7453292519943295E-2</v>
          </cell>
        </row>
      </sheetData>
      <sheetData sheetId="12010">
        <row r="1">
          <cell r="J1">
            <v>1.7453292519943295E-2</v>
          </cell>
        </row>
      </sheetData>
      <sheetData sheetId="12011">
        <row r="1">
          <cell r="J1">
            <v>1.7453292519943295E-2</v>
          </cell>
        </row>
      </sheetData>
      <sheetData sheetId="12012">
        <row r="1">
          <cell r="J1">
            <v>1.7453292519943295E-2</v>
          </cell>
        </row>
      </sheetData>
      <sheetData sheetId="12013">
        <row r="1">
          <cell r="J1">
            <v>1.7453292519943295E-2</v>
          </cell>
        </row>
      </sheetData>
      <sheetData sheetId="12014">
        <row r="1">
          <cell r="J1">
            <v>1.7453292519943295E-2</v>
          </cell>
        </row>
      </sheetData>
      <sheetData sheetId="12015">
        <row r="1">
          <cell r="J1">
            <v>1.7453292519943295E-2</v>
          </cell>
        </row>
      </sheetData>
      <sheetData sheetId="12016">
        <row r="1">
          <cell r="J1">
            <v>1.7453292519943295E-2</v>
          </cell>
        </row>
      </sheetData>
      <sheetData sheetId="12017">
        <row r="1">
          <cell r="J1">
            <v>1.7453292519943295E-2</v>
          </cell>
        </row>
      </sheetData>
      <sheetData sheetId="12018">
        <row r="1">
          <cell r="J1">
            <v>1.7453292519943295E-2</v>
          </cell>
        </row>
      </sheetData>
      <sheetData sheetId="12019">
        <row r="1">
          <cell r="J1">
            <v>1.7453292519943295E-2</v>
          </cell>
        </row>
      </sheetData>
      <sheetData sheetId="12020">
        <row r="1">
          <cell r="J1">
            <v>1.7453292519943295E-2</v>
          </cell>
        </row>
      </sheetData>
      <sheetData sheetId="12021">
        <row r="1">
          <cell r="J1">
            <v>1.7453292519943295E-2</v>
          </cell>
        </row>
      </sheetData>
      <sheetData sheetId="12022">
        <row r="1">
          <cell r="J1">
            <v>1.7453292519943295E-2</v>
          </cell>
        </row>
      </sheetData>
      <sheetData sheetId="12023">
        <row r="1">
          <cell r="J1">
            <v>1.7453292519943295E-2</v>
          </cell>
        </row>
      </sheetData>
      <sheetData sheetId="12024">
        <row r="1">
          <cell r="J1">
            <v>1.7453292519943295E-2</v>
          </cell>
        </row>
      </sheetData>
      <sheetData sheetId="12025">
        <row r="1">
          <cell r="J1">
            <v>1.7453292519943295E-2</v>
          </cell>
        </row>
      </sheetData>
      <sheetData sheetId="12026">
        <row r="1">
          <cell r="J1">
            <v>1.7453292519943295E-2</v>
          </cell>
        </row>
      </sheetData>
      <sheetData sheetId="12027">
        <row r="1">
          <cell r="J1">
            <v>1.7453292519943295E-2</v>
          </cell>
        </row>
      </sheetData>
      <sheetData sheetId="12028">
        <row r="1">
          <cell r="J1">
            <v>1.7453292519943295E-2</v>
          </cell>
        </row>
      </sheetData>
      <sheetData sheetId="12029">
        <row r="1">
          <cell r="J1">
            <v>1.7453292519943295E-2</v>
          </cell>
        </row>
      </sheetData>
      <sheetData sheetId="12030">
        <row r="1">
          <cell r="J1">
            <v>1.7453292519943295E-2</v>
          </cell>
        </row>
      </sheetData>
      <sheetData sheetId="12031">
        <row r="1">
          <cell r="J1">
            <v>1.7453292519943295E-2</v>
          </cell>
        </row>
      </sheetData>
      <sheetData sheetId="12032">
        <row r="1">
          <cell r="J1">
            <v>1.7453292519943295E-2</v>
          </cell>
        </row>
      </sheetData>
      <sheetData sheetId="12033">
        <row r="1">
          <cell r="J1">
            <v>1.7453292519943295E-2</v>
          </cell>
        </row>
      </sheetData>
      <sheetData sheetId="12034">
        <row r="1">
          <cell r="J1">
            <v>1.7453292519943295E-2</v>
          </cell>
        </row>
      </sheetData>
      <sheetData sheetId="12035">
        <row r="1">
          <cell r="J1">
            <v>1.7453292519943295E-2</v>
          </cell>
        </row>
      </sheetData>
      <sheetData sheetId="12036">
        <row r="1">
          <cell r="J1">
            <v>1.7453292519943295E-2</v>
          </cell>
        </row>
      </sheetData>
      <sheetData sheetId="12037">
        <row r="1">
          <cell r="J1">
            <v>1.7453292519943295E-2</v>
          </cell>
        </row>
      </sheetData>
      <sheetData sheetId="12038">
        <row r="1">
          <cell r="J1">
            <v>1.7453292519943295E-2</v>
          </cell>
        </row>
      </sheetData>
      <sheetData sheetId="12039">
        <row r="1">
          <cell r="J1">
            <v>1.7453292519943295E-2</v>
          </cell>
        </row>
      </sheetData>
      <sheetData sheetId="12040">
        <row r="1">
          <cell r="J1">
            <v>1.7453292519943295E-2</v>
          </cell>
        </row>
      </sheetData>
      <sheetData sheetId="12041">
        <row r="1">
          <cell r="J1">
            <v>1.7453292519943295E-2</v>
          </cell>
        </row>
      </sheetData>
      <sheetData sheetId="12042">
        <row r="1">
          <cell r="J1">
            <v>1.7453292519943295E-2</v>
          </cell>
        </row>
      </sheetData>
      <sheetData sheetId="12043">
        <row r="1">
          <cell r="J1">
            <v>1.7453292519943295E-2</v>
          </cell>
        </row>
      </sheetData>
      <sheetData sheetId="12044">
        <row r="1">
          <cell r="J1">
            <v>1.7453292519943295E-2</v>
          </cell>
        </row>
      </sheetData>
      <sheetData sheetId="12045">
        <row r="1">
          <cell r="J1">
            <v>1.7453292519943295E-2</v>
          </cell>
        </row>
      </sheetData>
      <sheetData sheetId="12046">
        <row r="1">
          <cell r="J1">
            <v>1.7453292519943295E-2</v>
          </cell>
        </row>
      </sheetData>
      <sheetData sheetId="12047">
        <row r="1">
          <cell r="J1">
            <v>1.7453292519943295E-2</v>
          </cell>
        </row>
      </sheetData>
      <sheetData sheetId="12048">
        <row r="1">
          <cell r="J1">
            <v>1.7453292519943295E-2</v>
          </cell>
        </row>
      </sheetData>
      <sheetData sheetId="12049">
        <row r="1">
          <cell r="J1">
            <v>1.7453292519943295E-2</v>
          </cell>
        </row>
      </sheetData>
      <sheetData sheetId="12050">
        <row r="1">
          <cell r="J1">
            <v>1.7453292519943295E-2</v>
          </cell>
        </row>
      </sheetData>
      <sheetData sheetId="12051">
        <row r="1">
          <cell r="J1">
            <v>1.7453292519943295E-2</v>
          </cell>
        </row>
      </sheetData>
      <sheetData sheetId="12052">
        <row r="1">
          <cell r="J1">
            <v>1.7453292519943295E-2</v>
          </cell>
        </row>
      </sheetData>
      <sheetData sheetId="12053">
        <row r="1">
          <cell r="J1">
            <v>1.7453292519943295E-2</v>
          </cell>
        </row>
      </sheetData>
      <sheetData sheetId="12054">
        <row r="1">
          <cell r="J1">
            <v>1.7453292519943295E-2</v>
          </cell>
        </row>
      </sheetData>
      <sheetData sheetId="12055">
        <row r="1">
          <cell r="J1">
            <v>1.7453292519943295E-2</v>
          </cell>
        </row>
      </sheetData>
      <sheetData sheetId="12056">
        <row r="1">
          <cell r="J1">
            <v>1.7453292519943295E-2</v>
          </cell>
        </row>
      </sheetData>
      <sheetData sheetId="12057">
        <row r="1">
          <cell r="J1">
            <v>1.7453292519943295E-2</v>
          </cell>
        </row>
      </sheetData>
      <sheetData sheetId="12058">
        <row r="1">
          <cell r="J1">
            <v>1.7453292519943295E-2</v>
          </cell>
        </row>
      </sheetData>
      <sheetData sheetId="12059">
        <row r="1">
          <cell r="J1">
            <v>1.7453292519943295E-2</v>
          </cell>
        </row>
      </sheetData>
      <sheetData sheetId="12060">
        <row r="1">
          <cell r="J1">
            <v>1.7453292519943295E-2</v>
          </cell>
        </row>
      </sheetData>
      <sheetData sheetId="12061">
        <row r="1">
          <cell r="J1">
            <v>1.7453292519943295E-2</v>
          </cell>
        </row>
      </sheetData>
      <sheetData sheetId="12062">
        <row r="1">
          <cell r="J1">
            <v>1.7453292519943295E-2</v>
          </cell>
        </row>
      </sheetData>
      <sheetData sheetId="12063">
        <row r="1">
          <cell r="J1">
            <v>1.7453292519943295E-2</v>
          </cell>
        </row>
      </sheetData>
      <sheetData sheetId="12064">
        <row r="1">
          <cell r="J1">
            <v>1.7453292519943295E-2</v>
          </cell>
        </row>
      </sheetData>
      <sheetData sheetId="12065">
        <row r="1">
          <cell r="J1">
            <v>1.7453292519943295E-2</v>
          </cell>
        </row>
      </sheetData>
      <sheetData sheetId="12066">
        <row r="1">
          <cell r="J1">
            <v>1.7453292519943295E-2</v>
          </cell>
        </row>
      </sheetData>
      <sheetData sheetId="12067">
        <row r="1">
          <cell r="J1">
            <v>1.7453292519943295E-2</v>
          </cell>
        </row>
      </sheetData>
      <sheetData sheetId="12068">
        <row r="1">
          <cell r="J1">
            <v>1.7453292519943295E-2</v>
          </cell>
        </row>
      </sheetData>
      <sheetData sheetId="12069">
        <row r="1">
          <cell r="J1">
            <v>1.7453292519943295E-2</v>
          </cell>
        </row>
      </sheetData>
      <sheetData sheetId="12070">
        <row r="1">
          <cell r="J1">
            <v>1.7453292519943295E-2</v>
          </cell>
        </row>
      </sheetData>
      <sheetData sheetId="12071">
        <row r="1">
          <cell r="J1">
            <v>1.7453292519943295E-2</v>
          </cell>
        </row>
      </sheetData>
      <sheetData sheetId="12072">
        <row r="1">
          <cell r="J1">
            <v>1.7453292519943295E-2</v>
          </cell>
        </row>
      </sheetData>
      <sheetData sheetId="12073">
        <row r="1">
          <cell r="J1">
            <v>1.7453292519943295E-2</v>
          </cell>
        </row>
      </sheetData>
      <sheetData sheetId="12074">
        <row r="1">
          <cell r="J1">
            <v>1.7453292519943295E-2</v>
          </cell>
        </row>
      </sheetData>
      <sheetData sheetId="12075">
        <row r="1">
          <cell r="J1">
            <v>1.7453292519943295E-2</v>
          </cell>
        </row>
      </sheetData>
      <sheetData sheetId="12076">
        <row r="1">
          <cell r="J1">
            <v>1.7453292519943295E-2</v>
          </cell>
        </row>
      </sheetData>
      <sheetData sheetId="12077">
        <row r="1">
          <cell r="J1">
            <v>1.7453292519943295E-2</v>
          </cell>
        </row>
      </sheetData>
      <sheetData sheetId="12078">
        <row r="1">
          <cell r="J1">
            <v>1.7453292519943295E-2</v>
          </cell>
        </row>
      </sheetData>
      <sheetData sheetId="12079">
        <row r="1">
          <cell r="J1">
            <v>1.7453292519943295E-2</v>
          </cell>
        </row>
      </sheetData>
      <sheetData sheetId="12080">
        <row r="1">
          <cell r="J1">
            <v>1.7453292519943295E-2</v>
          </cell>
        </row>
      </sheetData>
      <sheetData sheetId="12081">
        <row r="1">
          <cell r="J1">
            <v>1.7453292519943295E-2</v>
          </cell>
        </row>
      </sheetData>
      <sheetData sheetId="12082">
        <row r="1">
          <cell r="J1">
            <v>1.7453292519943295E-2</v>
          </cell>
        </row>
      </sheetData>
      <sheetData sheetId="12083">
        <row r="1">
          <cell r="J1">
            <v>1.7453292519943295E-2</v>
          </cell>
        </row>
      </sheetData>
      <sheetData sheetId="12084">
        <row r="1">
          <cell r="J1">
            <v>1.7453292519943295E-2</v>
          </cell>
        </row>
      </sheetData>
      <sheetData sheetId="12085">
        <row r="1">
          <cell r="J1">
            <v>1.7453292519943295E-2</v>
          </cell>
        </row>
      </sheetData>
      <sheetData sheetId="12086">
        <row r="1">
          <cell r="J1">
            <v>1.7453292519943295E-2</v>
          </cell>
        </row>
      </sheetData>
      <sheetData sheetId="12087">
        <row r="1">
          <cell r="J1">
            <v>1.7453292519943295E-2</v>
          </cell>
        </row>
      </sheetData>
      <sheetData sheetId="12088">
        <row r="1">
          <cell r="J1">
            <v>1.7453292519943295E-2</v>
          </cell>
        </row>
      </sheetData>
      <sheetData sheetId="12089">
        <row r="1">
          <cell r="J1">
            <v>1.7453292519943295E-2</v>
          </cell>
        </row>
      </sheetData>
      <sheetData sheetId="12090">
        <row r="1">
          <cell r="J1">
            <v>1.7453292519943295E-2</v>
          </cell>
        </row>
      </sheetData>
      <sheetData sheetId="12091">
        <row r="1">
          <cell r="J1">
            <v>1.7453292519943295E-2</v>
          </cell>
        </row>
      </sheetData>
      <sheetData sheetId="12092">
        <row r="1">
          <cell r="J1">
            <v>1.7453292519943295E-2</v>
          </cell>
        </row>
      </sheetData>
      <sheetData sheetId="12093">
        <row r="1">
          <cell r="J1">
            <v>1.7453292519943295E-2</v>
          </cell>
        </row>
      </sheetData>
      <sheetData sheetId="12094">
        <row r="1">
          <cell r="J1">
            <v>1.7453292519943295E-2</v>
          </cell>
        </row>
      </sheetData>
      <sheetData sheetId="12095">
        <row r="1">
          <cell r="J1">
            <v>1.7453292519943295E-2</v>
          </cell>
        </row>
      </sheetData>
      <sheetData sheetId="12096">
        <row r="1">
          <cell r="J1">
            <v>1.7453292519943295E-2</v>
          </cell>
        </row>
      </sheetData>
      <sheetData sheetId="12097">
        <row r="1">
          <cell r="J1">
            <v>1.7453292519943295E-2</v>
          </cell>
        </row>
      </sheetData>
      <sheetData sheetId="12098">
        <row r="1">
          <cell r="J1">
            <v>1.7453292519943295E-2</v>
          </cell>
        </row>
      </sheetData>
      <sheetData sheetId="12099">
        <row r="1">
          <cell r="J1">
            <v>1.7453292519943295E-2</v>
          </cell>
        </row>
      </sheetData>
      <sheetData sheetId="12100">
        <row r="1">
          <cell r="J1">
            <v>1.7453292519943295E-2</v>
          </cell>
        </row>
      </sheetData>
      <sheetData sheetId="12101">
        <row r="1">
          <cell r="J1">
            <v>1.7453292519943295E-2</v>
          </cell>
        </row>
      </sheetData>
      <sheetData sheetId="12102">
        <row r="1">
          <cell r="J1">
            <v>1.7453292519943295E-2</v>
          </cell>
        </row>
      </sheetData>
      <sheetData sheetId="12103">
        <row r="1">
          <cell r="J1">
            <v>1.7453292519943295E-2</v>
          </cell>
        </row>
      </sheetData>
      <sheetData sheetId="12104">
        <row r="1">
          <cell r="J1">
            <v>1.7453292519943295E-2</v>
          </cell>
        </row>
      </sheetData>
      <sheetData sheetId="12105">
        <row r="1">
          <cell r="J1">
            <v>1.7453292519943295E-2</v>
          </cell>
        </row>
      </sheetData>
      <sheetData sheetId="12106">
        <row r="1">
          <cell r="J1">
            <v>1.7453292519943295E-2</v>
          </cell>
        </row>
      </sheetData>
      <sheetData sheetId="12107">
        <row r="1">
          <cell r="J1">
            <v>1.7453292519943295E-2</v>
          </cell>
        </row>
      </sheetData>
      <sheetData sheetId="12108">
        <row r="1">
          <cell r="J1">
            <v>1.7453292519943295E-2</v>
          </cell>
        </row>
      </sheetData>
      <sheetData sheetId="12109">
        <row r="1">
          <cell r="J1">
            <v>1.7453292519943295E-2</v>
          </cell>
        </row>
      </sheetData>
      <sheetData sheetId="12110">
        <row r="1">
          <cell r="J1">
            <v>1.7453292519943295E-2</v>
          </cell>
        </row>
      </sheetData>
      <sheetData sheetId="12111">
        <row r="1">
          <cell r="J1">
            <v>1.7453292519943295E-2</v>
          </cell>
        </row>
      </sheetData>
      <sheetData sheetId="12112">
        <row r="1">
          <cell r="J1">
            <v>1.7453292519943295E-2</v>
          </cell>
        </row>
      </sheetData>
      <sheetData sheetId="12113">
        <row r="1">
          <cell r="J1">
            <v>1.7453292519943295E-2</v>
          </cell>
        </row>
      </sheetData>
      <sheetData sheetId="12114">
        <row r="1">
          <cell r="J1">
            <v>1.7453292519943295E-2</v>
          </cell>
        </row>
      </sheetData>
      <sheetData sheetId="12115">
        <row r="1">
          <cell r="J1">
            <v>1.7453292519943295E-2</v>
          </cell>
        </row>
      </sheetData>
      <sheetData sheetId="12116">
        <row r="1">
          <cell r="J1">
            <v>1.7453292519943295E-2</v>
          </cell>
        </row>
      </sheetData>
      <sheetData sheetId="12117">
        <row r="1">
          <cell r="J1">
            <v>1.7453292519943295E-2</v>
          </cell>
        </row>
      </sheetData>
      <sheetData sheetId="12118">
        <row r="1">
          <cell r="J1">
            <v>1.7453292519943295E-2</v>
          </cell>
        </row>
      </sheetData>
      <sheetData sheetId="12119">
        <row r="1">
          <cell r="J1">
            <v>1.7453292519943295E-2</v>
          </cell>
        </row>
      </sheetData>
      <sheetData sheetId="12120">
        <row r="1">
          <cell r="J1">
            <v>1.7453292519943295E-2</v>
          </cell>
        </row>
      </sheetData>
      <sheetData sheetId="12121">
        <row r="1">
          <cell r="J1">
            <v>1.7453292519943295E-2</v>
          </cell>
        </row>
      </sheetData>
      <sheetData sheetId="12122">
        <row r="1">
          <cell r="J1">
            <v>1.7453292519943295E-2</v>
          </cell>
        </row>
      </sheetData>
      <sheetData sheetId="12123">
        <row r="1">
          <cell r="J1">
            <v>1.7453292519943295E-2</v>
          </cell>
        </row>
      </sheetData>
      <sheetData sheetId="12124">
        <row r="1">
          <cell r="J1">
            <v>1.7453292519943295E-2</v>
          </cell>
        </row>
      </sheetData>
      <sheetData sheetId="12125">
        <row r="1">
          <cell r="J1">
            <v>1.7453292519943295E-2</v>
          </cell>
        </row>
      </sheetData>
      <sheetData sheetId="12126">
        <row r="1">
          <cell r="J1">
            <v>1.7453292519943295E-2</v>
          </cell>
        </row>
      </sheetData>
      <sheetData sheetId="12127">
        <row r="1">
          <cell r="J1">
            <v>1.7453292519943295E-2</v>
          </cell>
        </row>
      </sheetData>
      <sheetData sheetId="12128">
        <row r="1">
          <cell r="J1">
            <v>1.7453292519943295E-2</v>
          </cell>
        </row>
      </sheetData>
      <sheetData sheetId="12129">
        <row r="1">
          <cell r="J1">
            <v>1.7453292519943295E-2</v>
          </cell>
        </row>
      </sheetData>
      <sheetData sheetId="12130">
        <row r="1">
          <cell r="J1">
            <v>1.7453292519943295E-2</v>
          </cell>
        </row>
      </sheetData>
      <sheetData sheetId="12131">
        <row r="1">
          <cell r="J1">
            <v>1.7453292519943295E-2</v>
          </cell>
        </row>
      </sheetData>
      <sheetData sheetId="12132">
        <row r="1">
          <cell r="J1">
            <v>1.7453292519943295E-2</v>
          </cell>
        </row>
      </sheetData>
      <sheetData sheetId="12133">
        <row r="1">
          <cell r="J1">
            <v>1.7453292519943295E-2</v>
          </cell>
        </row>
      </sheetData>
      <sheetData sheetId="12134">
        <row r="1">
          <cell r="J1">
            <v>1.7453292519943295E-2</v>
          </cell>
        </row>
      </sheetData>
      <sheetData sheetId="12135">
        <row r="1">
          <cell r="J1">
            <v>1.7453292519943295E-2</v>
          </cell>
        </row>
      </sheetData>
      <sheetData sheetId="12136">
        <row r="1">
          <cell r="J1">
            <v>1.7453292519943295E-2</v>
          </cell>
        </row>
      </sheetData>
      <sheetData sheetId="12137">
        <row r="1">
          <cell r="J1">
            <v>1.7453292519943295E-2</v>
          </cell>
        </row>
      </sheetData>
      <sheetData sheetId="12138">
        <row r="1">
          <cell r="J1">
            <v>1.7453292519943295E-2</v>
          </cell>
        </row>
      </sheetData>
      <sheetData sheetId="12139">
        <row r="1">
          <cell r="J1">
            <v>1.7453292519943295E-2</v>
          </cell>
        </row>
      </sheetData>
      <sheetData sheetId="12140">
        <row r="1">
          <cell r="J1">
            <v>1.7453292519943295E-2</v>
          </cell>
        </row>
      </sheetData>
      <sheetData sheetId="12141">
        <row r="1">
          <cell r="J1">
            <v>1.7453292519943295E-2</v>
          </cell>
        </row>
      </sheetData>
      <sheetData sheetId="12142">
        <row r="1">
          <cell r="J1">
            <v>1.7453292519943295E-2</v>
          </cell>
        </row>
      </sheetData>
      <sheetData sheetId="12143">
        <row r="1">
          <cell r="J1">
            <v>1.7453292519943295E-2</v>
          </cell>
        </row>
      </sheetData>
      <sheetData sheetId="12144">
        <row r="1">
          <cell r="J1">
            <v>1.7453292519943295E-2</v>
          </cell>
        </row>
      </sheetData>
      <sheetData sheetId="12145">
        <row r="1">
          <cell r="J1">
            <v>1.7453292519943295E-2</v>
          </cell>
        </row>
      </sheetData>
      <sheetData sheetId="12146">
        <row r="1">
          <cell r="J1">
            <v>1.7453292519943295E-2</v>
          </cell>
        </row>
      </sheetData>
      <sheetData sheetId="12147">
        <row r="1">
          <cell r="J1">
            <v>1.7453292519943295E-2</v>
          </cell>
        </row>
      </sheetData>
      <sheetData sheetId="12148">
        <row r="1">
          <cell r="J1">
            <v>1.7453292519943295E-2</v>
          </cell>
        </row>
      </sheetData>
      <sheetData sheetId="12149">
        <row r="1">
          <cell r="J1">
            <v>1.7453292519943295E-2</v>
          </cell>
        </row>
      </sheetData>
      <sheetData sheetId="12150">
        <row r="1">
          <cell r="J1">
            <v>1.7453292519943295E-2</v>
          </cell>
        </row>
      </sheetData>
      <sheetData sheetId="12151">
        <row r="1">
          <cell r="J1">
            <v>1.7453292519943295E-2</v>
          </cell>
        </row>
      </sheetData>
      <sheetData sheetId="12152">
        <row r="1">
          <cell r="J1">
            <v>1.7453292519943295E-2</v>
          </cell>
        </row>
      </sheetData>
      <sheetData sheetId="12153">
        <row r="1">
          <cell r="J1">
            <v>1.7453292519943295E-2</v>
          </cell>
        </row>
      </sheetData>
      <sheetData sheetId="12154">
        <row r="1">
          <cell r="J1">
            <v>1.7453292519943295E-2</v>
          </cell>
        </row>
      </sheetData>
      <sheetData sheetId="12155">
        <row r="1">
          <cell r="J1">
            <v>1.7453292519943295E-2</v>
          </cell>
        </row>
      </sheetData>
      <sheetData sheetId="12156">
        <row r="1">
          <cell r="J1">
            <v>1.7453292519943295E-2</v>
          </cell>
        </row>
      </sheetData>
      <sheetData sheetId="12157">
        <row r="1">
          <cell r="J1">
            <v>1.7453292519943295E-2</v>
          </cell>
        </row>
      </sheetData>
      <sheetData sheetId="12158">
        <row r="1">
          <cell r="J1">
            <v>1.7453292519943295E-2</v>
          </cell>
        </row>
      </sheetData>
      <sheetData sheetId="12159">
        <row r="1">
          <cell r="J1">
            <v>1.7453292519943295E-2</v>
          </cell>
        </row>
      </sheetData>
      <sheetData sheetId="12160">
        <row r="1">
          <cell r="J1">
            <v>1.7453292519943295E-2</v>
          </cell>
        </row>
      </sheetData>
      <sheetData sheetId="12161">
        <row r="1">
          <cell r="J1">
            <v>1.7453292519943295E-2</v>
          </cell>
        </row>
      </sheetData>
      <sheetData sheetId="12162">
        <row r="1">
          <cell r="J1">
            <v>1.7453292519943295E-2</v>
          </cell>
        </row>
      </sheetData>
      <sheetData sheetId="12163">
        <row r="1">
          <cell r="J1">
            <v>1.7453292519943295E-2</v>
          </cell>
        </row>
      </sheetData>
      <sheetData sheetId="12164">
        <row r="1">
          <cell r="J1">
            <v>1.7453292519943295E-2</v>
          </cell>
        </row>
      </sheetData>
      <sheetData sheetId="12165">
        <row r="1">
          <cell r="J1">
            <v>1.7453292519943295E-2</v>
          </cell>
        </row>
      </sheetData>
      <sheetData sheetId="12166">
        <row r="1">
          <cell r="J1">
            <v>1.7453292519943295E-2</v>
          </cell>
        </row>
      </sheetData>
      <sheetData sheetId="12167">
        <row r="1">
          <cell r="J1">
            <v>1.7453292519943295E-2</v>
          </cell>
        </row>
      </sheetData>
      <sheetData sheetId="12168">
        <row r="1">
          <cell r="J1">
            <v>1.7453292519943295E-2</v>
          </cell>
        </row>
      </sheetData>
      <sheetData sheetId="12169">
        <row r="1">
          <cell r="J1">
            <v>1.7453292519943295E-2</v>
          </cell>
        </row>
      </sheetData>
      <sheetData sheetId="12170">
        <row r="1">
          <cell r="J1">
            <v>1.7453292519943295E-2</v>
          </cell>
        </row>
      </sheetData>
      <sheetData sheetId="12171">
        <row r="1">
          <cell r="J1">
            <v>1.7453292519943295E-2</v>
          </cell>
        </row>
      </sheetData>
      <sheetData sheetId="12172">
        <row r="1">
          <cell r="J1">
            <v>1.7453292519943295E-2</v>
          </cell>
        </row>
      </sheetData>
      <sheetData sheetId="12173">
        <row r="1">
          <cell r="J1">
            <v>1.7453292519943295E-2</v>
          </cell>
        </row>
      </sheetData>
      <sheetData sheetId="12174">
        <row r="1">
          <cell r="J1">
            <v>1.7453292519943295E-2</v>
          </cell>
        </row>
      </sheetData>
      <sheetData sheetId="12175">
        <row r="1">
          <cell r="J1">
            <v>1.7453292519943295E-2</v>
          </cell>
        </row>
      </sheetData>
      <sheetData sheetId="12176">
        <row r="1">
          <cell r="J1">
            <v>1.7453292519943295E-2</v>
          </cell>
        </row>
      </sheetData>
      <sheetData sheetId="12177">
        <row r="1">
          <cell r="J1">
            <v>1.7453292519943295E-2</v>
          </cell>
        </row>
      </sheetData>
      <sheetData sheetId="12178">
        <row r="1">
          <cell r="J1">
            <v>1.7453292519943295E-2</v>
          </cell>
        </row>
      </sheetData>
      <sheetData sheetId="12179">
        <row r="1">
          <cell r="J1">
            <v>1.7453292519943295E-2</v>
          </cell>
        </row>
      </sheetData>
      <sheetData sheetId="12180">
        <row r="1">
          <cell r="J1">
            <v>1.7453292519943295E-2</v>
          </cell>
        </row>
      </sheetData>
      <sheetData sheetId="12181">
        <row r="1">
          <cell r="J1">
            <v>1.7453292519943295E-2</v>
          </cell>
        </row>
      </sheetData>
      <sheetData sheetId="12182">
        <row r="1">
          <cell r="J1">
            <v>1.7453292519943295E-2</v>
          </cell>
        </row>
      </sheetData>
      <sheetData sheetId="12183">
        <row r="1">
          <cell r="J1">
            <v>1.7453292519943295E-2</v>
          </cell>
        </row>
      </sheetData>
      <sheetData sheetId="12184">
        <row r="1">
          <cell r="J1">
            <v>1.7453292519943295E-2</v>
          </cell>
        </row>
      </sheetData>
      <sheetData sheetId="12185">
        <row r="1">
          <cell r="J1">
            <v>1.7453292519943295E-2</v>
          </cell>
        </row>
      </sheetData>
      <sheetData sheetId="12186">
        <row r="1">
          <cell r="J1">
            <v>1.7453292519943295E-2</v>
          </cell>
        </row>
      </sheetData>
      <sheetData sheetId="12187">
        <row r="1">
          <cell r="J1">
            <v>1.7453292519943295E-2</v>
          </cell>
        </row>
      </sheetData>
      <sheetData sheetId="12188">
        <row r="1">
          <cell r="J1">
            <v>1.7453292519943295E-2</v>
          </cell>
        </row>
      </sheetData>
      <sheetData sheetId="12189">
        <row r="1">
          <cell r="J1">
            <v>1.7453292519943295E-2</v>
          </cell>
        </row>
      </sheetData>
      <sheetData sheetId="12190">
        <row r="1">
          <cell r="J1">
            <v>1.7453292519943295E-2</v>
          </cell>
        </row>
      </sheetData>
      <sheetData sheetId="12191">
        <row r="1">
          <cell r="J1">
            <v>1.7453292519943295E-2</v>
          </cell>
        </row>
      </sheetData>
      <sheetData sheetId="12192">
        <row r="1">
          <cell r="J1">
            <v>1.7453292519943295E-2</v>
          </cell>
        </row>
      </sheetData>
      <sheetData sheetId="12193">
        <row r="1">
          <cell r="J1">
            <v>1.7453292519943295E-2</v>
          </cell>
        </row>
      </sheetData>
      <sheetData sheetId="12194">
        <row r="1">
          <cell r="J1">
            <v>1.7453292519943295E-2</v>
          </cell>
        </row>
      </sheetData>
      <sheetData sheetId="12195">
        <row r="1">
          <cell r="J1">
            <v>1.7453292519943295E-2</v>
          </cell>
        </row>
      </sheetData>
      <sheetData sheetId="12196">
        <row r="1">
          <cell r="J1">
            <v>1.7453292519943295E-2</v>
          </cell>
        </row>
      </sheetData>
      <sheetData sheetId="12197">
        <row r="1">
          <cell r="J1">
            <v>1.7453292519943295E-2</v>
          </cell>
        </row>
      </sheetData>
      <sheetData sheetId="12198">
        <row r="1">
          <cell r="J1">
            <v>1.7453292519943295E-2</v>
          </cell>
        </row>
      </sheetData>
      <sheetData sheetId="12199">
        <row r="1">
          <cell r="J1">
            <v>1.7453292519943295E-2</v>
          </cell>
        </row>
      </sheetData>
      <sheetData sheetId="12200">
        <row r="1">
          <cell r="J1">
            <v>1.7453292519943295E-2</v>
          </cell>
        </row>
      </sheetData>
      <sheetData sheetId="12201">
        <row r="1">
          <cell r="J1">
            <v>1.7453292519943295E-2</v>
          </cell>
        </row>
      </sheetData>
      <sheetData sheetId="12202">
        <row r="1">
          <cell r="J1">
            <v>1.7453292519943295E-2</v>
          </cell>
        </row>
      </sheetData>
      <sheetData sheetId="12203">
        <row r="1">
          <cell r="J1">
            <v>1.7453292519943295E-2</v>
          </cell>
        </row>
      </sheetData>
      <sheetData sheetId="12204">
        <row r="1">
          <cell r="J1">
            <v>1.7453292519943295E-2</v>
          </cell>
        </row>
      </sheetData>
      <sheetData sheetId="12205">
        <row r="1">
          <cell r="J1">
            <v>1.7453292519943295E-2</v>
          </cell>
        </row>
      </sheetData>
      <sheetData sheetId="12206">
        <row r="1">
          <cell r="J1">
            <v>1.7453292519943295E-2</v>
          </cell>
        </row>
      </sheetData>
      <sheetData sheetId="12207">
        <row r="1">
          <cell r="J1">
            <v>1.7453292519943295E-2</v>
          </cell>
        </row>
      </sheetData>
      <sheetData sheetId="12208">
        <row r="1">
          <cell r="J1">
            <v>1.7453292519943295E-2</v>
          </cell>
        </row>
      </sheetData>
      <sheetData sheetId="12209">
        <row r="1">
          <cell r="J1">
            <v>1.7453292519943295E-2</v>
          </cell>
        </row>
      </sheetData>
      <sheetData sheetId="12210">
        <row r="1">
          <cell r="J1">
            <v>1.7453292519943295E-2</v>
          </cell>
        </row>
      </sheetData>
      <sheetData sheetId="12211">
        <row r="1">
          <cell r="J1">
            <v>1.7453292519943295E-2</v>
          </cell>
        </row>
      </sheetData>
      <sheetData sheetId="12212">
        <row r="1">
          <cell r="J1">
            <v>1.7453292519943295E-2</v>
          </cell>
        </row>
      </sheetData>
      <sheetData sheetId="12213">
        <row r="1">
          <cell r="J1">
            <v>1.7453292519943295E-2</v>
          </cell>
        </row>
      </sheetData>
      <sheetData sheetId="12214">
        <row r="1">
          <cell r="J1">
            <v>1.7453292519943295E-2</v>
          </cell>
        </row>
      </sheetData>
      <sheetData sheetId="12215">
        <row r="1">
          <cell r="J1">
            <v>1.7453292519943295E-2</v>
          </cell>
        </row>
      </sheetData>
      <sheetData sheetId="12216">
        <row r="1">
          <cell r="J1">
            <v>1.7453292519943295E-2</v>
          </cell>
        </row>
      </sheetData>
      <sheetData sheetId="12217">
        <row r="1">
          <cell r="J1">
            <v>1.7453292519943295E-2</v>
          </cell>
        </row>
      </sheetData>
      <sheetData sheetId="12218">
        <row r="1">
          <cell r="J1">
            <v>1.7453292519943295E-2</v>
          </cell>
        </row>
      </sheetData>
      <sheetData sheetId="12219">
        <row r="1">
          <cell r="J1">
            <v>1.7453292519943295E-2</v>
          </cell>
        </row>
      </sheetData>
      <sheetData sheetId="12220">
        <row r="1">
          <cell r="J1">
            <v>1.7453292519943295E-2</v>
          </cell>
        </row>
      </sheetData>
      <sheetData sheetId="12221">
        <row r="1">
          <cell r="J1">
            <v>1.7453292519943295E-2</v>
          </cell>
        </row>
      </sheetData>
      <sheetData sheetId="12222">
        <row r="1">
          <cell r="J1">
            <v>1.7453292519943295E-2</v>
          </cell>
        </row>
      </sheetData>
      <sheetData sheetId="12223">
        <row r="1">
          <cell r="J1">
            <v>1.7453292519943295E-2</v>
          </cell>
        </row>
      </sheetData>
      <sheetData sheetId="12224">
        <row r="1">
          <cell r="J1">
            <v>1.7453292519943295E-2</v>
          </cell>
        </row>
      </sheetData>
      <sheetData sheetId="12225">
        <row r="1">
          <cell r="J1">
            <v>1.7453292519943295E-2</v>
          </cell>
        </row>
      </sheetData>
      <sheetData sheetId="12226">
        <row r="1">
          <cell r="J1">
            <v>1.7453292519943295E-2</v>
          </cell>
        </row>
      </sheetData>
      <sheetData sheetId="12227">
        <row r="1">
          <cell r="J1">
            <v>1.7453292519943295E-2</v>
          </cell>
        </row>
      </sheetData>
      <sheetData sheetId="12228">
        <row r="1">
          <cell r="J1">
            <v>1.7453292519943295E-2</v>
          </cell>
        </row>
      </sheetData>
      <sheetData sheetId="12229">
        <row r="1">
          <cell r="J1">
            <v>1.7453292519943295E-2</v>
          </cell>
        </row>
      </sheetData>
      <sheetData sheetId="12230">
        <row r="1">
          <cell r="J1">
            <v>1.7453292519943295E-2</v>
          </cell>
        </row>
      </sheetData>
      <sheetData sheetId="12231">
        <row r="1">
          <cell r="J1">
            <v>1.7453292519943295E-2</v>
          </cell>
        </row>
      </sheetData>
      <sheetData sheetId="12232">
        <row r="1">
          <cell r="J1">
            <v>1.7453292519943295E-2</v>
          </cell>
        </row>
      </sheetData>
      <sheetData sheetId="12233">
        <row r="1">
          <cell r="J1">
            <v>1.7453292519943295E-2</v>
          </cell>
        </row>
      </sheetData>
      <sheetData sheetId="12234">
        <row r="1">
          <cell r="J1">
            <v>1.7453292519943295E-2</v>
          </cell>
        </row>
      </sheetData>
      <sheetData sheetId="12235">
        <row r="1">
          <cell r="J1">
            <v>1.7453292519943295E-2</v>
          </cell>
        </row>
      </sheetData>
      <sheetData sheetId="12236">
        <row r="1">
          <cell r="J1">
            <v>1.7453292519943295E-2</v>
          </cell>
        </row>
      </sheetData>
      <sheetData sheetId="12237">
        <row r="1">
          <cell r="J1">
            <v>1.7453292519943295E-2</v>
          </cell>
        </row>
      </sheetData>
      <sheetData sheetId="12238">
        <row r="1">
          <cell r="J1">
            <v>1.7453292519943295E-2</v>
          </cell>
        </row>
      </sheetData>
      <sheetData sheetId="12239">
        <row r="1">
          <cell r="J1">
            <v>1.7453292519943295E-2</v>
          </cell>
        </row>
      </sheetData>
      <sheetData sheetId="12240">
        <row r="1">
          <cell r="J1">
            <v>1.7453292519943295E-2</v>
          </cell>
        </row>
      </sheetData>
      <sheetData sheetId="12241">
        <row r="1">
          <cell r="J1">
            <v>1.7453292519943295E-2</v>
          </cell>
        </row>
      </sheetData>
      <sheetData sheetId="12242">
        <row r="1">
          <cell r="J1">
            <v>1.7453292519943295E-2</v>
          </cell>
        </row>
      </sheetData>
      <sheetData sheetId="12243">
        <row r="1">
          <cell r="J1">
            <v>1.7453292519943295E-2</v>
          </cell>
        </row>
      </sheetData>
      <sheetData sheetId="12244">
        <row r="1">
          <cell r="J1">
            <v>1.7453292519943295E-2</v>
          </cell>
        </row>
      </sheetData>
      <sheetData sheetId="12245">
        <row r="1">
          <cell r="J1">
            <v>1.7453292519943295E-2</v>
          </cell>
        </row>
      </sheetData>
      <sheetData sheetId="12246">
        <row r="1">
          <cell r="J1">
            <v>1.7453292519943295E-2</v>
          </cell>
        </row>
      </sheetData>
      <sheetData sheetId="12247">
        <row r="1">
          <cell r="J1">
            <v>1.7453292519943295E-2</v>
          </cell>
        </row>
      </sheetData>
      <sheetData sheetId="12248">
        <row r="1">
          <cell r="J1">
            <v>1.7453292519943295E-2</v>
          </cell>
        </row>
      </sheetData>
      <sheetData sheetId="12249">
        <row r="1">
          <cell r="J1">
            <v>1.7453292519943295E-2</v>
          </cell>
        </row>
      </sheetData>
      <sheetData sheetId="12250">
        <row r="1">
          <cell r="J1">
            <v>1.7453292519943295E-2</v>
          </cell>
        </row>
      </sheetData>
      <sheetData sheetId="12251">
        <row r="1">
          <cell r="J1">
            <v>1.7453292519943295E-2</v>
          </cell>
        </row>
      </sheetData>
      <sheetData sheetId="12252">
        <row r="1">
          <cell r="J1">
            <v>1.7453292519943295E-2</v>
          </cell>
        </row>
      </sheetData>
      <sheetData sheetId="12253">
        <row r="1">
          <cell r="J1">
            <v>1.7453292519943295E-2</v>
          </cell>
        </row>
      </sheetData>
      <sheetData sheetId="12254">
        <row r="1">
          <cell r="J1">
            <v>1.7453292519943295E-2</v>
          </cell>
        </row>
      </sheetData>
      <sheetData sheetId="12255">
        <row r="1">
          <cell r="J1">
            <v>1.7453292519943295E-2</v>
          </cell>
        </row>
      </sheetData>
      <sheetData sheetId="12256">
        <row r="1">
          <cell r="J1">
            <v>1.7453292519943295E-2</v>
          </cell>
        </row>
      </sheetData>
      <sheetData sheetId="12257">
        <row r="1">
          <cell r="J1">
            <v>1.7453292519943295E-2</v>
          </cell>
        </row>
      </sheetData>
      <sheetData sheetId="12258">
        <row r="1">
          <cell r="J1">
            <v>1.7453292519943295E-2</v>
          </cell>
        </row>
      </sheetData>
      <sheetData sheetId="12259">
        <row r="1">
          <cell r="J1">
            <v>1.7453292519943295E-2</v>
          </cell>
        </row>
      </sheetData>
      <sheetData sheetId="12260">
        <row r="1">
          <cell r="J1">
            <v>1.7453292519943295E-2</v>
          </cell>
        </row>
      </sheetData>
      <sheetData sheetId="12261">
        <row r="1">
          <cell r="J1">
            <v>1.7453292519943295E-2</v>
          </cell>
        </row>
      </sheetData>
      <sheetData sheetId="12262">
        <row r="1">
          <cell r="J1">
            <v>1.7453292519943295E-2</v>
          </cell>
        </row>
      </sheetData>
      <sheetData sheetId="12263">
        <row r="1">
          <cell r="J1">
            <v>1.7453292519943295E-2</v>
          </cell>
        </row>
      </sheetData>
      <sheetData sheetId="12264">
        <row r="1">
          <cell r="J1">
            <v>1.7453292519943295E-2</v>
          </cell>
        </row>
      </sheetData>
      <sheetData sheetId="12265">
        <row r="1">
          <cell r="J1">
            <v>1.7453292519943295E-2</v>
          </cell>
        </row>
      </sheetData>
      <sheetData sheetId="12266">
        <row r="1">
          <cell r="J1">
            <v>1.7453292519943295E-2</v>
          </cell>
        </row>
      </sheetData>
      <sheetData sheetId="12267">
        <row r="1">
          <cell r="J1">
            <v>1.7453292519943295E-2</v>
          </cell>
        </row>
      </sheetData>
      <sheetData sheetId="12268">
        <row r="1">
          <cell r="J1">
            <v>1.7453292519943295E-2</v>
          </cell>
        </row>
      </sheetData>
      <sheetData sheetId="12269">
        <row r="1">
          <cell r="J1">
            <v>1.7453292519943295E-2</v>
          </cell>
        </row>
      </sheetData>
      <sheetData sheetId="12270">
        <row r="1">
          <cell r="J1">
            <v>1.7453292519943295E-2</v>
          </cell>
        </row>
      </sheetData>
      <sheetData sheetId="12271">
        <row r="1">
          <cell r="J1">
            <v>1.7453292519943295E-2</v>
          </cell>
        </row>
      </sheetData>
      <sheetData sheetId="12272">
        <row r="1">
          <cell r="J1">
            <v>1.7453292519943295E-2</v>
          </cell>
        </row>
      </sheetData>
      <sheetData sheetId="12273">
        <row r="1">
          <cell r="J1">
            <v>1.7453292519943295E-2</v>
          </cell>
        </row>
      </sheetData>
      <sheetData sheetId="12274">
        <row r="1">
          <cell r="J1">
            <v>1.7453292519943295E-2</v>
          </cell>
        </row>
      </sheetData>
      <sheetData sheetId="12275">
        <row r="1">
          <cell r="J1">
            <v>1.7453292519943295E-2</v>
          </cell>
        </row>
      </sheetData>
      <sheetData sheetId="12276">
        <row r="1">
          <cell r="J1">
            <v>1.7453292519943295E-2</v>
          </cell>
        </row>
      </sheetData>
      <sheetData sheetId="12277">
        <row r="1">
          <cell r="J1">
            <v>1.7453292519943295E-2</v>
          </cell>
        </row>
      </sheetData>
      <sheetData sheetId="12278">
        <row r="1">
          <cell r="J1">
            <v>1.7453292519943295E-2</v>
          </cell>
        </row>
      </sheetData>
      <sheetData sheetId="12279">
        <row r="1">
          <cell r="J1">
            <v>1.7453292519943295E-2</v>
          </cell>
        </row>
      </sheetData>
      <sheetData sheetId="12280">
        <row r="1">
          <cell r="J1">
            <v>1.7453292519943295E-2</v>
          </cell>
        </row>
      </sheetData>
      <sheetData sheetId="12281">
        <row r="1">
          <cell r="J1">
            <v>1.7453292519943295E-2</v>
          </cell>
        </row>
      </sheetData>
      <sheetData sheetId="12282">
        <row r="1">
          <cell r="J1">
            <v>1.7453292519943295E-2</v>
          </cell>
        </row>
      </sheetData>
      <sheetData sheetId="12283">
        <row r="1">
          <cell r="J1">
            <v>1.7453292519943295E-2</v>
          </cell>
        </row>
      </sheetData>
      <sheetData sheetId="12284">
        <row r="1">
          <cell r="J1">
            <v>1.7453292519943295E-2</v>
          </cell>
        </row>
      </sheetData>
      <sheetData sheetId="12285">
        <row r="1">
          <cell r="J1">
            <v>1.7453292519943295E-2</v>
          </cell>
        </row>
      </sheetData>
      <sheetData sheetId="12286">
        <row r="1">
          <cell r="J1">
            <v>1.7453292519943295E-2</v>
          </cell>
        </row>
      </sheetData>
      <sheetData sheetId="12287">
        <row r="1">
          <cell r="J1">
            <v>1.7453292519943295E-2</v>
          </cell>
        </row>
      </sheetData>
      <sheetData sheetId="12288">
        <row r="1">
          <cell r="J1">
            <v>1.7453292519943295E-2</v>
          </cell>
        </row>
      </sheetData>
      <sheetData sheetId="12289">
        <row r="1">
          <cell r="J1">
            <v>1.7453292519943295E-2</v>
          </cell>
        </row>
      </sheetData>
      <sheetData sheetId="12290">
        <row r="1">
          <cell r="J1">
            <v>1.7453292519943295E-2</v>
          </cell>
        </row>
      </sheetData>
      <sheetData sheetId="12291">
        <row r="1">
          <cell r="J1">
            <v>1.7453292519943295E-2</v>
          </cell>
        </row>
      </sheetData>
      <sheetData sheetId="12292">
        <row r="1">
          <cell r="J1">
            <v>1.7453292519943295E-2</v>
          </cell>
        </row>
      </sheetData>
      <sheetData sheetId="12293">
        <row r="1">
          <cell r="J1">
            <v>1.7453292519943295E-2</v>
          </cell>
        </row>
      </sheetData>
      <sheetData sheetId="12294">
        <row r="1">
          <cell r="J1">
            <v>1.7453292519943295E-2</v>
          </cell>
        </row>
      </sheetData>
      <sheetData sheetId="12295">
        <row r="1">
          <cell r="J1">
            <v>1.7453292519943295E-2</v>
          </cell>
        </row>
      </sheetData>
      <sheetData sheetId="12296">
        <row r="1">
          <cell r="J1">
            <v>1.7453292519943295E-2</v>
          </cell>
        </row>
      </sheetData>
      <sheetData sheetId="12297">
        <row r="1">
          <cell r="J1">
            <v>1.7453292519943295E-2</v>
          </cell>
        </row>
      </sheetData>
      <sheetData sheetId="12298">
        <row r="1">
          <cell r="J1">
            <v>1.7453292519943295E-2</v>
          </cell>
        </row>
      </sheetData>
      <sheetData sheetId="12299">
        <row r="1">
          <cell r="J1">
            <v>1.7453292519943295E-2</v>
          </cell>
        </row>
      </sheetData>
      <sheetData sheetId="12300">
        <row r="1">
          <cell r="J1">
            <v>1.7453292519943295E-2</v>
          </cell>
        </row>
      </sheetData>
      <sheetData sheetId="12301">
        <row r="1">
          <cell r="J1">
            <v>1.7453292519943295E-2</v>
          </cell>
        </row>
      </sheetData>
      <sheetData sheetId="12302">
        <row r="1">
          <cell r="J1">
            <v>1.7453292519943295E-2</v>
          </cell>
        </row>
      </sheetData>
      <sheetData sheetId="12303">
        <row r="1">
          <cell r="J1">
            <v>1.7453292519943295E-2</v>
          </cell>
        </row>
      </sheetData>
      <sheetData sheetId="12304">
        <row r="1">
          <cell r="J1">
            <v>1.7453292519943295E-2</v>
          </cell>
        </row>
      </sheetData>
      <sheetData sheetId="12305">
        <row r="1">
          <cell r="J1">
            <v>1.7453292519943295E-2</v>
          </cell>
        </row>
      </sheetData>
      <sheetData sheetId="12306">
        <row r="1">
          <cell r="J1">
            <v>1.7453292519943295E-2</v>
          </cell>
        </row>
      </sheetData>
      <sheetData sheetId="12307">
        <row r="1">
          <cell r="J1">
            <v>1.7453292519943295E-2</v>
          </cell>
        </row>
      </sheetData>
      <sheetData sheetId="12308">
        <row r="1">
          <cell r="J1">
            <v>1.7453292519943295E-2</v>
          </cell>
        </row>
      </sheetData>
      <sheetData sheetId="12309">
        <row r="1">
          <cell r="J1">
            <v>1.7453292519943295E-2</v>
          </cell>
        </row>
      </sheetData>
      <sheetData sheetId="12310">
        <row r="1">
          <cell r="J1">
            <v>1.7453292519943295E-2</v>
          </cell>
        </row>
      </sheetData>
      <sheetData sheetId="12311">
        <row r="1">
          <cell r="J1">
            <v>1.7453292519943295E-2</v>
          </cell>
        </row>
      </sheetData>
      <sheetData sheetId="12312">
        <row r="1">
          <cell r="J1">
            <v>1.7453292519943295E-2</v>
          </cell>
        </row>
      </sheetData>
      <sheetData sheetId="12313">
        <row r="1">
          <cell r="J1">
            <v>1.7453292519943295E-2</v>
          </cell>
        </row>
      </sheetData>
      <sheetData sheetId="12314">
        <row r="1">
          <cell r="J1">
            <v>1.7453292519943295E-2</v>
          </cell>
        </row>
      </sheetData>
      <sheetData sheetId="12315">
        <row r="1">
          <cell r="J1">
            <v>1.7453292519943295E-2</v>
          </cell>
        </row>
      </sheetData>
      <sheetData sheetId="12316">
        <row r="1">
          <cell r="J1">
            <v>1.7453292519943295E-2</v>
          </cell>
        </row>
      </sheetData>
      <sheetData sheetId="12317">
        <row r="1">
          <cell r="J1">
            <v>1.7453292519943295E-2</v>
          </cell>
        </row>
      </sheetData>
      <sheetData sheetId="12318">
        <row r="1">
          <cell r="J1">
            <v>1.7453292519943295E-2</v>
          </cell>
        </row>
      </sheetData>
      <sheetData sheetId="12319">
        <row r="1">
          <cell r="J1">
            <v>1.7453292519943295E-2</v>
          </cell>
        </row>
      </sheetData>
      <sheetData sheetId="12320">
        <row r="1">
          <cell r="J1">
            <v>1.7453292519943295E-2</v>
          </cell>
        </row>
      </sheetData>
      <sheetData sheetId="12321">
        <row r="1">
          <cell r="J1">
            <v>1.7453292519943295E-2</v>
          </cell>
        </row>
      </sheetData>
      <sheetData sheetId="12322">
        <row r="1">
          <cell r="J1">
            <v>1.7453292519943295E-2</v>
          </cell>
        </row>
      </sheetData>
      <sheetData sheetId="12323">
        <row r="1">
          <cell r="J1">
            <v>1.7453292519943295E-2</v>
          </cell>
        </row>
      </sheetData>
      <sheetData sheetId="12324">
        <row r="1">
          <cell r="J1">
            <v>1.7453292519943295E-2</v>
          </cell>
        </row>
      </sheetData>
      <sheetData sheetId="12325">
        <row r="1">
          <cell r="J1">
            <v>1.7453292519943295E-2</v>
          </cell>
        </row>
      </sheetData>
      <sheetData sheetId="12326">
        <row r="1">
          <cell r="J1">
            <v>1.7453292519943295E-2</v>
          </cell>
        </row>
      </sheetData>
      <sheetData sheetId="12327">
        <row r="1">
          <cell r="J1">
            <v>1.7453292519943295E-2</v>
          </cell>
        </row>
      </sheetData>
      <sheetData sheetId="12328">
        <row r="1">
          <cell r="J1">
            <v>1.7453292519943295E-2</v>
          </cell>
        </row>
      </sheetData>
      <sheetData sheetId="12329">
        <row r="1">
          <cell r="J1">
            <v>1.7453292519943295E-2</v>
          </cell>
        </row>
      </sheetData>
      <sheetData sheetId="12330">
        <row r="1">
          <cell r="J1">
            <v>1.7453292519943295E-2</v>
          </cell>
        </row>
      </sheetData>
      <sheetData sheetId="12331">
        <row r="1">
          <cell r="J1">
            <v>1.7453292519943295E-2</v>
          </cell>
        </row>
      </sheetData>
      <sheetData sheetId="12332">
        <row r="1">
          <cell r="J1">
            <v>1.7453292519943295E-2</v>
          </cell>
        </row>
      </sheetData>
      <sheetData sheetId="12333">
        <row r="1">
          <cell r="J1">
            <v>1.7453292519943295E-2</v>
          </cell>
        </row>
      </sheetData>
      <sheetData sheetId="12334">
        <row r="1">
          <cell r="J1">
            <v>1.7453292519943295E-2</v>
          </cell>
        </row>
      </sheetData>
      <sheetData sheetId="12335">
        <row r="1">
          <cell r="J1">
            <v>1.7453292519943295E-2</v>
          </cell>
        </row>
      </sheetData>
      <sheetData sheetId="12336">
        <row r="1">
          <cell r="J1">
            <v>1.7453292519943295E-2</v>
          </cell>
        </row>
      </sheetData>
      <sheetData sheetId="12337">
        <row r="1">
          <cell r="J1">
            <v>1.7453292519943295E-2</v>
          </cell>
        </row>
      </sheetData>
      <sheetData sheetId="12338">
        <row r="1">
          <cell r="J1">
            <v>1.7453292519943295E-2</v>
          </cell>
        </row>
      </sheetData>
      <sheetData sheetId="12339">
        <row r="1">
          <cell r="J1">
            <v>1.7453292519943295E-2</v>
          </cell>
        </row>
      </sheetData>
      <sheetData sheetId="12340">
        <row r="1">
          <cell r="J1">
            <v>1.7453292519943295E-2</v>
          </cell>
        </row>
      </sheetData>
      <sheetData sheetId="12341">
        <row r="1">
          <cell r="J1">
            <v>1.7453292519943295E-2</v>
          </cell>
        </row>
      </sheetData>
      <sheetData sheetId="12342">
        <row r="1">
          <cell r="J1">
            <v>1.7453292519943295E-2</v>
          </cell>
        </row>
      </sheetData>
      <sheetData sheetId="12343">
        <row r="1">
          <cell r="J1">
            <v>1.7453292519943295E-2</v>
          </cell>
        </row>
      </sheetData>
      <sheetData sheetId="12344">
        <row r="1">
          <cell r="J1">
            <v>1.7453292519943295E-2</v>
          </cell>
        </row>
      </sheetData>
      <sheetData sheetId="12345">
        <row r="1">
          <cell r="J1">
            <v>1.7453292519943295E-2</v>
          </cell>
        </row>
      </sheetData>
      <sheetData sheetId="12346">
        <row r="1">
          <cell r="J1">
            <v>1.7453292519943295E-2</v>
          </cell>
        </row>
      </sheetData>
      <sheetData sheetId="12347">
        <row r="1">
          <cell r="J1">
            <v>1.7453292519943295E-2</v>
          </cell>
        </row>
      </sheetData>
      <sheetData sheetId="12348">
        <row r="1">
          <cell r="J1">
            <v>1.7453292519943295E-2</v>
          </cell>
        </row>
      </sheetData>
      <sheetData sheetId="12349">
        <row r="1">
          <cell r="J1">
            <v>1.7453292519943295E-2</v>
          </cell>
        </row>
      </sheetData>
      <sheetData sheetId="12350">
        <row r="1">
          <cell r="J1">
            <v>1.7453292519943295E-2</v>
          </cell>
        </row>
      </sheetData>
      <sheetData sheetId="12351">
        <row r="1">
          <cell r="J1">
            <v>1.7453292519943295E-2</v>
          </cell>
        </row>
      </sheetData>
      <sheetData sheetId="12352">
        <row r="1">
          <cell r="J1">
            <v>1.7453292519943295E-2</v>
          </cell>
        </row>
      </sheetData>
      <sheetData sheetId="12353">
        <row r="1">
          <cell r="J1">
            <v>1.7453292519943295E-2</v>
          </cell>
        </row>
      </sheetData>
      <sheetData sheetId="12354">
        <row r="1">
          <cell r="J1">
            <v>1.7453292519943295E-2</v>
          </cell>
        </row>
      </sheetData>
      <sheetData sheetId="12355">
        <row r="1">
          <cell r="J1">
            <v>1.7453292519943295E-2</v>
          </cell>
        </row>
      </sheetData>
      <sheetData sheetId="12356">
        <row r="1">
          <cell r="J1">
            <v>1.7453292519943295E-2</v>
          </cell>
        </row>
      </sheetData>
      <sheetData sheetId="12357">
        <row r="1">
          <cell r="J1">
            <v>1.7453292519943295E-2</v>
          </cell>
        </row>
      </sheetData>
      <sheetData sheetId="12358">
        <row r="1">
          <cell r="J1">
            <v>1.7453292519943295E-2</v>
          </cell>
        </row>
      </sheetData>
      <sheetData sheetId="12359">
        <row r="1">
          <cell r="J1">
            <v>1.7453292519943295E-2</v>
          </cell>
        </row>
      </sheetData>
      <sheetData sheetId="12360">
        <row r="1">
          <cell r="J1">
            <v>1.7453292519943295E-2</v>
          </cell>
        </row>
      </sheetData>
      <sheetData sheetId="12361">
        <row r="1">
          <cell r="J1">
            <v>1.7453292519943295E-2</v>
          </cell>
        </row>
      </sheetData>
      <sheetData sheetId="12362">
        <row r="1">
          <cell r="J1">
            <v>1.7453292519943295E-2</v>
          </cell>
        </row>
      </sheetData>
      <sheetData sheetId="12363">
        <row r="1">
          <cell r="J1">
            <v>1.7453292519943295E-2</v>
          </cell>
        </row>
      </sheetData>
      <sheetData sheetId="12364">
        <row r="1">
          <cell r="J1">
            <v>1.7453292519943295E-2</v>
          </cell>
        </row>
      </sheetData>
      <sheetData sheetId="12365">
        <row r="1">
          <cell r="J1">
            <v>1.7453292519943295E-2</v>
          </cell>
        </row>
      </sheetData>
      <sheetData sheetId="12366">
        <row r="1">
          <cell r="J1">
            <v>1.7453292519943295E-2</v>
          </cell>
        </row>
      </sheetData>
      <sheetData sheetId="12367">
        <row r="1">
          <cell r="J1">
            <v>1.7453292519943295E-2</v>
          </cell>
        </row>
      </sheetData>
      <sheetData sheetId="12368">
        <row r="1">
          <cell r="J1">
            <v>1.7453292519943295E-2</v>
          </cell>
        </row>
      </sheetData>
      <sheetData sheetId="12369">
        <row r="1">
          <cell r="J1">
            <v>1.7453292519943295E-2</v>
          </cell>
        </row>
      </sheetData>
      <sheetData sheetId="12370">
        <row r="1">
          <cell r="J1">
            <v>1.7453292519943295E-2</v>
          </cell>
        </row>
      </sheetData>
      <sheetData sheetId="12371">
        <row r="1">
          <cell r="J1">
            <v>1.7453292519943295E-2</v>
          </cell>
        </row>
      </sheetData>
      <sheetData sheetId="12372">
        <row r="1">
          <cell r="J1">
            <v>1.7453292519943295E-2</v>
          </cell>
        </row>
      </sheetData>
      <sheetData sheetId="12373">
        <row r="1">
          <cell r="J1">
            <v>1.7453292519943295E-2</v>
          </cell>
        </row>
      </sheetData>
      <sheetData sheetId="12374">
        <row r="1">
          <cell r="J1">
            <v>1.7453292519943295E-2</v>
          </cell>
        </row>
      </sheetData>
      <sheetData sheetId="12375">
        <row r="1">
          <cell r="J1">
            <v>1.7453292519943295E-2</v>
          </cell>
        </row>
      </sheetData>
      <sheetData sheetId="12376">
        <row r="1">
          <cell r="J1">
            <v>1.7453292519943295E-2</v>
          </cell>
        </row>
      </sheetData>
      <sheetData sheetId="12377">
        <row r="1">
          <cell r="J1">
            <v>1.7453292519943295E-2</v>
          </cell>
        </row>
      </sheetData>
      <sheetData sheetId="12378">
        <row r="1">
          <cell r="J1">
            <v>1.7453292519943295E-2</v>
          </cell>
        </row>
      </sheetData>
      <sheetData sheetId="12379">
        <row r="1">
          <cell r="J1">
            <v>1.7453292519943295E-2</v>
          </cell>
        </row>
      </sheetData>
      <sheetData sheetId="12380">
        <row r="1">
          <cell r="J1">
            <v>1.7453292519943295E-2</v>
          </cell>
        </row>
      </sheetData>
      <sheetData sheetId="12381">
        <row r="1">
          <cell r="J1">
            <v>1.7453292519943295E-2</v>
          </cell>
        </row>
      </sheetData>
      <sheetData sheetId="12382">
        <row r="1">
          <cell r="J1">
            <v>1.7453292519943295E-2</v>
          </cell>
        </row>
      </sheetData>
      <sheetData sheetId="12383">
        <row r="1">
          <cell r="J1">
            <v>1.7453292519943295E-2</v>
          </cell>
        </row>
      </sheetData>
      <sheetData sheetId="12384">
        <row r="1">
          <cell r="J1">
            <v>1.7453292519943295E-2</v>
          </cell>
        </row>
      </sheetData>
      <sheetData sheetId="12385">
        <row r="1">
          <cell r="J1">
            <v>1.7453292519943295E-2</v>
          </cell>
        </row>
      </sheetData>
      <sheetData sheetId="12386">
        <row r="1">
          <cell r="J1">
            <v>1.7453292519943295E-2</v>
          </cell>
        </row>
      </sheetData>
      <sheetData sheetId="12387">
        <row r="1">
          <cell r="J1">
            <v>1.7453292519943295E-2</v>
          </cell>
        </row>
      </sheetData>
      <sheetData sheetId="12388">
        <row r="1">
          <cell r="J1">
            <v>1.7453292519943295E-2</v>
          </cell>
        </row>
      </sheetData>
      <sheetData sheetId="12389">
        <row r="1">
          <cell r="J1">
            <v>1.7453292519943295E-2</v>
          </cell>
        </row>
      </sheetData>
      <sheetData sheetId="12390">
        <row r="1">
          <cell r="J1">
            <v>1.7453292519943295E-2</v>
          </cell>
        </row>
      </sheetData>
      <sheetData sheetId="12391">
        <row r="1">
          <cell r="J1">
            <v>1.7453292519943295E-2</v>
          </cell>
        </row>
      </sheetData>
      <sheetData sheetId="12392">
        <row r="1">
          <cell r="J1">
            <v>1.7453292519943295E-2</v>
          </cell>
        </row>
      </sheetData>
      <sheetData sheetId="12393">
        <row r="1">
          <cell r="J1">
            <v>1.7453292519943295E-2</v>
          </cell>
        </row>
      </sheetData>
      <sheetData sheetId="12394">
        <row r="1">
          <cell r="J1">
            <v>1.7453292519943295E-2</v>
          </cell>
        </row>
      </sheetData>
      <sheetData sheetId="12395">
        <row r="1">
          <cell r="J1">
            <v>1.7453292519943295E-2</v>
          </cell>
        </row>
      </sheetData>
      <sheetData sheetId="12396">
        <row r="1">
          <cell r="J1">
            <v>1.7453292519943295E-2</v>
          </cell>
        </row>
      </sheetData>
      <sheetData sheetId="12397">
        <row r="1">
          <cell r="J1">
            <v>1.7453292519943295E-2</v>
          </cell>
        </row>
      </sheetData>
      <sheetData sheetId="12398">
        <row r="1">
          <cell r="J1">
            <v>1.7453292519943295E-2</v>
          </cell>
        </row>
      </sheetData>
      <sheetData sheetId="12399">
        <row r="1">
          <cell r="J1">
            <v>1.7453292519943295E-2</v>
          </cell>
        </row>
      </sheetData>
      <sheetData sheetId="12400">
        <row r="1">
          <cell r="J1">
            <v>1.7453292519943295E-2</v>
          </cell>
        </row>
      </sheetData>
      <sheetData sheetId="12401">
        <row r="1">
          <cell r="J1">
            <v>1.7453292519943295E-2</v>
          </cell>
        </row>
      </sheetData>
      <sheetData sheetId="12402">
        <row r="1">
          <cell r="J1">
            <v>1.7453292519943295E-2</v>
          </cell>
        </row>
      </sheetData>
      <sheetData sheetId="12403">
        <row r="1">
          <cell r="J1">
            <v>1.7453292519943295E-2</v>
          </cell>
        </row>
      </sheetData>
      <sheetData sheetId="12404">
        <row r="1">
          <cell r="J1">
            <v>1.7453292519943295E-2</v>
          </cell>
        </row>
      </sheetData>
      <sheetData sheetId="12405">
        <row r="1">
          <cell r="J1">
            <v>1.7453292519943295E-2</v>
          </cell>
        </row>
      </sheetData>
      <sheetData sheetId="12406">
        <row r="1">
          <cell r="J1">
            <v>1.7453292519943295E-2</v>
          </cell>
        </row>
      </sheetData>
      <sheetData sheetId="12407">
        <row r="1">
          <cell r="J1">
            <v>1.7453292519943295E-2</v>
          </cell>
        </row>
      </sheetData>
      <sheetData sheetId="12408">
        <row r="1">
          <cell r="J1">
            <v>1.7453292519943295E-2</v>
          </cell>
        </row>
      </sheetData>
      <sheetData sheetId="12409">
        <row r="1">
          <cell r="J1">
            <v>1.7453292519943295E-2</v>
          </cell>
        </row>
      </sheetData>
      <sheetData sheetId="12410">
        <row r="1">
          <cell r="J1">
            <v>1.7453292519943295E-2</v>
          </cell>
        </row>
      </sheetData>
      <sheetData sheetId="12411">
        <row r="1">
          <cell r="J1">
            <v>1.7453292519943295E-2</v>
          </cell>
        </row>
      </sheetData>
      <sheetData sheetId="12412">
        <row r="1">
          <cell r="J1">
            <v>1.7453292519943295E-2</v>
          </cell>
        </row>
      </sheetData>
      <sheetData sheetId="12413">
        <row r="1">
          <cell r="J1">
            <v>1.7453292519943295E-2</v>
          </cell>
        </row>
      </sheetData>
      <sheetData sheetId="12414">
        <row r="1">
          <cell r="J1">
            <v>1.7453292519943295E-2</v>
          </cell>
        </row>
      </sheetData>
      <sheetData sheetId="12415">
        <row r="1">
          <cell r="J1">
            <v>1.7453292519943295E-2</v>
          </cell>
        </row>
      </sheetData>
      <sheetData sheetId="12416">
        <row r="1">
          <cell r="J1">
            <v>1.7453292519943295E-2</v>
          </cell>
        </row>
      </sheetData>
      <sheetData sheetId="12417">
        <row r="1">
          <cell r="J1">
            <v>1.7453292519943295E-2</v>
          </cell>
        </row>
      </sheetData>
      <sheetData sheetId="12418">
        <row r="1">
          <cell r="J1">
            <v>1.7453292519943295E-2</v>
          </cell>
        </row>
      </sheetData>
      <sheetData sheetId="12419">
        <row r="1">
          <cell r="J1">
            <v>1.7453292519943295E-2</v>
          </cell>
        </row>
      </sheetData>
      <sheetData sheetId="12420">
        <row r="1">
          <cell r="J1">
            <v>1.7453292519943295E-2</v>
          </cell>
        </row>
      </sheetData>
      <sheetData sheetId="12421">
        <row r="1">
          <cell r="J1">
            <v>1.7453292519943295E-2</v>
          </cell>
        </row>
      </sheetData>
      <sheetData sheetId="12422">
        <row r="1">
          <cell r="J1">
            <v>1.7453292519943295E-2</v>
          </cell>
        </row>
      </sheetData>
      <sheetData sheetId="12423">
        <row r="1">
          <cell r="J1">
            <v>1.7453292519943295E-2</v>
          </cell>
        </row>
      </sheetData>
      <sheetData sheetId="12424">
        <row r="1">
          <cell r="J1">
            <v>1.7453292519943295E-2</v>
          </cell>
        </row>
      </sheetData>
      <sheetData sheetId="12425">
        <row r="1">
          <cell r="J1">
            <v>1.7453292519943295E-2</v>
          </cell>
        </row>
      </sheetData>
      <sheetData sheetId="12426">
        <row r="1">
          <cell r="J1">
            <v>1.7453292519943295E-2</v>
          </cell>
        </row>
      </sheetData>
      <sheetData sheetId="12427">
        <row r="1">
          <cell r="J1">
            <v>1.7453292519943295E-2</v>
          </cell>
        </row>
      </sheetData>
      <sheetData sheetId="12428">
        <row r="1">
          <cell r="J1">
            <v>1.7453292519943295E-2</v>
          </cell>
        </row>
      </sheetData>
      <sheetData sheetId="12429">
        <row r="1">
          <cell r="J1">
            <v>1.7453292519943295E-2</v>
          </cell>
        </row>
      </sheetData>
      <sheetData sheetId="12430">
        <row r="1">
          <cell r="J1">
            <v>1.7453292519943295E-2</v>
          </cell>
        </row>
      </sheetData>
      <sheetData sheetId="12431">
        <row r="1">
          <cell r="J1">
            <v>1.7453292519943295E-2</v>
          </cell>
        </row>
      </sheetData>
      <sheetData sheetId="12432">
        <row r="1">
          <cell r="J1">
            <v>1.7453292519943295E-2</v>
          </cell>
        </row>
      </sheetData>
      <sheetData sheetId="12433">
        <row r="1">
          <cell r="J1">
            <v>1.7453292519943295E-2</v>
          </cell>
        </row>
      </sheetData>
      <sheetData sheetId="12434">
        <row r="1">
          <cell r="J1">
            <v>1.7453292519943295E-2</v>
          </cell>
        </row>
      </sheetData>
      <sheetData sheetId="12435">
        <row r="1">
          <cell r="J1">
            <v>1.7453292519943295E-2</v>
          </cell>
        </row>
      </sheetData>
      <sheetData sheetId="12436">
        <row r="1">
          <cell r="J1">
            <v>1.7453292519943295E-2</v>
          </cell>
        </row>
      </sheetData>
      <sheetData sheetId="12437">
        <row r="1">
          <cell r="J1">
            <v>1.7453292519943295E-2</v>
          </cell>
        </row>
      </sheetData>
      <sheetData sheetId="12438">
        <row r="1">
          <cell r="J1">
            <v>1.7453292519943295E-2</v>
          </cell>
        </row>
      </sheetData>
      <sheetData sheetId="12439">
        <row r="1">
          <cell r="J1">
            <v>1.7453292519943295E-2</v>
          </cell>
        </row>
      </sheetData>
      <sheetData sheetId="12440">
        <row r="1">
          <cell r="J1">
            <v>1.7453292519943295E-2</v>
          </cell>
        </row>
      </sheetData>
      <sheetData sheetId="12441">
        <row r="1">
          <cell r="J1">
            <v>1.7453292519943295E-2</v>
          </cell>
        </row>
      </sheetData>
      <sheetData sheetId="12442">
        <row r="1">
          <cell r="J1">
            <v>1.7453292519943295E-2</v>
          </cell>
        </row>
      </sheetData>
      <sheetData sheetId="12443">
        <row r="1">
          <cell r="J1">
            <v>1.7453292519943295E-2</v>
          </cell>
        </row>
      </sheetData>
      <sheetData sheetId="12444">
        <row r="1">
          <cell r="J1">
            <v>1.7453292519943295E-2</v>
          </cell>
        </row>
      </sheetData>
      <sheetData sheetId="12445">
        <row r="1">
          <cell r="J1">
            <v>1.7453292519943295E-2</v>
          </cell>
        </row>
      </sheetData>
      <sheetData sheetId="12446">
        <row r="1">
          <cell r="J1">
            <v>1.7453292519943295E-2</v>
          </cell>
        </row>
      </sheetData>
      <sheetData sheetId="12447">
        <row r="1">
          <cell r="J1">
            <v>1.7453292519943295E-2</v>
          </cell>
        </row>
      </sheetData>
      <sheetData sheetId="12448">
        <row r="1">
          <cell r="J1">
            <v>1.7453292519943295E-2</v>
          </cell>
        </row>
      </sheetData>
      <sheetData sheetId="12449">
        <row r="1">
          <cell r="J1">
            <v>1.7453292519943295E-2</v>
          </cell>
        </row>
      </sheetData>
      <sheetData sheetId="12450">
        <row r="1">
          <cell r="J1">
            <v>1.7453292519943295E-2</v>
          </cell>
        </row>
      </sheetData>
      <sheetData sheetId="12451">
        <row r="1">
          <cell r="J1">
            <v>1.7453292519943295E-2</v>
          </cell>
        </row>
      </sheetData>
      <sheetData sheetId="12452">
        <row r="1">
          <cell r="J1">
            <v>1.7453292519943295E-2</v>
          </cell>
        </row>
      </sheetData>
      <sheetData sheetId="12453">
        <row r="1">
          <cell r="J1">
            <v>1.7453292519943295E-2</v>
          </cell>
        </row>
      </sheetData>
      <sheetData sheetId="12454">
        <row r="1">
          <cell r="J1">
            <v>1.7453292519943295E-2</v>
          </cell>
        </row>
      </sheetData>
      <sheetData sheetId="12455">
        <row r="1">
          <cell r="J1">
            <v>1.7453292519943295E-2</v>
          </cell>
        </row>
      </sheetData>
      <sheetData sheetId="12456">
        <row r="1">
          <cell r="J1">
            <v>1.7453292519943295E-2</v>
          </cell>
        </row>
      </sheetData>
      <sheetData sheetId="12457">
        <row r="1">
          <cell r="J1">
            <v>1.7453292519943295E-2</v>
          </cell>
        </row>
      </sheetData>
      <sheetData sheetId="12458">
        <row r="1">
          <cell r="J1">
            <v>1.7453292519943295E-2</v>
          </cell>
        </row>
      </sheetData>
      <sheetData sheetId="12459">
        <row r="1">
          <cell r="J1">
            <v>1.7453292519943295E-2</v>
          </cell>
        </row>
      </sheetData>
      <sheetData sheetId="12460">
        <row r="1">
          <cell r="J1">
            <v>1.7453292519943295E-2</v>
          </cell>
        </row>
      </sheetData>
      <sheetData sheetId="12461">
        <row r="1">
          <cell r="J1">
            <v>1.7453292519943295E-2</v>
          </cell>
        </row>
      </sheetData>
      <sheetData sheetId="12462">
        <row r="1">
          <cell r="J1">
            <v>1.7453292519943295E-2</v>
          </cell>
        </row>
      </sheetData>
      <sheetData sheetId="12463">
        <row r="1">
          <cell r="J1">
            <v>1.7453292519943295E-2</v>
          </cell>
        </row>
      </sheetData>
      <sheetData sheetId="12464">
        <row r="1">
          <cell r="J1">
            <v>1.7453292519943295E-2</v>
          </cell>
        </row>
      </sheetData>
      <sheetData sheetId="12465">
        <row r="1">
          <cell r="J1">
            <v>1.7453292519943295E-2</v>
          </cell>
        </row>
      </sheetData>
      <sheetData sheetId="12466">
        <row r="1">
          <cell r="J1">
            <v>1.7453292519943295E-2</v>
          </cell>
        </row>
      </sheetData>
      <sheetData sheetId="12467">
        <row r="1">
          <cell r="J1">
            <v>1.7453292519943295E-2</v>
          </cell>
        </row>
      </sheetData>
      <sheetData sheetId="12468">
        <row r="1">
          <cell r="J1">
            <v>1.7453292519943295E-2</v>
          </cell>
        </row>
      </sheetData>
      <sheetData sheetId="12469">
        <row r="1">
          <cell r="J1">
            <v>1.7453292519943295E-2</v>
          </cell>
        </row>
      </sheetData>
      <sheetData sheetId="12470">
        <row r="1">
          <cell r="J1">
            <v>1.7453292519943295E-2</v>
          </cell>
        </row>
      </sheetData>
      <sheetData sheetId="12471">
        <row r="1">
          <cell r="J1">
            <v>1.7453292519943295E-2</v>
          </cell>
        </row>
      </sheetData>
      <sheetData sheetId="12472">
        <row r="1">
          <cell r="J1">
            <v>1.7453292519943295E-2</v>
          </cell>
        </row>
      </sheetData>
      <sheetData sheetId="12473">
        <row r="1">
          <cell r="J1">
            <v>1.7453292519943295E-2</v>
          </cell>
        </row>
      </sheetData>
      <sheetData sheetId="12474">
        <row r="1">
          <cell r="J1">
            <v>1.7453292519943295E-2</v>
          </cell>
        </row>
      </sheetData>
      <sheetData sheetId="12475">
        <row r="1">
          <cell r="J1">
            <v>1.7453292519943295E-2</v>
          </cell>
        </row>
      </sheetData>
      <sheetData sheetId="12476">
        <row r="1">
          <cell r="J1">
            <v>1.7453292519943295E-2</v>
          </cell>
        </row>
      </sheetData>
      <sheetData sheetId="12477">
        <row r="1">
          <cell r="J1">
            <v>1.7453292519943295E-2</v>
          </cell>
        </row>
      </sheetData>
      <sheetData sheetId="12478">
        <row r="1">
          <cell r="J1">
            <v>1.7453292519943295E-2</v>
          </cell>
        </row>
      </sheetData>
      <sheetData sheetId="12479">
        <row r="1">
          <cell r="J1">
            <v>1.7453292519943295E-2</v>
          </cell>
        </row>
      </sheetData>
      <sheetData sheetId="12480">
        <row r="1">
          <cell r="J1">
            <v>1.7453292519943295E-2</v>
          </cell>
        </row>
      </sheetData>
      <sheetData sheetId="12481">
        <row r="1">
          <cell r="J1">
            <v>1.7453292519943295E-2</v>
          </cell>
        </row>
      </sheetData>
      <sheetData sheetId="12482">
        <row r="1">
          <cell r="J1">
            <v>1.7453292519943295E-2</v>
          </cell>
        </row>
      </sheetData>
      <sheetData sheetId="12483">
        <row r="1">
          <cell r="J1">
            <v>1.7453292519943295E-2</v>
          </cell>
        </row>
      </sheetData>
      <sheetData sheetId="12484">
        <row r="1">
          <cell r="J1">
            <v>1.7453292519943295E-2</v>
          </cell>
        </row>
      </sheetData>
      <sheetData sheetId="12485">
        <row r="1">
          <cell r="J1">
            <v>1.7453292519943295E-2</v>
          </cell>
        </row>
      </sheetData>
      <sheetData sheetId="12486">
        <row r="1">
          <cell r="J1">
            <v>1.7453292519943295E-2</v>
          </cell>
        </row>
      </sheetData>
      <sheetData sheetId="12487">
        <row r="1">
          <cell r="J1">
            <v>1.7453292519943295E-2</v>
          </cell>
        </row>
      </sheetData>
      <sheetData sheetId="12488">
        <row r="1">
          <cell r="J1">
            <v>1.7453292519943295E-2</v>
          </cell>
        </row>
      </sheetData>
      <sheetData sheetId="12489">
        <row r="1">
          <cell r="J1">
            <v>1.7453292519943295E-2</v>
          </cell>
        </row>
      </sheetData>
      <sheetData sheetId="12490">
        <row r="1">
          <cell r="J1">
            <v>1.7453292519943295E-2</v>
          </cell>
        </row>
      </sheetData>
      <sheetData sheetId="12491">
        <row r="1">
          <cell r="J1">
            <v>1.7453292519943295E-2</v>
          </cell>
        </row>
      </sheetData>
      <sheetData sheetId="12492">
        <row r="1">
          <cell r="J1">
            <v>1.7453292519943295E-2</v>
          </cell>
        </row>
      </sheetData>
      <sheetData sheetId="12493">
        <row r="1">
          <cell r="J1">
            <v>1.7453292519943295E-2</v>
          </cell>
        </row>
      </sheetData>
      <sheetData sheetId="12494">
        <row r="1">
          <cell r="J1">
            <v>1.7453292519943295E-2</v>
          </cell>
        </row>
      </sheetData>
      <sheetData sheetId="12495">
        <row r="1">
          <cell r="J1">
            <v>1.7453292519943295E-2</v>
          </cell>
        </row>
      </sheetData>
      <sheetData sheetId="12496">
        <row r="1">
          <cell r="J1">
            <v>1.7453292519943295E-2</v>
          </cell>
        </row>
      </sheetData>
      <sheetData sheetId="12497">
        <row r="1">
          <cell r="J1">
            <v>1.7453292519943295E-2</v>
          </cell>
        </row>
      </sheetData>
      <sheetData sheetId="12498">
        <row r="1">
          <cell r="J1">
            <v>1.7453292519943295E-2</v>
          </cell>
        </row>
      </sheetData>
      <sheetData sheetId="12499">
        <row r="1">
          <cell r="J1">
            <v>1.7453292519943295E-2</v>
          </cell>
        </row>
      </sheetData>
      <sheetData sheetId="12500">
        <row r="1">
          <cell r="J1">
            <v>1.7453292519943295E-2</v>
          </cell>
        </row>
      </sheetData>
      <sheetData sheetId="12501">
        <row r="1">
          <cell r="J1">
            <v>1.7453292519943295E-2</v>
          </cell>
        </row>
      </sheetData>
      <sheetData sheetId="12502">
        <row r="1">
          <cell r="J1">
            <v>1.7453292519943295E-2</v>
          </cell>
        </row>
      </sheetData>
      <sheetData sheetId="12503">
        <row r="1">
          <cell r="J1">
            <v>1.7453292519943295E-2</v>
          </cell>
        </row>
      </sheetData>
      <sheetData sheetId="12504">
        <row r="1">
          <cell r="J1">
            <v>1.7453292519943295E-2</v>
          </cell>
        </row>
      </sheetData>
      <sheetData sheetId="12505">
        <row r="1">
          <cell r="J1">
            <v>1.7453292519943295E-2</v>
          </cell>
        </row>
      </sheetData>
      <sheetData sheetId="12506">
        <row r="1">
          <cell r="J1">
            <v>1.7453292519943295E-2</v>
          </cell>
        </row>
      </sheetData>
      <sheetData sheetId="12507">
        <row r="1">
          <cell r="J1">
            <v>1.7453292519943295E-2</v>
          </cell>
        </row>
      </sheetData>
      <sheetData sheetId="12508">
        <row r="1">
          <cell r="J1">
            <v>1.7453292519943295E-2</v>
          </cell>
        </row>
      </sheetData>
      <sheetData sheetId="12509">
        <row r="1">
          <cell r="J1">
            <v>1.7453292519943295E-2</v>
          </cell>
        </row>
      </sheetData>
      <sheetData sheetId="12510">
        <row r="1">
          <cell r="J1">
            <v>1.7453292519943295E-2</v>
          </cell>
        </row>
      </sheetData>
      <sheetData sheetId="12511">
        <row r="1">
          <cell r="J1">
            <v>1.7453292519943295E-2</v>
          </cell>
        </row>
      </sheetData>
      <sheetData sheetId="12512">
        <row r="1">
          <cell r="J1">
            <v>1.7453292519943295E-2</v>
          </cell>
        </row>
      </sheetData>
      <sheetData sheetId="12513">
        <row r="1">
          <cell r="J1">
            <v>1.7453292519943295E-2</v>
          </cell>
        </row>
      </sheetData>
      <sheetData sheetId="12514">
        <row r="1">
          <cell r="J1">
            <v>1.7453292519943295E-2</v>
          </cell>
        </row>
      </sheetData>
      <sheetData sheetId="12515">
        <row r="1">
          <cell r="J1">
            <v>1.7453292519943295E-2</v>
          </cell>
        </row>
      </sheetData>
      <sheetData sheetId="12516">
        <row r="1">
          <cell r="J1">
            <v>1.7453292519943295E-2</v>
          </cell>
        </row>
      </sheetData>
      <sheetData sheetId="12517">
        <row r="1">
          <cell r="J1">
            <v>1.7453292519943295E-2</v>
          </cell>
        </row>
      </sheetData>
      <sheetData sheetId="12518">
        <row r="1">
          <cell r="J1">
            <v>1.7453292519943295E-2</v>
          </cell>
        </row>
      </sheetData>
      <sheetData sheetId="12519">
        <row r="1">
          <cell r="J1">
            <v>1.7453292519943295E-2</v>
          </cell>
        </row>
      </sheetData>
      <sheetData sheetId="12520">
        <row r="1">
          <cell r="J1">
            <v>1.7453292519943295E-2</v>
          </cell>
        </row>
      </sheetData>
      <sheetData sheetId="12521">
        <row r="1">
          <cell r="J1">
            <v>1.7453292519943295E-2</v>
          </cell>
        </row>
      </sheetData>
      <sheetData sheetId="12522">
        <row r="1">
          <cell r="J1">
            <v>1.7453292519943295E-2</v>
          </cell>
        </row>
      </sheetData>
      <sheetData sheetId="12523">
        <row r="1">
          <cell r="J1">
            <v>1.7453292519943295E-2</v>
          </cell>
        </row>
      </sheetData>
      <sheetData sheetId="12524">
        <row r="1">
          <cell r="J1">
            <v>1.7453292519943295E-2</v>
          </cell>
        </row>
      </sheetData>
      <sheetData sheetId="12525">
        <row r="1">
          <cell r="J1">
            <v>1.7453292519943295E-2</v>
          </cell>
        </row>
      </sheetData>
      <sheetData sheetId="12526">
        <row r="1">
          <cell r="J1">
            <v>1.7453292519943295E-2</v>
          </cell>
        </row>
      </sheetData>
      <sheetData sheetId="12527">
        <row r="1">
          <cell r="J1">
            <v>1.7453292519943295E-2</v>
          </cell>
        </row>
      </sheetData>
      <sheetData sheetId="12528">
        <row r="1">
          <cell r="J1">
            <v>1.7453292519943295E-2</v>
          </cell>
        </row>
      </sheetData>
      <sheetData sheetId="12529">
        <row r="1">
          <cell r="J1">
            <v>1.7453292519943295E-2</v>
          </cell>
        </row>
      </sheetData>
      <sheetData sheetId="12530">
        <row r="1">
          <cell r="J1">
            <v>1.7453292519943295E-2</v>
          </cell>
        </row>
      </sheetData>
      <sheetData sheetId="12531">
        <row r="1">
          <cell r="J1">
            <v>1.7453292519943295E-2</v>
          </cell>
        </row>
      </sheetData>
      <sheetData sheetId="12532">
        <row r="1">
          <cell r="J1">
            <v>1.7453292519943295E-2</v>
          </cell>
        </row>
      </sheetData>
      <sheetData sheetId="12533">
        <row r="1">
          <cell r="J1">
            <v>1.7453292519943295E-2</v>
          </cell>
        </row>
      </sheetData>
      <sheetData sheetId="12534">
        <row r="1">
          <cell r="J1">
            <v>1.7453292519943295E-2</v>
          </cell>
        </row>
      </sheetData>
      <sheetData sheetId="12535">
        <row r="1">
          <cell r="J1">
            <v>1.7453292519943295E-2</v>
          </cell>
        </row>
      </sheetData>
      <sheetData sheetId="12536">
        <row r="1">
          <cell r="J1">
            <v>1.7453292519943295E-2</v>
          </cell>
        </row>
      </sheetData>
      <sheetData sheetId="12537">
        <row r="1">
          <cell r="J1">
            <v>1.7453292519943295E-2</v>
          </cell>
        </row>
      </sheetData>
      <sheetData sheetId="12538">
        <row r="1">
          <cell r="J1">
            <v>1.7453292519943295E-2</v>
          </cell>
        </row>
      </sheetData>
      <sheetData sheetId="12539">
        <row r="1">
          <cell r="J1">
            <v>1.7453292519943295E-2</v>
          </cell>
        </row>
      </sheetData>
      <sheetData sheetId="12540">
        <row r="1">
          <cell r="J1">
            <v>1.7453292519943295E-2</v>
          </cell>
        </row>
      </sheetData>
      <sheetData sheetId="12541">
        <row r="1">
          <cell r="J1">
            <v>1.7453292519943295E-2</v>
          </cell>
        </row>
      </sheetData>
      <sheetData sheetId="12542">
        <row r="1">
          <cell r="J1">
            <v>1.7453292519943295E-2</v>
          </cell>
        </row>
      </sheetData>
      <sheetData sheetId="12543">
        <row r="1">
          <cell r="J1">
            <v>1.7453292519943295E-2</v>
          </cell>
        </row>
      </sheetData>
      <sheetData sheetId="12544">
        <row r="1">
          <cell r="J1">
            <v>1.7453292519943295E-2</v>
          </cell>
        </row>
      </sheetData>
      <sheetData sheetId="12545">
        <row r="1">
          <cell r="J1">
            <v>1.7453292519943295E-2</v>
          </cell>
        </row>
      </sheetData>
      <sheetData sheetId="12546">
        <row r="1">
          <cell r="J1">
            <v>1.7453292519943295E-2</v>
          </cell>
        </row>
      </sheetData>
      <sheetData sheetId="12547">
        <row r="1">
          <cell r="J1">
            <v>1.7453292519943295E-2</v>
          </cell>
        </row>
      </sheetData>
      <sheetData sheetId="12548">
        <row r="1">
          <cell r="J1">
            <v>1.7453292519943295E-2</v>
          </cell>
        </row>
      </sheetData>
      <sheetData sheetId="12549">
        <row r="1">
          <cell r="J1">
            <v>1.7453292519943295E-2</v>
          </cell>
        </row>
      </sheetData>
      <sheetData sheetId="12550">
        <row r="1">
          <cell r="J1">
            <v>1.7453292519943295E-2</v>
          </cell>
        </row>
      </sheetData>
      <sheetData sheetId="12551">
        <row r="1">
          <cell r="J1">
            <v>1.7453292519943295E-2</v>
          </cell>
        </row>
      </sheetData>
      <sheetData sheetId="12552">
        <row r="1">
          <cell r="J1">
            <v>1.7453292519943295E-2</v>
          </cell>
        </row>
      </sheetData>
      <sheetData sheetId="12553">
        <row r="1">
          <cell r="J1">
            <v>1.7453292519943295E-2</v>
          </cell>
        </row>
      </sheetData>
      <sheetData sheetId="12554">
        <row r="1">
          <cell r="J1">
            <v>1.7453292519943295E-2</v>
          </cell>
        </row>
      </sheetData>
      <sheetData sheetId="12555">
        <row r="1">
          <cell r="J1">
            <v>1.7453292519943295E-2</v>
          </cell>
        </row>
      </sheetData>
      <sheetData sheetId="12556">
        <row r="1">
          <cell r="J1">
            <v>1.7453292519943295E-2</v>
          </cell>
        </row>
      </sheetData>
      <sheetData sheetId="12557">
        <row r="1">
          <cell r="J1">
            <v>1.7453292519943295E-2</v>
          </cell>
        </row>
      </sheetData>
      <sheetData sheetId="12558">
        <row r="1">
          <cell r="J1">
            <v>1.7453292519943295E-2</v>
          </cell>
        </row>
      </sheetData>
      <sheetData sheetId="12559">
        <row r="1">
          <cell r="J1">
            <v>1.7453292519943295E-2</v>
          </cell>
        </row>
      </sheetData>
      <sheetData sheetId="12560">
        <row r="1">
          <cell r="J1">
            <v>1.7453292519943295E-2</v>
          </cell>
        </row>
      </sheetData>
      <sheetData sheetId="12561">
        <row r="1">
          <cell r="J1">
            <v>1.7453292519943295E-2</v>
          </cell>
        </row>
      </sheetData>
      <sheetData sheetId="12562">
        <row r="1">
          <cell r="J1">
            <v>1.7453292519943295E-2</v>
          </cell>
        </row>
      </sheetData>
      <sheetData sheetId="12563">
        <row r="1">
          <cell r="J1">
            <v>1.7453292519943295E-2</v>
          </cell>
        </row>
      </sheetData>
      <sheetData sheetId="12564">
        <row r="1">
          <cell r="J1">
            <v>1.7453292519943295E-2</v>
          </cell>
        </row>
      </sheetData>
      <sheetData sheetId="12565">
        <row r="1">
          <cell r="J1">
            <v>1.7453292519943295E-2</v>
          </cell>
        </row>
      </sheetData>
      <sheetData sheetId="12566">
        <row r="1">
          <cell r="J1">
            <v>1.7453292519943295E-2</v>
          </cell>
        </row>
      </sheetData>
      <sheetData sheetId="12567">
        <row r="1">
          <cell r="J1">
            <v>1.7453292519943295E-2</v>
          </cell>
        </row>
      </sheetData>
      <sheetData sheetId="12568">
        <row r="1">
          <cell r="J1">
            <v>1.7453292519943295E-2</v>
          </cell>
        </row>
      </sheetData>
      <sheetData sheetId="12569">
        <row r="1">
          <cell r="J1">
            <v>1.7453292519943295E-2</v>
          </cell>
        </row>
      </sheetData>
      <sheetData sheetId="12570">
        <row r="1">
          <cell r="J1">
            <v>1.7453292519943295E-2</v>
          </cell>
        </row>
      </sheetData>
      <sheetData sheetId="12571">
        <row r="1">
          <cell r="J1">
            <v>1.7453292519943295E-2</v>
          </cell>
        </row>
      </sheetData>
      <sheetData sheetId="12572">
        <row r="1">
          <cell r="J1">
            <v>1.7453292519943295E-2</v>
          </cell>
        </row>
      </sheetData>
      <sheetData sheetId="12573">
        <row r="1">
          <cell r="J1">
            <v>1.7453292519943295E-2</v>
          </cell>
        </row>
      </sheetData>
      <sheetData sheetId="12574">
        <row r="1">
          <cell r="J1">
            <v>1.7453292519943295E-2</v>
          </cell>
        </row>
      </sheetData>
      <sheetData sheetId="12575">
        <row r="1">
          <cell r="J1">
            <v>1.7453292519943295E-2</v>
          </cell>
        </row>
      </sheetData>
      <sheetData sheetId="12576">
        <row r="1">
          <cell r="J1">
            <v>1.7453292519943295E-2</v>
          </cell>
        </row>
      </sheetData>
      <sheetData sheetId="12577">
        <row r="1">
          <cell r="J1">
            <v>1.7453292519943295E-2</v>
          </cell>
        </row>
      </sheetData>
      <sheetData sheetId="12578">
        <row r="1">
          <cell r="J1">
            <v>1.7453292519943295E-2</v>
          </cell>
        </row>
      </sheetData>
      <sheetData sheetId="12579">
        <row r="1">
          <cell r="J1">
            <v>1.7453292519943295E-2</v>
          </cell>
        </row>
      </sheetData>
      <sheetData sheetId="12580">
        <row r="1">
          <cell r="J1">
            <v>1.7453292519943295E-2</v>
          </cell>
        </row>
      </sheetData>
      <sheetData sheetId="12581">
        <row r="1">
          <cell r="J1">
            <v>1.7453292519943295E-2</v>
          </cell>
        </row>
      </sheetData>
      <sheetData sheetId="12582">
        <row r="1">
          <cell r="J1">
            <v>1.7453292519943295E-2</v>
          </cell>
        </row>
      </sheetData>
      <sheetData sheetId="12583">
        <row r="1">
          <cell r="J1">
            <v>1.7453292519943295E-2</v>
          </cell>
        </row>
      </sheetData>
      <sheetData sheetId="12584">
        <row r="1">
          <cell r="J1">
            <v>1.7453292519943295E-2</v>
          </cell>
        </row>
      </sheetData>
      <sheetData sheetId="12585">
        <row r="1">
          <cell r="J1">
            <v>1.7453292519943295E-2</v>
          </cell>
        </row>
      </sheetData>
      <sheetData sheetId="12586">
        <row r="1">
          <cell r="J1">
            <v>1.7453292519943295E-2</v>
          </cell>
        </row>
      </sheetData>
      <sheetData sheetId="12587">
        <row r="1">
          <cell r="J1">
            <v>1.7453292519943295E-2</v>
          </cell>
        </row>
      </sheetData>
      <sheetData sheetId="12588">
        <row r="1">
          <cell r="J1">
            <v>1.7453292519943295E-2</v>
          </cell>
        </row>
      </sheetData>
      <sheetData sheetId="12589">
        <row r="1">
          <cell r="J1">
            <v>1.7453292519943295E-2</v>
          </cell>
        </row>
      </sheetData>
      <sheetData sheetId="12590">
        <row r="1">
          <cell r="J1">
            <v>1.7453292519943295E-2</v>
          </cell>
        </row>
      </sheetData>
      <sheetData sheetId="12591">
        <row r="1">
          <cell r="J1">
            <v>1.7453292519943295E-2</v>
          </cell>
        </row>
      </sheetData>
      <sheetData sheetId="12592">
        <row r="1">
          <cell r="J1">
            <v>1.7453292519943295E-2</v>
          </cell>
        </row>
      </sheetData>
      <sheetData sheetId="12593">
        <row r="1">
          <cell r="J1">
            <v>1.7453292519943295E-2</v>
          </cell>
        </row>
      </sheetData>
      <sheetData sheetId="12594">
        <row r="1">
          <cell r="J1">
            <v>1.7453292519943295E-2</v>
          </cell>
        </row>
      </sheetData>
      <sheetData sheetId="12595">
        <row r="1">
          <cell r="J1">
            <v>1.7453292519943295E-2</v>
          </cell>
        </row>
      </sheetData>
      <sheetData sheetId="12596">
        <row r="1">
          <cell r="J1">
            <v>1.7453292519943295E-2</v>
          </cell>
        </row>
      </sheetData>
      <sheetData sheetId="12597">
        <row r="1">
          <cell r="J1">
            <v>1.7453292519943295E-2</v>
          </cell>
        </row>
      </sheetData>
      <sheetData sheetId="12598">
        <row r="1">
          <cell r="J1">
            <v>1.7453292519943295E-2</v>
          </cell>
        </row>
      </sheetData>
      <sheetData sheetId="12599">
        <row r="1">
          <cell r="J1">
            <v>1.7453292519943295E-2</v>
          </cell>
        </row>
      </sheetData>
      <sheetData sheetId="12600">
        <row r="1">
          <cell r="J1">
            <v>1.7453292519943295E-2</v>
          </cell>
        </row>
      </sheetData>
      <sheetData sheetId="12601">
        <row r="1">
          <cell r="J1">
            <v>1.7453292519943295E-2</v>
          </cell>
        </row>
      </sheetData>
      <sheetData sheetId="12602">
        <row r="1">
          <cell r="J1">
            <v>1.7453292519943295E-2</v>
          </cell>
        </row>
      </sheetData>
      <sheetData sheetId="12603">
        <row r="1">
          <cell r="J1">
            <v>1.7453292519943295E-2</v>
          </cell>
        </row>
      </sheetData>
      <sheetData sheetId="12604">
        <row r="1">
          <cell r="J1">
            <v>1.7453292519943295E-2</v>
          </cell>
        </row>
      </sheetData>
      <sheetData sheetId="12605">
        <row r="1">
          <cell r="J1">
            <v>1.7453292519943295E-2</v>
          </cell>
        </row>
      </sheetData>
      <sheetData sheetId="12606">
        <row r="1">
          <cell r="J1">
            <v>1.7453292519943295E-2</v>
          </cell>
        </row>
      </sheetData>
      <sheetData sheetId="12607">
        <row r="1">
          <cell r="J1">
            <v>1.7453292519943295E-2</v>
          </cell>
        </row>
      </sheetData>
      <sheetData sheetId="12608">
        <row r="1">
          <cell r="J1">
            <v>1.7453292519943295E-2</v>
          </cell>
        </row>
      </sheetData>
      <sheetData sheetId="12609">
        <row r="1">
          <cell r="J1">
            <v>1.7453292519943295E-2</v>
          </cell>
        </row>
      </sheetData>
      <sheetData sheetId="12610">
        <row r="1">
          <cell r="J1">
            <v>1.7453292519943295E-2</v>
          </cell>
        </row>
      </sheetData>
      <sheetData sheetId="12611">
        <row r="1">
          <cell r="J1">
            <v>1.7453292519943295E-2</v>
          </cell>
        </row>
      </sheetData>
      <sheetData sheetId="12612">
        <row r="1">
          <cell r="J1">
            <v>1.7453292519943295E-2</v>
          </cell>
        </row>
      </sheetData>
      <sheetData sheetId="12613">
        <row r="1">
          <cell r="J1">
            <v>1.7453292519943295E-2</v>
          </cell>
        </row>
      </sheetData>
      <sheetData sheetId="12614">
        <row r="1">
          <cell r="J1">
            <v>1.7453292519943295E-2</v>
          </cell>
        </row>
      </sheetData>
      <sheetData sheetId="12615">
        <row r="1">
          <cell r="J1">
            <v>1.7453292519943295E-2</v>
          </cell>
        </row>
      </sheetData>
      <sheetData sheetId="12616">
        <row r="1">
          <cell r="J1">
            <v>1.7453292519943295E-2</v>
          </cell>
        </row>
      </sheetData>
      <sheetData sheetId="12617">
        <row r="1">
          <cell r="J1">
            <v>1.7453292519943295E-2</v>
          </cell>
        </row>
      </sheetData>
      <sheetData sheetId="12618">
        <row r="1">
          <cell r="J1">
            <v>1.7453292519943295E-2</v>
          </cell>
        </row>
      </sheetData>
      <sheetData sheetId="12619">
        <row r="1">
          <cell r="J1">
            <v>1.7453292519943295E-2</v>
          </cell>
        </row>
      </sheetData>
      <sheetData sheetId="12620">
        <row r="1">
          <cell r="J1">
            <v>1.7453292519943295E-2</v>
          </cell>
        </row>
      </sheetData>
      <sheetData sheetId="12621">
        <row r="1">
          <cell r="J1">
            <v>1.7453292519943295E-2</v>
          </cell>
        </row>
      </sheetData>
      <sheetData sheetId="12622">
        <row r="1">
          <cell r="J1">
            <v>1.7453292519943295E-2</v>
          </cell>
        </row>
      </sheetData>
      <sheetData sheetId="12623">
        <row r="1">
          <cell r="J1">
            <v>1.7453292519943295E-2</v>
          </cell>
        </row>
      </sheetData>
      <sheetData sheetId="12624">
        <row r="1">
          <cell r="J1">
            <v>1.7453292519943295E-2</v>
          </cell>
        </row>
      </sheetData>
      <sheetData sheetId="12625">
        <row r="1">
          <cell r="J1">
            <v>1.7453292519943295E-2</v>
          </cell>
        </row>
      </sheetData>
      <sheetData sheetId="12626">
        <row r="1">
          <cell r="J1">
            <v>1.7453292519943295E-2</v>
          </cell>
        </row>
      </sheetData>
      <sheetData sheetId="12627">
        <row r="1">
          <cell r="J1">
            <v>1.7453292519943295E-2</v>
          </cell>
        </row>
      </sheetData>
      <sheetData sheetId="12628">
        <row r="1">
          <cell r="J1">
            <v>1.7453292519943295E-2</v>
          </cell>
        </row>
      </sheetData>
      <sheetData sheetId="12629">
        <row r="1">
          <cell r="J1">
            <v>1.7453292519943295E-2</v>
          </cell>
        </row>
      </sheetData>
      <sheetData sheetId="12630">
        <row r="1">
          <cell r="J1">
            <v>1.7453292519943295E-2</v>
          </cell>
        </row>
      </sheetData>
      <sheetData sheetId="12631">
        <row r="1">
          <cell r="J1">
            <v>1.7453292519943295E-2</v>
          </cell>
        </row>
      </sheetData>
      <sheetData sheetId="12632">
        <row r="1">
          <cell r="J1">
            <v>1.7453292519943295E-2</v>
          </cell>
        </row>
      </sheetData>
      <sheetData sheetId="12633">
        <row r="1">
          <cell r="J1">
            <v>1.7453292519943295E-2</v>
          </cell>
        </row>
      </sheetData>
      <sheetData sheetId="12634">
        <row r="1">
          <cell r="J1">
            <v>1.7453292519943295E-2</v>
          </cell>
        </row>
      </sheetData>
      <sheetData sheetId="12635">
        <row r="1">
          <cell r="J1">
            <v>1.7453292519943295E-2</v>
          </cell>
        </row>
      </sheetData>
      <sheetData sheetId="12636">
        <row r="1">
          <cell r="J1">
            <v>1.7453292519943295E-2</v>
          </cell>
        </row>
      </sheetData>
      <sheetData sheetId="12637">
        <row r="1">
          <cell r="J1">
            <v>1.7453292519943295E-2</v>
          </cell>
        </row>
      </sheetData>
      <sheetData sheetId="12638">
        <row r="1">
          <cell r="J1">
            <v>1.7453292519943295E-2</v>
          </cell>
        </row>
      </sheetData>
      <sheetData sheetId="12639">
        <row r="1">
          <cell r="J1">
            <v>1.7453292519943295E-2</v>
          </cell>
        </row>
      </sheetData>
      <sheetData sheetId="12640">
        <row r="1">
          <cell r="J1">
            <v>1.7453292519943295E-2</v>
          </cell>
        </row>
      </sheetData>
      <sheetData sheetId="12641">
        <row r="1">
          <cell r="J1">
            <v>1.7453292519943295E-2</v>
          </cell>
        </row>
      </sheetData>
      <sheetData sheetId="12642">
        <row r="1">
          <cell r="J1">
            <v>1.7453292519943295E-2</v>
          </cell>
        </row>
      </sheetData>
      <sheetData sheetId="12643">
        <row r="1">
          <cell r="J1">
            <v>1.7453292519943295E-2</v>
          </cell>
        </row>
      </sheetData>
      <sheetData sheetId="12644">
        <row r="1">
          <cell r="J1">
            <v>1.7453292519943295E-2</v>
          </cell>
        </row>
      </sheetData>
      <sheetData sheetId="12645">
        <row r="1">
          <cell r="J1">
            <v>1.7453292519943295E-2</v>
          </cell>
        </row>
      </sheetData>
      <sheetData sheetId="12646">
        <row r="1">
          <cell r="J1">
            <v>1.7453292519943295E-2</v>
          </cell>
        </row>
      </sheetData>
      <sheetData sheetId="12647">
        <row r="1">
          <cell r="J1">
            <v>1.7453292519943295E-2</v>
          </cell>
        </row>
      </sheetData>
      <sheetData sheetId="12648">
        <row r="1">
          <cell r="J1">
            <v>1.7453292519943295E-2</v>
          </cell>
        </row>
      </sheetData>
      <sheetData sheetId="12649">
        <row r="1">
          <cell r="J1">
            <v>1.7453292519943295E-2</v>
          </cell>
        </row>
      </sheetData>
      <sheetData sheetId="12650">
        <row r="1">
          <cell r="J1">
            <v>1.7453292519943295E-2</v>
          </cell>
        </row>
      </sheetData>
      <sheetData sheetId="12651">
        <row r="1">
          <cell r="J1">
            <v>1.7453292519943295E-2</v>
          </cell>
        </row>
      </sheetData>
      <sheetData sheetId="12652">
        <row r="1">
          <cell r="J1">
            <v>1.7453292519943295E-2</v>
          </cell>
        </row>
      </sheetData>
      <sheetData sheetId="12653">
        <row r="1">
          <cell r="J1">
            <v>1.7453292519943295E-2</v>
          </cell>
        </row>
      </sheetData>
      <sheetData sheetId="12654">
        <row r="1">
          <cell r="J1">
            <v>1.7453292519943295E-2</v>
          </cell>
        </row>
      </sheetData>
      <sheetData sheetId="12655">
        <row r="1">
          <cell r="J1">
            <v>1.7453292519943295E-2</v>
          </cell>
        </row>
      </sheetData>
      <sheetData sheetId="12656">
        <row r="1">
          <cell r="J1">
            <v>1.7453292519943295E-2</v>
          </cell>
        </row>
      </sheetData>
      <sheetData sheetId="12657">
        <row r="1">
          <cell r="J1">
            <v>1.7453292519943295E-2</v>
          </cell>
        </row>
      </sheetData>
      <sheetData sheetId="12658">
        <row r="1">
          <cell r="J1">
            <v>1.7453292519943295E-2</v>
          </cell>
        </row>
      </sheetData>
      <sheetData sheetId="12659">
        <row r="1">
          <cell r="J1">
            <v>1.7453292519943295E-2</v>
          </cell>
        </row>
      </sheetData>
      <sheetData sheetId="12660">
        <row r="1">
          <cell r="J1">
            <v>1.7453292519943295E-2</v>
          </cell>
        </row>
      </sheetData>
      <sheetData sheetId="12661">
        <row r="1">
          <cell r="J1">
            <v>1.7453292519943295E-2</v>
          </cell>
        </row>
      </sheetData>
      <sheetData sheetId="12662">
        <row r="1">
          <cell r="J1">
            <v>1.7453292519943295E-2</v>
          </cell>
        </row>
      </sheetData>
      <sheetData sheetId="12663">
        <row r="1">
          <cell r="J1">
            <v>1.7453292519943295E-2</v>
          </cell>
        </row>
      </sheetData>
      <sheetData sheetId="12664">
        <row r="1">
          <cell r="J1">
            <v>1.7453292519943295E-2</v>
          </cell>
        </row>
      </sheetData>
      <sheetData sheetId="12665">
        <row r="1">
          <cell r="J1">
            <v>1.7453292519943295E-2</v>
          </cell>
        </row>
      </sheetData>
      <sheetData sheetId="12666">
        <row r="1">
          <cell r="J1">
            <v>1.7453292519943295E-2</v>
          </cell>
        </row>
      </sheetData>
      <sheetData sheetId="12667">
        <row r="1">
          <cell r="J1">
            <v>1.7453292519943295E-2</v>
          </cell>
        </row>
      </sheetData>
      <sheetData sheetId="12668">
        <row r="1">
          <cell r="J1">
            <v>1.7453292519943295E-2</v>
          </cell>
        </row>
      </sheetData>
      <sheetData sheetId="12669">
        <row r="1">
          <cell r="J1">
            <v>1.7453292519943295E-2</v>
          </cell>
        </row>
      </sheetData>
      <sheetData sheetId="12670">
        <row r="1">
          <cell r="J1">
            <v>1.7453292519943295E-2</v>
          </cell>
        </row>
      </sheetData>
      <sheetData sheetId="12671">
        <row r="1">
          <cell r="J1">
            <v>1.7453292519943295E-2</v>
          </cell>
        </row>
      </sheetData>
      <sheetData sheetId="12672">
        <row r="1">
          <cell r="J1">
            <v>1.7453292519943295E-2</v>
          </cell>
        </row>
      </sheetData>
      <sheetData sheetId="12673">
        <row r="1">
          <cell r="J1">
            <v>1.7453292519943295E-2</v>
          </cell>
        </row>
      </sheetData>
      <sheetData sheetId="12674">
        <row r="1">
          <cell r="J1">
            <v>1.7453292519943295E-2</v>
          </cell>
        </row>
      </sheetData>
      <sheetData sheetId="12675">
        <row r="1">
          <cell r="J1">
            <v>1.7453292519943295E-2</v>
          </cell>
        </row>
      </sheetData>
      <sheetData sheetId="12676">
        <row r="1">
          <cell r="J1">
            <v>1.7453292519943295E-2</v>
          </cell>
        </row>
      </sheetData>
      <sheetData sheetId="12677">
        <row r="1">
          <cell r="J1">
            <v>1.7453292519943295E-2</v>
          </cell>
        </row>
      </sheetData>
      <sheetData sheetId="12678">
        <row r="1">
          <cell r="J1">
            <v>1.7453292519943295E-2</v>
          </cell>
        </row>
      </sheetData>
      <sheetData sheetId="12679">
        <row r="1">
          <cell r="J1">
            <v>1.7453292519943295E-2</v>
          </cell>
        </row>
      </sheetData>
      <sheetData sheetId="12680">
        <row r="1">
          <cell r="J1">
            <v>1.7453292519943295E-2</v>
          </cell>
        </row>
      </sheetData>
      <sheetData sheetId="12681">
        <row r="1">
          <cell r="J1">
            <v>1.7453292519943295E-2</v>
          </cell>
        </row>
      </sheetData>
      <sheetData sheetId="12682">
        <row r="1">
          <cell r="J1">
            <v>1.7453292519943295E-2</v>
          </cell>
        </row>
      </sheetData>
      <sheetData sheetId="12683">
        <row r="1">
          <cell r="J1">
            <v>1.7453292519943295E-2</v>
          </cell>
        </row>
      </sheetData>
      <sheetData sheetId="12684">
        <row r="1">
          <cell r="J1">
            <v>1.7453292519943295E-2</v>
          </cell>
        </row>
      </sheetData>
      <sheetData sheetId="12685">
        <row r="1">
          <cell r="J1">
            <v>1.7453292519943295E-2</v>
          </cell>
        </row>
      </sheetData>
      <sheetData sheetId="12686">
        <row r="1">
          <cell r="J1">
            <v>1.7453292519943295E-2</v>
          </cell>
        </row>
      </sheetData>
      <sheetData sheetId="12687">
        <row r="1">
          <cell r="J1">
            <v>1.7453292519943295E-2</v>
          </cell>
        </row>
      </sheetData>
      <sheetData sheetId="12688">
        <row r="1">
          <cell r="J1">
            <v>1.7453292519943295E-2</v>
          </cell>
        </row>
      </sheetData>
      <sheetData sheetId="12689">
        <row r="1">
          <cell r="J1">
            <v>1.7453292519943295E-2</v>
          </cell>
        </row>
      </sheetData>
      <sheetData sheetId="12690">
        <row r="1">
          <cell r="J1">
            <v>1.7453292519943295E-2</v>
          </cell>
        </row>
      </sheetData>
      <sheetData sheetId="12691">
        <row r="1">
          <cell r="J1">
            <v>1.7453292519943295E-2</v>
          </cell>
        </row>
      </sheetData>
      <sheetData sheetId="12692">
        <row r="1">
          <cell r="J1">
            <v>1.7453292519943295E-2</v>
          </cell>
        </row>
      </sheetData>
      <sheetData sheetId="12693">
        <row r="1">
          <cell r="J1">
            <v>1.7453292519943295E-2</v>
          </cell>
        </row>
      </sheetData>
      <sheetData sheetId="12694">
        <row r="1">
          <cell r="J1">
            <v>1.7453292519943295E-2</v>
          </cell>
        </row>
      </sheetData>
      <sheetData sheetId="12695">
        <row r="1">
          <cell r="J1">
            <v>1.7453292519943295E-2</v>
          </cell>
        </row>
      </sheetData>
      <sheetData sheetId="12696">
        <row r="1">
          <cell r="J1">
            <v>1.7453292519943295E-2</v>
          </cell>
        </row>
      </sheetData>
      <sheetData sheetId="12697">
        <row r="1">
          <cell r="J1">
            <v>1.7453292519943295E-2</v>
          </cell>
        </row>
      </sheetData>
      <sheetData sheetId="12698">
        <row r="1">
          <cell r="J1">
            <v>1.7453292519943295E-2</v>
          </cell>
        </row>
      </sheetData>
      <sheetData sheetId="12699">
        <row r="1">
          <cell r="J1">
            <v>1.7453292519943295E-2</v>
          </cell>
        </row>
      </sheetData>
      <sheetData sheetId="12700">
        <row r="1">
          <cell r="J1">
            <v>1.7453292519943295E-2</v>
          </cell>
        </row>
      </sheetData>
      <sheetData sheetId="12701">
        <row r="1">
          <cell r="J1">
            <v>1.7453292519943295E-2</v>
          </cell>
        </row>
      </sheetData>
      <sheetData sheetId="12702">
        <row r="1">
          <cell r="J1">
            <v>1.7453292519943295E-2</v>
          </cell>
        </row>
      </sheetData>
      <sheetData sheetId="12703">
        <row r="1">
          <cell r="J1">
            <v>1.7453292519943295E-2</v>
          </cell>
        </row>
      </sheetData>
      <sheetData sheetId="12704">
        <row r="1">
          <cell r="J1">
            <v>1.7453292519943295E-2</v>
          </cell>
        </row>
      </sheetData>
      <sheetData sheetId="12705">
        <row r="1">
          <cell r="J1">
            <v>1.7453292519943295E-2</v>
          </cell>
        </row>
      </sheetData>
      <sheetData sheetId="12706">
        <row r="1">
          <cell r="J1">
            <v>1.7453292519943295E-2</v>
          </cell>
        </row>
      </sheetData>
      <sheetData sheetId="12707">
        <row r="1">
          <cell r="J1">
            <v>1.7453292519943295E-2</v>
          </cell>
        </row>
      </sheetData>
      <sheetData sheetId="12708">
        <row r="1">
          <cell r="J1">
            <v>1.7453292519943295E-2</v>
          </cell>
        </row>
      </sheetData>
      <sheetData sheetId="12709">
        <row r="1">
          <cell r="J1">
            <v>1.7453292519943295E-2</v>
          </cell>
        </row>
      </sheetData>
      <sheetData sheetId="12710">
        <row r="1">
          <cell r="J1">
            <v>1.7453292519943295E-2</v>
          </cell>
        </row>
      </sheetData>
      <sheetData sheetId="12711">
        <row r="1">
          <cell r="J1">
            <v>1.7453292519943295E-2</v>
          </cell>
        </row>
      </sheetData>
      <sheetData sheetId="12712">
        <row r="1">
          <cell r="J1">
            <v>1.7453292519943295E-2</v>
          </cell>
        </row>
      </sheetData>
      <sheetData sheetId="12713">
        <row r="1">
          <cell r="J1">
            <v>1.7453292519943295E-2</v>
          </cell>
        </row>
      </sheetData>
      <sheetData sheetId="12714">
        <row r="1">
          <cell r="J1">
            <v>1.7453292519943295E-2</v>
          </cell>
        </row>
      </sheetData>
      <sheetData sheetId="12715">
        <row r="1">
          <cell r="J1">
            <v>1.7453292519943295E-2</v>
          </cell>
        </row>
      </sheetData>
      <sheetData sheetId="12716">
        <row r="1">
          <cell r="J1">
            <v>1.7453292519943295E-2</v>
          </cell>
        </row>
      </sheetData>
      <sheetData sheetId="12717">
        <row r="1">
          <cell r="J1">
            <v>1.7453292519943295E-2</v>
          </cell>
        </row>
      </sheetData>
      <sheetData sheetId="12718">
        <row r="1">
          <cell r="J1">
            <v>1.7453292519943295E-2</v>
          </cell>
        </row>
      </sheetData>
      <sheetData sheetId="12719">
        <row r="1">
          <cell r="J1">
            <v>1.7453292519943295E-2</v>
          </cell>
        </row>
      </sheetData>
      <sheetData sheetId="12720">
        <row r="1">
          <cell r="J1">
            <v>1.7453292519943295E-2</v>
          </cell>
        </row>
      </sheetData>
      <sheetData sheetId="12721">
        <row r="1">
          <cell r="J1">
            <v>1.7453292519943295E-2</v>
          </cell>
        </row>
      </sheetData>
      <sheetData sheetId="12722">
        <row r="1">
          <cell r="J1">
            <v>1.7453292519943295E-2</v>
          </cell>
        </row>
      </sheetData>
      <sheetData sheetId="12723">
        <row r="1">
          <cell r="J1">
            <v>1.7453292519943295E-2</v>
          </cell>
        </row>
      </sheetData>
      <sheetData sheetId="12724">
        <row r="1">
          <cell r="J1">
            <v>1.7453292519943295E-2</v>
          </cell>
        </row>
      </sheetData>
      <sheetData sheetId="12725">
        <row r="1">
          <cell r="J1">
            <v>1.7453292519943295E-2</v>
          </cell>
        </row>
      </sheetData>
      <sheetData sheetId="12726">
        <row r="1">
          <cell r="J1">
            <v>1.7453292519943295E-2</v>
          </cell>
        </row>
      </sheetData>
      <sheetData sheetId="12727">
        <row r="1">
          <cell r="J1">
            <v>1.7453292519943295E-2</v>
          </cell>
        </row>
      </sheetData>
      <sheetData sheetId="12728">
        <row r="1">
          <cell r="J1">
            <v>1.7453292519943295E-2</v>
          </cell>
        </row>
      </sheetData>
      <sheetData sheetId="12729">
        <row r="1">
          <cell r="J1">
            <v>1.7453292519943295E-2</v>
          </cell>
        </row>
      </sheetData>
      <sheetData sheetId="12730">
        <row r="1">
          <cell r="J1">
            <v>1.7453292519943295E-2</v>
          </cell>
        </row>
      </sheetData>
      <sheetData sheetId="12731">
        <row r="1">
          <cell r="J1">
            <v>1.7453292519943295E-2</v>
          </cell>
        </row>
      </sheetData>
      <sheetData sheetId="12732">
        <row r="1">
          <cell r="J1">
            <v>1.7453292519943295E-2</v>
          </cell>
        </row>
      </sheetData>
      <sheetData sheetId="12733">
        <row r="1">
          <cell r="J1">
            <v>1.7453292519943295E-2</v>
          </cell>
        </row>
      </sheetData>
      <sheetData sheetId="12734">
        <row r="1">
          <cell r="J1">
            <v>1.7453292519943295E-2</v>
          </cell>
        </row>
      </sheetData>
      <sheetData sheetId="12735">
        <row r="1">
          <cell r="J1">
            <v>1.7453292519943295E-2</v>
          </cell>
        </row>
      </sheetData>
      <sheetData sheetId="12736">
        <row r="1">
          <cell r="J1">
            <v>1.7453292519943295E-2</v>
          </cell>
        </row>
      </sheetData>
      <sheetData sheetId="12737">
        <row r="1">
          <cell r="J1">
            <v>1.7453292519943295E-2</v>
          </cell>
        </row>
      </sheetData>
      <sheetData sheetId="12738">
        <row r="1">
          <cell r="J1">
            <v>1.7453292519943295E-2</v>
          </cell>
        </row>
      </sheetData>
      <sheetData sheetId="12739">
        <row r="1">
          <cell r="J1">
            <v>1.7453292519943295E-2</v>
          </cell>
        </row>
      </sheetData>
      <sheetData sheetId="12740">
        <row r="1">
          <cell r="J1">
            <v>1.7453292519943295E-2</v>
          </cell>
        </row>
      </sheetData>
      <sheetData sheetId="12741">
        <row r="1">
          <cell r="J1">
            <v>1.7453292519943295E-2</v>
          </cell>
        </row>
      </sheetData>
      <sheetData sheetId="12742">
        <row r="1">
          <cell r="J1">
            <v>1.7453292519943295E-2</v>
          </cell>
        </row>
      </sheetData>
      <sheetData sheetId="12743">
        <row r="1">
          <cell r="J1">
            <v>1.7453292519943295E-2</v>
          </cell>
        </row>
      </sheetData>
      <sheetData sheetId="12744">
        <row r="1">
          <cell r="J1">
            <v>1.7453292519943295E-2</v>
          </cell>
        </row>
      </sheetData>
      <sheetData sheetId="12745">
        <row r="1">
          <cell r="J1">
            <v>1.7453292519943295E-2</v>
          </cell>
        </row>
      </sheetData>
      <sheetData sheetId="12746">
        <row r="1">
          <cell r="J1">
            <v>1.7453292519943295E-2</v>
          </cell>
        </row>
      </sheetData>
      <sheetData sheetId="12747">
        <row r="1">
          <cell r="J1">
            <v>1.7453292519943295E-2</v>
          </cell>
        </row>
      </sheetData>
      <sheetData sheetId="12748">
        <row r="1">
          <cell r="J1">
            <v>1.7453292519943295E-2</v>
          </cell>
        </row>
      </sheetData>
      <sheetData sheetId="12749">
        <row r="1">
          <cell r="J1">
            <v>1.7453292519943295E-2</v>
          </cell>
        </row>
      </sheetData>
      <sheetData sheetId="12750">
        <row r="1">
          <cell r="J1">
            <v>1.7453292519943295E-2</v>
          </cell>
        </row>
      </sheetData>
      <sheetData sheetId="12751">
        <row r="1">
          <cell r="J1">
            <v>1.7453292519943295E-2</v>
          </cell>
        </row>
      </sheetData>
      <sheetData sheetId="12752">
        <row r="1">
          <cell r="J1">
            <v>1.7453292519943295E-2</v>
          </cell>
        </row>
      </sheetData>
      <sheetData sheetId="12753">
        <row r="1">
          <cell r="J1">
            <v>1.7453292519943295E-2</v>
          </cell>
        </row>
      </sheetData>
      <sheetData sheetId="12754">
        <row r="1">
          <cell r="J1">
            <v>1.7453292519943295E-2</v>
          </cell>
        </row>
      </sheetData>
      <sheetData sheetId="12755">
        <row r="1">
          <cell r="J1">
            <v>1.7453292519943295E-2</v>
          </cell>
        </row>
      </sheetData>
      <sheetData sheetId="12756">
        <row r="1">
          <cell r="J1">
            <v>1.7453292519943295E-2</v>
          </cell>
        </row>
      </sheetData>
      <sheetData sheetId="12757">
        <row r="1">
          <cell r="J1">
            <v>1.7453292519943295E-2</v>
          </cell>
        </row>
      </sheetData>
      <sheetData sheetId="12758">
        <row r="1">
          <cell r="J1">
            <v>1.7453292519943295E-2</v>
          </cell>
        </row>
      </sheetData>
      <sheetData sheetId="12759">
        <row r="1">
          <cell r="J1">
            <v>1.7453292519943295E-2</v>
          </cell>
        </row>
      </sheetData>
      <sheetData sheetId="12760">
        <row r="1">
          <cell r="J1">
            <v>1.7453292519943295E-2</v>
          </cell>
        </row>
      </sheetData>
      <sheetData sheetId="12761">
        <row r="1">
          <cell r="J1">
            <v>1.7453292519943295E-2</v>
          </cell>
        </row>
      </sheetData>
      <sheetData sheetId="12762">
        <row r="1">
          <cell r="J1">
            <v>1.7453292519943295E-2</v>
          </cell>
        </row>
      </sheetData>
      <sheetData sheetId="12763">
        <row r="1">
          <cell r="J1">
            <v>1.7453292519943295E-2</v>
          </cell>
        </row>
      </sheetData>
      <sheetData sheetId="12764">
        <row r="1">
          <cell r="J1">
            <v>1.7453292519943295E-2</v>
          </cell>
        </row>
      </sheetData>
      <sheetData sheetId="12765">
        <row r="1">
          <cell r="J1">
            <v>1.7453292519943295E-2</v>
          </cell>
        </row>
      </sheetData>
      <sheetData sheetId="12766">
        <row r="1">
          <cell r="J1">
            <v>1.7453292519943295E-2</v>
          </cell>
        </row>
      </sheetData>
      <sheetData sheetId="12767">
        <row r="1">
          <cell r="J1">
            <v>1.7453292519943295E-2</v>
          </cell>
        </row>
      </sheetData>
      <sheetData sheetId="12768">
        <row r="1">
          <cell r="J1">
            <v>1.7453292519943295E-2</v>
          </cell>
        </row>
      </sheetData>
      <sheetData sheetId="12769">
        <row r="1">
          <cell r="J1">
            <v>1.7453292519943295E-2</v>
          </cell>
        </row>
      </sheetData>
      <sheetData sheetId="12770">
        <row r="1">
          <cell r="J1">
            <v>1.7453292519943295E-2</v>
          </cell>
        </row>
      </sheetData>
      <sheetData sheetId="12771">
        <row r="1">
          <cell r="J1">
            <v>1.7453292519943295E-2</v>
          </cell>
        </row>
      </sheetData>
      <sheetData sheetId="12772">
        <row r="1">
          <cell r="J1">
            <v>1.7453292519943295E-2</v>
          </cell>
        </row>
      </sheetData>
      <sheetData sheetId="12773">
        <row r="1">
          <cell r="J1">
            <v>1.7453292519943295E-2</v>
          </cell>
        </row>
      </sheetData>
      <sheetData sheetId="12774">
        <row r="1">
          <cell r="J1">
            <v>1.7453292519943295E-2</v>
          </cell>
        </row>
      </sheetData>
      <sheetData sheetId="12775">
        <row r="1">
          <cell r="J1">
            <v>1.7453292519943295E-2</v>
          </cell>
        </row>
      </sheetData>
      <sheetData sheetId="12776">
        <row r="1">
          <cell r="J1">
            <v>1.7453292519943295E-2</v>
          </cell>
        </row>
      </sheetData>
      <sheetData sheetId="12777">
        <row r="1">
          <cell r="J1">
            <v>1.7453292519943295E-2</v>
          </cell>
        </row>
      </sheetData>
      <sheetData sheetId="12778">
        <row r="1">
          <cell r="J1">
            <v>1.7453292519943295E-2</v>
          </cell>
        </row>
      </sheetData>
      <sheetData sheetId="12779">
        <row r="1">
          <cell r="J1">
            <v>1.7453292519943295E-2</v>
          </cell>
        </row>
      </sheetData>
      <sheetData sheetId="12780">
        <row r="1">
          <cell r="J1">
            <v>1.7453292519943295E-2</v>
          </cell>
        </row>
      </sheetData>
      <sheetData sheetId="12781">
        <row r="1">
          <cell r="J1">
            <v>1.7453292519943295E-2</v>
          </cell>
        </row>
      </sheetData>
      <sheetData sheetId="12782">
        <row r="1">
          <cell r="J1">
            <v>1.7453292519943295E-2</v>
          </cell>
        </row>
      </sheetData>
      <sheetData sheetId="12783">
        <row r="1">
          <cell r="J1">
            <v>1.7453292519943295E-2</v>
          </cell>
        </row>
      </sheetData>
      <sheetData sheetId="12784">
        <row r="1">
          <cell r="J1">
            <v>1.7453292519943295E-2</v>
          </cell>
        </row>
      </sheetData>
      <sheetData sheetId="12785">
        <row r="1">
          <cell r="J1">
            <v>1.7453292519943295E-2</v>
          </cell>
        </row>
      </sheetData>
      <sheetData sheetId="12786">
        <row r="1">
          <cell r="J1">
            <v>1.7453292519943295E-2</v>
          </cell>
        </row>
      </sheetData>
      <sheetData sheetId="12787">
        <row r="1">
          <cell r="J1">
            <v>1.7453292519943295E-2</v>
          </cell>
        </row>
      </sheetData>
      <sheetData sheetId="12788">
        <row r="1">
          <cell r="J1">
            <v>1.7453292519943295E-2</v>
          </cell>
        </row>
      </sheetData>
      <sheetData sheetId="12789">
        <row r="1">
          <cell r="J1">
            <v>1.7453292519943295E-2</v>
          </cell>
        </row>
      </sheetData>
      <sheetData sheetId="12790">
        <row r="1">
          <cell r="J1">
            <v>1.7453292519943295E-2</v>
          </cell>
        </row>
      </sheetData>
      <sheetData sheetId="12791">
        <row r="1">
          <cell r="J1">
            <v>1.7453292519943295E-2</v>
          </cell>
        </row>
      </sheetData>
      <sheetData sheetId="12792">
        <row r="1">
          <cell r="J1">
            <v>1.7453292519943295E-2</v>
          </cell>
        </row>
      </sheetData>
      <sheetData sheetId="12793">
        <row r="1">
          <cell r="J1">
            <v>1.7453292519943295E-2</v>
          </cell>
        </row>
      </sheetData>
      <sheetData sheetId="12794">
        <row r="1">
          <cell r="J1">
            <v>1.7453292519943295E-2</v>
          </cell>
        </row>
      </sheetData>
      <sheetData sheetId="12795">
        <row r="1">
          <cell r="J1">
            <v>1.7453292519943295E-2</v>
          </cell>
        </row>
      </sheetData>
      <sheetData sheetId="12796">
        <row r="1">
          <cell r="J1">
            <v>1.7453292519943295E-2</v>
          </cell>
        </row>
      </sheetData>
      <sheetData sheetId="12797">
        <row r="1">
          <cell r="J1">
            <v>1.7453292519943295E-2</v>
          </cell>
        </row>
      </sheetData>
      <sheetData sheetId="12798">
        <row r="1">
          <cell r="J1">
            <v>1.7453292519943295E-2</v>
          </cell>
        </row>
      </sheetData>
      <sheetData sheetId="12799">
        <row r="1">
          <cell r="J1">
            <v>1.7453292519943295E-2</v>
          </cell>
        </row>
      </sheetData>
      <sheetData sheetId="12800">
        <row r="1">
          <cell r="J1">
            <v>1.7453292519943295E-2</v>
          </cell>
        </row>
      </sheetData>
      <sheetData sheetId="12801">
        <row r="1">
          <cell r="J1">
            <v>1.7453292519943295E-2</v>
          </cell>
        </row>
      </sheetData>
      <sheetData sheetId="12802">
        <row r="1">
          <cell r="J1">
            <v>1.7453292519943295E-2</v>
          </cell>
        </row>
      </sheetData>
      <sheetData sheetId="12803">
        <row r="1">
          <cell r="J1">
            <v>1.7453292519943295E-2</v>
          </cell>
        </row>
      </sheetData>
      <sheetData sheetId="12804">
        <row r="1">
          <cell r="J1">
            <v>1.7453292519943295E-2</v>
          </cell>
        </row>
      </sheetData>
      <sheetData sheetId="12805">
        <row r="1">
          <cell r="J1">
            <v>1.7453292519943295E-2</v>
          </cell>
        </row>
      </sheetData>
      <sheetData sheetId="12806">
        <row r="1">
          <cell r="J1">
            <v>1.7453292519943295E-2</v>
          </cell>
        </row>
      </sheetData>
      <sheetData sheetId="12807">
        <row r="1">
          <cell r="J1">
            <v>1.7453292519943295E-2</v>
          </cell>
        </row>
      </sheetData>
      <sheetData sheetId="12808">
        <row r="1">
          <cell r="J1">
            <v>1.7453292519943295E-2</v>
          </cell>
        </row>
      </sheetData>
      <sheetData sheetId="12809">
        <row r="1">
          <cell r="J1">
            <v>1.7453292519943295E-2</v>
          </cell>
        </row>
      </sheetData>
      <sheetData sheetId="12810">
        <row r="1">
          <cell r="J1">
            <v>1.7453292519943295E-2</v>
          </cell>
        </row>
      </sheetData>
      <sheetData sheetId="12811">
        <row r="1">
          <cell r="J1">
            <v>1.7453292519943295E-2</v>
          </cell>
        </row>
      </sheetData>
      <sheetData sheetId="12812">
        <row r="1">
          <cell r="J1">
            <v>1.7453292519943295E-2</v>
          </cell>
        </row>
      </sheetData>
      <sheetData sheetId="12813">
        <row r="1">
          <cell r="J1">
            <v>1.7453292519943295E-2</v>
          </cell>
        </row>
      </sheetData>
      <sheetData sheetId="12814">
        <row r="1">
          <cell r="J1">
            <v>1.7453292519943295E-2</v>
          </cell>
        </row>
      </sheetData>
      <sheetData sheetId="12815">
        <row r="1">
          <cell r="J1">
            <v>1.7453292519943295E-2</v>
          </cell>
        </row>
      </sheetData>
      <sheetData sheetId="12816">
        <row r="1">
          <cell r="J1">
            <v>1.7453292519943295E-2</v>
          </cell>
        </row>
      </sheetData>
      <sheetData sheetId="12817">
        <row r="1">
          <cell r="J1">
            <v>1.7453292519943295E-2</v>
          </cell>
        </row>
      </sheetData>
      <sheetData sheetId="12818">
        <row r="1">
          <cell r="J1">
            <v>1.7453292519943295E-2</v>
          </cell>
        </row>
      </sheetData>
      <sheetData sheetId="12819">
        <row r="1">
          <cell r="J1">
            <v>1.7453292519943295E-2</v>
          </cell>
        </row>
      </sheetData>
      <sheetData sheetId="12820">
        <row r="1">
          <cell r="J1">
            <v>1.7453292519943295E-2</v>
          </cell>
        </row>
      </sheetData>
      <sheetData sheetId="12821">
        <row r="1">
          <cell r="J1">
            <v>1.7453292519943295E-2</v>
          </cell>
        </row>
      </sheetData>
      <sheetData sheetId="12822">
        <row r="1">
          <cell r="J1">
            <v>1.7453292519943295E-2</v>
          </cell>
        </row>
      </sheetData>
      <sheetData sheetId="12823">
        <row r="1">
          <cell r="J1">
            <v>1.7453292519943295E-2</v>
          </cell>
        </row>
      </sheetData>
      <sheetData sheetId="12824">
        <row r="1">
          <cell r="J1">
            <v>1.7453292519943295E-2</v>
          </cell>
        </row>
      </sheetData>
      <sheetData sheetId="12825">
        <row r="1">
          <cell r="J1">
            <v>1.7453292519943295E-2</v>
          </cell>
        </row>
      </sheetData>
      <sheetData sheetId="12826">
        <row r="1">
          <cell r="J1">
            <v>1.7453292519943295E-2</v>
          </cell>
        </row>
      </sheetData>
      <sheetData sheetId="12827">
        <row r="1">
          <cell r="J1">
            <v>1.7453292519943295E-2</v>
          </cell>
        </row>
      </sheetData>
      <sheetData sheetId="12828">
        <row r="1">
          <cell r="J1">
            <v>1.7453292519943295E-2</v>
          </cell>
        </row>
      </sheetData>
      <sheetData sheetId="12829">
        <row r="1">
          <cell r="J1">
            <v>1.7453292519943295E-2</v>
          </cell>
        </row>
      </sheetData>
      <sheetData sheetId="12830">
        <row r="1">
          <cell r="J1">
            <v>1.7453292519943295E-2</v>
          </cell>
        </row>
      </sheetData>
      <sheetData sheetId="12831">
        <row r="1">
          <cell r="J1">
            <v>1.7453292519943295E-2</v>
          </cell>
        </row>
      </sheetData>
      <sheetData sheetId="12832">
        <row r="1">
          <cell r="J1">
            <v>1.7453292519943295E-2</v>
          </cell>
        </row>
      </sheetData>
      <sheetData sheetId="12833">
        <row r="1">
          <cell r="J1">
            <v>1.7453292519943295E-2</v>
          </cell>
        </row>
      </sheetData>
      <sheetData sheetId="12834">
        <row r="1">
          <cell r="J1">
            <v>1.7453292519943295E-2</v>
          </cell>
        </row>
      </sheetData>
      <sheetData sheetId="12835">
        <row r="1">
          <cell r="J1">
            <v>1.7453292519943295E-2</v>
          </cell>
        </row>
      </sheetData>
      <sheetData sheetId="12836">
        <row r="1">
          <cell r="J1">
            <v>1.7453292519943295E-2</v>
          </cell>
        </row>
      </sheetData>
      <sheetData sheetId="12837">
        <row r="1">
          <cell r="J1">
            <v>1.7453292519943295E-2</v>
          </cell>
        </row>
      </sheetData>
      <sheetData sheetId="12838">
        <row r="1">
          <cell r="J1">
            <v>1.7453292519943295E-2</v>
          </cell>
        </row>
      </sheetData>
      <sheetData sheetId="12839">
        <row r="1">
          <cell r="J1">
            <v>1.7453292519943295E-2</v>
          </cell>
        </row>
      </sheetData>
      <sheetData sheetId="12840">
        <row r="1">
          <cell r="J1">
            <v>1.7453292519943295E-2</v>
          </cell>
        </row>
      </sheetData>
      <sheetData sheetId="12841">
        <row r="1">
          <cell r="J1">
            <v>1.7453292519943295E-2</v>
          </cell>
        </row>
      </sheetData>
      <sheetData sheetId="12842">
        <row r="1">
          <cell r="J1">
            <v>1.7453292519943295E-2</v>
          </cell>
        </row>
      </sheetData>
      <sheetData sheetId="12843">
        <row r="1">
          <cell r="J1">
            <v>1.7453292519943295E-2</v>
          </cell>
        </row>
      </sheetData>
      <sheetData sheetId="12844">
        <row r="1">
          <cell r="J1">
            <v>1.7453292519943295E-2</v>
          </cell>
        </row>
      </sheetData>
      <sheetData sheetId="12845">
        <row r="1">
          <cell r="J1">
            <v>1.7453292519943295E-2</v>
          </cell>
        </row>
      </sheetData>
      <sheetData sheetId="12846">
        <row r="1">
          <cell r="J1">
            <v>1.7453292519943295E-2</v>
          </cell>
        </row>
      </sheetData>
      <sheetData sheetId="12847">
        <row r="1">
          <cell r="J1">
            <v>1.7453292519943295E-2</v>
          </cell>
        </row>
      </sheetData>
      <sheetData sheetId="12848">
        <row r="1">
          <cell r="J1">
            <v>1.7453292519943295E-2</v>
          </cell>
        </row>
      </sheetData>
      <sheetData sheetId="12849">
        <row r="1">
          <cell r="J1">
            <v>1.7453292519943295E-2</v>
          </cell>
        </row>
      </sheetData>
      <sheetData sheetId="12850">
        <row r="1">
          <cell r="J1">
            <v>1.7453292519943295E-2</v>
          </cell>
        </row>
      </sheetData>
      <sheetData sheetId="12851">
        <row r="1">
          <cell r="J1">
            <v>1.7453292519943295E-2</v>
          </cell>
        </row>
      </sheetData>
      <sheetData sheetId="12852">
        <row r="1">
          <cell r="J1">
            <v>1.7453292519943295E-2</v>
          </cell>
        </row>
      </sheetData>
      <sheetData sheetId="12853">
        <row r="1">
          <cell r="J1">
            <v>1.7453292519943295E-2</v>
          </cell>
        </row>
      </sheetData>
      <sheetData sheetId="12854">
        <row r="1">
          <cell r="J1">
            <v>1.7453292519943295E-2</v>
          </cell>
        </row>
      </sheetData>
      <sheetData sheetId="12855">
        <row r="1">
          <cell r="J1">
            <v>1.7453292519943295E-2</v>
          </cell>
        </row>
      </sheetData>
      <sheetData sheetId="12856">
        <row r="1">
          <cell r="J1">
            <v>1.7453292519943295E-2</v>
          </cell>
        </row>
      </sheetData>
      <sheetData sheetId="12857">
        <row r="1">
          <cell r="J1">
            <v>1.7453292519943295E-2</v>
          </cell>
        </row>
      </sheetData>
      <sheetData sheetId="12858">
        <row r="1">
          <cell r="J1">
            <v>1.7453292519943295E-2</v>
          </cell>
        </row>
      </sheetData>
      <sheetData sheetId="12859">
        <row r="1">
          <cell r="J1">
            <v>1.7453292519943295E-2</v>
          </cell>
        </row>
      </sheetData>
      <sheetData sheetId="12860">
        <row r="1">
          <cell r="J1">
            <v>1.7453292519943295E-2</v>
          </cell>
        </row>
      </sheetData>
      <sheetData sheetId="12861">
        <row r="1">
          <cell r="J1">
            <v>1.7453292519943295E-2</v>
          </cell>
        </row>
      </sheetData>
      <sheetData sheetId="12862">
        <row r="1">
          <cell r="J1">
            <v>1.7453292519943295E-2</v>
          </cell>
        </row>
      </sheetData>
      <sheetData sheetId="12863">
        <row r="1">
          <cell r="J1">
            <v>1.7453292519943295E-2</v>
          </cell>
        </row>
      </sheetData>
      <sheetData sheetId="12864">
        <row r="1">
          <cell r="J1">
            <v>1.7453292519943295E-2</v>
          </cell>
        </row>
      </sheetData>
      <sheetData sheetId="12865">
        <row r="1">
          <cell r="J1">
            <v>1.7453292519943295E-2</v>
          </cell>
        </row>
      </sheetData>
      <sheetData sheetId="12866">
        <row r="1">
          <cell r="J1">
            <v>1.7453292519943295E-2</v>
          </cell>
        </row>
      </sheetData>
      <sheetData sheetId="12867">
        <row r="1">
          <cell r="J1">
            <v>1.7453292519943295E-2</v>
          </cell>
        </row>
      </sheetData>
      <sheetData sheetId="12868">
        <row r="1">
          <cell r="J1">
            <v>1.7453292519943295E-2</v>
          </cell>
        </row>
      </sheetData>
      <sheetData sheetId="12869">
        <row r="1">
          <cell r="J1">
            <v>1.7453292519943295E-2</v>
          </cell>
        </row>
      </sheetData>
      <sheetData sheetId="12870">
        <row r="1">
          <cell r="J1">
            <v>1.7453292519943295E-2</v>
          </cell>
        </row>
      </sheetData>
      <sheetData sheetId="12871">
        <row r="1">
          <cell r="J1">
            <v>1.7453292519943295E-2</v>
          </cell>
        </row>
      </sheetData>
      <sheetData sheetId="12872">
        <row r="1">
          <cell r="J1">
            <v>1.7453292519943295E-2</v>
          </cell>
        </row>
      </sheetData>
      <sheetData sheetId="12873">
        <row r="1">
          <cell r="J1">
            <v>1.7453292519943295E-2</v>
          </cell>
        </row>
      </sheetData>
      <sheetData sheetId="12874">
        <row r="1">
          <cell r="J1">
            <v>1.7453292519943295E-2</v>
          </cell>
        </row>
      </sheetData>
      <sheetData sheetId="12875">
        <row r="1">
          <cell r="J1">
            <v>1.7453292519943295E-2</v>
          </cell>
        </row>
      </sheetData>
      <sheetData sheetId="12876">
        <row r="1">
          <cell r="J1">
            <v>1.7453292519943295E-2</v>
          </cell>
        </row>
      </sheetData>
      <sheetData sheetId="12877">
        <row r="1">
          <cell r="J1">
            <v>1.7453292519943295E-2</v>
          </cell>
        </row>
      </sheetData>
      <sheetData sheetId="12878">
        <row r="1">
          <cell r="J1">
            <v>1.7453292519943295E-2</v>
          </cell>
        </row>
      </sheetData>
      <sheetData sheetId="12879">
        <row r="1">
          <cell r="J1">
            <v>1.7453292519943295E-2</v>
          </cell>
        </row>
      </sheetData>
      <sheetData sheetId="12880">
        <row r="1">
          <cell r="J1">
            <v>1.7453292519943295E-2</v>
          </cell>
        </row>
      </sheetData>
      <sheetData sheetId="12881">
        <row r="1">
          <cell r="J1">
            <v>1.7453292519943295E-2</v>
          </cell>
        </row>
      </sheetData>
      <sheetData sheetId="12882">
        <row r="1">
          <cell r="J1">
            <v>1.7453292519943295E-2</v>
          </cell>
        </row>
      </sheetData>
      <sheetData sheetId="12883">
        <row r="1">
          <cell r="J1">
            <v>1.7453292519943295E-2</v>
          </cell>
        </row>
      </sheetData>
      <sheetData sheetId="12884">
        <row r="1">
          <cell r="J1">
            <v>1.7453292519943295E-2</v>
          </cell>
        </row>
      </sheetData>
      <sheetData sheetId="12885">
        <row r="1">
          <cell r="J1">
            <v>1.7453292519943295E-2</v>
          </cell>
        </row>
      </sheetData>
      <sheetData sheetId="12886">
        <row r="1">
          <cell r="J1">
            <v>1.7453292519943295E-2</v>
          </cell>
        </row>
      </sheetData>
      <sheetData sheetId="12887">
        <row r="1">
          <cell r="J1">
            <v>1.7453292519943295E-2</v>
          </cell>
        </row>
      </sheetData>
      <sheetData sheetId="12888">
        <row r="1">
          <cell r="J1">
            <v>1.7453292519943295E-2</v>
          </cell>
        </row>
      </sheetData>
      <sheetData sheetId="12889">
        <row r="1">
          <cell r="J1">
            <v>1.7453292519943295E-2</v>
          </cell>
        </row>
      </sheetData>
      <sheetData sheetId="12890">
        <row r="1">
          <cell r="J1">
            <v>1.7453292519943295E-2</v>
          </cell>
        </row>
      </sheetData>
      <sheetData sheetId="12891">
        <row r="1">
          <cell r="J1">
            <v>1.7453292519943295E-2</v>
          </cell>
        </row>
      </sheetData>
      <sheetData sheetId="12892">
        <row r="1">
          <cell r="J1">
            <v>1.7453292519943295E-2</v>
          </cell>
        </row>
      </sheetData>
      <sheetData sheetId="12893">
        <row r="1">
          <cell r="J1">
            <v>1.7453292519943295E-2</v>
          </cell>
        </row>
      </sheetData>
      <sheetData sheetId="12894">
        <row r="1">
          <cell r="J1">
            <v>1.7453292519943295E-2</v>
          </cell>
        </row>
      </sheetData>
      <sheetData sheetId="12895">
        <row r="1">
          <cell r="J1">
            <v>1.7453292519943295E-2</v>
          </cell>
        </row>
      </sheetData>
      <sheetData sheetId="12896">
        <row r="1">
          <cell r="J1">
            <v>1.7453292519943295E-2</v>
          </cell>
        </row>
      </sheetData>
      <sheetData sheetId="12897">
        <row r="1">
          <cell r="J1">
            <v>1.7453292519943295E-2</v>
          </cell>
        </row>
      </sheetData>
      <sheetData sheetId="12898">
        <row r="1">
          <cell r="J1">
            <v>1.7453292519943295E-2</v>
          </cell>
        </row>
      </sheetData>
      <sheetData sheetId="12899">
        <row r="1">
          <cell r="J1">
            <v>1.7453292519943295E-2</v>
          </cell>
        </row>
      </sheetData>
      <sheetData sheetId="12900">
        <row r="1">
          <cell r="J1">
            <v>1.7453292519943295E-2</v>
          </cell>
        </row>
      </sheetData>
      <sheetData sheetId="12901">
        <row r="1">
          <cell r="J1">
            <v>1.7453292519943295E-2</v>
          </cell>
        </row>
      </sheetData>
      <sheetData sheetId="12902">
        <row r="1">
          <cell r="J1">
            <v>1.7453292519943295E-2</v>
          </cell>
        </row>
      </sheetData>
      <sheetData sheetId="12903">
        <row r="1">
          <cell r="J1">
            <v>1.7453292519943295E-2</v>
          </cell>
        </row>
      </sheetData>
      <sheetData sheetId="12904">
        <row r="1">
          <cell r="J1">
            <v>1.7453292519943295E-2</v>
          </cell>
        </row>
      </sheetData>
      <sheetData sheetId="12905">
        <row r="1">
          <cell r="J1">
            <v>1.7453292519943295E-2</v>
          </cell>
        </row>
      </sheetData>
      <sheetData sheetId="12906">
        <row r="1">
          <cell r="J1">
            <v>1.7453292519943295E-2</v>
          </cell>
        </row>
      </sheetData>
      <sheetData sheetId="12907">
        <row r="1">
          <cell r="J1">
            <v>1.7453292519943295E-2</v>
          </cell>
        </row>
      </sheetData>
      <sheetData sheetId="12908">
        <row r="1">
          <cell r="J1">
            <v>1.7453292519943295E-2</v>
          </cell>
        </row>
      </sheetData>
      <sheetData sheetId="12909">
        <row r="1">
          <cell r="J1">
            <v>1.7453292519943295E-2</v>
          </cell>
        </row>
      </sheetData>
      <sheetData sheetId="12910">
        <row r="1">
          <cell r="J1">
            <v>1.7453292519943295E-2</v>
          </cell>
        </row>
      </sheetData>
      <sheetData sheetId="12911">
        <row r="1">
          <cell r="J1">
            <v>1.7453292519943295E-2</v>
          </cell>
        </row>
      </sheetData>
      <sheetData sheetId="12912">
        <row r="1">
          <cell r="J1">
            <v>1.7453292519943295E-2</v>
          </cell>
        </row>
      </sheetData>
      <sheetData sheetId="12913">
        <row r="1">
          <cell r="J1">
            <v>1.7453292519943295E-2</v>
          </cell>
        </row>
      </sheetData>
      <sheetData sheetId="12914">
        <row r="1">
          <cell r="J1">
            <v>1.7453292519943295E-2</v>
          </cell>
        </row>
      </sheetData>
      <sheetData sheetId="12915">
        <row r="1">
          <cell r="J1">
            <v>1.7453292519943295E-2</v>
          </cell>
        </row>
      </sheetData>
      <sheetData sheetId="12916">
        <row r="1">
          <cell r="J1">
            <v>1.7453292519943295E-2</v>
          </cell>
        </row>
      </sheetData>
      <sheetData sheetId="12917">
        <row r="1">
          <cell r="J1">
            <v>1.7453292519943295E-2</v>
          </cell>
        </row>
      </sheetData>
      <sheetData sheetId="12918">
        <row r="1">
          <cell r="J1">
            <v>1.7453292519943295E-2</v>
          </cell>
        </row>
      </sheetData>
      <sheetData sheetId="12919">
        <row r="1">
          <cell r="J1">
            <v>1.7453292519943295E-2</v>
          </cell>
        </row>
      </sheetData>
      <sheetData sheetId="12920">
        <row r="1">
          <cell r="J1">
            <v>1.7453292519943295E-2</v>
          </cell>
        </row>
      </sheetData>
      <sheetData sheetId="12921">
        <row r="1">
          <cell r="J1">
            <v>1.7453292519943295E-2</v>
          </cell>
        </row>
      </sheetData>
      <sheetData sheetId="12922">
        <row r="1">
          <cell r="J1">
            <v>1.7453292519943295E-2</v>
          </cell>
        </row>
      </sheetData>
      <sheetData sheetId="12923">
        <row r="1">
          <cell r="J1">
            <v>1.7453292519943295E-2</v>
          </cell>
        </row>
      </sheetData>
      <sheetData sheetId="12924">
        <row r="1">
          <cell r="J1">
            <v>1.7453292519943295E-2</v>
          </cell>
        </row>
      </sheetData>
      <sheetData sheetId="12925">
        <row r="1">
          <cell r="J1">
            <v>1.7453292519943295E-2</v>
          </cell>
        </row>
      </sheetData>
      <sheetData sheetId="12926">
        <row r="1">
          <cell r="J1">
            <v>1.7453292519943295E-2</v>
          </cell>
        </row>
      </sheetData>
      <sheetData sheetId="12927">
        <row r="1">
          <cell r="J1">
            <v>1.7453292519943295E-2</v>
          </cell>
        </row>
      </sheetData>
      <sheetData sheetId="12928">
        <row r="1">
          <cell r="J1">
            <v>1.7453292519943295E-2</v>
          </cell>
        </row>
      </sheetData>
      <sheetData sheetId="12929">
        <row r="1">
          <cell r="J1">
            <v>1.7453292519943295E-2</v>
          </cell>
        </row>
      </sheetData>
      <sheetData sheetId="12930">
        <row r="1">
          <cell r="J1">
            <v>1.7453292519943295E-2</v>
          </cell>
        </row>
      </sheetData>
      <sheetData sheetId="12931">
        <row r="1">
          <cell r="J1">
            <v>1.7453292519943295E-2</v>
          </cell>
        </row>
      </sheetData>
      <sheetData sheetId="12932">
        <row r="1">
          <cell r="J1">
            <v>1.7453292519943295E-2</v>
          </cell>
        </row>
      </sheetData>
      <sheetData sheetId="12933">
        <row r="1">
          <cell r="J1">
            <v>1.7453292519943295E-2</v>
          </cell>
        </row>
      </sheetData>
      <sheetData sheetId="12934">
        <row r="1">
          <cell r="J1">
            <v>1.7453292519943295E-2</v>
          </cell>
        </row>
      </sheetData>
      <sheetData sheetId="12935">
        <row r="1">
          <cell r="J1">
            <v>1.7453292519943295E-2</v>
          </cell>
        </row>
      </sheetData>
      <sheetData sheetId="12936">
        <row r="1">
          <cell r="J1">
            <v>1.7453292519943295E-2</v>
          </cell>
        </row>
      </sheetData>
      <sheetData sheetId="12937">
        <row r="1">
          <cell r="J1">
            <v>1.7453292519943295E-2</v>
          </cell>
        </row>
      </sheetData>
      <sheetData sheetId="12938">
        <row r="1">
          <cell r="J1">
            <v>1.7453292519943295E-2</v>
          </cell>
        </row>
      </sheetData>
      <sheetData sheetId="12939">
        <row r="1">
          <cell r="J1">
            <v>1.7453292519943295E-2</v>
          </cell>
        </row>
      </sheetData>
      <sheetData sheetId="12940">
        <row r="1">
          <cell r="J1">
            <v>1.7453292519943295E-2</v>
          </cell>
        </row>
      </sheetData>
      <sheetData sheetId="12941">
        <row r="1">
          <cell r="J1">
            <v>1.7453292519943295E-2</v>
          </cell>
        </row>
      </sheetData>
      <sheetData sheetId="12942">
        <row r="1">
          <cell r="J1">
            <v>1.7453292519943295E-2</v>
          </cell>
        </row>
      </sheetData>
      <sheetData sheetId="12943">
        <row r="1">
          <cell r="J1">
            <v>1.7453292519943295E-2</v>
          </cell>
        </row>
      </sheetData>
      <sheetData sheetId="12944">
        <row r="1">
          <cell r="J1">
            <v>1.7453292519943295E-2</v>
          </cell>
        </row>
      </sheetData>
      <sheetData sheetId="12945">
        <row r="1">
          <cell r="J1">
            <v>1.7453292519943295E-2</v>
          </cell>
        </row>
      </sheetData>
      <sheetData sheetId="12946">
        <row r="1">
          <cell r="J1">
            <v>1.7453292519943295E-2</v>
          </cell>
        </row>
      </sheetData>
      <sheetData sheetId="12947">
        <row r="1">
          <cell r="J1">
            <v>1.7453292519943295E-2</v>
          </cell>
        </row>
      </sheetData>
      <sheetData sheetId="12948">
        <row r="1">
          <cell r="J1">
            <v>1.7453292519943295E-2</v>
          </cell>
        </row>
      </sheetData>
      <sheetData sheetId="12949">
        <row r="1">
          <cell r="J1">
            <v>1.7453292519943295E-2</v>
          </cell>
        </row>
      </sheetData>
      <sheetData sheetId="12950">
        <row r="1">
          <cell r="J1">
            <v>1.7453292519943295E-2</v>
          </cell>
        </row>
      </sheetData>
      <sheetData sheetId="12951">
        <row r="1">
          <cell r="J1">
            <v>1.7453292519943295E-2</v>
          </cell>
        </row>
      </sheetData>
      <sheetData sheetId="12952">
        <row r="1">
          <cell r="J1">
            <v>1.7453292519943295E-2</v>
          </cell>
        </row>
      </sheetData>
      <sheetData sheetId="12953">
        <row r="1">
          <cell r="J1">
            <v>1.7453292519943295E-2</v>
          </cell>
        </row>
      </sheetData>
      <sheetData sheetId="12954">
        <row r="1">
          <cell r="J1">
            <v>1.7453292519943295E-2</v>
          </cell>
        </row>
      </sheetData>
      <sheetData sheetId="12955">
        <row r="1">
          <cell r="J1">
            <v>1.7453292519943295E-2</v>
          </cell>
        </row>
      </sheetData>
      <sheetData sheetId="12956">
        <row r="1">
          <cell r="J1">
            <v>1.7453292519943295E-2</v>
          </cell>
        </row>
      </sheetData>
      <sheetData sheetId="12957">
        <row r="1">
          <cell r="J1">
            <v>1.7453292519943295E-2</v>
          </cell>
        </row>
      </sheetData>
      <sheetData sheetId="12958">
        <row r="1">
          <cell r="J1">
            <v>1.7453292519943295E-2</v>
          </cell>
        </row>
      </sheetData>
      <sheetData sheetId="12959">
        <row r="1">
          <cell r="J1">
            <v>1.7453292519943295E-2</v>
          </cell>
        </row>
      </sheetData>
      <sheetData sheetId="12960">
        <row r="1">
          <cell r="J1">
            <v>1.7453292519943295E-2</v>
          </cell>
        </row>
      </sheetData>
      <sheetData sheetId="12961">
        <row r="1">
          <cell r="J1">
            <v>1.7453292519943295E-2</v>
          </cell>
        </row>
      </sheetData>
      <sheetData sheetId="12962">
        <row r="1">
          <cell r="J1">
            <v>1.7453292519943295E-2</v>
          </cell>
        </row>
      </sheetData>
      <sheetData sheetId="12963">
        <row r="1">
          <cell r="J1">
            <v>1.7453292519943295E-2</v>
          </cell>
        </row>
      </sheetData>
      <sheetData sheetId="12964">
        <row r="1">
          <cell r="J1">
            <v>1.7453292519943295E-2</v>
          </cell>
        </row>
      </sheetData>
      <sheetData sheetId="12965">
        <row r="1">
          <cell r="J1">
            <v>1.7453292519943295E-2</v>
          </cell>
        </row>
      </sheetData>
      <sheetData sheetId="12966">
        <row r="1">
          <cell r="J1">
            <v>1.7453292519943295E-2</v>
          </cell>
        </row>
      </sheetData>
      <sheetData sheetId="12967">
        <row r="1">
          <cell r="J1">
            <v>1.7453292519943295E-2</v>
          </cell>
        </row>
      </sheetData>
      <sheetData sheetId="12968">
        <row r="1">
          <cell r="J1">
            <v>1.7453292519943295E-2</v>
          </cell>
        </row>
      </sheetData>
      <sheetData sheetId="12969">
        <row r="1">
          <cell r="J1">
            <v>1.7453292519943295E-2</v>
          </cell>
        </row>
      </sheetData>
      <sheetData sheetId="12970">
        <row r="1">
          <cell r="J1">
            <v>1.7453292519943295E-2</v>
          </cell>
        </row>
      </sheetData>
      <sheetData sheetId="12971">
        <row r="1">
          <cell r="J1">
            <v>1.7453292519943295E-2</v>
          </cell>
        </row>
      </sheetData>
      <sheetData sheetId="12972">
        <row r="1">
          <cell r="J1">
            <v>1.7453292519943295E-2</v>
          </cell>
        </row>
      </sheetData>
      <sheetData sheetId="12973">
        <row r="1">
          <cell r="J1">
            <v>1.7453292519943295E-2</v>
          </cell>
        </row>
      </sheetData>
      <sheetData sheetId="12974">
        <row r="1">
          <cell r="J1">
            <v>1.7453292519943295E-2</v>
          </cell>
        </row>
      </sheetData>
      <sheetData sheetId="12975">
        <row r="1">
          <cell r="J1">
            <v>1.7453292519943295E-2</v>
          </cell>
        </row>
      </sheetData>
      <sheetData sheetId="12976">
        <row r="1">
          <cell r="J1">
            <v>1.7453292519943295E-2</v>
          </cell>
        </row>
      </sheetData>
      <sheetData sheetId="12977">
        <row r="1">
          <cell r="J1">
            <v>1.7453292519943295E-2</v>
          </cell>
        </row>
      </sheetData>
      <sheetData sheetId="12978">
        <row r="1">
          <cell r="J1">
            <v>1.7453292519943295E-2</v>
          </cell>
        </row>
      </sheetData>
      <sheetData sheetId="12979">
        <row r="1">
          <cell r="J1">
            <v>1.7453292519943295E-2</v>
          </cell>
        </row>
      </sheetData>
      <sheetData sheetId="12980">
        <row r="1">
          <cell r="J1">
            <v>1.7453292519943295E-2</v>
          </cell>
        </row>
      </sheetData>
      <sheetData sheetId="12981">
        <row r="1">
          <cell r="J1">
            <v>1.7453292519943295E-2</v>
          </cell>
        </row>
      </sheetData>
      <sheetData sheetId="12982">
        <row r="1">
          <cell r="J1">
            <v>1.7453292519943295E-2</v>
          </cell>
        </row>
      </sheetData>
      <sheetData sheetId="12983">
        <row r="1">
          <cell r="J1">
            <v>1.7453292519943295E-2</v>
          </cell>
        </row>
      </sheetData>
      <sheetData sheetId="12984">
        <row r="1">
          <cell r="J1">
            <v>1.7453292519943295E-2</v>
          </cell>
        </row>
      </sheetData>
      <sheetData sheetId="12985">
        <row r="1">
          <cell r="J1">
            <v>1.7453292519943295E-2</v>
          </cell>
        </row>
      </sheetData>
      <sheetData sheetId="12986">
        <row r="1">
          <cell r="J1">
            <v>1.7453292519943295E-2</v>
          </cell>
        </row>
      </sheetData>
      <sheetData sheetId="12987">
        <row r="1">
          <cell r="J1">
            <v>1.7453292519943295E-2</v>
          </cell>
        </row>
      </sheetData>
      <sheetData sheetId="12988">
        <row r="1">
          <cell r="J1">
            <v>1.7453292519943295E-2</v>
          </cell>
        </row>
      </sheetData>
      <sheetData sheetId="12989">
        <row r="1">
          <cell r="J1">
            <v>1.7453292519943295E-2</v>
          </cell>
        </row>
      </sheetData>
      <sheetData sheetId="12990">
        <row r="1">
          <cell r="J1">
            <v>1.7453292519943295E-2</v>
          </cell>
        </row>
      </sheetData>
      <sheetData sheetId="12991">
        <row r="1">
          <cell r="J1">
            <v>1.7453292519943295E-2</v>
          </cell>
        </row>
      </sheetData>
      <sheetData sheetId="12992">
        <row r="1">
          <cell r="J1">
            <v>1.7453292519943295E-2</v>
          </cell>
        </row>
      </sheetData>
      <sheetData sheetId="12993">
        <row r="1">
          <cell r="J1">
            <v>1.7453292519943295E-2</v>
          </cell>
        </row>
      </sheetData>
      <sheetData sheetId="12994">
        <row r="1">
          <cell r="J1">
            <v>1.7453292519943295E-2</v>
          </cell>
        </row>
      </sheetData>
      <sheetData sheetId="12995">
        <row r="1">
          <cell r="J1">
            <v>1.7453292519943295E-2</v>
          </cell>
        </row>
      </sheetData>
      <sheetData sheetId="12996">
        <row r="1">
          <cell r="J1">
            <v>1.7453292519943295E-2</v>
          </cell>
        </row>
      </sheetData>
      <sheetData sheetId="12997">
        <row r="1">
          <cell r="J1">
            <v>1.7453292519943295E-2</v>
          </cell>
        </row>
      </sheetData>
      <sheetData sheetId="12998">
        <row r="1">
          <cell r="J1">
            <v>1.7453292519943295E-2</v>
          </cell>
        </row>
      </sheetData>
      <sheetData sheetId="12999">
        <row r="1">
          <cell r="J1">
            <v>1.7453292519943295E-2</v>
          </cell>
        </row>
      </sheetData>
      <sheetData sheetId="13000">
        <row r="1">
          <cell r="J1">
            <v>1.7453292519943295E-2</v>
          </cell>
        </row>
      </sheetData>
      <sheetData sheetId="13001">
        <row r="1">
          <cell r="J1">
            <v>1.7453292519943295E-2</v>
          </cell>
        </row>
      </sheetData>
      <sheetData sheetId="13002">
        <row r="1">
          <cell r="J1">
            <v>1.7453292519943295E-2</v>
          </cell>
        </row>
      </sheetData>
      <sheetData sheetId="13003">
        <row r="1">
          <cell r="J1">
            <v>1.7453292519943295E-2</v>
          </cell>
        </row>
      </sheetData>
      <sheetData sheetId="13004">
        <row r="1">
          <cell r="J1">
            <v>1.7453292519943295E-2</v>
          </cell>
        </row>
      </sheetData>
      <sheetData sheetId="13005">
        <row r="1">
          <cell r="J1">
            <v>1.7453292519943295E-2</v>
          </cell>
        </row>
      </sheetData>
      <sheetData sheetId="13006">
        <row r="1">
          <cell r="J1">
            <v>1.7453292519943295E-2</v>
          </cell>
        </row>
      </sheetData>
      <sheetData sheetId="13007">
        <row r="1">
          <cell r="J1">
            <v>1.7453292519943295E-2</v>
          </cell>
        </row>
      </sheetData>
      <sheetData sheetId="13008">
        <row r="1">
          <cell r="J1">
            <v>1.7453292519943295E-2</v>
          </cell>
        </row>
      </sheetData>
      <sheetData sheetId="13009">
        <row r="1">
          <cell r="J1">
            <v>1.7453292519943295E-2</v>
          </cell>
        </row>
      </sheetData>
      <sheetData sheetId="13010">
        <row r="1">
          <cell r="J1">
            <v>1.7453292519943295E-2</v>
          </cell>
        </row>
      </sheetData>
      <sheetData sheetId="13011">
        <row r="1">
          <cell r="J1">
            <v>1.7453292519943295E-2</v>
          </cell>
        </row>
      </sheetData>
      <sheetData sheetId="13012">
        <row r="1">
          <cell r="J1">
            <v>1.7453292519943295E-2</v>
          </cell>
        </row>
      </sheetData>
      <sheetData sheetId="13013">
        <row r="1">
          <cell r="J1">
            <v>1.7453292519943295E-2</v>
          </cell>
        </row>
      </sheetData>
      <sheetData sheetId="13014">
        <row r="1">
          <cell r="J1">
            <v>1.7453292519943295E-2</v>
          </cell>
        </row>
      </sheetData>
      <sheetData sheetId="13015">
        <row r="1">
          <cell r="J1">
            <v>1.7453292519943295E-2</v>
          </cell>
        </row>
      </sheetData>
      <sheetData sheetId="13016">
        <row r="1">
          <cell r="J1">
            <v>1.7453292519943295E-2</v>
          </cell>
        </row>
      </sheetData>
      <sheetData sheetId="13017">
        <row r="1">
          <cell r="J1">
            <v>1.7453292519943295E-2</v>
          </cell>
        </row>
      </sheetData>
      <sheetData sheetId="13018">
        <row r="1">
          <cell r="J1">
            <v>1.7453292519943295E-2</v>
          </cell>
        </row>
      </sheetData>
      <sheetData sheetId="13019">
        <row r="1">
          <cell r="J1">
            <v>1.7453292519943295E-2</v>
          </cell>
        </row>
      </sheetData>
      <sheetData sheetId="13020">
        <row r="1">
          <cell r="J1">
            <v>1.7453292519943295E-2</v>
          </cell>
        </row>
      </sheetData>
      <sheetData sheetId="13021">
        <row r="1">
          <cell r="J1">
            <v>1.7453292519943295E-2</v>
          </cell>
        </row>
      </sheetData>
      <sheetData sheetId="13022">
        <row r="1">
          <cell r="J1">
            <v>1.7453292519943295E-2</v>
          </cell>
        </row>
      </sheetData>
      <sheetData sheetId="13023">
        <row r="1">
          <cell r="J1">
            <v>1.7453292519943295E-2</v>
          </cell>
        </row>
      </sheetData>
      <sheetData sheetId="13024">
        <row r="1">
          <cell r="J1">
            <v>1.7453292519943295E-2</v>
          </cell>
        </row>
      </sheetData>
      <sheetData sheetId="13025">
        <row r="1">
          <cell r="J1">
            <v>1.7453292519943295E-2</v>
          </cell>
        </row>
      </sheetData>
      <sheetData sheetId="13026">
        <row r="1">
          <cell r="J1">
            <v>1.7453292519943295E-2</v>
          </cell>
        </row>
      </sheetData>
      <sheetData sheetId="13027">
        <row r="1">
          <cell r="J1">
            <v>1.7453292519943295E-2</v>
          </cell>
        </row>
      </sheetData>
      <sheetData sheetId="13028">
        <row r="1">
          <cell r="J1">
            <v>1.7453292519943295E-2</v>
          </cell>
        </row>
      </sheetData>
      <sheetData sheetId="13029">
        <row r="1">
          <cell r="J1">
            <v>1.7453292519943295E-2</v>
          </cell>
        </row>
      </sheetData>
      <sheetData sheetId="13030">
        <row r="1">
          <cell r="J1">
            <v>1.7453292519943295E-2</v>
          </cell>
        </row>
      </sheetData>
      <sheetData sheetId="13031">
        <row r="1">
          <cell r="J1">
            <v>1.7453292519943295E-2</v>
          </cell>
        </row>
      </sheetData>
      <sheetData sheetId="13032">
        <row r="1">
          <cell r="J1">
            <v>1.7453292519943295E-2</v>
          </cell>
        </row>
      </sheetData>
      <sheetData sheetId="13033">
        <row r="1">
          <cell r="J1">
            <v>1.7453292519943295E-2</v>
          </cell>
        </row>
      </sheetData>
      <sheetData sheetId="13034">
        <row r="1">
          <cell r="J1">
            <v>1.7453292519943295E-2</v>
          </cell>
        </row>
      </sheetData>
      <sheetData sheetId="13035">
        <row r="1">
          <cell r="J1">
            <v>1.7453292519943295E-2</v>
          </cell>
        </row>
      </sheetData>
      <sheetData sheetId="13036">
        <row r="1">
          <cell r="J1">
            <v>1.7453292519943295E-2</v>
          </cell>
        </row>
      </sheetData>
      <sheetData sheetId="13037">
        <row r="1">
          <cell r="J1">
            <v>1.7453292519943295E-2</v>
          </cell>
        </row>
      </sheetData>
      <sheetData sheetId="13038">
        <row r="1">
          <cell r="J1">
            <v>1.7453292519943295E-2</v>
          </cell>
        </row>
      </sheetData>
      <sheetData sheetId="13039">
        <row r="1">
          <cell r="J1">
            <v>1.7453292519943295E-2</v>
          </cell>
        </row>
      </sheetData>
      <sheetData sheetId="13040">
        <row r="1">
          <cell r="J1">
            <v>1.7453292519943295E-2</v>
          </cell>
        </row>
      </sheetData>
      <sheetData sheetId="13041">
        <row r="1">
          <cell r="J1">
            <v>1.7453292519943295E-2</v>
          </cell>
        </row>
      </sheetData>
      <sheetData sheetId="13042">
        <row r="1">
          <cell r="J1">
            <v>1.7453292519943295E-2</v>
          </cell>
        </row>
      </sheetData>
      <sheetData sheetId="13043">
        <row r="1">
          <cell r="J1">
            <v>1.7453292519943295E-2</v>
          </cell>
        </row>
      </sheetData>
      <sheetData sheetId="13044">
        <row r="1">
          <cell r="J1">
            <v>1.7453292519943295E-2</v>
          </cell>
        </row>
      </sheetData>
      <sheetData sheetId="13045">
        <row r="1">
          <cell r="J1">
            <v>1.7453292519943295E-2</v>
          </cell>
        </row>
      </sheetData>
      <sheetData sheetId="13046">
        <row r="1">
          <cell r="J1">
            <v>1.7453292519943295E-2</v>
          </cell>
        </row>
      </sheetData>
      <sheetData sheetId="13047">
        <row r="1">
          <cell r="J1">
            <v>1.7453292519943295E-2</v>
          </cell>
        </row>
      </sheetData>
      <sheetData sheetId="13048">
        <row r="1">
          <cell r="J1">
            <v>1.7453292519943295E-2</v>
          </cell>
        </row>
      </sheetData>
      <sheetData sheetId="13049">
        <row r="1">
          <cell r="J1">
            <v>1.7453292519943295E-2</v>
          </cell>
        </row>
      </sheetData>
      <sheetData sheetId="13050">
        <row r="1">
          <cell r="J1">
            <v>1.7453292519943295E-2</v>
          </cell>
        </row>
      </sheetData>
      <sheetData sheetId="13051">
        <row r="1">
          <cell r="J1">
            <v>1.7453292519943295E-2</v>
          </cell>
        </row>
      </sheetData>
      <sheetData sheetId="13052">
        <row r="1">
          <cell r="J1">
            <v>1.7453292519943295E-2</v>
          </cell>
        </row>
      </sheetData>
      <sheetData sheetId="13053">
        <row r="1">
          <cell r="J1">
            <v>1.7453292519943295E-2</v>
          </cell>
        </row>
      </sheetData>
      <sheetData sheetId="13054">
        <row r="1">
          <cell r="J1">
            <v>1.7453292519943295E-2</v>
          </cell>
        </row>
      </sheetData>
      <sheetData sheetId="13055">
        <row r="1">
          <cell r="J1">
            <v>1.7453292519943295E-2</v>
          </cell>
        </row>
      </sheetData>
      <sheetData sheetId="13056">
        <row r="1">
          <cell r="J1">
            <v>1.7453292519943295E-2</v>
          </cell>
        </row>
      </sheetData>
      <sheetData sheetId="13057">
        <row r="1">
          <cell r="J1">
            <v>1.7453292519943295E-2</v>
          </cell>
        </row>
      </sheetData>
      <sheetData sheetId="13058">
        <row r="1">
          <cell r="J1">
            <v>1.7453292519943295E-2</v>
          </cell>
        </row>
      </sheetData>
      <sheetData sheetId="13059">
        <row r="1">
          <cell r="J1">
            <v>1.7453292519943295E-2</v>
          </cell>
        </row>
      </sheetData>
      <sheetData sheetId="13060">
        <row r="1">
          <cell r="J1">
            <v>1.7453292519943295E-2</v>
          </cell>
        </row>
      </sheetData>
      <sheetData sheetId="13061">
        <row r="1">
          <cell r="J1">
            <v>1.7453292519943295E-2</v>
          </cell>
        </row>
      </sheetData>
      <sheetData sheetId="13062">
        <row r="1">
          <cell r="J1">
            <v>1.7453292519943295E-2</v>
          </cell>
        </row>
      </sheetData>
      <sheetData sheetId="13063">
        <row r="1">
          <cell r="J1">
            <v>1.7453292519943295E-2</v>
          </cell>
        </row>
      </sheetData>
      <sheetData sheetId="13064">
        <row r="1">
          <cell r="J1">
            <v>1.7453292519943295E-2</v>
          </cell>
        </row>
      </sheetData>
      <sheetData sheetId="13065">
        <row r="1">
          <cell r="J1">
            <v>1.7453292519943295E-2</v>
          </cell>
        </row>
      </sheetData>
      <sheetData sheetId="13066">
        <row r="1">
          <cell r="J1">
            <v>1.7453292519943295E-2</v>
          </cell>
        </row>
      </sheetData>
      <sheetData sheetId="13067">
        <row r="1">
          <cell r="J1">
            <v>1.7453292519943295E-2</v>
          </cell>
        </row>
      </sheetData>
      <sheetData sheetId="13068">
        <row r="1">
          <cell r="J1">
            <v>1.7453292519943295E-2</v>
          </cell>
        </row>
      </sheetData>
      <sheetData sheetId="13069">
        <row r="1">
          <cell r="J1">
            <v>1.7453292519943295E-2</v>
          </cell>
        </row>
      </sheetData>
      <sheetData sheetId="13070">
        <row r="1">
          <cell r="J1">
            <v>1.7453292519943295E-2</v>
          </cell>
        </row>
      </sheetData>
      <sheetData sheetId="13071">
        <row r="1">
          <cell r="J1">
            <v>1.7453292519943295E-2</v>
          </cell>
        </row>
      </sheetData>
      <sheetData sheetId="13072">
        <row r="1">
          <cell r="J1">
            <v>1.7453292519943295E-2</v>
          </cell>
        </row>
      </sheetData>
      <sheetData sheetId="13073">
        <row r="1">
          <cell r="J1">
            <v>1.7453292519943295E-2</v>
          </cell>
        </row>
      </sheetData>
      <sheetData sheetId="13074">
        <row r="1">
          <cell r="J1">
            <v>1.7453292519943295E-2</v>
          </cell>
        </row>
      </sheetData>
      <sheetData sheetId="13075">
        <row r="1">
          <cell r="J1">
            <v>1.7453292519943295E-2</v>
          </cell>
        </row>
      </sheetData>
      <sheetData sheetId="13076">
        <row r="1">
          <cell r="J1">
            <v>1.7453292519943295E-2</v>
          </cell>
        </row>
      </sheetData>
      <sheetData sheetId="13077">
        <row r="1">
          <cell r="J1">
            <v>1.7453292519943295E-2</v>
          </cell>
        </row>
      </sheetData>
      <sheetData sheetId="13078">
        <row r="1">
          <cell r="J1">
            <v>1.7453292519943295E-2</v>
          </cell>
        </row>
      </sheetData>
      <sheetData sheetId="13079">
        <row r="1">
          <cell r="J1">
            <v>1.7453292519943295E-2</v>
          </cell>
        </row>
      </sheetData>
      <sheetData sheetId="13080">
        <row r="1">
          <cell r="J1">
            <v>1.7453292519943295E-2</v>
          </cell>
        </row>
      </sheetData>
      <sheetData sheetId="13081">
        <row r="1">
          <cell r="J1">
            <v>1.7453292519943295E-2</v>
          </cell>
        </row>
      </sheetData>
      <sheetData sheetId="13082">
        <row r="1">
          <cell r="J1">
            <v>1.7453292519943295E-2</v>
          </cell>
        </row>
      </sheetData>
      <sheetData sheetId="13083">
        <row r="1">
          <cell r="J1">
            <v>1.7453292519943295E-2</v>
          </cell>
        </row>
      </sheetData>
      <sheetData sheetId="13084">
        <row r="1">
          <cell r="J1">
            <v>1.7453292519943295E-2</v>
          </cell>
        </row>
      </sheetData>
      <sheetData sheetId="13085">
        <row r="1">
          <cell r="J1">
            <v>1.7453292519943295E-2</v>
          </cell>
        </row>
      </sheetData>
      <sheetData sheetId="13086">
        <row r="1">
          <cell r="J1">
            <v>1.7453292519943295E-2</v>
          </cell>
        </row>
      </sheetData>
      <sheetData sheetId="13087">
        <row r="1">
          <cell r="J1">
            <v>1.7453292519943295E-2</v>
          </cell>
        </row>
      </sheetData>
      <sheetData sheetId="13088">
        <row r="1">
          <cell r="J1">
            <v>1.7453292519943295E-2</v>
          </cell>
        </row>
      </sheetData>
      <sheetData sheetId="13089">
        <row r="1">
          <cell r="J1">
            <v>1.7453292519943295E-2</v>
          </cell>
        </row>
      </sheetData>
      <sheetData sheetId="13090">
        <row r="1">
          <cell r="J1">
            <v>1.7453292519943295E-2</v>
          </cell>
        </row>
      </sheetData>
      <sheetData sheetId="13091">
        <row r="1">
          <cell r="J1">
            <v>1.7453292519943295E-2</v>
          </cell>
        </row>
      </sheetData>
      <sheetData sheetId="13092">
        <row r="1">
          <cell r="J1">
            <v>1.7453292519943295E-2</v>
          </cell>
        </row>
      </sheetData>
      <sheetData sheetId="13093">
        <row r="1">
          <cell r="J1">
            <v>1.7453292519943295E-2</v>
          </cell>
        </row>
      </sheetData>
      <sheetData sheetId="13094">
        <row r="1">
          <cell r="J1">
            <v>1.7453292519943295E-2</v>
          </cell>
        </row>
      </sheetData>
      <sheetData sheetId="13095">
        <row r="1">
          <cell r="J1">
            <v>1.7453292519943295E-2</v>
          </cell>
        </row>
      </sheetData>
      <sheetData sheetId="13096">
        <row r="1">
          <cell r="J1">
            <v>1.7453292519943295E-2</v>
          </cell>
        </row>
      </sheetData>
      <sheetData sheetId="13097">
        <row r="1">
          <cell r="J1">
            <v>1.7453292519943295E-2</v>
          </cell>
        </row>
      </sheetData>
      <sheetData sheetId="13098">
        <row r="1">
          <cell r="J1">
            <v>1.7453292519943295E-2</v>
          </cell>
        </row>
      </sheetData>
      <sheetData sheetId="13099">
        <row r="1">
          <cell r="J1">
            <v>1.7453292519943295E-2</v>
          </cell>
        </row>
      </sheetData>
      <sheetData sheetId="13100">
        <row r="1">
          <cell r="J1">
            <v>1.7453292519943295E-2</v>
          </cell>
        </row>
      </sheetData>
      <sheetData sheetId="13101">
        <row r="1">
          <cell r="J1">
            <v>1.7453292519943295E-2</v>
          </cell>
        </row>
      </sheetData>
      <sheetData sheetId="13102">
        <row r="1">
          <cell r="J1">
            <v>1.7453292519943295E-2</v>
          </cell>
        </row>
      </sheetData>
      <sheetData sheetId="13103">
        <row r="1">
          <cell r="J1">
            <v>1.7453292519943295E-2</v>
          </cell>
        </row>
      </sheetData>
      <sheetData sheetId="13104">
        <row r="1">
          <cell r="J1">
            <v>1.7453292519943295E-2</v>
          </cell>
        </row>
      </sheetData>
      <sheetData sheetId="13105">
        <row r="1">
          <cell r="J1">
            <v>1.7453292519943295E-2</v>
          </cell>
        </row>
      </sheetData>
      <sheetData sheetId="13106">
        <row r="1">
          <cell r="J1">
            <v>1.7453292519943295E-2</v>
          </cell>
        </row>
      </sheetData>
      <sheetData sheetId="13107">
        <row r="1">
          <cell r="J1">
            <v>1.7453292519943295E-2</v>
          </cell>
        </row>
      </sheetData>
      <sheetData sheetId="13108">
        <row r="1">
          <cell r="J1">
            <v>1.7453292519943295E-2</v>
          </cell>
        </row>
      </sheetData>
      <sheetData sheetId="13109">
        <row r="1">
          <cell r="J1">
            <v>1.7453292519943295E-2</v>
          </cell>
        </row>
      </sheetData>
      <sheetData sheetId="13110">
        <row r="1">
          <cell r="J1">
            <v>1.7453292519943295E-2</v>
          </cell>
        </row>
      </sheetData>
      <sheetData sheetId="13111">
        <row r="1">
          <cell r="J1">
            <v>1.7453292519943295E-2</v>
          </cell>
        </row>
      </sheetData>
      <sheetData sheetId="13112">
        <row r="1">
          <cell r="J1">
            <v>1.7453292519943295E-2</v>
          </cell>
        </row>
      </sheetData>
      <sheetData sheetId="13113">
        <row r="1">
          <cell r="J1">
            <v>1.7453292519943295E-2</v>
          </cell>
        </row>
      </sheetData>
      <sheetData sheetId="13114">
        <row r="1">
          <cell r="J1">
            <v>1.7453292519943295E-2</v>
          </cell>
        </row>
      </sheetData>
      <sheetData sheetId="13115">
        <row r="1">
          <cell r="J1">
            <v>1.7453292519943295E-2</v>
          </cell>
        </row>
      </sheetData>
      <sheetData sheetId="13116">
        <row r="1">
          <cell r="J1">
            <v>1.7453292519943295E-2</v>
          </cell>
        </row>
      </sheetData>
      <sheetData sheetId="13117">
        <row r="1">
          <cell r="J1">
            <v>1.7453292519943295E-2</v>
          </cell>
        </row>
      </sheetData>
      <sheetData sheetId="13118">
        <row r="1">
          <cell r="J1">
            <v>1.7453292519943295E-2</v>
          </cell>
        </row>
      </sheetData>
      <sheetData sheetId="13119">
        <row r="1">
          <cell r="J1">
            <v>1.7453292519943295E-2</v>
          </cell>
        </row>
      </sheetData>
      <sheetData sheetId="13120">
        <row r="1">
          <cell r="J1">
            <v>1.7453292519943295E-2</v>
          </cell>
        </row>
      </sheetData>
      <sheetData sheetId="13121">
        <row r="1">
          <cell r="J1">
            <v>1.7453292519943295E-2</v>
          </cell>
        </row>
      </sheetData>
      <sheetData sheetId="13122">
        <row r="1">
          <cell r="J1">
            <v>1.7453292519943295E-2</v>
          </cell>
        </row>
      </sheetData>
      <sheetData sheetId="13123">
        <row r="1">
          <cell r="J1">
            <v>1.7453292519943295E-2</v>
          </cell>
        </row>
      </sheetData>
      <sheetData sheetId="13124">
        <row r="1">
          <cell r="J1">
            <v>1.7453292519943295E-2</v>
          </cell>
        </row>
      </sheetData>
      <sheetData sheetId="13125">
        <row r="1">
          <cell r="J1">
            <v>1.7453292519943295E-2</v>
          </cell>
        </row>
      </sheetData>
      <sheetData sheetId="13126">
        <row r="1">
          <cell r="J1">
            <v>1.7453292519943295E-2</v>
          </cell>
        </row>
      </sheetData>
      <sheetData sheetId="13127">
        <row r="1">
          <cell r="J1">
            <v>1.7453292519943295E-2</v>
          </cell>
        </row>
      </sheetData>
      <sheetData sheetId="13128">
        <row r="1">
          <cell r="J1">
            <v>1.7453292519943295E-2</v>
          </cell>
        </row>
      </sheetData>
      <sheetData sheetId="13129">
        <row r="1">
          <cell r="J1">
            <v>1.7453292519943295E-2</v>
          </cell>
        </row>
      </sheetData>
      <sheetData sheetId="13130">
        <row r="1">
          <cell r="J1">
            <v>1.7453292519943295E-2</v>
          </cell>
        </row>
      </sheetData>
      <sheetData sheetId="13131">
        <row r="1">
          <cell r="J1">
            <v>1.7453292519943295E-2</v>
          </cell>
        </row>
      </sheetData>
      <sheetData sheetId="13132">
        <row r="1">
          <cell r="J1">
            <v>1.7453292519943295E-2</v>
          </cell>
        </row>
      </sheetData>
      <sheetData sheetId="13133">
        <row r="1">
          <cell r="J1">
            <v>1.7453292519943295E-2</v>
          </cell>
        </row>
      </sheetData>
      <sheetData sheetId="13134">
        <row r="1">
          <cell r="J1">
            <v>1.7453292519943295E-2</v>
          </cell>
        </row>
      </sheetData>
      <sheetData sheetId="13135">
        <row r="1">
          <cell r="J1">
            <v>1.7453292519943295E-2</v>
          </cell>
        </row>
      </sheetData>
      <sheetData sheetId="13136">
        <row r="1">
          <cell r="J1">
            <v>1.7453292519943295E-2</v>
          </cell>
        </row>
      </sheetData>
      <sheetData sheetId="13137">
        <row r="1">
          <cell r="J1">
            <v>1.7453292519943295E-2</v>
          </cell>
        </row>
      </sheetData>
      <sheetData sheetId="13138">
        <row r="1">
          <cell r="J1">
            <v>1.7453292519943295E-2</v>
          </cell>
        </row>
      </sheetData>
      <sheetData sheetId="13139">
        <row r="1">
          <cell r="J1">
            <v>1.7453292519943295E-2</v>
          </cell>
        </row>
      </sheetData>
      <sheetData sheetId="13140">
        <row r="1">
          <cell r="J1">
            <v>1.7453292519943295E-2</v>
          </cell>
        </row>
      </sheetData>
      <sheetData sheetId="13141">
        <row r="1">
          <cell r="J1">
            <v>1.7453292519943295E-2</v>
          </cell>
        </row>
      </sheetData>
      <sheetData sheetId="13142">
        <row r="1">
          <cell r="J1">
            <v>1.7453292519943295E-2</v>
          </cell>
        </row>
      </sheetData>
      <sheetData sheetId="13143">
        <row r="1">
          <cell r="J1">
            <v>1.7453292519943295E-2</v>
          </cell>
        </row>
      </sheetData>
      <sheetData sheetId="13144">
        <row r="1">
          <cell r="J1">
            <v>1.7453292519943295E-2</v>
          </cell>
        </row>
      </sheetData>
      <sheetData sheetId="13145">
        <row r="1">
          <cell r="J1">
            <v>1.7453292519943295E-2</v>
          </cell>
        </row>
      </sheetData>
      <sheetData sheetId="13146">
        <row r="1">
          <cell r="J1">
            <v>1.7453292519943295E-2</v>
          </cell>
        </row>
      </sheetData>
      <sheetData sheetId="13147">
        <row r="1">
          <cell r="J1">
            <v>1.7453292519943295E-2</v>
          </cell>
        </row>
      </sheetData>
      <sheetData sheetId="13148">
        <row r="1">
          <cell r="J1">
            <v>1.7453292519943295E-2</v>
          </cell>
        </row>
      </sheetData>
      <sheetData sheetId="13149">
        <row r="1">
          <cell r="J1">
            <v>1.7453292519943295E-2</v>
          </cell>
        </row>
      </sheetData>
      <sheetData sheetId="13150">
        <row r="1">
          <cell r="J1">
            <v>1.7453292519943295E-2</v>
          </cell>
        </row>
      </sheetData>
      <sheetData sheetId="13151">
        <row r="1">
          <cell r="J1">
            <v>1.7453292519943295E-2</v>
          </cell>
        </row>
      </sheetData>
      <sheetData sheetId="13152">
        <row r="1">
          <cell r="J1">
            <v>1.7453292519943295E-2</v>
          </cell>
        </row>
      </sheetData>
      <sheetData sheetId="13153">
        <row r="1">
          <cell r="J1">
            <v>1.7453292519943295E-2</v>
          </cell>
        </row>
      </sheetData>
      <sheetData sheetId="13154">
        <row r="1">
          <cell r="J1">
            <v>1.7453292519943295E-2</v>
          </cell>
        </row>
      </sheetData>
      <sheetData sheetId="13155">
        <row r="1">
          <cell r="J1">
            <v>1.7453292519943295E-2</v>
          </cell>
        </row>
      </sheetData>
      <sheetData sheetId="13156">
        <row r="1">
          <cell r="J1">
            <v>1.7453292519943295E-2</v>
          </cell>
        </row>
      </sheetData>
      <sheetData sheetId="13157">
        <row r="1">
          <cell r="J1">
            <v>1.7453292519943295E-2</v>
          </cell>
        </row>
      </sheetData>
      <sheetData sheetId="13158">
        <row r="1">
          <cell r="J1">
            <v>1.7453292519943295E-2</v>
          </cell>
        </row>
      </sheetData>
      <sheetData sheetId="13159">
        <row r="1">
          <cell r="J1">
            <v>1.7453292519943295E-2</v>
          </cell>
        </row>
      </sheetData>
      <sheetData sheetId="13160">
        <row r="1">
          <cell r="J1">
            <v>1.7453292519943295E-2</v>
          </cell>
        </row>
      </sheetData>
      <sheetData sheetId="13161">
        <row r="1">
          <cell r="J1">
            <v>1.7453292519943295E-2</v>
          </cell>
        </row>
      </sheetData>
      <sheetData sheetId="13162">
        <row r="1">
          <cell r="J1">
            <v>1.7453292519943295E-2</v>
          </cell>
        </row>
      </sheetData>
      <sheetData sheetId="13163">
        <row r="1">
          <cell r="J1">
            <v>1.7453292519943295E-2</v>
          </cell>
        </row>
      </sheetData>
      <sheetData sheetId="13164">
        <row r="1">
          <cell r="J1">
            <v>1.7453292519943295E-2</v>
          </cell>
        </row>
      </sheetData>
      <sheetData sheetId="13165">
        <row r="1">
          <cell r="J1">
            <v>1.7453292519943295E-2</v>
          </cell>
        </row>
      </sheetData>
      <sheetData sheetId="13166">
        <row r="1">
          <cell r="J1">
            <v>1.7453292519943295E-2</v>
          </cell>
        </row>
      </sheetData>
      <sheetData sheetId="13167">
        <row r="1">
          <cell r="J1">
            <v>1.7453292519943295E-2</v>
          </cell>
        </row>
      </sheetData>
      <sheetData sheetId="13168">
        <row r="1">
          <cell r="J1">
            <v>1.7453292519943295E-2</v>
          </cell>
        </row>
      </sheetData>
      <sheetData sheetId="13169">
        <row r="1">
          <cell r="J1">
            <v>1.7453292519943295E-2</v>
          </cell>
        </row>
      </sheetData>
      <sheetData sheetId="13170">
        <row r="1">
          <cell r="J1">
            <v>1.7453292519943295E-2</v>
          </cell>
        </row>
      </sheetData>
      <sheetData sheetId="13171">
        <row r="1">
          <cell r="J1">
            <v>1.7453292519943295E-2</v>
          </cell>
        </row>
      </sheetData>
      <sheetData sheetId="13172">
        <row r="1">
          <cell r="J1">
            <v>1.7453292519943295E-2</v>
          </cell>
        </row>
      </sheetData>
      <sheetData sheetId="13173">
        <row r="1">
          <cell r="J1">
            <v>1.7453292519943295E-2</v>
          </cell>
        </row>
      </sheetData>
      <sheetData sheetId="13174">
        <row r="1">
          <cell r="J1">
            <v>1.7453292519943295E-2</v>
          </cell>
        </row>
      </sheetData>
      <sheetData sheetId="13175">
        <row r="1">
          <cell r="J1">
            <v>1.7453292519943295E-2</v>
          </cell>
        </row>
      </sheetData>
      <sheetData sheetId="13176">
        <row r="1">
          <cell r="J1">
            <v>1.7453292519943295E-2</v>
          </cell>
        </row>
      </sheetData>
      <sheetData sheetId="13177">
        <row r="1">
          <cell r="J1">
            <v>1.7453292519943295E-2</v>
          </cell>
        </row>
      </sheetData>
      <sheetData sheetId="13178">
        <row r="1">
          <cell r="J1">
            <v>1.7453292519943295E-2</v>
          </cell>
        </row>
      </sheetData>
      <sheetData sheetId="13179">
        <row r="1">
          <cell r="J1">
            <v>1.7453292519943295E-2</v>
          </cell>
        </row>
      </sheetData>
      <sheetData sheetId="13180">
        <row r="1">
          <cell r="J1">
            <v>1.7453292519943295E-2</v>
          </cell>
        </row>
      </sheetData>
      <sheetData sheetId="13181">
        <row r="1">
          <cell r="J1">
            <v>1.7453292519943295E-2</v>
          </cell>
        </row>
      </sheetData>
      <sheetData sheetId="13182">
        <row r="1">
          <cell r="J1">
            <v>1.7453292519943295E-2</v>
          </cell>
        </row>
      </sheetData>
      <sheetData sheetId="13183">
        <row r="1">
          <cell r="J1">
            <v>1.7453292519943295E-2</v>
          </cell>
        </row>
      </sheetData>
      <sheetData sheetId="13184">
        <row r="1">
          <cell r="J1">
            <v>1.7453292519943295E-2</v>
          </cell>
        </row>
      </sheetData>
      <sheetData sheetId="13185">
        <row r="1">
          <cell r="J1">
            <v>1.7453292519943295E-2</v>
          </cell>
        </row>
      </sheetData>
      <sheetData sheetId="13186">
        <row r="1">
          <cell r="J1">
            <v>1.7453292519943295E-2</v>
          </cell>
        </row>
      </sheetData>
      <sheetData sheetId="13187">
        <row r="1">
          <cell r="J1">
            <v>1.7453292519943295E-2</v>
          </cell>
        </row>
      </sheetData>
      <sheetData sheetId="13188">
        <row r="1">
          <cell r="J1">
            <v>1.7453292519943295E-2</v>
          </cell>
        </row>
      </sheetData>
      <sheetData sheetId="13189">
        <row r="1">
          <cell r="J1">
            <v>1.7453292519943295E-2</v>
          </cell>
        </row>
      </sheetData>
      <sheetData sheetId="13190">
        <row r="1">
          <cell r="J1">
            <v>1.7453292519943295E-2</v>
          </cell>
        </row>
      </sheetData>
      <sheetData sheetId="13191">
        <row r="1">
          <cell r="J1">
            <v>1.7453292519943295E-2</v>
          </cell>
        </row>
      </sheetData>
      <sheetData sheetId="13192">
        <row r="1">
          <cell r="J1">
            <v>1.7453292519943295E-2</v>
          </cell>
        </row>
      </sheetData>
      <sheetData sheetId="13193">
        <row r="1">
          <cell r="J1">
            <v>1.7453292519943295E-2</v>
          </cell>
        </row>
      </sheetData>
      <sheetData sheetId="13194">
        <row r="1">
          <cell r="J1">
            <v>1.7453292519943295E-2</v>
          </cell>
        </row>
      </sheetData>
      <sheetData sheetId="13195">
        <row r="1">
          <cell r="J1">
            <v>1.7453292519943295E-2</v>
          </cell>
        </row>
      </sheetData>
      <sheetData sheetId="13196">
        <row r="1">
          <cell r="J1">
            <v>1.7453292519943295E-2</v>
          </cell>
        </row>
      </sheetData>
      <sheetData sheetId="13197">
        <row r="1">
          <cell r="J1">
            <v>1.7453292519943295E-2</v>
          </cell>
        </row>
      </sheetData>
      <sheetData sheetId="13198">
        <row r="1">
          <cell r="J1">
            <v>1.7453292519943295E-2</v>
          </cell>
        </row>
      </sheetData>
      <sheetData sheetId="13199">
        <row r="1">
          <cell r="J1">
            <v>1.7453292519943295E-2</v>
          </cell>
        </row>
      </sheetData>
      <sheetData sheetId="13200">
        <row r="1">
          <cell r="J1">
            <v>1.7453292519943295E-2</v>
          </cell>
        </row>
      </sheetData>
      <sheetData sheetId="13201">
        <row r="1">
          <cell r="J1">
            <v>1.7453292519943295E-2</v>
          </cell>
        </row>
      </sheetData>
      <sheetData sheetId="13202">
        <row r="1">
          <cell r="J1">
            <v>1.7453292519943295E-2</v>
          </cell>
        </row>
      </sheetData>
      <sheetData sheetId="13203">
        <row r="1">
          <cell r="J1">
            <v>1.7453292519943295E-2</v>
          </cell>
        </row>
      </sheetData>
      <sheetData sheetId="13204">
        <row r="1">
          <cell r="J1">
            <v>1.7453292519943295E-2</v>
          </cell>
        </row>
      </sheetData>
      <sheetData sheetId="13205">
        <row r="1">
          <cell r="J1">
            <v>1.7453292519943295E-2</v>
          </cell>
        </row>
      </sheetData>
      <sheetData sheetId="13206">
        <row r="1">
          <cell r="J1">
            <v>1.7453292519943295E-2</v>
          </cell>
        </row>
      </sheetData>
      <sheetData sheetId="13207">
        <row r="1">
          <cell r="J1">
            <v>1.7453292519943295E-2</v>
          </cell>
        </row>
      </sheetData>
      <sheetData sheetId="13208">
        <row r="1">
          <cell r="J1">
            <v>1.7453292519943295E-2</v>
          </cell>
        </row>
      </sheetData>
      <sheetData sheetId="13209">
        <row r="1">
          <cell r="J1">
            <v>1.7453292519943295E-2</v>
          </cell>
        </row>
      </sheetData>
      <sheetData sheetId="13210">
        <row r="1">
          <cell r="J1">
            <v>1.7453292519943295E-2</v>
          </cell>
        </row>
      </sheetData>
      <sheetData sheetId="13211">
        <row r="1">
          <cell r="J1">
            <v>1.7453292519943295E-2</v>
          </cell>
        </row>
      </sheetData>
      <sheetData sheetId="13212">
        <row r="1">
          <cell r="J1">
            <v>1.7453292519943295E-2</v>
          </cell>
        </row>
      </sheetData>
      <sheetData sheetId="13213">
        <row r="1">
          <cell r="J1">
            <v>1.7453292519943295E-2</v>
          </cell>
        </row>
      </sheetData>
      <sheetData sheetId="13214">
        <row r="1">
          <cell r="J1">
            <v>1.7453292519943295E-2</v>
          </cell>
        </row>
      </sheetData>
      <sheetData sheetId="13215">
        <row r="1">
          <cell r="J1">
            <v>1.7453292519943295E-2</v>
          </cell>
        </row>
      </sheetData>
      <sheetData sheetId="13216">
        <row r="1">
          <cell r="J1">
            <v>1.7453292519943295E-2</v>
          </cell>
        </row>
      </sheetData>
      <sheetData sheetId="13217">
        <row r="1">
          <cell r="J1">
            <v>1.7453292519943295E-2</v>
          </cell>
        </row>
      </sheetData>
      <sheetData sheetId="13218">
        <row r="1">
          <cell r="J1">
            <v>1.7453292519943295E-2</v>
          </cell>
        </row>
      </sheetData>
      <sheetData sheetId="13219">
        <row r="1">
          <cell r="J1">
            <v>1.7453292519943295E-2</v>
          </cell>
        </row>
      </sheetData>
      <sheetData sheetId="13220">
        <row r="1">
          <cell r="J1">
            <v>1.7453292519943295E-2</v>
          </cell>
        </row>
      </sheetData>
      <sheetData sheetId="13221">
        <row r="1">
          <cell r="J1">
            <v>1.7453292519943295E-2</v>
          </cell>
        </row>
      </sheetData>
      <sheetData sheetId="13222">
        <row r="1">
          <cell r="J1">
            <v>1.7453292519943295E-2</v>
          </cell>
        </row>
      </sheetData>
      <sheetData sheetId="13223">
        <row r="1">
          <cell r="J1">
            <v>1.7453292519943295E-2</v>
          </cell>
        </row>
      </sheetData>
      <sheetData sheetId="13224">
        <row r="1">
          <cell r="J1">
            <v>1.7453292519943295E-2</v>
          </cell>
        </row>
      </sheetData>
      <sheetData sheetId="13225">
        <row r="1">
          <cell r="J1">
            <v>1.7453292519943295E-2</v>
          </cell>
        </row>
      </sheetData>
      <sheetData sheetId="13226">
        <row r="1">
          <cell r="J1">
            <v>1.7453292519943295E-2</v>
          </cell>
        </row>
      </sheetData>
      <sheetData sheetId="13227">
        <row r="1">
          <cell r="J1">
            <v>1.7453292519943295E-2</v>
          </cell>
        </row>
      </sheetData>
      <sheetData sheetId="13228">
        <row r="1">
          <cell r="J1">
            <v>1.7453292519943295E-2</v>
          </cell>
        </row>
      </sheetData>
      <sheetData sheetId="13229">
        <row r="1">
          <cell r="J1">
            <v>1.7453292519943295E-2</v>
          </cell>
        </row>
      </sheetData>
      <sheetData sheetId="13230">
        <row r="1">
          <cell r="J1">
            <v>1.7453292519943295E-2</v>
          </cell>
        </row>
      </sheetData>
      <sheetData sheetId="13231">
        <row r="1">
          <cell r="J1">
            <v>1.7453292519943295E-2</v>
          </cell>
        </row>
      </sheetData>
      <sheetData sheetId="13232">
        <row r="1">
          <cell r="J1">
            <v>1.7453292519943295E-2</v>
          </cell>
        </row>
      </sheetData>
      <sheetData sheetId="13233">
        <row r="1">
          <cell r="J1">
            <v>1.7453292519943295E-2</v>
          </cell>
        </row>
      </sheetData>
      <sheetData sheetId="13234">
        <row r="1">
          <cell r="J1">
            <v>1.7453292519943295E-2</v>
          </cell>
        </row>
      </sheetData>
      <sheetData sheetId="13235">
        <row r="1">
          <cell r="J1">
            <v>1.7453292519943295E-2</v>
          </cell>
        </row>
      </sheetData>
      <sheetData sheetId="13236">
        <row r="1">
          <cell r="J1">
            <v>1.7453292519943295E-2</v>
          </cell>
        </row>
      </sheetData>
      <sheetData sheetId="13237">
        <row r="1">
          <cell r="J1">
            <v>1.7453292519943295E-2</v>
          </cell>
        </row>
      </sheetData>
      <sheetData sheetId="13238">
        <row r="1">
          <cell r="J1">
            <v>1.7453292519943295E-2</v>
          </cell>
        </row>
      </sheetData>
      <sheetData sheetId="13239">
        <row r="1">
          <cell r="J1">
            <v>1.7453292519943295E-2</v>
          </cell>
        </row>
      </sheetData>
      <sheetData sheetId="13240">
        <row r="1">
          <cell r="J1">
            <v>1.7453292519943295E-2</v>
          </cell>
        </row>
      </sheetData>
      <sheetData sheetId="13241">
        <row r="1">
          <cell r="J1">
            <v>1.7453292519943295E-2</v>
          </cell>
        </row>
      </sheetData>
      <sheetData sheetId="13242">
        <row r="1">
          <cell r="J1">
            <v>1.7453292519943295E-2</v>
          </cell>
        </row>
      </sheetData>
      <sheetData sheetId="13243">
        <row r="1">
          <cell r="J1">
            <v>1.7453292519943295E-2</v>
          </cell>
        </row>
      </sheetData>
      <sheetData sheetId="13244">
        <row r="1">
          <cell r="J1">
            <v>1.7453292519943295E-2</v>
          </cell>
        </row>
      </sheetData>
      <sheetData sheetId="13245">
        <row r="1">
          <cell r="J1">
            <v>1.7453292519943295E-2</v>
          </cell>
        </row>
      </sheetData>
      <sheetData sheetId="13246">
        <row r="1">
          <cell r="J1">
            <v>1.7453292519943295E-2</v>
          </cell>
        </row>
      </sheetData>
      <sheetData sheetId="13247">
        <row r="1">
          <cell r="J1">
            <v>1.7453292519943295E-2</v>
          </cell>
        </row>
      </sheetData>
      <sheetData sheetId="13248">
        <row r="1">
          <cell r="J1">
            <v>1.7453292519943295E-2</v>
          </cell>
        </row>
      </sheetData>
      <sheetData sheetId="13249">
        <row r="1">
          <cell r="J1">
            <v>1.7453292519943295E-2</v>
          </cell>
        </row>
      </sheetData>
      <sheetData sheetId="13250">
        <row r="1">
          <cell r="J1">
            <v>1.7453292519943295E-2</v>
          </cell>
        </row>
      </sheetData>
      <sheetData sheetId="13251">
        <row r="1">
          <cell r="J1">
            <v>1.7453292519943295E-2</v>
          </cell>
        </row>
      </sheetData>
      <sheetData sheetId="13252">
        <row r="1">
          <cell r="J1">
            <v>1.7453292519943295E-2</v>
          </cell>
        </row>
      </sheetData>
      <sheetData sheetId="13253">
        <row r="1">
          <cell r="J1">
            <v>1.7453292519943295E-2</v>
          </cell>
        </row>
      </sheetData>
      <sheetData sheetId="13254">
        <row r="1">
          <cell r="J1">
            <v>1.7453292519943295E-2</v>
          </cell>
        </row>
      </sheetData>
      <sheetData sheetId="13255">
        <row r="1">
          <cell r="J1">
            <v>1.7453292519943295E-2</v>
          </cell>
        </row>
      </sheetData>
      <sheetData sheetId="13256">
        <row r="1">
          <cell r="J1">
            <v>1.7453292519943295E-2</v>
          </cell>
        </row>
      </sheetData>
      <sheetData sheetId="13257">
        <row r="1">
          <cell r="J1">
            <v>1.7453292519943295E-2</v>
          </cell>
        </row>
      </sheetData>
      <sheetData sheetId="13258">
        <row r="1">
          <cell r="J1">
            <v>1.7453292519943295E-2</v>
          </cell>
        </row>
      </sheetData>
      <sheetData sheetId="13259">
        <row r="1">
          <cell r="J1">
            <v>1.7453292519943295E-2</v>
          </cell>
        </row>
      </sheetData>
      <sheetData sheetId="13260">
        <row r="1">
          <cell r="J1">
            <v>1.7453292519943295E-2</v>
          </cell>
        </row>
      </sheetData>
      <sheetData sheetId="13261">
        <row r="1">
          <cell r="J1">
            <v>1.7453292519943295E-2</v>
          </cell>
        </row>
      </sheetData>
      <sheetData sheetId="13262">
        <row r="1">
          <cell r="J1">
            <v>1.7453292519943295E-2</v>
          </cell>
        </row>
      </sheetData>
      <sheetData sheetId="13263">
        <row r="1">
          <cell r="J1">
            <v>1.7453292519943295E-2</v>
          </cell>
        </row>
      </sheetData>
      <sheetData sheetId="13264">
        <row r="1">
          <cell r="J1">
            <v>1.7453292519943295E-2</v>
          </cell>
        </row>
      </sheetData>
      <sheetData sheetId="13265">
        <row r="1">
          <cell r="J1">
            <v>1.7453292519943295E-2</v>
          </cell>
        </row>
      </sheetData>
      <sheetData sheetId="13266">
        <row r="1">
          <cell r="J1">
            <v>1.7453292519943295E-2</v>
          </cell>
        </row>
      </sheetData>
      <sheetData sheetId="13267">
        <row r="1">
          <cell r="J1">
            <v>1.7453292519943295E-2</v>
          </cell>
        </row>
      </sheetData>
      <sheetData sheetId="13268">
        <row r="1">
          <cell r="J1">
            <v>1.7453292519943295E-2</v>
          </cell>
        </row>
      </sheetData>
      <sheetData sheetId="13269">
        <row r="1">
          <cell r="J1">
            <v>1.7453292519943295E-2</v>
          </cell>
        </row>
      </sheetData>
      <sheetData sheetId="13270">
        <row r="1">
          <cell r="J1">
            <v>1.7453292519943295E-2</v>
          </cell>
        </row>
      </sheetData>
      <sheetData sheetId="13271">
        <row r="1">
          <cell r="J1">
            <v>1.7453292519943295E-2</v>
          </cell>
        </row>
      </sheetData>
      <sheetData sheetId="13272">
        <row r="1">
          <cell r="J1">
            <v>1.7453292519943295E-2</v>
          </cell>
        </row>
      </sheetData>
      <sheetData sheetId="13273">
        <row r="1">
          <cell r="J1">
            <v>1.7453292519943295E-2</v>
          </cell>
        </row>
      </sheetData>
      <sheetData sheetId="13274">
        <row r="1">
          <cell r="J1">
            <v>1.7453292519943295E-2</v>
          </cell>
        </row>
      </sheetData>
      <sheetData sheetId="13275">
        <row r="1">
          <cell r="J1">
            <v>1.7453292519943295E-2</v>
          </cell>
        </row>
      </sheetData>
      <sheetData sheetId="13276">
        <row r="1">
          <cell r="J1">
            <v>1.7453292519943295E-2</v>
          </cell>
        </row>
      </sheetData>
      <sheetData sheetId="13277">
        <row r="1">
          <cell r="J1">
            <v>1.7453292519943295E-2</v>
          </cell>
        </row>
      </sheetData>
      <sheetData sheetId="13278">
        <row r="1">
          <cell r="J1">
            <v>1.7453292519943295E-2</v>
          </cell>
        </row>
      </sheetData>
      <sheetData sheetId="13279">
        <row r="1">
          <cell r="J1">
            <v>1.7453292519943295E-2</v>
          </cell>
        </row>
      </sheetData>
      <sheetData sheetId="13280">
        <row r="1">
          <cell r="J1">
            <v>1.7453292519943295E-2</v>
          </cell>
        </row>
      </sheetData>
      <sheetData sheetId="13281">
        <row r="1">
          <cell r="J1">
            <v>1.7453292519943295E-2</v>
          </cell>
        </row>
      </sheetData>
      <sheetData sheetId="13282">
        <row r="1">
          <cell r="J1">
            <v>1.7453292519943295E-2</v>
          </cell>
        </row>
      </sheetData>
      <sheetData sheetId="13283">
        <row r="1">
          <cell r="J1">
            <v>1.7453292519943295E-2</v>
          </cell>
        </row>
      </sheetData>
      <sheetData sheetId="13284">
        <row r="1">
          <cell r="J1">
            <v>1.7453292519943295E-2</v>
          </cell>
        </row>
      </sheetData>
      <sheetData sheetId="13285">
        <row r="1">
          <cell r="J1">
            <v>1.7453292519943295E-2</v>
          </cell>
        </row>
      </sheetData>
      <sheetData sheetId="13286">
        <row r="1">
          <cell r="J1">
            <v>1.7453292519943295E-2</v>
          </cell>
        </row>
      </sheetData>
      <sheetData sheetId="13287">
        <row r="1">
          <cell r="J1">
            <v>1.7453292519943295E-2</v>
          </cell>
        </row>
      </sheetData>
      <sheetData sheetId="13288">
        <row r="1">
          <cell r="J1">
            <v>1.7453292519943295E-2</v>
          </cell>
        </row>
      </sheetData>
      <sheetData sheetId="13289">
        <row r="1">
          <cell r="J1">
            <v>1.7453292519943295E-2</v>
          </cell>
        </row>
      </sheetData>
      <sheetData sheetId="13290">
        <row r="1">
          <cell r="J1">
            <v>1.7453292519943295E-2</v>
          </cell>
        </row>
      </sheetData>
      <sheetData sheetId="13291">
        <row r="1">
          <cell r="J1">
            <v>1.7453292519943295E-2</v>
          </cell>
        </row>
      </sheetData>
      <sheetData sheetId="13292">
        <row r="1">
          <cell r="J1">
            <v>1.7453292519943295E-2</v>
          </cell>
        </row>
      </sheetData>
      <sheetData sheetId="13293">
        <row r="1">
          <cell r="J1">
            <v>1.7453292519943295E-2</v>
          </cell>
        </row>
      </sheetData>
      <sheetData sheetId="13294">
        <row r="1">
          <cell r="J1">
            <v>1.7453292519943295E-2</v>
          </cell>
        </row>
      </sheetData>
      <sheetData sheetId="13295">
        <row r="1">
          <cell r="J1">
            <v>1.7453292519943295E-2</v>
          </cell>
        </row>
      </sheetData>
      <sheetData sheetId="13296">
        <row r="1">
          <cell r="J1">
            <v>1.7453292519943295E-2</v>
          </cell>
        </row>
      </sheetData>
      <sheetData sheetId="13297">
        <row r="1">
          <cell r="J1">
            <v>1.7453292519943295E-2</v>
          </cell>
        </row>
      </sheetData>
      <sheetData sheetId="13298">
        <row r="1">
          <cell r="J1">
            <v>1.7453292519943295E-2</v>
          </cell>
        </row>
      </sheetData>
      <sheetData sheetId="13299">
        <row r="1">
          <cell r="J1">
            <v>1.7453292519943295E-2</v>
          </cell>
        </row>
      </sheetData>
      <sheetData sheetId="13300">
        <row r="1">
          <cell r="J1">
            <v>1.7453292519943295E-2</v>
          </cell>
        </row>
      </sheetData>
      <sheetData sheetId="13301">
        <row r="1">
          <cell r="J1">
            <v>1.7453292519943295E-2</v>
          </cell>
        </row>
      </sheetData>
      <sheetData sheetId="13302">
        <row r="1">
          <cell r="J1">
            <v>1.7453292519943295E-2</v>
          </cell>
        </row>
      </sheetData>
      <sheetData sheetId="13303">
        <row r="1">
          <cell r="J1">
            <v>1.7453292519943295E-2</v>
          </cell>
        </row>
      </sheetData>
      <sheetData sheetId="13304">
        <row r="1">
          <cell r="J1">
            <v>1.7453292519943295E-2</v>
          </cell>
        </row>
      </sheetData>
      <sheetData sheetId="13305">
        <row r="1">
          <cell r="J1">
            <v>1.7453292519943295E-2</v>
          </cell>
        </row>
      </sheetData>
      <sheetData sheetId="13306">
        <row r="1">
          <cell r="J1">
            <v>1.7453292519943295E-2</v>
          </cell>
        </row>
      </sheetData>
      <sheetData sheetId="13307">
        <row r="1">
          <cell r="J1">
            <v>1.7453292519943295E-2</v>
          </cell>
        </row>
      </sheetData>
      <sheetData sheetId="13308">
        <row r="1">
          <cell r="J1">
            <v>1.7453292519943295E-2</v>
          </cell>
        </row>
      </sheetData>
      <sheetData sheetId="13309">
        <row r="1">
          <cell r="J1">
            <v>1.7453292519943295E-2</v>
          </cell>
        </row>
      </sheetData>
      <sheetData sheetId="13310">
        <row r="1">
          <cell r="J1">
            <v>1.7453292519943295E-2</v>
          </cell>
        </row>
      </sheetData>
      <sheetData sheetId="13311">
        <row r="1">
          <cell r="J1">
            <v>1.7453292519943295E-2</v>
          </cell>
        </row>
      </sheetData>
      <sheetData sheetId="13312">
        <row r="1">
          <cell r="J1">
            <v>1.7453292519943295E-2</v>
          </cell>
        </row>
      </sheetData>
      <sheetData sheetId="13313">
        <row r="1">
          <cell r="J1">
            <v>1.7453292519943295E-2</v>
          </cell>
        </row>
      </sheetData>
      <sheetData sheetId="13314">
        <row r="1">
          <cell r="J1">
            <v>1.7453292519943295E-2</v>
          </cell>
        </row>
      </sheetData>
      <sheetData sheetId="13315">
        <row r="1">
          <cell r="J1">
            <v>1.7453292519943295E-2</v>
          </cell>
        </row>
      </sheetData>
      <sheetData sheetId="13316">
        <row r="1">
          <cell r="J1">
            <v>1.7453292519943295E-2</v>
          </cell>
        </row>
      </sheetData>
      <sheetData sheetId="13317">
        <row r="1">
          <cell r="J1">
            <v>1.7453292519943295E-2</v>
          </cell>
        </row>
      </sheetData>
      <sheetData sheetId="13318">
        <row r="1">
          <cell r="J1">
            <v>1.7453292519943295E-2</v>
          </cell>
        </row>
      </sheetData>
      <sheetData sheetId="13319">
        <row r="1">
          <cell r="J1">
            <v>1.7453292519943295E-2</v>
          </cell>
        </row>
      </sheetData>
      <sheetData sheetId="13320">
        <row r="1">
          <cell r="J1">
            <v>1.7453292519943295E-2</v>
          </cell>
        </row>
      </sheetData>
      <sheetData sheetId="13321">
        <row r="1">
          <cell r="J1">
            <v>1.7453292519943295E-2</v>
          </cell>
        </row>
      </sheetData>
      <sheetData sheetId="13322">
        <row r="1">
          <cell r="J1">
            <v>1.7453292519943295E-2</v>
          </cell>
        </row>
      </sheetData>
      <sheetData sheetId="13323">
        <row r="1">
          <cell r="J1">
            <v>1.7453292519943295E-2</v>
          </cell>
        </row>
      </sheetData>
      <sheetData sheetId="13324">
        <row r="1">
          <cell r="J1">
            <v>1.7453292519943295E-2</v>
          </cell>
        </row>
      </sheetData>
      <sheetData sheetId="13325">
        <row r="1">
          <cell r="J1">
            <v>1.7453292519943295E-2</v>
          </cell>
        </row>
      </sheetData>
      <sheetData sheetId="13326">
        <row r="1">
          <cell r="J1">
            <v>1.7453292519943295E-2</v>
          </cell>
        </row>
      </sheetData>
      <sheetData sheetId="13327">
        <row r="1">
          <cell r="J1">
            <v>1.7453292519943295E-2</v>
          </cell>
        </row>
      </sheetData>
      <sheetData sheetId="13328">
        <row r="1">
          <cell r="J1">
            <v>1.7453292519943295E-2</v>
          </cell>
        </row>
      </sheetData>
      <sheetData sheetId="13329">
        <row r="1">
          <cell r="J1">
            <v>1.7453292519943295E-2</v>
          </cell>
        </row>
      </sheetData>
      <sheetData sheetId="13330">
        <row r="1">
          <cell r="J1">
            <v>1.7453292519943295E-2</v>
          </cell>
        </row>
      </sheetData>
      <sheetData sheetId="13331">
        <row r="1">
          <cell r="J1">
            <v>1.7453292519943295E-2</v>
          </cell>
        </row>
      </sheetData>
      <sheetData sheetId="13332">
        <row r="1">
          <cell r="J1">
            <v>1.7453292519943295E-2</v>
          </cell>
        </row>
      </sheetData>
      <sheetData sheetId="13333">
        <row r="1">
          <cell r="J1">
            <v>1.7453292519943295E-2</v>
          </cell>
        </row>
      </sheetData>
      <sheetData sheetId="13334">
        <row r="1">
          <cell r="J1">
            <v>1.7453292519943295E-2</v>
          </cell>
        </row>
      </sheetData>
      <sheetData sheetId="13335">
        <row r="1">
          <cell r="J1">
            <v>1.7453292519943295E-2</v>
          </cell>
        </row>
      </sheetData>
      <sheetData sheetId="13336">
        <row r="1">
          <cell r="J1">
            <v>1.7453292519943295E-2</v>
          </cell>
        </row>
      </sheetData>
      <sheetData sheetId="13337">
        <row r="1">
          <cell r="J1">
            <v>1.7453292519943295E-2</v>
          </cell>
        </row>
      </sheetData>
      <sheetData sheetId="13338">
        <row r="1">
          <cell r="J1">
            <v>1.7453292519943295E-2</v>
          </cell>
        </row>
      </sheetData>
      <sheetData sheetId="13339">
        <row r="1">
          <cell r="J1">
            <v>1.7453292519943295E-2</v>
          </cell>
        </row>
      </sheetData>
      <sheetData sheetId="13340">
        <row r="1">
          <cell r="J1">
            <v>1.7453292519943295E-2</v>
          </cell>
        </row>
      </sheetData>
      <sheetData sheetId="13341">
        <row r="1">
          <cell r="J1">
            <v>1.7453292519943295E-2</v>
          </cell>
        </row>
      </sheetData>
      <sheetData sheetId="13342">
        <row r="1">
          <cell r="J1">
            <v>1.7453292519943295E-2</v>
          </cell>
        </row>
      </sheetData>
      <sheetData sheetId="13343">
        <row r="1">
          <cell r="J1">
            <v>1.7453292519943295E-2</v>
          </cell>
        </row>
      </sheetData>
      <sheetData sheetId="13344">
        <row r="1">
          <cell r="J1">
            <v>1.7453292519943295E-2</v>
          </cell>
        </row>
      </sheetData>
      <sheetData sheetId="13345">
        <row r="1">
          <cell r="J1">
            <v>1.7453292519943295E-2</v>
          </cell>
        </row>
      </sheetData>
      <sheetData sheetId="13346">
        <row r="1">
          <cell r="J1">
            <v>1.7453292519943295E-2</v>
          </cell>
        </row>
      </sheetData>
      <sheetData sheetId="13347">
        <row r="1">
          <cell r="J1">
            <v>1.7453292519943295E-2</v>
          </cell>
        </row>
      </sheetData>
      <sheetData sheetId="13348">
        <row r="1">
          <cell r="J1">
            <v>1.7453292519943295E-2</v>
          </cell>
        </row>
      </sheetData>
      <sheetData sheetId="13349">
        <row r="1">
          <cell r="J1">
            <v>1.7453292519943295E-2</v>
          </cell>
        </row>
      </sheetData>
      <sheetData sheetId="13350">
        <row r="1">
          <cell r="J1">
            <v>1.7453292519943295E-2</v>
          </cell>
        </row>
      </sheetData>
      <sheetData sheetId="13351">
        <row r="1">
          <cell r="J1">
            <v>1.7453292519943295E-2</v>
          </cell>
        </row>
      </sheetData>
      <sheetData sheetId="13352">
        <row r="1">
          <cell r="J1">
            <v>1.7453292519943295E-2</v>
          </cell>
        </row>
      </sheetData>
      <sheetData sheetId="13353">
        <row r="1">
          <cell r="J1">
            <v>1.7453292519943295E-2</v>
          </cell>
        </row>
      </sheetData>
      <sheetData sheetId="13354">
        <row r="1">
          <cell r="J1">
            <v>1.7453292519943295E-2</v>
          </cell>
        </row>
      </sheetData>
      <sheetData sheetId="13355">
        <row r="1">
          <cell r="J1">
            <v>1.7453292519943295E-2</v>
          </cell>
        </row>
      </sheetData>
      <sheetData sheetId="13356">
        <row r="1">
          <cell r="J1">
            <v>1.7453292519943295E-2</v>
          </cell>
        </row>
      </sheetData>
      <sheetData sheetId="13357">
        <row r="1">
          <cell r="J1">
            <v>1.7453292519943295E-2</v>
          </cell>
        </row>
      </sheetData>
      <sheetData sheetId="13358">
        <row r="1">
          <cell r="J1">
            <v>1.7453292519943295E-2</v>
          </cell>
        </row>
      </sheetData>
      <sheetData sheetId="13359">
        <row r="1">
          <cell r="J1">
            <v>1.7453292519943295E-2</v>
          </cell>
        </row>
      </sheetData>
      <sheetData sheetId="13360">
        <row r="1">
          <cell r="J1">
            <v>1.7453292519943295E-2</v>
          </cell>
        </row>
      </sheetData>
      <sheetData sheetId="13361">
        <row r="1">
          <cell r="J1">
            <v>1.7453292519943295E-2</v>
          </cell>
        </row>
      </sheetData>
      <sheetData sheetId="13362">
        <row r="1">
          <cell r="J1">
            <v>1.7453292519943295E-2</v>
          </cell>
        </row>
      </sheetData>
      <sheetData sheetId="13363">
        <row r="1">
          <cell r="J1">
            <v>1.7453292519943295E-2</v>
          </cell>
        </row>
      </sheetData>
      <sheetData sheetId="13364">
        <row r="1">
          <cell r="J1">
            <v>1.7453292519943295E-2</v>
          </cell>
        </row>
      </sheetData>
      <sheetData sheetId="13365">
        <row r="1">
          <cell r="J1">
            <v>1.7453292519943295E-2</v>
          </cell>
        </row>
      </sheetData>
      <sheetData sheetId="13366">
        <row r="1">
          <cell r="J1">
            <v>1.7453292519943295E-2</v>
          </cell>
        </row>
      </sheetData>
      <sheetData sheetId="13367">
        <row r="1">
          <cell r="J1">
            <v>1.7453292519943295E-2</v>
          </cell>
        </row>
      </sheetData>
      <sheetData sheetId="13368">
        <row r="1">
          <cell r="J1">
            <v>1.7453292519943295E-2</v>
          </cell>
        </row>
      </sheetData>
      <sheetData sheetId="13369">
        <row r="1">
          <cell r="J1">
            <v>1.7453292519943295E-2</v>
          </cell>
        </row>
      </sheetData>
      <sheetData sheetId="13370">
        <row r="1">
          <cell r="J1">
            <v>1.7453292519943295E-2</v>
          </cell>
        </row>
      </sheetData>
      <sheetData sheetId="13371">
        <row r="1">
          <cell r="J1">
            <v>1.7453292519943295E-2</v>
          </cell>
        </row>
      </sheetData>
      <sheetData sheetId="13372">
        <row r="1">
          <cell r="J1">
            <v>1.7453292519943295E-2</v>
          </cell>
        </row>
      </sheetData>
      <sheetData sheetId="13373">
        <row r="1">
          <cell r="J1">
            <v>1.7453292519943295E-2</v>
          </cell>
        </row>
      </sheetData>
      <sheetData sheetId="13374">
        <row r="1">
          <cell r="J1">
            <v>1.7453292519943295E-2</v>
          </cell>
        </row>
      </sheetData>
      <sheetData sheetId="13375">
        <row r="1">
          <cell r="J1">
            <v>1.7453292519943295E-2</v>
          </cell>
        </row>
      </sheetData>
      <sheetData sheetId="13376">
        <row r="1">
          <cell r="J1">
            <v>1.7453292519943295E-2</v>
          </cell>
        </row>
      </sheetData>
      <sheetData sheetId="13377">
        <row r="1">
          <cell r="J1">
            <v>1.7453292519943295E-2</v>
          </cell>
        </row>
      </sheetData>
      <sheetData sheetId="13378">
        <row r="1">
          <cell r="J1">
            <v>1.7453292519943295E-2</v>
          </cell>
        </row>
      </sheetData>
      <sheetData sheetId="13379">
        <row r="1">
          <cell r="J1">
            <v>1.7453292519943295E-2</v>
          </cell>
        </row>
      </sheetData>
      <sheetData sheetId="13380">
        <row r="1">
          <cell r="J1">
            <v>1.7453292519943295E-2</v>
          </cell>
        </row>
      </sheetData>
      <sheetData sheetId="13381">
        <row r="1">
          <cell r="J1">
            <v>1.7453292519943295E-2</v>
          </cell>
        </row>
      </sheetData>
      <sheetData sheetId="13382">
        <row r="1">
          <cell r="J1">
            <v>1.7453292519943295E-2</v>
          </cell>
        </row>
      </sheetData>
      <sheetData sheetId="13383">
        <row r="1">
          <cell r="J1">
            <v>1.7453292519943295E-2</v>
          </cell>
        </row>
      </sheetData>
      <sheetData sheetId="13384">
        <row r="1">
          <cell r="J1">
            <v>1.7453292519943295E-2</v>
          </cell>
        </row>
      </sheetData>
      <sheetData sheetId="13385">
        <row r="1">
          <cell r="J1">
            <v>1.7453292519943295E-2</v>
          </cell>
        </row>
      </sheetData>
      <sheetData sheetId="13386">
        <row r="1">
          <cell r="J1">
            <v>1.7453292519943295E-2</v>
          </cell>
        </row>
      </sheetData>
      <sheetData sheetId="13387">
        <row r="1">
          <cell r="J1">
            <v>1.7453292519943295E-2</v>
          </cell>
        </row>
      </sheetData>
      <sheetData sheetId="13388">
        <row r="1">
          <cell r="J1">
            <v>1.7453292519943295E-2</v>
          </cell>
        </row>
      </sheetData>
      <sheetData sheetId="13389">
        <row r="1">
          <cell r="J1">
            <v>1.7453292519943295E-2</v>
          </cell>
        </row>
      </sheetData>
      <sheetData sheetId="13390">
        <row r="1">
          <cell r="J1">
            <v>1.7453292519943295E-2</v>
          </cell>
        </row>
      </sheetData>
      <sheetData sheetId="13391">
        <row r="1">
          <cell r="J1">
            <v>1.7453292519943295E-2</v>
          </cell>
        </row>
      </sheetData>
      <sheetData sheetId="13392">
        <row r="1">
          <cell r="J1">
            <v>1.7453292519943295E-2</v>
          </cell>
        </row>
      </sheetData>
      <sheetData sheetId="13393">
        <row r="1">
          <cell r="J1">
            <v>1.7453292519943295E-2</v>
          </cell>
        </row>
      </sheetData>
      <sheetData sheetId="13394">
        <row r="1">
          <cell r="J1">
            <v>1.7453292519943295E-2</v>
          </cell>
        </row>
      </sheetData>
      <sheetData sheetId="13395">
        <row r="1">
          <cell r="J1">
            <v>1.7453292519943295E-2</v>
          </cell>
        </row>
      </sheetData>
      <sheetData sheetId="13396">
        <row r="1">
          <cell r="J1">
            <v>1.7453292519943295E-2</v>
          </cell>
        </row>
      </sheetData>
      <sheetData sheetId="13397">
        <row r="1">
          <cell r="J1">
            <v>1.7453292519943295E-2</v>
          </cell>
        </row>
      </sheetData>
      <sheetData sheetId="13398">
        <row r="1">
          <cell r="J1">
            <v>1.7453292519943295E-2</v>
          </cell>
        </row>
      </sheetData>
      <sheetData sheetId="13399">
        <row r="1">
          <cell r="J1">
            <v>1.7453292519943295E-2</v>
          </cell>
        </row>
      </sheetData>
      <sheetData sheetId="13400">
        <row r="1">
          <cell r="J1">
            <v>1.7453292519943295E-2</v>
          </cell>
        </row>
      </sheetData>
      <sheetData sheetId="13401">
        <row r="1">
          <cell r="J1">
            <v>1.7453292519943295E-2</v>
          </cell>
        </row>
      </sheetData>
      <sheetData sheetId="13402">
        <row r="1">
          <cell r="J1">
            <v>1.7453292519943295E-2</v>
          </cell>
        </row>
      </sheetData>
      <sheetData sheetId="13403">
        <row r="1">
          <cell r="J1">
            <v>1.7453292519943295E-2</v>
          </cell>
        </row>
      </sheetData>
      <sheetData sheetId="13404">
        <row r="1">
          <cell r="J1">
            <v>1.7453292519943295E-2</v>
          </cell>
        </row>
      </sheetData>
      <sheetData sheetId="13405">
        <row r="1">
          <cell r="J1">
            <v>1.7453292519943295E-2</v>
          </cell>
        </row>
      </sheetData>
      <sheetData sheetId="13406">
        <row r="1">
          <cell r="J1">
            <v>1.7453292519943295E-2</v>
          </cell>
        </row>
      </sheetData>
      <sheetData sheetId="13407">
        <row r="1">
          <cell r="J1">
            <v>1.7453292519943295E-2</v>
          </cell>
        </row>
      </sheetData>
      <sheetData sheetId="13408">
        <row r="1">
          <cell r="J1">
            <v>1.7453292519943295E-2</v>
          </cell>
        </row>
      </sheetData>
      <sheetData sheetId="13409">
        <row r="1">
          <cell r="J1">
            <v>1.7453292519943295E-2</v>
          </cell>
        </row>
      </sheetData>
      <sheetData sheetId="13410">
        <row r="1">
          <cell r="J1">
            <v>1.7453292519943295E-2</v>
          </cell>
        </row>
      </sheetData>
      <sheetData sheetId="13411">
        <row r="1">
          <cell r="J1">
            <v>1.7453292519943295E-2</v>
          </cell>
        </row>
      </sheetData>
      <sheetData sheetId="13412">
        <row r="1">
          <cell r="J1">
            <v>1.7453292519943295E-2</v>
          </cell>
        </row>
      </sheetData>
      <sheetData sheetId="13413">
        <row r="1">
          <cell r="J1">
            <v>1.7453292519943295E-2</v>
          </cell>
        </row>
      </sheetData>
      <sheetData sheetId="13414">
        <row r="1">
          <cell r="J1">
            <v>1.7453292519943295E-2</v>
          </cell>
        </row>
      </sheetData>
      <sheetData sheetId="13415">
        <row r="1">
          <cell r="J1">
            <v>1.7453292519943295E-2</v>
          </cell>
        </row>
      </sheetData>
      <sheetData sheetId="13416">
        <row r="1">
          <cell r="J1">
            <v>1.7453292519943295E-2</v>
          </cell>
        </row>
      </sheetData>
      <sheetData sheetId="13417">
        <row r="1">
          <cell r="J1">
            <v>1.7453292519943295E-2</v>
          </cell>
        </row>
      </sheetData>
      <sheetData sheetId="13418">
        <row r="1">
          <cell r="J1">
            <v>1.7453292519943295E-2</v>
          </cell>
        </row>
      </sheetData>
      <sheetData sheetId="13419">
        <row r="1">
          <cell r="J1">
            <v>1.7453292519943295E-2</v>
          </cell>
        </row>
      </sheetData>
      <sheetData sheetId="13420">
        <row r="1">
          <cell r="J1">
            <v>1.7453292519943295E-2</v>
          </cell>
        </row>
      </sheetData>
      <sheetData sheetId="13421">
        <row r="1">
          <cell r="J1">
            <v>1.7453292519943295E-2</v>
          </cell>
        </row>
      </sheetData>
      <sheetData sheetId="13422">
        <row r="1">
          <cell r="J1">
            <v>1.7453292519943295E-2</v>
          </cell>
        </row>
      </sheetData>
      <sheetData sheetId="13423">
        <row r="1">
          <cell r="J1">
            <v>1.7453292519943295E-2</v>
          </cell>
        </row>
      </sheetData>
      <sheetData sheetId="13424">
        <row r="1">
          <cell r="J1">
            <v>1.7453292519943295E-2</v>
          </cell>
        </row>
      </sheetData>
      <sheetData sheetId="13425">
        <row r="1">
          <cell r="J1">
            <v>1.7453292519943295E-2</v>
          </cell>
        </row>
      </sheetData>
      <sheetData sheetId="13426">
        <row r="1">
          <cell r="J1">
            <v>1.7453292519943295E-2</v>
          </cell>
        </row>
      </sheetData>
      <sheetData sheetId="13427">
        <row r="1">
          <cell r="J1">
            <v>1.7453292519943295E-2</v>
          </cell>
        </row>
      </sheetData>
      <sheetData sheetId="13428">
        <row r="1">
          <cell r="J1">
            <v>1.7453292519943295E-2</v>
          </cell>
        </row>
      </sheetData>
      <sheetData sheetId="13429">
        <row r="1">
          <cell r="J1">
            <v>1.7453292519943295E-2</v>
          </cell>
        </row>
      </sheetData>
      <sheetData sheetId="13430">
        <row r="1">
          <cell r="J1">
            <v>1.7453292519943295E-2</v>
          </cell>
        </row>
      </sheetData>
      <sheetData sheetId="13431">
        <row r="1">
          <cell r="J1">
            <v>1.7453292519943295E-2</v>
          </cell>
        </row>
      </sheetData>
      <sheetData sheetId="13432">
        <row r="1">
          <cell r="J1">
            <v>1.7453292519943295E-2</v>
          </cell>
        </row>
      </sheetData>
      <sheetData sheetId="13433">
        <row r="1">
          <cell r="J1">
            <v>1.7453292519943295E-2</v>
          </cell>
        </row>
      </sheetData>
      <sheetData sheetId="13434">
        <row r="1">
          <cell r="J1">
            <v>1.7453292519943295E-2</v>
          </cell>
        </row>
      </sheetData>
      <sheetData sheetId="13435">
        <row r="1">
          <cell r="J1">
            <v>1.7453292519943295E-2</v>
          </cell>
        </row>
      </sheetData>
      <sheetData sheetId="13436">
        <row r="1">
          <cell r="J1">
            <v>1.7453292519943295E-2</v>
          </cell>
        </row>
      </sheetData>
      <sheetData sheetId="13437">
        <row r="1">
          <cell r="J1">
            <v>1.7453292519943295E-2</v>
          </cell>
        </row>
      </sheetData>
      <sheetData sheetId="13438">
        <row r="1">
          <cell r="J1">
            <v>1.7453292519943295E-2</v>
          </cell>
        </row>
      </sheetData>
      <sheetData sheetId="13439">
        <row r="1">
          <cell r="J1">
            <v>1.7453292519943295E-2</v>
          </cell>
        </row>
      </sheetData>
      <sheetData sheetId="13440">
        <row r="1">
          <cell r="J1">
            <v>1.7453292519943295E-2</v>
          </cell>
        </row>
      </sheetData>
      <sheetData sheetId="13441">
        <row r="1">
          <cell r="J1">
            <v>1.7453292519943295E-2</v>
          </cell>
        </row>
      </sheetData>
      <sheetData sheetId="13442">
        <row r="1">
          <cell r="J1">
            <v>1.7453292519943295E-2</v>
          </cell>
        </row>
      </sheetData>
      <sheetData sheetId="13443">
        <row r="1">
          <cell r="J1">
            <v>1.7453292519943295E-2</v>
          </cell>
        </row>
      </sheetData>
      <sheetData sheetId="13444">
        <row r="1">
          <cell r="J1">
            <v>1.7453292519943295E-2</v>
          </cell>
        </row>
      </sheetData>
      <sheetData sheetId="13445">
        <row r="1">
          <cell r="J1">
            <v>1.7453292519943295E-2</v>
          </cell>
        </row>
      </sheetData>
      <sheetData sheetId="13446">
        <row r="1">
          <cell r="J1">
            <v>1.7453292519943295E-2</v>
          </cell>
        </row>
      </sheetData>
      <sheetData sheetId="13447">
        <row r="1">
          <cell r="J1">
            <v>1.7453292519943295E-2</v>
          </cell>
        </row>
      </sheetData>
      <sheetData sheetId="13448">
        <row r="1">
          <cell r="J1">
            <v>1.7453292519943295E-2</v>
          </cell>
        </row>
      </sheetData>
      <sheetData sheetId="13449">
        <row r="1">
          <cell r="J1">
            <v>1.7453292519943295E-2</v>
          </cell>
        </row>
      </sheetData>
      <sheetData sheetId="13450">
        <row r="1">
          <cell r="J1">
            <v>1.7453292519943295E-2</v>
          </cell>
        </row>
      </sheetData>
      <sheetData sheetId="13451">
        <row r="1">
          <cell r="J1">
            <v>1.7453292519943295E-2</v>
          </cell>
        </row>
      </sheetData>
      <sheetData sheetId="13452">
        <row r="1">
          <cell r="J1">
            <v>1.7453292519943295E-2</v>
          </cell>
        </row>
      </sheetData>
      <sheetData sheetId="13453">
        <row r="1">
          <cell r="J1">
            <v>1.7453292519943295E-2</v>
          </cell>
        </row>
      </sheetData>
      <sheetData sheetId="13454">
        <row r="1">
          <cell r="J1">
            <v>1.7453292519943295E-2</v>
          </cell>
        </row>
      </sheetData>
      <sheetData sheetId="13455">
        <row r="1">
          <cell r="J1">
            <v>1.7453292519943295E-2</v>
          </cell>
        </row>
      </sheetData>
      <sheetData sheetId="13456">
        <row r="1">
          <cell r="J1">
            <v>1.7453292519943295E-2</v>
          </cell>
        </row>
      </sheetData>
      <sheetData sheetId="13457">
        <row r="1">
          <cell r="J1">
            <v>1.7453292519943295E-2</v>
          </cell>
        </row>
      </sheetData>
      <sheetData sheetId="13458">
        <row r="1">
          <cell r="J1">
            <v>1.7453292519943295E-2</v>
          </cell>
        </row>
      </sheetData>
      <sheetData sheetId="13459">
        <row r="1">
          <cell r="J1">
            <v>1.7453292519943295E-2</v>
          </cell>
        </row>
      </sheetData>
      <sheetData sheetId="13460">
        <row r="1">
          <cell r="J1">
            <v>1.7453292519943295E-2</v>
          </cell>
        </row>
      </sheetData>
      <sheetData sheetId="13461">
        <row r="1">
          <cell r="J1">
            <v>1.7453292519943295E-2</v>
          </cell>
        </row>
      </sheetData>
      <sheetData sheetId="13462">
        <row r="1">
          <cell r="J1">
            <v>1.7453292519943295E-2</v>
          </cell>
        </row>
      </sheetData>
      <sheetData sheetId="13463">
        <row r="1">
          <cell r="J1">
            <v>1.7453292519943295E-2</v>
          </cell>
        </row>
      </sheetData>
      <sheetData sheetId="13464">
        <row r="1">
          <cell r="J1">
            <v>1.7453292519943295E-2</v>
          </cell>
        </row>
      </sheetData>
      <sheetData sheetId="13465">
        <row r="1">
          <cell r="J1">
            <v>1.7453292519943295E-2</v>
          </cell>
        </row>
      </sheetData>
      <sheetData sheetId="13466">
        <row r="1">
          <cell r="J1">
            <v>1.7453292519943295E-2</v>
          </cell>
        </row>
      </sheetData>
      <sheetData sheetId="13467">
        <row r="1">
          <cell r="J1">
            <v>1.7453292519943295E-2</v>
          </cell>
        </row>
      </sheetData>
      <sheetData sheetId="13468">
        <row r="1">
          <cell r="J1">
            <v>1.7453292519943295E-2</v>
          </cell>
        </row>
      </sheetData>
      <sheetData sheetId="13469">
        <row r="1">
          <cell r="J1">
            <v>1.7453292519943295E-2</v>
          </cell>
        </row>
      </sheetData>
      <sheetData sheetId="13470">
        <row r="1">
          <cell r="J1">
            <v>1.7453292519943295E-2</v>
          </cell>
        </row>
      </sheetData>
      <sheetData sheetId="13471">
        <row r="1">
          <cell r="J1">
            <v>1.7453292519943295E-2</v>
          </cell>
        </row>
      </sheetData>
      <sheetData sheetId="13472">
        <row r="1">
          <cell r="J1">
            <v>1.7453292519943295E-2</v>
          </cell>
        </row>
      </sheetData>
      <sheetData sheetId="13473">
        <row r="1">
          <cell r="J1">
            <v>1.7453292519943295E-2</v>
          </cell>
        </row>
      </sheetData>
      <sheetData sheetId="13474">
        <row r="1">
          <cell r="J1">
            <v>1.7453292519943295E-2</v>
          </cell>
        </row>
      </sheetData>
      <sheetData sheetId="13475">
        <row r="1">
          <cell r="J1">
            <v>1.7453292519943295E-2</v>
          </cell>
        </row>
      </sheetData>
      <sheetData sheetId="13476">
        <row r="1">
          <cell r="J1">
            <v>1.7453292519943295E-2</v>
          </cell>
        </row>
      </sheetData>
      <sheetData sheetId="13477">
        <row r="1">
          <cell r="J1">
            <v>1.7453292519943295E-2</v>
          </cell>
        </row>
      </sheetData>
      <sheetData sheetId="13478">
        <row r="1">
          <cell r="J1">
            <v>1.7453292519943295E-2</v>
          </cell>
        </row>
      </sheetData>
      <sheetData sheetId="13479">
        <row r="1">
          <cell r="J1">
            <v>1.7453292519943295E-2</v>
          </cell>
        </row>
      </sheetData>
      <sheetData sheetId="13480">
        <row r="1">
          <cell r="J1">
            <v>1.7453292519943295E-2</v>
          </cell>
        </row>
      </sheetData>
      <sheetData sheetId="13481">
        <row r="1">
          <cell r="J1">
            <v>1.7453292519943295E-2</v>
          </cell>
        </row>
      </sheetData>
      <sheetData sheetId="13482">
        <row r="1">
          <cell r="J1">
            <v>1.7453292519943295E-2</v>
          </cell>
        </row>
      </sheetData>
      <sheetData sheetId="13483">
        <row r="1">
          <cell r="J1">
            <v>1.7453292519943295E-2</v>
          </cell>
        </row>
      </sheetData>
      <sheetData sheetId="13484">
        <row r="1">
          <cell r="J1">
            <v>1.7453292519943295E-2</v>
          </cell>
        </row>
      </sheetData>
      <sheetData sheetId="13485">
        <row r="1">
          <cell r="J1">
            <v>1.7453292519943295E-2</v>
          </cell>
        </row>
      </sheetData>
      <sheetData sheetId="13486">
        <row r="1">
          <cell r="J1">
            <v>1.7453292519943295E-2</v>
          </cell>
        </row>
      </sheetData>
      <sheetData sheetId="13487">
        <row r="1">
          <cell r="J1">
            <v>1.7453292519943295E-2</v>
          </cell>
        </row>
      </sheetData>
      <sheetData sheetId="13488">
        <row r="1">
          <cell r="J1">
            <v>1.7453292519943295E-2</v>
          </cell>
        </row>
      </sheetData>
      <sheetData sheetId="13489">
        <row r="1">
          <cell r="J1">
            <v>1.7453292519943295E-2</v>
          </cell>
        </row>
      </sheetData>
      <sheetData sheetId="13490">
        <row r="1">
          <cell r="J1">
            <v>1.7453292519943295E-2</v>
          </cell>
        </row>
      </sheetData>
      <sheetData sheetId="13491">
        <row r="1">
          <cell r="J1">
            <v>1.7453292519943295E-2</v>
          </cell>
        </row>
      </sheetData>
      <sheetData sheetId="13492">
        <row r="1">
          <cell r="J1">
            <v>1.7453292519943295E-2</v>
          </cell>
        </row>
      </sheetData>
      <sheetData sheetId="13493">
        <row r="1">
          <cell r="J1">
            <v>1.7453292519943295E-2</v>
          </cell>
        </row>
      </sheetData>
      <sheetData sheetId="13494">
        <row r="1">
          <cell r="J1">
            <v>1.7453292519943295E-2</v>
          </cell>
        </row>
      </sheetData>
      <sheetData sheetId="13495">
        <row r="1">
          <cell r="J1">
            <v>1.7453292519943295E-2</v>
          </cell>
        </row>
      </sheetData>
      <sheetData sheetId="13496">
        <row r="1">
          <cell r="J1">
            <v>1.7453292519943295E-2</v>
          </cell>
        </row>
      </sheetData>
      <sheetData sheetId="13497">
        <row r="1">
          <cell r="J1">
            <v>1.7453292519943295E-2</v>
          </cell>
        </row>
      </sheetData>
      <sheetData sheetId="13498">
        <row r="1">
          <cell r="J1">
            <v>1.7453292519943295E-2</v>
          </cell>
        </row>
      </sheetData>
      <sheetData sheetId="13499">
        <row r="1">
          <cell r="J1">
            <v>1.7453292519943295E-2</v>
          </cell>
        </row>
      </sheetData>
      <sheetData sheetId="13500">
        <row r="1">
          <cell r="J1">
            <v>1.7453292519943295E-2</v>
          </cell>
        </row>
      </sheetData>
      <sheetData sheetId="13501">
        <row r="1">
          <cell r="J1">
            <v>1.7453292519943295E-2</v>
          </cell>
        </row>
      </sheetData>
      <sheetData sheetId="13502">
        <row r="1">
          <cell r="J1">
            <v>1.7453292519943295E-2</v>
          </cell>
        </row>
      </sheetData>
      <sheetData sheetId="13503">
        <row r="1">
          <cell r="J1">
            <v>1.7453292519943295E-2</v>
          </cell>
        </row>
      </sheetData>
      <sheetData sheetId="13504">
        <row r="1">
          <cell r="J1">
            <v>1.7453292519943295E-2</v>
          </cell>
        </row>
      </sheetData>
      <sheetData sheetId="13505">
        <row r="1">
          <cell r="J1">
            <v>1.7453292519943295E-2</v>
          </cell>
        </row>
      </sheetData>
      <sheetData sheetId="13506">
        <row r="1">
          <cell r="J1">
            <v>1.7453292519943295E-2</v>
          </cell>
        </row>
      </sheetData>
      <sheetData sheetId="13507">
        <row r="1">
          <cell r="J1">
            <v>1.7453292519943295E-2</v>
          </cell>
        </row>
      </sheetData>
      <sheetData sheetId="13508">
        <row r="1">
          <cell r="J1">
            <v>1.7453292519943295E-2</v>
          </cell>
        </row>
      </sheetData>
      <sheetData sheetId="13509">
        <row r="1">
          <cell r="J1">
            <v>1.7453292519943295E-2</v>
          </cell>
        </row>
      </sheetData>
      <sheetData sheetId="13510">
        <row r="1">
          <cell r="J1">
            <v>1.7453292519943295E-2</v>
          </cell>
        </row>
      </sheetData>
      <sheetData sheetId="13511">
        <row r="1">
          <cell r="J1">
            <v>1.7453292519943295E-2</v>
          </cell>
        </row>
      </sheetData>
      <sheetData sheetId="13512">
        <row r="1">
          <cell r="J1">
            <v>1.7453292519943295E-2</v>
          </cell>
        </row>
      </sheetData>
      <sheetData sheetId="13513">
        <row r="1">
          <cell r="J1">
            <v>1.7453292519943295E-2</v>
          </cell>
        </row>
      </sheetData>
      <sheetData sheetId="13514">
        <row r="1">
          <cell r="J1">
            <v>1.7453292519943295E-2</v>
          </cell>
        </row>
      </sheetData>
      <sheetData sheetId="13515">
        <row r="1">
          <cell r="J1">
            <v>1.7453292519943295E-2</v>
          </cell>
        </row>
      </sheetData>
      <sheetData sheetId="13516">
        <row r="1">
          <cell r="J1">
            <v>1.7453292519943295E-2</v>
          </cell>
        </row>
      </sheetData>
      <sheetData sheetId="13517">
        <row r="1">
          <cell r="J1">
            <v>1.7453292519943295E-2</v>
          </cell>
        </row>
      </sheetData>
      <sheetData sheetId="13518">
        <row r="1">
          <cell r="J1">
            <v>1.7453292519943295E-2</v>
          </cell>
        </row>
      </sheetData>
      <sheetData sheetId="13519">
        <row r="1">
          <cell r="J1">
            <v>1.7453292519943295E-2</v>
          </cell>
        </row>
      </sheetData>
      <sheetData sheetId="13520">
        <row r="1">
          <cell r="J1">
            <v>1.7453292519943295E-2</v>
          </cell>
        </row>
      </sheetData>
      <sheetData sheetId="13521">
        <row r="1">
          <cell r="J1">
            <v>1.7453292519943295E-2</v>
          </cell>
        </row>
      </sheetData>
      <sheetData sheetId="13522">
        <row r="1">
          <cell r="J1">
            <v>1.7453292519943295E-2</v>
          </cell>
        </row>
      </sheetData>
      <sheetData sheetId="13523">
        <row r="1">
          <cell r="J1">
            <v>1.7453292519943295E-2</v>
          </cell>
        </row>
      </sheetData>
      <sheetData sheetId="13524">
        <row r="1">
          <cell r="J1">
            <v>1.7453292519943295E-2</v>
          </cell>
        </row>
      </sheetData>
      <sheetData sheetId="13525">
        <row r="1">
          <cell r="J1">
            <v>1.7453292519943295E-2</v>
          </cell>
        </row>
      </sheetData>
      <sheetData sheetId="13526">
        <row r="1">
          <cell r="J1">
            <v>1.7453292519943295E-2</v>
          </cell>
        </row>
      </sheetData>
      <sheetData sheetId="13527">
        <row r="1">
          <cell r="J1">
            <v>1.7453292519943295E-2</v>
          </cell>
        </row>
      </sheetData>
      <sheetData sheetId="13528">
        <row r="1">
          <cell r="J1">
            <v>1.7453292519943295E-2</v>
          </cell>
        </row>
      </sheetData>
      <sheetData sheetId="13529">
        <row r="1">
          <cell r="J1">
            <v>1.7453292519943295E-2</v>
          </cell>
        </row>
      </sheetData>
      <sheetData sheetId="13530">
        <row r="1">
          <cell r="J1">
            <v>1.7453292519943295E-2</v>
          </cell>
        </row>
      </sheetData>
      <sheetData sheetId="13531">
        <row r="1">
          <cell r="J1">
            <v>1.7453292519943295E-2</v>
          </cell>
        </row>
      </sheetData>
      <sheetData sheetId="13532">
        <row r="1">
          <cell r="J1">
            <v>1.7453292519943295E-2</v>
          </cell>
        </row>
      </sheetData>
      <sheetData sheetId="13533">
        <row r="1">
          <cell r="J1">
            <v>1.7453292519943295E-2</v>
          </cell>
        </row>
      </sheetData>
      <sheetData sheetId="13534">
        <row r="1">
          <cell r="J1">
            <v>1.7453292519943295E-2</v>
          </cell>
        </row>
      </sheetData>
      <sheetData sheetId="13535">
        <row r="1">
          <cell r="J1">
            <v>1.7453292519943295E-2</v>
          </cell>
        </row>
      </sheetData>
      <sheetData sheetId="13536">
        <row r="1">
          <cell r="J1">
            <v>1.7453292519943295E-2</v>
          </cell>
        </row>
      </sheetData>
      <sheetData sheetId="13537">
        <row r="1">
          <cell r="J1">
            <v>1.7453292519943295E-2</v>
          </cell>
        </row>
      </sheetData>
      <sheetData sheetId="13538">
        <row r="1">
          <cell r="J1">
            <v>1.7453292519943295E-2</v>
          </cell>
        </row>
      </sheetData>
      <sheetData sheetId="13539">
        <row r="1">
          <cell r="J1">
            <v>1.7453292519943295E-2</v>
          </cell>
        </row>
      </sheetData>
      <sheetData sheetId="13540">
        <row r="1">
          <cell r="J1">
            <v>1.7453292519943295E-2</v>
          </cell>
        </row>
      </sheetData>
      <sheetData sheetId="13541">
        <row r="1">
          <cell r="J1">
            <v>1.7453292519943295E-2</v>
          </cell>
        </row>
      </sheetData>
      <sheetData sheetId="13542">
        <row r="1">
          <cell r="J1">
            <v>1.7453292519943295E-2</v>
          </cell>
        </row>
      </sheetData>
      <sheetData sheetId="13543">
        <row r="1">
          <cell r="J1">
            <v>1.7453292519943295E-2</v>
          </cell>
        </row>
      </sheetData>
      <sheetData sheetId="13544">
        <row r="1">
          <cell r="J1">
            <v>1.7453292519943295E-2</v>
          </cell>
        </row>
      </sheetData>
      <sheetData sheetId="13545">
        <row r="1">
          <cell r="J1">
            <v>1.7453292519943295E-2</v>
          </cell>
        </row>
      </sheetData>
      <sheetData sheetId="13546">
        <row r="1">
          <cell r="J1">
            <v>1.7453292519943295E-2</v>
          </cell>
        </row>
      </sheetData>
      <sheetData sheetId="13547">
        <row r="1">
          <cell r="J1">
            <v>1.7453292519943295E-2</v>
          </cell>
        </row>
      </sheetData>
      <sheetData sheetId="13548">
        <row r="1">
          <cell r="J1">
            <v>1.7453292519943295E-2</v>
          </cell>
        </row>
      </sheetData>
      <sheetData sheetId="13549">
        <row r="1">
          <cell r="J1">
            <v>1.7453292519943295E-2</v>
          </cell>
        </row>
      </sheetData>
      <sheetData sheetId="13550">
        <row r="1">
          <cell r="J1">
            <v>1.7453292519943295E-2</v>
          </cell>
        </row>
      </sheetData>
      <sheetData sheetId="13551">
        <row r="1">
          <cell r="J1">
            <v>1.7453292519943295E-2</v>
          </cell>
        </row>
      </sheetData>
      <sheetData sheetId="13552">
        <row r="1">
          <cell r="J1">
            <v>1.7453292519943295E-2</v>
          </cell>
        </row>
      </sheetData>
      <sheetData sheetId="13553">
        <row r="1">
          <cell r="J1">
            <v>1.7453292519943295E-2</v>
          </cell>
        </row>
      </sheetData>
      <sheetData sheetId="13554">
        <row r="1">
          <cell r="J1">
            <v>1.7453292519943295E-2</v>
          </cell>
        </row>
      </sheetData>
      <sheetData sheetId="13555">
        <row r="1">
          <cell r="J1">
            <v>1.7453292519943295E-2</v>
          </cell>
        </row>
      </sheetData>
      <sheetData sheetId="13556">
        <row r="1">
          <cell r="J1">
            <v>1.7453292519943295E-2</v>
          </cell>
        </row>
      </sheetData>
      <sheetData sheetId="13557">
        <row r="1">
          <cell r="J1">
            <v>1.7453292519943295E-2</v>
          </cell>
        </row>
      </sheetData>
      <sheetData sheetId="13558">
        <row r="1">
          <cell r="J1">
            <v>1.7453292519943295E-2</v>
          </cell>
        </row>
      </sheetData>
      <sheetData sheetId="13559">
        <row r="1">
          <cell r="J1">
            <v>1.7453292519943295E-2</v>
          </cell>
        </row>
      </sheetData>
      <sheetData sheetId="13560">
        <row r="1">
          <cell r="J1">
            <v>1.7453292519943295E-2</v>
          </cell>
        </row>
      </sheetData>
      <sheetData sheetId="13561">
        <row r="1">
          <cell r="J1">
            <v>1.7453292519943295E-2</v>
          </cell>
        </row>
      </sheetData>
      <sheetData sheetId="13562">
        <row r="1">
          <cell r="J1">
            <v>1.7453292519943295E-2</v>
          </cell>
        </row>
      </sheetData>
      <sheetData sheetId="13563">
        <row r="1">
          <cell r="J1">
            <v>1.7453292519943295E-2</v>
          </cell>
        </row>
      </sheetData>
      <sheetData sheetId="13564">
        <row r="1">
          <cell r="J1">
            <v>1.7453292519943295E-2</v>
          </cell>
        </row>
      </sheetData>
      <sheetData sheetId="13565">
        <row r="1">
          <cell r="J1">
            <v>1.7453292519943295E-2</v>
          </cell>
        </row>
      </sheetData>
      <sheetData sheetId="13566">
        <row r="1">
          <cell r="J1">
            <v>1.7453292519943295E-2</v>
          </cell>
        </row>
      </sheetData>
      <sheetData sheetId="13567">
        <row r="1">
          <cell r="J1">
            <v>1.7453292519943295E-2</v>
          </cell>
        </row>
      </sheetData>
      <sheetData sheetId="13568">
        <row r="1">
          <cell r="J1">
            <v>1.7453292519943295E-2</v>
          </cell>
        </row>
      </sheetData>
      <sheetData sheetId="13569">
        <row r="1">
          <cell r="J1">
            <v>1.7453292519943295E-2</v>
          </cell>
        </row>
      </sheetData>
      <sheetData sheetId="13570">
        <row r="1">
          <cell r="J1">
            <v>1.7453292519943295E-2</v>
          </cell>
        </row>
      </sheetData>
      <sheetData sheetId="13571">
        <row r="1">
          <cell r="J1">
            <v>1.7453292519943295E-2</v>
          </cell>
        </row>
      </sheetData>
      <sheetData sheetId="13572">
        <row r="1">
          <cell r="J1">
            <v>1.7453292519943295E-2</v>
          </cell>
        </row>
      </sheetData>
      <sheetData sheetId="13573">
        <row r="1">
          <cell r="J1">
            <v>1.7453292519943295E-2</v>
          </cell>
        </row>
      </sheetData>
      <sheetData sheetId="13574">
        <row r="1">
          <cell r="J1">
            <v>1.7453292519943295E-2</v>
          </cell>
        </row>
      </sheetData>
      <sheetData sheetId="13575">
        <row r="1">
          <cell r="J1">
            <v>1.7453292519943295E-2</v>
          </cell>
        </row>
      </sheetData>
      <sheetData sheetId="13576">
        <row r="1">
          <cell r="J1">
            <v>1.7453292519943295E-2</v>
          </cell>
        </row>
      </sheetData>
      <sheetData sheetId="13577">
        <row r="1">
          <cell r="J1">
            <v>1.7453292519943295E-2</v>
          </cell>
        </row>
      </sheetData>
      <sheetData sheetId="13578">
        <row r="1">
          <cell r="J1">
            <v>1.7453292519943295E-2</v>
          </cell>
        </row>
      </sheetData>
      <sheetData sheetId="13579">
        <row r="1">
          <cell r="J1">
            <v>1.7453292519943295E-2</v>
          </cell>
        </row>
      </sheetData>
      <sheetData sheetId="13580">
        <row r="1">
          <cell r="J1">
            <v>1.7453292519943295E-2</v>
          </cell>
        </row>
      </sheetData>
      <sheetData sheetId="13581">
        <row r="1">
          <cell r="J1">
            <v>1.7453292519943295E-2</v>
          </cell>
        </row>
      </sheetData>
      <sheetData sheetId="13582">
        <row r="1">
          <cell r="J1">
            <v>1.7453292519943295E-2</v>
          </cell>
        </row>
      </sheetData>
      <sheetData sheetId="13583">
        <row r="1">
          <cell r="J1">
            <v>1.7453292519943295E-2</v>
          </cell>
        </row>
      </sheetData>
      <sheetData sheetId="13584">
        <row r="1">
          <cell r="J1">
            <v>1.7453292519943295E-2</v>
          </cell>
        </row>
      </sheetData>
      <sheetData sheetId="13585">
        <row r="1">
          <cell r="J1">
            <v>1.7453292519943295E-2</v>
          </cell>
        </row>
      </sheetData>
      <sheetData sheetId="13586">
        <row r="1">
          <cell r="J1">
            <v>1.7453292519943295E-2</v>
          </cell>
        </row>
      </sheetData>
      <sheetData sheetId="13587">
        <row r="1">
          <cell r="J1">
            <v>1.7453292519943295E-2</v>
          </cell>
        </row>
      </sheetData>
      <sheetData sheetId="13588">
        <row r="1">
          <cell r="J1">
            <v>1.7453292519943295E-2</v>
          </cell>
        </row>
      </sheetData>
      <sheetData sheetId="13589">
        <row r="1">
          <cell r="J1">
            <v>1.7453292519943295E-2</v>
          </cell>
        </row>
      </sheetData>
      <sheetData sheetId="13590">
        <row r="1">
          <cell r="J1">
            <v>1.7453292519943295E-2</v>
          </cell>
        </row>
      </sheetData>
      <sheetData sheetId="13591">
        <row r="1">
          <cell r="J1">
            <v>1.7453292519943295E-2</v>
          </cell>
        </row>
      </sheetData>
      <sheetData sheetId="13592">
        <row r="1">
          <cell r="J1">
            <v>1.7453292519943295E-2</v>
          </cell>
        </row>
      </sheetData>
      <sheetData sheetId="13593">
        <row r="1">
          <cell r="J1">
            <v>1.7453292519943295E-2</v>
          </cell>
        </row>
      </sheetData>
      <sheetData sheetId="13594">
        <row r="1">
          <cell r="J1">
            <v>1.7453292519943295E-2</v>
          </cell>
        </row>
      </sheetData>
      <sheetData sheetId="13595">
        <row r="1">
          <cell r="J1">
            <v>1.7453292519943295E-2</v>
          </cell>
        </row>
      </sheetData>
      <sheetData sheetId="13596">
        <row r="1">
          <cell r="J1">
            <v>1.7453292519943295E-2</v>
          </cell>
        </row>
      </sheetData>
      <sheetData sheetId="13597">
        <row r="1">
          <cell r="J1">
            <v>1.7453292519943295E-2</v>
          </cell>
        </row>
      </sheetData>
      <sheetData sheetId="13598">
        <row r="1">
          <cell r="J1">
            <v>1.7453292519943295E-2</v>
          </cell>
        </row>
      </sheetData>
      <sheetData sheetId="13599">
        <row r="1">
          <cell r="J1">
            <v>1.7453292519943295E-2</v>
          </cell>
        </row>
      </sheetData>
      <sheetData sheetId="13600">
        <row r="1">
          <cell r="J1">
            <v>1.7453292519943295E-2</v>
          </cell>
        </row>
      </sheetData>
      <sheetData sheetId="13601">
        <row r="1">
          <cell r="J1">
            <v>1.7453292519943295E-2</v>
          </cell>
        </row>
      </sheetData>
      <sheetData sheetId="13602">
        <row r="1">
          <cell r="J1">
            <v>1.7453292519943295E-2</v>
          </cell>
        </row>
      </sheetData>
      <sheetData sheetId="13603">
        <row r="1">
          <cell r="J1">
            <v>1.7453292519943295E-2</v>
          </cell>
        </row>
      </sheetData>
      <sheetData sheetId="13604">
        <row r="1">
          <cell r="J1">
            <v>1.7453292519943295E-2</v>
          </cell>
        </row>
      </sheetData>
      <sheetData sheetId="13605">
        <row r="1">
          <cell r="J1">
            <v>1.7453292519943295E-2</v>
          </cell>
        </row>
      </sheetData>
      <sheetData sheetId="13606">
        <row r="1">
          <cell r="J1">
            <v>1.7453292519943295E-2</v>
          </cell>
        </row>
      </sheetData>
      <sheetData sheetId="13607">
        <row r="1">
          <cell r="J1">
            <v>1.7453292519943295E-2</v>
          </cell>
        </row>
      </sheetData>
      <sheetData sheetId="13608">
        <row r="1">
          <cell r="J1">
            <v>1.7453292519943295E-2</v>
          </cell>
        </row>
      </sheetData>
      <sheetData sheetId="13609">
        <row r="1">
          <cell r="J1">
            <v>1.7453292519943295E-2</v>
          </cell>
        </row>
      </sheetData>
      <sheetData sheetId="13610">
        <row r="1">
          <cell r="J1">
            <v>1.7453292519943295E-2</v>
          </cell>
        </row>
      </sheetData>
      <sheetData sheetId="13611">
        <row r="1">
          <cell r="J1">
            <v>1.7453292519943295E-2</v>
          </cell>
        </row>
      </sheetData>
      <sheetData sheetId="13612">
        <row r="1">
          <cell r="J1">
            <v>1.7453292519943295E-2</v>
          </cell>
        </row>
      </sheetData>
      <sheetData sheetId="13613">
        <row r="1">
          <cell r="J1">
            <v>1.7453292519943295E-2</v>
          </cell>
        </row>
      </sheetData>
      <sheetData sheetId="13614">
        <row r="1">
          <cell r="J1">
            <v>1.7453292519943295E-2</v>
          </cell>
        </row>
      </sheetData>
      <sheetData sheetId="13615">
        <row r="1">
          <cell r="J1">
            <v>1.7453292519943295E-2</v>
          </cell>
        </row>
      </sheetData>
      <sheetData sheetId="13616">
        <row r="1">
          <cell r="J1">
            <v>1.7453292519943295E-2</v>
          </cell>
        </row>
      </sheetData>
      <sheetData sheetId="13617">
        <row r="1">
          <cell r="J1">
            <v>1.7453292519943295E-2</v>
          </cell>
        </row>
      </sheetData>
      <sheetData sheetId="13618">
        <row r="1">
          <cell r="J1">
            <v>1.7453292519943295E-2</v>
          </cell>
        </row>
      </sheetData>
      <sheetData sheetId="13619">
        <row r="1">
          <cell r="J1">
            <v>1.7453292519943295E-2</v>
          </cell>
        </row>
      </sheetData>
      <sheetData sheetId="13620">
        <row r="1">
          <cell r="J1">
            <v>1.7453292519943295E-2</v>
          </cell>
        </row>
      </sheetData>
      <sheetData sheetId="13621">
        <row r="1">
          <cell r="J1">
            <v>1.7453292519943295E-2</v>
          </cell>
        </row>
      </sheetData>
      <sheetData sheetId="13622">
        <row r="1">
          <cell r="J1">
            <v>1.7453292519943295E-2</v>
          </cell>
        </row>
      </sheetData>
      <sheetData sheetId="13623">
        <row r="1">
          <cell r="J1">
            <v>1.7453292519943295E-2</v>
          </cell>
        </row>
      </sheetData>
      <sheetData sheetId="13624">
        <row r="1">
          <cell r="J1">
            <v>1.7453292519943295E-2</v>
          </cell>
        </row>
      </sheetData>
      <sheetData sheetId="13625">
        <row r="1">
          <cell r="J1">
            <v>1.7453292519943295E-2</v>
          </cell>
        </row>
      </sheetData>
      <sheetData sheetId="13626">
        <row r="1">
          <cell r="J1">
            <v>1.7453292519943295E-2</v>
          </cell>
        </row>
      </sheetData>
      <sheetData sheetId="13627">
        <row r="1">
          <cell r="J1">
            <v>1.7453292519943295E-2</v>
          </cell>
        </row>
      </sheetData>
      <sheetData sheetId="13628">
        <row r="1">
          <cell r="J1">
            <v>1.7453292519943295E-2</v>
          </cell>
        </row>
      </sheetData>
      <sheetData sheetId="13629">
        <row r="1">
          <cell r="J1">
            <v>1.7453292519943295E-2</v>
          </cell>
        </row>
      </sheetData>
      <sheetData sheetId="13630">
        <row r="1">
          <cell r="J1">
            <v>1.7453292519943295E-2</v>
          </cell>
        </row>
      </sheetData>
      <sheetData sheetId="13631">
        <row r="1">
          <cell r="J1">
            <v>1.7453292519943295E-2</v>
          </cell>
        </row>
      </sheetData>
      <sheetData sheetId="13632">
        <row r="1">
          <cell r="J1">
            <v>1.7453292519943295E-2</v>
          </cell>
        </row>
      </sheetData>
      <sheetData sheetId="13633">
        <row r="1">
          <cell r="J1">
            <v>1.7453292519943295E-2</v>
          </cell>
        </row>
      </sheetData>
      <sheetData sheetId="13634">
        <row r="1">
          <cell r="J1">
            <v>1.7453292519943295E-2</v>
          </cell>
        </row>
      </sheetData>
      <sheetData sheetId="13635">
        <row r="1">
          <cell r="J1">
            <v>1.7453292519943295E-2</v>
          </cell>
        </row>
      </sheetData>
      <sheetData sheetId="13636">
        <row r="1">
          <cell r="J1">
            <v>1.7453292519943295E-2</v>
          </cell>
        </row>
      </sheetData>
      <sheetData sheetId="13637">
        <row r="1">
          <cell r="J1">
            <v>1.7453292519943295E-2</v>
          </cell>
        </row>
      </sheetData>
      <sheetData sheetId="13638">
        <row r="1">
          <cell r="J1">
            <v>1.7453292519943295E-2</v>
          </cell>
        </row>
      </sheetData>
      <sheetData sheetId="13639">
        <row r="1">
          <cell r="J1">
            <v>1.7453292519943295E-2</v>
          </cell>
        </row>
      </sheetData>
      <sheetData sheetId="13640">
        <row r="1">
          <cell r="J1">
            <v>1.7453292519943295E-2</v>
          </cell>
        </row>
      </sheetData>
      <sheetData sheetId="13641">
        <row r="1">
          <cell r="J1">
            <v>1.7453292519943295E-2</v>
          </cell>
        </row>
      </sheetData>
      <sheetData sheetId="13642">
        <row r="1">
          <cell r="J1">
            <v>1.7453292519943295E-2</v>
          </cell>
        </row>
      </sheetData>
      <sheetData sheetId="13643">
        <row r="1">
          <cell r="J1">
            <v>1.7453292519943295E-2</v>
          </cell>
        </row>
      </sheetData>
      <sheetData sheetId="13644">
        <row r="1">
          <cell r="J1">
            <v>1.7453292519943295E-2</v>
          </cell>
        </row>
      </sheetData>
      <sheetData sheetId="13645">
        <row r="1">
          <cell r="J1">
            <v>1.7453292519943295E-2</v>
          </cell>
        </row>
      </sheetData>
      <sheetData sheetId="13646">
        <row r="1">
          <cell r="J1">
            <v>1.7453292519943295E-2</v>
          </cell>
        </row>
      </sheetData>
      <sheetData sheetId="13647">
        <row r="1">
          <cell r="J1">
            <v>1.7453292519943295E-2</v>
          </cell>
        </row>
      </sheetData>
      <sheetData sheetId="13648">
        <row r="1">
          <cell r="J1">
            <v>1.7453292519943295E-2</v>
          </cell>
        </row>
      </sheetData>
      <sheetData sheetId="13649">
        <row r="1">
          <cell r="J1">
            <v>1.7453292519943295E-2</v>
          </cell>
        </row>
      </sheetData>
      <sheetData sheetId="13650">
        <row r="1">
          <cell r="J1">
            <v>1.7453292519943295E-2</v>
          </cell>
        </row>
      </sheetData>
      <sheetData sheetId="13651">
        <row r="1">
          <cell r="J1">
            <v>1.7453292519943295E-2</v>
          </cell>
        </row>
      </sheetData>
      <sheetData sheetId="13652">
        <row r="1">
          <cell r="J1">
            <v>1.7453292519943295E-2</v>
          </cell>
        </row>
      </sheetData>
      <sheetData sheetId="13653">
        <row r="1">
          <cell r="J1">
            <v>1.7453292519943295E-2</v>
          </cell>
        </row>
      </sheetData>
      <sheetData sheetId="13654">
        <row r="1">
          <cell r="J1">
            <v>1.7453292519943295E-2</v>
          </cell>
        </row>
      </sheetData>
      <sheetData sheetId="13655">
        <row r="1">
          <cell r="J1">
            <v>1.7453292519943295E-2</v>
          </cell>
        </row>
      </sheetData>
      <sheetData sheetId="13656">
        <row r="1">
          <cell r="J1">
            <v>1.7453292519943295E-2</v>
          </cell>
        </row>
      </sheetData>
      <sheetData sheetId="13657">
        <row r="1">
          <cell r="J1">
            <v>1.7453292519943295E-2</v>
          </cell>
        </row>
      </sheetData>
      <sheetData sheetId="13658">
        <row r="1">
          <cell r="J1">
            <v>1.7453292519943295E-2</v>
          </cell>
        </row>
      </sheetData>
      <sheetData sheetId="13659">
        <row r="1">
          <cell r="J1">
            <v>1.7453292519943295E-2</v>
          </cell>
        </row>
      </sheetData>
      <sheetData sheetId="13660">
        <row r="1">
          <cell r="J1">
            <v>1.7453292519943295E-2</v>
          </cell>
        </row>
      </sheetData>
      <sheetData sheetId="13661">
        <row r="1">
          <cell r="J1">
            <v>1.7453292519943295E-2</v>
          </cell>
        </row>
      </sheetData>
      <sheetData sheetId="13662">
        <row r="1">
          <cell r="J1">
            <v>1.7453292519943295E-2</v>
          </cell>
        </row>
      </sheetData>
      <sheetData sheetId="13663">
        <row r="1">
          <cell r="J1">
            <v>1.7453292519943295E-2</v>
          </cell>
        </row>
      </sheetData>
      <sheetData sheetId="13664">
        <row r="1">
          <cell r="J1">
            <v>1.7453292519943295E-2</v>
          </cell>
        </row>
      </sheetData>
      <sheetData sheetId="13665">
        <row r="1">
          <cell r="J1">
            <v>1.7453292519943295E-2</v>
          </cell>
        </row>
      </sheetData>
      <sheetData sheetId="13666">
        <row r="1">
          <cell r="J1">
            <v>1.7453292519943295E-2</v>
          </cell>
        </row>
      </sheetData>
      <sheetData sheetId="13667">
        <row r="1">
          <cell r="J1">
            <v>1.7453292519943295E-2</v>
          </cell>
        </row>
      </sheetData>
      <sheetData sheetId="13668">
        <row r="1">
          <cell r="J1">
            <v>1.7453292519943295E-2</v>
          </cell>
        </row>
      </sheetData>
      <sheetData sheetId="13669">
        <row r="1">
          <cell r="J1">
            <v>1.7453292519943295E-2</v>
          </cell>
        </row>
      </sheetData>
      <sheetData sheetId="13670">
        <row r="1">
          <cell r="J1">
            <v>1.7453292519943295E-2</v>
          </cell>
        </row>
      </sheetData>
      <sheetData sheetId="13671">
        <row r="1">
          <cell r="J1">
            <v>1.7453292519943295E-2</v>
          </cell>
        </row>
      </sheetData>
      <sheetData sheetId="13672">
        <row r="1">
          <cell r="J1">
            <v>1.7453292519943295E-2</v>
          </cell>
        </row>
      </sheetData>
      <sheetData sheetId="13673">
        <row r="1">
          <cell r="J1">
            <v>1.7453292519943295E-2</v>
          </cell>
        </row>
      </sheetData>
      <sheetData sheetId="13674">
        <row r="1">
          <cell r="J1">
            <v>1.7453292519943295E-2</v>
          </cell>
        </row>
      </sheetData>
      <sheetData sheetId="13675">
        <row r="1">
          <cell r="J1">
            <v>1.7453292519943295E-2</v>
          </cell>
        </row>
      </sheetData>
      <sheetData sheetId="13676">
        <row r="1">
          <cell r="J1">
            <v>1.7453292519943295E-2</v>
          </cell>
        </row>
      </sheetData>
      <sheetData sheetId="13677">
        <row r="1">
          <cell r="J1">
            <v>1.7453292519943295E-2</v>
          </cell>
        </row>
      </sheetData>
      <sheetData sheetId="13678">
        <row r="1">
          <cell r="J1">
            <v>1.7453292519943295E-2</v>
          </cell>
        </row>
      </sheetData>
      <sheetData sheetId="13679">
        <row r="1">
          <cell r="J1">
            <v>1.7453292519943295E-2</v>
          </cell>
        </row>
      </sheetData>
      <sheetData sheetId="13680">
        <row r="1">
          <cell r="J1">
            <v>1.7453292519943295E-2</v>
          </cell>
        </row>
      </sheetData>
      <sheetData sheetId="13681">
        <row r="1">
          <cell r="J1">
            <v>1.7453292519943295E-2</v>
          </cell>
        </row>
      </sheetData>
      <sheetData sheetId="13682">
        <row r="1">
          <cell r="J1">
            <v>1.7453292519943295E-2</v>
          </cell>
        </row>
      </sheetData>
      <sheetData sheetId="13683">
        <row r="1">
          <cell r="J1">
            <v>1.7453292519943295E-2</v>
          </cell>
        </row>
      </sheetData>
      <sheetData sheetId="13684">
        <row r="1">
          <cell r="J1">
            <v>1.7453292519943295E-2</v>
          </cell>
        </row>
      </sheetData>
      <sheetData sheetId="13685">
        <row r="1">
          <cell r="J1">
            <v>1.7453292519943295E-2</v>
          </cell>
        </row>
      </sheetData>
      <sheetData sheetId="13686">
        <row r="1">
          <cell r="J1">
            <v>1.7453292519943295E-2</v>
          </cell>
        </row>
      </sheetData>
      <sheetData sheetId="13687">
        <row r="1">
          <cell r="J1">
            <v>1.7453292519943295E-2</v>
          </cell>
        </row>
      </sheetData>
      <sheetData sheetId="13688">
        <row r="1">
          <cell r="J1">
            <v>1.7453292519943295E-2</v>
          </cell>
        </row>
      </sheetData>
      <sheetData sheetId="13689">
        <row r="1">
          <cell r="J1">
            <v>1.7453292519943295E-2</v>
          </cell>
        </row>
      </sheetData>
      <sheetData sheetId="13690">
        <row r="1">
          <cell r="J1">
            <v>1.7453292519943295E-2</v>
          </cell>
        </row>
      </sheetData>
      <sheetData sheetId="13691">
        <row r="1">
          <cell r="J1">
            <v>1.7453292519943295E-2</v>
          </cell>
        </row>
      </sheetData>
      <sheetData sheetId="13692">
        <row r="1">
          <cell r="J1">
            <v>1.7453292519943295E-2</v>
          </cell>
        </row>
      </sheetData>
      <sheetData sheetId="13693">
        <row r="1">
          <cell r="J1">
            <v>1.7453292519943295E-2</v>
          </cell>
        </row>
      </sheetData>
      <sheetData sheetId="13694">
        <row r="1">
          <cell r="J1">
            <v>1.7453292519943295E-2</v>
          </cell>
        </row>
      </sheetData>
      <sheetData sheetId="13695">
        <row r="1">
          <cell r="J1">
            <v>1.7453292519943295E-2</v>
          </cell>
        </row>
      </sheetData>
      <sheetData sheetId="13696">
        <row r="1">
          <cell r="J1">
            <v>1.7453292519943295E-2</v>
          </cell>
        </row>
      </sheetData>
      <sheetData sheetId="13697">
        <row r="1">
          <cell r="J1">
            <v>1.7453292519943295E-2</v>
          </cell>
        </row>
      </sheetData>
      <sheetData sheetId="13698">
        <row r="1">
          <cell r="J1">
            <v>1.7453292519943295E-2</v>
          </cell>
        </row>
      </sheetData>
      <sheetData sheetId="13699">
        <row r="1">
          <cell r="J1">
            <v>1.7453292519943295E-2</v>
          </cell>
        </row>
      </sheetData>
      <sheetData sheetId="13700">
        <row r="1">
          <cell r="J1">
            <v>1.7453292519943295E-2</v>
          </cell>
        </row>
      </sheetData>
      <sheetData sheetId="13701">
        <row r="1">
          <cell r="J1">
            <v>1.7453292519943295E-2</v>
          </cell>
        </row>
      </sheetData>
      <sheetData sheetId="13702">
        <row r="1">
          <cell r="J1">
            <v>1.7453292519943295E-2</v>
          </cell>
        </row>
      </sheetData>
      <sheetData sheetId="13703">
        <row r="1">
          <cell r="J1">
            <v>1.7453292519943295E-2</v>
          </cell>
        </row>
      </sheetData>
      <sheetData sheetId="13704">
        <row r="1">
          <cell r="J1">
            <v>1.7453292519943295E-2</v>
          </cell>
        </row>
      </sheetData>
      <sheetData sheetId="13705">
        <row r="1">
          <cell r="J1">
            <v>1.7453292519943295E-2</v>
          </cell>
        </row>
      </sheetData>
      <sheetData sheetId="13706">
        <row r="1">
          <cell r="J1">
            <v>1.7453292519943295E-2</v>
          </cell>
        </row>
      </sheetData>
      <sheetData sheetId="13707">
        <row r="1">
          <cell r="J1">
            <v>1.7453292519943295E-2</v>
          </cell>
        </row>
      </sheetData>
      <sheetData sheetId="13708">
        <row r="1">
          <cell r="J1">
            <v>1.7453292519943295E-2</v>
          </cell>
        </row>
      </sheetData>
      <sheetData sheetId="13709">
        <row r="1">
          <cell r="J1">
            <v>1.7453292519943295E-2</v>
          </cell>
        </row>
      </sheetData>
      <sheetData sheetId="13710">
        <row r="1">
          <cell r="J1">
            <v>1.7453292519943295E-2</v>
          </cell>
        </row>
      </sheetData>
      <sheetData sheetId="13711">
        <row r="1">
          <cell r="J1">
            <v>1.7453292519943295E-2</v>
          </cell>
        </row>
      </sheetData>
      <sheetData sheetId="13712">
        <row r="1">
          <cell r="J1">
            <v>1.7453292519943295E-2</v>
          </cell>
        </row>
      </sheetData>
      <sheetData sheetId="13713">
        <row r="1">
          <cell r="J1">
            <v>1.7453292519943295E-2</v>
          </cell>
        </row>
      </sheetData>
      <sheetData sheetId="13714">
        <row r="1">
          <cell r="J1">
            <v>1.7453292519943295E-2</v>
          </cell>
        </row>
      </sheetData>
      <sheetData sheetId="13715">
        <row r="1">
          <cell r="J1">
            <v>1.7453292519943295E-2</v>
          </cell>
        </row>
      </sheetData>
      <sheetData sheetId="13716">
        <row r="1">
          <cell r="J1">
            <v>1.7453292519943295E-2</v>
          </cell>
        </row>
      </sheetData>
      <sheetData sheetId="13717">
        <row r="1">
          <cell r="J1">
            <v>1.7453292519943295E-2</v>
          </cell>
        </row>
      </sheetData>
      <sheetData sheetId="13718">
        <row r="1">
          <cell r="J1">
            <v>1.7453292519943295E-2</v>
          </cell>
        </row>
      </sheetData>
      <sheetData sheetId="13719">
        <row r="1">
          <cell r="J1">
            <v>1.7453292519943295E-2</v>
          </cell>
        </row>
      </sheetData>
      <sheetData sheetId="13720">
        <row r="1">
          <cell r="J1">
            <v>1.7453292519943295E-2</v>
          </cell>
        </row>
      </sheetData>
      <sheetData sheetId="13721">
        <row r="1">
          <cell r="J1">
            <v>1.7453292519943295E-2</v>
          </cell>
        </row>
      </sheetData>
      <sheetData sheetId="13722">
        <row r="1">
          <cell r="J1">
            <v>1.7453292519943295E-2</v>
          </cell>
        </row>
      </sheetData>
      <sheetData sheetId="13723">
        <row r="1">
          <cell r="J1">
            <v>1.7453292519943295E-2</v>
          </cell>
        </row>
      </sheetData>
      <sheetData sheetId="13724">
        <row r="1">
          <cell r="J1">
            <v>1.7453292519943295E-2</v>
          </cell>
        </row>
      </sheetData>
      <sheetData sheetId="13725">
        <row r="1">
          <cell r="J1">
            <v>1.7453292519943295E-2</v>
          </cell>
        </row>
      </sheetData>
      <sheetData sheetId="13726">
        <row r="1">
          <cell r="J1">
            <v>1.7453292519943295E-2</v>
          </cell>
        </row>
      </sheetData>
      <sheetData sheetId="13727">
        <row r="1">
          <cell r="J1">
            <v>1.7453292519943295E-2</v>
          </cell>
        </row>
      </sheetData>
      <sheetData sheetId="13728">
        <row r="1">
          <cell r="J1">
            <v>1.7453292519943295E-2</v>
          </cell>
        </row>
      </sheetData>
      <sheetData sheetId="13729">
        <row r="1">
          <cell r="J1">
            <v>1.7453292519943295E-2</v>
          </cell>
        </row>
      </sheetData>
      <sheetData sheetId="13730">
        <row r="1">
          <cell r="J1">
            <v>1.7453292519943295E-2</v>
          </cell>
        </row>
      </sheetData>
      <sheetData sheetId="13731">
        <row r="1">
          <cell r="J1">
            <v>1.7453292519943295E-2</v>
          </cell>
        </row>
      </sheetData>
      <sheetData sheetId="13732">
        <row r="1">
          <cell r="J1">
            <v>1.7453292519943295E-2</v>
          </cell>
        </row>
      </sheetData>
      <sheetData sheetId="13733">
        <row r="1">
          <cell r="J1">
            <v>1.7453292519943295E-2</v>
          </cell>
        </row>
      </sheetData>
      <sheetData sheetId="13734">
        <row r="1">
          <cell r="J1">
            <v>1.7453292519943295E-2</v>
          </cell>
        </row>
      </sheetData>
      <sheetData sheetId="13735">
        <row r="1">
          <cell r="J1">
            <v>1.7453292519943295E-2</v>
          </cell>
        </row>
      </sheetData>
      <sheetData sheetId="13736">
        <row r="1">
          <cell r="J1">
            <v>1.7453292519943295E-2</v>
          </cell>
        </row>
      </sheetData>
      <sheetData sheetId="13737">
        <row r="1">
          <cell r="J1">
            <v>1.7453292519943295E-2</v>
          </cell>
        </row>
      </sheetData>
      <sheetData sheetId="13738">
        <row r="1">
          <cell r="J1">
            <v>1.7453292519943295E-2</v>
          </cell>
        </row>
      </sheetData>
      <sheetData sheetId="13739">
        <row r="1">
          <cell r="J1">
            <v>1.7453292519943295E-2</v>
          </cell>
        </row>
      </sheetData>
      <sheetData sheetId="13740">
        <row r="1">
          <cell r="J1">
            <v>1.7453292519943295E-2</v>
          </cell>
        </row>
      </sheetData>
      <sheetData sheetId="13741">
        <row r="1">
          <cell r="J1">
            <v>1.7453292519943295E-2</v>
          </cell>
        </row>
      </sheetData>
      <sheetData sheetId="13742">
        <row r="1">
          <cell r="J1">
            <v>1.7453292519943295E-2</v>
          </cell>
        </row>
      </sheetData>
      <sheetData sheetId="13743">
        <row r="1">
          <cell r="J1">
            <v>1.7453292519943295E-2</v>
          </cell>
        </row>
      </sheetData>
      <sheetData sheetId="13744">
        <row r="1">
          <cell r="J1">
            <v>1.7453292519943295E-2</v>
          </cell>
        </row>
      </sheetData>
      <sheetData sheetId="13745">
        <row r="1">
          <cell r="J1">
            <v>1.7453292519943295E-2</v>
          </cell>
        </row>
      </sheetData>
      <sheetData sheetId="13746">
        <row r="1">
          <cell r="J1">
            <v>1.7453292519943295E-2</v>
          </cell>
        </row>
      </sheetData>
      <sheetData sheetId="13747">
        <row r="1">
          <cell r="J1">
            <v>1.7453292519943295E-2</v>
          </cell>
        </row>
      </sheetData>
      <sheetData sheetId="13748">
        <row r="1">
          <cell r="J1">
            <v>1.7453292519943295E-2</v>
          </cell>
        </row>
      </sheetData>
      <sheetData sheetId="13749">
        <row r="1">
          <cell r="J1">
            <v>1.7453292519943295E-2</v>
          </cell>
        </row>
      </sheetData>
      <sheetData sheetId="13750">
        <row r="1">
          <cell r="J1">
            <v>1.7453292519943295E-2</v>
          </cell>
        </row>
      </sheetData>
      <sheetData sheetId="13751">
        <row r="1">
          <cell r="J1">
            <v>1.7453292519943295E-2</v>
          </cell>
        </row>
      </sheetData>
      <sheetData sheetId="13752">
        <row r="1">
          <cell r="J1">
            <v>1.7453292519943295E-2</v>
          </cell>
        </row>
      </sheetData>
      <sheetData sheetId="13753">
        <row r="1">
          <cell r="J1">
            <v>1.7453292519943295E-2</v>
          </cell>
        </row>
      </sheetData>
      <sheetData sheetId="13754">
        <row r="1">
          <cell r="J1">
            <v>1.7453292519943295E-2</v>
          </cell>
        </row>
      </sheetData>
      <sheetData sheetId="13755">
        <row r="1">
          <cell r="J1">
            <v>1.7453292519943295E-2</v>
          </cell>
        </row>
      </sheetData>
      <sheetData sheetId="13756">
        <row r="1">
          <cell r="J1">
            <v>1.7453292519943295E-2</v>
          </cell>
        </row>
      </sheetData>
      <sheetData sheetId="13757">
        <row r="1">
          <cell r="J1">
            <v>1.7453292519943295E-2</v>
          </cell>
        </row>
      </sheetData>
      <sheetData sheetId="13758">
        <row r="1">
          <cell r="J1">
            <v>1.7453292519943295E-2</v>
          </cell>
        </row>
      </sheetData>
      <sheetData sheetId="13759">
        <row r="1">
          <cell r="J1">
            <v>1.7453292519943295E-2</v>
          </cell>
        </row>
      </sheetData>
      <sheetData sheetId="13760">
        <row r="1">
          <cell r="J1">
            <v>1.7453292519943295E-2</v>
          </cell>
        </row>
      </sheetData>
      <sheetData sheetId="13761">
        <row r="1">
          <cell r="J1">
            <v>1.7453292519943295E-2</v>
          </cell>
        </row>
      </sheetData>
      <sheetData sheetId="13762">
        <row r="1">
          <cell r="J1">
            <v>1.7453292519943295E-2</v>
          </cell>
        </row>
      </sheetData>
      <sheetData sheetId="13763">
        <row r="1">
          <cell r="J1">
            <v>1.7453292519943295E-2</v>
          </cell>
        </row>
      </sheetData>
      <sheetData sheetId="13764">
        <row r="1">
          <cell r="J1">
            <v>1.7453292519943295E-2</v>
          </cell>
        </row>
      </sheetData>
      <sheetData sheetId="13765">
        <row r="1">
          <cell r="J1">
            <v>1.7453292519943295E-2</v>
          </cell>
        </row>
      </sheetData>
      <sheetData sheetId="13766">
        <row r="1">
          <cell r="J1">
            <v>1.7453292519943295E-2</v>
          </cell>
        </row>
      </sheetData>
      <sheetData sheetId="13767">
        <row r="1">
          <cell r="J1">
            <v>1.7453292519943295E-2</v>
          </cell>
        </row>
      </sheetData>
      <sheetData sheetId="13768">
        <row r="1">
          <cell r="J1">
            <v>1.7453292519943295E-2</v>
          </cell>
        </row>
      </sheetData>
      <sheetData sheetId="13769">
        <row r="1">
          <cell r="J1">
            <v>1.7453292519943295E-2</v>
          </cell>
        </row>
      </sheetData>
      <sheetData sheetId="13770">
        <row r="1">
          <cell r="J1">
            <v>1.7453292519943295E-2</v>
          </cell>
        </row>
      </sheetData>
      <sheetData sheetId="13771">
        <row r="1">
          <cell r="J1">
            <v>1.7453292519943295E-2</v>
          </cell>
        </row>
      </sheetData>
      <sheetData sheetId="13772">
        <row r="1">
          <cell r="J1">
            <v>1.7453292519943295E-2</v>
          </cell>
        </row>
      </sheetData>
      <sheetData sheetId="13773">
        <row r="1">
          <cell r="J1">
            <v>1.7453292519943295E-2</v>
          </cell>
        </row>
      </sheetData>
      <sheetData sheetId="13774">
        <row r="1">
          <cell r="J1">
            <v>1.7453292519943295E-2</v>
          </cell>
        </row>
      </sheetData>
      <sheetData sheetId="13775">
        <row r="1">
          <cell r="J1">
            <v>1.7453292519943295E-2</v>
          </cell>
        </row>
      </sheetData>
      <sheetData sheetId="13776">
        <row r="1">
          <cell r="J1">
            <v>1.7453292519943295E-2</v>
          </cell>
        </row>
      </sheetData>
      <sheetData sheetId="13777">
        <row r="1">
          <cell r="J1">
            <v>1.7453292519943295E-2</v>
          </cell>
        </row>
      </sheetData>
      <sheetData sheetId="13778">
        <row r="1">
          <cell r="J1">
            <v>1.7453292519943295E-2</v>
          </cell>
        </row>
      </sheetData>
      <sheetData sheetId="13779">
        <row r="1">
          <cell r="J1">
            <v>1.7453292519943295E-2</v>
          </cell>
        </row>
      </sheetData>
      <sheetData sheetId="13780">
        <row r="1">
          <cell r="J1">
            <v>1.7453292519943295E-2</v>
          </cell>
        </row>
      </sheetData>
      <sheetData sheetId="13781">
        <row r="1">
          <cell r="J1">
            <v>1.7453292519943295E-2</v>
          </cell>
        </row>
      </sheetData>
      <sheetData sheetId="13782">
        <row r="1">
          <cell r="J1">
            <v>1.7453292519943295E-2</v>
          </cell>
        </row>
      </sheetData>
      <sheetData sheetId="13783">
        <row r="1">
          <cell r="J1">
            <v>1.7453292519943295E-2</v>
          </cell>
        </row>
      </sheetData>
      <sheetData sheetId="13784">
        <row r="1">
          <cell r="J1">
            <v>1.7453292519943295E-2</v>
          </cell>
        </row>
      </sheetData>
      <sheetData sheetId="13785">
        <row r="1">
          <cell r="J1">
            <v>1.7453292519943295E-2</v>
          </cell>
        </row>
      </sheetData>
      <sheetData sheetId="13786">
        <row r="1">
          <cell r="J1">
            <v>1.7453292519943295E-2</v>
          </cell>
        </row>
      </sheetData>
      <sheetData sheetId="13787">
        <row r="1">
          <cell r="J1">
            <v>1.7453292519943295E-2</v>
          </cell>
        </row>
      </sheetData>
      <sheetData sheetId="13788">
        <row r="1">
          <cell r="J1">
            <v>1.7453292519943295E-2</v>
          </cell>
        </row>
      </sheetData>
      <sheetData sheetId="13789">
        <row r="1">
          <cell r="J1">
            <v>1.7453292519943295E-2</v>
          </cell>
        </row>
      </sheetData>
      <sheetData sheetId="13790">
        <row r="1">
          <cell r="J1">
            <v>1.7453292519943295E-2</v>
          </cell>
        </row>
      </sheetData>
      <sheetData sheetId="13791">
        <row r="1">
          <cell r="J1">
            <v>1.7453292519943295E-2</v>
          </cell>
        </row>
      </sheetData>
      <sheetData sheetId="13792">
        <row r="1">
          <cell r="J1">
            <v>1.7453292519943295E-2</v>
          </cell>
        </row>
      </sheetData>
      <sheetData sheetId="13793">
        <row r="1">
          <cell r="J1">
            <v>1.7453292519943295E-2</v>
          </cell>
        </row>
      </sheetData>
      <sheetData sheetId="13794">
        <row r="1">
          <cell r="J1">
            <v>1.7453292519943295E-2</v>
          </cell>
        </row>
      </sheetData>
      <sheetData sheetId="13795">
        <row r="1">
          <cell r="J1">
            <v>1.7453292519943295E-2</v>
          </cell>
        </row>
      </sheetData>
      <sheetData sheetId="13796">
        <row r="1">
          <cell r="J1">
            <v>1.7453292519943295E-2</v>
          </cell>
        </row>
      </sheetData>
      <sheetData sheetId="13797">
        <row r="1">
          <cell r="J1">
            <v>1.7453292519943295E-2</v>
          </cell>
        </row>
      </sheetData>
      <sheetData sheetId="13798">
        <row r="1">
          <cell r="J1">
            <v>1.7453292519943295E-2</v>
          </cell>
        </row>
      </sheetData>
      <sheetData sheetId="13799">
        <row r="1">
          <cell r="J1">
            <v>1.7453292519943295E-2</v>
          </cell>
        </row>
      </sheetData>
      <sheetData sheetId="13800">
        <row r="1">
          <cell r="J1">
            <v>1.7453292519943295E-2</v>
          </cell>
        </row>
      </sheetData>
      <sheetData sheetId="13801">
        <row r="1">
          <cell r="J1">
            <v>1.7453292519943295E-2</v>
          </cell>
        </row>
      </sheetData>
      <sheetData sheetId="13802">
        <row r="1">
          <cell r="J1">
            <v>1.7453292519943295E-2</v>
          </cell>
        </row>
      </sheetData>
      <sheetData sheetId="13803">
        <row r="1">
          <cell r="J1">
            <v>1.7453292519943295E-2</v>
          </cell>
        </row>
      </sheetData>
      <sheetData sheetId="13804">
        <row r="1">
          <cell r="J1">
            <v>1.7453292519943295E-2</v>
          </cell>
        </row>
      </sheetData>
      <sheetData sheetId="13805">
        <row r="1">
          <cell r="J1">
            <v>1.7453292519943295E-2</v>
          </cell>
        </row>
      </sheetData>
      <sheetData sheetId="13806">
        <row r="1">
          <cell r="J1">
            <v>1.7453292519943295E-2</v>
          </cell>
        </row>
      </sheetData>
      <sheetData sheetId="13807">
        <row r="1">
          <cell r="J1">
            <v>1.7453292519943295E-2</v>
          </cell>
        </row>
      </sheetData>
      <sheetData sheetId="13808">
        <row r="1">
          <cell r="J1">
            <v>1.7453292519943295E-2</v>
          </cell>
        </row>
      </sheetData>
      <sheetData sheetId="13809">
        <row r="1">
          <cell r="J1">
            <v>1.7453292519943295E-2</v>
          </cell>
        </row>
      </sheetData>
      <sheetData sheetId="13810">
        <row r="1">
          <cell r="J1">
            <v>1.7453292519943295E-2</v>
          </cell>
        </row>
      </sheetData>
      <sheetData sheetId="13811">
        <row r="1">
          <cell r="J1">
            <v>1.7453292519943295E-2</v>
          </cell>
        </row>
      </sheetData>
      <sheetData sheetId="13812">
        <row r="1">
          <cell r="J1">
            <v>1.7453292519943295E-2</v>
          </cell>
        </row>
      </sheetData>
      <sheetData sheetId="13813">
        <row r="1">
          <cell r="J1">
            <v>1.7453292519943295E-2</v>
          </cell>
        </row>
      </sheetData>
      <sheetData sheetId="13814">
        <row r="1">
          <cell r="J1">
            <v>1.7453292519943295E-2</v>
          </cell>
        </row>
      </sheetData>
      <sheetData sheetId="13815">
        <row r="1">
          <cell r="J1">
            <v>1.7453292519943295E-2</v>
          </cell>
        </row>
      </sheetData>
      <sheetData sheetId="13816">
        <row r="1">
          <cell r="J1">
            <v>1.7453292519943295E-2</v>
          </cell>
        </row>
      </sheetData>
      <sheetData sheetId="13817">
        <row r="1">
          <cell r="J1">
            <v>1.7453292519943295E-2</v>
          </cell>
        </row>
      </sheetData>
      <sheetData sheetId="13818">
        <row r="1">
          <cell r="J1">
            <v>1.7453292519943295E-2</v>
          </cell>
        </row>
      </sheetData>
      <sheetData sheetId="13819">
        <row r="1">
          <cell r="J1">
            <v>1.7453292519943295E-2</v>
          </cell>
        </row>
      </sheetData>
      <sheetData sheetId="13820">
        <row r="1">
          <cell r="J1">
            <v>1.7453292519943295E-2</v>
          </cell>
        </row>
      </sheetData>
      <sheetData sheetId="13821">
        <row r="1">
          <cell r="J1">
            <v>1.7453292519943295E-2</v>
          </cell>
        </row>
      </sheetData>
      <sheetData sheetId="13822">
        <row r="1">
          <cell r="J1">
            <v>1.7453292519943295E-2</v>
          </cell>
        </row>
      </sheetData>
      <sheetData sheetId="13823">
        <row r="1">
          <cell r="J1">
            <v>1.7453292519943295E-2</v>
          </cell>
        </row>
      </sheetData>
      <sheetData sheetId="13824">
        <row r="1">
          <cell r="J1">
            <v>1.7453292519943295E-2</v>
          </cell>
        </row>
      </sheetData>
      <sheetData sheetId="13825">
        <row r="1">
          <cell r="J1">
            <v>1.7453292519943295E-2</v>
          </cell>
        </row>
      </sheetData>
      <sheetData sheetId="13826">
        <row r="1">
          <cell r="J1">
            <v>1.7453292519943295E-2</v>
          </cell>
        </row>
      </sheetData>
      <sheetData sheetId="13827">
        <row r="1">
          <cell r="J1">
            <v>1.7453292519943295E-2</v>
          </cell>
        </row>
      </sheetData>
      <sheetData sheetId="13828">
        <row r="1">
          <cell r="J1">
            <v>1.7453292519943295E-2</v>
          </cell>
        </row>
      </sheetData>
      <sheetData sheetId="13829">
        <row r="1">
          <cell r="J1">
            <v>1.7453292519943295E-2</v>
          </cell>
        </row>
      </sheetData>
      <sheetData sheetId="13830">
        <row r="1">
          <cell r="J1">
            <v>1.7453292519943295E-2</v>
          </cell>
        </row>
      </sheetData>
      <sheetData sheetId="13831">
        <row r="1">
          <cell r="J1">
            <v>1.7453292519943295E-2</v>
          </cell>
        </row>
      </sheetData>
      <sheetData sheetId="13832">
        <row r="1">
          <cell r="J1">
            <v>1.7453292519943295E-2</v>
          </cell>
        </row>
      </sheetData>
      <sheetData sheetId="13833">
        <row r="1">
          <cell r="J1">
            <v>1.7453292519943295E-2</v>
          </cell>
        </row>
      </sheetData>
      <sheetData sheetId="13834">
        <row r="1">
          <cell r="J1">
            <v>1.7453292519943295E-2</v>
          </cell>
        </row>
      </sheetData>
      <sheetData sheetId="13835">
        <row r="1">
          <cell r="J1">
            <v>1.7453292519943295E-2</v>
          </cell>
        </row>
      </sheetData>
      <sheetData sheetId="13836">
        <row r="1">
          <cell r="J1">
            <v>1.7453292519943295E-2</v>
          </cell>
        </row>
      </sheetData>
      <sheetData sheetId="13837">
        <row r="1">
          <cell r="J1">
            <v>1.7453292519943295E-2</v>
          </cell>
        </row>
      </sheetData>
      <sheetData sheetId="13838">
        <row r="1">
          <cell r="J1">
            <v>1.7453292519943295E-2</v>
          </cell>
        </row>
      </sheetData>
      <sheetData sheetId="13839">
        <row r="1">
          <cell r="J1">
            <v>1.7453292519943295E-2</v>
          </cell>
        </row>
      </sheetData>
      <sheetData sheetId="13840">
        <row r="1">
          <cell r="J1">
            <v>1.7453292519943295E-2</v>
          </cell>
        </row>
      </sheetData>
      <sheetData sheetId="13841">
        <row r="1">
          <cell r="J1">
            <v>1.7453292519943295E-2</v>
          </cell>
        </row>
      </sheetData>
      <sheetData sheetId="13842">
        <row r="1">
          <cell r="J1">
            <v>1.7453292519943295E-2</v>
          </cell>
        </row>
      </sheetData>
      <sheetData sheetId="13843">
        <row r="1">
          <cell r="J1">
            <v>1.7453292519943295E-2</v>
          </cell>
        </row>
      </sheetData>
      <sheetData sheetId="13844">
        <row r="1">
          <cell r="J1">
            <v>1.7453292519943295E-2</v>
          </cell>
        </row>
      </sheetData>
      <sheetData sheetId="13845">
        <row r="1">
          <cell r="J1">
            <v>1.7453292519943295E-2</v>
          </cell>
        </row>
      </sheetData>
      <sheetData sheetId="13846">
        <row r="1">
          <cell r="J1">
            <v>1.7453292519943295E-2</v>
          </cell>
        </row>
      </sheetData>
      <sheetData sheetId="13847">
        <row r="1">
          <cell r="J1">
            <v>1.7453292519943295E-2</v>
          </cell>
        </row>
      </sheetData>
      <sheetData sheetId="13848">
        <row r="1">
          <cell r="J1">
            <v>1.7453292519943295E-2</v>
          </cell>
        </row>
      </sheetData>
      <sheetData sheetId="13849">
        <row r="1">
          <cell r="J1">
            <v>1.7453292519943295E-2</v>
          </cell>
        </row>
      </sheetData>
      <sheetData sheetId="13850">
        <row r="1">
          <cell r="J1">
            <v>1.7453292519943295E-2</v>
          </cell>
        </row>
      </sheetData>
      <sheetData sheetId="13851">
        <row r="1">
          <cell r="J1">
            <v>1.7453292519943295E-2</v>
          </cell>
        </row>
      </sheetData>
      <sheetData sheetId="13852">
        <row r="1">
          <cell r="J1">
            <v>1.7453292519943295E-2</v>
          </cell>
        </row>
      </sheetData>
      <sheetData sheetId="13853">
        <row r="1">
          <cell r="J1">
            <v>1.7453292519943295E-2</v>
          </cell>
        </row>
      </sheetData>
      <sheetData sheetId="13854">
        <row r="1">
          <cell r="J1">
            <v>1.7453292519943295E-2</v>
          </cell>
        </row>
      </sheetData>
      <sheetData sheetId="13855">
        <row r="1">
          <cell r="J1">
            <v>1.7453292519943295E-2</v>
          </cell>
        </row>
      </sheetData>
      <sheetData sheetId="13856">
        <row r="1">
          <cell r="J1">
            <v>1.7453292519943295E-2</v>
          </cell>
        </row>
      </sheetData>
      <sheetData sheetId="13857">
        <row r="1">
          <cell r="J1">
            <v>1.7453292519943295E-2</v>
          </cell>
        </row>
      </sheetData>
      <sheetData sheetId="13858">
        <row r="1">
          <cell r="J1">
            <v>1.7453292519943295E-2</v>
          </cell>
        </row>
      </sheetData>
      <sheetData sheetId="13859">
        <row r="1">
          <cell r="J1">
            <v>1.7453292519943295E-2</v>
          </cell>
        </row>
      </sheetData>
      <sheetData sheetId="13860">
        <row r="1">
          <cell r="J1">
            <v>1.7453292519943295E-2</v>
          </cell>
        </row>
      </sheetData>
      <sheetData sheetId="13861">
        <row r="1">
          <cell r="J1">
            <v>1.7453292519943295E-2</v>
          </cell>
        </row>
      </sheetData>
      <sheetData sheetId="13862">
        <row r="1">
          <cell r="J1">
            <v>1.7453292519943295E-2</v>
          </cell>
        </row>
      </sheetData>
      <sheetData sheetId="13863">
        <row r="1">
          <cell r="J1">
            <v>1.7453292519943295E-2</v>
          </cell>
        </row>
      </sheetData>
      <sheetData sheetId="13864">
        <row r="1">
          <cell r="J1">
            <v>1.7453292519943295E-2</v>
          </cell>
        </row>
      </sheetData>
      <sheetData sheetId="13865">
        <row r="1">
          <cell r="J1">
            <v>1.7453292519943295E-2</v>
          </cell>
        </row>
      </sheetData>
      <sheetData sheetId="13866">
        <row r="1">
          <cell r="J1">
            <v>1.7453292519943295E-2</v>
          </cell>
        </row>
      </sheetData>
      <sheetData sheetId="13867">
        <row r="1">
          <cell r="J1">
            <v>1.7453292519943295E-2</v>
          </cell>
        </row>
      </sheetData>
      <sheetData sheetId="13868">
        <row r="1">
          <cell r="J1">
            <v>1.7453292519943295E-2</v>
          </cell>
        </row>
      </sheetData>
      <sheetData sheetId="13869">
        <row r="1">
          <cell r="J1">
            <v>1.7453292519943295E-2</v>
          </cell>
        </row>
      </sheetData>
      <sheetData sheetId="13870">
        <row r="1">
          <cell r="J1">
            <v>1.7453292519943295E-2</v>
          </cell>
        </row>
      </sheetData>
      <sheetData sheetId="13871">
        <row r="1">
          <cell r="J1">
            <v>1.7453292519943295E-2</v>
          </cell>
        </row>
      </sheetData>
      <sheetData sheetId="13872">
        <row r="1">
          <cell r="J1">
            <v>1.7453292519943295E-2</v>
          </cell>
        </row>
      </sheetData>
      <sheetData sheetId="13873">
        <row r="1">
          <cell r="J1">
            <v>1.7453292519943295E-2</v>
          </cell>
        </row>
      </sheetData>
      <sheetData sheetId="13874">
        <row r="1">
          <cell r="J1">
            <v>1.7453292519943295E-2</v>
          </cell>
        </row>
      </sheetData>
      <sheetData sheetId="13875">
        <row r="1">
          <cell r="J1">
            <v>1.7453292519943295E-2</v>
          </cell>
        </row>
      </sheetData>
      <sheetData sheetId="13876">
        <row r="1">
          <cell r="J1">
            <v>1.7453292519943295E-2</v>
          </cell>
        </row>
      </sheetData>
      <sheetData sheetId="13877">
        <row r="1">
          <cell r="J1">
            <v>1.7453292519943295E-2</v>
          </cell>
        </row>
      </sheetData>
      <sheetData sheetId="13878">
        <row r="1">
          <cell r="J1">
            <v>1.7453292519943295E-2</v>
          </cell>
        </row>
      </sheetData>
      <sheetData sheetId="13879">
        <row r="1">
          <cell r="J1">
            <v>1.7453292519943295E-2</v>
          </cell>
        </row>
      </sheetData>
      <sheetData sheetId="13880">
        <row r="1">
          <cell r="J1">
            <v>1.7453292519943295E-2</v>
          </cell>
        </row>
      </sheetData>
      <sheetData sheetId="13881">
        <row r="1">
          <cell r="J1">
            <v>1.7453292519943295E-2</v>
          </cell>
        </row>
      </sheetData>
      <sheetData sheetId="13882">
        <row r="1">
          <cell r="J1">
            <v>1.7453292519943295E-2</v>
          </cell>
        </row>
      </sheetData>
      <sheetData sheetId="13883">
        <row r="1">
          <cell r="J1">
            <v>1.7453292519943295E-2</v>
          </cell>
        </row>
      </sheetData>
      <sheetData sheetId="13884">
        <row r="1">
          <cell r="J1">
            <v>1.7453292519943295E-2</v>
          </cell>
        </row>
      </sheetData>
      <sheetData sheetId="13885">
        <row r="1">
          <cell r="J1">
            <v>1.7453292519943295E-2</v>
          </cell>
        </row>
      </sheetData>
      <sheetData sheetId="13886">
        <row r="1">
          <cell r="J1">
            <v>1.7453292519943295E-2</v>
          </cell>
        </row>
      </sheetData>
      <sheetData sheetId="13887">
        <row r="1">
          <cell r="J1">
            <v>1.7453292519943295E-2</v>
          </cell>
        </row>
      </sheetData>
      <sheetData sheetId="13888">
        <row r="1">
          <cell r="J1">
            <v>1.7453292519943295E-2</v>
          </cell>
        </row>
      </sheetData>
      <sheetData sheetId="13889">
        <row r="1">
          <cell r="J1">
            <v>1.7453292519943295E-2</v>
          </cell>
        </row>
      </sheetData>
      <sheetData sheetId="13890">
        <row r="1">
          <cell r="J1">
            <v>1.7453292519943295E-2</v>
          </cell>
        </row>
      </sheetData>
      <sheetData sheetId="13891">
        <row r="1">
          <cell r="J1">
            <v>1.7453292519943295E-2</v>
          </cell>
        </row>
      </sheetData>
      <sheetData sheetId="13892">
        <row r="1">
          <cell r="J1">
            <v>1.7453292519943295E-2</v>
          </cell>
        </row>
      </sheetData>
      <sheetData sheetId="13893">
        <row r="1">
          <cell r="J1">
            <v>1.7453292519943295E-2</v>
          </cell>
        </row>
      </sheetData>
      <sheetData sheetId="13894">
        <row r="1">
          <cell r="J1">
            <v>1.7453292519943295E-2</v>
          </cell>
        </row>
      </sheetData>
      <sheetData sheetId="13895">
        <row r="1">
          <cell r="J1">
            <v>1.7453292519943295E-2</v>
          </cell>
        </row>
      </sheetData>
      <sheetData sheetId="13896">
        <row r="1">
          <cell r="J1">
            <v>1.7453292519943295E-2</v>
          </cell>
        </row>
      </sheetData>
      <sheetData sheetId="13897">
        <row r="1">
          <cell r="J1">
            <v>1.7453292519943295E-2</v>
          </cell>
        </row>
      </sheetData>
      <sheetData sheetId="13898">
        <row r="1">
          <cell r="J1">
            <v>1.7453292519943295E-2</v>
          </cell>
        </row>
      </sheetData>
      <sheetData sheetId="13899">
        <row r="1">
          <cell r="J1">
            <v>1.7453292519943295E-2</v>
          </cell>
        </row>
      </sheetData>
      <sheetData sheetId="13900">
        <row r="1">
          <cell r="J1">
            <v>1.7453292519943295E-2</v>
          </cell>
        </row>
      </sheetData>
      <sheetData sheetId="13901">
        <row r="1">
          <cell r="J1">
            <v>1.7453292519943295E-2</v>
          </cell>
        </row>
      </sheetData>
      <sheetData sheetId="13902">
        <row r="1">
          <cell r="J1">
            <v>1.7453292519943295E-2</v>
          </cell>
        </row>
      </sheetData>
      <sheetData sheetId="13903">
        <row r="1">
          <cell r="J1">
            <v>1.7453292519943295E-2</v>
          </cell>
        </row>
      </sheetData>
      <sheetData sheetId="13904">
        <row r="1">
          <cell r="J1">
            <v>1.7453292519943295E-2</v>
          </cell>
        </row>
      </sheetData>
      <sheetData sheetId="13905">
        <row r="1">
          <cell r="J1">
            <v>1.7453292519943295E-2</v>
          </cell>
        </row>
      </sheetData>
      <sheetData sheetId="13906">
        <row r="1">
          <cell r="J1">
            <v>1.7453292519943295E-2</v>
          </cell>
        </row>
      </sheetData>
      <sheetData sheetId="13907">
        <row r="1">
          <cell r="J1">
            <v>1.7453292519943295E-2</v>
          </cell>
        </row>
      </sheetData>
      <sheetData sheetId="13908">
        <row r="1">
          <cell r="J1">
            <v>1.7453292519943295E-2</v>
          </cell>
        </row>
      </sheetData>
      <sheetData sheetId="13909">
        <row r="1">
          <cell r="J1">
            <v>1.7453292519943295E-2</v>
          </cell>
        </row>
      </sheetData>
      <sheetData sheetId="13910">
        <row r="1">
          <cell r="J1">
            <v>1.7453292519943295E-2</v>
          </cell>
        </row>
      </sheetData>
      <sheetData sheetId="13911">
        <row r="1">
          <cell r="J1">
            <v>1.7453292519943295E-2</v>
          </cell>
        </row>
      </sheetData>
      <sheetData sheetId="13912">
        <row r="1">
          <cell r="J1">
            <v>1.7453292519943295E-2</v>
          </cell>
        </row>
      </sheetData>
      <sheetData sheetId="13913">
        <row r="1">
          <cell r="J1">
            <v>1.7453292519943295E-2</v>
          </cell>
        </row>
      </sheetData>
      <sheetData sheetId="13914">
        <row r="1">
          <cell r="J1">
            <v>1.7453292519943295E-2</v>
          </cell>
        </row>
      </sheetData>
      <sheetData sheetId="13915">
        <row r="1">
          <cell r="J1">
            <v>1.7453292519943295E-2</v>
          </cell>
        </row>
      </sheetData>
      <sheetData sheetId="13916">
        <row r="1">
          <cell r="J1">
            <v>1.7453292519943295E-2</v>
          </cell>
        </row>
      </sheetData>
      <sheetData sheetId="13917">
        <row r="1">
          <cell r="J1">
            <v>1.7453292519943295E-2</v>
          </cell>
        </row>
      </sheetData>
      <sheetData sheetId="13918">
        <row r="1">
          <cell r="J1">
            <v>1.7453292519943295E-2</v>
          </cell>
        </row>
      </sheetData>
      <sheetData sheetId="13919">
        <row r="1">
          <cell r="J1">
            <v>1.7453292519943295E-2</v>
          </cell>
        </row>
      </sheetData>
      <sheetData sheetId="13920">
        <row r="1">
          <cell r="J1">
            <v>1.7453292519943295E-2</v>
          </cell>
        </row>
      </sheetData>
      <sheetData sheetId="13921">
        <row r="1">
          <cell r="J1">
            <v>1.7453292519943295E-2</v>
          </cell>
        </row>
      </sheetData>
      <sheetData sheetId="13922">
        <row r="1">
          <cell r="J1">
            <v>1.7453292519943295E-2</v>
          </cell>
        </row>
      </sheetData>
      <sheetData sheetId="13923">
        <row r="1">
          <cell r="J1">
            <v>1.7453292519943295E-2</v>
          </cell>
        </row>
      </sheetData>
      <sheetData sheetId="13924">
        <row r="1">
          <cell r="J1">
            <v>1.7453292519943295E-2</v>
          </cell>
        </row>
      </sheetData>
      <sheetData sheetId="13925">
        <row r="1">
          <cell r="J1">
            <v>1.7453292519943295E-2</v>
          </cell>
        </row>
      </sheetData>
      <sheetData sheetId="13926">
        <row r="1">
          <cell r="J1">
            <v>1.7453292519943295E-2</v>
          </cell>
        </row>
      </sheetData>
      <sheetData sheetId="13927">
        <row r="1">
          <cell r="J1">
            <v>1.7453292519943295E-2</v>
          </cell>
        </row>
      </sheetData>
      <sheetData sheetId="13928">
        <row r="1">
          <cell r="J1">
            <v>1.7453292519943295E-2</v>
          </cell>
        </row>
      </sheetData>
      <sheetData sheetId="13929">
        <row r="1">
          <cell r="J1">
            <v>1.7453292519943295E-2</v>
          </cell>
        </row>
      </sheetData>
      <sheetData sheetId="13930">
        <row r="1">
          <cell r="J1">
            <v>1.7453292519943295E-2</v>
          </cell>
        </row>
      </sheetData>
      <sheetData sheetId="13931">
        <row r="1">
          <cell r="J1">
            <v>1.7453292519943295E-2</v>
          </cell>
        </row>
      </sheetData>
      <sheetData sheetId="13932">
        <row r="1">
          <cell r="J1">
            <v>1.7453292519943295E-2</v>
          </cell>
        </row>
      </sheetData>
      <sheetData sheetId="13933">
        <row r="1">
          <cell r="J1">
            <v>1.7453292519943295E-2</v>
          </cell>
        </row>
      </sheetData>
      <sheetData sheetId="13934">
        <row r="1">
          <cell r="J1">
            <v>1.7453292519943295E-2</v>
          </cell>
        </row>
      </sheetData>
      <sheetData sheetId="13935">
        <row r="1">
          <cell r="J1">
            <v>1.7453292519943295E-2</v>
          </cell>
        </row>
      </sheetData>
      <sheetData sheetId="13936">
        <row r="1">
          <cell r="J1">
            <v>1.7453292519943295E-2</v>
          </cell>
        </row>
      </sheetData>
      <sheetData sheetId="13937">
        <row r="1">
          <cell r="J1">
            <v>1.7453292519943295E-2</v>
          </cell>
        </row>
      </sheetData>
      <sheetData sheetId="13938">
        <row r="1">
          <cell r="J1">
            <v>1.7453292519943295E-2</v>
          </cell>
        </row>
      </sheetData>
      <sheetData sheetId="13939">
        <row r="1">
          <cell r="J1">
            <v>1.7453292519943295E-2</v>
          </cell>
        </row>
      </sheetData>
      <sheetData sheetId="13940">
        <row r="1">
          <cell r="J1">
            <v>1.7453292519943295E-2</v>
          </cell>
        </row>
      </sheetData>
      <sheetData sheetId="13941">
        <row r="1">
          <cell r="J1">
            <v>1.7453292519943295E-2</v>
          </cell>
        </row>
      </sheetData>
      <sheetData sheetId="13942">
        <row r="1">
          <cell r="J1">
            <v>1.7453292519943295E-2</v>
          </cell>
        </row>
      </sheetData>
      <sheetData sheetId="13943">
        <row r="1">
          <cell r="J1">
            <v>1.7453292519943295E-2</v>
          </cell>
        </row>
      </sheetData>
      <sheetData sheetId="13944">
        <row r="1">
          <cell r="J1">
            <v>1.7453292519943295E-2</v>
          </cell>
        </row>
      </sheetData>
      <sheetData sheetId="13945">
        <row r="1">
          <cell r="J1">
            <v>1.7453292519943295E-2</v>
          </cell>
        </row>
      </sheetData>
      <sheetData sheetId="13946">
        <row r="1">
          <cell r="J1">
            <v>1.7453292519943295E-2</v>
          </cell>
        </row>
      </sheetData>
      <sheetData sheetId="13947">
        <row r="1">
          <cell r="J1">
            <v>1.7453292519943295E-2</v>
          </cell>
        </row>
      </sheetData>
      <sheetData sheetId="13948">
        <row r="1">
          <cell r="J1">
            <v>1.7453292519943295E-2</v>
          </cell>
        </row>
      </sheetData>
      <sheetData sheetId="13949">
        <row r="1">
          <cell r="J1">
            <v>1.7453292519943295E-2</v>
          </cell>
        </row>
      </sheetData>
      <sheetData sheetId="13950">
        <row r="1">
          <cell r="J1">
            <v>1.7453292519943295E-2</v>
          </cell>
        </row>
      </sheetData>
      <sheetData sheetId="13951">
        <row r="1">
          <cell r="J1">
            <v>1.7453292519943295E-2</v>
          </cell>
        </row>
      </sheetData>
      <sheetData sheetId="13952">
        <row r="1">
          <cell r="J1">
            <v>1.7453292519943295E-2</v>
          </cell>
        </row>
      </sheetData>
      <sheetData sheetId="13953">
        <row r="1">
          <cell r="J1">
            <v>1.7453292519943295E-2</v>
          </cell>
        </row>
      </sheetData>
      <sheetData sheetId="13954">
        <row r="1">
          <cell r="J1">
            <v>1.7453292519943295E-2</v>
          </cell>
        </row>
      </sheetData>
      <sheetData sheetId="13955">
        <row r="1">
          <cell r="J1">
            <v>1.7453292519943295E-2</v>
          </cell>
        </row>
      </sheetData>
      <sheetData sheetId="13956">
        <row r="1">
          <cell r="J1">
            <v>1.7453292519943295E-2</v>
          </cell>
        </row>
      </sheetData>
      <sheetData sheetId="13957">
        <row r="1">
          <cell r="J1">
            <v>1.7453292519943295E-2</v>
          </cell>
        </row>
      </sheetData>
      <sheetData sheetId="13958">
        <row r="1">
          <cell r="J1">
            <v>1.7453292519943295E-2</v>
          </cell>
        </row>
      </sheetData>
      <sheetData sheetId="13959">
        <row r="1">
          <cell r="J1">
            <v>1.7453292519943295E-2</v>
          </cell>
        </row>
      </sheetData>
      <sheetData sheetId="13960">
        <row r="1">
          <cell r="J1">
            <v>1.7453292519943295E-2</v>
          </cell>
        </row>
      </sheetData>
      <sheetData sheetId="13961">
        <row r="1">
          <cell r="J1">
            <v>1.7453292519943295E-2</v>
          </cell>
        </row>
      </sheetData>
      <sheetData sheetId="13962">
        <row r="1">
          <cell r="J1">
            <v>1.7453292519943295E-2</v>
          </cell>
        </row>
      </sheetData>
      <sheetData sheetId="13963">
        <row r="1">
          <cell r="J1">
            <v>1.7453292519943295E-2</v>
          </cell>
        </row>
      </sheetData>
      <sheetData sheetId="13964">
        <row r="1">
          <cell r="J1">
            <v>1.7453292519943295E-2</v>
          </cell>
        </row>
      </sheetData>
      <sheetData sheetId="13965">
        <row r="1">
          <cell r="J1">
            <v>1.7453292519943295E-2</v>
          </cell>
        </row>
      </sheetData>
      <sheetData sheetId="13966">
        <row r="1">
          <cell r="J1">
            <v>1.7453292519943295E-2</v>
          </cell>
        </row>
      </sheetData>
      <sheetData sheetId="13967">
        <row r="1">
          <cell r="J1">
            <v>1.7453292519943295E-2</v>
          </cell>
        </row>
      </sheetData>
      <sheetData sheetId="13968">
        <row r="1">
          <cell r="J1">
            <v>1.7453292519943295E-2</v>
          </cell>
        </row>
      </sheetData>
      <sheetData sheetId="13969">
        <row r="1">
          <cell r="J1">
            <v>1.7453292519943295E-2</v>
          </cell>
        </row>
      </sheetData>
      <sheetData sheetId="13970">
        <row r="1">
          <cell r="J1">
            <v>1.7453292519943295E-2</v>
          </cell>
        </row>
      </sheetData>
      <sheetData sheetId="13971">
        <row r="1">
          <cell r="J1">
            <v>1.7453292519943295E-2</v>
          </cell>
        </row>
      </sheetData>
      <sheetData sheetId="13972">
        <row r="1">
          <cell r="J1">
            <v>1.7453292519943295E-2</v>
          </cell>
        </row>
      </sheetData>
      <sheetData sheetId="13973">
        <row r="1">
          <cell r="J1">
            <v>1.7453292519943295E-2</v>
          </cell>
        </row>
      </sheetData>
      <sheetData sheetId="13974">
        <row r="1">
          <cell r="J1">
            <v>1.7453292519943295E-2</v>
          </cell>
        </row>
      </sheetData>
      <sheetData sheetId="13975">
        <row r="1">
          <cell r="J1">
            <v>1.7453292519943295E-2</v>
          </cell>
        </row>
      </sheetData>
      <sheetData sheetId="13976">
        <row r="1">
          <cell r="J1">
            <v>1.7453292519943295E-2</v>
          </cell>
        </row>
      </sheetData>
      <sheetData sheetId="13977">
        <row r="1">
          <cell r="J1">
            <v>1.7453292519943295E-2</v>
          </cell>
        </row>
      </sheetData>
      <sheetData sheetId="13978">
        <row r="1">
          <cell r="J1">
            <v>1.7453292519943295E-2</v>
          </cell>
        </row>
      </sheetData>
      <sheetData sheetId="13979">
        <row r="1">
          <cell r="J1">
            <v>1.7453292519943295E-2</v>
          </cell>
        </row>
      </sheetData>
      <sheetData sheetId="13980">
        <row r="1">
          <cell r="J1">
            <v>1.7453292519943295E-2</v>
          </cell>
        </row>
      </sheetData>
      <sheetData sheetId="13981">
        <row r="1">
          <cell r="J1">
            <v>1.7453292519943295E-2</v>
          </cell>
        </row>
      </sheetData>
      <sheetData sheetId="13982">
        <row r="1">
          <cell r="J1">
            <v>1.7453292519943295E-2</v>
          </cell>
        </row>
      </sheetData>
      <sheetData sheetId="13983">
        <row r="1">
          <cell r="J1">
            <v>1.7453292519943295E-2</v>
          </cell>
        </row>
      </sheetData>
      <sheetData sheetId="13984">
        <row r="1">
          <cell r="J1">
            <v>1.7453292519943295E-2</v>
          </cell>
        </row>
      </sheetData>
      <sheetData sheetId="13985">
        <row r="1">
          <cell r="J1">
            <v>1.7453292519943295E-2</v>
          </cell>
        </row>
      </sheetData>
      <sheetData sheetId="13986">
        <row r="1">
          <cell r="J1">
            <v>1.7453292519943295E-2</v>
          </cell>
        </row>
      </sheetData>
      <sheetData sheetId="13987">
        <row r="1">
          <cell r="J1">
            <v>1.7453292519943295E-2</v>
          </cell>
        </row>
      </sheetData>
      <sheetData sheetId="13988">
        <row r="1">
          <cell r="J1">
            <v>1.7453292519943295E-2</v>
          </cell>
        </row>
      </sheetData>
      <sheetData sheetId="13989">
        <row r="1">
          <cell r="J1">
            <v>1.7453292519943295E-2</v>
          </cell>
        </row>
      </sheetData>
      <sheetData sheetId="13990">
        <row r="1">
          <cell r="J1">
            <v>1.7453292519943295E-2</v>
          </cell>
        </row>
      </sheetData>
      <sheetData sheetId="13991">
        <row r="1">
          <cell r="J1">
            <v>1.7453292519943295E-2</v>
          </cell>
        </row>
      </sheetData>
      <sheetData sheetId="13992">
        <row r="1">
          <cell r="J1">
            <v>1.7453292519943295E-2</v>
          </cell>
        </row>
      </sheetData>
      <sheetData sheetId="13993">
        <row r="1">
          <cell r="J1">
            <v>1.7453292519943295E-2</v>
          </cell>
        </row>
      </sheetData>
      <sheetData sheetId="13994">
        <row r="1">
          <cell r="J1">
            <v>1.7453292519943295E-2</v>
          </cell>
        </row>
      </sheetData>
      <sheetData sheetId="13995">
        <row r="1">
          <cell r="J1">
            <v>1.7453292519943295E-2</v>
          </cell>
        </row>
      </sheetData>
      <sheetData sheetId="13996">
        <row r="1">
          <cell r="J1">
            <v>1.7453292519943295E-2</v>
          </cell>
        </row>
      </sheetData>
      <sheetData sheetId="13997">
        <row r="1">
          <cell r="J1">
            <v>1.7453292519943295E-2</v>
          </cell>
        </row>
      </sheetData>
      <sheetData sheetId="13998">
        <row r="1">
          <cell r="J1">
            <v>1.7453292519943295E-2</v>
          </cell>
        </row>
      </sheetData>
      <sheetData sheetId="13999">
        <row r="1">
          <cell r="J1">
            <v>1.7453292519943295E-2</v>
          </cell>
        </row>
      </sheetData>
      <sheetData sheetId="14000">
        <row r="1">
          <cell r="J1">
            <v>1.7453292519943295E-2</v>
          </cell>
        </row>
      </sheetData>
      <sheetData sheetId="14001">
        <row r="1">
          <cell r="J1">
            <v>1.7453292519943295E-2</v>
          </cell>
        </row>
      </sheetData>
      <sheetData sheetId="14002">
        <row r="1">
          <cell r="J1">
            <v>1.7453292519943295E-2</v>
          </cell>
        </row>
      </sheetData>
      <sheetData sheetId="14003">
        <row r="1">
          <cell r="J1">
            <v>1.7453292519943295E-2</v>
          </cell>
        </row>
      </sheetData>
      <sheetData sheetId="14004">
        <row r="1">
          <cell r="J1">
            <v>1.7453292519943295E-2</v>
          </cell>
        </row>
      </sheetData>
      <sheetData sheetId="14005">
        <row r="1">
          <cell r="J1">
            <v>1.7453292519943295E-2</v>
          </cell>
        </row>
      </sheetData>
      <sheetData sheetId="14006">
        <row r="1">
          <cell r="J1">
            <v>1.7453292519943295E-2</v>
          </cell>
        </row>
      </sheetData>
      <sheetData sheetId="14007">
        <row r="1">
          <cell r="J1">
            <v>1.7453292519943295E-2</v>
          </cell>
        </row>
      </sheetData>
      <sheetData sheetId="14008">
        <row r="1">
          <cell r="J1">
            <v>1.7453292519943295E-2</v>
          </cell>
        </row>
      </sheetData>
      <sheetData sheetId="14009">
        <row r="1">
          <cell r="J1">
            <v>1.7453292519943295E-2</v>
          </cell>
        </row>
      </sheetData>
      <sheetData sheetId="14010">
        <row r="1">
          <cell r="J1">
            <v>1.7453292519943295E-2</v>
          </cell>
        </row>
      </sheetData>
      <sheetData sheetId="14011">
        <row r="1">
          <cell r="J1">
            <v>1.7453292519943295E-2</v>
          </cell>
        </row>
      </sheetData>
      <sheetData sheetId="14012">
        <row r="1">
          <cell r="J1">
            <v>1.7453292519943295E-2</v>
          </cell>
        </row>
      </sheetData>
      <sheetData sheetId="14013">
        <row r="1">
          <cell r="J1">
            <v>1.7453292519943295E-2</v>
          </cell>
        </row>
      </sheetData>
      <sheetData sheetId="14014">
        <row r="1">
          <cell r="J1">
            <v>1.7453292519943295E-2</v>
          </cell>
        </row>
      </sheetData>
      <sheetData sheetId="14015">
        <row r="1">
          <cell r="J1">
            <v>1.7453292519943295E-2</v>
          </cell>
        </row>
      </sheetData>
      <sheetData sheetId="14016">
        <row r="1">
          <cell r="J1">
            <v>1.7453292519943295E-2</v>
          </cell>
        </row>
      </sheetData>
      <sheetData sheetId="14017">
        <row r="1">
          <cell r="J1">
            <v>1.7453292519943295E-2</v>
          </cell>
        </row>
      </sheetData>
      <sheetData sheetId="14018">
        <row r="1">
          <cell r="J1">
            <v>1.7453292519943295E-2</v>
          </cell>
        </row>
      </sheetData>
      <sheetData sheetId="14019">
        <row r="1">
          <cell r="J1">
            <v>1.7453292519943295E-2</v>
          </cell>
        </row>
      </sheetData>
      <sheetData sheetId="14020">
        <row r="1">
          <cell r="J1">
            <v>1.7453292519943295E-2</v>
          </cell>
        </row>
      </sheetData>
      <sheetData sheetId="14021">
        <row r="1">
          <cell r="J1">
            <v>1.7453292519943295E-2</v>
          </cell>
        </row>
      </sheetData>
      <sheetData sheetId="14022">
        <row r="1">
          <cell r="J1">
            <v>1.7453292519943295E-2</v>
          </cell>
        </row>
      </sheetData>
      <sheetData sheetId="14023">
        <row r="1">
          <cell r="J1">
            <v>1.7453292519943295E-2</v>
          </cell>
        </row>
      </sheetData>
      <sheetData sheetId="14024">
        <row r="1">
          <cell r="J1">
            <v>1.7453292519943295E-2</v>
          </cell>
        </row>
      </sheetData>
      <sheetData sheetId="14025">
        <row r="1">
          <cell r="J1">
            <v>1.7453292519943295E-2</v>
          </cell>
        </row>
      </sheetData>
      <sheetData sheetId="14026">
        <row r="1">
          <cell r="J1">
            <v>1.7453292519943295E-2</v>
          </cell>
        </row>
      </sheetData>
      <sheetData sheetId="14027">
        <row r="1">
          <cell r="J1">
            <v>1.7453292519943295E-2</v>
          </cell>
        </row>
      </sheetData>
      <sheetData sheetId="14028">
        <row r="1">
          <cell r="J1">
            <v>1.7453292519943295E-2</v>
          </cell>
        </row>
      </sheetData>
      <sheetData sheetId="14029">
        <row r="1">
          <cell r="J1">
            <v>1.7453292519943295E-2</v>
          </cell>
        </row>
      </sheetData>
      <sheetData sheetId="14030">
        <row r="1">
          <cell r="J1">
            <v>1.7453292519943295E-2</v>
          </cell>
        </row>
      </sheetData>
      <sheetData sheetId="14031">
        <row r="1">
          <cell r="J1">
            <v>1.7453292519943295E-2</v>
          </cell>
        </row>
      </sheetData>
      <sheetData sheetId="14032">
        <row r="1">
          <cell r="J1">
            <v>1.7453292519943295E-2</v>
          </cell>
        </row>
      </sheetData>
      <sheetData sheetId="14033">
        <row r="1">
          <cell r="J1">
            <v>1.7453292519943295E-2</v>
          </cell>
        </row>
      </sheetData>
      <sheetData sheetId="14034">
        <row r="1">
          <cell r="J1">
            <v>1.7453292519943295E-2</v>
          </cell>
        </row>
      </sheetData>
      <sheetData sheetId="14035">
        <row r="1">
          <cell r="J1">
            <v>1.7453292519943295E-2</v>
          </cell>
        </row>
      </sheetData>
      <sheetData sheetId="14036">
        <row r="1">
          <cell r="J1">
            <v>1.7453292519943295E-2</v>
          </cell>
        </row>
      </sheetData>
      <sheetData sheetId="14037">
        <row r="1">
          <cell r="J1">
            <v>1.7453292519943295E-2</v>
          </cell>
        </row>
      </sheetData>
      <sheetData sheetId="14038">
        <row r="1">
          <cell r="J1">
            <v>1.7453292519943295E-2</v>
          </cell>
        </row>
      </sheetData>
      <sheetData sheetId="14039">
        <row r="1">
          <cell r="J1">
            <v>1.7453292519943295E-2</v>
          </cell>
        </row>
      </sheetData>
      <sheetData sheetId="14040">
        <row r="1">
          <cell r="J1">
            <v>1.7453292519943295E-2</v>
          </cell>
        </row>
      </sheetData>
      <sheetData sheetId="14041">
        <row r="1">
          <cell r="J1">
            <v>1.7453292519943295E-2</v>
          </cell>
        </row>
      </sheetData>
      <sheetData sheetId="14042">
        <row r="1">
          <cell r="J1">
            <v>1.7453292519943295E-2</v>
          </cell>
        </row>
      </sheetData>
      <sheetData sheetId="14043">
        <row r="1">
          <cell r="J1">
            <v>1.7453292519943295E-2</v>
          </cell>
        </row>
      </sheetData>
      <sheetData sheetId="14044">
        <row r="1">
          <cell r="J1">
            <v>1.7453292519943295E-2</v>
          </cell>
        </row>
      </sheetData>
      <sheetData sheetId="14045">
        <row r="1">
          <cell r="J1">
            <v>1.7453292519943295E-2</v>
          </cell>
        </row>
      </sheetData>
      <sheetData sheetId="14046">
        <row r="1">
          <cell r="J1">
            <v>1.7453292519943295E-2</v>
          </cell>
        </row>
      </sheetData>
      <sheetData sheetId="14047">
        <row r="1">
          <cell r="J1">
            <v>1.7453292519943295E-2</v>
          </cell>
        </row>
      </sheetData>
      <sheetData sheetId="14048">
        <row r="1">
          <cell r="J1">
            <v>1.7453292519943295E-2</v>
          </cell>
        </row>
      </sheetData>
      <sheetData sheetId="14049">
        <row r="1">
          <cell r="J1">
            <v>1.7453292519943295E-2</v>
          </cell>
        </row>
      </sheetData>
      <sheetData sheetId="14050">
        <row r="1">
          <cell r="J1">
            <v>1.7453292519943295E-2</v>
          </cell>
        </row>
      </sheetData>
      <sheetData sheetId="14051">
        <row r="1">
          <cell r="J1">
            <v>1.7453292519943295E-2</v>
          </cell>
        </row>
      </sheetData>
      <sheetData sheetId="14052">
        <row r="1">
          <cell r="J1">
            <v>1.7453292519943295E-2</v>
          </cell>
        </row>
      </sheetData>
      <sheetData sheetId="14053">
        <row r="1">
          <cell r="J1">
            <v>1.7453292519943295E-2</v>
          </cell>
        </row>
      </sheetData>
      <sheetData sheetId="14054">
        <row r="1">
          <cell r="J1">
            <v>1.7453292519943295E-2</v>
          </cell>
        </row>
      </sheetData>
      <sheetData sheetId="14055">
        <row r="1">
          <cell r="J1">
            <v>1.7453292519943295E-2</v>
          </cell>
        </row>
      </sheetData>
      <sheetData sheetId="14056">
        <row r="1">
          <cell r="J1">
            <v>1.7453292519943295E-2</v>
          </cell>
        </row>
      </sheetData>
      <sheetData sheetId="14057">
        <row r="1">
          <cell r="J1">
            <v>1.7453292519943295E-2</v>
          </cell>
        </row>
      </sheetData>
      <sheetData sheetId="14058">
        <row r="1">
          <cell r="J1">
            <v>1.7453292519943295E-2</v>
          </cell>
        </row>
      </sheetData>
      <sheetData sheetId="14059">
        <row r="1">
          <cell r="J1">
            <v>1.7453292519943295E-2</v>
          </cell>
        </row>
      </sheetData>
      <sheetData sheetId="14060">
        <row r="1">
          <cell r="J1">
            <v>1.7453292519943295E-2</v>
          </cell>
        </row>
      </sheetData>
      <sheetData sheetId="14061">
        <row r="1">
          <cell r="J1">
            <v>1.7453292519943295E-2</v>
          </cell>
        </row>
      </sheetData>
      <sheetData sheetId="14062">
        <row r="1">
          <cell r="J1">
            <v>1.7453292519943295E-2</v>
          </cell>
        </row>
      </sheetData>
      <sheetData sheetId="14063">
        <row r="1">
          <cell r="J1">
            <v>1.7453292519943295E-2</v>
          </cell>
        </row>
      </sheetData>
      <sheetData sheetId="14064">
        <row r="1">
          <cell r="J1">
            <v>1.7453292519943295E-2</v>
          </cell>
        </row>
      </sheetData>
      <sheetData sheetId="14065">
        <row r="1">
          <cell r="J1">
            <v>1.7453292519943295E-2</v>
          </cell>
        </row>
      </sheetData>
      <sheetData sheetId="14066">
        <row r="1">
          <cell r="J1">
            <v>1.7453292519943295E-2</v>
          </cell>
        </row>
      </sheetData>
      <sheetData sheetId="14067">
        <row r="1">
          <cell r="J1">
            <v>1.7453292519943295E-2</v>
          </cell>
        </row>
      </sheetData>
      <sheetData sheetId="14068">
        <row r="1">
          <cell r="J1">
            <v>1.7453292519943295E-2</v>
          </cell>
        </row>
      </sheetData>
      <sheetData sheetId="14069">
        <row r="1">
          <cell r="J1">
            <v>1.7453292519943295E-2</v>
          </cell>
        </row>
      </sheetData>
      <sheetData sheetId="14070">
        <row r="1">
          <cell r="J1">
            <v>1.7453292519943295E-2</v>
          </cell>
        </row>
      </sheetData>
      <sheetData sheetId="14071">
        <row r="1">
          <cell r="J1">
            <v>1.7453292519943295E-2</v>
          </cell>
        </row>
      </sheetData>
      <sheetData sheetId="14072">
        <row r="1">
          <cell r="J1">
            <v>1.7453292519943295E-2</v>
          </cell>
        </row>
      </sheetData>
      <sheetData sheetId="14073">
        <row r="1">
          <cell r="J1">
            <v>1.7453292519943295E-2</v>
          </cell>
        </row>
      </sheetData>
      <sheetData sheetId="14074">
        <row r="1">
          <cell r="J1">
            <v>1.7453292519943295E-2</v>
          </cell>
        </row>
      </sheetData>
      <sheetData sheetId="14075">
        <row r="1">
          <cell r="J1">
            <v>1.7453292519943295E-2</v>
          </cell>
        </row>
      </sheetData>
      <sheetData sheetId="14076">
        <row r="1">
          <cell r="J1">
            <v>1.7453292519943295E-2</v>
          </cell>
        </row>
      </sheetData>
      <sheetData sheetId="14077">
        <row r="1">
          <cell r="J1">
            <v>1.7453292519943295E-2</v>
          </cell>
        </row>
      </sheetData>
      <sheetData sheetId="14078">
        <row r="1">
          <cell r="J1">
            <v>1.7453292519943295E-2</v>
          </cell>
        </row>
      </sheetData>
      <sheetData sheetId="14079">
        <row r="1">
          <cell r="J1">
            <v>1.7453292519943295E-2</v>
          </cell>
        </row>
      </sheetData>
      <sheetData sheetId="14080">
        <row r="1">
          <cell r="J1">
            <v>1.7453292519943295E-2</v>
          </cell>
        </row>
      </sheetData>
      <sheetData sheetId="14081">
        <row r="1">
          <cell r="J1">
            <v>1.7453292519943295E-2</v>
          </cell>
        </row>
      </sheetData>
      <sheetData sheetId="14082">
        <row r="1">
          <cell r="J1">
            <v>1.7453292519943295E-2</v>
          </cell>
        </row>
      </sheetData>
      <sheetData sheetId="14083">
        <row r="1">
          <cell r="J1">
            <v>1.7453292519943295E-2</v>
          </cell>
        </row>
      </sheetData>
      <sheetData sheetId="14084">
        <row r="1">
          <cell r="J1">
            <v>1.7453292519943295E-2</v>
          </cell>
        </row>
      </sheetData>
      <sheetData sheetId="14085">
        <row r="1">
          <cell r="J1">
            <v>1.7453292519943295E-2</v>
          </cell>
        </row>
      </sheetData>
      <sheetData sheetId="14086">
        <row r="1">
          <cell r="J1">
            <v>1.7453292519943295E-2</v>
          </cell>
        </row>
      </sheetData>
      <sheetData sheetId="14087">
        <row r="1">
          <cell r="J1">
            <v>1.7453292519943295E-2</v>
          </cell>
        </row>
      </sheetData>
      <sheetData sheetId="14088">
        <row r="1">
          <cell r="J1">
            <v>1.7453292519943295E-2</v>
          </cell>
        </row>
      </sheetData>
      <sheetData sheetId="14089">
        <row r="1">
          <cell r="J1">
            <v>1.7453292519943295E-2</v>
          </cell>
        </row>
      </sheetData>
      <sheetData sheetId="14090">
        <row r="1">
          <cell r="J1">
            <v>1.7453292519943295E-2</v>
          </cell>
        </row>
      </sheetData>
      <sheetData sheetId="14091">
        <row r="1">
          <cell r="J1">
            <v>1.7453292519943295E-2</v>
          </cell>
        </row>
      </sheetData>
      <sheetData sheetId="14092">
        <row r="1">
          <cell r="J1">
            <v>1.7453292519943295E-2</v>
          </cell>
        </row>
      </sheetData>
      <sheetData sheetId="14093">
        <row r="1">
          <cell r="J1">
            <v>1.7453292519943295E-2</v>
          </cell>
        </row>
      </sheetData>
      <sheetData sheetId="14094">
        <row r="1">
          <cell r="J1">
            <v>1.7453292519943295E-2</v>
          </cell>
        </row>
      </sheetData>
      <sheetData sheetId="14095">
        <row r="1">
          <cell r="J1">
            <v>1.7453292519943295E-2</v>
          </cell>
        </row>
      </sheetData>
      <sheetData sheetId="14096">
        <row r="1">
          <cell r="J1">
            <v>1.7453292519943295E-2</v>
          </cell>
        </row>
      </sheetData>
      <sheetData sheetId="14097">
        <row r="1">
          <cell r="J1">
            <v>1.7453292519943295E-2</v>
          </cell>
        </row>
      </sheetData>
      <sheetData sheetId="14098">
        <row r="1">
          <cell r="J1">
            <v>1.7453292519943295E-2</v>
          </cell>
        </row>
      </sheetData>
      <sheetData sheetId="14099">
        <row r="1">
          <cell r="J1">
            <v>1.7453292519943295E-2</v>
          </cell>
        </row>
      </sheetData>
      <sheetData sheetId="14100">
        <row r="1">
          <cell r="J1">
            <v>1.7453292519943295E-2</v>
          </cell>
        </row>
      </sheetData>
      <sheetData sheetId="14101">
        <row r="1">
          <cell r="J1">
            <v>1.7453292519943295E-2</v>
          </cell>
        </row>
      </sheetData>
      <sheetData sheetId="14102">
        <row r="1">
          <cell r="J1">
            <v>1.7453292519943295E-2</v>
          </cell>
        </row>
      </sheetData>
      <sheetData sheetId="14103">
        <row r="1">
          <cell r="J1">
            <v>1.7453292519943295E-2</v>
          </cell>
        </row>
      </sheetData>
      <sheetData sheetId="14104">
        <row r="1">
          <cell r="J1">
            <v>1.7453292519943295E-2</v>
          </cell>
        </row>
      </sheetData>
      <sheetData sheetId="14105">
        <row r="1">
          <cell r="J1">
            <v>1.7453292519943295E-2</v>
          </cell>
        </row>
      </sheetData>
      <sheetData sheetId="14106">
        <row r="1">
          <cell r="J1">
            <v>1.7453292519943295E-2</v>
          </cell>
        </row>
      </sheetData>
      <sheetData sheetId="14107">
        <row r="1">
          <cell r="J1">
            <v>1.7453292519943295E-2</v>
          </cell>
        </row>
      </sheetData>
      <sheetData sheetId="14108">
        <row r="1">
          <cell r="J1">
            <v>1.7453292519943295E-2</v>
          </cell>
        </row>
      </sheetData>
      <sheetData sheetId="14109">
        <row r="1">
          <cell r="J1">
            <v>1.7453292519943295E-2</v>
          </cell>
        </row>
      </sheetData>
      <sheetData sheetId="14110">
        <row r="1">
          <cell r="J1">
            <v>1.7453292519943295E-2</v>
          </cell>
        </row>
      </sheetData>
      <sheetData sheetId="14111">
        <row r="1">
          <cell r="J1">
            <v>1.7453292519943295E-2</v>
          </cell>
        </row>
      </sheetData>
      <sheetData sheetId="14112">
        <row r="1">
          <cell r="J1">
            <v>1.7453292519943295E-2</v>
          </cell>
        </row>
      </sheetData>
      <sheetData sheetId="14113">
        <row r="1">
          <cell r="J1">
            <v>1.7453292519943295E-2</v>
          </cell>
        </row>
      </sheetData>
      <sheetData sheetId="14114">
        <row r="1">
          <cell r="J1">
            <v>1.7453292519943295E-2</v>
          </cell>
        </row>
      </sheetData>
      <sheetData sheetId="14115">
        <row r="1">
          <cell r="J1">
            <v>1.7453292519943295E-2</v>
          </cell>
        </row>
      </sheetData>
      <sheetData sheetId="14116">
        <row r="1">
          <cell r="J1">
            <v>1.7453292519943295E-2</v>
          </cell>
        </row>
      </sheetData>
      <sheetData sheetId="14117">
        <row r="1">
          <cell r="J1">
            <v>1.7453292519943295E-2</v>
          </cell>
        </row>
      </sheetData>
      <sheetData sheetId="14118">
        <row r="1">
          <cell r="J1">
            <v>1.7453292519943295E-2</v>
          </cell>
        </row>
      </sheetData>
      <sheetData sheetId="14119">
        <row r="1">
          <cell r="J1">
            <v>1.7453292519943295E-2</v>
          </cell>
        </row>
      </sheetData>
      <sheetData sheetId="14120">
        <row r="1">
          <cell r="J1">
            <v>1.7453292519943295E-2</v>
          </cell>
        </row>
      </sheetData>
      <sheetData sheetId="14121">
        <row r="1">
          <cell r="J1">
            <v>1.7453292519943295E-2</v>
          </cell>
        </row>
      </sheetData>
      <sheetData sheetId="14122">
        <row r="1">
          <cell r="J1">
            <v>1.7453292519943295E-2</v>
          </cell>
        </row>
      </sheetData>
      <sheetData sheetId="14123">
        <row r="1">
          <cell r="J1">
            <v>1.7453292519943295E-2</v>
          </cell>
        </row>
      </sheetData>
      <sheetData sheetId="14124">
        <row r="1">
          <cell r="J1">
            <v>1.7453292519943295E-2</v>
          </cell>
        </row>
      </sheetData>
      <sheetData sheetId="14125">
        <row r="1">
          <cell r="J1">
            <v>1.7453292519943295E-2</v>
          </cell>
        </row>
      </sheetData>
      <sheetData sheetId="14126">
        <row r="1">
          <cell r="J1">
            <v>1.7453292519943295E-2</v>
          </cell>
        </row>
      </sheetData>
      <sheetData sheetId="14127">
        <row r="1">
          <cell r="J1">
            <v>1.7453292519943295E-2</v>
          </cell>
        </row>
      </sheetData>
      <sheetData sheetId="14128">
        <row r="1">
          <cell r="J1">
            <v>1.7453292519943295E-2</v>
          </cell>
        </row>
      </sheetData>
      <sheetData sheetId="14129">
        <row r="1">
          <cell r="J1">
            <v>1.7453292519943295E-2</v>
          </cell>
        </row>
      </sheetData>
      <sheetData sheetId="14130">
        <row r="1">
          <cell r="J1">
            <v>1.7453292519943295E-2</v>
          </cell>
        </row>
      </sheetData>
      <sheetData sheetId="14131">
        <row r="1">
          <cell r="J1">
            <v>1.7453292519943295E-2</v>
          </cell>
        </row>
      </sheetData>
      <sheetData sheetId="14132">
        <row r="1">
          <cell r="J1">
            <v>1.7453292519943295E-2</v>
          </cell>
        </row>
      </sheetData>
      <sheetData sheetId="14133">
        <row r="1">
          <cell r="J1">
            <v>1.7453292519943295E-2</v>
          </cell>
        </row>
      </sheetData>
      <sheetData sheetId="14134">
        <row r="1">
          <cell r="J1">
            <v>1.7453292519943295E-2</v>
          </cell>
        </row>
      </sheetData>
      <sheetData sheetId="14135">
        <row r="1">
          <cell r="J1">
            <v>1.7453292519943295E-2</v>
          </cell>
        </row>
      </sheetData>
      <sheetData sheetId="14136">
        <row r="1">
          <cell r="J1">
            <v>1.7453292519943295E-2</v>
          </cell>
        </row>
      </sheetData>
      <sheetData sheetId="14137">
        <row r="1">
          <cell r="J1">
            <v>1.7453292519943295E-2</v>
          </cell>
        </row>
      </sheetData>
      <sheetData sheetId="14138">
        <row r="1">
          <cell r="J1">
            <v>1.7453292519943295E-2</v>
          </cell>
        </row>
      </sheetData>
      <sheetData sheetId="14139">
        <row r="1">
          <cell r="J1">
            <v>1.7453292519943295E-2</v>
          </cell>
        </row>
      </sheetData>
      <sheetData sheetId="14140">
        <row r="1">
          <cell r="J1">
            <v>1.7453292519943295E-2</v>
          </cell>
        </row>
      </sheetData>
      <sheetData sheetId="14141">
        <row r="1">
          <cell r="J1">
            <v>1.7453292519943295E-2</v>
          </cell>
        </row>
      </sheetData>
      <sheetData sheetId="14142">
        <row r="1">
          <cell r="J1">
            <v>1.7453292519943295E-2</v>
          </cell>
        </row>
      </sheetData>
      <sheetData sheetId="14143">
        <row r="1">
          <cell r="J1">
            <v>1.7453292519943295E-2</v>
          </cell>
        </row>
      </sheetData>
      <sheetData sheetId="14144">
        <row r="1">
          <cell r="J1">
            <v>1.7453292519943295E-2</v>
          </cell>
        </row>
      </sheetData>
      <sheetData sheetId="14145">
        <row r="1">
          <cell r="J1">
            <v>1.7453292519943295E-2</v>
          </cell>
        </row>
      </sheetData>
      <sheetData sheetId="14146">
        <row r="1">
          <cell r="J1">
            <v>1.7453292519943295E-2</v>
          </cell>
        </row>
      </sheetData>
      <sheetData sheetId="14147">
        <row r="1">
          <cell r="J1">
            <v>1.7453292519943295E-2</v>
          </cell>
        </row>
      </sheetData>
      <sheetData sheetId="14148">
        <row r="1">
          <cell r="J1">
            <v>1.7453292519943295E-2</v>
          </cell>
        </row>
      </sheetData>
      <sheetData sheetId="14149">
        <row r="1">
          <cell r="J1">
            <v>1.7453292519943295E-2</v>
          </cell>
        </row>
      </sheetData>
      <sheetData sheetId="14150">
        <row r="1">
          <cell r="J1">
            <v>1.7453292519943295E-2</v>
          </cell>
        </row>
      </sheetData>
      <sheetData sheetId="14151">
        <row r="1">
          <cell r="J1">
            <v>1.7453292519943295E-2</v>
          </cell>
        </row>
      </sheetData>
      <sheetData sheetId="14152">
        <row r="1">
          <cell r="J1">
            <v>1.7453292519943295E-2</v>
          </cell>
        </row>
      </sheetData>
      <sheetData sheetId="14153">
        <row r="1">
          <cell r="J1">
            <v>1.7453292519943295E-2</v>
          </cell>
        </row>
      </sheetData>
      <sheetData sheetId="14154">
        <row r="1">
          <cell r="J1">
            <v>1.7453292519943295E-2</v>
          </cell>
        </row>
      </sheetData>
      <sheetData sheetId="14155">
        <row r="1">
          <cell r="J1">
            <v>1.7453292519943295E-2</v>
          </cell>
        </row>
      </sheetData>
      <sheetData sheetId="14156">
        <row r="1">
          <cell r="J1">
            <v>1.7453292519943295E-2</v>
          </cell>
        </row>
      </sheetData>
      <sheetData sheetId="14157">
        <row r="1">
          <cell r="J1">
            <v>1.7453292519943295E-2</v>
          </cell>
        </row>
      </sheetData>
      <sheetData sheetId="14158">
        <row r="1">
          <cell r="J1">
            <v>1.7453292519943295E-2</v>
          </cell>
        </row>
      </sheetData>
      <sheetData sheetId="14159">
        <row r="1">
          <cell r="J1">
            <v>1.7453292519943295E-2</v>
          </cell>
        </row>
      </sheetData>
      <sheetData sheetId="14160">
        <row r="1">
          <cell r="J1">
            <v>1.7453292519943295E-2</v>
          </cell>
        </row>
      </sheetData>
      <sheetData sheetId="14161">
        <row r="1">
          <cell r="J1">
            <v>1.7453292519943295E-2</v>
          </cell>
        </row>
      </sheetData>
      <sheetData sheetId="14162">
        <row r="1">
          <cell r="J1">
            <v>1.7453292519943295E-2</v>
          </cell>
        </row>
      </sheetData>
      <sheetData sheetId="14163">
        <row r="1">
          <cell r="J1">
            <v>1.7453292519943295E-2</v>
          </cell>
        </row>
      </sheetData>
      <sheetData sheetId="14164">
        <row r="1">
          <cell r="J1">
            <v>1.7453292519943295E-2</v>
          </cell>
        </row>
      </sheetData>
      <sheetData sheetId="14165">
        <row r="1">
          <cell r="J1">
            <v>1.7453292519943295E-2</v>
          </cell>
        </row>
      </sheetData>
      <sheetData sheetId="14166">
        <row r="1">
          <cell r="J1">
            <v>1.7453292519943295E-2</v>
          </cell>
        </row>
      </sheetData>
      <sheetData sheetId="14167">
        <row r="1">
          <cell r="J1">
            <v>1.7453292519943295E-2</v>
          </cell>
        </row>
      </sheetData>
      <sheetData sheetId="14168">
        <row r="1">
          <cell r="J1">
            <v>1.7453292519943295E-2</v>
          </cell>
        </row>
      </sheetData>
      <sheetData sheetId="14169">
        <row r="1">
          <cell r="J1">
            <v>1.7453292519943295E-2</v>
          </cell>
        </row>
      </sheetData>
      <sheetData sheetId="14170">
        <row r="1">
          <cell r="J1">
            <v>1.7453292519943295E-2</v>
          </cell>
        </row>
      </sheetData>
      <sheetData sheetId="14171">
        <row r="1">
          <cell r="J1">
            <v>1.7453292519943295E-2</v>
          </cell>
        </row>
      </sheetData>
      <sheetData sheetId="14172">
        <row r="1">
          <cell r="J1">
            <v>1.7453292519943295E-2</v>
          </cell>
        </row>
      </sheetData>
      <sheetData sheetId="14173">
        <row r="1">
          <cell r="J1">
            <v>1.7453292519943295E-2</v>
          </cell>
        </row>
      </sheetData>
      <sheetData sheetId="14174">
        <row r="1">
          <cell r="J1">
            <v>1.7453292519943295E-2</v>
          </cell>
        </row>
      </sheetData>
      <sheetData sheetId="14175">
        <row r="1">
          <cell r="J1">
            <v>1.7453292519943295E-2</v>
          </cell>
        </row>
      </sheetData>
      <sheetData sheetId="14176">
        <row r="1">
          <cell r="J1">
            <v>1.7453292519943295E-2</v>
          </cell>
        </row>
      </sheetData>
      <sheetData sheetId="14177">
        <row r="1">
          <cell r="J1">
            <v>1.7453292519943295E-2</v>
          </cell>
        </row>
      </sheetData>
      <sheetData sheetId="14178">
        <row r="1">
          <cell r="J1">
            <v>1.7453292519943295E-2</v>
          </cell>
        </row>
      </sheetData>
      <sheetData sheetId="14179">
        <row r="1">
          <cell r="J1">
            <v>1.7453292519943295E-2</v>
          </cell>
        </row>
      </sheetData>
      <sheetData sheetId="14180">
        <row r="1">
          <cell r="J1">
            <v>1.7453292519943295E-2</v>
          </cell>
        </row>
      </sheetData>
      <sheetData sheetId="14181">
        <row r="1">
          <cell r="J1">
            <v>1.7453292519943295E-2</v>
          </cell>
        </row>
      </sheetData>
      <sheetData sheetId="14182">
        <row r="1">
          <cell r="J1">
            <v>1.7453292519943295E-2</v>
          </cell>
        </row>
      </sheetData>
      <sheetData sheetId="14183">
        <row r="1">
          <cell r="J1">
            <v>1.7453292519943295E-2</v>
          </cell>
        </row>
      </sheetData>
      <sheetData sheetId="14184">
        <row r="1">
          <cell r="J1">
            <v>1.7453292519943295E-2</v>
          </cell>
        </row>
      </sheetData>
      <sheetData sheetId="14185">
        <row r="1">
          <cell r="J1">
            <v>1.7453292519943295E-2</v>
          </cell>
        </row>
      </sheetData>
      <sheetData sheetId="14186">
        <row r="1">
          <cell r="J1">
            <v>1.7453292519943295E-2</v>
          </cell>
        </row>
      </sheetData>
      <sheetData sheetId="14187">
        <row r="1">
          <cell r="J1">
            <v>1.7453292519943295E-2</v>
          </cell>
        </row>
      </sheetData>
      <sheetData sheetId="14188">
        <row r="1">
          <cell r="J1">
            <v>1.7453292519943295E-2</v>
          </cell>
        </row>
      </sheetData>
      <sheetData sheetId="14189">
        <row r="1">
          <cell r="J1">
            <v>1.7453292519943295E-2</v>
          </cell>
        </row>
      </sheetData>
      <sheetData sheetId="14190">
        <row r="1">
          <cell r="J1">
            <v>1.7453292519943295E-2</v>
          </cell>
        </row>
      </sheetData>
      <sheetData sheetId="14191">
        <row r="1">
          <cell r="J1">
            <v>1.7453292519943295E-2</v>
          </cell>
        </row>
      </sheetData>
      <sheetData sheetId="14192">
        <row r="1">
          <cell r="J1">
            <v>1.7453292519943295E-2</v>
          </cell>
        </row>
      </sheetData>
      <sheetData sheetId="14193">
        <row r="1">
          <cell r="J1">
            <v>1.7453292519943295E-2</v>
          </cell>
        </row>
      </sheetData>
      <sheetData sheetId="14194">
        <row r="1">
          <cell r="J1">
            <v>1.7453292519943295E-2</v>
          </cell>
        </row>
      </sheetData>
      <sheetData sheetId="14195">
        <row r="1">
          <cell r="J1">
            <v>1.7453292519943295E-2</v>
          </cell>
        </row>
      </sheetData>
      <sheetData sheetId="14196">
        <row r="1">
          <cell r="J1">
            <v>1.7453292519943295E-2</v>
          </cell>
        </row>
      </sheetData>
      <sheetData sheetId="14197">
        <row r="1">
          <cell r="J1">
            <v>1.7453292519943295E-2</v>
          </cell>
        </row>
      </sheetData>
      <sheetData sheetId="14198">
        <row r="1">
          <cell r="J1">
            <v>1.7453292519943295E-2</v>
          </cell>
        </row>
      </sheetData>
      <sheetData sheetId="14199">
        <row r="1">
          <cell r="J1">
            <v>1.7453292519943295E-2</v>
          </cell>
        </row>
      </sheetData>
      <sheetData sheetId="14200">
        <row r="1">
          <cell r="J1">
            <v>1.7453292519943295E-2</v>
          </cell>
        </row>
      </sheetData>
      <sheetData sheetId="14201">
        <row r="1">
          <cell r="J1">
            <v>1.7453292519943295E-2</v>
          </cell>
        </row>
      </sheetData>
      <sheetData sheetId="14202">
        <row r="1">
          <cell r="J1">
            <v>1.7453292519943295E-2</v>
          </cell>
        </row>
      </sheetData>
      <sheetData sheetId="14203">
        <row r="1">
          <cell r="J1">
            <v>1.7453292519943295E-2</v>
          </cell>
        </row>
      </sheetData>
      <sheetData sheetId="14204">
        <row r="1">
          <cell r="J1">
            <v>1.7453292519943295E-2</v>
          </cell>
        </row>
      </sheetData>
      <sheetData sheetId="14205">
        <row r="1">
          <cell r="J1">
            <v>1.7453292519943295E-2</v>
          </cell>
        </row>
      </sheetData>
      <sheetData sheetId="14206">
        <row r="1">
          <cell r="J1">
            <v>1.7453292519943295E-2</v>
          </cell>
        </row>
      </sheetData>
      <sheetData sheetId="14207">
        <row r="1">
          <cell r="J1">
            <v>1.7453292519943295E-2</v>
          </cell>
        </row>
      </sheetData>
      <sheetData sheetId="14208">
        <row r="1">
          <cell r="J1">
            <v>1.7453292519943295E-2</v>
          </cell>
        </row>
      </sheetData>
      <sheetData sheetId="14209">
        <row r="1">
          <cell r="J1">
            <v>1.7453292519943295E-2</v>
          </cell>
        </row>
      </sheetData>
      <sheetData sheetId="14210">
        <row r="1">
          <cell r="J1">
            <v>1.7453292519943295E-2</v>
          </cell>
        </row>
      </sheetData>
      <sheetData sheetId="14211">
        <row r="1">
          <cell r="J1">
            <v>1.7453292519943295E-2</v>
          </cell>
        </row>
      </sheetData>
      <sheetData sheetId="14212">
        <row r="1">
          <cell r="J1">
            <v>1.7453292519943295E-2</v>
          </cell>
        </row>
      </sheetData>
      <sheetData sheetId="14213">
        <row r="1">
          <cell r="J1">
            <v>1.7453292519943295E-2</v>
          </cell>
        </row>
      </sheetData>
      <sheetData sheetId="14214">
        <row r="1">
          <cell r="J1">
            <v>1.7453292519943295E-2</v>
          </cell>
        </row>
      </sheetData>
      <sheetData sheetId="14215">
        <row r="1">
          <cell r="J1">
            <v>1.7453292519943295E-2</v>
          </cell>
        </row>
      </sheetData>
      <sheetData sheetId="14216">
        <row r="1">
          <cell r="J1">
            <v>1.7453292519943295E-2</v>
          </cell>
        </row>
      </sheetData>
      <sheetData sheetId="14217">
        <row r="1">
          <cell r="J1">
            <v>1.7453292519943295E-2</v>
          </cell>
        </row>
      </sheetData>
      <sheetData sheetId="14218">
        <row r="1">
          <cell r="J1">
            <v>1.7453292519943295E-2</v>
          </cell>
        </row>
      </sheetData>
      <sheetData sheetId="14219">
        <row r="1">
          <cell r="J1">
            <v>1.7453292519943295E-2</v>
          </cell>
        </row>
      </sheetData>
      <sheetData sheetId="14220">
        <row r="1">
          <cell r="J1">
            <v>1.7453292519943295E-2</v>
          </cell>
        </row>
      </sheetData>
      <sheetData sheetId="14221">
        <row r="1">
          <cell r="J1">
            <v>1.7453292519943295E-2</v>
          </cell>
        </row>
      </sheetData>
      <sheetData sheetId="14222">
        <row r="1">
          <cell r="J1">
            <v>1.7453292519943295E-2</v>
          </cell>
        </row>
      </sheetData>
      <sheetData sheetId="14223">
        <row r="1">
          <cell r="J1">
            <v>1.7453292519943295E-2</v>
          </cell>
        </row>
      </sheetData>
      <sheetData sheetId="14224">
        <row r="1">
          <cell r="J1">
            <v>1.7453292519943295E-2</v>
          </cell>
        </row>
      </sheetData>
      <sheetData sheetId="14225">
        <row r="1">
          <cell r="J1">
            <v>1.7453292519943295E-2</v>
          </cell>
        </row>
      </sheetData>
      <sheetData sheetId="14226">
        <row r="1">
          <cell r="J1">
            <v>1.7453292519943295E-2</v>
          </cell>
        </row>
      </sheetData>
      <sheetData sheetId="14227">
        <row r="1">
          <cell r="J1">
            <v>1.7453292519943295E-2</v>
          </cell>
        </row>
      </sheetData>
      <sheetData sheetId="14228">
        <row r="1">
          <cell r="J1">
            <v>1.7453292519943295E-2</v>
          </cell>
        </row>
      </sheetData>
      <sheetData sheetId="14229">
        <row r="1">
          <cell r="J1">
            <v>1.7453292519943295E-2</v>
          </cell>
        </row>
      </sheetData>
      <sheetData sheetId="14230">
        <row r="1">
          <cell r="J1">
            <v>1.7453292519943295E-2</v>
          </cell>
        </row>
      </sheetData>
      <sheetData sheetId="14231">
        <row r="1">
          <cell r="J1">
            <v>1.7453292519943295E-2</v>
          </cell>
        </row>
      </sheetData>
      <sheetData sheetId="14232">
        <row r="1">
          <cell r="J1">
            <v>1.7453292519943295E-2</v>
          </cell>
        </row>
      </sheetData>
      <sheetData sheetId="14233">
        <row r="1">
          <cell r="J1">
            <v>1.7453292519943295E-2</v>
          </cell>
        </row>
      </sheetData>
      <sheetData sheetId="14234">
        <row r="1">
          <cell r="J1">
            <v>1.7453292519943295E-2</v>
          </cell>
        </row>
      </sheetData>
      <sheetData sheetId="14235">
        <row r="1">
          <cell r="J1">
            <v>1.7453292519943295E-2</v>
          </cell>
        </row>
      </sheetData>
      <sheetData sheetId="14236">
        <row r="1">
          <cell r="J1">
            <v>1.7453292519943295E-2</v>
          </cell>
        </row>
      </sheetData>
      <sheetData sheetId="14237">
        <row r="1">
          <cell r="J1">
            <v>1.7453292519943295E-2</v>
          </cell>
        </row>
      </sheetData>
      <sheetData sheetId="14238">
        <row r="1">
          <cell r="J1">
            <v>1.7453292519943295E-2</v>
          </cell>
        </row>
      </sheetData>
      <sheetData sheetId="14239">
        <row r="1">
          <cell r="J1">
            <v>1.7453292519943295E-2</v>
          </cell>
        </row>
      </sheetData>
      <sheetData sheetId="14240">
        <row r="1">
          <cell r="J1">
            <v>1.7453292519943295E-2</v>
          </cell>
        </row>
      </sheetData>
      <sheetData sheetId="14241">
        <row r="1">
          <cell r="J1">
            <v>1.7453292519943295E-2</v>
          </cell>
        </row>
      </sheetData>
      <sheetData sheetId="14242">
        <row r="1">
          <cell r="J1">
            <v>1.7453292519943295E-2</v>
          </cell>
        </row>
      </sheetData>
      <sheetData sheetId="14243">
        <row r="1">
          <cell r="J1">
            <v>1.7453292519943295E-2</v>
          </cell>
        </row>
      </sheetData>
      <sheetData sheetId="14244">
        <row r="1">
          <cell r="J1">
            <v>1.7453292519943295E-2</v>
          </cell>
        </row>
      </sheetData>
      <sheetData sheetId="14245">
        <row r="1">
          <cell r="J1">
            <v>1.7453292519943295E-2</v>
          </cell>
        </row>
      </sheetData>
      <sheetData sheetId="14246">
        <row r="1">
          <cell r="J1">
            <v>1.7453292519943295E-2</v>
          </cell>
        </row>
      </sheetData>
      <sheetData sheetId="14247">
        <row r="1">
          <cell r="J1">
            <v>1.7453292519943295E-2</v>
          </cell>
        </row>
      </sheetData>
      <sheetData sheetId="14248">
        <row r="1">
          <cell r="J1">
            <v>1.7453292519943295E-2</v>
          </cell>
        </row>
      </sheetData>
      <sheetData sheetId="14249">
        <row r="1">
          <cell r="J1">
            <v>1.7453292519943295E-2</v>
          </cell>
        </row>
      </sheetData>
      <sheetData sheetId="14250">
        <row r="1">
          <cell r="J1">
            <v>1.7453292519943295E-2</v>
          </cell>
        </row>
      </sheetData>
      <sheetData sheetId="14251">
        <row r="1">
          <cell r="J1">
            <v>1.7453292519943295E-2</v>
          </cell>
        </row>
      </sheetData>
      <sheetData sheetId="14252">
        <row r="1">
          <cell r="J1">
            <v>1.7453292519943295E-2</v>
          </cell>
        </row>
      </sheetData>
      <sheetData sheetId="14253">
        <row r="1">
          <cell r="J1">
            <v>1.7453292519943295E-2</v>
          </cell>
        </row>
      </sheetData>
      <sheetData sheetId="14254">
        <row r="1">
          <cell r="J1">
            <v>1.7453292519943295E-2</v>
          </cell>
        </row>
      </sheetData>
      <sheetData sheetId="14255">
        <row r="1">
          <cell r="J1">
            <v>1.7453292519943295E-2</v>
          </cell>
        </row>
      </sheetData>
      <sheetData sheetId="14256">
        <row r="1">
          <cell r="J1">
            <v>1.7453292519943295E-2</v>
          </cell>
        </row>
      </sheetData>
      <sheetData sheetId="14257">
        <row r="1">
          <cell r="J1">
            <v>1.7453292519943295E-2</v>
          </cell>
        </row>
      </sheetData>
      <sheetData sheetId="14258">
        <row r="1">
          <cell r="J1">
            <v>1.7453292519943295E-2</v>
          </cell>
        </row>
      </sheetData>
      <sheetData sheetId="14259">
        <row r="1">
          <cell r="J1">
            <v>1.7453292519943295E-2</v>
          </cell>
        </row>
      </sheetData>
      <sheetData sheetId="14260">
        <row r="1">
          <cell r="J1">
            <v>1.7453292519943295E-2</v>
          </cell>
        </row>
      </sheetData>
      <sheetData sheetId="14261">
        <row r="1">
          <cell r="J1">
            <v>1.7453292519943295E-2</v>
          </cell>
        </row>
      </sheetData>
      <sheetData sheetId="14262">
        <row r="1">
          <cell r="J1">
            <v>1.7453292519943295E-2</v>
          </cell>
        </row>
      </sheetData>
      <sheetData sheetId="14263">
        <row r="1">
          <cell r="J1">
            <v>1.7453292519943295E-2</v>
          </cell>
        </row>
      </sheetData>
      <sheetData sheetId="14264">
        <row r="1">
          <cell r="J1">
            <v>1.7453292519943295E-2</v>
          </cell>
        </row>
      </sheetData>
      <sheetData sheetId="14265">
        <row r="1">
          <cell r="J1">
            <v>1.7453292519943295E-2</v>
          </cell>
        </row>
      </sheetData>
      <sheetData sheetId="14266">
        <row r="1">
          <cell r="J1">
            <v>1.7453292519943295E-2</v>
          </cell>
        </row>
      </sheetData>
      <sheetData sheetId="14267">
        <row r="1">
          <cell r="J1">
            <v>1.7453292519943295E-2</v>
          </cell>
        </row>
      </sheetData>
      <sheetData sheetId="14268">
        <row r="1">
          <cell r="J1">
            <v>1.7453292519943295E-2</v>
          </cell>
        </row>
      </sheetData>
      <sheetData sheetId="14269">
        <row r="1">
          <cell r="J1">
            <v>1.7453292519943295E-2</v>
          </cell>
        </row>
      </sheetData>
      <sheetData sheetId="14270">
        <row r="1">
          <cell r="J1">
            <v>1.7453292519943295E-2</v>
          </cell>
        </row>
      </sheetData>
      <sheetData sheetId="14271">
        <row r="1">
          <cell r="J1">
            <v>1.7453292519943295E-2</v>
          </cell>
        </row>
      </sheetData>
      <sheetData sheetId="14272">
        <row r="1">
          <cell r="J1">
            <v>1.7453292519943295E-2</v>
          </cell>
        </row>
      </sheetData>
      <sheetData sheetId="14273">
        <row r="1">
          <cell r="J1">
            <v>1.7453292519943295E-2</v>
          </cell>
        </row>
      </sheetData>
      <sheetData sheetId="14274">
        <row r="1">
          <cell r="J1">
            <v>1.7453292519943295E-2</v>
          </cell>
        </row>
      </sheetData>
      <sheetData sheetId="14275">
        <row r="1">
          <cell r="J1">
            <v>1.7453292519943295E-2</v>
          </cell>
        </row>
      </sheetData>
      <sheetData sheetId="14276">
        <row r="1">
          <cell r="J1">
            <v>1.7453292519943295E-2</v>
          </cell>
        </row>
      </sheetData>
      <sheetData sheetId="14277">
        <row r="1">
          <cell r="J1">
            <v>1.7453292519943295E-2</v>
          </cell>
        </row>
      </sheetData>
      <sheetData sheetId="14278">
        <row r="1">
          <cell r="J1">
            <v>1.7453292519943295E-2</v>
          </cell>
        </row>
      </sheetData>
      <sheetData sheetId="14279">
        <row r="1">
          <cell r="J1">
            <v>1.7453292519943295E-2</v>
          </cell>
        </row>
      </sheetData>
      <sheetData sheetId="14280">
        <row r="1">
          <cell r="J1">
            <v>1.7453292519943295E-2</v>
          </cell>
        </row>
      </sheetData>
      <sheetData sheetId="14281">
        <row r="1">
          <cell r="J1">
            <v>1.7453292519943295E-2</v>
          </cell>
        </row>
      </sheetData>
      <sheetData sheetId="14282">
        <row r="1">
          <cell r="J1">
            <v>1.7453292519943295E-2</v>
          </cell>
        </row>
      </sheetData>
      <sheetData sheetId="14283">
        <row r="1">
          <cell r="J1">
            <v>1.7453292519943295E-2</v>
          </cell>
        </row>
      </sheetData>
      <sheetData sheetId="14284">
        <row r="1">
          <cell r="J1">
            <v>1.7453292519943295E-2</v>
          </cell>
        </row>
      </sheetData>
      <sheetData sheetId="14285">
        <row r="1">
          <cell r="J1">
            <v>1.7453292519943295E-2</v>
          </cell>
        </row>
      </sheetData>
      <sheetData sheetId="14286">
        <row r="1">
          <cell r="J1">
            <v>1.7453292519943295E-2</v>
          </cell>
        </row>
      </sheetData>
      <sheetData sheetId="14287">
        <row r="1">
          <cell r="J1">
            <v>1.7453292519943295E-2</v>
          </cell>
        </row>
      </sheetData>
      <sheetData sheetId="14288">
        <row r="1">
          <cell r="J1">
            <v>1.7453292519943295E-2</v>
          </cell>
        </row>
      </sheetData>
      <sheetData sheetId="14289">
        <row r="1">
          <cell r="J1">
            <v>1.7453292519943295E-2</v>
          </cell>
        </row>
      </sheetData>
      <sheetData sheetId="14290">
        <row r="1">
          <cell r="J1">
            <v>1.7453292519943295E-2</v>
          </cell>
        </row>
      </sheetData>
      <sheetData sheetId="14291">
        <row r="1">
          <cell r="J1">
            <v>1.7453292519943295E-2</v>
          </cell>
        </row>
      </sheetData>
      <sheetData sheetId="14292">
        <row r="1">
          <cell r="J1">
            <v>1.7453292519943295E-2</v>
          </cell>
        </row>
      </sheetData>
      <sheetData sheetId="14293">
        <row r="1">
          <cell r="J1">
            <v>1.7453292519943295E-2</v>
          </cell>
        </row>
      </sheetData>
      <sheetData sheetId="14294">
        <row r="1">
          <cell r="J1">
            <v>1.7453292519943295E-2</v>
          </cell>
        </row>
      </sheetData>
      <sheetData sheetId="14295">
        <row r="1">
          <cell r="J1">
            <v>1.7453292519943295E-2</v>
          </cell>
        </row>
      </sheetData>
      <sheetData sheetId="14296">
        <row r="1">
          <cell r="J1">
            <v>1.7453292519943295E-2</v>
          </cell>
        </row>
      </sheetData>
      <sheetData sheetId="14297">
        <row r="1">
          <cell r="J1">
            <v>1.7453292519943295E-2</v>
          </cell>
        </row>
      </sheetData>
      <sheetData sheetId="14298">
        <row r="1">
          <cell r="J1">
            <v>1.7453292519943295E-2</v>
          </cell>
        </row>
      </sheetData>
      <sheetData sheetId="14299">
        <row r="1">
          <cell r="J1">
            <v>1.7453292519943295E-2</v>
          </cell>
        </row>
      </sheetData>
      <sheetData sheetId="14300">
        <row r="1">
          <cell r="J1">
            <v>1.7453292519943295E-2</v>
          </cell>
        </row>
      </sheetData>
      <sheetData sheetId="14301">
        <row r="1">
          <cell r="J1">
            <v>1.7453292519943295E-2</v>
          </cell>
        </row>
      </sheetData>
      <sheetData sheetId="14302">
        <row r="1">
          <cell r="J1">
            <v>1.7453292519943295E-2</v>
          </cell>
        </row>
      </sheetData>
      <sheetData sheetId="14303">
        <row r="1">
          <cell r="J1">
            <v>1.7453292519943295E-2</v>
          </cell>
        </row>
      </sheetData>
      <sheetData sheetId="14304">
        <row r="1">
          <cell r="J1">
            <v>1.7453292519943295E-2</v>
          </cell>
        </row>
      </sheetData>
      <sheetData sheetId="14305">
        <row r="1">
          <cell r="J1">
            <v>1.7453292519943295E-2</v>
          </cell>
        </row>
      </sheetData>
      <sheetData sheetId="14306">
        <row r="1">
          <cell r="J1">
            <v>1.7453292519943295E-2</v>
          </cell>
        </row>
      </sheetData>
      <sheetData sheetId="14307">
        <row r="1">
          <cell r="J1">
            <v>1.7453292519943295E-2</v>
          </cell>
        </row>
      </sheetData>
      <sheetData sheetId="14308">
        <row r="1">
          <cell r="J1">
            <v>1.7453292519943295E-2</v>
          </cell>
        </row>
      </sheetData>
      <sheetData sheetId="14309">
        <row r="1">
          <cell r="J1">
            <v>1.7453292519943295E-2</v>
          </cell>
        </row>
      </sheetData>
      <sheetData sheetId="14310">
        <row r="1">
          <cell r="J1">
            <v>1.7453292519943295E-2</v>
          </cell>
        </row>
      </sheetData>
      <sheetData sheetId="14311">
        <row r="1">
          <cell r="J1">
            <v>1.7453292519943295E-2</v>
          </cell>
        </row>
      </sheetData>
      <sheetData sheetId="14312">
        <row r="1">
          <cell r="J1">
            <v>1.7453292519943295E-2</v>
          </cell>
        </row>
      </sheetData>
      <sheetData sheetId="14313">
        <row r="1">
          <cell r="J1">
            <v>1.7453292519943295E-2</v>
          </cell>
        </row>
      </sheetData>
      <sheetData sheetId="14314">
        <row r="1">
          <cell r="J1">
            <v>1.7453292519943295E-2</v>
          </cell>
        </row>
      </sheetData>
      <sheetData sheetId="14315">
        <row r="1">
          <cell r="J1">
            <v>1.7453292519943295E-2</v>
          </cell>
        </row>
      </sheetData>
      <sheetData sheetId="14316">
        <row r="1">
          <cell r="J1">
            <v>1.7453292519943295E-2</v>
          </cell>
        </row>
      </sheetData>
      <sheetData sheetId="14317">
        <row r="1">
          <cell r="J1">
            <v>1.7453292519943295E-2</v>
          </cell>
        </row>
      </sheetData>
      <sheetData sheetId="14318">
        <row r="1">
          <cell r="J1">
            <v>1.7453292519943295E-2</v>
          </cell>
        </row>
      </sheetData>
      <sheetData sheetId="14319">
        <row r="1">
          <cell r="J1">
            <v>1.7453292519943295E-2</v>
          </cell>
        </row>
      </sheetData>
      <sheetData sheetId="14320">
        <row r="1">
          <cell r="J1">
            <v>1.7453292519943295E-2</v>
          </cell>
        </row>
      </sheetData>
      <sheetData sheetId="14321">
        <row r="1">
          <cell r="J1">
            <v>1.7453292519943295E-2</v>
          </cell>
        </row>
      </sheetData>
      <sheetData sheetId="14322">
        <row r="1">
          <cell r="J1">
            <v>1.7453292519943295E-2</v>
          </cell>
        </row>
      </sheetData>
      <sheetData sheetId="14323">
        <row r="1">
          <cell r="J1">
            <v>1.7453292519943295E-2</v>
          </cell>
        </row>
      </sheetData>
      <sheetData sheetId="14324">
        <row r="1">
          <cell r="J1">
            <v>1.7453292519943295E-2</v>
          </cell>
        </row>
      </sheetData>
      <sheetData sheetId="14325">
        <row r="1">
          <cell r="J1">
            <v>1.7453292519943295E-2</v>
          </cell>
        </row>
      </sheetData>
      <sheetData sheetId="14326">
        <row r="1">
          <cell r="J1">
            <v>1.7453292519943295E-2</v>
          </cell>
        </row>
      </sheetData>
      <sheetData sheetId="14327">
        <row r="1">
          <cell r="J1">
            <v>1.7453292519943295E-2</v>
          </cell>
        </row>
      </sheetData>
      <sheetData sheetId="14328">
        <row r="1">
          <cell r="J1">
            <v>1.7453292519943295E-2</v>
          </cell>
        </row>
      </sheetData>
      <sheetData sheetId="14329">
        <row r="1">
          <cell r="J1">
            <v>1.7453292519943295E-2</v>
          </cell>
        </row>
      </sheetData>
      <sheetData sheetId="14330">
        <row r="1">
          <cell r="J1">
            <v>1.7453292519943295E-2</v>
          </cell>
        </row>
      </sheetData>
      <sheetData sheetId="14331">
        <row r="1">
          <cell r="J1">
            <v>1.7453292519943295E-2</v>
          </cell>
        </row>
      </sheetData>
      <sheetData sheetId="14332">
        <row r="1">
          <cell r="J1">
            <v>1.7453292519943295E-2</v>
          </cell>
        </row>
      </sheetData>
      <sheetData sheetId="14333">
        <row r="1">
          <cell r="J1">
            <v>1.7453292519943295E-2</v>
          </cell>
        </row>
      </sheetData>
      <sheetData sheetId="14334">
        <row r="1">
          <cell r="J1">
            <v>1.7453292519943295E-2</v>
          </cell>
        </row>
      </sheetData>
      <sheetData sheetId="14335">
        <row r="1">
          <cell r="J1">
            <v>1.7453292519943295E-2</v>
          </cell>
        </row>
      </sheetData>
      <sheetData sheetId="14336">
        <row r="1">
          <cell r="J1">
            <v>1.7453292519943295E-2</v>
          </cell>
        </row>
      </sheetData>
      <sheetData sheetId="14337">
        <row r="1">
          <cell r="J1">
            <v>1.7453292519943295E-2</v>
          </cell>
        </row>
      </sheetData>
      <sheetData sheetId="14338">
        <row r="1">
          <cell r="J1">
            <v>1.7453292519943295E-2</v>
          </cell>
        </row>
      </sheetData>
      <sheetData sheetId="14339">
        <row r="1">
          <cell r="J1">
            <v>1.7453292519943295E-2</v>
          </cell>
        </row>
      </sheetData>
      <sheetData sheetId="14340">
        <row r="1">
          <cell r="J1">
            <v>1.7453292519943295E-2</v>
          </cell>
        </row>
      </sheetData>
      <sheetData sheetId="14341">
        <row r="1">
          <cell r="J1">
            <v>1.7453292519943295E-2</v>
          </cell>
        </row>
      </sheetData>
      <sheetData sheetId="14342">
        <row r="1">
          <cell r="J1">
            <v>1.7453292519943295E-2</v>
          </cell>
        </row>
      </sheetData>
      <sheetData sheetId="14343">
        <row r="1">
          <cell r="J1">
            <v>1.7453292519943295E-2</v>
          </cell>
        </row>
      </sheetData>
      <sheetData sheetId="14344">
        <row r="1">
          <cell r="J1">
            <v>1.7453292519943295E-2</v>
          </cell>
        </row>
      </sheetData>
      <sheetData sheetId="14345">
        <row r="1">
          <cell r="J1">
            <v>1.7453292519943295E-2</v>
          </cell>
        </row>
      </sheetData>
      <sheetData sheetId="14346">
        <row r="1">
          <cell r="J1">
            <v>1.7453292519943295E-2</v>
          </cell>
        </row>
      </sheetData>
      <sheetData sheetId="14347">
        <row r="1">
          <cell r="J1">
            <v>1.7453292519943295E-2</v>
          </cell>
        </row>
      </sheetData>
      <sheetData sheetId="14348">
        <row r="1">
          <cell r="J1">
            <v>1.7453292519943295E-2</v>
          </cell>
        </row>
      </sheetData>
      <sheetData sheetId="14349">
        <row r="1">
          <cell r="J1">
            <v>1.7453292519943295E-2</v>
          </cell>
        </row>
      </sheetData>
      <sheetData sheetId="14350">
        <row r="1">
          <cell r="J1">
            <v>1.7453292519943295E-2</v>
          </cell>
        </row>
      </sheetData>
      <sheetData sheetId="14351">
        <row r="1">
          <cell r="J1">
            <v>1.7453292519943295E-2</v>
          </cell>
        </row>
      </sheetData>
      <sheetData sheetId="14352">
        <row r="1">
          <cell r="J1">
            <v>1.7453292519943295E-2</v>
          </cell>
        </row>
      </sheetData>
      <sheetData sheetId="14353">
        <row r="1">
          <cell r="J1">
            <v>1.7453292519943295E-2</v>
          </cell>
        </row>
      </sheetData>
      <sheetData sheetId="14354">
        <row r="1">
          <cell r="J1">
            <v>1.7453292519943295E-2</v>
          </cell>
        </row>
      </sheetData>
      <sheetData sheetId="14355">
        <row r="1">
          <cell r="J1">
            <v>1.7453292519943295E-2</v>
          </cell>
        </row>
      </sheetData>
      <sheetData sheetId="14356">
        <row r="1">
          <cell r="J1">
            <v>1.7453292519943295E-2</v>
          </cell>
        </row>
      </sheetData>
      <sheetData sheetId="14357">
        <row r="1">
          <cell r="J1">
            <v>1.7453292519943295E-2</v>
          </cell>
        </row>
      </sheetData>
      <sheetData sheetId="14358">
        <row r="1">
          <cell r="J1">
            <v>1.7453292519943295E-2</v>
          </cell>
        </row>
      </sheetData>
      <sheetData sheetId="14359">
        <row r="1">
          <cell r="J1">
            <v>1.7453292519943295E-2</v>
          </cell>
        </row>
      </sheetData>
      <sheetData sheetId="14360">
        <row r="1">
          <cell r="J1">
            <v>1.7453292519943295E-2</v>
          </cell>
        </row>
      </sheetData>
      <sheetData sheetId="14361">
        <row r="1">
          <cell r="J1">
            <v>1.7453292519943295E-2</v>
          </cell>
        </row>
      </sheetData>
      <sheetData sheetId="14362">
        <row r="1">
          <cell r="J1">
            <v>1.7453292519943295E-2</v>
          </cell>
        </row>
      </sheetData>
      <sheetData sheetId="14363">
        <row r="1">
          <cell r="J1">
            <v>1.7453292519943295E-2</v>
          </cell>
        </row>
      </sheetData>
      <sheetData sheetId="14364">
        <row r="1">
          <cell r="J1">
            <v>1.7453292519943295E-2</v>
          </cell>
        </row>
      </sheetData>
      <sheetData sheetId="14365">
        <row r="1">
          <cell r="J1">
            <v>1.7453292519943295E-2</v>
          </cell>
        </row>
      </sheetData>
      <sheetData sheetId="14366">
        <row r="1">
          <cell r="J1">
            <v>1.7453292519943295E-2</v>
          </cell>
        </row>
      </sheetData>
      <sheetData sheetId="14367">
        <row r="1">
          <cell r="J1">
            <v>1.7453292519943295E-2</v>
          </cell>
        </row>
      </sheetData>
      <sheetData sheetId="14368">
        <row r="1">
          <cell r="J1">
            <v>1.7453292519943295E-2</v>
          </cell>
        </row>
      </sheetData>
      <sheetData sheetId="14369">
        <row r="1">
          <cell r="J1">
            <v>1.7453292519943295E-2</v>
          </cell>
        </row>
      </sheetData>
      <sheetData sheetId="14370">
        <row r="1">
          <cell r="J1">
            <v>1.7453292519943295E-2</v>
          </cell>
        </row>
      </sheetData>
      <sheetData sheetId="14371">
        <row r="1">
          <cell r="J1">
            <v>1.7453292519943295E-2</v>
          </cell>
        </row>
      </sheetData>
      <sheetData sheetId="14372">
        <row r="1">
          <cell r="J1">
            <v>1.7453292519943295E-2</v>
          </cell>
        </row>
      </sheetData>
      <sheetData sheetId="14373">
        <row r="1">
          <cell r="J1">
            <v>1.7453292519943295E-2</v>
          </cell>
        </row>
      </sheetData>
      <sheetData sheetId="14374">
        <row r="1">
          <cell r="J1">
            <v>1.7453292519943295E-2</v>
          </cell>
        </row>
      </sheetData>
      <sheetData sheetId="14375">
        <row r="1">
          <cell r="J1">
            <v>1.7453292519943295E-2</v>
          </cell>
        </row>
      </sheetData>
      <sheetData sheetId="14376">
        <row r="1">
          <cell r="J1">
            <v>1.7453292519943295E-2</v>
          </cell>
        </row>
      </sheetData>
      <sheetData sheetId="14377">
        <row r="1">
          <cell r="J1">
            <v>1.7453292519943295E-2</v>
          </cell>
        </row>
      </sheetData>
      <sheetData sheetId="14378">
        <row r="1">
          <cell r="J1">
            <v>1.7453292519943295E-2</v>
          </cell>
        </row>
      </sheetData>
      <sheetData sheetId="14379">
        <row r="1">
          <cell r="J1">
            <v>1.7453292519943295E-2</v>
          </cell>
        </row>
      </sheetData>
      <sheetData sheetId="14380">
        <row r="1">
          <cell r="J1">
            <v>1.7453292519943295E-2</v>
          </cell>
        </row>
      </sheetData>
      <sheetData sheetId="14381">
        <row r="1">
          <cell r="J1">
            <v>1.7453292519943295E-2</v>
          </cell>
        </row>
      </sheetData>
      <sheetData sheetId="14382">
        <row r="1">
          <cell r="J1">
            <v>1.7453292519943295E-2</v>
          </cell>
        </row>
      </sheetData>
      <sheetData sheetId="14383">
        <row r="1">
          <cell r="J1">
            <v>1.7453292519943295E-2</v>
          </cell>
        </row>
      </sheetData>
      <sheetData sheetId="14384">
        <row r="1">
          <cell r="J1">
            <v>1.7453292519943295E-2</v>
          </cell>
        </row>
      </sheetData>
      <sheetData sheetId="14385">
        <row r="1">
          <cell r="J1">
            <v>1.7453292519943295E-2</v>
          </cell>
        </row>
      </sheetData>
      <sheetData sheetId="14386">
        <row r="1">
          <cell r="J1">
            <v>1.7453292519943295E-2</v>
          </cell>
        </row>
      </sheetData>
      <sheetData sheetId="14387">
        <row r="1">
          <cell r="J1">
            <v>1.7453292519943295E-2</v>
          </cell>
        </row>
      </sheetData>
      <sheetData sheetId="14388">
        <row r="1">
          <cell r="J1">
            <v>1.7453292519943295E-2</v>
          </cell>
        </row>
      </sheetData>
      <sheetData sheetId="14389">
        <row r="1">
          <cell r="J1">
            <v>1.7453292519943295E-2</v>
          </cell>
        </row>
      </sheetData>
      <sheetData sheetId="14390">
        <row r="1">
          <cell r="J1">
            <v>1.7453292519943295E-2</v>
          </cell>
        </row>
      </sheetData>
      <sheetData sheetId="14391">
        <row r="1">
          <cell r="J1">
            <v>1.7453292519943295E-2</v>
          </cell>
        </row>
      </sheetData>
      <sheetData sheetId="14392">
        <row r="1">
          <cell r="J1">
            <v>1.7453292519943295E-2</v>
          </cell>
        </row>
      </sheetData>
      <sheetData sheetId="14393">
        <row r="1">
          <cell r="J1">
            <v>1.7453292519943295E-2</v>
          </cell>
        </row>
      </sheetData>
      <sheetData sheetId="14394">
        <row r="1">
          <cell r="J1">
            <v>1.7453292519943295E-2</v>
          </cell>
        </row>
      </sheetData>
      <sheetData sheetId="14395">
        <row r="1">
          <cell r="J1">
            <v>1.7453292519943295E-2</v>
          </cell>
        </row>
      </sheetData>
      <sheetData sheetId="14396">
        <row r="1">
          <cell r="J1">
            <v>1.7453292519943295E-2</v>
          </cell>
        </row>
      </sheetData>
      <sheetData sheetId="14397">
        <row r="1">
          <cell r="J1">
            <v>1.7453292519943295E-2</v>
          </cell>
        </row>
      </sheetData>
      <sheetData sheetId="14398">
        <row r="1">
          <cell r="J1">
            <v>1.7453292519943295E-2</v>
          </cell>
        </row>
      </sheetData>
      <sheetData sheetId="14399">
        <row r="1">
          <cell r="J1">
            <v>1.7453292519943295E-2</v>
          </cell>
        </row>
      </sheetData>
      <sheetData sheetId="14400">
        <row r="1">
          <cell r="J1">
            <v>1.7453292519943295E-2</v>
          </cell>
        </row>
      </sheetData>
      <sheetData sheetId="14401">
        <row r="1">
          <cell r="J1">
            <v>1.7453292519943295E-2</v>
          </cell>
        </row>
      </sheetData>
      <sheetData sheetId="14402">
        <row r="1">
          <cell r="J1">
            <v>1.7453292519943295E-2</v>
          </cell>
        </row>
      </sheetData>
      <sheetData sheetId="14403">
        <row r="1">
          <cell r="J1">
            <v>1.7453292519943295E-2</v>
          </cell>
        </row>
      </sheetData>
      <sheetData sheetId="14404">
        <row r="1">
          <cell r="J1">
            <v>1.7453292519943295E-2</v>
          </cell>
        </row>
      </sheetData>
      <sheetData sheetId="14405">
        <row r="1">
          <cell r="J1">
            <v>1.7453292519943295E-2</v>
          </cell>
        </row>
      </sheetData>
      <sheetData sheetId="14406">
        <row r="1">
          <cell r="J1">
            <v>1.7453292519943295E-2</v>
          </cell>
        </row>
      </sheetData>
      <sheetData sheetId="14407">
        <row r="1">
          <cell r="J1">
            <v>1.7453292519943295E-2</v>
          </cell>
        </row>
      </sheetData>
      <sheetData sheetId="14408">
        <row r="1">
          <cell r="J1">
            <v>1.7453292519943295E-2</v>
          </cell>
        </row>
      </sheetData>
      <sheetData sheetId="14409">
        <row r="1">
          <cell r="J1">
            <v>1.7453292519943295E-2</v>
          </cell>
        </row>
      </sheetData>
      <sheetData sheetId="14410">
        <row r="1">
          <cell r="J1">
            <v>1.7453292519943295E-2</v>
          </cell>
        </row>
      </sheetData>
      <sheetData sheetId="14411">
        <row r="1">
          <cell r="J1">
            <v>1.7453292519943295E-2</v>
          </cell>
        </row>
      </sheetData>
      <sheetData sheetId="14412">
        <row r="1">
          <cell r="J1">
            <v>1.7453292519943295E-2</v>
          </cell>
        </row>
      </sheetData>
      <sheetData sheetId="14413">
        <row r="1">
          <cell r="J1">
            <v>1.7453292519943295E-2</v>
          </cell>
        </row>
      </sheetData>
      <sheetData sheetId="14414">
        <row r="1">
          <cell r="J1">
            <v>1.7453292519943295E-2</v>
          </cell>
        </row>
      </sheetData>
      <sheetData sheetId="14415">
        <row r="1">
          <cell r="J1">
            <v>1.7453292519943295E-2</v>
          </cell>
        </row>
      </sheetData>
      <sheetData sheetId="14416">
        <row r="1">
          <cell r="J1">
            <v>1.7453292519943295E-2</v>
          </cell>
        </row>
      </sheetData>
      <sheetData sheetId="14417">
        <row r="1">
          <cell r="J1">
            <v>1.7453292519943295E-2</v>
          </cell>
        </row>
      </sheetData>
      <sheetData sheetId="14418">
        <row r="1">
          <cell r="J1">
            <v>1.7453292519943295E-2</v>
          </cell>
        </row>
      </sheetData>
      <sheetData sheetId="14419">
        <row r="1">
          <cell r="J1">
            <v>1.7453292519943295E-2</v>
          </cell>
        </row>
      </sheetData>
      <sheetData sheetId="14420">
        <row r="1">
          <cell r="J1">
            <v>1.7453292519943295E-2</v>
          </cell>
        </row>
      </sheetData>
      <sheetData sheetId="14421">
        <row r="1">
          <cell r="J1">
            <v>1.7453292519943295E-2</v>
          </cell>
        </row>
      </sheetData>
      <sheetData sheetId="14422">
        <row r="1">
          <cell r="J1">
            <v>1.7453292519943295E-2</v>
          </cell>
        </row>
      </sheetData>
      <sheetData sheetId="14423">
        <row r="1">
          <cell r="J1">
            <v>1.7453292519943295E-2</v>
          </cell>
        </row>
      </sheetData>
      <sheetData sheetId="14424">
        <row r="1">
          <cell r="J1">
            <v>1.7453292519943295E-2</v>
          </cell>
        </row>
      </sheetData>
      <sheetData sheetId="14425">
        <row r="1">
          <cell r="J1">
            <v>1.7453292519943295E-2</v>
          </cell>
        </row>
      </sheetData>
      <sheetData sheetId="14426">
        <row r="1">
          <cell r="J1">
            <v>1.7453292519943295E-2</v>
          </cell>
        </row>
      </sheetData>
      <sheetData sheetId="14427">
        <row r="1">
          <cell r="J1">
            <v>1.7453292519943295E-2</v>
          </cell>
        </row>
      </sheetData>
      <sheetData sheetId="14428">
        <row r="1">
          <cell r="J1">
            <v>1.7453292519943295E-2</v>
          </cell>
        </row>
      </sheetData>
      <sheetData sheetId="14429">
        <row r="1">
          <cell r="J1">
            <v>1.7453292519943295E-2</v>
          </cell>
        </row>
      </sheetData>
      <sheetData sheetId="14430">
        <row r="1">
          <cell r="J1">
            <v>1.7453292519943295E-2</v>
          </cell>
        </row>
      </sheetData>
      <sheetData sheetId="14431">
        <row r="1">
          <cell r="J1">
            <v>1.7453292519943295E-2</v>
          </cell>
        </row>
      </sheetData>
      <sheetData sheetId="14432">
        <row r="1">
          <cell r="J1">
            <v>1.7453292519943295E-2</v>
          </cell>
        </row>
      </sheetData>
      <sheetData sheetId="14433">
        <row r="1">
          <cell r="J1">
            <v>1.7453292519943295E-2</v>
          </cell>
        </row>
      </sheetData>
      <sheetData sheetId="14434">
        <row r="1">
          <cell r="J1">
            <v>1.7453292519943295E-2</v>
          </cell>
        </row>
      </sheetData>
      <sheetData sheetId="14435">
        <row r="1">
          <cell r="J1">
            <v>1.7453292519943295E-2</v>
          </cell>
        </row>
      </sheetData>
      <sheetData sheetId="14436">
        <row r="1">
          <cell r="J1">
            <v>1.7453292519943295E-2</v>
          </cell>
        </row>
      </sheetData>
      <sheetData sheetId="14437">
        <row r="1">
          <cell r="J1">
            <v>1.7453292519943295E-2</v>
          </cell>
        </row>
      </sheetData>
      <sheetData sheetId="14438">
        <row r="1">
          <cell r="J1">
            <v>1.7453292519943295E-2</v>
          </cell>
        </row>
      </sheetData>
      <sheetData sheetId="14439">
        <row r="1">
          <cell r="J1">
            <v>1.7453292519943295E-2</v>
          </cell>
        </row>
      </sheetData>
      <sheetData sheetId="14440">
        <row r="1">
          <cell r="J1">
            <v>1.7453292519943295E-2</v>
          </cell>
        </row>
      </sheetData>
      <sheetData sheetId="14441">
        <row r="1">
          <cell r="J1">
            <v>1.7453292519943295E-2</v>
          </cell>
        </row>
      </sheetData>
      <sheetData sheetId="14442">
        <row r="1">
          <cell r="J1">
            <v>1.7453292519943295E-2</v>
          </cell>
        </row>
      </sheetData>
      <sheetData sheetId="14443">
        <row r="1">
          <cell r="J1">
            <v>1.7453292519943295E-2</v>
          </cell>
        </row>
      </sheetData>
      <sheetData sheetId="14444">
        <row r="1">
          <cell r="J1">
            <v>1.7453292519943295E-2</v>
          </cell>
        </row>
      </sheetData>
      <sheetData sheetId="14445">
        <row r="1">
          <cell r="J1">
            <v>1.7453292519943295E-2</v>
          </cell>
        </row>
      </sheetData>
      <sheetData sheetId="14446">
        <row r="1">
          <cell r="J1">
            <v>1.7453292519943295E-2</v>
          </cell>
        </row>
      </sheetData>
      <sheetData sheetId="14447">
        <row r="1">
          <cell r="J1">
            <v>1.7453292519943295E-2</v>
          </cell>
        </row>
      </sheetData>
      <sheetData sheetId="14448">
        <row r="1">
          <cell r="J1">
            <v>1.7453292519943295E-2</v>
          </cell>
        </row>
      </sheetData>
      <sheetData sheetId="14449">
        <row r="1">
          <cell r="J1">
            <v>1.7453292519943295E-2</v>
          </cell>
        </row>
      </sheetData>
      <sheetData sheetId="14450">
        <row r="1">
          <cell r="J1">
            <v>1.7453292519943295E-2</v>
          </cell>
        </row>
      </sheetData>
      <sheetData sheetId="14451">
        <row r="1">
          <cell r="J1">
            <v>1.7453292519943295E-2</v>
          </cell>
        </row>
      </sheetData>
      <sheetData sheetId="14452">
        <row r="1">
          <cell r="J1">
            <v>1.7453292519943295E-2</v>
          </cell>
        </row>
      </sheetData>
      <sheetData sheetId="14453">
        <row r="1">
          <cell r="J1">
            <v>1.7453292519943295E-2</v>
          </cell>
        </row>
      </sheetData>
      <sheetData sheetId="14454">
        <row r="1">
          <cell r="J1">
            <v>1.7453292519943295E-2</v>
          </cell>
        </row>
      </sheetData>
      <sheetData sheetId="14455">
        <row r="1">
          <cell r="J1">
            <v>1.7453292519943295E-2</v>
          </cell>
        </row>
      </sheetData>
      <sheetData sheetId="14456">
        <row r="1">
          <cell r="J1">
            <v>1.7453292519943295E-2</v>
          </cell>
        </row>
      </sheetData>
      <sheetData sheetId="14457">
        <row r="1">
          <cell r="J1">
            <v>1.7453292519943295E-2</v>
          </cell>
        </row>
      </sheetData>
      <sheetData sheetId="14458">
        <row r="1">
          <cell r="J1">
            <v>1.7453292519943295E-2</v>
          </cell>
        </row>
      </sheetData>
      <sheetData sheetId="14459">
        <row r="1">
          <cell r="J1">
            <v>1.7453292519943295E-2</v>
          </cell>
        </row>
      </sheetData>
      <sheetData sheetId="14460">
        <row r="1">
          <cell r="J1">
            <v>1.7453292519943295E-2</v>
          </cell>
        </row>
      </sheetData>
      <sheetData sheetId="14461">
        <row r="1">
          <cell r="J1">
            <v>1.7453292519943295E-2</v>
          </cell>
        </row>
      </sheetData>
      <sheetData sheetId="14462">
        <row r="1">
          <cell r="J1">
            <v>1.7453292519943295E-2</v>
          </cell>
        </row>
      </sheetData>
      <sheetData sheetId="14463">
        <row r="1">
          <cell r="J1">
            <v>1.7453292519943295E-2</v>
          </cell>
        </row>
      </sheetData>
      <sheetData sheetId="14464">
        <row r="1">
          <cell r="J1">
            <v>1.7453292519943295E-2</v>
          </cell>
        </row>
      </sheetData>
      <sheetData sheetId="14465">
        <row r="1">
          <cell r="J1">
            <v>1.7453292519943295E-2</v>
          </cell>
        </row>
      </sheetData>
      <sheetData sheetId="14466">
        <row r="1">
          <cell r="J1">
            <v>1.7453292519943295E-2</v>
          </cell>
        </row>
      </sheetData>
      <sheetData sheetId="14467">
        <row r="1">
          <cell r="J1">
            <v>1.7453292519943295E-2</v>
          </cell>
        </row>
      </sheetData>
      <sheetData sheetId="14468">
        <row r="1">
          <cell r="J1">
            <v>1.7453292519943295E-2</v>
          </cell>
        </row>
      </sheetData>
      <sheetData sheetId="14469">
        <row r="1">
          <cell r="J1">
            <v>1.7453292519943295E-2</v>
          </cell>
        </row>
      </sheetData>
      <sheetData sheetId="14470">
        <row r="1">
          <cell r="J1">
            <v>1.7453292519943295E-2</v>
          </cell>
        </row>
      </sheetData>
      <sheetData sheetId="14471">
        <row r="1">
          <cell r="J1">
            <v>1.7453292519943295E-2</v>
          </cell>
        </row>
      </sheetData>
      <sheetData sheetId="14472">
        <row r="1">
          <cell r="J1">
            <v>1.7453292519943295E-2</v>
          </cell>
        </row>
      </sheetData>
      <sheetData sheetId="14473">
        <row r="1">
          <cell r="J1">
            <v>1.7453292519943295E-2</v>
          </cell>
        </row>
      </sheetData>
      <sheetData sheetId="14474">
        <row r="1">
          <cell r="J1">
            <v>1.7453292519943295E-2</v>
          </cell>
        </row>
      </sheetData>
      <sheetData sheetId="14475">
        <row r="1">
          <cell r="J1">
            <v>1.7453292519943295E-2</v>
          </cell>
        </row>
      </sheetData>
      <sheetData sheetId="14476">
        <row r="1">
          <cell r="J1">
            <v>1.7453292519943295E-2</v>
          </cell>
        </row>
      </sheetData>
      <sheetData sheetId="14477">
        <row r="1">
          <cell r="J1">
            <v>1.7453292519943295E-2</v>
          </cell>
        </row>
      </sheetData>
      <sheetData sheetId="14478">
        <row r="1">
          <cell r="J1">
            <v>1.7453292519943295E-2</v>
          </cell>
        </row>
      </sheetData>
      <sheetData sheetId="14479">
        <row r="1">
          <cell r="J1">
            <v>1.7453292519943295E-2</v>
          </cell>
        </row>
      </sheetData>
      <sheetData sheetId="14480">
        <row r="1">
          <cell r="J1">
            <v>1.7453292519943295E-2</v>
          </cell>
        </row>
      </sheetData>
      <sheetData sheetId="14481">
        <row r="1">
          <cell r="J1">
            <v>1.7453292519943295E-2</v>
          </cell>
        </row>
      </sheetData>
      <sheetData sheetId="14482">
        <row r="1">
          <cell r="J1">
            <v>1.7453292519943295E-2</v>
          </cell>
        </row>
      </sheetData>
      <sheetData sheetId="14483">
        <row r="1">
          <cell r="J1">
            <v>1.7453292519943295E-2</v>
          </cell>
        </row>
      </sheetData>
      <sheetData sheetId="14484">
        <row r="1">
          <cell r="J1">
            <v>1.7453292519943295E-2</v>
          </cell>
        </row>
      </sheetData>
      <sheetData sheetId="14485">
        <row r="1">
          <cell r="J1">
            <v>1.7453292519943295E-2</v>
          </cell>
        </row>
      </sheetData>
      <sheetData sheetId="14486">
        <row r="1">
          <cell r="J1">
            <v>1.7453292519943295E-2</v>
          </cell>
        </row>
      </sheetData>
      <sheetData sheetId="14487">
        <row r="1">
          <cell r="J1">
            <v>1.7453292519943295E-2</v>
          </cell>
        </row>
      </sheetData>
      <sheetData sheetId="14488">
        <row r="1">
          <cell r="J1">
            <v>1.7453292519943295E-2</v>
          </cell>
        </row>
      </sheetData>
      <sheetData sheetId="14489">
        <row r="1">
          <cell r="J1">
            <v>1.7453292519943295E-2</v>
          </cell>
        </row>
      </sheetData>
      <sheetData sheetId="14490">
        <row r="1">
          <cell r="J1">
            <v>1.7453292519943295E-2</v>
          </cell>
        </row>
      </sheetData>
      <sheetData sheetId="14491">
        <row r="1">
          <cell r="J1">
            <v>1.7453292519943295E-2</v>
          </cell>
        </row>
      </sheetData>
      <sheetData sheetId="14492">
        <row r="1">
          <cell r="J1">
            <v>1.7453292519943295E-2</v>
          </cell>
        </row>
      </sheetData>
      <sheetData sheetId="14493">
        <row r="1">
          <cell r="J1">
            <v>1.7453292519943295E-2</v>
          </cell>
        </row>
      </sheetData>
      <sheetData sheetId="14494">
        <row r="1">
          <cell r="J1">
            <v>1.7453292519943295E-2</v>
          </cell>
        </row>
      </sheetData>
      <sheetData sheetId="14495">
        <row r="1">
          <cell r="J1">
            <v>1.7453292519943295E-2</v>
          </cell>
        </row>
      </sheetData>
      <sheetData sheetId="14496">
        <row r="1">
          <cell r="J1">
            <v>1.7453292519943295E-2</v>
          </cell>
        </row>
      </sheetData>
      <sheetData sheetId="14497">
        <row r="1">
          <cell r="J1">
            <v>1.7453292519943295E-2</v>
          </cell>
        </row>
      </sheetData>
      <sheetData sheetId="14498">
        <row r="1">
          <cell r="J1">
            <v>1.7453292519943295E-2</v>
          </cell>
        </row>
      </sheetData>
      <sheetData sheetId="14499">
        <row r="1">
          <cell r="J1">
            <v>1.7453292519943295E-2</v>
          </cell>
        </row>
      </sheetData>
      <sheetData sheetId="14500">
        <row r="1">
          <cell r="J1">
            <v>1.7453292519943295E-2</v>
          </cell>
        </row>
      </sheetData>
      <sheetData sheetId="14501">
        <row r="1">
          <cell r="J1">
            <v>1.7453292519943295E-2</v>
          </cell>
        </row>
      </sheetData>
      <sheetData sheetId="14502">
        <row r="1">
          <cell r="J1">
            <v>1.7453292519943295E-2</v>
          </cell>
        </row>
      </sheetData>
      <sheetData sheetId="14503">
        <row r="1">
          <cell r="J1">
            <v>1.7453292519943295E-2</v>
          </cell>
        </row>
      </sheetData>
      <sheetData sheetId="14504">
        <row r="1">
          <cell r="J1">
            <v>1.7453292519943295E-2</v>
          </cell>
        </row>
      </sheetData>
      <sheetData sheetId="14505">
        <row r="1">
          <cell r="J1">
            <v>1.7453292519943295E-2</v>
          </cell>
        </row>
      </sheetData>
      <sheetData sheetId="14506">
        <row r="1">
          <cell r="J1">
            <v>1.7453292519943295E-2</v>
          </cell>
        </row>
      </sheetData>
      <sheetData sheetId="14507">
        <row r="1">
          <cell r="J1">
            <v>1.7453292519943295E-2</v>
          </cell>
        </row>
      </sheetData>
      <sheetData sheetId="14508">
        <row r="1">
          <cell r="J1">
            <v>1.7453292519943295E-2</v>
          </cell>
        </row>
      </sheetData>
      <sheetData sheetId="14509">
        <row r="1">
          <cell r="J1">
            <v>1.7453292519943295E-2</v>
          </cell>
        </row>
      </sheetData>
      <sheetData sheetId="14510">
        <row r="1">
          <cell r="J1">
            <v>1.7453292519943295E-2</v>
          </cell>
        </row>
      </sheetData>
      <sheetData sheetId="14511">
        <row r="1">
          <cell r="J1">
            <v>1.7453292519943295E-2</v>
          </cell>
        </row>
      </sheetData>
      <sheetData sheetId="14512">
        <row r="1">
          <cell r="J1">
            <v>1.7453292519943295E-2</v>
          </cell>
        </row>
      </sheetData>
      <sheetData sheetId="14513">
        <row r="1">
          <cell r="J1">
            <v>1.7453292519943295E-2</v>
          </cell>
        </row>
      </sheetData>
      <sheetData sheetId="14514">
        <row r="1">
          <cell r="J1">
            <v>1.7453292519943295E-2</v>
          </cell>
        </row>
      </sheetData>
      <sheetData sheetId="14515">
        <row r="1">
          <cell r="J1">
            <v>1.7453292519943295E-2</v>
          </cell>
        </row>
      </sheetData>
      <sheetData sheetId="14516">
        <row r="1">
          <cell r="J1">
            <v>1.7453292519943295E-2</v>
          </cell>
        </row>
      </sheetData>
      <sheetData sheetId="14517">
        <row r="1">
          <cell r="J1">
            <v>1.7453292519943295E-2</v>
          </cell>
        </row>
      </sheetData>
      <sheetData sheetId="14518">
        <row r="1">
          <cell r="J1">
            <v>1.7453292519943295E-2</v>
          </cell>
        </row>
      </sheetData>
      <sheetData sheetId="14519">
        <row r="1">
          <cell r="J1">
            <v>1.7453292519943295E-2</v>
          </cell>
        </row>
      </sheetData>
      <sheetData sheetId="14520">
        <row r="1">
          <cell r="J1">
            <v>1.7453292519943295E-2</v>
          </cell>
        </row>
      </sheetData>
      <sheetData sheetId="14521">
        <row r="1">
          <cell r="J1">
            <v>1.7453292519943295E-2</v>
          </cell>
        </row>
      </sheetData>
      <sheetData sheetId="14522">
        <row r="1">
          <cell r="J1">
            <v>1.7453292519943295E-2</v>
          </cell>
        </row>
      </sheetData>
      <sheetData sheetId="14523">
        <row r="1">
          <cell r="J1">
            <v>1.7453292519943295E-2</v>
          </cell>
        </row>
      </sheetData>
      <sheetData sheetId="14524">
        <row r="1">
          <cell r="J1">
            <v>1.7453292519943295E-2</v>
          </cell>
        </row>
      </sheetData>
      <sheetData sheetId="14525">
        <row r="1">
          <cell r="J1">
            <v>1.7453292519943295E-2</v>
          </cell>
        </row>
      </sheetData>
      <sheetData sheetId="14526">
        <row r="1">
          <cell r="J1">
            <v>1.7453292519943295E-2</v>
          </cell>
        </row>
      </sheetData>
      <sheetData sheetId="14527">
        <row r="1">
          <cell r="J1">
            <v>1.7453292519943295E-2</v>
          </cell>
        </row>
      </sheetData>
      <sheetData sheetId="14528">
        <row r="1">
          <cell r="J1">
            <v>1.7453292519943295E-2</v>
          </cell>
        </row>
      </sheetData>
      <sheetData sheetId="14529">
        <row r="1">
          <cell r="J1">
            <v>1.7453292519943295E-2</v>
          </cell>
        </row>
      </sheetData>
      <sheetData sheetId="14530">
        <row r="1">
          <cell r="J1">
            <v>1.7453292519943295E-2</v>
          </cell>
        </row>
      </sheetData>
      <sheetData sheetId="14531">
        <row r="1">
          <cell r="J1">
            <v>1.7453292519943295E-2</v>
          </cell>
        </row>
      </sheetData>
      <sheetData sheetId="14532">
        <row r="1">
          <cell r="J1">
            <v>1.7453292519943295E-2</v>
          </cell>
        </row>
      </sheetData>
      <sheetData sheetId="14533">
        <row r="1">
          <cell r="J1">
            <v>1.7453292519943295E-2</v>
          </cell>
        </row>
      </sheetData>
      <sheetData sheetId="14534">
        <row r="1">
          <cell r="J1">
            <v>1.7453292519943295E-2</v>
          </cell>
        </row>
      </sheetData>
      <sheetData sheetId="14535">
        <row r="1">
          <cell r="J1">
            <v>1.7453292519943295E-2</v>
          </cell>
        </row>
      </sheetData>
      <sheetData sheetId="14536">
        <row r="1">
          <cell r="J1">
            <v>1.7453292519943295E-2</v>
          </cell>
        </row>
      </sheetData>
      <sheetData sheetId="14537">
        <row r="1">
          <cell r="J1">
            <v>1.7453292519943295E-2</v>
          </cell>
        </row>
      </sheetData>
      <sheetData sheetId="14538">
        <row r="1">
          <cell r="J1">
            <v>1.7453292519943295E-2</v>
          </cell>
        </row>
      </sheetData>
      <sheetData sheetId="14539">
        <row r="1">
          <cell r="J1">
            <v>1.7453292519943295E-2</v>
          </cell>
        </row>
      </sheetData>
      <sheetData sheetId="14540">
        <row r="1">
          <cell r="J1">
            <v>1.7453292519943295E-2</v>
          </cell>
        </row>
      </sheetData>
      <sheetData sheetId="14541">
        <row r="1">
          <cell r="J1">
            <v>1.7453292519943295E-2</v>
          </cell>
        </row>
      </sheetData>
      <sheetData sheetId="14542">
        <row r="1">
          <cell r="J1">
            <v>1.7453292519943295E-2</v>
          </cell>
        </row>
      </sheetData>
      <sheetData sheetId="14543">
        <row r="1">
          <cell r="J1">
            <v>1.7453292519943295E-2</v>
          </cell>
        </row>
      </sheetData>
      <sheetData sheetId="14544">
        <row r="1">
          <cell r="J1">
            <v>1.7453292519943295E-2</v>
          </cell>
        </row>
      </sheetData>
      <sheetData sheetId="14545">
        <row r="1">
          <cell r="J1">
            <v>1.7453292519943295E-2</v>
          </cell>
        </row>
      </sheetData>
      <sheetData sheetId="14546">
        <row r="1">
          <cell r="J1">
            <v>1.7453292519943295E-2</v>
          </cell>
        </row>
      </sheetData>
      <sheetData sheetId="14547">
        <row r="1">
          <cell r="J1">
            <v>1.7453292519943295E-2</v>
          </cell>
        </row>
      </sheetData>
      <sheetData sheetId="14548">
        <row r="1">
          <cell r="J1">
            <v>1.7453292519943295E-2</v>
          </cell>
        </row>
      </sheetData>
      <sheetData sheetId="14549">
        <row r="1">
          <cell r="J1">
            <v>1.7453292519943295E-2</v>
          </cell>
        </row>
      </sheetData>
      <sheetData sheetId="14550">
        <row r="1">
          <cell r="J1">
            <v>1.7453292519943295E-2</v>
          </cell>
        </row>
      </sheetData>
      <sheetData sheetId="14551">
        <row r="1">
          <cell r="J1">
            <v>1.7453292519943295E-2</v>
          </cell>
        </row>
      </sheetData>
      <sheetData sheetId="14552">
        <row r="1">
          <cell r="J1">
            <v>1.7453292519943295E-2</v>
          </cell>
        </row>
      </sheetData>
      <sheetData sheetId="14553">
        <row r="1">
          <cell r="J1">
            <v>1.7453292519943295E-2</v>
          </cell>
        </row>
      </sheetData>
      <sheetData sheetId="14554">
        <row r="1">
          <cell r="J1">
            <v>1.7453292519943295E-2</v>
          </cell>
        </row>
      </sheetData>
      <sheetData sheetId="14555">
        <row r="1">
          <cell r="J1">
            <v>1.7453292519943295E-2</v>
          </cell>
        </row>
      </sheetData>
      <sheetData sheetId="14556">
        <row r="1">
          <cell r="J1">
            <v>1.7453292519943295E-2</v>
          </cell>
        </row>
      </sheetData>
      <sheetData sheetId="14557">
        <row r="1">
          <cell r="J1">
            <v>1.7453292519943295E-2</v>
          </cell>
        </row>
      </sheetData>
      <sheetData sheetId="14558">
        <row r="1">
          <cell r="J1">
            <v>1.7453292519943295E-2</v>
          </cell>
        </row>
      </sheetData>
      <sheetData sheetId="14559">
        <row r="1">
          <cell r="J1">
            <v>1.7453292519943295E-2</v>
          </cell>
        </row>
      </sheetData>
      <sheetData sheetId="14560">
        <row r="1">
          <cell r="J1">
            <v>1.7453292519943295E-2</v>
          </cell>
        </row>
      </sheetData>
      <sheetData sheetId="14561">
        <row r="1">
          <cell r="J1">
            <v>1.7453292519943295E-2</v>
          </cell>
        </row>
      </sheetData>
      <sheetData sheetId="14562">
        <row r="1">
          <cell r="J1">
            <v>1.7453292519943295E-2</v>
          </cell>
        </row>
      </sheetData>
      <sheetData sheetId="14563">
        <row r="1">
          <cell r="J1">
            <v>1.7453292519943295E-2</v>
          </cell>
        </row>
      </sheetData>
      <sheetData sheetId="14564">
        <row r="1">
          <cell r="J1">
            <v>1.7453292519943295E-2</v>
          </cell>
        </row>
      </sheetData>
      <sheetData sheetId="14565">
        <row r="1">
          <cell r="J1">
            <v>1.7453292519943295E-2</v>
          </cell>
        </row>
      </sheetData>
      <sheetData sheetId="14566">
        <row r="1">
          <cell r="J1">
            <v>1.7453292519943295E-2</v>
          </cell>
        </row>
      </sheetData>
      <sheetData sheetId="14567">
        <row r="1">
          <cell r="J1">
            <v>1.7453292519943295E-2</v>
          </cell>
        </row>
      </sheetData>
      <sheetData sheetId="14568">
        <row r="1">
          <cell r="J1">
            <v>1.7453292519943295E-2</v>
          </cell>
        </row>
      </sheetData>
      <sheetData sheetId="14569">
        <row r="1">
          <cell r="J1">
            <v>1.7453292519943295E-2</v>
          </cell>
        </row>
      </sheetData>
      <sheetData sheetId="14570">
        <row r="1">
          <cell r="J1">
            <v>1.7453292519943295E-2</v>
          </cell>
        </row>
      </sheetData>
      <sheetData sheetId="14571">
        <row r="1">
          <cell r="J1">
            <v>1.7453292519943295E-2</v>
          </cell>
        </row>
      </sheetData>
      <sheetData sheetId="14572">
        <row r="1">
          <cell r="J1">
            <v>1.7453292519943295E-2</v>
          </cell>
        </row>
      </sheetData>
      <sheetData sheetId="14573">
        <row r="1">
          <cell r="J1">
            <v>1.7453292519943295E-2</v>
          </cell>
        </row>
      </sheetData>
      <sheetData sheetId="14574">
        <row r="1">
          <cell r="J1">
            <v>1.7453292519943295E-2</v>
          </cell>
        </row>
      </sheetData>
      <sheetData sheetId="14575">
        <row r="1">
          <cell r="J1">
            <v>1.7453292519943295E-2</v>
          </cell>
        </row>
      </sheetData>
      <sheetData sheetId="14576">
        <row r="1">
          <cell r="J1">
            <v>1.7453292519943295E-2</v>
          </cell>
        </row>
      </sheetData>
      <sheetData sheetId="14577">
        <row r="1">
          <cell r="J1">
            <v>1.7453292519943295E-2</v>
          </cell>
        </row>
      </sheetData>
      <sheetData sheetId="14578">
        <row r="1">
          <cell r="J1">
            <v>1.7453292519943295E-2</v>
          </cell>
        </row>
      </sheetData>
      <sheetData sheetId="14579">
        <row r="1">
          <cell r="J1">
            <v>1.7453292519943295E-2</v>
          </cell>
        </row>
      </sheetData>
      <sheetData sheetId="14580">
        <row r="1">
          <cell r="J1">
            <v>1.7453292519943295E-2</v>
          </cell>
        </row>
      </sheetData>
      <sheetData sheetId="14581">
        <row r="1">
          <cell r="J1">
            <v>1.7453292519943295E-2</v>
          </cell>
        </row>
      </sheetData>
      <sheetData sheetId="14582">
        <row r="1">
          <cell r="J1">
            <v>1.7453292519943295E-2</v>
          </cell>
        </row>
      </sheetData>
      <sheetData sheetId="14583">
        <row r="1">
          <cell r="J1">
            <v>1.7453292519943295E-2</v>
          </cell>
        </row>
      </sheetData>
      <sheetData sheetId="14584">
        <row r="1">
          <cell r="J1">
            <v>1.7453292519943295E-2</v>
          </cell>
        </row>
      </sheetData>
      <sheetData sheetId="14585">
        <row r="1">
          <cell r="J1">
            <v>1.7453292519943295E-2</v>
          </cell>
        </row>
      </sheetData>
      <sheetData sheetId="14586">
        <row r="1">
          <cell r="J1">
            <v>1.7453292519943295E-2</v>
          </cell>
        </row>
      </sheetData>
      <sheetData sheetId="14587">
        <row r="1">
          <cell r="J1">
            <v>1.7453292519943295E-2</v>
          </cell>
        </row>
      </sheetData>
      <sheetData sheetId="14588">
        <row r="1">
          <cell r="J1">
            <v>1.7453292519943295E-2</v>
          </cell>
        </row>
      </sheetData>
      <sheetData sheetId="14589">
        <row r="1">
          <cell r="J1">
            <v>1.7453292519943295E-2</v>
          </cell>
        </row>
      </sheetData>
      <sheetData sheetId="14590">
        <row r="1">
          <cell r="J1">
            <v>1.7453292519943295E-2</v>
          </cell>
        </row>
      </sheetData>
      <sheetData sheetId="14591">
        <row r="1">
          <cell r="J1">
            <v>1.7453292519943295E-2</v>
          </cell>
        </row>
      </sheetData>
      <sheetData sheetId="14592">
        <row r="1">
          <cell r="J1">
            <v>1.7453292519943295E-2</v>
          </cell>
        </row>
      </sheetData>
      <sheetData sheetId="14593">
        <row r="1">
          <cell r="J1">
            <v>1.7453292519943295E-2</v>
          </cell>
        </row>
      </sheetData>
      <sheetData sheetId="14594">
        <row r="1">
          <cell r="J1">
            <v>1.7453292519943295E-2</v>
          </cell>
        </row>
      </sheetData>
      <sheetData sheetId="14595">
        <row r="1">
          <cell r="J1">
            <v>1.7453292519943295E-2</v>
          </cell>
        </row>
      </sheetData>
      <sheetData sheetId="14596">
        <row r="1">
          <cell r="J1">
            <v>1.7453292519943295E-2</v>
          </cell>
        </row>
      </sheetData>
      <sheetData sheetId="14597">
        <row r="1">
          <cell r="J1">
            <v>1.7453292519943295E-2</v>
          </cell>
        </row>
      </sheetData>
      <sheetData sheetId="14598">
        <row r="1">
          <cell r="J1">
            <v>1.7453292519943295E-2</v>
          </cell>
        </row>
      </sheetData>
      <sheetData sheetId="14599">
        <row r="1">
          <cell r="J1">
            <v>1.7453292519943295E-2</v>
          </cell>
        </row>
      </sheetData>
      <sheetData sheetId="14600">
        <row r="1">
          <cell r="J1">
            <v>1.7453292519943295E-2</v>
          </cell>
        </row>
      </sheetData>
      <sheetData sheetId="14601">
        <row r="1">
          <cell r="J1">
            <v>1.7453292519943295E-2</v>
          </cell>
        </row>
      </sheetData>
      <sheetData sheetId="14602">
        <row r="1">
          <cell r="J1">
            <v>1.7453292519943295E-2</v>
          </cell>
        </row>
      </sheetData>
      <sheetData sheetId="14603">
        <row r="1">
          <cell r="J1">
            <v>1.7453292519943295E-2</v>
          </cell>
        </row>
      </sheetData>
      <sheetData sheetId="14604">
        <row r="1">
          <cell r="J1">
            <v>1.7453292519943295E-2</v>
          </cell>
        </row>
      </sheetData>
      <sheetData sheetId="14605">
        <row r="1">
          <cell r="J1">
            <v>1.7453292519943295E-2</v>
          </cell>
        </row>
      </sheetData>
      <sheetData sheetId="14606">
        <row r="1">
          <cell r="J1">
            <v>1.7453292519943295E-2</v>
          </cell>
        </row>
      </sheetData>
      <sheetData sheetId="14607">
        <row r="1">
          <cell r="J1">
            <v>1.7453292519943295E-2</v>
          </cell>
        </row>
      </sheetData>
      <sheetData sheetId="14608">
        <row r="1">
          <cell r="J1">
            <v>1.7453292519943295E-2</v>
          </cell>
        </row>
      </sheetData>
      <sheetData sheetId="14609">
        <row r="1">
          <cell r="J1">
            <v>1.7453292519943295E-2</v>
          </cell>
        </row>
      </sheetData>
      <sheetData sheetId="14610">
        <row r="1">
          <cell r="J1">
            <v>1.7453292519943295E-2</v>
          </cell>
        </row>
      </sheetData>
      <sheetData sheetId="14611">
        <row r="1">
          <cell r="J1">
            <v>1.7453292519943295E-2</v>
          </cell>
        </row>
      </sheetData>
      <sheetData sheetId="14612">
        <row r="1">
          <cell r="J1">
            <v>1.7453292519943295E-2</v>
          </cell>
        </row>
      </sheetData>
      <sheetData sheetId="14613">
        <row r="1">
          <cell r="J1">
            <v>1.7453292519943295E-2</v>
          </cell>
        </row>
      </sheetData>
      <sheetData sheetId="14614">
        <row r="1">
          <cell r="J1">
            <v>1.7453292519943295E-2</v>
          </cell>
        </row>
      </sheetData>
      <sheetData sheetId="14615">
        <row r="1">
          <cell r="J1">
            <v>1.7453292519943295E-2</v>
          </cell>
        </row>
      </sheetData>
      <sheetData sheetId="14616">
        <row r="1">
          <cell r="J1">
            <v>1.7453292519943295E-2</v>
          </cell>
        </row>
      </sheetData>
      <sheetData sheetId="14617">
        <row r="1">
          <cell r="J1">
            <v>1.7453292519943295E-2</v>
          </cell>
        </row>
      </sheetData>
      <sheetData sheetId="14618">
        <row r="1">
          <cell r="J1">
            <v>1.7453292519943295E-2</v>
          </cell>
        </row>
      </sheetData>
      <sheetData sheetId="14619">
        <row r="1">
          <cell r="J1">
            <v>1.7453292519943295E-2</v>
          </cell>
        </row>
      </sheetData>
      <sheetData sheetId="14620">
        <row r="1">
          <cell r="J1">
            <v>1.7453292519943295E-2</v>
          </cell>
        </row>
      </sheetData>
      <sheetData sheetId="14621">
        <row r="1">
          <cell r="J1">
            <v>1.7453292519943295E-2</v>
          </cell>
        </row>
      </sheetData>
      <sheetData sheetId="14622">
        <row r="1">
          <cell r="J1">
            <v>1.7453292519943295E-2</v>
          </cell>
        </row>
      </sheetData>
      <sheetData sheetId="14623">
        <row r="1">
          <cell r="J1">
            <v>1.7453292519943295E-2</v>
          </cell>
        </row>
      </sheetData>
      <sheetData sheetId="14624">
        <row r="1">
          <cell r="J1">
            <v>1.7453292519943295E-2</v>
          </cell>
        </row>
      </sheetData>
      <sheetData sheetId="14625">
        <row r="1">
          <cell r="J1">
            <v>1.7453292519943295E-2</v>
          </cell>
        </row>
      </sheetData>
      <sheetData sheetId="14626">
        <row r="1">
          <cell r="J1">
            <v>1.7453292519943295E-2</v>
          </cell>
        </row>
      </sheetData>
      <sheetData sheetId="14627">
        <row r="1">
          <cell r="J1">
            <v>1.7453292519943295E-2</v>
          </cell>
        </row>
      </sheetData>
      <sheetData sheetId="14628">
        <row r="1">
          <cell r="J1">
            <v>1.7453292519943295E-2</v>
          </cell>
        </row>
      </sheetData>
      <sheetData sheetId="14629">
        <row r="1">
          <cell r="J1">
            <v>1.7453292519943295E-2</v>
          </cell>
        </row>
      </sheetData>
      <sheetData sheetId="14630">
        <row r="1">
          <cell r="J1">
            <v>1.7453292519943295E-2</v>
          </cell>
        </row>
      </sheetData>
      <sheetData sheetId="14631">
        <row r="1">
          <cell r="J1">
            <v>1.7453292519943295E-2</v>
          </cell>
        </row>
      </sheetData>
      <sheetData sheetId="14632">
        <row r="1">
          <cell r="J1">
            <v>1.7453292519943295E-2</v>
          </cell>
        </row>
      </sheetData>
      <sheetData sheetId="14633">
        <row r="1">
          <cell r="J1">
            <v>1.7453292519943295E-2</v>
          </cell>
        </row>
      </sheetData>
      <sheetData sheetId="14634">
        <row r="1">
          <cell r="J1">
            <v>1.7453292519943295E-2</v>
          </cell>
        </row>
      </sheetData>
      <sheetData sheetId="14635">
        <row r="1">
          <cell r="J1">
            <v>1.7453292519943295E-2</v>
          </cell>
        </row>
      </sheetData>
      <sheetData sheetId="14636">
        <row r="1">
          <cell r="J1">
            <v>1.7453292519943295E-2</v>
          </cell>
        </row>
      </sheetData>
      <sheetData sheetId="14637">
        <row r="1">
          <cell r="J1">
            <v>1.7453292519943295E-2</v>
          </cell>
        </row>
      </sheetData>
      <sheetData sheetId="14638">
        <row r="1">
          <cell r="J1">
            <v>1.7453292519943295E-2</v>
          </cell>
        </row>
      </sheetData>
      <sheetData sheetId="14639">
        <row r="1">
          <cell r="J1">
            <v>1.7453292519943295E-2</v>
          </cell>
        </row>
      </sheetData>
      <sheetData sheetId="14640">
        <row r="1">
          <cell r="J1">
            <v>1.7453292519943295E-2</v>
          </cell>
        </row>
      </sheetData>
      <sheetData sheetId="14641">
        <row r="1">
          <cell r="J1">
            <v>1.7453292519943295E-2</v>
          </cell>
        </row>
      </sheetData>
      <sheetData sheetId="14642">
        <row r="1">
          <cell r="J1">
            <v>1.7453292519943295E-2</v>
          </cell>
        </row>
      </sheetData>
      <sheetData sheetId="14643">
        <row r="1">
          <cell r="J1">
            <v>1.7453292519943295E-2</v>
          </cell>
        </row>
      </sheetData>
      <sheetData sheetId="14644">
        <row r="1">
          <cell r="J1">
            <v>1.7453292519943295E-2</v>
          </cell>
        </row>
      </sheetData>
      <sheetData sheetId="14645">
        <row r="1">
          <cell r="J1">
            <v>1.7453292519943295E-2</v>
          </cell>
        </row>
      </sheetData>
      <sheetData sheetId="14646">
        <row r="1">
          <cell r="J1">
            <v>1.7453292519943295E-2</v>
          </cell>
        </row>
      </sheetData>
      <sheetData sheetId="14647">
        <row r="1">
          <cell r="J1">
            <v>1.7453292519943295E-2</v>
          </cell>
        </row>
      </sheetData>
      <sheetData sheetId="14648">
        <row r="1">
          <cell r="J1">
            <v>1.7453292519943295E-2</v>
          </cell>
        </row>
      </sheetData>
      <sheetData sheetId="14649">
        <row r="1">
          <cell r="J1">
            <v>1.7453292519943295E-2</v>
          </cell>
        </row>
      </sheetData>
      <sheetData sheetId="14650">
        <row r="1">
          <cell r="J1">
            <v>1.7453292519943295E-2</v>
          </cell>
        </row>
      </sheetData>
      <sheetData sheetId="14651">
        <row r="1">
          <cell r="J1">
            <v>1.7453292519943295E-2</v>
          </cell>
        </row>
      </sheetData>
      <sheetData sheetId="14652">
        <row r="1">
          <cell r="J1">
            <v>1.7453292519943295E-2</v>
          </cell>
        </row>
      </sheetData>
      <sheetData sheetId="14653">
        <row r="1">
          <cell r="J1">
            <v>1.7453292519943295E-2</v>
          </cell>
        </row>
      </sheetData>
      <sheetData sheetId="14654">
        <row r="1">
          <cell r="J1">
            <v>1.7453292519943295E-2</v>
          </cell>
        </row>
      </sheetData>
      <sheetData sheetId="14655">
        <row r="1">
          <cell r="J1">
            <v>1.7453292519943295E-2</v>
          </cell>
        </row>
      </sheetData>
      <sheetData sheetId="14656">
        <row r="1">
          <cell r="J1">
            <v>1.7453292519943295E-2</v>
          </cell>
        </row>
      </sheetData>
      <sheetData sheetId="14657">
        <row r="1">
          <cell r="J1">
            <v>1.7453292519943295E-2</v>
          </cell>
        </row>
      </sheetData>
      <sheetData sheetId="14658">
        <row r="1">
          <cell r="J1">
            <v>1.7453292519943295E-2</v>
          </cell>
        </row>
      </sheetData>
      <sheetData sheetId="14659">
        <row r="1">
          <cell r="J1">
            <v>1.7453292519943295E-2</v>
          </cell>
        </row>
      </sheetData>
      <sheetData sheetId="14660">
        <row r="1">
          <cell r="J1">
            <v>1.7453292519943295E-2</v>
          </cell>
        </row>
      </sheetData>
      <sheetData sheetId="14661">
        <row r="1">
          <cell r="J1">
            <v>1.7453292519943295E-2</v>
          </cell>
        </row>
      </sheetData>
      <sheetData sheetId="14662">
        <row r="1">
          <cell r="J1">
            <v>1.7453292519943295E-2</v>
          </cell>
        </row>
      </sheetData>
      <sheetData sheetId="14663">
        <row r="1">
          <cell r="J1">
            <v>1.7453292519943295E-2</v>
          </cell>
        </row>
      </sheetData>
      <sheetData sheetId="14664">
        <row r="1">
          <cell r="J1">
            <v>1.7453292519943295E-2</v>
          </cell>
        </row>
      </sheetData>
      <sheetData sheetId="14665">
        <row r="1">
          <cell r="J1">
            <v>1.7453292519943295E-2</v>
          </cell>
        </row>
      </sheetData>
      <sheetData sheetId="14666">
        <row r="1">
          <cell r="J1">
            <v>1.7453292519943295E-2</v>
          </cell>
        </row>
      </sheetData>
      <sheetData sheetId="14667">
        <row r="1">
          <cell r="J1">
            <v>1.7453292519943295E-2</v>
          </cell>
        </row>
      </sheetData>
      <sheetData sheetId="14668">
        <row r="1">
          <cell r="J1">
            <v>1.7453292519943295E-2</v>
          </cell>
        </row>
      </sheetData>
      <sheetData sheetId="14669">
        <row r="1">
          <cell r="J1">
            <v>1.7453292519943295E-2</v>
          </cell>
        </row>
      </sheetData>
      <sheetData sheetId="14670">
        <row r="1">
          <cell r="J1">
            <v>1.7453292519943295E-2</v>
          </cell>
        </row>
      </sheetData>
      <sheetData sheetId="14671">
        <row r="1">
          <cell r="J1">
            <v>1.7453292519943295E-2</v>
          </cell>
        </row>
      </sheetData>
      <sheetData sheetId="14672">
        <row r="1">
          <cell r="J1">
            <v>1.7453292519943295E-2</v>
          </cell>
        </row>
      </sheetData>
      <sheetData sheetId="14673">
        <row r="1">
          <cell r="J1">
            <v>1.7453292519943295E-2</v>
          </cell>
        </row>
      </sheetData>
      <sheetData sheetId="14674">
        <row r="1">
          <cell r="J1">
            <v>1.7453292519943295E-2</v>
          </cell>
        </row>
      </sheetData>
      <sheetData sheetId="14675">
        <row r="1">
          <cell r="J1">
            <v>1.7453292519943295E-2</v>
          </cell>
        </row>
      </sheetData>
      <sheetData sheetId="14676">
        <row r="1">
          <cell r="J1">
            <v>1.7453292519943295E-2</v>
          </cell>
        </row>
      </sheetData>
      <sheetData sheetId="14677">
        <row r="1">
          <cell r="J1">
            <v>1.7453292519943295E-2</v>
          </cell>
        </row>
      </sheetData>
      <sheetData sheetId="14678">
        <row r="1">
          <cell r="J1">
            <v>1.7453292519943295E-2</v>
          </cell>
        </row>
      </sheetData>
      <sheetData sheetId="14679">
        <row r="1">
          <cell r="J1">
            <v>1.7453292519943295E-2</v>
          </cell>
        </row>
      </sheetData>
      <sheetData sheetId="14680">
        <row r="1">
          <cell r="J1">
            <v>1.7453292519943295E-2</v>
          </cell>
        </row>
      </sheetData>
      <sheetData sheetId="14681">
        <row r="1">
          <cell r="J1">
            <v>1.7453292519943295E-2</v>
          </cell>
        </row>
      </sheetData>
      <sheetData sheetId="14682">
        <row r="1">
          <cell r="J1">
            <v>1.7453292519943295E-2</v>
          </cell>
        </row>
      </sheetData>
      <sheetData sheetId="14683">
        <row r="1">
          <cell r="J1">
            <v>1.7453292519943295E-2</v>
          </cell>
        </row>
      </sheetData>
      <sheetData sheetId="14684">
        <row r="1">
          <cell r="J1">
            <v>1.7453292519943295E-2</v>
          </cell>
        </row>
      </sheetData>
      <sheetData sheetId="14685">
        <row r="1">
          <cell r="J1">
            <v>1.7453292519943295E-2</v>
          </cell>
        </row>
      </sheetData>
      <sheetData sheetId="14686">
        <row r="1">
          <cell r="J1">
            <v>1.7453292519943295E-2</v>
          </cell>
        </row>
      </sheetData>
      <sheetData sheetId="14687">
        <row r="1">
          <cell r="J1">
            <v>1.7453292519943295E-2</v>
          </cell>
        </row>
      </sheetData>
      <sheetData sheetId="14688">
        <row r="1">
          <cell r="J1">
            <v>1.7453292519943295E-2</v>
          </cell>
        </row>
      </sheetData>
      <sheetData sheetId="14689">
        <row r="1">
          <cell r="J1">
            <v>1.7453292519943295E-2</v>
          </cell>
        </row>
      </sheetData>
      <sheetData sheetId="14690">
        <row r="1">
          <cell r="J1">
            <v>1.7453292519943295E-2</v>
          </cell>
        </row>
      </sheetData>
      <sheetData sheetId="14691">
        <row r="1">
          <cell r="J1">
            <v>1.7453292519943295E-2</v>
          </cell>
        </row>
      </sheetData>
      <sheetData sheetId="14692">
        <row r="1">
          <cell r="J1">
            <v>1.7453292519943295E-2</v>
          </cell>
        </row>
      </sheetData>
      <sheetData sheetId="14693">
        <row r="1">
          <cell r="J1">
            <v>1.7453292519943295E-2</v>
          </cell>
        </row>
      </sheetData>
      <sheetData sheetId="14694">
        <row r="1">
          <cell r="J1">
            <v>1.7453292519943295E-2</v>
          </cell>
        </row>
      </sheetData>
      <sheetData sheetId="14695">
        <row r="1">
          <cell r="J1">
            <v>1.7453292519943295E-2</v>
          </cell>
        </row>
      </sheetData>
      <sheetData sheetId="14696">
        <row r="1">
          <cell r="J1">
            <v>1.7453292519943295E-2</v>
          </cell>
        </row>
      </sheetData>
      <sheetData sheetId="14697">
        <row r="1">
          <cell r="J1">
            <v>1.7453292519943295E-2</v>
          </cell>
        </row>
      </sheetData>
      <sheetData sheetId="14698">
        <row r="1">
          <cell r="J1">
            <v>1.7453292519943295E-2</v>
          </cell>
        </row>
      </sheetData>
      <sheetData sheetId="14699">
        <row r="1">
          <cell r="J1">
            <v>1.7453292519943295E-2</v>
          </cell>
        </row>
      </sheetData>
      <sheetData sheetId="14700">
        <row r="1">
          <cell r="J1">
            <v>1.7453292519943295E-2</v>
          </cell>
        </row>
      </sheetData>
      <sheetData sheetId="14701">
        <row r="1">
          <cell r="J1">
            <v>1.7453292519943295E-2</v>
          </cell>
        </row>
      </sheetData>
      <sheetData sheetId="14702">
        <row r="1">
          <cell r="J1">
            <v>1.7453292519943295E-2</v>
          </cell>
        </row>
      </sheetData>
      <sheetData sheetId="14703">
        <row r="1">
          <cell r="J1">
            <v>1.7453292519943295E-2</v>
          </cell>
        </row>
      </sheetData>
      <sheetData sheetId="14704">
        <row r="1">
          <cell r="J1">
            <v>1.7453292519943295E-2</v>
          </cell>
        </row>
      </sheetData>
      <sheetData sheetId="14705">
        <row r="1">
          <cell r="J1">
            <v>1.7453292519943295E-2</v>
          </cell>
        </row>
      </sheetData>
      <sheetData sheetId="14706">
        <row r="1">
          <cell r="J1">
            <v>1.7453292519943295E-2</v>
          </cell>
        </row>
      </sheetData>
      <sheetData sheetId="14707">
        <row r="1">
          <cell r="J1">
            <v>1.7453292519943295E-2</v>
          </cell>
        </row>
      </sheetData>
      <sheetData sheetId="14708">
        <row r="1">
          <cell r="J1">
            <v>1.7453292519943295E-2</v>
          </cell>
        </row>
      </sheetData>
      <sheetData sheetId="14709">
        <row r="1">
          <cell r="J1">
            <v>1.7453292519943295E-2</v>
          </cell>
        </row>
      </sheetData>
      <sheetData sheetId="14710">
        <row r="1">
          <cell r="J1">
            <v>1.7453292519943295E-2</v>
          </cell>
        </row>
      </sheetData>
      <sheetData sheetId="14711">
        <row r="1">
          <cell r="J1">
            <v>1.7453292519943295E-2</v>
          </cell>
        </row>
      </sheetData>
      <sheetData sheetId="14712">
        <row r="1">
          <cell r="J1">
            <v>1.7453292519943295E-2</v>
          </cell>
        </row>
      </sheetData>
      <sheetData sheetId="14713">
        <row r="1">
          <cell r="J1">
            <v>1.7453292519943295E-2</v>
          </cell>
        </row>
      </sheetData>
      <sheetData sheetId="14714">
        <row r="1">
          <cell r="J1">
            <v>1.7453292519943295E-2</v>
          </cell>
        </row>
      </sheetData>
      <sheetData sheetId="14715">
        <row r="1">
          <cell r="J1">
            <v>1.7453292519943295E-2</v>
          </cell>
        </row>
      </sheetData>
      <sheetData sheetId="14716">
        <row r="1">
          <cell r="J1">
            <v>1.7453292519943295E-2</v>
          </cell>
        </row>
      </sheetData>
      <sheetData sheetId="14717">
        <row r="1">
          <cell r="J1">
            <v>1.7453292519943295E-2</v>
          </cell>
        </row>
      </sheetData>
      <sheetData sheetId="14718">
        <row r="1">
          <cell r="J1">
            <v>1.7453292519943295E-2</v>
          </cell>
        </row>
      </sheetData>
      <sheetData sheetId="14719">
        <row r="1">
          <cell r="J1">
            <v>1.7453292519943295E-2</v>
          </cell>
        </row>
      </sheetData>
      <sheetData sheetId="14720">
        <row r="1">
          <cell r="J1">
            <v>1.7453292519943295E-2</v>
          </cell>
        </row>
      </sheetData>
      <sheetData sheetId="14721">
        <row r="1">
          <cell r="J1">
            <v>1.7453292519943295E-2</v>
          </cell>
        </row>
      </sheetData>
      <sheetData sheetId="14722">
        <row r="1">
          <cell r="J1">
            <v>1.7453292519943295E-2</v>
          </cell>
        </row>
      </sheetData>
      <sheetData sheetId="14723">
        <row r="1">
          <cell r="J1">
            <v>1.7453292519943295E-2</v>
          </cell>
        </row>
      </sheetData>
      <sheetData sheetId="14724">
        <row r="1">
          <cell r="J1">
            <v>1.7453292519943295E-2</v>
          </cell>
        </row>
      </sheetData>
      <sheetData sheetId="14725">
        <row r="1">
          <cell r="J1">
            <v>1.7453292519943295E-2</v>
          </cell>
        </row>
      </sheetData>
      <sheetData sheetId="14726">
        <row r="1">
          <cell r="J1">
            <v>1.7453292519943295E-2</v>
          </cell>
        </row>
      </sheetData>
      <sheetData sheetId="14727">
        <row r="1">
          <cell r="J1">
            <v>1.7453292519943295E-2</v>
          </cell>
        </row>
      </sheetData>
      <sheetData sheetId="14728">
        <row r="1">
          <cell r="J1">
            <v>1.7453292519943295E-2</v>
          </cell>
        </row>
      </sheetData>
      <sheetData sheetId="14729">
        <row r="1">
          <cell r="J1">
            <v>1.7453292519943295E-2</v>
          </cell>
        </row>
      </sheetData>
      <sheetData sheetId="14730">
        <row r="1">
          <cell r="J1">
            <v>1.7453292519943295E-2</v>
          </cell>
        </row>
      </sheetData>
      <sheetData sheetId="14731">
        <row r="1">
          <cell r="J1">
            <v>1.7453292519943295E-2</v>
          </cell>
        </row>
      </sheetData>
      <sheetData sheetId="14732">
        <row r="1">
          <cell r="J1">
            <v>1.7453292519943295E-2</v>
          </cell>
        </row>
      </sheetData>
      <sheetData sheetId="14733">
        <row r="1">
          <cell r="J1">
            <v>1.7453292519943295E-2</v>
          </cell>
        </row>
      </sheetData>
      <sheetData sheetId="14734">
        <row r="1">
          <cell r="J1">
            <v>1.7453292519943295E-2</v>
          </cell>
        </row>
      </sheetData>
      <sheetData sheetId="14735">
        <row r="1">
          <cell r="J1">
            <v>1.7453292519943295E-2</v>
          </cell>
        </row>
      </sheetData>
      <sheetData sheetId="14736">
        <row r="1">
          <cell r="J1">
            <v>1.7453292519943295E-2</v>
          </cell>
        </row>
      </sheetData>
      <sheetData sheetId="14737">
        <row r="1">
          <cell r="J1">
            <v>1.7453292519943295E-2</v>
          </cell>
        </row>
      </sheetData>
      <sheetData sheetId="14738">
        <row r="1">
          <cell r="J1">
            <v>1.7453292519943295E-2</v>
          </cell>
        </row>
      </sheetData>
      <sheetData sheetId="14739">
        <row r="1">
          <cell r="J1">
            <v>1.7453292519943295E-2</v>
          </cell>
        </row>
      </sheetData>
      <sheetData sheetId="14740">
        <row r="1">
          <cell r="J1">
            <v>1.7453292519943295E-2</v>
          </cell>
        </row>
      </sheetData>
      <sheetData sheetId="14741">
        <row r="1">
          <cell r="J1">
            <v>1.7453292519943295E-2</v>
          </cell>
        </row>
      </sheetData>
      <sheetData sheetId="14742">
        <row r="1">
          <cell r="J1">
            <v>1.7453292519943295E-2</v>
          </cell>
        </row>
      </sheetData>
      <sheetData sheetId="14743">
        <row r="1">
          <cell r="J1">
            <v>1.7453292519943295E-2</v>
          </cell>
        </row>
      </sheetData>
      <sheetData sheetId="14744">
        <row r="1">
          <cell r="J1">
            <v>1.7453292519943295E-2</v>
          </cell>
        </row>
      </sheetData>
      <sheetData sheetId="14745">
        <row r="1">
          <cell r="J1">
            <v>1.7453292519943295E-2</v>
          </cell>
        </row>
      </sheetData>
      <sheetData sheetId="14746">
        <row r="1">
          <cell r="J1">
            <v>1.7453292519943295E-2</v>
          </cell>
        </row>
      </sheetData>
      <sheetData sheetId="14747">
        <row r="1">
          <cell r="J1">
            <v>1.7453292519943295E-2</v>
          </cell>
        </row>
      </sheetData>
      <sheetData sheetId="14748">
        <row r="1">
          <cell r="J1">
            <v>1.7453292519943295E-2</v>
          </cell>
        </row>
      </sheetData>
      <sheetData sheetId="14749">
        <row r="1">
          <cell r="J1">
            <v>1.7453292519943295E-2</v>
          </cell>
        </row>
      </sheetData>
      <sheetData sheetId="14750">
        <row r="1">
          <cell r="J1">
            <v>1.7453292519943295E-2</v>
          </cell>
        </row>
      </sheetData>
      <sheetData sheetId="14751">
        <row r="1">
          <cell r="J1">
            <v>1.7453292519943295E-2</v>
          </cell>
        </row>
      </sheetData>
      <sheetData sheetId="14752">
        <row r="1">
          <cell r="J1">
            <v>1.7453292519943295E-2</v>
          </cell>
        </row>
      </sheetData>
      <sheetData sheetId="14753">
        <row r="1">
          <cell r="J1">
            <v>1.7453292519943295E-2</v>
          </cell>
        </row>
      </sheetData>
      <sheetData sheetId="14754">
        <row r="1">
          <cell r="J1">
            <v>1.7453292519943295E-2</v>
          </cell>
        </row>
      </sheetData>
      <sheetData sheetId="14755">
        <row r="1">
          <cell r="J1">
            <v>1.7453292519943295E-2</v>
          </cell>
        </row>
      </sheetData>
      <sheetData sheetId="14756">
        <row r="1">
          <cell r="J1">
            <v>1.7453292519943295E-2</v>
          </cell>
        </row>
      </sheetData>
      <sheetData sheetId="14757">
        <row r="1">
          <cell r="J1">
            <v>1.7453292519943295E-2</v>
          </cell>
        </row>
      </sheetData>
      <sheetData sheetId="14758">
        <row r="1">
          <cell r="J1">
            <v>1.7453292519943295E-2</v>
          </cell>
        </row>
      </sheetData>
      <sheetData sheetId="14759">
        <row r="1">
          <cell r="J1">
            <v>1.7453292519943295E-2</v>
          </cell>
        </row>
      </sheetData>
      <sheetData sheetId="14760">
        <row r="1">
          <cell r="J1">
            <v>1.7453292519943295E-2</v>
          </cell>
        </row>
      </sheetData>
      <sheetData sheetId="14761">
        <row r="1">
          <cell r="J1">
            <v>1.7453292519943295E-2</v>
          </cell>
        </row>
      </sheetData>
      <sheetData sheetId="14762">
        <row r="1">
          <cell r="J1">
            <v>1.7453292519943295E-2</v>
          </cell>
        </row>
      </sheetData>
      <sheetData sheetId="14763">
        <row r="1">
          <cell r="J1">
            <v>1.7453292519943295E-2</v>
          </cell>
        </row>
      </sheetData>
      <sheetData sheetId="14764">
        <row r="1">
          <cell r="J1">
            <v>1.7453292519943295E-2</v>
          </cell>
        </row>
      </sheetData>
      <sheetData sheetId="14765">
        <row r="1">
          <cell r="J1">
            <v>1.7453292519943295E-2</v>
          </cell>
        </row>
      </sheetData>
      <sheetData sheetId="14766">
        <row r="1">
          <cell r="J1">
            <v>1.7453292519943295E-2</v>
          </cell>
        </row>
      </sheetData>
      <sheetData sheetId="14767">
        <row r="1">
          <cell r="J1">
            <v>1.7453292519943295E-2</v>
          </cell>
        </row>
      </sheetData>
      <sheetData sheetId="14768">
        <row r="1">
          <cell r="J1">
            <v>1.7453292519943295E-2</v>
          </cell>
        </row>
      </sheetData>
      <sheetData sheetId="14769">
        <row r="1">
          <cell r="J1">
            <v>1.7453292519943295E-2</v>
          </cell>
        </row>
      </sheetData>
      <sheetData sheetId="14770">
        <row r="1">
          <cell r="J1">
            <v>1.7453292519943295E-2</v>
          </cell>
        </row>
      </sheetData>
      <sheetData sheetId="14771">
        <row r="1">
          <cell r="J1">
            <v>1.7453292519943295E-2</v>
          </cell>
        </row>
      </sheetData>
      <sheetData sheetId="14772">
        <row r="1">
          <cell r="J1">
            <v>1.7453292519943295E-2</v>
          </cell>
        </row>
      </sheetData>
      <sheetData sheetId="14773">
        <row r="1">
          <cell r="J1">
            <v>1.7453292519943295E-2</v>
          </cell>
        </row>
      </sheetData>
      <sheetData sheetId="14774">
        <row r="1">
          <cell r="J1">
            <v>1.7453292519943295E-2</v>
          </cell>
        </row>
      </sheetData>
      <sheetData sheetId="14775">
        <row r="1">
          <cell r="J1">
            <v>1.7453292519943295E-2</v>
          </cell>
        </row>
      </sheetData>
      <sheetData sheetId="14776">
        <row r="1">
          <cell r="J1">
            <v>1.7453292519943295E-2</v>
          </cell>
        </row>
      </sheetData>
      <sheetData sheetId="14777">
        <row r="1">
          <cell r="J1">
            <v>1.7453292519943295E-2</v>
          </cell>
        </row>
      </sheetData>
      <sheetData sheetId="14778">
        <row r="1">
          <cell r="J1">
            <v>1.7453292519943295E-2</v>
          </cell>
        </row>
      </sheetData>
      <sheetData sheetId="14779">
        <row r="1">
          <cell r="J1">
            <v>1.7453292519943295E-2</v>
          </cell>
        </row>
      </sheetData>
      <sheetData sheetId="14780">
        <row r="1">
          <cell r="J1">
            <v>1.7453292519943295E-2</v>
          </cell>
        </row>
      </sheetData>
      <sheetData sheetId="14781">
        <row r="1">
          <cell r="J1">
            <v>1.7453292519943295E-2</v>
          </cell>
        </row>
      </sheetData>
      <sheetData sheetId="14782">
        <row r="1">
          <cell r="J1">
            <v>1.7453292519943295E-2</v>
          </cell>
        </row>
      </sheetData>
      <sheetData sheetId="14783">
        <row r="1">
          <cell r="J1">
            <v>1.7453292519943295E-2</v>
          </cell>
        </row>
      </sheetData>
      <sheetData sheetId="14784">
        <row r="1">
          <cell r="J1">
            <v>1.7453292519943295E-2</v>
          </cell>
        </row>
      </sheetData>
      <sheetData sheetId="14785">
        <row r="1">
          <cell r="J1">
            <v>1.7453292519943295E-2</v>
          </cell>
        </row>
      </sheetData>
      <sheetData sheetId="14786">
        <row r="1">
          <cell r="J1">
            <v>1.7453292519943295E-2</v>
          </cell>
        </row>
      </sheetData>
      <sheetData sheetId="14787">
        <row r="1">
          <cell r="J1">
            <v>1.7453292519943295E-2</v>
          </cell>
        </row>
      </sheetData>
      <sheetData sheetId="14788">
        <row r="1">
          <cell r="J1">
            <v>1.7453292519943295E-2</v>
          </cell>
        </row>
      </sheetData>
      <sheetData sheetId="14789">
        <row r="1">
          <cell r="J1">
            <v>1.7453292519943295E-2</v>
          </cell>
        </row>
      </sheetData>
      <sheetData sheetId="14790">
        <row r="1">
          <cell r="J1">
            <v>1.7453292519943295E-2</v>
          </cell>
        </row>
      </sheetData>
      <sheetData sheetId="14791">
        <row r="1">
          <cell r="J1">
            <v>1.7453292519943295E-2</v>
          </cell>
        </row>
      </sheetData>
      <sheetData sheetId="14792">
        <row r="1">
          <cell r="J1">
            <v>1.7453292519943295E-2</v>
          </cell>
        </row>
      </sheetData>
      <sheetData sheetId="14793">
        <row r="1">
          <cell r="J1">
            <v>1.7453292519943295E-2</v>
          </cell>
        </row>
      </sheetData>
      <sheetData sheetId="14794">
        <row r="1">
          <cell r="J1">
            <v>1.7453292519943295E-2</v>
          </cell>
        </row>
      </sheetData>
      <sheetData sheetId="14795">
        <row r="1">
          <cell r="J1">
            <v>1.7453292519943295E-2</v>
          </cell>
        </row>
      </sheetData>
      <sheetData sheetId="14796">
        <row r="1">
          <cell r="J1">
            <v>1.7453292519943295E-2</v>
          </cell>
        </row>
      </sheetData>
      <sheetData sheetId="14797">
        <row r="1">
          <cell r="J1">
            <v>1.7453292519943295E-2</v>
          </cell>
        </row>
      </sheetData>
      <sheetData sheetId="14798">
        <row r="1">
          <cell r="J1">
            <v>1.7453292519943295E-2</v>
          </cell>
        </row>
      </sheetData>
      <sheetData sheetId="14799">
        <row r="1">
          <cell r="J1">
            <v>1.7453292519943295E-2</v>
          </cell>
        </row>
      </sheetData>
      <sheetData sheetId="14800">
        <row r="1">
          <cell r="J1">
            <v>1.7453292519943295E-2</v>
          </cell>
        </row>
      </sheetData>
      <sheetData sheetId="14801">
        <row r="1">
          <cell r="J1">
            <v>1.7453292519943295E-2</v>
          </cell>
        </row>
      </sheetData>
      <sheetData sheetId="14802">
        <row r="1">
          <cell r="J1">
            <v>1.7453292519943295E-2</v>
          </cell>
        </row>
      </sheetData>
      <sheetData sheetId="14803">
        <row r="1">
          <cell r="J1">
            <v>1.7453292519943295E-2</v>
          </cell>
        </row>
      </sheetData>
      <sheetData sheetId="14804">
        <row r="1">
          <cell r="J1">
            <v>1.7453292519943295E-2</v>
          </cell>
        </row>
      </sheetData>
      <sheetData sheetId="14805">
        <row r="1">
          <cell r="J1">
            <v>1.7453292519943295E-2</v>
          </cell>
        </row>
      </sheetData>
      <sheetData sheetId="14806">
        <row r="1">
          <cell r="J1">
            <v>1.7453292519943295E-2</v>
          </cell>
        </row>
      </sheetData>
      <sheetData sheetId="14807">
        <row r="1">
          <cell r="J1">
            <v>1.7453292519943295E-2</v>
          </cell>
        </row>
      </sheetData>
      <sheetData sheetId="14808">
        <row r="1">
          <cell r="J1">
            <v>1.7453292519943295E-2</v>
          </cell>
        </row>
      </sheetData>
      <sheetData sheetId="14809">
        <row r="1">
          <cell r="J1">
            <v>1.7453292519943295E-2</v>
          </cell>
        </row>
      </sheetData>
      <sheetData sheetId="14810">
        <row r="1">
          <cell r="J1">
            <v>1.7453292519943295E-2</v>
          </cell>
        </row>
      </sheetData>
      <sheetData sheetId="14811">
        <row r="1">
          <cell r="J1">
            <v>1.7453292519943295E-2</v>
          </cell>
        </row>
      </sheetData>
      <sheetData sheetId="14812">
        <row r="1">
          <cell r="J1">
            <v>1.7453292519943295E-2</v>
          </cell>
        </row>
      </sheetData>
      <sheetData sheetId="14813">
        <row r="1">
          <cell r="J1">
            <v>1.7453292519943295E-2</v>
          </cell>
        </row>
      </sheetData>
      <sheetData sheetId="14814">
        <row r="1">
          <cell r="J1">
            <v>1.7453292519943295E-2</v>
          </cell>
        </row>
      </sheetData>
      <sheetData sheetId="14815">
        <row r="1">
          <cell r="J1">
            <v>1.7453292519943295E-2</v>
          </cell>
        </row>
      </sheetData>
      <sheetData sheetId="14816">
        <row r="1">
          <cell r="J1">
            <v>1.7453292519943295E-2</v>
          </cell>
        </row>
      </sheetData>
      <sheetData sheetId="14817">
        <row r="1">
          <cell r="J1">
            <v>1.7453292519943295E-2</v>
          </cell>
        </row>
      </sheetData>
      <sheetData sheetId="14818">
        <row r="1">
          <cell r="J1">
            <v>1.7453292519943295E-2</v>
          </cell>
        </row>
      </sheetData>
      <sheetData sheetId="14819">
        <row r="1">
          <cell r="J1">
            <v>1.7453292519943295E-2</v>
          </cell>
        </row>
      </sheetData>
      <sheetData sheetId="14820">
        <row r="1">
          <cell r="J1">
            <v>1.7453292519943295E-2</v>
          </cell>
        </row>
      </sheetData>
      <sheetData sheetId="14821">
        <row r="1">
          <cell r="J1">
            <v>1.7453292519943295E-2</v>
          </cell>
        </row>
      </sheetData>
      <sheetData sheetId="14822">
        <row r="1">
          <cell r="J1">
            <v>1.7453292519943295E-2</v>
          </cell>
        </row>
      </sheetData>
      <sheetData sheetId="14823">
        <row r="1">
          <cell r="J1">
            <v>1.7453292519943295E-2</v>
          </cell>
        </row>
      </sheetData>
      <sheetData sheetId="14824">
        <row r="1">
          <cell r="J1">
            <v>1.7453292519943295E-2</v>
          </cell>
        </row>
      </sheetData>
      <sheetData sheetId="14825">
        <row r="1">
          <cell r="J1">
            <v>1.7453292519943295E-2</v>
          </cell>
        </row>
      </sheetData>
      <sheetData sheetId="14826">
        <row r="1">
          <cell r="J1">
            <v>1.7453292519943295E-2</v>
          </cell>
        </row>
      </sheetData>
      <sheetData sheetId="14827">
        <row r="1">
          <cell r="J1">
            <v>1.7453292519943295E-2</v>
          </cell>
        </row>
      </sheetData>
      <sheetData sheetId="14828">
        <row r="1">
          <cell r="J1">
            <v>1.7453292519943295E-2</v>
          </cell>
        </row>
      </sheetData>
      <sheetData sheetId="14829">
        <row r="1">
          <cell r="J1">
            <v>1.7453292519943295E-2</v>
          </cell>
        </row>
      </sheetData>
      <sheetData sheetId="14830">
        <row r="1">
          <cell r="J1">
            <v>1.7453292519943295E-2</v>
          </cell>
        </row>
      </sheetData>
      <sheetData sheetId="14831">
        <row r="1">
          <cell r="J1">
            <v>1.7453292519943295E-2</v>
          </cell>
        </row>
      </sheetData>
      <sheetData sheetId="14832">
        <row r="1">
          <cell r="J1">
            <v>1.7453292519943295E-2</v>
          </cell>
        </row>
      </sheetData>
      <sheetData sheetId="14833">
        <row r="1">
          <cell r="J1">
            <v>1.7453292519943295E-2</v>
          </cell>
        </row>
      </sheetData>
      <sheetData sheetId="14834">
        <row r="1">
          <cell r="J1">
            <v>1.7453292519943295E-2</v>
          </cell>
        </row>
      </sheetData>
      <sheetData sheetId="14835">
        <row r="1">
          <cell r="J1">
            <v>1.7453292519943295E-2</v>
          </cell>
        </row>
      </sheetData>
      <sheetData sheetId="14836">
        <row r="1">
          <cell r="J1">
            <v>1.7453292519943295E-2</v>
          </cell>
        </row>
      </sheetData>
      <sheetData sheetId="14837">
        <row r="1">
          <cell r="J1">
            <v>1.7453292519943295E-2</v>
          </cell>
        </row>
      </sheetData>
      <sheetData sheetId="14838">
        <row r="1">
          <cell r="J1">
            <v>1.7453292519943295E-2</v>
          </cell>
        </row>
      </sheetData>
      <sheetData sheetId="14839">
        <row r="1">
          <cell r="J1">
            <v>1.7453292519943295E-2</v>
          </cell>
        </row>
      </sheetData>
      <sheetData sheetId="14840">
        <row r="1">
          <cell r="J1">
            <v>1.7453292519943295E-2</v>
          </cell>
        </row>
      </sheetData>
      <sheetData sheetId="14841">
        <row r="1">
          <cell r="J1">
            <v>1.7453292519943295E-2</v>
          </cell>
        </row>
      </sheetData>
      <sheetData sheetId="14842">
        <row r="1">
          <cell r="J1">
            <v>1.7453292519943295E-2</v>
          </cell>
        </row>
      </sheetData>
      <sheetData sheetId="14843">
        <row r="1">
          <cell r="J1">
            <v>1.7453292519943295E-2</v>
          </cell>
        </row>
      </sheetData>
      <sheetData sheetId="14844">
        <row r="1">
          <cell r="J1">
            <v>1.7453292519943295E-2</v>
          </cell>
        </row>
      </sheetData>
      <sheetData sheetId="14845">
        <row r="1">
          <cell r="J1">
            <v>1.7453292519943295E-2</v>
          </cell>
        </row>
      </sheetData>
      <sheetData sheetId="14846">
        <row r="1">
          <cell r="J1">
            <v>1.7453292519943295E-2</v>
          </cell>
        </row>
      </sheetData>
      <sheetData sheetId="14847">
        <row r="1">
          <cell r="J1">
            <v>1.7453292519943295E-2</v>
          </cell>
        </row>
      </sheetData>
      <sheetData sheetId="14848">
        <row r="1">
          <cell r="J1">
            <v>1.7453292519943295E-2</v>
          </cell>
        </row>
      </sheetData>
      <sheetData sheetId="14849">
        <row r="1">
          <cell r="J1">
            <v>1.7453292519943295E-2</v>
          </cell>
        </row>
      </sheetData>
      <sheetData sheetId="14850">
        <row r="1">
          <cell r="J1">
            <v>1.7453292519943295E-2</v>
          </cell>
        </row>
      </sheetData>
      <sheetData sheetId="14851">
        <row r="1">
          <cell r="J1">
            <v>1.7453292519943295E-2</v>
          </cell>
        </row>
      </sheetData>
      <sheetData sheetId="14852">
        <row r="1">
          <cell r="J1">
            <v>1.7453292519943295E-2</v>
          </cell>
        </row>
      </sheetData>
      <sheetData sheetId="14853">
        <row r="1">
          <cell r="J1">
            <v>1.7453292519943295E-2</v>
          </cell>
        </row>
      </sheetData>
      <sheetData sheetId="14854">
        <row r="1">
          <cell r="J1">
            <v>1.7453292519943295E-2</v>
          </cell>
        </row>
      </sheetData>
      <sheetData sheetId="14855">
        <row r="1">
          <cell r="J1">
            <v>1.7453292519943295E-2</v>
          </cell>
        </row>
      </sheetData>
      <sheetData sheetId="14856">
        <row r="1">
          <cell r="J1">
            <v>1.7453292519943295E-2</v>
          </cell>
        </row>
      </sheetData>
      <sheetData sheetId="14857">
        <row r="1">
          <cell r="J1">
            <v>1.7453292519943295E-2</v>
          </cell>
        </row>
      </sheetData>
      <sheetData sheetId="14858">
        <row r="1">
          <cell r="J1">
            <v>1.7453292519943295E-2</v>
          </cell>
        </row>
      </sheetData>
      <sheetData sheetId="14859">
        <row r="1">
          <cell r="J1">
            <v>1.7453292519943295E-2</v>
          </cell>
        </row>
      </sheetData>
      <sheetData sheetId="14860">
        <row r="1">
          <cell r="J1">
            <v>1.7453292519943295E-2</v>
          </cell>
        </row>
      </sheetData>
      <sheetData sheetId="14861">
        <row r="1">
          <cell r="J1">
            <v>1.7453292519943295E-2</v>
          </cell>
        </row>
      </sheetData>
      <sheetData sheetId="14862">
        <row r="1">
          <cell r="J1">
            <v>1.7453292519943295E-2</v>
          </cell>
        </row>
      </sheetData>
      <sheetData sheetId="14863">
        <row r="1">
          <cell r="J1">
            <v>1.7453292519943295E-2</v>
          </cell>
        </row>
      </sheetData>
      <sheetData sheetId="14864">
        <row r="1">
          <cell r="J1">
            <v>1.7453292519943295E-2</v>
          </cell>
        </row>
      </sheetData>
      <sheetData sheetId="14865">
        <row r="1">
          <cell r="J1">
            <v>1.7453292519943295E-2</v>
          </cell>
        </row>
      </sheetData>
      <sheetData sheetId="14866">
        <row r="1">
          <cell r="J1">
            <v>1.7453292519943295E-2</v>
          </cell>
        </row>
      </sheetData>
      <sheetData sheetId="14867">
        <row r="1">
          <cell r="J1">
            <v>1.7453292519943295E-2</v>
          </cell>
        </row>
      </sheetData>
      <sheetData sheetId="14868">
        <row r="1">
          <cell r="J1">
            <v>1.7453292519943295E-2</v>
          </cell>
        </row>
      </sheetData>
      <sheetData sheetId="14869">
        <row r="1">
          <cell r="J1">
            <v>1.7453292519943295E-2</v>
          </cell>
        </row>
      </sheetData>
      <sheetData sheetId="14870">
        <row r="1">
          <cell r="J1">
            <v>1.7453292519943295E-2</v>
          </cell>
        </row>
      </sheetData>
      <sheetData sheetId="14871">
        <row r="1">
          <cell r="J1">
            <v>1.7453292519943295E-2</v>
          </cell>
        </row>
      </sheetData>
      <sheetData sheetId="14872">
        <row r="1">
          <cell r="J1">
            <v>1.7453292519943295E-2</v>
          </cell>
        </row>
      </sheetData>
      <sheetData sheetId="14873">
        <row r="1">
          <cell r="J1">
            <v>1.7453292519943295E-2</v>
          </cell>
        </row>
      </sheetData>
      <sheetData sheetId="14874">
        <row r="1">
          <cell r="J1">
            <v>1.7453292519943295E-2</v>
          </cell>
        </row>
      </sheetData>
      <sheetData sheetId="14875">
        <row r="1">
          <cell r="J1">
            <v>1.7453292519943295E-2</v>
          </cell>
        </row>
      </sheetData>
      <sheetData sheetId="14876">
        <row r="1">
          <cell r="J1">
            <v>1.7453292519943295E-2</v>
          </cell>
        </row>
      </sheetData>
      <sheetData sheetId="14877">
        <row r="1">
          <cell r="J1">
            <v>1.7453292519943295E-2</v>
          </cell>
        </row>
      </sheetData>
      <sheetData sheetId="14878">
        <row r="1">
          <cell r="J1">
            <v>1.7453292519943295E-2</v>
          </cell>
        </row>
      </sheetData>
      <sheetData sheetId="14879">
        <row r="1">
          <cell r="J1">
            <v>1.7453292519943295E-2</v>
          </cell>
        </row>
      </sheetData>
      <sheetData sheetId="14880">
        <row r="1">
          <cell r="J1">
            <v>1.7453292519943295E-2</v>
          </cell>
        </row>
      </sheetData>
      <sheetData sheetId="14881">
        <row r="1">
          <cell r="J1">
            <v>1.7453292519943295E-2</v>
          </cell>
        </row>
      </sheetData>
      <sheetData sheetId="14882">
        <row r="1">
          <cell r="J1">
            <v>1.7453292519943295E-2</v>
          </cell>
        </row>
      </sheetData>
      <sheetData sheetId="14883">
        <row r="1">
          <cell r="J1">
            <v>1.7453292519943295E-2</v>
          </cell>
        </row>
      </sheetData>
      <sheetData sheetId="14884">
        <row r="1">
          <cell r="J1">
            <v>1.7453292519943295E-2</v>
          </cell>
        </row>
      </sheetData>
      <sheetData sheetId="14885">
        <row r="1">
          <cell r="J1">
            <v>1.7453292519943295E-2</v>
          </cell>
        </row>
      </sheetData>
      <sheetData sheetId="14886">
        <row r="1">
          <cell r="J1">
            <v>1.7453292519943295E-2</v>
          </cell>
        </row>
      </sheetData>
      <sheetData sheetId="14887">
        <row r="1">
          <cell r="J1">
            <v>1.7453292519943295E-2</v>
          </cell>
        </row>
      </sheetData>
      <sheetData sheetId="14888">
        <row r="1">
          <cell r="J1">
            <v>1.7453292519943295E-2</v>
          </cell>
        </row>
      </sheetData>
      <sheetData sheetId="14889">
        <row r="1">
          <cell r="J1">
            <v>1.7453292519943295E-2</v>
          </cell>
        </row>
      </sheetData>
      <sheetData sheetId="14890">
        <row r="1">
          <cell r="J1">
            <v>1.7453292519943295E-2</v>
          </cell>
        </row>
      </sheetData>
      <sheetData sheetId="14891">
        <row r="1">
          <cell r="J1">
            <v>1.7453292519943295E-2</v>
          </cell>
        </row>
      </sheetData>
      <sheetData sheetId="14892">
        <row r="1">
          <cell r="J1">
            <v>1.7453292519943295E-2</v>
          </cell>
        </row>
      </sheetData>
      <sheetData sheetId="14893">
        <row r="1">
          <cell r="J1">
            <v>1.7453292519943295E-2</v>
          </cell>
        </row>
      </sheetData>
      <sheetData sheetId="14894">
        <row r="1">
          <cell r="J1">
            <v>1.7453292519943295E-2</v>
          </cell>
        </row>
      </sheetData>
      <sheetData sheetId="14895">
        <row r="1">
          <cell r="J1">
            <v>1.7453292519943295E-2</v>
          </cell>
        </row>
      </sheetData>
      <sheetData sheetId="14896">
        <row r="1">
          <cell r="J1">
            <v>1.7453292519943295E-2</v>
          </cell>
        </row>
      </sheetData>
      <sheetData sheetId="14897">
        <row r="1">
          <cell r="J1">
            <v>1.7453292519943295E-2</v>
          </cell>
        </row>
      </sheetData>
      <sheetData sheetId="14898">
        <row r="1">
          <cell r="J1">
            <v>1.7453292519943295E-2</v>
          </cell>
        </row>
      </sheetData>
      <sheetData sheetId="14899">
        <row r="1">
          <cell r="J1">
            <v>1.7453292519943295E-2</v>
          </cell>
        </row>
      </sheetData>
      <sheetData sheetId="14900">
        <row r="1">
          <cell r="J1">
            <v>1.7453292519943295E-2</v>
          </cell>
        </row>
      </sheetData>
      <sheetData sheetId="14901">
        <row r="1">
          <cell r="J1">
            <v>1.7453292519943295E-2</v>
          </cell>
        </row>
      </sheetData>
      <sheetData sheetId="14902">
        <row r="1">
          <cell r="J1">
            <v>1.7453292519943295E-2</v>
          </cell>
        </row>
      </sheetData>
      <sheetData sheetId="14903">
        <row r="1">
          <cell r="J1">
            <v>1.7453292519943295E-2</v>
          </cell>
        </row>
      </sheetData>
      <sheetData sheetId="14904">
        <row r="1">
          <cell r="J1">
            <v>1.7453292519943295E-2</v>
          </cell>
        </row>
      </sheetData>
      <sheetData sheetId="14905">
        <row r="1">
          <cell r="J1">
            <v>1.7453292519943295E-2</v>
          </cell>
        </row>
      </sheetData>
      <sheetData sheetId="14906">
        <row r="1">
          <cell r="J1">
            <v>1.7453292519943295E-2</v>
          </cell>
        </row>
      </sheetData>
      <sheetData sheetId="14907">
        <row r="1">
          <cell r="J1">
            <v>1.7453292519943295E-2</v>
          </cell>
        </row>
      </sheetData>
      <sheetData sheetId="14908">
        <row r="1">
          <cell r="J1">
            <v>1.7453292519943295E-2</v>
          </cell>
        </row>
      </sheetData>
      <sheetData sheetId="14909">
        <row r="1">
          <cell r="J1">
            <v>1.7453292519943295E-2</v>
          </cell>
        </row>
      </sheetData>
      <sheetData sheetId="14910">
        <row r="1">
          <cell r="J1">
            <v>1.7453292519943295E-2</v>
          </cell>
        </row>
      </sheetData>
      <sheetData sheetId="14911">
        <row r="1">
          <cell r="J1">
            <v>1.7453292519943295E-2</v>
          </cell>
        </row>
      </sheetData>
      <sheetData sheetId="14912">
        <row r="1">
          <cell r="J1">
            <v>1.7453292519943295E-2</v>
          </cell>
        </row>
      </sheetData>
      <sheetData sheetId="14913">
        <row r="1">
          <cell r="J1">
            <v>1.7453292519943295E-2</v>
          </cell>
        </row>
      </sheetData>
      <sheetData sheetId="14914">
        <row r="1">
          <cell r="J1">
            <v>1.7453292519943295E-2</v>
          </cell>
        </row>
      </sheetData>
      <sheetData sheetId="14915">
        <row r="1">
          <cell r="J1">
            <v>1.7453292519943295E-2</v>
          </cell>
        </row>
      </sheetData>
      <sheetData sheetId="14916">
        <row r="1">
          <cell r="J1">
            <v>1.7453292519943295E-2</v>
          </cell>
        </row>
      </sheetData>
      <sheetData sheetId="14917">
        <row r="1">
          <cell r="J1">
            <v>1.7453292519943295E-2</v>
          </cell>
        </row>
      </sheetData>
      <sheetData sheetId="14918">
        <row r="1">
          <cell r="J1">
            <v>1.7453292519943295E-2</v>
          </cell>
        </row>
      </sheetData>
      <sheetData sheetId="14919">
        <row r="1">
          <cell r="J1">
            <v>1.7453292519943295E-2</v>
          </cell>
        </row>
      </sheetData>
      <sheetData sheetId="14920">
        <row r="1">
          <cell r="J1">
            <v>1.7453292519943295E-2</v>
          </cell>
        </row>
      </sheetData>
      <sheetData sheetId="14921">
        <row r="1">
          <cell r="J1">
            <v>1.7453292519943295E-2</v>
          </cell>
        </row>
      </sheetData>
      <sheetData sheetId="14922">
        <row r="1">
          <cell r="J1">
            <v>1.7453292519943295E-2</v>
          </cell>
        </row>
      </sheetData>
      <sheetData sheetId="14923">
        <row r="1">
          <cell r="J1">
            <v>1.7453292519943295E-2</v>
          </cell>
        </row>
      </sheetData>
      <sheetData sheetId="14924">
        <row r="1">
          <cell r="J1">
            <v>1.7453292519943295E-2</v>
          </cell>
        </row>
      </sheetData>
      <sheetData sheetId="14925">
        <row r="1">
          <cell r="J1">
            <v>1.7453292519943295E-2</v>
          </cell>
        </row>
      </sheetData>
      <sheetData sheetId="14926">
        <row r="1">
          <cell r="J1">
            <v>1.7453292519943295E-2</v>
          </cell>
        </row>
      </sheetData>
      <sheetData sheetId="14927">
        <row r="1">
          <cell r="J1">
            <v>1.7453292519943295E-2</v>
          </cell>
        </row>
      </sheetData>
      <sheetData sheetId="14928">
        <row r="1">
          <cell r="J1">
            <v>1.7453292519943295E-2</v>
          </cell>
        </row>
      </sheetData>
      <sheetData sheetId="14929">
        <row r="1">
          <cell r="J1">
            <v>1.7453292519943295E-2</v>
          </cell>
        </row>
      </sheetData>
      <sheetData sheetId="14930">
        <row r="1">
          <cell r="J1">
            <v>1.7453292519943295E-2</v>
          </cell>
        </row>
      </sheetData>
      <sheetData sheetId="14931">
        <row r="1">
          <cell r="J1">
            <v>1.7453292519943295E-2</v>
          </cell>
        </row>
      </sheetData>
      <sheetData sheetId="14932">
        <row r="1">
          <cell r="J1">
            <v>1.7453292519943295E-2</v>
          </cell>
        </row>
      </sheetData>
      <sheetData sheetId="14933">
        <row r="1">
          <cell r="J1">
            <v>1.7453292519943295E-2</v>
          </cell>
        </row>
      </sheetData>
      <sheetData sheetId="14934">
        <row r="1">
          <cell r="J1">
            <v>1.7453292519943295E-2</v>
          </cell>
        </row>
      </sheetData>
      <sheetData sheetId="14935">
        <row r="1">
          <cell r="J1">
            <v>1.7453292519943295E-2</v>
          </cell>
        </row>
      </sheetData>
      <sheetData sheetId="14936">
        <row r="1">
          <cell r="J1">
            <v>1.7453292519943295E-2</v>
          </cell>
        </row>
      </sheetData>
      <sheetData sheetId="14937">
        <row r="1">
          <cell r="J1">
            <v>1.7453292519943295E-2</v>
          </cell>
        </row>
      </sheetData>
      <sheetData sheetId="14938">
        <row r="1">
          <cell r="J1">
            <v>1.7453292519943295E-2</v>
          </cell>
        </row>
      </sheetData>
      <sheetData sheetId="14939">
        <row r="1">
          <cell r="J1">
            <v>1.7453292519943295E-2</v>
          </cell>
        </row>
      </sheetData>
      <sheetData sheetId="14940">
        <row r="1">
          <cell r="J1">
            <v>1.7453292519943295E-2</v>
          </cell>
        </row>
      </sheetData>
      <sheetData sheetId="14941">
        <row r="1">
          <cell r="J1">
            <v>1.7453292519943295E-2</v>
          </cell>
        </row>
      </sheetData>
      <sheetData sheetId="14942">
        <row r="1">
          <cell r="J1">
            <v>1.7453292519943295E-2</v>
          </cell>
        </row>
      </sheetData>
      <sheetData sheetId="14943">
        <row r="1">
          <cell r="J1">
            <v>1.7453292519943295E-2</v>
          </cell>
        </row>
      </sheetData>
      <sheetData sheetId="14944">
        <row r="1">
          <cell r="J1">
            <v>1.7453292519943295E-2</v>
          </cell>
        </row>
      </sheetData>
      <sheetData sheetId="14945">
        <row r="1">
          <cell r="J1">
            <v>1.7453292519943295E-2</v>
          </cell>
        </row>
      </sheetData>
      <sheetData sheetId="14946">
        <row r="1">
          <cell r="J1">
            <v>1.7453292519943295E-2</v>
          </cell>
        </row>
      </sheetData>
      <sheetData sheetId="14947">
        <row r="1">
          <cell r="J1">
            <v>1.7453292519943295E-2</v>
          </cell>
        </row>
      </sheetData>
      <sheetData sheetId="14948">
        <row r="1">
          <cell r="J1">
            <v>1.7453292519943295E-2</v>
          </cell>
        </row>
      </sheetData>
      <sheetData sheetId="14949">
        <row r="1">
          <cell r="J1">
            <v>1.7453292519943295E-2</v>
          </cell>
        </row>
      </sheetData>
      <sheetData sheetId="14950">
        <row r="1">
          <cell r="J1">
            <v>1.7453292519943295E-2</v>
          </cell>
        </row>
      </sheetData>
      <sheetData sheetId="14951">
        <row r="1">
          <cell r="J1">
            <v>1.7453292519943295E-2</v>
          </cell>
        </row>
      </sheetData>
      <sheetData sheetId="14952">
        <row r="1">
          <cell r="J1">
            <v>1.7453292519943295E-2</v>
          </cell>
        </row>
      </sheetData>
      <sheetData sheetId="14953">
        <row r="1">
          <cell r="J1">
            <v>1.7453292519943295E-2</v>
          </cell>
        </row>
      </sheetData>
      <sheetData sheetId="14954">
        <row r="1">
          <cell r="J1">
            <v>1.7453292519943295E-2</v>
          </cell>
        </row>
      </sheetData>
      <sheetData sheetId="14955">
        <row r="1">
          <cell r="J1">
            <v>1.7453292519943295E-2</v>
          </cell>
        </row>
      </sheetData>
      <sheetData sheetId="14956">
        <row r="1">
          <cell r="J1">
            <v>1.7453292519943295E-2</v>
          </cell>
        </row>
      </sheetData>
      <sheetData sheetId="14957">
        <row r="1">
          <cell r="J1">
            <v>1.7453292519943295E-2</v>
          </cell>
        </row>
      </sheetData>
      <sheetData sheetId="14958">
        <row r="1">
          <cell r="J1">
            <v>1.7453292519943295E-2</v>
          </cell>
        </row>
      </sheetData>
      <sheetData sheetId="14959">
        <row r="1">
          <cell r="J1">
            <v>1.7453292519943295E-2</v>
          </cell>
        </row>
      </sheetData>
      <sheetData sheetId="14960">
        <row r="1">
          <cell r="J1">
            <v>1.7453292519943295E-2</v>
          </cell>
        </row>
      </sheetData>
      <sheetData sheetId="14961">
        <row r="1">
          <cell r="J1">
            <v>1.7453292519943295E-2</v>
          </cell>
        </row>
      </sheetData>
      <sheetData sheetId="14962">
        <row r="1">
          <cell r="J1">
            <v>1.7453292519943295E-2</v>
          </cell>
        </row>
      </sheetData>
      <sheetData sheetId="14963">
        <row r="1">
          <cell r="J1">
            <v>1.7453292519943295E-2</v>
          </cell>
        </row>
      </sheetData>
      <sheetData sheetId="14964">
        <row r="1">
          <cell r="J1">
            <v>1.7453292519943295E-2</v>
          </cell>
        </row>
      </sheetData>
      <sheetData sheetId="14965">
        <row r="1">
          <cell r="J1">
            <v>1.7453292519943295E-2</v>
          </cell>
        </row>
      </sheetData>
      <sheetData sheetId="14966">
        <row r="1">
          <cell r="J1">
            <v>1.7453292519943295E-2</v>
          </cell>
        </row>
      </sheetData>
      <sheetData sheetId="14967">
        <row r="1">
          <cell r="J1">
            <v>1.7453292519943295E-2</v>
          </cell>
        </row>
      </sheetData>
      <sheetData sheetId="14968">
        <row r="1">
          <cell r="J1">
            <v>1.7453292519943295E-2</v>
          </cell>
        </row>
      </sheetData>
      <sheetData sheetId="14969">
        <row r="1">
          <cell r="J1">
            <v>1.7453292519943295E-2</v>
          </cell>
        </row>
      </sheetData>
      <sheetData sheetId="14970">
        <row r="1">
          <cell r="J1">
            <v>1.7453292519943295E-2</v>
          </cell>
        </row>
      </sheetData>
      <sheetData sheetId="14971">
        <row r="1">
          <cell r="J1">
            <v>1.7453292519943295E-2</v>
          </cell>
        </row>
      </sheetData>
      <sheetData sheetId="14972">
        <row r="1">
          <cell r="J1">
            <v>1.7453292519943295E-2</v>
          </cell>
        </row>
      </sheetData>
      <sheetData sheetId="14973">
        <row r="1">
          <cell r="J1">
            <v>1.7453292519943295E-2</v>
          </cell>
        </row>
      </sheetData>
      <sheetData sheetId="14974">
        <row r="1">
          <cell r="J1">
            <v>1.7453292519943295E-2</v>
          </cell>
        </row>
      </sheetData>
      <sheetData sheetId="14975">
        <row r="1">
          <cell r="J1">
            <v>1.7453292519943295E-2</v>
          </cell>
        </row>
      </sheetData>
      <sheetData sheetId="14976">
        <row r="1">
          <cell r="J1">
            <v>1.7453292519943295E-2</v>
          </cell>
        </row>
      </sheetData>
      <sheetData sheetId="14977">
        <row r="1">
          <cell r="J1">
            <v>1.7453292519943295E-2</v>
          </cell>
        </row>
      </sheetData>
      <sheetData sheetId="14978">
        <row r="1">
          <cell r="J1">
            <v>1.7453292519943295E-2</v>
          </cell>
        </row>
      </sheetData>
      <sheetData sheetId="14979">
        <row r="1">
          <cell r="J1">
            <v>1.7453292519943295E-2</v>
          </cell>
        </row>
      </sheetData>
      <sheetData sheetId="14980">
        <row r="1">
          <cell r="J1">
            <v>1.7453292519943295E-2</v>
          </cell>
        </row>
      </sheetData>
      <sheetData sheetId="14981">
        <row r="1">
          <cell r="J1">
            <v>1.7453292519943295E-2</v>
          </cell>
        </row>
      </sheetData>
      <sheetData sheetId="14982">
        <row r="1">
          <cell r="J1">
            <v>1.7453292519943295E-2</v>
          </cell>
        </row>
      </sheetData>
      <sheetData sheetId="14983">
        <row r="1">
          <cell r="J1">
            <v>1.7453292519943295E-2</v>
          </cell>
        </row>
      </sheetData>
      <sheetData sheetId="14984">
        <row r="1">
          <cell r="J1">
            <v>1.7453292519943295E-2</v>
          </cell>
        </row>
      </sheetData>
      <sheetData sheetId="14985">
        <row r="1">
          <cell r="J1">
            <v>1.7453292519943295E-2</v>
          </cell>
        </row>
      </sheetData>
      <sheetData sheetId="14986">
        <row r="1">
          <cell r="J1">
            <v>1.7453292519943295E-2</v>
          </cell>
        </row>
      </sheetData>
      <sheetData sheetId="14987">
        <row r="1">
          <cell r="J1">
            <v>1.7453292519943295E-2</v>
          </cell>
        </row>
      </sheetData>
      <sheetData sheetId="14988">
        <row r="1">
          <cell r="J1">
            <v>1.7453292519943295E-2</v>
          </cell>
        </row>
      </sheetData>
      <sheetData sheetId="14989">
        <row r="1">
          <cell r="J1">
            <v>1.7453292519943295E-2</v>
          </cell>
        </row>
      </sheetData>
      <sheetData sheetId="14990">
        <row r="1">
          <cell r="J1">
            <v>1.7453292519943295E-2</v>
          </cell>
        </row>
      </sheetData>
      <sheetData sheetId="14991">
        <row r="1">
          <cell r="J1">
            <v>1.7453292519943295E-2</v>
          </cell>
        </row>
      </sheetData>
      <sheetData sheetId="14992">
        <row r="1">
          <cell r="J1">
            <v>1.7453292519943295E-2</v>
          </cell>
        </row>
      </sheetData>
      <sheetData sheetId="14993">
        <row r="1">
          <cell r="J1">
            <v>1.7453292519943295E-2</v>
          </cell>
        </row>
      </sheetData>
      <sheetData sheetId="14994">
        <row r="1">
          <cell r="J1">
            <v>1.7453292519943295E-2</v>
          </cell>
        </row>
      </sheetData>
      <sheetData sheetId="14995">
        <row r="1">
          <cell r="J1">
            <v>1.7453292519943295E-2</v>
          </cell>
        </row>
      </sheetData>
      <sheetData sheetId="14996">
        <row r="1">
          <cell r="J1">
            <v>1.7453292519943295E-2</v>
          </cell>
        </row>
      </sheetData>
      <sheetData sheetId="14997">
        <row r="1">
          <cell r="J1">
            <v>1.7453292519943295E-2</v>
          </cell>
        </row>
      </sheetData>
      <sheetData sheetId="14998">
        <row r="1">
          <cell r="J1">
            <v>1.7453292519943295E-2</v>
          </cell>
        </row>
      </sheetData>
      <sheetData sheetId="14999">
        <row r="1">
          <cell r="J1">
            <v>1.7453292519943295E-2</v>
          </cell>
        </row>
      </sheetData>
      <sheetData sheetId="15000">
        <row r="1">
          <cell r="J1">
            <v>1.7453292519943295E-2</v>
          </cell>
        </row>
      </sheetData>
      <sheetData sheetId="15001">
        <row r="1">
          <cell r="J1">
            <v>1.7453292519943295E-2</v>
          </cell>
        </row>
      </sheetData>
      <sheetData sheetId="15002">
        <row r="1">
          <cell r="J1">
            <v>1.7453292519943295E-2</v>
          </cell>
        </row>
      </sheetData>
      <sheetData sheetId="15003">
        <row r="1">
          <cell r="J1">
            <v>1.7453292519943295E-2</v>
          </cell>
        </row>
      </sheetData>
      <sheetData sheetId="15004">
        <row r="1">
          <cell r="J1">
            <v>1.7453292519943295E-2</v>
          </cell>
        </row>
      </sheetData>
      <sheetData sheetId="15005">
        <row r="1">
          <cell r="J1">
            <v>1.7453292519943295E-2</v>
          </cell>
        </row>
      </sheetData>
      <sheetData sheetId="15006">
        <row r="1">
          <cell r="J1">
            <v>1.7453292519943295E-2</v>
          </cell>
        </row>
      </sheetData>
      <sheetData sheetId="15007">
        <row r="1">
          <cell r="J1">
            <v>1.7453292519943295E-2</v>
          </cell>
        </row>
      </sheetData>
      <sheetData sheetId="15008">
        <row r="1">
          <cell r="J1">
            <v>1.7453292519943295E-2</v>
          </cell>
        </row>
      </sheetData>
      <sheetData sheetId="15009">
        <row r="1">
          <cell r="J1">
            <v>1.7453292519943295E-2</v>
          </cell>
        </row>
      </sheetData>
      <sheetData sheetId="15010">
        <row r="1">
          <cell r="J1">
            <v>1.7453292519943295E-2</v>
          </cell>
        </row>
      </sheetData>
      <sheetData sheetId="15011">
        <row r="1">
          <cell r="J1">
            <v>1.7453292519943295E-2</v>
          </cell>
        </row>
      </sheetData>
      <sheetData sheetId="15012">
        <row r="1">
          <cell r="J1">
            <v>1.7453292519943295E-2</v>
          </cell>
        </row>
      </sheetData>
      <sheetData sheetId="15013">
        <row r="1">
          <cell r="J1">
            <v>1.7453292519943295E-2</v>
          </cell>
        </row>
      </sheetData>
      <sheetData sheetId="15014">
        <row r="1">
          <cell r="J1">
            <v>1.7453292519943295E-2</v>
          </cell>
        </row>
      </sheetData>
      <sheetData sheetId="15015">
        <row r="1">
          <cell r="J1">
            <v>1.7453292519943295E-2</v>
          </cell>
        </row>
      </sheetData>
      <sheetData sheetId="15016">
        <row r="1">
          <cell r="J1">
            <v>1.7453292519943295E-2</v>
          </cell>
        </row>
      </sheetData>
      <sheetData sheetId="15017">
        <row r="1">
          <cell r="J1">
            <v>1.7453292519943295E-2</v>
          </cell>
        </row>
      </sheetData>
      <sheetData sheetId="15018">
        <row r="1">
          <cell r="J1">
            <v>1.7453292519943295E-2</v>
          </cell>
        </row>
      </sheetData>
      <sheetData sheetId="15019">
        <row r="1">
          <cell r="J1">
            <v>1.7453292519943295E-2</v>
          </cell>
        </row>
      </sheetData>
      <sheetData sheetId="15020">
        <row r="1">
          <cell r="J1">
            <v>1.7453292519943295E-2</v>
          </cell>
        </row>
      </sheetData>
      <sheetData sheetId="15021">
        <row r="1">
          <cell r="J1">
            <v>1.7453292519943295E-2</v>
          </cell>
        </row>
      </sheetData>
      <sheetData sheetId="15022">
        <row r="1">
          <cell r="J1">
            <v>1.7453292519943295E-2</v>
          </cell>
        </row>
      </sheetData>
      <sheetData sheetId="15023">
        <row r="1">
          <cell r="J1">
            <v>1.7453292519943295E-2</v>
          </cell>
        </row>
      </sheetData>
      <sheetData sheetId="15024">
        <row r="1">
          <cell r="J1">
            <v>1.7453292519943295E-2</v>
          </cell>
        </row>
      </sheetData>
      <sheetData sheetId="15025">
        <row r="1">
          <cell r="J1">
            <v>1.7453292519943295E-2</v>
          </cell>
        </row>
      </sheetData>
      <sheetData sheetId="15026">
        <row r="1">
          <cell r="J1">
            <v>1.7453292519943295E-2</v>
          </cell>
        </row>
      </sheetData>
      <sheetData sheetId="15027">
        <row r="1">
          <cell r="J1">
            <v>1.7453292519943295E-2</v>
          </cell>
        </row>
      </sheetData>
      <sheetData sheetId="15028">
        <row r="1">
          <cell r="J1">
            <v>1.7453292519943295E-2</v>
          </cell>
        </row>
      </sheetData>
      <sheetData sheetId="15029">
        <row r="1">
          <cell r="J1">
            <v>1.7453292519943295E-2</v>
          </cell>
        </row>
      </sheetData>
      <sheetData sheetId="15030">
        <row r="1">
          <cell r="J1">
            <v>1.7453292519943295E-2</v>
          </cell>
        </row>
      </sheetData>
      <sheetData sheetId="15031">
        <row r="1">
          <cell r="J1">
            <v>1.7453292519943295E-2</v>
          </cell>
        </row>
      </sheetData>
      <sheetData sheetId="15032">
        <row r="1">
          <cell r="J1">
            <v>1.7453292519943295E-2</v>
          </cell>
        </row>
      </sheetData>
      <sheetData sheetId="15033">
        <row r="1">
          <cell r="J1">
            <v>1.7453292519943295E-2</v>
          </cell>
        </row>
      </sheetData>
      <sheetData sheetId="15034">
        <row r="1">
          <cell r="J1">
            <v>1.7453292519943295E-2</v>
          </cell>
        </row>
      </sheetData>
      <sheetData sheetId="15035">
        <row r="1">
          <cell r="J1">
            <v>1.7453292519943295E-2</v>
          </cell>
        </row>
      </sheetData>
      <sheetData sheetId="15036">
        <row r="1">
          <cell r="J1">
            <v>1.7453292519943295E-2</v>
          </cell>
        </row>
      </sheetData>
      <sheetData sheetId="15037">
        <row r="1">
          <cell r="J1">
            <v>1.7453292519943295E-2</v>
          </cell>
        </row>
      </sheetData>
      <sheetData sheetId="15038">
        <row r="1">
          <cell r="J1">
            <v>1.7453292519943295E-2</v>
          </cell>
        </row>
      </sheetData>
      <sheetData sheetId="15039">
        <row r="1">
          <cell r="J1">
            <v>1.7453292519943295E-2</v>
          </cell>
        </row>
      </sheetData>
      <sheetData sheetId="15040">
        <row r="1">
          <cell r="J1">
            <v>1.7453292519943295E-2</v>
          </cell>
        </row>
      </sheetData>
      <sheetData sheetId="15041">
        <row r="1">
          <cell r="J1">
            <v>1.7453292519943295E-2</v>
          </cell>
        </row>
      </sheetData>
      <sheetData sheetId="15042">
        <row r="1">
          <cell r="J1">
            <v>1.7453292519943295E-2</v>
          </cell>
        </row>
      </sheetData>
      <sheetData sheetId="15043">
        <row r="1">
          <cell r="J1">
            <v>1.7453292519943295E-2</v>
          </cell>
        </row>
      </sheetData>
      <sheetData sheetId="15044">
        <row r="1">
          <cell r="J1">
            <v>1.7453292519943295E-2</v>
          </cell>
        </row>
      </sheetData>
      <sheetData sheetId="15045">
        <row r="1">
          <cell r="J1">
            <v>1.7453292519943295E-2</v>
          </cell>
        </row>
      </sheetData>
      <sheetData sheetId="15046">
        <row r="1">
          <cell r="J1">
            <v>1.7453292519943295E-2</v>
          </cell>
        </row>
      </sheetData>
      <sheetData sheetId="15047">
        <row r="1">
          <cell r="J1">
            <v>1.7453292519943295E-2</v>
          </cell>
        </row>
      </sheetData>
      <sheetData sheetId="15048">
        <row r="1">
          <cell r="J1">
            <v>1.7453292519943295E-2</v>
          </cell>
        </row>
      </sheetData>
      <sheetData sheetId="15049">
        <row r="1">
          <cell r="J1">
            <v>1.7453292519943295E-2</v>
          </cell>
        </row>
      </sheetData>
      <sheetData sheetId="15050">
        <row r="1">
          <cell r="J1">
            <v>1.7453292519943295E-2</v>
          </cell>
        </row>
      </sheetData>
      <sheetData sheetId="15051">
        <row r="1">
          <cell r="J1">
            <v>1.7453292519943295E-2</v>
          </cell>
        </row>
      </sheetData>
      <sheetData sheetId="15052">
        <row r="1">
          <cell r="J1">
            <v>1.7453292519943295E-2</v>
          </cell>
        </row>
      </sheetData>
      <sheetData sheetId="15053">
        <row r="1">
          <cell r="J1">
            <v>1.7453292519943295E-2</v>
          </cell>
        </row>
      </sheetData>
      <sheetData sheetId="15054">
        <row r="1">
          <cell r="J1">
            <v>1.7453292519943295E-2</v>
          </cell>
        </row>
      </sheetData>
      <sheetData sheetId="15055">
        <row r="1">
          <cell r="J1">
            <v>1.7453292519943295E-2</v>
          </cell>
        </row>
      </sheetData>
      <sheetData sheetId="15056">
        <row r="1">
          <cell r="J1">
            <v>1.7453292519943295E-2</v>
          </cell>
        </row>
      </sheetData>
      <sheetData sheetId="15057">
        <row r="1">
          <cell r="J1">
            <v>1.7453292519943295E-2</v>
          </cell>
        </row>
      </sheetData>
      <sheetData sheetId="15058">
        <row r="1">
          <cell r="J1">
            <v>1.7453292519943295E-2</v>
          </cell>
        </row>
      </sheetData>
      <sheetData sheetId="15059">
        <row r="1">
          <cell r="J1">
            <v>1.7453292519943295E-2</v>
          </cell>
        </row>
      </sheetData>
      <sheetData sheetId="15060">
        <row r="1">
          <cell r="J1">
            <v>1.7453292519943295E-2</v>
          </cell>
        </row>
      </sheetData>
      <sheetData sheetId="15061">
        <row r="1">
          <cell r="J1">
            <v>1.7453292519943295E-2</v>
          </cell>
        </row>
      </sheetData>
      <sheetData sheetId="15062">
        <row r="1">
          <cell r="J1">
            <v>1.7453292519943295E-2</v>
          </cell>
        </row>
      </sheetData>
      <sheetData sheetId="15063">
        <row r="1">
          <cell r="J1">
            <v>1.7453292519943295E-2</v>
          </cell>
        </row>
      </sheetData>
      <sheetData sheetId="15064">
        <row r="1">
          <cell r="J1">
            <v>1.7453292519943295E-2</v>
          </cell>
        </row>
      </sheetData>
      <sheetData sheetId="15065">
        <row r="1">
          <cell r="J1">
            <v>1.7453292519943295E-2</v>
          </cell>
        </row>
      </sheetData>
      <sheetData sheetId="15066">
        <row r="1">
          <cell r="J1">
            <v>1.7453292519943295E-2</v>
          </cell>
        </row>
      </sheetData>
      <sheetData sheetId="15067">
        <row r="1">
          <cell r="J1">
            <v>1.7453292519943295E-2</v>
          </cell>
        </row>
      </sheetData>
      <sheetData sheetId="15068">
        <row r="1">
          <cell r="J1">
            <v>1.7453292519943295E-2</v>
          </cell>
        </row>
      </sheetData>
      <sheetData sheetId="15069">
        <row r="1">
          <cell r="J1">
            <v>1.7453292519943295E-2</v>
          </cell>
        </row>
      </sheetData>
      <sheetData sheetId="15070">
        <row r="1">
          <cell r="J1">
            <v>1.7453292519943295E-2</v>
          </cell>
        </row>
      </sheetData>
      <sheetData sheetId="15071">
        <row r="1">
          <cell r="J1">
            <v>1.7453292519943295E-2</v>
          </cell>
        </row>
      </sheetData>
      <sheetData sheetId="15072">
        <row r="1">
          <cell r="J1">
            <v>1.7453292519943295E-2</v>
          </cell>
        </row>
      </sheetData>
      <sheetData sheetId="15073">
        <row r="1">
          <cell r="J1">
            <v>1.7453292519943295E-2</v>
          </cell>
        </row>
      </sheetData>
      <sheetData sheetId="15074">
        <row r="1">
          <cell r="J1">
            <v>1.7453292519943295E-2</v>
          </cell>
        </row>
      </sheetData>
      <sheetData sheetId="15075">
        <row r="1">
          <cell r="J1">
            <v>1.7453292519943295E-2</v>
          </cell>
        </row>
      </sheetData>
      <sheetData sheetId="15076">
        <row r="1">
          <cell r="J1">
            <v>1.7453292519943295E-2</v>
          </cell>
        </row>
      </sheetData>
      <sheetData sheetId="15077">
        <row r="1">
          <cell r="J1">
            <v>1.7453292519943295E-2</v>
          </cell>
        </row>
      </sheetData>
      <sheetData sheetId="15078">
        <row r="1">
          <cell r="J1">
            <v>1.7453292519943295E-2</v>
          </cell>
        </row>
      </sheetData>
      <sheetData sheetId="15079">
        <row r="1">
          <cell r="J1">
            <v>1.7453292519943295E-2</v>
          </cell>
        </row>
      </sheetData>
      <sheetData sheetId="15080">
        <row r="1">
          <cell r="J1">
            <v>1.7453292519943295E-2</v>
          </cell>
        </row>
      </sheetData>
      <sheetData sheetId="15081">
        <row r="1">
          <cell r="J1">
            <v>1.7453292519943295E-2</v>
          </cell>
        </row>
      </sheetData>
      <sheetData sheetId="15082">
        <row r="1">
          <cell r="J1">
            <v>1.7453292519943295E-2</v>
          </cell>
        </row>
      </sheetData>
      <sheetData sheetId="15083">
        <row r="1">
          <cell r="J1">
            <v>1.7453292519943295E-2</v>
          </cell>
        </row>
      </sheetData>
      <sheetData sheetId="15084">
        <row r="1">
          <cell r="J1">
            <v>1.7453292519943295E-2</v>
          </cell>
        </row>
      </sheetData>
      <sheetData sheetId="15085">
        <row r="1">
          <cell r="J1">
            <v>1.7453292519943295E-2</v>
          </cell>
        </row>
      </sheetData>
      <sheetData sheetId="15086">
        <row r="1">
          <cell r="J1">
            <v>1.7453292519943295E-2</v>
          </cell>
        </row>
      </sheetData>
      <sheetData sheetId="15087">
        <row r="1">
          <cell r="J1">
            <v>1.7453292519943295E-2</v>
          </cell>
        </row>
      </sheetData>
      <sheetData sheetId="15088">
        <row r="1">
          <cell r="J1">
            <v>1.7453292519943295E-2</v>
          </cell>
        </row>
      </sheetData>
      <sheetData sheetId="15089">
        <row r="1">
          <cell r="J1">
            <v>1.7453292519943295E-2</v>
          </cell>
        </row>
      </sheetData>
      <sheetData sheetId="15090">
        <row r="1">
          <cell r="J1">
            <v>1.7453292519943295E-2</v>
          </cell>
        </row>
      </sheetData>
      <sheetData sheetId="15091">
        <row r="1">
          <cell r="J1">
            <v>1.7453292519943295E-2</v>
          </cell>
        </row>
      </sheetData>
      <sheetData sheetId="15092">
        <row r="1">
          <cell r="J1">
            <v>1.7453292519943295E-2</v>
          </cell>
        </row>
      </sheetData>
      <sheetData sheetId="15093">
        <row r="1">
          <cell r="J1">
            <v>1.7453292519943295E-2</v>
          </cell>
        </row>
      </sheetData>
      <sheetData sheetId="15094">
        <row r="1">
          <cell r="J1">
            <v>1.7453292519943295E-2</v>
          </cell>
        </row>
      </sheetData>
      <sheetData sheetId="15095">
        <row r="1">
          <cell r="J1">
            <v>1.7453292519943295E-2</v>
          </cell>
        </row>
      </sheetData>
      <sheetData sheetId="15096">
        <row r="1">
          <cell r="J1">
            <v>1.7453292519943295E-2</v>
          </cell>
        </row>
      </sheetData>
      <sheetData sheetId="15097">
        <row r="1">
          <cell r="J1">
            <v>1.7453292519943295E-2</v>
          </cell>
        </row>
      </sheetData>
      <sheetData sheetId="15098">
        <row r="1">
          <cell r="J1">
            <v>1.7453292519943295E-2</v>
          </cell>
        </row>
      </sheetData>
      <sheetData sheetId="15099">
        <row r="1">
          <cell r="J1">
            <v>1.7453292519943295E-2</v>
          </cell>
        </row>
      </sheetData>
      <sheetData sheetId="15100">
        <row r="1">
          <cell r="J1">
            <v>1.7453292519943295E-2</v>
          </cell>
        </row>
      </sheetData>
      <sheetData sheetId="15101">
        <row r="1">
          <cell r="J1">
            <v>1.7453292519943295E-2</v>
          </cell>
        </row>
      </sheetData>
      <sheetData sheetId="15102">
        <row r="1">
          <cell r="J1">
            <v>1.7453292519943295E-2</v>
          </cell>
        </row>
      </sheetData>
      <sheetData sheetId="15103">
        <row r="1">
          <cell r="J1">
            <v>1.7453292519943295E-2</v>
          </cell>
        </row>
      </sheetData>
      <sheetData sheetId="15104">
        <row r="1">
          <cell r="J1">
            <v>1.7453292519943295E-2</v>
          </cell>
        </row>
      </sheetData>
      <sheetData sheetId="15105">
        <row r="1">
          <cell r="J1">
            <v>1.7453292519943295E-2</v>
          </cell>
        </row>
      </sheetData>
      <sheetData sheetId="15106">
        <row r="1">
          <cell r="J1">
            <v>1.7453292519943295E-2</v>
          </cell>
        </row>
      </sheetData>
      <sheetData sheetId="15107">
        <row r="1">
          <cell r="J1">
            <v>1.7453292519943295E-2</v>
          </cell>
        </row>
      </sheetData>
      <sheetData sheetId="15108">
        <row r="1">
          <cell r="J1">
            <v>1.7453292519943295E-2</v>
          </cell>
        </row>
      </sheetData>
      <sheetData sheetId="15109">
        <row r="1">
          <cell r="J1">
            <v>1.7453292519943295E-2</v>
          </cell>
        </row>
      </sheetData>
      <sheetData sheetId="15110">
        <row r="1">
          <cell r="J1">
            <v>1.7453292519943295E-2</v>
          </cell>
        </row>
      </sheetData>
      <sheetData sheetId="15111">
        <row r="1">
          <cell r="J1">
            <v>1.7453292519943295E-2</v>
          </cell>
        </row>
      </sheetData>
      <sheetData sheetId="15112">
        <row r="1">
          <cell r="J1">
            <v>1.7453292519943295E-2</v>
          </cell>
        </row>
      </sheetData>
      <sheetData sheetId="15113">
        <row r="1">
          <cell r="J1">
            <v>1.7453292519943295E-2</v>
          </cell>
        </row>
      </sheetData>
      <sheetData sheetId="15114">
        <row r="1">
          <cell r="J1">
            <v>1.7453292519943295E-2</v>
          </cell>
        </row>
      </sheetData>
      <sheetData sheetId="15115">
        <row r="1">
          <cell r="J1">
            <v>1.7453292519943295E-2</v>
          </cell>
        </row>
      </sheetData>
      <sheetData sheetId="15116">
        <row r="1">
          <cell r="J1">
            <v>1.7453292519943295E-2</v>
          </cell>
        </row>
      </sheetData>
      <sheetData sheetId="15117">
        <row r="1">
          <cell r="J1">
            <v>1.7453292519943295E-2</v>
          </cell>
        </row>
      </sheetData>
      <sheetData sheetId="15118">
        <row r="1">
          <cell r="J1">
            <v>1.7453292519943295E-2</v>
          </cell>
        </row>
      </sheetData>
      <sheetData sheetId="15119">
        <row r="1">
          <cell r="J1">
            <v>1.7453292519943295E-2</v>
          </cell>
        </row>
      </sheetData>
      <sheetData sheetId="15120">
        <row r="1">
          <cell r="J1">
            <v>1.7453292519943295E-2</v>
          </cell>
        </row>
      </sheetData>
      <sheetData sheetId="15121">
        <row r="1">
          <cell r="J1">
            <v>1.7453292519943295E-2</v>
          </cell>
        </row>
      </sheetData>
      <sheetData sheetId="15122">
        <row r="1">
          <cell r="J1">
            <v>1.7453292519943295E-2</v>
          </cell>
        </row>
      </sheetData>
      <sheetData sheetId="15123">
        <row r="1">
          <cell r="J1">
            <v>1.7453292519943295E-2</v>
          </cell>
        </row>
      </sheetData>
      <sheetData sheetId="15124">
        <row r="1">
          <cell r="J1">
            <v>1.7453292519943295E-2</v>
          </cell>
        </row>
      </sheetData>
      <sheetData sheetId="15125">
        <row r="1">
          <cell r="J1">
            <v>1.7453292519943295E-2</v>
          </cell>
        </row>
      </sheetData>
      <sheetData sheetId="15126">
        <row r="1">
          <cell r="J1">
            <v>1.7453292519943295E-2</v>
          </cell>
        </row>
      </sheetData>
      <sheetData sheetId="15127">
        <row r="1">
          <cell r="J1">
            <v>1.7453292519943295E-2</v>
          </cell>
        </row>
      </sheetData>
      <sheetData sheetId="15128">
        <row r="1">
          <cell r="J1">
            <v>1.7453292519943295E-2</v>
          </cell>
        </row>
      </sheetData>
      <sheetData sheetId="15129">
        <row r="1">
          <cell r="J1">
            <v>1.7453292519943295E-2</v>
          </cell>
        </row>
      </sheetData>
      <sheetData sheetId="15130">
        <row r="1">
          <cell r="J1">
            <v>1.7453292519943295E-2</v>
          </cell>
        </row>
      </sheetData>
      <sheetData sheetId="15131">
        <row r="1">
          <cell r="J1">
            <v>1.7453292519943295E-2</v>
          </cell>
        </row>
      </sheetData>
      <sheetData sheetId="15132">
        <row r="1">
          <cell r="J1">
            <v>1.7453292519943295E-2</v>
          </cell>
        </row>
      </sheetData>
      <sheetData sheetId="15133">
        <row r="1">
          <cell r="J1">
            <v>1.7453292519943295E-2</v>
          </cell>
        </row>
      </sheetData>
      <sheetData sheetId="15134">
        <row r="1">
          <cell r="J1">
            <v>1.7453292519943295E-2</v>
          </cell>
        </row>
      </sheetData>
      <sheetData sheetId="15135">
        <row r="1">
          <cell r="J1">
            <v>1.7453292519943295E-2</v>
          </cell>
        </row>
      </sheetData>
      <sheetData sheetId="15136">
        <row r="1">
          <cell r="J1">
            <v>1.7453292519943295E-2</v>
          </cell>
        </row>
      </sheetData>
      <sheetData sheetId="15137">
        <row r="1">
          <cell r="J1">
            <v>1.7453292519943295E-2</v>
          </cell>
        </row>
      </sheetData>
      <sheetData sheetId="15138">
        <row r="1">
          <cell r="J1">
            <v>1.7453292519943295E-2</v>
          </cell>
        </row>
      </sheetData>
      <sheetData sheetId="15139">
        <row r="1">
          <cell r="J1">
            <v>1.7453292519943295E-2</v>
          </cell>
        </row>
      </sheetData>
      <sheetData sheetId="15140">
        <row r="1">
          <cell r="J1">
            <v>1.7453292519943295E-2</v>
          </cell>
        </row>
      </sheetData>
      <sheetData sheetId="15141">
        <row r="1">
          <cell r="J1">
            <v>1.7453292519943295E-2</v>
          </cell>
        </row>
      </sheetData>
      <sheetData sheetId="15142">
        <row r="1">
          <cell r="J1">
            <v>1.7453292519943295E-2</v>
          </cell>
        </row>
      </sheetData>
      <sheetData sheetId="15143">
        <row r="1">
          <cell r="J1">
            <v>1.7453292519943295E-2</v>
          </cell>
        </row>
      </sheetData>
      <sheetData sheetId="15144">
        <row r="1">
          <cell r="J1">
            <v>1.7453292519943295E-2</v>
          </cell>
        </row>
      </sheetData>
      <sheetData sheetId="15145">
        <row r="1">
          <cell r="J1">
            <v>1.7453292519943295E-2</v>
          </cell>
        </row>
      </sheetData>
      <sheetData sheetId="15146">
        <row r="1">
          <cell r="J1">
            <v>1.7453292519943295E-2</v>
          </cell>
        </row>
      </sheetData>
      <sheetData sheetId="15147">
        <row r="1">
          <cell r="J1">
            <v>1.7453292519943295E-2</v>
          </cell>
        </row>
      </sheetData>
      <sheetData sheetId="15148">
        <row r="1">
          <cell r="J1">
            <v>1.7453292519943295E-2</v>
          </cell>
        </row>
      </sheetData>
      <sheetData sheetId="15149">
        <row r="1">
          <cell r="J1">
            <v>1.7453292519943295E-2</v>
          </cell>
        </row>
      </sheetData>
      <sheetData sheetId="15150">
        <row r="1">
          <cell r="J1">
            <v>1.7453292519943295E-2</v>
          </cell>
        </row>
      </sheetData>
      <sheetData sheetId="15151">
        <row r="1">
          <cell r="J1">
            <v>1.7453292519943295E-2</v>
          </cell>
        </row>
      </sheetData>
      <sheetData sheetId="15152">
        <row r="1">
          <cell r="J1">
            <v>1.7453292519943295E-2</v>
          </cell>
        </row>
      </sheetData>
      <sheetData sheetId="15153">
        <row r="1">
          <cell r="J1">
            <v>1.7453292519943295E-2</v>
          </cell>
        </row>
      </sheetData>
      <sheetData sheetId="15154">
        <row r="1">
          <cell r="J1">
            <v>1.7453292519943295E-2</v>
          </cell>
        </row>
      </sheetData>
      <sheetData sheetId="15155">
        <row r="1">
          <cell r="J1">
            <v>1.7453292519943295E-2</v>
          </cell>
        </row>
      </sheetData>
      <sheetData sheetId="15156">
        <row r="1">
          <cell r="J1">
            <v>1.7453292519943295E-2</v>
          </cell>
        </row>
      </sheetData>
      <sheetData sheetId="15157">
        <row r="1">
          <cell r="J1">
            <v>1.7453292519943295E-2</v>
          </cell>
        </row>
      </sheetData>
      <sheetData sheetId="15158">
        <row r="1">
          <cell r="J1">
            <v>1.7453292519943295E-2</v>
          </cell>
        </row>
      </sheetData>
      <sheetData sheetId="15159">
        <row r="1">
          <cell r="J1">
            <v>1.7453292519943295E-2</v>
          </cell>
        </row>
      </sheetData>
      <sheetData sheetId="15160">
        <row r="1">
          <cell r="J1">
            <v>1.7453292519943295E-2</v>
          </cell>
        </row>
      </sheetData>
      <sheetData sheetId="15161">
        <row r="1">
          <cell r="J1">
            <v>1.7453292519943295E-2</v>
          </cell>
        </row>
      </sheetData>
      <sheetData sheetId="15162">
        <row r="1">
          <cell r="J1">
            <v>1.7453292519943295E-2</v>
          </cell>
        </row>
      </sheetData>
      <sheetData sheetId="15163">
        <row r="1">
          <cell r="J1">
            <v>1.7453292519943295E-2</v>
          </cell>
        </row>
      </sheetData>
      <sheetData sheetId="15164">
        <row r="1">
          <cell r="J1">
            <v>1.7453292519943295E-2</v>
          </cell>
        </row>
      </sheetData>
      <sheetData sheetId="15165">
        <row r="1">
          <cell r="J1">
            <v>1.7453292519943295E-2</v>
          </cell>
        </row>
      </sheetData>
      <sheetData sheetId="15166">
        <row r="1">
          <cell r="J1">
            <v>1.7453292519943295E-2</v>
          </cell>
        </row>
      </sheetData>
      <sheetData sheetId="15167">
        <row r="1">
          <cell r="J1">
            <v>1.7453292519943295E-2</v>
          </cell>
        </row>
      </sheetData>
      <sheetData sheetId="15168">
        <row r="1">
          <cell r="J1">
            <v>1.7453292519943295E-2</v>
          </cell>
        </row>
      </sheetData>
      <sheetData sheetId="15169">
        <row r="1">
          <cell r="J1">
            <v>1.7453292519943295E-2</v>
          </cell>
        </row>
      </sheetData>
      <sheetData sheetId="15170">
        <row r="1">
          <cell r="J1">
            <v>1.7453292519943295E-2</v>
          </cell>
        </row>
      </sheetData>
      <sheetData sheetId="15171">
        <row r="1">
          <cell r="J1">
            <v>1.7453292519943295E-2</v>
          </cell>
        </row>
      </sheetData>
      <sheetData sheetId="15172">
        <row r="1">
          <cell r="J1">
            <v>1.7453292519943295E-2</v>
          </cell>
        </row>
      </sheetData>
      <sheetData sheetId="15173">
        <row r="1">
          <cell r="J1">
            <v>1.7453292519943295E-2</v>
          </cell>
        </row>
      </sheetData>
      <sheetData sheetId="15174">
        <row r="1">
          <cell r="J1">
            <v>1.7453292519943295E-2</v>
          </cell>
        </row>
      </sheetData>
      <sheetData sheetId="15175">
        <row r="1">
          <cell r="J1">
            <v>1.7453292519943295E-2</v>
          </cell>
        </row>
      </sheetData>
      <sheetData sheetId="15176">
        <row r="1">
          <cell r="J1">
            <v>1.7453292519943295E-2</v>
          </cell>
        </row>
      </sheetData>
      <sheetData sheetId="15177">
        <row r="1">
          <cell r="J1">
            <v>1.7453292519943295E-2</v>
          </cell>
        </row>
      </sheetData>
      <sheetData sheetId="15178">
        <row r="1">
          <cell r="J1">
            <v>1.7453292519943295E-2</v>
          </cell>
        </row>
      </sheetData>
      <sheetData sheetId="15179">
        <row r="1">
          <cell r="J1">
            <v>1.7453292519943295E-2</v>
          </cell>
        </row>
      </sheetData>
      <sheetData sheetId="15180">
        <row r="1">
          <cell r="J1">
            <v>1.7453292519943295E-2</v>
          </cell>
        </row>
      </sheetData>
      <sheetData sheetId="15181">
        <row r="1">
          <cell r="J1">
            <v>1.7453292519943295E-2</v>
          </cell>
        </row>
      </sheetData>
      <sheetData sheetId="15182">
        <row r="1">
          <cell r="J1">
            <v>1.7453292519943295E-2</v>
          </cell>
        </row>
      </sheetData>
      <sheetData sheetId="15183">
        <row r="1">
          <cell r="J1">
            <v>1.7453292519943295E-2</v>
          </cell>
        </row>
      </sheetData>
      <sheetData sheetId="15184">
        <row r="1">
          <cell r="J1">
            <v>1.7453292519943295E-2</v>
          </cell>
        </row>
      </sheetData>
      <sheetData sheetId="15185">
        <row r="1">
          <cell r="J1">
            <v>1.7453292519943295E-2</v>
          </cell>
        </row>
      </sheetData>
      <sheetData sheetId="15186">
        <row r="1">
          <cell r="J1">
            <v>1.7453292519943295E-2</v>
          </cell>
        </row>
      </sheetData>
      <sheetData sheetId="15187">
        <row r="1">
          <cell r="J1">
            <v>1.7453292519943295E-2</v>
          </cell>
        </row>
      </sheetData>
      <sheetData sheetId="15188">
        <row r="1">
          <cell r="J1">
            <v>1.7453292519943295E-2</v>
          </cell>
        </row>
      </sheetData>
      <sheetData sheetId="15189">
        <row r="1">
          <cell r="J1">
            <v>1.7453292519943295E-2</v>
          </cell>
        </row>
      </sheetData>
      <sheetData sheetId="15190">
        <row r="1">
          <cell r="J1">
            <v>1.7453292519943295E-2</v>
          </cell>
        </row>
      </sheetData>
      <sheetData sheetId="15191">
        <row r="1">
          <cell r="J1">
            <v>1.7453292519943295E-2</v>
          </cell>
        </row>
      </sheetData>
      <sheetData sheetId="15192">
        <row r="1">
          <cell r="J1">
            <v>1.7453292519943295E-2</v>
          </cell>
        </row>
      </sheetData>
      <sheetData sheetId="15193">
        <row r="1">
          <cell r="J1">
            <v>1.7453292519943295E-2</v>
          </cell>
        </row>
      </sheetData>
      <sheetData sheetId="15194">
        <row r="1">
          <cell r="J1">
            <v>1.7453292519943295E-2</v>
          </cell>
        </row>
      </sheetData>
      <sheetData sheetId="15195">
        <row r="1">
          <cell r="J1">
            <v>1.7453292519943295E-2</v>
          </cell>
        </row>
      </sheetData>
      <sheetData sheetId="15196">
        <row r="1">
          <cell r="J1">
            <v>1.7453292519943295E-2</v>
          </cell>
        </row>
      </sheetData>
      <sheetData sheetId="15197">
        <row r="1">
          <cell r="J1">
            <v>1.7453292519943295E-2</v>
          </cell>
        </row>
      </sheetData>
      <sheetData sheetId="15198">
        <row r="1">
          <cell r="J1">
            <v>1.7453292519943295E-2</v>
          </cell>
        </row>
      </sheetData>
      <sheetData sheetId="15199">
        <row r="1">
          <cell r="J1">
            <v>1.7453292519943295E-2</v>
          </cell>
        </row>
      </sheetData>
      <sheetData sheetId="15200">
        <row r="1">
          <cell r="J1">
            <v>1.7453292519943295E-2</v>
          </cell>
        </row>
      </sheetData>
      <sheetData sheetId="15201">
        <row r="1">
          <cell r="J1">
            <v>1.7453292519943295E-2</v>
          </cell>
        </row>
      </sheetData>
      <sheetData sheetId="15202">
        <row r="1">
          <cell r="J1">
            <v>1.7453292519943295E-2</v>
          </cell>
        </row>
      </sheetData>
      <sheetData sheetId="15203">
        <row r="1">
          <cell r="J1">
            <v>1.7453292519943295E-2</v>
          </cell>
        </row>
      </sheetData>
      <sheetData sheetId="15204">
        <row r="1">
          <cell r="J1">
            <v>1.7453292519943295E-2</v>
          </cell>
        </row>
      </sheetData>
      <sheetData sheetId="15205">
        <row r="1">
          <cell r="J1">
            <v>1.7453292519943295E-2</v>
          </cell>
        </row>
      </sheetData>
      <sheetData sheetId="15206">
        <row r="1">
          <cell r="J1">
            <v>1.7453292519943295E-2</v>
          </cell>
        </row>
      </sheetData>
      <sheetData sheetId="15207">
        <row r="1">
          <cell r="J1">
            <v>1.7453292519943295E-2</v>
          </cell>
        </row>
      </sheetData>
      <sheetData sheetId="15208">
        <row r="1">
          <cell r="J1">
            <v>1.7453292519943295E-2</v>
          </cell>
        </row>
      </sheetData>
      <sheetData sheetId="15209">
        <row r="1">
          <cell r="J1">
            <v>1.7453292519943295E-2</v>
          </cell>
        </row>
      </sheetData>
      <sheetData sheetId="15210">
        <row r="1">
          <cell r="J1">
            <v>1.7453292519943295E-2</v>
          </cell>
        </row>
      </sheetData>
      <sheetData sheetId="15211">
        <row r="1">
          <cell r="J1">
            <v>1.7453292519943295E-2</v>
          </cell>
        </row>
      </sheetData>
      <sheetData sheetId="15212" refreshError="1"/>
      <sheetData sheetId="15213" refreshError="1"/>
      <sheetData sheetId="15214">
        <row r="1">
          <cell r="J1">
            <v>1.7453292519943295E-2</v>
          </cell>
        </row>
      </sheetData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>
        <row r="1">
          <cell r="J1">
            <v>1.7453292519943295E-2</v>
          </cell>
        </row>
      </sheetData>
      <sheetData sheetId="15250">
        <row r="1">
          <cell r="J1">
            <v>1.7453292519943295E-2</v>
          </cell>
        </row>
      </sheetData>
      <sheetData sheetId="15251" refreshError="1"/>
      <sheetData sheetId="15252">
        <row r="1">
          <cell r="J1">
            <v>1.7453292519943295E-2</v>
          </cell>
        </row>
      </sheetData>
      <sheetData sheetId="15253" refreshError="1"/>
      <sheetData sheetId="15254" refreshError="1"/>
      <sheetData sheetId="15255">
        <row r="1">
          <cell r="J1">
            <v>1.7453292519943295E-2</v>
          </cell>
        </row>
      </sheetData>
      <sheetData sheetId="15256">
        <row r="1">
          <cell r="J1">
            <v>1.7453292519943295E-2</v>
          </cell>
        </row>
      </sheetData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>
        <row r="1">
          <cell r="J1">
            <v>1.7453292519943295E-2</v>
          </cell>
        </row>
      </sheetData>
      <sheetData sheetId="15263">
        <row r="1">
          <cell r="J1">
            <v>1.7453292519943295E-2</v>
          </cell>
        </row>
      </sheetData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>
        <row r="1">
          <cell r="J1">
            <v>1.7453292519943295E-2</v>
          </cell>
        </row>
      </sheetData>
      <sheetData sheetId="15271">
        <row r="1">
          <cell r="J1">
            <v>1.7453292519943295E-2</v>
          </cell>
        </row>
      </sheetData>
      <sheetData sheetId="15272" refreshError="1"/>
      <sheetData sheetId="15273" refreshError="1"/>
      <sheetData sheetId="15274" refreshError="1"/>
      <sheetData sheetId="15275">
        <row r="1">
          <cell r="J1">
            <v>1.7453292519943295E-2</v>
          </cell>
        </row>
      </sheetData>
      <sheetData sheetId="15276" refreshError="1"/>
      <sheetData sheetId="15277" refreshError="1"/>
      <sheetData sheetId="15278">
        <row r="1">
          <cell r="J1">
            <v>1.7453292519943295E-2</v>
          </cell>
        </row>
      </sheetData>
      <sheetData sheetId="15279">
        <row r="1">
          <cell r="J1">
            <v>1.7453292519943295E-2</v>
          </cell>
        </row>
      </sheetData>
      <sheetData sheetId="15280" refreshError="1"/>
      <sheetData sheetId="15281" refreshError="1"/>
      <sheetData sheetId="15282">
        <row r="1">
          <cell r="J1">
            <v>1.7453292519943295E-2</v>
          </cell>
        </row>
      </sheetData>
      <sheetData sheetId="15283">
        <row r="1">
          <cell r="J1">
            <v>1.7453292519943295E-2</v>
          </cell>
        </row>
      </sheetData>
      <sheetData sheetId="15284" refreshError="1"/>
      <sheetData sheetId="15285" refreshError="1"/>
      <sheetData sheetId="15286">
        <row r="1">
          <cell r="J1">
            <v>1.7453292519943295E-2</v>
          </cell>
        </row>
      </sheetData>
      <sheetData sheetId="15287">
        <row r="1">
          <cell r="J1">
            <v>1.7453292519943295E-2</v>
          </cell>
        </row>
      </sheetData>
      <sheetData sheetId="15288" refreshError="1"/>
      <sheetData sheetId="15289">
        <row r="1">
          <cell r="J1">
            <v>1.7453292519943295E-2</v>
          </cell>
        </row>
      </sheetData>
      <sheetData sheetId="15290" refreshError="1"/>
      <sheetData sheetId="15291" refreshError="1"/>
      <sheetData sheetId="15292" refreshError="1"/>
      <sheetData sheetId="15293" refreshError="1"/>
      <sheetData sheetId="15294">
        <row r="1">
          <cell r="J1">
            <v>1.7453292519943295E-2</v>
          </cell>
        </row>
      </sheetData>
      <sheetData sheetId="15295">
        <row r="1">
          <cell r="J1">
            <v>1.7453292519943295E-2</v>
          </cell>
        </row>
      </sheetData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>
        <row r="1">
          <cell r="J1">
            <v>1.7453292519943295E-2</v>
          </cell>
        </row>
      </sheetData>
      <sheetData sheetId="15303">
        <row r="1">
          <cell r="J1">
            <v>1.7453292519943295E-2</v>
          </cell>
        </row>
      </sheetData>
      <sheetData sheetId="15304" refreshError="1"/>
      <sheetData sheetId="15305" refreshError="1"/>
      <sheetData sheetId="15306">
        <row r="1">
          <cell r="J1">
            <v>1.7453292519943295E-2</v>
          </cell>
        </row>
      </sheetData>
      <sheetData sheetId="15307" refreshError="1"/>
      <sheetData sheetId="15308" refreshError="1"/>
      <sheetData sheetId="15309" refreshError="1"/>
      <sheetData sheetId="15310">
        <row r="1">
          <cell r="J1">
            <v>1.7453292519943295E-2</v>
          </cell>
        </row>
      </sheetData>
      <sheetData sheetId="15311" refreshError="1"/>
      <sheetData sheetId="15312" refreshError="1"/>
      <sheetData sheetId="15313">
        <row r="1">
          <cell r="J1">
            <v>1.7453292519943295E-2</v>
          </cell>
        </row>
      </sheetData>
      <sheetData sheetId="15314">
        <row r="1">
          <cell r="J1">
            <v>1.7453292519943295E-2</v>
          </cell>
        </row>
      </sheetData>
      <sheetData sheetId="15315" refreshError="1"/>
      <sheetData sheetId="15316">
        <row r="1">
          <cell r="J1">
            <v>1.7453292519943295E-2</v>
          </cell>
        </row>
      </sheetData>
      <sheetData sheetId="15317">
        <row r="1">
          <cell r="J1">
            <v>1.7453292519943295E-2</v>
          </cell>
        </row>
      </sheetData>
      <sheetData sheetId="15318" refreshError="1"/>
      <sheetData sheetId="15319">
        <row r="1">
          <cell r="J1">
            <v>1.7453292519943295E-2</v>
          </cell>
        </row>
      </sheetData>
      <sheetData sheetId="15320" refreshError="1"/>
      <sheetData sheetId="15321">
        <row r="1">
          <cell r="J1">
            <v>1.7453292519943295E-2</v>
          </cell>
        </row>
      </sheetData>
      <sheetData sheetId="15322">
        <row r="1">
          <cell r="J1">
            <v>1.7453292519943295E-2</v>
          </cell>
        </row>
      </sheetData>
      <sheetData sheetId="15323" refreshError="1"/>
      <sheetData sheetId="15324"/>
      <sheetData sheetId="15325" refreshError="1"/>
      <sheetData sheetId="15326">
        <row r="1">
          <cell r="J1">
            <v>1.7453292519943295E-2</v>
          </cell>
        </row>
      </sheetData>
      <sheetData sheetId="15327">
        <row r="1">
          <cell r="J1">
            <v>1.7453292519943295E-2</v>
          </cell>
        </row>
      </sheetData>
      <sheetData sheetId="15328" refreshError="1"/>
      <sheetData sheetId="15329">
        <row r="1">
          <cell r="J1">
            <v>1.7453292519943295E-2</v>
          </cell>
        </row>
      </sheetData>
      <sheetData sheetId="15330" refreshError="1"/>
      <sheetData sheetId="15331" refreshError="1"/>
      <sheetData sheetId="15332" refreshError="1"/>
      <sheetData sheetId="15333" refreshError="1"/>
      <sheetData sheetId="15334">
        <row r="1">
          <cell r="J1">
            <v>1.7453292519943295E-2</v>
          </cell>
        </row>
      </sheetData>
      <sheetData sheetId="15335">
        <row r="1">
          <cell r="J1">
            <v>1.7453292519943295E-2</v>
          </cell>
        </row>
      </sheetData>
      <sheetData sheetId="15336" refreshError="1"/>
      <sheetData sheetId="15337"/>
      <sheetData sheetId="15338" refreshError="1"/>
      <sheetData sheetId="15339"/>
      <sheetData sheetId="15340"/>
      <sheetData sheetId="15341" refreshError="1"/>
      <sheetData sheetId="15342" refreshError="1"/>
      <sheetData sheetId="15343"/>
      <sheetData sheetId="15344"/>
      <sheetData sheetId="15345" refreshError="1"/>
      <sheetData sheetId="15346"/>
      <sheetData sheetId="15347" refreshError="1"/>
      <sheetData sheetId="15348" refreshError="1"/>
      <sheetData sheetId="15349" refreshError="1"/>
      <sheetData sheetId="15350" refreshError="1"/>
      <sheetData sheetId="15351"/>
      <sheetData sheetId="15352"/>
      <sheetData sheetId="15353" refreshError="1"/>
      <sheetData sheetId="15354" refreshError="1"/>
      <sheetData sheetId="15355" refreshError="1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>
        <row r="1">
          <cell r="J1">
            <v>1.7453292519943295E-2</v>
          </cell>
        </row>
      </sheetData>
      <sheetData sheetId="15383">
        <row r="1">
          <cell r="J1">
            <v>1.7453292519943295E-2</v>
          </cell>
        </row>
      </sheetData>
      <sheetData sheetId="15384" refreshError="1"/>
      <sheetData sheetId="15385">
        <row r="1">
          <cell r="J1">
            <v>1.7453292519943295E-2</v>
          </cell>
        </row>
      </sheetData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>
        <row r="1">
          <cell r="J1">
            <v>1.7453292519943295E-2</v>
          </cell>
        </row>
      </sheetData>
      <sheetData sheetId="15397">
        <row r="1">
          <cell r="J1">
            <v>1.7453292519943295E-2</v>
          </cell>
        </row>
      </sheetData>
      <sheetData sheetId="15398" refreshError="1"/>
      <sheetData sheetId="15399">
        <row r="1">
          <cell r="J1">
            <v>1.7453292519943295E-2</v>
          </cell>
        </row>
      </sheetData>
      <sheetData sheetId="15400" refreshError="1"/>
      <sheetData sheetId="15401" refreshError="1"/>
      <sheetData sheetId="15402" refreshError="1"/>
      <sheetData sheetId="15403" refreshError="1"/>
      <sheetData sheetId="15404">
        <row r="1">
          <cell r="J1">
            <v>1.7453292519943295E-2</v>
          </cell>
        </row>
      </sheetData>
      <sheetData sheetId="15405" refreshError="1"/>
      <sheetData sheetId="15406" refreshError="1"/>
      <sheetData sheetId="15407" refreshError="1"/>
      <sheetData sheetId="15408">
        <row r="1">
          <cell r="J1">
            <v>1.7453292519943295E-2</v>
          </cell>
        </row>
      </sheetData>
      <sheetData sheetId="15409">
        <row r="1">
          <cell r="J1">
            <v>1.7453292519943295E-2</v>
          </cell>
        </row>
      </sheetData>
      <sheetData sheetId="15410" refreshError="1"/>
      <sheetData sheetId="15411">
        <row r="1">
          <cell r="J1">
            <v>1.7453292519943295E-2</v>
          </cell>
        </row>
      </sheetData>
      <sheetData sheetId="15412" refreshError="1"/>
      <sheetData sheetId="15413" refreshError="1"/>
      <sheetData sheetId="15414" refreshError="1"/>
      <sheetData sheetId="15415">
        <row r="1">
          <cell r="J1">
            <v>1.7453292519943295E-2</v>
          </cell>
        </row>
      </sheetData>
      <sheetData sheetId="15416">
        <row r="1">
          <cell r="J1">
            <v>1.7453292519943295E-2</v>
          </cell>
        </row>
      </sheetData>
      <sheetData sheetId="15417">
        <row r="1">
          <cell r="J1">
            <v>1.7453292519943295E-2</v>
          </cell>
        </row>
      </sheetData>
      <sheetData sheetId="15418">
        <row r="1">
          <cell r="J1">
            <v>1.7453292519943295E-2</v>
          </cell>
        </row>
      </sheetData>
      <sheetData sheetId="15419">
        <row r="1">
          <cell r="J1">
            <v>1.7453292519943295E-2</v>
          </cell>
        </row>
      </sheetData>
      <sheetData sheetId="15420">
        <row r="1">
          <cell r="J1">
            <v>1.7453292519943295E-2</v>
          </cell>
        </row>
      </sheetData>
      <sheetData sheetId="15421">
        <row r="1">
          <cell r="J1">
            <v>1.7453292519943295E-2</v>
          </cell>
        </row>
      </sheetData>
      <sheetData sheetId="15422">
        <row r="1">
          <cell r="J1">
            <v>1.7453292519943295E-2</v>
          </cell>
        </row>
      </sheetData>
      <sheetData sheetId="15423">
        <row r="1">
          <cell r="J1">
            <v>1.7453292519943295E-2</v>
          </cell>
        </row>
      </sheetData>
      <sheetData sheetId="15424">
        <row r="1">
          <cell r="J1">
            <v>1.7453292519943295E-2</v>
          </cell>
        </row>
      </sheetData>
      <sheetData sheetId="15425">
        <row r="1">
          <cell r="J1">
            <v>1.7453292519943295E-2</v>
          </cell>
        </row>
      </sheetData>
      <sheetData sheetId="15426">
        <row r="1">
          <cell r="J1">
            <v>1.7453292519943295E-2</v>
          </cell>
        </row>
      </sheetData>
      <sheetData sheetId="15427">
        <row r="1">
          <cell r="J1">
            <v>1.7453292519943295E-2</v>
          </cell>
        </row>
      </sheetData>
      <sheetData sheetId="15428">
        <row r="1">
          <cell r="J1">
            <v>1.7453292519943295E-2</v>
          </cell>
        </row>
      </sheetData>
      <sheetData sheetId="15429">
        <row r="1">
          <cell r="J1">
            <v>1.7453292519943295E-2</v>
          </cell>
        </row>
      </sheetData>
      <sheetData sheetId="15430">
        <row r="1">
          <cell r="J1">
            <v>1.7453292519943295E-2</v>
          </cell>
        </row>
      </sheetData>
      <sheetData sheetId="15431">
        <row r="1">
          <cell r="J1">
            <v>1.7453292519943295E-2</v>
          </cell>
        </row>
      </sheetData>
      <sheetData sheetId="15432">
        <row r="1">
          <cell r="J1">
            <v>1.7453292519943295E-2</v>
          </cell>
        </row>
      </sheetData>
      <sheetData sheetId="15433">
        <row r="1">
          <cell r="J1">
            <v>1.7453292519943295E-2</v>
          </cell>
        </row>
      </sheetData>
      <sheetData sheetId="15434">
        <row r="1">
          <cell r="J1">
            <v>1.7453292519943295E-2</v>
          </cell>
        </row>
      </sheetData>
      <sheetData sheetId="15435">
        <row r="1">
          <cell r="J1">
            <v>1.7453292519943295E-2</v>
          </cell>
        </row>
      </sheetData>
      <sheetData sheetId="15436" refreshError="1"/>
      <sheetData sheetId="15437" refreshError="1"/>
      <sheetData sheetId="15438">
        <row r="1">
          <cell r="J1">
            <v>1.7453292519943295E-2</v>
          </cell>
        </row>
      </sheetData>
      <sheetData sheetId="15439">
        <row r="1">
          <cell r="J1">
            <v>1.7453292519943295E-2</v>
          </cell>
        </row>
      </sheetData>
      <sheetData sheetId="15440" refreshError="1"/>
      <sheetData sheetId="15441" refreshError="1"/>
      <sheetData sheetId="15442">
        <row r="1">
          <cell r="J1">
            <v>1.7453292519943295E-2</v>
          </cell>
        </row>
      </sheetData>
      <sheetData sheetId="15443" refreshError="1"/>
      <sheetData sheetId="15444">
        <row r="1">
          <cell r="J1">
            <v>1.7453292519943295E-2</v>
          </cell>
        </row>
      </sheetData>
      <sheetData sheetId="15445">
        <row r="1">
          <cell r="J1">
            <v>1.7453292519943295E-2</v>
          </cell>
        </row>
      </sheetData>
      <sheetData sheetId="15446" refreshError="1"/>
      <sheetData sheetId="15447" refreshError="1"/>
      <sheetData sheetId="15448">
        <row r="1">
          <cell r="J1">
            <v>1.7453292519943295E-2</v>
          </cell>
        </row>
      </sheetData>
      <sheetData sheetId="15449">
        <row r="1">
          <cell r="J1">
            <v>1.7453292519943295E-2</v>
          </cell>
        </row>
      </sheetData>
      <sheetData sheetId="15450">
        <row r="1">
          <cell r="J1">
            <v>1.7453292519943295E-2</v>
          </cell>
        </row>
      </sheetData>
      <sheetData sheetId="15451">
        <row r="1">
          <cell r="J1">
            <v>1.7453292519943295E-2</v>
          </cell>
        </row>
      </sheetData>
      <sheetData sheetId="15452">
        <row r="1">
          <cell r="J1">
            <v>1.7453292519943295E-2</v>
          </cell>
        </row>
      </sheetData>
      <sheetData sheetId="15453" refreshError="1"/>
      <sheetData sheetId="15454" refreshError="1"/>
      <sheetData sheetId="15455" refreshError="1"/>
      <sheetData sheetId="15456" refreshError="1"/>
      <sheetData sheetId="15457">
        <row r="1">
          <cell r="J1">
            <v>1.7453292519943295E-2</v>
          </cell>
        </row>
      </sheetData>
      <sheetData sheetId="15458" refreshError="1"/>
      <sheetData sheetId="15459" refreshError="1"/>
      <sheetData sheetId="15460" refreshError="1"/>
      <sheetData sheetId="15461">
        <row r="1">
          <cell r="J1">
            <v>1.7453292519943295E-2</v>
          </cell>
        </row>
      </sheetData>
      <sheetData sheetId="15462">
        <row r="1">
          <cell r="J1">
            <v>1.7453292519943295E-2</v>
          </cell>
        </row>
      </sheetData>
      <sheetData sheetId="15463">
        <row r="1">
          <cell r="J1">
            <v>1.7453292519943295E-2</v>
          </cell>
        </row>
      </sheetData>
      <sheetData sheetId="15464">
        <row r="1">
          <cell r="J1">
            <v>1.7453292519943295E-2</v>
          </cell>
        </row>
      </sheetData>
      <sheetData sheetId="15465">
        <row r="1">
          <cell r="J1">
            <v>1.7453292519943295E-2</v>
          </cell>
        </row>
      </sheetData>
      <sheetData sheetId="15466">
        <row r="1">
          <cell r="J1">
            <v>1.7453292519943295E-2</v>
          </cell>
        </row>
      </sheetData>
      <sheetData sheetId="15467">
        <row r="1">
          <cell r="J1">
            <v>1.7453292519943295E-2</v>
          </cell>
        </row>
      </sheetData>
      <sheetData sheetId="15468">
        <row r="1">
          <cell r="J1">
            <v>1.7453292519943295E-2</v>
          </cell>
        </row>
      </sheetData>
      <sheetData sheetId="15469">
        <row r="1">
          <cell r="J1">
            <v>1.7453292519943295E-2</v>
          </cell>
        </row>
      </sheetData>
      <sheetData sheetId="15470">
        <row r="1">
          <cell r="J1">
            <v>1.7453292519943295E-2</v>
          </cell>
        </row>
      </sheetData>
      <sheetData sheetId="15471">
        <row r="1">
          <cell r="J1">
            <v>1.7453292519943295E-2</v>
          </cell>
        </row>
      </sheetData>
      <sheetData sheetId="15472">
        <row r="1">
          <cell r="J1">
            <v>1.7453292519943295E-2</v>
          </cell>
        </row>
      </sheetData>
      <sheetData sheetId="15473">
        <row r="1">
          <cell r="J1">
            <v>1.7453292519943295E-2</v>
          </cell>
        </row>
      </sheetData>
      <sheetData sheetId="15474">
        <row r="1">
          <cell r="J1">
            <v>1.7453292519943295E-2</v>
          </cell>
        </row>
      </sheetData>
      <sheetData sheetId="15475">
        <row r="1">
          <cell r="J1">
            <v>1.7453292519943295E-2</v>
          </cell>
        </row>
      </sheetData>
      <sheetData sheetId="15476">
        <row r="1">
          <cell r="J1">
            <v>1.7453292519943295E-2</v>
          </cell>
        </row>
      </sheetData>
      <sheetData sheetId="15477">
        <row r="1">
          <cell r="J1">
            <v>1.7453292519943295E-2</v>
          </cell>
        </row>
      </sheetData>
      <sheetData sheetId="15478">
        <row r="1">
          <cell r="J1">
            <v>1.7453292519943295E-2</v>
          </cell>
        </row>
      </sheetData>
      <sheetData sheetId="15479">
        <row r="1">
          <cell r="J1">
            <v>1.7453292519943295E-2</v>
          </cell>
        </row>
      </sheetData>
      <sheetData sheetId="15480">
        <row r="1">
          <cell r="J1">
            <v>1.7453292519943295E-2</v>
          </cell>
        </row>
      </sheetData>
      <sheetData sheetId="15481">
        <row r="1">
          <cell r="J1">
            <v>1.7453292519943295E-2</v>
          </cell>
        </row>
      </sheetData>
      <sheetData sheetId="15482">
        <row r="1">
          <cell r="J1">
            <v>1.7453292519943295E-2</v>
          </cell>
        </row>
      </sheetData>
      <sheetData sheetId="15483">
        <row r="1">
          <cell r="J1">
            <v>1.7453292519943295E-2</v>
          </cell>
        </row>
      </sheetData>
      <sheetData sheetId="15484">
        <row r="1">
          <cell r="J1">
            <v>1.7453292519943295E-2</v>
          </cell>
        </row>
      </sheetData>
      <sheetData sheetId="15485">
        <row r="1">
          <cell r="J1">
            <v>1.7453292519943295E-2</v>
          </cell>
        </row>
      </sheetData>
      <sheetData sheetId="15486">
        <row r="1">
          <cell r="J1">
            <v>1.7453292519943295E-2</v>
          </cell>
        </row>
      </sheetData>
      <sheetData sheetId="15487">
        <row r="1">
          <cell r="J1">
            <v>1.7453292519943295E-2</v>
          </cell>
        </row>
      </sheetData>
      <sheetData sheetId="15488">
        <row r="1">
          <cell r="J1">
            <v>1.7453292519943295E-2</v>
          </cell>
        </row>
      </sheetData>
      <sheetData sheetId="15489">
        <row r="1">
          <cell r="J1">
            <v>1.7453292519943295E-2</v>
          </cell>
        </row>
      </sheetData>
      <sheetData sheetId="15490">
        <row r="1">
          <cell r="J1">
            <v>1.7453292519943295E-2</v>
          </cell>
        </row>
      </sheetData>
      <sheetData sheetId="15491">
        <row r="1">
          <cell r="J1">
            <v>1.7453292519943295E-2</v>
          </cell>
        </row>
      </sheetData>
      <sheetData sheetId="15492">
        <row r="1">
          <cell r="J1">
            <v>1.7453292519943295E-2</v>
          </cell>
        </row>
      </sheetData>
      <sheetData sheetId="15493">
        <row r="1">
          <cell r="J1">
            <v>1.7453292519943295E-2</v>
          </cell>
        </row>
      </sheetData>
      <sheetData sheetId="15494">
        <row r="1">
          <cell r="J1">
            <v>1.7453292519943295E-2</v>
          </cell>
        </row>
      </sheetData>
      <sheetData sheetId="15495">
        <row r="1">
          <cell r="J1">
            <v>1.7453292519943295E-2</v>
          </cell>
        </row>
      </sheetData>
      <sheetData sheetId="15496">
        <row r="1">
          <cell r="J1">
            <v>1.7453292519943295E-2</v>
          </cell>
        </row>
      </sheetData>
      <sheetData sheetId="15497">
        <row r="1">
          <cell r="J1">
            <v>1.7453292519943295E-2</v>
          </cell>
        </row>
      </sheetData>
      <sheetData sheetId="15498">
        <row r="1">
          <cell r="J1">
            <v>1.7453292519943295E-2</v>
          </cell>
        </row>
      </sheetData>
      <sheetData sheetId="15499">
        <row r="1">
          <cell r="J1">
            <v>1.7453292519943295E-2</v>
          </cell>
        </row>
      </sheetData>
      <sheetData sheetId="15500">
        <row r="1">
          <cell r="J1">
            <v>1.7453292519943295E-2</v>
          </cell>
        </row>
      </sheetData>
      <sheetData sheetId="15501">
        <row r="1">
          <cell r="J1">
            <v>1.7453292519943295E-2</v>
          </cell>
        </row>
      </sheetData>
      <sheetData sheetId="15502">
        <row r="1">
          <cell r="J1">
            <v>1.7453292519943295E-2</v>
          </cell>
        </row>
      </sheetData>
      <sheetData sheetId="15503">
        <row r="1">
          <cell r="J1">
            <v>1.7453292519943295E-2</v>
          </cell>
        </row>
      </sheetData>
      <sheetData sheetId="15504">
        <row r="1">
          <cell r="J1">
            <v>1.7453292519943295E-2</v>
          </cell>
        </row>
      </sheetData>
      <sheetData sheetId="15505">
        <row r="1">
          <cell r="J1">
            <v>1.7453292519943295E-2</v>
          </cell>
        </row>
      </sheetData>
      <sheetData sheetId="15506">
        <row r="1">
          <cell r="J1">
            <v>1.7453292519943295E-2</v>
          </cell>
        </row>
      </sheetData>
      <sheetData sheetId="15507">
        <row r="1">
          <cell r="J1">
            <v>1.7453292519943295E-2</v>
          </cell>
        </row>
      </sheetData>
      <sheetData sheetId="15508">
        <row r="1">
          <cell r="J1">
            <v>1.7453292519943295E-2</v>
          </cell>
        </row>
      </sheetData>
      <sheetData sheetId="15509">
        <row r="1">
          <cell r="J1">
            <v>1.7453292519943295E-2</v>
          </cell>
        </row>
      </sheetData>
      <sheetData sheetId="15510">
        <row r="1">
          <cell r="J1">
            <v>1.7453292519943295E-2</v>
          </cell>
        </row>
      </sheetData>
      <sheetData sheetId="15511">
        <row r="1">
          <cell r="J1">
            <v>1.7453292519943295E-2</v>
          </cell>
        </row>
      </sheetData>
      <sheetData sheetId="15512">
        <row r="1">
          <cell r="J1">
            <v>1.7453292519943295E-2</v>
          </cell>
        </row>
      </sheetData>
      <sheetData sheetId="15513">
        <row r="1">
          <cell r="J1">
            <v>1.7453292519943295E-2</v>
          </cell>
        </row>
      </sheetData>
      <sheetData sheetId="15514">
        <row r="1">
          <cell r="J1">
            <v>1.7453292519943295E-2</v>
          </cell>
        </row>
      </sheetData>
      <sheetData sheetId="15515">
        <row r="1">
          <cell r="J1">
            <v>1.7453292519943295E-2</v>
          </cell>
        </row>
      </sheetData>
      <sheetData sheetId="15516">
        <row r="1">
          <cell r="J1">
            <v>1.7453292519943295E-2</v>
          </cell>
        </row>
      </sheetData>
      <sheetData sheetId="15517">
        <row r="1">
          <cell r="J1">
            <v>1.7453292519943295E-2</v>
          </cell>
        </row>
      </sheetData>
      <sheetData sheetId="15518">
        <row r="1">
          <cell r="J1">
            <v>1.7453292519943295E-2</v>
          </cell>
        </row>
      </sheetData>
      <sheetData sheetId="15519">
        <row r="1">
          <cell r="J1">
            <v>1.7453292519943295E-2</v>
          </cell>
        </row>
      </sheetData>
      <sheetData sheetId="15520">
        <row r="1">
          <cell r="J1">
            <v>1.7453292519943295E-2</v>
          </cell>
        </row>
      </sheetData>
      <sheetData sheetId="15521">
        <row r="1">
          <cell r="J1">
            <v>1.7453292519943295E-2</v>
          </cell>
        </row>
      </sheetData>
      <sheetData sheetId="15522">
        <row r="1">
          <cell r="J1">
            <v>1.7453292519943295E-2</v>
          </cell>
        </row>
      </sheetData>
      <sheetData sheetId="15523">
        <row r="1">
          <cell r="J1">
            <v>1.7453292519943295E-2</v>
          </cell>
        </row>
      </sheetData>
      <sheetData sheetId="15524">
        <row r="1">
          <cell r="J1">
            <v>1.7453292519943295E-2</v>
          </cell>
        </row>
      </sheetData>
      <sheetData sheetId="15525">
        <row r="1">
          <cell r="J1">
            <v>1.7453292519943295E-2</v>
          </cell>
        </row>
      </sheetData>
      <sheetData sheetId="15526">
        <row r="1">
          <cell r="J1">
            <v>1.7453292519943295E-2</v>
          </cell>
        </row>
      </sheetData>
      <sheetData sheetId="15527">
        <row r="1">
          <cell r="J1">
            <v>1.7453292519943295E-2</v>
          </cell>
        </row>
      </sheetData>
      <sheetData sheetId="15528">
        <row r="1">
          <cell r="J1">
            <v>1.7453292519943295E-2</v>
          </cell>
        </row>
      </sheetData>
      <sheetData sheetId="15529">
        <row r="1">
          <cell r="J1">
            <v>1.7453292519943295E-2</v>
          </cell>
        </row>
      </sheetData>
      <sheetData sheetId="15530">
        <row r="1">
          <cell r="J1">
            <v>1.7453292519943295E-2</v>
          </cell>
        </row>
      </sheetData>
      <sheetData sheetId="15531">
        <row r="1">
          <cell r="J1">
            <v>1.7453292519943295E-2</v>
          </cell>
        </row>
      </sheetData>
      <sheetData sheetId="15532">
        <row r="1">
          <cell r="J1">
            <v>1.7453292519943295E-2</v>
          </cell>
        </row>
      </sheetData>
      <sheetData sheetId="15533">
        <row r="1">
          <cell r="J1">
            <v>1.7453292519943295E-2</v>
          </cell>
        </row>
      </sheetData>
      <sheetData sheetId="15534">
        <row r="1">
          <cell r="J1">
            <v>1.7453292519943295E-2</v>
          </cell>
        </row>
      </sheetData>
      <sheetData sheetId="15535">
        <row r="1">
          <cell r="J1">
            <v>1.7453292519943295E-2</v>
          </cell>
        </row>
      </sheetData>
      <sheetData sheetId="15536">
        <row r="1">
          <cell r="J1">
            <v>1.7453292519943295E-2</v>
          </cell>
        </row>
      </sheetData>
      <sheetData sheetId="15537">
        <row r="1">
          <cell r="J1">
            <v>1.7453292519943295E-2</v>
          </cell>
        </row>
      </sheetData>
      <sheetData sheetId="15538">
        <row r="1">
          <cell r="J1">
            <v>1.7453292519943295E-2</v>
          </cell>
        </row>
      </sheetData>
      <sheetData sheetId="15539">
        <row r="1">
          <cell r="J1">
            <v>1.7453292519943295E-2</v>
          </cell>
        </row>
      </sheetData>
      <sheetData sheetId="15540">
        <row r="1">
          <cell r="J1">
            <v>1.7453292519943295E-2</v>
          </cell>
        </row>
      </sheetData>
      <sheetData sheetId="15541">
        <row r="1">
          <cell r="J1">
            <v>1.7453292519943295E-2</v>
          </cell>
        </row>
      </sheetData>
      <sheetData sheetId="15542">
        <row r="1">
          <cell r="J1">
            <v>1.7453292519943295E-2</v>
          </cell>
        </row>
      </sheetData>
      <sheetData sheetId="15543">
        <row r="1">
          <cell r="J1">
            <v>1.7453292519943295E-2</v>
          </cell>
        </row>
      </sheetData>
      <sheetData sheetId="15544">
        <row r="1">
          <cell r="J1">
            <v>1.7453292519943295E-2</v>
          </cell>
        </row>
      </sheetData>
      <sheetData sheetId="15545">
        <row r="1">
          <cell r="J1">
            <v>1.7453292519943295E-2</v>
          </cell>
        </row>
      </sheetData>
      <sheetData sheetId="15546">
        <row r="1">
          <cell r="J1">
            <v>1.7453292519943295E-2</v>
          </cell>
        </row>
      </sheetData>
      <sheetData sheetId="15547">
        <row r="1">
          <cell r="J1">
            <v>1.7453292519943295E-2</v>
          </cell>
        </row>
      </sheetData>
      <sheetData sheetId="15548">
        <row r="1">
          <cell r="J1">
            <v>1.7453292519943295E-2</v>
          </cell>
        </row>
      </sheetData>
      <sheetData sheetId="15549">
        <row r="1">
          <cell r="J1">
            <v>1.7453292519943295E-2</v>
          </cell>
        </row>
      </sheetData>
      <sheetData sheetId="15550">
        <row r="1">
          <cell r="J1">
            <v>1.7453292519943295E-2</v>
          </cell>
        </row>
      </sheetData>
      <sheetData sheetId="15551">
        <row r="1">
          <cell r="J1">
            <v>1.7453292519943295E-2</v>
          </cell>
        </row>
      </sheetData>
      <sheetData sheetId="15552">
        <row r="1">
          <cell r="J1">
            <v>1.7453292519943295E-2</v>
          </cell>
        </row>
      </sheetData>
      <sheetData sheetId="15553">
        <row r="1">
          <cell r="J1">
            <v>1.7453292519943295E-2</v>
          </cell>
        </row>
      </sheetData>
      <sheetData sheetId="15554">
        <row r="1">
          <cell r="J1">
            <v>1.7453292519943295E-2</v>
          </cell>
        </row>
      </sheetData>
      <sheetData sheetId="15555">
        <row r="1">
          <cell r="J1">
            <v>1.7453292519943295E-2</v>
          </cell>
        </row>
      </sheetData>
      <sheetData sheetId="15556">
        <row r="1">
          <cell r="J1">
            <v>1.7453292519943295E-2</v>
          </cell>
        </row>
      </sheetData>
      <sheetData sheetId="15557">
        <row r="1">
          <cell r="J1">
            <v>1.7453292519943295E-2</v>
          </cell>
        </row>
      </sheetData>
      <sheetData sheetId="15558">
        <row r="1">
          <cell r="J1">
            <v>1.7453292519943295E-2</v>
          </cell>
        </row>
      </sheetData>
      <sheetData sheetId="15559">
        <row r="1">
          <cell r="J1">
            <v>1.7453292519943295E-2</v>
          </cell>
        </row>
      </sheetData>
      <sheetData sheetId="15560">
        <row r="1">
          <cell r="J1">
            <v>1.7453292519943295E-2</v>
          </cell>
        </row>
      </sheetData>
      <sheetData sheetId="15561">
        <row r="1">
          <cell r="J1">
            <v>1.7453292519943295E-2</v>
          </cell>
        </row>
      </sheetData>
      <sheetData sheetId="15562">
        <row r="1">
          <cell r="J1">
            <v>1.7453292519943295E-2</v>
          </cell>
        </row>
      </sheetData>
      <sheetData sheetId="15563">
        <row r="1">
          <cell r="J1">
            <v>1.7453292519943295E-2</v>
          </cell>
        </row>
      </sheetData>
      <sheetData sheetId="15564">
        <row r="1">
          <cell r="J1">
            <v>1.7453292519943295E-2</v>
          </cell>
        </row>
      </sheetData>
      <sheetData sheetId="15565">
        <row r="1">
          <cell r="J1">
            <v>1.7453292519943295E-2</v>
          </cell>
        </row>
      </sheetData>
      <sheetData sheetId="15566">
        <row r="1">
          <cell r="J1">
            <v>1.7453292519943295E-2</v>
          </cell>
        </row>
      </sheetData>
      <sheetData sheetId="15567">
        <row r="1">
          <cell r="J1">
            <v>1.7453292519943295E-2</v>
          </cell>
        </row>
      </sheetData>
      <sheetData sheetId="15568">
        <row r="1">
          <cell r="J1">
            <v>1.7453292519943295E-2</v>
          </cell>
        </row>
      </sheetData>
      <sheetData sheetId="15569">
        <row r="1">
          <cell r="J1">
            <v>1.7453292519943295E-2</v>
          </cell>
        </row>
      </sheetData>
      <sheetData sheetId="15570">
        <row r="1">
          <cell r="J1">
            <v>1.7453292519943295E-2</v>
          </cell>
        </row>
      </sheetData>
      <sheetData sheetId="15571">
        <row r="1">
          <cell r="J1">
            <v>1.7453292519943295E-2</v>
          </cell>
        </row>
      </sheetData>
      <sheetData sheetId="15572">
        <row r="1">
          <cell r="J1">
            <v>1.7453292519943295E-2</v>
          </cell>
        </row>
      </sheetData>
      <sheetData sheetId="15573">
        <row r="1">
          <cell r="J1">
            <v>1.7453292519943295E-2</v>
          </cell>
        </row>
      </sheetData>
      <sheetData sheetId="15574">
        <row r="1">
          <cell r="J1">
            <v>1.7453292519943295E-2</v>
          </cell>
        </row>
      </sheetData>
      <sheetData sheetId="15575">
        <row r="1">
          <cell r="J1">
            <v>1.7453292519943295E-2</v>
          </cell>
        </row>
      </sheetData>
      <sheetData sheetId="15576">
        <row r="1">
          <cell r="J1">
            <v>1.7453292519943295E-2</v>
          </cell>
        </row>
      </sheetData>
      <sheetData sheetId="15577">
        <row r="1">
          <cell r="J1">
            <v>1.7453292519943295E-2</v>
          </cell>
        </row>
      </sheetData>
      <sheetData sheetId="15578">
        <row r="1">
          <cell r="J1">
            <v>1.7453292519943295E-2</v>
          </cell>
        </row>
      </sheetData>
      <sheetData sheetId="15579">
        <row r="1">
          <cell r="J1">
            <v>1.7453292519943295E-2</v>
          </cell>
        </row>
      </sheetData>
      <sheetData sheetId="15580">
        <row r="1">
          <cell r="J1">
            <v>1.7453292519943295E-2</v>
          </cell>
        </row>
      </sheetData>
      <sheetData sheetId="15581">
        <row r="1">
          <cell r="J1">
            <v>1.7453292519943295E-2</v>
          </cell>
        </row>
      </sheetData>
      <sheetData sheetId="15582">
        <row r="1">
          <cell r="J1">
            <v>1.7453292519943295E-2</v>
          </cell>
        </row>
      </sheetData>
      <sheetData sheetId="15583">
        <row r="1">
          <cell r="J1">
            <v>1.7453292519943295E-2</v>
          </cell>
        </row>
      </sheetData>
      <sheetData sheetId="15584">
        <row r="1">
          <cell r="J1">
            <v>1.7453292519943295E-2</v>
          </cell>
        </row>
      </sheetData>
      <sheetData sheetId="15585">
        <row r="1">
          <cell r="J1">
            <v>1.7453292519943295E-2</v>
          </cell>
        </row>
      </sheetData>
      <sheetData sheetId="15586">
        <row r="1">
          <cell r="J1">
            <v>1.7453292519943295E-2</v>
          </cell>
        </row>
      </sheetData>
      <sheetData sheetId="15587">
        <row r="1">
          <cell r="J1">
            <v>1.7453292519943295E-2</v>
          </cell>
        </row>
      </sheetData>
      <sheetData sheetId="15588">
        <row r="1">
          <cell r="J1">
            <v>1.7453292519943295E-2</v>
          </cell>
        </row>
      </sheetData>
      <sheetData sheetId="15589">
        <row r="1">
          <cell r="J1">
            <v>1.7453292519943295E-2</v>
          </cell>
        </row>
      </sheetData>
      <sheetData sheetId="15590">
        <row r="1">
          <cell r="J1">
            <v>1.7453292519943295E-2</v>
          </cell>
        </row>
      </sheetData>
      <sheetData sheetId="15591">
        <row r="1">
          <cell r="J1">
            <v>1.7453292519943295E-2</v>
          </cell>
        </row>
      </sheetData>
      <sheetData sheetId="15592">
        <row r="1">
          <cell r="J1">
            <v>1.7453292519943295E-2</v>
          </cell>
        </row>
      </sheetData>
      <sheetData sheetId="15593">
        <row r="1">
          <cell r="J1">
            <v>1.7453292519943295E-2</v>
          </cell>
        </row>
      </sheetData>
      <sheetData sheetId="15594">
        <row r="1">
          <cell r="J1">
            <v>1.7453292519943295E-2</v>
          </cell>
        </row>
      </sheetData>
      <sheetData sheetId="15595">
        <row r="1">
          <cell r="J1">
            <v>1.7453292519943295E-2</v>
          </cell>
        </row>
      </sheetData>
      <sheetData sheetId="15596">
        <row r="1">
          <cell r="J1">
            <v>1.7453292519943295E-2</v>
          </cell>
        </row>
      </sheetData>
      <sheetData sheetId="15597">
        <row r="1">
          <cell r="J1">
            <v>1.7453292519943295E-2</v>
          </cell>
        </row>
      </sheetData>
      <sheetData sheetId="15598">
        <row r="1">
          <cell r="J1">
            <v>1.7453292519943295E-2</v>
          </cell>
        </row>
      </sheetData>
      <sheetData sheetId="15599">
        <row r="1">
          <cell r="J1">
            <v>1.7453292519943295E-2</v>
          </cell>
        </row>
      </sheetData>
      <sheetData sheetId="15600">
        <row r="1">
          <cell r="J1">
            <v>1.7453292519943295E-2</v>
          </cell>
        </row>
      </sheetData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>
        <row r="1">
          <cell r="J1">
            <v>1.7453292519943295E-2</v>
          </cell>
        </row>
      </sheetData>
      <sheetData sheetId="15607">
        <row r="1">
          <cell r="J1">
            <v>1.7453292519943295E-2</v>
          </cell>
        </row>
      </sheetData>
      <sheetData sheetId="15608">
        <row r="1">
          <cell r="J1">
            <v>1.7453292519943295E-2</v>
          </cell>
        </row>
      </sheetData>
      <sheetData sheetId="15609" refreshError="1"/>
      <sheetData sheetId="15610">
        <row r="1">
          <cell r="J1">
            <v>1.7453292519943295E-2</v>
          </cell>
        </row>
      </sheetData>
      <sheetData sheetId="15611" refreshError="1"/>
      <sheetData sheetId="15612" refreshError="1"/>
      <sheetData sheetId="15613">
        <row r="1">
          <cell r="J1">
            <v>1.7453292519943295E-2</v>
          </cell>
        </row>
      </sheetData>
      <sheetData sheetId="15614">
        <row r="1">
          <cell r="J1">
            <v>1.7453292519943295E-2</v>
          </cell>
        </row>
      </sheetData>
      <sheetData sheetId="15615">
        <row r="1">
          <cell r="J1">
            <v>1.7453292519943295E-2</v>
          </cell>
        </row>
      </sheetData>
      <sheetData sheetId="15616" refreshError="1"/>
      <sheetData sheetId="15617" refreshError="1"/>
      <sheetData sheetId="15618" refreshError="1"/>
      <sheetData sheetId="15619">
        <row r="1">
          <cell r="J1">
            <v>1.7453292519943295E-2</v>
          </cell>
        </row>
      </sheetData>
      <sheetData sheetId="15620">
        <row r="1">
          <cell r="J1">
            <v>1.7453292519943295E-2</v>
          </cell>
        </row>
      </sheetData>
      <sheetData sheetId="15621">
        <row r="1">
          <cell r="J1">
            <v>1.7453292519943295E-2</v>
          </cell>
        </row>
      </sheetData>
      <sheetData sheetId="15622">
        <row r="1">
          <cell r="J1">
            <v>1.7453292519943295E-2</v>
          </cell>
        </row>
      </sheetData>
      <sheetData sheetId="15623">
        <row r="1">
          <cell r="J1">
            <v>1.7453292519943295E-2</v>
          </cell>
        </row>
      </sheetData>
      <sheetData sheetId="15624">
        <row r="1">
          <cell r="J1">
            <v>1.7453292519943295E-2</v>
          </cell>
        </row>
      </sheetData>
      <sheetData sheetId="15625">
        <row r="1">
          <cell r="J1">
            <v>1.7453292519943295E-2</v>
          </cell>
        </row>
      </sheetData>
      <sheetData sheetId="15626">
        <row r="1">
          <cell r="J1">
            <v>1.7453292519943295E-2</v>
          </cell>
        </row>
      </sheetData>
      <sheetData sheetId="15627">
        <row r="1">
          <cell r="J1">
            <v>1.7453292519943295E-2</v>
          </cell>
        </row>
      </sheetData>
      <sheetData sheetId="15628">
        <row r="1">
          <cell r="J1">
            <v>1.7453292519943295E-2</v>
          </cell>
        </row>
      </sheetData>
      <sheetData sheetId="15629">
        <row r="1">
          <cell r="J1">
            <v>1.7453292519943295E-2</v>
          </cell>
        </row>
      </sheetData>
      <sheetData sheetId="15630">
        <row r="1">
          <cell r="J1">
            <v>1.7453292519943295E-2</v>
          </cell>
        </row>
      </sheetData>
      <sheetData sheetId="15631">
        <row r="1">
          <cell r="J1">
            <v>1.7453292519943295E-2</v>
          </cell>
        </row>
      </sheetData>
      <sheetData sheetId="15632">
        <row r="1">
          <cell r="J1">
            <v>1.7453292519943295E-2</v>
          </cell>
        </row>
      </sheetData>
      <sheetData sheetId="15633">
        <row r="1">
          <cell r="J1">
            <v>1.7453292519943295E-2</v>
          </cell>
        </row>
      </sheetData>
      <sheetData sheetId="15634">
        <row r="1">
          <cell r="J1">
            <v>1.7453292519943295E-2</v>
          </cell>
        </row>
      </sheetData>
      <sheetData sheetId="15635">
        <row r="1">
          <cell r="J1">
            <v>1.7453292519943295E-2</v>
          </cell>
        </row>
      </sheetData>
      <sheetData sheetId="15636">
        <row r="1">
          <cell r="J1">
            <v>1.7453292519943295E-2</v>
          </cell>
        </row>
      </sheetData>
      <sheetData sheetId="15637">
        <row r="1">
          <cell r="J1">
            <v>1.7453292519943295E-2</v>
          </cell>
        </row>
      </sheetData>
      <sheetData sheetId="15638">
        <row r="1">
          <cell r="J1">
            <v>1.7453292519943295E-2</v>
          </cell>
        </row>
      </sheetData>
      <sheetData sheetId="15639">
        <row r="1">
          <cell r="J1">
            <v>1.7453292519943295E-2</v>
          </cell>
        </row>
      </sheetData>
      <sheetData sheetId="15640">
        <row r="1">
          <cell r="J1">
            <v>1.7453292519943295E-2</v>
          </cell>
        </row>
      </sheetData>
      <sheetData sheetId="15641">
        <row r="1">
          <cell r="J1">
            <v>1.7453292519943295E-2</v>
          </cell>
        </row>
      </sheetData>
      <sheetData sheetId="15642" refreshError="1"/>
      <sheetData sheetId="15643" refreshError="1"/>
      <sheetData sheetId="15644">
        <row r="1">
          <cell r="J1">
            <v>1.7453292519943295E-2</v>
          </cell>
        </row>
      </sheetData>
      <sheetData sheetId="15645">
        <row r="1">
          <cell r="J1">
            <v>1.7453292519943295E-2</v>
          </cell>
        </row>
      </sheetData>
      <sheetData sheetId="15646">
        <row r="1">
          <cell r="J1">
            <v>1.7453292519943295E-2</v>
          </cell>
        </row>
      </sheetData>
      <sheetData sheetId="15647">
        <row r="1">
          <cell r="J1">
            <v>1.7453292519943295E-2</v>
          </cell>
        </row>
      </sheetData>
      <sheetData sheetId="15648">
        <row r="1">
          <cell r="J1">
            <v>1.7453292519943295E-2</v>
          </cell>
        </row>
      </sheetData>
      <sheetData sheetId="15649">
        <row r="1">
          <cell r="J1">
            <v>1.7453292519943295E-2</v>
          </cell>
        </row>
      </sheetData>
      <sheetData sheetId="15650">
        <row r="1">
          <cell r="J1">
            <v>1.7453292519943295E-2</v>
          </cell>
        </row>
      </sheetData>
      <sheetData sheetId="15651">
        <row r="1">
          <cell r="J1">
            <v>1.7453292519943295E-2</v>
          </cell>
        </row>
      </sheetData>
      <sheetData sheetId="15652">
        <row r="1">
          <cell r="J1">
            <v>1.7453292519943295E-2</v>
          </cell>
        </row>
      </sheetData>
      <sheetData sheetId="15653">
        <row r="1">
          <cell r="J1">
            <v>1.7453292519943295E-2</v>
          </cell>
        </row>
      </sheetData>
      <sheetData sheetId="15654">
        <row r="1">
          <cell r="J1">
            <v>1.7453292519943295E-2</v>
          </cell>
        </row>
      </sheetData>
      <sheetData sheetId="15655">
        <row r="1">
          <cell r="J1">
            <v>1.7453292519943295E-2</v>
          </cell>
        </row>
      </sheetData>
      <sheetData sheetId="15656">
        <row r="1">
          <cell r="J1">
            <v>1.7453292519943295E-2</v>
          </cell>
        </row>
      </sheetData>
      <sheetData sheetId="15657">
        <row r="1">
          <cell r="J1">
            <v>1.7453292519943295E-2</v>
          </cell>
        </row>
      </sheetData>
      <sheetData sheetId="15658">
        <row r="1">
          <cell r="J1">
            <v>1.7453292519943295E-2</v>
          </cell>
        </row>
      </sheetData>
      <sheetData sheetId="15659">
        <row r="1">
          <cell r="J1">
            <v>1.7453292519943295E-2</v>
          </cell>
        </row>
      </sheetData>
      <sheetData sheetId="15660">
        <row r="1">
          <cell r="J1">
            <v>1.7453292519943295E-2</v>
          </cell>
        </row>
      </sheetData>
      <sheetData sheetId="15661">
        <row r="1">
          <cell r="J1">
            <v>1.7453292519943295E-2</v>
          </cell>
        </row>
      </sheetData>
      <sheetData sheetId="15662">
        <row r="1">
          <cell r="J1">
            <v>1.7453292519943295E-2</v>
          </cell>
        </row>
      </sheetData>
      <sheetData sheetId="15663">
        <row r="1">
          <cell r="J1">
            <v>1.7453292519943295E-2</v>
          </cell>
        </row>
      </sheetData>
      <sheetData sheetId="15664">
        <row r="1">
          <cell r="J1">
            <v>1.7453292519943295E-2</v>
          </cell>
        </row>
      </sheetData>
      <sheetData sheetId="15665">
        <row r="1">
          <cell r="J1">
            <v>1.7453292519943295E-2</v>
          </cell>
        </row>
      </sheetData>
      <sheetData sheetId="15666">
        <row r="1">
          <cell r="J1">
            <v>1.7453292519943295E-2</v>
          </cell>
        </row>
      </sheetData>
      <sheetData sheetId="15667" refreshError="1"/>
      <sheetData sheetId="15668" refreshError="1"/>
      <sheetData sheetId="15669">
        <row r="1">
          <cell r="J1">
            <v>1.7453292519943295E-2</v>
          </cell>
        </row>
      </sheetData>
      <sheetData sheetId="15670">
        <row r="1">
          <cell r="J1">
            <v>1.7453292519943295E-2</v>
          </cell>
        </row>
      </sheetData>
      <sheetData sheetId="15671">
        <row r="1">
          <cell r="J1">
            <v>1.7453292519943295E-2</v>
          </cell>
        </row>
      </sheetData>
      <sheetData sheetId="15672">
        <row r="1">
          <cell r="J1">
            <v>1.7453292519943295E-2</v>
          </cell>
        </row>
      </sheetData>
      <sheetData sheetId="15673">
        <row r="1">
          <cell r="J1">
            <v>1.7453292519943295E-2</v>
          </cell>
        </row>
      </sheetData>
      <sheetData sheetId="15674">
        <row r="1">
          <cell r="J1">
            <v>1.7453292519943295E-2</v>
          </cell>
        </row>
      </sheetData>
      <sheetData sheetId="15675">
        <row r="1">
          <cell r="J1">
            <v>1.7453292519943295E-2</v>
          </cell>
        </row>
      </sheetData>
      <sheetData sheetId="15676">
        <row r="1">
          <cell r="J1">
            <v>1.7453292519943295E-2</v>
          </cell>
        </row>
      </sheetData>
      <sheetData sheetId="15677">
        <row r="1">
          <cell r="J1">
            <v>1.7453292519943295E-2</v>
          </cell>
        </row>
      </sheetData>
      <sheetData sheetId="15678">
        <row r="1">
          <cell r="J1">
            <v>1.7453292519943295E-2</v>
          </cell>
        </row>
      </sheetData>
      <sheetData sheetId="15679">
        <row r="1">
          <cell r="J1">
            <v>1.7453292519943295E-2</v>
          </cell>
        </row>
      </sheetData>
      <sheetData sheetId="15680">
        <row r="1">
          <cell r="J1">
            <v>1.7453292519943295E-2</v>
          </cell>
        </row>
      </sheetData>
      <sheetData sheetId="15681">
        <row r="1">
          <cell r="J1">
            <v>1.7453292519943295E-2</v>
          </cell>
        </row>
      </sheetData>
      <sheetData sheetId="15682">
        <row r="1">
          <cell r="J1">
            <v>1.7453292519943295E-2</v>
          </cell>
        </row>
      </sheetData>
      <sheetData sheetId="15683">
        <row r="1">
          <cell r="J1">
            <v>1.7453292519943295E-2</v>
          </cell>
        </row>
      </sheetData>
      <sheetData sheetId="15684">
        <row r="1">
          <cell r="J1">
            <v>1.7453292519943295E-2</v>
          </cell>
        </row>
      </sheetData>
      <sheetData sheetId="15685">
        <row r="1">
          <cell r="J1">
            <v>1.7453292519943295E-2</v>
          </cell>
        </row>
      </sheetData>
      <sheetData sheetId="15686">
        <row r="1">
          <cell r="J1">
            <v>1.7453292519943295E-2</v>
          </cell>
        </row>
      </sheetData>
      <sheetData sheetId="15687">
        <row r="1">
          <cell r="J1">
            <v>1.7453292519943295E-2</v>
          </cell>
        </row>
      </sheetData>
      <sheetData sheetId="15688">
        <row r="1">
          <cell r="J1">
            <v>1.7453292519943295E-2</v>
          </cell>
        </row>
      </sheetData>
      <sheetData sheetId="15689">
        <row r="1">
          <cell r="J1">
            <v>1.7453292519943295E-2</v>
          </cell>
        </row>
      </sheetData>
      <sheetData sheetId="15690">
        <row r="1">
          <cell r="J1">
            <v>1.7453292519943295E-2</v>
          </cell>
        </row>
      </sheetData>
      <sheetData sheetId="15691" refreshError="1"/>
      <sheetData sheetId="15692" refreshError="1"/>
      <sheetData sheetId="15693">
        <row r="1">
          <cell r="J1">
            <v>1.7453292519943295E-2</v>
          </cell>
        </row>
      </sheetData>
      <sheetData sheetId="15694" refreshError="1"/>
      <sheetData sheetId="15695" refreshError="1"/>
      <sheetData sheetId="15696">
        <row r="1">
          <cell r="J1">
            <v>1.7453292519943295E-2</v>
          </cell>
        </row>
      </sheetData>
      <sheetData sheetId="15697" refreshError="1"/>
      <sheetData sheetId="15698">
        <row r="1">
          <cell r="J1">
            <v>1.7453292519943295E-2</v>
          </cell>
        </row>
      </sheetData>
      <sheetData sheetId="15699">
        <row r="1">
          <cell r="J1">
            <v>1.7453292519943295E-2</v>
          </cell>
        </row>
      </sheetData>
      <sheetData sheetId="15700">
        <row r="1">
          <cell r="J1">
            <v>1.7453292519943295E-2</v>
          </cell>
        </row>
      </sheetData>
      <sheetData sheetId="15701" refreshError="1"/>
      <sheetData sheetId="15702" refreshError="1"/>
      <sheetData sheetId="15703" refreshError="1"/>
      <sheetData sheetId="15704">
        <row r="1">
          <cell r="J1">
            <v>1.7453292519943295E-2</v>
          </cell>
        </row>
      </sheetData>
      <sheetData sheetId="15705" refreshError="1"/>
      <sheetData sheetId="15706" refreshError="1"/>
      <sheetData sheetId="15707">
        <row r="1">
          <cell r="J1">
            <v>1.7453292519943295E-2</v>
          </cell>
        </row>
      </sheetData>
      <sheetData sheetId="15708">
        <row r="1">
          <cell r="J1">
            <v>1.7453292519943295E-2</v>
          </cell>
        </row>
      </sheetData>
      <sheetData sheetId="15709">
        <row r="1">
          <cell r="J1">
            <v>1.7453292519943295E-2</v>
          </cell>
        </row>
      </sheetData>
      <sheetData sheetId="15710">
        <row r="1">
          <cell r="J1">
            <v>1.7453292519943295E-2</v>
          </cell>
        </row>
      </sheetData>
      <sheetData sheetId="15711">
        <row r="1">
          <cell r="J1">
            <v>1.7453292519943295E-2</v>
          </cell>
        </row>
      </sheetData>
      <sheetData sheetId="15712">
        <row r="1">
          <cell r="J1">
            <v>1.7453292519943295E-2</v>
          </cell>
        </row>
      </sheetData>
      <sheetData sheetId="15713">
        <row r="1">
          <cell r="J1">
            <v>1.7453292519943295E-2</v>
          </cell>
        </row>
      </sheetData>
      <sheetData sheetId="15714">
        <row r="1">
          <cell r="J1">
            <v>1.7453292519943295E-2</v>
          </cell>
        </row>
      </sheetData>
      <sheetData sheetId="15715">
        <row r="1">
          <cell r="J1">
            <v>1.7453292519943295E-2</v>
          </cell>
        </row>
      </sheetData>
      <sheetData sheetId="15716">
        <row r="1">
          <cell r="J1">
            <v>1.7453292519943295E-2</v>
          </cell>
        </row>
      </sheetData>
      <sheetData sheetId="15717">
        <row r="1">
          <cell r="J1">
            <v>1.7453292519943295E-2</v>
          </cell>
        </row>
      </sheetData>
      <sheetData sheetId="15718">
        <row r="1">
          <cell r="J1">
            <v>1.7453292519943295E-2</v>
          </cell>
        </row>
      </sheetData>
      <sheetData sheetId="15719">
        <row r="1">
          <cell r="J1">
            <v>1.7453292519943295E-2</v>
          </cell>
        </row>
      </sheetData>
      <sheetData sheetId="15720">
        <row r="1">
          <cell r="J1">
            <v>1.7453292519943295E-2</v>
          </cell>
        </row>
      </sheetData>
      <sheetData sheetId="15721">
        <row r="1">
          <cell r="J1">
            <v>1.7453292519943295E-2</v>
          </cell>
        </row>
      </sheetData>
      <sheetData sheetId="15722">
        <row r="1">
          <cell r="J1">
            <v>1.7453292519943295E-2</v>
          </cell>
        </row>
      </sheetData>
      <sheetData sheetId="15723">
        <row r="1">
          <cell r="J1">
            <v>1.7453292519943295E-2</v>
          </cell>
        </row>
      </sheetData>
      <sheetData sheetId="15724">
        <row r="1">
          <cell r="J1">
            <v>1.7453292519943295E-2</v>
          </cell>
        </row>
      </sheetData>
      <sheetData sheetId="15725">
        <row r="1">
          <cell r="J1">
            <v>1.7453292519943295E-2</v>
          </cell>
        </row>
      </sheetData>
      <sheetData sheetId="15726">
        <row r="1">
          <cell r="J1">
            <v>1.7453292519943295E-2</v>
          </cell>
        </row>
      </sheetData>
      <sheetData sheetId="15727">
        <row r="1">
          <cell r="J1">
            <v>1.7453292519943295E-2</v>
          </cell>
        </row>
      </sheetData>
      <sheetData sheetId="15728">
        <row r="1">
          <cell r="J1">
            <v>1.7453292519943295E-2</v>
          </cell>
        </row>
      </sheetData>
      <sheetData sheetId="15729">
        <row r="1">
          <cell r="J1">
            <v>1.7453292519943295E-2</v>
          </cell>
        </row>
      </sheetData>
      <sheetData sheetId="15730" refreshError="1"/>
      <sheetData sheetId="15731" refreshError="1"/>
      <sheetData sheetId="15732">
        <row r="1">
          <cell r="J1">
            <v>1.7453292519943295E-2</v>
          </cell>
        </row>
      </sheetData>
      <sheetData sheetId="15733">
        <row r="1">
          <cell r="J1">
            <v>1.7453292519943295E-2</v>
          </cell>
        </row>
      </sheetData>
      <sheetData sheetId="15734">
        <row r="1">
          <cell r="J1">
            <v>1.7453292519943295E-2</v>
          </cell>
        </row>
      </sheetData>
      <sheetData sheetId="15735">
        <row r="1">
          <cell r="J1">
            <v>1.7453292519943295E-2</v>
          </cell>
        </row>
      </sheetData>
      <sheetData sheetId="15736">
        <row r="1">
          <cell r="J1">
            <v>1.7453292519943295E-2</v>
          </cell>
        </row>
      </sheetData>
      <sheetData sheetId="15737">
        <row r="1">
          <cell r="J1">
            <v>1.7453292519943295E-2</v>
          </cell>
        </row>
      </sheetData>
      <sheetData sheetId="15738">
        <row r="1">
          <cell r="J1">
            <v>1.7453292519943295E-2</v>
          </cell>
        </row>
      </sheetData>
      <sheetData sheetId="15739">
        <row r="1">
          <cell r="J1">
            <v>1.7453292519943295E-2</v>
          </cell>
        </row>
      </sheetData>
      <sheetData sheetId="15740">
        <row r="1">
          <cell r="J1">
            <v>1.7453292519943295E-2</v>
          </cell>
        </row>
      </sheetData>
      <sheetData sheetId="15741">
        <row r="1">
          <cell r="J1">
            <v>1.7453292519943295E-2</v>
          </cell>
        </row>
      </sheetData>
      <sheetData sheetId="15742">
        <row r="1">
          <cell r="J1">
            <v>1.7453292519943295E-2</v>
          </cell>
        </row>
      </sheetData>
      <sheetData sheetId="15743">
        <row r="1">
          <cell r="J1">
            <v>1.7453292519943295E-2</v>
          </cell>
        </row>
      </sheetData>
      <sheetData sheetId="15744">
        <row r="1">
          <cell r="J1">
            <v>1.7453292519943295E-2</v>
          </cell>
        </row>
      </sheetData>
      <sheetData sheetId="15745">
        <row r="1">
          <cell r="J1">
            <v>1.7453292519943295E-2</v>
          </cell>
        </row>
      </sheetData>
      <sheetData sheetId="15746">
        <row r="1">
          <cell r="J1">
            <v>1.7453292519943295E-2</v>
          </cell>
        </row>
      </sheetData>
      <sheetData sheetId="15747">
        <row r="1">
          <cell r="J1">
            <v>1.7453292519943295E-2</v>
          </cell>
        </row>
      </sheetData>
      <sheetData sheetId="15748">
        <row r="1">
          <cell r="J1">
            <v>1.7453292519943295E-2</v>
          </cell>
        </row>
      </sheetData>
      <sheetData sheetId="15749">
        <row r="1">
          <cell r="J1">
            <v>1.7453292519943295E-2</v>
          </cell>
        </row>
      </sheetData>
      <sheetData sheetId="15750">
        <row r="1">
          <cell r="J1">
            <v>1.7453292519943295E-2</v>
          </cell>
        </row>
      </sheetData>
      <sheetData sheetId="15751">
        <row r="1">
          <cell r="J1">
            <v>1.7453292519943295E-2</v>
          </cell>
        </row>
      </sheetData>
      <sheetData sheetId="15752">
        <row r="1">
          <cell r="J1">
            <v>1.7453292519943295E-2</v>
          </cell>
        </row>
      </sheetData>
      <sheetData sheetId="15753">
        <row r="1">
          <cell r="J1">
            <v>1.7453292519943295E-2</v>
          </cell>
        </row>
      </sheetData>
      <sheetData sheetId="15754">
        <row r="1">
          <cell r="J1">
            <v>1.7453292519943295E-2</v>
          </cell>
        </row>
      </sheetData>
      <sheetData sheetId="15755">
        <row r="1">
          <cell r="J1">
            <v>1.7453292519943295E-2</v>
          </cell>
        </row>
      </sheetData>
      <sheetData sheetId="15756">
        <row r="1">
          <cell r="J1">
            <v>1.7453292519943295E-2</v>
          </cell>
        </row>
      </sheetData>
      <sheetData sheetId="15757">
        <row r="1">
          <cell r="J1">
            <v>1.7453292519943295E-2</v>
          </cell>
        </row>
      </sheetData>
      <sheetData sheetId="15758">
        <row r="1">
          <cell r="J1">
            <v>1.7453292519943295E-2</v>
          </cell>
        </row>
      </sheetData>
      <sheetData sheetId="15759" refreshError="1"/>
      <sheetData sheetId="15760">
        <row r="1">
          <cell r="J1">
            <v>1.7453292519943295E-2</v>
          </cell>
        </row>
      </sheetData>
      <sheetData sheetId="15761">
        <row r="1">
          <cell r="J1">
            <v>1.7453292519943295E-2</v>
          </cell>
        </row>
      </sheetData>
      <sheetData sheetId="15762">
        <row r="1">
          <cell r="J1">
            <v>1.7453292519943295E-2</v>
          </cell>
        </row>
      </sheetData>
      <sheetData sheetId="15763" refreshError="1"/>
      <sheetData sheetId="15764">
        <row r="1">
          <cell r="J1">
            <v>1.7453292519943295E-2</v>
          </cell>
        </row>
      </sheetData>
      <sheetData sheetId="15765">
        <row r="1">
          <cell r="J1">
            <v>1.7453292519943295E-2</v>
          </cell>
        </row>
      </sheetData>
      <sheetData sheetId="15766">
        <row r="1">
          <cell r="J1">
            <v>1.7453292519943295E-2</v>
          </cell>
        </row>
      </sheetData>
      <sheetData sheetId="15767" refreshError="1"/>
      <sheetData sheetId="15768">
        <row r="1">
          <cell r="J1">
            <v>1.7453292519943295E-2</v>
          </cell>
        </row>
      </sheetData>
      <sheetData sheetId="15769" refreshError="1"/>
      <sheetData sheetId="15770" refreshError="1"/>
      <sheetData sheetId="15771" refreshError="1"/>
      <sheetData sheetId="15772" refreshError="1"/>
      <sheetData sheetId="15773">
        <row r="1">
          <cell r="J1">
            <v>1.7453292519943295E-2</v>
          </cell>
        </row>
      </sheetData>
      <sheetData sheetId="15774" refreshError="1"/>
      <sheetData sheetId="15775" refreshError="1"/>
      <sheetData sheetId="15776">
        <row r="1">
          <cell r="J1">
            <v>1.7453292519943295E-2</v>
          </cell>
        </row>
      </sheetData>
      <sheetData sheetId="15777">
        <row r="1">
          <cell r="J1">
            <v>1.7453292519943295E-2</v>
          </cell>
        </row>
      </sheetData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>
        <row r="1">
          <cell r="J1">
            <v>1.7453292519943295E-2</v>
          </cell>
        </row>
      </sheetData>
      <sheetData sheetId="15799" refreshError="1"/>
      <sheetData sheetId="15800">
        <row r="1">
          <cell r="J1">
            <v>1.7453292519943295E-2</v>
          </cell>
        </row>
      </sheetData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>
        <row r="1">
          <cell r="J1">
            <v>1.7453292519943295E-2</v>
          </cell>
        </row>
      </sheetData>
      <sheetData sheetId="15808" refreshError="1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>
        <row r="1">
          <cell r="J1">
            <v>1.7453292519943295E-2</v>
          </cell>
        </row>
      </sheetData>
      <sheetData sheetId="15830">
        <row r="1">
          <cell r="J1">
            <v>1.7453292519943295E-2</v>
          </cell>
        </row>
      </sheetData>
      <sheetData sheetId="15831">
        <row r="1">
          <cell r="J1">
            <v>1.7453292519943295E-2</v>
          </cell>
        </row>
      </sheetData>
      <sheetData sheetId="15832" refreshError="1"/>
      <sheetData sheetId="15833">
        <row r="1">
          <cell r="J1">
            <v>1.7453292519943295E-2</v>
          </cell>
        </row>
      </sheetData>
      <sheetData sheetId="15834" refreshError="1"/>
      <sheetData sheetId="15835" refreshError="1"/>
      <sheetData sheetId="15836">
        <row r="1">
          <cell r="J1">
            <v>1.7453292519943295E-2</v>
          </cell>
        </row>
      </sheetData>
      <sheetData sheetId="15837"/>
      <sheetData sheetId="15838" refreshError="1"/>
      <sheetData sheetId="15839"/>
      <sheetData sheetId="15840"/>
      <sheetData sheetId="15841" refreshError="1"/>
      <sheetData sheetId="15842" refreshError="1"/>
      <sheetData sheetId="15843" refreshError="1"/>
      <sheetData sheetId="15844" refreshError="1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 refreshError="1"/>
      <sheetData sheetId="15869" refreshError="1"/>
      <sheetData sheetId="15870"/>
      <sheetData sheetId="15871"/>
      <sheetData sheetId="15872"/>
      <sheetData sheetId="15873" refreshError="1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 refreshError="1"/>
      <sheetData sheetId="15882"/>
      <sheetData sheetId="15883"/>
      <sheetData sheetId="15884"/>
      <sheetData sheetId="15885" refreshError="1"/>
      <sheetData sheetId="15886" refreshError="1"/>
      <sheetData sheetId="15887"/>
      <sheetData sheetId="15888"/>
      <sheetData sheetId="15889" refreshError="1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 refreshError="1"/>
      <sheetData sheetId="15899" refreshError="1"/>
      <sheetData sheetId="15900"/>
      <sheetData sheetId="15901"/>
      <sheetData sheetId="15902"/>
      <sheetData sheetId="15903"/>
      <sheetData sheetId="15904" refreshError="1"/>
      <sheetData sheetId="15905"/>
      <sheetData sheetId="15906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/>
      <sheetData sheetId="15917">
        <row r="1">
          <cell r="J1">
            <v>1.7453292519943295E-2</v>
          </cell>
        </row>
      </sheetData>
      <sheetData sheetId="15918">
        <row r="1">
          <cell r="J1">
            <v>1.7453292519943295E-2</v>
          </cell>
        </row>
      </sheetData>
      <sheetData sheetId="15919">
        <row r="1">
          <cell r="J1">
            <v>1.7453292519943295E-2</v>
          </cell>
        </row>
      </sheetData>
      <sheetData sheetId="15920">
        <row r="1">
          <cell r="J1">
            <v>1.7453292519943295E-2</v>
          </cell>
        </row>
      </sheetData>
      <sheetData sheetId="15921">
        <row r="1">
          <cell r="J1">
            <v>1.7453292519943295E-2</v>
          </cell>
        </row>
      </sheetData>
      <sheetData sheetId="15922">
        <row r="1">
          <cell r="J1">
            <v>1.7453292519943295E-2</v>
          </cell>
        </row>
      </sheetData>
      <sheetData sheetId="15923">
        <row r="1">
          <cell r="J1">
            <v>1.7453292519943295E-2</v>
          </cell>
        </row>
      </sheetData>
      <sheetData sheetId="15924">
        <row r="1">
          <cell r="J1">
            <v>1.7453292519943295E-2</v>
          </cell>
        </row>
      </sheetData>
      <sheetData sheetId="15925">
        <row r="1">
          <cell r="J1">
            <v>1.7453292519943295E-2</v>
          </cell>
        </row>
      </sheetData>
      <sheetData sheetId="15926">
        <row r="1">
          <cell r="J1">
            <v>1.7453292519943295E-2</v>
          </cell>
        </row>
      </sheetData>
      <sheetData sheetId="15927">
        <row r="1">
          <cell r="J1">
            <v>1.7453292519943295E-2</v>
          </cell>
        </row>
      </sheetData>
      <sheetData sheetId="15928">
        <row r="1">
          <cell r="J1">
            <v>1.7453292519943295E-2</v>
          </cell>
        </row>
      </sheetData>
      <sheetData sheetId="15929">
        <row r="1">
          <cell r="J1">
            <v>1.7453292519943295E-2</v>
          </cell>
        </row>
      </sheetData>
      <sheetData sheetId="15930">
        <row r="1">
          <cell r="J1">
            <v>1.7453292519943295E-2</v>
          </cell>
        </row>
      </sheetData>
      <sheetData sheetId="15931">
        <row r="1">
          <cell r="J1">
            <v>1.7453292519943295E-2</v>
          </cell>
        </row>
      </sheetData>
      <sheetData sheetId="15932">
        <row r="1">
          <cell r="J1">
            <v>1.7453292519943295E-2</v>
          </cell>
        </row>
      </sheetData>
      <sheetData sheetId="15933">
        <row r="1">
          <cell r="J1">
            <v>1.7453292519943295E-2</v>
          </cell>
        </row>
      </sheetData>
      <sheetData sheetId="15934">
        <row r="1">
          <cell r="J1">
            <v>1.7453292519943295E-2</v>
          </cell>
        </row>
      </sheetData>
      <sheetData sheetId="15935">
        <row r="1">
          <cell r="J1">
            <v>1.7453292519943295E-2</v>
          </cell>
        </row>
      </sheetData>
      <sheetData sheetId="15936">
        <row r="1">
          <cell r="J1">
            <v>1.7453292519943295E-2</v>
          </cell>
        </row>
      </sheetData>
      <sheetData sheetId="15937"/>
      <sheetData sheetId="15938"/>
      <sheetData sheetId="15939" refreshError="1"/>
      <sheetData sheetId="15940">
        <row r="1">
          <cell r="J1">
            <v>1.7453292519943295E-2</v>
          </cell>
        </row>
      </sheetData>
      <sheetData sheetId="15941" refreshError="1"/>
      <sheetData sheetId="15942" refreshError="1"/>
      <sheetData sheetId="15943"/>
      <sheetData sheetId="15944" refreshError="1"/>
      <sheetData sheetId="15945"/>
      <sheetData sheetId="15946"/>
      <sheetData sheetId="15947"/>
      <sheetData sheetId="15948">
        <row r="1">
          <cell r="J1">
            <v>1.7453292519943295E-2</v>
          </cell>
        </row>
      </sheetData>
      <sheetData sheetId="15949" refreshError="1"/>
      <sheetData sheetId="15950" refreshError="1"/>
      <sheetData sheetId="15951" refreshError="1"/>
      <sheetData sheetId="15952" refreshError="1"/>
      <sheetData sheetId="15953"/>
      <sheetData sheetId="15954" refreshError="1"/>
      <sheetData sheetId="15955" refreshError="1"/>
      <sheetData sheetId="15956" refreshError="1"/>
      <sheetData sheetId="15957">
        <row r="1">
          <cell r="J1">
            <v>1.7453292519943295E-2</v>
          </cell>
        </row>
      </sheetData>
      <sheetData sheetId="15958" refreshError="1"/>
      <sheetData sheetId="15959" refreshError="1"/>
      <sheetData sheetId="15960"/>
      <sheetData sheetId="15961" refreshError="1"/>
      <sheetData sheetId="15962"/>
      <sheetData sheetId="15963">
        <row r="1">
          <cell r="J1">
            <v>1.7453292519943295E-2</v>
          </cell>
        </row>
      </sheetData>
      <sheetData sheetId="15964" refreshError="1"/>
      <sheetData sheetId="15965">
        <row r="1">
          <cell r="J1">
            <v>1.7453292519943295E-2</v>
          </cell>
        </row>
      </sheetData>
      <sheetData sheetId="15966">
        <row r="1">
          <cell r="J1">
            <v>1.7453292519943295E-2</v>
          </cell>
        </row>
      </sheetData>
      <sheetData sheetId="15967">
        <row r="1">
          <cell r="J1">
            <v>1.7453292519943295E-2</v>
          </cell>
        </row>
      </sheetData>
      <sheetData sheetId="15968">
        <row r="1">
          <cell r="J1">
            <v>1.7453292519943295E-2</v>
          </cell>
        </row>
      </sheetData>
      <sheetData sheetId="15969">
        <row r="1">
          <cell r="J1">
            <v>1.7453292519943295E-2</v>
          </cell>
        </row>
      </sheetData>
      <sheetData sheetId="15970">
        <row r="1">
          <cell r="J1">
            <v>1.7453292519943295E-2</v>
          </cell>
        </row>
      </sheetData>
      <sheetData sheetId="15971">
        <row r="1">
          <cell r="J1">
            <v>1.7453292519943295E-2</v>
          </cell>
        </row>
      </sheetData>
      <sheetData sheetId="15972">
        <row r="1">
          <cell r="J1">
            <v>1.7453292519943295E-2</v>
          </cell>
        </row>
      </sheetData>
      <sheetData sheetId="15973">
        <row r="1">
          <cell r="J1">
            <v>1.7453292519943295E-2</v>
          </cell>
        </row>
      </sheetData>
      <sheetData sheetId="15974">
        <row r="1">
          <cell r="J1">
            <v>1.7453292519943295E-2</v>
          </cell>
        </row>
      </sheetData>
      <sheetData sheetId="15975">
        <row r="1">
          <cell r="J1">
            <v>1.7453292519943295E-2</v>
          </cell>
        </row>
      </sheetData>
      <sheetData sheetId="15976">
        <row r="1">
          <cell r="J1">
            <v>1.7453292519943295E-2</v>
          </cell>
        </row>
      </sheetData>
      <sheetData sheetId="15977">
        <row r="1">
          <cell r="J1">
            <v>1.7453292519943295E-2</v>
          </cell>
        </row>
      </sheetData>
      <sheetData sheetId="15978">
        <row r="1">
          <cell r="J1">
            <v>1.7453292519943295E-2</v>
          </cell>
        </row>
      </sheetData>
      <sheetData sheetId="15979">
        <row r="1">
          <cell r="J1">
            <v>1.7453292519943295E-2</v>
          </cell>
        </row>
      </sheetData>
      <sheetData sheetId="15980">
        <row r="1">
          <cell r="J1">
            <v>1.7453292519943295E-2</v>
          </cell>
        </row>
      </sheetData>
      <sheetData sheetId="15981">
        <row r="1">
          <cell r="J1">
            <v>1.7453292519943295E-2</v>
          </cell>
        </row>
      </sheetData>
      <sheetData sheetId="15982">
        <row r="1">
          <cell r="J1">
            <v>1.7453292519943295E-2</v>
          </cell>
        </row>
      </sheetData>
      <sheetData sheetId="15983">
        <row r="1">
          <cell r="J1">
            <v>1.7453292519943295E-2</v>
          </cell>
        </row>
      </sheetData>
      <sheetData sheetId="15984">
        <row r="1">
          <cell r="J1">
            <v>1.7453292519943295E-2</v>
          </cell>
        </row>
      </sheetData>
      <sheetData sheetId="15985">
        <row r="1">
          <cell r="J1">
            <v>1.7453292519943295E-2</v>
          </cell>
        </row>
      </sheetData>
      <sheetData sheetId="15986">
        <row r="1">
          <cell r="J1">
            <v>1.7453292519943295E-2</v>
          </cell>
        </row>
      </sheetData>
      <sheetData sheetId="15987" refreshError="1"/>
      <sheetData sheetId="15988">
        <row r="1">
          <cell r="J1">
            <v>1.7453292519943295E-2</v>
          </cell>
        </row>
      </sheetData>
      <sheetData sheetId="15989">
        <row r="1">
          <cell r="J1">
            <v>1.7453292519943295E-2</v>
          </cell>
        </row>
      </sheetData>
      <sheetData sheetId="15990"/>
      <sheetData sheetId="15991" refreshError="1"/>
      <sheetData sheetId="15992"/>
      <sheetData sheetId="15993">
        <row r="1">
          <cell r="J1">
            <v>1.7453292519943295E-2</v>
          </cell>
        </row>
      </sheetData>
      <sheetData sheetId="15994" refreshError="1"/>
      <sheetData sheetId="15995" refreshError="1"/>
      <sheetData sheetId="15996">
        <row r="1">
          <cell r="J1">
            <v>1.7453292519943295E-2</v>
          </cell>
        </row>
      </sheetData>
      <sheetData sheetId="15997">
        <row r="1">
          <cell r="J1">
            <v>1.7453292519943295E-2</v>
          </cell>
        </row>
      </sheetData>
      <sheetData sheetId="15998">
        <row r="1">
          <cell r="J1">
            <v>1.7453292519943295E-2</v>
          </cell>
        </row>
      </sheetData>
      <sheetData sheetId="15999" refreshError="1"/>
      <sheetData sheetId="16000" refreshError="1"/>
      <sheetData sheetId="16001" refreshError="1"/>
      <sheetData sheetId="16002">
        <row r="1">
          <cell r="J1">
            <v>1.7453292519943295E-2</v>
          </cell>
        </row>
      </sheetData>
      <sheetData sheetId="16003">
        <row r="1">
          <cell r="J1">
            <v>1.7453292519943295E-2</v>
          </cell>
        </row>
      </sheetData>
      <sheetData sheetId="16004">
        <row r="1">
          <cell r="J1">
            <v>1.7453292519943295E-2</v>
          </cell>
        </row>
      </sheetData>
      <sheetData sheetId="16005" refreshError="1"/>
      <sheetData sheetId="16006" refreshError="1"/>
      <sheetData sheetId="16007" refreshError="1"/>
      <sheetData sheetId="16008">
        <row r="1">
          <cell r="J1">
            <v>1.7453292519943295E-2</v>
          </cell>
        </row>
      </sheetData>
      <sheetData sheetId="16009">
        <row r="1">
          <cell r="J1">
            <v>1.7453292519943295E-2</v>
          </cell>
        </row>
      </sheetData>
      <sheetData sheetId="16010" refreshError="1"/>
      <sheetData sheetId="16011" refreshError="1"/>
      <sheetData sheetId="16012" refreshError="1"/>
      <sheetData sheetId="16013" refreshError="1"/>
      <sheetData sheetId="16014">
        <row r="1">
          <cell r="J1">
            <v>1.7453292519943295E-2</v>
          </cell>
        </row>
      </sheetData>
      <sheetData sheetId="16015">
        <row r="1">
          <cell r="J1">
            <v>1.7453292519943295E-2</v>
          </cell>
        </row>
      </sheetData>
      <sheetData sheetId="16016">
        <row r="1">
          <cell r="J1">
            <v>1.7453292519943295E-2</v>
          </cell>
        </row>
      </sheetData>
      <sheetData sheetId="16017">
        <row r="1">
          <cell r="J1">
            <v>1.7453292519943295E-2</v>
          </cell>
        </row>
      </sheetData>
      <sheetData sheetId="16018">
        <row r="1">
          <cell r="J1">
            <v>1.7453292519943295E-2</v>
          </cell>
        </row>
      </sheetData>
      <sheetData sheetId="16019">
        <row r="1">
          <cell r="J1">
            <v>1.7453292519943295E-2</v>
          </cell>
        </row>
      </sheetData>
      <sheetData sheetId="16020">
        <row r="1">
          <cell r="J1">
            <v>1.7453292519943295E-2</v>
          </cell>
        </row>
      </sheetData>
      <sheetData sheetId="16021">
        <row r="1">
          <cell r="J1">
            <v>1.7453292519943295E-2</v>
          </cell>
        </row>
      </sheetData>
      <sheetData sheetId="16022">
        <row r="1">
          <cell r="J1">
            <v>1.7453292519943295E-2</v>
          </cell>
        </row>
      </sheetData>
      <sheetData sheetId="16023">
        <row r="1">
          <cell r="J1">
            <v>1.7453292519943295E-2</v>
          </cell>
        </row>
      </sheetData>
      <sheetData sheetId="16024">
        <row r="1">
          <cell r="J1">
            <v>1.7453292519943295E-2</v>
          </cell>
        </row>
      </sheetData>
      <sheetData sheetId="16025">
        <row r="1">
          <cell r="J1">
            <v>1.7453292519943295E-2</v>
          </cell>
        </row>
      </sheetData>
      <sheetData sheetId="16026">
        <row r="1">
          <cell r="J1">
            <v>1.7453292519943295E-2</v>
          </cell>
        </row>
      </sheetData>
      <sheetData sheetId="16027">
        <row r="1">
          <cell r="J1">
            <v>1.7453292519943295E-2</v>
          </cell>
        </row>
      </sheetData>
      <sheetData sheetId="16028">
        <row r="1">
          <cell r="J1">
            <v>1.7453292519943295E-2</v>
          </cell>
        </row>
      </sheetData>
      <sheetData sheetId="16029">
        <row r="1">
          <cell r="J1">
            <v>1.7453292519943295E-2</v>
          </cell>
        </row>
      </sheetData>
      <sheetData sheetId="16030">
        <row r="1">
          <cell r="J1">
            <v>1.7453292519943295E-2</v>
          </cell>
        </row>
      </sheetData>
      <sheetData sheetId="16031">
        <row r="1">
          <cell r="J1">
            <v>1.7453292519943295E-2</v>
          </cell>
        </row>
      </sheetData>
      <sheetData sheetId="16032">
        <row r="1">
          <cell r="J1">
            <v>1.7453292519943295E-2</v>
          </cell>
        </row>
      </sheetData>
      <sheetData sheetId="16033">
        <row r="1">
          <cell r="J1">
            <v>1.7453292519943295E-2</v>
          </cell>
        </row>
      </sheetData>
      <sheetData sheetId="16034">
        <row r="1">
          <cell r="J1">
            <v>1.7453292519943295E-2</v>
          </cell>
        </row>
      </sheetData>
      <sheetData sheetId="16035" refreshError="1"/>
      <sheetData sheetId="16036" refreshError="1"/>
      <sheetData sheetId="16037">
        <row r="1">
          <cell r="J1">
            <v>1.7453292519943295E-2</v>
          </cell>
        </row>
      </sheetData>
      <sheetData sheetId="16038">
        <row r="1">
          <cell r="J1">
            <v>1.7453292519943295E-2</v>
          </cell>
        </row>
      </sheetData>
      <sheetData sheetId="16039" refreshError="1"/>
      <sheetData sheetId="16040"/>
      <sheetData sheetId="16041" refreshError="1"/>
      <sheetData sheetId="16042" refreshError="1"/>
      <sheetData sheetId="16043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>
        <row r="1">
          <cell r="J1">
            <v>1.7453292519943295E-2</v>
          </cell>
        </row>
      </sheetData>
      <sheetData sheetId="16052">
        <row r="1">
          <cell r="J1">
            <v>1.7453292519943295E-2</v>
          </cell>
        </row>
      </sheetData>
      <sheetData sheetId="16053">
        <row r="1">
          <cell r="J1">
            <v>1.7453292519943295E-2</v>
          </cell>
        </row>
      </sheetData>
      <sheetData sheetId="16054">
        <row r="1">
          <cell r="J1">
            <v>1.7453292519943295E-2</v>
          </cell>
        </row>
      </sheetData>
      <sheetData sheetId="16055">
        <row r="1">
          <cell r="J1">
            <v>1.7453292519943295E-2</v>
          </cell>
        </row>
      </sheetData>
      <sheetData sheetId="16056">
        <row r="1">
          <cell r="J1">
            <v>1.7453292519943295E-2</v>
          </cell>
        </row>
      </sheetData>
      <sheetData sheetId="16057">
        <row r="1">
          <cell r="J1">
            <v>1.7453292519943295E-2</v>
          </cell>
        </row>
      </sheetData>
      <sheetData sheetId="16058">
        <row r="1">
          <cell r="J1">
            <v>1.7453292519943295E-2</v>
          </cell>
        </row>
      </sheetData>
      <sheetData sheetId="16059">
        <row r="1">
          <cell r="J1">
            <v>1.7453292519943295E-2</v>
          </cell>
        </row>
      </sheetData>
      <sheetData sheetId="16060">
        <row r="1">
          <cell r="J1">
            <v>1.7453292519943295E-2</v>
          </cell>
        </row>
      </sheetData>
      <sheetData sheetId="16061">
        <row r="1">
          <cell r="J1">
            <v>1.7453292519943295E-2</v>
          </cell>
        </row>
      </sheetData>
      <sheetData sheetId="16062">
        <row r="1">
          <cell r="J1">
            <v>1.7453292519943295E-2</v>
          </cell>
        </row>
      </sheetData>
      <sheetData sheetId="16063">
        <row r="1">
          <cell r="J1">
            <v>1.7453292519943295E-2</v>
          </cell>
        </row>
      </sheetData>
      <sheetData sheetId="16064">
        <row r="1">
          <cell r="J1">
            <v>1.7453292519943295E-2</v>
          </cell>
        </row>
      </sheetData>
      <sheetData sheetId="16065">
        <row r="1">
          <cell r="J1">
            <v>1.7453292519943295E-2</v>
          </cell>
        </row>
      </sheetData>
      <sheetData sheetId="16066">
        <row r="1">
          <cell r="J1">
            <v>1.7453292519943295E-2</v>
          </cell>
        </row>
      </sheetData>
      <sheetData sheetId="16067">
        <row r="1">
          <cell r="J1">
            <v>1.7453292519943295E-2</v>
          </cell>
        </row>
      </sheetData>
      <sheetData sheetId="16068">
        <row r="1">
          <cell r="J1">
            <v>1.7453292519943295E-2</v>
          </cell>
        </row>
      </sheetData>
      <sheetData sheetId="16069" refreshError="1"/>
      <sheetData sheetId="16070" refreshError="1"/>
      <sheetData sheetId="16071">
        <row r="1">
          <cell r="J1">
            <v>1.7453292519943295E-2</v>
          </cell>
        </row>
      </sheetData>
      <sheetData sheetId="16072">
        <row r="1">
          <cell r="J1">
            <v>1.7453292519943295E-2</v>
          </cell>
        </row>
      </sheetData>
      <sheetData sheetId="16073">
        <row r="1">
          <cell r="J1">
            <v>1.7453292519943295E-2</v>
          </cell>
        </row>
      </sheetData>
      <sheetData sheetId="16074">
        <row r="1">
          <cell r="J1">
            <v>1.7453292519943295E-2</v>
          </cell>
        </row>
      </sheetData>
      <sheetData sheetId="16075">
        <row r="1">
          <cell r="J1">
            <v>1.7453292519943295E-2</v>
          </cell>
        </row>
      </sheetData>
      <sheetData sheetId="16076">
        <row r="1">
          <cell r="J1">
            <v>1.7453292519943295E-2</v>
          </cell>
        </row>
      </sheetData>
      <sheetData sheetId="16077">
        <row r="1">
          <cell r="J1">
            <v>1.7453292519943295E-2</v>
          </cell>
        </row>
      </sheetData>
      <sheetData sheetId="16078">
        <row r="1">
          <cell r="J1">
            <v>1.7453292519943295E-2</v>
          </cell>
        </row>
      </sheetData>
      <sheetData sheetId="16079">
        <row r="1">
          <cell r="J1">
            <v>1.7453292519943295E-2</v>
          </cell>
        </row>
      </sheetData>
      <sheetData sheetId="16080">
        <row r="1">
          <cell r="J1">
            <v>1.7453292519943295E-2</v>
          </cell>
        </row>
      </sheetData>
      <sheetData sheetId="16081">
        <row r="1">
          <cell r="J1">
            <v>1.7453292519943295E-2</v>
          </cell>
        </row>
      </sheetData>
      <sheetData sheetId="16082">
        <row r="1">
          <cell r="J1">
            <v>1.7453292519943295E-2</v>
          </cell>
        </row>
      </sheetData>
      <sheetData sheetId="16083">
        <row r="1">
          <cell r="J1">
            <v>1.7453292519943295E-2</v>
          </cell>
        </row>
      </sheetData>
      <sheetData sheetId="16084">
        <row r="1">
          <cell r="J1">
            <v>1.7453292519943295E-2</v>
          </cell>
        </row>
      </sheetData>
      <sheetData sheetId="16085">
        <row r="1">
          <cell r="J1">
            <v>1.7453292519943295E-2</v>
          </cell>
        </row>
      </sheetData>
      <sheetData sheetId="16086">
        <row r="1">
          <cell r="J1">
            <v>1.7453292519943295E-2</v>
          </cell>
        </row>
      </sheetData>
      <sheetData sheetId="16087">
        <row r="1">
          <cell r="J1">
            <v>1.7453292519943295E-2</v>
          </cell>
        </row>
      </sheetData>
      <sheetData sheetId="16088">
        <row r="1">
          <cell r="J1">
            <v>1.7453292519943295E-2</v>
          </cell>
        </row>
      </sheetData>
      <sheetData sheetId="16089">
        <row r="1">
          <cell r="J1">
            <v>1.7453292519943295E-2</v>
          </cell>
        </row>
      </sheetData>
      <sheetData sheetId="16090">
        <row r="1">
          <cell r="J1">
            <v>1.7453292519943295E-2</v>
          </cell>
        </row>
      </sheetData>
      <sheetData sheetId="16091" refreshError="1"/>
      <sheetData sheetId="16092" refreshError="1"/>
      <sheetData sheetId="16093" refreshError="1"/>
      <sheetData sheetId="16094" refreshError="1"/>
      <sheetData sheetId="16095"/>
      <sheetData sheetId="16096"/>
      <sheetData sheetId="16097" refreshError="1"/>
      <sheetData sheetId="16098" refreshError="1"/>
      <sheetData sheetId="16099"/>
      <sheetData sheetId="16100" refreshError="1"/>
      <sheetData sheetId="16101" refreshError="1"/>
      <sheetData sheetId="16102">
        <row r="1">
          <cell r="J1">
            <v>1.7453292519943295E-2</v>
          </cell>
        </row>
      </sheetData>
      <sheetData sheetId="16103">
        <row r="1">
          <cell r="J1">
            <v>1.7453292519943295E-2</v>
          </cell>
        </row>
      </sheetData>
      <sheetData sheetId="16104">
        <row r="1">
          <cell r="J1">
            <v>1.7453292519943295E-2</v>
          </cell>
        </row>
      </sheetData>
      <sheetData sheetId="16105">
        <row r="1">
          <cell r="J1">
            <v>1.7453292519943295E-2</v>
          </cell>
        </row>
      </sheetData>
      <sheetData sheetId="16106">
        <row r="1">
          <cell r="J1">
            <v>1.7453292519943295E-2</v>
          </cell>
        </row>
      </sheetData>
      <sheetData sheetId="16107">
        <row r="1">
          <cell r="J1">
            <v>1.7453292519943295E-2</v>
          </cell>
        </row>
      </sheetData>
      <sheetData sheetId="16108">
        <row r="1">
          <cell r="J1">
            <v>1.7453292519943295E-2</v>
          </cell>
        </row>
      </sheetData>
      <sheetData sheetId="16109">
        <row r="1">
          <cell r="J1">
            <v>1.7453292519943295E-2</v>
          </cell>
        </row>
      </sheetData>
      <sheetData sheetId="16110">
        <row r="1">
          <cell r="J1">
            <v>1.7453292519943295E-2</v>
          </cell>
        </row>
      </sheetData>
      <sheetData sheetId="16111">
        <row r="1">
          <cell r="J1">
            <v>1.7453292519943295E-2</v>
          </cell>
        </row>
      </sheetData>
      <sheetData sheetId="16112">
        <row r="1">
          <cell r="J1">
            <v>1.7453292519943295E-2</v>
          </cell>
        </row>
      </sheetData>
      <sheetData sheetId="16113">
        <row r="1">
          <cell r="J1">
            <v>1.7453292519943295E-2</v>
          </cell>
        </row>
      </sheetData>
      <sheetData sheetId="16114">
        <row r="1">
          <cell r="J1">
            <v>1.7453292519943295E-2</v>
          </cell>
        </row>
      </sheetData>
      <sheetData sheetId="16115">
        <row r="1">
          <cell r="J1">
            <v>1.7453292519943295E-2</v>
          </cell>
        </row>
      </sheetData>
      <sheetData sheetId="16116">
        <row r="1">
          <cell r="J1">
            <v>1.7453292519943295E-2</v>
          </cell>
        </row>
      </sheetData>
      <sheetData sheetId="16117">
        <row r="1">
          <cell r="J1">
            <v>1.7453292519943295E-2</v>
          </cell>
        </row>
      </sheetData>
      <sheetData sheetId="16118">
        <row r="1">
          <cell r="J1">
            <v>1.7453292519943295E-2</v>
          </cell>
        </row>
      </sheetData>
      <sheetData sheetId="16119">
        <row r="1">
          <cell r="J1">
            <v>1.7453292519943295E-2</v>
          </cell>
        </row>
      </sheetData>
      <sheetData sheetId="16120">
        <row r="1">
          <cell r="J1">
            <v>1.7453292519943295E-2</v>
          </cell>
        </row>
      </sheetData>
      <sheetData sheetId="16121">
        <row r="1">
          <cell r="J1">
            <v>1.7453292519943295E-2</v>
          </cell>
        </row>
      </sheetData>
      <sheetData sheetId="16122" refreshError="1"/>
      <sheetData sheetId="16123" refreshError="1"/>
      <sheetData sheetId="16124">
        <row r="1">
          <cell r="J1">
            <v>1.7453292519943295E-2</v>
          </cell>
        </row>
      </sheetData>
      <sheetData sheetId="16125">
        <row r="1">
          <cell r="J1">
            <v>1.7453292519943295E-2</v>
          </cell>
        </row>
      </sheetData>
      <sheetData sheetId="16126">
        <row r="1">
          <cell r="J1">
            <v>1.7453292519943295E-2</v>
          </cell>
        </row>
      </sheetData>
      <sheetData sheetId="16127">
        <row r="1">
          <cell r="J1">
            <v>1.7453292519943295E-2</v>
          </cell>
        </row>
      </sheetData>
      <sheetData sheetId="16128">
        <row r="1">
          <cell r="J1">
            <v>1.7453292519943295E-2</v>
          </cell>
        </row>
      </sheetData>
      <sheetData sheetId="16129">
        <row r="1">
          <cell r="J1">
            <v>1.7453292519943295E-2</v>
          </cell>
        </row>
      </sheetData>
      <sheetData sheetId="16130">
        <row r="1">
          <cell r="J1">
            <v>1.7453292519943295E-2</v>
          </cell>
        </row>
      </sheetData>
      <sheetData sheetId="16131">
        <row r="1">
          <cell r="J1">
            <v>1.7453292519943295E-2</v>
          </cell>
        </row>
      </sheetData>
      <sheetData sheetId="16132">
        <row r="1">
          <cell r="J1">
            <v>1.7453292519943295E-2</v>
          </cell>
        </row>
      </sheetData>
      <sheetData sheetId="16133">
        <row r="1">
          <cell r="J1">
            <v>1.7453292519943295E-2</v>
          </cell>
        </row>
      </sheetData>
      <sheetData sheetId="16134">
        <row r="1">
          <cell r="J1">
            <v>1.7453292519943295E-2</v>
          </cell>
        </row>
      </sheetData>
      <sheetData sheetId="16135">
        <row r="1">
          <cell r="J1">
            <v>1.7453292519943295E-2</v>
          </cell>
        </row>
      </sheetData>
      <sheetData sheetId="16136">
        <row r="1">
          <cell r="J1">
            <v>1.7453292519943295E-2</v>
          </cell>
        </row>
      </sheetData>
      <sheetData sheetId="16137">
        <row r="1">
          <cell r="J1">
            <v>1.7453292519943295E-2</v>
          </cell>
        </row>
      </sheetData>
      <sheetData sheetId="16138">
        <row r="1">
          <cell r="J1">
            <v>1.7453292519943295E-2</v>
          </cell>
        </row>
      </sheetData>
      <sheetData sheetId="16139">
        <row r="1">
          <cell r="J1">
            <v>1.7453292519943295E-2</v>
          </cell>
        </row>
      </sheetData>
      <sheetData sheetId="16140">
        <row r="1">
          <cell r="J1">
            <v>1.7453292519943295E-2</v>
          </cell>
        </row>
      </sheetData>
      <sheetData sheetId="16141">
        <row r="1">
          <cell r="J1">
            <v>1.7453292519943295E-2</v>
          </cell>
        </row>
      </sheetData>
      <sheetData sheetId="16142">
        <row r="1">
          <cell r="J1">
            <v>1.7453292519943295E-2</v>
          </cell>
        </row>
      </sheetData>
      <sheetData sheetId="16143">
        <row r="1">
          <cell r="J1">
            <v>1.7453292519943295E-2</v>
          </cell>
        </row>
      </sheetData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/>
      <sheetData sheetId="16150">
        <row r="1">
          <cell r="J1">
            <v>1.7453292519943295E-2</v>
          </cell>
        </row>
      </sheetData>
      <sheetData sheetId="16151">
        <row r="1">
          <cell r="J1">
            <v>1.7453292519943295E-2</v>
          </cell>
        </row>
      </sheetData>
      <sheetData sheetId="16152">
        <row r="1">
          <cell r="J1">
            <v>1.7453292519943295E-2</v>
          </cell>
        </row>
      </sheetData>
      <sheetData sheetId="16153">
        <row r="1">
          <cell r="J1">
            <v>1.7453292519943295E-2</v>
          </cell>
        </row>
      </sheetData>
      <sheetData sheetId="16154">
        <row r="1">
          <cell r="J1">
            <v>1.7453292519943295E-2</v>
          </cell>
        </row>
      </sheetData>
      <sheetData sheetId="16155">
        <row r="1">
          <cell r="J1">
            <v>1.7453292519943295E-2</v>
          </cell>
        </row>
      </sheetData>
      <sheetData sheetId="16156">
        <row r="1">
          <cell r="J1">
            <v>1.7453292519943295E-2</v>
          </cell>
        </row>
      </sheetData>
      <sheetData sheetId="16157">
        <row r="1">
          <cell r="J1">
            <v>1.7453292519943295E-2</v>
          </cell>
        </row>
      </sheetData>
      <sheetData sheetId="16158">
        <row r="1">
          <cell r="J1">
            <v>1.7453292519943295E-2</v>
          </cell>
        </row>
      </sheetData>
      <sheetData sheetId="16159">
        <row r="1">
          <cell r="J1">
            <v>1.7453292519943295E-2</v>
          </cell>
        </row>
      </sheetData>
      <sheetData sheetId="16160">
        <row r="1">
          <cell r="J1">
            <v>1.7453292519943295E-2</v>
          </cell>
        </row>
      </sheetData>
      <sheetData sheetId="16161">
        <row r="1">
          <cell r="J1">
            <v>1.7453292519943295E-2</v>
          </cell>
        </row>
      </sheetData>
      <sheetData sheetId="16162">
        <row r="1">
          <cell r="J1">
            <v>1.7453292519943295E-2</v>
          </cell>
        </row>
      </sheetData>
      <sheetData sheetId="16163">
        <row r="1">
          <cell r="J1">
            <v>1.7453292519943295E-2</v>
          </cell>
        </row>
      </sheetData>
      <sheetData sheetId="16164">
        <row r="1">
          <cell r="J1">
            <v>1.7453292519943295E-2</v>
          </cell>
        </row>
      </sheetData>
      <sheetData sheetId="16165">
        <row r="1">
          <cell r="J1">
            <v>1.7453292519943295E-2</v>
          </cell>
        </row>
      </sheetData>
      <sheetData sheetId="16166">
        <row r="1">
          <cell r="J1">
            <v>1.7453292519943295E-2</v>
          </cell>
        </row>
      </sheetData>
      <sheetData sheetId="16167">
        <row r="1">
          <cell r="J1">
            <v>1.7453292519943295E-2</v>
          </cell>
        </row>
      </sheetData>
      <sheetData sheetId="16168">
        <row r="1">
          <cell r="J1">
            <v>1.7453292519943295E-2</v>
          </cell>
        </row>
      </sheetData>
      <sheetData sheetId="16169">
        <row r="1">
          <cell r="J1">
            <v>1.7453292519943295E-2</v>
          </cell>
        </row>
      </sheetData>
      <sheetData sheetId="16170"/>
      <sheetData sheetId="16171"/>
      <sheetData sheetId="16172" refreshError="1"/>
      <sheetData sheetId="16173" refreshError="1"/>
      <sheetData sheetId="16174"/>
      <sheetData sheetId="16175"/>
      <sheetData sheetId="16176" refreshError="1"/>
      <sheetData sheetId="16177" refreshError="1"/>
      <sheetData sheetId="16178"/>
      <sheetData sheetId="16179">
        <row r="1">
          <cell r="J1">
            <v>1.7453292519943295E-2</v>
          </cell>
        </row>
      </sheetData>
      <sheetData sheetId="16180">
        <row r="1">
          <cell r="J1">
            <v>1.7453292519943295E-2</v>
          </cell>
        </row>
      </sheetData>
      <sheetData sheetId="16181"/>
      <sheetData sheetId="16182" refreshError="1"/>
      <sheetData sheetId="16183" refreshError="1"/>
      <sheetData sheetId="16184" refreshError="1"/>
      <sheetData sheetId="16185">
        <row r="1">
          <cell r="J1">
            <v>1.7453292519943295E-2</v>
          </cell>
        </row>
      </sheetData>
      <sheetData sheetId="16186">
        <row r="1">
          <cell r="J1">
            <v>1.7453292519943295E-2</v>
          </cell>
        </row>
      </sheetData>
      <sheetData sheetId="16187">
        <row r="1">
          <cell r="J1">
            <v>1.7453292519943295E-2</v>
          </cell>
        </row>
      </sheetData>
      <sheetData sheetId="16188">
        <row r="1">
          <cell r="J1">
            <v>1.7453292519943295E-2</v>
          </cell>
        </row>
      </sheetData>
      <sheetData sheetId="16189">
        <row r="1">
          <cell r="J1">
            <v>1.7453292519943295E-2</v>
          </cell>
        </row>
      </sheetData>
      <sheetData sheetId="16190">
        <row r="1">
          <cell r="J1">
            <v>1.7453292519943295E-2</v>
          </cell>
        </row>
      </sheetData>
      <sheetData sheetId="16191">
        <row r="1">
          <cell r="J1">
            <v>1.7453292519943295E-2</v>
          </cell>
        </row>
      </sheetData>
      <sheetData sheetId="16192">
        <row r="1">
          <cell r="J1">
            <v>1.7453292519943295E-2</v>
          </cell>
        </row>
      </sheetData>
      <sheetData sheetId="16193">
        <row r="1">
          <cell r="J1">
            <v>1.7453292519943295E-2</v>
          </cell>
        </row>
      </sheetData>
      <sheetData sheetId="16194">
        <row r="1">
          <cell r="J1">
            <v>1.7453292519943295E-2</v>
          </cell>
        </row>
      </sheetData>
      <sheetData sheetId="16195">
        <row r="1">
          <cell r="J1">
            <v>1.7453292519943295E-2</v>
          </cell>
        </row>
      </sheetData>
      <sheetData sheetId="16196">
        <row r="1">
          <cell r="J1">
            <v>1.7453292519943295E-2</v>
          </cell>
        </row>
      </sheetData>
      <sheetData sheetId="16197">
        <row r="1">
          <cell r="J1">
            <v>1.7453292519943295E-2</v>
          </cell>
        </row>
      </sheetData>
      <sheetData sheetId="16198">
        <row r="1">
          <cell r="J1">
            <v>1.7453292519943295E-2</v>
          </cell>
        </row>
      </sheetData>
      <sheetData sheetId="16199">
        <row r="1">
          <cell r="J1">
            <v>1.7453292519943295E-2</v>
          </cell>
        </row>
      </sheetData>
      <sheetData sheetId="16200">
        <row r="1">
          <cell r="J1">
            <v>1.7453292519943295E-2</v>
          </cell>
        </row>
      </sheetData>
      <sheetData sheetId="16201">
        <row r="1">
          <cell r="J1">
            <v>1.7453292519943295E-2</v>
          </cell>
        </row>
      </sheetData>
      <sheetData sheetId="16202">
        <row r="1">
          <cell r="J1">
            <v>1.7453292519943295E-2</v>
          </cell>
        </row>
      </sheetData>
      <sheetData sheetId="16203">
        <row r="1">
          <cell r="J1">
            <v>1.7453292519943295E-2</v>
          </cell>
        </row>
      </sheetData>
      <sheetData sheetId="16204">
        <row r="1">
          <cell r="J1">
            <v>1.7453292519943295E-2</v>
          </cell>
        </row>
      </sheetData>
      <sheetData sheetId="16205" refreshError="1"/>
      <sheetData sheetId="16206"/>
      <sheetData sheetId="16207"/>
      <sheetData sheetId="16208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/>
      <sheetData sheetId="16216">
        <row r="1">
          <cell r="J1">
            <v>1.7453292519943295E-2</v>
          </cell>
        </row>
      </sheetData>
      <sheetData sheetId="16217">
        <row r="1">
          <cell r="J1">
            <v>1.7453292519943295E-2</v>
          </cell>
        </row>
      </sheetData>
      <sheetData sheetId="16218">
        <row r="1">
          <cell r="J1">
            <v>1.7453292519943295E-2</v>
          </cell>
        </row>
      </sheetData>
      <sheetData sheetId="16219">
        <row r="1">
          <cell r="J1">
            <v>1.7453292519943295E-2</v>
          </cell>
        </row>
      </sheetData>
      <sheetData sheetId="16220">
        <row r="1">
          <cell r="J1">
            <v>1.7453292519943295E-2</v>
          </cell>
        </row>
      </sheetData>
      <sheetData sheetId="16221">
        <row r="1">
          <cell r="J1">
            <v>1.7453292519943295E-2</v>
          </cell>
        </row>
      </sheetData>
      <sheetData sheetId="16222">
        <row r="1">
          <cell r="J1">
            <v>1.7453292519943295E-2</v>
          </cell>
        </row>
      </sheetData>
      <sheetData sheetId="16223">
        <row r="1">
          <cell r="J1">
            <v>1.7453292519943295E-2</v>
          </cell>
        </row>
      </sheetData>
      <sheetData sheetId="16224">
        <row r="1">
          <cell r="J1">
            <v>1.7453292519943295E-2</v>
          </cell>
        </row>
      </sheetData>
      <sheetData sheetId="16225">
        <row r="1">
          <cell r="J1">
            <v>1.7453292519943295E-2</v>
          </cell>
        </row>
      </sheetData>
      <sheetData sheetId="16226">
        <row r="1">
          <cell r="J1">
            <v>1.7453292519943295E-2</v>
          </cell>
        </row>
      </sheetData>
      <sheetData sheetId="16227">
        <row r="1">
          <cell r="J1">
            <v>1.7453292519943295E-2</v>
          </cell>
        </row>
      </sheetData>
      <sheetData sheetId="16228">
        <row r="1">
          <cell r="J1">
            <v>1.7453292519943295E-2</v>
          </cell>
        </row>
      </sheetData>
      <sheetData sheetId="16229">
        <row r="1">
          <cell r="J1">
            <v>1.7453292519943295E-2</v>
          </cell>
        </row>
      </sheetData>
      <sheetData sheetId="16230">
        <row r="1">
          <cell r="J1">
            <v>1.7453292519943295E-2</v>
          </cell>
        </row>
      </sheetData>
      <sheetData sheetId="16231">
        <row r="1">
          <cell r="J1">
            <v>1.7453292519943295E-2</v>
          </cell>
        </row>
      </sheetData>
      <sheetData sheetId="16232">
        <row r="1">
          <cell r="J1">
            <v>1.7453292519943295E-2</v>
          </cell>
        </row>
      </sheetData>
      <sheetData sheetId="16233">
        <row r="1">
          <cell r="J1">
            <v>1.7453292519943295E-2</v>
          </cell>
        </row>
      </sheetData>
      <sheetData sheetId="16234">
        <row r="1">
          <cell r="J1">
            <v>1.7453292519943295E-2</v>
          </cell>
        </row>
      </sheetData>
      <sheetData sheetId="16235">
        <row r="1">
          <cell r="J1">
            <v>1.7453292519943295E-2</v>
          </cell>
        </row>
      </sheetData>
      <sheetData sheetId="16236" refreshError="1"/>
      <sheetData sheetId="16237"/>
      <sheetData sheetId="16238"/>
      <sheetData sheetId="16239" refreshError="1"/>
      <sheetData sheetId="16240">
        <row r="1">
          <cell r="J1">
            <v>1.7453292519943295E-2</v>
          </cell>
        </row>
      </sheetData>
      <sheetData sheetId="16241" refreshError="1"/>
      <sheetData sheetId="16242" refreshError="1"/>
      <sheetData sheetId="16243"/>
      <sheetData sheetId="16244">
        <row r="1">
          <cell r="J1">
            <v>1.7453292519943295E-2</v>
          </cell>
        </row>
      </sheetData>
      <sheetData sheetId="16245" refreshError="1"/>
      <sheetData sheetId="16246" refreshError="1"/>
      <sheetData sheetId="16247" refreshError="1"/>
      <sheetData sheetId="16248"/>
      <sheetData sheetId="16249">
        <row r="1">
          <cell r="J1">
            <v>1.7453292519943295E-2</v>
          </cell>
        </row>
      </sheetData>
      <sheetData sheetId="16250"/>
      <sheetData sheetId="16251"/>
      <sheetData sheetId="16252" refreshError="1"/>
      <sheetData sheetId="16253"/>
      <sheetData sheetId="16254" refreshError="1"/>
      <sheetData sheetId="16255" refreshError="1"/>
      <sheetData sheetId="16256"/>
      <sheetData sheetId="16257"/>
      <sheetData sheetId="16258"/>
      <sheetData sheetId="16259">
        <row r="1">
          <cell r="J1">
            <v>1.7453292519943295E-2</v>
          </cell>
        </row>
      </sheetData>
      <sheetData sheetId="16260"/>
      <sheetData sheetId="16261" refreshError="1"/>
      <sheetData sheetId="16262"/>
      <sheetData sheetId="16263" refreshError="1"/>
      <sheetData sheetId="16264" refreshError="1"/>
      <sheetData sheetId="16265"/>
      <sheetData sheetId="16266" refreshError="1"/>
      <sheetData sheetId="16267" refreshError="1"/>
      <sheetData sheetId="16268" refreshError="1"/>
      <sheetData sheetId="16269">
        <row r="1">
          <cell r="J1">
            <v>1.7453292519943295E-2</v>
          </cell>
        </row>
      </sheetData>
      <sheetData sheetId="16270">
        <row r="1">
          <cell r="J1">
            <v>1.7453292519943295E-2</v>
          </cell>
        </row>
      </sheetData>
      <sheetData sheetId="16271">
        <row r="1">
          <cell r="J1">
            <v>1.7453292519943295E-2</v>
          </cell>
        </row>
      </sheetData>
      <sheetData sheetId="16272" refreshError="1"/>
      <sheetData sheetId="16273">
        <row r="1">
          <cell r="J1">
            <v>1.7453292519943295E-2</v>
          </cell>
        </row>
      </sheetData>
      <sheetData sheetId="16274" refreshError="1"/>
      <sheetData sheetId="16275">
        <row r="1">
          <cell r="J1">
            <v>1.7453292519943295E-2</v>
          </cell>
        </row>
      </sheetData>
      <sheetData sheetId="16276">
        <row r="1">
          <cell r="J1">
            <v>1.7453292519943295E-2</v>
          </cell>
        </row>
      </sheetData>
      <sheetData sheetId="16277">
        <row r="1">
          <cell r="J1">
            <v>1.7453292519943295E-2</v>
          </cell>
        </row>
      </sheetData>
      <sheetData sheetId="16278" refreshError="1"/>
      <sheetData sheetId="16279" refreshError="1"/>
      <sheetData sheetId="16280" refreshError="1"/>
      <sheetData sheetId="16281">
        <row r="1">
          <cell r="J1">
            <v>1.7453292519943295E-2</v>
          </cell>
        </row>
      </sheetData>
      <sheetData sheetId="16282">
        <row r="1">
          <cell r="J1">
            <v>1.7453292519943295E-2</v>
          </cell>
        </row>
      </sheetData>
      <sheetData sheetId="16283" refreshError="1"/>
      <sheetData sheetId="16284">
        <row r="1">
          <cell r="J1">
            <v>1.7453292519943295E-2</v>
          </cell>
        </row>
      </sheetData>
      <sheetData sheetId="16285">
        <row r="1">
          <cell r="J1">
            <v>1.7453292519943295E-2</v>
          </cell>
        </row>
      </sheetData>
      <sheetData sheetId="16286">
        <row r="1">
          <cell r="J1">
            <v>1.7453292519943295E-2</v>
          </cell>
        </row>
      </sheetData>
      <sheetData sheetId="16287">
        <row r="1">
          <cell r="J1">
            <v>1.7453292519943295E-2</v>
          </cell>
        </row>
      </sheetData>
      <sheetData sheetId="16288">
        <row r="1">
          <cell r="J1">
            <v>1.7453292519943295E-2</v>
          </cell>
        </row>
      </sheetData>
      <sheetData sheetId="16289">
        <row r="1">
          <cell r="J1">
            <v>1.7453292519943295E-2</v>
          </cell>
        </row>
      </sheetData>
      <sheetData sheetId="16290">
        <row r="1">
          <cell r="J1">
            <v>1.7453292519943295E-2</v>
          </cell>
        </row>
      </sheetData>
      <sheetData sheetId="16291">
        <row r="1">
          <cell r="J1">
            <v>1.7453292519943295E-2</v>
          </cell>
        </row>
      </sheetData>
      <sheetData sheetId="16292">
        <row r="1">
          <cell r="J1">
            <v>1.7453292519943295E-2</v>
          </cell>
        </row>
      </sheetData>
      <sheetData sheetId="16293">
        <row r="1">
          <cell r="J1">
            <v>1.7453292519943295E-2</v>
          </cell>
        </row>
      </sheetData>
      <sheetData sheetId="16294">
        <row r="1">
          <cell r="J1">
            <v>1.7453292519943295E-2</v>
          </cell>
        </row>
      </sheetData>
      <sheetData sheetId="16295">
        <row r="1">
          <cell r="J1">
            <v>1.7453292519943295E-2</v>
          </cell>
        </row>
      </sheetData>
      <sheetData sheetId="16296">
        <row r="1">
          <cell r="J1">
            <v>1.7453292519943295E-2</v>
          </cell>
        </row>
      </sheetData>
      <sheetData sheetId="16297">
        <row r="1">
          <cell r="J1">
            <v>1.7453292519943295E-2</v>
          </cell>
        </row>
      </sheetData>
      <sheetData sheetId="16298">
        <row r="1">
          <cell r="J1">
            <v>1.7453292519943295E-2</v>
          </cell>
        </row>
      </sheetData>
      <sheetData sheetId="16299">
        <row r="1">
          <cell r="J1">
            <v>1.7453292519943295E-2</v>
          </cell>
        </row>
      </sheetData>
      <sheetData sheetId="16300">
        <row r="1">
          <cell r="J1">
            <v>1.7453292519943295E-2</v>
          </cell>
        </row>
      </sheetData>
      <sheetData sheetId="16301">
        <row r="1">
          <cell r="J1">
            <v>1.7453292519943295E-2</v>
          </cell>
        </row>
      </sheetData>
      <sheetData sheetId="16302">
        <row r="1">
          <cell r="J1">
            <v>1.7453292519943295E-2</v>
          </cell>
        </row>
      </sheetData>
      <sheetData sheetId="16303">
        <row r="1">
          <cell r="J1">
            <v>1.7453292519943295E-2</v>
          </cell>
        </row>
      </sheetData>
      <sheetData sheetId="16304">
        <row r="1">
          <cell r="J1">
            <v>1.7453292519943295E-2</v>
          </cell>
        </row>
      </sheetData>
      <sheetData sheetId="16305">
        <row r="1">
          <cell r="J1">
            <v>1.7453292519943295E-2</v>
          </cell>
        </row>
      </sheetData>
      <sheetData sheetId="16306"/>
      <sheetData sheetId="16307" refreshError="1"/>
      <sheetData sheetId="16308">
        <row r="1">
          <cell r="J1">
            <v>1.7453292519943295E-2</v>
          </cell>
        </row>
      </sheetData>
      <sheetData sheetId="16309" refreshError="1"/>
      <sheetData sheetId="16310" refreshError="1"/>
      <sheetData sheetId="16311">
        <row r="1">
          <cell r="J1">
            <v>1.7453292519943295E-2</v>
          </cell>
        </row>
      </sheetData>
      <sheetData sheetId="16312">
        <row r="1">
          <cell r="J1">
            <v>1.7453292519943295E-2</v>
          </cell>
        </row>
      </sheetData>
      <sheetData sheetId="16313"/>
      <sheetData sheetId="16314">
        <row r="1">
          <cell r="J1">
            <v>1.7453292519943295E-2</v>
          </cell>
        </row>
      </sheetData>
      <sheetData sheetId="16315" refreshError="1"/>
      <sheetData sheetId="16316" refreshError="1"/>
      <sheetData sheetId="16317" refreshError="1"/>
      <sheetData sheetId="16318">
        <row r="1">
          <cell r="J1">
            <v>1.7453292519943295E-2</v>
          </cell>
        </row>
      </sheetData>
      <sheetData sheetId="16319" refreshError="1"/>
      <sheetData sheetId="16320"/>
      <sheetData sheetId="16321" refreshError="1"/>
      <sheetData sheetId="16322" refreshError="1"/>
      <sheetData sheetId="16323">
        <row r="1">
          <cell r="J1">
            <v>1.7453292519943295E-2</v>
          </cell>
        </row>
      </sheetData>
      <sheetData sheetId="16324">
        <row r="1">
          <cell r="J1">
            <v>1.7453292519943295E-2</v>
          </cell>
        </row>
      </sheetData>
      <sheetData sheetId="16325">
        <row r="1">
          <cell r="J1">
            <v>1.7453292519943295E-2</v>
          </cell>
        </row>
      </sheetData>
      <sheetData sheetId="16326" refreshError="1"/>
      <sheetData sheetId="16327" refreshError="1"/>
      <sheetData sheetId="16328" refreshError="1"/>
      <sheetData sheetId="16329">
        <row r="1">
          <cell r="J1">
            <v>1.7453292519943295E-2</v>
          </cell>
        </row>
      </sheetData>
      <sheetData sheetId="16330">
        <row r="1">
          <cell r="J1">
            <v>1.7453292519943295E-2</v>
          </cell>
        </row>
      </sheetData>
      <sheetData sheetId="16331">
        <row r="1">
          <cell r="J1">
            <v>1.7453292519943295E-2</v>
          </cell>
        </row>
      </sheetData>
      <sheetData sheetId="16332" refreshError="1"/>
      <sheetData sheetId="16333">
        <row r="1">
          <cell r="J1">
            <v>1.7453292519943295E-2</v>
          </cell>
        </row>
      </sheetData>
      <sheetData sheetId="16334" refreshError="1"/>
      <sheetData sheetId="16335">
        <row r="1">
          <cell r="J1">
            <v>1.7453292519943295E-2</v>
          </cell>
        </row>
      </sheetData>
      <sheetData sheetId="16336">
        <row r="1">
          <cell r="J1">
            <v>1.7453292519943295E-2</v>
          </cell>
        </row>
      </sheetData>
      <sheetData sheetId="16337">
        <row r="1">
          <cell r="J1">
            <v>1.7453292519943295E-2</v>
          </cell>
        </row>
      </sheetData>
      <sheetData sheetId="16338" refreshError="1"/>
      <sheetData sheetId="16339" refreshError="1"/>
      <sheetData sheetId="16340" refreshError="1"/>
      <sheetData sheetId="16341">
        <row r="1">
          <cell r="J1">
            <v>1.7453292519943295E-2</v>
          </cell>
        </row>
      </sheetData>
      <sheetData sheetId="16342" refreshError="1"/>
      <sheetData sheetId="16343">
        <row r="1">
          <cell r="J1">
            <v>1.7453292519943295E-2</v>
          </cell>
        </row>
      </sheetData>
      <sheetData sheetId="16344">
        <row r="1">
          <cell r="J1">
            <v>1.7453292519943295E-2</v>
          </cell>
        </row>
      </sheetData>
      <sheetData sheetId="16345">
        <row r="1">
          <cell r="J1">
            <v>1.7453292519943295E-2</v>
          </cell>
        </row>
      </sheetData>
      <sheetData sheetId="16346">
        <row r="1">
          <cell r="J1">
            <v>1.7453292519943295E-2</v>
          </cell>
        </row>
      </sheetData>
      <sheetData sheetId="16347">
        <row r="1">
          <cell r="J1">
            <v>1.7453292519943295E-2</v>
          </cell>
        </row>
      </sheetData>
      <sheetData sheetId="16348">
        <row r="1">
          <cell r="J1">
            <v>1.7453292519943295E-2</v>
          </cell>
        </row>
      </sheetData>
      <sheetData sheetId="16349">
        <row r="1">
          <cell r="J1">
            <v>1.7453292519943295E-2</v>
          </cell>
        </row>
      </sheetData>
      <sheetData sheetId="16350">
        <row r="1">
          <cell r="J1">
            <v>1.7453292519943295E-2</v>
          </cell>
        </row>
      </sheetData>
      <sheetData sheetId="16351">
        <row r="1">
          <cell r="J1">
            <v>1.7453292519943295E-2</v>
          </cell>
        </row>
      </sheetData>
      <sheetData sheetId="16352">
        <row r="1">
          <cell r="J1">
            <v>1.7453292519943295E-2</v>
          </cell>
        </row>
      </sheetData>
      <sheetData sheetId="16353">
        <row r="1">
          <cell r="J1">
            <v>1.7453292519943295E-2</v>
          </cell>
        </row>
      </sheetData>
      <sheetData sheetId="16354">
        <row r="1">
          <cell r="J1">
            <v>1.7453292519943295E-2</v>
          </cell>
        </row>
      </sheetData>
      <sheetData sheetId="16355">
        <row r="1">
          <cell r="J1">
            <v>1.7453292519943295E-2</v>
          </cell>
        </row>
      </sheetData>
      <sheetData sheetId="16356">
        <row r="1">
          <cell r="J1">
            <v>1.7453292519943295E-2</v>
          </cell>
        </row>
      </sheetData>
      <sheetData sheetId="16357">
        <row r="1">
          <cell r="J1">
            <v>1.7453292519943295E-2</v>
          </cell>
        </row>
      </sheetData>
      <sheetData sheetId="16358">
        <row r="1">
          <cell r="J1">
            <v>1.7453292519943295E-2</v>
          </cell>
        </row>
      </sheetData>
      <sheetData sheetId="16359">
        <row r="1">
          <cell r="J1">
            <v>1.7453292519943295E-2</v>
          </cell>
        </row>
      </sheetData>
      <sheetData sheetId="16360">
        <row r="1">
          <cell r="J1">
            <v>1.7453292519943295E-2</v>
          </cell>
        </row>
      </sheetData>
      <sheetData sheetId="16361">
        <row r="1">
          <cell r="J1">
            <v>1.7453292519943295E-2</v>
          </cell>
        </row>
      </sheetData>
      <sheetData sheetId="16362">
        <row r="1">
          <cell r="J1">
            <v>1.7453292519943295E-2</v>
          </cell>
        </row>
      </sheetData>
      <sheetData sheetId="16363">
        <row r="1">
          <cell r="J1">
            <v>1.7453292519943295E-2</v>
          </cell>
        </row>
      </sheetData>
      <sheetData sheetId="16364">
        <row r="1">
          <cell r="J1">
            <v>1.7453292519943295E-2</v>
          </cell>
        </row>
      </sheetData>
      <sheetData sheetId="16365">
        <row r="1">
          <cell r="J1">
            <v>1.7453292519943295E-2</v>
          </cell>
        </row>
      </sheetData>
      <sheetData sheetId="16366" refreshError="1"/>
      <sheetData sheetId="16367" refreshError="1"/>
      <sheetData sheetId="16368">
        <row r="1">
          <cell r="J1">
            <v>1.7453292519943295E-2</v>
          </cell>
        </row>
      </sheetData>
      <sheetData sheetId="16369" refreshError="1"/>
      <sheetData sheetId="16370"/>
      <sheetData sheetId="16371"/>
      <sheetData sheetId="16372" refreshError="1"/>
      <sheetData sheetId="16373" refreshError="1"/>
      <sheetData sheetId="16374" refreshError="1"/>
      <sheetData sheetId="16375">
        <row r="1">
          <cell r="J1">
            <v>1.7453292519943295E-2</v>
          </cell>
        </row>
      </sheetData>
      <sheetData sheetId="16376">
        <row r="1">
          <cell r="J1">
            <v>1.7453292519943295E-2</v>
          </cell>
        </row>
      </sheetData>
      <sheetData sheetId="16377" refreshError="1"/>
      <sheetData sheetId="16378">
        <row r="1">
          <cell r="J1">
            <v>1.7453292519943295E-2</v>
          </cell>
        </row>
      </sheetData>
      <sheetData sheetId="16379"/>
      <sheetData sheetId="16380">
        <row r="1">
          <cell r="J1">
            <v>1.7453292519943295E-2</v>
          </cell>
        </row>
      </sheetData>
      <sheetData sheetId="16381" refreshError="1"/>
      <sheetData sheetId="16382" refreshError="1"/>
      <sheetData sheetId="16383" refreshError="1"/>
      <sheetData sheetId="16384" refreshError="1"/>
      <sheetData sheetId="16385">
        <row r="1">
          <cell r="J1">
            <v>1.7453292519943295E-2</v>
          </cell>
        </row>
      </sheetData>
      <sheetData sheetId="16386" refreshError="1"/>
      <sheetData sheetId="16387">
        <row r="1">
          <cell r="J1">
            <v>1.7453292519943295E-2</v>
          </cell>
        </row>
      </sheetData>
      <sheetData sheetId="16388">
        <row r="1">
          <cell r="J1">
            <v>1.7453292519943295E-2</v>
          </cell>
        </row>
      </sheetData>
      <sheetData sheetId="16389">
        <row r="1">
          <cell r="J1">
            <v>1.7453292519943295E-2</v>
          </cell>
        </row>
      </sheetData>
      <sheetData sheetId="16390">
        <row r="1">
          <cell r="J1">
            <v>1.7453292519943295E-2</v>
          </cell>
        </row>
      </sheetData>
      <sheetData sheetId="16391">
        <row r="1">
          <cell r="J1">
            <v>1.7453292519943295E-2</v>
          </cell>
        </row>
      </sheetData>
      <sheetData sheetId="16392">
        <row r="1">
          <cell r="J1">
            <v>1.7453292519943295E-2</v>
          </cell>
        </row>
      </sheetData>
      <sheetData sheetId="16393">
        <row r="1">
          <cell r="J1">
            <v>1.7453292519943295E-2</v>
          </cell>
        </row>
      </sheetData>
      <sheetData sheetId="16394">
        <row r="1">
          <cell r="J1">
            <v>1.7453292519943295E-2</v>
          </cell>
        </row>
      </sheetData>
      <sheetData sheetId="16395">
        <row r="1">
          <cell r="J1">
            <v>1.7453292519943295E-2</v>
          </cell>
        </row>
      </sheetData>
      <sheetData sheetId="16396">
        <row r="1">
          <cell r="J1">
            <v>1.7453292519943295E-2</v>
          </cell>
        </row>
      </sheetData>
      <sheetData sheetId="16397">
        <row r="1">
          <cell r="J1">
            <v>1.7453292519943295E-2</v>
          </cell>
        </row>
      </sheetData>
      <sheetData sheetId="16398">
        <row r="1">
          <cell r="J1">
            <v>1.7453292519943295E-2</v>
          </cell>
        </row>
      </sheetData>
      <sheetData sheetId="16399">
        <row r="1">
          <cell r="J1">
            <v>1.7453292519943295E-2</v>
          </cell>
        </row>
      </sheetData>
      <sheetData sheetId="16400">
        <row r="1">
          <cell r="J1">
            <v>1.7453292519943295E-2</v>
          </cell>
        </row>
      </sheetData>
      <sheetData sheetId="16401">
        <row r="1">
          <cell r="J1">
            <v>1.7453292519943295E-2</v>
          </cell>
        </row>
      </sheetData>
      <sheetData sheetId="16402">
        <row r="1">
          <cell r="J1">
            <v>1.7453292519943295E-2</v>
          </cell>
        </row>
      </sheetData>
      <sheetData sheetId="16403">
        <row r="1">
          <cell r="J1">
            <v>1.7453292519943295E-2</v>
          </cell>
        </row>
      </sheetData>
      <sheetData sheetId="16404">
        <row r="1">
          <cell r="J1">
            <v>1.7453292519943295E-2</v>
          </cell>
        </row>
      </sheetData>
      <sheetData sheetId="16405">
        <row r="1">
          <cell r="J1">
            <v>1.7453292519943295E-2</v>
          </cell>
        </row>
      </sheetData>
      <sheetData sheetId="16406">
        <row r="1">
          <cell r="J1">
            <v>1.7453292519943295E-2</v>
          </cell>
        </row>
      </sheetData>
      <sheetData sheetId="16407">
        <row r="1">
          <cell r="J1">
            <v>1.7453292519943295E-2</v>
          </cell>
        </row>
      </sheetData>
      <sheetData sheetId="16408" refreshError="1"/>
      <sheetData sheetId="16409">
        <row r="1">
          <cell r="J1">
            <v>1.7453292519943295E-2</v>
          </cell>
        </row>
      </sheetData>
      <sheetData sheetId="16410"/>
      <sheetData sheetId="16411">
        <row r="1">
          <cell r="J1">
            <v>1.7453292519943295E-2</v>
          </cell>
        </row>
      </sheetData>
      <sheetData sheetId="16412" refreshError="1"/>
      <sheetData sheetId="16413" refreshError="1"/>
      <sheetData sheetId="16414" refreshError="1"/>
      <sheetData sheetId="16415">
        <row r="1">
          <cell r="J1">
            <v>1.7453292519943295E-2</v>
          </cell>
        </row>
      </sheetData>
      <sheetData sheetId="16416" refreshError="1"/>
      <sheetData sheetId="16417" refreshError="1"/>
      <sheetData sheetId="16418" refreshError="1"/>
      <sheetData sheetId="16419">
        <row r="1">
          <cell r="J1">
            <v>1.7453292519943295E-2</v>
          </cell>
        </row>
      </sheetData>
      <sheetData sheetId="16420">
        <row r="1">
          <cell r="J1">
            <v>1.7453292519943295E-2</v>
          </cell>
        </row>
      </sheetData>
      <sheetData sheetId="16421">
        <row r="1">
          <cell r="J1">
            <v>1.7453292519943295E-2</v>
          </cell>
        </row>
      </sheetData>
      <sheetData sheetId="16422" refreshError="1"/>
      <sheetData sheetId="16423" refreshError="1"/>
      <sheetData sheetId="16424" refreshError="1"/>
      <sheetData sheetId="16425">
        <row r="1">
          <cell r="J1">
            <v>1.7453292519943295E-2</v>
          </cell>
        </row>
      </sheetData>
      <sheetData sheetId="16426">
        <row r="1">
          <cell r="J1">
            <v>1.7453292519943295E-2</v>
          </cell>
        </row>
      </sheetData>
      <sheetData sheetId="16427">
        <row r="1">
          <cell r="J1">
            <v>1.7453292519943295E-2</v>
          </cell>
        </row>
      </sheetData>
      <sheetData sheetId="16428" refreshError="1"/>
      <sheetData sheetId="16429" refreshError="1"/>
      <sheetData sheetId="16430" refreshError="1"/>
      <sheetData sheetId="16431">
        <row r="1">
          <cell r="J1">
            <v>1.7453292519943295E-2</v>
          </cell>
        </row>
      </sheetData>
      <sheetData sheetId="16432">
        <row r="1">
          <cell r="J1">
            <v>1.7453292519943295E-2</v>
          </cell>
        </row>
      </sheetData>
      <sheetData sheetId="16433">
        <row r="1">
          <cell r="J1">
            <v>1.7453292519943295E-2</v>
          </cell>
        </row>
      </sheetData>
      <sheetData sheetId="16434" refreshError="1"/>
      <sheetData sheetId="16435" refreshError="1"/>
      <sheetData sheetId="16436" refreshError="1"/>
      <sheetData sheetId="16437">
        <row r="1">
          <cell r="J1">
            <v>1.7453292519943295E-2</v>
          </cell>
        </row>
      </sheetData>
      <sheetData sheetId="16438">
        <row r="1">
          <cell r="J1">
            <v>1.7453292519943295E-2</v>
          </cell>
        </row>
      </sheetData>
      <sheetData sheetId="16439" refreshError="1"/>
      <sheetData sheetId="16440">
        <row r="1">
          <cell r="J1">
            <v>1.7453292519943295E-2</v>
          </cell>
        </row>
      </sheetData>
      <sheetData sheetId="16441">
        <row r="1">
          <cell r="J1">
            <v>1.7453292519943295E-2</v>
          </cell>
        </row>
      </sheetData>
      <sheetData sheetId="16442">
        <row r="1">
          <cell r="J1">
            <v>1.7453292519943295E-2</v>
          </cell>
        </row>
      </sheetData>
      <sheetData sheetId="16443">
        <row r="1">
          <cell r="J1">
            <v>1.7453292519943295E-2</v>
          </cell>
        </row>
      </sheetData>
      <sheetData sheetId="16444">
        <row r="1">
          <cell r="J1">
            <v>1.7453292519943295E-2</v>
          </cell>
        </row>
      </sheetData>
      <sheetData sheetId="16445">
        <row r="1">
          <cell r="J1">
            <v>1.7453292519943295E-2</v>
          </cell>
        </row>
      </sheetData>
      <sheetData sheetId="16446">
        <row r="1">
          <cell r="J1">
            <v>1.7453292519943295E-2</v>
          </cell>
        </row>
      </sheetData>
      <sheetData sheetId="16447">
        <row r="1">
          <cell r="J1">
            <v>1.7453292519943295E-2</v>
          </cell>
        </row>
      </sheetData>
      <sheetData sheetId="16448">
        <row r="1">
          <cell r="J1">
            <v>1.7453292519943295E-2</v>
          </cell>
        </row>
      </sheetData>
      <sheetData sheetId="16449">
        <row r="1">
          <cell r="J1">
            <v>1.7453292519943295E-2</v>
          </cell>
        </row>
      </sheetData>
      <sheetData sheetId="16450">
        <row r="1">
          <cell r="J1">
            <v>1.7453292519943295E-2</v>
          </cell>
        </row>
      </sheetData>
      <sheetData sheetId="16451">
        <row r="1">
          <cell r="J1">
            <v>1.7453292519943295E-2</v>
          </cell>
        </row>
      </sheetData>
      <sheetData sheetId="16452">
        <row r="1">
          <cell r="J1">
            <v>1.7453292519943295E-2</v>
          </cell>
        </row>
      </sheetData>
      <sheetData sheetId="16453">
        <row r="1">
          <cell r="J1">
            <v>1.7453292519943295E-2</v>
          </cell>
        </row>
      </sheetData>
      <sheetData sheetId="16454">
        <row r="1">
          <cell r="J1">
            <v>1.7453292519943295E-2</v>
          </cell>
        </row>
      </sheetData>
      <sheetData sheetId="16455">
        <row r="1">
          <cell r="J1">
            <v>1.7453292519943295E-2</v>
          </cell>
        </row>
      </sheetData>
      <sheetData sheetId="16456">
        <row r="1">
          <cell r="J1">
            <v>1.7453292519943295E-2</v>
          </cell>
        </row>
      </sheetData>
      <sheetData sheetId="16457">
        <row r="1">
          <cell r="J1">
            <v>1.7453292519943295E-2</v>
          </cell>
        </row>
      </sheetData>
      <sheetData sheetId="16458">
        <row r="1">
          <cell r="J1">
            <v>1.7453292519943295E-2</v>
          </cell>
        </row>
      </sheetData>
      <sheetData sheetId="16459">
        <row r="1">
          <cell r="J1">
            <v>1.7453292519943295E-2</v>
          </cell>
        </row>
      </sheetData>
      <sheetData sheetId="16460">
        <row r="1">
          <cell r="J1">
            <v>1.7453292519943295E-2</v>
          </cell>
        </row>
      </sheetData>
      <sheetData sheetId="16461">
        <row r="1">
          <cell r="J1">
            <v>1.7453292519943295E-2</v>
          </cell>
        </row>
      </sheetData>
      <sheetData sheetId="16462"/>
      <sheetData sheetId="16463" refreshError="1"/>
      <sheetData sheetId="16464">
        <row r="1">
          <cell r="J1">
            <v>1.7453292519943295E-2</v>
          </cell>
        </row>
      </sheetData>
      <sheetData sheetId="16465">
        <row r="1">
          <cell r="J1">
            <v>1.7453292519943295E-2</v>
          </cell>
        </row>
      </sheetData>
      <sheetData sheetId="16466">
        <row r="1">
          <cell r="J1">
            <v>1.7453292519943295E-2</v>
          </cell>
        </row>
      </sheetData>
      <sheetData sheetId="16467" refreshError="1"/>
      <sheetData sheetId="16468" refreshError="1"/>
      <sheetData sheetId="16469" refreshError="1"/>
      <sheetData sheetId="16470">
        <row r="1">
          <cell r="J1">
            <v>1.7453292519943295E-2</v>
          </cell>
        </row>
      </sheetData>
      <sheetData sheetId="16471">
        <row r="1">
          <cell r="J1">
            <v>1.7453292519943295E-2</v>
          </cell>
        </row>
      </sheetData>
      <sheetData sheetId="16472" refreshError="1"/>
      <sheetData sheetId="16473" refreshError="1"/>
      <sheetData sheetId="16474" refreshError="1"/>
      <sheetData sheetId="16475">
        <row r="1">
          <cell r="J1">
            <v>1.7453292519943295E-2</v>
          </cell>
        </row>
      </sheetData>
      <sheetData sheetId="16476">
        <row r="1">
          <cell r="J1">
            <v>1.7453292519943295E-2</v>
          </cell>
        </row>
      </sheetData>
      <sheetData sheetId="16477" refreshError="1"/>
      <sheetData sheetId="16478" refreshError="1"/>
      <sheetData sheetId="16479" refreshError="1"/>
      <sheetData sheetId="16480">
        <row r="1">
          <cell r="J1">
            <v>1.7453292519943295E-2</v>
          </cell>
        </row>
      </sheetData>
      <sheetData sheetId="16481" refreshError="1"/>
      <sheetData sheetId="16482" refreshError="1"/>
      <sheetData sheetId="16483">
        <row r="1">
          <cell r="J1">
            <v>1.7453292519943295E-2</v>
          </cell>
        </row>
      </sheetData>
      <sheetData sheetId="16484">
        <row r="1">
          <cell r="J1">
            <v>1.7453292519943295E-2</v>
          </cell>
        </row>
      </sheetData>
      <sheetData sheetId="16485">
        <row r="1">
          <cell r="J1">
            <v>1.7453292519943295E-2</v>
          </cell>
        </row>
      </sheetData>
      <sheetData sheetId="16486">
        <row r="1">
          <cell r="J1">
            <v>1.7453292519943295E-2</v>
          </cell>
        </row>
      </sheetData>
      <sheetData sheetId="16487">
        <row r="1">
          <cell r="J1">
            <v>1.7453292519943295E-2</v>
          </cell>
        </row>
      </sheetData>
      <sheetData sheetId="16488">
        <row r="1">
          <cell r="J1">
            <v>1.7453292519943295E-2</v>
          </cell>
        </row>
      </sheetData>
      <sheetData sheetId="16489">
        <row r="1">
          <cell r="J1">
            <v>1.7453292519943295E-2</v>
          </cell>
        </row>
      </sheetData>
      <sheetData sheetId="16490">
        <row r="1">
          <cell r="J1">
            <v>1.7453292519943295E-2</v>
          </cell>
        </row>
      </sheetData>
      <sheetData sheetId="16491">
        <row r="1">
          <cell r="J1">
            <v>1.7453292519943295E-2</v>
          </cell>
        </row>
      </sheetData>
      <sheetData sheetId="16492">
        <row r="1">
          <cell r="J1">
            <v>1.7453292519943295E-2</v>
          </cell>
        </row>
      </sheetData>
      <sheetData sheetId="16493">
        <row r="1">
          <cell r="J1">
            <v>1.7453292519943295E-2</v>
          </cell>
        </row>
      </sheetData>
      <sheetData sheetId="16494">
        <row r="1">
          <cell r="J1">
            <v>1.7453292519943295E-2</v>
          </cell>
        </row>
      </sheetData>
      <sheetData sheetId="16495">
        <row r="1">
          <cell r="J1">
            <v>1.7453292519943295E-2</v>
          </cell>
        </row>
      </sheetData>
      <sheetData sheetId="16496">
        <row r="1">
          <cell r="J1">
            <v>1.7453292519943295E-2</v>
          </cell>
        </row>
      </sheetData>
      <sheetData sheetId="16497">
        <row r="1">
          <cell r="J1">
            <v>1.7453292519943295E-2</v>
          </cell>
        </row>
      </sheetData>
      <sheetData sheetId="16498">
        <row r="1">
          <cell r="J1">
            <v>1.7453292519943295E-2</v>
          </cell>
        </row>
      </sheetData>
      <sheetData sheetId="16499">
        <row r="1">
          <cell r="J1">
            <v>1.7453292519943295E-2</v>
          </cell>
        </row>
      </sheetData>
      <sheetData sheetId="16500">
        <row r="1">
          <cell r="J1">
            <v>1.7453292519943295E-2</v>
          </cell>
        </row>
      </sheetData>
      <sheetData sheetId="16501">
        <row r="1">
          <cell r="J1">
            <v>1.7453292519943295E-2</v>
          </cell>
        </row>
      </sheetData>
      <sheetData sheetId="16502">
        <row r="1">
          <cell r="J1">
            <v>1.7453292519943295E-2</v>
          </cell>
        </row>
      </sheetData>
      <sheetData sheetId="16503">
        <row r="1">
          <cell r="J1">
            <v>1.7453292519943295E-2</v>
          </cell>
        </row>
      </sheetData>
      <sheetData sheetId="16504">
        <row r="1">
          <cell r="J1">
            <v>1.7453292519943295E-2</v>
          </cell>
        </row>
      </sheetData>
      <sheetData sheetId="16505" refreshError="1"/>
      <sheetData sheetId="16506" refreshError="1"/>
      <sheetData sheetId="16507">
        <row r="1">
          <cell r="J1">
            <v>1.7453292519943295E-2</v>
          </cell>
        </row>
      </sheetData>
      <sheetData sheetId="16508">
        <row r="1">
          <cell r="J1">
            <v>1.7453292519943295E-2</v>
          </cell>
        </row>
      </sheetData>
      <sheetData sheetId="16509">
        <row r="1">
          <cell r="J1">
            <v>1.7453292519943295E-2</v>
          </cell>
        </row>
      </sheetData>
      <sheetData sheetId="16510" refreshError="1"/>
      <sheetData sheetId="16511">
        <row r="1">
          <cell r="J1">
            <v>1.7453292519943295E-2</v>
          </cell>
        </row>
      </sheetData>
      <sheetData sheetId="16512">
        <row r="1">
          <cell r="J1">
            <v>1.7453292519943295E-2</v>
          </cell>
        </row>
      </sheetData>
      <sheetData sheetId="16513" refreshError="1"/>
      <sheetData sheetId="16514" refreshError="1"/>
      <sheetData sheetId="16515">
        <row r="1">
          <cell r="J1">
            <v>1.7453292519943295E-2</v>
          </cell>
        </row>
      </sheetData>
      <sheetData sheetId="16516">
        <row r="1">
          <cell r="J1">
            <v>1.7453292519943295E-2</v>
          </cell>
        </row>
      </sheetData>
      <sheetData sheetId="16517">
        <row r="1">
          <cell r="J1">
            <v>1.7453292519943295E-2</v>
          </cell>
        </row>
      </sheetData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>
        <row r="1">
          <cell r="J1">
            <v>1.7453292519943295E-2</v>
          </cell>
        </row>
      </sheetData>
      <sheetData sheetId="16524">
        <row r="1">
          <cell r="J1">
            <v>1.7453292519943295E-2</v>
          </cell>
        </row>
      </sheetData>
      <sheetData sheetId="16525">
        <row r="1">
          <cell r="J1">
            <v>1.7453292519943295E-2</v>
          </cell>
        </row>
      </sheetData>
      <sheetData sheetId="16526">
        <row r="1">
          <cell r="J1">
            <v>1.7453292519943295E-2</v>
          </cell>
        </row>
      </sheetData>
      <sheetData sheetId="16527">
        <row r="1">
          <cell r="J1">
            <v>1.7453292519943295E-2</v>
          </cell>
        </row>
      </sheetData>
      <sheetData sheetId="16528">
        <row r="1">
          <cell r="J1">
            <v>1.7453292519943295E-2</v>
          </cell>
        </row>
      </sheetData>
      <sheetData sheetId="16529">
        <row r="1">
          <cell r="J1">
            <v>1.7453292519943295E-2</v>
          </cell>
        </row>
      </sheetData>
      <sheetData sheetId="16530">
        <row r="1">
          <cell r="J1">
            <v>1.7453292519943295E-2</v>
          </cell>
        </row>
      </sheetData>
      <sheetData sheetId="16531">
        <row r="1">
          <cell r="J1">
            <v>1.7453292519943295E-2</v>
          </cell>
        </row>
      </sheetData>
      <sheetData sheetId="16532">
        <row r="1">
          <cell r="J1">
            <v>1.7453292519943295E-2</v>
          </cell>
        </row>
      </sheetData>
      <sheetData sheetId="16533">
        <row r="1">
          <cell r="J1">
            <v>1.7453292519943295E-2</v>
          </cell>
        </row>
      </sheetData>
      <sheetData sheetId="16534">
        <row r="1">
          <cell r="J1">
            <v>1.7453292519943295E-2</v>
          </cell>
        </row>
      </sheetData>
      <sheetData sheetId="16535">
        <row r="1">
          <cell r="J1">
            <v>1.7453292519943295E-2</v>
          </cell>
        </row>
      </sheetData>
      <sheetData sheetId="16536">
        <row r="1">
          <cell r="J1">
            <v>1.7453292519943295E-2</v>
          </cell>
        </row>
      </sheetData>
      <sheetData sheetId="16537">
        <row r="1">
          <cell r="J1">
            <v>1.7453292519943295E-2</v>
          </cell>
        </row>
      </sheetData>
      <sheetData sheetId="16538">
        <row r="1">
          <cell r="J1">
            <v>1.7453292519943295E-2</v>
          </cell>
        </row>
      </sheetData>
      <sheetData sheetId="16539">
        <row r="1">
          <cell r="J1">
            <v>1.7453292519943295E-2</v>
          </cell>
        </row>
      </sheetData>
      <sheetData sheetId="16540">
        <row r="1">
          <cell r="J1">
            <v>1.7453292519943295E-2</v>
          </cell>
        </row>
      </sheetData>
      <sheetData sheetId="16541">
        <row r="1">
          <cell r="J1">
            <v>1.7453292519943295E-2</v>
          </cell>
        </row>
      </sheetData>
      <sheetData sheetId="16542">
        <row r="1">
          <cell r="J1">
            <v>1.7453292519943295E-2</v>
          </cell>
        </row>
      </sheetData>
      <sheetData sheetId="16543">
        <row r="1">
          <cell r="J1">
            <v>1.7453292519943295E-2</v>
          </cell>
        </row>
      </sheetData>
      <sheetData sheetId="16544">
        <row r="1">
          <cell r="J1">
            <v>1.7453292519943295E-2</v>
          </cell>
        </row>
      </sheetData>
      <sheetData sheetId="16545" refreshError="1"/>
      <sheetData sheetId="16546" refreshError="1"/>
      <sheetData sheetId="16547">
        <row r="1">
          <cell r="J1">
            <v>1.7453292519943295E-2</v>
          </cell>
        </row>
      </sheetData>
      <sheetData sheetId="16548" refreshError="1"/>
      <sheetData sheetId="16549">
        <row r="1">
          <cell r="J1">
            <v>1.7453292519943295E-2</v>
          </cell>
        </row>
      </sheetData>
      <sheetData sheetId="16550" refreshError="1"/>
      <sheetData sheetId="16551">
        <row r="1">
          <cell r="J1">
            <v>1.7453292519943295E-2</v>
          </cell>
        </row>
      </sheetData>
      <sheetData sheetId="16552">
        <row r="1">
          <cell r="J1">
            <v>1.7453292519943295E-2</v>
          </cell>
        </row>
      </sheetData>
      <sheetData sheetId="16553" refreshError="1"/>
      <sheetData sheetId="16554">
        <row r="1">
          <cell r="J1">
            <v>1.7453292519943295E-2</v>
          </cell>
        </row>
      </sheetData>
      <sheetData sheetId="16555">
        <row r="1">
          <cell r="J1">
            <v>1.7453292519943295E-2</v>
          </cell>
        </row>
      </sheetData>
      <sheetData sheetId="16556" refreshError="1"/>
      <sheetData sheetId="16557" refreshError="1"/>
      <sheetData sheetId="16558" refreshError="1"/>
      <sheetData sheetId="16559">
        <row r="1">
          <cell r="J1">
            <v>1.7453292519943295E-2</v>
          </cell>
        </row>
      </sheetData>
      <sheetData sheetId="16560">
        <row r="1">
          <cell r="J1">
            <v>1.7453292519943295E-2</v>
          </cell>
        </row>
      </sheetData>
      <sheetData sheetId="16561" refreshError="1"/>
      <sheetData sheetId="16562" refreshError="1"/>
      <sheetData sheetId="16563">
        <row r="1">
          <cell r="J1">
            <v>1.7453292519943295E-2</v>
          </cell>
        </row>
      </sheetData>
      <sheetData sheetId="16564">
        <row r="1">
          <cell r="J1">
            <v>1.7453292519943295E-2</v>
          </cell>
        </row>
      </sheetData>
      <sheetData sheetId="16565">
        <row r="1">
          <cell r="J1">
            <v>1.7453292519943295E-2</v>
          </cell>
        </row>
      </sheetData>
      <sheetData sheetId="16566" refreshError="1"/>
      <sheetData sheetId="16567">
        <row r="1">
          <cell r="J1">
            <v>1.7453292519943295E-2</v>
          </cell>
        </row>
      </sheetData>
      <sheetData sheetId="16568">
        <row r="1">
          <cell r="J1">
            <v>1.7453292519943295E-2</v>
          </cell>
        </row>
      </sheetData>
      <sheetData sheetId="16569" refreshError="1"/>
      <sheetData sheetId="16570" refreshError="1"/>
      <sheetData sheetId="16571">
        <row r="1">
          <cell r="J1">
            <v>1.7453292519943295E-2</v>
          </cell>
        </row>
      </sheetData>
      <sheetData sheetId="16572">
        <row r="1">
          <cell r="J1">
            <v>1.7453292519943295E-2</v>
          </cell>
        </row>
      </sheetData>
      <sheetData sheetId="16573">
        <row r="1">
          <cell r="J1">
            <v>1.7453292519943295E-2</v>
          </cell>
        </row>
      </sheetData>
      <sheetData sheetId="16574" refreshError="1"/>
      <sheetData sheetId="16575">
        <row r="1">
          <cell r="J1">
            <v>1.7453292519943295E-2</v>
          </cell>
        </row>
      </sheetData>
      <sheetData sheetId="16576">
        <row r="1">
          <cell r="J1">
            <v>1.7453292519943295E-2</v>
          </cell>
        </row>
      </sheetData>
      <sheetData sheetId="16577">
        <row r="1">
          <cell r="J1">
            <v>1.7453292519943295E-2</v>
          </cell>
        </row>
      </sheetData>
      <sheetData sheetId="16578">
        <row r="1">
          <cell r="J1">
            <v>1.7453292519943295E-2</v>
          </cell>
        </row>
      </sheetData>
      <sheetData sheetId="16579" refreshError="1"/>
      <sheetData sheetId="16580" refreshError="1"/>
      <sheetData sheetId="16581">
        <row r="1">
          <cell r="J1">
            <v>1.7453292519943295E-2</v>
          </cell>
        </row>
      </sheetData>
      <sheetData sheetId="16582">
        <row r="1">
          <cell r="J1">
            <v>1.7453292519943295E-2</v>
          </cell>
        </row>
      </sheetData>
      <sheetData sheetId="16583" refreshError="1"/>
      <sheetData sheetId="16584" refreshError="1"/>
      <sheetData sheetId="16585" refreshError="1"/>
      <sheetData sheetId="16586">
        <row r="1">
          <cell r="J1">
            <v>1.7453292519943295E-2</v>
          </cell>
        </row>
      </sheetData>
      <sheetData sheetId="16587">
        <row r="1">
          <cell r="J1">
            <v>1.7453292519943295E-2</v>
          </cell>
        </row>
      </sheetData>
      <sheetData sheetId="16588">
        <row r="1">
          <cell r="J1">
            <v>1.7453292519943295E-2</v>
          </cell>
        </row>
      </sheetData>
      <sheetData sheetId="16589">
        <row r="1">
          <cell r="J1">
            <v>1.7453292519943295E-2</v>
          </cell>
        </row>
      </sheetData>
      <sheetData sheetId="16590">
        <row r="1">
          <cell r="J1">
            <v>1.7453292519943295E-2</v>
          </cell>
        </row>
      </sheetData>
      <sheetData sheetId="16591">
        <row r="1">
          <cell r="J1">
            <v>1.7453292519943295E-2</v>
          </cell>
        </row>
      </sheetData>
      <sheetData sheetId="16592">
        <row r="1">
          <cell r="J1">
            <v>1.7453292519943295E-2</v>
          </cell>
        </row>
      </sheetData>
      <sheetData sheetId="16593">
        <row r="1">
          <cell r="J1">
            <v>1.7453292519943295E-2</v>
          </cell>
        </row>
      </sheetData>
      <sheetData sheetId="16594">
        <row r="1">
          <cell r="J1">
            <v>1.7453292519943295E-2</v>
          </cell>
        </row>
      </sheetData>
      <sheetData sheetId="16595">
        <row r="1">
          <cell r="J1">
            <v>1.7453292519943295E-2</v>
          </cell>
        </row>
      </sheetData>
      <sheetData sheetId="16596">
        <row r="1">
          <cell r="J1">
            <v>1.7453292519943295E-2</v>
          </cell>
        </row>
      </sheetData>
      <sheetData sheetId="16597">
        <row r="1">
          <cell r="J1">
            <v>1.7453292519943295E-2</v>
          </cell>
        </row>
      </sheetData>
      <sheetData sheetId="16598">
        <row r="1">
          <cell r="J1">
            <v>1.7453292519943295E-2</v>
          </cell>
        </row>
      </sheetData>
      <sheetData sheetId="16599">
        <row r="1">
          <cell r="J1">
            <v>1.7453292519943295E-2</v>
          </cell>
        </row>
      </sheetData>
      <sheetData sheetId="16600">
        <row r="1">
          <cell r="J1">
            <v>1.7453292519943295E-2</v>
          </cell>
        </row>
      </sheetData>
      <sheetData sheetId="16601">
        <row r="1">
          <cell r="J1">
            <v>1.7453292519943295E-2</v>
          </cell>
        </row>
      </sheetData>
      <sheetData sheetId="16602">
        <row r="1">
          <cell r="J1">
            <v>1.7453292519943295E-2</v>
          </cell>
        </row>
      </sheetData>
      <sheetData sheetId="16603">
        <row r="1">
          <cell r="J1">
            <v>1.7453292519943295E-2</v>
          </cell>
        </row>
      </sheetData>
      <sheetData sheetId="16604">
        <row r="1">
          <cell r="J1">
            <v>1.7453292519943295E-2</v>
          </cell>
        </row>
      </sheetData>
      <sheetData sheetId="16605">
        <row r="1">
          <cell r="J1">
            <v>1.7453292519943295E-2</v>
          </cell>
        </row>
      </sheetData>
      <sheetData sheetId="16606">
        <row r="1">
          <cell r="J1">
            <v>1.7453292519943295E-2</v>
          </cell>
        </row>
      </sheetData>
      <sheetData sheetId="16607">
        <row r="1">
          <cell r="J1">
            <v>1.7453292519943295E-2</v>
          </cell>
        </row>
      </sheetData>
      <sheetData sheetId="16608">
        <row r="1">
          <cell r="J1">
            <v>1.7453292519943295E-2</v>
          </cell>
        </row>
      </sheetData>
      <sheetData sheetId="16609">
        <row r="1">
          <cell r="J1">
            <v>1.7453292519943295E-2</v>
          </cell>
        </row>
      </sheetData>
      <sheetData sheetId="16610">
        <row r="1">
          <cell r="J1">
            <v>1.7453292519943295E-2</v>
          </cell>
        </row>
      </sheetData>
      <sheetData sheetId="16611">
        <row r="1">
          <cell r="J1">
            <v>1.7453292519943295E-2</v>
          </cell>
        </row>
      </sheetData>
      <sheetData sheetId="16612">
        <row r="1">
          <cell r="J1">
            <v>1.7453292519943295E-2</v>
          </cell>
        </row>
      </sheetData>
      <sheetData sheetId="16613">
        <row r="1">
          <cell r="J1">
            <v>1.7453292519943295E-2</v>
          </cell>
        </row>
      </sheetData>
      <sheetData sheetId="16614">
        <row r="1">
          <cell r="J1">
            <v>1.7453292519943295E-2</v>
          </cell>
        </row>
      </sheetData>
      <sheetData sheetId="16615">
        <row r="1">
          <cell r="J1">
            <v>1.7453292519943295E-2</v>
          </cell>
        </row>
      </sheetData>
      <sheetData sheetId="16616">
        <row r="1">
          <cell r="J1">
            <v>1.7453292519943295E-2</v>
          </cell>
        </row>
      </sheetData>
      <sheetData sheetId="16617">
        <row r="1">
          <cell r="J1">
            <v>1.7453292519943295E-2</v>
          </cell>
        </row>
      </sheetData>
      <sheetData sheetId="16618">
        <row r="1">
          <cell r="J1">
            <v>1.7453292519943295E-2</v>
          </cell>
        </row>
      </sheetData>
      <sheetData sheetId="16619">
        <row r="1">
          <cell r="J1">
            <v>1.7453292519943295E-2</v>
          </cell>
        </row>
      </sheetData>
      <sheetData sheetId="16620">
        <row r="1">
          <cell r="J1">
            <v>1.7453292519943295E-2</v>
          </cell>
        </row>
      </sheetData>
      <sheetData sheetId="16621">
        <row r="1">
          <cell r="J1">
            <v>1.7453292519943295E-2</v>
          </cell>
        </row>
      </sheetData>
      <sheetData sheetId="16622">
        <row r="1">
          <cell r="J1">
            <v>1.7453292519943295E-2</v>
          </cell>
        </row>
      </sheetData>
      <sheetData sheetId="16623">
        <row r="1">
          <cell r="J1">
            <v>1.7453292519943295E-2</v>
          </cell>
        </row>
      </sheetData>
      <sheetData sheetId="16624">
        <row r="1">
          <cell r="J1">
            <v>1.7453292519943295E-2</v>
          </cell>
        </row>
      </sheetData>
      <sheetData sheetId="16625">
        <row r="1">
          <cell r="J1">
            <v>1.7453292519943295E-2</v>
          </cell>
        </row>
      </sheetData>
      <sheetData sheetId="16626">
        <row r="1">
          <cell r="J1">
            <v>1.7453292519943295E-2</v>
          </cell>
        </row>
      </sheetData>
      <sheetData sheetId="16627">
        <row r="1">
          <cell r="J1">
            <v>1.7453292519943295E-2</v>
          </cell>
        </row>
      </sheetData>
      <sheetData sheetId="16628">
        <row r="1">
          <cell r="J1">
            <v>1.7453292519943295E-2</v>
          </cell>
        </row>
      </sheetData>
      <sheetData sheetId="16629">
        <row r="1">
          <cell r="J1">
            <v>1.7453292519943295E-2</v>
          </cell>
        </row>
      </sheetData>
      <sheetData sheetId="16630" refreshError="1"/>
      <sheetData sheetId="16631">
        <row r="1">
          <cell r="J1">
            <v>1.7453292519943295E-2</v>
          </cell>
        </row>
      </sheetData>
      <sheetData sheetId="16632">
        <row r="1">
          <cell r="J1">
            <v>1.7453292519943295E-2</v>
          </cell>
        </row>
      </sheetData>
      <sheetData sheetId="16633" refreshError="1"/>
      <sheetData sheetId="16634" refreshError="1"/>
      <sheetData sheetId="16635">
        <row r="1">
          <cell r="J1">
            <v>1.7453292519943295E-2</v>
          </cell>
        </row>
      </sheetData>
      <sheetData sheetId="16636">
        <row r="1">
          <cell r="J1">
            <v>1.7453292519943295E-2</v>
          </cell>
        </row>
      </sheetData>
      <sheetData sheetId="16637" refreshError="1"/>
      <sheetData sheetId="16638">
        <row r="1">
          <cell r="J1">
            <v>1.7453292519943295E-2</v>
          </cell>
        </row>
      </sheetData>
      <sheetData sheetId="16639">
        <row r="1">
          <cell r="J1">
            <v>1.7453292519943295E-2</v>
          </cell>
        </row>
      </sheetData>
      <sheetData sheetId="16640">
        <row r="1">
          <cell r="J1">
            <v>1.7453292519943295E-2</v>
          </cell>
        </row>
      </sheetData>
      <sheetData sheetId="16641" refreshError="1"/>
      <sheetData sheetId="16642" refreshError="1"/>
      <sheetData sheetId="16643">
        <row r="1">
          <cell r="J1">
            <v>1.7453292519943295E-2</v>
          </cell>
        </row>
      </sheetData>
      <sheetData sheetId="16644">
        <row r="1">
          <cell r="J1">
            <v>1.7453292519943295E-2</v>
          </cell>
        </row>
      </sheetData>
      <sheetData sheetId="16645" refreshError="1"/>
      <sheetData sheetId="16646">
        <row r="1">
          <cell r="J1">
            <v>1.7453292519943295E-2</v>
          </cell>
        </row>
      </sheetData>
      <sheetData sheetId="16647">
        <row r="1">
          <cell r="J1">
            <v>1.7453292519943295E-2</v>
          </cell>
        </row>
      </sheetData>
      <sheetData sheetId="16648">
        <row r="1">
          <cell r="J1">
            <v>1.7453292519943295E-2</v>
          </cell>
        </row>
      </sheetData>
      <sheetData sheetId="16649" refreshError="1"/>
      <sheetData sheetId="16650" refreshError="1"/>
      <sheetData sheetId="16651">
        <row r="1">
          <cell r="J1">
            <v>1.7453292519943295E-2</v>
          </cell>
        </row>
      </sheetData>
      <sheetData sheetId="16652">
        <row r="1">
          <cell r="J1">
            <v>1.7453292519943295E-2</v>
          </cell>
        </row>
      </sheetData>
      <sheetData sheetId="16653" refreshError="1"/>
      <sheetData sheetId="16654">
        <row r="1">
          <cell r="J1">
            <v>1.7453292519943295E-2</v>
          </cell>
        </row>
      </sheetData>
      <sheetData sheetId="16655">
        <row r="1">
          <cell r="J1">
            <v>1.7453292519943295E-2</v>
          </cell>
        </row>
      </sheetData>
      <sheetData sheetId="16656" refreshError="1"/>
      <sheetData sheetId="16657" refreshError="1"/>
      <sheetData sheetId="16658">
        <row r="1">
          <cell r="J1">
            <v>1.7453292519943295E-2</v>
          </cell>
        </row>
      </sheetData>
      <sheetData sheetId="16659">
        <row r="1">
          <cell r="J1">
            <v>1.7453292519943295E-2</v>
          </cell>
        </row>
      </sheetData>
      <sheetData sheetId="16660">
        <row r="1">
          <cell r="J1">
            <v>1.7453292519943295E-2</v>
          </cell>
        </row>
      </sheetData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>
        <row r="1">
          <cell r="J1">
            <v>1.7453292519943295E-2</v>
          </cell>
        </row>
      </sheetData>
      <sheetData sheetId="16667">
        <row r="1">
          <cell r="J1">
            <v>1.7453292519943295E-2</v>
          </cell>
        </row>
      </sheetData>
      <sheetData sheetId="16668">
        <row r="1">
          <cell r="J1">
            <v>1.7453292519943295E-2</v>
          </cell>
        </row>
      </sheetData>
      <sheetData sheetId="16669">
        <row r="1">
          <cell r="J1">
            <v>1.7453292519943295E-2</v>
          </cell>
        </row>
      </sheetData>
      <sheetData sheetId="16670" refreshError="1"/>
      <sheetData sheetId="16671" refreshError="1"/>
      <sheetData sheetId="16672" refreshError="1"/>
      <sheetData sheetId="16673" refreshError="1"/>
      <sheetData sheetId="16674">
        <row r="1">
          <cell r="J1">
            <v>1.7453292519943295E-2</v>
          </cell>
        </row>
      </sheetData>
      <sheetData sheetId="16675">
        <row r="1">
          <cell r="J1">
            <v>1.7453292519943295E-2</v>
          </cell>
        </row>
      </sheetData>
      <sheetData sheetId="16676">
        <row r="1">
          <cell r="J1">
            <v>1.7453292519943295E-2</v>
          </cell>
        </row>
      </sheetData>
      <sheetData sheetId="16677">
        <row r="1">
          <cell r="J1">
            <v>1.7453292519943295E-2</v>
          </cell>
        </row>
      </sheetData>
      <sheetData sheetId="16678">
        <row r="1">
          <cell r="J1">
            <v>1.7453292519943295E-2</v>
          </cell>
        </row>
      </sheetData>
      <sheetData sheetId="16679">
        <row r="1">
          <cell r="J1">
            <v>1.7453292519943295E-2</v>
          </cell>
        </row>
      </sheetData>
      <sheetData sheetId="16680">
        <row r="1">
          <cell r="J1">
            <v>1.7453292519943295E-2</v>
          </cell>
        </row>
      </sheetData>
      <sheetData sheetId="16681">
        <row r="1">
          <cell r="J1">
            <v>1.7453292519943295E-2</v>
          </cell>
        </row>
      </sheetData>
      <sheetData sheetId="16682">
        <row r="1">
          <cell r="J1">
            <v>1.7453292519943295E-2</v>
          </cell>
        </row>
      </sheetData>
      <sheetData sheetId="16683">
        <row r="1">
          <cell r="J1">
            <v>1.7453292519943295E-2</v>
          </cell>
        </row>
      </sheetData>
      <sheetData sheetId="16684">
        <row r="1">
          <cell r="J1">
            <v>1.7453292519943295E-2</v>
          </cell>
        </row>
      </sheetData>
      <sheetData sheetId="16685">
        <row r="1">
          <cell r="J1">
            <v>1.7453292519943295E-2</v>
          </cell>
        </row>
      </sheetData>
      <sheetData sheetId="16686">
        <row r="1">
          <cell r="J1">
            <v>1.7453292519943295E-2</v>
          </cell>
        </row>
      </sheetData>
      <sheetData sheetId="16687">
        <row r="1">
          <cell r="J1">
            <v>1.7453292519943295E-2</v>
          </cell>
        </row>
      </sheetData>
      <sheetData sheetId="16688">
        <row r="1">
          <cell r="J1">
            <v>1.7453292519943295E-2</v>
          </cell>
        </row>
      </sheetData>
      <sheetData sheetId="16689">
        <row r="1">
          <cell r="J1">
            <v>1.7453292519943295E-2</v>
          </cell>
        </row>
      </sheetData>
      <sheetData sheetId="16690">
        <row r="1">
          <cell r="J1">
            <v>1.7453292519943295E-2</v>
          </cell>
        </row>
      </sheetData>
      <sheetData sheetId="16691">
        <row r="1">
          <cell r="J1">
            <v>1.7453292519943295E-2</v>
          </cell>
        </row>
      </sheetData>
      <sheetData sheetId="16692">
        <row r="1">
          <cell r="J1">
            <v>1.7453292519943295E-2</v>
          </cell>
        </row>
      </sheetData>
      <sheetData sheetId="16693">
        <row r="1">
          <cell r="J1">
            <v>1.7453292519943295E-2</v>
          </cell>
        </row>
      </sheetData>
      <sheetData sheetId="16694">
        <row r="1">
          <cell r="J1">
            <v>1.7453292519943295E-2</v>
          </cell>
        </row>
      </sheetData>
      <sheetData sheetId="16695" refreshError="1"/>
      <sheetData sheetId="16696">
        <row r="1">
          <cell r="J1">
            <v>1.7453292519943295E-2</v>
          </cell>
        </row>
      </sheetData>
      <sheetData sheetId="16697" refreshError="1"/>
      <sheetData sheetId="16698" refreshError="1"/>
      <sheetData sheetId="16699">
        <row r="1">
          <cell r="J1">
            <v>1.7453292519943295E-2</v>
          </cell>
        </row>
      </sheetData>
      <sheetData sheetId="16700">
        <row r="1">
          <cell r="J1">
            <v>1.7453292519943295E-2</v>
          </cell>
        </row>
      </sheetData>
      <sheetData sheetId="16701">
        <row r="1">
          <cell r="J1">
            <v>1.7453292519943295E-2</v>
          </cell>
        </row>
      </sheetData>
      <sheetData sheetId="16702" refreshError="1"/>
      <sheetData sheetId="16703" refreshError="1"/>
      <sheetData sheetId="16704">
        <row r="1">
          <cell r="J1">
            <v>1.7453292519943295E-2</v>
          </cell>
        </row>
      </sheetData>
      <sheetData sheetId="16705">
        <row r="1">
          <cell r="J1">
            <v>1.7453292519943295E-2</v>
          </cell>
        </row>
      </sheetData>
      <sheetData sheetId="16706" refreshError="1"/>
      <sheetData sheetId="16707">
        <row r="1">
          <cell r="J1">
            <v>1.7453292519943295E-2</v>
          </cell>
        </row>
      </sheetData>
      <sheetData sheetId="16708">
        <row r="1">
          <cell r="J1">
            <v>1.7453292519943295E-2</v>
          </cell>
        </row>
      </sheetData>
      <sheetData sheetId="16709">
        <row r="1">
          <cell r="J1">
            <v>1.7453292519943295E-2</v>
          </cell>
        </row>
      </sheetData>
      <sheetData sheetId="16710">
        <row r="1">
          <cell r="J1">
            <v>1.7453292519943295E-2</v>
          </cell>
        </row>
      </sheetData>
      <sheetData sheetId="16711" refreshError="1"/>
      <sheetData sheetId="16712" refreshError="1"/>
      <sheetData sheetId="16713">
        <row r="1">
          <cell r="J1">
            <v>1.7453292519943295E-2</v>
          </cell>
        </row>
      </sheetData>
      <sheetData sheetId="16714">
        <row r="1">
          <cell r="J1">
            <v>1.7453292519943295E-2</v>
          </cell>
        </row>
      </sheetData>
      <sheetData sheetId="16715" refreshError="1"/>
      <sheetData sheetId="16716" refreshError="1"/>
      <sheetData sheetId="16717">
        <row r="1">
          <cell r="J1">
            <v>1.7453292519943295E-2</v>
          </cell>
        </row>
      </sheetData>
      <sheetData sheetId="16718" refreshError="1"/>
      <sheetData sheetId="16719" refreshError="1"/>
      <sheetData sheetId="16720" refreshError="1"/>
      <sheetData sheetId="16721">
        <row r="1">
          <cell r="J1">
            <v>1.7453292519943295E-2</v>
          </cell>
        </row>
      </sheetData>
      <sheetData sheetId="16722">
        <row r="1">
          <cell r="J1">
            <v>1.7453292519943295E-2</v>
          </cell>
        </row>
      </sheetData>
      <sheetData sheetId="16723"/>
      <sheetData sheetId="16724"/>
      <sheetData sheetId="16725">
        <row r="1">
          <cell r="J1">
            <v>1.7453292519943295E-2</v>
          </cell>
        </row>
      </sheetData>
      <sheetData sheetId="16726">
        <row r="1">
          <cell r="J1">
            <v>1.7453292519943295E-2</v>
          </cell>
        </row>
      </sheetData>
      <sheetData sheetId="16727">
        <row r="1">
          <cell r="J1">
            <v>1.7453292519943295E-2</v>
          </cell>
        </row>
      </sheetData>
      <sheetData sheetId="16728"/>
      <sheetData sheetId="16729">
        <row r="1">
          <cell r="J1">
            <v>1.7453292519943295E-2</v>
          </cell>
        </row>
      </sheetData>
      <sheetData sheetId="16730">
        <row r="1">
          <cell r="J1">
            <v>1.7453292519943295E-2</v>
          </cell>
        </row>
      </sheetData>
      <sheetData sheetId="16731">
        <row r="1">
          <cell r="J1">
            <v>1.7453292519943295E-2</v>
          </cell>
        </row>
      </sheetData>
      <sheetData sheetId="16732">
        <row r="1">
          <cell r="J1">
            <v>1.7453292519943295E-2</v>
          </cell>
        </row>
      </sheetData>
      <sheetData sheetId="16733">
        <row r="1">
          <cell r="J1">
            <v>1.7453292519943295E-2</v>
          </cell>
        </row>
      </sheetData>
      <sheetData sheetId="16734">
        <row r="1">
          <cell r="J1">
            <v>1.7453292519943295E-2</v>
          </cell>
        </row>
      </sheetData>
      <sheetData sheetId="16735">
        <row r="1">
          <cell r="J1">
            <v>1.7453292519943295E-2</v>
          </cell>
        </row>
      </sheetData>
      <sheetData sheetId="16736">
        <row r="1">
          <cell r="J1">
            <v>1.7453292519943295E-2</v>
          </cell>
        </row>
      </sheetData>
      <sheetData sheetId="16737">
        <row r="1">
          <cell r="J1">
            <v>1.7453292519943295E-2</v>
          </cell>
        </row>
      </sheetData>
      <sheetData sheetId="16738">
        <row r="1">
          <cell r="J1">
            <v>1.7453292519943295E-2</v>
          </cell>
        </row>
      </sheetData>
      <sheetData sheetId="16739">
        <row r="1">
          <cell r="J1">
            <v>1.7453292519943295E-2</v>
          </cell>
        </row>
      </sheetData>
      <sheetData sheetId="16740">
        <row r="1">
          <cell r="J1">
            <v>1.7453292519943295E-2</v>
          </cell>
        </row>
      </sheetData>
      <sheetData sheetId="16741" refreshError="1"/>
      <sheetData sheetId="16742">
        <row r="1">
          <cell r="J1">
            <v>1.7453292519943295E-2</v>
          </cell>
        </row>
      </sheetData>
      <sheetData sheetId="16743">
        <row r="1">
          <cell r="J1">
            <v>1.7453292519943295E-2</v>
          </cell>
        </row>
      </sheetData>
      <sheetData sheetId="16744" refreshError="1"/>
      <sheetData sheetId="16745" refreshError="1"/>
      <sheetData sheetId="16746">
        <row r="1">
          <cell r="J1">
            <v>1.7453292519943295E-2</v>
          </cell>
        </row>
      </sheetData>
      <sheetData sheetId="16747">
        <row r="1">
          <cell r="J1">
            <v>1.7453292519943295E-2</v>
          </cell>
        </row>
      </sheetData>
      <sheetData sheetId="16748">
        <row r="1">
          <cell r="J1">
            <v>1.7453292519943295E-2</v>
          </cell>
        </row>
      </sheetData>
      <sheetData sheetId="16749" refreshError="1"/>
      <sheetData sheetId="16750" refreshError="1"/>
      <sheetData sheetId="16751" refreshError="1"/>
      <sheetData sheetId="16752">
        <row r="1">
          <cell r="J1">
            <v>1.7453292519943295E-2</v>
          </cell>
        </row>
      </sheetData>
      <sheetData sheetId="16753" refreshError="1"/>
      <sheetData sheetId="16754">
        <row r="1">
          <cell r="J1">
            <v>1.7453292519943295E-2</v>
          </cell>
        </row>
      </sheetData>
      <sheetData sheetId="16755">
        <row r="1">
          <cell r="J1">
            <v>1.7453292519943295E-2</v>
          </cell>
        </row>
      </sheetData>
      <sheetData sheetId="16756">
        <row r="1">
          <cell r="J1">
            <v>1.7453292519943295E-2</v>
          </cell>
        </row>
      </sheetData>
      <sheetData sheetId="16757">
        <row r="1">
          <cell r="J1">
            <v>1.7453292519943295E-2</v>
          </cell>
        </row>
      </sheetData>
      <sheetData sheetId="16758">
        <row r="1">
          <cell r="J1">
            <v>1.7453292519943295E-2</v>
          </cell>
        </row>
      </sheetData>
      <sheetData sheetId="16759">
        <row r="1">
          <cell r="J1">
            <v>1.7453292519943295E-2</v>
          </cell>
        </row>
      </sheetData>
      <sheetData sheetId="16760">
        <row r="1">
          <cell r="J1">
            <v>1.7453292519943295E-2</v>
          </cell>
        </row>
      </sheetData>
      <sheetData sheetId="16761">
        <row r="1">
          <cell r="J1">
            <v>1.7453292519943295E-2</v>
          </cell>
        </row>
      </sheetData>
      <sheetData sheetId="16762">
        <row r="1">
          <cell r="J1">
            <v>1.7453292519943295E-2</v>
          </cell>
        </row>
      </sheetData>
      <sheetData sheetId="16763">
        <row r="1">
          <cell r="J1">
            <v>1.7453292519943295E-2</v>
          </cell>
        </row>
      </sheetData>
      <sheetData sheetId="16764">
        <row r="1">
          <cell r="J1">
            <v>1.7453292519943295E-2</v>
          </cell>
        </row>
      </sheetData>
      <sheetData sheetId="16765">
        <row r="1">
          <cell r="J1">
            <v>1.7453292519943295E-2</v>
          </cell>
        </row>
      </sheetData>
      <sheetData sheetId="16766">
        <row r="1">
          <cell r="J1">
            <v>1.7453292519943295E-2</v>
          </cell>
        </row>
      </sheetData>
      <sheetData sheetId="16767">
        <row r="1">
          <cell r="J1">
            <v>1.7453292519943295E-2</v>
          </cell>
        </row>
      </sheetData>
      <sheetData sheetId="16768">
        <row r="1">
          <cell r="J1">
            <v>1.7453292519943295E-2</v>
          </cell>
        </row>
      </sheetData>
      <sheetData sheetId="16769">
        <row r="1">
          <cell r="J1">
            <v>1.7453292519943295E-2</v>
          </cell>
        </row>
      </sheetData>
      <sheetData sheetId="16770">
        <row r="1">
          <cell r="J1">
            <v>1.7453292519943295E-2</v>
          </cell>
        </row>
      </sheetData>
      <sheetData sheetId="16771">
        <row r="1">
          <cell r="J1">
            <v>1.7453292519943295E-2</v>
          </cell>
        </row>
      </sheetData>
      <sheetData sheetId="16772">
        <row r="1">
          <cell r="J1">
            <v>1.7453292519943295E-2</v>
          </cell>
        </row>
      </sheetData>
      <sheetData sheetId="16773">
        <row r="1">
          <cell r="J1">
            <v>1.7453292519943295E-2</v>
          </cell>
        </row>
      </sheetData>
      <sheetData sheetId="16774">
        <row r="1">
          <cell r="J1">
            <v>1.7453292519943295E-2</v>
          </cell>
        </row>
      </sheetData>
      <sheetData sheetId="16775">
        <row r="1">
          <cell r="J1">
            <v>1.7453292519943295E-2</v>
          </cell>
        </row>
      </sheetData>
      <sheetData sheetId="16776">
        <row r="1">
          <cell r="J1">
            <v>1.7453292519943295E-2</v>
          </cell>
        </row>
      </sheetData>
      <sheetData sheetId="16777" refreshError="1"/>
      <sheetData sheetId="16778">
        <row r="1">
          <cell r="J1">
            <v>1.7453292519943295E-2</v>
          </cell>
        </row>
      </sheetData>
      <sheetData sheetId="16779" refreshError="1"/>
      <sheetData sheetId="16780">
        <row r="1">
          <cell r="J1">
            <v>1.7453292519943295E-2</v>
          </cell>
        </row>
      </sheetData>
      <sheetData sheetId="16781" refreshError="1"/>
      <sheetData sheetId="16782" refreshError="1"/>
      <sheetData sheetId="16783">
        <row r="1">
          <cell r="J1">
            <v>1.7453292519943295E-2</v>
          </cell>
        </row>
      </sheetData>
      <sheetData sheetId="16784">
        <row r="1">
          <cell r="J1">
            <v>1.7453292519943295E-2</v>
          </cell>
        </row>
      </sheetData>
      <sheetData sheetId="16785">
        <row r="1">
          <cell r="J1">
            <v>1.7453292519943295E-2</v>
          </cell>
        </row>
      </sheetData>
      <sheetData sheetId="16786" refreshError="1"/>
      <sheetData sheetId="16787" refreshError="1"/>
      <sheetData sheetId="16788" refreshError="1"/>
      <sheetData sheetId="16789">
        <row r="1">
          <cell r="J1">
            <v>1.7453292519943295E-2</v>
          </cell>
        </row>
      </sheetData>
      <sheetData sheetId="16790" refreshError="1"/>
      <sheetData sheetId="16791">
        <row r="1">
          <cell r="J1">
            <v>1.7453292519943295E-2</v>
          </cell>
        </row>
      </sheetData>
      <sheetData sheetId="16792">
        <row r="1">
          <cell r="J1">
            <v>1.7453292519943295E-2</v>
          </cell>
        </row>
      </sheetData>
      <sheetData sheetId="16793">
        <row r="1">
          <cell r="J1">
            <v>1.7453292519943295E-2</v>
          </cell>
        </row>
      </sheetData>
      <sheetData sheetId="16794"/>
      <sheetData sheetId="16795">
        <row r="1">
          <cell r="J1">
            <v>1.7453292519943295E-2</v>
          </cell>
        </row>
      </sheetData>
      <sheetData sheetId="16796">
        <row r="1">
          <cell r="J1">
            <v>1.7453292519943295E-2</v>
          </cell>
        </row>
      </sheetData>
      <sheetData sheetId="16797">
        <row r="1">
          <cell r="J1">
            <v>1.7453292519943295E-2</v>
          </cell>
        </row>
      </sheetData>
      <sheetData sheetId="16798"/>
      <sheetData sheetId="16799">
        <row r="1">
          <cell r="J1">
            <v>1.7453292519943295E-2</v>
          </cell>
        </row>
      </sheetData>
      <sheetData sheetId="16800">
        <row r="1">
          <cell r="J1">
            <v>1.7453292519943295E-2</v>
          </cell>
        </row>
      </sheetData>
      <sheetData sheetId="16801">
        <row r="1">
          <cell r="J1">
            <v>1.7453292519943295E-2</v>
          </cell>
        </row>
      </sheetData>
      <sheetData sheetId="16802">
        <row r="1">
          <cell r="J1">
            <v>1.7453292519943295E-2</v>
          </cell>
        </row>
      </sheetData>
      <sheetData sheetId="16803">
        <row r="1">
          <cell r="J1">
            <v>1.7453292519943295E-2</v>
          </cell>
        </row>
      </sheetData>
      <sheetData sheetId="16804">
        <row r="1">
          <cell r="J1">
            <v>1.7453292519943295E-2</v>
          </cell>
        </row>
      </sheetData>
      <sheetData sheetId="16805">
        <row r="1">
          <cell r="J1">
            <v>1.7453292519943295E-2</v>
          </cell>
        </row>
      </sheetData>
      <sheetData sheetId="16806">
        <row r="1">
          <cell r="J1">
            <v>1.7453292519943295E-2</v>
          </cell>
        </row>
      </sheetData>
      <sheetData sheetId="16807">
        <row r="1">
          <cell r="J1">
            <v>1.7453292519943295E-2</v>
          </cell>
        </row>
      </sheetData>
      <sheetData sheetId="16808">
        <row r="1">
          <cell r="J1">
            <v>1.7453292519943295E-2</v>
          </cell>
        </row>
      </sheetData>
      <sheetData sheetId="16809">
        <row r="1">
          <cell r="J1">
            <v>1.7453292519943295E-2</v>
          </cell>
        </row>
      </sheetData>
      <sheetData sheetId="16810">
        <row r="1">
          <cell r="J1">
            <v>1.7453292519943295E-2</v>
          </cell>
        </row>
      </sheetData>
      <sheetData sheetId="16811">
        <row r="1">
          <cell r="J1">
            <v>1.7453292519943295E-2</v>
          </cell>
        </row>
      </sheetData>
      <sheetData sheetId="16812">
        <row r="1">
          <cell r="J1">
            <v>1.7453292519943295E-2</v>
          </cell>
        </row>
      </sheetData>
      <sheetData sheetId="16813" refreshError="1"/>
      <sheetData sheetId="16814" refreshError="1"/>
      <sheetData sheetId="16815">
        <row r="1">
          <cell r="J1">
            <v>1.7453292519943295E-2</v>
          </cell>
        </row>
      </sheetData>
      <sheetData sheetId="16816">
        <row r="1">
          <cell r="J1">
            <v>1.7453292519943295E-2</v>
          </cell>
        </row>
      </sheetData>
      <sheetData sheetId="16817" refreshError="1"/>
      <sheetData sheetId="16818">
        <row r="1">
          <cell r="J1">
            <v>1.7453292519943295E-2</v>
          </cell>
        </row>
      </sheetData>
      <sheetData sheetId="16819">
        <row r="1">
          <cell r="J1">
            <v>1.7453292519943295E-2</v>
          </cell>
        </row>
      </sheetData>
      <sheetData sheetId="16820">
        <row r="1">
          <cell r="J1">
            <v>1.7453292519943295E-2</v>
          </cell>
        </row>
      </sheetData>
      <sheetData sheetId="16821">
        <row r="1">
          <cell r="J1">
            <v>1.7453292519943295E-2</v>
          </cell>
        </row>
      </sheetData>
      <sheetData sheetId="16822" refreshError="1"/>
      <sheetData sheetId="16823" refreshError="1"/>
      <sheetData sheetId="16824">
        <row r="1">
          <cell r="J1">
            <v>1.7453292519943295E-2</v>
          </cell>
        </row>
      </sheetData>
      <sheetData sheetId="16825">
        <row r="1">
          <cell r="J1">
            <v>1.7453292519943295E-2</v>
          </cell>
        </row>
      </sheetData>
      <sheetData sheetId="16826" refreshError="1"/>
      <sheetData sheetId="16827">
        <row r="1">
          <cell r="J1">
            <v>1.7453292519943295E-2</v>
          </cell>
        </row>
      </sheetData>
      <sheetData sheetId="16828">
        <row r="1">
          <cell r="J1">
            <v>1.7453292519943295E-2</v>
          </cell>
        </row>
      </sheetData>
      <sheetData sheetId="16829" refreshError="1"/>
      <sheetData sheetId="16830" refreshError="1"/>
      <sheetData sheetId="16831" refreshError="1"/>
      <sheetData sheetId="16832">
        <row r="1">
          <cell r="J1">
            <v>1.7453292519943295E-2</v>
          </cell>
        </row>
      </sheetData>
      <sheetData sheetId="16833">
        <row r="1">
          <cell r="J1">
            <v>1.7453292519943295E-2</v>
          </cell>
        </row>
      </sheetData>
      <sheetData sheetId="16834">
        <row r="1">
          <cell r="J1">
            <v>1.7453292519943295E-2</v>
          </cell>
        </row>
      </sheetData>
      <sheetData sheetId="16835">
        <row r="1">
          <cell r="J1">
            <v>1.7453292519943295E-2</v>
          </cell>
        </row>
      </sheetData>
      <sheetData sheetId="16836">
        <row r="1">
          <cell r="J1">
            <v>1.7453292519943295E-2</v>
          </cell>
        </row>
      </sheetData>
      <sheetData sheetId="16837">
        <row r="1">
          <cell r="J1">
            <v>1.7453292519943295E-2</v>
          </cell>
        </row>
      </sheetData>
      <sheetData sheetId="16838">
        <row r="1">
          <cell r="J1">
            <v>1.7453292519943295E-2</v>
          </cell>
        </row>
      </sheetData>
      <sheetData sheetId="16839">
        <row r="1">
          <cell r="J1">
            <v>1.7453292519943295E-2</v>
          </cell>
        </row>
      </sheetData>
      <sheetData sheetId="16840">
        <row r="1">
          <cell r="J1">
            <v>1.7453292519943295E-2</v>
          </cell>
        </row>
      </sheetData>
      <sheetData sheetId="16841">
        <row r="1">
          <cell r="J1">
            <v>1.7453292519943295E-2</v>
          </cell>
        </row>
      </sheetData>
      <sheetData sheetId="16842">
        <row r="1">
          <cell r="J1">
            <v>1.7453292519943295E-2</v>
          </cell>
        </row>
      </sheetData>
      <sheetData sheetId="16843">
        <row r="1">
          <cell r="J1">
            <v>1.7453292519943295E-2</v>
          </cell>
        </row>
      </sheetData>
      <sheetData sheetId="16844">
        <row r="1">
          <cell r="J1">
            <v>1.7453292519943295E-2</v>
          </cell>
        </row>
      </sheetData>
      <sheetData sheetId="16845">
        <row r="1">
          <cell r="J1">
            <v>1.7453292519943295E-2</v>
          </cell>
        </row>
      </sheetData>
      <sheetData sheetId="16846">
        <row r="1">
          <cell r="J1">
            <v>1.7453292519943295E-2</v>
          </cell>
        </row>
      </sheetData>
      <sheetData sheetId="16847">
        <row r="1">
          <cell r="J1">
            <v>1.7453292519943295E-2</v>
          </cell>
        </row>
      </sheetData>
      <sheetData sheetId="16848">
        <row r="1">
          <cell r="J1">
            <v>1.7453292519943295E-2</v>
          </cell>
        </row>
      </sheetData>
      <sheetData sheetId="16849">
        <row r="1">
          <cell r="J1">
            <v>1.7453292519943295E-2</v>
          </cell>
        </row>
      </sheetData>
      <sheetData sheetId="16850">
        <row r="1">
          <cell r="J1">
            <v>1.7453292519943295E-2</v>
          </cell>
        </row>
      </sheetData>
      <sheetData sheetId="16851">
        <row r="1">
          <cell r="J1">
            <v>1.7453292519943295E-2</v>
          </cell>
        </row>
      </sheetData>
      <sheetData sheetId="16852" refreshError="1"/>
      <sheetData sheetId="16853" refreshError="1"/>
      <sheetData sheetId="16854">
        <row r="1">
          <cell r="J1">
            <v>1.7453292519943295E-2</v>
          </cell>
        </row>
      </sheetData>
      <sheetData sheetId="16855">
        <row r="1">
          <cell r="J1">
            <v>1.7453292519943295E-2</v>
          </cell>
        </row>
      </sheetData>
      <sheetData sheetId="16856">
        <row r="1">
          <cell r="J1">
            <v>1.7453292519943295E-2</v>
          </cell>
        </row>
      </sheetData>
      <sheetData sheetId="16857" refreshError="1"/>
      <sheetData sheetId="16858">
        <row r="1">
          <cell r="J1">
            <v>1.7453292519943295E-2</v>
          </cell>
        </row>
      </sheetData>
      <sheetData sheetId="16859">
        <row r="1">
          <cell r="J1">
            <v>1.7453292519943295E-2</v>
          </cell>
        </row>
      </sheetData>
      <sheetData sheetId="16860" refreshError="1"/>
      <sheetData sheetId="16861" refreshError="1"/>
      <sheetData sheetId="16862">
        <row r="1">
          <cell r="J1">
            <v>1.7453292519943295E-2</v>
          </cell>
        </row>
      </sheetData>
      <sheetData sheetId="16863">
        <row r="1">
          <cell r="J1">
            <v>1.7453292519943295E-2</v>
          </cell>
        </row>
      </sheetData>
      <sheetData sheetId="16864">
        <row r="1">
          <cell r="J1">
            <v>1.7453292519943295E-2</v>
          </cell>
        </row>
      </sheetData>
      <sheetData sheetId="16865" refreshError="1"/>
      <sheetData sheetId="16866" refreshError="1"/>
      <sheetData sheetId="16867" refreshError="1"/>
      <sheetData sheetId="16868">
        <row r="1">
          <cell r="J1">
            <v>1.7453292519943295E-2</v>
          </cell>
        </row>
      </sheetData>
      <sheetData sheetId="16869" refreshError="1"/>
      <sheetData sheetId="16870">
        <row r="1">
          <cell r="J1">
            <v>1.7453292519943295E-2</v>
          </cell>
        </row>
      </sheetData>
      <sheetData sheetId="16871">
        <row r="1">
          <cell r="J1">
            <v>1.7453292519943295E-2</v>
          </cell>
        </row>
      </sheetData>
      <sheetData sheetId="16872">
        <row r="1">
          <cell r="J1">
            <v>1.7453292519943295E-2</v>
          </cell>
        </row>
      </sheetData>
      <sheetData sheetId="16873">
        <row r="1">
          <cell r="J1">
            <v>1.7453292519943295E-2</v>
          </cell>
        </row>
      </sheetData>
      <sheetData sheetId="16874">
        <row r="1">
          <cell r="J1">
            <v>1.7453292519943295E-2</v>
          </cell>
        </row>
      </sheetData>
      <sheetData sheetId="16875">
        <row r="1">
          <cell r="J1">
            <v>1.7453292519943295E-2</v>
          </cell>
        </row>
      </sheetData>
      <sheetData sheetId="16876">
        <row r="1">
          <cell r="J1">
            <v>1.7453292519943295E-2</v>
          </cell>
        </row>
      </sheetData>
      <sheetData sheetId="16877">
        <row r="1">
          <cell r="J1">
            <v>1.7453292519943295E-2</v>
          </cell>
        </row>
      </sheetData>
      <sheetData sheetId="16878">
        <row r="1">
          <cell r="J1">
            <v>1.7453292519943295E-2</v>
          </cell>
        </row>
      </sheetData>
      <sheetData sheetId="16879">
        <row r="1">
          <cell r="J1">
            <v>1.7453292519943295E-2</v>
          </cell>
        </row>
      </sheetData>
      <sheetData sheetId="16880">
        <row r="1">
          <cell r="J1">
            <v>1.7453292519943295E-2</v>
          </cell>
        </row>
      </sheetData>
      <sheetData sheetId="16881">
        <row r="1">
          <cell r="J1">
            <v>1.7453292519943295E-2</v>
          </cell>
        </row>
      </sheetData>
      <sheetData sheetId="16882">
        <row r="1">
          <cell r="J1">
            <v>1.7453292519943295E-2</v>
          </cell>
        </row>
      </sheetData>
      <sheetData sheetId="16883">
        <row r="1">
          <cell r="J1">
            <v>1.7453292519943295E-2</v>
          </cell>
        </row>
      </sheetData>
      <sheetData sheetId="16884">
        <row r="1">
          <cell r="J1">
            <v>1.7453292519943295E-2</v>
          </cell>
        </row>
      </sheetData>
      <sheetData sheetId="16885">
        <row r="1">
          <cell r="J1">
            <v>1.7453292519943295E-2</v>
          </cell>
        </row>
      </sheetData>
      <sheetData sheetId="16886">
        <row r="1">
          <cell r="J1">
            <v>1.7453292519943295E-2</v>
          </cell>
        </row>
      </sheetData>
      <sheetData sheetId="16887">
        <row r="1">
          <cell r="J1">
            <v>1.7453292519943295E-2</v>
          </cell>
        </row>
      </sheetData>
      <sheetData sheetId="16888">
        <row r="1">
          <cell r="J1">
            <v>1.7453292519943295E-2</v>
          </cell>
        </row>
      </sheetData>
      <sheetData sheetId="16889">
        <row r="1">
          <cell r="J1">
            <v>1.7453292519943295E-2</v>
          </cell>
        </row>
      </sheetData>
      <sheetData sheetId="16890">
        <row r="1">
          <cell r="J1">
            <v>1.7453292519943295E-2</v>
          </cell>
        </row>
      </sheetData>
      <sheetData sheetId="16891">
        <row r="1">
          <cell r="J1">
            <v>1.7453292519943295E-2</v>
          </cell>
        </row>
      </sheetData>
      <sheetData sheetId="16892" refreshError="1"/>
      <sheetData sheetId="16893" refreshError="1"/>
      <sheetData sheetId="16894">
        <row r="1">
          <cell r="J1">
            <v>1.7453292519943295E-2</v>
          </cell>
        </row>
      </sheetData>
      <sheetData sheetId="16895">
        <row r="1">
          <cell r="J1">
            <v>1.7453292519943295E-2</v>
          </cell>
        </row>
      </sheetData>
      <sheetData sheetId="16896" refreshError="1"/>
      <sheetData sheetId="16897">
        <row r="1">
          <cell r="J1">
            <v>1.7453292519943295E-2</v>
          </cell>
        </row>
      </sheetData>
      <sheetData sheetId="16898">
        <row r="1">
          <cell r="J1">
            <v>1.7453292519943295E-2</v>
          </cell>
        </row>
      </sheetData>
      <sheetData sheetId="16899" refreshError="1"/>
      <sheetData sheetId="16900" refreshError="1"/>
      <sheetData sheetId="16901" refreshError="1"/>
      <sheetData sheetId="16902">
        <row r="1">
          <cell r="J1">
            <v>1.7453292519943295E-2</v>
          </cell>
        </row>
      </sheetData>
      <sheetData sheetId="16903">
        <row r="1">
          <cell r="J1">
            <v>1.7453292519943295E-2</v>
          </cell>
        </row>
      </sheetData>
      <sheetData sheetId="16904">
        <row r="1">
          <cell r="J1">
            <v>1.7453292519943295E-2</v>
          </cell>
        </row>
      </sheetData>
      <sheetData sheetId="16905">
        <row r="1">
          <cell r="J1">
            <v>1.7453292519943295E-2</v>
          </cell>
        </row>
      </sheetData>
      <sheetData sheetId="16906">
        <row r="1">
          <cell r="J1">
            <v>1.7453292519943295E-2</v>
          </cell>
        </row>
      </sheetData>
      <sheetData sheetId="16907">
        <row r="1">
          <cell r="J1">
            <v>1.7453292519943295E-2</v>
          </cell>
        </row>
      </sheetData>
      <sheetData sheetId="16908">
        <row r="1">
          <cell r="J1">
            <v>1.7453292519943295E-2</v>
          </cell>
        </row>
      </sheetData>
      <sheetData sheetId="16909">
        <row r="1">
          <cell r="J1">
            <v>1.7453292519943295E-2</v>
          </cell>
        </row>
      </sheetData>
      <sheetData sheetId="16910">
        <row r="1">
          <cell r="J1">
            <v>1.7453292519943295E-2</v>
          </cell>
        </row>
      </sheetData>
      <sheetData sheetId="16911">
        <row r="1">
          <cell r="J1">
            <v>1.7453292519943295E-2</v>
          </cell>
        </row>
      </sheetData>
      <sheetData sheetId="16912">
        <row r="1">
          <cell r="J1">
            <v>1.7453292519943295E-2</v>
          </cell>
        </row>
      </sheetData>
      <sheetData sheetId="16913">
        <row r="1">
          <cell r="J1">
            <v>1.7453292519943295E-2</v>
          </cell>
        </row>
      </sheetData>
      <sheetData sheetId="16914">
        <row r="1">
          <cell r="J1">
            <v>1.7453292519943295E-2</v>
          </cell>
        </row>
      </sheetData>
      <sheetData sheetId="16915">
        <row r="1">
          <cell r="J1">
            <v>1.7453292519943295E-2</v>
          </cell>
        </row>
      </sheetData>
      <sheetData sheetId="16916">
        <row r="1">
          <cell r="J1">
            <v>1.7453292519943295E-2</v>
          </cell>
        </row>
      </sheetData>
      <sheetData sheetId="16917">
        <row r="1">
          <cell r="J1">
            <v>1.7453292519943295E-2</v>
          </cell>
        </row>
      </sheetData>
      <sheetData sheetId="16918">
        <row r="1">
          <cell r="J1">
            <v>1.7453292519943295E-2</v>
          </cell>
        </row>
      </sheetData>
      <sheetData sheetId="16919">
        <row r="1">
          <cell r="J1">
            <v>1.7453292519943295E-2</v>
          </cell>
        </row>
      </sheetData>
      <sheetData sheetId="16920">
        <row r="1">
          <cell r="J1">
            <v>1.7453292519943295E-2</v>
          </cell>
        </row>
      </sheetData>
      <sheetData sheetId="16921">
        <row r="1">
          <cell r="J1">
            <v>1.7453292519943295E-2</v>
          </cell>
        </row>
      </sheetData>
      <sheetData sheetId="16922" refreshError="1"/>
      <sheetData sheetId="16923" refreshError="1"/>
      <sheetData sheetId="16924">
        <row r="1">
          <cell r="J1">
            <v>1.7453292519943295E-2</v>
          </cell>
        </row>
      </sheetData>
      <sheetData sheetId="16925">
        <row r="1">
          <cell r="J1">
            <v>1.7453292519943295E-2</v>
          </cell>
        </row>
      </sheetData>
      <sheetData sheetId="16926">
        <row r="1">
          <cell r="J1">
            <v>1.7453292519943295E-2</v>
          </cell>
        </row>
      </sheetData>
      <sheetData sheetId="16927" refreshError="1"/>
      <sheetData sheetId="16928" refreshError="1"/>
      <sheetData sheetId="16929" refreshError="1"/>
      <sheetData sheetId="16930">
        <row r="1">
          <cell r="J1">
            <v>1.7453292519943295E-2</v>
          </cell>
        </row>
      </sheetData>
      <sheetData sheetId="16931" refreshError="1"/>
      <sheetData sheetId="16932">
        <row r="1">
          <cell r="J1">
            <v>1.7453292519943295E-2</v>
          </cell>
        </row>
      </sheetData>
      <sheetData sheetId="16933">
        <row r="1">
          <cell r="J1">
            <v>1.7453292519943295E-2</v>
          </cell>
        </row>
      </sheetData>
      <sheetData sheetId="16934">
        <row r="1">
          <cell r="J1">
            <v>1.7453292519943295E-2</v>
          </cell>
        </row>
      </sheetData>
      <sheetData sheetId="16935"/>
      <sheetData sheetId="16936">
        <row r="1">
          <cell r="J1">
            <v>1.7453292519943295E-2</v>
          </cell>
        </row>
      </sheetData>
      <sheetData sheetId="16937">
        <row r="1">
          <cell r="J1">
            <v>1.7453292519943295E-2</v>
          </cell>
        </row>
      </sheetData>
      <sheetData sheetId="16938">
        <row r="1">
          <cell r="J1">
            <v>1.7453292519943295E-2</v>
          </cell>
        </row>
      </sheetData>
      <sheetData sheetId="16939"/>
      <sheetData sheetId="16940">
        <row r="1">
          <cell r="J1">
            <v>1.7453292519943295E-2</v>
          </cell>
        </row>
      </sheetData>
      <sheetData sheetId="16941">
        <row r="1">
          <cell r="J1">
            <v>1.7453292519943295E-2</v>
          </cell>
        </row>
      </sheetData>
      <sheetData sheetId="16942">
        <row r="1">
          <cell r="J1">
            <v>1.7453292519943295E-2</v>
          </cell>
        </row>
      </sheetData>
      <sheetData sheetId="16943">
        <row r="1">
          <cell r="J1">
            <v>1.7453292519943295E-2</v>
          </cell>
        </row>
      </sheetData>
      <sheetData sheetId="16944">
        <row r="1">
          <cell r="J1">
            <v>1.7453292519943295E-2</v>
          </cell>
        </row>
      </sheetData>
      <sheetData sheetId="16945">
        <row r="1">
          <cell r="J1">
            <v>1.7453292519943295E-2</v>
          </cell>
        </row>
      </sheetData>
      <sheetData sheetId="16946">
        <row r="1">
          <cell r="J1">
            <v>1.7453292519943295E-2</v>
          </cell>
        </row>
      </sheetData>
      <sheetData sheetId="16947">
        <row r="1">
          <cell r="J1">
            <v>1.7453292519943295E-2</v>
          </cell>
        </row>
      </sheetData>
      <sheetData sheetId="16948">
        <row r="1">
          <cell r="J1">
            <v>1.7453292519943295E-2</v>
          </cell>
        </row>
      </sheetData>
      <sheetData sheetId="16949">
        <row r="1">
          <cell r="J1">
            <v>1.7453292519943295E-2</v>
          </cell>
        </row>
      </sheetData>
      <sheetData sheetId="16950">
        <row r="1">
          <cell r="J1">
            <v>1.7453292519943295E-2</v>
          </cell>
        </row>
      </sheetData>
      <sheetData sheetId="16951">
        <row r="1">
          <cell r="J1">
            <v>1.7453292519943295E-2</v>
          </cell>
        </row>
      </sheetData>
      <sheetData sheetId="16952">
        <row r="1">
          <cell r="J1">
            <v>1.7453292519943295E-2</v>
          </cell>
        </row>
      </sheetData>
      <sheetData sheetId="16953">
        <row r="1">
          <cell r="J1">
            <v>1.7453292519943295E-2</v>
          </cell>
        </row>
      </sheetData>
      <sheetData sheetId="16954" refreshError="1"/>
      <sheetData sheetId="16955" refreshError="1"/>
      <sheetData sheetId="16956">
        <row r="1">
          <cell r="J1">
            <v>1.7453292519943295E-2</v>
          </cell>
        </row>
      </sheetData>
      <sheetData sheetId="16957">
        <row r="1">
          <cell r="J1">
            <v>1.7453292519943295E-2</v>
          </cell>
        </row>
      </sheetData>
      <sheetData sheetId="16958" refreshError="1"/>
      <sheetData sheetId="16959"/>
      <sheetData sheetId="16960">
        <row r="1">
          <cell r="J1">
            <v>1.7453292519943295E-2</v>
          </cell>
        </row>
      </sheetData>
      <sheetData sheetId="16961" refreshError="1"/>
      <sheetData sheetId="16962" refreshError="1"/>
      <sheetData sheetId="16963">
        <row r="1">
          <cell r="J1">
            <v>1.7453292519943295E-2</v>
          </cell>
        </row>
      </sheetData>
      <sheetData sheetId="16964">
        <row r="1">
          <cell r="J1">
            <v>1.7453292519943295E-2</v>
          </cell>
        </row>
      </sheetData>
      <sheetData sheetId="16965" refreshError="1"/>
      <sheetData sheetId="16966">
        <row r="1">
          <cell r="J1">
            <v>1.7453292519943295E-2</v>
          </cell>
        </row>
      </sheetData>
      <sheetData sheetId="16967">
        <row r="1">
          <cell r="J1">
            <v>1.7453292519943295E-2</v>
          </cell>
        </row>
      </sheetData>
      <sheetData sheetId="16968">
        <row r="1">
          <cell r="J1">
            <v>1.7453292519943295E-2</v>
          </cell>
        </row>
      </sheetData>
      <sheetData sheetId="16969" refreshError="1"/>
      <sheetData sheetId="16970" refreshError="1"/>
      <sheetData sheetId="16971">
        <row r="1">
          <cell r="J1">
            <v>1.7453292519943295E-2</v>
          </cell>
        </row>
      </sheetData>
      <sheetData sheetId="16972">
        <row r="1">
          <cell r="J1">
            <v>1.7453292519943295E-2</v>
          </cell>
        </row>
      </sheetData>
      <sheetData sheetId="16973">
        <row r="1">
          <cell r="J1">
            <v>1.7453292519943295E-2</v>
          </cell>
        </row>
      </sheetData>
      <sheetData sheetId="16974" refreshError="1"/>
      <sheetData sheetId="16975">
        <row r="1">
          <cell r="J1">
            <v>1.7453292519943295E-2</v>
          </cell>
        </row>
      </sheetData>
      <sheetData sheetId="16976">
        <row r="1">
          <cell r="J1">
            <v>1.7453292519943295E-2</v>
          </cell>
        </row>
      </sheetData>
      <sheetData sheetId="16977">
        <row r="1">
          <cell r="J1">
            <v>1.7453292519943295E-2</v>
          </cell>
        </row>
      </sheetData>
      <sheetData sheetId="16978" refreshError="1"/>
      <sheetData sheetId="16979" refreshError="1"/>
      <sheetData sheetId="16980">
        <row r="1">
          <cell r="J1">
            <v>1.7453292519943295E-2</v>
          </cell>
        </row>
      </sheetData>
      <sheetData sheetId="16981">
        <row r="1">
          <cell r="J1">
            <v>1.7453292519943295E-2</v>
          </cell>
        </row>
      </sheetData>
      <sheetData sheetId="16982" refreshError="1"/>
      <sheetData sheetId="16983">
        <row r="1">
          <cell r="J1">
            <v>1.7453292519943295E-2</v>
          </cell>
        </row>
      </sheetData>
      <sheetData sheetId="16984">
        <row r="1">
          <cell r="J1">
            <v>1.7453292519943295E-2</v>
          </cell>
        </row>
      </sheetData>
      <sheetData sheetId="16985" refreshError="1"/>
      <sheetData sheetId="16986" refreshError="1"/>
      <sheetData sheetId="16987"/>
      <sheetData sheetId="16988">
        <row r="1">
          <cell r="J1">
            <v>1.7453292519943295E-2</v>
          </cell>
        </row>
      </sheetData>
      <sheetData sheetId="16989" refreshError="1"/>
      <sheetData sheetId="16990"/>
      <sheetData sheetId="16991">
        <row r="1">
          <cell r="J1">
            <v>1.7453292519943295E-2</v>
          </cell>
        </row>
      </sheetData>
      <sheetData sheetId="16992">
        <row r="1">
          <cell r="J1">
            <v>1.7453292519943295E-2</v>
          </cell>
        </row>
      </sheetData>
      <sheetData sheetId="16993" refreshError="1"/>
      <sheetData sheetId="16994" refreshError="1"/>
      <sheetData sheetId="16995">
        <row r="1">
          <cell r="J1">
            <v>1.7453292519943295E-2</v>
          </cell>
        </row>
      </sheetData>
      <sheetData sheetId="16996">
        <row r="1">
          <cell r="J1">
            <v>1.7453292519943295E-2</v>
          </cell>
        </row>
      </sheetData>
      <sheetData sheetId="16997" refreshError="1"/>
      <sheetData sheetId="16998"/>
      <sheetData sheetId="16999">
        <row r="1">
          <cell r="J1">
            <v>1.7453292519943295E-2</v>
          </cell>
        </row>
      </sheetData>
      <sheetData sheetId="17000" refreshError="1"/>
      <sheetData sheetId="17001"/>
      <sheetData sheetId="17002">
        <row r="1">
          <cell r="J1">
            <v>1.7453292519943295E-2</v>
          </cell>
        </row>
      </sheetData>
      <sheetData sheetId="17003"/>
      <sheetData sheetId="17004" refreshError="1"/>
      <sheetData sheetId="17005" refreshError="1"/>
      <sheetData sheetId="17006" refreshError="1"/>
      <sheetData sheetId="17007" refreshError="1"/>
      <sheetData sheetId="17008"/>
      <sheetData sheetId="17009" refreshError="1"/>
      <sheetData sheetId="17010"/>
      <sheetData sheetId="17011">
        <row r="1">
          <cell r="J1">
            <v>1.7453292519943295E-2</v>
          </cell>
        </row>
      </sheetData>
      <sheetData sheetId="17012">
        <row r="1">
          <cell r="J1">
            <v>1.7453292519943295E-2</v>
          </cell>
        </row>
      </sheetData>
      <sheetData sheetId="17013">
        <row r="1">
          <cell r="J1">
            <v>1.7453292519943295E-2</v>
          </cell>
        </row>
      </sheetData>
      <sheetData sheetId="17014">
        <row r="1">
          <cell r="J1">
            <v>1.7453292519943295E-2</v>
          </cell>
        </row>
      </sheetData>
      <sheetData sheetId="17015">
        <row r="1">
          <cell r="J1">
            <v>1.7453292519943295E-2</v>
          </cell>
        </row>
      </sheetData>
      <sheetData sheetId="17016">
        <row r="1">
          <cell r="J1">
            <v>1.7453292519943295E-2</v>
          </cell>
        </row>
      </sheetData>
      <sheetData sheetId="17017">
        <row r="1">
          <cell r="J1">
            <v>1.7453292519943295E-2</v>
          </cell>
        </row>
      </sheetData>
      <sheetData sheetId="17018">
        <row r="1">
          <cell r="J1">
            <v>1.7453292519943295E-2</v>
          </cell>
        </row>
      </sheetData>
      <sheetData sheetId="17019">
        <row r="1">
          <cell r="J1">
            <v>1.7453292519943295E-2</v>
          </cell>
        </row>
      </sheetData>
      <sheetData sheetId="17020">
        <row r="1">
          <cell r="J1">
            <v>1.7453292519943295E-2</v>
          </cell>
        </row>
      </sheetData>
      <sheetData sheetId="17021">
        <row r="1">
          <cell r="J1">
            <v>1.7453292519943295E-2</v>
          </cell>
        </row>
      </sheetData>
      <sheetData sheetId="17022">
        <row r="1">
          <cell r="J1">
            <v>1.7453292519943295E-2</v>
          </cell>
        </row>
      </sheetData>
      <sheetData sheetId="17023">
        <row r="1">
          <cell r="J1">
            <v>1.7453292519943295E-2</v>
          </cell>
        </row>
      </sheetData>
      <sheetData sheetId="17024">
        <row r="1">
          <cell r="J1">
            <v>1.7453292519943295E-2</v>
          </cell>
        </row>
      </sheetData>
      <sheetData sheetId="17025">
        <row r="1">
          <cell r="J1">
            <v>1.7453292519943295E-2</v>
          </cell>
        </row>
      </sheetData>
      <sheetData sheetId="17026">
        <row r="1">
          <cell r="J1">
            <v>1.7453292519943295E-2</v>
          </cell>
        </row>
      </sheetData>
      <sheetData sheetId="17027">
        <row r="1">
          <cell r="J1">
            <v>1.7453292519943295E-2</v>
          </cell>
        </row>
      </sheetData>
      <sheetData sheetId="17028">
        <row r="1">
          <cell r="J1">
            <v>1.7453292519943295E-2</v>
          </cell>
        </row>
      </sheetData>
      <sheetData sheetId="17029">
        <row r="1">
          <cell r="J1">
            <v>1.7453292519943295E-2</v>
          </cell>
        </row>
      </sheetData>
      <sheetData sheetId="17030">
        <row r="1">
          <cell r="J1">
            <v>1.7453292519943295E-2</v>
          </cell>
        </row>
      </sheetData>
      <sheetData sheetId="17031" refreshError="1"/>
      <sheetData sheetId="17032" refreshError="1"/>
      <sheetData sheetId="17033" refreshError="1"/>
      <sheetData sheetId="17034" refreshError="1"/>
      <sheetData sheetId="17035">
        <row r="1">
          <cell r="J1">
            <v>1.7453292519943295E-2</v>
          </cell>
        </row>
      </sheetData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/>
      <sheetData sheetId="17081">
        <row r="1">
          <cell r="J1">
            <v>1.7453292519943295E-2</v>
          </cell>
        </row>
      </sheetData>
      <sheetData sheetId="17082">
        <row r="1">
          <cell r="J1">
            <v>1.7453292519943295E-2</v>
          </cell>
        </row>
      </sheetData>
      <sheetData sheetId="17083" refreshError="1"/>
      <sheetData sheetId="17084">
        <row r="1">
          <cell r="J1">
            <v>1.7453292519943295E-2</v>
          </cell>
        </row>
      </sheetData>
      <sheetData sheetId="17085">
        <row r="1">
          <cell r="J1">
            <v>1.7453292519943295E-2</v>
          </cell>
        </row>
      </sheetData>
      <sheetData sheetId="17086">
        <row r="1">
          <cell r="J1">
            <v>1.7453292519943295E-2</v>
          </cell>
        </row>
      </sheetData>
      <sheetData sheetId="17087" refreshError="1"/>
      <sheetData sheetId="17088">
        <row r="1">
          <cell r="J1">
            <v>1.7453292519943295E-2</v>
          </cell>
        </row>
      </sheetData>
      <sheetData sheetId="17089" refreshError="1"/>
      <sheetData sheetId="17090" refreshError="1"/>
      <sheetData sheetId="17091" refreshError="1"/>
      <sheetData sheetId="17092" refreshError="1"/>
      <sheetData sheetId="17093"/>
      <sheetData sheetId="17094" refreshError="1"/>
      <sheetData sheetId="17095" refreshError="1"/>
      <sheetData sheetId="17096">
        <row r="1">
          <cell r="J1">
            <v>1.7453292519943295E-2</v>
          </cell>
        </row>
      </sheetData>
      <sheetData sheetId="17097">
        <row r="1">
          <cell r="J1">
            <v>1.7453292519943295E-2</v>
          </cell>
        </row>
      </sheetData>
      <sheetData sheetId="17098">
        <row r="1">
          <cell r="J1">
            <v>1.7453292519943295E-2</v>
          </cell>
        </row>
      </sheetData>
      <sheetData sheetId="17099">
        <row r="1">
          <cell r="J1">
            <v>1.7453292519943295E-2</v>
          </cell>
        </row>
      </sheetData>
      <sheetData sheetId="17100">
        <row r="1">
          <cell r="J1">
            <v>1.7453292519943295E-2</v>
          </cell>
        </row>
      </sheetData>
      <sheetData sheetId="17101">
        <row r="1">
          <cell r="J1">
            <v>1.7453292519943295E-2</v>
          </cell>
        </row>
      </sheetData>
      <sheetData sheetId="17102">
        <row r="1">
          <cell r="J1">
            <v>1.7453292519943295E-2</v>
          </cell>
        </row>
      </sheetData>
      <sheetData sheetId="17103">
        <row r="1">
          <cell r="J1">
            <v>1.7453292519943295E-2</v>
          </cell>
        </row>
      </sheetData>
      <sheetData sheetId="17104">
        <row r="1">
          <cell r="J1">
            <v>1.7453292519943295E-2</v>
          </cell>
        </row>
      </sheetData>
      <sheetData sheetId="17105">
        <row r="1">
          <cell r="J1">
            <v>1.7453292519943295E-2</v>
          </cell>
        </row>
      </sheetData>
      <sheetData sheetId="17106">
        <row r="1">
          <cell r="J1">
            <v>1.7453292519943295E-2</v>
          </cell>
        </row>
      </sheetData>
      <sheetData sheetId="17107">
        <row r="1">
          <cell r="J1">
            <v>1.7453292519943295E-2</v>
          </cell>
        </row>
      </sheetData>
      <sheetData sheetId="17108"/>
      <sheetData sheetId="17109">
        <row r="1">
          <cell r="J1">
            <v>1.7453292519943295E-2</v>
          </cell>
        </row>
      </sheetData>
      <sheetData sheetId="17110">
        <row r="1">
          <cell r="J1">
            <v>1.7453292519943295E-2</v>
          </cell>
        </row>
      </sheetData>
      <sheetData sheetId="17111">
        <row r="1">
          <cell r="J1">
            <v>1.7453292519943295E-2</v>
          </cell>
        </row>
      </sheetData>
      <sheetData sheetId="17112">
        <row r="1">
          <cell r="J1">
            <v>1.7453292519943295E-2</v>
          </cell>
        </row>
      </sheetData>
      <sheetData sheetId="17113">
        <row r="1">
          <cell r="J1">
            <v>1.7453292519943295E-2</v>
          </cell>
        </row>
      </sheetData>
      <sheetData sheetId="17114">
        <row r="1">
          <cell r="J1">
            <v>1.7453292519943295E-2</v>
          </cell>
        </row>
      </sheetData>
      <sheetData sheetId="17115">
        <row r="1">
          <cell r="J1">
            <v>1.7453292519943295E-2</v>
          </cell>
        </row>
      </sheetData>
      <sheetData sheetId="17116">
        <row r="1">
          <cell r="J1">
            <v>1.7453292519943295E-2</v>
          </cell>
        </row>
      </sheetData>
      <sheetData sheetId="17117">
        <row r="1">
          <cell r="J1">
            <v>1.7453292519943295E-2</v>
          </cell>
        </row>
      </sheetData>
      <sheetData sheetId="17118">
        <row r="1">
          <cell r="J1">
            <v>1.7453292519943295E-2</v>
          </cell>
        </row>
      </sheetData>
      <sheetData sheetId="17119" refreshError="1"/>
      <sheetData sheetId="17120" refreshError="1"/>
      <sheetData sheetId="17121"/>
      <sheetData sheetId="17122">
        <row r="1">
          <cell r="J1">
            <v>1.7453292519943295E-2</v>
          </cell>
        </row>
      </sheetData>
      <sheetData sheetId="17123" refreshError="1"/>
      <sheetData sheetId="17124" refreshError="1"/>
      <sheetData sheetId="17125" refreshError="1"/>
      <sheetData sheetId="17126"/>
      <sheetData sheetId="17127" refreshError="1"/>
      <sheetData sheetId="17128">
        <row r="1">
          <cell r="J1">
            <v>1.7453292519943295E-2</v>
          </cell>
        </row>
      </sheetData>
      <sheetData sheetId="17129">
        <row r="1">
          <cell r="J1">
            <v>1.7453292519943295E-2</v>
          </cell>
        </row>
      </sheetData>
      <sheetData sheetId="17130">
        <row r="1">
          <cell r="J1">
            <v>1.7453292519943295E-2</v>
          </cell>
        </row>
      </sheetData>
      <sheetData sheetId="17131">
        <row r="1">
          <cell r="J1">
            <v>1.7453292519943295E-2</v>
          </cell>
        </row>
      </sheetData>
      <sheetData sheetId="17132">
        <row r="1">
          <cell r="J1">
            <v>1.7453292519943295E-2</v>
          </cell>
        </row>
      </sheetData>
      <sheetData sheetId="17133">
        <row r="1">
          <cell r="J1">
            <v>1.7453292519943295E-2</v>
          </cell>
        </row>
      </sheetData>
      <sheetData sheetId="17134">
        <row r="1">
          <cell r="J1">
            <v>1.7453292519943295E-2</v>
          </cell>
        </row>
      </sheetData>
      <sheetData sheetId="17135">
        <row r="1">
          <cell r="J1">
            <v>1.7453292519943295E-2</v>
          </cell>
        </row>
      </sheetData>
      <sheetData sheetId="17136">
        <row r="1">
          <cell r="J1">
            <v>1.7453292519943295E-2</v>
          </cell>
        </row>
      </sheetData>
      <sheetData sheetId="17137">
        <row r="1">
          <cell r="J1">
            <v>1.7453292519943295E-2</v>
          </cell>
        </row>
      </sheetData>
      <sheetData sheetId="17138">
        <row r="1">
          <cell r="J1">
            <v>1.7453292519943295E-2</v>
          </cell>
        </row>
      </sheetData>
      <sheetData sheetId="17139">
        <row r="1">
          <cell r="J1">
            <v>1.7453292519943295E-2</v>
          </cell>
        </row>
      </sheetData>
      <sheetData sheetId="17140">
        <row r="1">
          <cell r="J1">
            <v>1.7453292519943295E-2</v>
          </cell>
        </row>
      </sheetData>
      <sheetData sheetId="17141">
        <row r="1">
          <cell r="J1">
            <v>1.7453292519943295E-2</v>
          </cell>
        </row>
      </sheetData>
      <sheetData sheetId="17142">
        <row r="1">
          <cell r="J1">
            <v>1.7453292519943295E-2</v>
          </cell>
        </row>
      </sheetData>
      <sheetData sheetId="17143">
        <row r="1">
          <cell r="J1">
            <v>1.7453292519943295E-2</v>
          </cell>
        </row>
      </sheetData>
      <sheetData sheetId="17144">
        <row r="1">
          <cell r="J1">
            <v>1.7453292519943295E-2</v>
          </cell>
        </row>
      </sheetData>
      <sheetData sheetId="17145">
        <row r="1">
          <cell r="J1">
            <v>1.7453292519943295E-2</v>
          </cell>
        </row>
      </sheetData>
      <sheetData sheetId="17146">
        <row r="1">
          <cell r="J1">
            <v>1.7453292519943295E-2</v>
          </cell>
        </row>
      </sheetData>
      <sheetData sheetId="17147">
        <row r="1">
          <cell r="J1">
            <v>1.7453292519943295E-2</v>
          </cell>
        </row>
      </sheetData>
      <sheetData sheetId="17148">
        <row r="1">
          <cell r="J1">
            <v>1.7453292519943295E-2</v>
          </cell>
        </row>
      </sheetData>
      <sheetData sheetId="17149">
        <row r="1">
          <cell r="J1">
            <v>1.7453292519943295E-2</v>
          </cell>
        </row>
      </sheetData>
      <sheetData sheetId="17150" refreshError="1"/>
      <sheetData sheetId="17151">
        <row r="1">
          <cell r="J1">
            <v>1.7453292519943295E-2</v>
          </cell>
        </row>
      </sheetData>
      <sheetData sheetId="17152">
        <row r="1">
          <cell r="J1">
            <v>1.7453292519943295E-2</v>
          </cell>
        </row>
      </sheetData>
      <sheetData sheetId="17153" refreshError="1"/>
      <sheetData sheetId="17154">
        <row r="1">
          <cell r="J1">
            <v>1.7453292519943295E-2</v>
          </cell>
        </row>
      </sheetData>
      <sheetData sheetId="17155" refreshError="1"/>
      <sheetData sheetId="17156">
        <row r="1">
          <cell r="J1">
            <v>1.7453292519943295E-2</v>
          </cell>
        </row>
      </sheetData>
      <sheetData sheetId="17157">
        <row r="1">
          <cell r="J1">
            <v>1.7453292519943295E-2</v>
          </cell>
        </row>
      </sheetData>
      <sheetData sheetId="17158">
        <row r="1">
          <cell r="J1">
            <v>1.7453292519943295E-2</v>
          </cell>
        </row>
      </sheetData>
      <sheetData sheetId="17159" refreshError="1"/>
      <sheetData sheetId="17160" refreshError="1"/>
      <sheetData sheetId="17161" refreshError="1"/>
      <sheetData sheetId="17162">
        <row r="1">
          <cell r="J1">
            <v>1.7453292519943295E-2</v>
          </cell>
        </row>
      </sheetData>
      <sheetData sheetId="17163">
        <row r="1">
          <cell r="J1">
            <v>1.7453292519943295E-2</v>
          </cell>
        </row>
      </sheetData>
      <sheetData sheetId="17164">
        <row r="1">
          <cell r="J1">
            <v>1.7453292519943295E-2</v>
          </cell>
        </row>
      </sheetData>
      <sheetData sheetId="17165">
        <row r="1">
          <cell r="J1">
            <v>1.7453292519943295E-2</v>
          </cell>
        </row>
      </sheetData>
      <sheetData sheetId="17166">
        <row r="1">
          <cell r="J1">
            <v>1.7453292519943295E-2</v>
          </cell>
        </row>
      </sheetData>
      <sheetData sheetId="17167">
        <row r="1">
          <cell r="J1">
            <v>1.7453292519943295E-2</v>
          </cell>
        </row>
      </sheetData>
      <sheetData sheetId="17168">
        <row r="1">
          <cell r="J1">
            <v>1.7453292519943295E-2</v>
          </cell>
        </row>
      </sheetData>
      <sheetData sheetId="17169">
        <row r="1">
          <cell r="J1">
            <v>1.7453292519943295E-2</v>
          </cell>
        </row>
      </sheetData>
      <sheetData sheetId="17170">
        <row r="1">
          <cell r="J1">
            <v>1.7453292519943295E-2</v>
          </cell>
        </row>
      </sheetData>
      <sheetData sheetId="17171">
        <row r="1">
          <cell r="J1">
            <v>1.7453292519943295E-2</v>
          </cell>
        </row>
      </sheetData>
      <sheetData sheetId="17172">
        <row r="1">
          <cell r="J1">
            <v>1.7453292519943295E-2</v>
          </cell>
        </row>
      </sheetData>
      <sheetData sheetId="17173">
        <row r="1">
          <cell r="J1">
            <v>1.7453292519943295E-2</v>
          </cell>
        </row>
      </sheetData>
      <sheetData sheetId="17174">
        <row r="1">
          <cell r="J1">
            <v>1.7453292519943295E-2</v>
          </cell>
        </row>
      </sheetData>
      <sheetData sheetId="17175">
        <row r="1">
          <cell r="J1">
            <v>1.7453292519943295E-2</v>
          </cell>
        </row>
      </sheetData>
      <sheetData sheetId="17176">
        <row r="1">
          <cell r="J1">
            <v>1.7453292519943295E-2</v>
          </cell>
        </row>
      </sheetData>
      <sheetData sheetId="17177">
        <row r="1">
          <cell r="J1">
            <v>1.7453292519943295E-2</v>
          </cell>
        </row>
      </sheetData>
      <sheetData sheetId="17178">
        <row r="1">
          <cell r="J1">
            <v>1.7453292519943295E-2</v>
          </cell>
        </row>
      </sheetData>
      <sheetData sheetId="17179">
        <row r="1">
          <cell r="J1">
            <v>1.7453292519943295E-2</v>
          </cell>
        </row>
      </sheetData>
      <sheetData sheetId="17180">
        <row r="1">
          <cell r="J1">
            <v>1.7453292519943295E-2</v>
          </cell>
        </row>
      </sheetData>
      <sheetData sheetId="17181">
        <row r="1">
          <cell r="J1">
            <v>1.7453292519943295E-2</v>
          </cell>
        </row>
      </sheetData>
      <sheetData sheetId="17182" refreshError="1"/>
      <sheetData sheetId="17183">
        <row r="1">
          <cell r="J1">
            <v>1.7453292519943295E-2</v>
          </cell>
        </row>
      </sheetData>
      <sheetData sheetId="17184">
        <row r="1">
          <cell r="J1">
            <v>1.7453292519943295E-2</v>
          </cell>
        </row>
      </sheetData>
      <sheetData sheetId="17185">
        <row r="1">
          <cell r="J1">
            <v>1.7453292519943295E-2</v>
          </cell>
        </row>
      </sheetData>
      <sheetData sheetId="17186" refreshError="1"/>
      <sheetData sheetId="17187">
        <row r="1">
          <cell r="J1">
            <v>1.7453292519943295E-2</v>
          </cell>
        </row>
      </sheetData>
      <sheetData sheetId="17188" refreshError="1"/>
      <sheetData sheetId="17189">
        <row r="1">
          <cell r="J1">
            <v>1.7453292519943295E-2</v>
          </cell>
        </row>
      </sheetData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>
        <row r="1">
          <cell r="J1">
            <v>1.7453292519943295E-2</v>
          </cell>
        </row>
      </sheetData>
      <sheetData sheetId="17197" refreshError="1"/>
      <sheetData sheetId="17198" refreshError="1"/>
      <sheetData sheetId="17199">
        <row r="1">
          <cell r="J1">
            <v>1.7453292519943295E-2</v>
          </cell>
        </row>
      </sheetData>
      <sheetData sheetId="17200">
        <row r="1">
          <cell r="J1">
            <v>1.7453292519943295E-2</v>
          </cell>
        </row>
      </sheetData>
      <sheetData sheetId="17201">
        <row r="1">
          <cell r="J1">
            <v>1.7453292519943295E-2</v>
          </cell>
        </row>
      </sheetData>
      <sheetData sheetId="17202">
        <row r="1">
          <cell r="J1">
            <v>1.7453292519943295E-2</v>
          </cell>
        </row>
      </sheetData>
      <sheetData sheetId="17203">
        <row r="1">
          <cell r="J1">
            <v>1.7453292519943295E-2</v>
          </cell>
        </row>
      </sheetData>
      <sheetData sheetId="17204">
        <row r="1">
          <cell r="J1">
            <v>1.7453292519943295E-2</v>
          </cell>
        </row>
      </sheetData>
      <sheetData sheetId="17205">
        <row r="1">
          <cell r="J1">
            <v>1.7453292519943295E-2</v>
          </cell>
        </row>
      </sheetData>
      <sheetData sheetId="17206">
        <row r="1">
          <cell r="J1">
            <v>1.7453292519943295E-2</v>
          </cell>
        </row>
      </sheetData>
      <sheetData sheetId="17207">
        <row r="1">
          <cell r="J1">
            <v>1.7453292519943295E-2</v>
          </cell>
        </row>
      </sheetData>
      <sheetData sheetId="17208">
        <row r="1">
          <cell r="J1">
            <v>1.7453292519943295E-2</v>
          </cell>
        </row>
      </sheetData>
      <sheetData sheetId="17209">
        <row r="1">
          <cell r="J1">
            <v>1.7453292519943295E-2</v>
          </cell>
        </row>
      </sheetData>
      <sheetData sheetId="17210">
        <row r="1">
          <cell r="J1">
            <v>1.7453292519943295E-2</v>
          </cell>
        </row>
      </sheetData>
      <sheetData sheetId="17211">
        <row r="1">
          <cell r="J1">
            <v>1.7453292519943295E-2</v>
          </cell>
        </row>
      </sheetData>
      <sheetData sheetId="17212">
        <row r="1">
          <cell r="J1">
            <v>1.7453292519943295E-2</v>
          </cell>
        </row>
      </sheetData>
      <sheetData sheetId="17213">
        <row r="1">
          <cell r="J1">
            <v>1.7453292519943295E-2</v>
          </cell>
        </row>
      </sheetData>
      <sheetData sheetId="17214">
        <row r="1">
          <cell r="J1">
            <v>1.7453292519943295E-2</v>
          </cell>
        </row>
      </sheetData>
      <sheetData sheetId="17215">
        <row r="1">
          <cell r="J1">
            <v>1.7453292519943295E-2</v>
          </cell>
        </row>
      </sheetData>
      <sheetData sheetId="17216">
        <row r="1">
          <cell r="J1">
            <v>1.7453292519943295E-2</v>
          </cell>
        </row>
      </sheetData>
      <sheetData sheetId="17217">
        <row r="1">
          <cell r="J1">
            <v>1.7453292519943295E-2</v>
          </cell>
        </row>
      </sheetData>
      <sheetData sheetId="17218">
        <row r="1">
          <cell r="J1">
            <v>1.7453292519943295E-2</v>
          </cell>
        </row>
      </sheetData>
      <sheetData sheetId="17219">
        <row r="1">
          <cell r="J1">
            <v>1.7453292519943295E-2</v>
          </cell>
        </row>
      </sheetData>
      <sheetData sheetId="17220">
        <row r="1">
          <cell r="J1">
            <v>1.7453292519943295E-2</v>
          </cell>
        </row>
      </sheetData>
      <sheetData sheetId="17221">
        <row r="1">
          <cell r="J1">
            <v>1.7453292519943295E-2</v>
          </cell>
        </row>
      </sheetData>
      <sheetData sheetId="17222">
        <row r="1">
          <cell r="J1">
            <v>1.7453292519943295E-2</v>
          </cell>
        </row>
      </sheetData>
      <sheetData sheetId="17223" refreshError="1"/>
      <sheetData sheetId="17224">
        <row r="1">
          <cell r="J1">
            <v>1.7453292519943295E-2</v>
          </cell>
        </row>
      </sheetData>
      <sheetData sheetId="17225" refreshError="1"/>
      <sheetData sheetId="17226" refreshError="1"/>
      <sheetData sheetId="17227">
        <row r="1">
          <cell r="J1">
            <v>1.7453292519943295E-2</v>
          </cell>
        </row>
      </sheetData>
      <sheetData sheetId="17228" refreshError="1"/>
      <sheetData sheetId="17229" refreshError="1"/>
      <sheetData sheetId="17230">
        <row r="1">
          <cell r="J1">
            <v>1.7453292519943295E-2</v>
          </cell>
        </row>
      </sheetData>
      <sheetData sheetId="17231" refreshError="1"/>
      <sheetData sheetId="17232">
        <row r="1">
          <cell r="J1">
            <v>1.7453292519943295E-2</v>
          </cell>
        </row>
      </sheetData>
      <sheetData sheetId="17233"/>
      <sheetData sheetId="17234">
        <row r="1">
          <cell r="J1">
            <v>1.7453292519943295E-2</v>
          </cell>
        </row>
      </sheetData>
      <sheetData sheetId="17235">
        <row r="1">
          <cell r="J1">
            <v>1.7453292519943295E-2</v>
          </cell>
        </row>
      </sheetData>
      <sheetData sheetId="17236">
        <row r="1">
          <cell r="J1">
            <v>1.7453292519943295E-2</v>
          </cell>
        </row>
      </sheetData>
      <sheetData sheetId="17237">
        <row r="1">
          <cell r="J1">
            <v>1.7453292519943295E-2</v>
          </cell>
        </row>
      </sheetData>
      <sheetData sheetId="17238">
        <row r="1">
          <cell r="J1">
            <v>1.7453292519943295E-2</v>
          </cell>
        </row>
      </sheetData>
      <sheetData sheetId="17239">
        <row r="1">
          <cell r="J1">
            <v>1.7453292519943295E-2</v>
          </cell>
        </row>
      </sheetData>
      <sheetData sheetId="17240">
        <row r="1">
          <cell r="J1">
            <v>1.7453292519943295E-2</v>
          </cell>
        </row>
      </sheetData>
      <sheetData sheetId="17241"/>
      <sheetData sheetId="17242">
        <row r="1">
          <cell r="J1">
            <v>1.7453292519943295E-2</v>
          </cell>
        </row>
      </sheetData>
      <sheetData sheetId="17243">
        <row r="1">
          <cell r="J1">
            <v>1.7453292519943295E-2</v>
          </cell>
        </row>
      </sheetData>
      <sheetData sheetId="17244">
        <row r="1">
          <cell r="J1">
            <v>1.7453292519943295E-2</v>
          </cell>
        </row>
      </sheetData>
      <sheetData sheetId="17245"/>
      <sheetData sheetId="17246">
        <row r="1">
          <cell r="J1">
            <v>1.7453292519943295E-2</v>
          </cell>
        </row>
      </sheetData>
      <sheetData sheetId="17247">
        <row r="1">
          <cell r="J1">
            <v>1.7453292519943295E-2</v>
          </cell>
        </row>
      </sheetData>
      <sheetData sheetId="17248">
        <row r="1">
          <cell r="J1">
            <v>1.7453292519943295E-2</v>
          </cell>
        </row>
      </sheetData>
      <sheetData sheetId="17249">
        <row r="1">
          <cell r="J1">
            <v>1.7453292519943295E-2</v>
          </cell>
        </row>
      </sheetData>
      <sheetData sheetId="17250">
        <row r="1">
          <cell r="J1">
            <v>1.7453292519943295E-2</v>
          </cell>
        </row>
      </sheetData>
      <sheetData sheetId="17251">
        <row r="1">
          <cell r="J1">
            <v>1.7453292519943295E-2</v>
          </cell>
        </row>
      </sheetData>
      <sheetData sheetId="17252">
        <row r="1">
          <cell r="J1">
            <v>1.7453292519943295E-2</v>
          </cell>
        </row>
      </sheetData>
      <sheetData sheetId="17253">
        <row r="1">
          <cell r="J1">
            <v>1.7453292519943295E-2</v>
          </cell>
        </row>
      </sheetData>
      <sheetData sheetId="17254">
        <row r="1">
          <cell r="J1">
            <v>1.7453292519943295E-2</v>
          </cell>
        </row>
      </sheetData>
      <sheetData sheetId="17255" refreshError="1"/>
      <sheetData sheetId="17256">
        <row r="1">
          <cell r="J1">
            <v>1.7453292519943295E-2</v>
          </cell>
        </row>
      </sheetData>
      <sheetData sheetId="17257" refreshError="1"/>
      <sheetData sheetId="17258" refreshError="1"/>
      <sheetData sheetId="17259">
        <row r="1">
          <cell r="J1">
            <v>1.7453292519943295E-2</v>
          </cell>
        </row>
      </sheetData>
      <sheetData sheetId="17260">
        <row r="1">
          <cell r="J1">
            <v>1.7453292519943295E-2</v>
          </cell>
        </row>
      </sheetData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>
        <row r="1">
          <cell r="J1">
            <v>1.7453292519943295E-2</v>
          </cell>
        </row>
      </sheetData>
      <sheetData sheetId="17270">
        <row r="1">
          <cell r="J1">
            <v>1.7453292519943295E-2</v>
          </cell>
        </row>
      </sheetData>
      <sheetData sheetId="17271">
        <row r="1">
          <cell r="J1">
            <v>1.7453292519943295E-2</v>
          </cell>
        </row>
      </sheetData>
      <sheetData sheetId="17272">
        <row r="1">
          <cell r="J1">
            <v>1.7453292519943295E-2</v>
          </cell>
        </row>
      </sheetData>
      <sheetData sheetId="17273">
        <row r="1">
          <cell r="J1">
            <v>1.7453292519943295E-2</v>
          </cell>
        </row>
      </sheetData>
      <sheetData sheetId="17274">
        <row r="1">
          <cell r="J1">
            <v>1.7453292519943295E-2</v>
          </cell>
        </row>
      </sheetData>
      <sheetData sheetId="17275">
        <row r="1">
          <cell r="J1">
            <v>1.7453292519943295E-2</v>
          </cell>
        </row>
      </sheetData>
      <sheetData sheetId="17276"/>
      <sheetData sheetId="17277">
        <row r="1">
          <cell r="J1">
            <v>1.7453292519943295E-2</v>
          </cell>
        </row>
      </sheetData>
      <sheetData sheetId="17278">
        <row r="1">
          <cell r="J1">
            <v>1.7453292519943295E-2</v>
          </cell>
        </row>
      </sheetData>
      <sheetData sheetId="17279">
        <row r="1">
          <cell r="J1">
            <v>1.7453292519943295E-2</v>
          </cell>
        </row>
      </sheetData>
      <sheetData sheetId="17280"/>
      <sheetData sheetId="17281">
        <row r="1">
          <cell r="J1">
            <v>1.7453292519943295E-2</v>
          </cell>
        </row>
      </sheetData>
      <sheetData sheetId="17282">
        <row r="1">
          <cell r="J1">
            <v>1.7453292519943295E-2</v>
          </cell>
        </row>
      </sheetData>
      <sheetData sheetId="17283">
        <row r="1">
          <cell r="J1">
            <v>1.7453292519943295E-2</v>
          </cell>
        </row>
      </sheetData>
      <sheetData sheetId="17284">
        <row r="1">
          <cell r="J1">
            <v>1.7453292519943295E-2</v>
          </cell>
        </row>
      </sheetData>
      <sheetData sheetId="17285">
        <row r="1">
          <cell r="J1">
            <v>1.7453292519943295E-2</v>
          </cell>
        </row>
      </sheetData>
      <sheetData sheetId="17286">
        <row r="1">
          <cell r="J1">
            <v>1.7453292519943295E-2</v>
          </cell>
        </row>
      </sheetData>
      <sheetData sheetId="17287">
        <row r="1">
          <cell r="J1">
            <v>1.7453292519943295E-2</v>
          </cell>
        </row>
      </sheetData>
      <sheetData sheetId="17288">
        <row r="1">
          <cell r="J1">
            <v>1.7453292519943295E-2</v>
          </cell>
        </row>
      </sheetData>
      <sheetData sheetId="17289">
        <row r="1">
          <cell r="J1">
            <v>1.7453292519943295E-2</v>
          </cell>
        </row>
      </sheetData>
      <sheetData sheetId="17290">
        <row r="1">
          <cell r="J1">
            <v>1.7453292519943295E-2</v>
          </cell>
        </row>
      </sheetData>
      <sheetData sheetId="17291">
        <row r="1">
          <cell r="J1">
            <v>1.7453292519943295E-2</v>
          </cell>
        </row>
      </sheetData>
      <sheetData sheetId="17292">
        <row r="1">
          <cell r="J1">
            <v>1.7453292519943295E-2</v>
          </cell>
        </row>
      </sheetData>
      <sheetData sheetId="17293" refreshError="1"/>
      <sheetData sheetId="17294">
        <row r="1">
          <cell r="J1">
            <v>1.7453292519943295E-2</v>
          </cell>
        </row>
      </sheetData>
      <sheetData sheetId="17295" refreshError="1"/>
      <sheetData sheetId="17296" refreshError="1"/>
      <sheetData sheetId="17297">
        <row r="1">
          <cell r="J1">
            <v>1.7453292519943295E-2</v>
          </cell>
        </row>
      </sheetData>
      <sheetData sheetId="17298"/>
      <sheetData sheetId="17299" refreshError="1"/>
      <sheetData sheetId="17300">
        <row r="1">
          <cell r="J1">
            <v>1.7453292519943295E-2</v>
          </cell>
        </row>
      </sheetData>
      <sheetData sheetId="17301" refreshError="1"/>
      <sheetData sheetId="17302" refreshError="1"/>
      <sheetData sheetId="17303">
        <row r="1">
          <cell r="J1">
            <v>1.7453292519943295E-2</v>
          </cell>
        </row>
      </sheetData>
      <sheetData sheetId="17304"/>
      <sheetData sheetId="17305" refreshError="1"/>
      <sheetData sheetId="17306" refreshError="1"/>
      <sheetData sheetId="17307">
        <row r="1">
          <cell r="J1">
            <v>1.7453292519943295E-2</v>
          </cell>
        </row>
      </sheetData>
      <sheetData sheetId="17308"/>
      <sheetData sheetId="17309" refreshError="1"/>
      <sheetData sheetId="17310">
        <row r="1">
          <cell r="J1">
            <v>1.7453292519943295E-2</v>
          </cell>
        </row>
      </sheetData>
      <sheetData sheetId="17311"/>
      <sheetData sheetId="17312" refreshError="1"/>
      <sheetData sheetId="17313" refreshError="1"/>
      <sheetData sheetId="17314" refreshError="1"/>
      <sheetData sheetId="17315"/>
      <sheetData sheetId="17316">
        <row r="1">
          <cell r="J1">
            <v>1.7453292519943295E-2</v>
          </cell>
        </row>
      </sheetData>
      <sheetData sheetId="17317">
        <row r="1">
          <cell r="J1">
            <v>1.7453292519943295E-2</v>
          </cell>
        </row>
      </sheetData>
      <sheetData sheetId="17318" refreshError="1"/>
      <sheetData sheetId="17319"/>
      <sheetData sheetId="17320" refreshError="1"/>
      <sheetData sheetId="17321" refreshError="1"/>
      <sheetData sheetId="17322" refreshError="1"/>
      <sheetData sheetId="17323"/>
      <sheetData sheetId="17324">
        <row r="1">
          <cell r="J1">
            <v>1.7453292519943295E-2</v>
          </cell>
        </row>
      </sheetData>
      <sheetData sheetId="17325"/>
      <sheetData sheetId="17326" refreshError="1"/>
      <sheetData sheetId="17327"/>
      <sheetData sheetId="17328" refreshError="1"/>
      <sheetData sheetId="17329" refreshError="1"/>
      <sheetData sheetId="17330">
        <row r="1">
          <cell r="J1">
            <v>1.7453292519943295E-2</v>
          </cell>
        </row>
      </sheetData>
      <sheetData sheetId="17331">
        <row r="1">
          <cell r="J1">
            <v>1.7453292519943295E-2</v>
          </cell>
        </row>
      </sheetData>
      <sheetData sheetId="17332"/>
      <sheetData sheetId="17333" refreshError="1"/>
      <sheetData sheetId="17334"/>
      <sheetData sheetId="17335" refreshError="1"/>
      <sheetData sheetId="17336" refreshError="1"/>
      <sheetData sheetId="17337" refreshError="1"/>
      <sheetData sheetId="17338">
        <row r="1">
          <cell r="J1">
            <v>1.7453292519943295E-2</v>
          </cell>
        </row>
      </sheetData>
      <sheetData sheetId="17339"/>
      <sheetData sheetId="17340"/>
      <sheetData sheetId="17341" refreshError="1"/>
      <sheetData sheetId="17342">
        <row r="1">
          <cell r="J1">
            <v>1.7453292519943295E-2</v>
          </cell>
        </row>
      </sheetData>
      <sheetData sheetId="17343">
        <row r="1">
          <cell r="J1">
            <v>1.7453292519943295E-2</v>
          </cell>
        </row>
      </sheetData>
      <sheetData sheetId="17344">
        <row r="1">
          <cell r="J1">
            <v>1.7453292519943295E-2</v>
          </cell>
        </row>
      </sheetData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>
        <row r="1">
          <cell r="J1">
            <v>1.7453292519943295E-2</v>
          </cell>
        </row>
      </sheetData>
      <sheetData sheetId="17351">
        <row r="1">
          <cell r="J1">
            <v>1.7453292519943295E-2</v>
          </cell>
        </row>
      </sheetData>
      <sheetData sheetId="17352">
        <row r="1">
          <cell r="J1">
            <v>1.7453292519943295E-2</v>
          </cell>
        </row>
      </sheetData>
      <sheetData sheetId="17353">
        <row r="1">
          <cell r="J1">
            <v>1.7453292519943295E-2</v>
          </cell>
        </row>
      </sheetData>
      <sheetData sheetId="17354">
        <row r="1">
          <cell r="J1">
            <v>1.7453292519943295E-2</v>
          </cell>
        </row>
      </sheetData>
      <sheetData sheetId="17355">
        <row r="1">
          <cell r="J1">
            <v>1.7453292519943295E-2</v>
          </cell>
        </row>
      </sheetData>
      <sheetData sheetId="17356">
        <row r="1">
          <cell r="J1">
            <v>1.7453292519943295E-2</v>
          </cell>
        </row>
      </sheetData>
      <sheetData sheetId="17357">
        <row r="1">
          <cell r="J1">
            <v>1.7453292519943295E-2</v>
          </cell>
        </row>
      </sheetData>
      <sheetData sheetId="17358">
        <row r="1">
          <cell r="J1">
            <v>1.7453292519943295E-2</v>
          </cell>
        </row>
      </sheetData>
      <sheetData sheetId="17359">
        <row r="1">
          <cell r="J1">
            <v>1.7453292519943295E-2</v>
          </cell>
        </row>
      </sheetData>
      <sheetData sheetId="17360">
        <row r="1">
          <cell r="J1">
            <v>1.7453292519943295E-2</v>
          </cell>
        </row>
      </sheetData>
      <sheetData sheetId="17361">
        <row r="1">
          <cell r="J1">
            <v>1.7453292519943295E-2</v>
          </cell>
        </row>
      </sheetData>
      <sheetData sheetId="17362">
        <row r="1">
          <cell r="J1">
            <v>1.7453292519943295E-2</v>
          </cell>
        </row>
      </sheetData>
      <sheetData sheetId="17363">
        <row r="1">
          <cell r="J1">
            <v>1.7453292519943295E-2</v>
          </cell>
        </row>
      </sheetData>
      <sheetData sheetId="17364">
        <row r="1">
          <cell r="J1">
            <v>1.7453292519943295E-2</v>
          </cell>
        </row>
      </sheetData>
      <sheetData sheetId="17365">
        <row r="1">
          <cell r="J1">
            <v>1.7453292519943295E-2</v>
          </cell>
        </row>
      </sheetData>
      <sheetData sheetId="17366">
        <row r="1">
          <cell r="J1">
            <v>1.7453292519943295E-2</v>
          </cell>
        </row>
      </sheetData>
      <sheetData sheetId="17367">
        <row r="1">
          <cell r="J1">
            <v>1.7453292519943295E-2</v>
          </cell>
        </row>
      </sheetData>
      <sheetData sheetId="17368">
        <row r="1">
          <cell r="J1">
            <v>1.7453292519943295E-2</v>
          </cell>
        </row>
      </sheetData>
      <sheetData sheetId="17369">
        <row r="1">
          <cell r="J1">
            <v>1.7453292519943295E-2</v>
          </cell>
        </row>
      </sheetData>
      <sheetData sheetId="17370">
        <row r="1">
          <cell r="J1">
            <v>1.7453292519943295E-2</v>
          </cell>
        </row>
      </sheetData>
      <sheetData sheetId="17371">
        <row r="1">
          <cell r="J1">
            <v>1.7453292519943295E-2</v>
          </cell>
        </row>
      </sheetData>
      <sheetData sheetId="17372" refreshError="1"/>
      <sheetData sheetId="17373" refreshError="1"/>
      <sheetData sheetId="17374" refreshError="1"/>
      <sheetData sheetId="17375"/>
      <sheetData sheetId="17376"/>
      <sheetData sheetId="17377" refreshError="1"/>
      <sheetData sheetId="17378">
        <row r="1">
          <cell r="J1">
            <v>1.7453292519943295E-2</v>
          </cell>
        </row>
      </sheetData>
      <sheetData sheetId="17379">
        <row r="1">
          <cell r="J1">
            <v>1.7453292519943295E-2</v>
          </cell>
        </row>
      </sheetData>
      <sheetData sheetId="17380"/>
      <sheetData sheetId="17381" refreshError="1"/>
      <sheetData sheetId="17382" refreshError="1"/>
      <sheetData sheetId="17383">
        <row r="1">
          <cell r="J1">
            <v>1.7453292519943295E-2</v>
          </cell>
        </row>
      </sheetData>
      <sheetData sheetId="17384"/>
      <sheetData sheetId="17385" refreshError="1"/>
      <sheetData sheetId="17386">
        <row r="1">
          <cell r="J1">
            <v>1.7453292519943295E-2</v>
          </cell>
        </row>
      </sheetData>
      <sheetData sheetId="17387">
        <row r="1">
          <cell r="J1">
            <v>1.7453292519943295E-2</v>
          </cell>
        </row>
      </sheetData>
      <sheetData sheetId="17388">
        <row r="1">
          <cell r="J1">
            <v>1.7453292519943295E-2</v>
          </cell>
        </row>
      </sheetData>
      <sheetData sheetId="17389"/>
      <sheetData sheetId="17390">
        <row r="1">
          <cell r="J1">
            <v>1.7453292519943295E-2</v>
          </cell>
        </row>
      </sheetData>
      <sheetData sheetId="17391" refreshError="1"/>
      <sheetData sheetId="17392" refreshError="1"/>
      <sheetData sheetId="17393">
        <row r="1">
          <cell r="J1">
            <v>1.7453292519943295E-2</v>
          </cell>
        </row>
      </sheetData>
      <sheetData sheetId="17394">
        <row r="1">
          <cell r="J1">
            <v>1.7453292519943295E-2</v>
          </cell>
        </row>
      </sheetData>
      <sheetData sheetId="17395">
        <row r="1">
          <cell r="J1">
            <v>1.7453292519943295E-2</v>
          </cell>
        </row>
      </sheetData>
      <sheetData sheetId="17396" refreshError="1"/>
      <sheetData sheetId="17397" refreshError="1"/>
      <sheetData sheetId="17398" refreshError="1"/>
      <sheetData sheetId="17399">
        <row r="1">
          <cell r="J1">
            <v>1.7453292519943295E-2</v>
          </cell>
        </row>
      </sheetData>
      <sheetData sheetId="17400" refreshError="1"/>
      <sheetData sheetId="17401">
        <row r="1">
          <cell r="J1">
            <v>1.7453292519943295E-2</v>
          </cell>
        </row>
      </sheetData>
      <sheetData sheetId="17402">
        <row r="1">
          <cell r="J1">
            <v>1.7453292519943295E-2</v>
          </cell>
        </row>
      </sheetData>
      <sheetData sheetId="17403">
        <row r="1">
          <cell r="J1">
            <v>1.7453292519943295E-2</v>
          </cell>
        </row>
      </sheetData>
      <sheetData sheetId="17404"/>
      <sheetData sheetId="17405">
        <row r="1">
          <cell r="J1">
            <v>1.7453292519943295E-2</v>
          </cell>
        </row>
      </sheetData>
      <sheetData sheetId="17406">
        <row r="1">
          <cell r="J1">
            <v>1.7453292519943295E-2</v>
          </cell>
        </row>
      </sheetData>
      <sheetData sheetId="17407">
        <row r="1">
          <cell r="J1">
            <v>1.7453292519943295E-2</v>
          </cell>
        </row>
      </sheetData>
      <sheetData sheetId="17408">
        <row r="1">
          <cell r="J1">
            <v>1.7453292519943295E-2</v>
          </cell>
        </row>
      </sheetData>
      <sheetData sheetId="17409">
        <row r="1">
          <cell r="J1">
            <v>1.7453292519943295E-2</v>
          </cell>
        </row>
      </sheetData>
      <sheetData sheetId="17410">
        <row r="1">
          <cell r="J1">
            <v>1.7453292519943295E-2</v>
          </cell>
        </row>
      </sheetData>
      <sheetData sheetId="17411">
        <row r="1">
          <cell r="J1">
            <v>1.7453292519943295E-2</v>
          </cell>
        </row>
      </sheetData>
      <sheetData sheetId="17412">
        <row r="1">
          <cell r="J1">
            <v>1.7453292519943295E-2</v>
          </cell>
        </row>
      </sheetData>
      <sheetData sheetId="17413">
        <row r="1">
          <cell r="J1">
            <v>1.7453292519943295E-2</v>
          </cell>
        </row>
      </sheetData>
      <sheetData sheetId="17414">
        <row r="1">
          <cell r="J1">
            <v>1.7453292519943295E-2</v>
          </cell>
        </row>
      </sheetData>
      <sheetData sheetId="17415">
        <row r="1">
          <cell r="J1">
            <v>1.7453292519943295E-2</v>
          </cell>
        </row>
      </sheetData>
      <sheetData sheetId="17416">
        <row r="1">
          <cell r="J1">
            <v>1.7453292519943295E-2</v>
          </cell>
        </row>
      </sheetData>
      <sheetData sheetId="17417">
        <row r="1">
          <cell r="J1">
            <v>1.7453292519943295E-2</v>
          </cell>
        </row>
      </sheetData>
      <sheetData sheetId="17418">
        <row r="1">
          <cell r="J1">
            <v>1.7453292519943295E-2</v>
          </cell>
        </row>
      </sheetData>
      <sheetData sheetId="17419">
        <row r="1">
          <cell r="J1">
            <v>1.7453292519943295E-2</v>
          </cell>
        </row>
      </sheetData>
      <sheetData sheetId="17420">
        <row r="1">
          <cell r="J1">
            <v>1.7453292519943295E-2</v>
          </cell>
        </row>
      </sheetData>
      <sheetData sheetId="17421">
        <row r="1">
          <cell r="J1">
            <v>1.7453292519943295E-2</v>
          </cell>
        </row>
      </sheetData>
      <sheetData sheetId="17422">
        <row r="1">
          <cell r="J1">
            <v>1.7453292519943295E-2</v>
          </cell>
        </row>
      </sheetData>
      <sheetData sheetId="17423" refreshError="1"/>
      <sheetData sheetId="17424" refreshError="1"/>
      <sheetData sheetId="17425">
        <row r="1">
          <cell r="J1">
            <v>1.7453292519943295E-2</v>
          </cell>
        </row>
      </sheetData>
      <sheetData sheetId="17426">
        <row r="1">
          <cell r="J1">
            <v>1.7453292519943295E-2</v>
          </cell>
        </row>
      </sheetData>
      <sheetData sheetId="17427">
        <row r="1">
          <cell r="J1">
            <v>1.7453292519943295E-2</v>
          </cell>
        </row>
      </sheetData>
      <sheetData sheetId="17428" refreshError="1"/>
      <sheetData sheetId="17429" refreshError="1"/>
      <sheetData sheetId="17430">
        <row r="1">
          <cell r="J1">
            <v>1.7453292519943295E-2</v>
          </cell>
        </row>
      </sheetData>
      <sheetData sheetId="17431" refreshError="1"/>
      <sheetData sheetId="17432" refreshError="1"/>
      <sheetData sheetId="17433">
        <row r="1">
          <cell r="J1">
            <v>1.7453292519943295E-2</v>
          </cell>
        </row>
      </sheetData>
      <sheetData sheetId="17434">
        <row r="1">
          <cell r="J1">
            <v>1.7453292519943295E-2</v>
          </cell>
        </row>
      </sheetData>
      <sheetData sheetId="17435"/>
      <sheetData sheetId="17436" refreshError="1"/>
      <sheetData sheetId="17437" refreshError="1"/>
      <sheetData sheetId="17438" refreshError="1"/>
      <sheetData sheetId="17439">
        <row r="1">
          <cell r="J1">
            <v>1.7453292519943295E-2</v>
          </cell>
        </row>
      </sheetData>
      <sheetData sheetId="17440" refreshError="1"/>
      <sheetData sheetId="17441">
        <row r="1">
          <cell r="J1">
            <v>1.7453292519943295E-2</v>
          </cell>
        </row>
      </sheetData>
      <sheetData sheetId="17442">
        <row r="1">
          <cell r="J1">
            <v>1.7453292519943295E-2</v>
          </cell>
        </row>
      </sheetData>
      <sheetData sheetId="17443">
        <row r="1">
          <cell r="J1">
            <v>1.7453292519943295E-2</v>
          </cell>
        </row>
      </sheetData>
      <sheetData sheetId="17444">
        <row r="1">
          <cell r="J1">
            <v>1.7453292519943295E-2</v>
          </cell>
        </row>
      </sheetData>
      <sheetData sheetId="17445">
        <row r="1">
          <cell r="J1">
            <v>1.7453292519943295E-2</v>
          </cell>
        </row>
      </sheetData>
      <sheetData sheetId="17446">
        <row r="1">
          <cell r="J1">
            <v>1.7453292519943295E-2</v>
          </cell>
        </row>
      </sheetData>
      <sheetData sheetId="17447">
        <row r="1">
          <cell r="J1">
            <v>1.7453292519943295E-2</v>
          </cell>
        </row>
      </sheetData>
      <sheetData sheetId="17448">
        <row r="1">
          <cell r="J1">
            <v>1.7453292519943295E-2</v>
          </cell>
        </row>
      </sheetData>
      <sheetData sheetId="17449">
        <row r="1">
          <cell r="J1">
            <v>1.7453292519943295E-2</v>
          </cell>
        </row>
      </sheetData>
      <sheetData sheetId="17450">
        <row r="1">
          <cell r="J1">
            <v>1.7453292519943295E-2</v>
          </cell>
        </row>
      </sheetData>
      <sheetData sheetId="17451">
        <row r="1">
          <cell r="J1">
            <v>1.7453292519943295E-2</v>
          </cell>
        </row>
      </sheetData>
      <sheetData sheetId="17452">
        <row r="1">
          <cell r="J1">
            <v>1.7453292519943295E-2</v>
          </cell>
        </row>
      </sheetData>
      <sheetData sheetId="17453">
        <row r="1">
          <cell r="J1">
            <v>1.7453292519943295E-2</v>
          </cell>
        </row>
      </sheetData>
      <sheetData sheetId="17454">
        <row r="1">
          <cell r="J1">
            <v>1.7453292519943295E-2</v>
          </cell>
        </row>
      </sheetData>
      <sheetData sheetId="17455">
        <row r="1">
          <cell r="J1">
            <v>1.7453292519943295E-2</v>
          </cell>
        </row>
      </sheetData>
      <sheetData sheetId="17456">
        <row r="1">
          <cell r="J1">
            <v>1.7453292519943295E-2</v>
          </cell>
        </row>
      </sheetData>
      <sheetData sheetId="17457">
        <row r="1">
          <cell r="J1">
            <v>1.7453292519943295E-2</v>
          </cell>
        </row>
      </sheetData>
      <sheetData sheetId="17458">
        <row r="1">
          <cell r="J1">
            <v>1.7453292519943295E-2</v>
          </cell>
        </row>
      </sheetData>
      <sheetData sheetId="17459">
        <row r="1">
          <cell r="J1">
            <v>1.7453292519943295E-2</v>
          </cell>
        </row>
      </sheetData>
      <sheetData sheetId="17460">
        <row r="1">
          <cell r="J1">
            <v>1.7453292519943295E-2</v>
          </cell>
        </row>
      </sheetData>
      <sheetData sheetId="17461">
        <row r="1">
          <cell r="J1">
            <v>1.7453292519943295E-2</v>
          </cell>
        </row>
      </sheetData>
      <sheetData sheetId="17462" refreshError="1"/>
      <sheetData sheetId="17463" refreshError="1"/>
      <sheetData sheetId="17464">
        <row r="1">
          <cell r="J1">
            <v>1.7453292519943295E-2</v>
          </cell>
        </row>
      </sheetData>
      <sheetData sheetId="17465"/>
      <sheetData sheetId="17466"/>
      <sheetData sheetId="17467" refreshError="1"/>
      <sheetData sheetId="17468">
        <row r="1">
          <cell r="J1">
            <v>1.7453292519943295E-2</v>
          </cell>
        </row>
      </sheetData>
      <sheetData sheetId="17469">
        <row r="1">
          <cell r="J1">
            <v>1.7453292519943295E-2</v>
          </cell>
        </row>
      </sheetData>
      <sheetData sheetId="17470">
        <row r="1">
          <cell r="J1">
            <v>1.7453292519943295E-2</v>
          </cell>
        </row>
      </sheetData>
      <sheetData sheetId="17471">
        <row r="1">
          <cell r="J1">
            <v>1.7453292519943295E-2</v>
          </cell>
        </row>
      </sheetData>
      <sheetData sheetId="17472" refreshError="1"/>
      <sheetData sheetId="17473" refreshError="1"/>
      <sheetData sheetId="17474">
        <row r="1">
          <cell r="J1">
            <v>1.7453292519943295E-2</v>
          </cell>
        </row>
      </sheetData>
      <sheetData sheetId="17475"/>
      <sheetData sheetId="17476">
        <row r="1">
          <cell r="J1">
            <v>1.7453292519943295E-2</v>
          </cell>
        </row>
      </sheetData>
      <sheetData sheetId="17477" refreshError="1"/>
      <sheetData sheetId="17478"/>
      <sheetData sheetId="17479">
        <row r="1">
          <cell r="J1">
            <v>1.7453292519943295E-2</v>
          </cell>
        </row>
      </sheetData>
      <sheetData sheetId="17480">
        <row r="1">
          <cell r="J1">
            <v>1.7453292519943295E-2</v>
          </cell>
        </row>
      </sheetData>
      <sheetData sheetId="17481"/>
      <sheetData sheetId="17482">
        <row r="1">
          <cell r="J1">
            <v>1.7453292519943295E-2</v>
          </cell>
        </row>
      </sheetData>
      <sheetData sheetId="17483" refreshError="1"/>
      <sheetData sheetId="17484" refreshError="1"/>
      <sheetData sheetId="17485">
        <row r="1">
          <cell r="J1">
            <v>1.7453292519943295E-2</v>
          </cell>
        </row>
      </sheetData>
      <sheetData sheetId="17486">
        <row r="1">
          <cell r="J1">
            <v>1.7453292519943295E-2</v>
          </cell>
        </row>
      </sheetData>
      <sheetData sheetId="17487">
        <row r="1">
          <cell r="J1">
            <v>1.7453292519943295E-2</v>
          </cell>
        </row>
      </sheetData>
      <sheetData sheetId="17488" refreshError="1"/>
      <sheetData sheetId="17489">
        <row r="1">
          <cell r="J1">
            <v>1.7453292519943295E-2</v>
          </cell>
        </row>
      </sheetData>
      <sheetData sheetId="17490" refreshError="1"/>
      <sheetData sheetId="17491">
        <row r="1">
          <cell r="J1">
            <v>1.7453292519943295E-2</v>
          </cell>
        </row>
      </sheetData>
      <sheetData sheetId="17492" refreshError="1"/>
      <sheetData sheetId="17493" refreshError="1"/>
      <sheetData sheetId="17494">
        <row r="1">
          <cell r="J1">
            <v>1.7453292519943295E-2</v>
          </cell>
        </row>
      </sheetData>
      <sheetData sheetId="17495"/>
      <sheetData sheetId="17496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>
        <row r="1">
          <cell r="J1">
            <v>1.7453292519943295E-2</v>
          </cell>
        </row>
      </sheetData>
      <sheetData sheetId="17504"/>
      <sheetData sheetId="17505">
        <row r="1">
          <cell r="J1">
            <v>1.7453292519943295E-2</v>
          </cell>
        </row>
      </sheetData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>
        <row r="1">
          <cell r="J1">
            <v>1.7453292519943295E-2</v>
          </cell>
        </row>
      </sheetData>
      <sheetData sheetId="17514"/>
      <sheetData sheetId="17515"/>
      <sheetData sheetId="17516">
        <row r="1">
          <cell r="J1">
            <v>1.7453292519943295E-2</v>
          </cell>
        </row>
      </sheetData>
      <sheetData sheetId="17517">
        <row r="1">
          <cell r="J1">
            <v>1.7453292519943295E-2</v>
          </cell>
        </row>
      </sheetData>
      <sheetData sheetId="17518">
        <row r="1">
          <cell r="J1">
            <v>1.7453292519943295E-2</v>
          </cell>
        </row>
      </sheetData>
      <sheetData sheetId="17519"/>
      <sheetData sheetId="17520"/>
      <sheetData sheetId="17521"/>
      <sheetData sheetId="17522">
        <row r="1">
          <cell r="J1">
            <v>1.7453292519943295E-2</v>
          </cell>
        </row>
      </sheetData>
      <sheetData sheetId="17523">
        <row r="1">
          <cell r="J1">
            <v>1.7453292519943295E-2</v>
          </cell>
        </row>
      </sheetData>
      <sheetData sheetId="17524">
        <row r="2">
          <cell r="B2">
            <v>1</v>
          </cell>
        </row>
      </sheetData>
      <sheetData sheetId="17525">
        <row r="1">
          <cell r="J1">
            <v>1.7453292519943295E-2</v>
          </cell>
        </row>
      </sheetData>
      <sheetData sheetId="17526">
        <row r="1">
          <cell r="J1">
            <v>1.7453292519943295E-2</v>
          </cell>
        </row>
      </sheetData>
      <sheetData sheetId="17527">
        <row r="1">
          <cell r="J1">
            <v>1.7453292519943295E-2</v>
          </cell>
        </row>
      </sheetData>
      <sheetData sheetId="17528">
        <row r="1">
          <cell r="J1">
            <v>1.7453292519943295E-2</v>
          </cell>
        </row>
      </sheetData>
      <sheetData sheetId="17529">
        <row r="1">
          <cell r="J1">
            <v>1.7453292519943295E-2</v>
          </cell>
        </row>
      </sheetData>
      <sheetData sheetId="17530">
        <row r="1">
          <cell r="J1">
            <v>1.7453292519943295E-2</v>
          </cell>
        </row>
      </sheetData>
      <sheetData sheetId="17531">
        <row r="1">
          <cell r="J1">
            <v>1.7453292519943295E-2</v>
          </cell>
        </row>
      </sheetData>
      <sheetData sheetId="17532">
        <row r="1">
          <cell r="J1">
            <v>1.7453292519943295E-2</v>
          </cell>
        </row>
      </sheetData>
      <sheetData sheetId="17533">
        <row r="1">
          <cell r="J1">
            <v>1.7453292519943295E-2</v>
          </cell>
        </row>
      </sheetData>
      <sheetData sheetId="17534">
        <row r="1">
          <cell r="J1">
            <v>1.7453292519943295E-2</v>
          </cell>
        </row>
      </sheetData>
      <sheetData sheetId="17535" refreshError="1"/>
      <sheetData sheetId="17536" refreshError="1"/>
      <sheetData sheetId="17537">
        <row r="1">
          <cell r="J1">
            <v>1.7453292519943295E-2</v>
          </cell>
        </row>
      </sheetData>
      <sheetData sheetId="17538"/>
      <sheetData sheetId="17539"/>
      <sheetData sheetId="17540" refreshError="1"/>
      <sheetData sheetId="17541">
        <row r="1">
          <cell r="J1">
            <v>1.7453292519943295E-2</v>
          </cell>
        </row>
      </sheetData>
      <sheetData sheetId="17542">
        <row r="1">
          <cell r="J1">
            <v>1.7453292519943295E-2</v>
          </cell>
        </row>
      </sheetData>
      <sheetData sheetId="17543">
        <row r="1">
          <cell r="J1">
            <v>1.7453292519943295E-2</v>
          </cell>
        </row>
      </sheetData>
      <sheetData sheetId="17544" refreshError="1"/>
      <sheetData sheetId="17545" refreshError="1"/>
      <sheetData sheetId="17546">
        <row r="1">
          <cell r="J1">
            <v>1.7453292519943295E-2</v>
          </cell>
        </row>
      </sheetData>
      <sheetData sheetId="17547">
        <row r="1">
          <cell r="J1">
            <v>1.7453292519943295E-2</v>
          </cell>
        </row>
      </sheetData>
      <sheetData sheetId="17548">
        <row r="1">
          <cell r="J1">
            <v>1.7453292519943295E-2</v>
          </cell>
        </row>
      </sheetData>
      <sheetData sheetId="17549" refreshError="1"/>
      <sheetData sheetId="17550"/>
      <sheetData sheetId="17551">
        <row r="1">
          <cell r="J1">
            <v>1.7453292519943295E-2</v>
          </cell>
        </row>
      </sheetData>
      <sheetData sheetId="17552" refreshError="1"/>
      <sheetData sheetId="17553" refreshError="1"/>
      <sheetData sheetId="17554">
        <row r="1">
          <cell r="J1">
            <v>1.7453292519943295E-2</v>
          </cell>
        </row>
      </sheetData>
      <sheetData sheetId="17555">
        <row r="1">
          <cell r="J1">
            <v>1.7453292519943295E-2</v>
          </cell>
        </row>
      </sheetData>
      <sheetData sheetId="17556"/>
      <sheetData sheetId="17557" refreshError="1"/>
      <sheetData sheetId="17558" refreshError="1"/>
      <sheetData sheetId="17559" refreshError="1"/>
      <sheetData sheetId="17560">
        <row r="1">
          <cell r="J1">
            <v>1.7453292519943295E-2</v>
          </cell>
        </row>
      </sheetData>
      <sheetData sheetId="17561" refreshError="1"/>
      <sheetData sheetId="17562">
        <row r="1">
          <cell r="J1">
            <v>1.7453292519943295E-2</v>
          </cell>
        </row>
      </sheetData>
      <sheetData sheetId="17563">
        <row r="1">
          <cell r="J1">
            <v>1.7453292519943295E-2</v>
          </cell>
        </row>
      </sheetData>
      <sheetData sheetId="17564">
        <row r="1">
          <cell r="J1">
            <v>1.7453292519943295E-2</v>
          </cell>
        </row>
      </sheetData>
      <sheetData sheetId="17565">
        <row r="1">
          <cell r="J1">
            <v>1.7453292519943295E-2</v>
          </cell>
        </row>
      </sheetData>
      <sheetData sheetId="17566">
        <row r="1">
          <cell r="J1">
            <v>1.7453292519943295E-2</v>
          </cell>
        </row>
      </sheetData>
      <sheetData sheetId="17567">
        <row r="1">
          <cell r="J1">
            <v>1.7453292519943295E-2</v>
          </cell>
        </row>
      </sheetData>
      <sheetData sheetId="17568">
        <row r="1">
          <cell r="J1">
            <v>1.7453292519943295E-2</v>
          </cell>
        </row>
      </sheetData>
      <sheetData sheetId="17569">
        <row r="1">
          <cell r="J1">
            <v>1.7453292519943295E-2</v>
          </cell>
        </row>
      </sheetData>
      <sheetData sheetId="17570">
        <row r="1">
          <cell r="J1">
            <v>1.7453292519943295E-2</v>
          </cell>
        </row>
      </sheetData>
      <sheetData sheetId="17571"/>
      <sheetData sheetId="17572"/>
      <sheetData sheetId="17573">
        <row r="1">
          <cell r="J1">
            <v>1.7453292519943295E-2</v>
          </cell>
        </row>
      </sheetData>
      <sheetData sheetId="17574">
        <row r="1">
          <cell r="J1">
            <v>1.7453292519943295E-2</v>
          </cell>
        </row>
      </sheetData>
      <sheetData sheetId="17575">
        <row r="1">
          <cell r="J1">
            <v>1.7453292519943295E-2</v>
          </cell>
        </row>
      </sheetData>
      <sheetData sheetId="17576">
        <row r="1">
          <cell r="J1">
            <v>1.7453292519943295E-2</v>
          </cell>
        </row>
      </sheetData>
      <sheetData sheetId="17577">
        <row r="1">
          <cell r="J1">
            <v>1.7453292519943295E-2</v>
          </cell>
        </row>
      </sheetData>
      <sheetData sheetId="17578">
        <row r="1">
          <cell r="J1">
            <v>1.7453292519943295E-2</v>
          </cell>
        </row>
      </sheetData>
      <sheetData sheetId="17579">
        <row r="1">
          <cell r="J1">
            <v>1.7453292519943295E-2</v>
          </cell>
        </row>
      </sheetData>
      <sheetData sheetId="17580">
        <row r="1">
          <cell r="J1">
            <v>1.7453292519943295E-2</v>
          </cell>
        </row>
      </sheetData>
      <sheetData sheetId="17581">
        <row r="1">
          <cell r="J1">
            <v>1.7453292519943295E-2</v>
          </cell>
        </row>
      </sheetData>
      <sheetData sheetId="17582">
        <row r="1">
          <cell r="J1">
            <v>1.7453292519943295E-2</v>
          </cell>
        </row>
      </sheetData>
      <sheetData sheetId="17583">
        <row r="1">
          <cell r="J1">
            <v>1.7453292519943295E-2</v>
          </cell>
        </row>
      </sheetData>
      <sheetData sheetId="17584" refreshError="1"/>
      <sheetData sheetId="17585" refreshError="1"/>
      <sheetData sheetId="17586"/>
      <sheetData sheetId="17587"/>
      <sheetData sheetId="17588" refreshError="1"/>
      <sheetData sheetId="17589">
        <row r="1">
          <cell r="J1">
            <v>1.7453292519943295E-2</v>
          </cell>
        </row>
      </sheetData>
      <sheetData sheetId="17590">
        <row r="1">
          <cell r="J1">
            <v>1.7453292519943295E-2</v>
          </cell>
        </row>
      </sheetData>
      <sheetData sheetId="17591">
        <row r="1">
          <cell r="J1">
            <v>1.7453292519943295E-2</v>
          </cell>
        </row>
      </sheetData>
      <sheetData sheetId="17592" refreshError="1"/>
      <sheetData sheetId="17593">
        <row r="1">
          <cell r="J1">
            <v>1.7453292519943295E-2</v>
          </cell>
        </row>
      </sheetData>
      <sheetData sheetId="17594" refreshError="1"/>
      <sheetData sheetId="17595" refreshError="1"/>
      <sheetData sheetId="17596"/>
      <sheetData sheetId="17597">
        <row r="1">
          <cell r="J1">
            <v>1.7453292519943295E-2</v>
          </cell>
        </row>
      </sheetData>
      <sheetData sheetId="17598" refreshError="1"/>
      <sheetData sheetId="17599" refreshError="1"/>
      <sheetData sheetId="17600">
        <row r="1">
          <cell r="J1">
            <v>1.7453292519943295E-2</v>
          </cell>
        </row>
      </sheetData>
      <sheetData sheetId="17601"/>
      <sheetData sheetId="17602"/>
      <sheetData sheetId="17603"/>
      <sheetData sheetId="17604">
        <row r="1">
          <cell r="J1">
            <v>1.7453292519943295E-2</v>
          </cell>
        </row>
      </sheetData>
      <sheetData sheetId="17605" refreshError="1"/>
      <sheetData sheetId="17606" refreshError="1"/>
      <sheetData sheetId="17607">
        <row r="1">
          <cell r="J1">
            <v>1.7453292519943295E-2</v>
          </cell>
        </row>
      </sheetData>
      <sheetData sheetId="17608"/>
      <sheetData sheetId="17609" refreshError="1"/>
      <sheetData sheetId="17610" refreshError="1"/>
      <sheetData sheetId="17611" refreshError="1"/>
      <sheetData sheetId="17612"/>
      <sheetData sheetId="17613"/>
      <sheetData sheetId="17614" refreshError="1"/>
      <sheetData sheetId="17615" refreshError="1"/>
      <sheetData sheetId="17616">
        <row r="1">
          <cell r="J1">
            <v>1.7453292519943295E-2</v>
          </cell>
        </row>
      </sheetData>
      <sheetData sheetId="17617">
        <row r="1">
          <cell r="J1">
            <v>1.7453292519943295E-2</v>
          </cell>
        </row>
      </sheetData>
      <sheetData sheetId="17618">
        <row r="1">
          <cell r="J1">
            <v>1.7453292519943295E-2</v>
          </cell>
        </row>
      </sheetData>
      <sheetData sheetId="17619">
        <row r="1">
          <cell r="J1">
            <v>1.7453292519943295E-2</v>
          </cell>
        </row>
      </sheetData>
      <sheetData sheetId="17620">
        <row r="1">
          <cell r="J1">
            <v>1.7453292519943295E-2</v>
          </cell>
        </row>
      </sheetData>
      <sheetData sheetId="17621">
        <row r="1">
          <cell r="J1">
            <v>1.7453292519943295E-2</v>
          </cell>
        </row>
      </sheetData>
      <sheetData sheetId="17622">
        <row r="1">
          <cell r="J1">
            <v>1.7453292519943295E-2</v>
          </cell>
        </row>
      </sheetData>
      <sheetData sheetId="17623">
        <row r="1">
          <cell r="J1">
            <v>1.7453292519943295E-2</v>
          </cell>
        </row>
      </sheetData>
      <sheetData sheetId="17624">
        <row r="1">
          <cell r="J1">
            <v>1.7453292519943295E-2</v>
          </cell>
        </row>
      </sheetData>
      <sheetData sheetId="17625">
        <row r="1">
          <cell r="J1">
            <v>1.7453292519943295E-2</v>
          </cell>
        </row>
      </sheetData>
      <sheetData sheetId="17626">
        <row r="1">
          <cell r="J1">
            <v>1.7453292519943295E-2</v>
          </cell>
        </row>
      </sheetData>
      <sheetData sheetId="17627">
        <row r="1">
          <cell r="J1">
            <v>1.7453292519943295E-2</v>
          </cell>
        </row>
      </sheetData>
      <sheetData sheetId="17628">
        <row r="1">
          <cell r="J1">
            <v>1.7453292519943295E-2</v>
          </cell>
        </row>
      </sheetData>
      <sheetData sheetId="17629">
        <row r="1">
          <cell r="J1">
            <v>1.7453292519943295E-2</v>
          </cell>
        </row>
      </sheetData>
      <sheetData sheetId="17630">
        <row r="1">
          <cell r="J1">
            <v>1.7453292519943295E-2</v>
          </cell>
        </row>
      </sheetData>
      <sheetData sheetId="17631">
        <row r="1">
          <cell r="J1">
            <v>1.7453292519943295E-2</v>
          </cell>
        </row>
      </sheetData>
      <sheetData sheetId="17632">
        <row r="1">
          <cell r="J1">
            <v>1.7453292519943295E-2</v>
          </cell>
        </row>
      </sheetData>
      <sheetData sheetId="17633">
        <row r="1">
          <cell r="J1">
            <v>1.7453292519943295E-2</v>
          </cell>
        </row>
      </sheetData>
      <sheetData sheetId="17634">
        <row r="1">
          <cell r="J1">
            <v>1.7453292519943295E-2</v>
          </cell>
        </row>
      </sheetData>
      <sheetData sheetId="17635">
        <row r="1">
          <cell r="J1">
            <v>1.7453292519943295E-2</v>
          </cell>
        </row>
      </sheetData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>
        <row r="1">
          <cell r="J1">
            <v>1.7453292519943295E-2</v>
          </cell>
        </row>
      </sheetData>
      <sheetData sheetId="17643">
        <row r="1">
          <cell r="J1">
            <v>1.7453292519943295E-2</v>
          </cell>
        </row>
      </sheetData>
      <sheetData sheetId="17644">
        <row r="1">
          <cell r="J1">
            <v>1.7453292519943295E-2</v>
          </cell>
        </row>
      </sheetData>
      <sheetData sheetId="17645">
        <row r="1">
          <cell r="J1">
            <v>1.7453292519943295E-2</v>
          </cell>
        </row>
      </sheetData>
      <sheetData sheetId="17646">
        <row r="1">
          <cell r="J1">
            <v>1.7453292519943295E-2</v>
          </cell>
        </row>
      </sheetData>
      <sheetData sheetId="17647">
        <row r="1">
          <cell r="J1">
            <v>1.7453292519943295E-2</v>
          </cell>
        </row>
      </sheetData>
      <sheetData sheetId="17648">
        <row r="1">
          <cell r="J1">
            <v>1.7453292519943295E-2</v>
          </cell>
        </row>
      </sheetData>
      <sheetData sheetId="17649">
        <row r="1">
          <cell r="J1">
            <v>1.7453292519943295E-2</v>
          </cell>
        </row>
      </sheetData>
      <sheetData sheetId="17650">
        <row r="1">
          <cell r="J1">
            <v>1.7453292519943295E-2</v>
          </cell>
        </row>
      </sheetData>
      <sheetData sheetId="17651">
        <row r="1">
          <cell r="J1">
            <v>1.7453292519943295E-2</v>
          </cell>
        </row>
      </sheetData>
      <sheetData sheetId="17652">
        <row r="1">
          <cell r="J1">
            <v>1.7453292519943295E-2</v>
          </cell>
        </row>
      </sheetData>
      <sheetData sheetId="17653">
        <row r="1">
          <cell r="J1">
            <v>1.7453292519943295E-2</v>
          </cell>
        </row>
      </sheetData>
      <sheetData sheetId="17654">
        <row r="1">
          <cell r="J1">
            <v>1.7453292519943295E-2</v>
          </cell>
        </row>
      </sheetData>
      <sheetData sheetId="17655">
        <row r="1">
          <cell r="J1">
            <v>1.7453292519943295E-2</v>
          </cell>
        </row>
      </sheetData>
      <sheetData sheetId="17656">
        <row r="1">
          <cell r="J1">
            <v>1.7453292519943295E-2</v>
          </cell>
        </row>
      </sheetData>
      <sheetData sheetId="17657">
        <row r="1">
          <cell r="J1">
            <v>1.7453292519943295E-2</v>
          </cell>
        </row>
      </sheetData>
      <sheetData sheetId="17658">
        <row r="1">
          <cell r="J1">
            <v>1.7453292519943295E-2</v>
          </cell>
        </row>
      </sheetData>
      <sheetData sheetId="17659">
        <row r="1">
          <cell r="J1">
            <v>1.7453292519943295E-2</v>
          </cell>
        </row>
      </sheetData>
      <sheetData sheetId="17660">
        <row r="1">
          <cell r="J1">
            <v>1.7453292519943295E-2</v>
          </cell>
        </row>
      </sheetData>
      <sheetData sheetId="17661">
        <row r="1">
          <cell r="J1">
            <v>1.7453292519943295E-2</v>
          </cell>
        </row>
      </sheetData>
      <sheetData sheetId="17662" refreshError="1"/>
      <sheetData sheetId="17663" refreshError="1"/>
      <sheetData sheetId="17664">
        <row r="1">
          <cell r="J1">
            <v>1.7453292519943295E-2</v>
          </cell>
        </row>
      </sheetData>
      <sheetData sheetId="17665">
        <row r="1">
          <cell r="J1">
            <v>1.7453292519943295E-2</v>
          </cell>
        </row>
      </sheetData>
      <sheetData sheetId="17666">
        <row r="1">
          <cell r="J1">
            <v>1.7453292519943295E-2</v>
          </cell>
        </row>
      </sheetData>
      <sheetData sheetId="17667">
        <row r="1">
          <cell r="J1">
            <v>1.7453292519943295E-2</v>
          </cell>
        </row>
      </sheetData>
      <sheetData sheetId="17668">
        <row r="1">
          <cell r="J1">
            <v>1.7453292519943295E-2</v>
          </cell>
        </row>
      </sheetData>
      <sheetData sheetId="17669">
        <row r="1">
          <cell r="J1">
            <v>1.7453292519943295E-2</v>
          </cell>
        </row>
      </sheetData>
      <sheetData sheetId="17670">
        <row r="1">
          <cell r="J1">
            <v>1.7453292519943295E-2</v>
          </cell>
        </row>
      </sheetData>
      <sheetData sheetId="17671">
        <row r="1">
          <cell r="J1">
            <v>1.7453292519943295E-2</v>
          </cell>
        </row>
      </sheetData>
      <sheetData sheetId="17672">
        <row r="1">
          <cell r="J1">
            <v>1.7453292519943295E-2</v>
          </cell>
        </row>
      </sheetData>
      <sheetData sheetId="17673">
        <row r="1">
          <cell r="J1">
            <v>1.7453292519943295E-2</v>
          </cell>
        </row>
      </sheetData>
      <sheetData sheetId="17674">
        <row r="1">
          <cell r="J1">
            <v>1.7453292519943295E-2</v>
          </cell>
        </row>
      </sheetData>
      <sheetData sheetId="17675">
        <row r="1">
          <cell r="J1">
            <v>1.7453292519943295E-2</v>
          </cell>
        </row>
      </sheetData>
      <sheetData sheetId="17676">
        <row r="1">
          <cell r="J1">
            <v>1.7453292519943295E-2</v>
          </cell>
        </row>
      </sheetData>
      <sheetData sheetId="17677">
        <row r="1">
          <cell r="J1">
            <v>1.7453292519943295E-2</v>
          </cell>
        </row>
      </sheetData>
      <sheetData sheetId="17678">
        <row r="1">
          <cell r="J1">
            <v>1.7453292519943295E-2</v>
          </cell>
        </row>
      </sheetData>
      <sheetData sheetId="17679">
        <row r="1">
          <cell r="J1">
            <v>1.7453292519943295E-2</v>
          </cell>
        </row>
      </sheetData>
      <sheetData sheetId="17680">
        <row r="1">
          <cell r="J1">
            <v>1.7453292519943295E-2</v>
          </cell>
        </row>
      </sheetData>
      <sheetData sheetId="17681">
        <row r="1">
          <cell r="J1">
            <v>1.7453292519943295E-2</v>
          </cell>
        </row>
      </sheetData>
      <sheetData sheetId="17682">
        <row r="1">
          <cell r="J1">
            <v>1.7453292519943295E-2</v>
          </cell>
        </row>
      </sheetData>
      <sheetData sheetId="17683">
        <row r="1">
          <cell r="J1">
            <v>1.7453292519943295E-2</v>
          </cell>
        </row>
      </sheetData>
      <sheetData sheetId="17684" refreshError="1"/>
      <sheetData sheetId="17685" refreshError="1"/>
      <sheetData sheetId="17686">
        <row r="1">
          <cell r="J1">
            <v>1.7453292519943295E-2</v>
          </cell>
        </row>
      </sheetData>
      <sheetData sheetId="17687">
        <row r="1">
          <cell r="J1">
            <v>1.7453292519943295E-2</v>
          </cell>
        </row>
      </sheetData>
      <sheetData sheetId="17688">
        <row r="1">
          <cell r="J1">
            <v>1.7453292519943295E-2</v>
          </cell>
        </row>
      </sheetData>
      <sheetData sheetId="17689">
        <row r="1">
          <cell r="J1">
            <v>1.7453292519943295E-2</v>
          </cell>
        </row>
      </sheetData>
      <sheetData sheetId="17690">
        <row r="1">
          <cell r="J1">
            <v>1.7453292519943295E-2</v>
          </cell>
        </row>
      </sheetData>
      <sheetData sheetId="17691">
        <row r="1">
          <cell r="J1">
            <v>1.7453292519943295E-2</v>
          </cell>
        </row>
      </sheetData>
      <sheetData sheetId="17692">
        <row r="1">
          <cell r="J1">
            <v>1.7453292519943295E-2</v>
          </cell>
        </row>
      </sheetData>
      <sheetData sheetId="17693">
        <row r="1">
          <cell r="J1">
            <v>1.7453292519943295E-2</v>
          </cell>
        </row>
      </sheetData>
      <sheetData sheetId="17694">
        <row r="1">
          <cell r="J1">
            <v>1.7453292519943295E-2</v>
          </cell>
        </row>
      </sheetData>
      <sheetData sheetId="17695">
        <row r="1">
          <cell r="J1">
            <v>1.7453292519943295E-2</v>
          </cell>
        </row>
      </sheetData>
      <sheetData sheetId="17696">
        <row r="1">
          <cell r="J1">
            <v>1.7453292519943295E-2</v>
          </cell>
        </row>
      </sheetData>
      <sheetData sheetId="17697">
        <row r="1">
          <cell r="J1">
            <v>1.7453292519943295E-2</v>
          </cell>
        </row>
      </sheetData>
      <sheetData sheetId="17698">
        <row r="1">
          <cell r="J1">
            <v>1.7453292519943295E-2</v>
          </cell>
        </row>
      </sheetData>
      <sheetData sheetId="17699">
        <row r="1">
          <cell r="J1">
            <v>1.7453292519943295E-2</v>
          </cell>
        </row>
      </sheetData>
      <sheetData sheetId="17700">
        <row r="1">
          <cell r="J1">
            <v>1.7453292519943295E-2</v>
          </cell>
        </row>
      </sheetData>
      <sheetData sheetId="17701">
        <row r="1">
          <cell r="J1">
            <v>1.7453292519943295E-2</v>
          </cell>
        </row>
      </sheetData>
      <sheetData sheetId="17702">
        <row r="1">
          <cell r="J1">
            <v>1.7453292519943295E-2</v>
          </cell>
        </row>
      </sheetData>
      <sheetData sheetId="17703">
        <row r="1">
          <cell r="J1">
            <v>1.7453292519943295E-2</v>
          </cell>
        </row>
      </sheetData>
      <sheetData sheetId="17704">
        <row r="1">
          <cell r="J1">
            <v>1.7453292519943295E-2</v>
          </cell>
        </row>
      </sheetData>
      <sheetData sheetId="17705">
        <row r="1">
          <cell r="J1">
            <v>1.7453292519943295E-2</v>
          </cell>
        </row>
      </sheetData>
      <sheetData sheetId="17706" refreshError="1"/>
      <sheetData sheetId="17707" refreshError="1"/>
      <sheetData sheetId="17708">
        <row r="1">
          <cell r="J1">
            <v>1.7453292519943295E-2</v>
          </cell>
        </row>
      </sheetData>
      <sheetData sheetId="17709">
        <row r="1">
          <cell r="J1">
            <v>1.7453292519943295E-2</v>
          </cell>
        </row>
      </sheetData>
      <sheetData sheetId="17710">
        <row r="1">
          <cell r="J1">
            <v>1.7453292519943295E-2</v>
          </cell>
        </row>
      </sheetData>
      <sheetData sheetId="17711">
        <row r="1">
          <cell r="J1">
            <v>1.7453292519943295E-2</v>
          </cell>
        </row>
      </sheetData>
      <sheetData sheetId="17712">
        <row r="1">
          <cell r="J1">
            <v>1.7453292519943295E-2</v>
          </cell>
        </row>
      </sheetData>
      <sheetData sheetId="17713">
        <row r="1">
          <cell r="J1">
            <v>1.7453292519943295E-2</v>
          </cell>
        </row>
      </sheetData>
      <sheetData sheetId="17714">
        <row r="1">
          <cell r="J1">
            <v>1.7453292519943295E-2</v>
          </cell>
        </row>
      </sheetData>
      <sheetData sheetId="17715">
        <row r="1">
          <cell r="J1">
            <v>1.7453292519943295E-2</v>
          </cell>
        </row>
      </sheetData>
      <sheetData sheetId="17716">
        <row r="1">
          <cell r="J1">
            <v>1.7453292519943295E-2</v>
          </cell>
        </row>
      </sheetData>
      <sheetData sheetId="17717">
        <row r="1">
          <cell r="J1">
            <v>1.7453292519943295E-2</v>
          </cell>
        </row>
      </sheetData>
      <sheetData sheetId="17718">
        <row r="1">
          <cell r="J1">
            <v>1.7453292519943295E-2</v>
          </cell>
        </row>
      </sheetData>
      <sheetData sheetId="17719">
        <row r="1">
          <cell r="J1">
            <v>1.7453292519943295E-2</v>
          </cell>
        </row>
      </sheetData>
      <sheetData sheetId="17720">
        <row r="1">
          <cell r="J1">
            <v>1.7453292519943295E-2</v>
          </cell>
        </row>
      </sheetData>
      <sheetData sheetId="17721">
        <row r="1">
          <cell r="J1">
            <v>1.7453292519943295E-2</v>
          </cell>
        </row>
      </sheetData>
      <sheetData sheetId="17722">
        <row r="1">
          <cell r="J1">
            <v>1.7453292519943295E-2</v>
          </cell>
        </row>
      </sheetData>
      <sheetData sheetId="17723">
        <row r="1">
          <cell r="J1">
            <v>1.7453292519943295E-2</v>
          </cell>
        </row>
      </sheetData>
      <sheetData sheetId="17724">
        <row r="1">
          <cell r="J1">
            <v>1.7453292519943295E-2</v>
          </cell>
        </row>
      </sheetData>
      <sheetData sheetId="17725">
        <row r="1">
          <cell r="J1">
            <v>1.7453292519943295E-2</v>
          </cell>
        </row>
      </sheetData>
      <sheetData sheetId="17726">
        <row r="1">
          <cell r="J1">
            <v>1.7453292519943295E-2</v>
          </cell>
        </row>
      </sheetData>
      <sheetData sheetId="17727">
        <row r="1">
          <cell r="J1">
            <v>1.7453292519943295E-2</v>
          </cell>
        </row>
      </sheetData>
      <sheetData sheetId="17728" refreshError="1"/>
      <sheetData sheetId="17729" refreshError="1"/>
      <sheetData sheetId="17730">
        <row r="1">
          <cell r="J1">
            <v>1.7453292519943295E-2</v>
          </cell>
        </row>
      </sheetData>
      <sheetData sheetId="17731">
        <row r="1">
          <cell r="J1">
            <v>1.7453292519943295E-2</v>
          </cell>
        </row>
      </sheetData>
      <sheetData sheetId="17732">
        <row r="1">
          <cell r="J1">
            <v>1.7453292519943295E-2</v>
          </cell>
        </row>
      </sheetData>
      <sheetData sheetId="17733">
        <row r="1">
          <cell r="J1">
            <v>1.7453292519943295E-2</v>
          </cell>
        </row>
      </sheetData>
      <sheetData sheetId="17734">
        <row r="1">
          <cell r="J1">
            <v>1.7453292519943295E-2</v>
          </cell>
        </row>
      </sheetData>
      <sheetData sheetId="17735">
        <row r="1">
          <cell r="J1">
            <v>1.7453292519943295E-2</v>
          </cell>
        </row>
      </sheetData>
      <sheetData sheetId="17736">
        <row r="1">
          <cell r="J1">
            <v>1.7453292519943295E-2</v>
          </cell>
        </row>
      </sheetData>
      <sheetData sheetId="17737">
        <row r="1">
          <cell r="J1">
            <v>1.7453292519943295E-2</v>
          </cell>
        </row>
      </sheetData>
      <sheetData sheetId="17738">
        <row r="1">
          <cell r="J1">
            <v>1.7453292519943295E-2</v>
          </cell>
        </row>
      </sheetData>
      <sheetData sheetId="17739">
        <row r="1">
          <cell r="J1">
            <v>1.7453292519943295E-2</v>
          </cell>
        </row>
      </sheetData>
      <sheetData sheetId="17740">
        <row r="1">
          <cell r="J1">
            <v>1.7453292519943295E-2</v>
          </cell>
        </row>
      </sheetData>
      <sheetData sheetId="17741">
        <row r="1">
          <cell r="J1">
            <v>1.7453292519943295E-2</v>
          </cell>
        </row>
      </sheetData>
      <sheetData sheetId="17742">
        <row r="1">
          <cell r="J1">
            <v>1.7453292519943295E-2</v>
          </cell>
        </row>
      </sheetData>
      <sheetData sheetId="17743">
        <row r="1">
          <cell r="J1">
            <v>1.7453292519943295E-2</v>
          </cell>
        </row>
      </sheetData>
      <sheetData sheetId="17744">
        <row r="1">
          <cell r="J1">
            <v>1.7453292519943295E-2</v>
          </cell>
        </row>
      </sheetData>
      <sheetData sheetId="17745">
        <row r="1">
          <cell r="J1">
            <v>1.7453292519943295E-2</v>
          </cell>
        </row>
      </sheetData>
      <sheetData sheetId="17746">
        <row r="1">
          <cell r="J1">
            <v>1.7453292519943295E-2</v>
          </cell>
        </row>
      </sheetData>
      <sheetData sheetId="17747">
        <row r="1">
          <cell r="J1">
            <v>1.7453292519943295E-2</v>
          </cell>
        </row>
      </sheetData>
      <sheetData sheetId="17748">
        <row r="1">
          <cell r="J1">
            <v>1.7453292519943295E-2</v>
          </cell>
        </row>
      </sheetData>
      <sheetData sheetId="17749">
        <row r="1">
          <cell r="J1">
            <v>1.7453292519943295E-2</v>
          </cell>
        </row>
      </sheetData>
      <sheetData sheetId="17750" refreshError="1"/>
      <sheetData sheetId="17751" refreshError="1"/>
      <sheetData sheetId="17752" refreshError="1"/>
      <sheetData sheetId="17753"/>
      <sheetData sheetId="17754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>
        <row r="1">
          <cell r="J1">
            <v>1.7453292519943295E-2</v>
          </cell>
        </row>
      </sheetData>
      <sheetData sheetId="17761"/>
      <sheetData sheetId="17762">
        <row r="1">
          <cell r="J1">
            <v>1.7453292519943295E-2</v>
          </cell>
        </row>
      </sheetData>
      <sheetData sheetId="17763"/>
      <sheetData sheetId="17764" refreshError="1"/>
      <sheetData sheetId="17765" refreshError="1"/>
      <sheetData sheetId="17766" refreshError="1"/>
      <sheetData sheetId="17767">
        <row r="1">
          <cell r="J1">
            <v>1.7453292519943295E-2</v>
          </cell>
        </row>
      </sheetData>
      <sheetData sheetId="17768">
        <row r="1">
          <cell r="J1">
            <v>1.7453292519943295E-2</v>
          </cell>
        </row>
      </sheetData>
      <sheetData sheetId="17769">
        <row r="1">
          <cell r="J1">
            <v>1.7453292519943295E-2</v>
          </cell>
        </row>
      </sheetData>
      <sheetData sheetId="17770">
        <row r="1">
          <cell r="J1">
            <v>1.7453292519943295E-2</v>
          </cell>
        </row>
      </sheetData>
      <sheetData sheetId="17771">
        <row r="1">
          <cell r="J1">
            <v>1.7453292519943295E-2</v>
          </cell>
        </row>
      </sheetData>
      <sheetData sheetId="17772">
        <row r="1">
          <cell r="J1">
            <v>1.7453292519943295E-2</v>
          </cell>
        </row>
      </sheetData>
      <sheetData sheetId="17773">
        <row r="1">
          <cell r="J1">
            <v>1.7453292519943295E-2</v>
          </cell>
        </row>
      </sheetData>
      <sheetData sheetId="17774">
        <row r="1">
          <cell r="J1">
            <v>1.7453292519943295E-2</v>
          </cell>
        </row>
      </sheetData>
      <sheetData sheetId="17775">
        <row r="1">
          <cell r="J1">
            <v>1.7453292519943295E-2</v>
          </cell>
        </row>
      </sheetData>
      <sheetData sheetId="17776">
        <row r="1">
          <cell r="J1">
            <v>1.7453292519943295E-2</v>
          </cell>
        </row>
      </sheetData>
      <sheetData sheetId="17777">
        <row r="1">
          <cell r="J1">
            <v>1.7453292519943295E-2</v>
          </cell>
        </row>
      </sheetData>
      <sheetData sheetId="17778">
        <row r="1">
          <cell r="J1">
            <v>1.7453292519943295E-2</v>
          </cell>
        </row>
      </sheetData>
      <sheetData sheetId="17779">
        <row r="1">
          <cell r="J1">
            <v>1.7453292519943295E-2</v>
          </cell>
        </row>
      </sheetData>
      <sheetData sheetId="17780">
        <row r="1">
          <cell r="J1">
            <v>1.7453292519943295E-2</v>
          </cell>
        </row>
      </sheetData>
      <sheetData sheetId="17781">
        <row r="1">
          <cell r="J1">
            <v>1.7453292519943295E-2</v>
          </cell>
        </row>
      </sheetData>
      <sheetData sheetId="17782">
        <row r="1">
          <cell r="J1">
            <v>1.7453292519943295E-2</v>
          </cell>
        </row>
      </sheetData>
      <sheetData sheetId="17783">
        <row r="1">
          <cell r="J1">
            <v>1.7453292519943295E-2</v>
          </cell>
        </row>
      </sheetData>
      <sheetData sheetId="17784">
        <row r="1">
          <cell r="J1">
            <v>1.7453292519943295E-2</v>
          </cell>
        </row>
      </sheetData>
      <sheetData sheetId="17785">
        <row r="1">
          <cell r="J1">
            <v>1.7453292519943295E-2</v>
          </cell>
        </row>
      </sheetData>
      <sheetData sheetId="17786">
        <row r="1">
          <cell r="J1">
            <v>1.7453292519943295E-2</v>
          </cell>
        </row>
      </sheetData>
      <sheetData sheetId="17787">
        <row r="1">
          <cell r="J1">
            <v>1.7453292519943295E-2</v>
          </cell>
        </row>
      </sheetData>
      <sheetData sheetId="17788">
        <row r="1">
          <cell r="J1">
            <v>1.7453292519943295E-2</v>
          </cell>
        </row>
      </sheetData>
      <sheetData sheetId="17789">
        <row r="1">
          <cell r="J1">
            <v>1.7453292519943295E-2</v>
          </cell>
        </row>
      </sheetData>
      <sheetData sheetId="17790">
        <row r="1">
          <cell r="J1">
            <v>1.7453292519943295E-2</v>
          </cell>
        </row>
      </sheetData>
      <sheetData sheetId="17791">
        <row r="1">
          <cell r="J1">
            <v>1.7453292519943295E-2</v>
          </cell>
        </row>
      </sheetData>
      <sheetData sheetId="17792">
        <row r="1">
          <cell r="J1">
            <v>1.7453292519943295E-2</v>
          </cell>
        </row>
      </sheetData>
      <sheetData sheetId="17793">
        <row r="1">
          <cell r="J1">
            <v>1.7453292519943295E-2</v>
          </cell>
        </row>
      </sheetData>
      <sheetData sheetId="17794" refreshError="1"/>
      <sheetData sheetId="17795" refreshError="1"/>
      <sheetData sheetId="17796">
        <row r="1">
          <cell r="J1">
            <v>1.7453292519943295E-2</v>
          </cell>
        </row>
      </sheetData>
      <sheetData sheetId="17797" refreshError="1"/>
      <sheetData sheetId="17798"/>
      <sheetData sheetId="17799" refreshError="1"/>
      <sheetData sheetId="17800">
        <row r="1">
          <cell r="J1">
            <v>1.7453292519943295E-2</v>
          </cell>
        </row>
      </sheetData>
      <sheetData sheetId="17801">
        <row r="1">
          <cell r="J1">
            <v>1.7453292519943295E-2</v>
          </cell>
        </row>
      </sheetData>
      <sheetData sheetId="17802" refreshError="1"/>
      <sheetData sheetId="17803" refreshError="1"/>
      <sheetData sheetId="17804" refreshError="1"/>
      <sheetData sheetId="17805" refreshError="1"/>
      <sheetData sheetId="17806"/>
      <sheetData sheetId="17807"/>
      <sheetData sheetId="17808"/>
      <sheetData sheetId="17809">
        <row r="1">
          <cell r="J1">
            <v>1.7453292519943295E-2</v>
          </cell>
        </row>
      </sheetData>
      <sheetData sheetId="17810">
        <row r="1">
          <cell r="J1">
            <v>1.7453292519943295E-2</v>
          </cell>
        </row>
      </sheetData>
      <sheetData sheetId="17811">
        <row r="1">
          <cell r="J1">
            <v>1.7453292519943295E-2</v>
          </cell>
        </row>
      </sheetData>
      <sheetData sheetId="17812">
        <row r="1">
          <cell r="J1">
            <v>1.7453292519943295E-2</v>
          </cell>
        </row>
      </sheetData>
      <sheetData sheetId="17813">
        <row r="1">
          <cell r="J1">
            <v>1.7453292519943295E-2</v>
          </cell>
        </row>
      </sheetData>
      <sheetData sheetId="17814">
        <row r="1">
          <cell r="J1">
            <v>1.7453292519943295E-2</v>
          </cell>
        </row>
      </sheetData>
      <sheetData sheetId="17815">
        <row r="1">
          <cell r="J1">
            <v>1.7453292519943295E-2</v>
          </cell>
        </row>
      </sheetData>
      <sheetData sheetId="17816">
        <row r="1">
          <cell r="J1">
            <v>1.7453292519943295E-2</v>
          </cell>
        </row>
      </sheetData>
      <sheetData sheetId="17817">
        <row r="1">
          <cell r="J1">
            <v>1.7453292519943295E-2</v>
          </cell>
        </row>
      </sheetData>
      <sheetData sheetId="17818">
        <row r="1">
          <cell r="J1">
            <v>1.7453292519943295E-2</v>
          </cell>
        </row>
      </sheetData>
      <sheetData sheetId="17819">
        <row r="1">
          <cell r="J1">
            <v>1.7453292519943295E-2</v>
          </cell>
        </row>
      </sheetData>
      <sheetData sheetId="17820">
        <row r="1">
          <cell r="J1">
            <v>1.7453292519943295E-2</v>
          </cell>
        </row>
      </sheetData>
      <sheetData sheetId="17821">
        <row r="1">
          <cell r="J1">
            <v>1.7453292519943295E-2</v>
          </cell>
        </row>
      </sheetData>
      <sheetData sheetId="17822">
        <row r="1">
          <cell r="J1">
            <v>1.7453292519943295E-2</v>
          </cell>
        </row>
      </sheetData>
      <sheetData sheetId="17823"/>
      <sheetData sheetId="17824">
        <row r="1">
          <cell r="J1">
            <v>1.7453292519943295E-2</v>
          </cell>
        </row>
      </sheetData>
      <sheetData sheetId="17825">
        <row r="1">
          <cell r="J1">
            <v>1.7453292519943295E-2</v>
          </cell>
        </row>
      </sheetData>
      <sheetData sheetId="17826">
        <row r="1">
          <cell r="J1">
            <v>1.7453292519943295E-2</v>
          </cell>
        </row>
      </sheetData>
      <sheetData sheetId="17827">
        <row r="1">
          <cell r="J1">
            <v>1.7453292519943295E-2</v>
          </cell>
        </row>
      </sheetData>
      <sheetData sheetId="17828">
        <row r="1">
          <cell r="J1">
            <v>1.7453292519943295E-2</v>
          </cell>
        </row>
      </sheetData>
      <sheetData sheetId="17829">
        <row r="1">
          <cell r="J1">
            <v>1.7453292519943295E-2</v>
          </cell>
        </row>
      </sheetData>
      <sheetData sheetId="17830" refreshError="1"/>
      <sheetData sheetId="17831" refreshError="1"/>
      <sheetData sheetId="17832">
        <row r="1">
          <cell r="J1">
            <v>1.7453292519943295E-2</v>
          </cell>
        </row>
      </sheetData>
      <sheetData sheetId="17833"/>
      <sheetData sheetId="17834">
        <row r="1">
          <cell r="J1">
            <v>1.7453292519943295E-2</v>
          </cell>
        </row>
      </sheetData>
      <sheetData sheetId="17835" refreshError="1"/>
      <sheetData sheetId="17836"/>
      <sheetData sheetId="17837">
        <row r="1">
          <cell r="J1">
            <v>1.7453292519943295E-2</v>
          </cell>
        </row>
      </sheetData>
      <sheetData sheetId="17838"/>
      <sheetData sheetId="17839" refreshError="1"/>
      <sheetData sheetId="17840" refreshError="1"/>
      <sheetData sheetId="17841">
        <row r="1">
          <cell r="J1">
            <v>1.7453292519943295E-2</v>
          </cell>
        </row>
      </sheetData>
      <sheetData sheetId="17842">
        <row r="1">
          <cell r="J1">
            <v>1.7453292519943295E-2</v>
          </cell>
        </row>
      </sheetData>
      <sheetData sheetId="17843">
        <row r="1">
          <cell r="J1">
            <v>1.7453292519943295E-2</v>
          </cell>
        </row>
      </sheetData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>
        <row r="1">
          <cell r="J1">
            <v>1.7453292519943295E-2</v>
          </cell>
        </row>
      </sheetData>
      <sheetData sheetId="17850">
        <row r="1">
          <cell r="J1">
            <v>1.7453292519943295E-2</v>
          </cell>
        </row>
      </sheetData>
      <sheetData sheetId="17851">
        <row r="1">
          <cell r="J1">
            <v>1.7453292519943295E-2</v>
          </cell>
        </row>
      </sheetData>
      <sheetData sheetId="17852"/>
      <sheetData sheetId="17853" refreshError="1"/>
      <sheetData sheetId="17854" refreshError="1"/>
      <sheetData sheetId="17855">
        <row r="1">
          <cell r="J1">
            <v>1.7453292519943295E-2</v>
          </cell>
        </row>
      </sheetData>
      <sheetData sheetId="17856" refreshError="1"/>
      <sheetData sheetId="17857">
        <row r="1">
          <cell r="J1">
            <v>1.7453292519943295E-2</v>
          </cell>
        </row>
      </sheetData>
      <sheetData sheetId="17858" refreshError="1"/>
      <sheetData sheetId="17859" refreshError="1"/>
      <sheetData sheetId="17860">
        <row r="1">
          <cell r="J1">
            <v>1.7453292519943295E-2</v>
          </cell>
        </row>
      </sheetData>
      <sheetData sheetId="17861"/>
      <sheetData sheetId="17862">
        <row r="1">
          <cell r="J1">
            <v>1.7453292519943295E-2</v>
          </cell>
        </row>
      </sheetData>
      <sheetData sheetId="17863">
        <row r="1">
          <cell r="J1">
            <v>1.7453292519943295E-2</v>
          </cell>
        </row>
      </sheetData>
      <sheetData sheetId="17864" refreshError="1"/>
      <sheetData sheetId="17865" refreshError="1"/>
      <sheetData sheetId="17866" refreshError="1"/>
      <sheetData sheetId="17867"/>
      <sheetData sheetId="17868">
        <row r="1">
          <cell r="J1">
            <v>1.7453292519943295E-2</v>
          </cell>
        </row>
      </sheetData>
      <sheetData sheetId="17869">
        <row r="1">
          <cell r="J1">
            <v>1.7453292519943295E-2</v>
          </cell>
        </row>
      </sheetData>
      <sheetData sheetId="17870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>
        <row r="1">
          <cell r="J1">
            <v>1.7453292519943295E-2</v>
          </cell>
        </row>
      </sheetData>
      <sheetData sheetId="17884" refreshError="1"/>
      <sheetData sheetId="17885" refreshError="1"/>
      <sheetData sheetId="17886"/>
      <sheetData sheetId="17887">
        <row r="1">
          <cell r="J1">
            <v>1.7453292519943295E-2</v>
          </cell>
        </row>
      </sheetData>
      <sheetData sheetId="17888" refreshError="1"/>
      <sheetData sheetId="17889"/>
      <sheetData sheetId="17890"/>
      <sheetData sheetId="17891" refreshError="1"/>
      <sheetData sheetId="17892" refreshError="1"/>
      <sheetData sheetId="17893"/>
      <sheetData sheetId="17894"/>
      <sheetData sheetId="17895"/>
      <sheetData sheetId="17896" refreshError="1"/>
      <sheetData sheetId="17897">
        <row r="1">
          <cell r="J1">
            <v>1.7453292519943295E-2</v>
          </cell>
        </row>
      </sheetData>
      <sheetData sheetId="17898">
        <row r="1">
          <cell r="J1">
            <v>1.7453292519943295E-2</v>
          </cell>
        </row>
      </sheetData>
      <sheetData sheetId="17899">
        <row r="1">
          <cell r="J1">
            <v>1.7453292519943295E-2</v>
          </cell>
        </row>
      </sheetData>
      <sheetData sheetId="17900" refreshError="1"/>
      <sheetData sheetId="17901" refreshError="1"/>
      <sheetData sheetId="17902">
        <row r="1">
          <cell r="J1">
            <v>1.7453292519943295E-2</v>
          </cell>
        </row>
      </sheetData>
      <sheetData sheetId="17903"/>
      <sheetData sheetId="17904"/>
      <sheetData sheetId="17905" refreshError="1"/>
      <sheetData sheetId="17906" refreshError="1"/>
      <sheetData sheetId="17907" refreshError="1"/>
      <sheetData sheetId="17908"/>
      <sheetData sheetId="17909"/>
      <sheetData sheetId="17910" refreshError="1"/>
      <sheetData sheetId="17911" refreshError="1"/>
      <sheetData sheetId="17912" refreshError="1"/>
      <sheetData sheetId="17913" refreshError="1"/>
      <sheetData sheetId="17914">
        <row r="1">
          <cell r="J1">
            <v>1.7453292519943295E-2</v>
          </cell>
        </row>
      </sheetData>
      <sheetData sheetId="17915" refreshError="1"/>
      <sheetData sheetId="17916">
        <row r="1">
          <cell r="J1">
            <v>1.7453292519943295E-2</v>
          </cell>
        </row>
      </sheetData>
      <sheetData sheetId="17917">
        <row r="1">
          <cell r="J1">
            <v>1.7453292519943295E-2</v>
          </cell>
        </row>
      </sheetData>
      <sheetData sheetId="17918">
        <row r="1">
          <cell r="J1">
            <v>1.7453292519943295E-2</v>
          </cell>
        </row>
      </sheetData>
      <sheetData sheetId="17919">
        <row r="1">
          <cell r="J1">
            <v>1.7453292519943295E-2</v>
          </cell>
        </row>
      </sheetData>
      <sheetData sheetId="17920">
        <row r="1">
          <cell r="J1">
            <v>1.7453292519943295E-2</v>
          </cell>
        </row>
      </sheetData>
      <sheetData sheetId="17921">
        <row r="1">
          <cell r="J1">
            <v>1.7453292519943295E-2</v>
          </cell>
        </row>
      </sheetData>
      <sheetData sheetId="17922">
        <row r="1">
          <cell r="J1">
            <v>1.7453292519943295E-2</v>
          </cell>
        </row>
      </sheetData>
      <sheetData sheetId="17923">
        <row r="1">
          <cell r="J1">
            <v>1.7453292519943295E-2</v>
          </cell>
        </row>
      </sheetData>
      <sheetData sheetId="17924">
        <row r="1">
          <cell r="J1">
            <v>1.7453292519943295E-2</v>
          </cell>
        </row>
      </sheetData>
      <sheetData sheetId="17925">
        <row r="1">
          <cell r="J1">
            <v>1.7453292519943295E-2</v>
          </cell>
        </row>
      </sheetData>
      <sheetData sheetId="17926">
        <row r="1">
          <cell r="J1">
            <v>1.7453292519943295E-2</v>
          </cell>
        </row>
      </sheetData>
      <sheetData sheetId="17927">
        <row r="1">
          <cell r="J1">
            <v>1.7453292519943295E-2</v>
          </cell>
        </row>
      </sheetData>
      <sheetData sheetId="17928">
        <row r="1">
          <cell r="J1">
            <v>1.7453292519943295E-2</v>
          </cell>
        </row>
      </sheetData>
      <sheetData sheetId="17929">
        <row r="1">
          <cell r="J1">
            <v>1.7453292519943295E-2</v>
          </cell>
        </row>
      </sheetData>
      <sheetData sheetId="17930">
        <row r="1">
          <cell r="J1">
            <v>1.7453292519943295E-2</v>
          </cell>
        </row>
      </sheetData>
      <sheetData sheetId="17931">
        <row r="1">
          <cell r="J1">
            <v>1.7453292519943295E-2</v>
          </cell>
        </row>
      </sheetData>
      <sheetData sheetId="17932">
        <row r="1">
          <cell r="J1">
            <v>1.7453292519943295E-2</v>
          </cell>
        </row>
      </sheetData>
      <sheetData sheetId="17933">
        <row r="1">
          <cell r="J1">
            <v>1.7453292519943295E-2</v>
          </cell>
        </row>
      </sheetData>
      <sheetData sheetId="17934">
        <row r="1">
          <cell r="J1">
            <v>1.7453292519943295E-2</v>
          </cell>
        </row>
      </sheetData>
      <sheetData sheetId="17935">
        <row r="1">
          <cell r="J1">
            <v>1.7453292519943295E-2</v>
          </cell>
        </row>
      </sheetData>
      <sheetData sheetId="17936">
        <row r="1">
          <cell r="J1">
            <v>1.7453292519943295E-2</v>
          </cell>
        </row>
      </sheetData>
      <sheetData sheetId="17937">
        <row r="1">
          <cell r="J1">
            <v>1.7453292519943295E-2</v>
          </cell>
        </row>
      </sheetData>
      <sheetData sheetId="17938" refreshError="1"/>
      <sheetData sheetId="17939" refreshError="1"/>
      <sheetData sheetId="17940">
        <row r="1">
          <cell r="J1">
            <v>1.7453292519943295E-2</v>
          </cell>
        </row>
      </sheetData>
      <sheetData sheetId="17941">
        <row r="1">
          <cell r="J1">
            <v>1.7453292519943295E-2</v>
          </cell>
        </row>
      </sheetData>
      <sheetData sheetId="17942"/>
      <sheetData sheetId="17943" refreshError="1"/>
      <sheetData sheetId="17944">
        <row r="1">
          <cell r="J1">
            <v>1.7453292519943295E-2</v>
          </cell>
        </row>
      </sheetData>
      <sheetData sheetId="17945">
        <row r="1">
          <cell r="J1">
            <v>1.7453292519943295E-2</v>
          </cell>
        </row>
      </sheetData>
      <sheetData sheetId="17946">
        <row r="1">
          <cell r="J1">
            <v>1.7453292519943295E-2</v>
          </cell>
        </row>
      </sheetData>
      <sheetData sheetId="17947">
        <row r="1">
          <cell r="J1">
            <v>1.7453292519943295E-2</v>
          </cell>
        </row>
      </sheetData>
      <sheetData sheetId="17948">
        <row r="1">
          <cell r="J1">
            <v>1.7453292519943295E-2</v>
          </cell>
        </row>
      </sheetData>
      <sheetData sheetId="17949">
        <row r="1">
          <cell r="J1">
            <v>1.7453292519943295E-2</v>
          </cell>
        </row>
      </sheetData>
      <sheetData sheetId="17950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>
        <row r="1">
          <cell r="J1">
            <v>1.7453292519943295E-2</v>
          </cell>
        </row>
      </sheetData>
      <sheetData sheetId="17957">
        <row r="1">
          <cell r="J1">
            <v>1.7453292519943295E-2</v>
          </cell>
        </row>
      </sheetData>
      <sheetData sheetId="17958">
        <row r="1">
          <cell r="J1">
            <v>1.7453292519943295E-2</v>
          </cell>
        </row>
      </sheetData>
      <sheetData sheetId="17959" refreshError="1"/>
      <sheetData sheetId="17960" refreshError="1"/>
      <sheetData sheetId="17961" refreshError="1"/>
      <sheetData sheetId="17962">
        <row r="1">
          <cell r="J1">
            <v>1.7453292519943295E-2</v>
          </cell>
        </row>
      </sheetData>
      <sheetData sheetId="17963" refreshError="1"/>
      <sheetData sheetId="17964" refreshError="1"/>
      <sheetData sheetId="17965" refreshError="1"/>
      <sheetData sheetId="17966"/>
      <sheetData sheetId="17967">
        <row r="1">
          <cell r="J1">
            <v>1.7453292519943295E-2</v>
          </cell>
        </row>
      </sheetData>
      <sheetData sheetId="17968">
        <row r="1">
          <cell r="J1">
            <v>1.7453292519943295E-2</v>
          </cell>
        </row>
      </sheetData>
      <sheetData sheetId="17969">
        <row r="1">
          <cell r="J1">
            <v>1.7453292519943295E-2</v>
          </cell>
        </row>
      </sheetData>
      <sheetData sheetId="17970">
        <row r="1">
          <cell r="J1">
            <v>1.7453292519943295E-2</v>
          </cell>
        </row>
      </sheetData>
      <sheetData sheetId="17971">
        <row r="1">
          <cell r="J1">
            <v>1.7453292519943295E-2</v>
          </cell>
        </row>
      </sheetData>
      <sheetData sheetId="17972">
        <row r="1">
          <cell r="J1">
            <v>1.7453292519943295E-2</v>
          </cell>
        </row>
      </sheetData>
      <sheetData sheetId="17973">
        <row r="1">
          <cell r="J1">
            <v>1.7453292519943295E-2</v>
          </cell>
        </row>
      </sheetData>
      <sheetData sheetId="17974">
        <row r="1">
          <cell r="J1">
            <v>1.7453292519943295E-2</v>
          </cell>
        </row>
      </sheetData>
      <sheetData sheetId="17975">
        <row r="1">
          <cell r="J1">
            <v>1.7453292519943295E-2</v>
          </cell>
        </row>
      </sheetData>
      <sheetData sheetId="17976">
        <row r="1">
          <cell r="J1">
            <v>1.7453292519943295E-2</v>
          </cell>
        </row>
      </sheetData>
      <sheetData sheetId="17977">
        <row r="1">
          <cell r="J1">
            <v>1.7453292519943295E-2</v>
          </cell>
        </row>
      </sheetData>
      <sheetData sheetId="17978">
        <row r="1">
          <cell r="J1">
            <v>1.7453292519943295E-2</v>
          </cell>
        </row>
      </sheetData>
      <sheetData sheetId="17979">
        <row r="1">
          <cell r="J1">
            <v>1.7453292519943295E-2</v>
          </cell>
        </row>
      </sheetData>
      <sheetData sheetId="17980">
        <row r="1">
          <cell r="J1">
            <v>1.7453292519943295E-2</v>
          </cell>
        </row>
      </sheetData>
      <sheetData sheetId="17981">
        <row r="1">
          <cell r="J1">
            <v>1.7453292519943295E-2</v>
          </cell>
        </row>
      </sheetData>
      <sheetData sheetId="17982">
        <row r="1">
          <cell r="J1">
            <v>1.7453292519943295E-2</v>
          </cell>
        </row>
      </sheetData>
      <sheetData sheetId="17983">
        <row r="1">
          <cell r="J1">
            <v>1.7453292519943295E-2</v>
          </cell>
        </row>
      </sheetData>
      <sheetData sheetId="17984">
        <row r="1">
          <cell r="J1">
            <v>1.7453292519943295E-2</v>
          </cell>
        </row>
      </sheetData>
      <sheetData sheetId="17985">
        <row r="1">
          <cell r="J1">
            <v>1.7453292519943295E-2</v>
          </cell>
        </row>
      </sheetData>
      <sheetData sheetId="17986">
        <row r="1">
          <cell r="J1">
            <v>1.7453292519943295E-2</v>
          </cell>
        </row>
      </sheetData>
      <sheetData sheetId="17987">
        <row r="1">
          <cell r="J1">
            <v>1.7453292519943295E-2</v>
          </cell>
        </row>
      </sheetData>
      <sheetData sheetId="17988">
        <row r="1">
          <cell r="J1">
            <v>1.7453292519943295E-2</v>
          </cell>
        </row>
      </sheetData>
      <sheetData sheetId="17989">
        <row r="1">
          <cell r="J1">
            <v>1.7453292519943295E-2</v>
          </cell>
        </row>
      </sheetData>
      <sheetData sheetId="17990"/>
      <sheetData sheetId="17991">
        <row r="1">
          <cell r="J1">
            <v>1.7453292519943295E-2</v>
          </cell>
        </row>
      </sheetData>
      <sheetData sheetId="17992">
        <row r="1">
          <cell r="J1">
            <v>1.7453292519943295E-2</v>
          </cell>
        </row>
      </sheetData>
      <sheetData sheetId="17993" refreshError="1"/>
      <sheetData sheetId="17994"/>
      <sheetData sheetId="17995">
        <row r="1">
          <cell r="J1">
            <v>1.7453292519943295E-2</v>
          </cell>
        </row>
      </sheetData>
      <sheetData sheetId="17996" refreshError="1"/>
      <sheetData sheetId="17997"/>
      <sheetData sheetId="17998"/>
      <sheetData sheetId="17999">
        <row r="1">
          <cell r="J1">
            <v>1.7453292519943295E-2</v>
          </cell>
        </row>
      </sheetData>
      <sheetData sheetId="18000" refreshError="1"/>
      <sheetData sheetId="1800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>
        <row r="1">
          <cell r="J1">
            <v>1.7453292519943295E-2</v>
          </cell>
        </row>
      </sheetData>
      <sheetData sheetId="18009">
        <row r="1">
          <cell r="J1">
            <v>1.7453292519943295E-2</v>
          </cell>
        </row>
      </sheetData>
      <sheetData sheetId="18010">
        <row r="1">
          <cell r="J1">
            <v>1.7453292519943295E-2</v>
          </cell>
        </row>
      </sheetData>
      <sheetData sheetId="18011">
        <row r="1">
          <cell r="J1">
            <v>1.7453292519943295E-2</v>
          </cell>
        </row>
      </sheetData>
      <sheetData sheetId="18012">
        <row r="1">
          <cell r="J1">
            <v>1.7453292519943295E-2</v>
          </cell>
        </row>
      </sheetData>
      <sheetData sheetId="18013">
        <row r="1">
          <cell r="J1">
            <v>1.7453292519943295E-2</v>
          </cell>
        </row>
      </sheetData>
      <sheetData sheetId="18014">
        <row r="1">
          <cell r="J1">
            <v>1.7453292519943295E-2</v>
          </cell>
        </row>
      </sheetData>
      <sheetData sheetId="18015">
        <row r="1">
          <cell r="J1">
            <v>1.7453292519943295E-2</v>
          </cell>
        </row>
      </sheetData>
      <sheetData sheetId="18016">
        <row r="1">
          <cell r="J1">
            <v>1.7453292519943295E-2</v>
          </cell>
        </row>
      </sheetData>
      <sheetData sheetId="18017">
        <row r="1">
          <cell r="J1">
            <v>1.7453292519943295E-2</v>
          </cell>
        </row>
      </sheetData>
      <sheetData sheetId="18018">
        <row r="1">
          <cell r="J1">
            <v>1.7453292519943295E-2</v>
          </cell>
        </row>
      </sheetData>
      <sheetData sheetId="18019">
        <row r="1">
          <cell r="J1">
            <v>1.7453292519943295E-2</v>
          </cell>
        </row>
      </sheetData>
      <sheetData sheetId="18020">
        <row r="1">
          <cell r="J1">
            <v>1.7453292519943295E-2</v>
          </cell>
        </row>
      </sheetData>
      <sheetData sheetId="18021">
        <row r="1">
          <cell r="J1">
            <v>1.7453292519943295E-2</v>
          </cell>
        </row>
      </sheetData>
      <sheetData sheetId="18022">
        <row r="1">
          <cell r="J1">
            <v>1.7453292519943295E-2</v>
          </cell>
        </row>
      </sheetData>
      <sheetData sheetId="18023">
        <row r="1">
          <cell r="J1">
            <v>1.7453292519943295E-2</v>
          </cell>
        </row>
      </sheetData>
      <sheetData sheetId="18024">
        <row r="1">
          <cell r="J1">
            <v>1.7453292519943295E-2</v>
          </cell>
        </row>
      </sheetData>
      <sheetData sheetId="18025">
        <row r="1">
          <cell r="J1">
            <v>1.7453292519943295E-2</v>
          </cell>
        </row>
      </sheetData>
      <sheetData sheetId="18026">
        <row r="1">
          <cell r="J1">
            <v>1.7453292519943295E-2</v>
          </cell>
        </row>
      </sheetData>
      <sheetData sheetId="18027">
        <row r="1">
          <cell r="J1">
            <v>1.7453292519943295E-2</v>
          </cell>
        </row>
      </sheetData>
      <sheetData sheetId="18028">
        <row r="1">
          <cell r="J1">
            <v>1.7453292519943295E-2</v>
          </cell>
        </row>
      </sheetData>
      <sheetData sheetId="18029">
        <row r="1">
          <cell r="J1">
            <v>1.7453292519943295E-2</v>
          </cell>
        </row>
      </sheetData>
      <sheetData sheetId="18030">
        <row r="1">
          <cell r="J1">
            <v>1.7453292519943295E-2</v>
          </cell>
        </row>
      </sheetData>
      <sheetData sheetId="18031" refreshError="1"/>
      <sheetData sheetId="18032" refreshError="1"/>
      <sheetData sheetId="18033"/>
      <sheetData sheetId="18034">
        <row r="1">
          <cell r="J1">
            <v>1.7453292519943295E-2</v>
          </cell>
        </row>
      </sheetData>
      <sheetData sheetId="18035" refreshError="1"/>
      <sheetData sheetId="18036" refreshError="1"/>
      <sheetData sheetId="18037" refreshError="1"/>
      <sheetData sheetId="18038"/>
      <sheetData sheetId="18039" refreshError="1"/>
      <sheetData sheetId="18040">
        <row r="1">
          <cell r="J1">
            <v>1.7453292519943295E-2</v>
          </cell>
        </row>
      </sheetData>
      <sheetData sheetId="18041">
        <row r="1">
          <cell r="J1">
            <v>1.7453292519943295E-2</v>
          </cell>
        </row>
      </sheetData>
      <sheetData sheetId="18042">
        <row r="1">
          <cell r="J1">
            <v>1.7453292519943295E-2</v>
          </cell>
        </row>
      </sheetData>
      <sheetData sheetId="18043"/>
      <sheetData sheetId="18044">
        <row r="1">
          <cell r="J1">
            <v>1.7453292519943295E-2</v>
          </cell>
        </row>
      </sheetData>
      <sheetData sheetId="18045">
        <row r="1">
          <cell r="J1">
            <v>1.7453292519943295E-2</v>
          </cell>
        </row>
      </sheetData>
      <sheetData sheetId="18046">
        <row r="1">
          <cell r="J1">
            <v>1.7453292519943295E-2</v>
          </cell>
        </row>
      </sheetData>
      <sheetData sheetId="18047">
        <row r="1">
          <cell r="J1">
            <v>1.7453292519943295E-2</v>
          </cell>
        </row>
      </sheetData>
      <sheetData sheetId="18048">
        <row r="1">
          <cell r="J1">
            <v>1.7453292519943295E-2</v>
          </cell>
        </row>
      </sheetData>
      <sheetData sheetId="18049">
        <row r="1">
          <cell r="J1">
            <v>1.7453292519943295E-2</v>
          </cell>
        </row>
      </sheetData>
      <sheetData sheetId="18050">
        <row r="1">
          <cell r="J1">
            <v>1.7453292519943295E-2</v>
          </cell>
        </row>
      </sheetData>
      <sheetData sheetId="18051">
        <row r="1">
          <cell r="J1">
            <v>1.7453292519943295E-2</v>
          </cell>
        </row>
      </sheetData>
      <sheetData sheetId="18052">
        <row r="1">
          <cell r="J1">
            <v>1.7453292519943295E-2</v>
          </cell>
        </row>
      </sheetData>
      <sheetData sheetId="18053">
        <row r="1">
          <cell r="J1">
            <v>1.7453292519943295E-2</v>
          </cell>
        </row>
      </sheetData>
      <sheetData sheetId="18054">
        <row r="1">
          <cell r="J1">
            <v>1.7453292519943295E-2</v>
          </cell>
        </row>
      </sheetData>
      <sheetData sheetId="18055">
        <row r="1">
          <cell r="J1">
            <v>1.7453292519943295E-2</v>
          </cell>
        </row>
      </sheetData>
      <sheetData sheetId="18056">
        <row r="1">
          <cell r="J1">
            <v>1.7453292519943295E-2</v>
          </cell>
        </row>
      </sheetData>
      <sheetData sheetId="18057">
        <row r="1">
          <cell r="J1">
            <v>1.7453292519943295E-2</v>
          </cell>
        </row>
      </sheetData>
      <sheetData sheetId="18058">
        <row r="1">
          <cell r="J1">
            <v>1.7453292519943295E-2</v>
          </cell>
        </row>
      </sheetData>
      <sheetData sheetId="18059">
        <row r="1">
          <cell r="J1">
            <v>1.7453292519943295E-2</v>
          </cell>
        </row>
      </sheetData>
      <sheetData sheetId="18060">
        <row r="1">
          <cell r="J1">
            <v>1.7453292519943295E-2</v>
          </cell>
        </row>
      </sheetData>
      <sheetData sheetId="18061"/>
      <sheetData sheetId="18062">
        <row r="1">
          <cell r="J1">
            <v>1.7453292519943295E-2</v>
          </cell>
        </row>
      </sheetData>
      <sheetData sheetId="18063">
        <row r="1">
          <cell r="J1">
            <v>1.7453292519943295E-2</v>
          </cell>
        </row>
      </sheetData>
      <sheetData sheetId="18064" refreshError="1"/>
      <sheetData sheetId="18065"/>
      <sheetData sheetId="18066">
        <row r="1">
          <cell r="J1">
            <v>1.7453292519943295E-2</v>
          </cell>
        </row>
      </sheetData>
      <sheetData sheetId="18067" refreshError="1"/>
      <sheetData sheetId="18068" refreshError="1"/>
      <sheetData sheetId="18069">
        <row r="1">
          <cell r="J1">
            <v>1.7453292519943295E-2</v>
          </cell>
        </row>
      </sheetData>
      <sheetData sheetId="18070"/>
      <sheetData sheetId="18071" refreshError="1"/>
      <sheetData sheetId="18072" refreshError="1"/>
      <sheetData sheetId="18073">
        <row r="1">
          <cell r="J1">
            <v>1.7453292519943295E-2</v>
          </cell>
        </row>
      </sheetData>
      <sheetData sheetId="18074" refreshError="1"/>
      <sheetData sheetId="18075" refreshError="1"/>
      <sheetData sheetId="18076" refreshError="1"/>
      <sheetData sheetId="18077" refreshError="1"/>
      <sheetData sheetId="18078">
        <row r="1">
          <cell r="J1">
            <v>1.7453292519943295E-2</v>
          </cell>
        </row>
      </sheetData>
      <sheetData sheetId="18079">
        <row r="1">
          <cell r="J1">
            <v>1.7453292519943295E-2</v>
          </cell>
        </row>
      </sheetData>
      <sheetData sheetId="18080">
        <row r="1">
          <cell r="J1">
            <v>1.7453292519943295E-2</v>
          </cell>
        </row>
      </sheetData>
      <sheetData sheetId="18081">
        <row r="1">
          <cell r="J1">
            <v>1.7453292519943295E-2</v>
          </cell>
        </row>
      </sheetData>
      <sheetData sheetId="18082">
        <row r="1">
          <cell r="J1">
            <v>1.7453292519943295E-2</v>
          </cell>
        </row>
      </sheetData>
      <sheetData sheetId="18083">
        <row r="1">
          <cell r="J1">
            <v>1.7453292519943295E-2</v>
          </cell>
        </row>
      </sheetData>
      <sheetData sheetId="18084">
        <row r="1">
          <cell r="J1">
            <v>1.7453292519943295E-2</v>
          </cell>
        </row>
      </sheetData>
      <sheetData sheetId="18085">
        <row r="1">
          <cell r="J1">
            <v>1.7453292519943295E-2</v>
          </cell>
        </row>
      </sheetData>
      <sheetData sheetId="18086">
        <row r="1">
          <cell r="J1">
            <v>1.7453292519943295E-2</v>
          </cell>
        </row>
      </sheetData>
      <sheetData sheetId="18087">
        <row r="1">
          <cell r="J1">
            <v>1.7453292519943295E-2</v>
          </cell>
        </row>
      </sheetData>
      <sheetData sheetId="18088">
        <row r="1">
          <cell r="J1">
            <v>1.7453292519943295E-2</v>
          </cell>
        </row>
      </sheetData>
      <sheetData sheetId="18089">
        <row r="1">
          <cell r="J1">
            <v>1.7453292519943295E-2</v>
          </cell>
        </row>
      </sheetData>
      <sheetData sheetId="18090">
        <row r="1">
          <cell r="J1">
            <v>1.7453292519943295E-2</v>
          </cell>
        </row>
      </sheetData>
      <sheetData sheetId="18091">
        <row r="1">
          <cell r="J1">
            <v>1.7453292519943295E-2</v>
          </cell>
        </row>
      </sheetData>
      <sheetData sheetId="18092">
        <row r="1">
          <cell r="J1">
            <v>1.7453292519943295E-2</v>
          </cell>
        </row>
      </sheetData>
      <sheetData sheetId="18093">
        <row r="1">
          <cell r="J1">
            <v>1.7453292519943295E-2</v>
          </cell>
        </row>
      </sheetData>
      <sheetData sheetId="18094"/>
      <sheetData sheetId="18095">
        <row r="1">
          <cell r="J1">
            <v>1.7453292519943295E-2</v>
          </cell>
        </row>
      </sheetData>
      <sheetData sheetId="18096" refreshError="1"/>
      <sheetData sheetId="18097"/>
      <sheetData sheetId="18098">
        <row r="1">
          <cell r="J1">
            <v>1.7453292519943295E-2</v>
          </cell>
        </row>
      </sheetData>
      <sheetData sheetId="18099">
        <row r="1">
          <cell r="J1">
            <v>1.7453292519943295E-2</v>
          </cell>
        </row>
      </sheetData>
      <sheetData sheetId="18100" refreshError="1"/>
      <sheetData sheetId="18101"/>
      <sheetData sheetId="18102" refreshError="1"/>
      <sheetData sheetId="18103">
        <row r="1">
          <cell r="J1">
            <v>1.7453292519943295E-2</v>
          </cell>
        </row>
      </sheetData>
      <sheetData sheetId="18104"/>
      <sheetData sheetId="18105"/>
      <sheetData sheetId="18106">
        <row r="1">
          <cell r="J1">
            <v>1.7453292519943295E-2</v>
          </cell>
        </row>
      </sheetData>
      <sheetData sheetId="18107" refreshError="1"/>
      <sheetData sheetId="18108" refreshError="1"/>
      <sheetData sheetId="18109" refreshError="1"/>
      <sheetData sheetId="18110" refreshError="1"/>
      <sheetData sheetId="18111"/>
      <sheetData sheetId="18112">
        <row r="1">
          <cell r="J1">
            <v>1.7453292519943295E-2</v>
          </cell>
        </row>
      </sheetData>
      <sheetData sheetId="18113" refreshError="1"/>
      <sheetData sheetId="18114" refreshError="1"/>
      <sheetData sheetId="18115">
        <row r="1">
          <cell r="J1">
            <v>1.7453292519943295E-2</v>
          </cell>
        </row>
      </sheetData>
      <sheetData sheetId="18116">
        <row r="1">
          <cell r="J1">
            <v>1.7453292519943295E-2</v>
          </cell>
        </row>
      </sheetData>
      <sheetData sheetId="18117">
        <row r="1">
          <cell r="J1">
            <v>1.7453292519943295E-2</v>
          </cell>
        </row>
      </sheetData>
      <sheetData sheetId="18118">
        <row r="1">
          <cell r="J1">
            <v>1.7453292519943295E-2</v>
          </cell>
        </row>
      </sheetData>
      <sheetData sheetId="18119">
        <row r="1">
          <cell r="J1">
            <v>1.7453292519943295E-2</v>
          </cell>
        </row>
      </sheetData>
      <sheetData sheetId="18120">
        <row r="1">
          <cell r="J1">
            <v>1.7453292519943295E-2</v>
          </cell>
        </row>
      </sheetData>
      <sheetData sheetId="18121">
        <row r="1">
          <cell r="J1">
            <v>1.7453292519943295E-2</v>
          </cell>
        </row>
      </sheetData>
      <sheetData sheetId="18122">
        <row r="1">
          <cell r="J1">
            <v>1.7453292519943295E-2</v>
          </cell>
        </row>
      </sheetData>
      <sheetData sheetId="18123">
        <row r="1">
          <cell r="J1">
            <v>1.7453292519943295E-2</v>
          </cell>
        </row>
      </sheetData>
      <sheetData sheetId="18124">
        <row r="1">
          <cell r="J1">
            <v>1.7453292519943295E-2</v>
          </cell>
        </row>
      </sheetData>
      <sheetData sheetId="18125">
        <row r="1">
          <cell r="J1">
            <v>1.7453292519943295E-2</v>
          </cell>
        </row>
      </sheetData>
      <sheetData sheetId="18126">
        <row r="1">
          <cell r="J1">
            <v>1.7453292519943295E-2</v>
          </cell>
        </row>
      </sheetData>
      <sheetData sheetId="18127">
        <row r="1">
          <cell r="J1">
            <v>1.7453292519943295E-2</v>
          </cell>
        </row>
      </sheetData>
      <sheetData sheetId="18128">
        <row r="1">
          <cell r="J1">
            <v>1.7453292519943295E-2</v>
          </cell>
        </row>
      </sheetData>
      <sheetData sheetId="18129">
        <row r="1">
          <cell r="J1">
            <v>1.7453292519943295E-2</v>
          </cell>
        </row>
      </sheetData>
      <sheetData sheetId="18130">
        <row r="1">
          <cell r="J1">
            <v>1.7453292519943295E-2</v>
          </cell>
        </row>
      </sheetData>
      <sheetData sheetId="18131">
        <row r="1">
          <cell r="J1">
            <v>1.7453292519943295E-2</v>
          </cell>
        </row>
      </sheetData>
      <sheetData sheetId="18132">
        <row r="1">
          <cell r="J1">
            <v>1.7453292519943295E-2</v>
          </cell>
        </row>
      </sheetData>
      <sheetData sheetId="18133">
        <row r="1">
          <cell r="J1">
            <v>1.7453292519943295E-2</v>
          </cell>
        </row>
      </sheetData>
      <sheetData sheetId="18134">
        <row r="1">
          <cell r="J1">
            <v>1.7453292519943295E-2</v>
          </cell>
        </row>
      </sheetData>
      <sheetData sheetId="18135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/>
      <sheetData sheetId="18144">
        <row r="1">
          <cell r="J1">
            <v>1.7453292519943295E-2</v>
          </cell>
        </row>
      </sheetData>
      <sheetData sheetId="18145">
        <row r="1">
          <cell r="J1">
            <v>1.7453292519943295E-2</v>
          </cell>
        </row>
      </sheetData>
      <sheetData sheetId="18146" refreshError="1"/>
      <sheetData sheetId="18147" refreshError="1"/>
      <sheetData sheetId="18148">
        <row r="1">
          <cell r="J1">
            <v>1.7453292519943295E-2</v>
          </cell>
        </row>
      </sheetData>
      <sheetData sheetId="18149"/>
      <sheetData sheetId="18150"/>
      <sheetData sheetId="18151">
        <row r="1">
          <cell r="J1">
            <v>1.7453292519943295E-2</v>
          </cell>
        </row>
      </sheetData>
      <sheetData sheetId="18152">
        <row r="1">
          <cell r="J1">
            <v>1.7453292519943295E-2</v>
          </cell>
        </row>
      </sheetData>
      <sheetData sheetId="18153">
        <row r="1">
          <cell r="J1">
            <v>1.7453292519943295E-2</v>
          </cell>
        </row>
      </sheetData>
      <sheetData sheetId="18154">
        <row r="1">
          <cell r="J1">
            <v>1.7453292519943295E-2</v>
          </cell>
        </row>
      </sheetData>
      <sheetData sheetId="18155">
        <row r="1">
          <cell r="J1">
            <v>1.7453292519943295E-2</v>
          </cell>
        </row>
      </sheetData>
      <sheetData sheetId="18156">
        <row r="1">
          <cell r="J1">
            <v>1.7453292519943295E-2</v>
          </cell>
        </row>
      </sheetData>
      <sheetData sheetId="18157">
        <row r="1">
          <cell r="J1">
            <v>1.7453292519943295E-2</v>
          </cell>
        </row>
      </sheetData>
      <sheetData sheetId="18158">
        <row r="1">
          <cell r="J1">
            <v>1.7453292519943295E-2</v>
          </cell>
        </row>
      </sheetData>
      <sheetData sheetId="18159">
        <row r="1">
          <cell r="J1">
            <v>1.7453292519943295E-2</v>
          </cell>
        </row>
      </sheetData>
      <sheetData sheetId="18160">
        <row r="1">
          <cell r="J1">
            <v>1.7453292519943295E-2</v>
          </cell>
        </row>
      </sheetData>
      <sheetData sheetId="18161">
        <row r="1">
          <cell r="J1">
            <v>1.7453292519943295E-2</v>
          </cell>
        </row>
      </sheetData>
      <sheetData sheetId="18162">
        <row r="1">
          <cell r="J1">
            <v>1.7453292519943295E-2</v>
          </cell>
        </row>
      </sheetData>
      <sheetData sheetId="18163">
        <row r="1">
          <cell r="J1">
            <v>1.7453292519943295E-2</v>
          </cell>
        </row>
      </sheetData>
      <sheetData sheetId="18164">
        <row r="1">
          <cell r="J1">
            <v>1.7453292519943295E-2</v>
          </cell>
        </row>
      </sheetData>
      <sheetData sheetId="18165">
        <row r="1">
          <cell r="J1">
            <v>1.7453292519943295E-2</v>
          </cell>
        </row>
      </sheetData>
      <sheetData sheetId="18166">
        <row r="1">
          <cell r="J1">
            <v>1.7453292519943295E-2</v>
          </cell>
        </row>
      </sheetData>
      <sheetData sheetId="18167">
        <row r="1">
          <cell r="J1">
            <v>1.7453292519943295E-2</v>
          </cell>
        </row>
      </sheetData>
      <sheetData sheetId="18168">
        <row r="1">
          <cell r="J1">
            <v>1.7453292519943295E-2</v>
          </cell>
        </row>
      </sheetData>
      <sheetData sheetId="18169">
        <row r="1">
          <cell r="J1">
            <v>1.7453292519943295E-2</v>
          </cell>
        </row>
      </sheetData>
      <sheetData sheetId="18170">
        <row r="1">
          <cell r="J1">
            <v>1.7453292519943295E-2</v>
          </cell>
        </row>
      </sheetData>
      <sheetData sheetId="18171">
        <row r="1">
          <cell r="J1">
            <v>1.7453292519943295E-2</v>
          </cell>
        </row>
      </sheetData>
      <sheetData sheetId="18172">
        <row r="1">
          <cell r="J1">
            <v>1.7453292519943295E-2</v>
          </cell>
        </row>
      </sheetData>
      <sheetData sheetId="18173">
        <row r="1">
          <cell r="J1">
            <v>1.7453292519943295E-2</v>
          </cell>
        </row>
      </sheetData>
      <sheetData sheetId="18174">
        <row r="1">
          <cell r="J1">
            <v>1.7453292519943295E-2</v>
          </cell>
        </row>
      </sheetData>
      <sheetData sheetId="18175"/>
      <sheetData sheetId="18176"/>
      <sheetData sheetId="18177" refreshError="1"/>
      <sheetData sheetId="18178" refreshError="1"/>
      <sheetData sheetId="18179" refreshError="1"/>
      <sheetData sheetId="18180" refreshError="1"/>
      <sheetData sheetId="18181">
        <row r="1">
          <cell r="J1">
            <v>1.7453292519943295E-2</v>
          </cell>
        </row>
      </sheetData>
      <sheetData sheetId="18182" refreshError="1"/>
      <sheetData sheetId="18183" refreshError="1"/>
      <sheetData sheetId="18184" refreshError="1"/>
      <sheetData sheetId="18185">
        <row r="1">
          <cell r="J1">
            <v>1.7453292519943295E-2</v>
          </cell>
        </row>
      </sheetData>
      <sheetData sheetId="18186">
        <row r="1">
          <cell r="J1">
            <v>1.7453292519943295E-2</v>
          </cell>
        </row>
      </sheetData>
      <sheetData sheetId="18187">
        <row r="1">
          <cell r="J1">
            <v>1.7453292519943295E-2</v>
          </cell>
        </row>
      </sheetData>
      <sheetData sheetId="18188">
        <row r="1">
          <cell r="J1">
            <v>1.7453292519943295E-2</v>
          </cell>
        </row>
      </sheetData>
      <sheetData sheetId="18189">
        <row r="1">
          <cell r="J1">
            <v>1.7453292519943295E-2</v>
          </cell>
        </row>
      </sheetData>
      <sheetData sheetId="18190">
        <row r="1">
          <cell r="J1">
            <v>1.7453292519943295E-2</v>
          </cell>
        </row>
      </sheetData>
      <sheetData sheetId="18191">
        <row r="1">
          <cell r="J1">
            <v>1.7453292519943295E-2</v>
          </cell>
        </row>
      </sheetData>
      <sheetData sheetId="18192">
        <row r="1">
          <cell r="J1">
            <v>1.7453292519943295E-2</v>
          </cell>
        </row>
      </sheetData>
      <sheetData sheetId="18193">
        <row r="1">
          <cell r="J1">
            <v>1.7453292519943295E-2</v>
          </cell>
        </row>
      </sheetData>
      <sheetData sheetId="18194">
        <row r="1">
          <cell r="J1">
            <v>1.7453292519943295E-2</v>
          </cell>
        </row>
      </sheetData>
      <sheetData sheetId="18195">
        <row r="1">
          <cell r="J1">
            <v>1.7453292519943295E-2</v>
          </cell>
        </row>
      </sheetData>
      <sheetData sheetId="18196">
        <row r="1">
          <cell r="J1">
            <v>1.7453292519943295E-2</v>
          </cell>
        </row>
      </sheetData>
      <sheetData sheetId="18197">
        <row r="1">
          <cell r="J1">
            <v>1.7453292519943295E-2</v>
          </cell>
        </row>
      </sheetData>
      <sheetData sheetId="18198">
        <row r="1">
          <cell r="J1">
            <v>1.7453292519943295E-2</v>
          </cell>
        </row>
      </sheetData>
      <sheetData sheetId="18199">
        <row r="1">
          <cell r="J1">
            <v>1.7453292519943295E-2</v>
          </cell>
        </row>
      </sheetData>
      <sheetData sheetId="18200">
        <row r="1">
          <cell r="J1">
            <v>1.7453292519943295E-2</v>
          </cell>
        </row>
      </sheetData>
      <sheetData sheetId="18201">
        <row r="1">
          <cell r="J1">
            <v>1.7453292519943295E-2</v>
          </cell>
        </row>
      </sheetData>
      <sheetData sheetId="18202"/>
      <sheetData sheetId="18203">
        <row r="1">
          <cell r="J1">
            <v>1.7453292519943295E-2</v>
          </cell>
        </row>
      </sheetData>
      <sheetData sheetId="18204">
        <row r="1">
          <cell r="J1">
            <v>1.7453292519943295E-2</v>
          </cell>
        </row>
      </sheetData>
      <sheetData sheetId="18205" refreshError="1"/>
      <sheetData sheetId="18206" refreshError="1"/>
      <sheetData sheetId="18207" refreshError="1"/>
      <sheetData sheetId="18208" refreshError="1"/>
      <sheetData sheetId="18209">
        <row r="1">
          <cell r="J1">
            <v>1.7453292519943295E-2</v>
          </cell>
        </row>
      </sheetData>
      <sheetData sheetId="18210">
        <row r="1">
          <cell r="J1">
            <v>1.7453292519943295E-2</v>
          </cell>
        </row>
      </sheetData>
      <sheetData sheetId="18211" refreshError="1"/>
      <sheetData sheetId="18212" refreshError="1"/>
      <sheetData sheetId="18213" refreshError="1"/>
      <sheetData sheetId="18214">
        <row r="1">
          <cell r="J1">
            <v>1.7453292519943295E-2</v>
          </cell>
        </row>
      </sheetData>
      <sheetData sheetId="18215">
        <row r="1">
          <cell r="J1">
            <v>1.7453292519943295E-2</v>
          </cell>
        </row>
      </sheetData>
      <sheetData sheetId="18216">
        <row r="1">
          <cell r="J1">
            <v>1.7453292519943295E-2</v>
          </cell>
        </row>
      </sheetData>
      <sheetData sheetId="18217">
        <row r="1">
          <cell r="J1">
            <v>1.7453292519943295E-2</v>
          </cell>
        </row>
      </sheetData>
      <sheetData sheetId="18218">
        <row r="1">
          <cell r="J1">
            <v>1.7453292519943295E-2</v>
          </cell>
        </row>
      </sheetData>
      <sheetData sheetId="18219">
        <row r="1">
          <cell r="J1">
            <v>1.7453292519943295E-2</v>
          </cell>
        </row>
      </sheetData>
      <sheetData sheetId="18220">
        <row r="1">
          <cell r="J1">
            <v>1.7453292519943295E-2</v>
          </cell>
        </row>
      </sheetData>
      <sheetData sheetId="18221">
        <row r="1">
          <cell r="J1">
            <v>1.7453292519943295E-2</v>
          </cell>
        </row>
      </sheetData>
      <sheetData sheetId="18222">
        <row r="1">
          <cell r="J1">
            <v>1.7453292519943295E-2</v>
          </cell>
        </row>
      </sheetData>
      <sheetData sheetId="18223"/>
      <sheetData sheetId="18224">
        <row r="1">
          <cell r="J1">
            <v>1.7453292519943295E-2</v>
          </cell>
        </row>
      </sheetData>
      <sheetData sheetId="18225">
        <row r="1">
          <cell r="J1">
            <v>1.7453292519943295E-2</v>
          </cell>
        </row>
      </sheetData>
      <sheetData sheetId="18226">
        <row r="1">
          <cell r="J1">
            <v>1.7453292519943295E-2</v>
          </cell>
        </row>
      </sheetData>
      <sheetData sheetId="18227">
        <row r="1">
          <cell r="J1">
            <v>1.7453292519943295E-2</v>
          </cell>
        </row>
      </sheetData>
      <sheetData sheetId="18228">
        <row r="1">
          <cell r="J1">
            <v>1.7453292519943295E-2</v>
          </cell>
        </row>
      </sheetData>
      <sheetData sheetId="18229">
        <row r="1">
          <cell r="J1">
            <v>1.7453292519943295E-2</v>
          </cell>
        </row>
      </sheetData>
      <sheetData sheetId="18230">
        <row r="1">
          <cell r="J1">
            <v>1.7453292519943295E-2</v>
          </cell>
        </row>
      </sheetData>
      <sheetData sheetId="18231">
        <row r="1">
          <cell r="J1">
            <v>1.7453292519943295E-2</v>
          </cell>
        </row>
      </sheetData>
      <sheetData sheetId="18232">
        <row r="1">
          <cell r="J1">
            <v>1.7453292519943295E-2</v>
          </cell>
        </row>
      </sheetData>
      <sheetData sheetId="18233">
        <row r="1">
          <cell r="J1">
            <v>1.7453292519943295E-2</v>
          </cell>
        </row>
      </sheetData>
      <sheetData sheetId="18234" refreshError="1"/>
      <sheetData sheetId="18235" refreshError="1"/>
      <sheetData sheetId="18236">
        <row r="1">
          <cell r="J1">
            <v>1.7453292519943295E-2</v>
          </cell>
        </row>
      </sheetData>
      <sheetData sheetId="18237" refreshError="1"/>
      <sheetData sheetId="18238">
        <row r="1">
          <cell r="J1">
            <v>1.7453292519943295E-2</v>
          </cell>
        </row>
      </sheetData>
      <sheetData sheetId="18239">
        <row r="1">
          <cell r="J1">
            <v>1.7453292519943295E-2</v>
          </cell>
        </row>
      </sheetData>
      <sheetData sheetId="18240">
        <row r="1">
          <cell r="J1">
            <v>1.7453292519943295E-2</v>
          </cell>
        </row>
      </sheetData>
      <sheetData sheetId="18241">
        <row r="1">
          <cell r="J1">
            <v>1.7453292519943295E-2</v>
          </cell>
        </row>
      </sheetData>
      <sheetData sheetId="18242">
        <row r="1">
          <cell r="J1">
            <v>1.7453292519943295E-2</v>
          </cell>
        </row>
      </sheetData>
      <sheetData sheetId="18243">
        <row r="1">
          <cell r="J1">
            <v>1.7453292519943295E-2</v>
          </cell>
        </row>
      </sheetData>
      <sheetData sheetId="18244">
        <row r="1">
          <cell r="J1">
            <v>1.7453292519943295E-2</v>
          </cell>
        </row>
      </sheetData>
      <sheetData sheetId="18245">
        <row r="1">
          <cell r="J1">
            <v>1.7453292519943295E-2</v>
          </cell>
        </row>
      </sheetData>
      <sheetData sheetId="18246">
        <row r="1">
          <cell r="J1">
            <v>1.7453292519943295E-2</v>
          </cell>
        </row>
      </sheetData>
      <sheetData sheetId="18247">
        <row r="1">
          <cell r="J1">
            <v>1.7453292519943295E-2</v>
          </cell>
        </row>
      </sheetData>
      <sheetData sheetId="18248">
        <row r="1">
          <cell r="J1">
            <v>1.7453292519943295E-2</v>
          </cell>
        </row>
      </sheetData>
      <sheetData sheetId="18249">
        <row r="1">
          <cell r="J1">
            <v>1.7453292519943295E-2</v>
          </cell>
        </row>
      </sheetData>
      <sheetData sheetId="18250">
        <row r="1">
          <cell r="J1">
            <v>1.7453292519943295E-2</v>
          </cell>
        </row>
      </sheetData>
      <sheetData sheetId="18251">
        <row r="1">
          <cell r="J1">
            <v>1.7453292519943295E-2</v>
          </cell>
        </row>
      </sheetData>
      <sheetData sheetId="18252">
        <row r="1">
          <cell r="J1">
            <v>1.7453292519943295E-2</v>
          </cell>
        </row>
      </sheetData>
      <sheetData sheetId="18253">
        <row r="1">
          <cell r="J1">
            <v>1.7453292519943295E-2</v>
          </cell>
        </row>
      </sheetData>
      <sheetData sheetId="18254">
        <row r="1">
          <cell r="J1">
            <v>1.7453292519943295E-2</v>
          </cell>
        </row>
      </sheetData>
      <sheetData sheetId="18255">
        <row r="1">
          <cell r="J1">
            <v>1.7453292519943295E-2</v>
          </cell>
        </row>
      </sheetData>
      <sheetData sheetId="18256">
        <row r="1">
          <cell r="J1">
            <v>1.7453292519943295E-2</v>
          </cell>
        </row>
      </sheetData>
      <sheetData sheetId="18257">
        <row r="1">
          <cell r="J1">
            <v>1.7453292519943295E-2</v>
          </cell>
        </row>
      </sheetData>
      <sheetData sheetId="18258">
        <row r="1">
          <cell r="J1">
            <v>1.7453292519943295E-2</v>
          </cell>
        </row>
      </sheetData>
      <sheetData sheetId="18259">
        <row r="1">
          <cell r="J1">
            <v>1.7453292519943295E-2</v>
          </cell>
        </row>
      </sheetData>
      <sheetData sheetId="18260">
        <row r="1">
          <cell r="J1">
            <v>1.7453292519943295E-2</v>
          </cell>
        </row>
      </sheetData>
      <sheetData sheetId="18261">
        <row r="1">
          <cell r="J1">
            <v>1.7453292519943295E-2</v>
          </cell>
        </row>
      </sheetData>
      <sheetData sheetId="18262">
        <row r="1">
          <cell r="J1">
            <v>1.7453292519943295E-2</v>
          </cell>
        </row>
      </sheetData>
      <sheetData sheetId="18263">
        <row r="1">
          <cell r="J1">
            <v>1.7453292519943295E-2</v>
          </cell>
        </row>
      </sheetData>
      <sheetData sheetId="18264">
        <row r="1">
          <cell r="J1">
            <v>1.7453292519943295E-2</v>
          </cell>
        </row>
      </sheetData>
      <sheetData sheetId="18265">
        <row r="1">
          <cell r="J1">
            <v>1.7453292519943295E-2</v>
          </cell>
        </row>
      </sheetData>
      <sheetData sheetId="18266">
        <row r="1">
          <cell r="J1">
            <v>1.7453292519943295E-2</v>
          </cell>
        </row>
      </sheetData>
      <sheetData sheetId="18267">
        <row r="1">
          <cell r="J1">
            <v>1.7453292519943295E-2</v>
          </cell>
        </row>
      </sheetData>
      <sheetData sheetId="18268" refreshError="1"/>
      <sheetData sheetId="18269" refreshError="1"/>
      <sheetData sheetId="18270">
        <row r="1">
          <cell r="J1">
            <v>1.7453292519943295E-2</v>
          </cell>
        </row>
      </sheetData>
      <sheetData sheetId="18271">
        <row r="1">
          <cell r="J1">
            <v>1.7453292519943295E-2</v>
          </cell>
        </row>
      </sheetData>
      <sheetData sheetId="18272"/>
      <sheetData sheetId="18273" refreshError="1"/>
      <sheetData sheetId="18274"/>
      <sheetData sheetId="18275">
        <row r="1">
          <cell r="J1">
            <v>1.7453292519943295E-2</v>
          </cell>
        </row>
      </sheetData>
      <sheetData sheetId="18276" refreshError="1"/>
      <sheetData sheetId="18277" refreshError="1"/>
      <sheetData sheetId="18278">
        <row r="1">
          <cell r="J1">
            <v>1.7453292519943295E-2</v>
          </cell>
        </row>
      </sheetData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>
        <row r="1">
          <cell r="J1">
            <v>1.7453292519943295E-2</v>
          </cell>
        </row>
      </sheetData>
      <sheetData sheetId="18285" refreshError="1"/>
      <sheetData sheetId="18286" refreshError="1"/>
      <sheetData sheetId="18287" refreshError="1"/>
      <sheetData sheetId="18288">
        <row r="1">
          <cell r="J1">
            <v>1.7453292519943295E-2</v>
          </cell>
        </row>
      </sheetData>
      <sheetData sheetId="18289"/>
      <sheetData sheetId="18290" refreshError="1"/>
      <sheetData sheetId="18291"/>
      <sheetData sheetId="18292">
        <row r="1">
          <cell r="J1">
            <v>1.7453292519943295E-2</v>
          </cell>
        </row>
      </sheetData>
      <sheetData sheetId="18293" refreshError="1"/>
      <sheetData sheetId="18294" refreshError="1"/>
      <sheetData sheetId="18295">
        <row r="1">
          <cell r="J1">
            <v>1.7453292519943295E-2</v>
          </cell>
        </row>
      </sheetData>
      <sheetData sheetId="18296">
        <row r="1">
          <cell r="J1">
            <v>1.7453292519943295E-2</v>
          </cell>
        </row>
      </sheetData>
      <sheetData sheetId="18297">
        <row r="1">
          <cell r="J1">
            <v>1.7453292519943295E-2</v>
          </cell>
        </row>
      </sheetData>
      <sheetData sheetId="18298" refreshError="1"/>
      <sheetData sheetId="18299" refreshError="1"/>
      <sheetData sheetId="18300" refreshError="1"/>
      <sheetData sheetId="18301">
        <row r="1">
          <cell r="J1">
            <v>1.7453292519943295E-2</v>
          </cell>
        </row>
      </sheetData>
      <sheetData sheetId="18302">
        <row r="1">
          <cell r="J1">
            <v>1.7453292519943295E-2</v>
          </cell>
        </row>
      </sheetData>
      <sheetData sheetId="18303">
        <row r="1">
          <cell r="J1">
            <v>1.7453292519943295E-2</v>
          </cell>
        </row>
      </sheetData>
      <sheetData sheetId="18304" refreshError="1"/>
      <sheetData sheetId="18305" refreshError="1"/>
      <sheetData sheetId="18306" refreshError="1"/>
      <sheetData sheetId="18307"/>
      <sheetData sheetId="18308">
        <row r="1">
          <cell r="J1">
            <v>1.7453292519943295E-2</v>
          </cell>
        </row>
      </sheetData>
      <sheetData sheetId="18309" refreshError="1"/>
      <sheetData sheetId="18310" refreshError="1"/>
      <sheetData sheetId="18311">
        <row r="1">
          <cell r="J1">
            <v>1.7453292519943295E-2</v>
          </cell>
        </row>
      </sheetData>
      <sheetData sheetId="18312" refreshError="1"/>
      <sheetData sheetId="18313">
        <row r="1">
          <cell r="J1">
            <v>1.7453292519943295E-2</v>
          </cell>
        </row>
      </sheetData>
      <sheetData sheetId="18314" refreshError="1"/>
      <sheetData sheetId="18315" refreshError="1"/>
      <sheetData sheetId="18316" refreshError="1"/>
      <sheetData sheetId="18317" refreshError="1"/>
      <sheetData sheetId="18318">
        <row r="1">
          <cell r="J1">
            <v>1.7453292519943295E-2</v>
          </cell>
        </row>
      </sheetData>
      <sheetData sheetId="18319">
        <row r="1">
          <cell r="J1">
            <v>1.7453292519943295E-2</v>
          </cell>
        </row>
      </sheetData>
      <sheetData sheetId="18320" refreshError="1"/>
      <sheetData sheetId="18321"/>
      <sheetData sheetId="18322">
        <row r="1">
          <cell r="J1">
            <v>1.7453292519943295E-2</v>
          </cell>
        </row>
      </sheetData>
      <sheetData sheetId="18323" refreshError="1"/>
      <sheetData sheetId="18324"/>
      <sheetData sheetId="18325" refreshError="1"/>
      <sheetData sheetId="18326">
        <row r="1">
          <cell r="J1">
            <v>1.7453292519943295E-2</v>
          </cell>
        </row>
      </sheetData>
      <sheetData sheetId="18327" refreshError="1"/>
      <sheetData sheetId="18328"/>
      <sheetData sheetId="18329">
        <row r="1">
          <cell r="J1">
            <v>1.7453292519943295E-2</v>
          </cell>
        </row>
      </sheetData>
      <sheetData sheetId="18330" refreshError="1"/>
      <sheetData sheetId="18331"/>
      <sheetData sheetId="18332" refreshError="1"/>
      <sheetData sheetId="18333" refreshError="1"/>
      <sheetData sheetId="18334">
        <row r="1">
          <cell r="J1">
            <v>1.7453292519943295E-2</v>
          </cell>
        </row>
      </sheetData>
      <sheetData sheetId="18335" refreshError="1"/>
      <sheetData sheetId="18336" refreshError="1"/>
      <sheetData sheetId="18337" refreshError="1"/>
      <sheetData sheetId="18338"/>
      <sheetData sheetId="18339">
        <row r="1">
          <cell r="J1">
            <v>1.7453292519943295E-2</v>
          </cell>
        </row>
      </sheetData>
      <sheetData sheetId="18340" refreshError="1"/>
      <sheetData sheetId="18341">
        <row r="1">
          <cell r="J1">
            <v>1.7453292519943295E-2</v>
          </cell>
        </row>
      </sheetData>
      <sheetData sheetId="18342">
        <row r="1">
          <cell r="J1">
            <v>1.7453292519943295E-2</v>
          </cell>
        </row>
      </sheetData>
      <sheetData sheetId="18343">
        <row r="1">
          <cell r="J1">
            <v>1.7453292519943295E-2</v>
          </cell>
        </row>
      </sheetData>
      <sheetData sheetId="18344" refreshError="1"/>
      <sheetData sheetId="18345"/>
      <sheetData sheetId="18346" refreshError="1"/>
      <sheetData sheetId="18347">
        <row r="1">
          <cell r="J1">
            <v>1.7453292519943295E-2</v>
          </cell>
        </row>
      </sheetData>
      <sheetData sheetId="18348" refreshError="1"/>
      <sheetData sheetId="18349"/>
      <sheetData sheetId="18350"/>
      <sheetData sheetId="18351" refreshError="1"/>
      <sheetData sheetId="18352" refreshError="1"/>
      <sheetData sheetId="18353" refreshError="1"/>
      <sheetData sheetId="18354"/>
      <sheetData sheetId="18355">
        <row r="1">
          <cell r="J1">
            <v>1.7453292519943295E-2</v>
          </cell>
        </row>
      </sheetData>
      <sheetData sheetId="18356">
        <row r="1">
          <cell r="J1">
            <v>1.7453292519943295E-2</v>
          </cell>
        </row>
      </sheetData>
      <sheetData sheetId="18357" refreshError="1"/>
      <sheetData sheetId="18358" refreshError="1"/>
      <sheetData sheetId="18359" refreshError="1"/>
      <sheetData sheetId="18360" refreshError="1"/>
      <sheetData sheetId="18361"/>
      <sheetData sheetId="18362" refreshError="1"/>
      <sheetData sheetId="18363" refreshError="1"/>
      <sheetData sheetId="18364" refreshError="1"/>
      <sheetData sheetId="18365"/>
      <sheetData sheetId="18366">
        <row r="1">
          <cell r="J1">
            <v>1.7453292519943295E-2</v>
          </cell>
        </row>
      </sheetData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/>
      <sheetData sheetId="18373">
        <row r="1">
          <cell r="J1">
            <v>1.7453292519943295E-2</v>
          </cell>
        </row>
      </sheetData>
      <sheetData sheetId="18374">
        <row r="1">
          <cell r="J1">
            <v>1.7453292519943295E-2</v>
          </cell>
        </row>
      </sheetData>
      <sheetData sheetId="18375">
        <row r="1">
          <cell r="J1">
            <v>1.7453292519943295E-2</v>
          </cell>
        </row>
      </sheetData>
      <sheetData sheetId="18376" refreshError="1"/>
      <sheetData sheetId="18377"/>
      <sheetData sheetId="18378"/>
      <sheetData sheetId="18379" refreshError="1"/>
      <sheetData sheetId="18380">
        <row r="1">
          <cell r="J1">
            <v>1.7453292519943295E-2</v>
          </cell>
        </row>
      </sheetData>
      <sheetData sheetId="18381" refreshError="1"/>
      <sheetData sheetId="18382">
        <row r="1">
          <cell r="J1">
            <v>1.7453292519943295E-2</v>
          </cell>
        </row>
      </sheetData>
      <sheetData sheetId="18383">
        <row r="1">
          <cell r="J1">
            <v>1.7453292519943295E-2</v>
          </cell>
        </row>
      </sheetData>
      <sheetData sheetId="18384" refreshError="1"/>
      <sheetData sheetId="18385" refreshError="1"/>
      <sheetData sheetId="18386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>
        <row r="1">
          <cell r="J1">
            <v>1.7453292519943295E-2</v>
          </cell>
        </row>
      </sheetData>
      <sheetData sheetId="18393"/>
      <sheetData sheetId="18394">
        <row r="1">
          <cell r="J1">
            <v>1.7453292519943295E-2</v>
          </cell>
        </row>
      </sheetData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/>
      <sheetData sheetId="18401" refreshError="1"/>
      <sheetData sheetId="18402">
        <row r="1">
          <cell r="J1">
            <v>1.7453292519943295E-2</v>
          </cell>
        </row>
      </sheetData>
      <sheetData sheetId="18403" refreshError="1"/>
      <sheetData sheetId="18404" refreshError="1"/>
      <sheetData sheetId="18405">
        <row r="1">
          <cell r="J1">
            <v>1.7453292519943295E-2</v>
          </cell>
        </row>
      </sheetData>
      <sheetData sheetId="18406" refreshError="1"/>
      <sheetData sheetId="18407" refreshError="1"/>
      <sheetData sheetId="18408">
        <row r="1">
          <cell r="J1">
            <v>1.7453292519943295E-2</v>
          </cell>
        </row>
      </sheetData>
      <sheetData sheetId="18409">
        <row r="1">
          <cell r="J1">
            <v>1.7453292519943295E-2</v>
          </cell>
        </row>
      </sheetData>
      <sheetData sheetId="18410">
        <row r="1">
          <cell r="J1">
            <v>1.7453292519943295E-2</v>
          </cell>
        </row>
      </sheetData>
      <sheetData sheetId="18411" refreshError="1"/>
      <sheetData sheetId="18412" refreshError="1"/>
      <sheetData sheetId="18413" refreshError="1"/>
      <sheetData sheetId="18414"/>
      <sheetData sheetId="18415">
        <row r="1">
          <cell r="J1">
            <v>1.7453292519943295E-2</v>
          </cell>
        </row>
      </sheetData>
      <sheetData sheetId="18416">
        <row r="1">
          <cell r="J1">
            <v>1.7453292519943295E-2</v>
          </cell>
        </row>
      </sheetData>
      <sheetData sheetId="18417"/>
      <sheetData sheetId="18418" refreshError="1"/>
      <sheetData sheetId="18419"/>
      <sheetData sheetId="18420" refreshError="1"/>
      <sheetData sheetId="18421" refreshError="1"/>
      <sheetData sheetId="18422"/>
      <sheetData sheetId="18423"/>
      <sheetData sheetId="18424" refreshError="1"/>
      <sheetData sheetId="18425"/>
      <sheetData sheetId="18426" refreshError="1"/>
      <sheetData sheetId="18427"/>
      <sheetData sheetId="18428" refreshError="1"/>
      <sheetData sheetId="18429" refreshError="1"/>
      <sheetData sheetId="18430">
        <row r="1">
          <cell r="J1">
            <v>1.7453292519943295E-2</v>
          </cell>
        </row>
      </sheetData>
      <sheetData sheetId="18431" refreshError="1"/>
      <sheetData sheetId="18432">
        <row r="1">
          <cell r="J1">
            <v>1.7453292519943295E-2</v>
          </cell>
        </row>
      </sheetData>
      <sheetData sheetId="18433" refreshError="1"/>
      <sheetData sheetId="18434"/>
      <sheetData sheetId="18435">
        <row r="1">
          <cell r="J1">
            <v>1.7453292519943295E-2</v>
          </cell>
        </row>
      </sheetData>
      <sheetData sheetId="18436">
        <row r="1">
          <cell r="J1">
            <v>1.7453292519943295E-2</v>
          </cell>
        </row>
      </sheetData>
      <sheetData sheetId="18437">
        <row r="1">
          <cell r="J1">
            <v>1.7453292519943295E-2</v>
          </cell>
        </row>
      </sheetData>
      <sheetData sheetId="18438">
        <row r="1">
          <cell r="J1">
            <v>1.7453292519943295E-2</v>
          </cell>
        </row>
      </sheetData>
      <sheetData sheetId="18439">
        <row r="1">
          <cell r="J1">
            <v>1.7453292519943295E-2</v>
          </cell>
        </row>
      </sheetData>
      <sheetData sheetId="18440">
        <row r="1">
          <cell r="J1">
            <v>1.7453292519943295E-2</v>
          </cell>
        </row>
      </sheetData>
      <sheetData sheetId="18441">
        <row r="1">
          <cell r="J1">
            <v>1.7453292519943295E-2</v>
          </cell>
        </row>
      </sheetData>
      <sheetData sheetId="18442">
        <row r="1">
          <cell r="J1">
            <v>1.7453292519943295E-2</v>
          </cell>
        </row>
      </sheetData>
      <sheetData sheetId="18443">
        <row r="1">
          <cell r="J1">
            <v>1.7453292519943295E-2</v>
          </cell>
        </row>
      </sheetData>
      <sheetData sheetId="18444">
        <row r="1">
          <cell r="J1">
            <v>1.7453292519943295E-2</v>
          </cell>
        </row>
      </sheetData>
      <sheetData sheetId="18445">
        <row r="1">
          <cell r="J1">
            <v>1.7453292519943295E-2</v>
          </cell>
        </row>
      </sheetData>
      <sheetData sheetId="18446">
        <row r="1">
          <cell r="J1">
            <v>1.7453292519943295E-2</v>
          </cell>
        </row>
      </sheetData>
      <sheetData sheetId="18447">
        <row r="1">
          <cell r="J1">
            <v>1.7453292519943295E-2</v>
          </cell>
        </row>
      </sheetData>
      <sheetData sheetId="18448">
        <row r="1">
          <cell r="J1">
            <v>1.7453292519943295E-2</v>
          </cell>
        </row>
      </sheetData>
      <sheetData sheetId="18449">
        <row r="1">
          <cell r="J1">
            <v>1.7453292519943295E-2</v>
          </cell>
        </row>
      </sheetData>
      <sheetData sheetId="18450">
        <row r="1">
          <cell r="J1">
            <v>1.7453292519943295E-2</v>
          </cell>
        </row>
      </sheetData>
      <sheetData sheetId="18451">
        <row r="1">
          <cell r="J1">
            <v>1.7453292519943295E-2</v>
          </cell>
        </row>
      </sheetData>
      <sheetData sheetId="18452">
        <row r="1">
          <cell r="J1">
            <v>1.7453292519943295E-2</v>
          </cell>
        </row>
      </sheetData>
      <sheetData sheetId="18453">
        <row r="1">
          <cell r="J1">
            <v>1.7453292519943295E-2</v>
          </cell>
        </row>
      </sheetData>
      <sheetData sheetId="18454">
        <row r="1">
          <cell r="J1">
            <v>1.7453292519943295E-2</v>
          </cell>
        </row>
      </sheetData>
      <sheetData sheetId="18455">
        <row r="1">
          <cell r="J1">
            <v>1.7453292519943295E-2</v>
          </cell>
        </row>
      </sheetData>
      <sheetData sheetId="18456"/>
      <sheetData sheetId="18457"/>
      <sheetData sheetId="18458">
        <row r="1">
          <cell r="J1">
            <v>1.7453292519943295E-2</v>
          </cell>
        </row>
      </sheetData>
      <sheetData sheetId="18459">
        <row r="1">
          <cell r="J1">
            <v>1.7453292519943295E-2</v>
          </cell>
        </row>
      </sheetData>
      <sheetData sheetId="18460" refreshError="1"/>
      <sheetData sheetId="18461" refreshError="1"/>
      <sheetData sheetId="18462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>
        <row r="1">
          <cell r="J1">
            <v>1.7453292519943295E-2</v>
          </cell>
        </row>
      </sheetData>
      <sheetData sheetId="18469" refreshError="1"/>
      <sheetData sheetId="18470" refreshError="1"/>
      <sheetData sheetId="18471">
        <row r="1">
          <cell r="J1">
            <v>1.7453292519943295E-2</v>
          </cell>
        </row>
      </sheetData>
      <sheetData sheetId="18472" refreshError="1"/>
      <sheetData sheetId="18473">
        <row r="1">
          <cell r="J1">
            <v>1.7453292519943295E-2</v>
          </cell>
        </row>
      </sheetData>
      <sheetData sheetId="18474">
        <row r="1">
          <cell r="J1">
            <v>1.7453292519943295E-2</v>
          </cell>
        </row>
      </sheetData>
      <sheetData sheetId="18475">
        <row r="1">
          <cell r="J1">
            <v>1.7453292519943295E-2</v>
          </cell>
        </row>
      </sheetData>
      <sheetData sheetId="18476">
        <row r="1">
          <cell r="J1">
            <v>1.7453292519943295E-2</v>
          </cell>
        </row>
      </sheetData>
      <sheetData sheetId="18477">
        <row r="1">
          <cell r="J1">
            <v>1.7453292519943295E-2</v>
          </cell>
        </row>
      </sheetData>
      <sheetData sheetId="18478">
        <row r="1">
          <cell r="J1">
            <v>1.7453292519943295E-2</v>
          </cell>
        </row>
      </sheetData>
      <sheetData sheetId="18479">
        <row r="1">
          <cell r="J1">
            <v>1.7453292519943295E-2</v>
          </cell>
        </row>
      </sheetData>
      <sheetData sheetId="18480">
        <row r="1">
          <cell r="J1">
            <v>1.7453292519943295E-2</v>
          </cell>
        </row>
      </sheetData>
      <sheetData sheetId="18481">
        <row r="1">
          <cell r="J1">
            <v>1.7453292519943295E-2</v>
          </cell>
        </row>
      </sheetData>
      <sheetData sheetId="18482"/>
      <sheetData sheetId="18483">
        <row r="1">
          <cell r="J1">
            <v>1.7453292519943295E-2</v>
          </cell>
        </row>
      </sheetData>
      <sheetData sheetId="18484">
        <row r="1">
          <cell r="J1">
            <v>1.7453292519943295E-2</v>
          </cell>
        </row>
      </sheetData>
      <sheetData sheetId="18485">
        <row r="1">
          <cell r="J1">
            <v>1.7453292519943295E-2</v>
          </cell>
        </row>
      </sheetData>
      <sheetData sheetId="18486">
        <row r="1">
          <cell r="J1">
            <v>1.7453292519943295E-2</v>
          </cell>
        </row>
      </sheetData>
      <sheetData sheetId="18487">
        <row r="1">
          <cell r="J1">
            <v>1.7453292519943295E-2</v>
          </cell>
        </row>
      </sheetData>
      <sheetData sheetId="18488" refreshError="1"/>
      <sheetData sheetId="18489"/>
      <sheetData sheetId="18490"/>
      <sheetData sheetId="18491">
        <row r="1">
          <cell r="J1">
            <v>1.7453292519943295E-2</v>
          </cell>
        </row>
      </sheetData>
      <sheetData sheetId="18492">
        <row r="1">
          <cell r="J1">
            <v>1.7453292519943295E-2</v>
          </cell>
        </row>
      </sheetData>
      <sheetData sheetId="18493">
        <row r="1">
          <cell r="J1">
            <v>1.7453292519943295E-2</v>
          </cell>
        </row>
      </sheetData>
      <sheetData sheetId="18494" refreshError="1"/>
      <sheetData sheetId="18495" refreshError="1"/>
      <sheetData sheetId="18496">
        <row r="1">
          <cell r="J1">
            <v>1.7453292519943295E-2</v>
          </cell>
        </row>
      </sheetData>
      <sheetData sheetId="18497" refreshError="1"/>
      <sheetData sheetId="18498"/>
      <sheetData sheetId="18499"/>
      <sheetData sheetId="18500" refreshError="1"/>
      <sheetData sheetId="18501" refreshError="1"/>
      <sheetData sheetId="18502">
        <row r="1">
          <cell r="J1">
            <v>1.7453292519943295E-2</v>
          </cell>
        </row>
      </sheetData>
      <sheetData sheetId="18503">
        <row r="1">
          <cell r="J1">
            <v>1.7453292519943295E-2</v>
          </cell>
        </row>
      </sheetData>
      <sheetData sheetId="18504">
        <row r="1">
          <cell r="J1">
            <v>1.7453292519943295E-2</v>
          </cell>
        </row>
      </sheetData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>
        <row r="1">
          <cell r="J1">
            <v>1.7453292519943295E-2</v>
          </cell>
        </row>
      </sheetData>
      <sheetData sheetId="18512">
        <row r="1">
          <cell r="J1">
            <v>1.7453292519943295E-2</v>
          </cell>
        </row>
      </sheetData>
      <sheetData sheetId="18513" refreshError="1"/>
      <sheetData sheetId="18514">
        <row r="1">
          <cell r="J1">
            <v>1.7453292519943295E-2</v>
          </cell>
        </row>
      </sheetData>
      <sheetData sheetId="18515" refreshError="1"/>
      <sheetData sheetId="18516" refreshError="1"/>
      <sheetData sheetId="18517">
        <row r="1">
          <cell r="J1">
            <v>1.7453292519943295E-2</v>
          </cell>
        </row>
      </sheetData>
      <sheetData sheetId="18518">
        <row r="1">
          <cell r="J1">
            <v>1.7453292519943295E-2</v>
          </cell>
        </row>
      </sheetData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>
        <row r="1">
          <cell r="J1">
            <v>1.7453292519943295E-2</v>
          </cell>
        </row>
      </sheetData>
      <sheetData sheetId="18526">
        <row r="1">
          <cell r="J1">
            <v>1.7453292519943295E-2</v>
          </cell>
        </row>
      </sheetData>
      <sheetData sheetId="18527">
        <row r="1">
          <cell r="J1">
            <v>1.7453292519943295E-2</v>
          </cell>
        </row>
      </sheetData>
      <sheetData sheetId="18528">
        <row r="1">
          <cell r="J1">
            <v>1.7453292519943295E-2</v>
          </cell>
        </row>
      </sheetData>
      <sheetData sheetId="18529">
        <row r="1">
          <cell r="J1">
            <v>1.7453292519943295E-2</v>
          </cell>
        </row>
      </sheetData>
      <sheetData sheetId="18530" refreshError="1"/>
      <sheetData sheetId="18531" refreshError="1"/>
      <sheetData sheetId="18532">
        <row r="1">
          <cell r="J1">
            <v>1.7453292519943295E-2</v>
          </cell>
        </row>
      </sheetData>
      <sheetData sheetId="18533">
        <row r="1">
          <cell r="J1">
            <v>1.7453292519943295E-2</v>
          </cell>
        </row>
      </sheetData>
      <sheetData sheetId="18534">
        <row r="1">
          <cell r="J1">
            <v>1.7453292519943295E-2</v>
          </cell>
        </row>
      </sheetData>
      <sheetData sheetId="18535">
        <row r="1">
          <cell r="J1">
            <v>1.7453292519943295E-2</v>
          </cell>
        </row>
      </sheetData>
      <sheetData sheetId="18536">
        <row r="1">
          <cell r="J1">
            <v>1.7453292519943295E-2</v>
          </cell>
        </row>
      </sheetData>
      <sheetData sheetId="18537">
        <row r="1">
          <cell r="J1">
            <v>1.7453292519943295E-2</v>
          </cell>
        </row>
      </sheetData>
      <sheetData sheetId="18538">
        <row r="1">
          <cell r="J1">
            <v>1.7453292519943295E-2</v>
          </cell>
        </row>
      </sheetData>
      <sheetData sheetId="18539">
        <row r="1">
          <cell r="J1">
            <v>1.7453292519943295E-2</v>
          </cell>
        </row>
      </sheetData>
      <sheetData sheetId="18540">
        <row r="1">
          <cell r="J1">
            <v>1.7453292519943295E-2</v>
          </cell>
        </row>
      </sheetData>
      <sheetData sheetId="18541">
        <row r="1">
          <cell r="J1">
            <v>1.7453292519943295E-2</v>
          </cell>
        </row>
      </sheetData>
      <sheetData sheetId="18542">
        <row r="1">
          <cell r="J1">
            <v>1.7453292519943295E-2</v>
          </cell>
        </row>
      </sheetData>
      <sheetData sheetId="18543">
        <row r="1">
          <cell r="J1">
            <v>1.7453292519943295E-2</v>
          </cell>
        </row>
      </sheetData>
      <sheetData sheetId="18544">
        <row r="1">
          <cell r="J1">
            <v>1.7453292519943295E-2</v>
          </cell>
        </row>
      </sheetData>
      <sheetData sheetId="18545">
        <row r="1">
          <cell r="J1">
            <v>1.7453292519943295E-2</v>
          </cell>
        </row>
      </sheetData>
      <sheetData sheetId="18546">
        <row r="1">
          <cell r="J1">
            <v>1.7453292519943295E-2</v>
          </cell>
        </row>
      </sheetData>
      <sheetData sheetId="18547">
        <row r="1">
          <cell r="J1">
            <v>1.7453292519943295E-2</v>
          </cell>
        </row>
      </sheetData>
      <sheetData sheetId="18548">
        <row r="1">
          <cell r="J1">
            <v>1.7453292519943295E-2</v>
          </cell>
        </row>
      </sheetData>
      <sheetData sheetId="18549">
        <row r="1">
          <cell r="J1">
            <v>1.7453292519943295E-2</v>
          </cell>
        </row>
      </sheetData>
      <sheetData sheetId="18550">
        <row r="1">
          <cell r="J1">
            <v>1.7453292519943295E-2</v>
          </cell>
        </row>
      </sheetData>
      <sheetData sheetId="18551">
        <row r="1">
          <cell r="J1">
            <v>1.7453292519943295E-2</v>
          </cell>
        </row>
      </sheetData>
      <sheetData sheetId="18552">
        <row r="1">
          <cell r="J1">
            <v>1.7453292519943295E-2</v>
          </cell>
        </row>
      </sheetData>
      <sheetData sheetId="18553">
        <row r="1">
          <cell r="J1">
            <v>1.7453292519943295E-2</v>
          </cell>
        </row>
      </sheetData>
      <sheetData sheetId="18554">
        <row r="1">
          <cell r="J1">
            <v>1.7453292519943295E-2</v>
          </cell>
        </row>
      </sheetData>
      <sheetData sheetId="18555">
        <row r="1">
          <cell r="J1">
            <v>1.7453292519943295E-2</v>
          </cell>
        </row>
      </sheetData>
      <sheetData sheetId="18556" refreshError="1"/>
      <sheetData sheetId="18557" refreshError="1"/>
      <sheetData sheetId="18558"/>
      <sheetData sheetId="18559">
        <row r="1">
          <cell r="J1">
            <v>1.7453292519943295E-2</v>
          </cell>
        </row>
      </sheetData>
      <sheetData sheetId="18560">
        <row r="1">
          <cell r="J1">
            <v>1.7453292519943295E-2</v>
          </cell>
        </row>
      </sheetData>
      <sheetData sheetId="18561" refreshError="1"/>
      <sheetData sheetId="18562"/>
      <sheetData sheetId="18563">
        <row r="1">
          <cell r="J1">
            <v>1.7453292519943295E-2</v>
          </cell>
        </row>
      </sheetData>
      <sheetData sheetId="18564"/>
      <sheetData sheetId="18565" refreshError="1"/>
      <sheetData sheetId="18566"/>
      <sheetData sheetId="18567">
        <row r="1">
          <cell r="J1">
            <v>1.7453292519943295E-2</v>
          </cell>
        </row>
      </sheetData>
      <sheetData sheetId="18568">
        <row r="1">
          <cell r="J1">
            <v>1.7453292519943295E-2</v>
          </cell>
        </row>
      </sheetData>
      <sheetData sheetId="18569">
        <row r="1">
          <cell r="J1">
            <v>1.7453292519943295E-2</v>
          </cell>
        </row>
      </sheetData>
      <sheetData sheetId="18570" refreshError="1"/>
      <sheetData sheetId="18571"/>
      <sheetData sheetId="18572">
        <row r="1">
          <cell r="J1">
            <v>1.7453292519943295E-2</v>
          </cell>
        </row>
      </sheetData>
      <sheetData sheetId="18573" refreshError="1"/>
      <sheetData sheetId="18574"/>
      <sheetData sheetId="18575" refreshError="1"/>
      <sheetData sheetId="18576" refreshError="1"/>
      <sheetData sheetId="18577">
        <row r="1">
          <cell r="J1">
            <v>1.7453292519943295E-2</v>
          </cell>
        </row>
      </sheetData>
      <sheetData sheetId="18578">
        <row r="1">
          <cell r="J1">
            <v>1.7453292519943295E-2</v>
          </cell>
        </row>
      </sheetData>
      <sheetData sheetId="18579">
        <row r="1">
          <cell r="J1">
            <v>1.7453292519943295E-2</v>
          </cell>
        </row>
      </sheetData>
      <sheetData sheetId="18580">
        <row r="1">
          <cell r="J1">
            <v>1.7453292519943295E-2</v>
          </cell>
        </row>
      </sheetData>
      <sheetData sheetId="18581"/>
      <sheetData sheetId="18582">
        <row r="1">
          <cell r="J1">
            <v>1.7453292519943295E-2</v>
          </cell>
        </row>
      </sheetData>
      <sheetData sheetId="18583">
        <row r="1">
          <cell r="J1">
            <v>1.7453292519943295E-2</v>
          </cell>
        </row>
      </sheetData>
      <sheetData sheetId="18584">
        <row r="1">
          <cell r="J1">
            <v>1.7453292519943295E-2</v>
          </cell>
        </row>
      </sheetData>
      <sheetData sheetId="18585">
        <row r="1">
          <cell r="J1">
            <v>1.7453292519943295E-2</v>
          </cell>
        </row>
      </sheetData>
      <sheetData sheetId="18586" refreshError="1"/>
      <sheetData sheetId="18587" refreshError="1"/>
      <sheetData sheetId="18588"/>
      <sheetData sheetId="18589">
        <row r="1">
          <cell r="J1">
            <v>1.7453292519943295E-2</v>
          </cell>
        </row>
      </sheetData>
      <sheetData sheetId="18590" refreshError="1"/>
      <sheetData sheetId="18591"/>
      <sheetData sheetId="18592">
        <row r="1">
          <cell r="J1">
            <v>1.7453292519943295E-2</v>
          </cell>
        </row>
      </sheetData>
      <sheetData sheetId="18593">
        <row r="1">
          <cell r="J1">
            <v>1.7453292519943295E-2</v>
          </cell>
        </row>
      </sheetData>
      <sheetData sheetId="18594">
        <row r="1">
          <cell r="J1">
            <v>1.7453292519943295E-2</v>
          </cell>
        </row>
      </sheetData>
      <sheetData sheetId="18595">
        <row r="1">
          <cell r="J1">
            <v>1.7453292519943295E-2</v>
          </cell>
        </row>
      </sheetData>
      <sheetData sheetId="18596">
        <row r="1">
          <cell r="J1">
            <v>1.7453292519943295E-2</v>
          </cell>
        </row>
      </sheetData>
      <sheetData sheetId="18597">
        <row r="1">
          <cell r="J1">
            <v>1.7453292519943295E-2</v>
          </cell>
        </row>
      </sheetData>
      <sheetData sheetId="18598">
        <row r="1">
          <cell r="J1">
            <v>1.7453292519943295E-2</v>
          </cell>
        </row>
      </sheetData>
      <sheetData sheetId="18599">
        <row r="1">
          <cell r="J1">
            <v>1.7453292519943295E-2</v>
          </cell>
        </row>
      </sheetData>
      <sheetData sheetId="18600" refreshError="1"/>
      <sheetData sheetId="18601" refreshError="1"/>
      <sheetData sheetId="18602">
        <row r="1">
          <cell r="J1">
            <v>1.7453292519943295E-2</v>
          </cell>
        </row>
      </sheetData>
      <sheetData sheetId="18603"/>
      <sheetData sheetId="18604">
        <row r="1">
          <cell r="J1">
            <v>1.7453292519943295E-2</v>
          </cell>
        </row>
      </sheetData>
      <sheetData sheetId="18605" refreshError="1"/>
      <sheetData sheetId="18606" refreshError="1"/>
      <sheetData sheetId="18607" refreshError="1"/>
      <sheetData sheetId="18608"/>
      <sheetData sheetId="18609">
        <row r="1">
          <cell r="J1">
            <v>1.7453292519943295E-2</v>
          </cell>
        </row>
      </sheetData>
      <sheetData sheetId="18610">
        <row r="1">
          <cell r="J1">
            <v>1.7453292519943295E-2</v>
          </cell>
        </row>
      </sheetData>
      <sheetData sheetId="18611">
        <row r="1">
          <cell r="J1">
            <v>1.7453292519943295E-2</v>
          </cell>
        </row>
      </sheetData>
      <sheetData sheetId="18612" refreshError="1"/>
      <sheetData sheetId="18613"/>
      <sheetData sheetId="18614" refreshError="1"/>
      <sheetData sheetId="18615">
        <row r="1">
          <cell r="J1">
            <v>1.7453292519943295E-2</v>
          </cell>
        </row>
      </sheetData>
      <sheetData sheetId="18616">
        <row r="1">
          <cell r="J1">
            <v>1.7453292519943295E-2</v>
          </cell>
        </row>
      </sheetData>
      <sheetData sheetId="18617">
        <row r="1">
          <cell r="J1">
            <v>1.7453292519943295E-2</v>
          </cell>
        </row>
      </sheetData>
      <sheetData sheetId="18618">
        <row r="1">
          <cell r="J1">
            <v>1.7453292519943295E-2</v>
          </cell>
        </row>
      </sheetData>
      <sheetData sheetId="18619">
        <row r="1">
          <cell r="J1">
            <v>1.7453292519943295E-2</v>
          </cell>
        </row>
      </sheetData>
      <sheetData sheetId="18620">
        <row r="1">
          <cell r="J1">
            <v>1.7453292519943295E-2</v>
          </cell>
        </row>
      </sheetData>
      <sheetData sheetId="18621">
        <row r="1">
          <cell r="J1">
            <v>1.7453292519943295E-2</v>
          </cell>
        </row>
      </sheetData>
      <sheetData sheetId="18622">
        <row r="1">
          <cell r="J1">
            <v>1.7453292519943295E-2</v>
          </cell>
        </row>
      </sheetData>
      <sheetData sheetId="18623">
        <row r="1">
          <cell r="J1">
            <v>1.7453292519943295E-2</v>
          </cell>
        </row>
      </sheetData>
      <sheetData sheetId="18624">
        <row r="1">
          <cell r="J1">
            <v>1.7453292519943295E-2</v>
          </cell>
        </row>
      </sheetData>
      <sheetData sheetId="18625">
        <row r="1">
          <cell r="J1">
            <v>1.7453292519943295E-2</v>
          </cell>
        </row>
      </sheetData>
      <sheetData sheetId="18626">
        <row r="1">
          <cell r="J1">
            <v>1.7453292519943295E-2</v>
          </cell>
        </row>
      </sheetData>
      <sheetData sheetId="18627">
        <row r="1">
          <cell r="J1">
            <v>1.7453292519943295E-2</v>
          </cell>
        </row>
      </sheetData>
      <sheetData sheetId="18628">
        <row r="1">
          <cell r="J1">
            <v>1.7453292519943295E-2</v>
          </cell>
        </row>
      </sheetData>
      <sheetData sheetId="18629"/>
      <sheetData sheetId="18630" refreshError="1"/>
      <sheetData sheetId="18631" refreshError="1"/>
      <sheetData sheetId="18632" refreshError="1"/>
      <sheetData sheetId="18633">
        <row r="1">
          <cell r="J1">
            <v>1.7453292519943295E-2</v>
          </cell>
        </row>
      </sheetData>
      <sheetData sheetId="18634">
        <row r="1">
          <cell r="J1">
            <v>1.7453292519943295E-2</v>
          </cell>
        </row>
      </sheetData>
      <sheetData sheetId="18635">
        <row r="1">
          <cell r="J1">
            <v>1.7453292519943295E-2</v>
          </cell>
        </row>
      </sheetData>
      <sheetData sheetId="18636">
        <row r="1">
          <cell r="J1">
            <v>1.7453292519943295E-2</v>
          </cell>
        </row>
      </sheetData>
      <sheetData sheetId="18637">
        <row r="1">
          <cell r="J1">
            <v>1.7453292519943295E-2</v>
          </cell>
        </row>
      </sheetData>
      <sheetData sheetId="18638"/>
      <sheetData sheetId="18639"/>
      <sheetData sheetId="18640" refreshError="1"/>
      <sheetData sheetId="18641">
        <row r="1">
          <cell r="J1">
            <v>1.7453292519943295E-2</v>
          </cell>
        </row>
      </sheetData>
      <sheetData sheetId="18642" refreshError="1"/>
      <sheetData sheetId="18643" refreshError="1"/>
      <sheetData sheetId="18644" refreshError="1"/>
      <sheetData sheetId="18645"/>
      <sheetData sheetId="18646">
        <row r="1">
          <cell r="J1">
            <v>1.7453292519943295E-2</v>
          </cell>
        </row>
      </sheetData>
      <sheetData sheetId="18647">
        <row r="1">
          <cell r="J1">
            <v>1.7453292519943295E-2</v>
          </cell>
        </row>
      </sheetData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/>
      <sheetData sheetId="18654">
        <row r="1">
          <cell r="J1">
            <v>1.7453292519943295E-2</v>
          </cell>
        </row>
      </sheetData>
      <sheetData sheetId="18655">
        <row r="1">
          <cell r="J1">
            <v>1.7453292519943295E-2</v>
          </cell>
        </row>
      </sheetData>
      <sheetData sheetId="18656">
        <row r="1">
          <cell r="J1">
            <v>1.7453292519943295E-2</v>
          </cell>
        </row>
      </sheetData>
      <sheetData sheetId="18657">
        <row r="1">
          <cell r="J1">
            <v>1.7453292519943295E-2</v>
          </cell>
        </row>
      </sheetData>
      <sheetData sheetId="18658">
        <row r="1">
          <cell r="J1">
            <v>1.7453292519943295E-2</v>
          </cell>
        </row>
      </sheetData>
      <sheetData sheetId="18659">
        <row r="1">
          <cell r="J1">
            <v>1.7453292519943295E-2</v>
          </cell>
        </row>
      </sheetData>
      <sheetData sheetId="18660">
        <row r="1">
          <cell r="J1">
            <v>1.7453292519943295E-2</v>
          </cell>
        </row>
      </sheetData>
      <sheetData sheetId="18661">
        <row r="1">
          <cell r="J1">
            <v>1.7453292519943295E-2</v>
          </cell>
        </row>
      </sheetData>
      <sheetData sheetId="18662">
        <row r="1">
          <cell r="J1">
            <v>1.7453292519943295E-2</v>
          </cell>
        </row>
      </sheetData>
      <sheetData sheetId="18663">
        <row r="1">
          <cell r="J1">
            <v>1.7453292519943295E-2</v>
          </cell>
        </row>
      </sheetData>
      <sheetData sheetId="18664">
        <row r="1">
          <cell r="J1">
            <v>1.7453292519943295E-2</v>
          </cell>
        </row>
      </sheetData>
      <sheetData sheetId="18665">
        <row r="1">
          <cell r="J1">
            <v>1.7453292519943295E-2</v>
          </cell>
        </row>
      </sheetData>
      <sheetData sheetId="18666">
        <row r="1">
          <cell r="J1">
            <v>1.7453292519943295E-2</v>
          </cell>
        </row>
      </sheetData>
      <sheetData sheetId="18667">
        <row r="1">
          <cell r="J1">
            <v>1.7453292519943295E-2</v>
          </cell>
        </row>
      </sheetData>
      <sheetData sheetId="18668">
        <row r="1">
          <cell r="J1">
            <v>1.7453292519943295E-2</v>
          </cell>
        </row>
      </sheetData>
      <sheetData sheetId="18669">
        <row r="1">
          <cell r="J1">
            <v>1.7453292519943295E-2</v>
          </cell>
        </row>
      </sheetData>
      <sheetData sheetId="18670">
        <row r="1">
          <cell r="J1">
            <v>1.7453292519943295E-2</v>
          </cell>
        </row>
      </sheetData>
      <sheetData sheetId="18671">
        <row r="1">
          <cell r="J1">
            <v>1.7453292519943295E-2</v>
          </cell>
        </row>
      </sheetData>
      <sheetData sheetId="18672">
        <row r="1">
          <cell r="J1">
            <v>1.7453292519943295E-2</v>
          </cell>
        </row>
      </sheetData>
      <sheetData sheetId="18673">
        <row r="1">
          <cell r="J1">
            <v>1.7453292519943295E-2</v>
          </cell>
        </row>
      </sheetData>
      <sheetData sheetId="18674">
        <row r="1">
          <cell r="J1">
            <v>1.7453292519943295E-2</v>
          </cell>
        </row>
      </sheetData>
      <sheetData sheetId="18675">
        <row r="1">
          <cell r="J1">
            <v>1.7453292519943295E-2</v>
          </cell>
        </row>
      </sheetData>
      <sheetData sheetId="18676">
        <row r="1">
          <cell r="J1">
            <v>1.7453292519943295E-2</v>
          </cell>
        </row>
      </sheetData>
      <sheetData sheetId="18677" refreshError="1"/>
      <sheetData sheetId="18678" refreshError="1"/>
      <sheetData sheetId="18679"/>
      <sheetData sheetId="18680">
        <row r="1">
          <cell r="J1">
            <v>1.7453292519943295E-2</v>
          </cell>
        </row>
      </sheetData>
      <sheetData sheetId="18681" refreshError="1"/>
      <sheetData sheetId="18682" refreshError="1"/>
      <sheetData sheetId="18683" refreshError="1"/>
      <sheetData sheetId="18684"/>
      <sheetData sheetId="18685" refreshError="1"/>
      <sheetData sheetId="18686">
        <row r="1">
          <cell r="J1">
            <v>1.7453292519943295E-2</v>
          </cell>
        </row>
      </sheetData>
      <sheetData sheetId="18687">
        <row r="1">
          <cell r="J1">
            <v>1.7453292519943295E-2</v>
          </cell>
        </row>
      </sheetData>
      <sheetData sheetId="18688">
        <row r="1">
          <cell r="J1">
            <v>1.7453292519943295E-2</v>
          </cell>
        </row>
      </sheetData>
      <sheetData sheetId="18689">
        <row r="1">
          <cell r="J1">
            <v>1.7453292519943295E-2</v>
          </cell>
        </row>
      </sheetData>
      <sheetData sheetId="18690">
        <row r="1">
          <cell r="J1">
            <v>1.7453292519943295E-2</v>
          </cell>
        </row>
      </sheetData>
      <sheetData sheetId="18691">
        <row r="1">
          <cell r="J1">
            <v>1.7453292519943295E-2</v>
          </cell>
        </row>
      </sheetData>
      <sheetData sheetId="18692">
        <row r="1">
          <cell r="J1">
            <v>1.7453292519943295E-2</v>
          </cell>
        </row>
      </sheetData>
      <sheetData sheetId="18693">
        <row r="1">
          <cell r="J1">
            <v>1.7453292519943295E-2</v>
          </cell>
        </row>
      </sheetData>
      <sheetData sheetId="18694">
        <row r="1">
          <cell r="J1">
            <v>1.7453292519943295E-2</v>
          </cell>
        </row>
      </sheetData>
      <sheetData sheetId="18695">
        <row r="1">
          <cell r="J1">
            <v>1.7453292519943295E-2</v>
          </cell>
        </row>
      </sheetData>
      <sheetData sheetId="18696">
        <row r="1">
          <cell r="J1">
            <v>1.7453292519943295E-2</v>
          </cell>
        </row>
      </sheetData>
      <sheetData sheetId="18697">
        <row r="1">
          <cell r="J1">
            <v>1.7453292519943295E-2</v>
          </cell>
        </row>
      </sheetData>
      <sheetData sheetId="18698">
        <row r="1">
          <cell r="J1">
            <v>1.7453292519943295E-2</v>
          </cell>
        </row>
      </sheetData>
      <sheetData sheetId="18699">
        <row r="1">
          <cell r="J1">
            <v>1.7453292519943295E-2</v>
          </cell>
        </row>
      </sheetData>
      <sheetData sheetId="18700">
        <row r="1">
          <cell r="J1">
            <v>1.7453292519943295E-2</v>
          </cell>
        </row>
      </sheetData>
      <sheetData sheetId="18701">
        <row r="1">
          <cell r="J1">
            <v>1.7453292519943295E-2</v>
          </cell>
        </row>
      </sheetData>
      <sheetData sheetId="18702">
        <row r="1">
          <cell r="J1">
            <v>1.7453292519943295E-2</v>
          </cell>
        </row>
      </sheetData>
      <sheetData sheetId="18703">
        <row r="1">
          <cell r="J1">
            <v>1.7453292519943295E-2</v>
          </cell>
        </row>
      </sheetData>
      <sheetData sheetId="18704">
        <row r="1">
          <cell r="J1">
            <v>1.7453292519943295E-2</v>
          </cell>
        </row>
      </sheetData>
      <sheetData sheetId="18705">
        <row r="1">
          <cell r="J1">
            <v>1.7453292519943295E-2</v>
          </cell>
        </row>
      </sheetData>
      <sheetData sheetId="18706">
        <row r="1">
          <cell r="J1">
            <v>1.7453292519943295E-2</v>
          </cell>
        </row>
      </sheetData>
      <sheetData sheetId="18707"/>
      <sheetData sheetId="18708" refreshError="1"/>
      <sheetData sheetId="18709">
        <row r="1">
          <cell r="J1">
            <v>1.7453292519943295E-2</v>
          </cell>
        </row>
      </sheetData>
      <sheetData sheetId="18710">
        <row r="1">
          <cell r="J1">
            <v>1.7453292519943295E-2</v>
          </cell>
        </row>
      </sheetData>
      <sheetData sheetId="18711" refreshError="1"/>
      <sheetData sheetId="18712"/>
      <sheetData sheetId="18713" refreshError="1"/>
      <sheetData sheetId="18714" refreshError="1"/>
      <sheetData sheetId="18715" refreshError="1"/>
      <sheetData sheetId="18716" refreshError="1"/>
      <sheetData sheetId="18717">
        <row r="1">
          <cell r="J1">
            <v>1.7453292519943295E-2</v>
          </cell>
        </row>
      </sheetData>
      <sheetData sheetId="18718">
        <row r="1">
          <cell r="J1">
            <v>1.7453292519943295E-2</v>
          </cell>
        </row>
      </sheetData>
      <sheetData sheetId="18719">
        <row r="1">
          <cell r="J1">
            <v>1.7453292519943295E-2</v>
          </cell>
        </row>
      </sheetData>
      <sheetData sheetId="18720">
        <row r="1">
          <cell r="J1">
            <v>1.7453292519943295E-2</v>
          </cell>
        </row>
      </sheetData>
      <sheetData sheetId="18721">
        <row r="1">
          <cell r="J1">
            <v>1.7453292519943295E-2</v>
          </cell>
        </row>
      </sheetData>
      <sheetData sheetId="18722">
        <row r="1">
          <cell r="J1">
            <v>1.7453292519943295E-2</v>
          </cell>
        </row>
      </sheetData>
      <sheetData sheetId="18723">
        <row r="1">
          <cell r="J1">
            <v>1.7453292519943295E-2</v>
          </cell>
        </row>
      </sheetData>
      <sheetData sheetId="18724">
        <row r="1">
          <cell r="J1">
            <v>1.7453292519943295E-2</v>
          </cell>
        </row>
      </sheetData>
      <sheetData sheetId="18725">
        <row r="1">
          <cell r="J1">
            <v>1.7453292519943295E-2</v>
          </cell>
        </row>
      </sheetData>
      <sheetData sheetId="18726">
        <row r="1">
          <cell r="J1">
            <v>1.7453292519943295E-2</v>
          </cell>
        </row>
      </sheetData>
      <sheetData sheetId="18727">
        <row r="1">
          <cell r="J1">
            <v>1.7453292519943295E-2</v>
          </cell>
        </row>
      </sheetData>
      <sheetData sheetId="18728">
        <row r="1">
          <cell r="J1">
            <v>1.7453292519943295E-2</v>
          </cell>
        </row>
      </sheetData>
      <sheetData sheetId="18729">
        <row r="1">
          <cell r="J1">
            <v>1.7453292519943295E-2</v>
          </cell>
        </row>
      </sheetData>
      <sheetData sheetId="18730">
        <row r="1">
          <cell r="J1">
            <v>1.7453292519943295E-2</v>
          </cell>
        </row>
      </sheetData>
      <sheetData sheetId="18731"/>
      <sheetData sheetId="18732">
        <row r="1">
          <cell r="J1">
            <v>1.7453292519943295E-2</v>
          </cell>
        </row>
      </sheetData>
      <sheetData sheetId="18733">
        <row r="1">
          <cell r="J1">
            <v>1.7453292519943295E-2</v>
          </cell>
        </row>
      </sheetData>
      <sheetData sheetId="18734">
        <row r="1">
          <cell r="J1">
            <v>1.7453292519943295E-2</v>
          </cell>
        </row>
      </sheetData>
      <sheetData sheetId="18735">
        <row r="1">
          <cell r="J1">
            <v>1.7453292519943295E-2</v>
          </cell>
        </row>
      </sheetData>
      <sheetData sheetId="18736">
        <row r="1">
          <cell r="J1">
            <v>1.7453292519943295E-2</v>
          </cell>
        </row>
      </sheetData>
      <sheetData sheetId="18737">
        <row r="1">
          <cell r="J1">
            <v>1.7453292519943295E-2</v>
          </cell>
        </row>
      </sheetData>
      <sheetData sheetId="18738">
        <row r="1">
          <cell r="J1">
            <v>1.7453292519943295E-2</v>
          </cell>
        </row>
      </sheetData>
      <sheetData sheetId="18739">
        <row r="1">
          <cell r="J1">
            <v>1.7453292519943295E-2</v>
          </cell>
        </row>
      </sheetData>
      <sheetData sheetId="18740" refreshError="1"/>
      <sheetData sheetId="18741" refreshError="1"/>
      <sheetData sheetId="18742">
        <row r="1">
          <cell r="J1">
            <v>1.7453292519943295E-2</v>
          </cell>
        </row>
      </sheetData>
      <sheetData sheetId="18743">
        <row r="1">
          <cell r="J1">
            <v>1.7453292519943295E-2</v>
          </cell>
        </row>
      </sheetData>
      <sheetData sheetId="18744" refreshError="1"/>
      <sheetData sheetId="18745">
        <row r="1">
          <cell r="J1">
            <v>1.7453292519943295E-2</v>
          </cell>
        </row>
      </sheetData>
      <sheetData sheetId="18746">
        <row r="1">
          <cell r="J1">
            <v>1.7453292519943295E-2</v>
          </cell>
        </row>
      </sheetData>
      <sheetData sheetId="18747" refreshError="1"/>
      <sheetData sheetId="18748" refreshError="1"/>
      <sheetData sheetId="18749">
        <row r="1">
          <cell r="J1">
            <v>1.7453292519943295E-2</v>
          </cell>
        </row>
      </sheetData>
      <sheetData sheetId="18750">
        <row r="1">
          <cell r="J1">
            <v>1.7453292519943295E-2</v>
          </cell>
        </row>
      </sheetData>
      <sheetData sheetId="18751" refreshError="1"/>
      <sheetData sheetId="18752">
        <row r="1">
          <cell r="J1">
            <v>1.7453292519943295E-2</v>
          </cell>
        </row>
      </sheetData>
      <sheetData sheetId="18753" refreshError="1"/>
      <sheetData sheetId="18754" refreshError="1"/>
      <sheetData sheetId="18755" refreshError="1"/>
      <sheetData sheetId="18756" refreshError="1"/>
      <sheetData sheetId="18757">
        <row r="1">
          <cell r="J1">
            <v>1.7453292519943295E-2</v>
          </cell>
        </row>
      </sheetData>
      <sheetData sheetId="18758">
        <row r="1">
          <cell r="J1">
            <v>1.7453292519943295E-2</v>
          </cell>
        </row>
      </sheetData>
      <sheetData sheetId="18759">
        <row r="1">
          <cell r="J1">
            <v>1.7453292519943295E-2</v>
          </cell>
        </row>
      </sheetData>
      <sheetData sheetId="18760">
        <row r="1">
          <cell r="J1">
            <v>1.7453292519943295E-2</v>
          </cell>
        </row>
      </sheetData>
      <sheetData sheetId="18761">
        <row r="1">
          <cell r="J1">
            <v>1.7453292519943295E-2</v>
          </cell>
        </row>
      </sheetData>
      <sheetData sheetId="18762" refreshError="1"/>
      <sheetData sheetId="18763">
        <row r="1">
          <cell r="J1">
            <v>1.7453292519943295E-2</v>
          </cell>
        </row>
      </sheetData>
      <sheetData sheetId="18764">
        <row r="1">
          <cell r="J1">
            <v>1.7453292519943295E-2</v>
          </cell>
        </row>
      </sheetData>
      <sheetData sheetId="18765">
        <row r="1">
          <cell r="J1">
            <v>1.7453292519943295E-2</v>
          </cell>
        </row>
      </sheetData>
      <sheetData sheetId="18766">
        <row r="1">
          <cell r="J1">
            <v>1.7453292519943295E-2</v>
          </cell>
        </row>
      </sheetData>
      <sheetData sheetId="18767">
        <row r="1">
          <cell r="J1">
            <v>1.7453292519943295E-2</v>
          </cell>
        </row>
      </sheetData>
      <sheetData sheetId="18768">
        <row r="1">
          <cell r="J1">
            <v>1.7453292519943295E-2</v>
          </cell>
        </row>
      </sheetData>
      <sheetData sheetId="18769">
        <row r="1">
          <cell r="J1">
            <v>1.7453292519943295E-2</v>
          </cell>
        </row>
      </sheetData>
      <sheetData sheetId="18770">
        <row r="1">
          <cell r="J1">
            <v>1.7453292519943295E-2</v>
          </cell>
        </row>
      </sheetData>
      <sheetData sheetId="18771">
        <row r="1">
          <cell r="J1">
            <v>1.7453292519943295E-2</v>
          </cell>
        </row>
      </sheetData>
      <sheetData sheetId="18772">
        <row r="1">
          <cell r="J1">
            <v>1.7453292519943295E-2</v>
          </cell>
        </row>
      </sheetData>
      <sheetData sheetId="18773">
        <row r="1">
          <cell r="J1">
            <v>1.7453292519943295E-2</v>
          </cell>
        </row>
      </sheetData>
      <sheetData sheetId="18774">
        <row r="1">
          <cell r="J1">
            <v>1.7453292519943295E-2</v>
          </cell>
        </row>
      </sheetData>
      <sheetData sheetId="18775">
        <row r="1">
          <cell r="J1">
            <v>1.7453292519943295E-2</v>
          </cell>
        </row>
      </sheetData>
      <sheetData sheetId="18776">
        <row r="1">
          <cell r="J1">
            <v>1.7453292519943295E-2</v>
          </cell>
        </row>
      </sheetData>
      <sheetData sheetId="18777">
        <row r="1">
          <cell r="J1">
            <v>1.7453292519943295E-2</v>
          </cell>
        </row>
      </sheetData>
      <sheetData sheetId="18778">
        <row r="1">
          <cell r="J1">
            <v>1.7453292519943295E-2</v>
          </cell>
        </row>
      </sheetData>
      <sheetData sheetId="18779">
        <row r="1">
          <cell r="J1">
            <v>1.7453292519943295E-2</v>
          </cell>
        </row>
      </sheetData>
      <sheetData sheetId="18780">
        <row r="1">
          <cell r="J1">
            <v>1.7453292519943295E-2</v>
          </cell>
        </row>
      </sheetData>
      <sheetData sheetId="18781">
        <row r="1">
          <cell r="J1">
            <v>1.7453292519943295E-2</v>
          </cell>
        </row>
      </sheetData>
      <sheetData sheetId="18782">
        <row r="1">
          <cell r="J1">
            <v>1.7453292519943295E-2</v>
          </cell>
        </row>
      </sheetData>
      <sheetData sheetId="18783">
        <row r="1">
          <cell r="J1">
            <v>1.7453292519943295E-2</v>
          </cell>
        </row>
      </sheetData>
      <sheetData sheetId="18784">
        <row r="1">
          <cell r="J1">
            <v>1.7453292519943295E-2</v>
          </cell>
        </row>
      </sheetData>
      <sheetData sheetId="18785">
        <row r="1">
          <cell r="J1">
            <v>1.7453292519943295E-2</v>
          </cell>
        </row>
      </sheetData>
      <sheetData sheetId="18786">
        <row r="1">
          <cell r="J1">
            <v>1.7453292519943295E-2</v>
          </cell>
        </row>
      </sheetData>
      <sheetData sheetId="18787">
        <row r="1">
          <cell r="J1">
            <v>1.7453292519943295E-2</v>
          </cell>
        </row>
      </sheetData>
      <sheetData sheetId="18788">
        <row r="1">
          <cell r="J1">
            <v>1.7453292519943295E-2</v>
          </cell>
        </row>
      </sheetData>
      <sheetData sheetId="18789">
        <row r="1">
          <cell r="J1">
            <v>1.7453292519943295E-2</v>
          </cell>
        </row>
      </sheetData>
      <sheetData sheetId="18790">
        <row r="1">
          <cell r="J1">
            <v>1.7453292519943295E-2</v>
          </cell>
        </row>
      </sheetData>
      <sheetData sheetId="18791">
        <row r="1">
          <cell r="J1">
            <v>1.7453292519943295E-2</v>
          </cell>
        </row>
      </sheetData>
      <sheetData sheetId="18792">
        <row r="1">
          <cell r="J1">
            <v>1.7453292519943295E-2</v>
          </cell>
        </row>
      </sheetData>
      <sheetData sheetId="18793">
        <row r="1">
          <cell r="J1">
            <v>1.7453292519943295E-2</v>
          </cell>
        </row>
      </sheetData>
      <sheetData sheetId="18794">
        <row r="1">
          <cell r="J1">
            <v>1.7453292519943295E-2</v>
          </cell>
        </row>
      </sheetData>
      <sheetData sheetId="18795">
        <row r="1">
          <cell r="J1">
            <v>1.7453292519943295E-2</v>
          </cell>
        </row>
      </sheetData>
      <sheetData sheetId="18796" refreshError="1"/>
      <sheetData sheetId="18797" refreshError="1"/>
      <sheetData sheetId="18798">
        <row r="1">
          <cell r="J1">
            <v>1.7453292519943295E-2</v>
          </cell>
        </row>
      </sheetData>
      <sheetData sheetId="18799">
        <row r="1">
          <cell r="J1">
            <v>1.7453292519943295E-2</v>
          </cell>
        </row>
      </sheetData>
      <sheetData sheetId="18800" refreshError="1"/>
      <sheetData sheetId="18801">
        <row r="1">
          <cell r="J1">
            <v>1.7453292519943295E-2</v>
          </cell>
        </row>
      </sheetData>
      <sheetData sheetId="18802">
        <row r="1">
          <cell r="J1">
            <v>1.7453292519943295E-2</v>
          </cell>
        </row>
      </sheetData>
      <sheetData sheetId="18803">
        <row r="1">
          <cell r="J1">
            <v>1.7453292519943295E-2</v>
          </cell>
        </row>
      </sheetData>
      <sheetData sheetId="18804" refreshError="1"/>
      <sheetData sheetId="18805" refreshError="1"/>
      <sheetData sheetId="18806">
        <row r="1">
          <cell r="J1">
            <v>1.7453292519943295E-2</v>
          </cell>
        </row>
      </sheetData>
      <sheetData sheetId="18807">
        <row r="1">
          <cell r="J1">
            <v>1.7453292519943295E-2</v>
          </cell>
        </row>
      </sheetData>
      <sheetData sheetId="18808">
        <row r="1">
          <cell r="J1">
            <v>1.7453292519943295E-2</v>
          </cell>
        </row>
      </sheetData>
      <sheetData sheetId="18809" refreshError="1"/>
      <sheetData sheetId="18810">
        <row r="1">
          <cell r="J1">
            <v>1.7453292519943295E-2</v>
          </cell>
        </row>
      </sheetData>
      <sheetData sheetId="18811">
        <row r="1">
          <cell r="J1">
            <v>1.7453292519943295E-2</v>
          </cell>
        </row>
      </sheetData>
      <sheetData sheetId="18812" refreshError="1"/>
      <sheetData sheetId="18813" refreshError="1"/>
      <sheetData sheetId="18814">
        <row r="1">
          <cell r="J1">
            <v>1.7453292519943295E-2</v>
          </cell>
        </row>
      </sheetData>
      <sheetData sheetId="18815">
        <row r="1">
          <cell r="J1">
            <v>1.7453292519943295E-2</v>
          </cell>
        </row>
      </sheetData>
      <sheetData sheetId="18816" refreshError="1"/>
      <sheetData sheetId="18817">
        <row r="1">
          <cell r="J1">
            <v>1.7453292519943295E-2</v>
          </cell>
        </row>
      </sheetData>
      <sheetData sheetId="18818">
        <row r="1">
          <cell r="J1">
            <v>1.7453292519943295E-2</v>
          </cell>
        </row>
      </sheetData>
      <sheetData sheetId="18819">
        <row r="1">
          <cell r="J1">
            <v>1.7453292519943295E-2</v>
          </cell>
        </row>
      </sheetData>
      <sheetData sheetId="18820">
        <row r="1">
          <cell r="J1">
            <v>1.7453292519943295E-2</v>
          </cell>
        </row>
      </sheetData>
      <sheetData sheetId="18821">
        <row r="1">
          <cell r="J1">
            <v>1.7453292519943295E-2</v>
          </cell>
        </row>
      </sheetData>
      <sheetData sheetId="18822">
        <row r="1">
          <cell r="J1">
            <v>1.7453292519943295E-2</v>
          </cell>
        </row>
      </sheetData>
      <sheetData sheetId="18823">
        <row r="1">
          <cell r="J1">
            <v>1.7453292519943295E-2</v>
          </cell>
        </row>
      </sheetData>
      <sheetData sheetId="18824">
        <row r="1">
          <cell r="J1">
            <v>1.7453292519943295E-2</v>
          </cell>
        </row>
      </sheetData>
      <sheetData sheetId="18825">
        <row r="1">
          <cell r="J1">
            <v>1.7453292519943295E-2</v>
          </cell>
        </row>
      </sheetData>
      <sheetData sheetId="18826">
        <row r="1">
          <cell r="J1">
            <v>1.7453292519943295E-2</v>
          </cell>
        </row>
      </sheetData>
      <sheetData sheetId="18827">
        <row r="1">
          <cell r="J1">
            <v>1.7453292519943295E-2</v>
          </cell>
        </row>
      </sheetData>
      <sheetData sheetId="18828" refreshError="1"/>
      <sheetData sheetId="18829" refreshError="1"/>
      <sheetData sheetId="18830">
        <row r="1">
          <cell r="J1">
            <v>1.7453292519943295E-2</v>
          </cell>
        </row>
      </sheetData>
      <sheetData sheetId="18831">
        <row r="1">
          <cell r="J1">
            <v>1.7453292519943295E-2</v>
          </cell>
        </row>
      </sheetData>
      <sheetData sheetId="18832">
        <row r="1">
          <cell r="J1">
            <v>1.7453292519943295E-2</v>
          </cell>
        </row>
      </sheetData>
      <sheetData sheetId="18833" refreshError="1"/>
      <sheetData sheetId="18834" refreshError="1"/>
      <sheetData sheetId="18835">
        <row r="1">
          <cell r="J1">
            <v>1.7453292519943295E-2</v>
          </cell>
        </row>
      </sheetData>
      <sheetData sheetId="18836" refreshError="1"/>
      <sheetData sheetId="18837" refreshError="1"/>
      <sheetData sheetId="18838">
        <row r="1">
          <cell r="J1">
            <v>1.7453292519943295E-2</v>
          </cell>
        </row>
      </sheetData>
      <sheetData sheetId="18839">
        <row r="1">
          <cell r="J1">
            <v>1.7453292519943295E-2</v>
          </cell>
        </row>
      </sheetData>
      <sheetData sheetId="18840">
        <row r="1">
          <cell r="J1">
            <v>1.7453292519943295E-2</v>
          </cell>
        </row>
      </sheetData>
      <sheetData sheetId="18841" refreshError="1"/>
      <sheetData sheetId="18842" refreshError="1"/>
      <sheetData sheetId="18843" refreshError="1"/>
      <sheetData sheetId="18844">
        <row r="1">
          <cell r="J1">
            <v>1.7453292519943295E-2</v>
          </cell>
        </row>
      </sheetData>
      <sheetData sheetId="18845" refreshError="1"/>
      <sheetData sheetId="18846">
        <row r="1">
          <cell r="J1">
            <v>1.7453292519943295E-2</v>
          </cell>
        </row>
      </sheetData>
      <sheetData sheetId="18847">
        <row r="1">
          <cell r="J1">
            <v>1.7453292519943295E-2</v>
          </cell>
        </row>
      </sheetData>
      <sheetData sheetId="18848">
        <row r="1">
          <cell r="J1">
            <v>1.7453292519943295E-2</v>
          </cell>
        </row>
      </sheetData>
      <sheetData sheetId="18849">
        <row r="1">
          <cell r="J1">
            <v>1.7453292519943295E-2</v>
          </cell>
        </row>
      </sheetData>
      <sheetData sheetId="18850">
        <row r="1">
          <cell r="J1">
            <v>1.7453292519943295E-2</v>
          </cell>
        </row>
      </sheetData>
      <sheetData sheetId="18851">
        <row r="1">
          <cell r="J1">
            <v>1.7453292519943295E-2</v>
          </cell>
        </row>
      </sheetData>
      <sheetData sheetId="18852">
        <row r="1">
          <cell r="J1">
            <v>1.7453292519943295E-2</v>
          </cell>
        </row>
      </sheetData>
      <sheetData sheetId="18853">
        <row r="1">
          <cell r="J1">
            <v>1.7453292519943295E-2</v>
          </cell>
        </row>
      </sheetData>
      <sheetData sheetId="18854">
        <row r="1">
          <cell r="J1">
            <v>1.7453292519943295E-2</v>
          </cell>
        </row>
      </sheetData>
      <sheetData sheetId="18855">
        <row r="1">
          <cell r="J1">
            <v>1.7453292519943295E-2</v>
          </cell>
        </row>
      </sheetData>
      <sheetData sheetId="18856">
        <row r="1">
          <cell r="J1">
            <v>1.7453292519943295E-2</v>
          </cell>
        </row>
      </sheetData>
      <sheetData sheetId="18857">
        <row r="1">
          <cell r="J1">
            <v>1.7453292519943295E-2</v>
          </cell>
        </row>
      </sheetData>
      <sheetData sheetId="18858">
        <row r="1">
          <cell r="J1">
            <v>1.7453292519943295E-2</v>
          </cell>
        </row>
      </sheetData>
      <sheetData sheetId="18859">
        <row r="1">
          <cell r="J1">
            <v>1.7453292519943295E-2</v>
          </cell>
        </row>
      </sheetData>
      <sheetData sheetId="18860">
        <row r="1">
          <cell r="J1">
            <v>1.7453292519943295E-2</v>
          </cell>
        </row>
      </sheetData>
      <sheetData sheetId="18861">
        <row r="1">
          <cell r="J1">
            <v>1.7453292519943295E-2</v>
          </cell>
        </row>
      </sheetData>
      <sheetData sheetId="18862">
        <row r="1">
          <cell r="J1">
            <v>1.7453292519943295E-2</v>
          </cell>
        </row>
      </sheetData>
      <sheetData sheetId="18863">
        <row r="1">
          <cell r="J1">
            <v>1.7453292519943295E-2</v>
          </cell>
        </row>
      </sheetData>
      <sheetData sheetId="18864">
        <row r="1">
          <cell r="J1">
            <v>1.7453292519943295E-2</v>
          </cell>
        </row>
      </sheetData>
      <sheetData sheetId="18865">
        <row r="1">
          <cell r="J1">
            <v>1.7453292519943295E-2</v>
          </cell>
        </row>
      </sheetData>
      <sheetData sheetId="18866">
        <row r="1">
          <cell r="J1">
            <v>1.7453292519943295E-2</v>
          </cell>
        </row>
      </sheetData>
      <sheetData sheetId="18867" refreshError="1"/>
      <sheetData sheetId="18868"/>
      <sheetData sheetId="18869">
        <row r="1">
          <cell r="J1">
            <v>1.7453292519943295E-2</v>
          </cell>
        </row>
      </sheetData>
      <sheetData sheetId="18870">
        <row r="1">
          <cell r="J1">
            <v>1.7453292519943295E-2</v>
          </cell>
        </row>
      </sheetData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>
        <row r="1">
          <cell r="J1">
            <v>1.7453292519943295E-2</v>
          </cell>
        </row>
      </sheetData>
      <sheetData sheetId="18878">
        <row r="1">
          <cell r="J1">
            <v>1.7453292519943295E-2</v>
          </cell>
        </row>
      </sheetData>
      <sheetData sheetId="18879">
        <row r="1">
          <cell r="J1">
            <v>1.7453292519943295E-2</v>
          </cell>
        </row>
      </sheetData>
      <sheetData sheetId="18880">
        <row r="1">
          <cell r="J1">
            <v>1.7453292519943295E-2</v>
          </cell>
        </row>
      </sheetData>
      <sheetData sheetId="18881">
        <row r="1">
          <cell r="J1">
            <v>1.7453292519943295E-2</v>
          </cell>
        </row>
      </sheetData>
      <sheetData sheetId="18882">
        <row r="1">
          <cell r="J1">
            <v>1.7453292519943295E-2</v>
          </cell>
        </row>
      </sheetData>
      <sheetData sheetId="18883">
        <row r="1">
          <cell r="J1">
            <v>1.7453292519943295E-2</v>
          </cell>
        </row>
      </sheetData>
      <sheetData sheetId="18884">
        <row r="1">
          <cell r="J1">
            <v>1.7453292519943295E-2</v>
          </cell>
        </row>
      </sheetData>
      <sheetData sheetId="18885">
        <row r="1">
          <cell r="J1">
            <v>1.7453292519943295E-2</v>
          </cell>
        </row>
      </sheetData>
      <sheetData sheetId="18886">
        <row r="1">
          <cell r="J1">
            <v>1.7453292519943295E-2</v>
          </cell>
        </row>
      </sheetData>
      <sheetData sheetId="18887">
        <row r="1">
          <cell r="J1">
            <v>1.7453292519943295E-2</v>
          </cell>
        </row>
      </sheetData>
      <sheetData sheetId="18888">
        <row r="1">
          <cell r="J1">
            <v>1.7453292519943295E-2</v>
          </cell>
        </row>
      </sheetData>
      <sheetData sheetId="18889">
        <row r="1">
          <cell r="J1">
            <v>1.7453292519943295E-2</v>
          </cell>
        </row>
      </sheetData>
      <sheetData sheetId="18890">
        <row r="1">
          <cell r="J1">
            <v>1.7453292519943295E-2</v>
          </cell>
        </row>
      </sheetData>
      <sheetData sheetId="18891">
        <row r="1">
          <cell r="J1">
            <v>1.7453292519943295E-2</v>
          </cell>
        </row>
      </sheetData>
      <sheetData sheetId="18892">
        <row r="1">
          <cell r="J1">
            <v>1.7453292519943295E-2</v>
          </cell>
        </row>
      </sheetData>
      <sheetData sheetId="18893">
        <row r="1">
          <cell r="J1">
            <v>1.7453292519943295E-2</v>
          </cell>
        </row>
      </sheetData>
      <sheetData sheetId="18894">
        <row r="1">
          <cell r="J1">
            <v>1.7453292519943295E-2</v>
          </cell>
        </row>
      </sheetData>
      <sheetData sheetId="18895">
        <row r="1">
          <cell r="J1">
            <v>1.7453292519943295E-2</v>
          </cell>
        </row>
      </sheetData>
      <sheetData sheetId="18896">
        <row r="1">
          <cell r="J1">
            <v>1.7453292519943295E-2</v>
          </cell>
        </row>
      </sheetData>
      <sheetData sheetId="18897">
        <row r="1">
          <cell r="J1">
            <v>1.7453292519943295E-2</v>
          </cell>
        </row>
      </sheetData>
      <sheetData sheetId="18898"/>
      <sheetData sheetId="18899"/>
      <sheetData sheetId="18900" refreshError="1"/>
      <sheetData sheetId="18901" refreshError="1"/>
      <sheetData sheetId="18902">
        <row r="1">
          <cell r="J1">
            <v>1.7453292519943295E-2</v>
          </cell>
        </row>
      </sheetData>
      <sheetData sheetId="18903" refreshError="1"/>
      <sheetData sheetId="18904" refreshError="1"/>
      <sheetData sheetId="18905">
        <row r="1">
          <cell r="J1">
            <v>1.7453292519943295E-2</v>
          </cell>
        </row>
      </sheetData>
      <sheetData sheetId="18906"/>
      <sheetData sheetId="18907" refreshError="1"/>
      <sheetData sheetId="18908" refreshError="1"/>
      <sheetData sheetId="18909">
        <row r="1">
          <cell r="J1">
            <v>1.7453292519943295E-2</v>
          </cell>
        </row>
      </sheetData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/>
      <sheetData sheetId="18916" refreshError="1"/>
      <sheetData sheetId="18917">
        <row r="1">
          <cell r="J1">
            <v>1.7453292519943295E-2</v>
          </cell>
        </row>
      </sheetData>
      <sheetData sheetId="18918">
        <row r="1">
          <cell r="J1">
            <v>1.7453292519943295E-2</v>
          </cell>
        </row>
      </sheetData>
      <sheetData sheetId="18919">
        <row r="1">
          <cell r="J1">
            <v>1.7453292519943295E-2</v>
          </cell>
        </row>
      </sheetData>
      <sheetData sheetId="18920">
        <row r="1">
          <cell r="J1">
            <v>1.7453292519943295E-2</v>
          </cell>
        </row>
      </sheetData>
      <sheetData sheetId="18921">
        <row r="1">
          <cell r="J1">
            <v>1.7453292519943295E-2</v>
          </cell>
        </row>
      </sheetData>
      <sheetData sheetId="18922">
        <row r="1">
          <cell r="J1">
            <v>1.7453292519943295E-2</v>
          </cell>
        </row>
      </sheetData>
      <sheetData sheetId="18923">
        <row r="1">
          <cell r="J1">
            <v>1.7453292519943295E-2</v>
          </cell>
        </row>
      </sheetData>
      <sheetData sheetId="18924">
        <row r="1">
          <cell r="J1">
            <v>1.7453292519943295E-2</v>
          </cell>
        </row>
      </sheetData>
      <sheetData sheetId="18925">
        <row r="1">
          <cell r="J1">
            <v>1.7453292519943295E-2</v>
          </cell>
        </row>
      </sheetData>
      <sheetData sheetId="18926">
        <row r="1">
          <cell r="J1">
            <v>1.7453292519943295E-2</v>
          </cell>
        </row>
      </sheetData>
      <sheetData sheetId="18927">
        <row r="1">
          <cell r="J1">
            <v>1.7453292519943295E-2</v>
          </cell>
        </row>
      </sheetData>
      <sheetData sheetId="18928">
        <row r="1">
          <cell r="J1">
            <v>1.7453292519943295E-2</v>
          </cell>
        </row>
      </sheetData>
      <sheetData sheetId="18929">
        <row r="1">
          <cell r="J1">
            <v>1.7453292519943295E-2</v>
          </cell>
        </row>
      </sheetData>
      <sheetData sheetId="18930">
        <row r="1">
          <cell r="J1">
            <v>1.7453292519943295E-2</v>
          </cell>
        </row>
      </sheetData>
      <sheetData sheetId="18931">
        <row r="1">
          <cell r="J1">
            <v>1.7453292519943295E-2</v>
          </cell>
        </row>
      </sheetData>
      <sheetData sheetId="18932">
        <row r="1">
          <cell r="J1">
            <v>1.7453292519943295E-2</v>
          </cell>
        </row>
      </sheetData>
      <sheetData sheetId="18933">
        <row r="1">
          <cell r="J1">
            <v>1.7453292519943295E-2</v>
          </cell>
        </row>
      </sheetData>
      <sheetData sheetId="18934">
        <row r="1">
          <cell r="J1">
            <v>1.7453292519943295E-2</v>
          </cell>
        </row>
      </sheetData>
      <sheetData sheetId="18935">
        <row r="1">
          <cell r="J1">
            <v>1.7453292519943295E-2</v>
          </cell>
        </row>
      </sheetData>
      <sheetData sheetId="18936">
        <row r="1">
          <cell r="J1">
            <v>1.7453292519943295E-2</v>
          </cell>
        </row>
      </sheetData>
      <sheetData sheetId="18937">
        <row r="1">
          <cell r="J1">
            <v>1.7453292519943295E-2</v>
          </cell>
        </row>
      </sheetData>
      <sheetData sheetId="18938" refreshError="1"/>
      <sheetData sheetId="18939" refreshError="1"/>
      <sheetData sheetId="18940">
        <row r="1">
          <cell r="J1">
            <v>1.7453292519943295E-2</v>
          </cell>
        </row>
      </sheetData>
      <sheetData sheetId="18941">
        <row r="1">
          <cell r="J1">
            <v>1.7453292519943295E-2</v>
          </cell>
        </row>
      </sheetData>
      <sheetData sheetId="18942" refreshError="1"/>
      <sheetData sheetId="18943" refreshError="1"/>
      <sheetData sheetId="18944">
        <row r="1">
          <cell r="J1">
            <v>1.7453292519943295E-2</v>
          </cell>
        </row>
      </sheetData>
      <sheetData sheetId="18945" refreshError="1"/>
      <sheetData sheetId="18946" refreshError="1"/>
      <sheetData sheetId="18947"/>
      <sheetData sheetId="18948">
        <row r="1">
          <cell r="J1">
            <v>1.7453292519943295E-2</v>
          </cell>
        </row>
      </sheetData>
      <sheetData sheetId="18949">
        <row r="1">
          <cell r="J1">
            <v>1.7453292519943295E-2</v>
          </cell>
        </row>
      </sheetData>
      <sheetData sheetId="18950">
        <row r="1">
          <cell r="J1">
            <v>1.7453292519943295E-2</v>
          </cell>
        </row>
      </sheetData>
      <sheetData sheetId="18951">
        <row r="1">
          <cell r="J1">
            <v>1.7453292519943295E-2</v>
          </cell>
        </row>
      </sheetData>
      <sheetData sheetId="18952">
        <row r="1">
          <cell r="J1">
            <v>1.7453292519943295E-2</v>
          </cell>
        </row>
      </sheetData>
      <sheetData sheetId="18953">
        <row r="1">
          <cell r="J1">
            <v>1.7453292519943295E-2</v>
          </cell>
        </row>
      </sheetData>
      <sheetData sheetId="18954">
        <row r="1">
          <cell r="J1">
            <v>1.7453292519943295E-2</v>
          </cell>
        </row>
      </sheetData>
      <sheetData sheetId="18955">
        <row r="1">
          <cell r="J1">
            <v>1.7453292519943295E-2</v>
          </cell>
        </row>
      </sheetData>
      <sheetData sheetId="18956">
        <row r="1">
          <cell r="J1">
            <v>1.7453292519943295E-2</v>
          </cell>
        </row>
      </sheetData>
      <sheetData sheetId="18957">
        <row r="1">
          <cell r="J1">
            <v>1.7453292519943295E-2</v>
          </cell>
        </row>
      </sheetData>
      <sheetData sheetId="18958">
        <row r="1">
          <cell r="J1">
            <v>1.7453292519943295E-2</v>
          </cell>
        </row>
      </sheetData>
      <sheetData sheetId="18959">
        <row r="1">
          <cell r="J1">
            <v>1.7453292519943295E-2</v>
          </cell>
        </row>
      </sheetData>
      <sheetData sheetId="18960">
        <row r="1">
          <cell r="J1">
            <v>1.7453292519943295E-2</v>
          </cell>
        </row>
      </sheetData>
      <sheetData sheetId="18961">
        <row r="1">
          <cell r="J1">
            <v>1.7453292519943295E-2</v>
          </cell>
        </row>
      </sheetData>
      <sheetData sheetId="18962">
        <row r="1">
          <cell r="J1">
            <v>1.7453292519943295E-2</v>
          </cell>
        </row>
      </sheetData>
      <sheetData sheetId="18963">
        <row r="1">
          <cell r="J1">
            <v>1.7453292519943295E-2</v>
          </cell>
        </row>
      </sheetData>
      <sheetData sheetId="18964">
        <row r="1">
          <cell r="J1">
            <v>1.7453292519943295E-2</v>
          </cell>
        </row>
      </sheetData>
      <sheetData sheetId="18965"/>
      <sheetData sheetId="18966">
        <row r="1">
          <cell r="J1">
            <v>1.7453292519943295E-2</v>
          </cell>
        </row>
      </sheetData>
      <sheetData sheetId="18967">
        <row r="1">
          <cell r="J1">
            <v>1.7453292519943295E-2</v>
          </cell>
        </row>
      </sheetData>
      <sheetData sheetId="18968">
        <row r="1">
          <cell r="J1">
            <v>1.7453292519943295E-2</v>
          </cell>
        </row>
      </sheetData>
      <sheetData sheetId="18969">
        <row r="1">
          <cell r="J1">
            <v>1.7453292519943295E-2</v>
          </cell>
        </row>
      </sheetData>
      <sheetData sheetId="18970" refreshError="1"/>
      <sheetData sheetId="18971" refreshError="1"/>
      <sheetData sheetId="18972">
        <row r="1">
          <cell r="J1">
            <v>1.7453292519943295E-2</v>
          </cell>
        </row>
      </sheetData>
      <sheetData sheetId="18973">
        <row r="1">
          <cell r="J1">
            <v>1.7453292519943295E-2</v>
          </cell>
        </row>
      </sheetData>
      <sheetData sheetId="18974">
        <row r="1">
          <cell r="J1">
            <v>1.7453292519943295E-2</v>
          </cell>
        </row>
      </sheetData>
      <sheetData sheetId="18975" refreshError="1"/>
      <sheetData sheetId="18976">
        <row r="1">
          <cell r="J1">
            <v>1.7453292519943295E-2</v>
          </cell>
        </row>
      </sheetData>
      <sheetData sheetId="18977">
        <row r="1">
          <cell r="J1">
            <v>1.7453292519943295E-2</v>
          </cell>
        </row>
      </sheetData>
      <sheetData sheetId="18978" refreshError="1"/>
      <sheetData sheetId="18979" refreshError="1"/>
      <sheetData sheetId="18980">
        <row r="1">
          <cell r="J1">
            <v>1.7453292519943295E-2</v>
          </cell>
        </row>
      </sheetData>
      <sheetData sheetId="18981">
        <row r="1">
          <cell r="J1">
            <v>1.7453292519943295E-2</v>
          </cell>
        </row>
      </sheetData>
      <sheetData sheetId="18982">
        <row r="1">
          <cell r="J1">
            <v>1.7453292519943295E-2</v>
          </cell>
        </row>
      </sheetData>
      <sheetData sheetId="18983" refreshError="1"/>
      <sheetData sheetId="18984">
        <row r="1">
          <cell r="J1">
            <v>1.7453292519943295E-2</v>
          </cell>
        </row>
      </sheetData>
      <sheetData sheetId="18985">
        <row r="1">
          <cell r="J1">
            <v>1.7453292519943295E-2</v>
          </cell>
        </row>
      </sheetData>
      <sheetData sheetId="18986">
        <row r="1">
          <cell r="J1">
            <v>1.7453292519943295E-2</v>
          </cell>
        </row>
      </sheetData>
      <sheetData sheetId="18987" refreshError="1"/>
      <sheetData sheetId="18988" refreshError="1"/>
      <sheetData sheetId="18989">
        <row r="1">
          <cell r="J1">
            <v>1.7453292519943295E-2</v>
          </cell>
        </row>
      </sheetData>
      <sheetData sheetId="18990">
        <row r="1">
          <cell r="J1">
            <v>1.7453292519943295E-2</v>
          </cell>
        </row>
      </sheetData>
      <sheetData sheetId="18991" refreshError="1"/>
      <sheetData sheetId="18992"/>
      <sheetData sheetId="18993">
        <row r="1">
          <cell r="J1">
            <v>1.7453292519943295E-2</v>
          </cell>
        </row>
      </sheetData>
      <sheetData sheetId="18994">
        <row r="1">
          <cell r="J1">
            <v>1.7453292519943295E-2</v>
          </cell>
        </row>
      </sheetData>
      <sheetData sheetId="18995"/>
      <sheetData sheetId="18996"/>
      <sheetData sheetId="18997" refreshError="1"/>
      <sheetData sheetId="18998">
        <row r="1">
          <cell r="J1">
            <v>1.7453292519943295E-2</v>
          </cell>
        </row>
      </sheetData>
      <sheetData sheetId="18999" refreshError="1"/>
      <sheetData sheetId="19000" refreshError="1"/>
      <sheetData sheetId="19001">
        <row r="1">
          <cell r="J1">
            <v>1.7453292519943295E-2</v>
          </cell>
        </row>
      </sheetData>
      <sheetData sheetId="19002">
        <row r="1">
          <cell r="J1">
            <v>1.7453292519943295E-2</v>
          </cell>
        </row>
      </sheetData>
      <sheetData sheetId="19003" refreshError="1"/>
      <sheetData sheetId="19004" refreshError="1"/>
      <sheetData sheetId="19005">
        <row r="1">
          <cell r="J1">
            <v>1.7453292519943295E-2</v>
          </cell>
        </row>
      </sheetData>
      <sheetData sheetId="19006" refreshError="1"/>
      <sheetData sheetId="19007">
        <row r="1">
          <cell r="J1">
            <v>1.7453292519943295E-2</v>
          </cell>
        </row>
      </sheetData>
      <sheetData sheetId="19008"/>
      <sheetData sheetId="19009" refreshError="1"/>
      <sheetData sheetId="19010">
        <row r="1">
          <cell r="J1">
            <v>1.7453292519943295E-2</v>
          </cell>
        </row>
      </sheetData>
      <sheetData sheetId="19011"/>
      <sheetData sheetId="19012" refreshError="1"/>
      <sheetData sheetId="19013" refreshError="1"/>
      <sheetData sheetId="19014" refreshError="1"/>
      <sheetData sheetId="19015">
        <row r="1">
          <cell r="J1">
            <v>1.7453292519943295E-2</v>
          </cell>
        </row>
      </sheetData>
      <sheetData sheetId="19016">
        <row r="1">
          <cell r="J1">
            <v>1.7453292519943295E-2</v>
          </cell>
        </row>
      </sheetData>
      <sheetData sheetId="19017" refreshError="1"/>
      <sheetData sheetId="19018">
        <row r="1">
          <cell r="J1">
            <v>1.7453292519943295E-2</v>
          </cell>
        </row>
      </sheetData>
      <sheetData sheetId="19019" refreshError="1"/>
      <sheetData sheetId="19020">
        <row r="1">
          <cell r="J1">
            <v>1.7453292519943295E-2</v>
          </cell>
        </row>
      </sheetData>
      <sheetData sheetId="19021">
        <row r="1">
          <cell r="J1">
            <v>1.7453292519943295E-2</v>
          </cell>
        </row>
      </sheetData>
      <sheetData sheetId="19022">
        <row r="1">
          <cell r="J1">
            <v>1.7453292519943295E-2</v>
          </cell>
        </row>
      </sheetData>
      <sheetData sheetId="19023">
        <row r="1">
          <cell r="J1">
            <v>1.7453292519943295E-2</v>
          </cell>
        </row>
      </sheetData>
      <sheetData sheetId="19024">
        <row r="1">
          <cell r="J1">
            <v>1.7453292519943295E-2</v>
          </cell>
        </row>
      </sheetData>
      <sheetData sheetId="19025">
        <row r="1">
          <cell r="J1">
            <v>1.7453292519943295E-2</v>
          </cell>
        </row>
      </sheetData>
      <sheetData sheetId="19026">
        <row r="1">
          <cell r="J1">
            <v>1.7453292519943295E-2</v>
          </cell>
        </row>
      </sheetData>
      <sheetData sheetId="19027">
        <row r="1">
          <cell r="J1">
            <v>1.7453292519943295E-2</v>
          </cell>
        </row>
      </sheetData>
      <sheetData sheetId="19028">
        <row r="1">
          <cell r="J1">
            <v>1.7453292519943295E-2</v>
          </cell>
        </row>
      </sheetData>
      <sheetData sheetId="19029">
        <row r="1">
          <cell r="J1">
            <v>1.7453292519943295E-2</v>
          </cell>
        </row>
      </sheetData>
      <sheetData sheetId="19030">
        <row r="1">
          <cell r="J1">
            <v>1.7453292519943295E-2</v>
          </cell>
        </row>
      </sheetData>
      <sheetData sheetId="19031">
        <row r="1">
          <cell r="J1">
            <v>1.7453292519943295E-2</v>
          </cell>
        </row>
      </sheetData>
      <sheetData sheetId="19032">
        <row r="1">
          <cell r="J1">
            <v>1.7453292519943295E-2</v>
          </cell>
        </row>
      </sheetData>
      <sheetData sheetId="19033">
        <row r="1">
          <cell r="J1">
            <v>1.7453292519943295E-2</v>
          </cell>
        </row>
      </sheetData>
      <sheetData sheetId="19034">
        <row r="1">
          <cell r="J1">
            <v>1.7453292519943295E-2</v>
          </cell>
        </row>
      </sheetData>
      <sheetData sheetId="19035">
        <row r="1">
          <cell r="J1">
            <v>1.7453292519943295E-2</v>
          </cell>
        </row>
      </sheetData>
      <sheetData sheetId="19036">
        <row r="1">
          <cell r="J1">
            <v>1.7453292519943295E-2</v>
          </cell>
        </row>
      </sheetData>
      <sheetData sheetId="19037">
        <row r="1">
          <cell r="J1">
            <v>1.7453292519943295E-2</v>
          </cell>
        </row>
      </sheetData>
      <sheetData sheetId="19038">
        <row r="1">
          <cell r="J1">
            <v>1.7453292519943295E-2</v>
          </cell>
        </row>
      </sheetData>
      <sheetData sheetId="19039">
        <row r="1">
          <cell r="J1">
            <v>1.7453292519943295E-2</v>
          </cell>
        </row>
      </sheetData>
      <sheetData sheetId="19040">
        <row r="1">
          <cell r="J1">
            <v>1.7453292519943295E-2</v>
          </cell>
        </row>
      </sheetData>
      <sheetData sheetId="19041">
        <row r="1">
          <cell r="J1">
            <v>1.7453292519943295E-2</v>
          </cell>
        </row>
      </sheetData>
      <sheetData sheetId="19042">
        <row r="1">
          <cell r="J1">
            <v>1.7453292519943295E-2</v>
          </cell>
        </row>
      </sheetData>
      <sheetData sheetId="19043">
        <row r="1">
          <cell r="J1">
            <v>1.7453292519943295E-2</v>
          </cell>
        </row>
      </sheetData>
      <sheetData sheetId="19044">
        <row r="1">
          <cell r="J1">
            <v>1.7453292519943295E-2</v>
          </cell>
        </row>
      </sheetData>
      <sheetData sheetId="19045">
        <row r="1">
          <cell r="J1">
            <v>1.7453292519943295E-2</v>
          </cell>
        </row>
      </sheetData>
      <sheetData sheetId="19046">
        <row r="1">
          <cell r="J1">
            <v>1.7453292519943295E-2</v>
          </cell>
        </row>
      </sheetData>
      <sheetData sheetId="19047">
        <row r="1">
          <cell r="J1">
            <v>1.7453292519943295E-2</v>
          </cell>
        </row>
      </sheetData>
      <sheetData sheetId="19048">
        <row r="1">
          <cell r="J1">
            <v>1.7453292519943295E-2</v>
          </cell>
        </row>
      </sheetData>
      <sheetData sheetId="19049">
        <row r="1">
          <cell r="J1">
            <v>1.7453292519943295E-2</v>
          </cell>
        </row>
      </sheetData>
      <sheetData sheetId="19050">
        <row r="1">
          <cell r="J1">
            <v>1.7453292519943295E-2</v>
          </cell>
        </row>
      </sheetData>
      <sheetData sheetId="19051">
        <row r="1">
          <cell r="J1">
            <v>1.7453292519943295E-2</v>
          </cell>
        </row>
      </sheetData>
      <sheetData sheetId="19052">
        <row r="1">
          <cell r="J1">
            <v>1.7453292519943295E-2</v>
          </cell>
        </row>
      </sheetData>
      <sheetData sheetId="19053">
        <row r="1">
          <cell r="J1">
            <v>1.7453292519943295E-2</v>
          </cell>
        </row>
      </sheetData>
      <sheetData sheetId="19054">
        <row r="1">
          <cell r="J1">
            <v>1.7453292519943295E-2</v>
          </cell>
        </row>
      </sheetData>
      <sheetData sheetId="19055">
        <row r="1">
          <cell r="J1">
            <v>1.7453292519943295E-2</v>
          </cell>
        </row>
      </sheetData>
      <sheetData sheetId="19056">
        <row r="1">
          <cell r="J1">
            <v>1.7453292519943295E-2</v>
          </cell>
        </row>
      </sheetData>
      <sheetData sheetId="19057">
        <row r="1">
          <cell r="J1">
            <v>1.7453292519943295E-2</v>
          </cell>
        </row>
      </sheetData>
      <sheetData sheetId="19058">
        <row r="1">
          <cell r="J1">
            <v>1.7453292519943295E-2</v>
          </cell>
        </row>
      </sheetData>
      <sheetData sheetId="19059">
        <row r="1">
          <cell r="J1">
            <v>1.7453292519943295E-2</v>
          </cell>
        </row>
      </sheetData>
      <sheetData sheetId="19060">
        <row r="1">
          <cell r="J1">
            <v>1.7453292519943295E-2</v>
          </cell>
        </row>
      </sheetData>
      <sheetData sheetId="19061">
        <row r="1">
          <cell r="J1">
            <v>1.7453292519943295E-2</v>
          </cell>
        </row>
      </sheetData>
      <sheetData sheetId="19062">
        <row r="1">
          <cell r="J1">
            <v>1.7453292519943295E-2</v>
          </cell>
        </row>
      </sheetData>
      <sheetData sheetId="19063">
        <row r="1">
          <cell r="J1">
            <v>1.7453292519943295E-2</v>
          </cell>
        </row>
      </sheetData>
      <sheetData sheetId="19064">
        <row r="1">
          <cell r="J1">
            <v>1.7453292519943295E-2</v>
          </cell>
        </row>
      </sheetData>
      <sheetData sheetId="19065">
        <row r="1">
          <cell r="J1">
            <v>1.7453292519943295E-2</v>
          </cell>
        </row>
      </sheetData>
      <sheetData sheetId="19066">
        <row r="1">
          <cell r="J1">
            <v>1.7453292519943295E-2</v>
          </cell>
        </row>
      </sheetData>
      <sheetData sheetId="19067">
        <row r="1">
          <cell r="J1">
            <v>1.7453292519943295E-2</v>
          </cell>
        </row>
      </sheetData>
      <sheetData sheetId="19068">
        <row r="1">
          <cell r="J1">
            <v>1.7453292519943295E-2</v>
          </cell>
        </row>
      </sheetData>
      <sheetData sheetId="19069">
        <row r="1">
          <cell r="J1">
            <v>1.7453292519943295E-2</v>
          </cell>
        </row>
      </sheetData>
      <sheetData sheetId="19070">
        <row r="1">
          <cell r="J1">
            <v>1.7453292519943295E-2</v>
          </cell>
        </row>
      </sheetData>
      <sheetData sheetId="19071">
        <row r="1">
          <cell r="J1">
            <v>1.7453292519943295E-2</v>
          </cell>
        </row>
      </sheetData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>
        <row r="1">
          <cell r="J1">
            <v>1.7453292519943295E-2</v>
          </cell>
        </row>
      </sheetData>
      <sheetData sheetId="19238">
        <row r="1">
          <cell r="J1">
            <v>1.7453292519943295E-2</v>
          </cell>
        </row>
      </sheetData>
      <sheetData sheetId="19239">
        <row r="1">
          <cell r="J1">
            <v>1.7453292519943295E-2</v>
          </cell>
        </row>
      </sheetData>
      <sheetData sheetId="19240"/>
      <sheetData sheetId="19241"/>
      <sheetData sheetId="19242" refreshError="1"/>
      <sheetData sheetId="19243" refreshError="1"/>
      <sheetData sheetId="19244" refreshError="1"/>
      <sheetData sheetId="19245" refreshError="1"/>
      <sheetData sheetId="19246">
        <row r="1">
          <cell r="J1">
            <v>1.7453292519943295E-2</v>
          </cell>
        </row>
      </sheetData>
      <sheetData sheetId="19247" refreshError="1"/>
      <sheetData sheetId="19248" refreshError="1"/>
      <sheetData sheetId="19249"/>
      <sheetData sheetId="19250">
        <row r="1">
          <cell r="J1">
            <v>1.7453292519943295E-2</v>
          </cell>
        </row>
      </sheetData>
      <sheetData sheetId="19251">
        <row r="1">
          <cell r="J1">
            <v>1.7453292519943295E-2</v>
          </cell>
        </row>
      </sheetData>
      <sheetData sheetId="19252">
        <row r="1">
          <cell r="J1">
            <v>1.7453292519943295E-2</v>
          </cell>
        </row>
      </sheetData>
      <sheetData sheetId="19253">
        <row r="1">
          <cell r="J1">
            <v>1.7453292519943295E-2</v>
          </cell>
        </row>
      </sheetData>
      <sheetData sheetId="19254">
        <row r="1">
          <cell r="J1">
            <v>1.7453292519943295E-2</v>
          </cell>
        </row>
      </sheetData>
      <sheetData sheetId="19255">
        <row r="1">
          <cell r="J1">
            <v>1.7453292519943295E-2</v>
          </cell>
        </row>
      </sheetData>
      <sheetData sheetId="19256">
        <row r="1">
          <cell r="J1">
            <v>1.7453292519943295E-2</v>
          </cell>
        </row>
      </sheetData>
      <sheetData sheetId="19257">
        <row r="1">
          <cell r="J1">
            <v>1.7453292519943295E-2</v>
          </cell>
        </row>
      </sheetData>
      <sheetData sheetId="19258">
        <row r="1">
          <cell r="J1">
            <v>1.7453292519943295E-2</v>
          </cell>
        </row>
      </sheetData>
      <sheetData sheetId="19259">
        <row r="1">
          <cell r="J1">
            <v>1.7453292519943295E-2</v>
          </cell>
        </row>
      </sheetData>
      <sheetData sheetId="19260">
        <row r="1">
          <cell r="J1">
            <v>1.7453292519943295E-2</v>
          </cell>
        </row>
      </sheetData>
      <sheetData sheetId="19261">
        <row r="1">
          <cell r="J1">
            <v>1.7453292519943295E-2</v>
          </cell>
        </row>
      </sheetData>
      <sheetData sheetId="19262">
        <row r="1">
          <cell r="J1">
            <v>1.7453292519943295E-2</v>
          </cell>
        </row>
      </sheetData>
      <sheetData sheetId="19263">
        <row r="1">
          <cell r="J1">
            <v>1.7453292519943295E-2</v>
          </cell>
        </row>
      </sheetData>
      <sheetData sheetId="19264">
        <row r="1">
          <cell r="J1">
            <v>1.7453292519943295E-2</v>
          </cell>
        </row>
      </sheetData>
      <sheetData sheetId="19265">
        <row r="1">
          <cell r="J1">
            <v>1.7453292519943295E-2</v>
          </cell>
        </row>
      </sheetData>
      <sheetData sheetId="19266">
        <row r="1">
          <cell r="J1">
            <v>1.7453292519943295E-2</v>
          </cell>
        </row>
      </sheetData>
      <sheetData sheetId="19267">
        <row r="1">
          <cell r="J1">
            <v>1.7453292519943295E-2</v>
          </cell>
        </row>
      </sheetData>
      <sheetData sheetId="19268">
        <row r="1">
          <cell r="J1">
            <v>1.7453292519943295E-2</v>
          </cell>
        </row>
      </sheetData>
      <sheetData sheetId="19269">
        <row r="1">
          <cell r="J1">
            <v>1.7453292519943295E-2</v>
          </cell>
        </row>
      </sheetData>
      <sheetData sheetId="19270" refreshError="1"/>
      <sheetData sheetId="19271" refreshError="1"/>
      <sheetData sheetId="19272">
        <row r="1">
          <cell r="J1">
            <v>1.7453292519943295E-2</v>
          </cell>
        </row>
      </sheetData>
      <sheetData sheetId="19273">
        <row r="1">
          <cell r="J1">
            <v>1.7453292519943295E-2</v>
          </cell>
        </row>
      </sheetData>
      <sheetData sheetId="19274">
        <row r="1">
          <cell r="J1">
            <v>1.7453292519943295E-2</v>
          </cell>
        </row>
      </sheetData>
      <sheetData sheetId="19275">
        <row r="1">
          <cell r="J1">
            <v>1.7453292519943295E-2</v>
          </cell>
        </row>
      </sheetData>
      <sheetData sheetId="19276">
        <row r="1">
          <cell r="J1">
            <v>1.7453292519943295E-2</v>
          </cell>
        </row>
      </sheetData>
      <sheetData sheetId="19277">
        <row r="1">
          <cell r="J1">
            <v>1.7453292519943295E-2</v>
          </cell>
        </row>
      </sheetData>
      <sheetData sheetId="19278">
        <row r="1">
          <cell r="J1">
            <v>1.7453292519943295E-2</v>
          </cell>
        </row>
      </sheetData>
      <sheetData sheetId="19279">
        <row r="1">
          <cell r="J1">
            <v>1.7453292519943295E-2</v>
          </cell>
        </row>
      </sheetData>
      <sheetData sheetId="19280">
        <row r="1">
          <cell r="J1">
            <v>1.7453292519943295E-2</v>
          </cell>
        </row>
      </sheetData>
      <sheetData sheetId="19281">
        <row r="1">
          <cell r="J1">
            <v>1.7453292519943295E-2</v>
          </cell>
        </row>
      </sheetData>
      <sheetData sheetId="19282">
        <row r="1">
          <cell r="J1">
            <v>1.7453292519943295E-2</v>
          </cell>
        </row>
      </sheetData>
      <sheetData sheetId="19283">
        <row r="1">
          <cell r="J1">
            <v>1.7453292519943295E-2</v>
          </cell>
        </row>
      </sheetData>
      <sheetData sheetId="19284">
        <row r="1">
          <cell r="J1">
            <v>1.7453292519943295E-2</v>
          </cell>
        </row>
      </sheetData>
      <sheetData sheetId="19285">
        <row r="1">
          <cell r="J1">
            <v>1.7453292519943295E-2</v>
          </cell>
        </row>
      </sheetData>
      <sheetData sheetId="19286">
        <row r="1">
          <cell r="J1">
            <v>1.7453292519943295E-2</v>
          </cell>
        </row>
      </sheetData>
      <sheetData sheetId="19287">
        <row r="1">
          <cell r="J1">
            <v>1.7453292519943295E-2</v>
          </cell>
        </row>
      </sheetData>
      <sheetData sheetId="19288">
        <row r="1">
          <cell r="J1">
            <v>1.7453292519943295E-2</v>
          </cell>
        </row>
      </sheetData>
      <sheetData sheetId="19289">
        <row r="1">
          <cell r="J1">
            <v>1.7453292519943295E-2</v>
          </cell>
        </row>
      </sheetData>
      <sheetData sheetId="19290">
        <row r="1">
          <cell r="J1">
            <v>1.7453292519943295E-2</v>
          </cell>
        </row>
      </sheetData>
      <sheetData sheetId="19291">
        <row r="1">
          <cell r="J1">
            <v>1.7453292519943295E-2</v>
          </cell>
        </row>
      </sheetData>
      <sheetData sheetId="19292">
        <row r="1">
          <cell r="J1">
            <v>1.7453292519943295E-2</v>
          </cell>
        </row>
      </sheetData>
      <sheetData sheetId="19293">
        <row r="1">
          <cell r="J1">
            <v>1.7453292519943295E-2</v>
          </cell>
        </row>
      </sheetData>
      <sheetData sheetId="19294" refreshError="1"/>
      <sheetData sheetId="19295" refreshError="1"/>
      <sheetData sheetId="19296">
        <row r="1">
          <cell r="J1">
            <v>1.7453292519943295E-2</v>
          </cell>
        </row>
      </sheetData>
      <sheetData sheetId="19297">
        <row r="1">
          <cell r="J1">
            <v>1.7453292519943295E-2</v>
          </cell>
        </row>
      </sheetData>
      <sheetData sheetId="19298" refreshError="1"/>
      <sheetData sheetId="19299">
        <row r="1">
          <cell r="J1">
            <v>1.7453292519943295E-2</v>
          </cell>
        </row>
      </sheetData>
      <sheetData sheetId="19300">
        <row r="1">
          <cell r="J1">
            <v>1.7453292519943295E-2</v>
          </cell>
        </row>
      </sheetData>
      <sheetData sheetId="19301">
        <row r="1">
          <cell r="J1">
            <v>1.7453292519943295E-2</v>
          </cell>
        </row>
      </sheetData>
      <sheetData sheetId="19302" refreshError="1"/>
      <sheetData sheetId="19303" refreshError="1"/>
      <sheetData sheetId="19304" refreshError="1"/>
      <sheetData sheetId="19305" refreshError="1"/>
      <sheetData sheetId="19306">
        <row r="1">
          <cell r="J1">
            <v>1.7453292519943295E-2</v>
          </cell>
        </row>
      </sheetData>
      <sheetData sheetId="19307">
        <row r="1">
          <cell r="J1">
            <v>1.7453292519943295E-2</v>
          </cell>
        </row>
      </sheetData>
      <sheetData sheetId="19308" refreshError="1"/>
      <sheetData sheetId="19309" refreshError="1"/>
      <sheetData sheetId="19310">
        <row r="1">
          <cell r="J1">
            <v>1.7453292519943295E-2</v>
          </cell>
        </row>
      </sheetData>
      <sheetData sheetId="19311">
        <row r="1">
          <cell r="J1">
            <v>1.7453292519943295E-2</v>
          </cell>
        </row>
      </sheetData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>
        <row r="1">
          <cell r="J1">
            <v>1.7453292519943295E-2</v>
          </cell>
        </row>
      </sheetData>
      <sheetData sheetId="19321"/>
      <sheetData sheetId="19322">
        <row r="1">
          <cell r="J1">
            <v>1.7453292519943295E-2</v>
          </cell>
        </row>
      </sheetData>
      <sheetData sheetId="19323">
        <row r="1">
          <cell r="J1">
            <v>1.7453292519943295E-2</v>
          </cell>
        </row>
      </sheetData>
      <sheetData sheetId="19324">
        <row r="1">
          <cell r="J1">
            <v>1.7453292519943295E-2</v>
          </cell>
        </row>
      </sheetData>
      <sheetData sheetId="19325">
        <row r="1">
          <cell r="J1">
            <v>1.7453292519943295E-2</v>
          </cell>
        </row>
      </sheetData>
      <sheetData sheetId="19326">
        <row r="1">
          <cell r="J1">
            <v>1.7453292519943295E-2</v>
          </cell>
        </row>
      </sheetData>
      <sheetData sheetId="19327">
        <row r="1">
          <cell r="J1">
            <v>1.7453292519943295E-2</v>
          </cell>
        </row>
      </sheetData>
      <sheetData sheetId="19328">
        <row r="1">
          <cell r="J1">
            <v>1.7453292519943295E-2</v>
          </cell>
        </row>
      </sheetData>
      <sheetData sheetId="19329">
        <row r="1">
          <cell r="J1">
            <v>1.7453292519943295E-2</v>
          </cell>
        </row>
      </sheetData>
      <sheetData sheetId="19330">
        <row r="1">
          <cell r="J1">
            <v>1.7453292519943295E-2</v>
          </cell>
        </row>
      </sheetData>
      <sheetData sheetId="19331">
        <row r="1">
          <cell r="J1">
            <v>1.7453292519943295E-2</v>
          </cell>
        </row>
      </sheetData>
      <sheetData sheetId="19332">
        <row r="1">
          <cell r="J1">
            <v>1.7453292519943295E-2</v>
          </cell>
        </row>
      </sheetData>
      <sheetData sheetId="19333">
        <row r="1">
          <cell r="J1">
            <v>1.7453292519943295E-2</v>
          </cell>
        </row>
      </sheetData>
      <sheetData sheetId="19334">
        <row r="1">
          <cell r="J1">
            <v>1.7453292519943295E-2</v>
          </cell>
        </row>
      </sheetData>
      <sheetData sheetId="19335">
        <row r="1">
          <cell r="J1">
            <v>1.7453292519943295E-2</v>
          </cell>
        </row>
      </sheetData>
      <sheetData sheetId="19336">
        <row r="1">
          <cell r="J1">
            <v>1.7453292519943295E-2</v>
          </cell>
        </row>
      </sheetData>
      <sheetData sheetId="19337">
        <row r="1">
          <cell r="J1">
            <v>1.7453292519943295E-2</v>
          </cell>
        </row>
      </sheetData>
      <sheetData sheetId="19338">
        <row r="1">
          <cell r="J1">
            <v>1.7453292519943295E-2</v>
          </cell>
        </row>
      </sheetData>
      <sheetData sheetId="19339">
        <row r="1">
          <cell r="J1">
            <v>1.7453292519943295E-2</v>
          </cell>
        </row>
      </sheetData>
      <sheetData sheetId="19340"/>
      <sheetData sheetId="19341">
        <row r="1">
          <cell r="J1">
            <v>1.7453292519943295E-2</v>
          </cell>
        </row>
      </sheetData>
      <sheetData sheetId="19342">
        <row r="1">
          <cell r="J1">
            <v>1.7453292519943295E-2</v>
          </cell>
        </row>
      </sheetData>
      <sheetData sheetId="19343" refreshError="1"/>
      <sheetData sheetId="19344"/>
      <sheetData sheetId="19345">
        <row r="1">
          <cell r="J1">
            <v>1.7453292519943295E-2</v>
          </cell>
        </row>
      </sheetData>
      <sheetData sheetId="19346" refreshError="1"/>
      <sheetData sheetId="19347" refreshError="1"/>
      <sheetData sheetId="19348" refreshError="1"/>
      <sheetData sheetId="19349" refreshError="1"/>
      <sheetData sheetId="19350"/>
      <sheetData sheetId="19351">
        <row r="1">
          <cell r="J1">
            <v>1.7453292519943295E-2</v>
          </cell>
        </row>
      </sheetData>
      <sheetData sheetId="19352"/>
      <sheetData sheetId="19353">
        <row r="1">
          <cell r="J1">
            <v>1.7453292519943295E-2</v>
          </cell>
        </row>
      </sheetData>
      <sheetData sheetId="19354">
        <row r="1">
          <cell r="J1">
            <v>1.7453292519943295E-2</v>
          </cell>
        </row>
      </sheetData>
      <sheetData sheetId="19355">
        <row r="1">
          <cell r="J1">
            <v>1.7453292519943295E-2</v>
          </cell>
        </row>
      </sheetData>
      <sheetData sheetId="19356">
        <row r="1">
          <cell r="J1">
            <v>1.7453292519943295E-2</v>
          </cell>
        </row>
      </sheetData>
      <sheetData sheetId="19357">
        <row r="1">
          <cell r="J1">
            <v>1.7453292519943295E-2</v>
          </cell>
        </row>
      </sheetData>
      <sheetData sheetId="19358">
        <row r="1">
          <cell r="J1">
            <v>1.7453292519943295E-2</v>
          </cell>
        </row>
      </sheetData>
      <sheetData sheetId="19359">
        <row r="1">
          <cell r="J1">
            <v>1.7453292519943295E-2</v>
          </cell>
        </row>
      </sheetData>
      <sheetData sheetId="19360">
        <row r="1">
          <cell r="J1">
            <v>1.7453292519943295E-2</v>
          </cell>
        </row>
      </sheetData>
      <sheetData sheetId="19361">
        <row r="1">
          <cell r="J1">
            <v>1.7453292519943295E-2</v>
          </cell>
        </row>
      </sheetData>
      <sheetData sheetId="19362">
        <row r="1">
          <cell r="J1">
            <v>1.7453292519943295E-2</v>
          </cell>
        </row>
      </sheetData>
      <sheetData sheetId="19363">
        <row r="1">
          <cell r="J1">
            <v>1.7453292519943295E-2</v>
          </cell>
        </row>
      </sheetData>
      <sheetData sheetId="19364">
        <row r="1">
          <cell r="J1">
            <v>1.7453292519943295E-2</v>
          </cell>
        </row>
      </sheetData>
      <sheetData sheetId="19365">
        <row r="1">
          <cell r="J1">
            <v>1.7453292519943295E-2</v>
          </cell>
        </row>
      </sheetData>
      <sheetData sheetId="19366">
        <row r="1">
          <cell r="J1">
            <v>1.7453292519943295E-2</v>
          </cell>
        </row>
      </sheetData>
      <sheetData sheetId="19367">
        <row r="1">
          <cell r="J1">
            <v>1.7453292519943295E-2</v>
          </cell>
        </row>
      </sheetData>
      <sheetData sheetId="19368">
        <row r="1">
          <cell r="J1">
            <v>1.7453292519943295E-2</v>
          </cell>
        </row>
      </sheetData>
      <sheetData sheetId="19369">
        <row r="1">
          <cell r="J1">
            <v>1.7453292519943295E-2</v>
          </cell>
        </row>
      </sheetData>
      <sheetData sheetId="19370">
        <row r="1">
          <cell r="J1">
            <v>1.7453292519943295E-2</v>
          </cell>
        </row>
      </sheetData>
      <sheetData sheetId="19371">
        <row r="1">
          <cell r="J1">
            <v>1.7453292519943295E-2</v>
          </cell>
        </row>
      </sheetData>
      <sheetData sheetId="19372">
        <row r="1">
          <cell r="J1">
            <v>1.7453292519943295E-2</v>
          </cell>
        </row>
      </sheetData>
      <sheetData sheetId="19373">
        <row r="1">
          <cell r="J1">
            <v>1.7453292519943295E-2</v>
          </cell>
        </row>
      </sheetData>
      <sheetData sheetId="19374">
        <row r="1">
          <cell r="J1">
            <v>1.7453292519943295E-2</v>
          </cell>
        </row>
      </sheetData>
      <sheetData sheetId="19375" refreshError="1"/>
      <sheetData sheetId="19376"/>
      <sheetData sheetId="19377">
        <row r="1">
          <cell r="J1">
            <v>1.7453292519943295E-2</v>
          </cell>
        </row>
      </sheetData>
      <sheetData sheetId="19378" refreshError="1"/>
      <sheetData sheetId="19379" refreshError="1"/>
      <sheetData sheetId="19380"/>
      <sheetData sheetId="19381">
        <row r="1">
          <cell r="J1">
            <v>1.7453292519943295E-2</v>
          </cell>
        </row>
      </sheetData>
      <sheetData sheetId="19382">
        <row r="1">
          <cell r="J1">
            <v>1.7453292519943295E-2</v>
          </cell>
        </row>
      </sheetData>
      <sheetData sheetId="19383"/>
      <sheetData sheetId="19384" refreshError="1"/>
      <sheetData sheetId="19385">
        <row r="1">
          <cell r="J1">
            <v>1.7453292519943295E-2</v>
          </cell>
        </row>
      </sheetData>
      <sheetData sheetId="19386" refreshError="1"/>
      <sheetData sheetId="19387">
        <row r="1">
          <cell r="J1">
            <v>1.7453292519943295E-2</v>
          </cell>
        </row>
      </sheetData>
      <sheetData sheetId="19388" refreshError="1"/>
      <sheetData sheetId="19389" refreshError="1"/>
      <sheetData sheetId="19390"/>
      <sheetData sheetId="19391" refreshError="1"/>
      <sheetData sheetId="19392" refreshError="1"/>
      <sheetData sheetId="19393" refreshError="1"/>
      <sheetData sheetId="19394">
        <row r="1">
          <cell r="J1">
            <v>1.7453292519943295E-2</v>
          </cell>
        </row>
      </sheetData>
      <sheetData sheetId="19395">
        <row r="1">
          <cell r="J1">
            <v>1.7453292519943295E-2</v>
          </cell>
        </row>
      </sheetData>
      <sheetData sheetId="19396">
        <row r="1">
          <cell r="J1">
            <v>1.7453292519943295E-2</v>
          </cell>
        </row>
      </sheetData>
      <sheetData sheetId="19397">
        <row r="1">
          <cell r="J1">
            <v>1.7453292519943295E-2</v>
          </cell>
        </row>
      </sheetData>
      <sheetData sheetId="19398">
        <row r="1">
          <cell r="J1">
            <v>1.7453292519943295E-2</v>
          </cell>
        </row>
      </sheetData>
      <sheetData sheetId="19399"/>
      <sheetData sheetId="19400">
        <row r="1">
          <cell r="J1">
            <v>1.7453292519943295E-2</v>
          </cell>
        </row>
      </sheetData>
      <sheetData sheetId="19401">
        <row r="1">
          <cell r="J1">
            <v>1.7453292519943295E-2</v>
          </cell>
        </row>
      </sheetData>
      <sheetData sheetId="19402">
        <row r="1">
          <cell r="J1">
            <v>1.7453292519943295E-2</v>
          </cell>
        </row>
      </sheetData>
      <sheetData sheetId="19403">
        <row r="1">
          <cell r="J1">
            <v>1.7453292519943295E-2</v>
          </cell>
        </row>
      </sheetData>
      <sheetData sheetId="19404">
        <row r="1">
          <cell r="J1">
            <v>1.7453292519943295E-2</v>
          </cell>
        </row>
      </sheetData>
      <sheetData sheetId="19405">
        <row r="1">
          <cell r="J1">
            <v>1.7453292519943295E-2</v>
          </cell>
        </row>
      </sheetData>
      <sheetData sheetId="19406">
        <row r="1">
          <cell r="J1">
            <v>1.7453292519943295E-2</v>
          </cell>
        </row>
      </sheetData>
      <sheetData sheetId="19407">
        <row r="1">
          <cell r="J1">
            <v>1.7453292519943295E-2</v>
          </cell>
        </row>
      </sheetData>
      <sheetData sheetId="19408">
        <row r="1">
          <cell r="J1">
            <v>1.7453292519943295E-2</v>
          </cell>
        </row>
      </sheetData>
      <sheetData sheetId="19409">
        <row r="1">
          <cell r="J1">
            <v>1.7453292519943295E-2</v>
          </cell>
        </row>
      </sheetData>
      <sheetData sheetId="19410">
        <row r="1">
          <cell r="J1">
            <v>1.7453292519943295E-2</v>
          </cell>
        </row>
      </sheetData>
      <sheetData sheetId="19411">
        <row r="1">
          <cell r="J1">
            <v>1.7453292519943295E-2</v>
          </cell>
        </row>
      </sheetData>
      <sheetData sheetId="19412">
        <row r="1">
          <cell r="J1">
            <v>1.7453292519943295E-2</v>
          </cell>
        </row>
      </sheetData>
      <sheetData sheetId="19413">
        <row r="1">
          <cell r="J1">
            <v>1.7453292519943295E-2</v>
          </cell>
        </row>
      </sheetData>
      <sheetData sheetId="19414">
        <row r="1">
          <cell r="J1">
            <v>1.7453292519943295E-2</v>
          </cell>
        </row>
      </sheetData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>
        <row r="1">
          <cell r="J1">
            <v>1.7453292519943295E-2</v>
          </cell>
        </row>
      </sheetData>
      <sheetData sheetId="19421">
        <row r="1">
          <cell r="J1">
            <v>1.7453292519943295E-2</v>
          </cell>
        </row>
      </sheetData>
      <sheetData sheetId="19422" refreshError="1"/>
      <sheetData sheetId="19423" refreshError="1"/>
      <sheetData sheetId="19424"/>
      <sheetData sheetId="19425">
        <row r="1">
          <cell r="J1">
            <v>1.7453292519943295E-2</v>
          </cell>
        </row>
      </sheetData>
      <sheetData sheetId="19426"/>
      <sheetData sheetId="19427">
        <row r="1">
          <cell r="J1">
            <v>1.7453292519943295E-2</v>
          </cell>
        </row>
      </sheetData>
      <sheetData sheetId="19428">
        <row r="1">
          <cell r="J1">
            <v>1.7453292519943295E-2</v>
          </cell>
        </row>
      </sheetData>
      <sheetData sheetId="19429">
        <row r="1">
          <cell r="J1">
            <v>1.7453292519943295E-2</v>
          </cell>
        </row>
      </sheetData>
      <sheetData sheetId="19430"/>
      <sheetData sheetId="19431">
        <row r="1">
          <cell r="J1">
            <v>1.7453292519943295E-2</v>
          </cell>
        </row>
      </sheetData>
      <sheetData sheetId="19432">
        <row r="1">
          <cell r="J1">
            <v>1.7453292519943295E-2</v>
          </cell>
        </row>
      </sheetData>
      <sheetData sheetId="19433">
        <row r="1">
          <cell r="J1">
            <v>1.7453292519943295E-2</v>
          </cell>
        </row>
      </sheetData>
      <sheetData sheetId="19434">
        <row r="1">
          <cell r="J1">
            <v>1.7453292519943295E-2</v>
          </cell>
        </row>
      </sheetData>
      <sheetData sheetId="19435">
        <row r="1">
          <cell r="J1">
            <v>1.7453292519943295E-2</v>
          </cell>
        </row>
      </sheetData>
      <sheetData sheetId="19436">
        <row r="1">
          <cell r="J1">
            <v>1.7453292519943295E-2</v>
          </cell>
        </row>
      </sheetData>
      <sheetData sheetId="19437">
        <row r="1">
          <cell r="J1">
            <v>1.7453292519943295E-2</v>
          </cell>
        </row>
      </sheetData>
      <sheetData sheetId="19438">
        <row r="1">
          <cell r="J1">
            <v>1.7453292519943295E-2</v>
          </cell>
        </row>
      </sheetData>
      <sheetData sheetId="19439">
        <row r="1">
          <cell r="J1">
            <v>1.7453292519943295E-2</v>
          </cell>
        </row>
      </sheetData>
      <sheetData sheetId="19440">
        <row r="1">
          <cell r="J1">
            <v>1.7453292519943295E-2</v>
          </cell>
        </row>
      </sheetData>
      <sheetData sheetId="19441">
        <row r="1">
          <cell r="J1">
            <v>1.7453292519943295E-2</v>
          </cell>
        </row>
      </sheetData>
      <sheetData sheetId="19442">
        <row r="1">
          <cell r="J1">
            <v>1.7453292519943295E-2</v>
          </cell>
        </row>
      </sheetData>
      <sheetData sheetId="19443">
        <row r="1">
          <cell r="J1">
            <v>1.7453292519943295E-2</v>
          </cell>
        </row>
      </sheetData>
      <sheetData sheetId="19444">
        <row r="1">
          <cell r="J1">
            <v>1.7453292519943295E-2</v>
          </cell>
        </row>
      </sheetData>
      <sheetData sheetId="19445">
        <row r="1">
          <cell r="J1">
            <v>1.7453292519943295E-2</v>
          </cell>
        </row>
      </sheetData>
      <sheetData sheetId="19446">
        <row r="1">
          <cell r="J1">
            <v>1.7453292519943295E-2</v>
          </cell>
        </row>
      </sheetData>
      <sheetData sheetId="19447" refreshError="1"/>
      <sheetData sheetId="19448" refreshError="1"/>
      <sheetData sheetId="19449" refreshError="1"/>
      <sheetData sheetId="19450">
        <row r="1">
          <cell r="J1">
            <v>1.7453292519943295E-2</v>
          </cell>
        </row>
      </sheetData>
      <sheetData sheetId="19451">
        <row r="1">
          <cell r="J1">
            <v>1.7453292519943295E-2</v>
          </cell>
        </row>
      </sheetData>
      <sheetData sheetId="19452" refreshError="1"/>
      <sheetData sheetId="19453" refreshError="1"/>
      <sheetData sheetId="19454">
        <row r="1">
          <cell r="J1">
            <v>1.7453292519943295E-2</v>
          </cell>
        </row>
      </sheetData>
      <sheetData sheetId="19455">
        <row r="1">
          <cell r="J1">
            <v>1.7453292519943295E-2</v>
          </cell>
        </row>
      </sheetData>
      <sheetData sheetId="19456">
        <row r="1">
          <cell r="J1">
            <v>1.7453292519943295E-2</v>
          </cell>
        </row>
      </sheetData>
      <sheetData sheetId="19457" refreshError="1"/>
      <sheetData sheetId="19458" refreshError="1"/>
      <sheetData sheetId="19459" refreshError="1"/>
      <sheetData sheetId="19460" refreshError="1"/>
      <sheetData sheetId="19461">
        <row r="1">
          <cell r="J1">
            <v>1.7453292519943295E-2</v>
          </cell>
        </row>
      </sheetData>
      <sheetData sheetId="19462" refreshError="1"/>
      <sheetData sheetId="19463" refreshError="1"/>
      <sheetData sheetId="19464">
        <row r="1">
          <cell r="J1">
            <v>1.7453292519943295E-2</v>
          </cell>
        </row>
      </sheetData>
      <sheetData sheetId="19465">
        <row r="1">
          <cell r="J1">
            <v>1.7453292519943295E-2</v>
          </cell>
        </row>
      </sheetData>
      <sheetData sheetId="19466">
        <row r="1">
          <cell r="J1">
            <v>1.7453292519943295E-2</v>
          </cell>
        </row>
      </sheetData>
      <sheetData sheetId="19467"/>
      <sheetData sheetId="19468">
        <row r="1">
          <cell r="J1">
            <v>1.7453292519943295E-2</v>
          </cell>
        </row>
      </sheetData>
      <sheetData sheetId="19469">
        <row r="1">
          <cell r="J1">
            <v>1.7453292519943295E-2</v>
          </cell>
        </row>
      </sheetData>
      <sheetData sheetId="19470">
        <row r="1">
          <cell r="J1">
            <v>1.7453292519943295E-2</v>
          </cell>
        </row>
      </sheetData>
      <sheetData sheetId="19471"/>
      <sheetData sheetId="19472">
        <row r="1">
          <cell r="J1">
            <v>1.7453292519943295E-2</v>
          </cell>
        </row>
      </sheetData>
      <sheetData sheetId="19473">
        <row r="1">
          <cell r="J1">
            <v>1.7453292519943295E-2</v>
          </cell>
        </row>
      </sheetData>
      <sheetData sheetId="19474">
        <row r="1">
          <cell r="J1">
            <v>1.7453292519943295E-2</v>
          </cell>
        </row>
      </sheetData>
      <sheetData sheetId="19475"/>
      <sheetData sheetId="19476">
        <row r="1">
          <cell r="J1">
            <v>1.7453292519943295E-2</v>
          </cell>
        </row>
      </sheetData>
      <sheetData sheetId="19477">
        <row r="1">
          <cell r="J1">
            <v>1.7453292519943295E-2</v>
          </cell>
        </row>
      </sheetData>
      <sheetData sheetId="19478"/>
      <sheetData sheetId="19479">
        <row r="1">
          <cell r="J1">
            <v>1.7453292519943295E-2</v>
          </cell>
        </row>
      </sheetData>
      <sheetData sheetId="19480">
        <row r="1">
          <cell r="J1">
            <v>1.7453292519943295E-2</v>
          </cell>
        </row>
      </sheetData>
      <sheetData sheetId="19481">
        <row r="1">
          <cell r="J1">
            <v>1.7453292519943295E-2</v>
          </cell>
        </row>
      </sheetData>
      <sheetData sheetId="19482">
        <row r="1">
          <cell r="J1">
            <v>1.7453292519943295E-2</v>
          </cell>
        </row>
      </sheetData>
      <sheetData sheetId="19483">
        <row r="1">
          <cell r="J1">
            <v>1.7453292519943295E-2</v>
          </cell>
        </row>
      </sheetData>
      <sheetData sheetId="19484">
        <row r="1">
          <cell r="J1">
            <v>1.7453292519943295E-2</v>
          </cell>
        </row>
      </sheetData>
      <sheetData sheetId="19485">
        <row r="1">
          <cell r="J1">
            <v>1.7453292519943295E-2</v>
          </cell>
        </row>
      </sheetData>
      <sheetData sheetId="19486" refreshError="1"/>
      <sheetData sheetId="19487" refreshError="1"/>
      <sheetData sheetId="19488">
        <row r="1">
          <cell r="J1">
            <v>1.7453292519943295E-2</v>
          </cell>
        </row>
      </sheetData>
      <sheetData sheetId="19489">
        <row r="1">
          <cell r="J1">
            <v>1.7453292519943295E-2</v>
          </cell>
        </row>
      </sheetData>
      <sheetData sheetId="19490">
        <row r="1">
          <cell r="J1">
            <v>1.7453292519943295E-2</v>
          </cell>
        </row>
      </sheetData>
      <sheetData sheetId="19491" refreshError="1"/>
      <sheetData sheetId="19492">
        <row r="1">
          <cell r="J1">
            <v>1.7453292519943295E-2</v>
          </cell>
        </row>
      </sheetData>
      <sheetData sheetId="19493">
        <row r="1">
          <cell r="J1">
            <v>1.7453292519943295E-2</v>
          </cell>
        </row>
      </sheetData>
      <sheetData sheetId="19494" refreshError="1"/>
      <sheetData sheetId="19495" refreshError="1"/>
      <sheetData sheetId="19496">
        <row r="1">
          <cell r="J1">
            <v>1.7453292519943295E-2</v>
          </cell>
        </row>
      </sheetData>
      <sheetData sheetId="19497">
        <row r="1">
          <cell r="J1">
            <v>1.7453292519943295E-2</v>
          </cell>
        </row>
      </sheetData>
      <sheetData sheetId="19498">
        <row r="1">
          <cell r="J1">
            <v>1.7453292519943295E-2</v>
          </cell>
        </row>
      </sheetData>
      <sheetData sheetId="19499" refreshError="1"/>
      <sheetData sheetId="19500" refreshError="1"/>
      <sheetData sheetId="19501" refreshError="1"/>
      <sheetData sheetId="19502">
        <row r="1">
          <cell r="J1">
            <v>1.7453292519943295E-2</v>
          </cell>
        </row>
      </sheetData>
      <sheetData sheetId="19503">
        <row r="1">
          <cell r="J1">
            <v>1.7453292519943295E-2</v>
          </cell>
        </row>
      </sheetData>
      <sheetData sheetId="19504">
        <row r="1">
          <cell r="J1">
            <v>1.7453292519943295E-2</v>
          </cell>
        </row>
      </sheetData>
      <sheetData sheetId="19505" refreshError="1"/>
      <sheetData sheetId="19506">
        <row r="1">
          <cell r="J1">
            <v>1.7453292519943295E-2</v>
          </cell>
        </row>
      </sheetData>
      <sheetData sheetId="19507">
        <row r="1">
          <cell r="J1">
            <v>1.7453292519943295E-2</v>
          </cell>
        </row>
      </sheetData>
      <sheetData sheetId="19508" refreshError="1"/>
      <sheetData sheetId="19509" refreshError="1"/>
      <sheetData sheetId="19510">
        <row r="1">
          <cell r="J1">
            <v>1.7453292519943295E-2</v>
          </cell>
        </row>
      </sheetData>
      <sheetData sheetId="19511" refreshError="1"/>
      <sheetData sheetId="19512">
        <row r="1">
          <cell r="J1">
            <v>1.7453292519943295E-2</v>
          </cell>
        </row>
      </sheetData>
      <sheetData sheetId="19513">
        <row r="1">
          <cell r="J1">
            <v>1.7453292519943295E-2</v>
          </cell>
        </row>
      </sheetData>
      <sheetData sheetId="19514">
        <row r="1">
          <cell r="J1">
            <v>1.7453292519943295E-2</v>
          </cell>
        </row>
      </sheetData>
      <sheetData sheetId="19515">
        <row r="1">
          <cell r="J1">
            <v>1.7453292519943295E-2</v>
          </cell>
        </row>
      </sheetData>
      <sheetData sheetId="19516">
        <row r="1">
          <cell r="J1">
            <v>1.7453292519943295E-2</v>
          </cell>
        </row>
      </sheetData>
      <sheetData sheetId="19517">
        <row r="1">
          <cell r="J1">
            <v>1.7453292519943295E-2</v>
          </cell>
        </row>
      </sheetData>
      <sheetData sheetId="19518">
        <row r="1">
          <cell r="J1">
            <v>1.7453292519943295E-2</v>
          </cell>
        </row>
      </sheetData>
      <sheetData sheetId="19519">
        <row r="1">
          <cell r="J1">
            <v>1.7453292519943295E-2</v>
          </cell>
        </row>
      </sheetData>
      <sheetData sheetId="19520">
        <row r="1">
          <cell r="J1">
            <v>1.7453292519943295E-2</v>
          </cell>
        </row>
      </sheetData>
      <sheetData sheetId="19521"/>
      <sheetData sheetId="19522">
        <row r="1">
          <cell r="J1">
            <v>1.7453292519943295E-2</v>
          </cell>
        </row>
      </sheetData>
      <sheetData sheetId="19523"/>
      <sheetData sheetId="19524">
        <row r="1">
          <cell r="J1">
            <v>1.7453292519943295E-2</v>
          </cell>
        </row>
      </sheetData>
      <sheetData sheetId="19525"/>
      <sheetData sheetId="19526">
        <row r="1">
          <cell r="J1">
            <v>1.7453292519943295E-2</v>
          </cell>
        </row>
      </sheetData>
      <sheetData sheetId="19527">
        <row r="1">
          <cell r="J1">
            <v>1.7453292519943295E-2</v>
          </cell>
        </row>
      </sheetData>
      <sheetData sheetId="19528">
        <row r="1">
          <cell r="J1">
            <v>1.7453292519943295E-2</v>
          </cell>
        </row>
      </sheetData>
      <sheetData sheetId="19529">
        <row r="1">
          <cell r="J1">
            <v>1.7453292519943295E-2</v>
          </cell>
        </row>
      </sheetData>
      <sheetData sheetId="19530">
        <row r="1">
          <cell r="J1">
            <v>1.7453292519943295E-2</v>
          </cell>
        </row>
      </sheetData>
      <sheetData sheetId="19531">
        <row r="1">
          <cell r="J1">
            <v>1.7453292519943295E-2</v>
          </cell>
        </row>
      </sheetData>
      <sheetData sheetId="19532">
        <row r="1">
          <cell r="J1">
            <v>1.7453292519943295E-2</v>
          </cell>
        </row>
      </sheetData>
      <sheetData sheetId="19533">
        <row r="1">
          <cell r="J1">
            <v>1.7453292519943295E-2</v>
          </cell>
        </row>
      </sheetData>
      <sheetData sheetId="19534" refreshError="1"/>
      <sheetData sheetId="19535" refreshError="1"/>
      <sheetData sheetId="19536">
        <row r="1">
          <cell r="J1">
            <v>1.7453292519943295E-2</v>
          </cell>
        </row>
      </sheetData>
      <sheetData sheetId="19537">
        <row r="1">
          <cell r="J1">
            <v>1.7453292519943295E-2</v>
          </cell>
        </row>
      </sheetData>
      <sheetData sheetId="19538">
        <row r="1">
          <cell r="J1">
            <v>1.7453292519943295E-2</v>
          </cell>
        </row>
      </sheetData>
      <sheetData sheetId="19539" refreshError="1"/>
      <sheetData sheetId="19540" refreshError="1"/>
      <sheetData sheetId="19541">
        <row r="1">
          <cell r="J1">
            <v>1.7453292519943295E-2</v>
          </cell>
        </row>
      </sheetData>
      <sheetData sheetId="19542">
        <row r="1">
          <cell r="J1">
            <v>1.7453292519943295E-2</v>
          </cell>
        </row>
      </sheetData>
      <sheetData sheetId="19543">
        <row r="1">
          <cell r="J1">
            <v>1.7453292519943295E-2</v>
          </cell>
        </row>
      </sheetData>
      <sheetData sheetId="19544" refreshError="1"/>
      <sheetData sheetId="19545" refreshError="1"/>
      <sheetData sheetId="19546">
        <row r="1">
          <cell r="J1">
            <v>1.7453292519943295E-2</v>
          </cell>
        </row>
      </sheetData>
      <sheetData sheetId="19547">
        <row r="1">
          <cell r="J1">
            <v>1.7453292519943295E-2</v>
          </cell>
        </row>
      </sheetData>
      <sheetData sheetId="19548">
        <row r="1">
          <cell r="J1">
            <v>1.7453292519943295E-2</v>
          </cell>
        </row>
      </sheetData>
      <sheetData sheetId="19549">
        <row r="1">
          <cell r="J1">
            <v>1.7453292519943295E-2</v>
          </cell>
        </row>
      </sheetData>
      <sheetData sheetId="19550">
        <row r="1">
          <cell r="J1">
            <v>1.7453292519943295E-2</v>
          </cell>
        </row>
      </sheetData>
      <sheetData sheetId="19551">
        <row r="1">
          <cell r="J1">
            <v>1.7453292519943295E-2</v>
          </cell>
        </row>
      </sheetData>
      <sheetData sheetId="19552" refreshError="1"/>
      <sheetData sheetId="19553" refreshError="1"/>
      <sheetData sheetId="19554" refreshError="1"/>
      <sheetData sheetId="19555" refreshError="1"/>
      <sheetData sheetId="19556">
        <row r="1">
          <cell r="J1">
            <v>1.7453292519943295E-2</v>
          </cell>
        </row>
      </sheetData>
      <sheetData sheetId="19557" refreshError="1"/>
      <sheetData sheetId="19558">
        <row r="1">
          <cell r="J1">
            <v>1.7453292519943295E-2</v>
          </cell>
        </row>
      </sheetData>
      <sheetData sheetId="19559" refreshError="1"/>
      <sheetData sheetId="19560" refreshError="1"/>
      <sheetData sheetId="19561">
        <row r="1">
          <cell r="J1">
            <v>1.7453292519943295E-2</v>
          </cell>
        </row>
      </sheetData>
      <sheetData sheetId="19562">
        <row r="1">
          <cell r="J1">
            <v>1.7453292519943295E-2</v>
          </cell>
        </row>
      </sheetData>
      <sheetData sheetId="19563">
        <row r="1">
          <cell r="J1">
            <v>1.7453292519943295E-2</v>
          </cell>
        </row>
      </sheetData>
      <sheetData sheetId="19564" refreshError="1"/>
      <sheetData sheetId="19565" refreshError="1"/>
      <sheetData sheetId="19566">
        <row r="1">
          <cell r="J1">
            <v>1.7453292519943295E-2</v>
          </cell>
        </row>
      </sheetData>
      <sheetData sheetId="19567" refreshError="1"/>
      <sheetData sheetId="19568" refreshError="1"/>
      <sheetData sheetId="19569">
        <row r="1">
          <cell r="J1">
            <v>1.7453292519943295E-2</v>
          </cell>
        </row>
      </sheetData>
      <sheetData sheetId="19570">
        <row r="1">
          <cell r="J1">
            <v>1.7453292519943295E-2</v>
          </cell>
        </row>
      </sheetData>
      <sheetData sheetId="19571" refreshError="1"/>
      <sheetData sheetId="19572" refreshError="1"/>
      <sheetData sheetId="19573">
        <row r="1">
          <cell r="J1">
            <v>1.7453292519943295E-2</v>
          </cell>
        </row>
      </sheetData>
      <sheetData sheetId="19574">
        <row r="1">
          <cell r="J1">
            <v>1.7453292519943295E-2</v>
          </cell>
        </row>
      </sheetData>
      <sheetData sheetId="19575">
        <row r="1">
          <cell r="J1">
            <v>1.7453292519943295E-2</v>
          </cell>
        </row>
      </sheetData>
      <sheetData sheetId="19576" refreshError="1"/>
      <sheetData sheetId="19577">
        <row r="1">
          <cell r="J1">
            <v>1.7453292519943295E-2</v>
          </cell>
        </row>
      </sheetData>
      <sheetData sheetId="19578">
        <row r="1">
          <cell r="J1">
            <v>1.7453292519943295E-2</v>
          </cell>
        </row>
      </sheetData>
      <sheetData sheetId="19579" refreshError="1"/>
      <sheetData sheetId="19580" refreshError="1"/>
      <sheetData sheetId="19581">
        <row r="1">
          <cell r="J1">
            <v>1.7453292519943295E-2</v>
          </cell>
        </row>
      </sheetData>
      <sheetData sheetId="19582">
        <row r="1">
          <cell r="J1">
            <v>1.7453292519943295E-2</v>
          </cell>
        </row>
      </sheetData>
      <sheetData sheetId="19583">
        <row r="1">
          <cell r="J1">
            <v>1.7453292519943295E-2</v>
          </cell>
        </row>
      </sheetData>
      <sheetData sheetId="19584">
        <row r="1">
          <cell r="J1">
            <v>1.7453292519943295E-2</v>
          </cell>
        </row>
      </sheetData>
      <sheetData sheetId="19585" refreshError="1"/>
      <sheetData sheetId="19586">
        <row r="1">
          <cell r="J1">
            <v>1.7453292519943295E-2</v>
          </cell>
        </row>
      </sheetData>
      <sheetData sheetId="19587">
        <row r="1">
          <cell r="J1">
            <v>1.7453292519943295E-2</v>
          </cell>
        </row>
      </sheetData>
      <sheetData sheetId="19588" refreshError="1"/>
      <sheetData sheetId="19589" refreshError="1"/>
      <sheetData sheetId="19590">
        <row r="1">
          <cell r="J1">
            <v>1.7453292519943295E-2</v>
          </cell>
        </row>
      </sheetData>
      <sheetData sheetId="19591">
        <row r="1">
          <cell r="J1">
            <v>1.7453292519943295E-2</v>
          </cell>
        </row>
      </sheetData>
      <sheetData sheetId="19592" refreshError="1"/>
      <sheetData sheetId="19593" refreshError="1"/>
      <sheetData sheetId="19594" refreshError="1"/>
      <sheetData sheetId="19595" refreshError="1"/>
      <sheetData sheetId="19596">
        <row r="1">
          <cell r="J1">
            <v>1.7453292519943295E-2</v>
          </cell>
        </row>
      </sheetData>
      <sheetData sheetId="19597">
        <row r="1">
          <cell r="J1">
            <v>1.7453292519943295E-2</v>
          </cell>
        </row>
      </sheetData>
      <sheetData sheetId="19598">
        <row r="1">
          <cell r="J1">
            <v>1.7453292519943295E-2</v>
          </cell>
        </row>
      </sheetData>
      <sheetData sheetId="19599">
        <row r="1">
          <cell r="J1">
            <v>1.7453292519943295E-2</v>
          </cell>
        </row>
      </sheetData>
      <sheetData sheetId="19600" refreshError="1"/>
      <sheetData sheetId="19601" refreshError="1"/>
      <sheetData sheetId="19602" refreshError="1"/>
      <sheetData sheetId="19603">
        <row r="1">
          <cell r="J1">
            <v>1.7453292519943295E-2</v>
          </cell>
        </row>
      </sheetData>
      <sheetData sheetId="19604">
        <row r="1">
          <cell r="J1">
            <v>1.7453292519943295E-2</v>
          </cell>
        </row>
      </sheetData>
      <sheetData sheetId="19605">
        <row r="1">
          <cell r="J1">
            <v>1.7453292519943295E-2</v>
          </cell>
        </row>
      </sheetData>
      <sheetData sheetId="19606">
        <row r="1">
          <cell r="J1">
            <v>1.7453292519943295E-2</v>
          </cell>
        </row>
      </sheetData>
      <sheetData sheetId="19607">
        <row r="1">
          <cell r="J1">
            <v>1.7453292519943295E-2</v>
          </cell>
        </row>
      </sheetData>
      <sheetData sheetId="19608">
        <row r="1">
          <cell r="J1">
            <v>1.7453292519943295E-2</v>
          </cell>
        </row>
      </sheetData>
      <sheetData sheetId="19609">
        <row r="1">
          <cell r="J1">
            <v>1.7453292519943295E-2</v>
          </cell>
        </row>
      </sheetData>
      <sheetData sheetId="19610">
        <row r="1">
          <cell r="J1">
            <v>1.7453292519943295E-2</v>
          </cell>
        </row>
      </sheetData>
      <sheetData sheetId="19611">
        <row r="1">
          <cell r="J1">
            <v>1.7453292519943295E-2</v>
          </cell>
        </row>
      </sheetData>
      <sheetData sheetId="19612" refreshError="1"/>
      <sheetData sheetId="19613">
        <row r="1">
          <cell r="J1">
            <v>1.7453292519943295E-2</v>
          </cell>
        </row>
      </sheetData>
      <sheetData sheetId="19614">
        <row r="1">
          <cell r="J1">
            <v>1.7453292519943295E-2</v>
          </cell>
        </row>
      </sheetData>
      <sheetData sheetId="19615">
        <row r="1">
          <cell r="J1">
            <v>1.7453292519943295E-2</v>
          </cell>
        </row>
      </sheetData>
      <sheetData sheetId="19616"/>
      <sheetData sheetId="19617">
        <row r="1">
          <cell r="J1">
            <v>1.7453292519943295E-2</v>
          </cell>
        </row>
      </sheetData>
      <sheetData sheetId="19618">
        <row r="1">
          <cell r="J1">
            <v>1.7453292519943295E-2</v>
          </cell>
        </row>
      </sheetData>
      <sheetData sheetId="19619" refreshError="1"/>
      <sheetData sheetId="19620" refreshError="1"/>
      <sheetData sheetId="19621" refreshError="1"/>
      <sheetData sheetId="19622">
        <row r="1">
          <cell r="J1">
            <v>1.7453292519943295E-2</v>
          </cell>
        </row>
      </sheetData>
      <sheetData sheetId="19623">
        <row r="1">
          <cell r="J1">
            <v>1.7453292519943295E-2</v>
          </cell>
        </row>
      </sheetData>
      <sheetData sheetId="19624"/>
      <sheetData sheetId="19625"/>
      <sheetData sheetId="19626">
        <row r="1">
          <cell r="J1">
            <v>1.7453292519943295E-2</v>
          </cell>
        </row>
      </sheetData>
      <sheetData sheetId="19627">
        <row r="1">
          <cell r="J1">
            <v>1.7453292519943295E-2</v>
          </cell>
        </row>
      </sheetData>
      <sheetData sheetId="19628"/>
      <sheetData sheetId="19629"/>
      <sheetData sheetId="19630">
        <row r="1">
          <cell r="J1">
            <v>1.7453292519943295E-2</v>
          </cell>
        </row>
      </sheetData>
      <sheetData sheetId="19631">
        <row r="1">
          <cell r="J1">
            <v>1.7453292519943295E-2</v>
          </cell>
        </row>
      </sheetData>
      <sheetData sheetId="19632">
        <row r="1">
          <cell r="J1">
            <v>1.7453292519943295E-2</v>
          </cell>
        </row>
      </sheetData>
      <sheetData sheetId="19633">
        <row r="1">
          <cell r="J1">
            <v>1.7453292519943295E-2</v>
          </cell>
        </row>
      </sheetData>
      <sheetData sheetId="19634">
        <row r="1">
          <cell r="J1">
            <v>1.7453292519943295E-2</v>
          </cell>
        </row>
      </sheetData>
      <sheetData sheetId="19635">
        <row r="1">
          <cell r="J1">
            <v>1.7453292519943295E-2</v>
          </cell>
        </row>
      </sheetData>
      <sheetData sheetId="19636">
        <row r="1">
          <cell r="J1">
            <v>1.7453292519943295E-2</v>
          </cell>
        </row>
      </sheetData>
      <sheetData sheetId="19637">
        <row r="1">
          <cell r="J1">
            <v>1.7453292519943295E-2</v>
          </cell>
        </row>
      </sheetData>
      <sheetData sheetId="19638">
        <row r="1">
          <cell r="J1">
            <v>1.7453292519943295E-2</v>
          </cell>
        </row>
      </sheetData>
      <sheetData sheetId="19639">
        <row r="1">
          <cell r="J1">
            <v>1.7453292519943295E-2</v>
          </cell>
        </row>
      </sheetData>
      <sheetData sheetId="19640">
        <row r="1">
          <cell r="J1">
            <v>1.7453292519943295E-2</v>
          </cell>
        </row>
      </sheetData>
      <sheetData sheetId="19641">
        <row r="1">
          <cell r="J1">
            <v>1.7453292519943295E-2</v>
          </cell>
        </row>
      </sheetData>
      <sheetData sheetId="19642" refreshError="1"/>
      <sheetData sheetId="19643" refreshError="1"/>
      <sheetData sheetId="19644">
        <row r="1">
          <cell r="J1">
            <v>1.7453292519943295E-2</v>
          </cell>
        </row>
      </sheetData>
      <sheetData sheetId="19645">
        <row r="1">
          <cell r="J1">
            <v>1.7453292519943295E-2</v>
          </cell>
        </row>
      </sheetData>
      <sheetData sheetId="19646" refreshError="1"/>
      <sheetData sheetId="19647">
        <row r="1">
          <cell r="J1">
            <v>1.7453292519943295E-2</v>
          </cell>
        </row>
      </sheetData>
      <sheetData sheetId="19648">
        <row r="1">
          <cell r="J1">
            <v>1.7453292519943295E-2</v>
          </cell>
        </row>
      </sheetData>
      <sheetData sheetId="19649">
        <row r="1">
          <cell r="J1">
            <v>1.7453292519943295E-2</v>
          </cell>
        </row>
      </sheetData>
      <sheetData sheetId="19650" refreshError="1"/>
      <sheetData sheetId="19651" refreshError="1"/>
      <sheetData sheetId="19652" refreshError="1"/>
      <sheetData sheetId="19653">
        <row r="1">
          <cell r="J1">
            <v>1.7453292519943295E-2</v>
          </cell>
        </row>
      </sheetData>
      <sheetData sheetId="19654"/>
      <sheetData sheetId="19655">
        <row r="1">
          <cell r="J1">
            <v>1.7453292519943295E-2</v>
          </cell>
        </row>
      </sheetData>
      <sheetData sheetId="19656"/>
      <sheetData sheetId="19657">
        <row r="1">
          <cell r="J1">
            <v>1.7453292519943295E-2</v>
          </cell>
        </row>
      </sheetData>
      <sheetData sheetId="19658"/>
      <sheetData sheetId="19659">
        <row r="1">
          <cell r="J1">
            <v>1.7453292519943295E-2</v>
          </cell>
        </row>
      </sheetData>
      <sheetData sheetId="19660"/>
      <sheetData sheetId="19661">
        <row r="1">
          <cell r="J1">
            <v>1.7453292519943295E-2</v>
          </cell>
        </row>
      </sheetData>
      <sheetData sheetId="19662">
        <row r="1">
          <cell r="J1">
            <v>1.7453292519943295E-2</v>
          </cell>
        </row>
      </sheetData>
      <sheetData sheetId="19663">
        <row r="1">
          <cell r="J1">
            <v>1.7453292519943295E-2</v>
          </cell>
        </row>
      </sheetData>
      <sheetData sheetId="19664">
        <row r="1">
          <cell r="J1">
            <v>1.7453292519943295E-2</v>
          </cell>
        </row>
      </sheetData>
      <sheetData sheetId="19665">
        <row r="1">
          <cell r="J1">
            <v>1.7453292519943295E-2</v>
          </cell>
        </row>
      </sheetData>
      <sheetData sheetId="19666"/>
      <sheetData sheetId="19667">
        <row r="1">
          <cell r="J1">
            <v>1.7453292519943295E-2</v>
          </cell>
        </row>
      </sheetData>
      <sheetData sheetId="19668">
        <row r="1">
          <cell r="J1">
            <v>1.7453292519943295E-2</v>
          </cell>
        </row>
      </sheetData>
      <sheetData sheetId="19669">
        <row r="1">
          <cell r="J1">
            <v>1.7453292519943295E-2</v>
          </cell>
        </row>
      </sheetData>
      <sheetData sheetId="19670">
        <row r="1">
          <cell r="J1">
            <v>1.7453292519943295E-2</v>
          </cell>
        </row>
      </sheetData>
      <sheetData sheetId="19671">
        <row r="1">
          <cell r="J1">
            <v>1.7453292519943295E-2</v>
          </cell>
        </row>
      </sheetData>
      <sheetData sheetId="19672">
        <row r="1">
          <cell r="J1">
            <v>1.7453292519943295E-2</v>
          </cell>
        </row>
      </sheetData>
      <sheetData sheetId="19673" refreshError="1"/>
      <sheetData sheetId="19674" refreshError="1"/>
      <sheetData sheetId="19675">
        <row r="1">
          <cell r="J1">
            <v>1.7453292519943295E-2</v>
          </cell>
        </row>
      </sheetData>
      <sheetData sheetId="19676">
        <row r="1">
          <cell r="J1">
            <v>1.7453292519943295E-2</v>
          </cell>
        </row>
      </sheetData>
      <sheetData sheetId="19677">
        <row r="1">
          <cell r="J1">
            <v>1.7453292519943295E-2</v>
          </cell>
        </row>
      </sheetData>
      <sheetData sheetId="19678" refreshError="1"/>
      <sheetData sheetId="19679">
        <row r="1">
          <cell r="J1">
            <v>1.7453292519943295E-2</v>
          </cell>
        </row>
      </sheetData>
      <sheetData sheetId="19680">
        <row r="1">
          <cell r="J1">
            <v>1.7453292519943295E-2</v>
          </cell>
        </row>
      </sheetData>
      <sheetData sheetId="19681" refreshError="1"/>
      <sheetData sheetId="19682" refreshError="1"/>
      <sheetData sheetId="19683">
        <row r="1">
          <cell r="J1">
            <v>1.7453292519943295E-2</v>
          </cell>
        </row>
      </sheetData>
      <sheetData sheetId="19684">
        <row r="1">
          <cell r="J1">
            <v>1.7453292519943295E-2</v>
          </cell>
        </row>
      </sheetData>
      <sheetData sheetId="19685">
        <row r="1">
          <cell r="J1">
            <v>1.7453292519943295E-2</v>
          </cell>
        </row>
      </sheetData>
      <sheetData sheetId="19686" refreshError="1"/>
      <sheetData sheetId="19687" refreshError="1"/>
      <sheetData sheetId="19688" refreshError="1"/>
      <sheetData sheetId="19689">
        <row r="1">
          <cell r="J1">
            <v>1.7453292519943295E-2</v>
          </cell>
        </row>
      </sheetData>
      <sheetData sheetId="19690">
        <row r="1">
          <cell r="J1">
            <v>1.7453292519943295E-2</v>
          </cell>
        </row>
      </sheetData>
      <sheetData sheetId="19691">
        <row r="1">
          <cell r="J1">
            <v>1.7453292519943295E-2</v>
          </cell>
        </row>
      </sheetData>
      <sheetData sheetId="19692" refreshError="1"/>
      <sheetData sheetId="19693">
        <row r="1">
          <cell r="J1">
            <v>1.7453292519943295E-2</v>
          </cell>
        </row>
      </sheetData>
      <sheetData sheetId="19694" refreshError="1"/>
      <sheetData sheetId="19695" refreshError="1"/>
      <sheetData sheetId="19696"/>
      <sheetData sheetId="19697" refreshError="1"/>
      <sheetData sheetId="19698">
        <row r="1">
          <cell r="J1">
            <v>1.7453292519943295E-2</v>
          </cell>
        </row>
      </sheetData>
      <sheetData sheetId="19699">
        <row r="1">
          <cell r="J1">
            <v>1.7453292519943295E-2</v>
          </cell>
        </row>
      </sheetData>
      <sheetData sheetId="19700"/>
      <sheetData sheetId="19701">
        <row r="1">
          <cell r="J1">
            <v>1.7453292519943295E-2</v>
          </cell>
        </row>
      </sheetData>
      <sheetData sheetId="19702">
        <row r="1">
          <cell r="J1">
            <v>1.7453292519943295E-2</v>
          </cell>
        </row>
      </sheetData>
      <sheetData sheetId="19703">
        <row r="1">
          <cell r="J1">
            <v>1.7453292519943295E-2</v>
          </cell>
        </row>
      </sheetData>
      <sheetData sheetId="19704"/>
      <sheetData sheetId="19705">
        <row r="1">
          <cell r="J1">
            <v>1.7453292519943295E-2</v>
          </cell>
        </row>
      </sheetData>
      <sheetData sheetId="19706">
        <row r="1">
          <cell r="J1">
            <v>1.7453292519943295E-2</v>
          </cell>
        </row>
      </sheetData>
      <sheetData sheetId="19707">
        <row r="1">
          <cell r="J1">
            <v>1.7453292519943295E-2</v>
          </cell>
        </row>
      </sheetData>
      <sheetData sheetId="19708">
        <row r="1">
          <cell r="J1">
            <v>1.7453292519943295E-2</v>
          </cell>
        </row>
      </sheetData>
      <sheetData sheetId="19709">
        <row r="1">
          <cell r="J1">
            <v>1.7453292519943295E-2</v>
          </cell>
        </row>
      </sheetData>
      <sheetData sheetId="19710">
        <row r="1">
          <cell r="J1">
            <v>1.7453292519943295E-2</v>
          </cell>
        </row>
      </sheetData>
      <sheetData sheetId="19711">
        <row r="1">
          <cell r="J1">
            <v>1.7453292519943295E-2</v>
          </cell>
        </row>
      </sheetData>
      <sheetData sheetId="19712"/>
      <sheetData sheetId="19713">
        <row r="1">
          <cell r="J1">
            <v>1.7453292519943295E-2</v>
          </cell>
        </row>
      </sheetData>
      <sheetData sheetId="19714">
        <row r="1">
          <cell r="J1">
            <v>1.7453292519943295E-2</v>
          </cell>
        </row>
      </sheetData>
      <sheetData sheetId="19715">
        <row r="1">
          <cell r="J1">
            <v>1.7453292519943295E-2</v>
          </cell>
        </row>
      </sheetData>
      <sheetData sheetId="19716">
        <row r="1">
          <cell r="J1">
            <v>1.7453292519943295E-2</v>
          </cell>
        </row>
      </sheetData>
      <sheetData sheetId="19717">
        <row r="1">
          <cell r="J1">
            <v>1.7453292519943295E-2</v>
          </cell>
        </row>
      </sheetData>
      <sheetData sheetId="19718">
        <row r="1">
          <cell r="J1">
            <v>1.7453292519943295E-2</v>
          </cell>
        </row>
      </sheetData>
      <sheetData sheetId="19719">
        <row r="1">
          <cell r="J1">
            <v>1.7453292519943295E-2</v>
          </cell>
        </row>
      </sheetData>
      <sheetData sheetId="19720">
        <row r="1">
          <cell r="J1">
            <v>1.7453292519943295E-2</v>
          </cell>
        </row>
      </sheetData>
      <sheetData sheetId="19721" refreshError="1"/>
      <sheetData sheetId="19722" refreshError="1"/>
      <sheetData sheetId="19723">
        <row r="1">
          <cell r="J1">
            <v>1.7453292519943295E-2</v>
          </cell>
        </row>
      </sheetData>
      <sheetData sheetId="19724">
        <row r="1">
          <cell r="J1">
            <v>1.7453292519943295E-2</v>
          </cell>
        </row>
      </sheetData>
      <sheetData sheetId="19725" refreshError="1"/>
      <sheetData sheetId="19726">
        <row r="1">
          <cell r="J1">
            <v>1.7453292519943295E-2</v>
          </cell>
        </row>
      </sheetData>
      <sheetData sheetId="19727">
        <row r="1">
          <cell r="J1">
            <v>1.7453292519943295E-2</v>
          </cell>
        </row>
      </sheetData>
      <sheetData sheetId="19728" refreshError="1"/>
      <sheetData sheetId="19729" refreshError="1"/>
      <sheetData sheetId="19730" refreshError="1"/>
      <sheetData sheetId="19731" refreshError="1"/>
      <sheetData sheetId="19732">
        <row r="1">
          <cell r="J1">
            <v>1.7453292519943295E-2</v>
          </cell>
        </row>
      </sheetData>
      <sheetData sheetId="19733"/>
      <sheetData sheetId="19734">
        <row r="1">
          <cell r="J1">
            <v>1.7453292519943295E-2</v>
          </cell>
        </row>
      </sheetData>
      <sheetData sheetId="19735">
        <row r="1">
          <cell r="J1">
            <v>1.7453292519943295E-2</v>
          </cell>
        </row>
      </sheetData>
      <sheetData sheetId="19736">
        <row r="1">
          <cell r="J1">
            <v>1.7453292519943295E-2</v>
          </cell>
        </row>
      </sheetData>
      <sheetData sheetId="19737"/>
      <sheetData sheetId="19738">
        <row r="1">
          <cell r="J1">
            <v>1.7453292519943295E-2</v>
          </cell>
        </row>
      </sheetData>
      <sheetData sheetId="19739">
        <row r="1">
          <cell r="J1">
            <v>1.7453292519943295E-2</v>
          </cell>
        </row>
      </sheetData>
      <sheetData sheetId="19740">
        <row r="1">
          <cell r="J1">
            <v>1.7453292519943295E-2</v>
          </cell>
        </row>
      </sheetData>
      <sheetData sheetId="19741">
        <row r="1">
          <cell r="J1">
            <v>1.7453292519943295E-2</v>
          </cell>
        </row>
      </sheetData>
      <sheetData sheetId="19742">
        <row r="1">
          <cell r="J1">
            <v>1.7453292519943295E-2</v>
          </cell>
        </row>
      </sheetData>
      <sheetData sheetId="19743">
        <row r="1">
          <cell r="J1">
            <v>1.7453292519943295E-2</v>
          </cell>
        </row>
      </sheetData>
      <sheetData sheetId="19744">
        <row r="1">
          <cell r="J1">
            <v>1.7453292519943295E-2</v>
          </cell>
        </row>
      </sheetData>
      <sheetData sheetId="19745"/>
      <sheetData sheetId="19746">
        <row r="1">
          <cell r="J1">
            <v>1.7453292519943295E-2</v>
          </cell>
        </row>
      </sheetData>
      <sheetData sheetId="19747">
        <row r="1">
          <cell r="J1">
            <v>1.7453292519943295E-2</v>
          </cell>
        </row>
      </sheetData>
      <sheetData sheetId="19748">
        <row r="1">
          <cell r="J1">
            <v>1.7453292519943295E-2</v>
          </cell>
        </row>
      </sheetData>
      <sheetData sheetId="19749">
        <row r="1">
          <cell r="J1">
            <v>1.7453292519943295E-2</v>
          </cell>
        </row>
      </sheetData>
      <sheetData sheetId="19750">
        <row r="1">
          <cell r="J1">
            <v>1.7453292519943295E-2</v>
          </cell>
        </row>
      </sheetData>
      <sheetData sheetId="19751">
        <row r="1">
          <cell r="J1">
            <v>1.7453292519943295E-2</v>
          </cell>
        </row>
      </sheetData>
      <sheetData sheetId="19752" refreshError="1"/>
      <sheetData sheetId="19753" refreshError="1"/>
      <sheetData sheetId="19754">
        <row r="1">
          <cell r="J1">
            <v>1.7453292519943295E-2</v>
          </cell>
        </row>
      </sheetData>
      <sheetData sheetId="19755">
        <row r="1">
          <cell r="J1">
            <v>1.7453292519943295E-2</v>
          </cell>
        </row>
      </sheetData>
      <sheetData sheetId="19756">
        <row r="1">
          <cell r="J1">
            <v>1.7453292519943295E-2</v>
          </cell>
        </row>
      </sheetData>
      <sheetData sheetId="19757" refreshError="1"/>
      <sheetData sheetId="19758">
        <row r="1">
          <cell r="J1">
            <v>1.7453292519943295E-2</v>
          </cell>
        </row>
      </sheetData>
      <sheetData sheetId="19759">
        <row r="1">
          <cell r="J1">
            <v>1.7453292519943295E-2</v>
          </cell>
        </row>
      </sheetData>
      <sheetData sheetId="19760">
        <row r="1">
          <cell r="J1">
            <v>1.7453292519943295E-2</v>
          </cell>
        </row>
      </sheetData>
      <sheetData sheetId="19761">
        <row r="1">
          <cell r="J1">
            <v>1.7453292519943295E-2</v>
          </cell>
        </row>
      </sheetData>
      <sheetData sheetId="19762" refreshError="1"/>
      <sheetData sheetId="19763" refreshError="1"/>
      <sheetData sheetId="19764" refreshError="1"/>
      <sheetData sheetId="19765">
        <row r="1">
          <cell r="J1">
            <v>1.7453292519943295E-2</v>
          </cell>
        </row>
      </sheetData>
      <sheetData sheetId="19766">
        <row r="1">
          <cell r="J1">
            <v>1.7453292519943295E-2</v>
          </cell>
        </row>
      </sheetData>
      <sheetData sheetId="19767" refreshError="1"/>
      <sheetData sheetId="19768">
        <row r="1">
          <cell r="J1">
            <v>1.7453292519943295E-2</v>
          </cell>
        </row>
      </sheetData>
      <sheetData sheetId="19769" refreshError="1"/>
      <sheetData sheetId="19770" refreshError="1"/>
      <sheetData sheetId="19771"/>
      <sheetData sheetId="19772">
        <row r="1">
          <cell r="J1">
            <v>1.7453292519943295E-2</v>
          </cell>
        </row>
      </sheetData>
      <sheetData sheetId="19773">
        <row r="1">
          <cell r="J1">
            <v>1.7453292519943295E-2</v>
          </cell>
        </row>
      </sheetData>
      <sheetData sheetId="19774">
        <row r="1">
          <cell r="J1">
            <v>1.7453292519943295E-2</v>
          </cell>
        </row>
      </sheetData>
      <sheetData sheetId="19775"/>
      <sheetData sheetId="19776">
        <row r="1">
          <cell r="J1">
            <v>1.7453292519943295E-2</v>
          </cell>
        </row>
      </sheetData>
      <sheetData sheetId="19777">
        <row r="1">
          <cell r="J1">
            <v>1.7453292519943295E-2</v>
          </cell>
        </row>
      </sheetData>
      <sheetData sheetId="19778">
        <row r="1">
          <cell r="J1">
            <v>1.7453292519943295E-2</v>
          </cell>
        </row>
      </sheetData>
      <sheetData sheetId="19779"/>
      <sheetData sheetId="19780">
        <row r="1">
          <cell r="J1">
            <v>1.7453292519943295E-2</v>
          </cell>
        </row>
      </sheetData>
      <sheetData sheetId="19781">
        <row r="1">
          <cell r="J1">
            <v>1.7453292519943295E-2</v>
          </cell>
        </row>
      </sheetData>
      <sheetData sheetId="19782">
        <row r="1">
          <cell r="J1">
            <v>1.7453292519943295E-2</v>
          </cell>
        </row>
      </sheetData>
      <sheetData sheetId="19783">
        <row r="1">
          <cell r="J1">
            <v>1.7453292519943295E-2</v>
          </cell>
        </row>
      </sheetData>
      <sheetData sheetId="19784"/>
      <sheetData sheetId="19785">
        <row r="1">
          <cell r="J1">
            <v>1.7453292519943295E-2</v>
          </cell>
        </row>
      </sheetData>
      <sheetData sheetId="19786">
        <row r="1">
          <cell r="J1">
            <v>1.7453292519943295E-2</v>
          </cell>
        </row>
      </sheetData>
      <sheetData sheetId="19787">
        <row r="1">
          <cell r="J1">
            <v>1.7453292519943295E-2</v>
          </cell>
        </row>
      </sheetData>
      <sheetData sheetId="19788">
        <row r="1">
          <cell r="J1">
            <v>1.7453292519943295E-2</v>
          </cell>
        </row>
      </sheetData>
      <sheetData sheetId="19789">
        <row r="1">
          <cell r="J1">
            <v>1.7453292519943295E-2</v>
          </cell>
        </row>
      </sheetData>
      <sheetData sheetId="19790">
        <row r="1">
          <cell r="J1">
            <v>1.7453292519943295E-2</v>
          </cell>
        </row>
      </sheetData>
      <sheetData sheetId="19791">
        <row r="1">
          <cell r="J1">
            <v>1.7453292519943295E-2</v>
          </cell>
        </row>
      </sheetData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>
        <row r="1">
          <cell r="J1">
            <v>1.7453292519943295E-2</v>
          </cell>
        </row>
      </sheetData>
      <sheetData sheetId="19799">
        <row r="1">
          <cell r="J1">
            <v>1.7453292519943295E-2</v>
          </cell>
        </row>
      </sheetData>
      <sheetData sheetId="19800" refreshError="1"/>
      <sheetData sheetId="19801" refreshError="1"/>
      <sheetData sheetId="19802" refreshError="1"/>
      <sheetData sheetId="19803">
        <row r="1">
          <cell r="J1">
            <v>1.7453292519943295E-2</v>
          </cell>
        </row>
      </sheetData>
      <sheetData sheetId="19804" refreshError="1"/>
      <sheetData sheetId="19805" refreshError="1"/>
      <sheetData sheetId="19806">
        <row r="1">
          <cell r="J1">
            <v>1.7453292519943295E-2</v>
          </cell>
        </row>
      </sheetData>
      <sheetData sheetId="19807">
        <row r="1">
          <cell r="J1">
            <v>1.7453292519943295E-2</v>
          </cell>
        </row>
      </sheetData>
      <sheetData sheetId="19808">
        <row r="1">
          <cell r="J1">
            <v>1.7453292519943295E-2</v>
          </cell>
        </row>
      </sheetData>
      <sheetData sheetId="19809" refreshError="1"/>
      <sheetData sheetId="19810">
        <row r="1">
          <cell r="J1">
            <v>1.7453292519943295E-2</v>
          </cell>
        </row>
      </sheetData>
      <sheetData sheetId="19811">
        <row r="1">
          <cell r="J1">
            <v>1.7453292519943295E-2</v>
          </cell>
        </row>
      </sheetData>
      <sheetData sheetId="19812">
        <row r="1">
          <cell r="J1">
            <v>1.7453292519943295E-2</v>
          </cell>
        </row>
      </sheetData>
      <sheetData sheetId="19813" refreshError="1"/>
      <sheetData sheetId="19814" refreshError="1"/>
      <sheetData sheetId="19815" refreshError="1"/>
      <sheetData sheetId="19816" refreshError="1"/>
      <sheetData sheetId="19817">
        <row r="1">
          <cell r="J1">
            <v>1.7453292519943295E-2</v>
          </cell>
        </row>
      </sheetData>
      <sheetData sheetId="19818" refreshError="1"/>
      <sheetData sheetId="19819" refreshError="1"/>
      <sheetData sheetId="19820">
        <row r="1">
          <cell r="J1">
            <v>1.7453292519943295E-2</v>
          </cell>
        </row>
      </sheetData>
      <sheetData sheetId="19821">
        <row r="1">
          <cell r="J1">
            <v>1.7453292519943295E-2</v>
          </cell>
        </row>
      </sheetData>
      <sheetData sheetId="19822"/>
      <sheetData sheetId="19823">
        <row r="1">
          <cell r="J1">
            <v>1.7453292519943295E-2</v>
          </cell>
        </row>
      </sheetData>
      <sheetData sheetId="19824">
        <row r="1">
          <cell r="J1">
            <v>1.7453292519943295E-2</v>
          </cell>
        </row>
      </sheetData>
      <sheetData sheetId="19825">
        <row r="1">
          <cell r="J1">
            <v>1.7453292519943295E-2</v>
          </cell>
        </row>
      </sheetData>
      <sheetData sheetId="19826"/>
      <sheetData sheetId="19827"/>
      <sheetData sheetId="19828">
        <row r="1">
          <cell r="J1">
            <v>1.7453292519943295E-2</v>
          </cell>
        </row>
      </sheetData>
      <sheetData sheetId="19829">
        <row r="1">
          <cell r="J1">
            <v>1.7453292519943295E-2</v>
          </cell>
        </row>
      </sheetData>
      <sheetData sheetId="19830">
        <row r="1">
          <cell r="J1">
            <v>1.7453292519943295E-2</v>
          </cell>
        </row>
      </sheetData>
      <sheetData sheetId="19831">
        <row r="1">
          <cell r="J1">
            <v>1.7453292519943295E-2</v>
          </cell>
        </row>
      </sheetData>
      <sheetData sheetId="19832">
        <row r="1">
          <cell r="J1">
            <v>1.7453292519943295E-2</v>
          </cell>
        </row>
      </sheetData>
      <sheetData sheetId="19833">
        <row r="1">
          <cell r="J1">
            <v>1.7453292519943295E-2</v>
          </cell>
        </row>
      </sheetData>
      <sheetData sheetId="19834"/>
      <sheetData sheetId="19835">
        <row r="1">
          <cell r="J1">
            <v>1.7453292519943295E-2</v>
          </cell>
        </row>
      </sheetData>
      <sheetData sheetId="19836">
        <row r="1">
          <cell r="J1">
            <v>1.7453292519943295E-2</v>
          </cell>
        </row>
      </sheetData>
      <sheetData sheetId="19837">
        <row r="1">
          <cell r="J1">
            <v>1.7453292519943295E-2</v>
          </cell>
        </row>
      </sheetData>
      <sheetData sheetId="19838">
        <row r="1">
          <cell r="J1">
            <v>1.7453292519943295E-2</v>
          </cell>
        </row>
      </sheetData>
      <sheetData sheetId="19839">
        <row r="1">
          <cell r="J1">
            <v>1.7453292519943295E-2</v>
          </cell>
        </row>
      </sheetData>
      <sheetData sheetId="19840">
        <row r="1">
          <cell r="J1">
            <v>1.7453292519943295E-2</v>
          </cell>
        </row>
      </sheetData>
      <sheetData sheetId="19841">
        <row r="1">
          <cell r="J1">
            <v>1.7453292519943295E-2</v>
          </cell>
        </row>
      </sheetData>
      <sheetData sheetId="19842">
        <row r="1">
          <cell r="J1">
            <v>1.7453292519943295E-2</v>
          </cell>
        </row>
      </sheetData>
      <sheetData sheetId="19843">
        <row r="1">
          <cell r="J1">
            <v>1.7453292519943295E-2</v>
          </cell>
        </row>
      </sheetData>
      <sheetData sheetId="19844">
        <row r="1">
          <cell r="J1">
            <v>1.7453292519943295E-2</v>
          </cell>
        </row>
      </sheetData>
      <sheetData sheetId="19845" refreshError="1"/>
      <sheetData sheetId="19846" refreshError="1"/>
      <sheetData sheetId="19847">
        <row r="1">
          <cell r="J1">
            <v>1.7453292519943295E-2</v>
          </cell>
        </row>
      </sheetData>
      <sheetData sheetId="19848">
        <row r="1">
          <cell r="J1">
            <v>1.7453292519943295E-2</v>
          </cell>
        </row>
      </sheetData>
      <sheetData sheetId="19849">
        <row r="1">
          <cell r="J1">
            <v>1.7453292519943295E-2</v>
          </cell>
        </row>
      </sheetData>
      <sheetData sheetId="19850" refreshError="1"/>
      <sheetData sheetId="19851" refreshError="1"/>
      <sheetData sheetId="19852">
        <row r="1">
          <cell r="J1">
            <v>1.7453292519943295E-2</v>
          </cell>
        </row>
      </sheetData>
      <sheetData sheetId="19853"/>
      <sheetData sheetId="19854" refreshError="1"/>
      <sheetData sheetId="19855">
        <row r="1">
          <cell r="J1">
            <v>1.7453292519943295E-2</v>
          </cell>
        </row>
      </sheetData>
      <sheetData sheetId="19856">
        <row r="1">
          <cell r="J1">
            <v>1.7453292519943295E-2</v>
          </cell>
        </row>
      </sheetData>
      <sheetData sheetId="19857" refreshError="1"/>
      <sheetData sheetId="19858" refreshError="1"/>
      <sheetData sheetId="19859" refreshError="1"/>
      <sheetData sheetId="19860" refreshError="1"/>
      <sheetData sheetId="19861">
        <row r="1">
          <cell r="J1">
            <v>1.7453292519943295E-2</v>
          </cell>
        </row>
      </sheetData>
      <sheetData sheetId="19862"/>
      <sheetData sheetId="19863">
        <row r="1">
          <cell r="J1">
            <v>1.7453292519943295E-2</v>
          </cell>
        </row>
      </sheetData>
      <sheetData sheetId="19864">
        <row r="1">
          <cell r="J1">
            <v>1.7453292519943295E-2</v>
          </cell>
        </row>
      </sheetData>
      <sheetData sheetId="19865">
        <row r="1">
          <cell r="J1">
            <v>1.7453292519943295E-2</v>
          </cell>
        </row>
      </sheetData>
      <sheetData sheetId="19866">
        <row r="1">
          <cell r="J1">
            <v>1.7453292519943295E-2</v>
          </cell>
        </row>
      </sheetData>
      <sheetData sheetId="19867">
        <row r="1">
          <cell r="J1">
            <v>1.7453292519943295E-2</v>
          </cell>
        </row>
      </sheetData>
      <sheetData sheetId="19868">
        <row r="1">
          <cell r="J1">
            <v>1.7453292519943295E-2</v>
          </cell>
        </row>
      </sheetData>
      <sheetData sheetId="19869">
        <row r="1">
          <cell r="J1">
            <v>1.7453292519943295E-2</v>
          </cell>
        </row>
      </sheetData>
      <sheetData sheetId="19870">
        <row r="1">
          <cell r="J1">
            <v>1.7453292519943295E-2</v>
          </cell>
        </row>
      </sheetData>
      <sheetData sheetId="19871">
        <row r="1">
          <cell r="J1">
            <v>1.7453292519943295E-2</v>
          </cell>
        </row>
      </sheetData>
      <sheetData sheetId="19872">
        <row r="1">
          <cell r="J1">
            <v>1.7453292519943295E-2</v>
          </cell>
        </row>
      </sheetData>
      <sheetData sheetId="19873">
        <row r="1">
          <cell r="J1">
            <v>1.7453292519943295E-2</v>
          </cell>
        </row>
      </sheetData>
      <sheetData sheetId="19874">
        <row r="1">
          <cell r="J1">
            <v>1.7453292519943295E-2</v>
          </cell>
        </row>
      </sheetData>
      <sheetData sheetId="19875">
        <row r="1">
          <cell r="J1">
            <v>1.7453292519943295E-2</v>
          </cell>
        </row>
      </sheetData>
      <sheetData sheetId="19876">
        <row r="1">
          <cell r="J1">
            <v>1.7453292519943295E-2</v>
          </cell>
        </row>
      </sheetData>
      <sheetData sheetId="19877">
        <row r="1">
          <cell r="J1">
            <v>1.7453292519943295E-2</v>
          </cell>
        </row>
      </sheetData>
      <sheetData sheetId="19878">
        <row r="1">
          <cell r="J1">
            <v>1.7453292519943295E-2</v>
          </cell>
        </row>
      </sheetData>
      <sheetData sheetId="19879">
        <row r="1">
          <cell r="J1">
            <v>1.7453292519943295E-2</v>
          </cell>
        </row>
      </sheetData>
      <sheetData sheetId="19880">
        <row r="1">
          <cell r="J1">
            <v>1.7453292519943295E-2</v>
          </cell>
        </row>
      </sheetData>
      <sheetData sheetId="19881">
        <row r="1">
          <cell r="J1">
            <v>1.7453292519943295E-2</v>
          </cell>
        </row>
      </sheetData>
      <sheetData sheetId="19882">
        <row r="1">
          <cell r="J1">
            <v>1.7453292519943295E-2</v>
          </cell>
        </row>
      </sheetData>
      <sheetData sheetId="19883">
        <row r="1">
          <cell r="J1">
            <v>1.7453292519943295E-2</v>
          </cell>
        </row>
      </sheetData>
      <sheetData sheetId="19884"/>
      <sheetData sheetId="19885" refreshError="1"/>
      <sheetData sheetId="19886">
        <row r="1">
          <cell r="J1">
            <v>1.7453292519943295E-2</v>
          </cell>
        </row>
      </sheetData>
      <sheetData sheetId="19887">
        <row r="1">
          <cell r="J1">
            <v>1.7453292519943295E-2</v>
          </cell>
        </row>
      </sheetData>
      <sheetData sheetId="19888" refreshError="1"/>
      <sheetData sheetId="19889">
        <row r="1">
          <cell r="J1">
            <v>1.7453292519943295E-2</v>
          </cell>
        </row>
      </sheetData>
      <sheetData sheetId="19890"/>
      <sheetData sheetId="19891" refreshError="1"/>
      <sheetData sheetId="19892">
        <row r="1">
          <cell r="J1">
            <v>1.7453292519943295E-2</v>
          </cell>
        </row>
      </sheetData>
      <sheetData sheetId="19893">
        <row r="1">
          <cell r="J1">
            <v>1.7453292519943295E-2</v>
          </cell>
        </row>
      </sheetData>
      <sheetData sheetId="19894" refreshError="1"/>
      <sheetData sheetId="19895" refreshError="1"/>
      <sheetData sheetId="19896">
        <row r="1">
          <cell r="J1">
            <v>1.7453292519943295E-2</v>
          </cell>
        </row>
      </sheetData>
      <sheetData sheetId="19897">
        <row r="1">
          <cell r="J1">
            <v>1.7453292519943295E-2</v>
          </cell>
        </row>
      </sheetData>
      <sheetData sheetId="19898" refreshError="1"/>
      <sheetData sheetId="19899"/>
      <sheetData sheetId="19900">
        <row r="1">
          <cell r="J1">
            <v>1.7453292519943295E-2</v>
          </cell>
        </row>
      </sheetData>
      <sheetData sheetId="19901">
        <row r="1">
          <cell r="J1">
            <v>1.7453292519943295E-2</v>
          </cell>
        </row>
      </sheetData>
      <sheetData sheetId="19902" refreshError="1"/>
      <sheetData sheetId="19903" refreshError="1"/>
      <sheetData sheetId="19904"/>
      <sheetData sheetId="19905">
        <row r="1">
          <cell r="J1">
            <v>1.7453292519943295E-2</v>
          </cell>
        </row>
      </sheetData>
      <sheetData sheetId="19906">
        <row r="1">
          <cell r="J1">
            <v>1.7453292519943295E-2</v>
          </cell>
        </row>
      </sheetData>
      <sheetData sheetId="19907" refreshError="1"/>
      <sheetData sheetId="19908" refreshError="1"/>
      <sheetData sheetId="19909" refreshError="1"/>
      <sheetData sheetId="19910"/>
      <sheetData sheetId="19911">
        <row r="1">
          <cell r="J1">
            <v>1.7453292519943295E-2</v>
          </cell>
        </row>
      </sheetData>
      <sheetData sheetId="19912" refreshError="1"/>
      <sheetData sheetId="19913" refreshError="1"/>
      <sheetData sheetId="19914" refreshError="1"/>
      <sheetData sheetId="19915"/>
      <sheetData sheetId="19916">
        <row r="1">
          <cell r="J1">
            <v>1.7453292519943295E-2</v>
          </cell>
        </row>
      </sheetData>
      <sheetData sheetId="19917"/>
      <sheetData sheetId="19918">
        <row r="1">
          <cell r="J1">
            <v>1.7453292519943295E-2</v>
          </cell>
        </row>
      </sheetData>
      <sheetData sheetId="19919">
        <row r="1">
          <cell r="J1">
            <v>1.7453292519943295E-2</v>
          </cell>
        </row>
      </sheetData>
      <sheetData sheetId="19920">
        <row r="1">
          <cell r="J1">
            <v>1.7453292519943295E-2</v>
          </cell>
        </row>
      </sheetData>
      <sheetData sheetId="19921">
        <row r="1">
          <cell r="J1">
            <v>1.7453292519943295E-2</v>
          </cell>
        </row>
      </sheetData>
      <sheetData sheetId="19922">
        <row r="1">
          <cell r="J1">
            <v>1.7453292519943295E-2</v>
          </cell>
        </row>
      </sheetData>
      <sheetData sheetId="19923">
        <row r="1">
          <cell r="J1">
            <v>1.7453292519943295E-2</v>
          </cell>
        </row>
      </sheetData>
      <sheetData sheetId="19924">
        <row r="1">
          <cell r="J1">
            <v>1.7453292519943295E-2</v>
          </cell>
        </row>
      </sheetData>
      <sheetData sheetId="19925">
        <row r="1">
          <cell r="J1">
            <v>1.7453292519943295E-2</v>
          </cell>
        </row>
      </sheetData>
      <sheetData sheetId="19926">
        <row r="1">
          <cell r="J1">
            <v>1.7453292519943295E-2</v>
          </cell>
        </row>
      </sheetData>
      <sheetData sheetId="19927">
        <row r="1">
          <cell r="J1">
            <v>1.7453292519943295E-2</v>
          </cell>
        </row>
      </sheetData>
      <sheetData sheetId="19928">
        <row r="1">
          <cell r="J1">
            <v>1.7453292519943295E-2</v>
          </cell>
        </row>
      </sheetData>
      <sheetData sheetId="19929">
        <row r="1">
          <cell r="J1">
            <v>1.7453292519943295E-2</v>
          </cell>
        </row>
      </sheetData>
      <sheetData sheetId="19930">
        <row r="1">
          <cell r="J1">
            <v>1.7453292519943295E-2</v>
          </cell>
        </row>
      </sheetData>
      <sheetData sheetId="19931">
        <row r="1">
          <cell r="J1">
            <v>1.7453292519943295E-2</v>
          </cell>
        </row>
      </sheetData>
      <sheetData sheetId="19932">
        <row r="1">
          <cell r="J1">
            <v>1.7453292519943295E-2</v>
          </cell>
        </row>
      </sheetData>
      <sheetData sheetId="19933">
        <row r="1">
          <cell r="J1">
            <v>1.7453292519943295E-2</v>
          </cell>
        </row>
      </sheetData>
      <sheetData sheetId="19934"/>
      <sheetData sheetId="19935">
        <row r="1">
          <cell r="J1">
            <v>1.7453292519943295E-2</v>
          </cell>
        </row>
      </sheetData>
      <sheetData sheetId="19936">
        <row r="1">
          <cell r="J1">
            <v>1.7453292519943295E-2</v>
          </cell>
        </row>
      </sheetData>
      <sheetData sheetId="19937">
        <row r="1">
          <cell r="J1">
            <v>1.7453292519943295E-2</v>
          </cell>
        </row>
      </sheetData>
      <sheetData sheetId="19938" refreshError="1"/>
      <sheetData sheetId="19939"/>
      <sheetData sheetId="19940">
        <row r="1">
          <cell r="J1">
            <v>1.7453292519943295E-2</v>
          </cell>
        </row>
      </sheetData>
      <sheetData sheetId="19941">
        <row r="1">
          <cell r="J1">
            <v>1.7453292519943295E-2</v>
          </cell>
        </row>
      </sheetData>
      <sheetData sheetId="19942" refreshError="1"/>
      <sheetData sheetId="19943"/>
      <sheetData sheetId="19944" refreshError="1"/>
      <sheetData sheetId="19945">
        <row r="1">
          <cell r="J1">
            <v>1.7453292519943295E-2</v>
          </cell>
        </row>
      </sheetData>
      <sheetData sheetId="19946">
        <row r="1">
          <cell r="J1">
            <v>1.7453292519943295E-2</v>
          </cell>
        </row>
      </sheetData>
      <sheetData sheetId="19947" refreshError="1"/>
      <sheetData sheetId="19948" refreshError="1"/>
      <sheetData sheetId="19949">
        <row r="1">
          <cell r="J1">
            <v>1.7453292519943295E-2</v>
          </cell>
        </row>
      </sheetData>
      <sheetData sheetId="19950">
        <row r="1">
          <cell r="J1">
            <v>1.7453292519943295E-2</v>
          </cell>
        </row>
      </sheetData>
      <sheetData sheetId="19951">
        <row r="1">
          <cell r="J1">
            <v>1.7453292519943295E-2</v>
          </cell>
        </row>
      </sheetData>
      <sheetData sheetId="19952" refreshError="1"/>
      <sheetData sheetId="19953">
        <row r="1">
          <cell r="J1">
            <v>1.7453292519943295E-2</v>
          </cell>
        </row>
      </sheetData>
      <sheetData sheetId="19954" refreshError="1"/>
      <sheetData sheetId="19955" refreshError="1"/>
      <sheetData sheetId="19956">
        <row r="1">
          <cell r="J1">
            <v>1.7453292519943295E-2</v>
          </cell>
        </row>
      </sheetData>
      <sheetData sheetId="19957" refreshError="1"/>
      <sheetData sheetId="19958" refreshError="1"/>
      <sheetData sheetId="19959" refreshError="1"/>
      <sheetData sheetId="19960">
        <row r="1">
          <cell r="J1">
            <v>1.7453292519943295E-2</v>
          </cell>
        </row>
      </sheetData>
      <sheetData sheetId="19961">
        <row r="1">
          <cell r="J1">
            <v>1.7453292519943295E-2</v>
          </cell>
        </row>
      </sheetData>
      <sheetData sheetId="19962" refreshError="1"/>
      <sheetData sheetId="19963" refreshError="1"/>
      <sheetData sheetId="19964" refreshError="1"/>
      <sheetData sheetId="19965">
        <row r="1">
          <cell r="J1">
            <v>1.7453292519943295E-2</v>
          </cell>
        </row>
      </sheetData>
      <sheetData sheetId="19966" refreshError="1"/>
      <sheetData sheetId="19967" refreshError="1"/>
      <sheetData sheetId="19968">
        <row r="1">
          <cell r="J1">
            <v>1.7453292519943295E-2</v>
          </cell>
        </row>
      </sheetData>
      <sheetData sheetId="19969">
        <row r="1">
          <cell r="J1">
            <v>1.7453292519943295E-2</v>
          </cell>
        </row>
      </sheetData>
      <sheetData sheetId="19970">
        <row r="1">
          <cell r="J1">
            <v>1.7453292519943295E-2</v>
          </cell>
        </row>
      </sheetData>
      <sheetData sheetId="19971" refreshError="1"/>
      <sheetData sheetId="19972">
        <row r="1">
          <cell r="J1">
            <v>1.7453292519943295E-2</v>
          </cell>
        </row>
      </sheetData>
      <sheetData sheetId="19973">
        <row r="1">
          <cell r="J1">
            <v>1.7453292519943295E-2</v>
          </cell>
        </row>
      </sheetData>
      <sheetData sheetId="19974">
        <row r="1">
          <cell r="J1">
            <v>1.7453292519943295E-2</v>
          </cell>
        </row>
      </sheetData>
      <sheetData sheetId="19975" refreshError="1"/>
      <sheetData sheetId="19976" refreshError="1"/>
      <sheetData sheetId="19977" refreshError="1"/>
      <sheetData sheetId="19978" refreshError="1"/>
      <sheetData sheetId="19979">
        <row r="1">
          <cell r="J1">
            <v>1.7453292519943295E-2</v>
          </cell>
        </row>
      </sheetData>
      <sheetData sheetId="19980" refreshError="1"/>
      <sheetData sheetId="19981" refreshError="1"/>
      <sheetData sheetId="19982" refreshError="1"/>
      <sheetData sheetId="19983" refreshError="1"/>
      <sheetData sheetId="19984">
        <row r="1">
          <cell r="J1">
            <v>1.7453292519943295E-2</v>
          </cell>
        </row>
      </sheetData>
      <sheetData sheetId="19985">
        <row r="1">
          <cell r="J1">
            <v>1.7453292519943295E-2</v>
          </cell>
        </row>
      </sheetData>
      <sheetData sheetId="19986" refreshError="1"/>
      <sheetData sheetId="19987">
        <row r="1">
          <cell r="J1">
            <v>1.7453292519943295E-2</v>
          </cell>
        </row>
      </sheetData>
      <sheetData sheetId="19988">
        <row r="1">
          <cell r="J1">
            <v>1.7453292519943295E-2</v>
          </cell>
        </row>
      </sheetData>
      <sheetData sheetId="19989" refreshError="1"/>
      <sheetData sheetId="19990" refreshError="1"/>
      <sheetData sheetId="19991" refreshError="1"/>
      <sheetData sheetId="19992">
        <row r="1">
          <cell r="J1">
            <v>1.7453292519943295E-2</v>
          </cell>
        </row>
      </sheetData>
      <sheetData sheetId="19993">
        <row r="1">
          <cell r="J1">
            <v>1.7453292519943295E-2</v>
          </cell>
        </row>
      </sheetData>
      <sheetData sheetId="19994" refreshError="1"/>
      <sheetData sheetId="19995" refreshError="1"/>
      <sheetData sheetId="19996" refreshError="1"/>
      <sheetData sheetId="19997">
        <row r="1">
          <cell r="J1">
            <v>1.7453292519943295E-2</v>
          </cell>
        </row>
      </sheetData>
      <sheetData sheetId="19998">
        <row r="1">
          <cell r="J1">
            <v>1.7453292519943295E-2</v>
          </cell>
        </row>
      </sheetData>
      <sheetData sheetId="19999">
        <row r="1">
          <cell r="J1">
            <v>1.7453292519943295E-2</v>
          </cell>
        </row>
      </sheetData>
      <sheetData sheetId="20000" refreshError="1"/>
      <sheetData sheetId="20001" refreshError="1"/>
      <sheetData sheetId="20002" refreshError="1"/>
      <sheetData sheetId="20003">
        <row r="1">
          <cell r="J1">
            <v>1.7453292519943295E-2</v>
          </cell>
        </row>
      </sheetData>
      <sheetData sheetId="20004" refreshError="1"/>
      <sheetData sheetId="20005">
        <row r="2">
          <cell r="B2">
            <v>1</v>
          </cell>
        </row>
      </sheetData>
      <sheetData sheetId="20006">
        <row r="1">
          <cell r="J1">
            <v>1.7453292519943295E-2</v>
          </cell>
        </row>
      </sheetData>
      <sheetData sheetId="20007">
        <row r="1">
          <cell r="J1">
            <v>1.7453292519943295E-2</v>
          </cell>
        </row>
      </sheetData>
      <sheetData sheetId="20008">
        <row r="1">
          <cell r="J1">
            <v>1.7453292519943295E-2</v>
          </cell>
        </row>
      </sheetData>
      <sheetData sheetId="20009">
        <row r="1">
          <cell r="J1">
            <v>1.7453292519943295E-2</v>
          </cell>
        </row>
      </sheetData>
      <sheetData sheetId="20010">
        <row r="1">
          <cell r="J1">
            <v>1.7453292519943295E-2</v>
          </cell>
        </row>
      </sheetData>
      <sheetData sheetId="20011">
        <row r="1">
          <cell r="J1">
            <v>1.7453292519943295E-2</v>
          </cell>
        </row>
      </sheetData>
      <sheetData sheetId="20012">
        <row r="1">
          <cell r="J1">
            <v>1.7453292519943295E-2</v>
          </cell>
        </row>
      </sheetData>
      <sheetData sheetId="20013">
        <row r="1">
          <cell r="J1">
            <v>1.7453292519943295E-2</v>
          </cell>
        </row>
      </sheetData>
      <sheetData sheetId="20014">
        <row r="1">
          <cell r="J1">
            <v>1.7453292519943295E-2</v>
          </cell>
        </row>
      </sheetData>
      <sheetData sheetId="20015">
        <row r="1">
          <cell r="J1">
            <v>1.7453292519943295E-2</v>
          </cell>
        </row>
      </sheetData>
      <sheetData sheetId="20016">
        <row r="1">
          <cell r="J1">
            <v>1.7453292519943295E-2</v>
          </cell>
        </row>
      </sheetData>
      <sheetData sheetId="20017">
        <row r="1">
          <cell r="J1">
            <v>1.7453292519943295E-2</v>
          </cell>
        </row>
      </sheetData>
      <sheetData sheetId="20018">
        <row r="1">
          <cell r="J1">
            <v>1.7453292519943295E-2</v>
          </cell>
        </row>
      </sheetData>
      <sheetData sheetId="20019">
        <row r="1">
          <cell r="J1">
            <v>1.7453292519943295E-2</v>
          </cell>
        </row>
      </sheetData>
      <sheetData sheetId="20020">
        <row r="1">
          <cell r="J1">
            <v>1.7453292519943295E-2</v>
          </cell>
        </row>
      </sheetData>
      <sheetData sheetId="20021">
        <row r="1">
          <cell r="J1">
            <v>1.7453292519943295E-2</v>
          </cell>
        </row>
      </sheetData>
      <sheetData sheetId="20022">
        <row r="1">
          <cell r="J1">
            <v>1.7453292519943295E-2</v>
          </cell>
        </row>
      </sheetData>
      <sheetData sheetId="20023">
        <row r="1">
          <cell r="J1">
            <v>1.7453292519943295E-2</v>
          </cell>
        </row>
      </sheetData>
      <sheetData sheetId="20024">
        <row r="1">
          <cell r="J1">
            <v>1.7453292519943295E-2</v>
          </cell>
        </row>
      </sheetData>
      <sheetData sheetId="20025">
        <row r="1">
          <cell r="J1">
            <v>1.7453292519943295E-2</v>
          </cell>
        </row>
      </sheetData>
      <sheetData sheetId="20026">
        <row r="1">
          <cell r="J1">
            <v>1.7453292519943295E-2</v>
          </cell>
        </row>
      </sheetData>
      <sheetData sheetId="20027">
        <row r="1">
          <cell r="J1">
            <v>1.7453292519943295E-2</v>
          </cell>
        </row>
      </sheetData>
      <sheetData sheetId="20028" refreshError="1"/>
      <sheetData sheetId="20029" refreshError="1"/>
      <sheetData sheetId="20030">
        <row r="1">
          <cell r="J1">
            <v>1.7453292519943295E-2</v>
          </cell>
        </row>
      </sheetData>
      <sheetData sheetId="20031">
        <row r="1">
          <cell r="J1">
            <v>1.7453292519943295E-2</v>
          </cell>
        </row>
      </sheetData>
      <sheetData sheetId="20032">
        <row r="1">
          <cell r="J1">
            <v>1.7453292519943295E-2</v>
          </cell>
        </row>
      </sheetData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>
        <row r="1">
          <cell r="J1">
            <v>1.7453292519943295E-2</v>
          </cell>
        </row>
      </sheetData>
      <sheetData sheetId="20039">
        <row r="1">
          <cell r="J1">
            <v>1.7453292519943295E-2</v>
          </cell>
        </row>
      </sheetData>
      <sheetData sheetId="20040">
        <row r="1">
          <cell r="J1">
            <v>1.7453292519943295E-2</v>
          </cell>
        </row>
      </sheetData>
      <sheetData sheetId="20041">
        <row r="1">
          <cell r="J1">
            <v>1.7453292519943295E-2</v>
          </cell>
        </row>
      </sheetData>
      <sheetData sheetId="20042">
        <row r="1">
          <cell r="J1">
            <v>1.7453292519943295E-2</v>
          </cell>
        </row>
      </sheetData>
      <sheetData sheetId="20043">
        <row r="1">
          <cell r="J1">
            <v>1.7453292519943295E-2</v>
          </cell>
        </row>
      </sheetData>
      <sheetData sheetId="20044">
        <row r="1">
          <cell r="J1">
            <v>1.7453292519943295E-2</v>
          </cell>
        </row>
      </sheetData>
      <sheetData sheetId="20045">
        <row r="1">
          <cell r="J1">
            <v>1.7453292519943295E-2</v>
          </cell>
        </row>
      </sheetData>
      <sheetData sheetId="20046">
        <row r="1">
          <cell r="J1">
            <v>1.7453292519943295E-2</v>
          </cell>
        </row>
      </sheetData>
      <sheetData sheetId="20047">
        <row r="1">
          <cell r="J1">
            <v>1.7453292519943295E-2</v>
          </cell>
        </row>
      </sheetData>
      <sheetData sheetId="20048">
        <row r="1">
          <cell r="J1">
            <v>1.7453292519943295E-2</v>
          </cell>
        </row>
      </sheetData>
      <sheetData sheetId="20049">
        <row r="1">
          <cell r="J1">
            <v>1.7453292519943295E-2</v>
          </cell>
        </row>
      </sheetData>
      <sheetData sheetId="20050">
        <row r="1">
          <cell r="J1">
            <v>1.7453292519943295E-2</v>
          </cell>
        </row>
      </sheetData>
      <sheetData sheetId="20051">
        <row r="1">
          <cell r="J1">
            <v>1.7453292519943295E-2</v>
          </cell>
        </row>
      </sheetData>
      <sheetData sheetId="20052">
        <row r="1">
          <cell r="J1">
            <v>1.7453292519943295E-2</v>
          </cell>
        </row>
      </sheetData>
      <sheetData sheetId="20053">
        <row r="1">
          <cell r="J1">
            <v>1.7453292519943295E-2</v>
          </cell>
        </row>
      </sheetData>
      <sheetData sheetId="20054">
        <row r="1">
          <cell r="J1">
            <v>1.7453292519943295E-2</v>
          </cell>
        </row>
      </sheetData>
      <sheetData sheetId="20055">
        <row r="1">
          <cell r="J1">
            <v>1.7453292519943295E-2</v>
          </cell>
        </row>
      </sheetData>
      <sheetData sheetId="20056">
        <row r="1">
          <cell r="J1">
            <v>1.7453292519943295E-2</v>
          </cell>
        </row>
      </sheetData>
      <sheetData sheetId="20057">
        <row r="1">
          <cell r="J1">
            <v>1.7453292519943295E-2</v>
          </cell>
        </row>
      </sheetData>
      <sheetData sheetId="20058">
        <row r="1">
          <cell r="J1">
            <v>1.7453292519943295E-2</v>
          </cell>
        </row>
      </sheetData>
      <sheetData sheetId="20059" refreshError="1"/>
      <sheetData sheetId="20060" refreshError="1"/>
      <sheetData sheetId="20061">
        <row r="1">
          <cell r="J1">
            <v>1.7453292519943295E-2</v>
          </cell>
        </row>
      </sheetData>
      <sheetData sheetId="20062">
        <row r="1">
          <cell r="J1">
            <v>1.7453292519943295E-2</v>
          </cell>
        </row>
      </sheetData>
      <sheetData sheetId="20063">
        <row r="1">
          <cell r="J1">
            <v>1.7453292519943295E-2</v>
          </cell>
        </row>
      </sheetData>
      <sheetData sheetId="20064" refreshError="1"/>
      <sheetData sheetId="20065">
        <row r="1">
          <cell r="J1">
            <v>1.7453292519943295E-2</v>
          </cell>
        </row>
      </sheetData>
      <sheetData sheetId="20066">
        <row r="1">
          <cell r="J1">
            <v>1.7453292519943295E-2</v>
          </cell>
        </row>
      </sheetData>
      <sheetData sheetId="20067" refreshError="1"/>
      <sheetData sheetId="20068" refreshError="1"/>
      <sheetData sheetId="20069" refreshError="1"/>
      <sheetData sheetId="20070">
        <row r="1">
          <cell r="J1">
            <v>1.7453292519943295E-2</v>
          </cell>
        </row>
      </sheetData>
      <sheetData sheetId="20071">
        <row r="1">
          <cell r="J1">
            <v>1.7453292519943295E-2</v>
          </cell>
        </row>
      </sheetData>
      <sheetData sheetId="20072">
        <row r="1">
          <cell r="J1">
            <v>1.7453292519943295E-2</v>
          </cell>
        </row>
      </sheetData>
      <sheetData sheetId="20073">
        <row r="1">
          <cell r="J1">
            <v>1.7453292519943295E-2</v>
          </cell>
        </row>
      </sheetData>
      <sheetData sheetId="20074">
        <row r="1">
          <cell r="J1">
            <v>1.7453292519943295E-2</v>
          </cell>
        </row>
      </sheetData>
      <sheetData sheetId="20075">
        <row r="1">
          <cell r="J1">
            <v>1.7453292519943295E-2</v>
          </cell>
        </row>
      </sheetData>
      <sheetData sheetId="20076">
        <row r="1">
          <cell r="J1">
            <v>1.7453292519943295E-2</v>
          </cell>
        </row>
      </sheetData>
      <sheetData sheetId="20077">
        <row r="1">
          <cell r="J1">
            <v>1.7453292519943295E-2</v>
          </cell>
        </row>
      </sheetData>
      <sheetData sheetId="20078">
        <row r="1">
          <cell r="J1">
            <v>1.7453292519943295E-2</v>
          </cell>
        </row>
      </sheetData>
      <sheetData sheetId="20079">
        <row r="1">
          <cell r="J1">
            <v>1.7453292519943295E-2</v>
          </cell>
        </row>
      </sheetData>
      <sheetData sheetId="20080">
        <row r="1">
          <cell r="J1">
            <v>1.7453292519943295E-2</v>
          </cell>
        </row>
      </sheetData>
      <sheetData sheetId="20081">
        <row r="1">
          <cell r="J1">
            <v>1.7453292519943295E-2</v>
          </cell>
        </row>
      </sheetData>
      <sheetData sheetId="20082">
        <row r="1">
          <cell r="J1">
            <v>1.7453292519943295E-2</v>
          </cell>
        </row>
      </sheetData>
      <sheetData sheetId="20083">
        <row r="1">
          <cell r="J1">
            <v>1.7453292519943295E-2</v>
          </cell>
        </row>
      </sheetData>
      <sheetData sheetId="20084">
        <row r="1">
          <cell r="J1">
            <v>1.7453292519943295E-2</v>
          </cell>
        </row>
      </sheetData>
      <sheetData sheetId="20085">
        <row r="1">
          <cell r="J1">
            <v>1.7453292519943295E-2</v>
          </cell>
        </row>
      </sheetData>
      <sheetData sheetId="20086">
        <row r="1">
          <cell r="J1">
            <v>1.7453292519943295E-2</v>
          </cell>
        </row>
      </sheetData>
      <sheetData sheetId="20087">
        <row r="1">
          <cell r="J1">
            <v>1.7453292519943295E-2</v>
          </cell>
        </row>
      </sheetData>
      <sheetData sheetId="20088">
        <row r="1">
          <cell r="J1">
            <v>1.7453292519943295E-2</v>
          </cell>
        </row>
      </sheetData>
      <sheetData sheetId="20089">
        <row r="1">
          <cell r="J1">
            <v>1.7453292519943295E-2</v>
          </cell>
        </row>
      </sheetData>
      <sheetData sheetId="20090" refreshError="1"/>
      <sheetData sheetId="20091" refreshError="1"/>
      <sheetData sheetId="20092">
        <row r="1">
          <cell r="J1">
            <v>1.7453292519943295E-2</v>
          </cell>
        </row>
      </sheetData>
      <sheetData sheetId="20093">
        <row r="1">
          <cell r="J1">
            <v>1.7453292519943295E-2</v>
          </cell>
        </row>
      </sheetData>
      <sheetData sheetId="20094">
        <row r="1">
          <cell r="J1">
            <v>1.7453292519943295E-2</v>
          </cell>
        </row>
      </sheetData>
      <sheetData sheetId="20095" refreshError="1"/>
      <sheetData sheetId="20096" refreshError="1"/>
      <sheetData sheetId="20097" refreshError="1"/>
      <sheetData sheetId="20098">
        <row r="1">
          <cell r="J1">
            <v>1.7453292519943295E-2</v>
          </cell>
        </row>
      </sheetData>
      <sheetData sheetId="20099" refreshError="1"/>
      <sheetData sheetId="20100">
        <row r="1">
          <cell r="J1">
            <v>1.7453292519943295E-2</v>
          </cell>
        </row>
      </sheetData>
      <sheetData sheetId="20101">
        <row r="1">
          <cell r="J1">
            <v>1.7453292519943295E-2</v>
          </cell>
        </row>
      </sheetData>
      <sheetData sheetId="20102">
        <row r="1">
          <cell r="J1">
            <v>1.7453292519943295E-2</v>
          </cell>
        </row>
      </sheetData>
      <sheetData sheetId="20103">
        <row r="1">
          <cell r="J1">
            <v>1.7453292519943295E-2</v>
          </cell>
        </row>
      </sheetData>
      <sheetData sheetId="20104">
        <row r="1">
          <cell r="J1">
            <v>1.7453292519943295E-2</v>
          </cell>
        </row>
      </sheetData>
      <sheetData sheetId="20105">
        <row r="1">
          <cell r="J1">
            <v>1.7453292519943295E-2</v>
          </cell>
        </row>
      </sheetData>
      <sheetData sheetId="20106">
        <row r="1">
          <cell r="J1">
            <v>1.7453292519943295E-2</v>
          </cell>
        </row>
      </sheetData>
      <sheetData sheetId="20107">
        <row r="1">
          <cell r="J1">
            <v>1.7453292519943295E-2</v>
          </cell>
        </row>
      </sheetData>
      <sheetData sheetId="20108">
        <row r="1">
          <cell r="J1">
            <v>1.7453292519943295E-2</v>
          </cell>
        </row>
      </sheetData>
      <sheetData sheetId="20109">
        <row r="1">
          <cell r="J1">
            <v>1.7453292519943295E-2</v>
          </cell>
        </row>
      </sheetData>
      <sheetData sheetId="20110">
        <row r="1">
          <cell r="J1">
            <v>1.7453292519943295E-2</v>
          </cell>
        </row>
      </sheetData>
      <sheetData sheetId="20111">
        <row r="1">
          <cell r="J1">
            <v>1.7453292519943295E-2</v>
          </cell>
        </row>
      </sheetData>
      <sheetData sheetId="20112">
        <row r="1">
          <cell r="J1">
            <v>1.7453292519943295E-2</v>
          </cell>
        </row>
      </sheetData>
      <sheetData sheetId="20113">
        <row r="1">
          <cell r="J1">
            <v>1.7453292519943295E-2</v>
          </cell>
        </row>
      </sheetData>
      <sheetData sheetId="20114">
        <row r="1">
          <cell r="J1">
            <v>1.7453292519943295E-2</v>
          </cell>
        </row>
      </sheetData>
      <sheetData sheetId="20115">
        <row r="1">
          <cell r="J1">
            <v>1.7453292519943295E-2</v>
          </cell>
        </row>
      </sheetData>
      <sheetData sheetId="20116">
        <row r="1">
          <cell r="J1">
            <v>1.7453292519943295E-2</v>
          </cell>
        </row>
      </sheetData>
      <sheetData sheetId="20117">
        <row r="1">
          <cell r="J1">
            <v>1.7453292519943295E-2</v>
          </cell>
        </row>
      </sheetData>
      <sheetData sheetId="20118">
        <row r="1">
          <cell r="J1">
            <v>1.7453292519943295E-2</v>
          </cell>
        </row>
      </sheetData>
      <sheetData sheetId="20119">
        <row r="1">
          <cell r="J1">
            <v>1.7453292519943295E-2</v>
          </cell>
        </row>
      </sheetData>
      <sheetData sheetId="20120">
        <row r="1">
          <cell r="J1">
            <v>1.7453292519943295E-2</v>
          </cell>
        </row>
      </sheetData>
      <sheetData sheetId="20121">
        <row r="1">
          <cell r="J1">
            <v>1.7453292519943295E-2</v>
          </cell>
        </row>
      </sheetData>
      <sheetData sheetId="20122" refreshError="1"/>
      <sheetData sheetId="20123" refreshError="1"/>
      <sheetData sheetId="20124">
        <row r="1">
          <cell r="J1">
            <v>1.7453292519943295E-2</v>
          </cell>
        </row>
      </sheetData>
      <sheetData sheetId="20125">
        <row r="1">
          <cell r="J1">
            <v>1.7453292519943295E-2</v>
          </cell>
        </row>
      </sheetData>
      <sheetData sheetId="20126" refreshError="1"/>
      <sheetData sheetId="20127">
        <row r="1">
          <cell r="J1">
            <v>1.7453292519943295E-2</v>
          </cell>
        </row>
      </sheetData>
      <sheetData sheetId="20128">
        <row r="1">
          <cell r="J1">
            <v>1.7453292519943295E-2</v>
          </cell>
        </row>
      </sheetData>
      <sheetData sheetId="20129">
        <row r="1">
          <cell r="J1">
            <v>1.7453292519943295E-2</v>
          </cell>
        </row>
      </sheetData>
      <sheetData sheetId="20130">
        <row r="1">
          <cell r="J1">
            <v>1.7453292519943295E-2</v>
          </cell>
        </row>
      </sheetData>
      <sheetData sheetId="20131" refreshError="1"/>
      <sheetData sheetId="20132" refreshError="1"/>
      <sheetData sheetId="20133">
        <row r="1">
          <cell r="J1">
            <v>1.7453292519943295E-2</v>
          </cell>
        </row>
      </sheetData>
      <sheetData sheetId="20134">
        <row r="1">
          <cell r="J1">
            <v>1.7453292519943295E-2</v>
          </cell>
        </row>
      </sheetData>
      <sheetData sheetId="20135" refreshError="1"/>
      <sheetData sheetId="20136">
        <row r="1">
          <cell r="J1">
            <v>1.7453292519943295E-2</v>
          </cell>
        </row>
      </sheetData>
      <sheetData sheetId="20137">
        <row r="1">
          <cell r="J1">
            <v>1.7453292519943295E-2</v>
          </cell>
        </row>
      </sheetData>
      <sheetData sheetId="20138" refreshError="1"/>
      <sheetData sheetId="20139" refreshError="1"/>
      <sheetData sheetId="20140">
        <row r="1">
          <cell r="J1">
            <v>1.7453292519943295E-2</v>
          </cell>
        </row>
      </sheetData>
      <sheetData sheetId="20141">
        <row r="1">
          <cell r="J1">
            <v>1.7453292519943295E-2</v>
          </cell>
        </row>
      </sheetData>
      <sheetData sheetId="20142">
        <row r="1">
          <cell r="J1">
            <v>1.7453292519943295E-2</v>
          </cell>
        </row>
      </sheetData>
      <sheetData sheetId="20143" refreshError="1"/>
      <sheetData sheetId="20144">
        <row r="1">
          <cell r="J1">
            <v>1.7453292519943295E-2</v>
          </cell>
        </row>
      </sheetData>
      <sheetData sheetId="20145">
        <row r="1">
          <cell r="J1">
            <v>1.7453292519943295E-2</v>
          </cell>
        </row>
      </sheetData>
      <sheetData sheetId="20146" refreshError="1"/>
      <sheetData sheetId="20147" refreshError="1"/>
      <sheetData sheetId="20148">
        <row r="1">
          <cell r="J1">
            <v>1.7453292519943295E-2</v>
          </cell>
        </row>
      </sheetData>
      <sheetData sheetId="20149">
        <row r="1">
          <cell r="J1">
            <v>1.7453292519943295E-2</v>
          </cell>
        </row>
      </sheetData>
      <sheetData sheetId="20150">
        <row r="1">
          <cell r="J1">
            <v>1.7453292519943295E-2</v>
          </cell>
        </row>
      </sheetData>
      <sheetData sheetId="20151" refreshError="1"/>
      <sheetData sheetId="20152" refreshError="1"/>
      <sheetData sheetId="20153" refreshError="1"/>
      <sheetData sheetId="20154">
        <row r="1">
          <cell r="J1">
            <v>1.7453292519943295E-2</v>
          </cell>
        </row>
      </sheetData>
      <sheetData sheetId="20155">
        <row r="1">
          <cell r="J1">
            <v>1.7453292519943295E-2</v>
          </cell>
        </row>
      </sheetData>
      <sheetData sheetId="20156">
        <row r="1">
          <cell r="J1">
            <v>1.7453292519943295E-2</v>
          </cell>
        </row>
      </sheetData>
      <sheetData sheetId="20157">
        <row r="1">
          <cell r="J1">
            <v>1.7453292519943295E-2</v>
          </cell>
        </row>
      </sheetData>
      <sheetData sheetId="20158">
        <row r="1">
          <cell r="J1">
            <v>1.7453292519943295E-2</v>
          </cell>
        </row>
      </sheetData>
      <sheetData sheetId="20159">
        <row r="1">
          <cell r="J1">
            <v>1.7453292519943295E-2</v>
          </cell>
        </row>
      </sheetData>
      <sheetData sheetId="20160" refreshError="1"/>
      <sheetData sheetId="20161" refreshError="1"/>
      <sheetData sheetId="20162" refreshError="1"/>
      <sheetData sheetId="20163">
        <row r="1">
          <cell r="J1">
            <v>1.7453292519943295E-2</v>
          </cell>
        </row>
      </sheetData>
      <sheetData sheetId="20164">
        <row r="1">
          <cell r="J1">
            <v>1.7453292519943295E-2</v>
          </cell>
        </row>
      </sheetData>
      <sheetData sheetId="20165">
        <row r="1">
          <cell r="J1">
            <v>1.7453292519943295E-2</v>
          </cell>
        </row>
      </sheetData>
      <sheetData sheetId="20166" refreshError="1"/>
      <sheetData sheetId="20167" refreshError="1"/>
      <sheetData sheetId="20168">
        <row r="1">
          <cell r="J1">
            <v>1.7453292519943295E-2</v>
          </cell>
        </row>
      </sheetData>
      <sheetData sheetId="20169">
        <row r="1">
          <cell r="J1">
            <v>1.7453292519943295E-2</v>
          </cell>
        </row>
      </sheetData>
      <sheetData sheetId="20170" refreshError="1"/>
      <sheetData sheetId="20171"/>
      <sheetData sheetId="20172">
        <row r="1">
          <cell r="J1">
            <v>1.7453292519943295E-2</v>
          </cell>
        </row>
      </sheetData>
      <sheetData sheetId="20173" refreshError="1"/>
      <sheetData sheetId="20174" refreshError="1"/>
      <sheetData sheetId="20175">
        <row r="1">
          <cell r="J1">
            <v>1.7453292519943295E-2</v>
          </cell>
        </row>
      </sheetData>
      <sheetData sheetId="20176">
        <row r="1">
          <cell r="J1">
            <v>1.7453292519943295E-2</v>
          </cell>
        </row>
      </sheetData>
      <sheetData sheetId="20177">
        <row r="1">
          <cell r="J1">
            <v>1.7453292519943295E-2</v>
          </cell>
        </row>
      </sheetData>
      <sheetData sheetId="20178" refreshError="1"/>
      <sheetData sheetId="20179" refreshError="1"/>
      <sheetData sheetId="20180" refreshError="1"/>
      <sheetData sheetId="20181">
        <row r="1">
          <cell r="J1">
            <v>1.7453292519943295E-2</v>
          </cell>
        </row>
      </sheetData>
      <sheetData sheetId="20182">
        <row r="1">
          <cell r="J1">
            <v>1.7453292519943295E-2</v>
          </cell>
        </row>
      </sheetData>
      <sheetData sheetId="20183">
        <row r="1">
          <cell r="J1">
            <v>1.7453292519943295E-2</v>
          </cell>
        </row>
      </sheetData>
      <sheetData sheetId="20184">
        <row r="1">
          <cell r="J1">
            <v>1.7453292519943295E-2</v>
          </cell>
        </row>
      </sheetData>
      <sheetData sheetId="20185">
        <row r="1">
          <cell r="J1">
            <v>1.7453292519943295E-2</v>
          </cell>
        </row>
      </sheetData>
      <sheetData sheetId="20186">
        <row r="1">
          <cell r="J1">
            <v>1.7453292519943295E-2</v>
          </cell>
        </row>
      </sheetData>
      <sheetData sheetId="20187">
        <row r="1">
          <cell r="J1">
            <v>1.7453292519943295E-2</v>
          </cell>
        </row>
      </sheetData>
      <sheetData sheetId="20188"/>
      <sheetData sheetId="20189">
        <row r="1">
          <cell r="J1">
            <v>1.7453292519943295E-2</v>
          </cell>
        </row>
      </sheetData>
      <sheetData sheetId="20190">
        <row r="1">
          <cell r="J1">
            <v>1.7453292519943295E-2</v>
          </cell>
        </row>
      </sheetData>
      <sheetData sheetId="20191">
        <row r="1">
          <cell r="J1">
            <v>1.7453292519943295E-2</v>
          </cell>
        </row>
      </sheetData>
      <sheetData sheetId="20192">
        <row r="1">
          <cell r="J1">
            <v>1.7453292519943295E-2</v>
          </cell>
        </row>
      </sheetData>
      <sheetData sheetId="20193">
        <row r="1">
          <cell r="J1">
            <v>1.7453292519943295E-2</v>
          </cell>
        </row>
      </sheetData>
      <sheetData sheetId="20194">
        <row r="1">
          <cell r="J1">
            <v>1.7453292519943295E-2</v>
          </cell>
        </row>
      </sheetData>
      <sheetData sheetId="20195">
        <row r="1">
          <cell r="J1">
            <v>1.7453292519943295E-2</v>
          </cell>
        </row>
      </sheetData>
      <sheetData sheetId="20196">
        <row r="1">
          <cell r="J1">
            <v>1.7453292519943295E-2</v>
          </cell>
        </row>
      </sheetData>
      <sheetData sheetId="20197" refreshError="1"/>
      <sheetData sheetId="20198">
        <row r="1">
          <cell r="J1">
            <v>1.7453292519943295E-2</v>
          </cell>
        </row>
      </sheetData>
      <sheetData sheetId="20199">
        <row r="1">
          <cell r="J1">
            <v>1.7453292519943295E-2</v>
          </cell>
        </row>
      </sheetData>
      <sheetData sheetId="20200">
        <row r="1">
          <cell r="J1">
            <v>1.7453292519943295E-2</v>
          </cell>
        </row>
      </sheetData>
      <sheetData sheetId="20201">
        <row r="1">
          <cell r="J1">
            <v>1.7453292519943295E-2</v>
          </cell>
        </row>
      </sheetData>
      <sheetData sheetId="20202">
        <row r="1">
          <cell r="J1">
            <v>1.7453292519943295E-2</v>
          </cell>
        </row>
      </sheetData>
      <sheetData sheetId="20203">
        <row r="1">
          <cell r="J1">
            <v>1.7453292519943295E-2</v>
          </cell>
        </row>
      </sheetData>
      <sheetData sheetId="20204">
        <row r="1">
          <cell r="J1">
            <v>1.7453292519943295E-2</v>
          </cell>
        </row>
      </sheetData>
      <sheetData sheetId="20205">
        <row r="1">
          <cell r="J1">
            <v>1.7453292519943295E-2</v>
          </cell>
        </row>
      </sheetData>
      <sheetData sheetId="20206" refreshError="1"/>
      <sheetData sheetId="20207" refreshError="1"/>
      <sheetData sheetId="20208">
        <row r="1">
          <cell r="J1">
            <v>1.7453292519943295E-2</v>
          </cell>
        </row>
      </sheetData>
      <sheetData sheetId="20209">
        <row r="1">
          <cell r="J1">
            <v>1.7453292519943295E-2</v>
          </cell>
        </row>
      </sheetData>
      <sheetData sheetId="20210" refreshError="1"/>
      <sheetData sheetId="20211">
        <row r="1">
          <cell r="J1">
            <v>1.7453292519943295E-2</v>
          </cell>
        </row>
      </sheetData>
      <sheetData sheetId="20212" refreshError="1"/>
      <sheetData sheetId="20213" refreshError="1"/>
      <sheetData sheetId="20214">
        <row r="1">
          <cell r="J1">
            <v>1.7453292519943295E-2</v>
          </cell>
        </row>
      </sheetData>
      <sheetData sheetId="20215">
        <row r="1">
          <cell r="J1">
            <v>1.7453292519943295E-2</v>
          </cell>
        </row>
      </sheetData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>
        <row r="1">
          <cell r="J1">
            <v>1.7453292519943295E-2</v>
          </cell>
        </row>
      </sheetData>
      <sheetData sheetId="20222">
        <row r="1">
          <cell r="J1">
            <v>1.7453292519943295E-2</v>
          </cell>
        </row>
      </sheetData>
      <sheetData sheetId="20223">
        <row r="1">
          <cell r="J1">
            <v>1.7453292519943295E-2</v>
          </cell>
        </row>
      </sheetData>
      <sheetData sheetId="20224" refreshError="1"/>
      <sheetData sheetId="20225">
        <row r="1">
          <cell r="J1">
            <v>1.7453292519943295E-2</v>
          </cell>
        </row>
      </sheetData>
      <sheetData sheetId="20226" refreshError="1"/>
      <sheetData sheetId="20227">
        <row r="1">
          <cell r="J1">
            <v>1.7453292519943295E-2</v>
          </cell>
        </row>
      </sheetData>
      <sheetData sheetId="20228">
        <row r="1">
          <cell r="J1">
            <v>1.7453292519943295E-2</v>
          </cell>
        </row>
      </sheetData>
      <sheetData sheetId="20229"/>
      <sheetData sheetId="20230">
        <row r="1">
          <cell r="J1">
            <v>1.7453292519943295E-2</v>
          </cell>
        </row>
      </sheetData>
      <sheetData sheetId="20231">
        <row r="1">
          <cell r="J1">
            <v>1.7453292519943295E-2</v>
          </cell>
        </row>
      </sheetData>
      <sheetData sheetId="20232">
        <row r="1">
          <cell r="J1">
            <v>1.7453292519943295E-2</v>
          </cell>
        </row>
      </sheetData>
      <sheetData sheetId="20233">
        <row r="1">
          <cell r="J1">
            <v>1.7453292519943295E-2</v>
          </cell>
        </row>
      </sheetData>
      <sheetData sheetId="20234"/>
      <sheetData sheetId="20235">
        <row r="1">
          <cell r="J1">
            <v>1.7453292519943295E-2</v>
          </cell>
        </row>
      </sheetData>
      <sheetData sheetId="20236">
        <row r="1">
          <cell r="J1">
            <v>1.7453292519943295E-2</v>
          </cell>
        </row>
      </sheetData>
      <sheetData sheetId="20237">
        <row r="1">
          <cell r="J1">
            <v>1.7453292519943295E-2</v>
          </cell>
        </row>
      </sheetData>
      <sheetData sheetId="20238">
        <row r="1">
          <cell r="J1">
            <v>1.7453292519943295E-2</v>
          </cell>
        </row>
      </sheetData>
      <sheetData sheetId="20239">
        <row r="1">
          <cell r="J1">
            <v>1.7453292519943295E-2</v>
          </cell>
        </row>
      </sheetData>
      <sheetData sheetId="20240">
        <row r="1">
          <cell r="J1">
            <v>1.7453292519943295E-2</v>
          </cell>
        </row>
      </sheetData>
      <sheetData sheetId="20241">
        <row r="1">
          <cell r="J1">
            <v>1.7453292519943295E-2</v>
          </cell>
        </row>
      </sheetData>
      <sheetData sheetId="20242">
        <row r="1">
          <cell r="J1">
            <v>1.7453292519943295E-2</v>
          </cell>
        </row>
      </sheetData>
      <sheetData sheetId="20243">
        <row r="1">
          <cell r="J1">
            <v>1.7453292519943295E-2</v>
          </cell>
        </row>
      </sheetData>
      <sheetData sheetId="20244">
        <row r="1">
          <cell r="J1">
            <v>1.7453292519943295E-2</v>
          </cell>
        </row>
      </sheetData>
      <sheetData sheetId="20245">
        <row r="1">
          <cell r="J1">
            <v>1.7453292519943295E-2</v>
          </cell>
        </row>
      </sheetData>
      <sheetData sheetId="20246">
        <row r="1">
          <cell r="J1">
            <v>1.7453292519943295E-2</v>
          </cell>
        </row>
      </sheetData>
      <sheetData sheetId="20247">
        <row r="1">
          <cell r="J1">
            <v>1.7453292519943295E-2</v>
          </cell>
        </row>
      </sheetData>
      <sheetData sheetId="20248">
        <row r="1">
          <cell r="J1">
            <v>1.7453292519943295E-2</v>
          </cell>
        </row>
      </sheetData>
      <sheetData sheetId="20249">
        <row r="1">
          <cell r="J1">
            <v>1.7453292519943295E-2</v>
          </cell>
        </row>
      </sheetData>
      <sheetData sheetId="20250">
        <row r="1">
          <cell r="J1">
            <v>1.7453292519943295E-2</v>
          </cell>
        </row>
      </sheetData>
      <sheetData sheetId="20251" refreshError="1"/>
      <sheetData sheetId="20252" refreshError="1"/>
      <sheetData sheetId="20253" refreshError="1"/>
      <sheetData sheetId="20254" refreshError="1"/>
      <sheetData sheetId="20255">
        <row r="1">
          <cell r="J1">
            <v>1.7453292519943295E-2</v>
          </cell>
        </row>
      </sheetData>
      <sheetData sheetId="20256">
        <row r="1">
          <cell r="J1">
            <v>1.7453292519943295E-2</v>
          </cell>
        </row>
      </sheetData>
      <sheetData sheetId="20257" refreshError="1"/>
      <sheetData sheetId="20258" refreshError="1"/>
      <sheetData sheetId="20259">
        <row r="1">
          <cell r="J1">
            <v>1.7453292519943295E-2</v>
          </cell>
        </row>
      </sheetData>
      <sheetData sheetId="20260">
        <row r="1">
          <cell r="J1">
            <v>1.7453292519943295E-2</v>
          </cell>
        </row>
      </sheetData>
      <sheetData sheetId="20261">
        <row r="1">
          <cell r="J1">
            <v>1.7453292519943295E-2</v>
          </cell>
        </row>
      </sheetData>
      <sheetData sheetId="20262">
        <row r="1">
          <cell r="J1">
            <v>1.7453292519943295E-2</v>
          </cell>
        </row>
      </sheetData>
      <sheetData sheetId="20263">
        <row r="1">
          <cell r="J1">
            <v>1.7453292519943295E-2</v>
          </cell>
        </row>
      </sheetData>
      <sheetData sheetId="20264">
        <row r="1">
          <cell r="J1">
            <v>1.7453292519943295E-2</v>
          </cell>
        </row>
      </sheetData>
      <sheetData sheetId="20265">
        <row r="1">
          <cell r="J1">
            <v>1.7453292519943295E-2</v>
          </cell>
        </row>
      </sheetData>
      <sheetData sheetId="20266">
        <row r="1">
          <cell r="J1">
            <v>1.7453292519943295E-2</v>
          </cell>
        </row>
      </sheetData>
      <sheetData sheetId="20267">
        <row r="1">
          <cell r="J1">
            <v>1.7453292519943295E-2</v>
          </cell>
        </row>
      </sheetData>
      <sheetData sheetId="20268">
        <row r="1">
          <cell r="J1">
            <v>1.7453292519943295E-2</v>
          </cell>
        </row>
      </sheetData>
      <sheetData sheetId="20269">
        <row r="1">
          <cell r="J1">
            <v>1.7453292519943295E-2</v>
          </cell>
        </row>
      </sheetData>
      <sheetData sheetId="20270">
        <row r="1">
          <cell r="J1">
            <v>1.7453292519943295E-2</v>
          </cell>
        </row>
      </sheetData>
      <sheetData sheetId="20271">
        <row r="1">
          <cell r="J1">
            <v>1.7453292519943295E-2</v>
          </cell>
        </row>
      </sheetData>
      <sheetData sheetId="20272">
        <row r="1">
          <cell r="J1">
            <v>1.7453292519943295E-2</v>
          </cell>
        </row>
      </sheetData>
      <sheetData sheetId="20273">
        <row r="1">
          <cell r="J1">
            <v>1.7453292519943295E-2</v>
          </cell>
        </row>
      </sheetData>
      <sheetData sheetId="20274">
        <row r="1">
          <cell r="J1">
            <v>1.7453292519943295E-2</v>
          </cell>
        </row>
      </sheetData>
      <sheetData sheetId="20275">
        <row r="1">
          <cell r="J1">
            <v>1.7453292519943295E-2</v>
          </cell>
        </row>
      </sheetData>
      <sheetData sheetId="20276">
        <row r="1">
          <cell r="J1">
            <v>1.7453292519943295E-2</v>
          </cell>
        </row>
      </sheetData>
      <sheetData sheetId="20277">
        <row r="1">
          <cell r="J1">
            <v>1.7453292519943295E-2</v>
          </cell>
        </row>
      </sheetData>
      <sheetData sheetId="20278">
        <row r="1">
          <cell r="J1">
            <v>1.7453292519943295E-2</v>
          </cell>
        </row>
      </sheetData>
      <sheetData sheetId="20279">
        <row r="1">
          <cell r="J1">
            <v>1.7453292519943295E-2</v>
          </cell>
        </row>
      </sheetData>
      <sheetData sheetId="20280">
        <row r="1">
          <cell r="J1">
            <v>1.7453292519943295E-2</v>
          </cell>
        </row>
      </sheetData>
      <sheetData sheetId="20281">
        <row r="1">
          <cell r="J1">
            <v>1.7453292519943295E-2</v>
          </cell>
        </row>
      </sheetData>
      <sheetData sheetId="20282" refreshError="1"/>
      <sheetData sheetId="20283" refreshError="1"/>
      <sheetData sheetId="20284">
        <row r="1">
          <cell r="J1">
            <v>1.7453292519943295E-2</v>
          </cell>
        </row>
      </sheetData>
      <sheetData sheetId="20285">
        <row r="1">
          <cell r="J1">
            <v>1.7453292519943295E-2</v>
          </cell>
        </row>
      </sheetData>
      <sheetData sheetId="20286">
        <row r="1">
          <cell r="J1">
            <v>1.7453292519943295E-2</v>
          </cell>
        </row>
      </sheetData>
      <sheetData sheetId="20287" refreshError="1"/>
      <sheetData sheetId="20288" refreshError="1"/>
      <sheetData sheetId="20289" refreshError="1"/>
      <sheetData sheetId="20290">
        <row r="1">
          <cell r="J1">
            <v>1.7453292519943295E-2</v>
          </cell>
        </row>
      </sheetData>
      <sheetData sheetId="20291" refreshError="1"/>
      <sheetData sheetId="20292">
        <row r="1">
          <cell r="J1">
            <v>1.7453292519943295E-2</v>
          </cell>
        </row>
      </sheetData>
      <sheetData sheetId="20293"/>
      <sheetData sheetId="20294"/>
      <sheetData sheetId="20295">
        <row r="1">
          <cell r="J1">
            <v>1.7453292519943295E-2</v>
          </cell>
        </row>
      </sheetData>
      <sheetData sheetId="20296">
        <row r="1">
          <cell r="J1">
            <v>1.7453292519943295E-2</v>
          </cell>
        </row>
      </sheetData>
      <sheetData sheetId="20297">
        <row r="1">
          <cell r="J1">
            <v>1.7453292519943295E-2</v>
          </cell>
        </row>
      </sheetData>
      <sheetData sheetId="20298">
        <row r="1">
          <cell r="J1">
            <v>1.7453292519943295E-2</v>
          </cell>
        </row>
      </sheetData>
      <sheetData sheetId="20299">
        <row r="1">
          <cell r="J1">
            <v>1.7453292519943295E-2</v>
          </cell>
        </row>
      </sheetData>
      <sheetData sheetId="20300">
        <row r="1">
          <cell r="J1">
            <v>1.7453292519943295E-2</v>
          </cell>
        </row>
      </sheetData>
      <sheetData sheetId="20301">
        <row r="1">
          <cell r="J1">
            <v>1.7453292519943295E-2</v>
          </cell>
        </row>
      </sheetData>
      <sheetData sheetId="20302">
        <row r="1">
          <cell r="J1">
            <v>1.7453292519943295E-2</v>
          </cell>
        </row>
      </sheetData>
      <sheetData sheetId="20303">
        <row r="1">
          <cell r="J1">
            <v>1.7453292519943295E-2</v>
          </cell>
        </row>
      </sheetData>
      <sheetData sheetId="20304">
        <row r="1">
          <cell r="J1">
            <v>1.7453292519943295E-2</v>
          </cell>
        </row>
      </sheetData>
      <sheetData sheetId="20305">
        <row r="1">
          <cell r="J1">
            <v>1.7453292519943295E-2</v>
          </cell>
        </row>
      </sheetData>
      <sheetData sheetId="20306">
        <row r="1">
          <cell r="J1">
            <v>1.7453292519943295E-2</v>
          </cell>
        </row>
      </sheetData>
      <sheetData sheetId="20307">
        <row r="1">
          <cell r="J1">
            <v>1.7453292519943295E-2</v>
          </cell>
        </row>
      </sheetData>
      <sheetData sheetId="20308">
        <row r="1">
          <cell r="J1">
            <v>1.7453292519943295E-2</v>
          </cell>
        </row>
      </sheetData>
      <sheetData sheetId="20309">
        <row r="1">
          <cell r="J1">
            <v>1.7453292519943295E-2</v>
          </cell>
        </row>
      </sheetData>
      <sheetData sheetId="20310">
        <row r="1">
          <cell r="J1">
            <v>1.7453292519943295E-2</v>
          </cell>
        </row>
      </sheetData>
      <sheetData sheetId="20311">
        <row r="1">
          <cell r="J1">
            <v>1.7453292519943295E-2</v>
          </cell>
        </row>
      </sheetData>
      <sheetData sheetId="20312">
        <row r="1">
          <cell r="J1">
            <v>1.7453292519943295E-2</v>
          </cell>
        </row>
      </sheetData>
      <sheetData sheetId="20313">
        <row r="1">
          <cell r="J1">
            <v>1.7453292519943295E-2</v>
          </cell>
        </row>
      </sheetData>
      <sheetData sheetId="20314">
        <row r="1">
          <cell r="J1">
            <v>1.7453292519943295E-2</v>
          </cell>
        </row>
      </sheetData>
      <sheetData sheetId="20315" refreshError="1"/>
      <sheetData sheetId="20316" refreshError="1"/>
      <sheetData sheetId="20317">
        <row r="1">
          <cell r="J1">
            <v>1.7453292519943295E-2</v>
          </cell>
        </row>
      </sheetData>
      <sheetData sheetId="20318">
        <row r="1">
          <cell r="J1">
            <v>1.7453292519943295E-2</v>
          </cell>
        </row>
      </sheetData>
      <sheetData sheetId="20319">
        <row r="1">
          <cell r="J1">
            <v>1.7453292519943295E-2</v>
          </cell>
        </row>
      </sheetData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>
        <row r="1">
          <cell r="J1">
            <v>1.7453292519943295E-2</v>
          </cell>
        </row>
      </sheetData>
      <sheetData sheetId="20326">
        <row r="1">
          <cell r="J1">
            <v>1.7453292519943295E-2</v>
          </cell>
        </row>
      </sheetData>
      <sheetData sheetId="20327">
        <row r="1">
          <cell r="J1">
            <v>1.7453292519943295E-2</v>
          </cell>
        </row>
      </sheetData>
      <sheetData sheetId="20328">
        <row r="1">
          <cell r="J1">
            <v>1.7453292519943295E-2</v>
          </cell>
        </row>
      </sheetData>
      <sheetData sheetId="20329" refreshError="1"/>
      <sheetData sheetId="20330" refreshError="1"/>
      <sheetData sheetId="20331" refreshError="1"/>
      <sheetData sheetId="20332">
        <row r="1">
          <cell r="J1">
            <v>1.7453292519943295E-2</v>
          </cell>
        </row>
      </sheetData>
      <sheetData sheetId="20333">
        <row r="1">
          <cell r="J1">
            <v>1.7453292519943295E-2</v>
          </cell>
        </row>
      </sheetData>
      <sheetData sheetId="20334">
        <row r="1">
          <cell r="J1">
            <v>1.7453292519943295E-2</v>
          </cell>
        </row>
      </sheetData>
      <sheetData sheetId="20335">
        <row r="1">
          <cell r="J1">
            <v>1.7453292519943295E-2</v>
          </cell>
        </row>
      </sheetData>
      <sheetData sheetId="20336">
        <row r="1">
          <cell r="J1">
            <v>1.7453292519943295E-2</v>
          </cell>
        </row>
      </sheetData>
      <sheetData sheetId="20337">
        <row r="1">
          <cell r="J1">
            <v>1.7453292519943295E-2</v>
          </cell>
        </row>
      </sheetData>
      <sheetData sheetId="20338">
        <row r="1">
          <cell r="J1">
            <v>1.7453292519943295E-2</v>
          </cell>
        </row>
      </sheetData>
      <sheetData sheetId="20339">
        <row r="1">
          <cell r="J1">
            <v>1.7453292519943295E-2</v>
          </cell>
        </row>
      </sheetData>
      <sheetData sheetId="20340">
        <row r="1">
          <cell r="J1">
            <v>1.7453292519943295E-2</v>
          </cell>
        </row>
      </sheetData>
      <sheetData sheetId="20341">
        <row r="1">
          <cell r="J1">
            <v>1.7453292519943295E-2</v>
          </cell>
        </row>
      </sheetData>
      <sheetData sheetId="20342">
        <row r="1">
          <cell r="J1">
            <v>1.7453292519943295E-2</v>
          </cell>
        </row>
      </sheetData>
      <sheetData sheetId="20343">
        <row r="1">
          <cell r="J1">
            <v>1.7453292519943295E-2</v>
          </cell>
        </row>
      </sheetData>
      <sheetData sheetId="20344">
        <row r="1">
          <cell r="J1">
            <v>1.7453292519943295E-2</v>
          </cell>
        </row>
      </sheetData>
      <sheetData sheetId="20345">
        <row r="1">
          <cell r="J1">
            <v>1.7453292519943295E-2</v>
          </cell>
        </row>
      </sheetData>
      <sheetData sheetId="20346">
        <row r="1">
          <cell r="J1">
            <v>1.7453292519943295E-2</v>
          </cell>
        </row>
      </sheetData>
      <sheetData sheetId="20347" refreshError="1"/>
      <sheetData sheetId="20348">
        <row r="1">
          <cell r="J1">
            <v>1.7453292519943295E-2</v>
          </cell>
        </row>
      </sheetData>
      <sheetData sheetId="20349">
        <row r="1">
          <cell r="J1">
            <v>1.7453292519943295E-2</v>
          </cell>
        </row>
      </sheetData>
      <sheetData sheetId="20350">
        <row r="1">
          <cell r="J1">
            <v>1.7453292519943295E-2</v>
          </cell>
        </row>
      </sheetData>
      <sheetData sheetId="20351">
        <row r="1">
          <cell r="J1">
            <v>1.7453292519943295E-2</v>
          </cell>
        </row>
      </sheetData>
      <sheetData sheetId="20352">
        <row r="1">
          <cell r="J1">
            <v>1.7453292519943295E-2</v>
          </cell>
        </row>
      </sheetData>
      <sheetData sheetId="20353">
        <row r="1">
          <cell r="J1">
            <v>1.7453292519943295E-2</v>
          </cell>
        </row>
      </sheetData>
      <sheetData sheetId="20354">
        <row r="1">
          <cell r="J1">
            <v>1.7453292519943295E-2</v>
          </cell>
        </row>
      </sheetData>
      <sheetData sheetId="20355" refreshError="1"/>
      <sheetData sheetId="20356" refreshError="1"/>
      <sheetData sheetId="20357">
        <row r="1">
          <cell r="J1">
            <v>1.7453292519943295E-2</v>
          </cell>
        </row>
      </sheetData>
      <sheetData sheetId="20358">
        <row r="1">
          <cell r="J1">
            <v>1.7453292519943295E-2</v>
          </cell>
        </row>
      </sheetData>
      <sheetData sheetId="20359" refreshError="1"/>
      <sheetData sheetId="20360">
        <row r="1">
          <cell r="J1">
            <v>1.7453292519943295E-2</v>
          </cell>
        </row>
      </sheetData>
      <sheetData sheetId="20361">
        <row r="1">
          <cell r="J1">
            <v>1.7453292519943295E-2</v>
          </cell>
        </row>
      </sheetData>
      <sheetData sheetId="20362" refreshError="1"/>
      <sheetData sheetId="20363">
        <row r="1">
          <cell r="J1">
            <v>1.7453292519943295E-2</v>
          </cell>
        </row>
      </sheetData>
      <sheetData sheetId="20364">
        <row r="1">
          <cell r="J1">
            <v>1.7453292519943295E-2</v>
          </cell>
        </row>
      </sheetData>
      <sheetData sheetId="20365">
        <row r="1">
          <cell r="J1">
            <v>1.7453292519943295E-2</v>
          </cell>
        </row>
      </sheetData>
      <sheetData sheetId="20366" refreshError="1"/>
      <sheetData sheetId="20367" refreshError="1"/>
      <sheetData sheetId="20368" refreshError="1"/>
      <sheetData sheetId="20369" refreshError="1"/>
      <sheetData sheetId="20370">
        <row r="1">
          <cell r="J1">
            <v>1.7453292519943295E-2</v>
          </cell>
        </row>
      </sheetData>
      <sheetData sheetId="20371" refreshError="1"/>
      <sheetData sheetId="20372">
        <row r="1">
          <cell r="J1">
            <v>1.7453292519943295E-2</v>
          </cell>
        </row>
      </sheetData>
      <sheetData sheetId="20373">
        <row r="1">
          <cell r="J1">
            <v>1.7453292519943295E-2</v>
          </cell>
        </row>
      </sheetData>
      <sheetData sheetId="20374">
        <row r="1">
          <cell r="J1">
            <v>1.7453292519943295E-2</v>
          </cell>
        </row>
      </sheetData>
      <sheetData sheetId="20375">
        <row r="1">
          <cell r="J1">
            <v>1.7453292519943295E-2</v>
          </cell>
        </row>
      </sheetData>
      <sheetData sheetId="20376">
        <row r="1">
          <cell r="J1">
            <v>1.7453292519943295E-2</v>
          </cell>
        </row>
      </sheetData>
      <sheetData sheetId="20377">
        <row r="1">
          <cell r="J1">
            <v>1.7453292519943295E-2</v>
          </cell>
        </row>
      </sheetData>
      <sheetData sheetId="20378">
        <row r="1">
          <cell r="J1">
            <v>1.7453292519943295E-2</v>
          </cell>
        </row>
      </sheetData>
      <sheetData sheetId="20379">
        <row r="1">
          <cell r="J1">
            <v>1.7453292519943295E-2</v>
          </cell>
        </row>
      </sheetData>
      <sheetData sheetId="20380">
        <row r="1">
          <cell r="J1">
            <v>1.7453292519943295E-2</v>
          </cell>
        </row>
      </sheetData>
      <sheetData sheetId="20381">
        <row r="1">
          <cell r="J1">
            <v>1.7453292519943295E-2</v>
          </cell>
        </row>
      </sheetData>
      <sheetData sheetId="20382">
        <row r="1">
          <cell r="J1">
            <v>1.7453292519943295E-2</v>
          </cell>
        </row>
      </sheetData>
      <sheetData sheetId="20383">
        <row r="1">
          <cell r="J1">
            <v>1.7453292519943295E-2</v>
          </cell>
        </row>
      </sheetData>
      <sheetData sheetId="20384">
        <row r="1">
          <cell r="J1">
            <v>1.7453292519943295E-2</v>
          </cell>
        </row>
      </sheetData>
      <sheetData sheetId="20385">
        <row r="1">
          <cell r="J1">
            <v>1.7453292519943295E-2</v>
          </cell>
        </row>
      </sheetData>
      <sheetData sheetId="20386">
        <row r="1">
          <cell r="J1">
            <v>1.7453292519943295E-2</v>
          </cell>
        </row>
      </sheetData>
      <sheetData sheetId="20387">
        <row r="1">
          <cell r="J1">
            <v>1.7453292519943295E-2</v>
          </cell>
        </row>
      </sheetData>
      <sheetData sheetId="20388">
        <row r="1">
          <cell r="J1">
            <v>1.7453292519943295E-2</v>
          </cell>
        </row>
      </sheetData>
      <sheetData sheetId="20389">
        <row r="1">
          <cell r="J1">
            <v>1.7453292519943295E-2</v>
          </cell>
        </row>
      </sheetData>
      <sheetData sheetId="20390">
        <row r="1">
          <cell r="J1">
            <v>1.7453292519943295E-2</v>
          </cell>
        </row>
      </sheetData>
      <sheetData sheetId="20391">
        <row r="1">
          <cell r="J1">
            <v>1.7453292519943295E-2</v>
          </cell>
        </row>
      </sheetData>
      <sheetData sheetId="20392">
        <row r="1">
          <cell r="J1">
            <v>1.7453292519943295E-2</v>
          </cell>
        </row>
      </sheetData>
      <sheetData sheetId="20393" refreshError="1"/>
      <sheetData sheetId="20394" refreshError="1"/>
      <sheetData sheetId="20395">
        <row r="1">
          <cell r="J1">
            <v>1.7453292519943295E-2</v>
          </cell>
        </row>
      </sheetData>
      <sheetData sheetId="20396">
        <row r="1">
          <cell r="J1">
            <v>1.7453292519943295E-2</v>
          </cell>
        </row>
      </sheetData>
      <sheetData sheetId="20397">
        <row r="1">
          <cell r="J1">
            <v>1.7453292519943295E-2</v>
          </cell>
        </row>
      </sheetData>
      <sheetData sheetId="20398" refreshError="1"/>
      <sheetData sheetId="20399"/>
      <sheetData sheetId="20400">
        <row r="1">
          <cell r="J1">
            <v>1.7453292519943295E-2</v>
          </cell>
        </row>
      </sheetData>
      <sheetData sheetId="20401">
        <row r="1">
          <cell r="J1">
            <v>1.7453292519943295E-2</v>
          </cell>
        </row>
      </sheetData>
      <sheetData sheetId="20402" refreshError="1"/>
      <sheetData sheetId="20403" refreshError="1"/>
      <sheetData sheetId="20404">
        <row r="1">
          <cell r="J1">
            <v>1.7453292519943295E-2</v>
          </cell>
        </row>
      </sheetData>
      <sheetData sheetId="20405">
        <row r="1">
          <cell r="J1">
            <v>1.7453292519943295E-2</v>
          </cell>
        </row>
      </sheetData>
      <sheetData sheetId="20406" refreshError="1"/>
      <sheetData sheetId="20407">
        <row r="1">
          <cell r="J1">
            <v>1.7453292519943295E-2</v>
          </cell>
        </row>
      </sheetData>
      <sheetData sheetId="20408">
        <row r="1">
          <cell r="J1">
            <v>1.7453292519943295E-2</v>
          </cell>
        </row>
      </sheetData>
      <sheetData sheetId="20409">
        <row r="1">
          <cell r="J1">
            <v>1.7453292519943295E-2</v>
          </cell>
        </row>
      </sheetData>
      <sheetData sheetId="20410" refreshError="1"/>
      <sheetData sheetId="20411" refreshError="1"/>
      <sheetData sheetId="20412">
        <row r="1">
          <cell r="J1">
            <v>1.7453292519943295E-2</v>
          </cell>
        </row>
      </sheetData>
      <sheetData sheetId="20413">
        <row r="1">
          <cell r="J1">
            <v>1.7453292519943295E-2</v>
          </cell>
        </row>
      </sheetData>
      <sheetData sheetId="20414" refreshError="1"/>
      <sheetData sheetId="20415">
        <row r="1">
          <cell r="J1">
            <v>1.7453292519943295E-2</v>
          </cell>
        </row>
      </sheetData>
      <sheetData sheetId="20416">
        <row r="1">
          <cell r="J1">
            <v>1.7453292519943295E-2</v>
          </cell>
        </row>
      </sheetData>
      <sheetData sheetId="20417">
        <row r="1">
          <cell r="J1">
            <v>1.7453292519943295E-2</v>
          </cell>
        </row>
      </sheetData>
      <sheetData sheetId="20418" refreshError="1"/>
      <sheetData sheetId="20419" refreshError="1"/>
      <sheetData sheetId="20420">
        <row r="1">
          <cell r="J1">
            <v>1.7453292519943295E-2</v>
          </cell>
        </row>
      </sheetData>
      <sheetData sheetId="20421">
        <row r="1">
          <cell r="J1">
            <v>1.7453292519943295E-2</v>
          </cell>
        </row>
      </sheetData>
      <sheetData sheetId="20422" refreshError="1"/>
      <sheetData sheetId="20423">
        <row r="1">
          <cell r="J1">
            <v>1.7453292519943295E-2</v>
          </cell>
        </row>
      </sheetData>
      <sheetData sheetId="20424">
        <row r="1">
          <cell r="J1">
            <v>1.7453292519943295E-2</v>
          </cell>
        </row>
      </sheetData>
      <sheetData sheetId="20425" refreshError="1"/>
      <sheetData sheetId="20426" refreshError="1"/>
      <sheetData sheetId="20427">
        <row r="1">
          <cell r="J1">
            <v>1.7453292519943295E-2</v>
          </cell>
        </row>
      </sheetData>
      <sheetData sheetId="20428">
        <row r="1">
          <cell r="J1">
            <v>1.7453292519943295E-2</v>
          </cell>
        </row>
      </sheetData>
      <sheetData sheetId="20429">
        <row r="1">
          <cell r="J1">
            <v>1.7453292519943295E-2</v>
          </cell>
        </row>
      </sheetData>
      <sheetData sheetId="20430" refreshError="1"/>
      <sheetData sheetId="20431" refreshError="1"/>
      <sheetData sheetId="20432" refreshError="1"/>
      <sheetData sheetId="20433">
        <row r="1">
          <cell r="J1">
            <v>1.7453292519943295E-2</v>
          </cell>
        </row>
      </sheetData>
      <sheetData sheetId="20434" refreshError="1"/>
      <sheetData sheetId="20435">
        <row r="1">
          <cell r="J1">
            <v>1.7453292519943295E-2</v>
          </cell>
        </row>
      </sheetData>
      <sheetData sheetId="20436">
        <row r="1">
          <cell r="J1">
            <v>1.7453292519943295E-2</v>
          </cell>
        </row>
      </sheetData>
      <sheetData sheetId="20437">
        <row r="1">
          <cell r="J1">
            <v>1.7453292519943295E-2</v>
          </cell>
        </row>
      </sheetData>
      <sheetData sheetId="20438">
        <row r="1">
          <cell r="J1">
            <v>1.7453292519943295E-2</v>
          </cell>
        </row>
      </sheetData>
      <sheetData sheetId="20439">
        <row r="1">
          <cell r="J1">
            <v>1.7453292519943295E-2</v>
          </cell>
        </row>
      </sheetData>
      <sheetData sheetId="20440">
        <row r="1">
          <cell r="J1">
            <v>1.7453292519943295E-2</v>
          </cell>
        </row>
      </sheetData>
      <sheetData sheetId="20441">
        <row r="1">
          <cell r="J1">
            <v>1.7453292519943295E-2</v>
          </cell>
        </row>
      </sheetData>
      <sheetData sheetId="20442">
        <row r="1">
          <cell r="J1">
            <v>1.7453292519943295E-2</v>
          </cell>
        </row>
      </sheetData>
      <sheetData sheetId="20443">
        <row r="1">
          <cell r="J1">
            <v>1.7453292519943295E-2</v>
          </cell>
        </row>
      </sheetData>
      <sheetData sheetId="20444">
        <row r="1">
          <cell r="J1">
            <v>1.7453292519943295E-2</v>
          </cell>
        </row>
      </sheetData>
      <sheetData sheetId="20445">
        <row r="1">
          <cell r="J1">
            <v>1.7453292519943295E-2</v>
          </cell>
        </row>
      </sheetData>
      <sheetData sheetId="20446">
        <row r="1">
          <cell r="J1">
            <v>1.7453292519943295E-2</v>
          </cell>
        </row>
      </sheetData>
      <sheetData sheetId="20447">
        <row r="1">
          <cell r="J1">
            <v>1.7453292519943295E-2</v>
          </cell>
        </row>
      </sheetData>
      <sheetData sheetId="20448">
        <row r="1">
          <cell r="J1">
            <v>1.7453292519943295E-2</v>
          </cell>
        </row>
      </sheetData>
      <sheetData sheetId="20449">
        <row r="1">
          <cell r="J1">
            <v>1.7453292519943295E-2</v>
          </cell>
        </row>
      </sheetData>
      <sheetData sheetId="20450">
        <row r="1">
          <cell r="J1">
            <v>1.7453292519943295E-2</v>
          </cell>
        </row>
      </sheetData>
      <sheetData sheetId="20451">
        <row r="1">
          <cell r="J1">
            <v>1.7453292519943295E-2</v>
          </cell>
        </row>
      </sheetData>
      <sheetData sheetId="20452">
        <row r="1">
          <cell r="J1">
            <v>1.7453292519943295E-2</v>
          </cell>
        </row>
      </sheetData>
      <sheetData sheetId="20453">
        <row r="1">
          <cell r="J1">
            <v>1.7453292519943295E-2</v>
          </cell>
        </row>
      </sheetData>
      <sheetData sheetId="20454">
        <row r="1">
          <cell r="J1">
            <v>1.7453292519943295E-2</v>
          </cell>
        </row>
      </sheetData>
      <sheetData sheetId="20455">
        <row r="1">
          <cell r="J1">
            <v>1.7453292519943295E-2</v>
          </cell>
        </row>
      </sheetData>
      <sheetData sheetId="20456">
        <row r="1">
          <cell r="J1">
            <v>1.7453292519943295E-2</v>
          </cell>
        </row>
      </sheetData>
      <sheetData sheetId="20457" refreshError="1"/>
      <sheetData sheetId="20458" refreshError="1"/>
      <sheetData sheetId="20459">
        <row r="1">
          <cell r="J1">
            <v>1.7453292519943295E-2</v>
          </cell>
        </row>
      </sheetData>
      <sheetData sheetId="20460">
        <row r="1">
          <cell r="J1">
            <v>1.7453292519943295E-2</v>
          </cell>
        </row>
      </sheetData>
      <sheetData sheetId="20461" refreshError="1"/>
      <sheetData sheetId="20462">
        <row r="1">
          <cell r="J1">
            <v>1.7453292519943295E-2</v>
          </cell>
        </row>
      </sheetData>
      <sheetData sheetId="20463">
        <row r="1">
          <cell r="J1">
            <v>1.7453292519943295E-2</v>
          </cell>
        </row>
      </sheetData>
      <sheetData sheetId="20464" refreshError="1"/>
      <sheetData sheetId="20465" refreshError="1"/>
      <sheetData sheetId="20466" refreshError="1"/>
      <sheetData sheetId="20467"/>
      <sheetData sheetId="20468">
        <row r="1">
          <cell r="J1">
            <v>1.7453292519943295E-2</v>
          </cell>
        </row>
      </sheetData>
      <sheetData sheetId="20469">
        <row r="1">
          <cell r="J1">
            <v>1.7453292519943295E-2</v>
          </cell>
        </row>
      </sheetData>
      <sheetData sheetId="20470">
        <row r="1">
          <cell r="J1">
            <v>1.7453292519943295E-2</v>
          </cell>
        </row>
      </sheetData>
      <sheetData sheetId="20471">
        <row r="1">
          <cell r="J1">
            <v>1.7453292519943295E-2</v>
          </cell>
        </row>
      </sheetData>
      <sheetData sheetId="20472">
        <row r="1">
          <cell r="J1">
            <v>1.7453292519943295E-2</v>
          </cell>
        </row>
      </sheetData>
      <sheetData sheetId="20473">
        <row r="1">
          <cell r="J1">
            <v>1.7453292519943295E-2</v>
          </cell>
        </row>
      </sheetData>
      <sheetData sheetId="20474">
        <row r="1">
          <cell r="J1">
            <v>1.7453292519943295E-2</v>
          </cell>
        </row>
      </sheetData>
      <sheetData sheetId="20475">
        <row r="1">
          <cell r="J1">
            <v>1.7453292519943295E-2</v>
          </cell>
        </row>
      </sheetData>
      <sheetData sheetId="20476">
        <row r="1">
          <cell r="J1">
            <v>1.7453292519943295E-2</v>
          </cell>
        </row>
      </sheetData>
      <sheetData sheetId="20477">
        <row r="1">
          <cell r="J1">
            <v>1.7453292519943295E-2</v>
          </cell>
        </row>
      </sheetData>
      <sheetData sheetId="20478">
        <row r="1">
          <cell r="J1">
            <v>1.7453292519943295E-2</v>
          </cell>
        </row>
      </sheetData>
      <sheetData sheetId="20479">
        <row r="1">
          <cell r="J1">
            <v>1.7453292519943295E-2</v>
          </cell>
        </row>
      </sheetData>
      <sheetData sheetId="20480">
        <row r="1">
          <cell r="J1">
            <v>1.7453292519943295E-2</v>
          </cell>
        </row>
      </sheetData>
      <sheetData sheetId="20481">
        <row r="1">
          <cell r="J1">
            <v>1.7453292519943295E-2</v>
          </cell>
        </row>
      </sheetData>
      <sheetData sheetId="20482">
        <row r="1">
          <cell r="J1">
            <v>1.7453292519943295E-2</v>
          </cell>
        </row>
      </sheetData>
      <sheetData sheetId="20483">
        <row r="1">
          <cell r="J1">
            <v>1.7453292519943295E-2</v>
          </cell>
        </row>
      </sheetData>
      <sheetData sheetId="20484">
        <row r="1">
          <cell r="J1">
            <v>1.7453292519943295E-2</v>
          </cell>
        </row>
      </sheetData>
      <sheetData sheetId="20485">
        <row r="1">
          <cell r="J1">
            <v>1.7453292519943295E-2</v>
          </cell>
        </row>
      </sheetData>
      <sheetData sheetId="20486">
        <row r="1">
          <cell r="J1">
            <v>1.7453292519943295E-2</v>
          </cell>
        </row>
      </sheetData>
      <sheetData sheetId="20487" refreshError="1"/>
      <sheetData sheetId="20488" refreshError="1"/>
      <sheetData sheetId="20489">
        <row r="1">
          <cell r="J1">
            <v>1.7453292519943295E-2</v>
          </cell>
        </row>
      </sheetData>
      <sheetData sheetId="20490">
        <row r="1">
          <cell r="J1">
            <v>1.7453292519943295E-2</v>
          </cell>
        </row>
      </sheetData>
      <sheetData sheetId="20491">
        <row r="1">
          <cell r="J1">
            <v>1.7453292519943295E-2</v>
          </cell>
        </row>
      </sheetData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>
        <row r="1">
          <cell r="J1">
            <v>1.7453292519943295E-2</v>
          </cell>
        </row>
      </sheetData>
      <sheetData sheetId="20499">
        <row r="1">
          <cell r="J1">
            <v>1.7453292519943295E-2</v>
          </cell>
        </row>
      </sheetData>
      <sheetData sheetId="20500">
        <row r="1">
          <cell r="J1">
            <v>1.7453292519943295E-2</v>
          </cell>
        </row>
      </sheetData>
      <sheetData sheetId="20501">
        <row r="1">
          <cell r="J1">
            <v>1.7453292519943295E-2</v>
          </cell>
        </row>
      </sheetData>
      <sheetData sheetId="20502">
        <row r="1">
          <cell r="J1">
            <v>1.7453292519943295E-2</v>
          </cell>
        </row>
      </sheetData>
      <sheetData sheetId="20503">
        <row r="1">
          <cell r="J1">
            <v>1.7453292519943295E-2</v>
          </cell>
        </row>
      </sheetData>
      <sheetData sheetId="20504">
        <row r="1">
          <cell r="J1">
            <v>1.7453292519943295E-2</v>
          </cell>
        </row>
      </sheetData>
      <sheetData sheetId="20505">
        <row r="1">
          <cell r="J1">
            <v>1.7453292519943295E-2</v>
          </cell>
        </row>
      </sheetData>
      <sheetData sheetId="20506">
        <row r="1">
          <cell r="J1">
            <v>1.7453292519943295E-2</v>
          </cell>
        </row>
      </sheetData>
      <sheetData sheetId="20507">
        <row r="1">
          <cell r="J1">
            <v>1.7453292519943295E-2</v>
          </cell>
        </row>
      </sheetData>
      <sheetData sheetId="20508">
        <row r="1">
          <cell r="J1">
            <v>1.7453292519943295E-2</v>
          </cell>
        </row>
      </sheetData>
      <sheetData sheetId="20509">
        <row r="1">
          <cell r="J1">
            <v>1.7453292519943295E-2</v>
          </cell>
        </row>
      </sheetData>
      <sheetData sheetId="20510">
        <row r="1">
          <cell r="J1">
            <v>1.7453292519943295E-2</v>
          </cell>
        </row>
      </sheetData>
      <sheetData sheetId="20511">
        <row r="1">
          <cell r="J1">
            <v>1.7453292519943295E-2</v>
          </cell>
        </row>
      </sheetData>
      <sheetData sheetId="20512">
        <row r="1">
          <cell r="J1">
            <v>1.7453292519943295E-2</v>
          </cell>
        </row>
      </sheetData>
      <sheetData sheetId="20513">
        <row r="1">
          <cell r="J1">
            <v>1.7453292519943295E-2</v>
          </cell>
        </row>
      </sheetData>
      <sheetData sheetId="20514">
        <row r="1">
          <cell r="J1">
            <v>1.7453292519943295E-2</v>
          </cell>
        </row>
      </sheetData>
      <sheetData sheetId="20515">
        <row r="1">
          <cell r="J1">
            <v>1.7453292519943295E-2</v>
          </cell>
        </row>
      </sheetData>
      <sheetData sheetId="20516">
        <row r="1">
          <cell r="J1">
            <v>1.7453292519943295E-2</v>
          </cell>
        </row>
      </sheetData>
      <sheetData sheetId="20517">
        <row r="1">
          <cell r="J1">
            <v>1.7453292519943295E-2</v>
          </cell>
        </row>
      </sheetData>
      <sheetData sheetId="20518" refreshError="1"/>
      <sheetData sheetId="20519"/>
      <sheetData sheetId="20520">
        <row r="1">
          <cell r="J1">
            <v>1.7453292519943295E-2</v>
          </cell>
        </row>
      </sheetData>
      <sheetData sheetId="20521">
        <row r="1">
          <cell r="J1">
            <v>1.7453292519943295E-2</v>
          </cell>
        </row>
      </sheetData>
      <sheetData sheetId="20522" refreshError="1"/>
      <sheetData sheetId="20523" refreshError="1"/>
      <sheetData sheetId="20524" refreshError="1"/>
      <sheetData sheetId="20525"/>
      <sheetData sheetId="20526" refreshError="1"/>
      <sheetData sheetId="20527" refreshError="1"/>
      <sheetData sheetId="20528" refreshError="1"/>
      <sheetData sheetId="20529">
        <row r="1">
          <cell r="J1">
            <v>1.7453292519943295E-2</v>
          </cell>
        </row>
      </sheetData>
      <sheetData sheetId="20530">
        <row r="1">
          <cell r="J1">
            <v>1.7453292519943295E-2</v>
          </cell>
        </row>
      </sheetData>
      <sheetData sheetId="20531">
        <row r="1">
          <cell r="J1">
            <v>1.7453292519943295E-2</v>
          </cell>
        </row>
      </sheetData>
      <sheetData sheetId="20532">
        <row r="1">
          <cell r="J1">
            <v>1.7453292519943295E-2</v>
          </cell>
        </row>
      </sheetData>
      <sheetData sheetId="20533">
        <row r="1">
          <cell r="J1">
            <v>1.7453292519943295E-2</v>
          </cell>
        </row>
      </sheetData>
      <sheetData sheetId="20534">
        <row r="1">
          <cell r="J1">
            <v>1.7453292519943295E-2</v>
          </cell>
        </row>
      </sheetData>
      <sheetData sheetId="20535">
        <row r="1">
          <cell r="J1">
            <v>1.7453292519943295E-2</v>
          </cell>
        </row>
      </sheetData>
      <sheetData sheetId="20536">
        <row r="1">
          <cell r="J1">
            <v>1.7453292519943295E-2</v>
          </cell>
        </row>
      </sheetData>
      <sheetData sheetId="20537">
        <row r="1">
          <cell r="J1">
            <v>1.7453292519943295E-2</v>
          </cell>
        </row>
      </sheetData>
      <sheetData sheetId="20538">
        <row r="1">
          <cell r="J1">
            <v>1.7453292519943295E-2</v>
          </cell>
        </row>
      </sheetData>
      <sheetData sheetId="20539">
        <row r="1">
          <cell r="J1">
            <v>1.7453292519943295E-2</v>
          </cell>
        </row>
      </sheetData>
      <sheetData sheetId="20540">
        <row r="1">
          <cell r="J1">
            <v>1.7453292519943295E-2</v>
          </cell>
        </row>
      </sheetData>
      <sheetData sheetId="20541">
        <row r="1">
          <cell r="J1">
            <v>1.7453292519943295E-2</v>
          </cell>
        </row>
      </sheetData>
      <sheetData sheetId="20542">
        <row r="1">
          <cell r="J1">
            <v>1.7453292519943295E-2</v>
          </cell>
        </row>
      </sheetData>
      <sheetData sheetId="20543">
        <row r="1">
          <cell r="J1">
            <v>1.7453292519943295E-2</v>
          </cell>
        </row>
      </sheetData>
      <sheetData sheetId="20544">
        <row r="1">
          <cell r="J1">
            <v>1.7453292519943295E-2</v>
          </cell>
        </row>
      </sheetData>
      <sheetData sheetId="20545">
        <row r="1">
          <cell r="J1">
            <v>1.7453292519943295E-2</v>
          </cell>
        </row>
      </sheetData>
      <sheetData sheetId="20546">
        <row r="1">
          <cell r="J1">
            <v>1.7453292519943295E-2</v>
          </cell>
        </row>
      </sheetData>
      <sheetData sheetId="20547">
        <row r="1">
          <cell r="J1">
            <v>1.7453292519943295E-2</v>
          </cell>
        </row>
      </sheetData>
      <sheetData sheetId="20548">
        <row r="1">
          <cell r="J1">
            <v>1.7453292519943295E-2</v>
          </cell>
        </row>
      </sheetData>
      <sheetData sheetId="20549">
        <row r="1">
          <cell r="J1">
            <v>1.7453292519943295E-2</v>
          </cell>
        </row>
      </sheetData>
      <sheetData sheetId="20550" refreshError="1"/>
      <sheetData sheetId="20551" refreshError="1"/>
      <sheetData sheetId="20552">
        <row r="1">
          <cell r="J1">
            <v>1.7453292519943295E-2</v>
          </cell>
        </row>
      </sheetData>
      <sheetData sheetId="20553">
        <row r="1">
          <cell r="J1">
            <v>1.7453292519943295E-2</v>
          </cell>
        </row>
      </sheetData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>
        <row r="1">
          <cell r="J1">
            <v>1.7453292519943295E-2</v>
          </cell>
        </row>
      </sheetData>
      <sheetData sheetId="20561">
        <row r="1">
          <cell r="J1">
            <v>1.7453292519943295E-2</v>
          </cell>
        </row>
      </sheetData>
      <sheetData sheetId="20562">
        <row r="1">
          <cell r="J1">
            <v>1.7453292519943295E-2</v>
          </cell>
        </row>
      </sheetData>
      <sheetData sheetId="20563">
        <row r="1">
          <cell r="J1">
            <v>1.7453292519943295E-2</v>
          </cell>
        </row>
      </sheetData>
      <sheetData sheetId="20564">
        <row r="1">
          <cell r="J1">
            <v>1.7453292519943295E-2</v>
          </cell>
        </row>
      </sheetData>
      <sheetData sheetId="20565">
        <row r="1">
          <cell r="J1">
            <v>1.7453292519943295E-2</v>
          </cell>
        </row>
      </sheetData>
      <sheetData sheetId="20566">
        <row r="1">
          <cell r="J1">
            <v>1.7453292519943295E-2</v>
          </cell>
        </row>
      </sheetData>
      <sheetData sheetId="20567">
        <row r="1">
          <cell r="J1">
            <v>1.7453292519943295E-2</v>
          </cell>
        </row>
      </sheetData>
      <sheetData sheetId="20568">
        <row r="1">
          <cell r="J1">
            <v>1.7453292519943295E-2</v>
          </cell>
        </row>
      </sheetData>
      <sheetData sheetId="20569">
        <row r="1">
          <cell r="J1">
            <v>1.7453292519943295E-2</v>
          </cell>
        </row>
      </sheetData>
      <sheetData sheetId="20570">
        <row r="1">
          <cell r="J1">
            <v>1.7453292519943295E-2</v>
          </cell>
        </row>
      </sheetData>
      <sheetData sheetId="20571">
        <row r="1">
          <cell r="J1">
            <v>1.7453292519943295E-2</v>
          </cell>
        </row>
      </sheetData>
      <sheetData sheetId="20572">
        <row r="1">
          <cell r="J1">
            <v>1.7453292519943295E-2</v>
          </cell>
        </row>
      </sheetData>
      <sheetData sheetId="20573">
        <row r="1">
          <cell r="J1">
            <v>1.7453292519943295E-2</v>
          </cell>
        </row>
      </sheetData>
      <sheetData sheetId="20574">
        <row r="1">
          <cell r="J1">
            <v>1.7453292519943295E-2</v>
          </cell>
        </row>
      </sheetData>
      <sheetData sheetId="20575">
        <row r="1">
          <cell r="J1">
            <v>1.7453292519943295E-2</v>
          </cell>
        </row>
      </sheetData>
      <sheetData sheetId="20576">
        <row r="1">
          <cell r="J1">
            <v>1.7453292519943295E-2</v>
          </cell>
        </row>
      </sheetData>
      <sheetData sheetId="20577">
        <row r="1">
          <cell r="J1">
            <v>1.7453292519943295E-2</v>
          </cell>
        </row>
      </sheetData>
      <sheetData sheetId="20578">
        <row r="1">
          <cell r="J1">
            <v>1.7453292519943295E-2</v>
          </cell>
        </row>
      </sheetData>
      <sheetData sheetId="20579">
        <row r="1">
          <cell r="J1">
            <v>1.7453292519943295E-2</v>
          </cell>
        </row>
      </sheetData>
      <sheetData sheetId="20580"/>
      <sheetData sheetId="20581"/>
      <sheetData sheetId="20582">
        <row r="1">
          <cell r="J1">
            <v>1.7453292519943295E-2</v>
          </cell>
        </row>
      </sheetData>
      <sheetData sheetId="20583" refreshError="1"/>
      <sheetData sheetId="20584">
        <row r="1">
          <cell r="J1">
            <v>1.7453292519943295E-2</v>
          </cell>
        </row>
      </sheetData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>
        <row r="1">
          <cell r="J1">
            <v>1.7453292519943295E-2</v>
          </cell>
        </row>
      </sheetData>
      <sheetData sheetId="20591">
        <row r="1">
          <cell r="J1">
            <v>1.7453292519943295E-2</v>
          </cell>
        </row>
      </sheetData>
      <sheetData sheetId="20592">
        <row r="1">
          <cell r="J1">
            <v>1.7453292519943295E-2</v>
          </cell>
        </row>
      </sheetData>
      <sheetData sheetId="20593">
        <row r="1">
          <cell r="J1">
            <v>1.7453292519943295E-2</v>
          </cell>
        </row>
      </sheetData>
      <sheetData sheetId="20594">
        <row r="1">
          <cell r="J1">
            <v>1.7453292519943295E-2</v>
          </cell>
        </row>
      </sheetData>
      <sheetData sheetId="20595">
        <row r="1">
          <cell r="J1">
            <v>1.7453292519943295E-2</v>
          </cell>
        </row>
      </sheetData>
      <sheetData sheetId="20596">
        <row r="1">
          <cell r="J1">
            <v>1.7453292519943295E-2</v>
          </cell>
        </row>
      </sheetData>
      <sheetData sheetId="20597"/>
      <sheetData sheetId="20598">
        <row r="1">
          <cell r="J1">
            <v>1.7453292519943295E-2</v>
          </cell>
        </row>
      </sheetData>
      <sheetData sheetId="20599">
        <row r="1">
          <cell r="J1">
            <v>1.7453292519943295E-2</v>
          </cell>
        </row>
      </sheetData>
      <sheetData sheetId="20600">
        <row r="1">
          <cell r="J1">
            <v>1.7453292519943295E-2</v>
          </cell>
        </row>
      </sheetData>
      <sheetData sheetId="20601"/>
      <sheetData sheetId="20602">
        <row r="1">
          <cell r="J1">
            <v>1.7453292519943295E-2</v>
          </cell>
        </row>
      </sheetData>
      <sheetData sheetId="20603">
        <row r="1">
          <cell r="J1">
            <v>1.7453292519943295E-2</v>
          </cell>
        </row>
      </sheetData>
      <sheetData sheetId="20604">
        <row r="1">
          <cell r="J1">
            <v>1.7453292519943295E-2</v>
          </cell>
        </row>
      </sheetData>
      <sheetData sheetId="20605">
        <row r="1">
          <cell r="J1">
            <v>1.7453292519943295E-2</v>
          </cell>
        </row>
      </sheetData>
      <sheetData sheetId="20606">
        <row r="1">
          <cell r="J1">
            <v>1.7453292519943295E-2</v>
          </cell>
        </row>
      </sheetData>
      <sheetData sheetId="20607">
        <row r="1">
          <cell r="J1">
            <v>1.7453292519943295E-2</v>
          </cell>
        </row>
      </sheetData>
      <sheetData sheetId="20608"/>
      <sheetData sheetId="20609">
        <row r="1">
          <cell r="J1">
            <v>1.7453292519943295E-2</v>
          </cell>
        </row>
      </sheetData>
      <sheetData sheetId="20610">
        <row r="1">
          <cell r="J1">
            <v>1.7453292519943295E-2</v>
          </cell>
        </row>
      </sheetData>
      <sheetData sheetId="20611" refreshError="1"/>
      <sheetData sheetId="20612"/>
      <sheetData sheetId="20613"/>
      <sheetData sheetId="20614">
        <row r="1">
          <cell r="J1">
            <v>1.7453292519943295E-2</v>
          </cell>
        </row>
      </sheetData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>
        <row r="1">
          <cell r="J1">
            <v>1.7453292519943295E-2</v>
          </cell>
        </row>
      </sheetData>
      <sheetData sheetId="20622">
        <row r="1">
          <cell r="J1">
            <v>1.7453292519943295E-2</v>
          </cell>
        </row>
      </sheetData>
      <sheetData sheetId="20623">
        <row r="1">
          <cell r="J1">
            <v>1.7453292519943295E-2</v>
          </cell>
        </row>
      </sheetData>
      <sheetData sheetId="20624" refreshError="1"/>
      <sheetData sheetId="20625" refreshError="1"/>
      <sheetData sheetId="20626">
        <row r="1">
          <cell r="J1">
            <v>1.7453292519943295E-2</v>
          </cell>
        </row>
      </sheetData>
      <sheetData sheetId="20627"/>
      <sheetData sheetId="20628"/>
      <sheetData sheetId="20629">
        <row r="1">
          <cell r="J1">
            <v>1.7453292519943295E-2</v>
          </cell>
        </row>
      </sheetData>
      <sheetData sheetId="20630">
        <row r="1">
          <cell r="J1">
            <v>1.7453292519943295E-2</v>
          </cell>
        </row>
      </sheetData>
      <sheetData sheetId="20631"/>
      <sheetData sheetId="20632"/>
      <sheetData sheetId="20633">
        <row r="1">
          <cell r="J1">
            <v>1.7453292519943295E-2</v>
          </cell>
        </row>
      </sheetData>
      <sheetData sheetId="20634">
        <row r="1">
          <cell r="J1">
            <v>1.7453292519943295E-2</v>
          </cell>
        </row>
      </sheetData>
      <sheetData sheetId="20635">
        <row r="1">
          <cell r="J1">
            <v>1.7453292519943295E-2</v>
          </cell>
        </row>
      </sheetData>
      <sheetData sheetId="20636"/>
      <sheetData sheetId="20637">
        <row r="1">
          <cell r="J1">
            <v>1.7453292519943295E-2</v>
          </cell>
        </row>
      </sheetData>
      <sheetData sheetId="20638">
        <row r="1">
          <cell r="J1">
            <v>1.7453292519943295E-2</v>
          </cell>
        </row>
      </sheetData>
      <sheetData sheetId="20639">
        <row r="1">
          <cell r="J1">
            <v>1.7453292519943295E-2</v>
          </cell>
        </row>
      </sheetData>
      <sheetData sheetId="20640">
        <row r="1">
          <cell r="J1">
            <v>1.7453292519943295E-2</v>
          </cell>
        </row>
      </sheetData>
      <sheetData sheetId="20641"/>
      <sheetData sheetId="20642" refreshError="1"/>
      <sheetData sheetId="20643" refreshError="1"/>
      <sheetData sheetId="20644">
        <row r="1">
          <cell r="J1">
            <v>1.7453292519943295E-2</v>
          </cell>
        </row>
      </sheetData>
      <sheetData sheetId="20645">
        <row r="1">
          <cell r="J1">
            <v>1.7453292519943295E-2</v>
          </cell>
        </row>
      </sheetData>
      <sheetData sheetId="20646">
        <row r="1">
          <cell r="J1">
            <v>1.7453292519943295E-2</v>
          </cell>
        </row>
      </sheetData>
      <sheetData sheetId="20647">
        <row r="1">
          <cell r="J1">
            <v>1.7453292519943295E-2</v>
          </cell>
        </row>
      </sheetData>
      <sheetData sheetId="20648">
        <row r="1">
          <cell r="J1">
            <v>1.7453292519943295E-2</v>
          </cell>
        </row>
      </sheetData>
      <sheetData sheetId="20649">
        <row r="1">
          <cell r="J1">
            <v>1.7453292519943295E-2</v>
          </cell>
        </row>
      </sheetData>
      <sheetData sheetId="20650">
        <row r="1">
          <cell r="J1">
            <v>1.7453292519943295E-2</v>
          </cell>
        </row>
      </sheetData>
      <sheetData sheetId="20651">
        <row r="1">
          <cell r="J1">
            <v>1.7453292519943295E-2</v>
          </cell>
        </row>
      </sheetData>
      <sheetData sheetId="20652" refreshError="1"/>
      <sheetData sheetId="20653">
        <row r="1">
          <cell r="J1">
            <v>1.7453292519943295E-2</v>
          </cell>
        </row>
      </sheetData>
      <sheetData sheetId="20654">
        <row r="1">
          <cell r="J1">
            <v>1.7453292519943295E-2</v>
          </cell>
        </row>
      </sheetData>
      <sheetData sheetId="20655">
        <row r="1">
          <cell r="J1">
            <v>1.7453292519943295E-2</v>
          </cell>
        </row>
      </sheetData>
      <sheetData sheetId="20656" refreshError="1"/>
      <sheetData sheetId="20657" refreshError="1"/>
      <sheetData sheetId="20658"/>
      <sheetData sheetId="20659" refreshError="1"/>
      <sheetData sheetId="20660">
        <row r="1">
          <cell r="J1">
            <v>1.7453292519943295E-2</v>
          </cell>
        </row>
      </sheetData>
      <sheetData sheetId="20661">
        <row r="1">
          <cell r="J1">
            <v>1.7453292519943295E-2</v>
          </cell>
        </row>
      </sheetData>
      <sheetData sheetId="20662" refreshError="1"/>
      <sheetData sheetId="20663" refreshError="1"/>
      <sheetData sheetId="20664" refreshError="1"/>
      <sheetData sheetId="20665" refreshError="1"/>
      <sheetData sheetId="20666"/>
      <sheetData sheetId="20667"/>
      <sheetData sheetId="20668" refreshError="1"/>
      <sheetData sheetId="20669">
        <row r="1">
          <cell r="J1">
            <v>1.7453292519943295E-2</v>
          </cell>
        </row>
      </sheetData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>
        <row r="1">
          <cell r="J1">
            <v>1.7453292519943295E-2</v>
          </cell>
        </row>
      </sheetData>
      <sheetData sheetId="20677">
        <row r="1">
          <cell r="J1">
            <v>1.7453292519943295E-2</v>
          </cell>
        </row>
      </sheetData>
      <sheetData sheetId="20678" refreshError="1"/>
      <sheetData sheetId="20679"/>
      <sheetData sheetId="20680" refreshError="1"/>
      <sheetData sheetId="20681" refreshError="1"/>
      <sheetData sheetId="20682" refreshError="1"/>
      <sheetData sheetId="20683"/>
      <sheetData sheetId="20684" refreshError="1"/>
      <sheetData sheetId="20685">
        <row r="1">
          <cell r="J1">
            <v>1.7453292519943295E-2</v>
          </cell>
        </row>
      </sheetData>
      <sheetData sheetId="20686" refreshError="1"/>
      <sheetData sheetId="20687">
        <row r="1">
          <cell r="J1">
            <v>1.7453292519943295E-2</v>
          </cell>
        </row>
      </sheetData>
      <sheetData sheetId="20688" refreshError="1"/>
      <sheetData sheetId="20689" refreshError="1"/>
      <sheetData sheetId="20690"/>
      <sheetData sheetId="20691">
        <row r="1">
          <cell r="J1">
            <v>1.7453292519943295E-2</v>
          </cell>
        </row>
      </sheetData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/>
      <sheetData sheetId="20698">
        <row r="1">
          <cell r="J1">
            <v>1.7453292519943295E-2</v>
          </cell>
        </row>
      </sheetData>
      <sheetData sheetId="20699"/>
      <sheetData sheetId="20700"/>
      <sheetData sheetId="20701">
        <row r="1">
          <cell r="J1">
            <v>1.7453292519943295E-2</v>
          </cell>
        </row>
      </sheetData>
      <sheetData sheetId="20702" refreshError="1"/>
      <sheetData sheetId="20703" refreshError="1"/>
      <sheetData sheetId="20704"/>
      <sheetData sheetId="20705" refreshError="1"/>
      <sheetData sheetId="20706"/>
      <sheetData sheetId="20707">
        <row r="1">
          <cell r="J1">
            <v>1.7453292519943295E-2</v>
          </cell>
        </row>
      </sheetData>
      <sheetData sheetId="20708"/>
      <sheetData sheetId="20709"/>
      <sheetData sheetId="20710">
        <row r="1">
          <cell r="J1">
            <v>1.7453292519943295E-2</v>
          </cell>
        </row>
      </sheetData>
      <sheetData sheetId="20711"/>
      <sheetData sheetId="20712">
        <row r="1">
          <cell r="J1">
            <v>1.7453292519943295E-2</v>
          </cell>
        </row>
      </sheetData>
      <sheetData sheetId="20713"/>
      <sheetData sheetId="20714">
        <row r="1">
          <cell r="J1">
            <v>1.7453292519943295E-2</v>
          </cell>
        </row>
      </sheetData>
      <sheetData sheetId="20715"/>
      <sheetData sheetId="20716"/>
      <sheetData sheetId="20717">
        <row r="1">
          <cell r="J1">
            <v>1.7453292519943295E-2</v>
          </cell>
        </row>
      </sheetData>
      <sheetData sheetId="20718">
        <row r="1">
          <cell r="J1">
            <v>1.7453292519943295E-2</v>
          </cell>
        </row>
      </sheetData>
      <sheetData sheetId="20719"/>
      <sheetData sheetId="20720"/>
      <sheetData sheetId="20721">
        <row r="1">
          <cell r="J1">
            <v>1.7453292519943295E-2</v>
          </cell>
        </row>
      </sheetData>
      <sheetData sheetId="20722">
        <row r="1">
          <cell r="J1">
            <v>1.7453292519943295E-2</v>
          </cell>
        </row>
      </sheetData>
      <sheetData sheetId="20723">
        <row r="1">
          <cell r="J1">
            <v>1.7453292519943295E-2</v>
          </cell>
        </row>
      </sheetData>
      <sheetData sheetId="20724">
        <row r="1">
          <cell r="J1">
            <v>1.7453292519943295E-2</v>
          </cell>
        </row>
      </sheetData>
      <sheetData sheetId="20725">
        <row r="1">
          <cell r="J1">
            <v>1.7453292519943295E-2</v>
          </cell>
        </row>
      </sheetData>
      <sheetData sheetId="20726">
        <row r="1">
          <cell r="J1">
            <v>1.7453292519943295E-2</v>
          </cell>
        </row>
      </sheetData>
      <sheetData sheetId="20727">
        <row r="1">
          <cell r="J1">
            <v>1.7453292519943295E-2</v>
          </cell>
        </row>
      </sheetData>
      <sheetData sheetId="20728" refreshError="1"/>
      <sheetData sheetId="20729"/>
      <sheetData sheetId="20730">
        <row r="1">
          <cell r="J1">
            <v>1.7453292519943295E-2</v>
          </cell>
        </row>
      </sheetData>
      <sheetData sheetId="20731" refreshError="1"/>
      <sheetData sheetId="20732"/>
      <sheetData sheetId="20733" refreshError="1"/>
      <sheetData sheetId="20734">
        <row r="1">
          <cell r="J1">
            <v>1.7453292519943295E-2</v>
          </cell>
        </row>
      </sheetData>
      <sheetData sheetId="20735" refreshError="1"/>
      <sheetData sheetId="20736" refreshError="1"/>
      <sheetData sheetId="20737" refreshError="1"/>
      <sheetData sheetId="20738">
        <row r="1">
          <cell r="J1">
            <v>1.7453292519943295E-2</v>
          </cell>
        </row>
      </sheetData>
      <sheetData sheetId="20739">
        <row r="1">
          <cell r="J1">
            <v>1.7453292519943295E-2</v>
          </cell>
        </row>
      </sheetData>
      <sheetData sheetId="20740">
        <row r="1">
          <cell r="J1">
            <v>1.7453292519943295E-2</v>
          </cell>
        </row>
      </sheetData>
      <sheetData sheetId="20741">
        <row r="1">
          <cell r="J1">
            <v>1.7453292519943295E-2</v>
          </cell>
        </row>
      </sheetData>
      <sheetData sheetId="20742">
        <row r="1">
          <cell r="J1">
            <v>1.7453292519943295E-2</v>
          </cell>
        </row>
      </sheetData>
      <sheetData sheetId="20743">
        <row r="1">
          <cell r="J1">
            <v>1.7453292519943295E-2</v>
          </cell>
        </row>
      </sheetData>
      <sheetData sheetId="20744">
        <row r="1">
          <cell r="J1">
            <v>1.7453292519943295E-2</v>
          </cell>
        </row>
      </sheetData>
      <sheetData sheetId="20745">
        <row r="1">
          <cell r="J1">
            <v>1.7453292519943295E-2</v>
          </cell>
        </row>
      </sheetData>
      <sheetData sheetId="20746">
        <row r="1">
          <cell r="J1">
            <v>1.7453292519943295E-2</v>
          </cell>
        </row>
      </sheetData>
      <sheetData sheetId="20747">
        <row r="1">
          <cell r="J1">
            <v>1.7453292519943295E-2</v>
          </cell>
        </row>
      </sheetData>
      <sheetData sheetId="20748">
        <row r="1">
          <cell r="J1">
            <v>1.7453292519943295E-2</v>
          </cell>
        </row>
      </sheetData>
      <sheetData sheetId="20749">
        <row r="1">
          <cell r="J1">
            <v>1.7453292519943295E-2</v>
          </cell>
        </row>
      </sheetData>
      <sheetData sheetId="20750">
        <row r="1">
          <cell r="J1">
            <v>1.7453292519943295E-2</v>
          </cell>
        </row>
      </sheetData>
      <sheetData sheetId="20751">
        <row r="1">
          <cell r="J1">
            <v>1.7453292519943295E-2</v>
          </cell>
        </row>
      </sheetData>
      <sheetData sheetId="20752">
        <row r="1">
          <cell r="J1">
            <v>1.7453292519943295E-2</v>
          </cell>
        </row>
      </sheetData>
      <sheetData sheetId="20753">
        <row r="1">
          <cell r="J1">
            <v>1.7453292519943295E-2</v>
          </cell>
        </row>
      </sheetData>
      <sheetData sheetId="20754">
        <row r="1">
          <cell r="J1">
            <v>1.7453292519943295E-2</v>
          </cell>
        </row>
      </sheetData>
      <sheetData sheetId="20755">
        <row r="1">
          <cell r="J1">
            <v>1.7453292519943295E-2</v>
          </cell>
        </row>
      </sheetData>
      <sheetData sheetId="20756">
        <row r="1">
          <cell r="J1">
            <v>1.7453292519943295E-2</v>
          </cell>
        </row>
      </sheetData>
      <sheetData sheetId="20757">
        <row r="1">
          <cell r="J1">
            <v>1.7453292519943295E-2</v>
          </cell>
        </row>
      </sheetData>
      <sheetData sheetId="20758">
        <row r="1">
          <cell r="J1">
            <v>1.7453292519943295E-2</v>
          </cell>
        </row>
      </sheetData>
      <sheetData sheetId="20759"/>
      <sheetData sheetId="20760"/>
      <sheetData sheetId="20761" refreshError="1"/>
      <sheetData sheetId="20762">
        <row r="1">
          <cell r="J1">
            <v>1.7453292519943295E-2</v>
          </cell>
        </row>
      </sheetData>
      <sheetData sheetId="20763" refreshError="1"/>
      <sheetData sheetId="20764" refreshError="1"/>
      <sheetData sheetId="20765">
        <row r="1">
          <cell r="J1">
            <v>1.7453292519943295E-2</v>
          </cell>
        </row>
      </sheetData>
      <sheetData sheetId="20766"/>
      <sheetData sheetId="20767"/>
      <sheetData sheetId="20768">
        <row r="1">
          <cell r="J1">
            <v>1.7453292519943295E-2</v>
          </cell>
        </row>
      </sheetData>
      <sheetData sheetId="20769" refreshError="1"/>
      <sheetData sheetId="20770">
        <row r="1">
          <cell r="J1">
            <v>1.7453292519943295E-2</v>
          </cell>
        </row>
      </sheetData>
      <sheetData sheetId="20771" refreshError="1"/>
      <sheetData sheetId="20772" refreshError="1"/>
      <sheetData sheetId="20773">
        <row r="1">
          <cell r="J1">
            <v>1.7453292519943295E-2</v>
          </cell>
        </row>
      </sheetData>
      <sheetData sheetId="20774" refreshError="1"/>
      <sheetData sheetId="20775"/>
      <sheetData sheetId="20776">
        <row r="1">
          <cell r="J1">
            <v>1.7453292519943295E-2</v>
          </cell>
        </row>
      </sheetData>
      <sheetData sheetId="20777">
        <row r="1">
          <cell r="J1">
            <v>1.7453292519943295E-2</v>
          </cell>
        </row>
      </sheetData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/>
      <sheetData sheetId="20784"/>
      <sheetData sheetId="20785" refreshError="1"/>
      <sheetData sheetId="20786">
        <row r="1">
          <cell r="J1">
            <v>1.7453292519943295E-2</v>
          </cell>
        </row>
      </sheetData>
      <sheetData sheetId="20787">
        <row r="1">
          <cell r="J1">
            <v>1.7453292519943295E-2</v>
          </cell>
        </row>
      </sheetData>
      <sheetData sheetId="20788">
        <row r="1">
          <cell r="J1">
            <v>1.7453292519943295E-2</v>
          </cell>
        </row>
      </sheetData>
      <sheetData sheetId="20789">
        <row r="1">
          <cell r="J1">
            <v>1.7453292519943295E-2</v>
          </cell>
        </row>
      </sheetData>
      <sheetData sheetId="20790">
        <row r="1">
          <cell r="J1">
            <v>1.7453292519943295E-2</v>
          </cell>
        </row>
      </sheetData>
      <sheetData sheetId="20791">
        <row r="1">
          <cell r="J1">
            <v>1.7453292519943295E-2</v>
          </cell>
        </row>
      </sheetData>
      <sheetData sheetId="20792">
        <row r="1">
          <cell r="J1">
            <v>1.7453292519943295E-2</v>
          </cell>
        </row>
      </sheetData>
      <sheetData sheetId="20793"/>
      <sheetData sheetId="20794">
        <row r="1">
          <cell r="J1">
            <v>1.7453292519943295E-2</v>
          </cell>
        </row>
      </sheetData>
      <sheetData sheetId="20795">
        <row r="1">
          <cell r="J1">
            <v>1.7453292519943295E-2</v>
          </cell>
        </row>
      </sheetData>
      <sheetData sheetId="20796">
        <row r="1">
          <cell r="J1">
            <v>1.7453292519943295E-2</v>
          </cell>
        </row>
      </sheetData>
      <sheetData sheetId="20797">
        <row r="1">
          <cell r="J1">
            <v>1.7453292519943295E-2</v>
          </cell>
        </row>
      </sheetData>
      <sheetData sheetId="20798">
        <row r="1">
          <cell r="J1">
            <v>1.7453292519943295E-2</v>
          </cell>
        </row>
      </sheetData>
      <sheetData sheetId="20799">
        <row r="1">
          <cell r="J1">
            <v>1.7453292519943295E-2</v>
          </cell>
        </row>
      </sheetData>
      <sheetData sheetId="20800">
        <row r="1">
          <cell r="J1">
            <v>1.7453292519943295E-2</v>
          </cell>
        </row>
      </sheetData>
      <sheetData sheetId="20801"/>
      <sheetData sheetId="20802">
        <row r="1">
          <cell r="J1">
            <v>1.7453292519943295E-2</v>
          </cell>
        </row>
      </sheetData>
      <sheetData sheetId="20803">
        <row r="1">
          <cell r="J1">
            <v>1.7453292519943295E-2</v>
          </cell>
        </row>
      </sheetData>
      <sheetData sheetId="20804">
        <row r="1">
          <cell r="J1">
            <v>1.7453292519943295E-2</v>
          </cell>
        </row>
      </sheetData>
      <sheetData sheetId="20805">
        <row r="1">
          <cell r="J1">
            <v>1.7453292519943295E-2</v>
          </cell>
        </row>
      </sheetData>
      <sheetData sheetId="20806">
        <row r="1">
          <cell r="J1">
            <v>1.7453292519943295E-2</v>
          </cell>
        </row>
      </sheetData>
      <sheetData sheetId="20807">
        <row r="1">
          <cell r="J1">
            <v>1.7453292519943295E-2</v>
          </cell>
        </row>
      </sheetData>
      <sheetData sheetId="20808" refreshError="1"/>
      <sheetData sheetId="20809">
        <row r="1">
          <cell r="J1">
            <v>1.7453292519943295E-2</v>
          </cell>
        </row>
      </sheetData>
      <sheetData sheetId="20810">
        <row r="1">
          <cell r="J1">
            <v>1.7453292519943295E-2</v>
          </cell>
        </row>
      </sheetData>
      <sheetData sheetId="20811">
        <row r="1">
          <cell r="J1">
            <v>1.7453292519943295E-2</v>
          </cell>
        </row>
      </sheetData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>
        <row r="1">
          <cell r="J1">
            <v>1.7453292519943295E-2</v>
          </cell>
        </row>
      </sheetData>
      <sheetData sheetId="20819">
        <row r="1">
          <cell r="J1">
            <v>1.7453292519943295E-2</v>
          </cell>
        </row>
      </sheetData>
      <sheetData sheetId="20820">
        <row r="1">
          <cell r="J1">
            <v>1.7453292519943295E-2</v>
          </cell>
        </row>
      </sheetData>
      <sheetData sheetId="20821"/>
      <sheetData sheetId="20822" refreshError="1"/>
      <sheetData sheetId="20823" refreshError="1"/>
      <sheetData sheetId="20824"/>
      <sheetData sheetId="20825"/>
      <sheetData sheetId="20826">
        <row r="1">
          <cell r="J1">
            <v>1.7453292519943295E-2</v>
          </cell>
        </row>
      </sheetData>
      <sheetData sheetId="20827">
        <row r="1">
          <cell r="J1">
            <v>1.7453292519943295E-2</v>
          </cell>
        </row>
      </sheetData>
      <sheetData sheetId="20828">
        <row r="1">
          <cell r="J1">
            <v>1.7453292519943295E-2</v>
          </cell>
        </row>
      </sheetData>
      <sheetData sheetId="20829">
        <row r="1">
          <cell r="J1">
            <v>1.7453292519943295E-2</v>
          </cell>
        </row>
      </sheetData>
      <sheetData sheetId="20830"/>
      <sheetData sheetId="20831">
        <row r="1">
          <cell r="J1">
            <v>1.7453292519943295E-2</v>
          </cell>
        </row>
      </sheetData>
      <sheetData sheetId="20832">
        <row r="1">
          <cell r="J1">
            <v>1.7453292519943295E-2</v>
          </cell>
        </row>
      </sheetData>
      <sheetData sheetId="20833"/>
      <sheetData sheetId="20834"/>
      <sheetData sheetId="20835">
        <row r="1">
          <cell r="J1">
            <v>1.7453292519943295E-2</v>
          </cell>
        </row>
      </sheetData>
      <sheetData sheetId="20836">
        <row r="1">
          <cell r="J1">
            <v>1.7453292519943295E-2</v>
          </cell>
        </row>
      </sheetData>
      <sheetData sheetId="20837">
        <row r="1">
          <cell r="J1">
            <v>1.7453292519943295E-2</v>
          </cell>
        </row>
      </sheetData>
      <sheetData sheetId="20838">
        <row r="1">
          <cell r="J1">
            <v>1.7453292519943295E-2</v>
          </cell>
        </row>
      </sheetData>
      <sheetData sheetId="20839">
        <row r="1">
          <cell r="J1">
            <v>1.7453292519943295E-2</v>
          </cell>
        </row>
      </sheetData>
      <sheetData sheetId="20840"/>
      <sheetData sheetId="20841">
        <row r="1">
          <cell r="J1">
            <v>1.7453292519943295E-2</v>
          </cell>
        </row>
      </sheetData>
      <sheetData sheetId="20842">
        <row r="1">
          <cell r="J1">
            <v>1.7453292519943295E-2</v>
          </cell>
        </row>
      </sheetData>
      <sheetData sheetId="20843">
        <row r="1">
          <cell r="J1">
            <v>1.7453292519943295E-2</v>
          </cell>
        </row>
      </sheetData>
      <sheetData sheetId="20844">
        <row r="1">
          <cell r="J1">
            <v>1.7453292519943295E-2</v>
          </cell>
        </row>
      </sheetData>
      <sheetData sheetId="20845">
        <row r="1">
          <cell r="J1">
            <v>1.7453292519943295E-2</v>
          </cell>
        </row>
      </sheetData>
      <sheetData sheetId="20846">
        <row r="1">
          <cell r="J1">
            <v>1.7453292519943295E-2</v>
          </cell>
        </row>
      </sheetData>
      <sheetData sheetId="20847" refreshError="1"/>
      <sheetData sheetId="20848" refreshError="1"/>
      <sheetData sheetId="20849">
        <row r="1">
          <cell r="J1">
            <v>1.7453292519943295E-2</v>
          </cell>
        </row>
      </sheetData>
      <sheetData sheetId="20850">
        <row r="1">
          <cell r="J1">
            <v>1.7453292519943295E-2</v>
          </cell>
        </row>
      </sheetData>
      <sheetData sheetId="20851" refreshError="1"/>
      <sheetData sheetId="20852">
        <row r="1">
          <cell r="J1">
            <v>1.7453292519943295E-2</v>
          </cell>
        </row>
      </sheetData>
      <sheetData sheetId="20853">
        <row r="1">
          <cell r="J1">
            <v>1.7453292519943295E-2</v>
          </cell>
        </row>
      </sheetData>
      <sheetData sheetId="20854">
        <row r="1">
          <cell r="J1">
            <v>1.7453292519943295E-2</v>
          </cell>
        </row>
      </sheetData>
      <sheetData sheetId="20855" refreshError="1"/>
      <sheetData sheetId="20856" refreshError="1"/>
      <sheetData sheetId="20857">
        <row r="1">
          <cell r="J1">
            <v>1.7453292519943295E-2</v>
          </cell>
        </row>
      </sheetData>
      <sheetData sheetId="20858">
        <row r="1">
          <cell r="J1">
            <v>1.7453292519943295E-2</v>
          </cell>
        </row>
      </sheetData>
      <sheetData sheetId="20859" refreshError="1"/>
      <sheetData sheetId="20860" refreshError="1"/>
      <sheetData sheetId="20861">
        <row r="1">
          <cell r="J1">
            <v>1.7453292519943295E-2</v>
          </cell>
        </row>
      </sheetData>
      <sheetData sheetId="20862">
        <row r="1">
          <cell r="J1">
            <v>1.7453292519943295E-2</v>
          </cell>
        </row>
      </sheetData>
      <sheetData sheetId="20863" refreshError="1"/>
      <sheetData sheetId="20864" refreshError="1"/>
      <sheetData sheetId="20865" refreshError="1"/>
      <sheetData sheetId="20866">
        <row r="1">
          <cell r="J1">
            <v>1.7453292519943295E-2</v>
          </cell>
        </row>
      </sheetData>
      <sheetData sheetId="20867">
        <row r="1">
          <cell r="J1">
            <v>1.7453292519943295E-2</v>
          </cell>
        </row>
      </sheetData>
      <sheetData sheetId="20868"/>
      <sheetData sheetId="20869">
        <row r="1">
          <cell r="J1">
            <v>1.7453292519943295E-2</v>
          </cell>
        </row>
      </sheetData>
      <sheetData sheetId="20870">
        <row r="1">
          <cell r="J1">
            <v>1.7453292519943295E-2</v>
          </cell>
        </row>
      </sheetData>
      <sheetData sheetId="20871">
        <row r="1">
          <cell r="J1">
            <v>1.7453292519943295E-2</v>
          </cell>
        </row>
      </sheetData>
      <sheetData sheetId="20872"/>
      <sheetData sheetId="20873"/>
      <sheetData sheetId="20874">
        <row r="1">
          <cell r="J1">
            <v>1.7453292519943295E-2</v>
          </cell>
        </row>
      </sheetData>
      <sheetData sheetId="20875">
        <row r="1">
          <cell r="J1">
            <v>1.7453292519943295E-2</v>
          </cell>
        </row>
      </sheetData>
      <sheetData sheetId="20876"/>
      <sheetData sheetId="20877"/>
      <sheetData sheetId="20878">
        <row r="1">
          <cell r="J1">
            <v>1.7453292519943295E-2</v>
          </cell>
        </row>
      </sheetData>
      <sheetData sheetId="20879">
        <row r="1">
          <cell r="J1">
            <v>1.7453292519943295E-2</v>
          </cell>
        </row>
      </sheetData>
      <sheetData sheetId="20880">
        <row r="1">
          <cell r="J1">
            <v>1.7453292519943295E-2</v>
          </cell>
        </row>
      </sheetData>
      <sheetData sheetId="20881">
        <row r="1">
          <cell r="J1">
            <v>1.7453292519943295E-2</v>
          </cell>
        </row>
      </sheetData>
      <sheetData sheetId="20882">
        <row r="1">
          <cell r="J1">
            <v>1.7453292519943295E-2</v>
          </cell>
        </row>
      </sheetData>
      <sheetData sheetId="20883">
        <row r="1">
          <cell r="J1">
            <v>1.7453292519943295E-2</v>
          </cell>
        </row>
      </sheetData>
      <sheetData sheetId="20884">
        <row r="1">
          <cell r="J1">
            <v>1.7453292519943295E-2</v>
          </cell>
        </row>
      </sheetData>
      <sheetData sheetId="20885">
        <row r="1">
          <cell r="J1">
            <v>1.7453292519943295E-2</v>
          </cell>
        </row>
      </sheetData>
      <sheetData sheetId="20886"/>
      <sheetData sheetId="20887" refreshError="1"/>
      <sheetData sheetId="20888">
        <row r="1">
          <cell r="J1">
            <v>1.7453292519943295E-2</v>
          </cell>
        </row>
      </sheetData>
      <sheetData sheetId="20889" refreshError="1"/>
      <sheetData sheetId="20890">
        <row r="1">
          <cell r="J1">
            <v>1.7453292519943295E-2</v>
          </cell>
        </row>
      </sheetData>
      <sheetData sheetId="20891" refreshError="1"/>
      <sheetData sheetId="20892" refreshError="1"/>
      <sheetData sheetId="20893"/>
      <sheetData sheetId="20894" refreshError="1"/>
      <sheetData sheetId="20895" refreshError="1"/>
      <sheetData sheetId="20896"/>
      <sheetData sheetId="20897">
        <row r="1">
          <cell r="J1">
            <v>1.7453292519943295E-2</v>
          </cell>
        </row>
      </sheetData>
      <sheetData sheetId="20898">
        <row r="1">
          <cell r="J1">
            <v>1.7453292519943295E-2</v>
          </cell>
        </row>
      </sheetData>
      <sheetData sheetId="20899">
        <row r="1">
          <cell r="J1">
            <v>1.7453292519943295E-2</v>
          </cell>
        </row>
      </sheetData>
      <sheetData sheetId="20900">
        <row r="1">
          <cell r="J1">
            <v>1.7453292519943295E-2</v>
          </cell>
        </row>
      </sheetData>
      <sheetData sheetId="20901">
        <row r="1">
          <cell r="J1">
            <v>1.7453292519943295E-2</v>
          </cell>
        </row>
      </sheetData>
      <sheetData sheetId="20902">
        <row r="1">
          <cell r="J1">
            <v>1.7453292519943295E-2</v>
          </cell>
        </row>
      </sheetData>
      <sheetData sheetId="20903"/>
      <sheetData sheetId="20904">
        <row r="1">
          <cell r="J1">
            <v>1.7453292519943295E-2</v>
          </cell>
        </row>
      </sheetData>
      <sheetData sheetId="20905">
        <row r="1">
          <cell r="J1">
            <v>1.7453292519943295E-2</v>
          </cell>
        </row>
      </sheetData>
      <sheetData sheetId="20906">
        <row r="1">
          <cell r="J1">
            <v>1.7453292519943295E-2</v>
          </cell>
        </row>
      </sheetData>
      <sheetData sheetId="20907"/>
      <sheetData sheetId="20908">
        <row r="1">
          <cell r="J1">
            <v>1.7453292519943295E-2</v>
          </cell>
        </row>
      </sheetData>
      <sheetData sheetId="20909">
        <row r="1">
          <cell r="J1">
            <v>1.7453292519943295E-2</v>
          </cell>
        </row>
      </sheetData>
      <sheetData sheetId="20910">
        <row r="1">
          <cell r="J1">
            <v>1.7453292519943295E-2</v>
          </cell>
        </row>
      </sheetData>
      <sheetData sheetId="20911">
        <row r="1">
          <cell r="J1">
            <v>1.7453292519943295E-2</v>
          </cell>
        </row>
      </sheetData>
      <sheetData sheetId="20912">
        <row r="1">
          <cell r="J1">
            <v>1.7453292519943295E-2</v>
          </cell>
        </row>
      </sheetData>
      <sheetData sheetId="20913">
        <row r="1">
          <cell r="J1">
            <v>1.7453292519943295E-2</v>
          </cell>
        </row>
      </sheetData>
      <sheetData sheetId="20914">
        <row r="1">
          <cell r="J1">
            <v>1.7453292519943295E-2</v>
          </cell>
        </row>
      </sheetData>
      <sheetData sheetId="20915">
        <row r="1">
          <cell r="J1">
            <v>1.7453292519943295E-2</v>
          </cell>
        </row>
      </sheetData>
      <sheetData sheetId="20916">
        <row r="1">
          <cell r="J1">
            <v>1.7453292519943295E-2</v>
          </cell>
        </row>
      </sheetData>
      <sheetData sheetId="20917" refreshError="1"/>
      <sheetData sheetId="20918" refreshError="1"/>
      <sheetData sheetId="20919">
        <row r="1">
          <cell r="J1">
            <v>1.7453292519943295E-2</v>
          </cell>
        </row>
      </sheetData>
      <sheetData sheetId="20920">
        <row r="1">
          <cell r="J1">
            <v>1.7453292519943295E-2</v>
          </cell>
        </row>
      </sheetData>
      <sheetData sheetId="20921">
        <row r="1">
          <cell r="J1">
            <v>1.7453292519943295E-2</v>
          </cell>
        </row>
      </sheetData>
      <sheetData sheetId="20922" refreshError="1"/>
      <sheetData sheetId="20923" refreshError="1"/>
      <sheetData sheetId="20924" refreshError="1"/>
      <sheetData sheetId="20925"/>
      <sheetData sheetId="20926"/>
      <sheetData sheetId="20927"/>
      <sheetData sheetId="20928">
        <row r="1">
          <cell r="J1">
            <v>1.7453292519943295E-2</v>
          </cell>
        </row>
      </sheetData>
      <sheetData sheetId="20929">
        <row r="1">
          <cell r="J1">
            <v>1.7453292519943295E-2</v>
          </cell>
        </row>
      </sheetData>
      <sheetData sheetId="20930">
        <row r="1">
          <cell r="J1">
            <v>1.7453292519943295E-2</v>
          </cell>
        </row>
      </sheetData>
      <sheetData sheetId="20931">
        <row r="1">
          <cell r="J1">
            <v>1.7453292519943295E-2</v>
          </cell>
        </row>
      </sheetData>
      <sheetData sheetId="20932">
        <row r="1">
          <cell r="J1">
            <v>1.7453292519943295E-2</v>
          </cell>
        </row>
      </sheetData>
      <sheetData sheetId="20933">
        <row r="1">
          <cell r="J1">
            <v>1.7453292519943295E-2</v>
          </cell>
        </row>
      </sheetData>
      <sheetData sheetId="20934">
        <row r="1">
          <cell r="J1">
            <v>1.7453292519943295E-2</v>
          </cell>
        </row>
      </sheetData>
      <sheetData sheetId="20935">
        <row r="1">
          <cell r="J1">
            <v>1.7453292519943295E-2</v>
          </cell>
        </row>
      </sheetData>
      <sheetData sheetId="20936">
        <row r="1">
          <cell r="J1">
            <v>1.7453292519943295E-2</v>
          </cell>
        </row>
      </sheetData>
      <sheetData sheetId="20937">
        <row r="1">
          <cell r="J1">
            <v>1.7453292519943295E-2</v>
          </cell>
        </row>
      </sheetData>
      <sheetData sheetId="20938">
        <row r="1">
          <cell r="J1">
            <v>1.7453292519943295E-2</v>
          </cell>
        </row>
      </sheetData>
      <sheetData sheetId="20939">
        <row r="1">
          <cell r="J1">
            <v>1.7453292519943295E-2</v>
          </cell>
        </row>
      </sheetData>
      <sheetData sheetId="20940">
        <row r="1">
          <cell r="J1">
            <v>1.7453292519943295E-2</v>
          </cell>
        </row>
      </sheetData>
      <sheetData sheetId="20941">
        <row r="1">
          <cell r="J1">
            <v>1.7453292519943295E-2</v>
          </cell>
        </row>
      </sheetData>
      <sheetData sheetId="20942">
        <row r="1">
          <cell r="J1">
            <v>1.7453292519943295E-2</v>
          </cell>
        </row>
      </sheetData>
      <sheetData sheetId="20943">
        <row r="1">
          <cell r="J1">
            <v>1.7453292519943295E-2</v>
          </cell>
        </row>
      </sheetData>
      <sheetData sheetId="20944">
        <row r="1">
          <cell r="J1">
            <v>1.7453292519943295E-2</v>
          </cell>
        </row>
      </sheetData>
      <sheetData sheetId="20945">
        <row r="1">
          <cell r="J1">
            <v>1.7453292519943295E-2</v>
          </cell>
        </row>
      </sheetData>
      <sheetData sheetId="20946">
        <row r="1">
          <cell r="J1">
            <v>1.7453292519943295E-2</v>
          </cell>
        </row>
      </sheetData>
      <sheetData sheetId="20947">
        <row r="1">
          <cell r="J1">
            <v>1.7453292519943295E-2</v>
          </cell>
        </row>
      </sheetData>
      <sheetData sheetId="20948">
        <row r="1">
          <cell r="J1">
            <v>1.7453292519943295E-2</v>
          </cell>
        </row>
      </sheetData>
      <sheetData sheetId="20949" refreshError="1"/>
      <sheetData sheetId="20950">
        <row r="1">
          <cell r="J1">
            <v>1.7453292519943295E-2</v>
          </cell>
        </row>
      </sheetData>
      <sheetData sheetId="20951">
        <row r="1">
          <cell r="J1">
            <v>1.7453292519943295E-2</v>
          </cell>
        </row>
      </sheetData>
      <sheetData sheetId="20952">
        <row r="1">
          <cell r="J1">
            <v>1.7453292519943295E-2</v>
          </cell>
        </row>
      </sheetData>
      <sheetData sheetId="20953" refreshError="1"/>
      <sheetData sheetId="20954" refreshError="1"/>
      <sheetData sheetId="20955">
        <row r="1">
          <cell r="J1">
            <v>1.7453292519943295E-2</v>
          </cell>
        </row>
      </sheetData>
      <sheetData sheetId="20956">
        <row r="1">
          <cell r="J1">
            <v>1.7453292519943295E-2</v>
          </cell>
        </row>
      </sheetData>
      <sheetData sheetId="20957" refreshError="1"/>
      <sheetData sheetId="20958" refreshError="1"/>
      <sheetData sheetId="20959">
        <row r="1">
          <cell r="J1">
            <v>1.7453292519943295E-2</v>
          </cell>
        </row>
      </sheetData>
      <sheetData sheetId="20960">
        <row r="1">
          <cell r="J1">
            <v>1.7453292519943295E-2</v>
          </cell>
        </row>
      </sheetData>
      <sheetData sheetId="20961" refreshError="1"/>
      <sheetData sheetId="20962">
        <row r="1">
          <cell r="J1">
            <v>1.7453292519943295E-2</v>
          </cell>
        </row>
      </sheetData>
      <sheetData sheetId="20963">
        <row r="1">
          <cell r="J1">
            <v>1.7453292519943295E-2</v>
          </cell>
        </row>
      </sheetData>
      <sheetData sheetId="20964">
        <row r="1">
          <cell r="J1">
            <v>1.7453292519943295E-2</v>
          </cell>
        </row>
      </sheetData>
      <sheetData sheetId="20965">
        <row r="1">
          <cell r="J1">
            <v>1.7453292519943295E-2</v>
          </cell>
        </row>
      </sheetData>
      <sheetData sheetId="20966">
        <row r="1">
          <cell r="J1">
            <v>1.7453292519943295E-2</v>
          </cell>
        </row>
      </sheetData>
      <sheetData sheetId="20967" refreshError="1"/>
      <sheetData sheetId="20968" refreshError="1"/>
      <sheetData sheetId="20969">
        <row r="1">
          <cell r="J1">
            <v>1.7453292519943295E-2</v>
          </cell>
        </row>
      </sheetData>
      <sheetData sheetId="20970">
        <row r="1">
          <cell r="J1">
            <v>1.7453292519943295E-2</v>
          </cell>
        </row>
      </sheetData>
      <sheetData sheetId="20971">
        <row r="1">
          <cell r="J1">
            <v>1.7453292519943295E-2</v>
          </cell>
        </row>
      </sheetData>
      <sheetData sheetId="20972" refreshError="1"/>
      <sheetData sheetId="20973">
        <row r="1">
          <cell r="J1">
            <v>1.7453292519943295E-2</v>
          </cell>
        </row>
      </sheetData>
      <sheetData sheetId="20974">
        <row r="1">
          <cell r="J1">
            <v>1.7453292519943295E-2</v>
          </cell>
        </row>
      </sheetData>
      <sheetData sheetId="20975" refreshError="1"/>
      <sheetData sheetId="20976" refreshError="1"/>
      <sheetData sheetId="20977">
        <row r="1">
          <cell r="J1">
            <v>1.7453292519943295E-2</v>
          </cell>
        </row>
      </sheetData>
      <sheetData sheetId="20978">
        <row r="1">
          <cell r="J1">
            <v>1.7453292519943295E-2</v>
          </cell>
        </row>
      </sheetData>
      <sheetData sheetId="20979">
        <row r="1">
          <cell r="J1">
            <v>1.7453292519943295E-2</v>
          </cell>
        </row>
      </sheetData>
      <sheetData sheetId="20980" refreshError="1"/>
      <sheetData sheetId="20981" refreshError="1"/>
      <sheetData sheetId="20982" refreshError="1"/>
      <sheetData sheetId="20983">
        <row r="1">
          <cell r="J1">
            <v>1.7453292519943295E-2</v>
          </cell>
        </row>
      </sheetData>
      <sheetData sheetId="20984" refreshError="1"/>
      <sheetData sheetId="20985">
        <row r="1">
          <cell r="J1">
            <v>1.7453292519943295E-2</v>
          </cell>
        </row>
      </sheetData>
      <sheetData sheetId="20986">
        <row r="1">
          <cell r="J1">
            <v>1.7453292519943295E-2</v>
          </cell>
        </row>
      </sheetData>
      <sheetData sheetId="20987">
        <row r="1">
          <cell r="J1">
            <v>1.7453292519943295E-2</v>
          </cell>
        </row>
      </sheetData>
      <sheetData sheetId="20988"/>
      <sheetData sheetId="20989">
        <row r="1">
          <cell r="J1">
            <v>1.7453292519943295E-2</v>
          </cell>
        </row>
      </sheetData>
      <sheetData sheetId="20990">
        <row r="1">
          <cell r="J1">
            <v>1.7453292519943295E-2</v>
          </cell>
        </row>
      </sheetData>
      <sheetData sheetId="20991">
        <row r="1">
          <cell r="J1">
            <v>1.7453292519943295E-2</v>
          </cell>
        </row>
      </sheetData>
      <sheetData sheetId="20992">
        <row r="1">
          <cell r="J1">
            <v>1.7453292519943295E-2</v>
          </cell>
        </row>
      </sheetData>
      <sheetData sheetId="20993">
        <row r="1">
          <cell r="J1">
            <v>1.7453292519943295E-2</v>
          </cell>
        </row>
      </sheetData>
      <sheetData sheetId="20994">
        <row r="1">
          <cell r="J1">
            <v>1.7453292519943295E-2</v>
          </cell>
        </row>
      </sheetData>
      <sheetData sheetId="20995">
        <row r="1">
          <cell r="J1">
            <v>1.7453292519943295E-2</v>
          </cell>
        </row>
      </sheetData>
      <sheetData sheetId="20996">
        <row r="1">
          <cell r="J1">
            <v>1.7453292519943295E-2</v>
          </cell>
        </row>
      </sheetData>
      <sheetData sheetId="20997">
        <row r="1">
          <cell r="J1">
            <v>1.7453292519943295E-2</v>
          </cell>
        </row>
      </sheetData>
      <sheetData sheetId="20998">
        <row r="1">
          <cell r="J1">
            <v>1.7453292519943295E-2</v>
          </cell>
        </row>
      </sheetData>
      <sheetData sheetId="20999">
        <row r="1">
          <cell r="J1">
            <v>1.7453292519943295E-2</v>
          </cell>
        </row>
      </sheetData>
      <sheetData sheetId="21000">
        <row r="1">
          <cell r="J1">
            <v>1.7453292519943295E-2</v>
          </cell>
        </row>
      </sheetData>
      <sheetData sheetId="21001">
        <row r="1">
          <cell r="J1">
            <v>1.7453292519943295E-2</v>
          </cell>
        </row>
      </sheetData>
      <sheetData sheetId="21002">
        <row r="1">
          <cell r="J1">
            <v>1.7453292519943295E-2</v>
          </cell>
        </row>
      </sheetData>
      <sheetData sheetId="21003">
        <row r="1">
          <cell r="J1">
            <v>1.7453292519943295E-2</v>
          </cell>
        </row>
      </sheetData>
      <sheetData sheetId="21004">
        <row r="1">
          <cell r="J1">
            <v>1.7453292519943295E-2</v>
          </cell>
        </row>
      </sheetData>
      <sheetData sheetId="21005">
        <row r="1">
          <cell r="J1">
            <v>1.7453292519943295E-2</v>
          </cell>
        </row>
      </sheetData>
      <sheetData sheetId="21006" refreshError="1"/>
      <sheetData sheetId="21007" refreshError="1"/>
      <sheetData sheetId="21008" refreshError="1"/>
      <sheetData sheetId="21009">
        <row r="1">
          <cell r="J1">
            <v>1.7453292519943295E-2</v>
          </cell>
        </row>
      </sheetData>
      <sheetData sheetId="21010">
        <row r="1">
          <cell r="J1">
            <v>1.7453292519943295E-2</v>
          </cell>
        </row>
      </sheetData>
      <sheetData sheetId="21011">
        <row r="1">
          <cell r="J1">
            <v>1.7453292519943295E-2</v>
          </cell>
        </row>
      </sheetData>
      <sheetData sheetId="21012">
        <row r="1">
          <cell r="J1">
            <v>1.7453292519943295E-2</v>
          </cell>
        </row>
      </sheetData>
      <sheetData sheetId="21013">
        <row r="1">
          <cell r="J1">
            <v>1.7453292519943295E-2</v>
          </cell>
        </row>
      </sheetData>
      <sheetData sheetId="21014">
        <row r="1">
          <cell r="J1">
            <v>1.7453292519943295E-2</v>
          </cell>
        </row>
      </sheetData>
      <sheetData sheetId="21015">
        <row r="1">
          <cell r="J1">
            <v>1.7453292519943295E-2</v>
          </cell>
        </row>
      </sheetData>
      <sheetData sheetId="21016">
        <row r="1">
          <cell r="J1">
            <v>1.7453292519943295E-2</v>
          </cell>
        </row>
      </sheetData>
      <sheetData sheetId="21017">
        <row r="1">
          <cell r="J1">
            <v>1.7453292519943295E-2</v>
          </cell>
        </row>
      </sheetData>
      <sheetData sheetId="21018">
        <row r="1">
          <cell r="J1">
            <v>1.7453292519943295E-2</v>
          </cell>
        </row>
      </sheetData>
      <sheetData sheetId="21019">
        <row r="1">
          <cell r="J1">
            <v>1.7453292519943295E-2</v>
          </cell>
        </row>
      </sheetData>
      <sheetData sheetId="21020">
        <row r="1">
          <cell r="J1">
            <v>1.7453292519943295E-2</v>
          </cell>
        </row>
      </sheetData>
      <sheetData sheetId="21021">
        <row r="1">
          <cell r="J1">
            <v>1.7453292519943295E-2</v>
          </cell>
        </row>
      </sheetData>
      <sheetData sheetId="21022">
        <row r="1">
          <cell r="J1">
            <v>1.7453292519943295E-2</v>
          </cell>
        </row>
      </sheetData>
      <sheetData sheetId="21023">
        <row r="1">
          <cell r="J1">
            <v>1.7453292519943295E-2</v>
          </cell>
        </row>
      </sheetData>
      <sheetData sheetId="21024">
        <row r="1">
          <cell r="J1">
            <v>1.7453292519943295E-2</v>
          </cell>
        </row>
      </sheetData>
      <sheetData sheetId="21025">
        <row r="1">
          <cell r="J1">
            <v>1.7453292519943295E-2</v>
          </cell>
        </row>
      </sheetData>
      <sheetData sheetId="21026">
        <row r="1">
          <cell r="J1">
            <v>1.7453292519943295E-2</v>
          </cell>
        </row>
      </sheetData>
      <sheetData sheetId="21027">
        <row r="1">
          <cell r="J1">
            <v>1.7453292519943295E-2</v>
          </cell>
        </row>
      </sheetData>
      <sheetData sheetId="21028">
        <row r="1">
          <cell r="J1">
            <v>1.7453292519943295E-2</v>
          </cell>
        </row>
      </sheetData>
      <sheetData sheetId="21029" refreshError="1"/>
      <sheetData sheetId="21030"/>
      <sheetData sheetId="21031">
        <row r="1">
          <cell r="J1">
            <v>1.7453292519943295E-2</v>
          </cell>
        </row>
      </sheetData>
      <sheetData sheetId="21032" refreshError="1"/>
      <sheetData sheetId="21033"/>
      <sheetData sheetId="21034"/>
      <sheetData sheetId="21035" refreshError="1"/>
      <sheetData sheetId="21036" refreshError="1"/>
      <sheetData sheetId="21037" refreshError="1"/>
      <sheetData sheetId="21038">
        <row r="1">
          <cell r="J1">
            <v>1.7453292519943295E-2</v>
          </cell>
        </row>
      </sheetData>
      <sheetData sheetId="21039">
        <row r="1">
          <cell r="J1">
            <v>1.7453292519943295E-2</v>
          </cell>
        </row>
      </sheetData>
      <sheetData sheetId="21040">
        <row r="1">
          <cell r="J1">
            <v>1.7453292519943295E-2</v>
          </cell>
        </row>
      </sheetData>
      <sheetData sheetId="21041">
        <row r="1">
          <cell r="J1">
            <v>1.7453292519943295E-2</v>
          </cell>
        </row>
      </sheetData>
      <sheetData sheetId="21042">
        <row r="1">
          <cell r="J1">
            <v>1.7453292519943295E-2</v>
          </cell>
        </row>
      </sheetData>
      <sheetData sheetId="21043">
        <row r="1">
          <cell r="J1">
            <v>1.7453292519943295E-2</v>
          </cell>
        </row>
      </sheetData>
      <sheetData sheetId="21044">
        <row r="1">
          <cell r="J1">
            <v>1.7453292519943295E-2</v>
          </cell>
        </row>
      </sheetData>
      <sheetData sheetId="21045">
        <row r="1">
          <cell r="J1">
            <v>1.7453292519943295E-2</v>
          </cell>
        </row>
      </sheetData>
      <sheetData sheetId="21046">
        <row r="1">
          <cell r="J1">
            <v>1.7453292519943295E-2</v>
          </cell>
        </row>
      </sheetData>
      <sheetData sheetId="21047">
        <row r="1">
          <cell r="J1">
            <v>1.7453292519943295E-2</v>
          </cell>
        </row>
      </sheetData>
      <sheetData sheetId="21048">
        <row r="1">
          <cell r="J1">
            <v>1.7453292519943295E-2</v>
          </cell>
        </row>
      </sheetData>
      <sheetData sheetId="21049">
        <row r="1">
          <cell r="J1">
            <v>1.7453292519943295E-2</v>
          </cell>
        </row>
      </sheetData>
      <sheetData sheetId="21050">
        <row r="1">
          <cell r="J1">
            <v>1.7453292519943295E-2</v>
          </cell>
        </row>
      </sheetData>
      <sheetData sheetId="21051">
        <row r="1">
          <cell r="J1">
            <v>1.7453292519943295E-2</v>
          </cell>
        </row>
      </sheetData>
      <sheetData sheetId="21052">
        <row r="1">
          <cell r="J1">
            <v>1.7453292519943295E-2</v>
          </cell>
        </row>
      </sheetData>
      <sheetData sheetId="21053">
        <row r="1">
          <cell r="J1">
            <v>1.7453292519943295E-2</v>
          </cell>
        </row>
      </sheetData>
      <sheetData sheetId="21054">
        <row r="1">
          <cell r="J1">
            <v>1.7453292519943295E-2</v>
          </cell>
        </row>
      </sheetData>
      <sheetData sheetId="21055">
        <row r="1">
          <cell r="J1">
            <v>1.7453292519943295E-2</v>
          </cell>
        </row>
      </sheetData>
      <sheetData sheetId="21056">
        <row r="1">
          <cell r="J1">
            <v>1.7453292519943295E-2</v>
          </cell>
        </row>
      </sheetData>
      <sheetData sheetId="21057">
        <row r="1">
          <cell r="J1">
            <v>1.7453292519943295E-2</v>
          </cell>
        </row>
      </sheetData>
      <sheetData sheetId="21058" refreshError="1"/>
      <sheetData sheetId="21059" refreshError="1"/>
      <sheetData sheetId="21060">
        <row r="1">
          <cell r="J1">
            <v>1.7453292519943295E-2</v>
          </cell>
        </row>
      </sheetData>
      <sheetData sheetId="21061">
        <row r="1">
          <cell r="J1">
            <v>1.7453292519943295E-2</v>
          </cell>
        </row>
      </sheetData>
      <sheetData sheetId="21062" refreshError="1"/>
      <sheetData sheetId="21063">
        <row r="1">
          <cell r="J1">
            <v>1.7453292519943295E-2</v>
          </cell>
        </row>
      </sheetData>
      <sheetData sheetId="21064">
        <row r="1">
          <cell r="J1">
            <v>1.7453292519943295E-2</v>
          </cell>
        </row>
      </sheetData>
      <sheetData sheetId="21065" refreshError="1"/>
      <sheetData sheetId="21066" refreshError="1"/>
      <sheetData sheetId="21067" refreshError="1"/>
      <sheetData sheetId="21068">
        <row r="1">
          <cell r="J1">
            <v>1.7453292519943295E-2</v>
          </cell>
        </row>
      </sheetData>
      <sheetData sheetId="21069">
        <row r="1">
          <cell r="J1">
            <v>1.7453292519943295E-2</v>
          </cell>
        </row>
      </sheetData>
      <sheetData sheetId="21070"/>
      <sheetData sheetId="21071"/>
      <sheetData sheetId="21072">
        <row r="1">
          <cell r="J1">
            <v>1.7453292519943295E-2</v>
          </cell>
        </row>
      </sheetData>
      <sheetData sheetId="21073">
        <row r="1">
          <cell r="J1">
            <v>1.7453292519943295E-2</v>
          </cell>
        </row>
      </sheetData>
      <sheetData sheetId="21074">
        <row r="1">
          <cell r="J1">
            <v>1.7453292519943295E-2</v>
          </cell>
        </row>
      </sheetData>
      <sheetData sheetId="21075">
        <row r="1">
          <cell r="J1">
            <v>1.7453292519943295E-2</v>
          </cell>
        </row>
      </sheetData>
      <sheetData sheetId="21076">
        <row r="1">
          <cell r="J1">
            <v>1.7453292519943295E-2</v>
          </cell>
        </row>
      </sheetData>
      <sheetData sheetId="21077">
        <row r="1">
          <cell r="J1">
            <v>1.7453292519943295E-2</v>
          </cell>
        </row>
      </sheetData>
      <sheetData sheetId="21078">
        <row r="1">
          <cell r="J1">
            <v>1.7453292519943295E-2</v>
          </cell>
        </row>
      </sheetData>
      <sheetData sheetId="21079"/>
      <sheetData sheetId="21080">
        <row r="1">
          <cell r="J1">
            <v>1.7453292519943295E-2</v>
          </cell>
        </row>
      </sheetData>
      <sheetData sheetId="21081">
        <row r="1">
          <cell r="J1">
            <v>1.7453292519943295E-2</v>
          </cell>
        </row>
      </sheetData>
      <sheetData sheetId="21082">
        <row r="1">
          <cell r="J1">
            <v>1.7453292519943295E-2</v>
          </cell>
        </row>
      </sheetData>
      <sheetData sheetId="21083">
        <row r="1">
          <cell r="J1">
            <v>1.7453292519943295E-2</v>
          </cell>
        </row>
      </sheetData>
      <sheetData sheetId="21084">
        <row r="1">
          <cell r="J1">
            <v>1.7453292519943295E-2</v>
          </cell>
        </row>
      </sheetData>
      <sheetData sheetId="21085">
        <row r="1">
          <cell r="J1">
            <v>1.7453292519943295E-2</v>
          </cell>
        </row>
      </sheetData>
      <sheetData sheetId="21086">
        <row r="1">
          <cell r="J1">
            <v>1.7453292519943295E-2</v>
          </cell>
        </row>
      </sheetData>
      <sheetData sheetId="21087">
        <row r="1">
          <cell r="J1">
            <v>1.7453292519943295E-2</v>
          </cell>
        </row>
      </sheetData>
      <sheetData sheetId="21088">
        <row r="1">
          <cell r="J1">
            <v>1.7453292519943295E-2</v>
          </cell>
        </row>
      </sheetData>
      <sheetData sheetId="21089" refreshError="1"/>
      <sheetData sheetId="21090" refreshError="1"/>
      <sheetData sheetId="21091">
        <row r="1">
          <cell r="J1">
            <v>1.7453292519943295E-2</v>
          </cell>
        </row>
      </sheetData>
      <sheetData sheetId="21092">
        <row r="1">
          <cell r="J1">
            <v>1.7453292519943295E-2</v>
          </cell>
        </row>
      </sheetData>
      <sheetData sheetId="21093" refreshError="1"/>
      <sheetData sheetId="21094">
        <row r="1">
          <cell r="J1">
            <v>1.7453292519943295E-2</v>
          </cell>
        </row>
      </sheetData>
      <sheetData sheetId="21095">
        <row r="1">
          <cell r="J1">
            <v>1.7453292519943295E-2</v>
          </cell>
        </row>
      </sheetData>
      <sheetData sheetId="21096" refreshError="1"/>
      <sheetData sheetId="21097" refreshError="1"/>
      <sheetData sheetId="21098" refreshError="1"/>
      <sheetData sheetId="21099">
        <row r="1">
          <cell r="J1">
            <v>1.7453292519943295E-2</v>
          </cell>
        </row>
      </sheetData>
      <sheetData sheetId="21100">
        <row r="1">
          <cell r="J1">
            <v>1.7453292519943295E-2</v>
          </cell>
        </row>
      </sheetData>
      <sheetData sheetId="21101">
        <row r="1">
          <cell r="J1">
            <v>1.7453292519943295E-2</v>
          </cell>
        </row>
      </sheetData>
      <sheetData sheetId="21102"/>
      <sheetData sheetId="21103">
        <row r="1">
          <cell r="J1">
            <v>1.7453292519943295E-2</v>
          </cell>
        </row>
      </sheetData>
      <sheetData sheetId="21104">
        <row r="1">
          <cell r="J1">
            <v>1.7453292519943295E-2</v>
          </cell>
        </row>
      </sheetData>
      <sheetData sheetId="21105">
        <row r="1">
          <cell r="J1">
            <v>1.7453292519943295E-2</v>
          </cell>
        </row>
      </sheetData>
      <sheetData sheetId="21106">
        <row r="1">
          <cell r="J1">
            <v>1.7453292519943295E-2</v>
          </cell>
        </row>
      </sheetData>
      <sheetData sheetId="21107">
        <row r="1">
          <cell r="J1">
            <v>1.7453292519943295E-2</v>
          </cell>
        </row>
      </sheetData>
      <sheetData sheetId="21108">
        <row r="1">
          <cell r="J1">
            <v>1.7453292519943295E-2</v>
          </cell>
        </row>
      </sheetData>
      <sheetData sheetId="21109">
        <row r="1">
          <cell r="J1">
            <v>1.7453292519943295E-2</v>
          </cell>
        </row>
      </sheetData>
      <sheetData sheetId="21110"/>
      <sheetData sheetId="21111">
        <row r="1">
          <cell r="J1">
            <v>1.7453292519943295E-2</v>
          </cell>
        </row>
      </sheetData>
      <sheetData sheetId="21112">
        <row r="1">
          <cell r="J1">
            <v>1.7453292519943295E-2</v>
          </cell>
        </row>
      </sheetData>
      <sheetData sheetId="21113">
        <row r="1">
          <cell r="J1">
            <v>1.7453292519943295E-2</v>
          </cell>
        </row>
      </sheetData>
      <sheetData sheetId="21114">
        <row r="1">
          <cell r="J1">
            <v>1.7453292519943295E-2</v>
          </cell>
        </row>
      </sheetData>
      <sheetData sheetId="21115">
        <row r="1">
          <cell r="J1">
            <v>1.7453292519943295E-2</v>
          </cell>
        </row>
      </sheetData>
      <sheetData sheetId="21116">
        <row r="1">
          <cell r="J1">
            <v>1.7453292519943295E-2</v>
          </cell>
        </row>
      </sheetData>
      <sheetData sheetId="21117">
        <row r="1">
          <cell r="J1">
            <v>1.7453292519943295E-2</v>
          </cell>
        </row>
      </sheetData>
      <sheetData sheetId="21118">
        <row r="1">
          <cell r="J1">
            <v>1.7453292519943295E-2</v>
          </cell>
        </row>
      </sheetData>
      <sheetData sheetId="21119" refreshError="1"/>
      <sheetData sheetId="21120" refreshError="1"/>
      <sheetData sheetId="21121">
        <row r="1">
          <cell r="J1">
            <v>1.7453292519943295E-2</v>
          </cell>
        </row>
      </sheetData>
      <sheetData sheetId="21122">
        <row r="1">
          <cell r="J1">
            <v>1.7453292519943295E-2</v>
          </cell>
        </row>
      </sheetData>
      <sheetData sheetId="21123">
        <row r="1">
          <cell r="J1">
            <v>1.7453292519943295E-2</v>
          </cell>
        </row>
      </sheetData>
      <sheetData sheetId="21124" refreshError="1"/>
      <sheetData sheetId="21125">
        <row r="1">
          <cell r="J1">
            <v>1.7453292519943295E-2</v>
          </cell>
        </row>
      </sheetData>
      <sheetData sheetId="21126">
        <row r="1">
          <cell r="J1">
            <v>1.7453292519943295E-2</v>
          </cell>
        </row>
      </sheetData>
      <sheetData sheetId="21127">
        <row r="1">
          <cell r="J1">
            <v>1.7453292519943295E-2</v>
          </cell>
        </row>
      </sheetData>
      <sheetData sheetId="21128" refreshError="1"/>
      <sheetData sheetId="21129" refreshError="1"/>
      <sheetData sheetId="21130">
        <row r="1">
          <cell r="J1">
            <v>1.7453292519943295E-2</v>
          </cell>
        </row>
      </sheetData>
      <sheetData sheetId="21131">
        <row r="1">
          <cell r="J1">
            <v>1.7453292519943295E-2</v>
          </cell>
        </row>
      </sheetData>
      <sheetData sheetId="21132">
        <row r="1">
          <cell r="J1">
            <v>1.7453292519943295E-2</v>
          </cell>
        </row>
      </sheetData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>
        <row r="1">
          <cell r="J1">
            <v>1.7453292519943295E-2</v>
          </cell>
        </row>
      </sheetData>
      <sheetData sheetId="21139">
        <row r="1">
          <cell r="J1">
            <v>1.7453292519943295E-2</v>
          </cell>
        </row>
      </sheetData>
      <sheetData sheetId="21140">
        <row r="1">
          <cell r="J1">
            <v>1.7453292519943295E-2</v>
          </cell>
        </row>
      </sheetData>
      <sheetData sheetId="21141">
        <row r="1">
          <cell r="J1">
            <v>1.7453292519943295E-2</v>
          </cell>
        </row>
      </sheetData>
      <sheetData sheetId="21142">
        <row r="1">
          <cell r="J1">
            <v>1.7453292519943295E-2</v>
          </cell>
        </row>
      </sheetData>
      <sheetData sheetId="21143" refreshError="1"/>
      <sheetData sheetId="21144" refreshError="1"/>
      <sheetData sheetId="21145">
        <row r="1">
          <cell r="J1">
            <v>1.7453292519943295E-2</v>
          </cell>
        </row>
      </sheetData>
      <sheetData sheetId="21146">
        <row r="1">
          <cell r="J1">
            <v>1.7453292519943295E-2</v>
          </cell>
        </row>
      </sheetData>
      <sheetData sheetId="21147">
        <row r="1">
          <cell r="J1">
            <v>1.7453292519943295E-2</v>
          </cell>
        </row>
      </sheetData>
      <sheetData sheetId="21148">
        <row r="1">
          <cell r="J1">
            <v>1.7453292519943295E-2</v>
          </cell>
        </row>
      </sheetData>
      <sheetData sheetId="21149">
        <row r="1">
          <cell r="J1">
            <v>1.7453292519943295E-2</v>
          </cell>
        </row>
      </sheetData>
      <sheetData sheetId="21150">
        <row r="1">
          <cell r="J1">
            <v>1.7453292519943295E-2</v>
          </cell>
        </row>
      </sheetData>
      <sheetData sheetId="21151">
        <row r="1">
          <cell r="J1">
            <v>1.7453292519943295E-2</v>
          </cell>
        </row>
      </sheetData>
      <sheetData sheetId="21152">
        <row r="1">
          <cell r="J1">
            <v>1.7453292519943295E-2</v>
          </cell>
        </row>
      </sheetData>
      <sheetData sheetId="21153">
        <row r="1">
          <cell r="J1">
            <v>1.7453292519943295E-2</v>
          </cell>
        </row>
      </sheetData>
      <sheetData sheetId="21154">
        <row r="1">
          <cell r="J1">
            <v>1.7453292519943295E-2</v>
          </cell>
        </row>
      </sheetData>
      <sheetData sheetId="21155">
        <row r="1">
          <cell r="J1">
            <v>1.7453292519943295E-2</v>
          </cell>
        </row>
      </sheetData>
      <sheetData sheetId="21156">
        <row r="1">
          <cell r="J1">
            <v>1.7453292519943295E-2</v>
          </cell>
        </row>
      </sheetData>
      <sheetData sheetId="21157">
        <row r="1">
          <cell r="J1">
            <v>1.7453292519943295E-2</v>
          </cell>
        </row>
      </sheetData>
      <sheetData sheetId="21158">
        <row r="1">
          <cell r="J1">
            <v>1.7453292519943295E-2</v>
          </cell>
        </row>
      </sheetData>
      <sheetData sheetId="21159">
        <row r="1">
          <cell r="J1">
            <v>1.7453292519943295E-2</v>
          </cell>
        </row>
      </sheetData>
      <sheetData sheetId="21160">
        <row r="1">
          <cell r="J1">
            <v>1.7453292519943295E-2</v>
          </cell>
        </row>
      </sheetData>
      <sheetData sheetId="21161">
        <row r="1">
          <cell r="J1">
            <v>1.7453292519943295E-2</v>
          </cell>
        </row>
      </sheetData>
      <sheetData sheetId="21162">
        <row r="1">
          <cell r="J1">
            <v>1.7453292519943295E-2</v>
          </cell>
        </row>
      </sheetData>
      <sheetData sheetId="21163">
        <row r="1">
          <cell r="J1">
            <v>1.7453292519943295E-2</v>
          </cell>
        </row>
      </sheetData>
      <sheetData sheetId="21164">
        <row r="1">
          <cell r="J1">
            <v>1.7453292519943295E-2</v>
          </cell>
        </row>
      </sheetData>
      <sheetData sheetId="21165">
        <row r="1">
          <cell r="J1">
            <v>1.7453292519943295E-2</v>
          </cell>
        </row>
      </sheetData>
      <sheetData sheetId="21166">
        <row r="1">
          <cell r="J1">
            <v>1.7453292519943295E-2</v>
          </cell>
        </row>
      </sheetData>
      <sheetData sheetId="21167">
        <row r="1">
          <cell r="J1">
            <v>1.7453292519943295E-2</v>
          </cell>
        </row>
      </sheetData>
      <sheetData sheetId="21168" refreshError="1"/>
      <sheetData sheetId="21169" refreshError="1"/>
      <sheetData sheetId="21170" refreshError="1"/>
      <sheetData sheetId="21171" refreshError="1"/>
      <sheetData sheetId="21172">
        <row r="1">
          <cell r="J1">
            <v>1.7453292519943295E-2</v>
          </cell>
        </row>
      </sheetData>
      <sheetData sheetId="21173">
        <row r="1">
          <cell r="J1">
            <v>1.7453292519943295E-2</v>
          </cell>
        </row>
      </sheetData>
      <sheetData sheetId="21174">
        <row r="1">
          <cell r="J1">
            <v>1.7453292519943295E-2</v>
          </cell>
        </row>
      </sheetData>
      <sheetData sheetId="21175" refreshError="1"/>
      <sheetData sheetId="21176" refreshError="1"/>
      <sheetData sheetId="21177" refreshError="1"/>
      <sheetData sheetId="21178">
        <row r="1">
          <cell r="J1">
            <v>1.7453292519943295E-2</v>
          </cell>
        </row>
      </sheetData>
      <sheetData sheetId="21179"/>
      <sheetData sheetId="21180">
        <row r="1">
          <cell r="J1">
            <v>1.7453292519943295E-2</v>
          </cell>
        </row>
      </sheetData>
      <sheetData sheetId="21181">
        <row r="1">
          <cell r="J1">
            <v>1.7453292519943295E-2</v>
          </cell>
        </row>
      </sheetData>
      <sheetData sheetId="21182">
        <row r="1">
          <cell r="J1">
            <v>1.7453292519943295E-2</v>
          </cell>
        </row>
      </sheetData>
      <sheetData sheetId="21183">
        <row r="1">
          <cell r="J1">
            <v>1.7453292519943295E-2</v>
          </cell>
        </row>
      </sheetData>
      <sheetData sheetId="21184">
        <row r="1">
          <cell r="J1">
            <v>1.7453292519943295E-2</v>
          </cell>
        </row>
      </sheetData>
      <sheetData sheetId="21185">
        <row r="1">
          <cell r="J1">
            <v>1.7453292519943295E-2</v>
          </cell>
        </row>
      </sheetData>
      <sheetData sheetId="21186">
        <row r="1">
          <cell r="J1">
            <v>1.7453292519943295E-2</v>
          </cell>
        </row>
      </sheetData>
      <sheetData sheetId="21187">
        <row r="1">
          <cell r="J1">
            <v>1.7453292519943295E-2</v>
          </cell>
        </row>
      </sheetData>
      <sheetData sheetId="21188">
        <row r="1">
          <cell r="J1">
            <v>1.7453292519943295E-2</v>
          </cell>
        </row>
      </sheetData>
      <sheetData sheetId="21189">
        <row r="1">
          <cell r="J1">
            <v>1.7453292519943295E-2</v>
          </cell>
        </row>
      </sheetData>
      <sheetData sheetId="21190">
        <row r="1">
          <cell r="J1">
            <v>1.7453292519943295E-2</v>
          </cell>
        </row>
      </sheetData>
      <sheetData sheetId="21191">
        <row r="1">
          <cell r="J1">
            <v>1.7453292519943295E-2</v>
          </cell>
        </row>
      </sheetData>
      <sheetData sheetId="21192" refreshError="1"/>
      <sheetData sheetId="21193">
        <row r="1">
          <cell r="J1">
            <v>1.7453292519943295E-2</v>
          </cell>
        </row>
      </sheetData>
      <sheetData sheetId="21194">
        <row r="1">
          <cell r="J1">
            <v>1.7453292519943295E-2</v>
          </cell>
        </row>
      </sheetData>
      <sheetData sheetId="21195">
        <row r="1">
          <cell r="J1">
            <v>1.7453292519943295E-2</v>
          </cell>
        </row>
      </sheetData>
      <sheetData sheetId="21196">
        <row r="1">
          <cell r="J1">
            <v>1.7453292519943295E-2</v>
          </cell>
        </row>
      </sheetData>
      <sheetData sheetId="21197">
        <row r="1">
          <cell r="J1">
            <v>1.7453292519943295E-2</v>
          </cell>
        </row>
      </sheetData>
      <sheetData sheetId="21198">
        <row r="1">
          <cell r="J1">
            <v>1.7453292519943295E-2</v>
          </cell>
        </row>
      </sheetData>
      <sheetData sheetId="21199" refreshError="1"/>
      <sheetData sheetId="21200" refreshError="1"/>
      <sheetData sheetId="21201" refreshError="1"/>
      <sheetData sheetId="21202" refreshError="1"/>
      <sheetData sheetId="21203">
        <row r="1">
          <cell r="J1">
            <v>1.7453292519943295E-2</v>
          </cell>
        </row>
      </sheetData>
      <sheetData sheetId="21204">
        <row r="1">
          <cell r="J1">
            <v>1.7453292519943295E-2</v>
          </cell>
        </row>
      </sheetData>
      <sheetData sheetId="21205">
        <row r="1">
          <cell r="J1">
            <v>1.7453292519943295E-2</v>
          </cell>
        </row>
      </sheetData>
      <sheetData sheetId="21206" refreshError="1"/>
      <sheetData sheetId="21207" refreshError="1"/>
      <sheetData sheetId="21208">
        <row r="1">
          <cell r="J1">
            <v>1.7453292519943295E-2</v>
          </cell>
        </row>
      </sheetData>
      <sheetData sheetId="21209">
        <row r="1">
          <cell r="J1">
            <v>1.7453292519943295E-2</v>
          </cell>
        </row>
      </sheetData>
      <sheetData sheetId="21210"/>
      <sheetData sheetId="21211">
        <row r="1">
          <cell r="J1">
            <v>1.7453292519943295E-2</v>
          </cell>
        </row>
      </sheetData>
      <sheetData sheetId="21212">
        <row r="1">
          <cell r="J1">
            <v>1.7453292519943295E-2</v>
          </cell>
        </row>
      </sheetData>
      <sheetData sheetId="21213">
        <row r="1">
          <cell r="J1">
            <v>1.7453292519943295E-2</v>
          </cell>
        </row>
      </sheetData>
      <sheetData sheetId="21214">
        <row r="1">
          <cell r="J1">
            <v>1.7453292519943295E-2</v>
          </cell>
        </row>
      </sheetData>
      <sheetData sheetId="21215">
        <row r="1">
          <cell r="J1">
            <v>1.7453292519943295E-2</v>
          </cell>
        </row>
      </sheetData>
      <sheetData sheetId="21216">
        <row r="1">
          <cell r="J1">
            <v>1.7453292519943295E-2</v>
          </cell>
        </row>
      </sheetData>
      <sheetData sheetId="21217">
        <row r="1">
          <cell r="J1">
            <v>1.7453292519943295E-2</v>
          </cell>
        </row>
      </sheetData>
      <sheetData sheetId="21218">
        <row r="1">
          <cell r="J1">
            <v>1.7453292519943295E-2</v>
          </cell>
        </row>
      </sheetData>
      <sheetData sheetId="21219">
        <row r="1">
          <cell r="J1">
            <v>1.7453292519943295E-2</v>
          </cell>
        </row>
      </sheetData>
      <sheetData sheetId="21220">
        <row r="1">
          <cell r="J1">
            <v>1.7453292519943295E-2</v>
          </cell>
        </row>
      </sheetData>
      <sheetData sheetId="21221">
        <row r="1">
          <cell r="J1">
            <v>1.7453292519943295E-2</v>
          </cell>
        </row>
      </sheetData>
      <sheetData sheetId="21222">
        <row r="1">
          <cell r="J1">
            <v>1.7453292519943295E-2</v>
          </cell>
        </row>
      </sheetData>
      <sheetData sheetId="21223">
        <row r="1">
          <cell r="J1">
            <v>1.7453292519943295E-2</v>
          </cell>
        </row>
      </sheetData>
      <sheetData sheetId="21224">
        <row r="1">
          <cell r="J1">
            <v>1.7453292519943295E-2</v>
          </cell>
        </row>
      </sheetData>
      <sheetData sheetId="21225">
        <row r="1">
          <cell r="J1">
            <v>1.7453292519943295E-2</v>
          </cell>
        </row>
      </sheetData>
      <sheetData sheetId="21226">
        <row r="1">
          <cell r="J1">
            <v>1.7453292519943295E-2</v>
          </cell>
        </row>
      </sheetData>
      <sheetData sheetId="21227">
        <row r="1">
          <cell r="J1">
            <v>1.7453292519943295E-2</v>
          </cell>
        </row>
      </sheetData>
      <sheetData sheetId="21228">
        <row r="1">
          <cell r="J1">
            <v>1.7453292519943295E-2</v>
          </cell>
        </row>
      </sheetData>
      <sheetData sheetId="21229">
        <row r="1">
          <cell r="J1">
            <v>1.7453292519943295E-2</v>
          </cell>
        </row>
      </sheetData>
      <sheetData sheetId="21230" refreshError="1"/>
      <sheetData sheetId="21231" refreshError="1"/>
      <sheetData sheetId="21232" refreshError="1"/>
      <sheetData sheetId="21233" refreshError="1"/>
      <sheetData sheetId="21234">
        <row r="1">
          <cell r="J1">
            <v>1.7453292519943295E-2</v>
          </cell>
        </row>
      </sheetData>
      <sheetData sheetId="21235">
        <row r="1">
          <cell r="J1">
            <v>1.7453292519943295E-2</v>
          </cell>
        </row>
      </sheetData>
      <sheetData sheetId="21236">
        <row r="1">
          <cell r="J1">
            <v>1.7453292519943295E-2</v>
          </cell>
        </row>
      </sheetData>
      <sheetData sheetId="21237" refreshError="1"/>
      <sheetData sheetId="21238" refreshError="1"/>
      <sheetData sheetId="21239">
        <row r="1">
          <cell r="J1">
            <v>1.7453292519943295E-2</v>
          </cell>
        </row>
      </sheetData>
      <sheetData sheetId="21240">
        <row r="1">
          <cell r="J1">
            <v>1.7453292519943295E-2</v>
          </cell>
        </row>
      </sheetData>
      <sheetData sheetId="21241"/>
      <sheetData sheetId="21242">
        <row r="1">
          <cell r="J1">
            <v>1.7453292519943295E-2</v>
          </cell>
        </row>
      </sheetData>
      <sheetData sheetId="21243">
        <row r="1">
          <cell r="J1">
            <v>1.7453292519943295E-2</v>
          </cell>
        </row>
      </sheetData>
      <sheetData sheetId="21244">
        <row r="1">
          <cell r="J1">
            <v>1.7453292519943295E-2</v>
          </cell>
        </row>
      </sheetData>
      <sheetData sheetId="21245"/>
      <sheetData sheetId="21246">
        <row r="1">
          <cell r="J1">
            <v>1.7453292519943295E-2</v>
          </cell>
        </row>
      </sheetData>
      <sheetData sheetId="21247">
        <row r="1">
          <cell r="J1">
            <v>1.7453292519943295E-2</v>
          </cell>
        </row>
      </sheetData>
      <sheetData sheetId="21248">
        <row r="1">
          <cell r="J1">
            <v>1.7453292519943295E-2</v>
          </cell>
        </row>
      </sheetData>
      <sheetData sheetId="21249">
        <row r="1">
          <cell r="J1">
            <v>1.7453292519943295E-2</v>
          </cell>
        </row>
      </sheetData>
      <sheetData sheetId="21250">
        <row r="1">
          <cell r="J1">
            <v>1.7453292519943295E-2</v>
          </cell>
        </row>
      </sheetData>
      <sheetData sheetId="21251">
        <row r="1">
          <cell r="J1">
            <v>1.7453292519943295E-2</v>
          </cell>
        </row>
      </sheetData>
      <sheetData sheetId="21252">
        <row r="1">
          <cell r="J1">
            <v>1.7453292519943295E-2</v>
          </cell>
        </row>
      </sheetData>
      <sheetData sheetId="21253">
        <row r="1">
          <cell r="J1">
            <v>1.7453292519943295E-2</v>
          </cell>
        </row>
      </sheetData>
      <sheetData sheetId="21254">
        <row r="1">
          <cell r="J1">
            <v>1.7453292519943295E-2</v>
          </cell>
        </row>
      </sheetData>
      <sheetData sheetId="21255">
        <row r="1">
          <cell r="J1">
            <v>1.7453292519943295E-2</v>
          </cell>
        </row>
      </sheetData>
      <sheetData sheetId="21256">
        <row r="1">
          <cell r="J1">
            <v>1.7453292519943295E-2</v>
          </cell>
        </row>
      </sheetData>
      <sheetData sheetId="21257">
        <row r="1">
          <cell r="J1">
            <v>1.7453292519943295E-2</v>
          </cell>
        </row>
      </sheetData>
      <sheetData sheetId="21258">
        <row r="1">
          <cell r="J1">
            <v>1.7453292519943295E-2</v>
          </cell>
        </row>
      </sheetData>
      <sheetData sheetId="21259">
        <row r="1">
          <cell r="J1">
            <v>1.7453292519943295E-2</v>
          </cell>
        </row>
      </sheetData>
      <sheetData sheetId="21260">
        <row r="1">
          <cell r="J1">
            <v>1.7453292519943295E-2</v>
          </cell>
        </row>
      </sheetData>
      <sheetData sheetId="21261" refreshError="1"/>
      <sheetData sheetId="21262" refreshError="1"/>
      <sheetData sheetId="21263">
        <row r="1">
          <cell r="J1">
            <v>1.7453292519943295E-2</v>
          </cell>
        </row>
      </sheetData>
      <sheetData sheetId="21264">
        <row r="1">
          <cell r="J1">
            <v>1.7453292519943295E-2</v>
          </cell>
        </row>
      </sheetData>
      <sheetData sheetId="21265">
        <row r="1">
          <cell r="J1">
            <v>1.7453292519943295E-2</v>
          </cell>
        </row>
      </sheetData>
      <sheetData sheetId="21266" refreshError="1"/>
      <sheetData sheetId="21267">
        <row r="1">
          <cell r="J1">
            <v>1.7453292519943295E-2</v>
          </cell>
        </row>
      </sheetData>
      <sheetData sheetId="21268">
        <row r="1">
          <cell r="J1">
            <v>1.7453292519943295E-2</v>
          </cell>
        </row>
      </sheetData>
      <sheetData sheetId="21269">
        <row r="1">
          <cell r="J1">
            <v>1.7453292519943295E-2</v>
          </cell>
        </row>
      </sheetData>
      <sheetData sheetId="21270" refreshError="1"/>
      <sheetData sheetId="21271" refreshError="1"/>
      <sheetData sheetId="21272">
        <row r="1">
          <cell r="J1">
            <v>1.7453292519943295E-2</v>
          </cell>
        </row>
      </sheetData>
      <sheetData sheetId="21273">
        <row r="1">
          <cell r="J1">
            <v>1.7453292519943295E-2</v>
          </cell>
        </row>
      </sheetData>
      <sheetData sheetId="21274">
        <row r="1">
          <cell r="J1">
            <v>1.7453292519943295E-2</v>
          </cell>
        </row>
      </sheetData>
      <sheetData sheetId="21275" refreshError="1"/>
      <sheetData sheetId="21276">
        <row r="1">
          <cell r="J1">
            <v>1.7453292519943295E-2</v>
          </cell>
        </row>
      </sheetData>
      <sheetData sheetId="21277">
        <row r="1">
          <cell r="J1">
            <v>1.7453292519943295E-2</v>
          </cell>
        </row>
      </sheetData>
      <sheetData sheetId="21278">
        <row r="1">
          <cell r="J1">
            <v>1.7453292519943295E-2</v>
          </cell>
        </row>
      </sheetData>
      <sheetData sheetId="21279">
        <row r="1">
          <cell r="J1">
            <v>1.7453292519943295E-2</v>
          </cell>
        </row>
      </sheetData>
      <sheetData sheetId="21280">
        <row r="1">
          <cell r="J1">
            <v>1.7453292519943295E-2</v>
          </cell>
        </row>
      </sheetData>
      <sheetData sheetId="21281" refreshError="1"/>
      <sheetData sheetId="21282" refreshError="1"/>
      <sheetData sheetId="21283">
        <row r="1">
          <cell r="J1">
            <v>1.7453292519943295E-2</v>
          </cell>
        </row>
      </sheetData>
      <sheetData sheetId="21284">
        <row r="1">
          <cell r="J1">
            <v>1.7453292519943295E-2</v>
          </cell>
        </row>
      </sheetData>
      <sheetData sheetId="21285">
        <row r="1">
          <cell r="J1">
            <v>1.7453292519943295E-2</v>
          </cell>
        </row>
      </sheetData>
      <sheetData sheetId="21286" refreshError="1"/>
      <sheetData sheetId="21287" refreshError="1"/>
      <sheetData sheetId="21288">
        <row r="1">
          <cell r="J1">
            <v>1.7453292519943295E-2</v>
          </cell>
        </row>
      </sheetData>
      <sheetData sheetId="21289">
        <row r="1">
          <cell r="J1">
            <v>1.7453292519943295E-2</v>
          </cell>
        </row>
      </sheetData>
      <sheetData sheetId="21290">
        <row r="1">
          <cell r="J1">
            <v>1.7453292519943295E-2</v>
          </cell>
        </row>
      </sheetData>
      <sheetData sheetId="21291" refreshError="1"/>
      <sheetData sheetId="21292" refreshError="1"/>
      <sheetData sheetId="21293" refreshError="1"/>
      <sheetData sheetId="21294">
        <row r="1">
          <cell r="J1">
            <v>1.7453292519943295E-2</v>
          </cell>
        </row>
      </sheetData>
      <sheetData sheetId="21295">
        <row r="1">
          <cell r="J1">
            <v>1.7453292519943295E-2</v>
          </cell>
        </row>
      </sheetData>
      <sheetData sheetId="21296" refreshError="1"/>
      <sheetData sheetId="21297" refreshError="1"/>
      <sheetData sheetId="21298">
        <row r="1">
          <cell r="J1">
            <v>1.7453292519943295E-2</v>
          </cell>
        </row>
      </sheetData>
      <sheetData sheetId="21299">
        <row r="1">
          <cell r="J1">
            <v>1.7453292519943295E-2</v>
          </cell>
        </row>
      </sheetData>
      <sheetData sheetId="21300">
        <row r="1">
          <cell r="J1">
            <v>1.7453292519943295E-2</v>
          </cell>
        </row>
      </sheetData>
      <sheetData sheetId="21301"/>
      <sheetData sheetId="21302">
        <row r="1">
          <cell r="J1">
            <v>1.7453292519943295E-2</v>
          </cell>
        </row>
      </sheetData>
      <sheetData sheetId="21303">
        <row r="1">
          <cell r="J1">
            <v>1.7453292519943295E-2</v>
          </cell>
        </row>
      </sheetData>
      <sheetData sheetId="21304">
        <row r="1">
          <cell r="J1">
            <v>1.7453292519943295E-2</v>
          </cell>
        </row>
      </sheetData>
      <sheetData sheetId="21305">
        <row r="1">
          <cell r="J1">
            <v>1.7453292519943295E-2</v>
          </cell>
        </row>
      </sheetData>
      <sheetData sheetId="21306">
        <row r="1">
          <cell r="J1">
            <v>1.7453292519943295E-2</v>
          </cell>
        </row>
      </sheetData>
      <sheetData sheetId="21307">
        <row r="1">
          <cell r="J1">
            <v>1.7453292519943295E-2</v>
          </cell>
        </row>
      </sheetData>
      <sheetData sheetId="21308">
        <row r="1">
          <cell r="J1">
            <v>1.7453292519943295E-2</v>
          </cell>
        </row>
      </sheetData>
      <sheetData sheetId="21309">
        <row r="1">
          <cell r="J1">
            <v>1.7453292519943295E-2</v>
          </cell>
        </row>
      </sheetData>
      <sheetData sheetId="21310">
        <row r="1">
          <cell r="J1">
            <v>1.7453292519943295E-2</v>
          </cell>
        </row>
      </sheetData>
      <sheetData sheetId="21311">
        <row r="1">
          <cell r="J1">
            <v>1.7453292519943295E-2</v>
          </cell>
        </row>
      </sheetData>
      <sheetData sheetId="21312">
        <row r="1">
          <cell r="J1">
            <v>1.7453292519943295E-2</v>
          </cell>
        </row>
      </sheetData>
      <sheetData sheetId="21313">
        <row r="1">
          <cell r="J1">
            <v>1.7453292519943295E-2</v>
          </cell>
        </row>
      </sheetData>
      <sheetData sheetId="21314">
        <row r="1">
          <cell r="J1">
            <v>1.7453292519943295E-2</v>
          </cell>
        </row>
      </sheetData>
      <sheetData sheetId="21315">
        <row r="1">
          <cell r="J1">
            <v>1.7453292519943295E-2</v>
          </cell>
        </row>
      </sheetData>
      <sheetData sheetId="21316">
        <row r="1">
          <cell r="J1">
            <v>1.7453292519943295E-2</v>
          </cell>
        </row>
      </sheetData>
      <sheetData sheetId="21317">
        <row r="1">
          <cell r="J1">
            <v>1.7453292519943295E-2</v>
          </cell>
        </row>
      </sheetData>
      <sheetData sheetId="21318">
        <row r="1">
          <cell r="J1">
            <v>1.7453292519943295E-2</v>
          </cell>
        </row>
      </sheetData>
      <sheetData sheetId="21319">
        <row r="1">
          <cell r="J1">
            <v>1.7453292519943295E-2</v>
          </cell>
        </row>
      </sheetData>
      <sheetData sheetId="21320">
        <row r="1">
          <cell r="J1">
            <v>1.7453292519943295E-2</v>
          </cell>
        </row>
      </sheetData>
      <sheetData sheetId="21321">
        <row r="1">
          <cell r="J1">
            <v>1.7453292519943295E-2</v>
          </cell>
        </row>
      </sheetData>
      <sheetData sheetId="21322">
        <row r="1">
          <cell r="J1">
            <v>1.7453292519943295E-2</v>
          </cell>
        </row>
      </sheetData>
      <sheetData sheetId="21323">
        <row r="1">
          <cell r="J1">
            <v>1.7453292519943295E-2</v>
          </cell>
        </row>
      </sheetData>
      <sheetData sheetId="21324">
        <row r="1">
          <cell r="J1">
            <v>1.7453292519943295E-2</v>
          </cell>
        </row>
      </sheetData>
      <sheetData sheetId="21325">
        <row r="1">
          <cell r="J1">
            <v>1.7453292519943295E-2</v>
          </cell>
        </row>
      </sheetData>
      <sheetData sheetId="21326">
        <row r="1">
          <cell r="J1">
            <v>1.7453292519943295E-2</v>
          </cell>
        </row>
      </sheetData>
      <sheetData sheetId="21327" refreshError="1"/>
      <sheetData sheetId="21328" refreshError="1"/>
      <sheetData sheetId="21329">
        <row r="1">
          <cell r="J1">
            <v>1.7453292519943295E-2</v>
          </cell>
        </row>
      </sheetData>
      <sheetData sheetId="21330">
        <row r="1">
          <cell r="J1">
            <v>1.7453292519943295E-2</v>
          </cell>
        </row>
      </sheetData>
      <sheetData sheetId="21331" refreshError="1"/>
      <sheetData sheetId="21332">
        <row r="1">
          <cell r="J1">
            <v>1.7453292519943295E-2</v>
          </cell>
        </row>
      </sheetData>
      <sheetData sheetId="21333" refreshError="1"/>
      <sheetData sheetId="21334" refreshError="1"/>
      <sheetData sheetId="21335">
        <row r="1">
          <cell r="J1">
            <v>1.7453292519943295E-2</v>
          </cell>
        </row>
      </sheetData>
      <sheetData sheetId="21336">
        <row r="1">
          <cell r="J1">
            <v>1.7453292519943295E-2</v>
          </cell>
        </row>
      </sheetData>
      <sheetData sheetId="21337">
        <row r="1">
          <cell r="J1">
            <v>1.7453292519943295E-2</v>
          </cell>
        </row>
      </sheetData>
      <sheetData sheetId="21338" refreshError="1"/>
      <sheetData sheetId="21339" refreshError="1"/>
      <sheetData sheetId="21340" refreshError="1"/>
      <sheetData sheetId="21341">
        <row r="1">
          <cell r="J1">
            <v>1.7453292519943295E-2</v>
          </cell>
        </row>
      </sheetData>
      <sheetData sheetId="21342" refreshError="1"/>
      <sheetData sheetId="21343">
        <row r="1">
          <cell r="J1">
            <v>1.7453292519943295E-2</v>
          </cell>
        </row>
      </sheetData>
      <sheetData sheetId="21344">
        <row r="1">
          <cell r="J1">
            <v>1.7453292519943295E-2</v>
          </cell>
        </row>
      </sheetData>
      <sheetData sheetId="21345">
        <row r="1">
          <cell r="J1">
            <v>1.7453292519943295E-2</v>
          </cell>
        </row>
      </sheetData>
      <sheetData sheetId="21346"/>
      <sheetData sheetId="21347">
        <row r="1">
          <cell r="J1">
            <v>1.7453292519943295E-2</v>
          </cell>
        </row>
      </sheetData>
      <sheetData sheetId="21348">
        <row r="1">
          <cell r="J1">
            <v>1.7453292519943295E-2</v>
          </cell>
        </row>
      </sheetData>
      <sheetData sheetId="21349">
        <row r="1">
          <cell r="J1">
            <v>1.7453292519943295E-2</v>
          </cell>
        </row>
      </sheetData>
      <sheetData sheetId="21350"/>
      <sheetData sheetId="21351">
        <row r="1">
          <cell r="J1">
            <v>1.7453292519943295E-2</v>
          </cell>
        </row>
      </sheetData>
      <sheetData sheetId="21352">
        <row r="1">
          <cell r="J1">
            <v>1.7453292519943295E-2</v>
          </cell>
        </row>
      </sheetData>
      <sheetData sheetId="21353">
        <row r="1">
          <cell r="J1">
            <v>1.7453292519943295E-2</v>
          </cell>
        </row>
      </sheetData>
      <sheetData sheetId="21354"/>
      <sheetData sheetId="21355">
        <row r="1">
          <cell r="J1">
            <v>1.7453292519943295E-2</v>
          </cell>
        </row>
      </sheetData>
      <sheetData sheetId="21356">
        <row r="1">
          <cell r="J1">
            <v>1.7453292519943295E-2</v>
          </cell>
        </row>
      </sheetData>
      <sheetData sheetId="21357">
        <row r="1">
          <cell r="J1">
            <v>1.7453292519943295E-2</v>
          </cell>
        </row>
      </sheetData>
      <sheetData sheetId="21358">
        <row r="1">
          <cell r="J1">
            <v>1.7453292519943295E-2</v>
          </cell>
        </row>
      </sheetData>
      <sheetData sheetId="21359">
        <row r="1">
          <cell r="J1">
            <v>1.7453292519943295E-2</v>
          </cell>
        </row>
      </sheetData>
      <sheetData sheetId="21360">
        <row r="1">
          <cell r="J1">
            <v>1.7453292519943295E-2</v>
          </cell>
        </row>
      </sheetData>
      <sheetData sheetId="21361">
        <row r="1">
          <cell r="J1">
            <v>1.7453292519943295E-2</v>
          </cell>
        </row>
      </sheetData>
      <sheetData sheetId="21362">
        <row r="1">
          <cell r="J1">
            <v>1.7453292519943295E-2</v>
          </cell>
        </row>
      </sheetData>
      <sheetData sheetId="21363" refreshError="1"/>
      <sheetData sheetId="21364" refreshError="1"/>
      <sheetData sheetId="21365">
        <row r="1">
          <cell r="J1">
            <v>1.7453292519943295E-2</v>
          </cell>
        </row>
      </sheetData>
      <sheetData sheetId="21366">
        <row r="1">
          <cell r="J1">
            <v>1.7453292519943295E-2</v>
          </cell>
        </row>
      </sheetData>
      <sheetData sheetId="21367">
        <row r="1">
          <cell r="J1">
            <v>1.7453292519943295E-2</v>
          </cell>
        </row>
      </sheetData>
      <sheetData sheetId="21368" refreshError="1"/>
      <sheetData sheetId="21369" refreshError="1"/>
      <sheetData sheetId="21370">
        <row r="1">
          <cell r="J1">
            <v>1.7453292519943295E-2</v>
          </cell>
        </row>
      </sheetData>
      <sheetData sheetId="21371">
        <row r="1">
          <cell r="J1">
            <v>1.7453292519943295E-2</v>
          </cell>
        </row>
      </sheetData>
      <sheetData sheetId="21372">
        <row r="1">
          <cell r="J1">
            <v>1.7453292519943295E-2</v>
          </cell>
        </row>
      </sheetData>
      <sheetData sheetId="21373" refreshError="1"/>
      <sheetData sheetId="21374">
        <row r="1">
          <cell r="J1">
            <v>1.7453292519943295E-2</v>
          </cell>
        </row>
      </sheetData>
      <sheetData sheetId="21375">
        <row r="1">
          <cell r="J1">
            <v>1.7453292519943295E-2</v>
          </cell>
        </row>
      </sheetData>
      <sheetData sheetId="21376" refreshError="1"/>
      <sheetData sheetId="21377" refreshError="1"/>
      <sheetData sheetId="21378">
        <row r="1">
          <cell r="J1">
            <v>1.7453292519943295E-2</v>
          </cell>
        </row>
      </sheetData>
      <sheetData sheetId="21379">
        <row r="1">
          <cell r="J1">
            <v>1.7453292519943295E-2</v>
          </cell>
        </row>
      </sheetData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>
        <row r="1">
          <cell r="J1">
            <v>1.7453292519943295E-2</v>
          </cell>
        </row>
      </sheetData>
      <sheetData sheetId="21386">
        <row r="1">
          <cell r="J1">
            <v>1.7453292519943295E-2</v>
          </cell>
        </row>
      </sheetData>
      <sheetData sheetId="21387">
        <row r="1">
          <cell r="J1">
            <v>1.7453292519943295E-2</v>
          </cell>
        </row>
      </sheetData>
      <sheetData sheetId="21388">
        <row r="1">
          <cell r="J1">
            <v>1.7453292519943295E-2</v>
          </cell>
        </row>
      </sheetData>
      <sheetData sheetId="21389">
        <row r="1">
          <cell r="J1">
            <v>1.7453292519943295E-2</v>
          </cell>
        </row>
      </sheetData>
      <sheetData sheetId="21390" refreshError="1"/>
      <sheetData sheetId="21391" refreshError="1"/>
      <sheetData sheetId="21392">
        <row r="1">
          <cell r="J1">
            <v>1.7453292519943295E-2</v>
          </cell>
        </row>
      </sheetData>
      <sheetData sheetId="21393">
        <row r="1">
          <cell r="J1">
            <v>1.7453292519943295E-2</v>
          </cell>
        </row>
      </sheetData>
      <sheetData sheetId="21394">
        <row r="1">
          <cell r="J1">
            <v>1.7453292519943295E-2</v>
          </cell>
        </row>
      </sheetData>
      <sheetData sheetId="21395">
        <row r="1">
          <cell r="J1">
            <v>1.7453292519943295E-2</v>
          </cell>
        </row>
      </sheetData>
      <sheetData sheetId="21396">
        <row r="1">
          <cell r="J1">
            <v>1.7453292519943295E-2</v>
          </cell>
        </row>
      </sheetData>
      <sheetData sheetId="21397">
        <row r="1">
          <cell r="J1">
            <v>1.7453292519943295E-2</v>
          </cell>
        </row>
      </sheetData>
      <sheetData sheetId="21398">
        <row r="1">
          <cell r="J1">
            <v>1.7453292519943295E-2</v>
          </cell>
        </row>
      </sheetData>
      <sheetData sheetId="21399">
        <row r="1">
          <cell r="J1">
            <v>1.7453292519943295E-2</v>
          </cell>
        </row>
      </sheetData>
      <sheetData sheetId="21400">
        <row r="1">
          <cell r="J1">
            <v>1.7453292519943295E-2</v>
          </cell>
        </row>
      </sheetData>
      <sheetData sheetId="21401">
        <row r="1">
          <cell r="J1">
            <v>1.7453292519943295E-2</v>
          </cell>
        </row>
      </sheetData>
      <sheetData sheetId="21402">
        <row r="1">
          <cell r="J1">
            <v>1.7453292519943295E-2</v>
          </cell>
        </row>
      </sheetData>
      <sheetData sheetId="21403">
        <row r="1">
          <cell r="J1">
            <v>1.7453292519943295E-2</v>
          </cell>
        </row>
      </sheetData>
      <sheetData sheetId="21404">
        <row r="1">
          <cell r="J1">
            <v>1.7453292519943295E-2</v>
          </cell>
        </row>
      </sheetData>
      <sheetData sheetId="21405">
        <row r="1">
          <cell r="J1">
            <v>1.7453292519943295E-2</v>
          </cell>
        </row>
      </sheetData>
      <sheetData sheetId="21406">
        <row r="1">
          <cell r="J1">
            <v>1.7453292519943295E-2</v>
          </cell>
        </row>
      </sheetData>
      <sheetData sheetId="21407" refreshError="1"/>
      <sheetData sheetId="21408" refreshError="1"/>
      <sheetData sheetId="21409">
        <row r="1">
          <cell r="J1">
            <v>1.7453292519943295E-2</v>
          </cell>
        </row>
      </sheetData>
      <sheetData sheetId="21410">
        <row r="1">
          <cell r="J1">
            <v>1.7453292519943295E-2</v>
          </cell>
        </row>
      </sheetData>
      <sheetData sheetId="21411">
        <row r="1">
          <cell r="J1">
            <v>1.7453292519943295E-2</v>
          </cell>
        </row>
      </sheetData>
      <sheetData sheetId="21412"/>
      <sheetData sheetId="21413">
        <row r="1">
          <cell r="J1">
            <v>1.7453292519943295E-2</v>
          </cell>
        </row>
      </sheetData>
      <sheetData sheetId="21414">
        <row r="1">
          <cell r="J1">
            <v>1.7453292519943295E-2</v>
          </cell>
        </row>
      </sheetData>
      <sheetData sheetId="21415">
        <row r="1">
          <cell r="J1">
            <v>1.7453292519943295E-2</v>
          </cell>
        </row>
      </sheetData>
      <sheetData sheetId="21416" refreshError="1"/>
      <sheetData sheetId="21417" refreshError="1"/>
      <sheetData sheetId="21418">
        <row r="1">
          <cell r="J1">
            <v>1.7453292519943295E-2</v>
          </cell>
        </row>
      </sheetData>
      <sheetData sheetId="21419">
        <row r="1">
          <cell r="J1">
            <v>1.7453292519943295E-2</v>
          </cell>
        </row>
      </sheetData>
      <sheetData sheetId="21420" refreshError="1"/>
      <sheetData sheetId="21421">
        <row r="1">
          <cell r="J1">
            <v>1.7453292519943295E-2</v>
          </cell>
        </row>
      </sheetData>
      <sheetData sheetId="21422">
        <row r="1">
          <cell r="J1">
            <v>1.7453292519943295E-2</v>
          </cell>
        </row>
      </sheetData>
      <sheetData sheetId="21423">
        <row r="1">
          <cell r="J1">
            <v>1.7453292519943295E-2</v>
          </cell>
        </row>
      </sheetData>
      <sheetData sheetId="21424" refreshError="1"/>
      <sheetData sheetId="21425" refreshError="1"/>
      <sheetData sheetId="21426">
        <row r="1">
          <cell r="J1">
            <v>1.7453292519943295E-2</v>
          </cell>
        </row>
      </sheetData>
      <sheetData sheetId="21427">
        <row r="1">
          <cell r="J1">
            <v>1.7453292519943295E-2</v>
          </cell>
        </row>
      </sheetData>
      <sheetData sheetId="21428" refreshError="1"/>
      <sheetData sheetId="21429" refreshError="1"/>
      <sheetData sheetId="21430">
        <row r="1">
          <cell r="J1">
            <v>1.7453292519943295E-2</v>
          </cell>
        </row>
      </sheetData>
      <sheetData sheetId="21431" refreshError="1"/>
      <sheetData sheetId="21432" refreshError="1"/>
      <sheetData sheetId="21433"/>
      <sheetData sheetId="21434">
        <row r="1">
          <cell r="J1">
            <v>1.7453292519943295E-2</v>
          </cell>
        </row>
      </sheetData>
      <sheetData sheetId="21435">
        <row r="1">
          <cell r="J1">
            <v>1.7453292519943295E-2</v>
          </cell>
        </row>
      </sheetData>
      <sheetData sheetId="21436"/>
      <sheetData sheetId="21437"/>
      <sheetData sheetId="21438">
        <row r="1">
          <cell r="J1">
            <v>1.7453292519943295E-2</v>
          </cell>
        </row>
      </sheetData>
      <sheetData sheetId="21439">
        <row r="1">
          <cell r="J1">
            <v>1.7453292519943295E-2</v>
          </cell>
        </row>
      </sheetData>
      <sheetData sheetId="21440"/>
      <sheetData sheetId="21441">
        <row r="1">
          <cell r="J1">
            <v>1.7453292519943295E-2</v>
          </cell>
        </row>
      </sheetData>
      <sheetData sheetId="21442">
        <row r="1">
          <cell r="J1">
            <v>1.7453292519943295E-2</v>
          </cell>
        </row>
      </sheetData>
      <sheetData sheetId="21443">
        <row r="1">
          <cell r="J1">
            <v>1.7453292519943295E-2</v>
          </cell>
        </row>
      </sheetData>
      <sheetData sheetId="21444">
        <row r="1">
          <cell r="J1">
            <v>1.7453292519943295E-2</v>
          </cell>
        </row>
      </sheetData>
      <sheetData sheetId="21445">
        <row r="1">
          <cell r="J1">
            <v>1.7453292519943295E-2</v>
          </cell>
        </row>
      </sheetData>
      <sheetData sheetId="21446">
        <row r="1">
          <cell r="J1">
            <v>1.7453292519943295E-2</v>
          </cell>
        </row>
      </sheetData>
      <sheetData sheetId="21447">
        <row r="1">
          <cell r="J1">
            <v>1.7453292519943295E-2</v>
          </cell>
        </row>
      </sheetData>
      <sheetData sheetId="21448">
        <row r="1">
          <cell r="J1">
            <v>1.7453292519943295E-2</v>
          </cell>
        </row>
      </sheetData>
      <sheetData sheetId="21449">
        <row r="1">
          <cell r="J1">
            <v>1.7453292519943295E-2</v>
          </cell>
        </row>
      </sheetData>
      <sheetData sheetId="21450">
        <row r="1">
          <cell r="J1">
            <v>1.7453292519943295E-2</v>
          </cell>
        </row>
      </sheetData>
      <sheetData sheetId="21451">
        <row r="1">
          <cell r="J1">
            <v>1.7453292519943295E-2</v>
          </cell>
        </row>
      </sheetData>
      <sheetData sheetId="21452">
        <row r="1">
          <cell r="J1">
            <v>1.7453292519943295E-2</v>
          </cell>
        </row>
      </sheetData>
      <sheetData sheetId="21453">
        <row r="1">
          <cell r="J1">
            <v>1.7453292519943295E-2</v>
          </cell>
        </row>
      </sheetData>
      <sheetData sheetId="21454">
        <row r="1">
          <cell r="J1">
            <v>1.7453292519943295E-2</v>
          </cell>
        </row>
      </sheetData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>
        <row r="1">
          <cell r="J1">
            <v>1.7453292519943295E-2</v>
          </cell>
        </row>
      </sheetData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>
        <row r="1">
          <cell r="J1">
            <v>1.7453292519943295E-2</v>
          </cell>
        </row>
      </sheetData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>
        <row r="1">
          <cell r="J1">
            <v>1.7453292519943295E-2</v>
          </cell>
        </row>
      </sheetData>
      <sheetData sheetId="21654">
        <row r="1">
          <cell r="J1">
            <v>1.7453292519943295E-2</v>
          </cell>
        </row>
      </sheetData>
      <sheetData sheetId="21655">
        <row r="1">
          <cell r="J1">
            <v>1.7453292519943295E-2</v>
          </cell>
        </row>
      </sheetData>
      <sheetData sheetId="21656" refreshError="1"/>
      <sheetData sheetId="21657">
        <row r="1">
          <cell r="J1">
            <v>1.7453292519943295E-2</v>
          </cell>
        </row>
      </sheetData>
      <sheetData sheetId="21658" refreshError="1"/>
      <sheetData sheetId="21659" refreshError="1"/>
      <sheetData sheetId="21660">
        <row r="1">
          <cell r="J1">
            <v>1.7453292519943295E-2</v>
          </cell>
        </row>
      </sheetData>
      <sheetData sheetId="21661">
        <row r="1">
          <cell r="J1">
            <v>1.7453292519943295E-2</v>
          </cell>
        </row>
      </sheetData>
      <sheetData sheetId="21662">
        <row r="1">
          <cell r="J1">
            <v>1.7453292519943295E-2</v>
          </cell>
        </row>
      </sheetData>
      <sheetData sheetId="21663" refreshError="1"/>
      <sheetData sheetId="21664">
        <row r="1">
          <cell r="J1">
            <v>1.7453292519943295E-2</v>
          </cell>
        </row>
      </sheetData>
      <sheetData sheetId="21665">
        <row r="1">
          <cell r="J1">
            <v>1.7453292519943295E-2</v>
          </cell>
        </row>
      </sheetData>
      <sheetData sheetId="21666">
        <row r="1">
          <cell r="J1">
            <v>1.7453292519943295E-2</v>
          </cell>
        </row>
      </sheetData>
      <sheetData sheetId="21667" refreshError="1"/>
      <sheetData sheetId="21668" refreshError="1"/>
      <sheetData sheetId="21669">
        <row r="1">
          <cell r="J1">
            <v>1.7453292519943295E-2</v>
          </cell>
        </row>
      </sheetData>
      <sheetData sheetId="21670">
        <row r="1">
          <cell r="J1">
            <v>1.7453292519943295E-2</v>
          </cell>
        </row>
      </sheetData>
      <sheetData sheetId="21671">
        <row r="1">
          <cell r="J1">
            <v>1.7453292519943295E-2</v>
          </cell>
        </row>
      </sheetData>
      <sheetData sheetId="21672" refreshError="1"/>
      <sheetData sheetId="21673">
        <row r="1">
          <cell r="J1">
            <v>1.7453292519943295E-2</v>
          </cell>
        </row>
      </sheetData>
      <sheetData sheetId="21674">
        <row r="1">
          <cell r="J1">
            <v>1.7453292519943295E-2</v>
          </cell>
        </row>
      </sheetData>
      <sheetData sheetId="21675" refreshError="1"/>
      <sheetData sheetId="21676">
        <row r="1">
          <cell r="J1">
            <v>1.7453292519943295E-2</v>
          </cell>
        </row>
      </sheetData>
      <sheetData sheetId="21677" refreshError="1"/>
      <sheetData sheetId="21678" refreshError="1"/>
      <sheetData sheetId="21679">
        <row r="1">
          <cell r="J1">
            <v>1.7453292519943295E-2</v>
          </cell>
        </row>
      </sheetData>
      <sheetData sheetId="21680"/>
      <sheetData sheetId="21681">
        <row r="1">
          <cell r="J1">
            <v>1.7453292519943295E-2</v>
          </cell>
        </row>
      </sheetData>
      <sheetData sheetId="21682" refreshError="1"/>
      <sheetData sheetId="21683"/>
      <sheetData sheetId="21684">
        <row r="1">
          <cell r="J1">
            <v>1.7453292519943295E-2</v>
          </cell>
        </row>
      </sheetData>
      <sheetData sheetId="21685" refreshError="1"/>
      <sheetData sheetId="21686" refreshError="1"/>
      <sheetData sheetId="21687" refreshError="1"/>
      <sheetData sheetId="21688">
        <row r="1">
          <cell r="J1">
            <v>1.7453292519943295E-2</v>
          </cell>
        </row>
      </sheetData>
      <sheetData sheetId="21689">
        <row r="1">
          <cell r="J1">
            <v>1.7453292519943295E-2</v>
          </cell>
        </row>
      </sheetData>
      <sheetData sheetId="21690" refreshError="1"/>
      <sheetData sheetId="21691" refreshError="1"/>
      <sheetData sheetId="21692">
        <row r="1">
          <cell r="J1">
            <v>1.7453292519943295E-2</v>
          </cell>
        </row>
      </sheetData>
      <sheetData sheetId="21693"/>
      <sheetData sheetId="21694">
        <row r="1">
          <cell r="J1">
            <v>1.7453292519943295E-2</v>
          </cell>
        </row>
      </sheetData>
      <sheetData sheetId="21695" refreshError="1"/>
      <sheetData sheetId="21696"/>
      <sheetData sheetId="21697">
        <row r="1">
          <cell r="J1">
            <v>1.7453292519943295E-2</v>
          </cell>
        </row>
      </sheetData>
      <sheetData sheetId="21698">
        <row r="1">
          <cell r="J1">
            <v>1.7453292519943295E-2</v>
          </cell>
        </row>
      </sheetData>
      <sheetData sheetId="21699">
        <row r="1">
          <cell r="J1">
            <v>1.7453292519943295E-2</v>
          </cell>
        </row>
      </sheetData>
      <sheetData sheetId="21700">
        <row r="1">
          <cell r="J1">
            <v>1.7453292519943295E-2</v>
          </cell>
        </row>
      </sheetData>
      <sheetData sheetId="21701">
        <row r="1">
          <cell r="J1">
            <v>1.7453292519943295E-2</v>
          </cell>
        </row>
      </sheetData>
      <sheetData sheetId="21702">
        <row r="1">
          <cell r="J1">
            <v>1.7453292519943295E-2</v>
          </cell>
        </row>
      </sheetData>
      <sheetData sheetId="21703">
        <row r="1">
          <cell r="J1">
            <v>1.7453292519943295E-2</v>
          </cell>
        </row>
      </sheetData>
      <sheetData sheetId="21704">
        <row r="1">
          <cell r="J1">
            <v>1.7453292519943295E-2</v>
          </cell>
        </row>
      </sheetData>
      <sheetData sheetId="21705">
        <row r="1">
          <cell r="J1">
            <v>1.7453292519943295E-2</v>
          </cell>
        </row>
      </sheetData>
      <sheetData sheetId="21706" refreshError="1"/>
      <sheetData sheetId="21707">
        <row r="1">
          <cell r="J1">
            <v>1.7453292519943295E-2</v>
          </cell>
        </row>
      </sheetData>
      <sheetData sheetId="21708" refreshError="1"/>
      <sheetData sheetId="21709" refreshError="1"/>
      <sheetData sheetId="21710" refreshError="1"/>
      <sheetData sheetId="21711" refreshError="1"/>
      <sheetData sheetId="21712">
        <row r="1">
          <cell r="J1">
            <v>1.7453292519943295E-2</v>
          </cell>
        </row>
      </sheetData>
      <sheetData sheetId="21713">
        <row r="1">
          <cell r="J1">
            <v>1.7453292519943295E-2</v>
          </cell>
        </row>
      </sheetData>
      <sheetData sheetId="21714" refreshError="1"/>
      <sheetData sheetId="21715" refreshError="1"/>
      <sheetData sheetId="21716" refreshError="1"/>
      <sheetData sheetId="21717">
        <row r="1">
          <cell r="J1">
            <v>1.7453292519943295E-2</v>
          </cell>
        </row>
      </sheetData>
      <sheetData sheetId="21718">
        <row r="1">
          <cell r="J1">
            <v>1.7453292519943295E-2</v>
          </cell>
        </row>
      </sheetData>
      <sheetData sheetId="21719">
        <row r="1">
          <cell r="J1">
            <v>1.7453292519943295E-2</v>
          </cell>
        </row>
      </sheetData>
      <sheetData sheetId="21720" refreshError="1"/>
      <sheetData sheetId="21721">
        <row r="1">
          <cell r="J1">
            <v>1.7453292519943295E-2</v>
          </cell>
        </row>
      </sheetData>
      <sheetData sheetId="21722">
        <row r="1">
          <cell r="J1">
            <v>1.7453292519943295E-2</v>
          </cell>
        </row>
      </sheetData>
      <sheetData sheetId="21723">
        <row r="1">
          <cell r="J1">
            <v>1.7453292519943295E-2</v>
          </cell>
        </row>
      </sheetData>
      <sheetData sheetId="21724">
        <row r="1">
          <cell r="J1">
            <v>1.7453292519943295E-2</v>
          </cell>
        </row>
      </sheetData>
      <sheetData sheetId="21725">
        <row r="1">
          <cell r="J1">
            <v>1.7453292519943295E-2</v>
          </cell>
        </row>
      </sheetData>
      <sheetData sheetId="21726">
        <row r="1">
          <cell r="J1">
            <v>1.7453292519943295E-2</v>
          </cell>
        </row>
      </sheetData>
      <sheetData sheetId="21727">
        <row r="1">
          <cell r="J1">
            <v>1.7453292519943295E-2</v>
          </cell>
        </row>
      </sheetData>
      <sheetData sheetId="21728">
        <row r="1">
          <cell r="J1">
            <v>1.7453292519943295E-2</v>
          </cell>
        </row>
      </sheetData>
      <sheetData sheetId="21729">
        <row r="1">
          <cell r="J1">
            <v>1.7453292519943295E-2</v>
          </cell>
        </row>
      </sheetData>
      <sheetData sheetId="21730">
        <row r="1">
          <cell r="J1">
            <v>1.7453292519943295E-2</v>
          </cell>
        </row>
      </sheetData>
      <sheetData sheetId="21731">
        <row r="1">
          <cell r="J1">
            <v>1.7453292519943295E-2</v>
          </cell>
        </row>
      </sheetData>
      <sheetData sheetId="21732">
        <row r="1">
          <cell r="J1">
            <v>1.7453292519943295E-2</v>
          </cell>
        </row>
      </sheetData>
      <sheetData sheetId="21733">
        <row r="1">
          <cell r="J1">
            <v>1.7453292519943295E-2</v>
          </cell>
        </row>
      </sheetData>
      <sheetData sheetId="21734">
        <row r="1">
          <cell r="J1">
            <v>1.7453292519943295E-2</v>
          </cell>
        </row>
      </sheetData>
      <sheetData sheetId="21735">
        <row r="1">
          <cell r="J1">
            <v>1.7453292519943295E-2</v>
          </cell>
        </row>
      </sheetData>
      <sheetData sheetId="21736">
        <row r="1">
          <cell r="J1">
            <v>1.7453292519943295E-2</v>
          </cell>
        </row>
      </sheetData>
      <sheetData sheetId="21737">
        <row r="1">
          <cell r="J1">
            <v>1.7453292519943295E-2</v>
          </cell>
        </row>
      </sheetData>
      <sheetData sheetId="21738">
        <row r="1">
          <cell r="J1">
            <v>1.7453292519943295E-2</v>
          </cell>
        </row>
      </sheetData>
      <sheetData sheetId="21739">
        <row r="1">
          <cell r="J1">
            <v>1.7453292519943295E-2</v>
          </cell>
        </row>
      </sheetData>
      <sheetData sheetId="21740">
        <row r="1">
          <cell r="J1">
            <v>1.7453292519943295E-2</v>
          </cell>
        </row>
      </sheetData>
      <sheetData sheetId="21741">
        <row r="1">
          <cell r="J1">
            <v>1.7453292519943295E-2</v>
          </cell>
        </row>
      </sheetData>
      <sheetData sheetId="21742">
        <row r="1">
          <cell r="J1">
            <v>1.7453292519943295E-2</v>
          </cell>
        </row>
      </sheetData>
      <sheetData sheetId="21743">
        <row r="1">
          <cell r="J1">
            <v>1.7453292519943295E-2</v>
          </cell>
        </row>
      </sheetData>
      <sheetData sheetId="21744"/>
      <sheetData sheetId="21745">
        <row r="1">
          <cell r="J1">
            <v>1.7453292519943295E-2</v>
          </cell>
        </row>
      </sheetData>
      <sheetData sheetId="21746">
        <row r="1">
          <cell r="J1">
            <v>1.7453292519943295E-2</v>
          </cell>
        </row>
      </sheetData>
      <sheetData sheetId="21747">
        <row r="1">
          <cell r="J1">
            <v>1.7453292519943295E-2</v>
          </cell>
        </row>
      </sheetData>
      <sheetData sheetId="21748"/>
      <sheetData sheetId="21749">
        <row r="1">
          <cell r="J1">
            <v>1.7453292519943295E-2</v>
          </cell>
        </row>
      </sheetData>
      <sheetData sheetId="21750">
        <row r="1">
          <cell r="J1">
            <v>1.7453292519943295E-2</v>
          </cell>
        </row>
      </sheetData>
      <sheetData sheetId="21751">
        <row r="1">
          <cell r="J1">
            <v>1.7453292519943295E-2</v>
          </cell>
        </row>
      </sheetData>
      <sheetData sheetId="21752"/>
      <sheetData sheetId="21753">
        <row r="1">
          <cell r="J1">
            <v>1.7453292519943295E-2</v>
          </cell>
        </row>
      </sheetData>
      <sheetData sheetId="21754">
        <row r="1">
          <cell r="J1">
            <v>1.7453292519943295E-2</v>
          </cell>
        </row>
      </sheetData>
      <sheetData sheetId="21755">
        <row r="1">
          <cell r="J1">
            <v>1.7453292519943295E-2</v>
          </cell>
        </row>
      </sheetData>
      <sheetData sheetId="21756"/>
      <sheetData sheetId="21757">
        <row r="1">
          <cell r="J1">
            <v>1.7453292519943295E-2</v>
          </cell>
        </row>
      </sheetData>
      <sheetData sheetId="21758">
        <row r="1">
          <cell r="J1">
            <v>1.7453292519943295E-2</v>
          </cell>
        </row>
      </sheetData>
      <sheetData sheetId="21759">
        <row r="1">
          <cell r="J1">
            <v>1.7453292519943295E-2</v>
          </cell>
        </row>
      </sheetData>
      <sheetData sheetId="21760"/>
      <sheetData sheetId="21761">
        <row r="1">
          <cell r="J1">
            <v>1.7453292519943295E-2</v>
          </cell>
        </row>
      </sheetData>
      <sheetData sheetId="21762">
        <row r="1">
          <cell r="J1">
            <v>1.7453292519943295E-2</v>
          </cell>
        </row>
      </sheetData>
      <sheetData sheetId="21763">
        <row r="1">
          <cell r="J1">
            <v>1.7453292519943295E-2</v>
          </cell>
        </row>
      </sheetData>
      <sheetData sheetId="21764"/>
      <sheetData sheetId="21765">
        <row r="1">
          <cell r="J1">
            <v>1.7453292519943295E-2</v>
          </cell>
        </row>
      </sheetData>
      <sheetData sheetId="21766">
        <row r="1">
          <cell r="J1">
            <v>1.7453292519943295E-2</v>
          </cell>
        </row>
      </sheetData>
      <sheetData sheetId="21767">
        <row r="1">
          <cell r="J1">
            <v>1.7453292519943295E-2</v>
          </cell>
        </row>
      </sheetData>
      <sheetData sheetId="21768"/>
      <sheetData sheetId="21769">
        <row r="1">
          <cell r="J1">
            <v>1.7453292519943295E-2</v>
          </cell>
        </row>
      </sheetData>
      <sheetData sheetId="21770">
        <row r="1">
          <cell r="J1">
            <v>1.7453292519943295E-2</v>
          </cell>
        </row>
      </sheetData>
      <sheetData sheetId="21771">
        <row r="1">
          <cell r="J1">
            <v>1.7453292519943295E-2</v>
          </cell>
        </row>
      </sheetData>
      <sheetData sheetId="21772"/>
      <sheetData sheetId="21773">
        <row r="1">
          <cell r="J1">
            <v>1.7453292519943295E-2</v>
          </cell>
        </row>
      </sheetData>
      <sheetData sheetId="21774">
        <row r="1">
          <cell r="J1">
            <v>1.7453292519943295E-2</v>
          </cell>
        </row>
      </sheetData>
      <sheetData sheetId="21775">
        <row r="1">
          <cell r="J1">
            <v>1.7453292519943295E-2</v>
          </cell>
        </row>
      </sheetData>
      <sheetData sheetId="21776"/>
      <sheetData sheetId="21777">
        <row r="1">
          <cell r="J1">
            <v>1.7453292519943295E-2</v>
          </cell>
        </row>
      </sheetData>
      <sheetData sheetId="21778">
        <row r="1">
          <cell r="J1">
            <v>1.7453292519943295E-2</v>
          </cell>
        </row>
      </sheetData>
      <sheetData sheetId="21779">
        <row r="1">
          <cell r="J1">
            <v>1.7453292519943295E-2</v>
          </cell>
        </row>
      </sheetData>
      <sheetData sheetId="21780"/>
      <sheetData sheetId="21781">
        <row r="1">
          <cell r="J1">
            <v>1.7453292519943295E-2</v>
          </cell>
        </row>
      </sheetData>
      <sheetData sheetId="21782">
        <row r="1">
          <cell r="J1">
            <v>1.7453292519943295E-2</v>
          </cell>
        </row>
      </sheetData>
      <sheetData sheetId="21783">
        <row r="1">
          <cell r="J1">
            <v>1.7453292519943295E-2</v>
          </cell>
        </row>
      </sheetData>
      <sheetData sheetId="21784" refreshError="1"/>
      <sheetData sheetId="21785">
        <row r="1">
          <cell r="J1">
            <v>1.7453292519943295E-2</v>
          </cell>
        </row>
      </sheetData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>
        <row r="1">
          <cell r="J1">
            <v>1.7453292519943295E-2</v>
          </cell>
        </row>
      </sheetData>
      <sheetData sheetId="21795" refreshError="1"/>
      <sheetData sheetId="21796" refreshError="1"/>
      <sheetData sheetId="21797">
        <row r="1">
          <cell r="J1">
            <v>1.7453292519943295E-2</v>
          </cell>
        </row>
      </sheetData>
      <sheetData sheetId="21798"/>
      <sheetData sheetId="21799">
        <row r="1">
          <cell r="J1">
            <v>1.7453292519943295E-2</v>
          </cell>
        </row>
      </sheetData>
      <sheetData sheetId="21800">
        <row r="1">
          <cell r="J1">
            <v>1.7453292519943295E-2</v>
          </cell>
        </row>
      </sheetData>
      <sheetData sheetId="21801">
        <row r="1">
          <cell r="J1">
            <v>1.7453292519943295E-2</v>
          </cell>
        </row>
      </sheetData>
      <sheetData sheetId="21802">
        <row r="1">
          <cell r="J1">
            <v>1.7453292519943295E-2</v>
          </cell>
        </row>
      </sheetData>
      <sheetData sheetId="21803">
        <row r="1">
          <cell r="J1">
            <v>1.7453292519943295E-2</v>
          </cell>
        </row>
      </sheetData>
      <sheetData sheetId="21804">
        <row r="1">
          <cell r="J1">
            <v>1.7453292519943295E-2</v>
          </cell>
        </row>
      </sheetData>
      <sheetData sheetId="21805">
        <row r="1">
          <cell r="J1">
            <v>1.7453292519943295E-2</v>
          </cell>
        </row>
      </sheetData>
      <sheetData sheetId="21806">
        <row r="1">
          <cell r="J1">
            <v>1.7453292519943295E-2</v>
          </cell>
        </row>
      </sheetData>
      <sheetData sheetId="21807">
        <row r="1">
          <cell r="J1">
            <v>1.7453292519943295E-2</v>
          </cell>
        </row>
      </sheetData>
      <sheetData sheetId="21808">
        <row r="1">
          <cell r="J1">
            <v>1.7453292519943295E-2</v>
          </cell>
        </row>
      </sheetData>
      <sheetData sheetId="21809">
        <row r="1">
          <cell r="J1">
            <v>1.7453292519943295E-2</v>
          </cell>
        </row>
      </sheetData>
      <sheetData sheetId="21810">
        <row r="1">
          <cell r="J1">
            <v>1.7453292519943295E-2</v>
          </cell>
        </row>
      </sheetData>
      <sheetData sheetId="21811">
        <row r="1">
          <cell r="J1">
            <v>1.7453292519943295E-2</v>
          </cell>
        </row>
      </sheetData>
      <sheetData sheetId="21812">
        <row r="1">
          <cell r="J1">
            <v>1.7453292519943295E-2</v>
          </cell>
        </row>
      </sheetData>
      <sheetData sheetId="21813">
        <row r="1">
          <cell r="J1">
            <v>1.7453292519943295E-2</v>
          </cell>
        </row>
      </sheetData>
      <sheetData sheetId="21814">
        <row r="1">
          <cell r="J1">
            <v>1.7453292519943295E-2</v>
          </cell>
        </row>
      </sheetData>
      <sheetData sheetId="21815"/>
      <sheetData sheetId="21816">
        <row r="1">
          <cell r="J1">
            <v>1.7453292519943295E-2</v>
          </cell>
        </row>
      </sheetData>
      <sheetData sheetId="21817">
        <row r="1">
          <cell r="J1">
            <v>1.7453292519943295E-2</v>
          </cell>
        </row>
      </sheetData>
      <sheetData sheetId="21818" refreshError="1"/>
      <sheetData sheetId="21819" refreshError="1"/>
      <sheetData sheetId="21820">
        <row r="1">
          <cell r="J1">
            <v>1.7453292519943295E-2</v>
          </cell>
        </row>
      </sheetData>
      <sheetData sheetId="21821">
        <row r="1">
          <cell r="J1">
            <v>1.7453292519943295E-2</v>
          </cell>
        </row>
      </sheetData>
      <sheetData sheetId="21822">
        <row r="1">
          <cell r="J1">
            <v>1.7453292519943295E-2</v>
          </cell>
        </row>
      </sheetData>
      <sheetData sheetId="21823">
        <row r="1">
          <cell r="J1">
            <v>1.7453292519943295E-2</v>
          </cell>
        </row>
      </sheetData>
      <sheetData sheetId="21824">
        <row r="1">
          <cell r="J1">
            <v>1.7453292519943295E-2</v>
          </cell>
        </row>
      </sheetData>
      <sheetData sheetId="21825">
        <row r="1">
          <cell r="J1">
            <v>1.7453292519943295E-2</v>
          </cell>
        </row>
      </sheetData>
      <sheetData sheetId="21826">
        <row r="1">
          <cell r="J1">
            <v>1.7453292519943295E-2</v>
          </cell>
        </row>
      </sheetData>
      <sheetData sheetId="21827">
        <row r="1">
          <cell r="J1">
            <v>1.7453292519943295E-2</v>
          </cell>
        </row>
      </sheetData>
      <sheetData sheetId="21828">
        <row r="1">
          <cell r="J1">
            <v>1.7453292519943295E-2</v>
          </cell>
        </row>
      </sheetData>
      <sheetData sheetId="21829">
        <row r="1">
          <cell r="J1">
            <v>1.7453292519943295E-2</v>
          </cell>
        </row>
      </sheetData>
      <sheetData sheetId="21830">
        <row r="1">
          <cell r="J1">
            <v>1.7453292519943295E-2</v>
          </cell>
        </row>
      </sheetData>
      <sheetData sheetId="21831">
        <row r="1">
          <cell r="J1">
            <v>1.7453292519943295E-2</v>
          </cell>
        </row>
      </sheetData>
      <sheetData sheetId="21832">
        <row r="1">
          <cell r="J1">
            <v>1.7453292519943295E-2</v>
          </cell>
        </row>
      </sheetData>
      <sheetData sheetId="21833">
        <row r="1">
          <cell r="J1">
            <v>1.7453292519943295E-2</v>
          </cell>
        </row>
      </sheetData>
      <sheetData sheetId="21834">
        <row r="1">
          <cell r="J1">
            <v>1.7453292519943295E-2</v>
          </cell>
        </row>
      </sheetData>
      <sheetData sheetId="21835">
        <row r="1">
          <cell r="J1">
            <v>1.7453292519943295E-2</v>
          </cell>
        </row>
      </sheetData>
      <sheetData sheetId="21836">
        <row r="1">
          <cell r="J1">
            <v>1.7453292519943295E-2</v>
          </cell>
        </row>
      </sheetData>
      <sheetData sheetId="21837">
        <row r="1">
          <cell r="J1">
            <v>1.7453292519943295E-2</v>
          </cell>
        </row>
      </sheetData>
      <sheetData sheetId="21838">
        <row r="1">
          <cell r="J1">
            <v>1.7453292519943295E-2</v>
          </cell>
        </row>
      </sheetData>
      <sheetData sheetId="21839">
        <row r="1">
          <cell r="J1">
            <v>1.7453292519943295E-2</v>
          </cell>
        </row>
      </sheetData>
      <sheetData sheetId="21840">
        <row r="1">
          <cell r="J1">
            <v>1.7453292519943295E-2</v>
          </cell>
        </row>
      </sheetData>
      <sheetData sheetId="21841" refreshError="1"/>
      <sheetData sheetId="21842" refreshError="1"/>
      <sheetData sheetId="21843"/>
      <sheetData sheetId="21844" refreshError="1"/>
      <sheetData sheetId="21845" refreshError="1"/>
      <sheetData sheetId="21846" refreshError="1"/>
      <sheetData sheetId="21847">
        <row r="1">
          <cell r="J1">
            <v>1.7453292519943295E-2</v>
          </cell>
        </row>
      </sheetData>
      <sheetData sheetId="21848" refreshError="1"/>
      <sheetData sheetId="21849" refreshError="1"/>
      <sheetData sheetId="21850" refreshError="1"/>
      <sheetData sheetId="21851">
        <row r="1">
          <cell r="J1">
            <v>1.7453292519943295E-2</v>
          </cell>
        </row>
      </sheetData>
      <sheetData sheetId="21852">
        <row r="1">
          <cell r="J1">
            <v>1.7453292519943295E-2</v>
          </cell>
        </row>
      </sheetData>
      <sheetData sheetId="21853">
        <row r="1">
          <cell r="J1">
            <v>1.7453292519943295E-2</v>
          </cell>
        </row>
      </sheetData>
      <sheetData sheetId="21854">
        <row r="1">
          <cell r="J1">
            <v>1.7453292519943295E-2</v>
          </cell>
        </row>
      </sheetData>
      <sheetData sheetId="21855">
        <row r="1">
          <cell r="J1">
            <v>1.7453292519943295E-2</v>
          </cell>
        </row>
      </sheetData>
      <sheetData sheetId="21856">
        <row r="1">
          <cell r="J1">
            <v>1.7453292519943295E-2</v>
          </cell>
        </row>
      </sheetData>
      <sheetData sheetId="21857">
        <row r="1">
          <cell r="J1">
            <v>1.7453292519943295E-2</v>
          </cell>
        </row>
      </sheetData>
      <sheetData sheetId="21858">
        <row r="1">
          <cell r="J1">
            <v>1.7453292519943295E-2</v>
          </cell>
        </row>
      </sheetData>
      <sheetData sheetId="21859">
        <row r="1">
          <cell r="J1">
            <v>1.7453292519943295E-2</v>
          </cell>
        </row>
      </sheetData>
      <sheetData sheetId="21860">
        <row r="1">
          <cell r="J1">
            <v>1.7453292519943295E-2</v>
          </cell>
        </row>
      </sheetData>
      <sheetData sheetId="21861">
        <row r="1">
          <cell r="J1">
            <v>1.7453292519943295E-2</v>
          </cell>
        </row>
      </sheetData>
      <sheetData sheetId="21862">
        <row r="1">
          <cell r="J1">
            <v>1.7453292519943295E-2</v>
          </cell>
        </row>
      </sheetData>
      <sheetData sheetId="21863">
        <row r="1">
          <cell r="J1">
            <v>1.7453292519943295E-2</v>
          </cell>
        </row>
      </sheetData>
      <sheetData sheetId="21864">
        <row r="1">
          <cell r="J1">
            <v>1.7453292519943295E-2</v>
          </cell>
        </row>
      </sheetData>
      <sheetData sheetId="21865">
        <row r="1">
          <cell r="J1">
            <v>1.7453292519943295E-2</v>
          </cell>
        </row>
      </sheetData>
      <sheetData sheetId="21866">
        <row r="1">
          <cell r="J1">
            <v>1.7453292519943295E-2</v>
          </cell>
        </row>
      </sheetData>
      <sheetData sheetId="21867">
        <row r="1">
          <cell r="J1">
            <v>1.7453292519943295E-2</v>
          </cell>
        </row>
      </sheetData>
      <sheetData sheetId="21868">
        <row r="1">
          <cell r="J1">
            <v>1.7453292519943295E-2</v>
          </cell>
        </row>
      </sheetData>
      <sheetData sheetId="21869"/>
      <sheetData sheetId="21870">
        <row r="1">
          <cell r="J1">
            <v>1.7453292519943295E-2</v>
          </cell>
        </row>
      </sheetData>
      <sheetData sheetId="21871">
        <row r="1">
          <cell r="J1">
            <v>1.7453292519943295E-2</v>
          </cell>
        </row>
      </sheetData>
      <sheetData sheetId="21872">
        <row r="1">
          <cell r="J1">
            <v>1.7453292519943295E-2</v>
          </cell>
        </row>
      </sheetData>
      <sheetData sheetId="21873">
        <row r="1">
          <cell r="J1">
            <v>1.7453292519943295E-2</v>
          </cell>
        </row>
      </sheetData>
      <sheetData sheetId="21874">
        <row r="1">
          <cell r="J1">
            <v>1.7453292519943295E-2</v>
          </cell>
        </row>
      </sheetData>
      <sheetData sheetId="21875">
        <row r="1">
          <cell r="J1">
            <v>1.7453292519943295E-2</v>
          </cell>
        </row>
      </sheetData>
      <sheetData sheetId="21876">
        <row r="1">
          <cell r="J1">
            <v>1.7453292519943295E-2</v>
          </cell>
        </row>
      </sheetData>
      <sheetData sheetId="21877">
        <row r="1">
          <cell r="J1">
            <v>1.7453292519943295E-2</v>
          </cell>
        </row>
      </sheetData>
      <sheetData sheetId="21878">
        <row r="1">
          <cell r="J1">
            <v>1.7453292519943295E-2</v>
          </cell>
        </row>
      </sheetData>
      <sheetData sheetId="21879">
        <row r="1">
          <cell r="J1">
            <v>1.7453292519943295E-2</v>
          </cell>
        </row>
      </sheetData>
      <sheetData sheetId="21880" refreshError="1"/>
      <sheetData sheetId="21881">
        <row r="1">
          <cell r="J1">
            <v>1.7453292519943295E-2</v>
          </cell>
        </row>
      </sheetData>
      <sheetData sheetId="21882"/>
      <sheetData sheetId="21883" refreshError="1"/>
      <sheetData sheetId="21884">
        <row r="1">
          <cell r="J1">
            <v>1.7453292519943295E-2</v>
          </cell>
        </row>
      </sheetData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>
        <row r="1">
          <cell r="J1">
            <v>1.7453292519943295E-2</v>
          </cell>
        </row>
      </sheetData>
      <sheetData sheetId="21896" refreshError="1"/>
      <sheetData sheetId="21897">
        <row r="1">
          <cell r="J1">
            <v>1.7453292519943295E-2</v>
          </cell>
        </row>
      </sheetData>
      <sheetData sheetId="21898">
        <row r="1">
          <cell r="J1">
            <v>1.7453292519943295E-2</v>
          </cell>
        </row>
      </sheetData>
      <sheetData sheetId="21899">
        <row r="1">
          <cell r="J1">
            <v>1.7453292519943295E-2</v>
          </cell>
        </row>
      </sheetData>
      <sheetData sheetId="21900" refreshError="1"/>
      <sheetData sheetId="21901">
        <row r="1">
          <cell r="J1">
            <v>1.7453292519943295E-2</v>
          </cell>
        </row>
      </sheetData>
      <sheetData sheetId="21902" refreshError="1"/>
      <sheetData sheetId="21903">
        <row r="1">
          <cell r="J1">
            <v>1.7453292519943295E-2</v>
          </cell>
        </row>
      </sheetData>
      <sheetData sheetId="21904">
        <row r="1">
          <cell r="J1">
            <v>1.7453292519943295E-2</v>
          </cell>
        </row>
      </sheetData>
      <sheetData sheetId="21905" refreshError="1"/>
      <sheetData sheetId="21906">
        <row r="1">
          <cell r="J1">
            <v>1.7453292519943295E-2</v>
          </cell>
        </row>
      </sheetData>
      <sheetData sheetId="21907">
        <row r="1">
          <cell r="J1">
            <v>1.7453292519943295E-2</v>
          </cell>
        </row>
      </sheetData>
      <sheetData sheetId="21908" refreshError="1"/>
      <sheetData sheetId="21909" refreshError="1"/>
      <sheetData sheetId="21910" refreshError="1"/>
      <sheetData sheetId="21911" refreshError="1"/>
      <sheetData sheetId="21912">
        <row r="1">
          <cell r="J1">
            <v>1.7453292519943295E-2</v>
          </cell>
        </row>
      </sheetData>
      <sheetData sheetId="21913" refreshError="1"/>
      <sheetData sheetId="21914" refreshError="1"/>
      <sheetData sheetId="21915">
        <row r="1">
          <cell r="J1">
            <v>1.7453292519943295E-2</v>
          </cell>
        </row>
      </sheetData>
      <sheetData sheetId="21916">
        <row r="1">
          <cell r="J1">
            <v>1.7453292519943295E-2</v>
          </cell>
        </row>
      </sheetData>
      <sheetData sheetId="21917" refreshError="1"/>
      <sheetData sheetId="21918">
        <row r="1">
          <cell r="J1">
            <v>1.7453292519943295E-2</v>
          </cell>
        </row>
      </sheetData>
      <sheetData sheetId="21919" refreshError="1"/>
      <sheetData sheetId="21920">
        <row r="1">
          <cell r="J1">
            <v>1.7453292519943295E-2</v>
          </cell>
        </row>
      </sheetData>
      <sheetData sheetId="21921">
        <row r="1">
          <cell r="J1">
            <v>1.7453292519943295E-2</v>
          </cell>
        </row>
      </sheetData>
      <sheetData sheetId="21922">
        <row r="1">
          <cell r="J1">
            <v>1.7453292519943295E-2</v>
          </cell>
        </row>
      </sheetData>
      <sheetData sheetId="21923">
        <row r="1">
          <cell r="J1">
            <v>1.7453292519943295E-2</v>
          </cell>
        </row>
      </sheetData>
      <sheetData sheetId="21924">
        <row r="1">
          <cell r="J1">
            <v>1.7453292519943295E-2</v>
          </cell>
        </row>
      </sheetData>
      <sheetData sheetId="21925">
        <row r="1">
          <cell r="J1">
            <v>1.7453292519943295E-2</v>
          </cell>
        </row>
      </sheetData>
      <sheetData sheetId="21926">
        <row r="1">
          <cell r="J1">
            <v>1.7453292519943295E-2</v>
          </cell>
        </row>
      </sheetData>
      <sheetData sheetId="21927">
        <row r="1">
          <cell r="J1">
            <v>1.7453292519943295E-2</v>
          </cell>
        </row>
      </sheetData>
      <sheetData sheetId="21928"/>
      <sheetData sheetId="21929">
        <row r="1">
          <cell r="J1">
            <v>1.7453292519943295E-2</v>
          </cell>
        </row>
      </sheetData>
      <sheetData sheetId="21930">
        <row r="1">
          <cell r="J1">
            <v>1.7453292519943295E-2</v>
          </cell>
        </row>
      </sheetData>
      <sheetData sheetId="21931">
        <row r="1">
          <cell r="J1">
            <v>1.7453292519943295E-2</v>
          </cell>
        </row>
      </sheetData>
      <sheetData sheetId="21932">
        <row r="1">
          <cell r="J1">
            <v>1.7453292519943295E-2</v>
          </cell>
        </row>
      </sheetData>
      <sheetData sheetId="21933">
        <row r="1">
          <cell r="J1">
            <v>1.7453292519943295E-2</v>
          </cell>
        </row>
      </sheetData>
      <sheetData sheetId="21934">
        <row r="1">
          <cell r="J1">
            <v>1.7453292519943295E-2</v>
          </cell>
        </row>
      </sheetData>
      <sheetData sheetId="21935">
        <row r="1">
          <cell r="J1">
            <v>1.7453292519943295E-2</v>
          </cell>
        </row>
      </sheetData>
      <sheetData sheetId="21936">
        <row r="1">
          <cell r="J1">
            <v>1.7453292519943295E-2</v>
          </cell>
        </row>
      </sheetData>
      <sheetData sheetId="21937">
        <row r="1">
          <cell r="J1">
            <v>1.7453292519943295E-2</v>
          </cell>
        </row>
      </sheetData>
      <sheetData sheetId="21938">
        <row r="1">
          <cell r="J1">
            <v>1.7453292519943295E-2</v>
          </cell>
        </row>
      </sheetData>
      <sheetData sheetId="21939">
        <row r="1">
          <cell r="J1">
            <v>1.7453292519943295E-2</v>
          </cell>
        </row>
      </sheetData>
      <sheetData sheetId="21940">
        <row r="1">
          <cell r="J1">
            <v>1.7453292519943295E-2</v>
          </cell>
        </row>
      </sheetData>
      <sheetData sheetId="21941"/>
      <sheetData sheetId="21942">
        <row r="1">
          <cell r="J1">
            <v>1.7453292519943295E-2</v>
          </cell>
        </row>
      </sheetData>
      <sheetData sheetId="21943">
        <row r="1">
          <cell r="J1">
            <v>1.7453292519943295E-2</v>
          </cell>
        </row>
      </sheetData>
      <sheetData sheetId="21944"/>
      <sheetData sheetId="21945" refreshError="1"/>
      <sheetData sheetId="21946">
        <row r="1">
          <cell r="J1">
            <v>1.7453292519943295E-2</v>
          </cell>
        </row>
      </sheetData>
      <sheetData sheetId="21947" refreshError="1"/>
      <sheetData sheetId="21948"/>
      <sheetData sheetId="21949">
        <row r="1">
          <cell r="J1">
            <v>1.7453292519943295E-2</v>
          </cell>
        </row>
      </sheetData>
      <sheetData sheetId="21950" refreshError="1"/>
      <sheetData sheetId="21951" refreshError="1"/>
      <sheetData sheetId="21952">
        <row r="1">
          <cell r="J1">
            <v>1.7453292519943295E-2</v>
          </cell>
        </row>
      </sheetData>
      <sheetData sheetId="21953">
        <row r="1">
          <cell r="J1">
            <v>1.7453292519943295E-2</v>
          </cell>
        </row>
      </sheetData>
      <sheetData sheetId="21954">
        <row r="1">
          <cell r="J1">
            <v>1.7453292519943295E-2</v>
          </cell>
        </row>
      </sheetData>
      <sheetData sheetId="21955" refreshError="1"/>
      <sheetData sheetId="21956">
        <row r="1">
          <cell r="J1">
            <v>1.7453292519943295E-2</v>
          </cell>
        </row>
      </sheetData>
      <sheetData sheetId="21957" refreshError="1"/>
      <sheetData sheetId="21958" refreshError="1"/>
      <sheetData sheetId="21959" refreshError="1"/>
      <sheetData sheetId="21960" refreshError="1"/>
      <sheetData sheetId="21961">
        <row r="1">
          <cell r="J1">
            <v>1.7453292519943295E-2</v>
          </cell>
        </row>
      </sheetData>
      <sheetData sheetId="21962">
        <row r="1">
          <cell r="J1">
            <v>1.7453292519943295E-2</v>
          </cell>
        </row>
      </sheetData>
      <sheetData sheetId="21963" refreshError="1"/>
      <sheetData sheetId="21964" refreshError="1"/>
      <sheetData sheetId="21965">
        <row r="1">
          <cell r="J1">
            <v>1.7453292519943295E-2</v>
          </cell>
        </row>
      </sheetData>
      <sheetData sheetId="21966">
        <row r="1">
          <cell r="J1">
            <v>1.7453292519943295E-2</v>
          </cell>
        </row>
      </sheetData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>
        <row r="1">
          <cell r="J1">
            <v>1.7453292519943295E-2</v>
          </cell>
        </row>
      </sheetData>
      <sheetData sheetId="21974">
        <row r="1">
          <cell r="J1">
            <v>1.7453292519943295E-2</v>
          </cell>
        </row>
      </sheetData>
      <sheetData sheetId="21975" refreshError="1"/>
      <sheetData sheetId="21976" refreshError="1"/>
      <sheetData sheetId="21977" refreshError="1"/>
      <sheetData sheetId="21978">
        <row r="1">
          <cell r="J1">
            <v>1.7453292519943295E-2</v>
          </cell>
        </row>
      </sheetData>
      <sheetData sheetId="21979">
        <row r="1">
          <cell r="J1">
            <v>1.7453292519943295E-2</v>
          </cell>
        </row>
      </sheetData>
      <sheetData sheetId="21980">
        <row r="1">
          <cell r="J1">
            <v>1.7453292519943295E-2</v>
          </cell>
        </row>
      </sheetData>
      <sheetData sheetId="21981">
        <row r="1">
          <cell r="J1">
            <v>1.7453292519943295E-2</v>
          </cell>
        </row>
      </sheetData>
      <sheetData sheetId="21982"/>
      <sheetData sheetId="21983">
        <row r="1">
          <cell r="J1">
            <v>1.7453292519943295E-2</v>
          </cell>
        </row>
      </sheetData>
      <sheetData sheetId="21984">
        <row r="1">
          <cell r="J1">
            <v>1.7453292519943295E-2</v>
          </cell>
        </row>
      </sheetData>
      <sheetData sheetId="21985">
        <row r="1">
          <cell r="J1">
            <v>1.7453292519943295E-2</v>
          </cell>
        </row>
      </sheetData>
      <sheetData sheetId="21986">
        <row r="1">
          <cell r="J1">
            <v>1.7453292519943295E-2</v>
          </cell>
        </row>
      </sheetData>
      <sheetData sheetId="21987">
        <row r="1">
          <cell r="J1">
            <v>1.7453292519943295E-2</v>
          </cell>
        </row>
      </sheetData>
      <sheetData sheetId="21988">
        <row r="1">
          <cell r="J1">
            <v>1.7453292519943295E-2</v>
          </cell>
        </row>
      </sheetData>
      <sheetData sheetId="21989">
        <row r="1">
          <cell r="J1">
            <v>1.7453292519943295E-2</v>
          </cell>
        </row>
      </sheetData>
      <sheetData sheetId="21990">
        <row r="1">
          <cell r="J1">
            <v>1.7453292519943295E-2</v>
          </cell>
        </row>
      </sheetData>
      <sheetData sheetId="21991">
        <row r="1">
          <cell r="J1">
            <v>1.7453292519943295E-2</v>
          </cell>
        </row>
      </sheetData>
      <sheetData sheetId="21992">
        <row r="1">
          <cell r="J1">
            <v>1.7453292519943295E-2</v>
          </cell>
        </row>
      </sheetData>
      <sheetData sheetId="21993">
        <row r="1">
          <cell r="J1">
            <v>1.7453292519943295E-2</v>
          </cell>
        </row>
      </sheetData>
      <sheetData sheetId="21994">
        <row r="1">
          <cell r="J1">
            <v>1.7453292519943295E-2</v>
          </cell>
        </row>
      </sheetData>
      <sheetData sheetId="21995">
        <row r="1">
          <cell r="J1">
            <v>1.7453292519943295E-2</v>
          </cell>
        </row>
      </sheetData>
      <sheetData sheetId="21996">
        <row r="1">
          <cell r="J1">
            <v>1.7453292519943295E-2</v>
          </cell>
        </row>
      </sheetData>
      <sheetData sheetId="21997">
        <row r="1">
          <cell r="J1">
            <v>1.7453292519943295E-2</v>
          </cell>
        </row>
      </sheetData>
      <sheetData sheetId="21998">
        <row r="1">
          <cell r="J1">
            <v>1.7453292519943295E-2</v>
          </cell>
        </row>
      </sheetData>
      <sheetData sheetId="21999">
        <row r="1">
          <cell r="J1">
            <v>1.7453292519943295E-2</v>
          </cell>
        </row>
      </sheetData>
      <sheetData sheetId="22000" refreshError="1"/>
      <sheetData sheetId="22001" refreshError="1"/>
      <sheetData sheetId="22002">
        <row r="1">
          <cell r="J1">
            <v>1.7453292519943295E-2</v>
          </cell>
        </row>
      </sheetData>
      <sheetData sheetId="22003">
        <row r="1">
          <cell r="J1">
            <v>1.7453292519943295E-2</v>
          </cell>
        </row>
      </sheetData>
      <sheetData sheetId="22004">
        <row r="1">
          <cell r="J1">
            <v>1.7453292519943295E-2</v>
          </cell>
        </row>
      </sheetData>
      <sheetData sheetId="22005" refreshError="1"/>
      <sheetData sheetId="22006" refreshError="1"/>
      <sheetData sheetId="22007" refreshError="1"/>
      <sheetData sheetId="22008">
        <row r="1">
          <cell r="J1">
            <v>1.7453292519943295E-2</v>
          </cell>
        </row>
      </sheetData>
      <sheetData sheetId="22009" refreshError="1"/>
      <sheetData sheetId="22010">
        <row r="1">
          <cell r="J1">
            <v>1.7453292519943295E-2</v>
          </cell>
        </row>
      </sheetData>
      <sheetData sheetId="22011"/>
      <sheetData sheetId="22012"/>
      <sheetData sheetId="22013">
        <row r="1">
          <cell r="J1">
            <v>1.7453292519943295E-2</v>
          </cell>
        </row>
      </sheetData>
      <sheetData sheetId="22014">
        <row r="1">
          <cell r="J1">
            <v>1.7453292519943295E-2</v>
          </cell>
        </row>
      </sheetData>
      <sheetData sheetId="22015">
        <row r="1">
          <cell r="J1">
            <v>1.7453292519943295E-2</v>
          </cell>
        </row>
      </sheetData>
      <sheetData sheetId="22016"/>
      <sheetData sheetId="22017">
        <row r="1">
          <cell r="J1">
            <v>1.7453292519943295E-2</v>
          </cell>
        </row>
      </sheetData>
      <sheetData sheetId="22018">
        <row r="1">
          <cell r="J1">
            <v>1.7453292519943295E-2</v>
          </cell>
        </row>
      </sheetData>
      <sheetData sheetId="22019">
        <row r="1">
          <cell r="J1">
            <v>1.7453292519943295E-2</v>
          </cell>
        </row>
      </sheetData>
      <sheetData sheetId="22020">
        <row r="1">
          <cell r="J1">
            <v>1.7453292519943295E-2</v>
          </cell>
        </row>
      </sheetData>
      <sheetData sheetId="22021">
        <row r="1">
          <cell r="J1">
            <v>1.7453292519943295E-2</v>
          </cell>
        </row>
      </sheetData>
      <sheetData sheetId="22022">
        <row r="1">
          <cell r="J1">
            <v>1.7453292519943295E-2</v>
          </cell>
        </row>
      </sheetData>
      <sheetData sheetId="22023">
        <row r="1">
          <cell r="J1">
            <v>1.7453292519943295E-2</v>
          </cell>
        </row>
      </sheetData>
      <sheetData sheetId="22024"/>
      <sheetData sheetId="22025">
        <row r="1">
          <cell r="J1">
            <v>1.7453292519943295E-2</v>
          </cell>
        </row>
      </sheetData>
      <sheetData sheetId="22026">
        <row r="1">
          <cell r="J1">
            <v>1.7453292519943295E-2</v>
          </cell>
        </row>
      </sheetData>
      <sheetData sheetId="22027">
        <row r="1">
          <cell r="J1">
            <v>1.7453292519943295E-2</v>
          </cell>
        </row>
      </sheetData>
      <sheetData sheetId="22028"/>
      <sheetData sheetId="22029">
        <row r="1">
          <cell r="J1">
            <v>1.7453292519943295E-2</v>
          </cell>
        </row>
      </sheetData>
      <sheetData sheetId="22030">
        <row r="1">
          <cell r="J1">
            <v>1.7453292519943295E-2</v>
          </cell>
        </row>
      </sheetData>
      <sheetData sheetId="22031" refreshError="1"/>
      <sheetData sheetId="22032" refreshError="1"/>
      <sheetData sheetId="22033">
        <row r="1">
          <cell r="J1">
            <v>1.7453292519943295E-2</v>
          </cell>
        </row>
      </sheetData>
      <sheetData sheetId="22034">
        <row r="1">
          <cell r="J1">
            <v>1.7453292519943295E-2</v>
          </cell>
        </row>
      </sheetData>
      <sheetData sheetId="22035">
        <row r="1">
          <cell r="J1">
            <v>1.7453292519943295E-2</v>
          </cell>
        </row>
      </sheetData>
      <sheetData sheetId="22036" refreshError="1"/>
      <sheetData sheetId="22037">
        <row r="1">
          <cell r="J1">
            <v>1.7453292519943295E-2</v>
          </cell>
        </row>
      </sheetData>
      <sheetData sheetId="22038">
        <row r="1">
          <cell r="J1">
            <v>1.7453292519943295E-2</v>
          </cell>
        </row>
      </sheetData>
      <sheetData sheetId="22039">
        <row r="1">
          <cell r="J1">
            <v>1.7453292519943295E-2</v>
          </cell>
        </row>
      </sheetData>
      <sheetData sheetId="22040" refreshError="1"/>
      <sheetData sheetId="22041" refreshError="1"/>
      <sheetData sheetId="22042">
        <row r="1">
          <cell r="J1">
            <v>1.7453292519943295E-2</v>
          </cell>
        </row>
      </sheetData>
      <sheetData sheetId="22043">
        <row r="1">
          <cell r="J1">
            <v>1.7453292519943295E-2</v>
          </cell>
        </row>
      </sheetData>
      <sheetData sheetId="22044">
        <row r="1">
          <cell r="J1">
            <v>1.7453292519943295E-2</v>
          </cell>
        </row>
      </sheetData>
      <sheetData sheetId="22045" refreshError="1"/>
      <sheetData sheetId="22046">
        <row r="1">
          <cell r="J1">
            <v>1.7453292519943295E-2</v>
          </cell>
        </row>
      </sheetData>
      <sheetData sheetId="22047">
        <row r="1">
          <cell r="J1">
            <v>1.7453292519943295E-2</v>
          </cell>
        </row>
      </sheetData>
      <sheetData sheetId="22048" refreshError="1"/>
      <sheetData sheetId="22049" refreshError="1"/>
      <sheetData sheetId="22050">
        <row r="1">
          <cell r="J1">
            <v>1.7453292519943295E-2</v>
          </cell>
        </row>
      </sheetData>
      <sheetData sheetId="22051">
        <row r="1">
          <cell r="J1">
            <v>1.7453292519943295E-2</v>
          </cell>
        </row>
      </sheetData>
      <sheetData sheetId="22052" refreshError="1"/>
      <sheetData sheetId="22053">
        <row r="1">
          <cell r="J1">
            <v>1.7453292519943295E-2</v>
          </cell>
        </row>
      </sheetData>
      <sheetData sheetId="22054">
        <row r="1">
          <cell r="J1">
            <v>1.7453292519943295E-2</v>
          </cell>
        </row>
      </sheetData>
      <sheetData sheetId="22055">
        <row r="1">
          <cell r="J1">
            <v>1.7453292519943295E-2</v>
          </cell>
        </row>
      </sheetData>
      <sheetData sheetId="22056" refreshError="1"/>
      <sheetData sheetId="22057" refreshError="1"/>
      <sheetData sheetId="22058">
        <row r="1">
          <cell r="J1">
            <v>1.7453292519943295E-2</v>
          </cell>
        </row>
      </sheetData>
      <sheetData sheetId="22059">
        <row r="1">
          <cell r="J1">
            <v>1.7453292519943295E-2</v>
          </cell>
        </row>
      </sheetData>
      <sheetData sheetId="22060" refreshError="1"/>
      <sheetData sheetId="22061">
        <row r="1">
          <cell r="J1">
            <v>1.7453292519943295E-2</v>
          </cell>
        </row>
      </sheetData>
      <sheetData sheetId="22062">
        <row r="1">
          <cell r="J1">
            <v>1.7453292519943295E-2</v>
          </cell>
        </row>
      </sheetData>
      <sheetData sheetId="22063">
        <row r="1">
          <cell r="J1">
            <v>1.7453292519943295E-2</v>
          </cell>
        </row>
      </sheetData>
      <sheetData sheetId="22064" refreshError="1"/>
      <sheetData sheetId="22065" refreshError="1"/>
      <sheetData sheetId="22066" refreshError="1"/>
      <sheetData sheetId="22067" refreshError="1"/>
      <sheetData sheetId="22068">
        <row r="1">
          <cell r="J1">
            <v>1.7453292519943295E-2</v>
          </cell>
        </row>
      </sheetData>
      <sheetData sheetId="22069">
        <row r="1">
          <cell r="J1">
            <v>1.7453292519943295E-2</v>
          </cell>
        </row>
      </sheetData>
      <sheetData sheetId="22070" refreshError="1"/>
      <sheetData sheetId="22071">
        <row r="1">
          <cell r="J1">
            <v>1.7453292519943295E-2</v>
          </cell>
        </row>
      </sheetData>
      <sheetData sheetId="22072">
        <row r="1">
          <cell r="J1">
            <v>1.7453292519943295E-2</v>
          </cell>
        </row>
      </sheetData>
      <sheetData sheetId="22073" refreshError="1"/>
      <sheetData sheetId="22074" refreshError="1"/>
      <sheetData sheetId="22075">
        <row r="1">
          <cell r="J1">
            <v>1.7453292519943295E-2</v>
          </cell>
        </row>
      </sheetData>
      <sheetData sheetId="22076">
        <row r="1">
          <cell r="J1">
            <v>1.7453292519943295E-2</v>
          </cell>
        </row>
      </sheetData>
      <sheetData sheetId="22077" refreshError="1"/>
      <sheetData sheetId="22078">
        <row r="1">
          <cell r="J1">
            <v>1.7453292519943295E-2</v>
          </cell>
        </row>
      </sheetData>
      <sheetData sheetId="22079">
        <row r="1">
          <cell r="J1">
            <v>1.7453292519943295E-2</v>
          </cell>
        </row>
      </sheetData>
      <sheetData sheetId="22080">
        <row r="1">
          <cell r="J1">
            <v>1.7453292519943295E-2</v>
          </cell>
        </row>
      </sheetData>
      <sheetData sheetId="22081">
        <row r="1">
          <cell r="J1">
            <v>1.7453292519943295E-2</v>
          </cell>
        </row>
      </sheetData>
      <sheetData sheetId="22082" refreshError="1"/>
      <sheetData sheetId="22083" refreshError="1"/>
      <sheetData sheetId="22084" refreshError="1"/>
      <sheetData sheetId="22085" refreshError="1"/>
      <sheetData sheetId="22086">
        <row r="1">
          <cell r="J1">
            <v>1.7453292519943295E-2</v>
          </cell>
        </row>
      </sheetData>
      <sheetData sheetId="22087">
        <row r="1">
          <cell r="J1">
            <v>1.7453292519943295E-2</v>
          </cell>
        </row>
      </sheetData>
      <sheetData sheetId="22088" refreshError="1"/>
      <sheetData sheetId="22089">
        <row r="1">
          <cell r="J1">
            <v>1.7453292519943295E-2</v>
          </cell>
        </row>
      </sheetData>
      <sheetData sheetId="22090">
        <row r="1">
          <cell r="J1">
            <v>1.7453292519943295E-2</v>
          </cell>
        </row>
      </sheetData>
      <sheetData sheetId="22091" refreshError="1"/>
      <sheetData sheetId="22092" refreshError="1"/>
      <sheetData sheetId="22093" refreshError="1"/>
      <sheetData sheetId="22094">
        <row r="1">
          <cell r="J1">
            <v>1.7453292519943295E-2</v>
          </cell>
        </row>
      </sheetData>
      <sheetData sheetId="22095">
        <row r="1">
          <cell r="J1">
            <v>1.7453292519943295E-2</v>
          </cell>
        </row>
      </sheetData>
      <sheetData sheetId="22096">
        <row r="1">
          <cell r="J1">
            <v>1.7453292519943295E-2</v>
          </cell>
        </row>
      </sheetData>
      <sheetData sheetId="22097"/>
      <sheetData sheetId="22098"/>
      <sheetData sheetId="22099"/>
      <sheetData sheetId="22100">
        <row r="1">
          <cell r="J1">
            <v>1.7453292519943295E-2</v>
          </cell>
        </row>
      </sheetData>
      <sheetData sheetId="22101">
        <row r="1">
          <cell r="J1">
            <v>1.7453292519943295E-2</v>
          </cell>
        </row>
      </sheetData>
      <sheetData sheetId="22102">
        <row r="1">
          <cell r="J1">
            <v>1.7453292519943295E-2</v>
          </cell>
        </row>
      </sheetData>
      <sheetData sheetId="22103">
        <row r="1">
          <cell r="J1">
            <v>1.7453292519943295E-2</v>
          </cell>
        </row>
      </sheetData>
      <sheetData sheetId="22104">
        <row r="1">
          <cell r="J1">
            <v>1.7453292519943295E-2</v>
          </cell>
        </row>
      </sheetData>
      <sheetData sheetId="22105"/>
      <sheetData sheetId="22106">
        <row r="1">
          <cell r="J1">
            <v>1.7453292519943295E-2</v>
          </cell>
        </row>
      </sheetData>
      <sheetData sheetId="22107">
        <row r="1">
          <cell r="J1">
            <v>1.7453292519943295E-2</v>
          </cell>
        </row>
      </sheetData>
      <sheetData sheetId="22108">
        <row r="1">
          <cell r="J1">
            <v>1.7453292519943295E-2</v>
          </cell>
        </row>
      </sheetData>
      <sheetData sheetId="22109">
        <row r="1">
          <cell r="J1">
            <v>1.7453292519943295E-2</v>
          </cell>
        </row>
      </sheetData>
      <sheetData sheetId="22110">
        <row r="1">
          <cell r="J1">
            <v>1.7453292519943295E-2</v>
          </cell>
        </row>
      </sheetData>
      <sheetData sheetId="22111">
        <row r="1">
          <cell r="J1">
            <v>1.7453292519943295E-2</v>
          </cell>
        </row>
      </sheetData>
      <sheetData sheetId="22112">
        <row r="1">
          <cell r="J1">
            <v>1.7453292519943295E-2</v>
          </cell>
        </row>
      </sheetData>
      <sheetData sheetId="22113"/>
      <sheetData sheetId="22114">
        <row r="1">
          <cell r="J1">
            <v>1.7453292519943295E-2</v>
          </cell>
        </row>
      </sheetData>
      <sheetData sheetId="22115" refreshError="1"/>
      <sheetData sheetId="22116" refreshError="1"/>
      <sheetData sheetId="22117">
        <row r="1">
          <cell r="J1">
            <v>1.7453292519943295E-2</v>
          </cell>
        </row>
      </sheetData>
      <sheetData sheetId="22118">
        <row r="1">
          <cell r="J1">
            <v>1.7453292519943295E-2</v>
          </cell>
        </row>
      </sheetData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>
        <row r="1">
          <cell r="J1">
            <v>1.7453292519943295E-2</v>
          </cell>
        </row>
      </sheetData>
      <sheetData sheetId="22126">
        <row r="1">
          <cell r="J1">
            <v>1.7453292519943295E-2</v>
          </cell>
        </row>
      </sheetData>
      <sheetData sheetId="22127">
        <row r="1">
          <cell r="J1">
            <v>1.7453292519943295E-2</v>
          </cell>
        </row>
      </sheetData>
      <sheetData sheetId="22128">
        <row r="1">
          <cell r="J1">
            <v>1.7453292519943295E-2</v>
          </cell>
        </row>
      </sheetData>
      <sheetData sheetId="22129">
        <row r="1">
          <cell r="J1">
            <v>1.7453292519943295E-2</v>
          </cell>
        </row>
      </sheetData>
      <sheetData sheetId="22130">
        <row r="1">
          <cell r="J1">
            <v>1.7453292519943295E-2</v>
          </cell>
        </row>
      </sheetData>
      <sheetData sheetId="22131">
        <row r="1">
          <cell r="J1">
            <v>1.7453292519943295E-2</v>
          </cell>
        </row>
      </sheetData>
      <sheetData sheetId="22132">
        <row r="1">
          <cell r="J1">
            <v>1.7453292519943295E-2</v>
          </cell>
        </row>
      </sheetData>
      <sheetData sheetId="22133">
        <row r="1">
          <cell r="J1">
            <v>1.7453292519943295E-2</v>
          </cell>
        </row>
      </sheetData>
      <sheetData sheetId="22134">
        <row r="1">
          <cell r="J1">
            <v>1.7453292519943295E-2</v>
          </cell>
        </row>
      </sheetData>
      <sheetData sheetId="22135">
        <row r="1">
          <cell r="J1">
            <v>1.7453292519943295E-2</v>
          </cell>
        </row>
      </sheetData>
      <sheetData sheetId="22136">
        <row r="1">
          <cell r="J1">
            <v>1.7453292519943295E-2</v>
          </cell>
        </row>
      </sheetData>
      <sheetData sheetId="22137">
        <row r="1">
          <cell r="J1">
            <v>1.7453292519943295E-2</v>
          </cell>
        </row>
      </sheetData>
      <sheetData sheetId="22138"/>
      <sheetData sheetId="22139">
        <row r="1">
          <cell r="J1">
            <v>1.7453292519943295E-2</v>
          </cell>
        </row>
      </sheetData>
      <sheetData sheetId="22140">
        <row r="1">
          <cell r="J1">
            <v>1.7453292519943295E-2</v>
          </cell>
        </row>
      </sheetData>
      <sheetData sheetId="22141">
        <row r="1">
          <cell r="J1">
            <v>1.7453292519943295E-2</v>
          </cell>
        </row>
      </sheetData>
      <sheetData sheetId="22142">
        <row r="1">
          <cell r="J1">
            <v>1.7453292519943295E-2</v>
          </cell>
        </row>
      </sheetData>
      <sheetData sheetId="22143">
        <row r="1">
          <cell r="J1">
            <v>1.7453292519943295E-2</v>
          </cell>
        </row>
      </sheetData>
      <sheetData sheetId="22144">
        <row r="1">
          <cell r="J1">
            <v>1.7453292519943295E-2</v>
          </cell>
        </row>
      </sheetData>
      <sheetData sheetId="22145">
        <row r="1">
          <cell r="J1">
            <v>1.7453292519943295E-2</v>
          </cell>
        </row>
      </sheetData>
      <sheetData sheetId="22146" refreshError="1"/>
      <sheetData sheetId="22147" refreshError="1"/>
      <sheetData sheetId="22148">
        <row r="1">
          <cell r="J1">
            <v>1.7453292519943295E-2</v>
          </cell>
        </row>
      </sheetData>
      <sheetData sheetId="22149">
        <row r="1">
          <cell r="J1">
            <v>1.7453292519943295E-2</v>
          </cell>
        </row>
      </sheetData>
      <sheetData sheetId="22150" refreshError="1"/>
      <sheetData sheetId="22151">
        <row r="1">
          <cell r="J1">
            <v>1.7453292519943295E-2</v>
          </cell>
        </row>
      </sheetData>
      <sheetData sheetId="22152">
        <row r="1">
          <cell r="J1">
            <v>1.7453292519943295E-2</v>
          </cell>
        </row>
      </sheetData>
      <sheetData sheetId="22153" refreshError="1"/>
      <sheetData sheetId="22154" refreshError="1"/>
      <sheetData sheetId="22155" refreshError="1"/>
      <sheetData sheetId="22156" refreshError="1"/>
      <sheetData sheetId="22157">
        <row r="1">
          <cell r="J1">
            <v>1.7453292519943295E-2</v>
          </cell>
        </row>
      </sheetData>
      <sheetData sheetId="22158"/>
      <sheetData sheetId="22159" refreshError="1"/>
      <sheetData sheetId="22160">
        <row r="1">
          <cell r="J1">
            <v>1.7453292519943295E-2</v>
          </cell>
        </row>
      </sheetData>
      <sheetData sheetId="22161">
        <row r="1">
          <cell r="J1">
            <v>1.7453292519943295E-2</v>
          </cell>
        </row>
      </sheetData>
      <sheetData sheetId="22162" refreshError="1"/>
      <sheetData sheetId="22163"/>
      <sheetData sheetId="22164">
        <row r="1">
          <cell r="J1">
            <v>1.7453292519943295E-2</v>
          </cell>
        </row>
      </sheetData>
      <sheetData sheetId="22165" refreshError="1"/>
      <sheetData sheetId="22166">
        <row r="1">
          <cell r="J1">
            <v>1.7453292519943295E-2</v>
          </cell>
        </row>
      </sheetData>
      <sheetData sheetId="22167"/>
      <sheetData sheetId="22168">
        <row r="1">
          <cell r="J1">
            <v>1.7453292519943295E-2</v>
          </cell>
        </row>
      </sheetData>
      <sheetData sheetId="22169">
        <row r="1">
          <cell r="J1">
            <v>1.7453292519943295E-2</v>
          </cell>
        </row>
      </sheetData>
      <sheetData sheetId="22170">
        <row r="1">
          <cell r="J1">
            <v>1.7453292519943295E-2</v>
          </cell>
        </row>
      </sheetData>
      <sheetData sheetId="22171">
        <row r="1">
          <cell r="J1">
            <v>1.7453292519943295E-2</v>
          </cell>
        </row>
      </sheetData>
      <sheetData sheetId="22172"/>
      <sheetData sheetId="22173">
        <row r="1">
          <cell r="J1">
            <v>1.7453292519943295E-2</v>
          </cell>
        </row>
      </sheetData>
      <sheetData sheetId="22174">
        <row r="1">
          <cell r="J1">
            <v>1.7453292519943295E-2</v>
          </cell>
        </row>
      </sheetData>
      <sheetData sheetId="22175">
        <row r="1">
          <cell r="J1">
            <v>1.7453292519943295E-2</v>
          </cell>
        </row>
      </sheetData>
      <sheetData sheetId="22176">
        <row r="1">
          <cell r="J1">
            <v>1.7453292519943295E-2</v>
          </cell>
        </row>
      </sheetData>
      <sheetData sheetId="22177">
        <row r="1">
          <cell r="J1">
            <v>1.7453292519943295E-2</v>
          </cell>
        </row>
      </sheetData>
      <sheetData sheetId="22178">
        <row r="1">
          <cell r="J1">
            <v>1.7453292519943295E-2</v>
          </cell>
        </row>
      </sheetData>
      <sheetData sheetId="22179">
        <row r="1">
          <cell r="J1">
            <v>1.7453292519943295E-2</v>
          </cell>
        </row>
      </sheetData>
      <sheetData sheetId="22180">
        <row r="1">
          <cell r="J1">
            <v>1.7453292519943295E-2</v>
          </cell>
        </row>
      </sheetData>
      <sheetData sheetId="22181">
        <row r="1">
          <cell r="J1">
            <v>1.7453292519943295E-2</v>
          </cell>
        </row>
      </sheetData>
      <sheetData sheetId="22182">
        <row r="1">
          <cell r="J1">
            <v>1.7453292519943295E-2</v>
          </cell>
        </row>
      </sheetData>
      <sheetData sheetId="22183">
        <row r="1">
          <cell r="J1">
            <v>1.7453292519943295E-2</v>
          </cell>
        </row>
      </sheetData>
      <sheetData sheetId="22184">
        <row r="1">
          <cell r="J1">
            <v>1.7453292519943295E-2</v>
          </cell>
        </row>
      </sheetData>
      <sheetData sheetId="22185">
        <row r="1">
          <cell r="J1">
            <v>1.7453292519943295E-2</v>
          </cell>
        </row>
      </sheetData>
      <sheetData sheetId="22186">
        <row r="1">
          <cell r="J1">
            <v>1.7453292519943295E-2</v>
          </cell>
        </row>
      </sheetData>
      <sheetData sheetId="22187">
        <row r="1">
          <cell r="J1">
            <v>1.7453292519943295E-2</v>
          </cell>
        </row>
      </sheetData>
      <sheetData sheetId="22188">
        <row r="1">
          <cell r="J1">
            <v>1.7453292519943295E-2</v>
          </cell>
        </row>
      </sheetData>
      <sheetData sheetId="22189">
        <row r="1">
          <cell r="J1">
            <v>1.7453292519943295E-2</v>
          </cell>
        </row>
      </sheetData>
      <sheetData sheetId="22190" refreshError="1"/>
      <sheetData sheetId="22191" refreshError="1"/>
      <sheetData sheetId="22192"/>
      <sheetData sheetId="22193"/>
      <sheetData sheetId="22194" refreshError="1"/>
      <sheetData sheetId="22195">
        <row r="1">
          <cell r="J1">
            <v>1.7453292519943295E-2</v>
          </cell>
        </row>
      </sheetData>
      <sheetData sheetId="22196"/>
      <sheetData sheetId="22197" refreshError="1"/>
      <sheetData sheetId="22198" refreshError="1"/>
      <sheetData sheetId="22199"/>
      <sheetData sheetId="22200">
        <row r="1">
          <cell r="J1">
            <v>1.7453292519943295E-2</v>
          </cell>
        </row>
      </sheetData>
      <sheetData sheetId="22201">
        <row r="1">
          <cell r="J1">
            <v>1.7453292519943295E-2</v>
          </cell>
        </row>
      </sheetData>
      <sheetData sheetId="22202">
        <row r="1">
          <cell r="J1">
            <v>1.7453292519943295E-2</v>
          </cell>
        </row>
      </sheetData>
      <sheetData sheetId="22203">
        <row r="1">
          <cell r="J1">
            <v>1.7453292519943295E-2</v>
          </cell>
        </row>
      </sheetData>
      <sheetData sheetId="22204">
        <row r="1">
          <cell r="J1">
            <v>1.7453292519943295E-2</v>
          </cell>
        </row>
      </sheetData>
      <sheetData sheetId="22205">
        <row r="1">
          <cell r="J1">
            <v>1.7453292519943295E-2</v>
          </cell>
        </row>
      </sheetData>
      <sheetData sheetId="22206">
        <row r="1">
          <cell r="J1">
            <v>1.7453292519943295E-2</v>
          </cell>
        </row>
      </sheetData>
      <sheetData sheetId="22207">
        <row r="1">
          <cell r="J1">
            <v>1.7453292519943295E-2</v>
          </cell>
        </row>
      </sheetData>
      <sheetData sheetId="22208">
        <row r="1">
          <cell r="J1">
            <v>1.7453292519943295E-2</v>
          </cell>
        </row>
      </sheetData>
      <sheetData sheetId="22209">
        <row r="1">
          <cell r="J1">
            <v>1.7453292519943295E-2</v>
          </cell>
        </row>
      </sheetData>
      <sheetData sheetId="22210">
        <row r="1">
          <cell r="J1">
            <v>1.7453292519943295E-2</v>
          </cell>
        </row>
      </sheetData>
      <sheetData sheetId="22211">
        <row r="1">
          <cell r="J1">
            <v>1.7453292519943295E-2</v>
          </cell>
        </row>
      </sheetData>
      <sheetData sheetId="22212">
        <row r="1">
          <cell r="J1">
            <v>1.7453292519943295E-2</v>
          </cell>
        </row>
      </sheetData>
      <sheetData sheetId="22213">
        <row r="1">
          <cell r="J1">
            <v>1.7453292519943295E-2</v>
          </cell>
        </row>
      </sheetData>
      <sheetData sheetId="22214">
        <row r="1">
          <cell r="J1">
            <v>1.7453292519943295E-2</v>
          </cell>
        </row>
      </sheetData>
      <sheetData sheetId="22215">
        <row r="1">
          <cell r="J1">
            <v>1.7453292519943295E-2</v>
          </cell>
        </row>
      </sheetData>
      <sheetData sheetId="22216">
        <row r="1">
          <cell r="J1">
            <v>1.7453292519943295E-2</v>
          </cell>
        </row>
      </sheetData>
      <sheetData sheetId="22217">
        <row r="1">
          <cell r="J1">
            <v>1.7453292519943295E-2</v>
          </cell>
        </row>
      </sheetData>
      <sheetData sheetId="22218">
        <row r="1">
          <cell r="J1">
            <v>1.7453292519943295E-2</v>
          </cell>
        </row>
      </sheetData>
      <sheetData sheetId="22219">
        <row r="1">
          <cell r="J1">
            <v>1.7453292519943295E-2</v>
          </cell>
        </row>
      </sheetData>
      <sheetData sheetId="22220">
        <row r="1">
          <cell r="J1">
            <v>1.7453292519943295E-2</v>
          </cell>
        </row>
      </sheetData>
      <sheetData sheetId="22221">
        <row r="1">
          <cell r="J1">
            <v>1.7453292519943295E-2</v>
          </cell>
        </row>
      </sheetData>
      <sheetData sheetId="22222" refreshError="1"/>
      <sheetData sheetId="22223">
        <row r="1">
          <cell r="J1">
            <v>1.7453292519943295E-2</v>
          </cell>
        </row>
      </sheetData>
      <sheetData sheetId="22224">
        <row r="1">
          <cell r="J1">
            <v>1.7453292519943295E-2</v>
          </cell>
        </row>
      </sheetData>
      <sheetData sheetId="22225">
        <row r="1">
          <cell r="J1">
            <v>1.7453292519943295E-2</v>
          </cell>
        </row>
      </sheetData>
      <sheetData sheetId="22226"/>
      <sheetData sheetId="22227">
        <row r="1">
          <cell r="J1">
            <v>1.7453292519943295E-2</v>
          </cell>
        </row>
      </sheetData>
      <sheetData sheetId="22228">
        <row r="1">
          <cell r="J1">
            <v>1.7453292519943295E-2</v>
          </cell>
        </row>
      </sheetData>
      <sheetData sheetId="22229" refreshError="1"/>
      <sheetData sheetId="22230">
        <row r="1">
          <cell r="J1">
            <v>1.7453292519943295E-2</v>
          </cell>
        </row>
      </sheetData>
      <sheetData sheetId="22231">
        <row r="1">
          <cell r="J1">
            <v>1.7453292519943295E-2</v>
          </cell>
        </row>
      </sheetData>
      <sheetData sheetId="22232">
        <row r="1">
          <cell r="J1">
            <v>1.7453292519943295E-2</v>
          </cell>
        </row>
      </sheetData>
      <sheetData sheetId="22233" refreshError="1"/>
      <sheetData sheetId="22234" refreshError="1"/>
      <sheetData sheetId="22235" refreshError="1"/>
      <sheetData sheetId="22236" refreshError="1"/>
      <sheetData sheetId="22237"/>
      <sheetData sheetId="22238">
        <row r="1">
          <cell r="J1">
            <v>1.7453292519943295E-2</v>
          </cell>
        </row>
      </sheetData>
      <sheetData sheetId="22239"/>
      <sheetData sheetId="22240">
        <row r="1">
          <cell r="J1">
            <v>1.7453292519943295E-2</v>
          </cell>
        </row>
      </sheetData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/>
      <sheetData sheetId="22250" refreshError="1"/>
      <sheetData sheetId="22251">
        <row r="1">
          <cell r="J1">
            <v>1.7453292519943295E-2</v>
          </cell>
        </row>
      </sheetData>
      <sheetData sheetId="22252">
        <row r="1">
          <cell r="J1">
            <v>1.7453292519943295E-2</v>
          </cell>
        </row>
      </sheetData>
      <sheetData sheetId="22253">
        <row r="1">
          <cell r="J1">
            <v>1.7453292519943295E-2</v>
          </cell>
        </row>
      </sheetData>
      <sheetData sheetId="22254">
        <row r="1">
          <cell r="J1">
            <v>1.7453292519943295E-2</v>
          </cell>
        </row>
      </sheetData>
      <sheetData sheetId="22255">
        <row r="1">
          <cell r="J1">
            <v>1.7453292519943295E-2</v>
          </cell>
        </row>
      </sheetData>
      <sheetData sheetId="22256">
        <row r="1">
          <cell r="J1">
            <v>1.7453292519943295E-2</v>
          </cell>
        </row>
      </sheetData>
      <sheetData sheetId="22257">
        <row r="1">
          <cell r="J1">
            <v>1.7453292519943295E-2</v>
          </cell>
        </row>
      </sheetData>
      <sheetData sheetId="22258">
        <row r="1">
          <cell r="J1">
            <v>1.7453292519943295E-2</v>
          </cell>
        </row>
      </sheetData>
      <sheetData sheetId="22259">
        <row r="1">
          <cell r="J1">
            <v>1.7453292519943295E-2</v>
          </cell>
        </row>
      </sheetData>
      <sheetData sheetId="22260"/>
      <sheetData sheetId="22261"/>
      <sheetData sheetId="22262">
        <row r="1">
          <cell r="J1">
            <v>1.7453292519943295E-2</v>
          </cell>
        </row>
      </sheetData>
      <sheetData sheetId="22263">
        <row r="1">
          <cell r="J1">
            <v>1.7453292519943295E-2</v>
          </cell>
        </row>
      </sheetData>
      <sheetData sheetId="22264">
        <row r="1">
          <cell r="J1">
            <v>1.7453292519943295E-2</v>
          </cell>
        </row>
      </sheetData>
      <sheetData sheetId="22265">
        <row r="1">
          <cell r="J1">
            <v>1.7453292519943295E-2</v>
          </cell>
        </row>
      </sheetData>
      <sheetData sheetId="22266">
        <row r="1">
          <cell r="J1">
            <v>1.7453292519943295E-2</v>
          </cell>
        </row>
      </sheetData>
      <sheetData sheetId="22267">
        <row r="1">
          <cell r="J1">
            <v>1.7453292519943295E-2</v>
          </cell>
        </row>
      </sheetData>
      <sheetData sheetId="22268" refreshError="1"/>
      <sheetData sheetId="22269">
        <row r="1">
          <cell r="J1">
            <v>1.7453292519943295E-2</v>
          </cell>
        </row>
      </sheetData>
      <sheetData sheetId="22270" refreshError="1"/>
      <sheetData sheetId="22271">
        <row r="1">
          <cell r="J1">
            <v>1.7453292519943295E-2</v>
          </cell>
        </row>
      </sheetData>
      <sheetData sheetId="22272" refreshError="1"/>
      <sheetData sheetId="22273" refreshError="1"/>
      <sheetData sheetId="22274" refreshError="1"/>
      <sheetData sheetId="22275" refreshError="1"/>
      <sheetData sheetId="22276"/>
      <sheetData sheetId="22277">
        <row r="1">
          <cell r="J1">
            <v>1.7453292519943295E-2</v>
          </cell>
        </row>
      </sheetData>
      <sheetData sheetId="22278"/>
      <sheetData sheetId="22279" refreshError="1"/>
      <sheetData sheetId="22280" refreshError="1"/>
      <sheetData sheetId="22281" refreshError="1"/>
      <sheetData sheetId="22282">
        <row r="1">
          <cell r="J1">
            <v>1.7453292519943295E-2</v>
          </cell>
        </row>
      </sheetData>
      <sheetData sheetId="22283" refreshError="1"/>
      <sheetData sheetId="22284" refreshError="1"/>
      <sheetData sheetId="22285">
        <row r="1">
          <cell r="J1">
            <v>1.7453292519943295E-2</v>
          </cell>
        </row>
      </sheetData>
      <sheetData sheetId="22286"/>
      <sheetData sheetId="22287"/>
      <sheetData sheetId="22288" refreshError="1"/>
      <sheetData sheetId="22289" refreshError="1"/>
      <sheetData sheetId="22290" refreshError="1"/>
      <sheetData sheetId="22291">
        <row r="1">
          <cell r="J1">
            <v>1.7453292519943295E-2</v>
          </cell>
        </row>
      </sheetData>
      <sheetData sheetId="22292" refreshError="1"/>
      <sheetData sheetId="22293">
        <row r="1">
          <cell r="J1">
            <v>1.7453292519943295E-2</v>
          </cell>
        </row>
      </sheetData>
      <sheetData sheetId="22294" refreshError="1"/>
      <sheetData sheetId="22295">
        <row r="1">
          <cell r="J1">
            <v>1.7453292519943295E-2</v>
          </cell>
        </row>
      </sheetData>
      <sheetData sheetId="22296">
        <row r="1">
          <cell r="J1">
            <v>1.7453292519943295E-2</v>
          </cell>
        </row>
      </sheetData>
      <sheetData sheetId="22297" refreshError="1"/>
      <sheetData sheetId="22298">
        <row r="1">
          <cell r="J1">
            <v>1.7453292519943295E-2</v>
          </cell>
        </row>
      </sheetData>
      <sheetData sheetId="22299"/>
      <sheetData sheetId="22300" refreshError="1"/>
      <sheetData sheetId="22301">
        <row r="1">
          <cell r="J1">
            <v>1.7453292519943295E-2</v>
          </cell>
        </row>
      </sheetData>
      <sheetData sheetId="22302">
        <row r="1">
          <cell r="J1">
            <v>1.7453292519943295E-2</v>
          </cell>
        </row>
      </sheetData>
      <sheetData sheetId="22303" refreshError="1"/>
      <sheetData sheetId="22304" refreshError="1"/>
      <sheetData sheetId="22305">
        <row r="1">
          <cell r="J1">
            <v>1.7453292519943295E-2</v>
          </cell>
        </row>
      </sheetData>
      <sheetData sheetId="22306">
        <row r="1">
          <cell r="J1">
            <v>1.7453292519943295E-2</v>
          </cell>
        </row>
      </sheetData>
      <sheetData sheetId="22307">
        <row r="1">
          <cell r="J1">
            <v>1.7453292519943295E-2</v>
          </cell>
        </row>
      </sheetData>
      <sheetData sheetId="22308">
        <row r="1">
          <cell r="J1">
            <v>1.7453292519943295E-2</v>
          </cell>
        </row>
      </sheetData>
      <sheetData sheetId="22309">
        <row r="1">
          <cell r="J1">
            <v>1.7453292519943295E-2</v>
          </cell>
        </row>
      </sheetData>
      <sheetData sheetId="22310" refreshError="1"/>
      <sheetData sheetId="22311" refreshError="1"/>
      <sheetData sheetId="22312">
        <row r="1">
          <cell r="J1">
            <v>1.7453292519943295E-2</v>
          </cell>
        </row>
      </sheetData>
      <sheetData sheetId="22313">
        <row r="1">
          <cell r="J1">
            <v>1.7453292519943295E-2</v>
          </cell>
        </row>
      </sheetData>
      <sheetData sheetId="22314">
        <row r="1">
          <cell r="J1">
            <v>1.7453292519943295E-2</v>
          </cell>
        </row>
      </sheetData>
      <sheetData sheetId="22315">
        <row r="1">
          <cell r="J1">
            <v>1.7453292519943295E-2</v>
          </cell>
        </row>
      </sheetData>
      <sheetData sheetId="22316">
        <row r="1">
          <cell r="J1">
            <v>1.7453292519943295E-2</v>
          </cell>
        </row>
      </sheetData>
      <sheetData sheetId="22317">
        <row r="1">
          <cell r="J1">
            <v>1.7453292519943295E-2</v>
          </cell>
        </row>
      </sheetData>
      <sheetData sheetId="22318">
        <row r="1">
          <cell r="J1">
            <v>1.7453292519943295E-2</v>
          </cell>
        </row>
      </sheetData>
      <sheetData sheetId="22319">
        <row r="1">
          <cell r="J1">
            <v>1.7453292519943295E-2</v>
          </cell>
        </row>
      </sheetData>
      <sheetData sheetId="22320">
        <row r="1">
          <cell r="J1">
            <v>1.7453292519943295E-2</v>
          </cell>
        </row>
      </sheetData>
      <sheetData sheetId="22321">
        <row r="1">
          <cell r="J1">
            <v>1.7453292519943295E-2</v>
          </cell>
        </row>
      </sheetData>
      <sheetData sheetId="22322">
        <row r="1">
          <cell r="J1">
            <v>1.7453292519943295E-2</v>
          </cell>
        </row>
      </sheetData>
      <sheetData sheetId="22323">
        <row r="1">
          <cell r="J1">
            <v>1.7453292519943295E-2</v>
          </cell>
        </row>
      </sheetData>
      <sheetData sheetId="22324">
        <row r="1">
          <cell r="J1">
            <v>1.7453292519943295E-2</v>
          </cell>
        </row>
      </sheetData>
      <sheetData sheetId="22325"/>
      <sheetData sheetId="22326"/>
      <sheetData sheetId="22327"/>
      <sheetData sheetId="22328">
        <row r="1">
          <cell r="J1">
            <v>1.7453292519943295E-2</v>
          </cell>
        </row>
      </sheetData>
      <sheetData sheetId="22329">
        <row r="1">
          <cell r="J1">
            <v>1.7453292519943295E-2</v>
          </cell>
        </row>
      </sheetData>
      <sheetData sheetId="22330">
        <row r="1">
          <cell r="J1">
            <v>1.7453292519943295E-2</v>
          </cell>
        </row>
      </sheetData>
      <sheetData sheetId="22331">
        <row r="1">
          <cell r="J1">
            <v>1.7453292519943295E-2</v>
          </cell>
        </row>
      </sheetData>
      <sheetData sheetId="22332">
        <row r="1">
          <cell r="J1">
            <v>1.7453292519943295E-2</v>
          </cell>
        </row>
      </sheetData>
      <sheetData sheetId="22333">
        <row r="1">
          <cell r="J1">
            <v>1.7453292519943295E-2</v>
          </cell>
        </row>
      </sheetData>
      <sheetData sheetId="22334">
        <row r="1">
          <cell r="J1">
            <v>1.7453292519943295E-2</v>
          </cell>
        </row>
      </sheetData>
      <sheetData sheetId="22335">
        <row r="1">
          <cell r="J1">
            <v>1.7453292519943295E-2</v>
          </cell>
        </row>
      </sheetData>
      <sheetData sheetId="22336">
        <row r="1">
          <cell r="J1">
            <v>1.7453292519943295E-2</v>
          </cell>
        </row>
      </sheetData>
      <sheetData sheetId="22337">
        <row r="1">
          <cell r="J1">
            <v>1.7453292519943295E-2</v>
          </cell>
        </row>
      </sheetData>
      <sheetData sheetId="22338"/>
      <sheetData sheetId="22339">
        <row r="1">
          <cell r="J1">
            <v>1.7453292519943295E-2</v>
          </cell>
        </row>
      </sheetData>
      <sheetData sheetId="22340">
        <row r="1">
          <cell r="J1">
            <v>1.7453292519943295E-2</v>
          </cell>
        </row>
      </sheetData>
      <sheetData sheetId="22341">
        <row r="1">
          <cell r="J1">
            <v>1.7453292519943295E-2</v>
          </cell>
        </row>
      </sheetData>
      <sheetData sheetId="22342">
        <row r="1">
          <cell r="J1">
            <v>1.7453292519943295E-2</v>
          </cell>
        </row>
      </sheetData>
      <sheetData sheetId="22343">
        <row r="1">
          <cell r="J1">
            <v>1.7453292519943295E-2</v>
          </cell>
        </row>
      </sheetData>
      <sheetData sheetId="22344">
        <row r="1">
          <cell r="J1">
            <v>1.7453292519943295E-2</v>
          </cell>
        </row>
      </sheetData>
      <sheetData sheetId="22345">
        <row r="1">
          <cell r="J1">
            <v>1.7453292519943295E-2</v>
          </cell>
        </row>
      </sheetData>
      <sheetData sheetId="22346">
        <row r="1">
          <cell r="J1">
            <v>1.7453292519943295E-2</v>
          </cell>
        </row>
      </sheetData>
      <sheetData sheetId="22347">
        <row r="1">
          <cell r="J1">
            <v>1.7453292519943295E-2</v>
          </cell>
        </row>
      </sheetData>
      <sheetData sheetId="22348">
        <row r="1">
          <cell r="J1">
            <v>1.7453292519943295E-2</v>
          </cell>
        </row>
      </sheetData>
      <sheetData sheetId="22349">
        <row r="1">
          <cell r="J1">
            <v>1.7453292519943295E-2</v>
          </cell>
        </row>
      </sheetData>
      <sheetData sheetId="22350">
        <row r="1">
          <cell r="J1">
            <v>1.7453292519943295E-2</v>
          </cell>
        </row>
      </sheetData>
      <sheetData sheetId="22351">
        <row r="1">
          <cell r="J1">
            <v>1.7453292519943295E-2</v>
          </cell>
        </row>
      </sheetData>
      <sheetData sheetId="22352">
        <row r="1">
          <cell r="J1">
            <v>1.7453292519943295E-2</v>
          </cell>
        </row>
      </sheetData>
      <sheetData sheetId="22353">
        <row r="1">
          <cell r="J1">
            <v>1.7453292519943295E-2</v>
          </cell>
        </row>
      </sheetData>
      <sheetData sheetId="22354">
        <row r="1">
          <cell r="J1">
            <v>1.7453292519943295E-2</v>
          </cell>
        </row>
      </sheetData>
      <sheetData sheetId="22355">
        <row r="1">
          <cell r="J1">
            <v>1.7453292519943295E-2</v>
          </cell>
        </row>
      </sheetData>
      <sheetData sheetId="22356">
        <row r="1">
          <cell r="J1">
            <v>1.7453292519943295E-2</v>
          </cell>
        </row>
      </sheetData>
      <sheetData sheetId="22357">
        <row r="1">
          <cell r="J1">
            <v>1.7453292519943295E-2</v>
          </cell>
        </row>
      </sheetData>
      <sheetData sheetId="22358">
        <row r="1">
          <cell r="J1">
            <v>1.7453292519943295E-2</v>
          </cell>
        </row>
      </sheetData>
      <sheetData sheetId="22359">
        <row r="1">
          <cell r="J1">
            <v>1.7453292519943295E-2</v>
          </cell>
        </row>
      </sheetData>
      <sheetData sheetId="22360">
        <row r="1">
          <cell r="J1">
            <v>1.7453292519943295E-2</v>
          </cell>
        </row>
      </sheetData>
      <sheetData sheetId="22361">
        <row r="1">
          <cell r="J1">
            <v>1.7453292519943295E-2</v>
          </cell>
        </row>
      </sheetData>
      <sheetData sheetId="22362">
        <row r="1">
          <cell r="J1">
            <v>1.7453292519943295E-2</v>
          </cell>
        </row>
      </sheetData>
      <sheetData sheetId="22363">
        <row r="1">
          <cell r="J1">
            <v>1.7453292519943295E-2</v>
          </cell>
        </row>
      </sheetData>
      <sheetData sheetId="22364">
        <row r="1">
          <cell r="J1">
            <v>1.7453292519943295E-2</v>
          </cell>
        </row>
      </sheetData>
      <sheetData sheetId="22365" refreshError="1"/>
      <sheetData sheetId="22366">
        <row r="1">
          <cell r="J1">
            <v>1.7453292519943295E-2</v>
          </cell>
        </row>
      </sheetData>
      <sheetData sheetId="22367">
        <row r="1">
          <cell r="J1">
            <v>1.7453292519943295E-2</v>
          </cell>
        </row>
      </sheetData>
      <sheetData sheetId="22368">
        <row r="1">
          <cell r="J1">
            <v>1.7453292519943295E-2</v>
          </cell>
        </row>
      </sheetData>
      <sheetData sheetId="22369">
        <row r="1">
          <cell r="J1">
            <v>1.7453292519943295E-2</v>
          </cell>
        </row>
      </sheetData>
      <sheetData sheetId="22370">
        <row r="1">
          <cell r="J1">
            <v>1.7453292519943295E-2</v>
          </cell>
        </row>
      </sheetData>
      <sheetData sheetId="22371">
        <row r="1">
          <cell r="J1">
            <v>1.7453292519943295E-2</v>
          </cell>
        </row>
      </sheetData>
      <sheetData sheetId="22372">
        <row r="1">
          <cell r="J1">
            <v>1.7453292519943295E-2</v>
          </cell>
        </row>
      </sheetData>
      <sheetData sheetId="22373">
        <row r="1">
          <cell r="J1">
            <v>1.7453292519943295E-2</v>
          </cell>
        </row>
      </sheetData>
      <sheetData sheetId="22374" refreshError="1"/>
      <sheetData sheetId="22375" refreshError="1"/>
      <sheetData sheetId="22376">
        <row r="1">
          <cell r="J1">
            <v>1.7453292519943295E-2</v>
          </cell>
        </row>
      </sheetData>
      <sheetData sheetId="22377">
        <row r="1">
          <cell r="J1">
            <v>1.7453292519943295E-2</v>
          </cell>
        </row>
      </sheetData>
      <sheetData sheetId="22378">
        <row r="1">
          <cell r="J1">
            <v>1.7453292519943295E-2</v>
          </cell>
        </row>
      </sheetData>
      <sheetData sheetId="22379" refreshError="1"/>
      <sheetData sheetId="22380">
        <row r="1">
          <cell r="J1">
            <v>1.7453292519943295E-2</v>
          </cell>
        </row>
      </sheetData>
      <sheetData sheetId="22381">
        <row r="1">
          <cell r="J1">
            <v>1.7453292519943295E-2</v>
          </cell>
        </row>
      </sheetData>
      <sheetData sheetId="22382">
        <row r="1">
          <cell r="J1">
            <v>1.7453292519943295E-2</v>
          </cell>
        </row>
      </sheetData>
      <sheetData sheetId="22383" refreshError="1"/>
      <sheetData sheetId="22384" refreshError="1"/>
      <sheetData sheetId="22385">
        <row r="1">
          <cell r="J1">
            <v>1.7453292519943295E-2</v>
          </cell>
        </row>
      </sheetData>
      <sheetData sheetId="22386">
        <row r="1">
          <cell r="J1">
            <v>1.7453292519943295E-2</v>
          </cell>
        </row>
      </sheetData>
      <sheetData sheetId="22387">
        <row r="1">
          <cell r="J1">
            <v>1.7453292519943295E-2</v>
          </cell>
        </row>
      </sheetData>
      <sheetData sheetId="22388" refreshError="1"/>
      <sheetData sheetId="22389" refreshError="1"/>
      <sheetData sheetId="22390">
        <row r="1">
          <cell r="J1">
            <v>1.7453292519943295E-2</v>
          </cell>
        </row>
      </sheetData>
      <sheetData sheetId="22391">
        <row r="1">
          <cell r="J1">
            <v>1.7453292519943295E-2</v>
          </cell>
        </row>
      </sheetData>
      <sheetData sheetId="22392">
        <row r="1">
          <cell r="J1">
            <v>1.7453292519943295E-2</v>
          </cell>
        </row>
      </sheetData>
      <sheetData sheetId="22393" refreshError="1"/>
      <sheetData sheetId="22394">
        <row r="1">
          <cell r="J1">
            <v>1.7453292519943295E-2</v>
          </cell>
        </row>
      </sheetData>
      <sheetData sheetId="22395">
        <row r="1">
          <cell r="J1">
            <v>1.7453292519943295E-2</v>
          </cell>
        </row>
      </sheetData>
      <sheetData sheetId="22396">
        <row r="1">
          <cell r="J1">
            <v>1.7453292519943295E-2</v>
          </cell>
        </row>
      </sheetData>
      <sheetData sheetId="22397">
        <row r="1">
          <cell r="J1">
            <v>1.7453292519943295E-2</v>
          </cell>
        </row>
      </sheetData>
      <sheetData sheetId="22398" refreshError="1"/>
      <sheetData sheetId="22399" refreshError="1"/>
      <sheetData sheetId="22400">
        <row r="1">
          <cell r="J1">
            <v>1.7453292519943295E-2</v>
          </cell>
        </row>
      </sheetData>
      <sheetData sheetId="22401">
        <row r="1">
          <cell r="J1">
            <v>1.7453292519943295E-2</v>
          </cell>
        </row>
      </sheetData>
      <sheetData sheetId="22402" refreshError="1"/>
      <sheetData sheetId="22403" refreshError="1"/>
      <sheetData sheetId="22404">
        <row r="1">
          <cell r="J1">
            <v>1.7453292519943295E-2</v>
          </cell>
        </row>
      </sheetData>
      <sheetData sheetId="22405">
        <row r="1">
          <cell r="J1">
            <v>1.7453292519943295E-2</v>
          </cell>
        </row>
      </sheetData>
      <sheetData sheetId="22406">
        <row r="1">
          <cell r="J1">
            <v>1.7453292519943295E-2</v>
          </cell>
        </row>
      </sheetData>
      <sheetData sheetId="22407">
        <row r="1">
          <cell r="J1">
            <v>1.7453292519943295E-2</v>
          </cell>
        </row>
      </sheetData>
      <sheetData sheetId="22408" refreshError="1"/>
      <sheetData sheetId="22409" refreshError="1"/>
      <sheetData sheetId="22410">
        <row r="1">
          <cell r="J1">
            <v>1.7453292519943295E-2</v>
          </cell>
        </row>
      </sheetData>
      <sheetData sheetId="22411">
        <row r="1">
          <cell r="J1">
            <v>1.7453292519943295E-2</v>
          </cell>
        </row>
      </sheetData>
      <sheetData sheetId="22412" refreshError="1"/>
      <sheetData sheetId="22413">
        <row r="1">
          <cell r="J1">
            <v>1.7453292519943295E-2</v>
          </cell>
        </row>
      </sheetData>
      <sheetData sheetId="22414" refreshError="1"/>
      <sheetData sheetId="22415" refreshError="1"/>
      <sheetData sheetId="22416" refreshError="1"/>
      <sheetData sheetId="22417" refreshError="1"/>
      <sheetData sheetId="22418">
        <row r="1">
          <cell r="J1">
            <v>1.7453292519943295E-2</v>
          </cell>
        </row>
      </sheetData>
      <sheetData sheetId="22419">
        <row r="1">
          <cell r="J1">
            <v>1.7453292519943295E-2</v>
          </cell>
        </row>
      </sheetData>
      <sheetData sheetId="22420">
        <row r="1">
          <cell r="J1">
            <v>1.7453292519943295E-2</v>
          </cell>
        </row>
      </sheetData>
      <sheetData sheetId="22421">
        <row r="1">
          <cell r="J1">
            <v>1.7453292519943295E-2</v>
          </cell>
        </row>
      </sheetData>
      <sheetData sheetId="22422">
        <row r="1">
          <cell r="J1">
            <v>1.7453292519943295E-2</v>
          </cell>
        </row>
      </sheetData>
      <sheetData sheetId="22423">
        <row r="1">
          <cell r="J1">
            <v>1.7453292519943295E-2</v>
          </cell>
        </row>
      </sheetData>
      <sheetData sheetId="22424">
        <row r="1">
          <cell r="J1">
            <v>1.7453292519943295E-2</v>
          </cell>
        </row>
      </sheetData>
      <sheetData sheetId="22425">
        <row r="1">
          <cell r="J1">
            <v>1.7453292519943295E-2</v>
          </cell>
        </row>
      </sheetData>
      <sheetData sheetId="22426">
        <row r="1">
          <cell r="J1">
            <v>1.7453292519943295E-2</v>
          </cell>
        </row>
      </sheetData>
      <sheetData sheetId="22427">
        <row r="1">
          <cell r="J1">
            <v>1.7453292519943295E-2</v>
          </cell>
        </row>
      </sheetData>
      <sheetData sheetId="22428">
        <row r="1">
          <cell r="J1">
            <v>1.7453292519943295E-2</v>
          </cell>
        </row>
      </sheetData>
      <sheetData sheetId="22429">
        <row r="1">
          <cell r="J1">
            <v>1.7453292519943295E-2</v>
          </cell>
        </row>
      </sheetData>
      <sheetData sheetId="22430"/>
      <sheetData sheetId="22431">
        <row r="1">
          <cell r="J1">
            <v>1.7453292519943295E-2</v>
          </cell>
        </row>
      </sheetData>
      <sheetData sheetId="22432">
        <row r="1">
          <cell r="J1">
            <v>1.7453292519943295E-2</v>
          </cell>
        </row>
      </sheetData>
      <sheetData sheetId="22433">
        <row r="1">
          <cell r="J1">
            <v>1.7453292519943295E-2</v>
          </cell>
        </row>
      </sheetData>
      <sheetData sheetId="22434">
        <row r="1">
          <cell r="J1">
            <v>1.7453292519943295E-2</v>
          </cell>
        </row>
      </sheetData>
      <sheetData sheetId="22435">
        <row r="1">
          <cell r="J1">
            <v>1.7453292519943295E-2</v>
          </cell>
        </row>
      </sheetData>
      <sheetData sheetId="22436"/>
      <sheetData sheetId="22437"/>
      <sheetData sheetId="22438">
        <row r="1">
          <cell r="J1">
            <v>1.7453292519943295E-2</v>
          </cell>
        </row>
      </sheetData>
      <sheetData sheetId="22439" refreshError="1"/>
      <sheetData sheetId="22440" refreshError="1"/>
      <sheetData sheetId="22441">
        <row r="1">
          <cell r="J1">
            <v>1.7453292519943295E-2</v>
          </cell>
        </row>
      </sheetData>
      <sheetData sheetId="22442">
        <row r="1">
          <cell r="J1">
            <v>1.7453292519943295E-2</v>
          </cell>
        </row>
      </sheetData>
      <sheetData sheetId="22443">
        <row r="1">
          <cell r="J1">
            <v>1.7453292519943295E-2</v>
          </cell>
        </row>
      </sheetData>
      <sheetData sheetId="22444"/>
      <sheetData sheetId="22445"/>
      <sheetData sheetId="22446"/>
      <sheetData sheetId="22447">
        <row r="1">
          <cell r="J1">
            <v>1.7453292519943295E-2</v>
          </cell>
        </row>
      </sheetData>
      <sheetData sheetId="22448" refreshError="1"/>
      <sheetData sheetId="22449" refreshError="1"/>
      <sheetData sheetId="22450" refreshError="1"/>
      <sheetData sheetId="22451" refreshError="1"/>
      <sheetData sheetId="22452">
        <row r="1">
          <cell r="J1">
            <v>1.7453292519943295E-2</v>
          </cell>
        </row>
      </sheetData>
      <sheetData sheetId="22453" refreshError="1"/>
      <sheetData sheetId="22454" refreshError="1"/>
      <sheetData sheetId="22455">
        <row r="1">
          <cell r="J1">
            <v>1.7453292519943295E-2</v>
          </cell>
        </row>
      </sheetData>
      <sheetData sheetId="22456">
        <row r="1">
          <cell r="J1">
            <v>1.7453292519943295E-2</v>
          </cell>
        </row>
      </sheetData>
      <sheetData sheetId="22457" refreshError="1"/>
      <sheetData sheetId="22458">
        <row r="1">
          <cell r="J1">
            <v>1.7453292519943295E-2</v>
          </cell>
        </row>
      </sheetData>
      <sheetData sheetId="22459">
        <row r="1">
          <cell r="J1">
            <v>1.7453292519943295E-2</v>
          </cell>
        </row>
      </sheetData>
      <sheetData sheetId="22460">
        <row r="1">
          <cell r="J1">
            <v>1.7453292519943295E-2</v>
          </cell>
        </row>
      </sheetData>
      <sheetData sheetId="22461" refreshError="1"/>
      <sheetData sheetId="22462" refreshError="1"/>
      <sheetData sheetId="22463">
        <row r="1">
          <cell r="J1">
            <v>1.7453292519943295E-2</v>
          </cell>
        </row>
      </sheetData>
      <sheetData sheetId="22464">
        <row r="1">
          <cell r="J1">
            <v>1.7453292519943295E-2</v>
          </cell>
        </row>
      </sheetData>
      <sheetData sheetId="22465" refreshError="1"/>
      <sheetData sheetId="22466">
        <row r="1">
          <cell r="J1">
            <v>1.7453292519943295E-2</v>
          </cell>
        </row>
      </sheetData>
      <sheetData sheetId="22467">
        <row r="1">
          <cell r="J1">
            <v>1.7453292519943295E-2</v>
          </cell>
        </row>
      </sheetData>
      <sheetData sheetId="22468">
        <row r="1">
          <cell r="J1">
            <v>1.7453292519943295E-2</v>
          </cell>
        </row>
      </sheetData>
      <sheetData sheetId="22469" refreshError="1"/>
      <sheetData sheetId="22470" refreshError="1"/>
      <sheetData sheetId="22471">
        <row r="1">
          <cell r="J1">
            <v>1.7453292519943295E-2</v>
          </cell>
        </row>
      </sheetData>
      <sheetData sheetId="22472">
        <row r="1">
          <cell r="J1">
            <v>1.7453292519943295E-2</v>
          </cell>
        </row>
      </sheetData>
      <sheetData sheetId="22473" refreshError="1"/>
      <sheetData sheetId="22474">
        <row r="1">
          <cell r="J1">
            <v>1.7453292519943295E-2</v>
          </cell>
        </row>
      </sheetData>
      <sheetData sheetId="22475">
        <row r="1">
          <cell r="J1">
            <v>1.7453292519943295E-2</v>
          </cell>
        </row>
      </sheetData>
      <sheetData sheetId="22476">
        <row r="1">
          <cell r="J1">
            <v>1.7453292519943295E-2</v>
          </cell>
        </row>
      </sheetData>
      <sheetData sheetId="22477" refreshError="1"/>
      <sheetData sheetId="22478" refreshError="1"/>
      <sheetData sheetId="22479">
        <row r="1">
          <cell r="J1">
            <v>1.7453292519943295E-2</v>
          </cell>
        </row>
      </sheetData>
      <sheetData sheetId="22480">
        <row r="1">
          <cell r="J1">
            <v>1.7453292519943295E-2</v>
          </cell>
        </row>
      </sheetData>
      <sheetData sheetId="22481" refreshError="1"/>
      <sheetData sheetId="22482">
        <row r="1">
          <cell r="J1">
            <v>1.7453292519943295E-2</v>
          </cell>
        </row>
      </sheetData>
      <sheetData sheetId="22483">
        <row r="1">
          <cell r="J1">
            <v>1.7453292519943295E-2</v>
          </cell>
        </row>
      </sheetData>
      <sheetData sheetId="22484" refreshError="1"/>
      <sheetData sheetId="22485" refreshError="1"/>
      <sheetData sheetId="22486">
        <row r="1">
          <cell r="J1">
            <v>1.7453292519943295E-2</v>
          </cell>
        </row>
      </sheetData>
      <sheetData sheetId="22487">
        <row r="1">
          <cell r="J1">
            <v>1.7453292519943295E-2</v>
          </cell>
        </row>
      </sheetData>
      <sheetData sheetId="22488">
        <row r="1">
          <cell r="J1">
            <v>1.7453292519943295E-2</v>
          </cell>
        </row>
      </sheetData>
      <sheetData sheetId="22489" refreshError="1"/>
      <sheetData sheetId="22490">
        <row r="1">
          <cell r="J1">
            <v>1.7453292519943295E-2</v>
          </cell>
        </row>
      </sheetData>
      <sheetData sheetId="22491">
        <row r="1">
          <cell r="J1">
            <v>1.7453292519943295E-2</v>
          </cell>
        </row>
      </sheetData>
      <sheetData sheetId="22492" refreshError="1"/>
      <sheetData sheetId="22493" refreshError="1"/>
      <sheetData sheetId="22494">
        <row r="1">
          <cell r="J1">
            <v>1.7453292519943295E-2</v>
          </cell>
        </row>
      </sheetData>
      <sheetData sheetId="22495">
        <row r="1">
          <cell r="J1">
            <v>1.7453292519943295E-2</v>
          </cell>
        </row>
      </sheetData>
      <sheetData sheetId="22496">
        <row r="1">
          <cell r="J1">
            <v>1.7453292519943295E-2</v>
          </cell>
        </row>
      </sheetData>
      <sheetData sheetId="22497" refreshError="1"/>
      <sheetData sheetId="22498">
        <row r="1">
          <cell r="J1">
            <v>1.7453292519943295E-2</v>
          </cell>
        </row>
      </sheetData>
      <sheetData sheetId="22499">
        <row r="1">
          <cell r="J1">
            <v>1.7453292519943295E-2</v>
          </cell>
        </row>
      </sheetData>
      <sheetData sheetId="22500">
        <row r="1">
          <cell r="J1">
            <v>1.7453292519943295E-2</v>
          </cell>
        </row>
      </sheetData>
      <sheetData sheetId="22501" refreshError="1"/>
      <sheetData sheetId="22502" refreshError="1"/>
      <sheetData sheetId="22503">
        <row r="1">
          <cell r="J1">
            <v>1.7453292519943295E-2</v>
          </cell>
        </row>
      </sheetData>
      <sheetData sheetId="22504">
        <row r="1">
          <cell r="J1">
            <v>1.7453292519943295E-2</v>
          </cell>
        </row>
      </sheetData>
      <sheetData sheetId="22505" refreshError="1"/>
      <sheetData sheetId="22506">
        <row r="1">
          <cell r="J1">
            <v>1.7453292519943295E-2</v>
          </cell>
        </row>
      </sheetData>
      <sheetData sheetId="22507">
        <row r="1">
          <cell r="J1">
            <v>1.7453292519943295E-2</v>
          </cell>
        </row>
      </sheetData>
      <sheetData sheetId="22508">
        <row r="1">
          <cell r="J1">
            <v>1.7453292519943295E-2</v>
          </cell>
        </row>
      </sheetData>
      <sheetData sheetId="22509" refreshError="1"/>
      <sheetData sheetId="22510" refreshError="1"/>
      <sheetData sheetId="22511">
        <row r="1">
          <cell r="J1">
            <v>1.7453292519943295E-2</v>
          </cell>
        </row>
      </sheetData>
      <sheetData sheetId="22512">
        <row r="1">
          <cell r="J1">
            <v>1.7453292519943295E-2</v>
          </cell>
        </row>
      </sheetData>
      <sheetData sheetId="22513" refreshError="1"/>
      <sheetData sheetId="22514">
        <row r="1">
          <cell r="J1">
            <v>1.7453292519943295E-2</v>
          </cell>
        </row>
      </sheetData>
      <sheetData sheetId="22515">
        <row r="1">
          <cell r="J1">
            <v>1.7453292519943295E-2</v>
          </cell>
        </row>
      </sheetData>
      <sheetData sheetId="22516">
        <row r="1">
          <cell r="J1">
            <v>1.7453292519943295E-2</v>
          </cell>
        </row>
      </sheetData>
      <sheetData sheetId="22517" refreshError="1"/>
      <sheetData sheetId="22518" refreshError="1"/>
      <sheetData sheetId="22519">
        <row r="1">
          <cell r="J1">
            <v>1.7453292519943295E-2</v>
          </cell>
        </row>
      </sheetData>
      <sheetData sheetId="22520">
        <row r="1">
          <cell r="J1">
            <v>1.7453292519943295E-2</v>
          </cell>
        </row>
      </sheetData>
      <sheetData sheetId="22521" refreshError="1"/>
      <sheetData sheetId="22522">
        <row r="1">
          <cell r="J1">
            <v>1.7453292519943295E-2</v>
          </cell>
        </row>
      </sheetData>
      <sheetData sheetId="22523">
        <row r="1">
          <cell r="J1">
            <v>1.7453292519943295E-2</v>
          </cell>
        </row>
      </sheetData>
      <sheetData sheetId="22524">
        <row r="1">
          <cell r="J1">
            <v>1.7453292519943295E-2</v>
          </cell>
        </row>
      </sheetData>
      <sheetData sheetId="22525">
        <row r="1">
          <cell r="J1">
            <v>1.7453292519943295E-2</v>
          </cell>
        </row>
      </sheetData>
      <sheetData sheetId="22526">
        <row r="1">
          <cell r="J1">
            <v>1.7453292519943295E-2</v>
          </cell>
        </row>
      </sheetData>
      <sheetData sheetId="22527">
        <row r="1">
          <cell r="J1">
            <v>1.7453292519943295E-2</v>
          </cell>
        </row>
      </sheetData>
      <sheetData sheetId="22528">
        <row r="1">
          <cell r="J1">
            <v>1.7453292519943295E-2</v>
          </cell>
        </row>
      </sheetData>
      <sheetData sheetId="22529">
        <row r="1">
          <cell r="J1">
            <v>1.7453292519943295E-2</v>
          </cell>
        </row>
      </sheetData>
      <sheetData sheetId="22530">
        <row r="1">
          <cell r="J1">
            <v>1.7453292519943295E-2</v>
          </cell>
        </row>
      </sheetData>
      <sheetData sheetId="22531" refreshError="1"/>
      <sheetData sheetId="22532" refreshError="1"/>
      <sheetData sheetId="22533" refreshError="1"/>
      <sheetData sheetId="22534">
        <row r="1">
          <cell r="J1">
            <v>1.7453292519943295E-2</v>
          </cell>
        </row>
      </sheetData>
      <sheetData sheetId="22535"/>
      <sheetData sheetId="22536" refreshError="1"/>
      <sheetData sheetId="22537">
        <row r="1">
          <cell r="J1">
            <v>1.7453292519943295E-2</v>
          </cell>
        </row>
      </sheetData>
      <sheetData sheetId="22538">
        <row r="1">
          <cell r="J1">
            <v>1.7453292519943295E-2</v>
          </cell>
        </row>
      </sheetData>
      <sheetData sheetId="22539">
        <row r="1">
          <cell r="J1">
            <v>1.7453292519943295E-2</v>
          </cell>
        </row>
      </sheetData>
      <sheetData sheetId="22540">
        <row r="1">
          <cell r="J1">
            <v>1.7453292519943295E-2</v>
          </cell>
        </row>
      </sheetData>
      <sheetData sheetId="22541"/>
      <sheetData sheetId="22542" refreshError="1"/>
      <sheetData sheetId="22543">
        <row r="1">
          <cell r="J1">
            <v>1.7453292519943295E-2</v>
          </cell>
        </row>
      </sheetData>
      <sheetData sheetId="22544" refreshError="1"/>
      <sheetData sheetId="22545" refreshError="1"/>
      <sheetData sheetId="22546" refreshError="1"/>
      <sheetData sheetId="22547" refreshError="1"/>
      <sheetData sheetId="22548"/>
      <sheetData sheetId="22549"/>
      <sheetData sheetId="22550" refreshError="1"/>
      <sheetData sheetId="22551">
        <row r="1">
          <cell r="J1">
            <v>1.7453292519943295E-2</v>
          </cell>
        </row>
      </sheetData>
      <sheetData sheetId="22552" refreshError="1"/>
      <sheetData sheetId="22553" refreshError="1"/>
      <sheetData sheetId="22554">
        <row r="1">
          <cell r="J1">
            <v>1.7453292519943295E-2</v>
          </cell>
        </row>
      </sheetData>
      <sheetData sheetId="22555">
        <row r="1">
          <cell r="J1">
            <v>1.7453292519943295E-2</v>
          </cell>
        </row>
      </sheetData>
      <sheetData sheetId="22556"/>
      <sheetData sheetId="22557"/>
      <sheetData sheetId="22558">
        <row r="1">
          <cell r="J1">
            <v>1.7453292519943295E-2</v>
          </cell>
        </row>
      </sheetData>
      <sheetData sheetId="22559">
        <row r="1">
          <cell r="J1">
            <v>1.7453292519943295E-2</v>
          </cell>
        </row>
      </sheetData>
      <sheetData sheetId="22560">
        <row r="1">
          <cell r="J1">
            <v>1.7453292519943295E-2</v>
          </cell>
        </row>
      </sheetData>
      <sheetData sheetId="22561">
        <row r="1">
          <cell r="J1">
            <v>1.7453292519943295E-2</v>
          </cell>
        </row>
      </sheetData>
      <sheetData sheetId="22562">
        <row r="1">
          <cell r="J1">
            <v>1.7453292519943295E-2</v>
          </cell>
        </row>
      </sheetData>
      <sheetData sheetId="22563">
        <row r="1">
          <cell r="J1">
            <v>1.7453292519943295E-2</v>
          </cell>
        </row>
      </sheetData>
      <sheetData sheetId="22564">
        <row r="1">
          <cell r="J1">
            <v>1.7453292519943295E-2</v>
          </cell>
        </row>
      </sheetData>
      <sheetData sheetId="22565">
        <row r="1">
          <cell r="J1">
            <v>1.7453292519943295E-2</v>
          </cell>
        </row>
      </sheetData>
      <sheetData sheetId="22566">
        <row r="1">
          <cell r="J1">
            <v>1.7453292519943295E-2</v>
          </cell>
        </row>
      </sheetData>
      <sheetData sheetId="22567">
        <row r="1">
          <cell r="J1">
            <v>1.7453292519943295E-2</v>
          </cell>
        </row>
      </sheetData>
      <sheetData sheetId="22568">
        <row r="1">
          <cell r="J1">
            <v>1.7453292519943295E-2</v>
          </cell>
        </row>
      </sheetData>
      <sheetData sheetId="22569">
        <row r="1">
          <cell r="J1">
            <v>1.7453292519943295E-2</v>
          </cell>
        </row>
      </sheetData>
      <sheetData sheetId="22570"/>
      <sheetData sheetId="22571"/>
      <sheetData sheetId="22572"/>
      <sheetData sheetId="22573" refreshError="1"/>
      <sheetData sheetId="22574"/>
      <sheetData sheetId="22575">
        <row r="1">
          <cell r="J1">
            <v>1.7453292519943295E-2</v>
          </cell>
        </row>
      </sheetData>
      <sheetData sheetId="22576">
        <row r="1">
          <cell r="J1">
            <v>1.7453292519943295E-2</v>
          </cell>
        </row>
      </sheetData>
      <sheetData sheetId="22577">
        <row r="1">
          <cell r="J1">
            <v>1.7453292519943295E-2</v>
          </cell>
        </row>
      </sheetData>
      <sheetData sheetId="22578">
        <row r="1">
          <cell r="J1">
            <v>1.7453292519943295E-2</v>
          </cell>
        </row>
      </sheetData>
      <sheetData sheetId="22579">
        <row r="1">
          <cell r="J1">
            <v>1.7453292519943295E-2</v>
          </cell>
        </row>
      </sheetData>
      <sheetData sheetId="22580"/>
      <sheetData sheetId="22581" refreshError="1"/>
      <sheetData sheetId="22582">
        <row r="1">
          <cell r="J1">
            <v>1.7453292519943295E-2</v>
          </cell>
        </row>
      </sheetData>
      <sheetData sheetId="22583">
        <row r="1">
          <cell r="J1">
            <v>1.7453292519943295E-2</v>
          </cell>
        </row>
      </sheetData>
      <sheetData sheetId="22584">
        <row r="1">
          <cell r="J1">
            <v>1.7453292519943295E-2</v>
          </cell>
        </row>
      </sheetData>
      <sheetData sheetId="22585" refreshError="1"/>
      <sheetData sheetId="22586" refreshError="1"/>
      <sheetData sheetId="22587" refreshError="1"/>
      <sheetData sheetId="22588">
        <row r="1">
          <cell r="J1">
            <v>1.7453292519943295E-2</v>
          </cell>
        </row>
      </sheetData>
      <sheetData sheetId="22589" refreshError="1"/>
      <sheetData sheetId="22590" refreshError="1"/>
      <sheetData sheetId="22591">
        <row r="1">
          <cell r="J1">
            <v>1.7453292519943295E-2</v>
          </cell>
        </row>
      </sheetData>
      <sheetData sheetId="22592">
        <row r="1">
          <cell r="J1">
            <v>1.7453292519943295E-2</v>
          </cell>
        </row>
      </sheetData>
      <sheetData sheetId="22593">
        <row r="1">
          <cell r="J1">
            <v>1.7453292519943295E-2</v>
          </cell>
        </row>
      </sheetData>
      <sheetData sheetId="22594">
        <row r="1">
          <cell r="J1">
            <v>1.7453292519943295E-2</v>
          </cell>
        </row>
      </sheetData>
      <sheetData sheetId="22595">
        <row r="1">
          <cell r="J1">
            <v>1.7453292519943295E-2</v>
          </cell>
        </row>
      </sheetData>
      <sheetData sheetId="22596">
        <row r="1">
          <cell r="J1">
            <v>1.7453292519943295E-2</v>
          </cell>
        </row>
      </sheetData>
      <sheetData sheetId="22597">
        <row r="1">
          <cell r="J1">
            <v>1.7453292519943295E-2</v>
          </cell>
        </row>
      </sheetData>
      <sheetData sheetId="22598">
        <row r="1">
          <cell r="J1">
            <v>1.7453292519943295E-2</v>
          </cell>
        </row>
      </sheetData>
      <sheetData sheetId="22599">
        <row r="1">
          <cell r="J1">
            <v>1.7453292519943295E-2</v>
          </cell>
        </row>
      </sheetData>
      <sheetData sheetId="22600">
        <row r="1">
          <cell r="J1">
            <v>1.7453292519943295E-2</v>
          </cell>
        </row>
      </sheetData>
      <sheetData sheetId="22601"/>
      <sheetData sheetId="22602">
        <row r="1">
          <cell r="J1">
            <v>1.7453292519943295E-2</v>
          </cell>
        </row>
      </sheetData>
      <sheetData sheetId="22603">
        <row r="1">
          <cell r="J1">
            <v>1.7453292519943295E-2</v>
          </cell>
        </row>
      </sheetData>
      <sheetData sheetId="22604">
        <row r="1">
          <cell r="J1">
            <v>1.7453292519943295E-2</v>
          </cell>
        </row>
      </sheetData>
      <sheetData sheetId="22605">
        <row r="1">
          <cell r="J1">
            <v>1.7453292519943295E-2</v>
          </cell>
        </row>
      </sheetData>
      <sheetData sheetId="22606">
        <row r="1">
          <cell r="J1">
            <v>1.7453292519943295E-2</v>
          </cell>
        </row>
      </sheetData>
      <sheetData sheetId="22607">
        <row r="1">
          <cell r="J1">
            <v>1.7453292519943295E-2</v>
          </cell>
        </row>
      </sheetData>
      <sheetData sheetId="22608">
        <row r="1">
          <cell r="J1">
            <v>1.7453292519943295E-2</v>
          </cell>
        </row>
      </sheetData>
      <sheetData sheetId="22609">
        <row r="1">
          <cell r="J1">
            <v>1.7453292519943295E-2</v>
          </cell>
        </row>
      </sheetData>
      <sheetData sheetId="22610">
        <row r="1">
          <cell r="J1">
            <v>1.7453292519943295E-2</v>
          </cell>
        </row>
      </sheetData>
      <sheetData sheetId="22611">
        <row r="1">
          <cell r="J1">
            <v>1.7453292519943295E-2</v>
          </cell>
        </row>
      </sheetData>
      <sheetData sheetId="22612">
        <row r="1">
          <cell r="J1">
            <v>1.7453292519943295E-2</v>
          </cell>
        </row>
      </sheetData>
      <sheetData sheetId="22613">
        <row r="1">
          <cell r="J1">
            <v>1.7453292519943295E-2</v>
          </cell>
        </row>
      </sheetData>
      <sheetData sheetId="22614" refreshError="1"/>
      <sheetData sheetId="22615">
        <row r="1">
          <cell r="J1">
            <v>1.7453292519943295E-2</v>
          </cell>
        </row>
      </sheetData>
      <sheetData sheetId="22616" refreshError="1"/>
      <sheetData sheetId="22617">
        <row r="1">
          <cell r="J1">
            <v>1.7453292519943295E-2</v>
          </cell>
        </row>
      </sheetData>
      <sheetData sheetId="22618">
        <row r="1">
          <cell r="J1">
            <v>1.7453292519943295E-2</v>
          </cell>
        </row>
      </sheetData>
      <sheetData sheetId="22619" refreshError="1"/>
      <sheetData sheetId="22620">
        <row r="1">
          <cell r="J1">
            <v>1.7453292519943295E-2</v>
          </cell>
        </row>
      </sheetData>
      <sheetData sheetId="22621" refreshError="1"/>
      <sheetData sheetId="22622" refreshError="1"/>
      <sheetData sheetId="22623">
        <row r="1">
          <cell r="J1">
            <v>1.7453292519943295E-2</v>
          </cell>
        </row>
      </sheetData>
      <sheetData sheetId="22624">
        <row r="1">
          <cell r="J1">
            <v>1.7453292519943295E-2</v>
          </cell>
        </row>
      </sheetData>
      <sheetData sheetId="22625" refreshError="1"/>
      <sheetData sheetId="22626" refreshError="1"/>
      <sheetData sheetId="22627" refreshError="1"/>
      <sheetData sheetId="22628">
        <row r="1">
          <cell r="J1">
            <v>1.7453292519943295E-2</v>
          </cell>
        </row>
      </sheetData>
      <sheetData sheetId="22629">
        <row r="1">
          <cell r="J1">
            <v>1.7453292519943295E-2</v>
          </cell>
        </row>
      </sheetData>
      <sheetData sheetId="22630" refreshError="1"/>
      <sheetData sheetId="22631"/>
      <sheetData sheetId="22632"/>
      <sheetData sheetId="22633">
        <row r="1">
          <cell r="J1">
            <v>1.7453292519943295E-2</v>
          </cell>
        </row>
      </sheetData>
      <sheetData sheetId="22634">
        <row r="1">
          <cell r="J1">
            <v>1.7453292519943295E-2</v>
          </cell>
        </row>
      </sheetData>
      <sheetData sheetId="22635">
        <row r="1">
          <cell r="J1">
            <v>1.7453292519943295E-2</v>
          </cell>
        </row>
      </sheetData>
      <sheetData sheetId="22636">
        <row r="1">
          <cell r="J1">
            <v>1.7453292519943295E-2</v>
          </cell>
        </row>
      </sheetData>
      <sheetData sheetId="22637">
        <row r="1">
          <cell r="J1">
            <v>1.7453292519943295E-2</v>
          </cell>
        </row>
      </sheetData>
      <sheetData sheetId="22638">
        <row r="1">
          <cell r="J1">
            <v>1.7453292519943295E-2</v>
          </cell>
        </row>
      </sheetData>
      <sheetData sheetId="22639">
        <row r="1">
          <cell r="J1">
            <v>1.7453292519943295E-2</v>
          </cell>
        </row>
      </sheetData>
      <sheetData sheetId="22640">
        <row r="1">
          <cell r="J1">
            <v>1.7453292519943295E-2</v>
          </cell>
        </row>
      </sheetData>
      <sheetData sheetId="22641">
        <row r="1">
          <cell r="J1">
            <v>1.7453292519943295E-2</v>
          </cell>
        </row>
      </sheetData>
      <sheetData sheetId="22642">
        <row r="1">
          <cell r="J1">
            <v>1.7453292519943295E-2</v>
          </cell>
        </row>
      </sheetData>
      <sheetData sheetId="22643">
        <row r="1">
          <cell r="J1">
            <v>1.7453292519943295E-2</v>
          </cell>
        </row>
      </sheetData>
      <sheetData sheetId="22644">
        <row r="1">
          <cell r="J1">
            <v>1.7453292519943295E-2</v>
          </cell>
        </row>
      </sheetData>
      <sheetData sheetId="22645">
        <row r="1">
          <cell r="J1">
            <v>1.7453292519943295E-2</v>
          </cell>
        </row>
      </sheetData>
      <sheetData sheetId="22646">
        <row r="1">
          <cell r="J1">
            <v>1.7453292519943295E-2</v>
          </cell>
        </row>
      </sheetData>
      <sheetData sheetId="22647">
        <row r="1">
          <cell r="J1">
            <v>1.7453292519943295E-2</v>
          </cell>
        </row>
      </sheetData>
      <sheetData sheetId="22648">
        <row r="1">
          <cell r="J1">
            <v>1.7453292519943295E-2</v>
          </cell>
        </row>
      </sheetData>
      <sheetData sheetId="22649">
        <row r="1">
          <cell r="J1">
            <v>1.7453292519943295E-2</v>
          </cell>
        </row>
      </sheetData>
      <sheetData sheetId="22650">
        <row r="1">
          <cell r="J1">
            <v>1.7453292519943295E-2</v>
          </cell>
        </row>
      </sheetData>
      <sheetData sheetId="22651" refreshError="1"/>
      <sheetData sheetId="22652" refreshError="1"/>
      <sheetData sheetId="22653" refreshError="1"/>
      <sheetData sheetId="22654">
        <row r="1">
          <cell r="J1">
            <v>1.7453292519943295E-2</v>
          </cell>
        </row>
      </sheetData>
      <sheetData sheetId="22655">
        <row r="1">
          <cell r="J1">
            <v>1.7453292519943295E-2</v>
          </cell>
        </row>
      </sheetData>
      <sheetData sheetId="22656">
        <row r="1">
          <cell r="J1">
            <v>1.7453292519943295E-2</v>
          </cell>
        </row>
      </sheetData>
      <sheetData sheetId="22657"/>
      <sheetData sheetId="22658">
        <row r="1">
          <cell r="J1">
            <v>1.7453292519943295E-2</v>
          </cell>
        </row>
      </sheetData>
      <sheetData sheetId="22659">
        <row r="1">
          <cell r="J1">
            <v>1.7453292519943295E-2</v>
          </cell>
        </row>
      </sheetData>
      <sheetData sheetId="22660">
        <row r="1">
          <cell r="J1">
            <v>1.7453292519943295E-2</v>
          </cell>
        </row>
      </sheetData>
      <sheetData sheetId="22661">
        <row r="1">
          <cell r="J1">
            <v>1.7453292519943295E-2</v>
          </cell>
        </row>
      </sheetData>
      <sheetData sheetId="22662">
        <row r="1">
          <cell r="J1">
            <v>1.7453292519943295E-2</v>
          </cell>
        </row>
      </sheetData>
      <sheetData sheetId="22663">
        <row r="1">
          <cell r="J1">
            <v>1.7453292519943295E-2</v>
          </cell>
        </row>
      </sheetData>
      <sheetData sheetId="22664">
        <row r="1">
          <cell r="J1">
            <v>1.7453292519943295E-2</v>
          </cell>
        </row>
      </sheetData>
      <sheetData sheetId="22665">
        <row r="1">
          <cell r="J1">
            <v>1.7453292519943295E-2</v>
          </cell>
        </row>
      </sheetData>
      <sheetData sheetId="22666">
        <row r="1">
          <cell r="J1">
            <v>1.7453292519943295E-2</v>
          </cell>
        </row>
      </sheetData>
      <sheetData sheetId="22667">
        <row r="1">
          <cell r="J1">
            <v>1.7453292519943295E-2</v>
          </cell>
        </row>
      </sheetData>
      <sheetData sheetId="22668">
        <row r="1">
          <cell r="J1">
            <v>1.7453292519943295E-2</v>
          </cell>
        </row>
      </sheetData>
      <sheetData sheetId="22669">
        <row r="1">
          <cell r="J1">
            <v>1.7453292519943295E-2</v>
          </cell>
        </row>
      </sheetData>
      <sheetData sheetId="22670">
        <row r="1">
          <cell r="J1">
            <v>1.7453292519943295E-2</v>
          </cell>
        </row>
      </sheetData>
      <sheetData sheetId="22671">
        <row r="1">
          <cell r="J1">
            <v>1.7453292519943295E-2</v>
          </cell>
        </row>
      </sheetData>
      <sheetData sheetId="22672">
        <row r="1">
          <cell r="J1">
            <v>1.7453292519943295E-2</v>
          </cell>
        </row>
      </sheetData>
      <sheetData sheetId="22673">
        <row r="1">
          <cell r="J1">
            <v>1.7453292519943295E-2</v>
          </cell>
        </row>
      </sheetData>
      <sheetData sheetId="22674" refreshError="1"/>
      <sheetData sheetId="22675" refreshError="1"/>
      <sheetData sheetId="22676">
        <row r="1">
          <cell r="J1">
            <v>1.7453292519943295E-2</v>
          </cell>
        </row>
      </sheetData>
      <sheetData sheetId="22677">
        <row r="1">
          <cell r="J1">
            <v>1.7453292519943295E-2</v>
          </cell>
        </row>
      </sheetData>
      <sheetData sheetId="22678">
        <row r="1">
          <cell r="J1">
            <v>1.7453292519943295E-2</v>
          </cell>
        </row>
      </sheetData>
      <sheetData sheetId="22679" refreshError="1"/>
      <sheetData sheetId="22680" refreshError="1"/>
      <sheetData sheetId="22681" refreshError="1"/>
      <sheetData sheetId="22682"/>
      <sheetData sheetId="22683" refreshError="1"/>
      <sheetData sheetId="22684">
        <row r="1">
          <cell r="J1">
            <v>1.7453292519943295E-2</v>
          </cell>
        </row>
      </sheetData>
      <sheetData sheetId="22685">
        <row r="1">
          <cell r="J1">
            <v>1.7453292519943295E-2</v>
          </cell>
        </row>
      </sheetData>
      <sheetData sheetId="22686">
        <row r="1">
          <cell r="J1">
            <v>1.7453292519943295E-2</v>
          </cell>
        </row>
      </sheetData>
      <sheetData sheetId="22687">
        <row r="1">
          <cell r="J1">
            <v>1.7453292519943295E-2</v>
          </cell>
        </row>
      </sheetData>
      <sheetData sheetId="22688">
        <row r="1">
          <cell r="J1">
            <v>1.7453292519943295E-2</v>
          </cell>
        </row>
      </sheetData>
      <sheetData sheetId="22689">
        <row r="1">
          <cell r="J1">
            <v>1.7453292519943295E-2</v>
          </cell>
        </row>
      </sheetData>
      <sheetData sheetId="22690">
        <row r="1">
          <cell r="J1">
            <v>1.7453292519943295E-2</v>
          </cell>
        </row>
      </sheetData>
      <sheetData sheetId="22691"/>
      <sheetData sheetId="22692">
        <row r="1">
          <cell r="J1">
            <v>1.7453292519943295E-2</v>
          </cell>
        </row>
      </sheetData>
      <sheetData sheetId="22693">
        <row r="1">
          <cell r="J1">
            <v>1.7453292519943295E-2</v>
          </cell>
        </row>
      </sheetData>
      <sheetData sheetId="22694">
        <row r="1">
          <cell r="J1">
            <v>1.7453292519943295E-2</v>
          </cell>
        </row>
      </sheetData>
      <sheetData sheetId="22695">
        <row r="1">
          <cell r="J1">
            <v>1.7453292519943295E-2</v>
          </cell>
        </row>
      </sheetData>
      <sheetData sheetId="22696">
        <row r="1">
          <cell r="J1">
            <v>1.7453292519943295E-2</v>
          </cell>
        </row>
      </sheetData>
      <sheetData sheetId="22697">
        <row r="1">
          <cell r="J1">
            <v>1.7453292519943295E-2</v>
          </cell>
        </row>
      </sheetData>
      <sheetData sheetId="22698">
        <row r="1">
          <cell r="J1">
            <v>1.7453292519943295E-2</v>
          </cell>
        </row>
      </sheetData>
      <sheetData sheetId="22699">
        <row r="1">
          <cell r="J1">
            <v>1.7453292519943295E-2</v>
          </cell>
        </row>
      </sheetData>
      <sheetData sheetId="22700">
        <row r="1">
          <cell r="J1">
            <v>1.7453292519943295E-2</v>
          </cell>
        </row>
      </sheetData>
      <sheetData sheetId="22701">
        <row r="1">
          <cell r="J1">
            <v>1.7453292519943295E-2</v>
          </cell>
        </row>
      </sheetData>
      <sheetData sheetId="22702">
        <row r="1">
          <cell r="J1">
            <v>1.7453292519943295E-2</v>
          </cell>
        </row>
      </sheetData>
      <sheetData sheetId="22703">
        <row r="1">
          <cell r="J1">
            <v>1.7453292519943295E-2</v>
          </cell>
        </row>
      </sheetData>
      <sheetData sheetId="22704">
        <row r="1">
          <cell r="J1">
            <v>1.7453292519943295E-2</v>
          </cell>
        </row>
      </sheetData>
      <sheetData sheetId="22705">
        <row r="1">
          <cell r="J1">
            <v>1.7453292519943295E-2</v>
          </cell>
        </row>
      </sheetData>
      <sheetData sheetId="22706" refreshError="1"/>
      <sheetData sheetId="22707" refreshError="1"/>
      <sheetData sheetId="22708">
        <row r="1">
          <cell r="J1">
            <v>1.7453292519943295E-2</v>
          </cell>
        </row>
      </sheetData>
      <sheetData sheetId="22709">
        <row r="1">
          <cell r="J1">
            <v>1.7453292519943295E-2</v>
          </cell>
        </row>
      </sheetData>
      <sheetData sheetId="22710" refreshError="1"/>
      <sheetData sheetId="22711"/>
      <sheetData sheetId="22712">
        <row r="1">
          <cell r="J1">
            <v>1.7453292519943295E-2</v>
          </cell>
        </row>
      </sheetData>
      <sheetData sheetId="22713" refreshError="1"/>
      <sheetData sheetId="22714" refreshError="1"/>
      <sheetData sheetId="22715">
        <row r="1">
          <cell r="J1">
            <v>1.7453292519943295E-2</v>
          </cell>
        </row>
      </sheetData>
      <sheetData sheetId="22716">
        <row r="1">
          <cell r="J1">
            <v>1.7453292519943295E-2</v>
          </cell>
        </row>
      </sheetData>
      <sheetData sheetId="22717">
        <row r="1">
          <cell r="J1">
            <v>1.7453292519943295E-2</v>
          </cell>
        </row>
      </sheetData>
      <sheetData sheetId="22718" refreshError="1"/>
      <sheetData sheetId="22719">
        <row r="1">
          <cell r="J1">
            <v>1.7453292519943295E-2</v>
          </cell>
        </row>
      </sheetData>
      <sheetData sheetId="22720">
        <row r="1">
          <cell r="J1">
            <v>1.7453292519943295E-2</v>
          </cell>
        </row>
      </sheetData>
      <sheetData sheetId="22721">
        <row r="1">
          <cell r="J1">
            <v>1.7453292519943295E-2</v>
          </cell>
        </row>
      </sheetData>
      <sheetData sheetId="22722">
        <row r="1">
          <cell r="J1">
            <v>1.7453292519943295E-2</v>
          </cell>
        </row>
      </sheetData>
      <sheetData sheetId="22723">
        <row r="1">
          <cell r="J1">
            <v>1.7453292519943295E-2</v>
          </cell>
        </row>
      </sheetData>
      <sheetData sheetId="22724" refreshError="1"/>
      <sheetData sheetId="22725" refreshError="1"/>
      <sheetData sheetId="22726">
        <row r="1">
          <cell r="J1">
            <v>1.7453292519943295E-2</v>
          </cell>
        </row>
      </sheetData>
      <sheetData sheetId="22727">
        <row r="1">
          <cell r="J1">
            <v>1.7453292519943295E-2</v>
          </cell>
        </row>
      </sheetData>
      <sheetData sheetId="22728">
        <row r="1">
          <cell r="J1">
            <v>1.7453292519943295E-2</v>
          </cell>
        </row>
      </sheetData>
      <sheetData sheetId="22729" refreshError="1"/>
      <sheetData sheetId="22730">
        <row r="1">
          <cell r="J1">
            <v>1.7453292519943295E-2</v>
          </cell>
        </row>
      </sheetData>
      <sheetData sheetId="22731">
        <row r="1">
          <cell r="J1">
            <v>1.7453292519943295E-2</v>
          </cell>
        </row>
      </sheetData>
      <sheetData sheetId="22732">
        <row r="1">
          <cell r="J1">
            <v>1.7453292519943295E-2</v>
          </cell>
        </row>
      </sheetData>
      <sheetData sheetId="22733" refreshError="1"/>
      <sheetData sheetId="22734" refreshError="1"/>
      <sheetData sheetId="22735">
        <row r="1">
          <cell r="J1">
            <v>1.7453292519943295E-2</v>
          </cell>
        </row>
      </sheetData>
      <sheetData sheetId="22736">
        <row r="1">
          <cell r="J1">
            <v>1.7453292519943295E-2</v>
          </cell>
        </row>
      </sheetData>
      <sheetData sheetId="22737" refreshError="1"/>
      <sheetData sheetId="22738">
        <row r="1">
          <cell r="J1">
            <v>1.7453292519943295E-2</v>
          </cell>
        </row>
      </sheetData>
      <sheetData sheetId="22739">
        <row r="1">
          <cell r="J1">
            <v>1.7453292519943295E-2</v>
          </cell>
        </row>
      </sheetData>
      <sheetData sheetId="22740">
        <row r="1">
          <cell r="J1">
            <v>1.7453292519943295E-2</v>
          </cell>
        </row>
      </sheetData>
      <sheetData sheetId="22741" refreshError="1"/>
      <sheetData sheetId="22742" refreshError="1"/>
      <sheetData sheetId="22743">
        <row r="1">
          <cell r="J1">
            <v>1.7453292519943295E-2</v>
          </cell>
        </row>
      </sheetData>
      <sheetData sheetId="22744">
        <row r="1">
          <cell r="J1">
            <v>1.7453292519943295E-2</v>
          </cell>
        </row>
      </sheetData>
      <sheetData sheetId="22745" refreshError="1"/>
      <sheetData sheetId="22746">
        <row r="1">
          <cell r="J1">
            <v>1.7453292519943295E-2</v>
          </cell>
        </row>
      </sheetData>
      <sheetData sheetId="22747">
        <row r="1">
          <cell r="J1">
            <v>1.7453292519943295E-2</v>
          </cell>
        </row>
      </sheetData>
      <sheetData sheetId="22748">
        <row r="1">
          <cell r="J1">
            <v>1.7453292519943295E-2</v>
          </cell>
        </row>
      </sheetData>
      <sheetData sheetId="22749" refreshError="1"/>
      <sheetData sheetId="22750" refreshError="1"/>
      <sheetData sheetId="22751">
        <row r="1">
          <cell r="J1">
            <v>1.7453292519943295E-2</v>
          </cell>
        </row>
      </sheetData>
      <sheetData sheetId="22752">
        <row r="1">
          <cell r="J1">
            <v>1.7453292519943295E-2</v>
          </cell>
        </row>
      </sheetData>
      <sheetData sheetId="22753" refreshError="1"/>
      <sheetData sheetId="22754">
        <row r="1">
          <cell r="J1">
            <v>1.7453292519943295E-2</v>
          </cell>
        </row>
      </sheetData>
      <sheetData sheetId="22755">
        <row r="1">
          <cell r="J1">
            <v>1.7453292519943295E-2</v>
          </cell>
        </row>
      </sheetData>
      <sheetData sheetId="22756">
        <row r="1">
          <cell r="J1">
            <v>1.7453292519943295E-2</v>
          </cell>
        </row>
      </sheetData>
      <sheetData sheetId="22757">
        <row r="1">
          <cell r="J1">
            <v>1.7453292519943295E-2</v>
          </cell>
        </row>
      </sheetData>
      <sheetData sheetId="22758" refreshError="1"/>
      <sheetData sheetId="22759" refreshError="1"/>
      <sheetData sheetId="22760">
        <row r="1">
          <cell r="J1">
            <v>1.7453292519943295E-2</v>
          </cell>
        </row>
      </sheetData>
      <sheetData sheetId="22761">
        <row r="1">
          <cell r="J1">
            <v>1.7453292519943295E-2</v>
          </cell>
        </row>
      </sheetData>
      <sheetData sheetId="22762">
        <row r="1">
          <cell r="J1">
            <v>1.7453292519943295E-2</v>
          </cell>
        </row>
      </sheetData>
      <sheetData sheetId="22763" refreshError="1"/>
      <sheetData sheetId="22764" refreshError="1"/>
      <sheetData sheetId="22765">
        <row r="1">
          <cell r="J1">
            <v>1.7453292519943295E-2</v>
          </cell>
        </row>
      </sheetData>
      <sheetData sheetId="22766">
        <row r="1">
          <cell r="J1">
            <v>1.7453292519943295E-2</v>
          </cell>
        </row>
      </sheetData>
      <sheetData sheetId="22767">
        <row r="1">
          <cell r="J1">
            <v>1.7453292519943295E-2</v>
          </cell>
        </row>
      </sheetData>
      <sheetData sheetId="22768" refreshError="1"/>
      <sheetData sheetId="22769">
        <row r="1">
          <cell r="J1">
            <v>1.7453292519943295E-2</v>
          </cell>
        </row>
      </sheetData>
      <sheetData sheetId="22770">
        <row r="1">
          <cell r="J1">
            <v>1.7453292519943295E-2</v>
          </cell>
        </row>
      </sheetData>
      <sheetData sheetId="22771">
        <row r="1">
          <cell r="J1">
            <v>1.7453292519943295E-2</v>
          </cell>
        </row>
      </sheetData>
      <sheetData sheetId="22772" refreshError="1"/>
      <sheetData sheetId="22773" refreshError="1"/>
      <sheetData sheetId="22774">
        <row r="1">
          <cell r="J1">
            <v>1.7453292519943295E-2</v>
          </cell>
        </row>
      </sheetData>
      <sheetData sheetId="22775">
        <row r="1">
          <cell r="J1">
            <v>1.7453292519943295E-2</v>
          </cell>
        </row>
      </sheetData>
      <sheetData sheetId="22776" refreshError="1"/>
      <sheetData sheetId="22777">
        <row r="1">
          <cell r="J1">
            <v>1.7453292519943295E-2</v>
          </cell>
        </row>
      </sheetData>
      <sheetData sheetId="22778">
        <row r="1">
          <cell r="J1">
            <v>1.7453292519943295E-2</v>
          </cell>
        </row>
      </sheetData>
      <sheetData sheetId="22779" refreshError="1"/>
      <sheetData sheetId="22780" refreshError="1"/>
      <sheetData sheetId="22781">
        <row r="1">
          <cell r="J1">
            <v>1.7453292519943295E-2</v>
          </cell>
        </row>
      </sheetData>
      <sheetData sheetId="22782">
        <row r="1">
          <cell r="J1">
            <v>1.7453292519943295E-2</v>
          </cell>
        </row>
      </sheetData>
      <sheetData sheetId="22783">
        <row r="1">
          <cell r="J1">
            <v>1.7453292519943295E-2</v>
          </cell>
        </row>
      </sheetData>
      <sheetData sheetId="22784" refreshError="1"/>
      <sheetData sheetId="22785" refreshError="1"/>
      <sheetData sheetId="22786">
        <row r="1">
          <cell r="J1">
            <v>1.7453292519943295E-2</v>
          </cell>
        </row>
      </sheetData>
      <sheetData sheetId="22787">
        <row r="1">
          <cell r="J1">
            <v>1.7453292519943295E-2</v>
          </cell>
        </row>
      </sheetData>
      <sheetData sheetId="22788">
        <row r="1">
          <cell r="J1">
            <v>1.7453292519943295E-2</v>
          </cell>
        </row>
      </sheetData>
      <sheetData sheetId="22789">
        <row r="1">
          <cell r="J1">
            <v>1.7453292519943295E-2</v>
          </cell>
        </row>
      </sheetData>
      <sheetData sheetId="22790" refreshError="1"/>
      <sheetData sheetId="22791" refreshError="1"/>
      <sheetData sheetId="22792">
        <row r="1">
          <cell r="J1">
            <v>1.7453292519943295E-2</v>
          </cell>
        </row>
      </sheetData>
      <sheetData sheetId="22793">
        <row r="1">
          <cell r="J1">
            <v>1.7453292519943295E-2</v>
          </cell>
        </row>
      </sheetData>
      <sheetData sheetId="22794">
        <row r="1">
          <cell r="J1">
            <v>1.7453292519943295E-2</v>
          </cell>
        </row>
      </sheetData>
      <sheetData sheetId="22795">
        <row r="1">
          <cell r="J1">
            <v>1.7453292519943295E-2</v>
          </cell>
        </row>
      </sheetData>
      <sheetData sheetId="22796">
        <row r="1">
          <cell r="J1">
            <v>1.7453292519943295E-2</v>
          </cell>
        </row>
      </sheetData>
      <sheetData sheetId="22797" refreshError="1"/>
      <sheetData sheetId="22798">
        <row r="1">
          <cell r="J1">
            <v>1.7453292519943295E-2</v>
          </cell>
        </row>
      </sheetData>
      <sheetData sheetId="22799" refreshError="1"/>
      <sheetData sheetId="22800" refreshError="1"/>
      <sheetData sheetId="22801">
        <row r="1">
          <cell r="J1">
            <v>1.7453292519943295E-2</v>
          </cell>
        </row>
      </sheetData>
      <sheetData sheetId="22802" refreshError="1"/>
      <sheetData sheetId="22803" refreshError="1"/>
      <sheetData sheetId="22804">
        <row r="1">
          <cell r="J1">
            <v>1.7453292519943295E-2</v>
          </cell>
        </row>
      </sheetData>
      <sheetData sheetId="22805" refreshError="1"/>
      <sheetData sheetId="22806">
        <row r="1">
          <cell r="J1">
            <v>1.7453292519943295E-2</v>
          </cell>
        </row>
      </sheetData>
      <sheetData sheetId="22807">
        <row r="1">
          <cell r="J1">
            <v>1.7453292519943295E-2</v>
          </cell>
        </row>
      </sheetData>
      <sheetData sheetId="22808" refreshError="1"/>
      <sheetData sheetId="22809" refreshError="1"/>
      <sheetData sheetId="22810" refreshError="1"/>
      <sheetData sheetId="22811" refreshError="1"/>
      <sheetData sheetId="22812">
        <row r="1">
          <cell r="J1">
            <v>1.7453292519943295E-2</v>
          </cell>
        </row>
      </sheetData>
      <sheetData sheetId="22813">
        <row r="1">
          <cell r="J1">
            <v>1.7453292519943295E-2</v>
          </cell>
        </row>
      </sheetData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>
        <row r="1">
          <cell r="J1">
            <v>1.7453292519943295E-2</v>
          </cell>
        </row>
      </sheetData>
      <sheetData sheetId="22820">
        <row r="1">
          <cell r="J1">
            <v>1.7453292519943295E-2</v>
          </cell>
        </row>
      </sheetData>
      <sheetData sheetId="22821">
        <row r="1">
          <cell r="J1">
            <v>1.7453292519943295E-2</v>
          </cell>
        </row>
      </sheetData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>
        <row r="1">
          <cell r="J1">
            <v>1.7453292519943295E-2</v>
          </cell>
        </row>
      </sheetData>
      <sheetData sheetId="22828">
        <row r="1">
          <cell r="J1">
            <v>1.7453292519943295E-2</v>
          </cell>
        </row>
      </sheetData>
      <sheetData sheetId="22829">
        <row r="1">
          <cell r="J1">
            <v>1.7453292519943295E-2</v>
          </cell>
        </row>
      </sheetData>
      <sheetData sheetId="22830" refreshError="1"/>
      <sheetData sheetId="22831">
        <row r="1">
          <cell r="J1">
            <v>1.7453292519943295E-2</v>
          </cell>
        </row>
      </sheetData>
      <sheetData sheetId="22832" refreshError="1"/>
      <sheetData sheetId="22833" refreshError="1"/>
      <sheetData sheetId="22834">
        <row r="1">
          <cell r="J1">
            <v>1.7453292519943295E-2</v>
          </cell>
        </row>
      </sheetData>
      <sheetData sheetId="22835" refreshError="1"/>
      <sheetData sheetId="22836">
        <row r="1">
          <cell r="J1">
            <v>1.7453292519943295E-2</v>
          </cell>
        </row>
      </sheetData>
      <sheetData sheetId="22837">
        <row r="1">
          <cell r="J1">
            <v>1.7453292519943295E-2</v>
          </cell>
        </row>
      </sheetData>
      <sheetData sheetId="22838">
        <row r="1">
          <cell r="J1">
            <v>1.7453292519943295E-2</v>
          </cell>
        </row>
      </sheetData>
      <sheetData sheetId="22839">
        <row r="1">
          <cell r="J1">
            <v>1.7453292519943295E-2</v>
          </cell>
        </row>
      </sheetData>
      <sheetData sheetId="22840" refreshError="1"/>
      <sheetData sheetId="22841" refreshError="1"/>
      <sheetData sheetId="22842">
        <row r="1">
          <cell r="J1">
            <v>1.7453292519943295E-2</v>
          </cell>
        </row>
      </sheetData>
      <sheetData sheetId="22843">
        <row r="1">
          <cell r="J1">
            <v>1.7453292519943295E-2</v>
          </cell>
        </row>
      </sheetData>
      <sheetData sheetId="22844"/>
      <sheetData sheetId="22845"/>
      <sheetData sheetId="22846">
        <row r="1">
          <cell r="J1">
            <v>1.7453292519943295E-2</v>
          </cell>
        </row>
      </sheetData>
      <sheetData sheetId="22847">
        <row r="1">
          <cell r="J1">
            <v>1.7453292519943295E-2</v>
          </cell>
        </row>
      </sheetData>
      <sheetData sheetId="22848">
        <row r="1">
          <cell r="J1">
            <v>1.7453292519943295E-2</v>
          </cell>
        </row>
      </sheetData>
      <sheetData sheetId="22849"/>
      <sheetData sheetId="22850"/>
      <sheetData sheetId="22851"/>
      <sheetData sheetId="22852">
        <row r="1">
          <cell r="J1">
            <v>1.7453292519943295E-2</v>
          </cell>
        </row>
      </sheetData>
      <sheetData sheetId="22853"/>
      <sheetData sheetId="22854"/>
      <sheetData sheetId="22855">
        <row r="1">
          <cell r="J1">
            <v>1.7453292519943295E-2</v>
          </cell>
        </row>
      </sheetData>
      <sheetData sheetId="22856">
        <row r="1">
          <cell r="J1">
            <v>1.7453292519943295E-2</v>
          </cell>
        </row>
      </sheetData>
      <sheetData sheetId="22857">
        <row r="1">
          <cell r="J1">
            <v>1.7453292519943295E-2</v>
          </cell>
        </row>
      </sheetData>
      <sheetData sheetId="22858">
        <row r="1">
          <cell r="J1">
            <v>1.7453292519943295E-2</v>
          </cell>
        </row>
      </sheetData>
      <sheetData sheetId="22859"/>
      <sheetData sheetId="22860">
        <row r="1">
          <cell r="J1">
            <v>1.7453292519943295E-2</v>
          </cell>
        </row>
      </sheetData>
      <sheetData sheetId="22861">
        <row r="1">
          <cell r="J1">
            <v>1.7453292519943295E-2</v>
          </cell>
        </row>
      </sheetData>
      <sheetData sheetId="22862">
        <row r="1">
          <cell r="J1">
            <v>1.7453292519943295E-2</v>
          </cell>
        </row>
      </sheetData>
      <sheetData sheetId="22863">
        <row r="1">
          <cell r="J1">
            <v>1.7453292519943295E-2</v>
          </cell>
        </row>
      </sheetData>
      <sheetData sheetId="22864">
        <row r="1">
          <cell r="J1">
            <v>1.7453292519943295E-2</v>
          </cell>
        </row>
      </sheetData>
      <sheetData sheetId="22865"/>
      <sheetData sheetId="22866">
        <row r="1">
          <cell r="J1">
            <v>1.7453292519943295E-2</v>
          </cell>
        </row>
      </sheetData>
      <sheetData sheetId="22867">
        <row r="1">
          <cell r="J1">
            <v>1.7453292519943295E-2</v>
          </cell>
        </row>
      </sheetData>
      <sheetData sheetId="22868">
        <row r="1">
          <cell r="J1">
            <v>1.7453292519943295E-2</v>
          </cell>
        </row>
      </sheetData>
      <sheetData sheetId="22869">
        <row r="1">
          <cell r="J1">
            <v>1.7453292519943295E-2</v>
          </cell>
        </row>
      </sheetData>
      <sheetData sheetId="22870">
        <row r="1">
          <cell r="J1">
            <v>1.7453292519943295E-2</v>
          </cell>
        </row>
      </sheetData>
      <sheetData sheetId="22871">
        <row r="1">
          <cell r="J1">
            <v>1.7453292519943295E-2</v>
          </cell>
        </row>
      </sheetData>
      <sheetData sheetId="22872">
        <row r="1">
          <cell r="J1">
            <v>1.7453292519943295E-2</v>
          </cell>
        </row>
      </sheetData>
      <sheetData sheetId="22873">
        <row r="1">
          <cell r="J1">
            <v>1.7453292519943295E-2</v>
          </cell>
        </row>
      </sheetData>
      <sheetData sheetId="22874">
        <row r="1">
          <cell r="J1">
            <v>1.7453292519943295E-2</v>
          </cell>
        </row>
      </sheetData>
      <sheetData sheetId="22875">
        <row r="1">
          <cell r="J1">
            <v>1.7453292519943295E-2</v>
          </cell>
        </row>
      </sheetData>
      <sheetData sheetId="22876">
        <row r="1">
          <cell r="J1">
            <v>1.7453292519943295E-2</v>
          </cell>
        </row>
      </sheetData>
      <sheetData sheetId="22877">
        <row r="1">
          <cell r="J1">
            <v>1.7453292519943295E-2</v>
          </cell>
        </row>
      </sheetData>
      <sheetData sheetId="22878">
        <row r="1">
          <cell r="J1">
            <v>1.7453292519943295E-2</v>
          </cell>
        </row>
      </sheetData>
      <sheetData sheetId="22879">
        <row r="1">
          <cell r="J1">
            <v>1.7453292519943295E-2</v>
          </cell>
        </row>
      </sheetData>
      <sheetData sheetId="22880">
        <row r="1">
          <cell r="J1">
            <v>1.7453292519943295E-2</v>
          </cell>
        </row>
      </sheetData>
      <sheetData sheetId="22881">
        <row r="1">
          <cell r="J1">
            <v>1.7453292519943295E-2</v>
          </cell>
        </row>
      </sheetData>
      <sheetData sheetId="22882">
        <row r="1">
          <cell r="J1">
            <v>1.7453292519943295E-2</v>
          </cell>
        </row>
      </sheetData>
      <sheetData sheetId="22883">
        <row r="1">
          <cell r="J1">
            <v>1.7453292519943295E-2</v>
          </cell>
        </row>
      </sheetData>
      <sheetData sheetId="22884">
        <row r="1">
          <cell r="J1">
            <v>1.7453292519943295E-2</v>
          </cell>
        </row>
      </sheetData>
      <sheetData sheetId="22885" refreshError="1"/>
      <sheetData sheetId="22886">
        <row r="1">
          <cell r="J1">
            <v>1.7453292519943295E-2</v>
          </cell>
        </row>
      </sheetData>
      <sheetData sheetId="22887">
        <row r="1">
          <cell r="J1">
            <v>1.7453292519943295E-2</v>
          </cell>
        </row>
      </sheetData>
      <sheetData sheetId="22888" refreshError="1"/>
      <sheetData sheetId="22889" refreshError="1"/>
      <sheetData sheetId="22890" refreshError="1"/>
      <sheetData sheetId="22891">
        <row r="1">
          <cell r="J1">
            <v>1.7453292519943295E-2</v>
          </cell>
        </row>
      </sheetData>
      <sheetData sheetId="22892">
        <row r="1">
          <cell r="J1">
            <v>1.7453292519943295E-2</v>
          </cell>
        </row>
      </sheetData>
      <sheetData sheetId="22893">
        <row r="1">
          <cell r="J1">
            <v>1.7453292519943295E-2</v>
          </cell>
        </row>
      </sheetData>
      <sheetData sheetId="22894" refreshError="1"/>
      <sheetData sheetId="22895">
        <row r="1">
          <cell r="J1">
            <v>1.7453292519943295E-2</v>
          </cell>
        </row>
      </sheetData>
      <sheetData sheetId="22896">
        <row r="1">
          <cell r="J1">
            <v>1.7453292519943295E-2</v>
          </cell>
        </row>
      </sheetData>
      <sheetData sheetId="22897">
        <row r="1">
          <cell r="J1">
            <v>1.7453292519943295E-2</v>
          </cell>
        </row>
      </sheetData>
      <sheetData sheetId="22898">
        <row r="1">
          <cell r="J1">
            <v>1.7453292519943295E-2</v>
          </cell>
        </row>
      </sheetData>
      <sheetData sheetId="22899">
        <row r="1">
          <cell r="J1">
            <v>1.7453292519943295E-2</v>
          </cell>
        </row>
      </sheetData>
      <sheetData sheetId="22900">
        <row r="1">
          <cell r="J1">
            <v>1.7453292519943295E-2</v>
          </cell>
        </row>
      </sheetData>
      <sheetData sheetId="22901" refreshError="1"/>
      <sheetData sheetId="22902" refreshError="1"/>
      <sheetData sheetId="22903">
        <row r="1">
          <cell r="J1">
            <v>1.7453292519943295E-2</v>
          </cell>
        </row>
      </sheetData>
      <sheetData sheetId="22904" refreshError="1"/>
      <sheetData sheetId="22905">
        <row r="1">
          <cell r="J1">
            <v>1.7453292519943295E-2</v>
          </cell>
        </row>
      </sheetData>
      <sheetData sheetId="22906">
        <row r="1">
          <cell r="J1">
            <v>1.7453292519943295E-2</v>
          </cell>
        </row>
      </sheetData>
      <sheetData sheetId="22907">
        <row r="1">
          <cell r="J1">
            <v>1.7453292519943295E-2</v>
          </cell>
        </row>
      </sheetData>
      <sheetData sheetId="22908" refreshError="1"/>
      <sheetData sheetId="22909">
        <row r="1">
          <cell r="J1">
            <v>1.7453292519943295E-2</v>
          </cell>
        </row>
      </sheetData>
      <sheetData sheetId="22910">
        <row r="1">
          <cell r="J1">
            <v>1.7453292519943295E-2</v>
          </cell>
        </row>
      </sheetData>
      <sheetData sheetId="22911" refreshError="1"/>
      <sheetData sheetId="22912">
        <row r="1">
          <cell r="J1">
            <v>1.7453292519943295E-2</v>
          </cell>
        </row>
      </sheetData>
      <sheetData sheetId="22913" refreshError="1"/>
      <sheetData sheetId="22914">
        <row r="1">
          <cell r="J1">
            <v>1.7453292519943295E-2</v>
          </cell>
        </row>
      </sheetData>
      <sheetData sheetId="22915">
        <row r="1">
          <cell r="J1">
            <v>1.7453292519943295E-2</v>
          </cell>
        </row>
      </sheetData>
      <sheetData sheetId="22916" refreshError="1"/>
      <sheetData sheetId="22917">
        <row r="1">
          <cell r="J1">
            <v>1.7453292519943295E-2</v>
          </cell>
        </row>
      </sheetData>
      <sheetData sheetId="22918">
        <row r="1">
          <cell r="J1">
            <v>1.7453292519943295E-2</v>
          </cell>
        </row>
      </sheetData>
      <sheetData sheetId="22919" refreshError="1"/>
      <sheetData sheetId="22920">
        <row r="1">
          <cell r="J1">
            <v>1.7453292519943295E-2</v>
          </cell>
        </row>
      </sheetData>
      <sheetData sheetId="22921" refreshError="1"/>
      <sheetData sheetId="22922">
        <row r="1">
          <cell r="J1">
            <v>1.7453292519943295E-2</v>
          </cell>
        </row>
      </sheetData>
      <sheetData sheetId="22923">
        <row r="1">
          <cell r="J1">
            <v>1.7453292519943295E-2</v>
          </cell>
        </row>
      </sheetData>
      <sheetData sheetId="22924">
        <row r="1">
          <cell r="J1">
            <v>1.7453292519943295E-2</v>
          </cell>
        </row>
      </sheetData>
      <sheetData sheetId="22925" refreshError="1"/>
      <sheetData sheetId="22926">
        <row r="1">
          <cell r="J1">
            <v>1.7453292519943295E-2</v>
          </cell>
        </row>
      </sheetData>
      <sheetData sheetId="22927" refreshError="1"/>
      <sheetData sheetId="22928" refreshError="1"/>
      <sheetData sheetId="22929">
        <row r="1">
          <cell r="J1">
            <v>1.7453292519943295E-2</v>
          </cell>
        </row>
      </sheetData>
      <sheetData sheetId="22930">
        <row r="1">
          <cell r="J1">
            <v>1.7453292519943295E-2</v>
          </cell>
        </row>
      </sheetData>
      <sheetData sheetId="22931">
        <row r="1">
          <cell r="J1">
            <v>1.7453292519943295E-2</v>
          </cell>
        </row>
      </sheetData>
      <sheetData sheetId="22932" refreshError="1"/>
      <sheetData sheetId="22933" refreshError="1"/>
      <sheetData sheetId="22934" refreshError="1"/>
      <sheetData sheetId="22935">
        <row r="1">
          <cell r="J1">
            <v>1.7453292519943295E-2</v>
          </cell>
        </row>
      </sheetData>
      <sheetData sheetId="22936">
        <row r="1">
          <cell r="J1">
            <v>1.7453292519943295E-2</v>
          </cell>
        </row>
      </sheetData>
      <sheetData sheetId="22937">
        <row r="1">
          <cell r="J1">
            <v>1.7453292519943295E-2</v>
          </cell>
        </row>
      </sheetData>
      <sheetData sheetId="22938">
        <row r="1">
          <cell r="J1">
            <v>1.7453292519943295E-2</v>
          </cell>
        </row>
      </sheetData>
      <sheetData sheetId="22939">
        <row r="1">
          <cell r="J1">
            <v>1.7453292519943295E-2</v>
          </cell>
        </row>
      </sheetData>
      <sheetData sheetId="22940"/>
      <sheetData sheetId="22941">
        <row r="1">
          <cell r="J1">
            <v>1.7453292519943295E-2</v>
          </cell>
        </row>
      </sheetData>
      <sheetData sheetId="22942">
        <row r="1">
          <cell r="J1">
            <v>1.7453292519943295E-2</v>
          </cell>
        </row>
      </sheetData>
      <sheetData sheetId="22943">
        <row r="1">
          <cell r="J1">
            <v>1.7453292519943295E-2</v>
          </cell>
        </row>
      </sheetData>
      <sheetData sheetId="22944">
        <row r="1">
          <cell r="J1">
            <v>1.7453292519943295E-2</v>
          </cell>
        </row>
      </sheetData>
      <sheetData sheetId="22945">
        <row r="1">
          <cell r="J1">
            <v>1.7453292519943295E-2</v>
          </cell>
        </row>
      </sheetData>
      <sheetData sheetId="22946">
        <row r="1">
          <cell r="J1">
            <v>1.7453292519943295E-2</v>
          </cell>
        </row>
      </sheetData>
      <sheetData sheetId="22947">
        <row r="1">
          <cell r="J1">
            <v>1.7453292519943295E-2</v>
          </cell>
        </row>
      </sheetData>
      <sheetData sheetId="22948">
        <row r="1">
          <cell r="J1">
            <v>1.7453292519943295E-2</v>
          </cell>
        </row>
      </sheetData>
      <sheetData sheetId="22949">
        <row r="1">
          <cell r="J1">
            <v>1.7453292519943295E-2</v>
          </cell>
        </row>
      </sheetData>
      <sheetData sheetId="22950"/>
      <sheetData sheetId="22951">
        <row r="1">
          <cell r="J1">
            <v>1.7453292519943295E-2</v>
          </cell>
        </row>
      </sheetData>
      <sheetData sheetId="22952">
        <row r="1">
          <cell r="J1">
            <v>1.7453292519943295E-2</v>
          </cell>
        </row>
      </sheetData>
      <sheetData sheetId="22953">
        <row r="1">
          <cell r="J1">
            <v>1.7453292519943295E-2</v>
          </cell>
        </row>
      </sheetData>
      <sheetData sheetId="22954">
        <row r="1">
          <cell r="J1">
            <v>1.7453292519943295E-2</v>
          </cell>
        </row>
      </sheetData>
      <sheetData sheetId="22955">
        <row r="1">
          <cell r="J1">
            <v>1.7453292519943295E-2</v>
          </cell>
        </row>
      </sheetData>
      <sheetData sheetId="22956">
        <row r="1">
          <cell r="J1">
            <v>1.7453292519943295E-2</v>
          </cell>
        </row>
      </sheetData>
      <sheetData sheetId="22957">
        <row r="1">
          <cell r="J1">
            <v>1.7453292519943295E-2</v>
          </cell>
        </row>
      </sheetData>
      <sheetData sheetId="22958">
        <row r="1">
          <cell r="J1">
            <v>1.7453292519943295E-2</v>
          </cell>
        </row>
      </sheetData>
      <sheetData sheetId="22959">
        <row r="1">
          <cell r="J1">
            <v>1.7453292519943295E-2</v>
          </cell>
        </row>
      </sheetData>
      <sheetData sheetId="22960">
        <row r="1">
          <cell r="J1">
            <v>1.7453292519943295E-2</v>
          </cell>
        </row>
      </sheetData>
      <sheetData sheetId="22961">
        <row r="1">
          <cell r="J1">
            <v>1.7453292519943295E-2</v>
          </cell>
        </row>
      </sheetData>
      <sheetData sheetId="22962" refreshError="1"/>
      <sheetData sheetId="22963" refreshError="1"/>
      <sheetData sheetId="22964">
        <row r="1">
          <cell r="J1">
            <v>1.7453292519943295E-2</v>
          </cell>
        </row>
      </sheetData>
      <sheetData sheetId="22965">
        <row r="1">
          <cell r="J1">
            <v>1.7453292519943295E-2</v>
          </cell>
        </row>
      </sheetData>
      <sheetData sheetId="22966" refreshError="1"/>
      <sheetData sheetId="22967" refreshError="1"/>
      <sheetData sheetId="22968" refreshError="1"/>
      <sheetData sheetId="22969">
        <row r="1">
          <cell r="J1">
            <v>1.7453292519943295E-2</v>
          </cell>
        </row>
      </sheetData>
      <sheetData sheetId="22970">
        <row r="1">
          <cell r="J1">
            <v>1.7453292519943295E-2</v>
          </cell>
        </row>
      </sheetData>
      <sheetData sheetId="22971">
        <row r="1">
          <cell r="J1">
            <v>1.7453292519943295E-2</v>
          </cell>
        </row>
      </sheetData>
      <sheetData sheetId="22972" refreshError="1"/>
      <sheetData sheetId="22973" refreshError="1"/>
      <sheetData sheetId="22974" refreshError="1"/>
      <sheetData sheetId="22975">
        <row r="1">
          <cell r="J1">
            <v>1.7453292519943295E-2</v>
          </cell>
        </row>
      </sheetData>
      <sheetData sheetId="22976" refreshError="1"/>
      <sheetData sheetId="22977">
        <row r="1">
          <cell r="J1">
            <v>1.7453292519943295E-2</v>
          </cell>
        </row>
      </sheetData>
      <sheetData sheetId="22978" refreshError="1"/>
      <sheetData sheetId="22979">
        <row r="1">
          <cell r="J1">
            <v>1.7453292519943295E-2</v>
          </cell>
        </row>
      </sheetData>
      <sheetData sheetId="22980">
        <row r="1">
          <cell r="J1">
            <v>1.7453292519943295E-2</v>
          </cell>
        </row>
      </sheetData>
      <sheetData sheetId="22981">
        <row r="1">
          <cell r="J1">
            <v>1.7453292519943295E-2</v>
          </cell>
        </row>
      </sheetData>
      <sheetData sheetId="22982">
        <row r="1">
          <cell r="J1">
            <v>1.7453292519943295E-2</v>
          </cell>
        </row>
      </sheetData>
      <sheetData sheetId="22983">
        <row r="1">
          <cell r="J1">
            <v>1.7453292519943295E-2</v>
          </cell>
        </row>
      </sheetData>
      <sheetData sheetId="22984">
        <row r="1">
          <cell r="J1">
            <v>1.7453292519943295E-2</v>
          </cell>
        </row>
      </sheetData>
      <sheetData sheetId="22985"/>
      <sheetData sheetId="22986">
        <row r="1">
          <cell r="J1">
            <v>1.7453292519943295E-2</v>
          </cell>
        </row>
      </sheetData>
      <sheetData sheetId="22987">
        <row r="1">
          <cell r="J1">
            <v>1.7453292519943295E-2</v>
          </cell>
        </row>
      </sheetData>
      <sheetData sheetId="22988">
        <row r="1">
          <cell r="J1">
            <v>1.7453292519943295E-2</v>
          </cell>
        </row>
      </sheetData>
      <sheetData sheetId="22989">
        <row r="1">
          <cell r="J1">
            <v>1.7453292519943295E-2</v>
          </cell>
        </row>
      </sheetData>
      <sheetData sheetId="22990">
        <row r="1">
          <cell r="J1">
            <v>1.7453292519943295E-2</v>
          </cell>
        </row>
      </sheetData>
      <sheetData sheetId="22991">
        <row r="1">
          <cell r="J1">
            <v>1.7453292519943295E-2</v>
          </cell>
        </row>
      </sheetData>
      <sheetData sheetId="22992">
        <row r="1">
          <cell r="J1">
            <v>1.7453292519943295E-2</v>
          </cell>
        </row>
      </sheetData>
      <sheetData sheetId="22993">
        <row r="1">
          <cell r="J1">
            <v>1.7453292519943295E-2</v>
          </cell>
        </row>
      </sheetData>
      <sheetData sheetId="22994">
        <row r="1">
          <cell r="J1">
            <v>1.7453292519943295E-2</v>
          </cell>
        </row>
      </sheetData>
      <sheetData sheetId="22995">
        <row r="1">
          <cell r="J1">
            <v>1.7453292519943295E-2</v>
          </cell>
        </row>
      </sheetData>
      <sheetData sheetId="22996">
        <row r="1">
          <cell r="J1">
            <v>1.7453292519943295E-2</v>
          </cell>
        </row>
      </sheetData>
      <sheetData sheetId="22997">
        <row r="1">
          <cell r="J1">
            <v>1.7453292519943295E-2</v>
          </cell>
        </row>
      </sheetData>
      <sheetData sheetId="22998"/>
      <sheetData sheetId="22999">
        <row r="1">
          <cell r="J1">
            <v>1.7453292519943295E-2</v>
          </cell>
        </row>
      </sheetData>
      <sheetData sheetId="23000" refreshError="1"/>
      <sheetData sheetId="23001">
        <row r="1">
          <cell r="J1">
            <v>1.7453292519943295E-2</v>
          </cell>
        </row>
      </sheetData>
      <sheetData sheetId="23002" refreshError="1"/>
      <sheetData sheetId="23003">
        <row r="1">
          <cell r="J1">
            <v>1.7453292519943295E-2</v>
          </cell>
        </row>
      </sheetData>
      <sheetData sheetId="23004" refreshError="1"/>
      <sheetData sheetId="23005">
        <row r="1">
          <cell r="J1">
            <v>1.7453292519943295E-2</v>
          </cell>
        </row>
      </sheetData>
      <sheetData sheetId="23006">
        <row r="1">
          <cell r="J1">
            <v>1.7453292519943295E-2</v>
          </cell>
        </row>
      </sheetData>
      <sheetData sheetId="23007" refreshError="1"/>
      <sheetData sheetId="23008">
        <row r="1">
          <cell r="J1">
            <v>1.7453292519943295E-2</v>
          </cell>
        </row>
      </sheetData>
      <sheetData sheetId="23009">
        <row r="1">
          <cell r="J1">
            <v>1.7453292519943295E-2</v>
          </cell>
        </row>
      </sheetData>
      <sheetData sheetId="23010">
        <row r="1">
          <cell r="J1">
            <v>1.7453292519943295E-2</v>
          </cell>
        </row>
      </sheetData>
      <sheetData sheetId="23011" refreshError="1"/>
      <sheetData sheetId="23012">
        <row r="1">
          <cell r="J1">
            <v>1.7453292519943295E-2</v>
          </cell>
        </row>
      </sheetData>
      <sheetData sheetId="23013" refreshError="1"/>
      <sheetData sheetId="23014">
        <row r="1">
          <cell r="J1">
            <v>1.7453292519943295E-2</v>
          </cell>
        </row>
      </sheetData>
      <sheetData sheetId="23015" refreshError="1"/>
      <sheetData sheetId="23016">
        <row r="1">
          <cell r="J1">
            <v>1.7453292519943295E-2</v>
          </cell>
        </row>
      </sheetData>
      <sheetData sheetId="23017">
        <row r="1">
          <cell r="J1">
            <v>1.7453292519943295E-2</v>
          </cell>
        </row>
      </sheetData>
      <sheetData sheetId="23018">
        <row r="1">
          <cell r="J1">
            <v>1.7453292519943295E-2</v>
          </cell>
        </row>
      </sheetData>
      <sheetData sheetId="23019" refreshError="1"/>
      <sheetData sheetId="23020">
        <row r="1">
          <cell r="J1">
            <v>1.7453292519943295E-2</v>
          </cell>
        </row>
      </sheetData>
      <sheetData sheetId="23021">
        <row r="1">
          <cell r="J1">
            <v>1.7453292519943295E-2</v>
          </cell>
        </row>
      </sheetData>
      <sheetData sheetId="23022" refreshError="1"/>
      <sheetData sheetId="23023">
        <row r="1">
          <cell r="J1">
            <v>1.7453292519943295E-2</v>
          </cell>
        </row>
      </sheetData>
      <sheetData sheetId="23024">
        <row r="1">
          <cell r="J1">
            <v>1.7453292519943295E-2</v>
          </cell>
        </row>
      </sheetData>
      <sheetData sheetId="23025">
        <row r="1">
          <cell r="J1">
            <v>1.7453292519943295E-2</v>
          </cell>
        </row>
      </sheetData>
      <sheetData sheetId="23026">
        <row r="1">
          <cell r="J1">
            <v>1.7453292519943295E-2</v>
          </cell>
        </row>
      </sheetData>
      <sheetData sheetId="23027" refreshError="1"/>
      <sheetData sheetId="23028">
        <row r="1">
          <cell r="J1">
            <v>1.7453292519943295E-2</v>
          </cell>
        </row>
      </sheetData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>
        <row r="1">
          <cell r="J1">
            <v>1.7453292519943295E-2</v>
          </cell>
        </row>
      </sheetData>
      <sheetData sheetId="23035">
        <row r="1">
          <cell r="J1">
            <v>1.7453292519943295E-2</v>
          </cell>
        </row>
      </sheetData>
      <sheetData sheetId="23036">
        <row r="1">
          <cell r="J1">
            <v>1.7453292519943295E-2</v>
          </cell>
        </row>
      </sheetData>
      <sheetData sheetId="23037">
        <row r="1">
          <cell r="J1">
            <v>1.7453292519943295E-2</v>
          </cell>
        </row>
      </sheetData>
      <sheetData sheetId="23038"/>
      <sheetData sheetId="23039">
        <row r="1">
          <cell r="J1">
            <v>1.7453292519943295E-2</v>
          </cell>
        </row>
      </sheetData>
      <sheetData sheetId="23040">
        <row r="1">
          <cell r="J1">
            <v>1.7453292519943295E-2</v>
          </cell>
        </row>
      </sheetData>
      <sheetData sheetId="23041">
        <row r="1">
          <cell r="J1">
            <v>1.7453292519943295E-2</v>
          </cell>
        </row>
      </sheetData>
      <sheetData sheetId="23042">
        <row r="1">
          <cell r="J1">
            <v>1.7453292519943295E-2</v>
          </cell>
        </row>
      </sheetData>
      <sheetData sheetId="23043"/>
      <sheetData sheetId="23044"/>
      <sheetData sheetId="23045">
        <row r="1">
          <cell r="J1">
            <v>1.7453292519943295E-2</v>
          </cell>
        </row>
      </sheetData>
      <sheetData sheetId="23046">
        <row r="1">
          <cell r="J1">
            <v>1.7453292519943295E-2</v>
          </cell>
        </row>
      </sheetData>
      <sheetData sheetId="23047">
        <row r="1">
          <cell r="J1">
            <v>1.7453292519943295E-2</v>
          </cell>
        </row>
      </sheetData>
      <sheetData sheetId="23048">
        <row r="1">
          <cell r="J1">
            <v>1.7453292519943295E-2</v>
          </cell>
        </row>
      </sheetData>
      <sheetData sheetId="23049">
        <row r="1">
          <cell r="J1">
            <v>1.7453292519943295E-2</v>
          </cell>
        </row>
      </sheetData>
      <sheetData sheetId="23050">
        <row r="1">
          <cell r="J1">
            <v>1.7453292519943295E-2</v>
          </cell>
        </row>
      </sheetData>
      <sheetData sheetId="23051">
        <row r="1">
          <cell r="J1">
            <v>1.7453292519943295E-2</v>
          </cell>
        </row>
      </sheetData>
      <sheetData sheetId="23052">
        <row r="1">
          <cell r="J1">
            <v>1.7453292519943295E-2</v>
          </cell>
        </row>
      </sheetData>
      <sheetData sheetId="23053">
        <row r="1">
          <cell r="J1">
            <v>1.7453292519943295E-2</v>
          </cell>
        </row>
      </sheetData>
      <sheetData sheetId="23054">
        <row r="1">
          <cell r="J1">
            <v>1.7453292519943295E-2</v>
          </cell>
        </row>
      </sheetData>
      <sheetData sheetId="23055">
        <row r="1">
          <cell r="J1">
            <v>1.7453292519943295E-2</v>
          </cell>
        </row>
      </sheetData>
      <sheetData sheetId="23056">
        <row r="1">
          <cell r="J1">
            <v>1.7453292519943295E-2</v>
          </cell>
        </row>
      </sheetData>
      <sheetData sheetId="23057">
        <row r="1">
          <cell r="J1">
            <v>1.7453292519943295E-2</v>
          </cell>
        </row>
      </sheetData>
      <sheetData sheetId="23058">
        <row r="1">
          <cell r="J1">
            <v>1.7453292519943295E-2</v>
          </cell>
        </row>
      </sheetData>
      <sheetData sheetId="23059">
        <row r="1">
          <cell r="J1">
            <v>1.7453292519943295E-2</v>
          </cell>
        </row>
      </sheetData>
      <sheetData sheetId="23060" refreshError="1"/>
      <sheetData sheetId="23061"/>
      <sheetData sheetId="23062">
        <row r="1">
          <cell r="J1">
            <v>1.7453292519943295E-2</v>
          </cell>
        </row>
      </sheetData>
      <sheetData sheetId="23063" refreshError="1"/>
      <sheetData sheetId="23064" refreshError="1"/>
      <sheetData sheetId="23065">
        <row r="1">
          <cell r="J1">
            <v>1.7453292519943295E-2</v>
          </cell>
        </row>
      </sheetData>
      <sheetData sheetId="23066">
        <row r="1">
          <cell r="J1">
            <v>1.7453292519943295E-2</v>
          </cell>
        </row>
      </sheetData>
      <sheetData sheetId="23067" refreshError="1"/>
      <sheetData sheetId="23068">
        <row r="1">
          <cell r="J1">
            <v>1.7453292519943295E-2</v>
          </cell>
        </row>
      </sheetData>
      <sheetData sheetId="23069">
        <row r="1">
          <cell r="J1">
            <v>1.7453292519943295E-2</v>
          </cell>
        </row>
      </sheetData>
      <sheetData sheetId="23070" refreshError="1"/>
      <sheetData sheetId="23071" refreshError="1"/>
      <sheetData sheetId="23072">
        <row r="1">
          <cell r="J1">
            <v>1.7453292519943295E-2</v>
          </cell>
        </row>
      </sheetData>
      <sheetData sheetId="23073" refreshError="1"/>
      <sheetData sheetId="23074" refreshError="1"/>
      <sheetData sheetId="23075">
        <row r="1">
          <cell r="J1">
            <v>1.7453292519943295E-2</v>
          </cell>
        </row>
      </sheetData>
      <sheetData sheetId="23076" refreshError="1"/>
      <sheetData sheetId="23077" refreshError="1"/>
      <sheetData sheetId="23078">
        <row r="1">
          <cell r="J1">
            <v>1.7453292519943295E-2</v>
          </cell>
        </row>
      </sheetData>
      <sheetData sheetId="23079" refreshError="1"/>
      <sheetData sheetId="23080" refreshError="1"/>
      <sheetData sheetId="23081">
        <row r="1">
          <cell r="J1">
            <v>1.7453292519943295E-2</v>
          </cell>
        </row>
      </sheetData>
      <sheetData sheetId="23082" refreshError="1"/>
      <sheetData sheetId="23083">
        <row r="1">
          <cell r="J1">
            <v>1.7453292519943295E-2</v>
          </cell>
        </row>
      </sheetData>
      <sheetData sheetId="23084">
        <row r="1">
          <cell r="J1">
            <v>1.7453292519943295E-2</v>
          </cell>
        </row>
      </sheetData>
      <sheetData sheetId="23085">
        <row r="1">
          <cell r="J1">
            <v>1.7453292519943295E-2</v>
          </cell>
        </row>
      </sheetData>
      <sheetData sheetId="23086">
        <row r="1">
          <cell r="J1">
            <v>1.7453292519943295E-2</v>
          </cell>
        </row>
      </sheetData>
      <sheetData sheetId="23087">
        <row r="1">
          <cell r="J1">
            <v>1.7453292519943295E-2</v>
          </cell>
        </row>
      </sheetData>
      <sheetData sheetId="23088"/>
      <sheetData sheetId="23089">
        <row r="1">
          <cell r="J1">
            <v>1.7453292519943295E-2</v>
          </cell>
        </row>
      </sheetData>
      <sheetData sheetId="23090">
        <row r="1">
          <cell r="J1">
            <v>1.7453292519943295E-2</v>
          </cell>
        </row>
      </sheetData>
      <sheetData sheetId="23091">
        <row r="1">
          <cell r="J1">
            <v>1.7453292519943295E-2</v>
          </cell>
        </row>
      </sheetData>
      <sheetData sheetId="23092">
        <row r="1">
          <cell r="J1">
            <v>1.7453292519943295E-2</v>
          </cell>
        </row>
      </sheetData>
      <sheetData sheetId="23093">
        <row r="1">
          <cell r="J1">
            <v>1.7453292519943295E-2</v>
          </cell>
        </row>
      </sheetData>
      <sheetData sheetId="23094">
        <row r="1">
          <cell r="J1">
            <v>1.7453292519943295E-2</v>
          </cell>
        </row>
      </sheetData>
      <sheetData sheetId="23095">
        <row r="1">
          <cell r="J1">
            <v>1.7453292519943295E-2</v>
          </cell>
        </row>
      </sheetData>
      <sheetData sheetId="23096">
        <row r="1">
          <cell r="J1">
            <v>1.7453292519943295E-2</v>
          </cell>
        </row>
      </sheetData>
      <sheetData sheetId="23097">
        <row r="1">
          <cell r="J1">
            <v>1.7453292519943295E-2</v>
          </cell>
        </row>
      </sheetData>
      <sheetData sheetId="23098">
        <row r="1">
          <cell r="J1">
            <v>1.7453292519943295E-2</v>
          </cell>
        </row>
      </sheetData>
      <sheetData sheetId="23099">
        <row r="1">
          <cell r="J1">
            <v>1.7453292519943295E-2</v>
          </cell>
        </row>
      </sheetData>
      <sheetData sheetId="23100" refreshError="1"/>
      <sheetData sheetId="23101">
        <row r="1">
          <cell r="J1">
            <v>1.7453292519943295E-2</v>
          </cell>
        </row>
      </sheetData>
      <sheetData sheetId="23102">
        <row r="1">
          <cell r="J1">
            <v>1.7453292519943295E-2</v>
          </cell>
        </row>
      </sheetData>
      <sheetData sheetId="23103">
        <row r="1">
          <cell r="J1">
            <v>1.7453292519943295E-2</v>
          </cell>
        </row>
      </sheetData>
      <sheetData sheetId="23104">
        <row r="1">
          <cell r="J1">
            <v>1.7453292519943295E-2</v>
          </cell>
        </row>
      </sheetData>
      <sheetData sheetId="23105"/>
      <sheetData sheetId="23106"/>
      <sheetData sheetId="23107">
        <row r="1">
          <cell r="J1">
            <v>1.7453292519943295E-2</v>
          </cell>
        </row>
      </sheetData>
      <sheetData sheetId="23108">
        <row r="1">
          <cell r="J1">
            <v>1.7453292519943295E-2</v>
          </cell>
        </row>
      </sheetData>
      <sheetData sheetId="23109" refreshError="1"/>
      <sheetData sheetId="23110" refreshError="1"/>
      <sheetData sheetId="23111">
        <row r="1">
          <cell r="J1">
            <v>1.7453292519943295E-2</v>
          </cell>
        </row>
      </sheetData>
      <sheetData sheetId="23112">
        <row r="1">
          <cell r="J1">
            <v>1.7453292519943295E-2</v>
          </cell>
        </row>
      </sheetData>
      <sheetData sheetId="23113">
        <row r="1">
          <cell r="J1">
            <v>1.7453292519943295E-2</v>
          </cell>
        </row>
      </sheetData>
      <sheetData sheetId="23114" refreshError="1"/>
      <sheetData sheetId="23115">
        <row r="1">
          <cell r="J1">
            <v>1.7453292519943295E-2</v>
          </cell>
        </row>
      </sheetData>
      <sheetData sheetId="23116" refreshError="1"/>
      <sheetData sheetId="23117" refreshError="1"/>
      <sheetData sheetId="23118">
        <row r="1">
          <cell r="J1">
            <v>1.7453292519943295E-2</v>
          </cell>
        </row>
      </sheetData>
      <sheetData sheetId="23119">
        <row r="1">
          <cell r="J1">
            <v>1.7453292519943295E-2</v>
          </cell>
        </row>
      </sheetData>
      <sheetData sheetId="23120">
        <row r="1">
          <cell r="J1">
            <v>1.7453292519943295E-2</v>
          </cell>
        </row>
      </sheetData>
      <sheetData sheetId="23121" refreshError="1"/>
      <sheetData sheetId="23122">
        <row r="1">
          <cell r="J1">
            <v>1.7453292519943295E-2</v>
          </cell>
        </row>
      </sheetData>
      <sheetData sheetId="23123">
        <row r="1">
          <cell r="J1">
            <v>1.7453292519943295E-2</v>
          </cell>
        </row>
      </sheetData>
      <sheetData sheetId="23124" refreshError="1"/>
      <sheetData sheetId="23125" refreshError="1"/>
      <sheetData sheetId="23126">
        <row r="1">
          <cell r="J1">
            <v>1.7453292519943295E-2</v>
          </cell>
        </row>
      </sheetData>
      <sheetData sheetId="23127">
        <row r="1">
          <cell r="J1">
            <v>1.7453292519943295E-2</v>
          </cell>
        </row>
      </sheetData>
      <sheetData sheetId="23128">
        <row r="1">
          <cell r="J1">
            <v>1.7453292519943295E-2</v>
          </cell>
        </row>
      </sheetData>
      <sheetData sheetId="23129" refreshError="1"/>
      <sheetData sheetId="23130">
        <row r="1">
          <cell r="J1">
            <v>1.7453292519943295E-2</v>
          </cell>
        </row>
      </sheetData>
      <sheetData sheetId="23131" refreshError="1"/>
      <sheetData sheetId="23132" refreshError="1"/>
      <sheetData sheetId="23133">
        <row r="1">
          <cell r="J1">
            <v>1.7453292519943295E-2</v>
          </cell>
        </row>
      </sheetData>
      <sheetData sheetId="23134">
        <row r="1">
          <cell r="J1">
            <v>1.7453292519943295E-2</v>
          </cell>
        </row>
      </sheetData>
      <sheetData sheetId="23135">
        <row r="1">
          <cell r="J1">
            <v>1.7453292519943295E-2</v>
          </cell>
        </row>
      </sheetData>
      <sheetData sheetId="23136" refreshError="1"/>
      <sheetData sheetId="23137">
        <row r="1">
          <cell r="J1">
            <v>1.7453292519943295E-2</v>
          </cell>
        </row>
      </sheetData>
      <sheetData sheetId="23138" refreshError="1"/>
      <sheetData sheetId="23139" refreshError="1"/>
      <sheetData sheetId="23140">
        <row r="1">
          <cell r="J1">
            <v>1.7453292519943295E-2</v>
          </cell>
        </row>
      </sheetData>
      <sheetData sheetId="23141">
        <row r="1">
          <cell r="J1">
            <v>1.7453292519943295E-2</v>
          </cell>
        </row>
      </sheetData>
      <sheetData sheetId="23142">
        <row r="1">
          <cell r="J1">
            <v>1.7453292519943295E-2</v>
          </cell>
        </row>
      </sheetData>
      <sheetData sheetId="23143" refreshError="1"/>
      <sheetData sheetId="23144">
        <row r="1">
          <cell r="J1">
            <v>1.7453292519943295E-2</v>
          </cell>
        </row>
      </sheetData>
      <sheetData sheetId="23145">
        <row r="1">
          <cell r="J1">
            <v>1.7453292519943295E-2</v>
          </cell>
        </row>
      </sheetData>
      <sheetData sheetId="23146" refreshError="1"/>
      <sheetData sheetId="23147" refreshError="1"/>
      <sheetData sheetId="23148" refreshError="1"/>
      <sheetData sheetId="23149">
        <row r="1">
          <cell r="J1">
            <v>1.7453292519943295E-2</v>
          </cell>
        </row>
      </sheetData>
      <sheetData sheetId="23150" refreshError="1"/>
      <sheetData sheetId="23151" refreshError="1"/>
      <sheetData sheetId="23152">
        <row r="1">
          <cell r="J1">
            <v>1.7453292519943295E-2</v>
          </cell>
        </row>
      </sheetData>
      <sheetData sheetId="23153">
        <row r="1">
          <cell r="J1">
            <v>1.7453292519943295E-2</v>
          </cell>
        </row>
      </sheetData>
      <sheetData sheetId="23154" refreshError="1"/>
      <sheetData sheetId="23155">
        <row r="1">
          <cell r="J1">
            <v>1.7453292519943295E-2</v>
          </cell>
        </row>
      </sheetData>
      <sheetData sheetId="23156">
        <row r="1">
          <cell r="J1">
            <v>1.7453292519943295E-2</v>
          </cell>
        </row>
      </sheetData>
      <sheetData sheetId="23157" refreshError="1"/>
      <sheetData sheetId="23158" refreshError="1"/>
      <sheetData sheetId="23159">
        <row r="1">
          <cell r="J1">
            <v>1.7453292519943295E-2</v>
          </cell>
        </row>
      </sheetData>
      <sheetData sheetId="23160">
        <row r="1">
          <cell r="J1">
            <v>1.7453292519943295E-2</v>
          </cell>
        </row>
      </sheetData>
      <sheetData sheetId="23161" refreshError="1"/>
      <sheetData sheetId="23162"/>
      <sheetData sheetId="23163">
        <row r="1">
          <cell r="J1">
            <v>1.7453292519943295E-2</v>
          </cell>
        </row>
      </sheetData>
      <sheetData sheetId="23164" refreshError="1"/>
      <sheetData sheetId="23165" refreshError="1"/>
      <sheetData sheetId="23166">
        <row r="1">
          <cell r="J1">
            <v>1.7453292519943295E-2</v>
          </cell>
        </row>
      </sheetData>
      <sheetData sheetId="23167">
        <row r="1">
          <cell r="J1">
            <v>1.7453292519943295E-2</v>
          </cell>
        </row>
      </sheetData>
      <sheetData sheetId="23168" refreshError="1"/>
      <sheetData sheetId="23169">
        <row r="1">
          <cell r="J1">
            <v>1.7453292519943295E-2</v>
          </cell>
        </row>
      </sheetData>
      <sheetData sheetId="23170">
        <row r="1">
          <cell r="J1">
            <v>1.7453292519943295E-2</v>
          </cell>
        </row>
      </sheetData>
      <sheetData sheetId="23171" refreshError="1"/>
      <sheetData sheetId="23172" refreshError="1"/>
      <sheetData sheetId="23173">
        <row r="1">
          <cell r="J1">
            <v>1.7453292519943295E-2</v>
          </cell>
        </row>
      </sheetData>
      <sheetData sheetId="23174">
        <row r="1">
          <cell r="J1">
            <v>1.7453292519943295E-2</v>
          </cell>
        </row>
      </sheetData>
      <sheetData sheetId="23175" refreshError="1"/>
      <sheetData sheetId="23176">
        <row r="1">
          <cell r="J1">
            <v>1.7453292519943295E-2</v>
          </cell>
        </row>
      </sheetData>
      <sheetData sheetId="23177">
        <row r="1">
          <cell r="J1">
            <v>1.7453292519943295E-2</v>
          </cell>
        </row>
      </sheetData>
      <sheetData sheetId="23178" refreshError="1"/>
      <sheetData sheetId="23179" refreshError="1"/>
      <sheetData sheetId="23180">
        <row r="1">
          <cell r="J1">
            <v>1.7453292519943295E-2</v>
          </cell>
        </row>
      </sheetData>
      <sheetData sheetId="23181">
        <row r="1">
          <cell r="J1">
            <v>1.7453292519943295E-2</v>
          </cell>
        </row>
      </sheetData>
      <sheetData sheetId="23182" refreshError="1"/>
      <sheetData sheetId="23183"/>
      <sheetData sheetId="23184">
        <row r="1">
          <cell r="J1">
            <v>1.7453292519943295E-2</v>
          </cell>
        </row>
      </sheetData>
      <sheetData sheetId="23185" refreshError="1"/>
      <sheetData sheetId="23186">
        <row r="1">
          <cell r="J1">
            <v>1.7453292519943295E-2</v>
          </cell>
        </row>
      </sheetData>
      <sheetData sheetId="23187" refreshError="1"/>
      <sheetData sheetId="23188" refreshError="1"/>
      <sheetData sheetId="23189">
        <row r="1">
          <cell r="J1">
            <v>1.7453292519943295E-2</v>
          </cell>
        </row>
      </sheetData>
      <sheetData sheetId="23190">
        <row r="1">
          <cell r="J1">
            <v>1.7453292519943295E-2</v>
          </cell>
        </row>
      </sheetData>
      <sheetData sheetId="23191">
        <row r="1">
          <cell r="J1">
            <v>1.7453292519943295E-2</v>
          </cell>
        </row>
      </sheetData>
      <sheetData sheetId="23192" refreshError="1"/>
      <sheetData sheetId="23193">
        <row r="1">
          <cell r="J1">
            <v>1.7453292519943295E-2</v>
          </cell>
        </row>
      </sheetData>
      <sheetData sheetId="23194">
        <row r="1">
          <cell r="J1">
            <v>1.7453292519943295E-2</v>
          </cell>
        </row>
      </sheetData>
      <sheetData sheetId="23195">
        <row r="1">
          <cell r="J1">
            <v>1.7453292519943295E-2</v>
          </cell>
        </row>
      </sheetData>
      <sheetData sheetId="23196" refreshError="1"/>
      <sheetData sheetId="23197" refreshError="1"/>
      <sheetData sheetId="23198" refreshError="1"/>
      <sheetData sheetId="23199" refreshError="1"/>
      <sheetData sheetId="23200">
        <row r="1">
          <cell r="J1">
            <v>1.7453292519943295E-2</v>
          </cell>
        </row>
      </sheetData>
      <sheetData sheetId="23201">
        <row r="1">
          <cell r="J1">
            <v>1.7453292519943295E-2</v>
          </cell>
        </row>
      </sheetData>
      <sheetData sheetId="23202">
        <row r="1">
          <cell r="J1">
            <v>1.7453292519943295E-2</v>
          </cell>
        </row>
      </sheetData>
      <sheetData sheetId="23203">
        <row r="1">
          <cell r="J1">
            <v>1.7453292519943295E-2</v>
          </cell>
        </row>
      </sheetData>
      <sheetData sheetId="23204">
        <row r="1">
          <cell r="J1">
            <v>1.7453292519943295E-2</v>
          </cell>
        </row>
      </sheetData>
      <sheetData sheetId="23205">
        <row r="1">
          <cell r="J1">
            <v>1.7453292519943295E-2</v>
          </cell>
        </row>
      </sheetData>
      <sheetData sheetId="23206">
        <row r="1">
          <cell r="J1">
            <v>1.7453292519943295E-2</v>
          </cell>
        </row>
      </sheetData>
      <sheetData sheetId="23207">
        <row r="1">
          <cell r="J1">
            <v>1.7453292519943295E-2</v>
          </cell>
        </row>
      </sheetData>
      <sheetData sheetId="23208">
        <row r="1">
          <cell r="J1">
            <v>1.7453292519943295E-2</v>
          </cell>
        </row>
      </sheetData>
      <sheetData sheetId="23209">
        <row r="1">
          <cell r="J1">
            <v>1.7453292519943295E-2</v>
          </cell>
        </row>
      </sheetData>
      <sheetData sheetId="23210">
        <row r="1">
          <cell r="J1">
            <v>1.7453292519943295E-2</v>
          </cell>
        </row>
      </sheetData>
      <sheetData sheetId="23211" refreshError="1"/>
      <sheetData sheetId="23212" refreshError="1"/>
      <sheetData sheetId="23213">
        <row r="1">
          <cell r="J1">
            <v>1.7453292519943295E-2</v>
          </cell>
        </row>
      </sheetData>
      <sheetData sheetId="23214">
        <row r="1">
          <cell r="J1">
            <v>1.7453292519943295E-2</v>
          </cell>
        </row>
      </sheetData>
      <sheetData sheetId="23215">
        <row r="1">
          <cell r="J1">
            <v>1.7453292519943295E-2</v>
          </cell>
        </row>
      </sheetData>
      <sheetData sheetId="23216">
        <row r="1">
          <cell r="J1">
            <v>1.7453292519943295E-2</v>
          </cell>
        </row>
      </sheetData>
      <sheetData sheetId="23217"/>
      <sheetData sheetId="23218">
        <row r="1">
          <cell r="J1">
            <v>1.7453292519943295E-2</v>
          </cell>
        </row>
      </sheetData>
      <sheetData sheetId="23219">
        <row r="1">
          <cell r="J1">
            <v>1.7453292519943295E-2</v>
          </cell>
        </row>
      </sheetData>
      <sheetData sheetId="23220">
        <row r="1">
          <cell r="J1">
            <v>1.7453292519943295E-2</v>
          </cell>
        </row>
      </sheetData>
      <sheetData sheetId="23221">
        <row r="1">
          <cell r="J1">
            <v>1.7453292519943295E-2</v>
          </cell>
        </row>
      </sheetData>
      <sheetData sheetId="23222"/>
      <sheetData sheetId="23223">
        <row r="1">
          <cell r="J1">
            <v>1.7453292519943295E-2</v>
          </cell>
        </row>
      </sheetData>
      <sheetData sheetId="23224"/>
      <sheetData sheetId="23225"/>
      <sheetData sheetId="23226">
        <row r="1">
          <cell r="J1">
            <v>1.7453292519943295E-2</v>
          </cell>
        </row>
      </sheetData>
      <sheetData sheetId="23227">
        <row r="1">
          <cell r="J1">
            <v>1.7453292519943295E-2</v>
          </cell>
        </row>
      </sheetData>
      <sheetData sheetId="23228">
        <row r="1">
          <cell r="J1">
            <v>1.7453292519943295E-2</v>
          </cell>
        </row>
      </sheetData>
      <sheetData sheetId="23229">
        <row r="1">
          <cell r="J1">
            <v>1.7453292519943295E-2</v>
          </cell>
        </row>
      </sheetData>
      <sheetData sheetId="23230">
        <row r="1">
          <cell r="J1">
            <v>1.7453292519943295E-2</v>
          </cell>
        </row>
      </sheetData>
      <sheetData sheetId="23231"/>
      <sheetData sheetId="23232"/>
      <sheetData sheetId="23233" refreshError="1"/>
      <sheetData sheetId="23234" refreshError="1"/>
      <sheetData sheetId="23235">
        <row r="1">
          <cell r="J1">
            <v>1.7453292519943295E-2</v>
          </cell>
        </row>
      </sheetData>
      <sheetData sheetId="23236">
        <row r="1">
          <cell r="J1">
            <v>1.7453292519943295E-2</v>
          </cell>
        </row>
      </sheetData>
      <sheetData sheetId="23237">
        <row r="1">
          <cell r="J1">
            <v>1.7453292519943295E-2</v>
          </cell>
        </row>
      </sheetData>
      <sheetData sheetId="23238"/>
      <sheetData sheetId="23239">
        <row r="1">
          <cell r="J1">
            <v>1.7453292519943295E-2</v>
          </cell>
        </row>
      </sheetData>
      <sheetData sheetId="23240">
        <row r="1">
          <cell r="J1">
            <v>1.7453292519943295E-2</v>
          </cell>
        </row>
      </sheetData>
      <sheetData sheetId="23241">
        <row r="1">
          <cell r="J1">
            <v>1.7453292519943295E-2</v>
          </cell>
        </row>
      </sheetData>
      <sheetData sheetId="23242">
        <row r="1">
          <cell r="J1">
            <v>1.7453292519943295E-2</v>
          </cell>
        </row>
      </sheetData>
      <sheetData sheetId="23243">
        <row r="1">
          <cell r="J1">
            <v>1.7453292519943295E-2</v>
          </cell>
        </row>
      </sheetData>
      <sheetData sheetId="23244">
        <row r="1">
          <cell r="J1">
            <v>1.7453292519943295E-2</v>
          </cell>
        </row>
      </sheetData>
      <sheetData sheetId="23245">
        <row r="1">
          <cell r="J1">
            <v>1.7453292519943295E-2</v>
          </cell>
        </row>
      </sheetData>
      <sheetData sheetId="23246">
        <row r="1">
          <cell r="J1">
            <v>1.7453292519943295E-2</v>
          </cell>
        </row>
      </sheetData>
      <sheetData sheetId="23247"/>
      <sheetData sheetId="23248">
        <row r="1">
          <cell r="J1">
            <v>1.7453292519943295E-2</v>
          </cell>
        </row>
      </sheetData>
      <sheetData sheetId="23249">
        <row r="1">
          <cell r="J1">
            <v>1.7453292519943295E-2</v>
          </cell>
        </row>
      </sheetData>
      <sheetData sheetId="23250">
        <row r="1">
          <cell r="J1">
            <v>1.7453292519943295E-2</v>
          </cell>
        </row>
      </sheetData>
      <sheetData sheetId="23251">
        <row r="1">
          <cell r="J1">
            <v>1.7453292519943295E-2</v>
          </cell>
        </row>
      </sheetData>
      <sheetData sheetId="23252">
        <row r="1">
          <cell r="J1">
            <v>1.7453292519943295E-2</v>
          </cell>
        </row>
      </sheetData>
      <sheetData sheetId="23253">
        <row r="1">
          <cell r="J1">
            <v>1.7453292519943295E-2</v>
          </cell>
        </row>
      </sheetData>
      <sheetData sheetId="23254">
        <row r="1">
          <cell r="J1">
            <v>1.7453292519943295E-2</v>
          </cell>
        </row>
      </sheetData>
      <sheetData sheetId="23255">
        <row r="1">
          <cell r="J1">
            <v>1.7453292519943295E-2</v>
          </cell>
        </row>
      </sheetData>
      <sheetData sheetId="23256" refreshError="1"/>
      <sheetData sheetId="23257" refreshError="1"/>
      <sheetData sheetId="23258">
        <row r="1">
          <cell r="J1">
            <v>1.7453292519943295E-2</v>
          </cell>
        </row>
      </sheetData>
      <sheetData sheetId="23259">
        <row r="1">
          <cell r="J1">
            <v>1.7453292519943295E-2</v>
          </cell>
        </row>
      </sheetData>
      <sheetData sheetId="23260" refreshError="1"/>
      <sheetData sheetId="23261" refreshError="1"/>
      <sheetData sheetId="23262">
        <row r="1">
          <cell r="J1">
            <v>1.7453292519943295E-2</v>
          </cell>
        </row>
      </sheetData>
      <sheetData sheetId="23263">
        <row r="1">
          <cell r="J1">
            <v>1.7453292519943295E-2</v>
          </cell>
        </row>
      </sheetData>
      <sheetData sheetId="23264">
        <row r="1">
          <cell r="J1">
            <v>1.7453292519943295E-2</v>
          </cell>
        </row>
      </sheetData>
      <sheetData sheetId="23265" refreshError="1"/>
      <sheetData sheetId="23266" refreshError="1"/>
      <sheetData sheetId="23267" refreshError="1"/>
      <sheetData sheetId="23268" refreshError="1"/>
      <sheetData sheetId="23269">
        <row r="1">
          <cell r="J1">
            <v>1.7453292519943295E-2</v>
          </cell>
        </row>
      </sheetData>
      <sheetData sheetId="23270">
        <row r="1">
          <cell r="J1">
            <v>1.7453292519943295E-2</v>
          </cell>
        </row>
      </sheetData>
      <sheetData sheetId="23271">
        <row r="1">
          <cell r="J1">
            <v>1.7453292519943295E-2</v>
          </cell>
        </row>
      </sheetData>
      <sheetData sheetId="23272">
        <row r="1">
          <cell r="J1">
            <v>1.7453292519943295E-2</v>
          </cell>
        </row>
      </sheetData>
      <sheetData sheetId="23273">
        <row r="1">
          <cell r="J1">
            <v>1.7453292519943295E-2</v>
          </cell>
        </row>
      </sheetData>
      <sheetData sheetId="23274">
        <row r="1">
          <cell r="J1">
            <v>1.7453292519943295E-2</v>
          </cell>
        </row>
      </sheetData>
      <sheetData sheetId="23275">
        <row r="1">
          <cell r="J1">
            <v>1.7453292519943295E-2</v>
          </cell>
        </row>
      </sheetData>
      <sheetData sheetId="23276">
        <row r="1">
          <cell r="J1">
            <v>1.7453292519943295E-2</v>
          </cell>
        </row>
      </sheetData>
      <sheetData sheetId="23277">
        <row r="1">
          <cell r="J1">
            <v>1.7453292519943295E-2</v>
          </cell>
        </row>
      </sheetData>
      <sheetData sheetId="23278">
        <row r="1">
          <cell r="J1">
            <v>1.7453292519943295E-2</v>
          </cell>
        </row>
      </sheetData>
      <sheetData sheetId="23279">
        <row r="1">
          <cell r="J1">
            <v>1.7453292519943295E-2</v>
          </cell>
        </row>
      </sheetData>
      <sheetData sheetId="23280">
        <row r="1">
          <cell r="J1">
            <v>1.7453292519943295E-2</v>
          </cell>
        </row>
      </sheetData>
      <sheetData sheetId="23281">
        <row r="1">
          <cell r="J1">
            <v>1.7453292519943295E-2</v>
          </cell>
        </row>
      </sheetData>
      <sheetData sheetId="23282">
        <row r="1">
          <cell r="J1">
            <v>1.7453292519943295E-2</v>
          </cell>
        </row>
      </sheetData>
      <sheetData sheetId="23283"/>
      <sheetData sheetId="23284">
        <row r="1">
          <cell r="J1">
            <v>1.7453292519943295E-2</v>
          </cell>
        </row>
      </sheetData>
      <sheetData sheetId="23285">
        <row r="1">
          <cell r="J1">
            <v>1.7453292519943295E-2</v>
          </cell>
        </row>
      </sheetData>
      <sheetData sheetId="23286">
        <row r="1">
          <cell r="J1">
            <v>1.7453292519943295E-2</v>
          </cell>
        </row>
      </sheetData>
      <sheetData sheetId="23287">
        <row r="1">
          <cell r="J1">
            <v>1.7453292519943295E-2</v>
          </cell>
        </row>
      </sheetData>
      <sheetData sheetId="23288">
        <row r="1">
          <cell r="J1">
            <v>1.7453292519943295E-2</v>
          </cell>
        </row>
      </sheetData>
      <sheetData sheetId="23289"/>
      <sheetData sheetId="23290">
        <row r="1">
          <cell r="J1">
            <v>1.7453292519943295E-2</v>
          </cell>
        </row>
      </sheetData>
      <sheetData sheetId="23291" refreshError="1"/>
      <sheetData sheetId="23292" refreshError="1"/>
      <sheetData sheetId="23293"/>
      <sheetData sheetId="23294">
        <row r="1">
          <cell r="J1">
            <v>1.7453292519943295E-2</v>
          </cell>
        </row>
      </sheetData>
      <sheetData sheetId="23295">
        <row r="1">
          <cell r="J1">
            <v>1.7453292519943295E-2</v>
          </cell>
        </row>
      </sheetData>
      <sheetData sheetId="23296">
        <row r="1">
          <cell r="J1">
            <v>1.7453292519943295E-2</v>
          </cell>
        </row>
      </sheetData>
      <sheetData sheetId="23297"/>
      <sheetData sheetId="23298">
        <row r="1">
          <cell r="J1">
            <v>1.7453292519943295E-2</v>
          </cell>
        </row>
      </sheetData>
      <sheetData sheetId="23299">
        <row r="1">
          <cell r="J1">
            <v>1.7453292519943295E-2</v>
          </cell>
        </row>
      </sheetData>
      <sheetData sheetId="23300">
        <row r="1">
          <cell r="J1">
            <v>1.7453292519943295E-2</v>
          </cell>
        </row>
      </sheetData>
      <sheetData sheetId="23301">
        <row r="1">
          <cell r="J1">
            <v>1.7453292519943295E-2</v>
          </cell>
        </row>
      </sheetData>
      <sheetData sheetId="23302">
        <row r="1">
          <cell r="J1">
            <v>1.7453292519943295E-2</v>
          </cell>
        </row>
      </sheetData>
      <sheetData sheetId="23303">
        <row r="1">
          <cell r="J1">
            <v>1.7453292519943295E-2</v>
          </cell>
        </row>
      </sheetData>
      <sheetData sheetId="23304">
        <row r="1">
          <cell r="J1">
            <v>1.7453292519943295E-2</v>
          </cell>
        </row>
      </sheetData>
      <sheetData sheetId="23305"/>
      <sheetData sheetId="23306">
        <row r="1">
          <cell r="J1">
            <v>1.7453292519943295E-2</v>
          </cell>
        </row>
      </sheetData>
      <sheetData sheetId="23307">
        <row r="1">
          <cell r="J1">
            <v>1.7453292519943295E-2</v>
          </cell>
        </row>
      </sheetData>
      <sheetData sheetId="23308">
        <row r="1">
          <cell r="J1">
            <v>1.7453292519943295E-2</v>
          </cell>
        </row>
      </sheetData>
      <sheetData sheetId="23309">
        <row r="1">
          <cell r="J1">
            <v>1.7453292519943295E-2</v>
          </cell>
        </row>
      </sheetData>
      <sheetData sheetId="23310"/>
      <sheetData sheetId="23311">
        <row r="1">
          <cell r="J1">
            <v>1.7453292519943295E-2</v>
          </cell>
        </row>
      </sheetData>
      <sheetData sheetId="23312">
        <row r="1">
          <cell r="J1">
            <v>1.7453292519943295E-2</v>
          </cell>
        </row>
      </sheetData>
      <sheetData sheetId="23313" refreshError="1"/>
      <sheetData sheetId="23314" refreshError="1"/>
      <sheetData sheetId="23315" refreshError="1"/>
      <sheetData sheetId="23316">
        <row r="1">
          <cell r="J1">
            <v>1.7453292519943295E-2</v>
          </cell>
        </row>
      </sheetData>
      <sheetData sheetId="23317">
        <row r="1">
          <cell r="J1">
            <v>1.7453292519943295E-2</v>
          </cell>
        </row>
      </sheetData>
      <sheetData sheetId="23318">
        <row r="1">
          <cell r="J1">
            <v>1.7453292519943295E-2</v>
          </cell>
        </row>
      </sheetData>
      <sheetData sheetId="23319">
        <row r="1">
          <cell r="J1">
            <v>1.7453292519943295E-2</v>
          </cell>
        </row>
      </sheetData>
      <sheetData sheetId="23320">
        <row r="1">
          <cell r="J1">
            <v>1.7453292519943295E-2</v>
          </cell>
        </row>
      </sheetData>
      <sheetData sheetId="23321">
        <row r="1">
          <cell r="J1">
            <v>1.7453292519943295E-2</v>
          </cell>
        </row>
      </sheetData>
      <sheetData sheetId="23322">
        <row r="1">
          <cell r="J1">
            <v>1.7453292519943295E-2</v>
          </cell>
        </row>
      </sheetData>
      <sheetData sheetId="23323">
        <row r="1">
          <cell r="J1">
            <v>1.7453292519943295E-2</v>
          </cell>
        </row>
      </sheetData>
      <sheetData sheetId="23324">
        <row r="1">
          <cell r="J1">
            <v>1.7453292519943295E-2</v>
          </cell>
        </row>
      </sheetData>
      <sheetData sheetId="23325">
        <row r="1">
          <cell r="J1">
            <v>1.7453292519943295E-2</v>
          </cell>
        </row>
      </sheetData>
      <sheetData sheetId="23326">
        <row r="1">
          <cell r="J1">
            <v>1.7453292519943295E-2</v>
          </cell>
        </row>
      </sheetData>
      <sheetData sheetId="23327"/>
      <sheetData sheetId="23328"/>
      <sheetData sheetId="23329">
        <row r="1">
          <cell r="J1">
            <v>1.7453292519943295E-2</v>
          </cell>
        </row>
      </sheetData>
      <sheetData sheetId="23330">
        <row r="1">
          <cell r="J1">
            <v>1.7453292519943295E-2</v>
          </cell>
        </row>
      </sheetData>
      <sheetData sheetId="23331">
        <row r="1">
          <cell r="J1">
            <v>1.7453292519943295E-2</v>
          </cell>
        </row>
      </sheetData>
      <sheetData sheetId="23332">
        <row r="1">
          <cell r="J1">
            <v>1.7453292519943295E-2</v>
          </cell>
        </row>
      </sheetData>
      <sheetData sheetId="23333">
        <row r="1">
          <cell r="J1">
            <v>1.7453292519943295E-2</v>
          </cell>
        </row>
      </sheetData>
      <sheetData sheetId="23334">
        <row r="1">
          <cell r="J1">
            <v>1.7453292519943295E-2</v>
          </cell>
        </row>
      </sheetData>
      <sheetData sheetId="23335">
        <row r="1">
          <cell r="J1">
            <v>1.7453292519943295E-2</v>
          </cell>
        </row>
      </sheetData>
      <sheetData sheetId="23336">
        <row r="1">
          <cell r="J1">
            <v>1.7453292519943295E-2</v>
          </cell>
        </row>
      </sheetData>
      <sheetData sheetId="23337">
        <row r="1">
          <cell r="J1">
            <v>1.7453292519943295E-2</v>
          </cell>
        </row>
      </sheetData>
      <sheetData sheetId="23338">
        <row r="1">
          <cell r="J1">
            <v>1.7453292519943295E-2</v>
          </cell>
        </row>
      </sheetData>
      <sheetData sheetId="23339" refreshError="1"/>
      <sheetData sheetId="23340">
        <row r="1">
          <cell r="J1">
            <v>1.7453292519943295E-2</v>
          </cell>
        </row>
      </sheetData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>
        <row r="1">
          <cell r="J1">
            <v>1.7453292519943295E-2</v>
          </cell>
        </row>
      </sheetData>
      <sheetData sheetId="23347">
        <row r="1">
          <cell r="J1">
            <v>1.7453292519943295E-2</v>
          </cell>
        </row>
      </sheetData>
      <sheetData sheetId="23348">
        <row r="1">
          <cell r="J1">
            <v>1.7453292519943295E-2</v>
          </cell>
        </row>
      </sheetData>
      <sheetData sheetId="23349">
        <row r="1">
          <cell r="J1">
            <v>1.7453292519943295E-2</v>
          </cell>
        </row>
      </sheetData>
      <sheetData sheetId="23350">
        <row r="1">
          <cell r="J1">
            <v>1.7453292519943295E-2</v>
          </cell>
        </row>
      </sheetData>
      <sheetData sheetId="23351"/>
      <sheetData sheetId="23352">
        <row r="1">
          <cell r="J1">
            <v>1.7453292519943295E-2</v>
          </cell>
        </row>
      </sheetData>
      <sheetData sheetId="23353">
        <row r="1">
          <cell r="J1">
            <v>1.7453292519943295E-2</v>
          </cell>
        </row>
      </sheetData>
      <sheetData sheetId="23354">
        <row r="1">
          <cell r="J1">
            <v>1.7453292519943295E-2</v>
          </cell>
        </row>
      </sheetData>
      <sheetData sheetId="23355">
        <row r="1">
          <cell r="J1">
            <v>1.7453292519943295E-2</v>
          </cell>
        </row>
      </sheetData>
      <sheetData sheetId="23356">
        <row r="1">
          <cell r="J1">
            <v>1.7453292519943295E-2</v>
          </cell>
        </row>
      </sheetData>
      <sheetData sheetId="23357">
        <row r="1">
          <cell r="J1">
            <v>1.7453292519943295E-2</v>
          </cell>
        </row>
      </sheetData>
      <sheetData sheetId="23358">
        <row r="1">
          <cell r="J1">
            <v>1.7453292519943295E-2</v>
          </cell>
        </row>
      </sheetData>
      <sheetData sheetId="23359"/>
      <sheetData sheetId="23360">
        <row r="1">
          <cell r="J1">
            <v>1.7453292519943295E-2</v>
          </cell>
        </row>
      </sheetData>
      <sheetData sheetId="23361">
        <row r="1">
          <cell r="J1">
            <v>1.7453292519943295E-2</v>
          </cell>
        </row>
      </sheetData>
      <sheetData sheetId="23362">
        <row r="1">
          <cell r="J1">
            <v>1.7453292519943295E-2</v>
          </cell>
        </row>
      </sheetData>
      <sheetData sheetId="23363">
        <row r="1">
          <cell r="J1">
            <v>1.7453292519943295E-2</v>
          </cell>
        </row>
      </sheetData>
      <sheetData sheetId="23364">
        <row r="1">
          <cell r="J1">
            <v>1.7453292519943295E-2</v>
          </cell>
        </row>
      </sheetData>
      <sheetData sheetId="23365">
        <row r="1">
          <cell r="J1">
            <v>1.7453292519943295E-2</v>
          </cell>
        </row>
      </sheetData>
      <sheetData sheetId="23366">
        <row r="1">
          <cell r="J1">
            <v>1.7453292519943295E-2</v>
          </cell>
        </row>
      </sheetData>
      <sheetData sheetId="23367" refreshError="1"/>
      <sheetData sheetId="23368" refreshError="1"/>
      <sheetData sheetId="23369">
        <row r="1">
          <cell r="J1">
            <v>1.7453292519943295E-2</v>
          </cell>
        </row>
      </sheetData>
      <sheetData sheetId="23370">
        <row r="1">
          <cell r="J1">
            <v>1.7453292519943295E-2</v>
          </cell>
        </row>
      </sheetData>
      <sheetData sheetId="23371" refreshError="1"/>
      <sheetData sheetId="23372">
        <row r="1">
          <cell r="J1">
            <v>1.7453292519943295E-2</v>
          </cell>
        </row>
      </sheetData>
      <sheetData sheetId="23373" refreshError="1"/>
      <sheetData sheetId="23374" refreshError="1"/>
      <sheetData sheetId="23375" refreshError="1"/>
      <sheetData sheetId="23376">
        <row r="1">
          <cell r="J1">
            <v>1.7453292519943295E-2</v>
          </cell>
        </row>
      </sheetData>
      <sheetData sheetId="23377">
        <row r="1">
          <cell r="J1">
            <v>1.7453292519943295E-2</v>
          </cell>
        </row>
      </sheetData>
      <sheetData sheetId="23378">
        <row r="1">
          <cell r="J1">
            <v>1.7453292519943295E-2</v>
          </cell>
        </row>
      </sheetData>
      <sheetData sheetId="23379">
        <row r="1">
          <cell r="J1">
            <v>1.7453292519943295E-2</v>
          </cell>
        </row>
      </sheetData>
      <sheetData sheetId="23380"/>
      <sheetData sheetId="23381">
        <row r="1">
          <cell r="J1">
            <v>1.7453292519943295E-2</v>
          </cell>
        </row>
      </sheetData>
      <sheetData sheetId="23382">
        <row r="1">
          <cell r="J1">
            <v>1.7453292519943295E-2</v>
          </cell>
        </row>
      </sheetData>
      <sheetData sheetId="23383">
        <row r="1">
          <cell r="J1">
            <v>1.7453292519943295E-2</v>
          </cell>
        </row>
      </sheetData>
      <sheetData sheetId="23384"/>
      <sheetData sheetId="23385"/>
      <sheetData sheetId="23386"/>
      <sheetData sheetId="23387">
        <row r="1">
          <cell r="J1">
            <v>1.7453292519943295E-2</v>
          </cell>
        </row>
      </sheetData>
      <sheetData sheetId="23388">
        <row r="1">
          <cell r="J1">
            <v>1.7453292519943295E-2</v>
          </cell>
        </row>
      </sheetData>
      <sheetData sheetId="23389">
        <row r="1">
          <cell r="J1">
            <v>1.7453292519943295E-2</v>
          </cell>
        </row>
      </sheetData>
      <sheetData sheetId="23390">
        <row r="1">
          <cell r="J1">
            <v>1.7453292519943295E-2</v>
          </cell>
        </row>
      </sheetData>
      <sheetData sheetId="23391">
        <row r="1">
          <cell r="J1">
            <v>1.7453292519943295E-2</v>
          </cell>
        </row>
      </sheetData>
      <sheetData sheetId="23392">
        <row r="1">
          <cell r="J1">
            <v>1.7453292519943295E-2</v>
          </cell>
        </row>
      </sheetData>
      <sheetData sheetId="23393">
        <row r="1">
          <cell r="J1">
            <v>1.7453292519943295E-2</v>
          </cell>
        </row>
      </sheetData>
      <sheetData sheetId="23394"/>
      <sheetData sheetId="23395">
        <row r="1">
          <cell r="J1">
            <v>1.7453292519943295E-2</v>
          </cell>
        </row>
      </sheetData>
      <sheetData sheetId="23396" refreshError="1"/>
      <sheetData sheetId="23397">
        <row r="1">
          <cell r="J1">
            <v>1.7453292519943295E-2</v>
          </cell>
        </row>
      </sheetData>
      <sheetData sheetId="23398">
        <row r="1">
          <cell r="J1">
            <v>1.7453292519943295E-2</v>
          </cell>
        </row>
      </sheetData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>
        <row r="1">
          <cell r="J1">
            <v>1.7453292519943295E-2</v>
          </cell>
        </row>
      </sheetData>
      <sheetData sheetId="23406">
        <row r="1">
          <cell r="J1">
            <v>1.7453292519943295E-2</v>
          </cell>
        </row>
      </sheetData>
      <sheetData sheetId="23407">
        <row r="1">
          <cell r="J1">
            <v>1.7453292519943295E-2</v>
          </cell>
        </row>
      </sheetData>
      <sheetData sheetId="23408">
        <row r="1">
          <cell r="J1">
            <v>1.7453292519943295E-2</v>
          </cell>
        </row>
      </sheetData>
      <sheetData sheetId="23409">
        <row r="1">
          <cell r="J1">
            <v>1.7453292519943295E-2</v>
          </cell>
        </row>
      </sheetData>
      <sheetData sheetId="23410">
        <row r="1">
          <cell r="J1">
            <v>1.7453292519943295E-2</v>
          </cell>
        </row>
      </sheetData>
      <sheetData sheetId="23411">
        <row r="1">
          <cell r="J1">
            <v>1.7453292519943295E-2</v>
          </cell>
        </row>
      </sheetData>
      <sheetData sheetId="23412">
        <row r="1">
          <cell r="J1">
            <v>1.7453292519943295E-2</v>
          </cell>
        </row>
      </sheetData>
      <sheetData sheetId="23413"/>
      <sheetData sheetId="23414"/>
      <sheetData sheetId="23415">
        <row r="1">
          <cell r="J1">
            <v>1.7453292519943295E-2</v>
          </cell>
        </row>
      </sheetData>
      <sheetData sheetId="23416">
        <row r="1">
          <cell r="J1">
            <v>1.7453292519943295E-2</v>
          </cell>
        </row>
      </sheetData>
      <sheetData sheetId="23417">
        <row r="1">
          <cell r="J1">
            <v>1.7453292519943295E-2</v>
          </cell>
        </row>
      </sheetData>
      <sheetData sheetId="23418">
        <row r="1">
          <cell r="J1">
            <v>1.7453292519943295E-2</v>
          </cell>
        </row>
      </sheetData>
      <sheetData sheetId="23419">
        <row r="1">
          <cell r="J1">
            <v>1.7453292519943295E-2</v>
          </cell>
        </row>
      </sheetData>
      <sheetData sheetId="23420">
        <row r="1">
          <cell r="J1">
            <v>1.7453292519943295E-2</v>
          </cell>
        </row>
      </sheetData>
      <sheetData sheetId="23421">
        <row r="1">
          <cell r="J1">
            <v>1.7453292519943295E-2</v>
          </cell>
        </row>
      </sheetData>
      <sheetData sheetId="23422">
        <row r="1">
          <cell r="J1">
            <v>1.7453292519943295E-2</v>
          </cell>
        </row>
      </sheetData>
      <sheetData sheetId="23423"/>
      <sheetData sheetId="23424">
        <row r="1">
          <cell r="J1">
            <v>1.7453292519943295E-2</v>
          </cell>
        </row>
      </sheetData>
      <sheetData sheetId="23425">
        <row r="1">
          <cell r="J1">
            <v>1.7453292519943295E-2</v>
          </cell>
        </row>
      </sheetData>
      <sheetData sheetId="23426">
        <row r="1">
          <cell r="J1">
            <v>1.7453292519943295E-2</v>
          </cell>
        </row>
      </sheetData>
      <sheetData sheetId="23427">
        <row r="1">
          <cell r="J1">
            <v>1.7453292519943295E-2</v>
          </cell>
        </row>
      </sheetData>
      <sheetData sheetId="23428" refreshError="1"/>
      <sheetData sheetId="23429">
        <row r="1">
          <cell r="J1">
            <v>1.7453292519943295E-2</v>
          </cell>
        </row>
      </sheetData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>
        <row r="1">
          <cell r="J1">
            <v>1.7453292519943295E-2</v>
          </cell>
        </row>
      </sheetData>
      <sheetData sheetId="23436">
        <row r="1">
          <cell r="J1">
            <v>1.7453292519943295E-2</v>
          </cell>
        </row>
      </sheetData>
      <sheetData sheetId="23437">
        <row r="1">
          <cell r="J1">
            <v>1.7453292519943295E-2</v>
          </cell>
        </row>
      </sheetData>
      <sheetData sheetId="23438">
        <row r="1">
          <cell r="J1">
            <v>1.7453292519943295E-2</v>
          </cell>
        </row>
      </sheetData>
      <sheetData sheetId="23439">
        <row r="1">
          <cell r="J1">
            <v>1.7453292519943295E-2</v>
          </cell>
        </row>
      </sheetData>
      <sheetData sheetId="23440">
        <row r="1">
          <cell r="J1">
            <v>1.7453292519943295E-2</v>
          </cell>
        </row>
      </sheetData>
      <sheetData sheetId="23441">
        <row r="1">
          <cell r="J1">
            <v>1.7453292519943295E-2</v>
          </cell>
        </row>
      </sheetData>
      <sheetData sheetId="23442">
        <row r="1">
          <cell r="J1">
            <v>1.7453292519943295E-2</v>
          </cell>
        </row>
      </sheetData>
      <sheetData sheetId="23443">
        <row r="1">
          <cell r="J1">
            <v>1.7453292519943295E-2</v>
          </cell>
        </row>
      </sheetData>
      <sheetData sheetId="23444"/>
      <sheetData sheetId="23445">
        <row r="1">
          <cell r="J1">
            <v>1.7453292519943295E-2</v>
          </cell>
        </row>
      </sheetData>
      <sheetData sheetId="23446">
        <row r="1">
          <cell r="J1">
            <v>1.7453292519943295E-2</v>
          </cell>
        </row>
      </sheetData>
      <sheetData sheetId="23447">
        <row r="1">
          <cell r="J1">
            <v>1.7453292519943295E-2</v>
          </cell>
        </row>
      </sheetData>
      <sheetData sheetId="23448"/>
      <sheetData sheetId="23449">
        <row r="1">
          <cell r="J1">
            <v>1.7453292519943295E-2</v>
          </cell>
        </row>
      </sheetData>
      <sheetData sheetId="23450">
        <row r="1">
          <cell r="J1">
            <v>1.7453292519943295E-2</v>
          </cell>
        </row>
      </sheetData>
      <sheetData sheetId="23451">
        <row r="1">
          <cell r="J1">
            <v>1.7453292519943295E-2</v>
          </cell>
        </row>
      </sheetData>
      <sheetData sheetId="23452">
        <row r="1">
          <cell r="J1">
            <v>1.7453292519943295E-2</v>
          </cell>
        </row>
      </sheetData>
      <sheetData sheetId="23453">
        <row r="1">
          <cell r="J1">
            <v>1.7453292519943295E-2</v>
          </cell>
        </row>
      </sheetData>
      <sheetData sheetId="23454">
        <row r="1">
          <cell r="J1">
            <v>1.7453292519943295E-2</v>
          </cell>
        </row>
      </sheetData>
      <sheetData sheetId="23455">
        <row r="1">
          <cell r="J1">
            <v>1.7453292519943295E-2</v>
          </cell>
        </row>
      </sheetData>
      <sheetData sheetId="23456" refreshError="1"/>
      <sheetData sheetId="23457">
        <row r="1">
          <cell r="J1">
            <v>1.7453292519943295E-2</v>
          </cell>
        </row>
      </sheetData>
      <sheetData sheetId="23458">
        <row r="1">
          <cell r="J1">
            <v>1.7453292519943295E-2</v>
          </cell>
        </row>
      </sheetData>
      <sheetData sheetId="23459" refreshError="1"/>
      <sheetData sheetId="23460">
        <row r="1">
          <cell r="J1">
            <v>1.7453292519943295E-2</v>
          </cell>
        </row>
      </sheetData>
      <sheetData sheetId="23461" refreshError="1"/>
      <sheetData sheetId="23462" refreshError="1"/>
      <sheetData sheetId="23463" refreshError="1"/>
      <sheetData sheetId="23464" refreshError="1"/>
      <sheetData sheetId="23465">
        <row r="1">
          <cell r="J1">
            <v>1.7453292519943295E-2</v>
          </cell>
        </row>
      </sheetData>
      <sheetData sheetId="23466">
        <row r="1">
          <cell r="J1">
            <v>1.7453292519943295E-2</v>
          </cell>
        </row>
      </sheetData>
      <sheetData sheetId="23467">
        <row r="1">
          <cell r="J1">
            <v>1.7453292519943295E-2</v>
          </cell>
        </row>
      </sheetData>
      <sheetData sheetId="23468">
        <row r="1">
          <cell r="J1">
            <v>1.7453292519943295E-2</v>
          </cell>
        </row>
      </sheetData>
      <sheetData sheetId="23469">
        <row r="1">
          <cell r="J1">
            <v>1.7453292519943295E-2</v>
          </cell>
        </row>
      </sheetData>
      <sheetData sheetId="23470">
        <row r="1">
          <cell r="J1">
            <v>1.7453292519943295E-2</v>
          </cell>
        </row>
      </sheetData>
      <sheetData sheetId="23471">
        <row r="1">
          <cell r="J1">
            <v>1.7453292519943295E-2</v>
          </cell>
        </row>
      </sheetData>
      <sheetData sheetId="23472">
        <row r="1">
          <cell r="J1">
            <v>1.7453292519943295E-2</v>
          </cell>
        </row>
      </sheetData>
      <sheetData sheetId="23473"/>
      <sheetData sheetId="23474">
        <row r="1">
          <cell r="J1">
            <v>1.7453292519943295E-2</v>
          </cell>
        </row>
      </sheetData>
      <sheetData sheetId="23475">
        <row r="1">
          <cell r="J1">
            <v>1.7453292519943295E-2</v>
          </cell>
        </row>
      </sheetData>
      <sheetData sheetId="23476">
        <row r="1">
          <cell r="J1">
            <v>1.7453292519943295E-2</v>
          </cell>
        </row>
      </sheetData>
      <sheetData sheetId="23477"/>
      <sheetData sheetId="23478">
        <row r="1">
          <cell r="J1">
            <v>1.7453292519943295E-2</v>
          </cell>
        </row>
      </sheetData>
      <sheetData sheetId="23479">
        <row r="1">
          <cell r="J1">
            <v>1.7453292519943295E-2</v>
          </cell>
        </row>
      </sheetData>
      <sheetData sheetId="23480">
        <row r="1">
          <cell r="J1">
            <v>1.7453292519943295E-2</v>
          </cell>
        </row>
      </sheetData>
      <sheetData sheetId="23481">
        <row r="1">
          <cell r="J1">
            <v>1.7453292519943295E-2</v>
          </cell>
        </row>
      </sheetData>
      <sheetData sheetId="23482">
        <row r="1">
          <cell r="J1">
            <v>1.7453292519943295E-2</v>
          </cell>
        </row>
      </sheetData>
      <sheetData sheetId="23483">
        <row r="1">
          <cell r="J1">
            <v>1.7453292519943295E-2</v>
          </cell>
        </row>
      </sheetData>
      <sheetData sheetId="23484">
        <row r="1">
          <cell r="J1">
            <v>1.7453292519943295E-2</v>
          </cell>
        </row>
      </sheetData>
      <sheetData sheetId="23485" refreshError="1"/>
      <sheetData sheetId="23486">
        <row r="1">
          <cell r="J1">
            <v>1.7453292519943295E-2</v>
          </cell>
        </row>
      </sheetData>
      <sheetData sheetId="23487">
        <row r="1">
          <cell r="J1">
            <v>1.7453292519943295E-2</v>
          </cell>
        </row>
      </sheetData>
      <sheetData sheetId="23488">
        <row r="1">
          <cell r="J1">
            <v>1.7453292519943295E-2</v>
          </cell>
        </row>
      </sheetData>
      <sheetData sheetId="23489" refreshError="1"/>
      <sheetData sheetId="23490">
        <row r="1">
          <cell r="J1">
            <v>1.7453292519943295E-2</v>
          </cell>
        </row>
      </sheetData>
      <sheetData sheetId="23491">
        <row r="1">
          <cell r="J1">
            <v>1.7453292519943295E-2</v>
          </cell>
        </row>
      </sheetData>
      <sheetData sheetId="23492" refreshError="1"/>
      <sheetData sheetId="23493" refreshError="1"/>
      <sheetData sheetId="23494">
        <row r="1">
          <cell r="J1">
            <v>1.7453292519943295E-2</v>
          </cell>
        </row>
      </sheetData>
      <sheetData sheetId="23495" refreshError="1"/>
      <sheetData sheetId="23496" refreshError="1"/>
      <sheetData sheetId="23497">
        <row r="1">
          <cell r="J1">
            <v>1.7453292519943295E-2</v>
          </cell>
        </row>
      </sheetData>
      <sheetData sheetId="23498">
        <row r="1">
          <cell r="J1">
            <v>1.7453292519943295E-2</v>
          </cell>
        </row>
      </sheetData>
      <sheetData sheetId="23499" refreshError="1"/>
      <sheetData sheetId="23500">
        <row r="1">
          <cell r="J1">
            <v>1.7453292519943295E-2</v>
          </cell>
        </row>
      </sheetData>
      <sheetData sheetId="23501">
        <row r="1">
          <cell r="J1">
            <v>1.7453292519943295E-2</v>
          </cell>
        </row>
      </sheetData>
      <sheetData sheetId="23502">
        <row r="1">
          <cell r="J1">
            <v>1.7453292519943295E-2</v>
          </cell>
        </row>
      </sheetData>
      <sheetData sheetId="23503">
        <row r="1">
          <cell r="J1">
            <v>1.7453292519943295E-2</v>
          </cell>
        </row>
      </sheetData>
      <sheetData sheetId="23504">
        <row r="1">
          <cell r="J1">
            <v>1.7453292519943295E-2</v>
          </cell>
        </row>
      </sheetData>
      <sheetData sheetId="23505">
        <row r="1">
          <cell r="J1">
            <v>1.7453292519943295E-2</v>
          </cell>
        </row>
      </sheetData>
      <sheetData sheetId="23506">
        <row r="1">
          <cell r="J1">
            <v>1.7453292519943295E-2</v>
          </cell>
        </row>
      </sheetData>
      <sheetData sheetId="23507">
        <row r="1">
          <cell r="J1">
            <v>1.7453292519943295E-2</v>
          </cell>
        </row>
      </sheetData>
      <sheetData sheetId="23508">
        <row r="1">
          <cell r="J1">
            <v>1.7453292519943295E-2</v>
          </cell>
        </row>
      </sheetData>
      <sheetData sheetId="23509">
        <row r="1">
          <cell r="J1">
            <v>1.7453292519943295E-2</v>
          </cell>
        </row>
      </sheetData>
      <sheetData sheetId="23510">
        <row r="1">
          <cell r="J1">
            <v>1.7453292519943295E-2</v>
          </cell>
        </row>
      </sheetData>
      <sheetData sheetId="23511">
        <row r="1">
          <cell r="J1">
            <v>1.7453292519943295E-2</v>
          </cell>
        </row>
      </sheetData>
      <sheetData sheetId="23512">
        <row r="1">
          <cell r="J1">
            <v>1.7453292519943295E-2</v>
          </cell>
        </row>
      </sheetData>
      <sheetData sheetId="23513">
        <row r="1">
          <cell r="J1">
            <v>1.7453292519943295E-2</v>
          </cell>
        </row>
      </sheetData>
      <sheetData sheetId="23514">
        <row r="1">
          <cell r="J1">
            <v>1.7453292519943295E-2</v>
          </cell>
        </row>
      </sheetData>
      <sheetData sheetId="23515">
        <row r="1">
          <cell r="J1">
            <v>1.7453292519943295E-2</v>
          </cell>
        </row>
      </sheetData>
      <sheetData sheetId="23516">
        <row r="1">
          <cell r="J1">
            <v>1.7453292519943295E-2</v>
          </cell>
        </row>
      </sheetData>
      <sheetData sheetId="23517">
        <row r="1">
          <cell r="J1">
            <v>1.7453292519943295E-2</v>
          </cell>
        </row>
      </sheetData>
      <sheetData sheetId="23518">
        <row r="1">
          <cell r="J1">
            <v>1.7453292519943295E-2</v>
          </cell>
        </row>
      </sheetData>
      <sheetData sheetId="23519">
        <row r="1">
          <cell r="J1">
            <v>1.7453292519943295E-2</v>
          </cell>
        </row>
      </sheetData>
      <sheetData sheetId="23520">
        <row r="1">
          <cell r="J1">
            <v>1.7453292519943295E-2</v>
          </cell>
        </row>
      </sheetData>
      <sheetData sheetId="23521">
        <row r="1">
          <cell r="J1">
            <v>1.7453292519943295E-2</v>
          </cell>
        </row>
      </sheetData>
      <sheetData sheetId="23522">
        <row r="1">
          <cell r="J1">
            <v>1.7453292519943295E-2</v>
          </cell>
        </row>
      </sheetData>
      <sheetData sheetId="23523" refreshError="1"/>
      <sheetData sheetId="23524" refreshError="1"/>
      <sheetData sheetId="23525" refreshError="1"/>
      <sheetData sheetId="23526" refreshError="1"/>
      <sheetData sheetId="23527">
        <row r="1">
          <cell r="J1">
            <v>1.7453292519943295E-2</v>
          </cell>
        </row>
      </sheetData>
      <sheetData sheetId="23528">
        <row r="1">
          <cell r="J1">
            <v>1.7453292519943295E-2</v>
          </cell>
        </row>
      </sheetData>
      <sheetData sheetId="23529" refreshError="1"/>
      <sheetData sheetId="23530">
        <row r="1">
          <cell r="J1">
            <v>1.7453292519943295E-2</v>
          </cell>
        </row>
      </sheetData>
      <sheetData sheetId="23531" refreshError="1"/>
      <sheetData sheetId="23532">
        <row r="1">
          <cell r="J1">
            <v>1.7453292519943295E-2</v>
          </cell>
        </row>
      </sheetData>
      <sheetData sheetId="23533">
        <row r="1">
          <cell r="J1">
            <v>1.7453292519943295E-2</v>
          </cell>
        </row>
      </sheetData>
      <sheetData sheetId="23534">
        <row r="1">
          <cell r="J1">
            <v>1.7453292519943295E-2</v>
          </cell>
        </row>
      </sheetData>
      <sheetData sheetId="23535">
        <row r="1">
          <cell r="J1">
            <v>1.7453292519943295E-2</v>
          </cell>
        </row>
      </sheetData>
      <sheetData sheetId="23536">
        <row r="1">
          <cell r="J1">
            <v>1.7453292519943295E-2</v>
          </cell>
        </row>
      </sheetData>
      <sheetData sheetId="23537"/>
      <sheetData sheetId="23538">
        <row r="1">
          <cell r="J1">
            <v>1.7453292519943295E-2</v>
          </cell>
        </row>
      </sheetData>
      <sheetData sheetId="23539">
        <row r="1">
          <cell r="J1">
            <v>1.7453292519943295E-2</v>
          </cell>
        </row>
      </sheetData>
      <sheetData sheetId="23540">
        <row r="1">
          <cell r="J1">
            <v>1.7453292519943295E-2</v>
          </cell>
        </row>
      </sheetData>
      <sheetData sheetId="23541">
        <row r="1">
          <cell r="J1">
            <v>1.7453292519943295E-2</v>
          </cell>
        </row>
      </sheetData>
      <sheetData sheetId="23542">
        <row r="1">
          <cell r="J1">
            <v>1.7453292519943295E-2</v>
          </cell>
        </row>
      </sheetData>
      <sheetData sheetId="23543"/>
      <sheetData sheetId="23544">
        <row r="1">
          <cell r="J1">
            <v>1.7453292519943295E-2</v>
          </cell>
        </row>
      </sheetData>
      <sheetData sheetId="23545">
        <row r="1">
          <cell r="J1">
            <v>1.7453292519943295E-2</v>
          </cell>
        </row>
      </sheetData>
      <sheetData sheetId="23546">
        <row r="1">
          <cell r="J1">
            <v>1.7453292519943295E-2</v>
          </cell>
        </row>
      </sheetData>
      <sheetData sheetId="23547">
        <row r="1">
          <cell r="J1">
            <v>1.7453292519943295E-2</v>
          </cell>
        </row>
      </sheetData>
      <sheetData sheetId="23548">
        <row r="1">
          <cell r="J1">
            <v>1.7453292519943295E-2</v>
          </cell>
        </row>
      </sheetData>
      <sheetData sheetId="23549">
        <row r="1">
          <cell r="J1">
            <v>1.7453292519943295E-2</v>
          </cell>
        </row>
      </sheetData>
      <sheetData sheetId="23550">
        <row r="1">
          <cell r="J1">
            <v>1.7453292519943295E-2</v>
          </cell>
        </row>
      </sheetData>
      <sheetData sheetId="23551">
        <row r="1">
          <cell r="J1">
            <v>1.7453292519943295E-2</v>
          </cell>
        </row>
      </sheetData>
      <sheetData sheetId="23552">
        <row r="1">
          <cell r="J1">
            <v>1.7453292519943295E-2</v>
          </cell>
        </row>
      </sheetData>
      <sheetData sheetId="23553">
        <row r="1">
          <cell r="J1">
            <v>1.7453292519943295E-2</v>
          </cell>
        </row>
      </sheetData>
      <sheetData sheetId="23554" refreshError="1"/>
      <sheetData sheetId="23555" refreshError="1"/>
      <sheetData sheetId="23556" refreshError="1"/>
      <sheetData sheetId="23557">
        <row r="1">
          <cell r="J1">
            <v>1.7453292519943295E-2</v>
          </cell>
        </row>
      </sheetData>
      <sheetData sheetId="23558">
        <row r="1">
          <cell r="J1">
            <v>1.7453292519943295E-2</v>
          </cell>
        </row>
      </sheetData>
      <sheetData sheetId="23559" refreshError="1"/>
      <sheetData sheetId="23560">
        <row r="1">
          <cell r="J1">
            <v>1.7453292519943295E-2</v>
          </cell>
        </row>
      </sheetData>
      <sheetData sheetId="23561" refreshError="1"/>
      <sheetData sheetId="23562" refreshError="1"/>
      <sheetData sheetId="23563">
        <row r="1">
          <cell r="J1">
            <v>1.7453292519943295E-2</v>
          </cell>
        </row>
      </sheetData>
      <sheetData sheetId="23564">
        <row r="1">
          <cell r="J1">
            <v>1.7453292519943295E-2</v>
          </cell>
        </row>
      </sheetData>
      <sheetData sheetId="23565">
        <row r="1">
          <cell r="J1">
            <v>1.7453292519943295E-2</v>
          </cell>
        </row>
      </sheetData>
      <sheetData sheetId="23566">
        <row r="1">
          <cell r="J1">
            <v>1.7453292519943295E-2</v>
          </cell>
        </row>
      </sheetData>
      <sheetData sheetId="23567">
        <row r="1">
          <cell r="J1">
            <v>1.7453292519943295E-2</v>
          </cell>
        </row>
      </sheetData>
      <sheetData sheetId="23568"/>
      <sheetData sheetId="23569">
        <row r="1">
          <cell r="J1">
            <v>1.7453292519943295E-2</v>
          </cell>
        </row>
      </sheetData>
      <sheetData sheetId="23570">
        <row r="1">
          <cell r="J1">
            <v>1.7453292519943295E-2</v>
          </cell>
        </row>
      </sheetData>
      <sheetData sheetId="23571">
        <row r="1">
          <cell r="J1">
            <v>1.7453292519943295E-2</v>
          </cell>
        </row>
      </sheetData>
      <sheetData sheetId="23572">
        <row r="1">
          <cell r="J1">
            <v>1.7453292519943295E-2</v>
          </cell>
        </row>
      </sheetData>
      <sheetData sheetId="23573">
        <row r="1">
          <cell r="J1">
            <v>1.7453292519943295E-2</v>
          </cell>
        </row>
      </sheetData>
      <sheetData sheetId="23574"/>
      <sheetData sheetId="23575">
        <row r="1">
          <cell r="J1">
            <v>1.7453292519943295E-2</v>
          </cell>
        </row>
      </sheetData>
      <sheetData sheetId="23576">
        <row r="1">
          <cell r="J1">
            <v>1.7453292519943295E-2</v>
          </cell>
        </row>
      </sheetData>
      <sheetData sheetId="23577">
        <row r="1">
          <cell r="J1">
            <v>1.7453292519943295E-2</v>
          </cell>
        </row>
      </sheetData>
      <sheetData sheetId="23578">
        <row r="1">
          <cell r="J1">
            <v>1.7453292519943295E-2</v>
          </cell>
        </row>
      </sheetData>
      <sheetData sheetId="23579">
        <row r="1">
          <cell r="J1">
            <v>1.7453292519943295E-2</v>
          </cell>
        </row>
      </sheetData>
      <sheetData sheetId="23580">
        <row r="1">
          <cell r="J1">
            <v>1.7453292519943295E-2</v>
          </cell>
        </row>
      </sheetData>
      <sheetData sheetId="23581">
        <row r="1">
          <cell r="J1">
            <v>1.7453292519943295E-2</v>
          </cell>
        </row>
      </sheetData>
      <sheetData sheetId="23582">
        <row r="1">
          <cell r="J1">
            <v>1.7453292519943295E-2</v>
          </cell>
        </row>
      </sheetData>
      <sheetData sheetId="23583">
        <row r="1">
          <cell r="J1">
            <v>1.7453292519943295E-2</v>
          </cell>
        </row>
      </sheetData>
      <sheetData sheetId="23584">
        <row r="1">
          <cell r="J1">
            <v>1.7453292519943295E-2</v>
          </cell>
        </row>
      </sheetData>
      <sheetData sheetId="23585" refreshError="1"/>
      <sheetData sheetId="23586" refreshError="1"/>
      <sheetData sheetId="23587">
        <row r="1">
          <cell r="J1">
            <v>1.7453292519943295E-2</v>
          </cell>
        </row>
      </sheetData>
      <sheetData sheetId="23588">
        <row r="1">
          <cell r="J1">
            <v>1.7453292519943295E-2</v>
          </cell>
        </row>
      </sheetData>
      <sheetData sheetId="23589" refreshError="1"/>
      <sheetData sheetId="23590">
        <row r="1">
          <cell r="J1">
            <v>1.7453292519943295E-2</v>
          </cell>
        </row>
      </sheetData>
      <sheetData sheetId="23591" refreshError="1"/>
      <sheetData sheetId="23592" refreshError="1"/>
      <sheetData sheetId="23593">
        <row r="1">
          <cell r="J1">
            <v>1.7453292519943295E-2</v>
          </cell>
        </row>
      </sheetData>
      <sheetData sheetId="23594">
        <row r="1">
          <cell r="J1">
            <v>1.7453292519943295E-2</v>
          </cell>
        </row>
      </sheetData>
      <sheetData sheetId="23595">
        <row r="1">
          <cell r="J1">
            <v>1.7453292519943295E-2</v>
          </cell>
        </row>
      </sheetData>
      <sheetData sheetId="23596">
        <row r="1">
          <cell r="J1">
            <v>1.7453292519943295E-2</v>
          </cell>
        </row>
      </sheetData>
      <sheetData sheetId="23597">
        <row r="1">
          <cell r="J1">
            <v>1.7453292519943295E-2</v>
          </cell>
        </row>
      </sheetData>
      <sheetData sheetId="23598">
        <row r="1">
          <cell r="J1">
            <v>1.7453292519943295E-2</v>
          </cell>
        </row>
      </sheetData>
      <sheetData sheetId="23599">
        <row r="1">
          <cell r="J1">
            <v>1.7453292519943295E-2</v>
          </cell>
        </row>
      </sheetData>
      <sheetData sheetId="23600">
        <row r="1">
          <cell r="J1">
            <v>1.7453292519943295E-2</v>
          </cell>
        </row>
      </sheetData>
      <sheetData sheetId="23601">
        <row r="1">
          <cell r="J1">
            <v>1.7453292519943295E-2</v>
          </cell>
        </row>
      </sheetData>
      <sheetData sheetId="23602">
        <row r="1">
          <cell r="J1">
            <v>1.7453292519943295E-2</v>
          </cell>
        </row>
      </sheetData>
      <sheetData sheetId="23603"/>
      <sheetData sheetId="23604">
        <row r="1">
          <cell r="J1">
            <v>1.7453292519943295E-2</v>
          </cell>
        </row>
      </sheetData>
      <sheetData sheetId="23605">
        <row r="1">
          <cell r="J1">
            <v>1.7453292519943295E-2</v>
          </cell>
        </row>
      </sheetData>
      <sheetData sheetId="23606">
        <row r="1">
          <cell r="J1">
            <v>1.7453292519943295E-2</v>
          </cell>
        </row>
      </sheetData>
      <sheetData sheetId="23607">
        <row r="1">
          <cell r="J1">
            <v>1.7453292519943295E-2</v>
          </cell>
        </row>
      </sheetData>
      <sheetData sheetId="23608">
        <row r="1">
          <cell r="J1">
            <v>1.7453292519943295E-2</v>
          </cell>
        </row>
      </sheetData>
      <sheetData sheetId="23609">
        <row r="1">
          <cell r="J1">
            <v>1.7453292519943295E-2</v>
          </cell>
        </row>
      </sheetData>
      <sheetData sheetId="23610">
        <row r="1">
          <cell r="J1">
            <v>1.7453292519943295E-2</v>
          </cell>
        </row>
      </sheetData>
      <sheetData sheetId="23611">
        <row r="1">
          <cell r="J1">
            <v>1.7453292519943295E-2</v>
          </cell>
        </row>
      </sheetData>
      <sheetData sheetId="23612">
        <row r="1">
          <cell r="J1">
            <v>1.7453292519943295E-2</v>
          </cell>
        </row>
      </sheetData>
      <sheetData sheetId="23613">
        <row r="1">
          <cell r="J1">
            <v>1.7453292519943295E-2</v>
          </cell>
        </row>
      </sheetData>
      <sheetData sheetId="23614">
        <row r="1">
          <cell r="J1">
            <v>1.7453292519943295E-2</v>
          </cell>
        </row>
      </sheetData>
      <sheetData sheetId="23615">
        <row r="1">
          <cell r="J1">
            <v>1.7453292519943295E-2</v>
          </cell>
        </row>
      </sheetData>
      <sheetData sheetId="23616" refreshError="1"/>
      <sheetData sheetId="23617" refreshError="1"/>
      <sheetData sheetId="23618">
        <row r="1">
          <cell r="J1">
            <v>1.7453292519943295E-2</v>
          </cell>
        </row>
      </sheetData>
      <sheetData sheetId="23619" refreshError="1"/>
      <sheetData sheetId="23620" refreshError="1"/>
      <sheetData sheetId="23621" refreshError="1"/>
      <sheetData sheetId="23622" refreshError="1"/>
      <sheetData sheetId="23623">
        <row r="1">
          <cell r="J1">
            <v>1.7453292519943295E-2</v>
          </cell>
        </row>
      </sheetData>
      <sheetData sheetId="23624">
        <row r="1">
          <cell r="J1">
            <v>1.7453292519943295E-2</v>
          </cell>
        </row>
      </sheetData>
      <sheetData sheetId="23625">
        <row r="1">
          <cell r="J1">
            <v>1.7453292519943295E-2</v>
          </cell>
        </row>
      </sheetData>
      <sheetData sheetId="23626">
        <row r="1">
          <cell r="J1">
            <v>1.7453292519943295E-2</v>
          </cell>
        </row>
      </sheetData>
      <sheetData sheetId="23627">
        <row r="1">
          <cell r="J1">
            <v>1.7453292519943295E-2</v>
          </cell>
        </row>
      </sheetData>
      <sheetData sheetId="23628">
        <row r="1">
          <cell r="J1">
            <v>1.7453292519943295E-2</v>
          </cell>
        </row>
      </sheetData>
      <sheetData sheetId="23629">
        <row r="1">
          <cell r="J1">
            <v>1.7453292519943295E-2</v>
          </cell>
        </row>
      </sheetData>
      <sheetData sheetId="23630"/>
      <sheetData sheetId="23631">
        <row r="1">
          <cell r="J1">
            <v>1.7453292519943295E-2</v>
          </cell>
        </row>
      </sheetData>
      <sheetData sheetId="23632">
        <row r="1">
          <cell r="J1">
            <v>1.7453292519943295E-2</v>
          </cell>
        </row>
      </sheetData>
      <sheetData sheetId="23633">
        <row r="1">
          <cell r="J1">
            <v>1.7453292519943295E-2</v>
          </cell>
        </row>
      </sheetData>
      <sheetData sheetId="23634"/>
      <sheetData sheetId="23635"/>
      <sheetData sheetId="23636">
        <row r="1">
          <cell r="J1">
            <v>1.7453292519943295E-2</v>
          </cell>
        </row>
      </sheetData>
      <sheetData sheetId="23637">
        <row r="1">
          <cell r="J1">
            <v>1.7453292519943295E-2</v>
          </cell>
        </row>
      </sheetData>
      <sheetData sheetId="23638">
        <row r="1">
          <cell r="J1">
            <v>1.7453292519943295E-2</v>
          </cell>
        </row>
      </sheetData>
      <sheetData sheetId="23639">
        <row r="1">
          <cell r="J1">
            <v>1.7453292519943295E-2</v>
          </cell>
        </row>
      </sheetData>
      <sheetData sheetId="23640">
        <row r="1">
          <cell r="J1">
            <v>1.7453292519943295E-2</v>
          </cell>
        </row>
      </sheetData>
      <sheetData sheetId="23641">
        <row r="1">
          <cell r="J1">
            <v>1.7453292519943295E-2</v>
          </cell>
        </row>
      </sheetData>
      <sheetData sheetId="23642">
        <row r="1">
          <cell r="J1">
            <v>1.7453292519943295E-2</v>
          </cell>
        </row>
      </sheetData>
      <sheetData sheetId="23643">
        <row r="1">
          <cell r="J1">
            <v>1.7453292519943295E-2</v>
          </cell>
        </row>
      </sheetData>
      <sheetData sheetId="23644"/>
      <sheetData sheetId="23645">
        <row r="1">
          <cell r="J1">
            <v>1.7453292519943295E-2</v>
          </cell>
        </row>
      </sheetData>
      <sheetData sheetId="23646">
        <row r="1">
          <cell r="J1">
            <v>1.7453292519943295E-2</v>
          </cell>
        </row>
      </sheetData>
      <sheetData sheetId="23647">
        <row r="1">
          <cell r="J1">
            <v>1.7453292519943295E-2</v>
          </cell>
        </row>
      </sheetData>
      <sheetData sheetId="23648">
        <row r="1">
          <cell r="J1">
            <v>1.7453292519943295E-2</v>
          </cell>
        </row>
      </sheetData>
      <sheetData sheetId="23649" refreshError="1"/>
      <sheetData sheetId="23650">
        <row r="1">
          <cell r="J1">
            <v>1.7453292519943295E-2</v>
          </cell>
        </row>
      </sheetData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>
        <row r="1">
          <cell r="J1">
            <v>1.7453292519943295E-2</v>
          </cell>
        </row>
      </sheetData>
      <sheetData sheetId="23657">
        <row r="1">
          <cell r="J1">
            <v>1.7453292519943295E-2</v>
          </cell>
        </row>
      </sheetData>
      <sheetData sheetId="23658">
        <row r="1">
          <cell r="J1">
            <v>1.7453292519943295E-2</v>
          </cell>
        </row>
      </sheetData>
      <sheetData sheetId="23659"/>
      <sheetData sheetId="23660">
        <row r="1">
          <cell r="J1">
            <v>1.7453292519943295E-2</v>
          </cell>
        </row>
      </sheetData>
      <sheetData sheetId="23661">
        <row r="1">
          <cell r="J1">
            <v>1.7453292519943295E-2</v>
          </cell>
        </row>
      </sheetData>
      <sheetData sheetId="23662">
        <row r="1">
          <cell r="J1">
            <v>1.7453292519943295E-2</v>
          </cell>
        </row>
      </sheetData>
      <sheetData sheetId="23663">
        <row r="1">
          <cell r="J1">
            <v>1.7453292519943295E-2</v>
          </cell>
        </row>
      </sheetData>
      <sheetData sheetId="23664">
        <row r="1">
          <cell r="J1">
            <v>1.7453292519943295E-2</v>
          </cell>
        </row>
      </sheetData>
      <sheetData sheetId="23665">
        <row r="1">
          <cell r="J1">
            <v>1.7453292519943295E-2</v>
          </cell>
        </row>
      </sheetData>
      <sheetData sheetId="23666">
        <row r="1">
          <cell r="J1">
            <v>1.7453292519943295E-2</v>
          </cell>
        </row>
      </sheetData>
      <sheetData sheetId="23667">
        <row r="1">
          <cell r="J1">
            <v>1.7453292519943295E-2</v>
          </cell>
        </row>
      </sheetData>
      <sheetData sheetId="23668">
        <row r="1">
          <cell r="J1">
            <v>1.7453292519943295E-2</v>
          </cell>
        </row>
      </sheetData>
      <sheetData sheetId="23669">
        <row r="1">
          <cell r="J1">
            <v>1.7453292519943295E-2</v>
          </cell>
        </row>
      </sheetData>
      <sheetData sheetId="23670"/>
      <sheetData sheetId="23671">
        <row r="1">
          <cell r="J1">
            <v>1.7453292519943295E-2</v>
          </cell>
        </row>
      </sheetData>
      <sheetData sheetId="23672">
        <row r="1">
          <cell r="J1">
            <v>1.7453292519943295E-2</v>
          </cell>
        </row>
      </sheetData>
      <sheetData sheetId="23673">
        <row r="1">
          <cell r="J1">
            <v>1.7453292519943295E-2</v>
          </cell>
        </row>
      </sheetData>
      <sheetData sheetId="23674">
        <row r="1">
          <cell r="J1">
            <v>1.7453292519943295E-2</v>
          </cell>
        </row>
      </sheetData>
      <sheetData sheetId="23675">
        <row r="1">
          <cell r="J1">
            <v>1.7453292519943295E-2</v>
          </cell>
        </row>
      </sheetData>
      <sheetData sheetId="23676">
        <row r="1">
          <cell r="J1">
            <v>1.7453292519943295E-2</v>
          </cell>
        </row>
      </sheetData>
      <sheetData sheetId="23677">
        <row r="1">
          <cell r="J1">
            <v>1.7453292519943295E-2</v>
          </cell>
        </row>
      </sheetData>
      <sheetData sheetId="23678">
        <row r="1">
          <cell r="J1">
            <v>1.7453292519943295E-2</v>
          </cell>
        </row>
      </sheetData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>
        <row r="1">
          <cell r="J1">
            <v>1.7453292519943295E-2</v>
          </cell>
        </row>
      </sheetData>
      <sheetData sheetId="23685" refreshError="1"/>
      <sheetData sheetId="23686">
        <row r="1">
          <cell r="J1">
            <v>1.7453292519943295E-2</v>
          </cell>
        </row>
      </sheetData>
      <sheetData sheetId="23687">
        <row r="1">
          <cell r="J1">
            <v>1.7453292519943295E-2</v>
          </cell>
        </row>
      </sheetData>
      <sheetData sheetId="23688" refreshError="1"/>
      <sheetData sheetId="23689" refreshError="1"/>
      <sheetData sheetId="23690">
        <row r="1">
          <cell r="J1">
            <v>1.7453292519943295E-2</v>
          </cell>
        </row>
      </sheetData>
      <sheetData sheetId="23691">
        <row r="1">
          <cell r="J1">
            <v>1.7453292519943295E-2</v>
          </cell>
        </row>
      </sheetData>
      <sheetData sheetId="23692">
        <row r="1">
          <cell r="J1">
            <v>1.7453292519943295E-2</v>
          </cell>
        </row>
      </sheetData>
      <sheetData sheetId="23693" refreshError="1"/>
      <sheetData sheetId="23694">
        <row r="1">
          <cell r="J1">
            <v>1.7453292519943295E-2</v>
          </cell>
        </row>
      </sheetData>
      <sheetData sheetId="23695">
        <row r="1">
          <cell r="J1">
            <v>1.7453292519943295E-2</v>
          </cell>
        </row>
      </sheetData>
      <sheetData sheetId="23696">
        <row r="1">
          <cell r="J1">
            <v>1.7453292519943295E-2</v>
          </cell>
        </row>
      </sheetData>
      <sheetData sheetId="23697">
        <row r="1">
          <cell r="J1">
            <v>1.7453292519943295E-2</v>
          </cell>
        </row>
      </sheetData>
      <sheetData sheetId="23698">
        <row r="1">
          <cell r="J1">
            <v>1.7453292519943295E-2</v>
          </cell>
        </row>
      </sheetData>
      <sheetData sheetId="23699">
        <row r="1">
          <cell r="J1">
            <v>1.7453292519943295E-2</v>
          </cell>
        </row>
      </sheetData>
      <sheetData sheetId="23700">
        <row r="1">
          <cell r="J1">
            <v>1.7453292519943295E-2</v>
          </cell>
        </row>
      </sheetData>
      <sheetData sheetId="23701">
        <row r="1">
          <cell r="J1">
            <v>1.7453292519943295E-2</v>
          </cell>
        </row>
      </sheetData>
      <sheetData sheetId="23702">
        <row r="1">
          <cell r="J1">
            <v>1.7453292519943295E-2</v>
          </cell>
        </row>
      </sheetData>
      <sheetData sheetId="23703">
        <row r="1">
          <cell r="J1">
            <v>1.7453292519943295E-2</v>
          </cell>
        </row>
      </sheetData>
      <sheetData sheetId="23704">
        <row r="1">
          <cell r="J1">
            <v>1.7453292519943295E-2</v>
          </cell>
        </row>
      </sheetData>
      <sheetData sheetId="23705">
        <row r="1">
          <cell r="J1">
            <v>1.7453292519943295E-2</v>
          </cell>
        </row>
      </sheetData>
      <sheetData sheetId="23706"/>
      <sheetData sheetId="23707">
        <row r="1">
          <cell r="J1">
            <v>1.7453292519943295E-2</v>
          </cell>
        </row>
      </sheetData>
      <sheetData sheetId="23708">
        <row r="1">
          <cell r="J1">
            <v>1.7453292519943295E-2</v>
          </cell>
        </row>
      </sheetData>
      <sheetData sheetId="23709">
        <row r="1">
          <cell r="J1">
            <v>1.7453292519943295E-2</v>
          </cell>
        </row>
      </sheetData>
      <sheetData sheetId="23710">
        <row r="1">
          <cell r="J1">
            <v>1.7453292519943295E-2</v>
          </cell>
        </row>
      </sheetData>
      <sheetData sheetId="23711">
        <row r="1">
          <cell r="J1">
            <v>1.7453292519943295E-2</v>
          </cell>
        </row>
      </sheetData>
      <sheetData sheetId="23712">
        <row r="1">
          <cell r="J1">
            <v>1.7453292519943295E-2</v>
          </cell>
        </row>
      </sheetData>
      <sheetData sheetId="23713">
        <row r="1">
          <cell r="J1">
            <v>1.7453292519943295E-2</v>
          </cell>
        </row>
      </sheetData>
      <sheetData sheetId="23714">
        <row r="1">
          <cell r="J1">
            <v>1.7453292519943295E-2</v>
          </cell>
        </row>
      </sheetData>
      <sheetData sheetId="23715">
        <row r="1">
          <cell r="J1">
            <v>1.7453292519943295E-2</v>
          </cell>
        </row>
      </sheetData>
      <sheetData sheetId="23716">
        <row r="1">
          <cell r="J1">
            <v>1.7453292519943295E-2</v>
          </cell>
        </row>
      </sheetData>
      <sheetData sheetId="23717">
        <row r="1">
          <cell r="J1">
            <v>1.7453292519943295E-2</v>
          </cell>
        </row>
      </sheetData>
      <sheetData sheetId="23718" refreshError="1"/>
      <sheetData sheetId="23719" refreshError="1"/>
      <sheetData sheetId="23720" refreshError="1"/>
      <sheetData sheetId="23721">
        <row r="1">
          <cell r="J1">
            <v>1.7453292519943295E-2</v>
          </cell>
        </row>
      </sheetData>
      <sheetData sheetId="23722">
        <row r="1">
          <cell r="J1">
            <v>1.7453292519943295E-2</v>
          </cell>
        </row>
      </sheetData>
      <sheetData sheetId="23723">
        <row r="1">
          <cell r="J1">
            <v>1.7453292519943295E-2</v>
          </cell>
        </row>
      </sheetData>
      <sheetData sheetId="23724" refreshError="1"/>
      <sheetData sheetId="23725">
        <row r="1">
          <cell r="J1">
            <v>1.7453292519943295E-2</v>
          </cell>
        </row>
      </sheetData>
      <sheetData sheetId="23726">
        <row r="1">
          <cell r="J1">
            <v>1.7453292519943295E-2</v>
          </cell>
        </row>
      </sheetData>
      <sheetData sheetId="23727" refreshError="1"/>
      <sheetData sheetId="23728" refreshError="1"/>
      <sheetData sheetId="23729" refreshError="1"/>
      <sheetData sheetId="23730">
        <row r="1">
          <cell r="J1">
            <v>1.7453292519943295E-2</v>
          </cell>
        </row>
      </sheetData>
      <sheetData sheetId="23731">
        <row r="1">
          <cell r="J1">
            <v>1.7453292519943295E-2</v>
          </cell>
        </row>
      </sheetData>
      <sheetData sheetId="23732">
        <row r="1">
          <cell r="J1">
            <v>1.7453292519943295E-2</v>
          </cell>
        </row>
      </sheetData>
      <sheetData sheetId="23733">
        <row r="1">
          <cell r="J1">
            <v>1.7453292519943295E-2</v>
          </cell>
        </row>
      </sheetData>
      <sheetData sheetId="23734">
        <row r="1">
          <cell r="J1">
            <v>1.7453292519943295E-2</v>
          </cell>
        </row>
      </sheetData>
      <sheetData sheetId="23735">
        <row r="1">
          <cell r="J1">
            <v>1.7453292519943295E-2</v>
          </cell>
        </row>
      </sheetData>
      <sheetData sheetId="23736" refreshError="1"/>
      <sheetData sheetId="23737">
        <row r="1">
          <cell r="J1">
            <v>1.7453292519943295E-2</v>
          </cell>
        </row>
      </sheetData>
      <sheetData sheetId="23738" refreshError="1"/>
      <sheetData sheetId="23739" refreshError="1"/>
      <sheetData sheetId="23740" refreshError="1"/>
      <sheetData sheetId="23741">
        <row r="1">
          <cell r="J1">
            <v>1.7453292519943295E-2</v>
          </cell>
        </row>
      </sheetData>
      <sheetData sheetId="23742">
        <row r="1">
          <cell r="J1">
            <v>1.7453292519943295E-2</v>
          </cell>
        </row>
      </sheetData>
      <sheetData sheetId="23743" refreshError="1"/>
      <sheetData sheetId="23744">
        <row r="1">
          <cell r="J1">
            <v>1.7453292519943295E-2</v>
          </cell>
        </row>
      </sheetData>
      <sheetData sheetId="23745">
        <row r="1">
          <cell r="J1">
            <v>1.7453292519943295E-2</v>
          </cell>
        </row>
      </sheetData>
      <sheetData sheetId="23746">
        <row r="1">
          <cell r="J1">
            <v>1.7453292519943295E-2</v>
          </cell>
        </row>
      </sheetData>
      <sheetData sheetId="23747" refreshError="1"/>
      <sheetData sheetId="23748">
        <row r="1">
          <cell r="J1">
            <v>1.7453292519943295E-2</v>
          </cell>
        </row>
      </sheetData>
      <sheetData sheetId="23749" refreshError="1"/>
      <sheetData sheetId="23750">
        <row r="1">
          <cell r="J1">
            <v>1.7453292519943295E-2</v>
          </cell>
        </row>
      </sheetData>
      <sheetData sheetId="23751">
        <row r="1">
          <cell r="J1">
            <v>1.7453292519943295E-2</v>
          </cell>
        </row>
      </sheetData>
      <sheetData sheetId="23752">
        <row r="1">
          <cell r="J1">
            <v>1.7453292519943295E-2</v>
          </cell>
        </row>
      </sheetData>
      <sheetData sheetId="23753" refreshError="1"/>
      <sheetData sheetId="23754" refreshError="1"/>
      <sheetData sheetId="23755" refreshError="1"/>
      <sheetData sheetId="23756">
        <row r="1">
          <cell r="J1">
            <v>1.7453292519943295E-2</v>
          </cell>
        </row>
      </sheetData>
      <sheetData sheetId="23757">
        <row r="1">
          <cell r="J1">
            <v>1.7453292519943295E-2</v>
          </cell>
        </row>
      </sheetData>
      <sheetData sheetId="23758">
        <row r="1">
          <cell r="J1">
            <v>1.7453292519943295E-2</v>
          </cell>
        </row>
      </sheetData>
      <sheetData sheetId="23759">
        <row r="1">
          <cell r="J1">
            <v>1.7453292519943295E-2</v>
          </cell>
        </row>
      </sheetData>
      <sheetData sheetId="23760">
        <row r="1">
          <cell r="J1">
            <v>1.7453292519943295E-2</v>
          </cell>
        </row>
      </sheetData>
      <sheetData sheetId="23761">
        <row r="1">
          <cell r="J1">
            <v>1.7453292519943295E-2</v>
          </cell>
        </row>
      </sheetData>
      <sheetData sheetId="23762">
        <row r="1">
          <cell r="J1">
            <v>1.7453292519943295E-2</v>
          </cell>
        </row>
      </sheetData>
      <sheetData sheetId="23763">
        <row r="1">
          <cell r="J1">
            <v>1.7453292519943295E-2</v>
          </cell>
        </row>
      </sheetData>
      <sheetData sheetId="23764">
        <row r="1">
          <cell r="J1">
            <v>1.7453292519943295E-2</v>
          </cell>
        </row>
      </sheetData>
      <sheetData sheetId="23765">
        <row r="1">
          <cell r="J1">
            <v>1.7453292519943295E-2</v>
          </cell>
        </row>
      </sheetData>
      <sheetData sheetId="23766">
        <row r="1">
          <cell r="J1">
            <v>1.7453292519943295E-2</v>
          </cell>
        </row>
      </sheetData>
      <sheetData sheetId="23767">
        <row r="1">
          <cell r="J1">
            <v>1.7453292519943295E-2</v>
          </cell>
        </row>
      </sheetData>
      <sheetData sheetId="23768">
        <row r="1">
          <cell r="J1">
            <v>1.7453292519943295E-2</v>
          </cell>
        </row>
      </sheetData>
      <sheetData sheetId="23769">
        <row r="1">
          <cell r="J1">
            <v>1.7453292519943295E-2</v>
          </cell>
        </row>
      </sheetData>
      <sheetData sheetId="23770">
        <row r="1">
          <cell r="J1">
            <v>1.7453292519943295E-2</v>
          </cell>
        </row>
      </sheetData>
      <sheetData sheetId="23771">
        <row r="1">
          <cell r="J1">
            <v>1.7453292519943295E-2</v>
          </cell>
        </row>
      </sheetData>
      <sheetData sheetId="23772">
        <row r="1">
          <cell r="J1">
            <v>1.7453292519943295E-2</v>
          </cell>
        </row>
      </sheetData>
      <sheetData sheetId="23773"/>
      <sheetData sheetId="23774">
        <row r="1">
          <cell r="J1">
            <v>1.7453292519943295E-2</v>
          </cell>
        </row>
      </sheetData>
      <sheetData sheetId="23775">
        <row r="1">
          <cell r="J1">
            <v>1.7453292519943295E-2</v>
          </cell>
        </row>
      </sheetData>
      <sheetData sheetId="23776" refreshError="1"/>
      <sheetData sheetId="23777">
        <row r="1">
          <cell r="J1">
            <v>1.7453292519943295E-2</v>
          </cell>
        </row>
      </sheetData>
      <sheetData sheetId="23778">
        <row r="1">
          <cell r="J1">
            <v>1.7453292519943295E-2</v>
          </cell>
        </row>
      </sheetData>
      <sheetData sheetId="23779">
        <row r="1">
          <cell r="J1">
            <v>1.7453292519943295E-2</v>
          </cell>
        </row>
      </sheetData>
      <sheetData sheetId="23780" refreshError="1"/>
      <sheetData sheetId="23781" refreshError="1"/>
      <sheetData sheetId="23782" refreshError="1"/>
      <sheetData sheetId="23783">
        <row r="1">
          <cell r="J1">
            <v>1.7453292519943295E-2</v>
          </cell>
        </row>
      </sheetData>
      <sheetData sheetId="23784">
        <row r="1">
          <cell r="J1">
            <v>1.7453292519943295E-2</v>
          </cell>
        </row>
      </sheetData>
      <sheetData sheetId="23785" refreshError="1"/>
      <sheetData sheetId="23786">
        <row r="1">
          <cell r="J1">
            <v>1.7453292519943295E-2</v>
          </cell>
        </row>
      </sheetData>
      <sheetData sheetId="23787">
        <row r="1">
          <cell r="J1">
            <v>1.7453292519943295E-2</v>
          </cell>
        </row>
      </sheetData>
      <sheetData sheetId="23788" refreshError="1"/>
      <sheetData sheetId="23789">
        <row r="1">
          <cell r="J1">
            <v>1.7453292519943295E-2</v>
          </cell>
        </row>
      </sheetData>
      <sheetData sheetId="23790">
        <row r="1">
          <cell r="J1">
            <v>1.7453292519943295E-2</v>
          </cell>
        </row>
      </sheetData>
      <sheetData sheetId="23791">
        <row r="1">
          <cell r="J1">
            <v>1.7453292519943295E-2</v>
          </cell>
        </row>
      </sheetData>
      <sheetData sheetId="23792" refreshError="1"/>
      <sheetData sheetId="23793" refreshError="1"/>
      <sheetData sheetId="23794" refreshError="1"/>
      <sheetData sheetId="23795">
        <row r="1">
          <cell r="J1">
            <v>1.7453292519943295E-2</v>
          </cell>
        </row>
      </sheetData>
      <sheetData sheetId="23796" refreshError="1"/>
      <sheetData sheetId="23797">
        <row r="1">
          <cell r="J1">
            <v>1.7453292519943295E-2</v>
          </cell>
        </row>
      </sheetData>
      <sheetData sheetId="23798">
        <row r="1">
          <cell r="J1">
            <v>1.7453292519943295E-2</v>
          </cell>
        </row>
      </sheetData>
      <sheetData sheetId="23799">
        <row r="1">
          <cell r="J1">
            <v>1.7453292519943295E-2</v>
          </cell>
        </row>
      </sheetData>
      <sheetData sheetId="23800" refreshError="1"/>
      <sheetData sheetId="23801">
        <row r="1">
          <cell r="J1">
            <v>1.7453292519943295E-2</v>
          </cell>
        </row>
      </sheetData>
      <sheetData sheetId="23802" refreshError="1"/>
      <sheetData sheetId="23803" refreshError="1"/>
      <sheetData sheetId="23804">
        <row r="1">
          <cell r="J1">
            <v>1.7453292519943295E-2</v>
          </cell>
        </row>
      </sheetData>
      <sheetData sheetId="23805" refreshError="1"/>
      <sheetData sheetId="23806">
        <row r="1">
          <cell r="J1">
            <v>1.7453292519943295E-2</v>
          </cell>
        </row>
      </sheetData>
      <sheetData sheetId="23807">
        <row r="1">
          <cell r="J1">
            <v>1.7453292519943295E-2</v>
          </cell>
        </row>
      </sheetData>
      <sheetData sheetId="23808" refreshError="1"/>
      <sheetData sheetId="23809">
        <row r="1">
          <cell r="J1">
            <v>1.7453292519943295E-2</v>
          </cell>
        </row>
      </sheetData>
      <sheetData sheetId="23810">
        <row r="1">
          <cell r="J1">
            <v>1.7453292519943295E-2</v>
          </cell>
        </row>
      </sheetData>
      <sheetData sheetId="23811" refreshError="1"/>
      <sheetData sheetId="23812">
        <row r="1">
          <cell r="J1">
            <v>1.7453292519943295E-2</v>
          </cell>
        </row>
      </sheetData>
      <sheetData sheetId="23813">
        <row r="1">
          <cell r="J1">
            <v>1.7453292519943295E-2</v>
          </cell>
        </row>
      </sheetData>
      <sheetData sheetId="23814" refreshError="1"/>
      <sheetData sheetId="23815">
        <row r="1">
          <cell r="J1">
            <v>1.7453292519943295E-2</v>
          </cell>
        </row>
      </sheetData>
      <sheetData sheetId="23816" refreshError="1"/>
      <sheetData sheetId="23817" refreshError="1"/>
      <sheetData sheetId="23818">
        <row r="1">
          <cell r="J1">
            <v>1.7453292519943295E-2</v>
          </cell>
        </row>
      </sheetData>
      <sheetData sheetId="23819">
        <row r="1">
          <cell r="J1">
            <v>1.7453292519943295E-2</v>
          </cell>
        </row>
      </sheetData>
      <sheetData sheetId="23820">
        <row r="1">
          <cell r="J1">
            <v>1.7453292519943295E-2</v>
          </cell>
        </row>
      </sheetData>
      <sheetData sheetId="23821">
        <row r="1">
          <cell r="J1">
            <v>1.7453292519943295E-2</v>
          </cell>
        </row>
      </sheetData>
      <sheetData sheetId="23822">
        <row r="1">
          <cell r="J1">
            <v>1.7453292519943295E-2</v>
          </cell>
        </row>
      </sheetData>
      <sheetData sheetId="23823" refreshError="1"/>
      <sheetData sheetId="23824" refreshError="1"/>
      <sheetData sheetId="23825">
        <row r="1">
          <cell r="J1">
            <v>1.7453292519943295E-2</v>
          </cell>
        </row>
      </sheetData>
      <sheetData sheetId="23826">
        <row r="1">
          <cell r="J1">
            <v>1.7453292519943295E-2</v>
          </cell>
        </row>
      </sheetData>
      <sheetData sheetId="23827">
        <row r="1">
          <cell r="J1">
            <v>1.7453292519943295E-2</v>
          </cell>
        </row>
      </sheetData>
      <sheetData sheetId="23828" refreshError="1"/>
      <sheetData sheetId="23829">
        <row r="1">
          <cell r="J1">
            <v>1.7453292519943295E-2</v>
          </cell>
        </row>
      </sheetData>
      <sheetData sheetId="23830" refreshError="1"/>
      <sheetData sheetId="23831" refreshError="1"/>
      <sheetData sheetId="23832" refreshError="1"/>
      <sheetData sheetId="23833">
        <row r="1">
          <cell r="J1">
            <v>1.7453292519943295E-2</v>
          </cell>
        </row>
      </sheetData>
      <sheetData sheetId="23834" refreshError="1"/>
      <sheetData sheetId="23835" refreshError="1"/>
      <sheetData sheetId="23836">
        <row r="1">
          <cell r="J1">
            <v>1.7453292519943295E-2</v>
          </cell>
        </row>
      </sheetData>
      <sheetData sheetId="23837" refreshError="1"/>
      <sheetData sheetId="23838" refreshError="1"/>
      <sheetData sheetId="23839">
        <row r="1">
          <cell r="J1">
            <v>1.7453292519943295E-2</v>
          </cell>
        </row>
      </sheetData>
      <sheetData sheetId="23840">
        <row r="1">
          <cell r="J1">
            <v>1.7453292519943295E-2</v>
          </cell>
        </row>
      </sheetData>
      <sheetData sheetId="23841">
        <row r="1">
          <cell r="J1">
            <v>1.7453292519943295E-2</v>
          </cell>
        </row>
      </sheetData>
      <sheetData sheetId="23842">
        <row r="1">
          <cell r="J1">
            <v>1.7453292519943295E-2</v>
          </cell>
        </row>
      </sheetData>
      <sheetData sheetId="23843">
        <row r="1">
          <cell r="J1">
            <v>1.7453292519943295E-2</v>
          </cell>
        </row>
      </sheetData>
      <sheetData sheetId="23844">
        <row r="1">
          <cell r="J1">
            <v>1.7453292519943295E-2</v>
          </cell>
        </row>
      </sheetData>
      <sheetData sheetId="23845">
        <row r="1">
          <cell r="J1">
            <v>1.7453292519943295E-2</v>
          </cell>
        </row>
      </sheetData>
      <sheetData sheetId="23846">
        <row r="1">
          <cell r="J1">
            <v>1.7453292519943295E-2</v>
          </cell>
        </row>
      </sheetData>
      <sheetData sheetId="23847"/>
      <sheetData sheetId="23848">
        <row r="1">
          <cell r="J1">
            <v>1.7453292519943295E-2</v>
          </cell>
        </row>
      </sheetData>
      <sheetData sheetId="23849"/>
      <sheetData sheetId="23850">
        <row r="1">
          <cell r="J1">
            <v>1.7453292519943295E-2</v>
          </cell>
        </row>
      </sheetData>
      <sheetData sheetId="23851">
        <row r="1">
          <cell r="J1">
            <v>1.7453292519943295E-2</v>
          </cell>
        </row>
      </sheetData>
      <sheetData sheetId="23852">
        <row r="1">
          <cell r="J1">
            <v>1.7453292519943295E-2</v>
          </cell>
        </row>
      </sheetData>
      <sheetData sheetId="23853">
        <row r="1">
          <cell r="J1">
            <v>1.7453292519943295E-2</v>
          </cell>
        </row>
      </sheetData>
      <sheetData sheetId="23854">
        <row r="1">
          <cell r="J1">
            <v>1.7453292519943295E-2</v>
          </cell>
        </row>
      </sheetData>
      <sheetData sheetId="23855">
        <row r="1">
          <cell r="J1">
            <v>1.7453292519943295E-2</v>
          </cell>
        </row>
      </sheetData>
      <sheetData sheetId="23856">
        <row r="1">
          <cell r="J1">
            <v>1.7453292519943295E-2</v>
          </cell>
        </row>
      </sheetData>
      <sheetData sheetId="23857">
        <row r="1">
          <cell r="J1">
            <v>1.7453292519943295E-2</v>
          </cell>
        </row>
      </sheetData>
      <sheetData sheetId="23858">
        <row r="1">
          <cell r="J1">
            <v>1.7453292519943295E-2</v>
          </cell>
        </row>
      </sheetData>
      <sheetData sheetId="23859">
        <row r="1">
          <cell r="J1">
            <v>1.7453292519943295E-2</v>
          </cell>
        </row>
      </sheetData>
      <sheetData sheetId="23860">
        <row r="1">
          <cell r="J1">
            <v>1.7453292519943295E-2</v>
          </cell>
        </row>
      </sheetData>
      <sheetData sheetId="23861" refreshError="1"/>
      <sheetData sheetId="23862">
        <row r="1">
          <cell r="J1">
            <v>1.7453292519943295E-2</v>
          </cell>
        </row>
      </sheetData>
      <sheetData sheetId="23863">
        <row r="1">
          <cell r="J1">
            <v>1.7453292519943295E-2</v>
          </cell>
        </row>
      </sheetData>
      <sheetData sheetId="23864" refreshError="1"/>
      <sheetData sheetId="23865">
        <row r="1">
          <cell r="J1">
            <v>1.7453292519943295E-2</v>
          </cell>
        </row>
      </sheetData>
      <sheetData sheetId="23866">
        <row r="1">
          <cell r="J1">
            <v>1.7453292519943295E-2</v>
          </cell>
        </row>
      </sheetData>
      <sheetData sheetId="23867">
        <row r="1">
          <cell r="J1">
            <v>1.7453292519943295E-2</v>
          </cell>
        </row>
      </sheetData>
      <sheetData sheetId="23868" refreshError="1"/>
      <sheetData sheetId="23869" refreshError="1"/>
      <sheetData sheetId="23870" refreshError="1"/>
      <sheetData sheetId="23871">
        <row r="1">
          <cell r="J1">
            <v>1.7453292519943295E-2</v>
          </cell>
        </row>
      </sheetData>
      <sheetData sheetId="23872"/>
      <sheetData sheetId="23873">
        <row r="1">
          <cell r="J1">
            <v>1.7453292519943295E-2</v>
          </cell>
        </row>
      </sheetData>
      <sheetData sheetId="23874">
        <row r="1">
          <cell r="J1">
            <v>1.7453292519943295E-2</v>
          </cell>
        </row>
      </sheetData>
      <sheetData sheetId="23875">
        <row r="1">
          <cell r="J1">
            <v>1.7453292519943295E-2</v>
          </cell>
        </row>
      </sheetData>
      <sheetData sheetId="23876">
        <row r="1">
          <cell r="J1">
            <v>1.7453292519943295E-2</v>
          </cell>
        </row>
      </sheetData>
      <sheetData sheetId="23877">
        <row r="1">
          <cell r="J1">
            <v>1.7453292519943295E-2</v>
          </cell>
        </row>
      </sheetData>
      <sheetData sheetId="23878">
        <row r="1">
          <cell r="J1">
            <v>1.7453292519943295E-2</v>
          </cell>
        </row>
      </sheetData>
      <sheetData sheetId="23879">
        <row r="1">
          <cell r="J1">
            <v>1.7453292519943295E-2</v>
          </cell>
        </row>
      </sheetData>
      <sheetData sheetId="23880">
        <row r="1">
          <cell r="J1">
            <v>1.7453292519943295E-2</v>
          </cell>
        </row>
      </sheetData>
      <sheetData sheetId="23881">
        <row r="1">
          <cell r="J1">
            <v>1.7453292519943295E-2</v>
          </cell>
        </row>
      </sheetData>
      <sheetData sheetId="23882">
        <row r="1">
          <cell r="J1">
            <v>1.7453292519943295E-2</v>
          </cell>
        </row>
      </sheetData>
      <sheetData sheetId="23883">
        <row r="1">
          <cell r="J1">
            <v>1.7453292519943295E-2</v>
          </cell>
        </row>
      </sheetData>
      <sheetData sheetId="23884">
        <row r="1">
          <cell r="J1">
            <v>1.7453292519943295E-2</v>
          </cell>
        </row>
      </sheetData>
      <sheetData sheetId="23885">
        <row r="1">
          <cell r="J1">
            <v>1.7453292519943295E-2</v>
          </cell>
        </row>
      </sheetData>
      <sheetData sheetId="23886">
        <row r="1">
          <cell r="J1">
            <v>1.7453292519943295E-2</v>
          </cell>
        </row>
      </sheetData>
      <sheetData sheetId="23887">
        <row r="1">
          <cell r="J1">
            <v>1.7453292519943295E-2</v>
          </cell>
        </row>
      </sheetData>
      <sheetData sheetId="23888">
        <row r="1">
          <cell r="J1">
            <v>1.7453292519943295E-2</v>
          </cell>
        </row>
      </sheetData>
      <sheetData sheetId="23889">
        <row r="1">
          <cell r="J1">
            <v>1.7453292519943295E-2</v>
          </cell>
        </row>
      </sheetData>
      <sheetData sheetId="23890">
        <row r="1">
          <cell r="J1">
            <v>1.7453292519943295E-2</v>
          </cell>
        </row>
      </sheetData>
      <sheetData sheetId="23891">
        <row r="1">
          <cell r="J1">
            <v>1.7453292519943295E-2</v>
          </cell>
        </row>
      </sheetData>
      <sheetData sheetId="23892" refreshError="1"/>
      <sheetData sheetId="23893">
        <row r="1">
          <cell r="J1">
            <v>1.7453292519943295E-2</v>
          </cell>
        </row>
      </sheetData>
      <sheetData sheetId="23894">
        <row r="1">
          <cell r="J1">
            <v>1.7453292519943295E-2</v>
          </cell>
        </row>
      </sheetData>
      <sheetData sheetId="23895" refreshError="1"/>
      <sheetData sheetId="23896">
        <row r="1">
          <cell r="J1">
            <v>1.7453292519943295E-2</v>
          </cell>
        </row>
      </sheetData>
      <sheetData sheetId="23897" refreshError="1"/>
      <sheetData sheetId="23898">
        <row r="1">
          <cell r="J1">
            <v>1.7453292519943295E-2</v>
          </cell>
        </row>
      </sheetData>
      <sheetData sheetId="23899">
        <row r="1">
          <cell r="J1">
            <v>1.7453292519943295E-2</v>
          </cell>
        </row>
      </sheetData>
      <sheetData sheetId="23900" refreshError="1"/>
      <sheetData sheetId="23901" refreshError="1"/>
      <sheetData sheetId="23902">
        <row r="1">
          <cell r="J1">
            <v>1.7453292519943295E-2</v>
          </cell>
        </row>
      </sheetData>
      <sheetData sheetId="23903">
        <row r="1">
          <cell r="J1">
            <v>1.7453292519943295E-2</v>
          </cell>
        </row>
      </sheetData>
      <sheetData sheetId="23904" refreshError="1"/>
      <sheetData sheetId="23905" refreshError="1"/>
      <sheetData sheetId="23906">
        <row r="1">
          <cell r="J1">
            <v>1.7453292519943295E-2</v>
          </cell>
        </row>
      </sheetData>
      <sheetData sheetId="23907">
        <row r="1">
          <cell r="J1">
            <v>1.7453292519943295E-2</v>
          </cell>
        </row>
      </sheetData>
      <sheetData sheetId="23908">
        <row r="1">
          <cell r="J1">
            <v>1.7453292519943295E-2</v>
          </cell>
        </row>
      </sheetData>
      <sheetData sheetId="23909">
        <row r="1">
          <cell r="J1">
            <v>1.7453292519943295E-2</v>
          </cell>
        </row>
      </sheetData>
      <sheetData sheetId="23910">
        <row r="1">
          <cell r="J1">
            <v>1.7453292519943295E-2</v>
          </cell>
        </row>
      </sheetData>
      <sheetData sheetId="23911">
        <row r="1">
          <cell r="J1">
            <v>1.7453292519943295E-2</v>
          </cell>
        </row>
      </sheetData>
      <sheetData sheetId="23912">
        <row r="1">
          <cell r="J1">
            <v>1.7453292519943295E-2</v>
          </cell>
        </row>
      </sheetData>
      <sheetData sheetId="23913">
        <row r="1">
          <cell r="J1">
            <v>1.7453292519943295E-2</v>
          </cell>
        </row>
      </sheetData>
      <sheetData sheetId="23914">
        <row r="1">
          <cell r="J1">
            <v>1.7453292519943295E-2</v>
          </cell>
        </row>
      </sheetData>
      <sheetData sheetId="23915">
        <row r="1">
          <cell r="J1">
            <v>1.7453292519943295E-2</v>
          </cell>
        </row>
      </sheetData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>
        <row r="1">
          <cell r="J1">
            <v>1.7453292519943295E-2</v>
          </cell>
        </row>
      </sheetData>
      <sheetData sheetId="23958">
        <row r="1">
          <cell r="J1">
            <v>1.7453292519943295E-2</v>
          </cell>
        </row>
      </sheetData>
      <sheetData sheetId="23959" refreshError="1"/>
      <sheetData sheetId="23960" refreshError="1"/>
      <sheetData sheetId="23961" refreshError="1"/>
      <sheetData sheetId="23962"/>
      <sheetData sheetId="23963" refreshError="1"/>
      <sheetData sheetId="23964" refreshError="1"/>
      <sheetData sheetId="23965" refreshError="1"/>
      <sheetData sheetId="23966">
        <row r="1">
          <cell r="J1">
            <v>1.7453292519943295E-2</v>
          </cell>
        </row>
      </sheetData>
      <sheetData sheetId="23967">
        <row r="1">
          <cell r="J1">
            <v>1.7453292519943295E-2</v>
          </cell>
        </row>
      </sheetData>
      <sheetData sheetId="23968" refreshError="1"/>
      <sheetData sheetId="23969">
        <row r="1">
          <cell r="J1">
            <v>1.7453292519943295E-2</v>
          </cell>
        </row>
      </sheetData>
      <sheetData sheetId="23970" refreshError="1"/>
      <sheetData sheetId="23971" refreshError="1"/>
      <sheetData sheetId="23972">
        <row r="1">
          <cell r="J1">
            <v>1.7453292519943295E-2</v>
          </cell>
        </row>
      </sheetData>
      <sheetData sheetId="23973">
        <row r="1">
          <cell r="J1">
            <v>1.7453292519943295E-2</v>
          </cell>
        </row>
      </sheetData>
      <sheetData sheetId="23974" refreshError="1"/>
      <sheetData sheetId="23975" refreshError="1"/>
      <sheetData sheetId="23976" refreshError="1"/>
      <sheetData sheetId="23977">
        <row r="1">
          <cell r="J1">
            <v>1.7453292519943295E-2</v>
          </cell>
        </row>
      </sheetData>
      <sheetData sheetId="23978" refreshError="1"/>
      <sheetData sheetId="23979" refreshError="1"/>
      <sheetData sheetId="23980" refreshError="1"/>
      <sheetData sheetId="23981">
        <row r="1">
          <cell r="J1">
            <v>1.7453292519943295E-2</v>
          </cell>
        </row>
      </sheetData>
      <sheetData sheetId="23982">
        <row r="1">
          <cell r="J1">
            <v>1.7453292519943295E-2</v>
          </cell>
        </row>
      </sheetData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>
        <row r="1">
          <cell r="J1">
            <v>1.7453292519943295E-2</v>
          </cell>
        </row>
      </sheetData>
      <sheetData sheetId="23989">
        <row r="1">
          <cell r="J1">
            <v>1.7453292519943295E-2</v>
          </cell>
        </row>
      </sheetData>
      <sheetData sheetId="23990" refreshError="1"/>
      <sheetData sheetId="23991">
        <row r="1">
          <cell r="J1">
            <v>1.7453292519943295E-2</v>
          </cell>
        </row>
      </sheetData>
      <sheetData sheetId="23992" refreshError="1"/>
      <sheetData sheetId="23993" refreshError="1"/>
      <sheetData sheetId="23994" refreshError="1"/>
      <sheetData sheetId="23995" refreshError="1"/>
      <sheetData sheetId="23996">
        <row r="1">
          <cell r="J1">
            <v>1.7453292519943295E-2</v>
          </cell>
        </row>
      </sheetData>
      <sheetData sheetId="23997">
        <row r="1">
          <cell r="J1">
            <v>1.7453292519943295E-2</v>
          </cell>
        </row>
      </sheetData>
      <sheetData sheetId="23998" refreshError="1"/>
      <sheetData sheetId="23999">
        <row r="1">
          <cell r="J1">
            <v>1.7453292519943295E-2</v>
          </cell>
        </row>
      </sheetData>
      <sheetData sheetId="24000" refreshError="1"/>
      <sheetData sheetId="24001" refreshError="1"/>
      <sheetData sheetId="24002">
        <row r="1">
          <cell r="J1">
            <v>1.7453292519943295E-2</v>
          </cell>
        </row>
      </sheetData>
      <sheetData sheetId="24003" refreshError="1"/>
      <sheetData sheetId="24004" refreshError="1"/>
      <sheetData sheetId="24005">
        <row r="1">
          <cell r="J1">
            <v>1.7453292519943295E-2</v>
          </cell>
        </row>
      </sheetData>
      <sheetData sheetId="24006">
        <row r="1">
          <cell r="J1">
            <v>1.7453292519943295E-2</v>
          </cell>
        </row>
      </sheetData>
      <sheetData sheetId="24007" refreshError="1"/>
      <sheetData sheetId="24008" refreshError="1"/>
      <sheetData sheetId="24009" refreshError="1"/>
      <sheetData sheetId="24010">
        <row r="1">
          <cell r="J1">
            <v>1.7453292519943295E-2</v>
          </cell>
        </row>
      </sheetData>
      <sheetData sheetId="24011">
        <row r="1">
          <cell r="J1">
            <v>1.7453292519943295E-2</v>
          </cell>
        </row>
      </sheetData>
      <sheetData sheetId="24012" refreshError="1"/>
      <sheetData sheetId="24013">
        <row r="1">
          <cell r="J1">
            <v>1.7453292519943295E-2</v>
          </cell>
        </row>
      </sheetData>
      <sheetData sheetId="24014" refreshError="1"/>
      <sheetData sheetId="24015" refreshError="1"/>
      <sheetData sheetId="24016">
        <row r="1">
          <cell r="J1">
            <v>1.7453292519943295E-2</v>
          </cell>
        </row>
      </sheetData>
      <sheetData sheetId="24017">
        <row r="1">
          <cell r="J1">
            <v>1.7453292519943295E-2</v>
          </cell>
        </row>
      </sheetData>
      <sheetData sheetId="24018" refreshError="1"/>
      <sheetData sheetId="24019">
        <row r="1">
          <cell r="J1">
            <v>1.7453292519943295E-2</v>
          </cell>
        </row>
      </sheetData>
      <sheetData sheetId="24020" refreshError="1"/>
      <sheetData sheetId="24021" refreshError="1"/>
      <sheetData sheetId="24022">
        <row r="1">
          <cell r="J1">
            <v>1.7453292519943295E-2</v>
          </cell>
        </row>
      </sheetData>
      <sheetData sheetId="24023">
        <row r="1">
          <cell r="J1">
            <v>1.7453292519943295E-2</v>
          </cell>
        </row>
      </sheetData>
      <sheetData sheetId="24024" refreshError="1"/>
      <sheetData sheetId="24025">
        <row r="1">
          <cell r="J1">
            <v>1.7453292519943295E-2</v>
          </cell>
        </row>
      </sheetData>
      <sheetData sheetId="24026" refreshError="1"/>
      <sheetData sheetId="24027" refreshError="1"/>
      <sheetData sheetId="24028">
        <row r="1">
          <cell r="J1">
            <v>1.7453292519943295E-2</v>
          </cell>
        </row>
      </sheetData>
      <sheetData sheetId="24029">
        <row r="1">
          <cell r="J1">
            <v>1.7453292519943295E-2</v>
          </cell>
        </row>
      </sheetData>
      <sheetData sheetId="24030" refreshError="1"/>
      <sheetData sheetId="24031" refreshError="1"/>
      <sheetData sheetId="24032" refreshError="1"/>
      <sheetData sheetId="24033">
        <row r="1">
          <cell r="J1">
            <v>1.7453292519943295E-2</v>
          </cell>
        </row>
      </sheetData>
      <sheetData sheetId="24034" refreshError="1"/>
      <sheetData sheetId="24035" refreshError="1"/>
      <sheetData sheetId="24036" refreshError="1"/>
      <sheetData sheetId="24037">
        <row r="1">
          <cell r="J1">
            <v>1.7453292519943295E-2</v>
          </cell>
        </row>
      </sheetData>
      <sheetData sheetId="24038">
        <row r="1">
          <cell r="J1">
            <v>1.7453292519943295E-2</v>
          </cell>
        </row>
      </sheetData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>
        <row r="1">
          <cell r="J1">
            <v>1.7453292519943295E-2</v>
          </cell>
        </row>
      </sheetData>
      <sheetData sheetId="24047">
        <row r="1">
          <cell r="J1">
            <v>1.7453292519943295E-2</v>
          </cell>
        </row>
      </sheetData>
      <sheetData sheetId="24048" refreshError="1"/>
      <sheetData sheetId="24049">
        <row r="1">
          <cell r="J1">
            <v>1.7453292519943295E-2</v>
          </cell>
        </row>
      </sheetData>
      <sheetData sheetId="24050" refreshError="1"/>
      <sheetData sheetId="24051" refreshError="1"/>
      <sheetData sheetId="24052">
        <row r="1">
          <cell r="J1">
            <v>1.7453292519943295E-2</v>
          </cell>
        </row>
      </sheetData>
      <sheetData sheetId="24053">
        <row r="1">
          <cell r="J1">
            <v>1.7453292519943295E-2</v>
          </cell>
        </row>
      </sheetData>
      <sheetData sheetId="24054" refreshError="1"/>
      <sheetData sheetId="24055">
        <row r="1">
          <cell r="J1">
            <v>1.7453292519943295E-2</v>
          </cell>
        </row>
      </sheetData>
      <sheetData sheetId="24056" refreshError="1"/>
      <sheetData sheetId="24057" refreshError="1"/>
      <sheetData sheetId="24058">
        <row r="1">
          <cell r="J1">
            <v>1.7453292519943295E-2</v>
          </cell>
        </row>
      </sheetData>
      <sheetData sheetId="24059">
        <row r="1">
          <cell r="J1">
            <v>1.7453292519943295E-2</v>
          </cell>
        </row>
      </sheetData>
      <sheetData sheetId="24060" refreshError="1"/>
      <sheetData sheetId="24061">
        <row r="1">
          <cell r="J1">
            <v>1.7453292519943295E-2</v>
          </cell>
        </row>
      </sheetData>
      <sheetData sheetId="24062" refreshError="1"/>
      <sheetData sheetId="24063" refreshError="1"/>
      <sheetData sheetId="24064">
        <row r="1">
          <cell r="J1">
            <v>1.7453292519943295E-2</v>
          </cell>
        </row>
      </sheetData>
      <sheetData sheetId="24065">
        <row r="1">
          <cell r="J1">
            <v>1.7453292519943295E-2</v>
          </cell>
        </row>
      </sheetData>
      <sheetData sheetId="24066" refreshError="1"/>
      <sheetData sheetId="24067">
        <row r="1">
          <cell r="J1">
            <v>1.7453292519943295E-2</v>
          </cell>
        </row>
      </sheetData>
      <sheetData sheetId="24068" refreshError="1"/>
      <sheetData sheetId="24069" refreshError="1"/>
      <sheetData sheetId="24070">
        <row r="1">
          <cell r="J1">
            <v>1.7453292519943295E-2</v>
          </cell>
        </row>
      </sheetData>
      <sheetData sheetId="24071">
        <row r="1">
          <cell r="J1">
            <v>1.7453292519943295E-2</v>
          </cell>
        </row>
      </sheetData>
      <sheetData sheetId="24072" refreshError="1"/>
      <sheetData sheetId="24073">
        <row r="1">
          <cell r="J1">
            <v>1.7453292519943295E-2</v>
          </cell>
        </row>
      </sheetData>
      <sheetData sheetId="24074" refreshError="1"/>
      <sheetData sheetId="24075" refreshError="1"/>
      <sheetData sheetId="24076">
        <row r="1">
          <cell r="J1">
            <v>1.7453292519943295E-2</v>
          </cell>
        </row>
      </sheetData>
      <sheetData sheetId="24077">
        <row r="1">
          <cell r="J1">
            <v>1.7453292519943295E-2</v>
          </cell>
        </row>
      </sheetData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>
        <row r="1">
          <cell r="J1">
            <v>1.7453292519943295E-2</v>
          </cell>
        </row>
      </sheetData>
      <sheetData sheetId="24084">
        <row r="1">
          <cell r="J1">
            <v>1.7453292519943295E-2</v>
          </cell>
        </row>
      </sheetData>
      <sheetData sheetId="24085">
        <row r="1">
          <cell r="J1">
            <v>1.7453292519943295E-2</v>
          </cell>
        </row>
      </sheetData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>
        <row r="1">
          <cell r="J1">
            <v>1.7453292519943295E-2</v>
          </cell>
        </row>
      </sheetData>
      <sheetData sheetId="24092">
        <row r="1">
          <cell r="J1">
            <v>1.7453292519943295E-2</v>
          </cell>
        </row>
      </sheetData>
      <sheetData sheetId="24093">
        <row r="1">
          <cell r="J1">
            <v>1.7453292519943295E-2</v>
          </cell>
        </row>
      </sheetData>
      <sheetData sheetId="24094" refreshError="1"/>
      <sheetData sheetId="24095" refreshError="1"/>
      <sheetData sheetId="24096" refreshError="1"/>
      <sheetData sheetId="24097" refreshError="1"/>
      <sheetData sheetId="24098">
        <row r="1">
          <cell r="J1">
            <v>1.7453292519943295E-2</v>
          </cell>
        </row>
      </sheetData>
      <sheetData sheetId="24099">
        <row r="1">
          <cell r="J1">
            <v>1.7453292519943295E-2</v>
          </cell>
        </row>
      </sheetData>
      <sheetData sheetId="24100">
        <row r="1">
          <cell r="J1">
            <v>1.7453292519943295E-2</v>
          </cell>
        </row>
      </sheetData>
      <sheetData sheetId="24101" refreshError="1"/>
      <sheetData sheetId="24102" refreshError="1"/>
      <sheetData sheetId="24103" refreshError="1"/>
      <sheetData sheetId="24104">
        <row r="1">
          <cell r="J1">
            <v>1.7453292519943295E-2</v>
          </cell>
        </row>
      </sheetData>
      <sheetData sheetId="24105" refreshError="1"/>
      <sheetData sheetId="24106" refreshError="1"/>
      <sheetData sheetId="24107" refreshError="1"/>
      <sheetData sheetId="24108">
        <row r="1">
          <cell r="J1">
            <v>1.7453292519943295E-2</v>
          </cell>
        </row>
      </sheetData>
      <sheetData sheetId="24109">
        <row r="1">
          <cell r="J1">
            <v>1.7453292519943295E-2</v>
          </cell>
        </row>
      </sheetData>
      <sheetData sheetId="24110">
        <row r="1">
          <cell r="J1">
            <v>1.7453292519943295E-2</v>
          </cell>
        </row>
      </sheetData>
      <sheetData sheetId="24111" refreshError="1"/>
      <sheetData sheetId="24112" refreshError="1"/>
      <sheetData sheetId="24113" refreshError="1"/>
      <sheetData sheetId="24114">
        <row r="1">
          <cell r="J1">
            <v>1.7453292519943295E-2</v>
          </cell>
        </row>
      </sheetData>
      <sheetData sheetId="24115" refreshError="1"/>
      <sheetData sheetId="24116">
        <row r="1">
          <cell r="J1">
            <v>1.7453292519943295E-2</v>
          </cell>
        </row>
      </sheetData>
      <sheetData sheetId="24117">
        <row r="1">
          <cell r="J1">
            <v>1.7453292519943295E-2</v>
          </cell>
        </row>
      </sheetData>
      <sheetData sheetId="24118">
        <row r="1">
          <cell r="J1">
            <v>1.7453292519943295E-2</v>
          </cell>
        </row>
      </sheetData>
      <sheetData sheetId="24119">
        <row r="1">
          <cell r="J1">
            <v>1.7453292519943295E-2</v>
          </cell>
        </row>
      </sheetData>
      <sheetData sheetId="24120" refreshError="1"/>
      <sheetData sheetId="24121" refreshError="1"/>
      <sheetData sheetId="24122">
        <row r="1">
          <cell r="J1">
            <v>1.7453292519943295E-2</v>
          </cell>
        </row>
      </sheetData>
      <sheetData sheetId="24123" refreshError="1"/>
      <sheetData sheetId="24124">
        <row r="1">
          <cell r="J1">
            <v>1.7453292519943295E-2</v>
          </cell>
        </row>
      </sheetData>
      <sheetData sheetId="24125">
        <row r="1">
          <cell r="J1">
            <v>1.7453292519943295E-2</v>
          </cell>
        </row>
      </sheetData>
      <sheetData sheetId="24126" refreshError="1"/>
      <sheetData sheetId="24127">
        <row r="1">
          <cell r="J1">
            <v>1.7453292519943295E-2</v>
          </cell>
        </row>
      </sheetData>
      <sheetData sheetId="24128">
        <row r="1">
          <cell r="J1">
            <v>1.7453292519943295E-2</v>
          </cell>
        </row>
      </sheetData>
      <sheetData sheetId="24129">
        <row r="1">
          <cell r="J1">
            <v>1.7453292519943295E-2</v>
          </cell>
        </row>
      </sheetData>
      <sheetData sheetId="24130">
        <row r="1">
          <cell r="J1">
            <v>1.7453292519943295E-2</v>
          </cell>
        </row>
      </sheetData>
      <sheetData sheetId="24131">
        <row r="1">
          <cell r="J1">
            <v>1.7453292519943295E-2</v>
          </cell>
        </row>
      </sheetData>
      <sheetData sheetId="24132">
        <row r="1">
          <cell r="J1">
            <v>1.7453292519943295E-2</v>
          </cell>
        </row>
      </sheetData>
      <sheetData sheetId="24133" refreshError="1"/>
      <sheetData sheetId="24134">
        <row r="1">
          <cell r="J1">
            <v>1.7453292519943295E-2</v>
          </cell>
        </row>
      </sheetData>
      <sheetData sheetId="24135" refreshError="1"/>
      <sheetData sheetId="24136">
        <row r="1">
          <cell r="J1">
            <v>1.7453292519943295E-2</v>
          </cell>
        </row>
      </sheetData>
      <sheetData sheetId="24137">
        <row r="1">
          <cell r="J1">
            <v>1.7453292519943295E-2</v>
          </cell>
        </row>
      </sheetData>
      <sheetData sheetId="24138" refreshError="1"/>
      <sheetData sheetId="24139">
        <row r="1">
          <cell r="J1">
            <v>1.7453292519943295E-2</v>
          </cell>
        </row>
      </sheetData>
      <sheetData sheetId="24140">
        <row r="1">
          <cell r="J1">
            <v>1.7453292519943295E-2</v>
          </cell>
        </row>
      </sheetData>
      <sheetData sheetId="24141">
        <row r="1">
          <cell r="J1">
            <v>1.7453292519943295E-2</v>
          </cell>
        </row>
      </sheetData>
      <sheetData sheetId="24142">
        <row r="1">
          <cell r="J1">
            <v>1.7453292519943295E-2</v>
          </cell>
        </row>
      </sheetData>
      <sheetData sheetId="24143" refreshError="1"/>
      <sheetData sheetId="24144">
        <row r="1">
          <cell r="J1">
            <v>1.7453292519943295E-2</v>
          </cell>
        </row>
      </sheetData>
      <sheetData sheetId="24145">
        <row r="1">
          <cell r="J1">
            <v>1.7453292519943295E-2</v>
          </cell>
        </row>
      </sheetData>
      <sheetData sheetId="24146" refreshError="1"/>
      <sheetData sheetId="24147">
        <row r="1">
          <cell r="J1">
            <v>1.7453292519943295E-2</v>
          </cell>
        </row>
      </sheetData>
      <sheetData sheetId="24148" refreshError="1"/>
      <sheetData sheetId="24149" refreshError="1"/>
      <sheetData sheetId="24150">
        <row r="1">
          <cell r="J1">
            <v>1.7453292519943295E-2</v>
          </cell>
        </row>
      </sheetData>
      <sheetData sheetId="24151">
        <row r="1">
          <cell r="J1">
            <v>1.7453292519943295E-2</v>
          </cell>
        </row>
      </sheetData>
      <sheetData sheetId="24152" refreshError="1"/>
      <sheetData sheetId="24153" refreshError="1"/>
      <sheetData sheetId="24154" refreshError="1"/>
      <sheetData sheetId="24155">
        <row r="1">
          <cell r="J1">
            <v>1.7453292519943295E-2</v>
          </cell>
        </row>
      </sheetData>
      <sheetData sheetId="24156" refreshError="1"/>
      <sheetData sheetId="24157" refreshError="1"/>
      <sheetData sheetId="24158" refreshError="1"/>
      <sheetData sheetId="24159">
        <row r="1">
          <cell r="J1">
            <v>1.7453292519943295E-2</v>
          </cell>
        </row>
      </sheetData>
      <sheetData sheetId="24160">
        <row r="1">
          <cell r="J1">
            <v>1.7453292519943295E-2</v>
          </cell>
        </row>
      </sheetData>
      <sheetData sheetId="24161" refreshError="1"/>
      <sheetData sheetId="24162" refreshError="1"/>
      <sheetData sheetId="24163" refreshError="1"/>
      <sheetData sheetId="24164">
        <row r="1">
          <cell r="J1">
            <v>1.7453292519943295E-2</v>
          </cell>
        </row>
      </sheetData>
      <sheetData sheetId="24165" refreshError="1"/>
      <sheetData sheetId="24166" refreshError="1"/>
      <sheetData sheetId="24167" refreshError="1"/>
      <sheetData sheetId="24168">
        <row r="1">
          <cell r="J1">
            <v>1.7453292519943295E-2</v>
          </cell>
        </row>
      </sheetData>
      <sheetData sheetId="24169">
        <row r="1">
          <cell r="J1">
            <v>1.7453292519943295E-2</v>
          </cell>
        </row>
      </sheetData>
      <sheetData sheetId="24170" refreshError="1"/>
      <sheetData sheetId="24171"/>
      <sheetData sheetId="24172" refreshError="1"/>
      <sheetData sheetId="24173" refreshError="1"/>
      <sheetData sheetId="24174">
        <row r="1">
          <cell r="J1">
            <v>1.7453292519943295E-2</v>
          </cell>
        </row>
      </sheetData>
      <sheetData sheetId="24175">
        <row r="1">
          <cell r="J1">
            <v>1.7453292519943295E-2</v>
          </cell>
        </row>
      </sheetData>
      <sheetData sheetId="24176" refreshError="1"/>
      <sheetData sheetId="24177">
        <row r="1">
          <cell r="J1">
            <v>1.7453292519943295E-2</v>
          </cell>
        </row>
      </sheetData>
      <sheetData sheetId="24178" refreshError="1"/>
      <sheetData sheetId="24179" refreshError="1"/>
      <sheetData sheetId="24180">
        <row r="1">
          <cell r="J1">
            <v>1.7453292519943295E-2</v>
          </cell>
        </row>
      </sheetData>
      <sheetData sheetId="24181">
        <row r="1">
          <cell r="J1">
            <v>1.7453292519943295E-2</v>
          </cell>
        </row>
      </sheetData>
      <sheetData sheetId="24182" refreshError="1"/>
      <sheetData sheetId="24183" refreshError="1"/>
      <sheetData sheetId="24184" refreshError="1"/>
      <sheetData sheetId="24185">
        <row r="1">
          <cell r="J1">
            <v>1.7453292519943295E-2</v>
          </cell>
        </row>
      </sheetData>
      <sheetData sheetId="24186" refreshError="1"/>
      <sheetData sheetId="24187" refreshError="1"/>
      <sheetData sheetId="24188" refreshError="1"/>
      <sheetData sheetId="24189">
        <row r="1">
          <cell r="J1">
            <v>1.7453292519943295E-2</v>
          </cell>
        </row>
      </sheetData>
      <sheetData sheetId="24190">
        <row r="1">
          <cell r="J1">
            <v>1.7453292519943295E-2</v>
          </cell>
        </row>
      </sheetData>
      <sheetData sheetId="24191" refreshError="1"/>
      <sheetData sheetId="24192">
        <row r="1">
          <cell r="J1">
            <v>1.7453292519943295E-2</v>
          </cell>
        </row>
      </sheetData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>
        <row r="1">
          <cell r="J1">
            <v>1.7453292519943295E-2</v>
          </cell>
        </row>
      </sheetData>
      <sheetData sheetId="24199">
        <row r="1">
          <cell r="J1">
            <v>1.7453292519943295E-2</v>
          </cell>
        </row>
      </sheetData>
      <sheetData sheetId="24200" refreshError="1"/>
      <sheetData sheetId="2420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>
        <row r="1">
          <cell r="J1">
            <v>1.7453292519943295E-2</v>
          </cell>
        </row>
      </sheetData>
      <sheetData sheetId="24208">
        <row r="1">
          <cell r="J1">
            <v>1.7453292519943295E-2</v>
          </cell>
        </row>
      </sheetData>
      <sheetData sheetId="24209" refreshError="1"/>
      <sheetData sheetId="24210" refreshError="1"/>
      <sheetData sheetId="24211" refreshError="1"/>
      <sheetData sheetId="24212">
        <row r="1">
          <cell r="J1">
            <v>1.7453292519943295E-2</v>
          </cell>
        </row>
      </sheetData>
      <sheetData sheetId="24213" refreshError="1"/>
      <sheetData sheetId="24214" refreshError="1"/>
      <sheetData sheetId="24215" refreshError="1"/>
      <sheetData sheetId="24216">
        <row r="1">
          <cell r="J1">
            <v>1.7453292519943295E-2</v>
          </cell>
        </row>
      </sheetData>
      <sheetData sheetId="24217">
        <row r="1">
          <cell r="J1">
            <v>1.7453292519943295E-2</v>
          </cell>
        </row>
      </sheetData>
      <sheetData sheetId="24218" refreshError="1"/>
      <sheetData sheetId="24219">
        <row r="1">
          <cell r="J1">
            <v>1.7453292519943295E-2</v>
          </cell>
        </row>
      </sheetData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>
        <row r="1">
          <cell r="J1">
            <v>1.7453292519943295E-2</v>
          </cell>
        </row>
      </sheetData>
      <sheetData sheetId="24226">
        <row r="1">
          <cell r="J1">
            <v>1.7453292519943295E-2</v>
          </cell>
        </row>
      </sheetData>
      <sheetData sheetId="24227" refreshError="1"/>
      <sheetData sheetId="24228">
        <row r="1">
          <cell r="J1">
            <v>1.7453292519943295E-2</v>
          </cell>
        </row>
      </sheetData>
      <sheetData sheetId="24229" refreshError="1"/>
      <sheetData sheetId="24230" refreshError="1"/>
      <sheetData sheetId="24231">
        <row r="1">
          <cell r="J1">
            <v>1.7453292519943295E-2</v>
          </cell>
        </row>
      </sheetData>
      <sheetData sheetId="24232">
        <row r="1">
          <cell r="J1">
            <v>1.7453292519943295E-2</v>
          </cell>
        </row>
      </sheetData>
      <sheetData sheetId="24233" refreshError="1"/>
      <sheetData sheetId="24234">
        <row r="1">
          <cell r="J1">
            <v>1.7453292519943295E-2</v>
          </cell>
        </row>
      </sheetData>
      <sheetData sheetId="24235" refreshError="1"/>
      <sheetData sheetId="24236" refreshError="1"/>
      <sheetData sheetId="24237">
        <row r="1">
          <cell r="J1">
            <v>1.7453292519943295E-2</v>
          </cell>
        </row>
      </sheetData>
      <sheetData sheetId="24238">
        <row r="1">
          <cell r="J1">
            <v>1.7453292519943295E-2</v>
          </cell>
        </row>
      </sheetData>
      <sheetData sheetId="24239" refreshError="1"/>
      <sheetData sheetId="24240">
        <row r="1">
          <cell r="J1">
            <v>1.7453292519943295E-2</v>
          </cell>
        </row>
      </sheetData>
      <sheetData sheetId="24241">
        <row r="1">
          <cell r="J1">
            <v>1.7453292519943295E-2</v>
          </cell>
        </row>
      </sheetData>
      <sheetData sheetId="24242" refreshError="1"/>
      <sheetData sheetId="24243" refreshError="1"/>
      <sheetData sheetId="24244">
        <row r="1">
          <cell r="J1">
            <v>1.7453292519943295E-2</v>
          </cell>
        </row>
      </sheetData>
      <sheetData sheetId="24245">
        <row r="1">
          <cell r="J1">
            <v>1.7453292519943295E-2</v>
          </cell>
        </row>
      </sheetData>
      <sheetData sheetId="24246" refreshError="1"/>
      <sheetData sheetId="24247">
        <row r="1">
          <cell r="J1">
            <v>1.7453292519943295E-2</v>
          </cell>
        </row>
      </sheetData>
      <sheetData sheetId="24248" refreshError="1"/>
      <sheetData sheetId="24249" refreshError="1"/>
      <sheetData sheetId="24250">
        <row r="1">
          <cell r="J1">
            <v>1.7453292519943295E-2</v>
          </cell>
        </row>
      </sheetData>
      <sheetData sheetId="24251">
        <row r="1">
          <cell r="J1">
            <v>1.7453292519943295E-2</v>
          </cell>
        </row>
      </sheetData>
      <sheetData sheetId="24252">
        <row r="1">
          <cell r="J1">
            <v>1.7453292519943295E-2</v>
          </cell>
        </row>
      </sheetData>
      <sheetData sheetId="24253" refreshError="1"/>
      <sheetData sheetId="24254" refreshError="1"/>
      <sheetData sheetId="24255" refreshError="1"/>
      <sheetData sheetId="24256">
        <row r="1">
          <cell r="J1">
            <v>1.7453292519943295E-2</v>
          </cell>
        </row>
      </sheetData>
      <sheetData sheetId="24257" refreshError="1"/>
      <sheetData sheetId="24258" refreshError="1"/>
      <sheetData sheetId="24259" refreshError="1"/>
      <sheetData sheetId="24260">
        <row r="1">
          <cell r="J1">
            <v>1.7453292519943295E-2</v>
          </cell>
        </row>
      </sheetData>
      <sheetData sheetId="24261">
        <row r="1">
          <cell r="J1">
            <v>1.7453292519943295E-2</v>
          </cell>
        </row>
      </sheetData>
      <sheetData sheetId="24262">
        <row r="1">
          <cell r="J1">
            <v>1.7453292519943295E-2</v>
          </cell>
        </row>
      </sheetData>
      <sheetData sheetId="24263" refreshError="1"/>
      <sheetData sheetId="24264" refreshError="1"/>
      <sheetData sheetId="24265" refreshError="1"/>
      <sheetData sheetId="24266">
        <row r="1">
          <cell r="J1">
            <v>1.7453292519943295E-2</v>
          </cell>
        </row>
      </sheetData>
      <sheetData sheetId="24267" refreshError="1"/>
      <sheetData sheetId="24268">
        <row r="1">
          <cell r="J1">
            <v>1.7453292519943295E-2</v>
          </cell>
        </row>
      </sheetData>
      <sheetData sheetId="24269" refreshError="1"/>
      <sheetData sheetId="24270" refreshError="1"/>
      <sheetData sheetId="24271">
        <row r="1">
          <cell r="J1">
            <v>1.7453292519943295E-2</v>
          </cell>
        </row>
      </sheetData>
      <sheetData sheetId="24272">
        <row r="1">
          <cell r="J1">
            <v>1.7453292519943295E-2</v>
          </cell>
        </row>
      </sheetData>
      <sheetData sheetId="24273">
        <row r="1">
          <cell r="J1">
            <v>1.7453292519943295E-2</v>
          </cell>
        </row>
      </sheetData>
      <sheetData sheetId="24274" refreshError="1"/>
      <sheetData sheetId="24275">
        <row r="1">
          <cell r="J1">
            <v>1.7453292519943295E-2</v>
          </cell>
        </row>
      </sheetData>
      <sheetData sheetId="24276" refreshError="1"/>
      <sheetData sheetId="24277" refreshError="1"/>
      <sheetData sheetId="24278">
        <row r="1">
          <cell r="J1">
            <v>1.7453292519943295E-2</v>
          </cell>
        </row>
      </sheetData>
      <sheetData sheetId="24279">
        <row r="1">
          <cell r="J1">
            <v>1.7453292519943295E-2</v>
          </cell>
        </row>
      </sheetData>
      <sheetData sheetId="24280">
        <row r="1">
          <cell r="J1">
            <v>1.7453292519943295E-2</v>
          </cell>
        </row>
      </sheetData>
      <sheetData sheetId="24281" refreshError="1"/>
      <sheetData sheetId="24282">
        <row r="1">
          <cell r="J1">
            <v>1.7453292519943295E-2</v>
          </cell>
        </row>
      </sheetData>
      <sheetData sheetId="24283">
        <row r="1">
          <cell r="J1">
            <v>1.7453292519943295E-2</v>
          </cell>
        </row>
      </sheetData>
      <sheetData sheetId="24284">
        <row r="1">
          <cell r="J1">
            <v>1.7453292519943295E-2</v>
          </cell>
        </row>
      </sheetData>
      <sheetData sheetId="24285">
        <row r="1">
          <cell r="J1">
            <v>1.7453292519943295E-2</v>
          </cell>
        </row>
      </sheetData>
      <sheetData sheetId="24286" refreshError="1"/>
      <sheetData sheetId="24287" refreshError="1"/>
      <sheetData sheetId="24288">
        <row r="1">
          <cell r="J1">
            <v>1.7453292519943295E-2</v>
          </cell>
        </row>
      </sheetData>
      <sheetData sheetId="24289">
        <row r="1">
          <cell r="J1">
            <v>1.7453292519943295E-2</v>
          </cell>
        </row>
      </sheetData>
      <sheetData sheetId="24290">
        <row r="1">
          <cell r="J1">
            <v>1.7453292519943295E-2</v>
          </cell>
        </row>
      </sheetData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>
        <row r="1">
          <cell r="J1">
            <v>1.7453292519943295E-2</v>
          </cell>
        </row>
      </sheetData>
      <sheetData sheetId="24297">
        <row r="1">
          <cell r="J1">
            <v>1.7453292519943295E-2</v>
          </cell>
        </row>
      </sheetData>
      <sheetData sheetId="24298">
        <row r="1">
          <cell r="J1">
            <v>1.7453292519943295E-2</v>
          </cell>
        </row>
      </sheetData>
      <sheetData sheetId="24299">
        <row r="1">
          <cell r="J1">
            <v>1.7453292519943295E-2</v>
          </cell>
        </row>
      </sheetData>
      <sheetData sheetId="24300">
        <row r="1">
          <cell r="J1">
            <v>1.7453292519943295E-2</v>
          </cell>
        </row>
      </sheetData>
      <sheetData sheetId="24301" refreshError="1"/>
      <sheetData sheetId="24302" refreshError="1"/>
      <sheetData sheetId="24303">
        <row r="1">
          <cell r="J1">
            <v>1.7453292519943295E-2</v>
          </cell>
        </row>
      </sheetData>
      <sheetData sheetId="24304">
        <row r="1">
          <cell r="J1">
            <v>1.7453292519943295E-2</v>
          </cell>
        </row>
      </sheetData>
      <sheetData sheetId="24305">
        <row r="1">
          <cell r="J1">
            <v>1.7453292519943295E-2</v>
          </cell>
        </row>
      </sheetData>
      <sheetData sheetId="24306" refreshError="1"/>
      <sheetData sheetId="24307">
        <row r="1">
          <cell r="J1">
            <v>1.7453292519943295E-2</v>
          </cell>
        </row>
      </sheetData>
      <sheetData sheetId="24308">
        <row r="1">
          <cell r="J1">
            <v>1.7453292519943295E-2</v>
          </cell>
        </row>
      </sheetData>
      <sheetData sheetId="24309" refreshError="1"/>
      <sheetData sheetId="24310" refreshError="1"/>
      <sheetData sheetId="24311">
        <row r="1">
          <cell r="J1">
            <v>1.7453292519943295E-2</v>
          </cell>
        </row>
      </sheetData>
      <sheetData sheetId="24312">
        <row r="1">
          <cell r="J1">
            <v>1.7453292519943295E-2</v>
          </cell>
        </row>
      </sheetData>
      <sheetData sheetId="24313">
        <row r="1">
          <cell r="J1">
            <v>1.7453292519943295E-2</v>
          </cell>
        </row>
      </sheetData>
      <sheetData sheetId="24314" refreshError="1"/>
      <sheetData sheetId="24315"/>
      <sheetData sheetId="24316">
        <row r="1">
          <cell r="J1">
            <v>1.7453292519943295E-2</v>
          </cell>
        </row>
      </sheetData>
      <sheetData sheetId="24317">
        <row r="1">
          <cell r="J1">
            <v>1.7453292519943295E-2</v>
          </cell>
        </row>
      </sheetData>
      <sheetData sheetId="24318">
        <row r="1">
          <cell r="J1">
            <v>1.7453292519943295E-2</v>
          </cell>
        </row>
      </sheetData>
      <sheetData sheetId="24319">
        <row r="1">
          <cell r="J1">
            <v>1.7453292519943295E-2</v>
          </cell>
        </row>
      </sheetData>
      <sheetData sheetId="24320">
        <row r="1">
          <cell r="J1">
            <v>1.7453292519943295E-2</v>
          </cell>
        </row>
      </sheetData>
      <sheetData sheetId="24321">
        <row r="1">
          <cell r="J1">
            <v>1.7453292519943295E-2</v>
          </cell>
        </row>
      </sheetData>
      <sheetData sheetId="24322" refreshError="1"/>
      <sheetData sheetId="24323" refreshError="1"/>
      <sheetData sheetId="24324">
        <row r="1">
          <cell r="J1">
            <v>1.7453292519943295E-2</v>
          </cell>
        </row>
      </sheetData>
      <sheetData sheetId="24325">
        <row r="1">
          <cell r="J1">
            <v>1.7453292519943295E-2</v>
          </cell>
        </row>
      </sheetData>
      <sheetData sheetId="24326">
        <row r="1">
          <cell r="J1">
            <v>1.7453292519943295E-2</v>
          </cell>
        </row>
      </sheetData>
      <sheetData sheetId="24327" refreshError="1"/>
      <sheetData sheetId="24328">
        <row r="1">
          <cell r="J1">
            <v>1.7453292519943295E-2</v>
          </cell>
        </row>
      </sheetData>
      <sheetData sheetId="24329">
        <row r="1">
          <cell r="J1">
            <v>1.7453292519943295E-2</v>
          </cell>
        </row>
      </sheetData>
      <sheetData sheetId="24330">
        <row r="1">
          <cell r="J1">
            <v>1.7453292519943295E-2</v>
          </cell>
        </row>
      </sheetData>
      <sheetData sheetId="24331" refreshError="1"/>
      <sheetData sheetId="24332" refreshError="1"/>
      <sheetData sheetId="24333">
        <row r="1">
          <cell r="J1">
            <v>1.7453292519943295E-2</v>
          </cell>
        </row>
      </sheetData>
      <sheetData sheetId="24334">
        <row r="1">
          <cell r="J1">
            <v>1.7453292519943295E-2</v>
          </cell>
        </row>
      </sheetData>
      <sheetData sheetId="24335">
        <row r="1">
          <cell r="J1">
            <v>1.7453292519943295E-2</v>
          </cell>
        </row>
      </sheetData>
      <sheetData sheetId="24336">
        <row r="1">
          <cell r="J1">
            <v>1.7453292519943295E-2</v>
          </cell>
        </row>
      </sheetData>
      <sheetData sheetId="24337" refreshError="1"/>
      <sheetData sheetId="24338" refreshError="1"/>
      <sheetData sheetId="24339">
        <row r="1">
          <cell r="J1">
            <v>1.7453292519943295E-2</v>
          </cell>
        </row>
      </sheetData>
      <sheetData sheetId="24340">
        <row r="1">
          <cell r="J1">
            <v>1.7453292519943295E-2</v>
          </cell>
        </row>
      </sheetData>
      <sheetData sheetId="24341">
        <row r="1">
          <cell r="J1">
            <v>1.7453292519943295E-2</v>
          </cell>
        </row>
      </sheetData>
      <sheetData sheetId="24342" refreshError="1"/>
      <sheetData sheetId="24343">
        <row r="1">
          <cell r="J1">
            <v>1.7453292519943295E-2</v>
          </cell>
        </row>
      </sheetData>
      <sheetData sheetId="24344" refreshError="1"/>
      <sheetData sheetId="24345" refreshError="1"/>
      <sheetData sheetId="24346" refreshError="1"/>
      <sheetData sheetId="24347" refreshError="1"/>
      <sheetData sheetId="24348">
        <row r="1">
          <cell r="J1">
            <v>1.7453292519943295E-2</v>
          </cell>
        </row>
      </sheetData>
      <sheetData sheetId="24349">
        <row r="1">
          <cell r="J1">
            <v>1.7453292519943295E-2</v>
          </cell>
        </row>
      </sheetData>
      <sheetData sheetId="24350">
        <row r="1">
          <cell r="J1">
            <v>1.7453292519943295E-2</v>
          </cell>
        </row>
      </sheetData>
      <sheetData sheetId="24351" refreshError="1"/>
      <sheetData sheetId="24352" refreshError="1"/>
      <sheetData sheetId="24353" refreshError="1"/>
      <sheetData sheetId="24354">
        <row r="1">
          <cell r="J1">
            <v>1.7453292519943295E-2</v>
          </cell>
        </row>
      </sheetData>
      <sheetData sheetId="24355" refreshError="1"/>
      <sheetData sheetId="24356" refreshError="1"/>
      <sheetData sheetId="24357">
        <row r="1">
          <cell r="J1">
            <v>1.7453292519943295E-2</v>
          </cell>
        </row>
      </sheetData>
      <sheetData sheetId="24358">
        <row r="1">
          <cell r="J1">
            <v>1.7453292519943295E-2</v>
          </cell>
        </row>
      </sheetData>
      <sheetData sheetId="24359" refreshError="1"/>
      <sheetData sheetId="24360"/>
      <sheetData sheetId="24361" refreshError="1"/>
      <sheetData sheetId="24362" refreshError="1"/>
      <sheetData sheetId="24363">
        <row r="1">
          <cell r="J1">
            <v>1.7453292519943295E-2</v>
          </cell>
        </row>
      </sheetData>
      <sheetData sheetId="24364">
        <row r="1">
          <cell r="J1">
            <v>1.7453292519943295E-2</v>
          </cell>
        </row>
      </sheetData>
      <sheetData sheetId="24365">
        <row r="1">
          <cell r="J1">
            <v>1.7453292519943295E-2</v>
          </cell>
        </row>
      </sheetData>
      <sheetData sheetId="24366" refreshError="1"/>
      <sheetData sheetId="24367">
        <row r="1">
          <cell r="J1">
            <v>1.7453292519943295E-2</v>
          </cell>
        </row>
      </sheetData>
      <sheetData sheetId="24368">
        <row r="1">
          <cell r="J1">
            <v>1.7453292519943295E-2</v>
          </cell>
        </row>
      </sheetData>
      <sheetData sheetId="24369">
        <row r="1">
          <cell r="J1">
            <v>1.7453292519943295E-2</v>
          </cell>
        </row>
      </sheetData>
      <sheetData sheetId="24370" refreshError="1"/>
      <sheetData sheetId="24371" refreshError="1"/>
      <sheetData sheetId="24372">
        <row r="1">
          <cell r="J1">
            <v>1.7453292519943295E-2</v>
          </cell>
        </row>
      </sheetData>
      <sheetData sheetId="24373">
        <row r="1">
          <cell r="J1">
            <v>1.7453292519943295E-2</v>
          </cell>
        </row>
      </sheetData>
      <sheetData sheetId="24374">
        <row r="1">
          <cell r="J1">
            <v>1.7453292519943295E-2</v>
          </cell>
        </row>
      </sheetData>
      <sheetData sheetId="24375" refreshError="1"/>
      <sheetData sheetId="24376" refreshError="1"/>
      <sheetData sheetId="24377">
        <row r="1">
          <cell r="J1">
            <v>1.7453292519943295E-2</v>
          </cell>
        </row>
      </sheetData>
      <sheetData sheetId="24378">
        <row r="1">
          <cell r="J1">
            <v>1.7453292519943295E-2</v>
          </cell>
        </row>
      </sheetData>
      <sheetData sheetId="24379">
        <row r="1">
          <cell r="J1">
            <v>1.7453292519943295E-2</v>
          </cell>
        </row>
      </sheetData>
      <sheetData sheetId="24380" refreshError="1"/>
      <sheetData sheetId="2438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>
        <row r="1">
          <cell r="J1">
            <v>1.7453292519943295E-2</v>
          </cell>
        </row>
      </sheetData>
      <sheetData sheetId="24389">
        <row r="1">
          <cell r="J1">
            <v>1.7453292519943295E-2</v>
          </cell>
        </row>
      </sheetData>
      <sheetData sheetId="24390">
        <row r="1">
          <cell r="J1">
            <v>1.7453292519943295E-2</v>
          </cell>
        </row>
      </sheetData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>
        <row r="1">
          <cell r="J1">
            <v>1.7453292519943295E-2</v>
          </cell>
        </row>
      </sheetData>
      <sheetData sheetId="24397" refreshError="1"/>
      <sheetData sheetId="24398">
        <row r="1">
          <cell r="J1">
            <v>1.7453292519943295E-2</v>
          </cell>
        </row>
      </sheetData>
      <sheetData sheetId="24399" refreshError="1"/>
      <sheetData sheetId="24400">
        <row r="1">
          <cell r="J1">
            <v>1.7453292519943295E-2</v>
          </cell>
        </row>
      </sheetData>
      <sheetData sheetId="24401">
        <row r="1">
          <cell r="J1">
            <v>1.7453292519943295E-2</v>
          </cell>
        </row>
      </sheetData>
      <sheetData sheetId="24402" refreshError="1"/>
      <sheetData sheetId="24403"/>
      <sheetData sheetId="24404">
        <row r="1">
          <cell r="J1">
            <v>1.7453292519943295E-2</v>
          </cell>
        </row>
      </sheetData>
      <sheetData sheetId="24405">
        <row r="1">
          <cell r="J1">
            <v>1.7453292519943295E-2</v>
          </cell>
        </row>
      </sheetData>
      <sheetData sheetId="24406">
        <row r="1">
          <cell r="J1">
            <v>1.7453292519943295E-2</v>
          </cell>
        </row>
      </sheetData>
      <sheetData sheetId="24407">
        <row r="1">
          <cell r="J1">
            <v>1.7453292519943295E-2</v>
          </cell>
        </row>
      </sheetData>
      <sheetData sheetId="24408">
        <row r="1">
          <cell r="J1">
            <v>1.7453292519943295E-2</v>
          </cell>
        </row>
      </sheetData>
      <sheetData sheetId="24409">
        <row r="1">
          <cell r="J1">
            <v>1.7453292519943295E-2</v>
          </cell>
        </row>
      </sheetData>
      <sheetData sheetId="24410">
        <row r="1">
          <cell r="J1">
            <v>1.7453292519943295E-2</v>
          </cell>
        </row>
      </sheetData>
      <sheetData sheetId="24411" refreshError="1"/>
      <sheetData sheetId="24412" refreshError="1"/>
      <sheetData sheetId="24413">
        <row r="1">
          <cell r="J1">
            <v>1.7453292519943295E-2</v>
          </cell>
        </row>
      </sheetData>
      <sheetData sheetId="24414" refreshError="1"/>
      <sheetData sheetId="24415">
        <row r="1">
          <cell r="J1">
            <v>1.7453292519943295E-2</v>
          </cell>
        </row>
      </sheetData>
      <sheetData sheetId="24416">
        <row r="1">
          <cell r="J1">
            <v>1.7453292519943295E-2</v>
          </cell>
        </row>
      </sheetData>
      <sheetData sheetId="24417" refreshError="1"/>
      <sheetData sheetId="24418">
        <row r="1">
          <cell r="J1">
            <v>1.7453292519943295E-2</v>
          </cell>
        </row>
      </sheetData>
      <sheetData sheetId="24419"/>
      <sheetData sheetId="24420" refreshError="1"/>
      <sheetData sheetId="24421" refreshError="1"/>
      <sheetData sheetId="24422">
        <row r="1">
          <cell r="J1">
            <v>1.7453292519943295E-2</v>
          </cell>
        </row>
      </sheetData>
      <sheetData sheetId="24423">
        <row r="1">
          <cell r="J1">
            <v>1.7453292519943295E-2</v>
          </cell>
        </row>
      </sheetData>
      <sheetData sheetId="24424" refreshError="1"/>
      <sheetData sheetId="24425" refreshError="1"/>
      <sheetData sheetId="24426" refreshError="1"/>
      <sheetData sheetId="24427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>
        <row r="1">
          <cell r="J1">
            <v>1.7453292519943295E-2</v>
          </cell>
        </row>
      </sheetData>
      <sheetData sheetId="24434">
        <row r="1">
          <cell r="J1">
            <v>1.7453292519943295E-2</v>
          </cell>
        </row>
      </sheetData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>
        <row r="1">
          <cell r="J1">
            <v>1.7453292519943295E-2</v>
          </cell>
        </row>
      </sheetData>
      <sheetData sheetId="24441">
        <row r="1">
          <cell r="J1">
            <v>1.7453292519943295E-2</v>
          </cell>
        </row>
      </sheetData>
      <sheetData sheetId="24442">
        <row r="1">
          <cell r="J1">
            <v>1.7453292519943295E-2</v>
          </cell>
        </row>
      </sheetData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>
        <row r="1">
          <cell r="J1">
            <v>1.7453292519943295E-2</v>
          </cell>
        </row>
      </sheetData>
      <sheetData sheetId="24449">
        <row r="1">
          <cell r="J1">
            <v>1.7453292519943295E-2</v>
          </cell>
        </row>
      </sheetData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>
        <row r="1">
          <cell r="J1">
            <v>1.7453292519943295E-2</v>
          </cell>
        </row>
      </sheetData>
      <sheetData sheetId="24456">
        <row r="1">
          <cell r="J1">
            <v>1.7453292519943295E-2</v>
          </cell>
        </row>
      </sheetData>
      <sheetData sheetId="24457">
        <row r="1">
          <cell r="J1">
            <v>1.7453292519943295E-2</v>
          </cell>
        </row>
      </sheetData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>
        <row r="1">
          <cell r="J1">
            <v>1.7453292519943295E-2</v>
          </cell>
        </row>
      </sheetData>
      <sheetData sheetId="24464">
        <row r="1">
          <cell r="J1">
            <v>1.7453292519943295E-2</v>
          </cell>
        </row>
      </sheetData>
      <sheetData sheetId="24465" refreshError="1"/>
      <sheetData sheetId="24466">
        <row r="1">
          <cell r="J1">
            <v>1.7453292519943295E-2</v>
          </cell>
        </row>
      </sheetData>
      <sheetData sheetId="24467">
        <row r="1">
          <cell r="J1">
            <v>1.7453292519943295E-2</v>
          </cell>
        </row>
      </sheetData>
      <sheetData sheetId="24468">
        <row r="1">
          <cell r="J1">
            <v>1.7453292519943295E-2</v>
          </cell>
        </row>
      </sheetData>
      <sheetData sheetId="24469" refreshError="1"/>
      <sheetData sheetId="24470">
        <row r="1">
          <cell r="J1">
            <v>1.7453292519943295E-2</v>
          </cell>
        </row>
      </sheetData>
      <sheetData sheetId="24471">
        <row r="1">
          <cell r="J1">
            <v>1.7453292519943295E-2</v>
          </cell>
        </row>
      </sheetData>
      <sheetData sheetId="24472" refreshError="1"/>
      <sheetData sheetId="24473" refreshError="1"/>
      <sheetData sheetId="24474" refreshError="1"/>
      <sheetData sheetId="24475" refreshError="1"/>
      <sheetData sheetId="24476">
        <row r="1">
          <cell r="J1">
            <v>1.7453292519943295E-2</v>
          </cell>
        </row>
      </sheetData>
      <sheetData sheetId="24477"/>
      <sheetData sheetId="24478"/>
      <sheetData sheetId="24479">
        <row r="1">
          <cell r="J1">
            <v>1.7453292519943295E-2</v>
          </cell>
        </row>
      </sheetData>
      <sheetData sheetId="24480">
        <row r="1">
          <cell r="J1">
            <v>1.7453292519943295E-2</v>
          </cell>
        </row>
      </sheetData>
      <sheetData sheetId="24481">
        <row r="1">
          <cell r="J1">
            <v>1.7453292519943295E-2</v>
          </cell>
        </row>
      </sheetData>
      <sheetData sheetId="24482">
        <row r="1">
          <cell r="J1">
            <v>1.7453292519943295E-2</v>
          </cell>
        </row>
      </sheetData>
      <sheetData sheetId="24483"/>
      <sheetData sheetId="24484"/>
      <sheetData sheetId="24485">
        <row r="1">
          <cell r="J1">
            <v>1.7453292519943295E-2</v>
          </cell>
        </row>
      </sheetData>
      <sheetData sheetId="24486"/>
      <sheetData sheetId="24487"/>
      <sheetData sheetId="24488">
        <row r="1">
          <cell r="J1">
            <v>1.7453292519943295E-2</v>
          </cell>
        </row>
      </sheetData>
      <sheetData sheetId="24489">
        <row r="1">
          <cell r="J1">
            <v>1.7453292519943295E-2</v>
          </cell>
        </row>
      </sheetData>
      <sheetData sheetId="24490"/>
      <sheetData sheetId="24491" refreshError="1"/>
      <sheetData sheetId="24492">
        <row r="1">
          <cell r="J1">
            <v>1.7453292519943295E-2</v>
          </cell>
        </row>
      </sheetData>
      <sheetData sheetId="24493" refreshError="1"/>
      <sheetData sheetId="24494">
        <row r="1">
          <cell r="J1">
            <v>1.7453292519943295E-2</v>
          </cell>
        </row>
      </sheetData>
      <sheetData sheetId="24495">
        <row r="1">
          <cell r="J1">
            <v>1.7453292519943295E-2</v>
          </cell>
        </row>
      </sheetData>
      <sheetData sheetId="24496" refreshError="1"/>
      <sheetData sheetId="24497">
        <row r="1">
          <cell r="J1">
            <v>1.7453292519943295E-2</v>
          </cell>
        </row>
      </sheetData>
      <sheetData sheetId="24498" refreshError="1"/>
      <sheetData sheetId="24499" refreshError="1"/>
      <sheetData sheetId="24500">
        <row r="1">
          <cell r="J1">
            <v>1.7453292519943295E-2</v>
          </cell>
        </row>
      </sheetData>
      <sheetData sheetId="24501" refreshError="1"/>
      <sheetData sheetId="24502" refreshError="1"/>
      <sheetData sheetId="24503">
        <row r="1">
          <cell r="J1">
            <v>1.7453292519943295E-2</v>
          </cell>
        </row>
      </sheetData>
      <sheetData sheetId="24504">
        <row r="1">
          <cell r="J1">
            <v>1.7453292519943295E-2</v>
          </cell>
        </row>
      </sheetData>
      <sheetData sheetId="24505">
        <row r="1">
          <cell r="J1">
            <v>1.7453292519943295E-2</v>
          </cell>
        </row>
      </sheetData>
      <sheetData sheetId="24506"/>
      <sheetData sheetId="24507"/>
      <sheetData sheetId="24508">
        <row r="1">
          <cell r="J1">
            <v>1.7453292519943295E-2</v>
          </cell>
        </row>
      </sheetData>
      <sheetData sheetId="24509">
        <row r="1">
          <cell r="J1">
            <v>1.7453292519943295E-2</v>
          </cell>
        </row>
      </sheetData>
      <sheetData sheetId="24510">
        <row r="1">
          <cell r="J1">
            <v>1.7453292519943295E-2</v>
          </cell>
        </row>
      </sheetData>
      <sheetData sheetId="24511">
        <row r="1">
          <cell r="J1">
            <v>1.7453292519943295E-2</v>
          </cell>
        </row>
      </sheetData>
      <sheetData sheetId="24512">
        <row r="1">
          <cell r="J1">
            <v>1.7453292519943295E-2</v>
          </cell>
        </row>
      </sheetData>
      <sheetData sheetId="24513">
        <row r="1">
          <cell r="J1">
            <v>1.7453292519943295E-2</v>
          </cell>
        </row>
      </sheetData>
      <sheetData sheetId="24514">
        <row r="1">
          <cell r="J1">
            <v>1.7453292519943295E-2</v>
          </cell>
        </row>
      </sheetData>
      <sheetData sheetId="24515">
        <row r="1">
          <cell r="J1">
            <v>1.7453292519943295E-2</v>
          </cell>
        </row>
      </sheetData>
      <sheetData sheetId="24516">
        <row r="1">
          <cell r="J1">
            <v>1.7453292519943295E-2</v>
          </cell>
        </row>
      </sheetData>
      <sheetData sheetId="24517">
        <row r="1">
          <cell r="J1">
            <v>1.7453292519943295E-2</v>
          </cell>
        </row>
      </sheetData>
      <sheetData sheetId="24518">
        <row r="1">
          <cell r="J1">
            <v>1.7453292519943295E-2</v>
          </cell>
        </row>
      </sheetData>
      <sheetData sheetId="24519" refreshError="1"/>
      <sheetData sheetId="24520">
        <row r="1">
          <cell r="J1">
            <v>1.7453292519943295E-2</v>
          </cell>
        </row>
      </sheetData>
      <sheetData sheetId="24521" refreshError="1"/>
      <sheetData sheetId="24522">
        <row r="1">
          <cell r="J1">
            <v>1.7453292519943295E-2</v>
          </cell>
        </row>
      </sheetData>
      <sheetData sheetId="24523" refreshError="1"/>
      <sheetData sheetId="24524" refreshError="1"/>
      <sheetData sheetId="24525">
        <row r="1">
          <cell r="J1">
            <v>1.7453292519943295E-2</v>
          </cell>
        </row>
      </sheetData>
      <sheetData sheetId="24526">
        <row r="1">
          <cell r="J1">
            <v>1.7453292519943295E-2</v>
          </cell>
        </row>
      </sheetData>
      <sheetData sheetId="24527">
        <row r="1">
          <cell r="J1">
            <v>1.7453292519943295E-2</v>
          </cell>
        </row>
      </sheetData>
      <sheetData sheetId="24528">
        <row r="1">
          <cell r="J1">
            <v>1.7453292519943295E-2</v>
          </cell>
        </row>
      </sheetData>
      <sheetData sheetId="24529">
        <row r="1">
          <cell r="J1">
            <v>1.7453292519943295E-2</v>
          </cell>
        </row>
      </sheetData>
      <sheetData sheetId="24530">
        <row r="1">
          <cell r="J1">
            <v>1.7453292519943295E-2</v>
          </cell>
        </row>
      </sheetData>
      <sheetData sheetId="24531">
        <row r="1">
          <cell r="J1">
            <v>1.7453292519943295E-2</v>
          </cell>
        </row>
      </sheetData>
      <sheetData sheetId="24532">
        <row r="1">
          <cell r="J1">
            <v>1.7453292519943295E-2</v>
          </cell>
        </row>
      </sheetData>
      <sheetData sheetId="24533">
        <row r="1">
          <cell r="J1">
            <v>1.7453292519943295E-2</v>
          </cell>
        </row>
      </sheetData>
      <sheetData sheetId="24534" refreshError="1"/>
      <sheetData sheetId="24535"/>
      <sheetData sheetId="24536">
        <row r="1">
          <cell r="J1">
            <v>1.7453292519943295E-2</v>
          </cell>
        </row>
      </sheetData>
      <sheetData sheetId="24537" refreshError="1"/>
      <sheetData sheetId="24538" refreshError="1"/>
      <sheetData sheetId="24539"/>
      <sheetData sheetId="24540"/>
      <sheetData sheetId="24541" refreshError="1"/>
      <sheetData sheetId="24542">
        <row r="1">
          <cell r="J1">
            <v>1.7453292519943295E-2</v>
          </cell>
        </row>
      </sheetData>
      <sheetData sheetId="24543" refreshError="1"/>
      <sheetData sheetId="24544"/>
      <sheetData sheetId="24545">
        <row r="1">
          <cell r="J1">
            <v>1.7453292519943295E-2</v>
          </cell>
        </row>
      </sheetData>
      <sheetData sheetId="24546" refreshError="1"/>
      <sheetData sheetId="24547">
        <row r="1">
          <cell r="J1">
            <v>1.7453292519943295E-2</v>
          </cell>
        </row>
      </sheetData>
      <sheetData sheetId="24548" refreshError="1"/>
      <sheetData sheetId="24549">
        <row r="1">
          <cell r="J1">
            <v>1.7453292519943295E-2</v>
          </cell>
        </row>
      </sheetData>
      <sheetData sheetId="24550">
        <row r="1">
          <cell r="J1">
            <v>1.7453292519943295E-2</v>
          </cell>
        </row>
      </sheetData>
      <sheetData sheetId="24551">
        <row r="1">
          <cell r="J1">
            <v>1.7453292519943295E-2</v>
          </cell>
        </row>
      </sheetData>
      <sheetData sheetId="24552">
        <row r="1">
          <cell r="J1">
            <v>1.7453292519943295E-2</v>
          </cell>
        </row>
      </sheetData>
      <sheetData sheetId="24553">
        <row r="1">
          <cell r="J1">
            <v>1.7453292519943295E-2</v>
          </cell>
        </row>
      </sheetData>
      <sheetData sheetId="24554">
        <row r="1">
          <cell r="J1">
            <v>1.7453292519943295E-2</v>
          </cell>
        </row>
      </sheetData>
      <sheetData sheetId="24555">
        <row r="1">
          <cell r="J1">
            <v>1.7453292519943295E-2</v>
          </cell>
        </row>
      </sheetData>
      <sheetData sheetId="24556">
        <row r="1">
          <cell r="J1">
            <v>1.7453292519943295E-2</v>
          </cell>
        </row>
      </sheetData>
      <sheetData sheetId="24557">
        <row r="1">
          <cell r="J1">
            <v>1.7453292519943295E-2</v>
          </cell>
        </row>
      </sheetData>
      <sheetData sheetId="24558">
        <row r="1">
          <cell r="J1">
            <v>1.7453292519943295E-2</v>
          </cell>
        </row>
      </sheetData>
      <sheetData sheetId="24559">
        <row r="1">
          <cell r="J1">
            <v>1.7453292519943295E-2</v>
          </cell>
        </row>
      </sheetData>
      <sheetData sheetId="24560">
        <row r="1">
          <cell r="J1">
            <v>1.7453292519943295E-2</v>
          </cell>
        </row>
      </sheetData>
      <sheetData sheetId="24561">
        <row r="1">
          <cell r="J1">
            <v>1.7453292519943295E-2</v>
          </cell>
        </row>
      </sheetData>
      <sheetData sheetId="24562">
        <row r="1">
          <cell r="J1">
            <v>1.7453292519943295E-2</v>
          </cell>
        </row>
      </sheetData>
      <sheetData sheetId="24563">
        <row r="1">
          <cell r="J1">
            <v>1.7453292519943295E-2</v>
          </cell>
        </row>
      </sheetData>
      <sheetData sheetId="24564">
        <row r="1">
          <cell r="J1">
            <v>1.7453292519943295E-2</v>
          </cell>
        </row>
      </sheetData>
      <sheetData sheetId="24565">
        <row r="1">
          <cell r="J1">
            <v>1.7453292519943295E-2</v>
          </cell>
        </row>
      </sheetData>
      <sheetData sheetId="24566">
        <row r="1">
          <cell r="J1">
            <v>1.7453292519943295E-2</v>
          </cell>
        </row>
      </sheetData>
      <sheetData sheetId="24567">
        <row r="1">
          <cell r="J1">
            <v>1.7453292519943295E-2</v>
          </cell>
        </row>
      </sheetData>
      <sheetData sheetId="24568">
        <row r="1">
          <cell r="J1">
            <v>1.7453292519943295E-2</v>
          </cell>
        </row>
      </sheetData>
      <sheetData sheetId="24569">
        <row r="1">
          <cell r="J1">
            <v>1.7453292519943295E-2</v>
          </cell>
        </row>
      </sheetData>
      <sheetData sheetId="24570">
        <row r="1">
          <cell r="J1">
            <v>1.7453292519943295E-2</v>
          </cell>
        </row>
      </sheetData>
      <sheetData sheetId="24571"/>
      <sheetData sheetId="24572">
        <row r="1">
          <cell r="J1">
            <v>1.7453292519943295E-2</v>
          </cell>
        </row>
      </sheetData>
      <sheetData sheetId="24573">
        <row r="1">
          <cell r="J1">
            <v>1.7453292519943295E-2</v>
          </cell>
        </row>
      </sheetData>
      <sheetData sheetId="24574">
        <row r="1">
          <cell r="J1">
            <v>1.7453292519943295E-2</v>
          </cell>
        </row>
      </sheetData>
      <sheetData sheetId="24575">
        <row r="1">
          <cell r="J1">
            <v>1.7453292519943295E-2</v>
          </cell>
        </row>
      </sheetData>
      <sheetData sheetId="24576">
        <row r="1">
          <cell r="J1">
            <v>1.7453292519943295E-2</v>
          </cell>
        </row>
      </sheetData>
      <sheetData sheetId="24577">
        <row r="1">
          <cell r="J1">
            <v>1.7453292519943295E-2</v>
          </cell>
        </row>
      </sheetData>
      <sheetData sheetId="24578">
        <row r="1">
          <cell r="J1">
            <v>1.7453292519943295E-2</v>
          </cell>
        </row>
      </sheetData>
      <sheetData sheetId="24579">
        <row r="1">
          <cell r="J1">
            <v>1.7453292519943295E-2</v>
          </cell>
        </row>
      </sheetData>
      <sheetData sheetId="24580">
        <row r="1">
          <cell r="J1">
            <v>1.7453292519943295E-2</v>
          </cell>
        </row>
      </sheetData>
      <sheetData sheetId="24581">
        <row r="1">
          <cell r="J1">
            <v>1.7453292519943295E-2</v>
          </cell>
        </row>
      </sheetData>
      <sheetData sheetId="24582">
        <row r="1">
          <cell r="J1">
            <v>1.7453292519943295E-2</v>
          </cell>
        </row>
      </sheetData>
      <sheetData sheetId="24583">
        <row r="1">
          <cell r="J1">
            <v>1.7453292519943295E-2</v>
          </cell>
        </row>
      </sheetData>
      <sheetData sheetId="24584">
        <row r="1">
          <cell r="J1">
            <v>1.7453292519943295E-2</v>
          </cell>
        </row>
      </sheetData>
      <sheetData sheetId="24585">
        <row r="1">
          <cell r="J1">
            <v>1.7453292519943295E-2</v>
          </cell>
        </row>
      </sheetData>
      <sheetData sheetId="24586">
        <row r="1">
          <cell r="J1">
            <v>1.7453292519943295E-2</v>
          </cell>
        </row>
      </sheetData>
      <sheetData sheetId="24587">
        <row r="1">
          <cell r="J1">
            <v>1.7453292519943295E-2</v>
          </cell>
        </row>
      </sheetData>
      <sheetData sheetId="24588">
        <row r="1">
          <cell r="J1">
            <v>1.7453292519943295E-2</v>
          </cell>
        </row>
      </sheetData>
      <sheetData sheetId="24589">
        <row r="1">
          <cell r="J1">
            <v>1.7453292519943295E-2</v>
          </cell>
        </row>
      </sheetData>
      <sheetData sheetId="24590">
        <row r="1">
          <cell r="J1">
            <v>1.7453292519943295E-2</v>
          </cell>
        </row>
      </sheetData>
      <sheetData sheetId="24591">
        <row r="1">
          <cell r="J1">
            <v>1.7453292519943295E-2</v>
          </cell>
        </row>
      </sheetData>
      <sheetData sheetId="24592">
        <row r="1">
          <cell r="J1">
            <v>1.7453292519943295E-2</v>
          </cell>
        </row>
      </sheetData>
      <sheetData sheetId="24593">
        <row r="1">
          <cell r="J1">
            <v>1.7453292519943295E-2</v>
          </cell>
        </row>
      </sheetData>
      <sheetData sheetId="24594">
        <row r="1">
          <cell r="J1">
            <v>1.7453292519943295E-2</v>
          </cell>
        </row>
      </sheetData>
      <sheetData sheetId="24595">
        <row r="1">
          <cell r="J1">
            <v>1.7453292519943295E-2</v>
          </cell>
        </row>
      </sheetData>
      <sheetData sheetId="24596"/>
      <sheetData sheetId="24597"/>
      <sheetData sheetId="24598">
        <row r="1">
          <cell r="J1">
            <v>1.7453292519943295E-2</v>
          </cell>
        </row>
      </sheetData>
      <sheetData sheetId="24599">
        <row r="1">
          <cell r="J1">
            <v>1.7453292519943295E-2</v>
          </cell>
        </row>
      </sheetData>
      <sheetData sheetId="24600">
        <row r="1">
          <cell r="J1">
            <v>1.7453292519943295E-2</v>
          </cell>
        </row>
      </sheetData>
      <sheetData sheetId="24601">
        <row r="1">
          <cell r="J1">
            <v>1.7453292519943295E-2</v>
          </cell>
        </row>
      </sheetData>
      <sheetData sheetId="24602">
        <row r="1">
          <cell r="J1">
            <v>1.7453292519943295E-2</v>
          </cell>
        </row>
      </sheetData>
      <sheetData sheetId="24603"/>
      <sheetData sheetId="24604">
        <row r="1">
          <cell r="J1">
            <v>1.7453292519943295E-2</v>
          </cell>
        </row>
      </sheetData>
      <sheetData sheetId="24605">
        <row r="1">
          <cell r="J1">
            <v>1.7453292519943295E-2</v>
          </cell>
        </row>
      </sheetData>
      <sheetData sheetId="24606">
        <row r="1">
          <cell r="J1">
            <v>1.7453292519943295E-2</v>
          </cell>
        </row>
      </sheetData>
      <sheetData sheetId="24607">
        <row r="1">
          <cell r="J1">
            <v>1.7453292519943295E-2</v>
          </cell>
        </row>
      </sheetData>
      <sheetData sheetId="24608">
        <row r="1">
          <cell r="J1">
            <v>1.7453292519943295E-2</v>
          </cell>
        </row>
      </sheetData>
      <sheetData sheetId="24609"/>
      <sheetData sheetId="24610"/>
      <sheetData sheetId="24611"/>
      <sheetData sheetId="24612">
        <row r="1">
          <cell r="J1">
            <v>1.7453292519943295E-2</v>
          </cell>
        </row>
      </sheetData>
      <sheetData sheetId="24613">
        <row r="1">
          <cell r="J1">
            <v>1.7453292519943295E-2</v>
          </cell>
        </row>
      </sheetData>
      <sheetData sheetId="24614">
        <row r="1">
          <cell r="J1">
            <v>1.7453292519943295E-2</v>
          </cell>
        </row>
      </sheetData>
      <sheetData sheetId="24615">
        <row r="1">
          <cell r="J1">
            <v>1.7453292519943295E-2</v>
          </cell>
        </row>
      </sheetData>
      <sheetData sheetId="24616"/>
      <sheetData sheetId="24617"/>
      <sheetData sheetId="24618">
        <row r="1">
          <cell r="J1">
            <v>1.7453292519943295E-2</v>
          </cell>
        </row>
      </sheetData>
      <sheetData sheetId="24619">
        <row r="1">
          <cell r="J1">
            <v>1.7453292519943295E-2</v>
          </cell>
        </row>
      </sheetData>
      <sheetData sheetId="24620"/>
      <sheetData sheetId="24621">
        <row r="1">
          <cell r="J1">
            <v>1.7453292519943295E-2</v>
          </cell>
        </row>
      </sheetData>
      <sheetData sheetId="24622">
        <row r="1">
          <cell r="J1">
            <v>1.7453292519943295E-2</v>
          </cell>
        </row>
      </sheetData>
      <sheetData sheetId="24623">
        <row r="1">
          <cell r="J1">
            <v>1.7453292519943295E-2</v>
          </cell>
        </row>
      </sheetData>
      <sheetData sheetId="24624">
        <row r="1">
          <cell r="J1">
            <v>1.7453292519943295E-2</v>
          </cell>
        </row>
      </sheetData>
      <sheetData sheetId="24625">
        <row r="1">
          <cell r="J1">
            <v>1.7453292519943295E-2</v>
          </cell>
        </row>
      </sheetData>
      <sheetData sheetId="24626">
        <row r="1">
          <cell r="J1">
            <v>1.7453292519943295E-2</v>
          </cell>
        </row>
      </sheetData>
      <sheetData sheetId="24627">
        <row r="1">
          <cell r="J1">
            <v>1.7453292519943295E-2</v>
          </cell>
        </row>
      </sheetData>
      <sheetData sheetId="24628">
        <row r="1">
          <cell r="J1">
            <v>1.7453292519943295E-2</v>
          </cell>
        </row>
      </sheetData>
      <sheetData sheetId="24629">
        <row r="1">
          <cell r="J1">
            <v>1.7453292519943295E-2</v>
          </cell>
        </row>
      </sheetData>
      <sheetData sheetId="24630"/>
      <sheetData sheetId="24631"/>
      <sheetData sheetId="24632">
        <row r="1">
          <cell r="J1">
            <v>1.7453292519943295E-2</v>
          </cell>
        </row>
      </sheetData>
      <sheetData sheetId="24633">
        <row r="1">
          <cell r="J1">
            <v>1.7453292519943295E-2</v>
          </cell>
        </row>
      </sheetData>
      <sheetData sheetId="24634">
        <row r="1">
          <cell r="J1">
            <v>1.7453292519943295E-2</v>
          </cell>
        </row>
      </sheetData>
      <sheetData sheetId="24635">
        <row r="1">
          <cell r="J1">
            <v>1.7453292519943295E-2</v>
          </cell>
        </row>
      </sheetData>
      <sheetData sheetId="24636">
        <row r="1">
          <cell r="J1">
            <v>1.7453292519943295E-2</v>
          </cell>
        </row>
      </sheetData>
      <sheetData sheetId="24637"/>
      <sheetData sheetId="24638">
        <row r="1">
          <cell r="J1">
            <v>1.7453292519943295E-2</v>
          </cell>
        </row>
      </sheetData>
      <sheetData sheetId="24639"/>
      <sheetData sheetId="24640"/>
      <sheetData sheetId="24641">
        <row r="1">
          <cell r="J1">
            <v>1.7453292519943295E-2</v>
          </cell>
        </row>
      </sheetData>
      <sheetData sheetId="24642">
        <row r="1">
          <cell r="J1">
            <v>1.7453292519943295E-2</v>
          </cell>
        </row>
      </sheetData>
      <sheetData sheetId="24643"/>
      <sheetData sheetId="24644">
        <row r="1">
          <cell r="J1">
            <v>1.7453292519943295E-2</v>
          </cell>
        </row>
      </sheetData>
      <sheetData sheetId="24645">
        <row r="1">
          <cell r="J1">
            <v>1.7453292519943295E-2</v>
          </cell>
        </row>
      </sheetData>
      <sheetData sheetId="24646">
        <row r="1">
          <cell r="J1">
            <v>1.7453292519943295E-2</v>
          </cell>
        </row>
      </sheetData>
      <sheetData sheetId="24647">
        <row r="1">
          <cell r="J1">
            <v>1.7453292519943295E-2</v>
          </cell>
        </row>
      </sheetData>
      <sheetData sheetId="24648">
        <row r="1">
          <cell r="J1">
            <v>1.7453292519943295E-2</v>
          </cell>
        </row>
      </sheetData>
      <sheetData sheetId="24649">
        <row r="1">
          <cell r="J1">
            <v>1.7453292519943295E-2</v>
          </cell>
        </row>
      </sheetData>
      <sheetData sheetId="24650"/>
      <sheetData sheetId="24651"/>
      <sheetData sheetId="24652">
        <row r="1">
          <cell r="J1">
            <v>1.7453292519943295E-2</v>
          </cell>
        </row>
      </sheetData>
      <sheetData sheetId="24653">
        <row r="1">
          <cell r="J1">
            <v>1.7453292519943295E-2</v>
          </cell>
        </row>
      </sheetData>
      <sheetData sheetId="24654">
        <row r="1">
          <cell r="J1">
            <v>1.7453292519943295E-2</v>
          </cell>
        </row>
      </sheetData>
      <sheetData sheetId="24655">
        <row r="1">
          <cell r="J1">
            <v>1.7453292519943295E-2</v>
          </cell>
        </row>
      </sheetData>
      <sheetData sheetId="24656">
        <row r="1">
          <cell r="J1">
            <v>1.7453292519943295E-2</v>
          </cell>
        </row>
      </sheetData>
      <sheetData sheetId="24657"/>
      <sheetData sheetId="24658">
        <row r="1">
          <cell r="J1">
            <v>1.7453292519943295E-2</v>
          </cell>
        </row>
      </sheetData>
      <sheetData sheetId="24659"/>
      <sheetData sheetId="24660">
        <row r="1">
          <cell r="J1">
            <v>1.7453292519943295E-2</v>
          </cell>
        </row>
      </sheetData>
      <sheetData sheetId="24661">
        <row r="1">
          <cell r="J1">
            <v>1.7453292519943295E-2</v>
          </cell>
        </row>
      </sheetData>
      <sheetData sheetId="24662">
        <row r="1">
          <cell r="J1">
            <v>1.7453292519943295E-2</v>
          </cell>
        </row>
      </sheetData>
      <sheetData sheetId="24663">
        <row r="1">
          <cell r="J1">
            <v>1.7453292519943295E-2</v>
          </cell>
        </row>
      </sheetData>
      <sheetData sheetId="24664">
        <row r="1">
          <cell r="J1">
            <v>1.7453292519943295E-2</v>
          </cell>
        </row>
      </sheetData>
      <sheetData sheetId="24665">
        <row r="1">
          <cell r="J1">
            <v>1.7453292519943295E-2</v>
          </cell>
        </row>
      </sheetData>
      <sheetData sheetId="24666">
        <row r="1">
          <cell r="J1">
            <v>1.7453292519943295E-2</v>
          </cell>
        </row>
      </sheetData>
      <sheetData sheetId="24667">
        <row r="1">
          <cell r="J1">
            <v>1.7453292519943295E-2</v>
          </cell>
        </row>
      </sheetData>
      <sheetData sheetId="24668">
        <row r="1">
          <cell r="J1">
            <v>1.7453292519943295E-2</v>
          </cell>
        </row>
      </sheetData>
      <sheetData sheetId="24669">
        <row r="1">
          <cell r="J1">
            <v>1.7453292519943295E-2</v>
          </cell>
        </row>
      </sheetData>
      <sheetData sheetId="24670">
        <row r="1">
          <cell r="J1">
            <v>1.7453292519943295E-2</v>
          </cell>
        </row>
      </sheetData>
      <sheetData sheetId="24671">
        <row r="1">
          <cell r="J1">
            <v>1.7453292519943295E-2</v>
          </cell>
        </row>
      </sheetData>
      <sheetData sheetId="24672">
        <row r="1">
          <cell r="J1">
            <v>1.7453292519943295E-2</v>
          </cell>
        </row>
      </sheetData>
      <sheetData sheetId="24673">
        <row r="1">
          <cell r="J1">
            <v>1.7453292519943295E-2</v>
          </cell>
        </row>
      </sheetData>
      <sheetData sheetId="24674">
        <row r="1">
          <cell r="J1">
            <v>1.7453292519943295E-2</v>
          </cell>
        </row>
      </sheetData>
      <sheetData sheetId="24675">
        <row r="1">
          <cell r="J1">
            <v>1.7453292519943295E-2</v>
          </cell>
        </row>
      </sheetData>
      <sheetData sheetId="24676"/>
      <sheetData sheetId="24677">
        <row r="1">
          <cell r="J1">
            <v>1.7453292519943295E-2</v>
          </cell>
        </row>
      </sheetData>
      <sheetData sheetId="24678">
        <row r="1">
          <cell r="J1">
            <v>1.7453292519943295E-2</v>
          </cell>
        </row>
      </sheetData>
      <sheetData sheetId="24679">
        <row r="1">
          <cell r="J1">
            <v>1.7453292519943295E-2</v>
          </cell>
        </row>
      </sheetData>
      <sheetData sheetId="24680">
        <row r="1">
          <cell r="J1">
            <v>1.7453292519943295E-2</v>
          </cell>
        </row>
      </sheetData>
      <sheetData sheetId="24681">
        <row r="1">
          <cell r="J1">
            <v>1.7453292519943295E-2</v>
          </cell>
        </row>
      </sheetData>
      <sheetData sheetId="24682">
        <row r="1">
          <cell r="J1">
            <v>1.7453292519943295E-2</v>
          </cell>
        </row>
      </sheetData>
      <sheetData sheetId="24683">
        <row r="1">
          <cell r="J1">
            <v>1.7453292519943295E-2</v>
          </cell>
        </row>
      </sheetData>
      <sheetData sheetId="24684">
        <row r="1">
          <cell r="J1">
            <v>1.7453292519943295E-2</v>
          </cell>
        </row>
      </sheetData>
      <sheetData sheetId="24685">
        <row r="1">
          <cell r="J1">
            <v>1.7453292519943295E-2</v>
          </cell>
        </row>
      </sheetData>
      <sheetData sheetId="24686">
        <row r="1">
          <cell r="J1">
            <v>1.7453292519943295E-2</v>
          </cell>
        </row>
      </sheetData>
      <sheetData sheetId="24687">
        <row r="1">
          <cell r="J1">
            <v>1.7453292519943295E-2</v>
          </cell>
        </row>
      </sheetData>
      <sheetData sheetId="24688">
        <row r="1">
          <cell r="J1">
            <v>1.7453292519943295E-2</v>
          </cell>
        </row>
      </sheetData>
      <sheetData sheetId="24689">
        <row r="1">
          <cell r="J1">
            <v>1.7453292519943295E-2</v>
          </cell>
        </row>
      </sheetData>
      <sheetData sheetId="24690">
        <row r="1">
          <cell r="J1">
            <v>1.7453292519943295E-2</v>
          </cell>
        </row>
      </sheetData>
      <sheetData sheetId="24691">
        <row r="1">
          <cell r="J1">
            <v>1.7453292519943295E-2</v>
          </cell>
        </row>
      </sheetData>
      <sheetData sheetId="24692">
        <row r="1">
          <cell r="J1">
            <v>1.7453292519943295E-2</v>
          </cell>
        </row>
      </sheetData>
      <sheetData sheetId="24693">
        <row r="1">
          <cell r="J1">
            <v>1.7453292519943295E-2</v>
          </cell>
        </row>
      </sheetData>
      <sheetData sheetId="24694">
        <row r="1">
          <cell r="J1">
            <v>1.7453292519943295E-2</v>
          </cell>
        </row>
      </sheetData>
      <sheetData sheetId="24695">
        <row r="1">
          <cell r="J1">
            <v>1.7453292519943295E-2</v>
          </cell>
        </row>
      </sheetData>
      <sheetData sheetId="24696">
        <row r="1">
          <cell r="J1">
            <v>1.7453292519943295E-2</v>
          </cell>
        </row>
      </sheetData>
      <sheetData sheetId="24697">
        <row r="1">
          <cell r="J1">
            <v>1.7453292519943295E-2</v>
          </cell>
        </row>
      </sheetData>
      <sheetData sheetId="24698">
        <row r="1">
          <cell r="J1">
            <v>1.7453292519943295E-2</v>
          </cell>
        </row>
      </sheetData>
      <sheetData sheetId="24699">
        <row r="1">
          <cell r="J1">
            <v>1.7453292519943295E-2</v>
          </cell>
        </row>
      </sheetData>
      <sheetData sheetId="24700"/>
      <sheetData sheetId="24701">
        <row r="1">
          <cell r="J1">
            <v>1.7453292519943295E-2</v>
          </cell>
        </row>
      </sheetData>
      <sheetData sheetId="24702">
        <row r="1">
          <cell r="J1">
            <v>1.7453292519943295E-2</v>
          </cell>
        </row>
      </sheetData>
      <sheetData sheetId="24703">
        <row r="1">
          <cell r="J1">
            <v>1.7453292519943295E-2</v>
          </cell>
        </row>
      </sheetData>
      <sheetData sheetId="24704">
        <row r="1">
          <cell r="J1">
            <v>1.7453292519943295E-2</v>
          </cell>
        </row>
      </sheetData>
      <sheetData sheetId="24705"/>
      <sheetData sheetId="24706">
        <row r="1">
          <cell r="J1">
            <v>1.7453292519943295E-2</v>
          </cell>
        </row>
      </sheetData>
      <sheetData sheetId="24707"/>
      <sheetData sheetId="24708">
        <row r="1">
          <cell r="J1">
            <v>1.7453292519943295E-2</v>
          </cell>
        </row>
      </sheetData>
      <sheetData sheetId="24709">
        <row r="1">
          <cell r="J1">
            <v>1.7453292519943295E-2</v>
          </cell>
        </row>
      </sheetData>
      <sheetData sheetId="24710">
        <row r="1">
          <cell r="J1">
            <v>1.7453292519943295E-2</v>
          </cell>
        </row>
      </sheetData>
      <sheetData sheetId="24711">
        <row r="1">
          <cell r="J1">
            <v>1.7453292519943295E-2</v>
          </cell>
        </row>
      </sheetData>
      <sheetData sheetId="24712">
        <row r="1">
          <cell r="J1">
            <v>1.7453292519943295E-2</v>
          </cell>
        </row>
      </sheetData>
      <sheetData sheetId="24713">
        <row r="1">
          <cell r="J1">
            <v>1.7453292519943295E-2</v>
          </cell>
        </row>
      </sheetData>
      <sheetData sheetId="24714">
        <row r="1">
          <cell r="J1">
            <v>1.7453292519943295E-2</v>
          </cell>
        </row>
      </sheetData>
      <sheetData sheetId="24715">
        <row r="1">
          <cell r="J1">
            <v>1.7453292519943295E-2</v>
          </cell>
        </row>
      </sheetData>
      <sheetData sheetId="24716">
        <row r="1">
          <cell r="J1">
            <v>1.7453292519943295E-2</v>
          </cell>
        </row>
      </sheetData>
      <sheetData sheetId="24717">
        <row r="1">
          <cell r="J1">
            <v>1.7453292519943295E-2</v>
          </cell>
        </row>
      </sheetData>
      <sheetData sheetId="24718">
        <row r="1">
          <cell r="J1">
            <v>1.7453292519943295E-2</v>
          </cell>
        </row>
      </sheetData>
      <sheetData sheetId="24719"/>
      <sheetData sheetId="24720"/>
      <sheetData sheetId="24721" refreshError="1"/>
      <sheetData sheetId="24722">
        <row r="1">
          <cell r="J1">
            <v>1.7453292519943295E-2</v>
          </cell>
        </row>
      </sheetData>
      <sheetData sheetId="24723" refreshError="1"/>
      <sheetData sheetId="24724"/>
      <sheetData sheetId="24725">
        <row r="1">
          <cell r="J1">
            <v>1.7453292519943295E-2</v>
          </cell>
        </row>
      </sheetData>
      <sheetData sheetId="24726" refreshError="1"/>
      <sheetData sheetId="24727">
        <row r="1">
          <cell r="J1">
            <v>1.7453292519943295E-2</v>
          </cell>
        </row>
      </sheetData>
      <sheetData sheetId="24728">
        <row r="1">
          <cell r="J1">
            <v>1.7453292519943295E-2</v>
          </cell>
        </row>
      </sheetData>
      <sheetData sheetId="24729">
        <row r="1">
          <cell r="J1">
            <v>1.7453292519943295E-2</v>
          </cell>
        </row>
      </sheetData>
      <sheetData sheetId="24730">
        <row r="1">
          <cell r="J1">
            <v>1.7453292519943295E-2</v>
          </cell>
        </row>
      </sheetData>
      <sheetData sheetId="24731">
        <row r="1">
          <cell r="J1">
            <v>1.7453292519943295E-2</v>
          </cell>
        </row>
      </sheetData>
      <sheetData sheetId="24732">
        <row r="1">
          <cell r="J1">
            <v>1.7453292519943295E-2</v>
          </cell>
        </row>
      </sheetData>
      <sheetData sheetId="24733">
        <row r="1">
          <cell r="J1">
            <v>1.7453292519943295E-2</v>
          </cell>
        </row>
      </sheetData>
      <sheetData sheetId="24734">
        <row r="1">
          <cell r="J1">
            <v>1.7453292519943295E-2</v>
          </cell>
        </row>
      </sheetData>
      <sheetData sheetId="24735">
        <row r="1">
          <cell r="J1">
            <v>1.7453292519943295E-2</v>
          </cell>
        </row>
      </sheetData>
      <sheetData sheetId="24736">
        <row r="1">
          <cell r="J1">
            <v>1.7453292519943295E-2</v>
          </cell>
        </row>
      </sheetData>
      <sheetData sheetId="24737">
        <row r="1">
          <cell r="J1">
            <v>1.7453292519943295E-2</v>
          </cell>
        </row>
      </sheetData>
      <sheetData sheetId="24738">
        <row r="1">
          <cell r="J1">
            <v>1.7453292519943295E-2</v>
          </cell>
        </row>
      </sheetData>
      <sheetData sheetId="24739">
        <row r="1">
          <cell r="J1">
            <v>1.7453292519943295E-2</v>
          </cell>
        </row>
      </sheetData>
      <sheetData sheetId="24740"/>
      <sheetData sheetId="24741">
        <row r="1">
          <cell r="J1">
            <v>1.7453292519943295E-2</v>
          </cell>
        </row>
      </sheetData>
      <sheetData sheetId="24742">
        <row r="1">
          <cell r="J1">
            <v>1.7453292519943295E-2</v>
          </cell>
        </row>
      </sheetData>
      <sheetData sheetId="24743">
        <row r="1">
          <cell r="J1">
            <v>1.7453292519943295E-2</v>
          </cell>
        </row>
      </sheetData>
      <sheetData sheetId="24744">
        <row r="1">
          <cell r="J1">
            <v>1.7453292519943295E-2</v>
          </cell>
        </row>
      </sheetData>
      <sheetData sheetId="24745">
        <row r="1">
          <cell r="J1">
            <v>1.7453292519943295E-2</v>
          </cell>
        </row>
      </sheetData>
      <sheetData sheetId="24746">
        <row r="1">
          <cell r="J1">
            <v>1.7453292519943295E-2</v>
          </cell>
        </row>
      </sheetData>
      <sheetData sheetId="24747">
        <row r="1">
          <cell r="J1">
            <v>1.7453292519943295E-2</v>
          </cell>
        </row>
      </sheetData>
      <sheetData sheetId="24748">
        <row r="1">
          <cell r="J1">
            <v>1.7453292519943295E-2</v>
          </cell>
        </row>
      </sheetData>
      <sheetData sheetId="24749">
        <row r="1">
          <cell r="J1">
            <v>1.7453292519943295E-2</v>
          </cell>
        </row>
      </sheetData>
      <sheetData sheetId="24750">
        <row r="1">
          <cell r="J1">
            <v>1.7453292519943295E-2</v>
          </cell>
        </row>
      </sheetData>
      <sheetData sheetId="24751">
        <row r="1">
          <cell r="J1">
            <v>1.7453292519943295E-2</v>
          </cell>
        </row>
      </sheetData>
      <sheetData sheetId="24752">
        <row r="1">
          <cell r="J1">
            <v>1.7453292519943295E-2</v>
          </cell>
        </row>
      </sheetData>
      <sheetData sheetId="24753">
        <row r="1">
          <cell r="J1">
            <v>1.7453292519943295E-2</v>
          </cell>
        </row>
      </sheetData>
      <sheetData sheetId="24754">
        <row r="1">
          <cell r="J1">
            <v>1.7453292519943295E-2</v>
          </cell>
        </row>
      </sheetData>
      <sheetData sheetId="24755"/>
      <sheetData sheetId="24756">
        <row r="1">
          <cell r="J1">
            <v>1.7453292519943295E-2</v>
          </cell>
        </row>
      </sheetData>
      <sheetData sheetId="24757">
        <row r="1">
          <cell r="J1">
            <v>1.7453292519943295E-2</v>
          </cell>
        </row>
      </sheetData>
      <sheetData sheetId="24758">
        <row r="1">
          <cell r="J1">
            <v>1.7453292519943295E-2</v>
          </cell>
        </row>
      </sheetData>
      <sheetData sheetId="24759">
        <row r="1">
          <cell r="J1">
            <v>1.7453292519943295E-2</v>
          </cell>
        </row>
      </sheetData>
      <sheetData sheetId="24760">
        <row r="1">
          <cell r="J1">
            <v>1.7453292519943295E-2</v>
          </cell>
        </row>
      </sheetData>
      <sheetData sheetId="24761">
        <row r="1">
          <cell r="J1">
            <v>1.7453292519943295E-2</v>
          </cell>
        </row>
      </sheetData>
      <sheetData sheetId="24762">
        <row r="1">
          <cell r="J1">
            <v>1.7453292519943295E-2</v>
          </cell>
        </row>
      </sheetData>
      <sheetData sheetId="24763">
        <row r="1">
          <cell r="J1">
            <v>1.7453292519943295E-2</v>
          </cell>
        </row>
      </sheetData>
      <sheetData sheetId="24764">
        <row r="1">
          <cell r="J1">
            <v>1.7453292519943295E-2</v>
          </cell>
        </row>
      </sheetData>
      <sheetData sheetId="24765">
        <row r="1">
          <cell r="J1">
            <v>1.7453292519943295E-2</v>
          </cell>
        </row>
      </sheetData>
      <sheetData sheetId="24766">
        <row r="1">
          <cell r="J1">
            <v>1.7453292519943295E-2</v>
          </cell>
        </row>
      </sheetData>
      <sheetData sheetId="24767"/>
      <sheetData sheetId="24768">
        <row r="1">
          <cell r="J1">
            <v>1.7453292519943295E-2</v>
          </cell>
        </row>
      </sheetData>
      <sheetData sheetId="24769">
        <row r="1">
          <cell r="J1">
            <v>1.7453292519943295E-2</v>
          </cell>
        </row>
      </sheetData>
      <sheetData sheetId="24770">
        <row r="1">
          <cell r="J1">
            <v>1.7453292519943295E-2</v>
          </cell>
        </row>
      </sheetData>
      <sheetData sheetId="24771">
        <row r="1">
          <cell r="J1">
            <v>1.7453292519943295E-2</v>
          </cell>
        </row>
      </sheetData>
      <sheetData sheetId="24772">
        <row r="1">
          <cell r="J1">
            <v>1.7453292519943295E-2</v>
          </cell>
        </row>
      </sheetData>
      <sheetData sheetId="24773">
        <row r="1">
          <cell r="J1">
            <v>1.7453292519943295E-2</v>
          </cell>
        </row>
      </sheetData>
      <sheetData sheetId="24774">
        <row r="1">
          <cell r="J1">
            <v>1.7453292519943295E-2</v>
          </cell>
        </row>
      </sheetData>
      <sheetData sheetId="24775">
        <row r="1">
          <cell r="J1">
            <v>1.7453292519943295E-2</v>
          </cell>
        </row>
      </sheetData>
      <sheetData sheetId="24776">
        <row r="1">
          <cell r="J1">
            <v>1.7453292519943295E-2</v>
          </cell>
        </row>
      </sheetData>
      <sheetData sheetId="24777"/>
      <sheetData sheetId="24778">
        <row r="1">
          <cell r="J1">
            <v>1.7453292519943295E-2</v>
          </cell>
        </row>
      </sheetData>
      <sheetData sheetId="24779">
        <row r="1">
          <cell r="J1">
            <v>1.7453292519943295E-2</v>
          </cell>
        </row>
      </sheetData>
      <sheetData sheetId="24780">
        <row r="1">
          <cell r="J1">
            <v>1.7453292519943295E-2</v>
          </cell>
        </row>
      </sheetData>
      <sheetData sheetId="24781"/>
      <sheetData sheetId="24782">
        <row r="1">
          <cell r="J1">
            <v>1.7453292519943295E-2</v>
          </cell>
        </row>
      </sheetData>
      <sheetData sheetId="24783">
        <row r="1">
          <cell r="J1">
            <v>1.7453292519943295E-2</v>
          </cell>
        </row>
      </sheetData>
      <sheetData sheetId="24784">
        <row r="1">
          <cell r="J1">
            <v>1.7453292519943295E-2</v>
          </cell>
        </row>
      </sheetData>
      <sheetData sheetId="24785"/>
      <sheetData sheetId="24786">
        <row r="1">
          <cell r="J1">
            <v>1.7453292519943295E-2</v>
          </cell>
        </row>
      </sheetData>
      <sheetData sheetId="24787">
        <row r="1">
          <cell r="J1">
            <v>1.7453292519943295E-2</v>
          </cell>
        </row>
      </sheetData>
      <sheetData sheetId="24788" refreshError="1"/>
      <sheetData sheetId="24789" refreshError="1"/>
      <sheetData sheetId="24790">
        <row r="1">
          <cell r="J1">
            <v>1.7453292519943295E-2</v>
          </cell>
        </row>
      </sheetData>
      <sheetData sheetId="24791">
        <row r="1">
          <cell r="J1">
            <v>1.7453292519943295E-2</v>
          </cell>
        </row>
      </sheetData>
      <sheetData sheetId="24792">
        <row r="1">
          <cell r="J1">
            <v>1.7453292519943295E-2</v>
          </cell>
        </row>
      </sheetData>
      <sheetData sheetId="24793" refreshError="1"/>
      <sheetData sheetId="24794" refreshError="1"/>
      <sheetData sheetId="24795" refreshError="1"/>
      <sheetData sheetId="24796">
        <row r="1">
          <cell r="J1">
            <v>1.7453292519943295E-2</v>
          </cell>
        </row>
      </sheetData>
      <sheetData sheetId="24797"/>
      <sheetData sheetId="24798">
        <row r="1">
          <cell r="J1">
            <v>1.7453292519943295E-2</v>
          </cell>
        </row>
      </sheetData>
      <sheetData sheetId="24799">
        <row r="1">
          <cell r="J1">
            <v>1.7453292519943295E-2</v>
          </cell>
        </row>
      </sheetData>
      <sheetData sheetId="24800">
        <row r="1">
          <cell r="J1">
            <v>1.7453292519943295E-2</v>
          </cell>
        </row>
      </sheetData>
      <sheetData sheetId="24801">
        <row r="1">
          <cell r="J1">
            <v>1.7453292519943295E-2</v>
          </cell>
        </row>
      </sheetData>
      <sheetData sheetId="24802">
        <row r="1">
          <cell r="J1">
            <v>1.7453292519943295E-2</v>
          </cell>
        </row>
      </sheetData>
      <sheetData sheetId="24803">
        <row r="1">
          <cell r="J1">
            <v>1.7453292519943295E-2</v>
          </cell>
        </row>
      </sheetData>
      <sheetData sheetId="24804">
        <row r="1">
          <cell r="J1">
            <v>1.7453292519943295E-2</v>
          </cell>
        </row>
      </sheetData>
      <sheetData sheetId="24805">
        <row r="1">
          <cell r="J1">
            <v>1.7453292519943295E-2</v>
          </cell>
        </row>
      </sheetData>
      <sheetData sheetId="24806">
        <row r="1">
          <cell r="J1">
            <v>1.7453292519943295E-2</v>
          </cell>
        </row>
      </sheetData>
      <sheetData sheetId="24807">
        <row r="1">
          <cell r="J1">
            <v>1.7453292519943295E-2</v>
          </cell>
        </row>
      </sheetData>
      <sheetData sheetId="24808">
        <row r="1">
          <cell r="J1">
            <v>1.7453292519943295E-2</v>
          </cell>
        </row>
      </sheetData>
      <sheetData sheetId="24809"/>
      <sheetData sheetId="24810">
        <row r="1">
          <cell r="J1">
            <v>1.7453292519943295E-2</v>
          </cell>
        </row>
      </sheetData>
      <sheetData sheetId="24811">
        <row r="1">
          <cell r="J1">
            <v>1.7453292519943295E-2</v>
          </cell>
        </row>
      </sheetData>
      <sheetData sheetId="24812"/>
      <sheetData sheetId="24813">
        <row r="1">
          <cell r="J1">
            <v>1.7453292519943295E-2</v>
          </cell>
        </row>
      </sheetData>
      <sheetData sheetId="24814">
        <row r="1">
          <cell r="J1">
            <v>1.7453292519943295E-2</v>
          </cell>
        </row>
      </sheetData>
      <sheetData sheetId="24815">
        <row r="1">
          <cell r="J1">
            <v>1.7453292519943295E-2</v>
          </cell>
        </row>
      </sheetData>
      <sheetData sheetId="24816"/>
      <sheetData sheetId="24817"/>
      <sheetData sheetId="24818"/>
      <sheetData sheetId="24819">
        <row r="1">
          <cell r="J1">
            <v>1.7453292519943295E-2</v>
          </cell>
        </row>
      </sheetData>
      <sheetData sheetId="24820" refreshError="1"/>
      <sheetData sheetId="24821" refreshError="1"/>
      <sheetData sheetId="24822">
        <row r="1">
          <cell r="J1">
            <v>1.7453292519943295E-2</v>
          </cell>
        </row>
      </sheetData>
      <sheetData sheetId="24823">
        <row r="1">
          <cell r="J1">
            <v>1.7453292519943295E-2</v>
          </cell>
        </row>
      </sheetData>
      <sheetData sheetId="24824"/>
      <sheetData sheetId="24825" refreshError="1"/>
      <sheetData sheetId="24826"/>
      <sheetData sheetId="24827">
        <row r="1">
          <cell r="J1">
            <v>1.7453292519943295E-2</v>
          </cell>
        </row>
      </sheetData>
      <sheetData sheetId="24828"/>
      <sheetData sheetId="24829" refreshError="1"/>
      <sheetData sheetId="24830">
        <row r="1">
          <cell r="J1">
            <v>1.7453292519943295E-2</v>
          </cell>
        </row>
      </sheetData>
      <sheetData sheetId="24831" refreshError="1"/>
      <sheetData sheetId="24832">
        <row r="1">
          <cell r="J1">
            <v>1.7453292519943295E-2</v>
          </cell>
        </row>
      </sheetData>
      <sheetData sheetId="24833" refreshError="1"/>
      <sheetData sheetId="24834" refreshError="1"/>
      <sheetData sheetId="24835"/>
      <sheetData sheetId="24836" refreshError="1"/>
      <sheetData sheetId="24837" refreshError="1"/>
      <sheetData sheetId="24838">
        <row r="1">
          <cell r="J1">
            <v>1.7453292519943295E-2</v>
          </cell>
        </row>
      </sheetData>
      <sheetData sheetId="24839">
        <row r="1">
          <cell r="J1">
            <v>1.7453292519943295E-2</v>
          </cell>
        </row>
      </sheetData>
      <sheetData sheetId="24840">
        <row r="1">
          <cell r="J1">
            <v>1.7453292519943295E-2</v>
          </cell>
        </row>
      </sheetData>
      <sheetData sheetId="24841">
        <row r="1">
          <cell r="J1">
            <v>1.7453292519943295E-2</v>
          </cell>
        </row>
      </sheetData>
      <sheetData sheetId="24842">
        <row r="1">
          <cell r="J1">
            <v>1.7453292519943295E-2</v>
          </cell>
        </row>
      </sheetData>
      <sheetData sheetId="24843">
        <row r="1">
          <cell r="J1">
            <v>1.7453292519943295E-2</v>
          </cell>
        </row>
      </sheetData>
      <sheetData sheetId="24844">
        <row r="1">
          <cell r="J1">
            <v>1.7453292519943295E-2</v>
          </cell>
        </row>
      </sheetData>
      <sheetData sheetId="24845">
        <row r="1">
          <cell r="J1">
            <v>1.7453292519943295E-2</v>
          </cell>
        </row>
      </sheetData>
      <sheetData sheetId="24846">
        <row r="1">
          <cell r="J1">
            <v>1.7453292519943295E-2</v>
          </cell>
        </row>
      </sheetData>
      <sheetData sheetId="24847">
        <row r="1">
          <cell r="J1">
            <v>1.7453292519943295E-2</v>
          </cell>
        </row>
      </sheetData>
      <sheetData sheetId="24848">
        <row r="1">
          <cell r="J1">
            <v>1.7453292519943295E-2</v>
          </cell>
        </row>
      </sheetData>
      <sheetData sheetId="24849">
        <row r="1">
          <cell r="J1">
            <v>1.7453292519943295E-2</v>
          </cell>
        </row>
      </sheetData>
      <sheetData sheetId="24850"/>
      <sheetData sheetId="24851">
        <row r="1">
          <cell r="J1">
            <v>1.7453292519943295E-2</v>
          </cell>
        </row>
      </sheetData>
      <sheetData sheetId="24852"/>
      <sheetData sheetId="24853">
        <row r="1">
          <cell r="J1">
            <v>1.7453292519943295E-2</v>
          </cell>
        </row>
      </sheetData>
      <sheetData sheetId="24854">
        <row r="1">
          <cell r="J1">
            <v>1.7453292519943295E-2</v>
          </cell>
        </row>
      </sheetData>
      <sheetData sheetId="24855">
        <row r="1">
          <cell r="J1">
            <v>1.7453292519943295E-2</v>
          </cell>
        </row>
      </sheetData>
      <sheetData sheetId="24856">
        <row r="1">
          <cell r="J1">
            <v>1.7453292519943295E-2</v>
          </cell>
        </row>
      </sheetData>
      <sheetData sheetId="24857"/>
      <sheetData sheetId="24858"/>
      <sheetData sheetId="24859" refreshError="1"/>
      <sheetData sheetId="24860" refreshError="1"/>
      <sheetData sheetId="24861">
        <row r="1">
          <cell r="J1">
            <v>1.7453292519943295E-2</v>
          </cell>
        </row>
      </sheetData>
      <sheetData sheetId="24862">
        <row r="1">
          <cell r="J1">
            <v>1.7453292519943295E-2</v>
          </cell>
        </row>
      </sheetData>
      <sheetData sheetId="24863"/>
      <sheetData sheetId="24864" refreshError="1"/>
      <sheetData sheetId="24865" refreshError="1"/>
      <sheetData sheetId="24866" refreshError="1"/>
      <sheetData sheetId="24867"/>
      <sheetData sheetId="24868"/>
      <sheetData sheetId="24869">
        <row r="1">
          <cell r="J1">
            <v>1.7453292519943295E-2</v>
          </cell>
        </row>
      </sheetData>
      <sheetData sheetId="24870"/>
      <sheetData sheetId="24871">
        <row r="1">
          <cell r="J1">
            <v>1.7453292519943295E-2</v>
          </cell>
        </row>
      </sheetData>
      <sheetData sheetId="24872">
        <row r="1">
          <cell r="J1">
            <v>1.7453292519943295E-2</v>
          </cell>
        </row>
      </sheetData>
      <sheetData sheetId="24873">
        <row r="1">
          <cell r="J1">
            <v>1.7453292519943295E-2</v>
          </cell>
        </row>
      </sheetData>
      <sheetData sheetId="24874">
        <row r="1">
          <cell r="J1">
            <v>1.7453292519943295E-2</v>
          </cell>
        </row>
      </sheetData>
      <sheetData sheetId="24875">
        <row r="1">
          <cell r="J1">
            <v>1.7453292519943295E-2</v>
          </cell>
        </row>
      </sheetData>
      <sheetData sheetId="24876">
        <row r="1">
          <cell r="J1">
            <v>1.7453292519943295E-2</v>
          </cell>
        </row>
      </sheetData>
      <sheetData sheetId="24877">
        <row r="1">
          <cell r="J1">
            <v>1.7453292519943295E-2</v>
          </cell>
        </row>
      </sheetData>
      <sheetData sheetId="24878">
        <row r="1">
          <cell r="J1">
            <v>1.7453292519943295E-2</v>
          </cell>
        </row>
      </sheetData>
      <sheetData sheetId="24879">
        <row r="1">
          <cell r="J1">
            <v>1.7453292519943295E-2</v>
          </cell>
        </row>
      </sheetData>
      <sheetData sheetId="24880"/>
      <sheetData sheetId="24881"/>
      <sheetData sheetId="24882"/>
      <sheetData sheetId="24883"/>
      <sheetData sheetId="24884">
        <row r="1">
          <cell r="J1">
            <v>1.7453292519943295E-2</v>
          </cell>
        </row>
      </sheetData>
      <sheetData sheetId="24885">
        <row r="1">
          <cell r="J1">
            <v>1.7453292519943295E-2</v>
          </cell>
        </row>
      </sheetData>
      <sheetData sheetId="24886">
        <row r="1">
          <cell r="J1">
            <v>1.7453292519943295E-2</v>
          </cell>
        </row>
      </sheetData>
      <sheetData sheetId="24887">
        <row r="1">
          <cell r="J1">
            <v>1.7453292519943295E-2</v>
          </cell>
        </row>
      </sheetData>
      <sheetData sheetId="24888"/>
      <sheetData sheetId="24889"/>
      <sheetData sheetId="24890"/>
      <sheetData sheetId="24891"/>
      <sheetData sheetId="24892">
        <row r="1">
          <cell r="J1">
            <v>1.7453292519943295E-2</v>
          </cell>
        </row>
      </sheetData>
      <sheetData sheetId="24893">
        <row r="1">
          <cell r="J1">
            <v>1.7453292519943295E-2</v>
          </cell>
        </row>
      </sheetData>
      <sheetData sheetId="24894">
        <row r="1">
          <cell r="J1">
            <v>1.7453292519943295E-2</v>
          </cell>
        </row>
      </sheetData>
      <sheetData sheetId="24895">
        <row r="1">
          <cell r="J1">
            <v>1.7453292519943295E-2</v>
          </cell>
        </row>
      </sheetData>
      <sheetData sheetId="24896">
        <row r="1">
          <cell r="J1">
            <v>1.7453292519943295E-2</v>
          </cell>
        </row>
      </sheetData>
      <sheetData sheetId="24897">
        <row r="1">
          <cell r="J1">
            <v>1.7453292519943295E-2</v>
          </cell>
        </row>
      </sheetData>
      <sheetData sheetId="24898">
        <row r="1">
          <cell r="J1">
            <v>1.7453292519943295E-2</v>
          </cell>
        </row>
      </sheetData>
      <sheetData sheetId="24899">
        <row r="1">
          <cell r="J1">
            <v>1.7453292519943295E-2</v>
          </cell>
        </row>
      </sheetData>
      <sheetData sheetId="24900"/>
      <sheetData sheetId="24901"/>
      <sheetData sheetId="24902"/>
      <sheetData sheetId="24903"/>
      <sheetData sheetId="24904">
        <row r="1">
          <cell r="J1">
            <v>1.7453292519943295E-2</v>
          </cell>
        </row>
      </sheetData>
      <sheetData sheetId="24905">
        <row r="1">
          <cell r="J1">
            <v>1.7453292519943295E-2</v>
          </cell>
        </row>
      </sheetData>
      <sheetData sheetId="24906">
        <row r="1">
          <cell r="J1">
            <v>1.7453292519943295E-2</v>
          </cell>
        </row>
      </sheetData>
      <sheetData sheetId="24907">
        <row r="1">
          <cell r="J1">
            <v>1.7453292519943295E-2</v>
          </cell>
        </row>
      </sheetData>
      <sheetData sheetId="24908"/>
      <sheetData sheetId="24909"/>
      <sheetData sheetId="24910"/>
      <sheetData sheetId="24911"/>
      <sheetData sheetId="24912">
        <row r="1">
          <cell r="J1">
            <v>1.7453292519943295E-2</v>
          </cell>
        </row>
      </sheetData>
      <sheetData sheetId="24913">
        <row r="1">
          <cell r="J1">
            <v>1.7453292519943295E-2</v>
          </cell>
        </row>
      </sheetData>
      <sheetData sheetId="24914">
        <row r="1">
          <cell r="J1">
            <v>1.7453292519943295E-2</v>
          </cell>
        </row>
      </sheetData>
      <sheetData sheetId="24915">
        <row r="1">
          <cell r="J1">
            <v>1.7453292519943295E-2</v>
          </cell>
        </row>
      </sheetData>
      <sheetData sheetId="24916">
        <row r="1">
          <cell r="J1">
            <v>1.7453292519943295E-2</v>
          </cell>
        </row>
      </sheetData>
      <sheetData sheetId="24917">
        <row r="1">
          <cell r="J1">
            <v>1.7453292519943295E-2</v>
          </cell>
        </row>
      </sheetData>
      <sheetData sheetId="24918">
        <row r="1">
          <cell r="J1">
            <v>1.7453292519943295E-2</v>
          </cell>
        </row>
      </sheetData>
      <sheetData sheetId="24919">
        <row r="1">
          <cell r="J1">
            <v>1.7453292519943295E-2</v>
          </cell>
        </row>
      </sheetData>
      <sheetData sheetId="24920"/>
      <sheetData sheetId="24921"/>
      <sheetData sheetId="24922"/>
      <sheetData sheetId="24923"/>
      <sheetData sheetId="24924">
        <row r="1">
          <cell r="J1">
            <v>1.7453292519943295E-2</v>
          </cell>
        </row>
      </sheetData>
      <sheetData sheetId="24925">
        <row r="1">
          <cell r="J1">
            <v>1.7453292519943295E-2</v>
          </cell>
        </row>
      </sheetData>
      <sheetData sheetId="24926">
        <row r="1">
          <cell r="J1">
            <v>1.7453292519943295E-2</v>
          </cell>
        </row>
      </sheetData>
      <sheetData sheetId="24927">
        <row r="1">
          <cell r="J1">
            <v>1.7453292519943295E-2</v>
          </cell>
        </row>
      </sheetData>
      <sheetData sheetId="24928"/>
      <sheetData sheetId="24929"/>
      <sheetData sheetId="24930"/>
      <sheetData sheetId="24931"/>
      <sheetData sheetId="24932">
        <row r="1">
          <cell r="J1">
            <v>1.7453292519943295E-2</v>
          </cell>
        </row>
      </sheetData>
      <sheetData sheetId="24933">
        <row r="1">
          <cell r="J1">
            <v>1.7453292519943295E-2</v>
          </cell>
        </row>
      </sheetData>
      <sheetData sheetId="24934">
        <row r="1">
          <cell r="J1">
            <v>1.7453292519943295E-2</v>
          </cell>
        </row>
      </sheetData>
      <sheetData sheetId="24935">
        <row r="1">
          <cell r="J1">
            <v>1.7453292519943295E-2</v>
          </cell>
        </row>
      </sheetData>
      <sheetData sheetId="24936">
        <row r="1">
          <cell r="J1">
            <v>1.7453292519943295E-2</v>
          </cell>
        </row>
      </sheetData>
      <sheetData sheetId="24937">
        <row r="1">
          <cell r="J1">
            <v>1.7453292519943295E-2</v>
          </cell>
        </row>
      </sheetData>
      <sheetData sheetId="24938">
        <row r="1">
          <cell r="J1">
            <v>1.7453292519943295E-2</v>
          </cell>
        </row>
      </sheetData>
      <sheetData sheetId="24939">
        <row r="1">
          <cell r="J1">
            <v>1.7453292519943295E-2</v>
          </cell>
        </row>
      </sheetData>
      <sheetData sheetId="24940"/>
      <sheetData sheetId="24941"/>
      <sheetData sheetId="24942"/>
      <sheetData sheetId="24943"/>
      <sheetData sheetId="24944">
        <row r="1">
          <cell r="J1">
            <v>1.7453292519943295E-2</v>
          </cell>
        </row>
      </sheetData>
      <sheetData sheetId="24945">
        <row r="1">
          <cell r="J1">
            <v>1.7453292519943295E-2</v>
          </cell>
        </row>
      </sheetData>
      <sheetData sheetId="24946">
        <row r="1">
          <cell r="J1">
            <v>1.7453292519943295E-2</v>
          </cell>
        </row>
      </sheetData>
      <sheetData sheetId="24947">
        <row r="1">
          <cell r="J1">
            <v>1.7453292519943295E-2</v>
          </cell>
        </row>
      </sheetData>
      <sheetData sheetId="24948"/>
      <sheetData sheetId="24949"/>
      <sheetData sheetId="24950"/>
      <sheetData sheetId="24951"/>
      <sheetData sheetId="24952">
        <row r="1">
          <cell r="J1">
            <v>1.7453292519943295E-2</v>
          </cell>
        </row>
      </sheetData>
      <sheetData sheetId="24953">
        <row r="1">
          <cell r="J1">
            <v>1.7453292519943295E-2</v>
          </cell>
        </row>
      </sheetData>
      <sheetData sheetId="24954">
        <row r="1">
          <cell r="J1">
            <v>1.7453292519943295E-2</v>
          </cell>
        </row>
      </sheetData>
      <sheetData sheetId="24955">
        <row r="1">
          <cell r="J1">
            <v>1.7453292519943295E-2</v>
          </cell>
        </row>
      </sheetData>
      <sheetData sheetId="24956">
        <row r="1">
          <cell r="J1">
            <v>1.7453292519943295E-2</v>
          </cell>
        </row>
      </sheetData>
      <sheetData sheetId="24957">
        <row r="1">
          <cell r="J1">
            <v>1.7453292519943295E-2</v>
          </cell>
        </row>
      </sheetData>
      <sheetData sheetId="24958">
        <row r="1">
          <cell r="J1">
            <v>1.7453292519943295E-2</v>
          </cell>
        </row>
      </sheetData>
      <sheetData sheetId="24959">
        <row r="1">
          <cell r="J1">
            <v>1.7453292519943295E-2</v>
          </cell>
        </row>
      </sheetData>
      <sheetData sheetId="24960"/>
      <sheetData sheetId="24961"/>
      <sheetData sheetId="24962"/>
      <sheetData sheetId="24963"/>
      <sheetData sheetId="24964">
        <row r="1">
          <cell r="J1">
            <v>1.7453292519943295E-2</v>
          </cell>
        </row>
      </sheetData>
      <sheetData sheetId="24965">
        <row r="1">
          <cell r="J1">
            <v>1.7453292519943295E-2</v>
          </cell>
        </row>
      </sheetData>
      <sheetData sheetId="24966">
        <row r="1">
          <cell r="J1">
            <v>1.7453292519943295E-2</v>
          </cell>
        </row>
      </sheetData>
      <sheetData sheetId="24967">
        <row r="1">
          <cell r="J1">
            <v>1.7453292519943295E-2</v>
          </cell>
        </row>
      </sheetData>
      <sheetData sheetId="24968"/>
      <sheetData sheetId="24969"/>
      <sheetData sheetId="24970">
        <row r="1">
          <cell r="J1">
            <v>1.7453292519943295E-2</v>
          </cell>
        </row>
      </sheetData>
      <sheetData sheetId="24971">
        <row r="1">
          <cell r="J1">
            <v>1.7453292519943295E-2</v>
          </cell>
        </row>
      </sheetData>
      <sheetData sheetId="24972" refreshError="1"/>
      <sheetData sheetId="24973">
        <row r="1">
          <cell r="J1">
            <v>1.7453292519943295E-2</v>
          </cell>
        </row>
      </sheetData>
      <sheetData sheetId="24974"/>
      <sheetData sheetId="24975" refreshError="1"/>
      <sheetData sheetId="24976" refreshError="1"/>
      <sheetData sheetId="24977">
        <row r="1">
          <cell r="J1">
            <v>1.7453292519943295E-2</v>
          </cell>
        </row>
      </sheetData>
      <sheetData sheetId="24978">
        <row r="1">
          <cell r="J1">
            <v>1.7453292519943295E-2</v>
          </cell>
        </row>
      </sheetData>
      <sheetData sheetId="24979">
        <row r="1">
          <cell r="J1">
            <v>1.7453292519943295E-2</v>
          </cell>
        </row>
      </sheetData>
      <sheetData sheetId="24980" refreshError="1"/>
      <sheetData sheetId="24981">
        <row r="1">
          <cell r="J1">
            <v>1.7453292519943295E-2</v>
          </cell>
        </row>
      </sheetData>
      <sheetData sheetId="24982" refreshError="1"/>
      <sheetData sheetId="24983" refreshError="1"/>
      <sheetData sheetId="24984" refreshError="1"/>
      <sheetData sheetId="24985"/>
      <sheetData sheetId="24986" refreshError="1"/>
      <sheetData sheetId="24987"/>
      <sheetData sheetId="24988">
        <row r="1">
          <cell r="J1">
            <v>1.7453292519943295E-2</v>
          </cell>
        </row>
      </sheetData>
      <sheetData sheetId="24989">
        <row r="1">
          <cell r="J1">
            <v>1.7453292519943295E-2</v>
          </cell>
        </row>
      </sheetData>
      <sheetData sheetId="24990">
        <row r="1">
          <cell r="J1">
            <v>1.7453292519943295E-2</v>
          </cell>
        </row>
      </sheetData>
      <sheetData sheetId="24991"/>
      <sheetData sheetId="24992" refreshError="1"/>
      <sheetData sheetId="24993"/>
      <sheetData sheetId="24994" refreshError="1"/>
      <sheetData sheetId="24995" refreshError="1"/>
      <sheetData sheetId="24996" refreshError="1"/>
      <sheetData sheetId="24997">
        <row r="1">
          <cell r="J1">
            <v>1.7453292519943295E-2</v>
          </cell>
        </row>
      </sheetData>
      <sheetData sheetId="24998">
        <row r="1">
          <cell r="J1">
            <v>1.7453292519943295E-2</v>
          </cell>
        </row>
      </sheetData>
      <sheetData sheetId="24999" refreshError="1"/>
      <sheetData sheetId="25000">
        <row r="1">
          <cell r="J1">
            <v>1.7453292519943295E-2</v>
          </cell>
        </row>
      </sheetData>
      <sheetData sheetId="25001" refreshError="1"/>
      <sheetData sheetId="25002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>
        <row r="1">
          <cell r="J1">
            <v>1.7453292519943295E-2</v>
          </cell>
        </row>
      </sheetData>
      <sheetData sheetId="25012"/>
      <sheetData sheetId="25013" refreshError="1"/>
      <sheetData sheetId="25014"/>
      <sheetData sheetId="25015" refreshError="1"/>
      <sheetData sheetId="25016" refreshError="1"/>
      <sheetData sheetId="25017">
        <row r="1">
          <cell r="J1">
            <v>1.7453292519943295E-2</v>
          </cell>
        </row>
      </sheetData>
      <sheetData sheetId="25018">
        <row r="1">
          <cell r="J1">
            <v>1.7453292519943295E-2</v>
          </cell>
        </row>
      </sheetData>
      <sheetData sheetId="25019">
        <row r="1">
          <cell r="J1">
            <v>1.7453292519943295E-2</v>
          </cell>
        </row>
      </sheetData>
      <sheetData sheetId="25020" refreshError="1"/>
      <sheetData sheetId="25021">
        <row r="1">
          <cell r="J1">
            <v>1.7453292519943295E-2</v>
          </cell>
        </row>
      </sheetData>
      <sheetData sheetId="25022" refreshError="1"/>
      <sheetData sheetId="25023" refreshError="1"/>
      <sheetData sheetId="25024">
        <row r="1">
          <cell r="J1">
            <v>1.7453292519943295E-2</v>
          </cell>
        </row>
      </sheetData>
      <sheetData sheetId="25025" refreshError="1"/>
      <sheetData sheetId="25026">
        <row r="1">
          <cell r="J1">
            <v>1.7453292519943295E-2</v>
          </cell>
        </row>
      </sheetData>
      <sheetData sheetId="25027">
        <row r="1">
          <cell r="J1">
            <v>1.7453292519943295E-2</v>
          </cell>
        </row>
      </sheetData>
      <sheetData sheetId="25028" refreshError="1"/>
      <sheetData sheetId="25029" refreshError="1"/>
      <sheetData sheetId="25030" refreshError="1"/>
      <sheetData sheetId="25031" refreshError="1"/>
      <sheetData sheetId="25032"/>
      <sheetData sheetId="25033"/>
      <sheetData sheetId="25034"/>
      <sheetData sheetId="25035">
        <row r="1">
          <cell r="J1">
            <v>1.7453292519943295E-2</v>
          </cell>
        </row>
      </sheetData>
      <sheetData sheetId="25036" refreshError="1"/>
      <sheetData sheetId="25037">
        <row r="1">
          <cell r="J1">
            <v>1.7453292519943295E-2</v>
          </cell>
        </row>
      </sheetData>
      <sheetData sheetId="25038">
        <row r="1">
          <cell r="J1">
            <v>1.7453292519943295E-2</v>
          </cell>
        </row>
      </sheetData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>
        <row r="1">
          <cell r="J1">
            <v>1.7453292519943295E-2</v>
          </cell>
        </row>
      </sheetData>
      <sheetData sheetId="25049"/>
      <sheetData sheetId="25050" refreshError="1"/>
      <sheetData sheetId="25051"/>
      <sheetData sheetId="25052"/>
      <sheetData sheetId="25053"/>
      <sheetData sheetId="25054">
        <row r="1">
          <cell r="J1">
            <v>1.7453292519943295E-2</v>
          </cell>
        </row>
      </sheetData>
      <sheetData sheetId="25055"/>
      <sheetData sheetId="25056"/>
      <sheetData sheetId="25057">
        <row r="1">
          <cell r="J1">
            <v>1.7453292519943295E-2</v>
          </cell>
        </row>
      </sheetData>
      <sheetData sheetId="25058">
        <row r="1">
          <cell r="J1">
            <v>1.7453292519943295E-2</v>
          </cell>
        </row>
      </sheetData>
      <sheetData sheetId="25059">
        <row r="1">
          <cell r="J1">
            <v>1.7453292519943295E-2</v>
          </cell>
        </row>
      </sheetData>
      <sheetData sheetId="25060">
        <row r="1">
          <cell r="J1">
            <v>1.7453292519943295E-2</v>
          </cell>
        </row>
      </sheetData>
      <sheetData sheetId="25061">
        <row r="1">
          <cell r="J1">
            <v>1.7453292519943295E-2</v>
          </cell>
        </row>
      </sheetData>
      <sheetData sheetId="25062">
        <row r="1">
          <cell r="J1">
            <v>1.7453292519943295E-2</v>
          </cell>
        </row>
      </sheetData>
      <sheetData sheetId="25063">
        <row r="1">
          <cell r="J1">
            <v>1.7453292519943295E-2</v>
          </cell>
        </row>
      </sheetData>
      <sheetData sheetId="25064">
        <row r="1">
          <cell r="J1">
            <v>1.7453292519943295E-2</v>
          </cell>
        </row>
      </sheetData>
      <sheetData sheetId="25065"/>
      <sheetData sheetId="25066"/>
      <sheetData sheetId="25067"/>
      <sheetData sheetId="25068"/>
      <sheetData sheetId="25069">
        <row r="1">
          <cell r="J1">
            <v>1.7453292519943295E-2</v>
          </cell>
        </row>
      </sheetData>
      <sheetData sheetId="25070">
        <row r="1">
          <cell r="J1">
            <v>1.7453292519943295E-2</v>
          </cell>
        </row>
      </sheetData>
      <sheetData sheetId="25071">
        <row r="1">
          <cell r="J1">
            <v>1.7453292519943295E-2</v>
          </cell>
        </row>
      </sheetData>
      <sheetData sheetId="25072">
        <row r="1">
          <cell r="J1">
            <v>1.7453292519943295E-2</v>
          </cell>
        </row>
      </sheetData>
      <sheetData sheetId="25073">
        <row r="1">
          <cell r="J1">
            <v>1.7453292519943295E-2</v>
          </cell>
        </row>
      </sheetData>
      <sheetData sheetId="25074"/>
      <sheetData sheetId="25075"/>
      <sheetData sheetId="25076"/>
      <sheetData sheetId="25077"/>
      <sheetData sheetId="25078">
        <row r="1">
          <cell r="J1">
            <v>1.7453292519943295E-2</v>
          </cell>
        </row>
      </sheetData>
      <sheetData sheetId="25079">
        <row r="1">
          <cell r="J1">
            <v>1.7453292519943295E-2</v>
          </cell>
        </row>
      </sheetData>
      <sheetData sheetId="25080">
        <row r="1">
          <cell r="J1">
            <v>1.7453292519943295E-2</v>
          </cell>
        </row>
      </sheetData>
      <sheetData sheetId="25081">
        <row r="1">
          <cell r="J1">
            <v>1.7453292519943295E-2</v>
          </cell>
        </row>
      </sheetData>
      <sheetData sheetId="25082">
        <row r="1">
          <cell r="J1">
            <v>1.7453292519943295E-2</v>
          </cell>
        </row>
      </sheetData>
      <sheetData sheetId="25083">
        <row r="1">
          <cell r="J1">
            <v>1.7453292519943295E-2</v>
          </cell>
        </row>
      </sheetData>
      <sheetData sheetId="25084">
        <row r="1">
          <cell r="J1">
            <v>1.7453292519943295E-2</v>
          </cell>
        </row>
      </sheetData>
      <sheetData sheetId="25085">
        <row r="1">
          <cell r="J1">
            <v>1.7453292519943295E-2</v>
          </cell>
        </row>
      </sheetData>
      <sheetData sheetId="25086"/>
      <sheetData sheetId="25087"/>
      <sheetData sheetId="25088"/>
      <sheetData sheetId="25089"/>
      <sheetData sheetId="25090">
        <row r="1">
          <cell r="J1">
            <v>1.7453292519943295E-2</v>
          </cell>
        </row>
      </sheetData>
      <sheetData sheetId="25091">
        <row r="1">
          <cell r="J1">
            <v>1.7453292519943295E-2</v>
          </cell>
        </row>
      </sheetData>
      <sheetData sheetId="25092">
        <row r="1">
          <cell r="J1">
            <v>1.7453292519943295E-2</v>
          </cell>
        </row>
      </sheetData>
      <sheetData sheetId="25093">
        <row r="1">
          <cell r="J1">
            <v>1.7453292519943295E-2</v>
          </cell>
        </row>
      </sheetData>
      <sheetData sheetId="25094"/>
      <sheetData sheetId="25095"/>
      <sheetData sheetId="25096"/>
      <sheetData sheetId="25097"/>
      <sheetData sheetId="25098">
        <row r="1">
          <cell r="J1">
            <v>1.7453292519943295E-2</v>
          </cell>
        </row>
      </sheetData>
      <sheetData sheetId="25099">
        <row r="1">
          <cell r="J1">
            <v>1.7453292519943295E-2</v>
          </cell>
        </row>
      </sheetData>
      <sheetData sheetId="25100">
        <row r="1">
          <cell r="J1">
            <v>1.7453292519943295E-2</v>
          </cell>
        </row>
      </sheetData>
      <sheetData sheetId="25101">
        <row r="1">
          <cell r="J1">
            <v>1.7453292519943295E-2</v>
          </cell>
        </row>
      </sheetData>
      <sheetData sheetId="25102">
        <row r="1">
          <cell r="J1">
            <v>1.7453292519943295E-2</v>
          </cell>
        </row>
      </sheetData>
      <sheetData sheetId="25103">
        <row r="1">
          <cell r="J1">
            <v>1.7453292519943295E-2</v>
          </cell>
        </row>
      </sheetData>
      <sheetData sheetId="25104">
        <row r="1">
          <cell r="J1">
            <v>1.7453292519943295E-2</v>
          </cell>
        </row>
      </sheetData>
      <sheetData sheetId="25105">
        <row r="1">
          <cell r="J1">
            <v>1.7453292519943295E-2</v>
          </cell>
        </row>
      </sheetData>
      <sheetData sheetId="25106"/>
      <sheetData sheetId="25107"/>
      <sheetData sheetId="25108"/>
      <sheetData sheetId="25109"/>
      <sheetData sheetId="25110">
        <row r="1">
          <cell r="J1">
            <v>1.7453292519943295E-2</v>
          </cell>
        </row>
      </sheetData>
      <sheetData sheetId="25111">
        <row r="1">
          <cell r="J1">
            <v>1.7453292519943295E-2</v>
          </cell>
        </row>
      </sheetData>
      <sheetData sheetId="25112">
        <row r="1">
          <cell r="J1">
            <v>1.7453292519943295E-2</v>
          </cell>
        </row>
      </sheetData>
      <sheetData sheetId="25113">
        <row r="1">
          <cell r="J1">
            <v>1.7453292519943295E-2</v>
          </cell>
        </row>
      </sheetData>
      <sheetData sheetId="25114"/>
      <sheetData sheetId="25115"/>
      <sheetData sheetId="25116"/>
      <sheetData sheetId="25117"/>
      <sheetData sheetId="25118">
        <row r="1">
          <cell r="J1">
            <v>1.7453292519943295E-2</v>
          </cell>
        </row>
      </sheetData>
      <sheetData sheetId="25119">
        <row r="1">
          <cell r="J1">
            <v>1.7453292519943295E-2</v>
          </cell>
        </row>
      </sheetData>
      <sheetData sheetId="25120">
        <row r="1">
          <cell r="J1">
            <v>1.7453292519943295E-2</v>
          </cell>
        </row>
      </sheetData>
      <sheetData sheetId="25121">
        <row r="1">
          <cell r="J1">
            <v>1.7453292519943295E-2</v>
          </cell>
        </row>
      </sheetData>
      <sheetData sheetId="25122">
        <row r="1">
          <cell r="J1">
            <v>1.7453292519943295E-2</v>
          </cell>
        </row>
      </sheetData>
      <sheetData sheetId="25123">
        <row r="1">
          <cell r="J1">
            <v>1.7453292519943295E-2</v>
          </cell>
        </row>
      </sheetData>
      <sheetData sheetId="25124">
        <row r="1">
          <cell r="J1">
            <v>1.7453292519943295E-2</v>
          </cell>
        </row>
      </sheetData>
      <sheetData sheetId="25125">
        <row r="1">
          <cell r="J1">
            <v>1.7453292519943295E-2</v>
          </cell>
        </row>
      </sheetData>
      <sheetData sheetId="25126"/>
      <sheetData sheetId="25127"/>
      <sheetData sheetId="25128"/>
      <sheetData sheetId="25129"/>
      <sheetData sheetId="25130">
        <row r="1">
          <cell r="J1">
            <v>1.7453292519943295E-2</v>
          </cell>
        </row>
      </sheetData>
      <sheetData sheetId="25131">
        <row r="1">
          <cell r="J1">
            <v>1.7453292519943295E-2</v>
          </cell>
        </row>
      </sheetData>
      <sheetData sheetId="25132">
        <row r="1">
          <cell r="J1">
            <v>1.7453292519943295E-2</v>
          </cell>
        </row>
      </sheetData>
      <sheetData sheetId="25133">
        <row r="1">
          <cell r="J1">
            <v>1.7453292519943295E-2</v>
          </cell>
        </row>
      </sheetData>
      <sheetData sheetId="25134"/>
      <sheetData sheetId="25135"/>
      <sheetData sheetId="25136"/>
      <sheetData sheetId="25137"/>
      <sheetData sheetId="25138">
        <row r="1">
          <cell r="J1">
            <v>1.7453292519943295E-2</v>
          </cell>
        </row>
      </sheetData>
      <sheetData sheetId="25139">
        <row r="1">
          <cell r="J1">
            <v>1.7453292519943295E-2</v>
          </cell>
        </row>
      </sheetData>
      <sheetData sheetId="25140">
        <row r="1">
          <cell r="J1">
            <v>1.7453292519943295E-2</v>
          </cell>
        </row>
      </sheetData>
      <sheetData sheetId="25141">
        <row r="1">
          <cell r="J1">
            <v>1.7453292519943295E-2</v>
          </cell>
        </row>
      </sheetData>
      <sheetData sheetId="25142">
        <row r="1">
          <cell r="J1">
            <v>1.7453292519943295E-2</v>
          </cell>
        </row>
      </sheetData>
      <sheetData sheetId="25143">
        <row r="1">
          <cell r="J1">
            <v>1.7453292519943295E-2</v>
          </cell>
        </row>
      </sheetData>
      <sheetData sheetId="25144">
        <row r="1">
          <cell r="J1">
            <v>1.7453292519943295E-2</v>
          </cell>
        </row>
      </sheetData>
      <sheetData sheetId="25145">
        <row r="1">
          <cell r="J1">
            <v>1.7453292519943295E-2</v>
          </cell>
        </row>
      </sheetData>
      <sheetData sheetId="25146"/>
      <sheetData sheetId="25147"/>
      <sheetData sheetId="25148"/>
      <sheetData sheetId="25149"/>
      <sheetData sheetId="25150">
        <row r="1">
          <cell r="J1">
            <v>1.7453292519943295E-2</v>
          </cell>
        </row>
      </sheetData>
      <sheetData sheetId="25151">
        <row r="1">
          <cell r="J1">
            <v>1.7453292519943295E-2</v>
          </cell>
        </row>
      </sheetData>
      <sheetData sheetId="25152">
        <row r="1">
          <cell r="J1">
            <v>1.7453292519943295E-2</v>
          </cell>
        </row>
      </sheetData>
      <sheetData sheetId="25153">
        <row r="1">
          <cell r="J1">
            <v>1.7453292519943295E-2</v>
          </cell>
        </row>
      </sheetData>
      <sheetData sheetId="25154"/>
      <sheetData sheetId="25155"/>
      <sheetData sheetId="25156"/>
      <sheetData sheetId="25157"/>
      <sheetData sheetId="25158">
        <row r="1">
          <cell r="J1">
            <v>1.7453292519943295E-2</v>
          </cell>
        </row>
      </sheetData>
      <sheetData sheetId="25159">
        <row r="1">
          <cell r="J1">
            <v>1.7453292519943295E-2</v>
          </cell>
        </row>
      </sheetData>
      <sheetData sheetId="25160">
        <row r="1">
          <cell r="J1">
            <v>1.7453292519943295E-2</v>
          </cell>
        </row>
      </sheetData>
      <sheetData sheetId="25161">
        <row r="1">
          <cell r="J1">
            <v>1.7453292519943295E-2</v>
          </cell>
        </row>
      </sheetData>
      <sheetData sheetId="25162">
        <row r="1">
          <cell r="J1">
            <v>1.7453292519943295E-2</v>
          </cell>
        </row>
      </sheetData>
      <sheetData sheetId="25163">
        <row r="1">
          <cell r="J1">
            <v>1.7453292519943295E-2</v>
          </cell>
        </row>
      </sheetData>
      <sheetData sheetId="25164">
        <row r="1">
          <cell r="J1">
            <v>1.7453292519943295E-2</v>
          </cell>
        </row>
      </sheetData>
      <sheetData sheetId="25165">
        <row r="1">
          <cell r="J1">
            <v>1.7453292519943295E-2</v>
          </cell>
        </row>
      </sheetData>
      <sheetData sheetId="25166"/>
      <sheetData sheetId="25167"/>
      <sheetData sheetId="25168"/>
      <sheetData sheetId="25169"/>
      <sheetData sheetId="25170">
        <row r="1">
          <cell r="J1">
            <v>1.7453292519943295E-2</v>
          </cell>
        </row>
      </sheetData>
      <sheetData sheetId="25171">
        <row r="1">
          <cell r="J1">
            <v>1.7453292519943295E-2</v>
          </cell>
        </row>
      </sheetData>
      <sheetData sheetId="25172">
        <row r="1">
          <cell r="J1">
            <v>1.7453292519943295E-2</v>
          </cell>
        </row>
      </sheetData>
      <sheetData sheetId="25173">
        <row r="1">
          <cell r="J1">
            <v>1.7453292519943295E-2</v>
          </cell>
        </row>
      </sheetData>
      <sheetData sheetId="25174"/>
      <sheetData sheetId="25175"/>
      <sheetData sheetId="25176"/>
      <sheetData sheetId="25177"/>
      <sheetData sheetId="25178">
        <row r="1">
          <cell r="J1">
            <v>1.7453292519943295E-2</v>
          </cell>
        </row>
      </sheetData>
      <sheetData sheetId="25179">
        <row r="1">
          <cell r="J1">
            <v>1.7453292519943295E-2</v>
          </cell>
        </row>
      </sheetData>
      <sheetData sheetId="25180">
        <row r="1">
          <cell r="J1">
            <v>1.7453292519943295E-2</v>
          </cell>
        </row>
      </sheetData>
      <sheetData sheetId="25181">
        <row r="1">
          <cell r="J1">
            <v>1.7453292519943295E-2</v>
          </cell>
        </row>
      </sheetData>
      <sheetData sheetId="25182">
        <row r="1">
          <cell r="J1">
            <v>1.7453292519943295E-2</v>
          </cell>
        </row>
      </sheetData>
      <sheetData sheetId="25183">
        <row r="1">
          <cell r="J1">
            <v>1.7453292519943295E-2</v>
          </cell>
        </row>
      </sheetData>
      <sheetData sheetId="25184">
        <row r="1">
          <cell r="J1">
            <v>1.7453292519943295E-2</v>
          </cell>
        </row>
      </sheetData>
      <sheetData sheetId="25185">
        <row r="1">
          <cell r="J1">
            <v>1.7453292519943295E-2</v>
          </cell>
        </row>
      </sheetData>
      <sheetData sheetId="25186"/>
      <sheetData sheetId="25187"/>
      <sheetData sheetId="25188"/>
      <sheetData sheetId="25189"/>
      <sheetData sheetId="25190">
        <row r="1">
          <cell r="J1">
            <v>1.7453292519943295E-2</v>
          </cell>
        </row>
      </sheetData>
      <sheetData sheetId="25191">
        <row r="1">
          <cell r="J1">
            <v>1.7453292519943295E-2</v>
          </cell>
        </row>
      </sheetData>
      <sheetData sheetId="25192">
        <row r="1">
          <cell r="J1">
            <v>1.7453292519943295E-2</v>
          </cell>
        </row>
      </sheetData>
      <sheetData sheetId="25193">
        <row r="1">
          <cell r="J1">
            <v>1.7453292519943295E-2</v>
          </cell>
        </row>
      </sheetData>
      <sheetData sheetId="25194"/>
      <sheetData sheetId="25195"/>
      <sheetData sheetId="25196"/>
      <sheetData sheetId="25197"/>
      <sheetData sheetId="25198">
        <row r="1">
          <cell r="J1">
            <v>1.7453292519943295E-2</v>
          </cell>
        </row>
      </sheetData>
      <sheetData sheetId="25199">
        <row r="1">
          <cell r="J1">
            <v>1.7453292519943295E-2</v>
          </cell>
        </row>
      </sheetData>
      <sheetData sheetId="25200">
        <row r="1">
          <cell r="J1">
            <v>1.7453292519943295E-2</v>
          </cell>
        </row>
      </sheetData>
      <sheetData sheetId="25201">
        <row r="1">
          <cell r="J1">
            <v>1.7453292519943295E-2</v>
          </cell>
        </row>
      </sheetData>
      <sheetData sheetId="25202">
        <row r="1">
          <cell r="J1">
            <v>1.7453292519943295E-2</v>
          </cell>
        </row>
      </sheetData>
      <sheetData sheetId="25203">
        <row r="1">
          <cell r="J1">
            <v>1.7453292519943295E-2</v>
          </cell>
        </row>
      </sheetData>
      <sheetData sheetId="25204">
        <row r="1">
          <cell r="J1">
            <v>1.7453292519943295E-2</v>
          </cell>
        </row>
      </sheetData>
      <sheetData sheetId="25205">
        <row r="1">
          <cell r="J1">
            <v>1.7453292519943295E-2</v>
          </cell>
        </row>
      </sheetData>
      <sheetData sheetId="25206"/>
      <sheetData sheetId="25207"/>
      <sheetData sheetId="25208"/>
      <sheetData sheetId="25209"/>
      <sheetData sheetId="25210">
        <row r="1">
          <cell r="J1">
            <v>1.7453292519943295E-2</v>
          </cell>
        </row>
      </sheetData>
      <sheetData sheetId="25211">
        <row r="1">
          <cell r="J1">
            <v>1.7453292519943295E-2</v>
          </cell>
        </row>
      </sheetData>
      <sheetData sheetId="25212">
        <row r="1">
          <cell r="J1">
            <v>1.7453292519943295E-2</v>
          </cell>
        </row>
      </sheetData>
      <sheetData sheetId="25213">
        <row r="1">
          <cell r="J1">
            <v>1.7453292519943295E-2</v>
          </cell>
        </row>
      </sheetData>
      <sheetData sheetId="25214"/>
      <sheetData sheetId="25215"/>
      <sheetData sheetId="25216"/>
      <sheetData sheetId="25217"/>
      <sheetData sheetId="25218">
        <row r="1">
          <cell r="J1">
            <v>1.7453292519943295E-2</v>
          </cell>
        </row>
      </sheetData>
      <sheetData sheetId="25219">
        <row r="1">
          <cell r="J1">
            <v>1.7453292519943295E-2</v>
          </cell>
        </row>
      </sheetData>
      <sheetData sheetId="25220">
        <row r="1">
          <cell r="J1">
            <v>1.7453292519943295E-2</v>
          </cell>
        </row>
      </sheetData>
      <sheetData sheetId="25221">
        <row r="1">
          <cell r="J1">
            <v>1.7453292519943295E-2</v>
          </cell>
        </row>
      </sheetData>
      <sheetData sheetId="25222">
        <row r="1">
          <cell r="J1">
            <v>1.7453292519943295E-2</v>
          </cell>
        </row>
      </sheetData>
      <sheetData sheetId="25223">
        <row r="1">
          <cell r="J1">
            <v>1.7453292519943295E-2</v>
          </cell>
        </row>
      </sheetData>
      <sheetData sheetId="25224">
        <row r="1">
          <cell r="J1">
            <v>1.7453292519943295E-2</v>
          </cell>
        </row>
      </sheetData>
      <sheetData sheetId="25225">
        <row r="1">
          <cell r="J1">
            <v>1.7453292519943295E-2</v>
          </cell>
        </row>
      </sheetData>
      <sheetData sheetId="25226"/>
      <sheetData sheetId="25227"/>
      <sheetData sheetId="25228"/>
      <sheetData sheetId="25229"/>
      <sheetData sheetId="25230">
        <row r="1">
          <cell r="J1">
            <v>1.7453292519943295E-2</v>
          </cell>
        </row>
      </sheetData>
      <sheetData sheetId="25231">
        <row r="1">
          <cell r="J1">
            <v>1.7453292519943295E-2</v>
          </cell>
        </row>
      </sheetData>
      <sheetData sheetId="25232">
        <row r="1">
          <cell r="J1">
            <v>1.7453292519943295E-2</v>
          </cell>
        </row>
      </sheetData>
      <sheetData sheetId="25233">
        <row r="1">
          <cell r="J1">
            <v>1.7453292519943295E-2</v>
          </cell>
        </row>
      </sheetData>
      <sheetData sheetId="25234"/>
      <sheetData sheetId="25235"/>
      <sheetData sheetId="25236">
        <row r="1">
          <cell r="J1">
            <v>1.7453292519943295E-2</v>
          </cell>
        </row>
      </sheetData>
      <sheetData sheetId="25237"/>
      <sheetData sheetId="25238"/>
      <sheetData sheetId="25239">
        <row r="1">
          <cell r="J1">
            <v>1.7453292519943295E-2</v>
          </cell>
        </row>
      </sheetData>
      <sheetData sheetId="25240">
        <row r="1">
          <cell r="J1">
            <v>1.7453292519943295E-2</v>
          </cell>
        </row>
      </sheetData>
      <sheetData sheetId="25241">
        <row r="1">
          <cell r="J1">
            <v>1.7453292519943295E-2</v>
          </cell>
        </row>
      </sheetData>
      <sheetData sheetId="25242">
        <row r="1">
          <cell r="J1">
            <v>1.7453292519943295E-2</v>
          </cell>
        </row>
      </sheetData>
      <sheetData sheetId="25243">
        <row r="1">
          <cell r="J1">
            <v>1.7453292519943295E-2</v>
          </cell>
        </row>
      </sheetData>
      <sheetData sheetId="25244">
        <row r="1">
          <cell r="J1">
            <v>1.7453292519943295E-2</v>
          </cell>
        </row>
      </sheetData>
      <sheetData sheetId="25245">
        <row r="1">
          <cell r="J1">
            <v>1.7453292519943295E-2</v>
          </cell>
        </row>
      </sheetData>
      <sheetData sheetId="25246">
        <row r="1">
          <cell r="J1">
            <v>1.7453292519943295E-2</v>
          </cell>
        </row>
      </sheetData>
      <sheetData sheetId="25247"/>
      <sheetData sheetId="25248"/>
      <sheetData sheetId="25249"/>
      <sheetData sheetId="25250"/>
      <sheetData sheetId="25251">
        <row r="1">
          <cell r="J1">
            <v>1.7453292519943295E-2</v>
          </cell>
        </row>
      </sheetData>
      <sheetData sheetId="25252">
        <row r="1">
          <cell r="J1">
            <v>1.7453292519943295E-2</v>
          </cell>
        </row>
      </sheetData>
      <sheetData sheetId="25253">
        <row r="1">
          <cell r="J1">
            <v>1.7453292519943295E-2</v>
          </cell>
        </row>
      </sheetData>
      <sheetData sheetId="25254">
        <row r="1">
          <cell r="J1">
            <v>1.7453292519943295E-2</v>
          </cell>
        </row>
      </sheetData>
      <sheetData sheetId="25255"/>
      <sheetData sheetId="25256"/>
      <sheetData sheetId="25257">
        <row r="1">
          <cell r="J1">
            <v>1.7453292519943295E-2</v>
          </cell>
        </row>
      </sheetData>
      <sheetData sheetId="25258">
        <row r="1">
          <cell r="J1">
            <v>1.7453292519943295E-2</v>
          </cell>
        </row>
      </sheetData>
      <sheetData sheetId="25259"/>
      <sheetData sheetId="25260"/>
      <sheetData sheetId="25261">
        <row r="1">
          <cell r="J1">
            <v>1.7453292519943295E-2</v>
          </cell>
        </row>
      </sheetData>
      <sheetData sheetId="25262">
        <row r="1">
          <cell r="J1">
            <v>1.7453292519943295E-2</v>
          </cell>
        </row>
      </sheetData>
      <sheetData sheetId="25263">
        <row r="1">
          <cell r="J1">
            <v>1.7453292519943295E-2</v>
          </cell>
        </row>
      </sheetData>
      <sheetData sheetId="25264">
        <row r="1">
          <cell r="J1">
            <v>1.7453292519943295E-2</v>
          </cell>
        </row>
      </sheetData>
      <sheetData sheetId="25265">
        <row r="1">
          <cell r="J1">
            <v>1.7453292519943295E-2</v>
          </cell>
        </row>
      </sheetData>
      <sheetData sheetId="25266">
        <row r="1">
          <cell r="J1">
            <v>1.7453292519943295E-2</v>
          </cell>
        </row>
      </sheetData>
      <sheetData sheetId="25267">
        <row r="1">
          <cell r="J1">
            <v>1.7453292519943295E-2</v>
          </cell>
        </row>
      </sheetData>
      <sheetData sheetId="25268">
        <row r="1">
          <cell r="J1">
            <v>1.7453292519943295E-2</v>
          </cell>
        </row>
      </sheetData>
      <sheetData sheetId="25269"/>
      <sheetData sheetId="25270"/>
      <sheetData sheetId="25271"/>
      <sheetData sheetId="25272"/>
      <sheetData sheetId="25273">
        <row r="1">
          <cell r="J1">
            <v>1.7453292519943295E-2</v>
          </cell>
        </row>
      </sheetData>
      <sheetData sheetId="25274">
        <row r="1">
          <cell r="J1">
            <v>1.7453292519943295E-2</v>
          </cell>
        </row>
      </sheetData>
      <sheetData sheetId="25275">
        <row r="1">
          <cell r="J1">
            <v>1.7453292519943295E-2</v>
          </cell>
        </row>
      </sheetData>
      <sheetData sheetId="25276">
        <row r="1">
          <cell r="J1">
            <v>1.7453292519943295E-2</v>
          </cell>
        </row>
      </sheetData>
      <sheetData sheetId="25277"/>
      <sheetData sheetId="25278"/>
      <sheetData sheetId="25279"/>
      <sheetData sheetId="25280"/>
      <sheetData sheetId="25281">
        <row r="1">
          <cell r="J1">
            <v>1.7453292519943295E-2</v>
          </cell>
        </row>
      </sheetData>
      <sheetData sheetId="25282">
        <row r="1">
          <cell r="J1">
            <v>1.7453292519943295E-2</v>
          </cell>
        </row>
      </sheetData>
      <sheetData sheetId="25283">
        <row r="1">
          <cell r="J1">
            <v>1.7453292519943295E-2</v>
          </cell>
        </row>
      </sheetData>
      <sheetData sheetId="25284">
        <row r="1">
          <cell r="J1">
            <v>1.7453292519943295E-2</v>
          </cell>
        </row>
      </sheetData>
      <sheetData sheetId="25285">
        <row r="1">
          <cell r="J1">
            <v>1.7453292519943295E-2</v>
          </cell>
        </row>
      </sheetData>
      <sheetData sheetId="25286">
        <row r="1">
          <cell r="J1">
            <v>1.7453292519943295E-2</v>
          </cell>
        </row>
      </sheetData>
      <sheetData sheetId="25287">
        <row r="1">
          <cell r="J1">
            <v>1.7453292519943295E-2</v>
          </cell>
        </row>
      </sheetData>
      <sheetData sheetId="25288">
        <row r="1">
          <cell r="J1">
            <v>1.7453292519943295E-2</v>
          </cell>
        </row>
      </sheetData>
      <sheetData sheetId="25289"/>
      <sheetData sheetId="25290"/>
      <sheetData sheetId="25291"/>
      <sheetData sheetId="25292"/>
      <sheetData sheetId="25293">
        <row r="1">
          <cell r="J1">
            <v>1.7453292519943295E-2</v>
          </cell>
        </row>
      </sheetData>
      <sheetData sheetId="25294">
        <row r="1">
          <cell r="J1">
            <v>1.7453292519943295E-2</v>
          </cell>
        </row>
      </sheetData>
      <sheetData sheetId="25295">
        <row r="1">
          <cell r="J1">
            <v>1.7453292519943295E-2</v>
          </cell>
        </row>
      </sheetData>
      <sheetData sheetId="25296">
        <row r="1">
          <cell r="J1">
            <v>1.7453292519943295E-2</v>
          </cell>
        </row>
      </sheetData>
      <sheetData sheetId="25297"/>
      <sheetData sheetId="25298"/>
      <sheetData sheetId="25299">
        <row r="1">
          <cell r="J1">
            <v>1.7453292519943295E-2</v>
          </cell>
        </row>
      </sheetData>
      <sheetData sheetId="25300"/>
      <sheetData sheetId="25301" refreshError="1"/>
      <sheetData sheetId="25302">
        <row r="1">
          <cell r="J1">
            <v>1.7453292519943295E-2</v>
          </cell>
        </row>
      </sheetData>
      <sheetData sheetId="25303" refreshError="1"/>
      <sheetData sheetId="25304">
        <row r="1">
          <cell r="J1">
            <v>1.7453292519943295E-2</v>
          </cell>
        </row>
      </sheetData>
      <sheetData sheetId="25305"/>
      <sheetData sheetId="25306" refreshError="1"/>
      <sheetData sheetId="25307">
        <row r="1">
          <cell r="J1">
            <v>1.7453292519943295E-2</v>
          </cell>
        </row>
      </sheetData>
      <sheetData sheetId="25308"/>
      <sheetData sheetId="25309" refreshError="1"/>
      <sheetData sheetId="25310">
        <row r="1">
          <cell r="J1">
            <v>1.7453292519943295E-2</v>
          </cell>
        </row>
      </sheetData>
      <sheetData sheetId="25311" refreshError="1"/>
      <sheetData sheetId="25312">
        <row r="1">
          <cell r="J1">
            <v>1.7453292519943295E-2</v>
          </cell>
        </row>
      </sheetData>
      <sheetData sheetId="25313" refreshError="1"/>
      <sheetData sheetId="25314" refreshError="1"/>
      <sheetData sheetId="25315"/>
      <sheetData sheetId="25316" refreshError="1"/>
      <sheetData sheetId="25317"/>
      <sheetData sheetId="25318">
        <row r="1">
          <cell r="J1">
            <v>1.7453292519943295E-2</v>
          </cell>
        </row>
      </sheetData>
      <sheetData sheetId="25319"/>
      <sheetData sheetId="25320"/>
      <sheetData sheetId="25321">
        <row r="1">
          <cell r="J1">
            <v>1.7453292519943295E-2</v>
          </cell>
        </row>
      </sheetData>
      <sheetData sheetId="25322">
        <row r="1">
          <cell r="J1">
            <v>1.7453292519943295E-2</v>
          </cell>
        </row>
      </sheetData>
      <sheetData sheetId="25323">
        <row r="1">
          <cell r="J1">
            <v>1.7453292519943295E-2</v>
          </cell>
        </row>
      </sheetData>
      <sheetData sheetId="25324">
        <row r="1">
          <cell r="J1">
            <v>1.7453292519943295E-2</v>
          </cell>
        </row>
      </sheetData>
      <sheetData sheetId="25325">
        <row r="1">
          <cell r="J1">
            <v>1.7453292519943295E-2</v>
          </cell>
        </row>
      </sheetData>
      <sheetData sheetId="25326">
        <row r="1">
          <cell r="J1">
            <v>1.7453292519943295E-2</v>
          </cell>
        </row>
      </sheetData>
      <sheetData sheetId="25327">
        <row r="1">
          <cell r="J1">
            <v>1.7453292519943295E-2</v>
          </cell>
        </row>
      </sheetData>
      <sheetData sheetId="25328">
        <row r="1">
          <cell r="J1">
            <v>1.7453292519943295E-2</v>
          </cell>
        </row>
      </sheetData>
      <sheetData sheetId="25329"/>
      <sheetData sheetId="25330"/>
      <sheetData sheetId="25331"/>
      <sheetData sheetId="25332"/>
      <sheetData sheetId="25333">
        <row r="1">
          <cell r="J1">
            <v>1.7453292519943295E-2</v>
          </cell>
        </row>
      </sheetData>
      <sheetData sheetId="25334">
        <row r="1">
          <cell r="J1">
            <v>1.7453292519943295E-2</v>
          </cell>
        </row>
      </sheetData>
      <sheetData sheetId="25335">
        <row r="1">
          <cell r="J1">
            <v>1.7453292519943295E-2</v>
          </cell>
        </row>
      </sheetData>
      <sheetData sheetId="25336">
        <row r="1">
          <cell r="J1">
            <v>1.7453292519943295E-2</v>
          </cell>
        </row>
      </sheetData>
      <sheetData sheetId="25337"/>
      <sheetData sheetId="25338"/>
      <sheetData sheetId="25339">
        <row r="1">
          <cell r="J1">
            <v>1.7453292519943295E-2</v>
          </cell>
        </row>
      </sheetData>
      <sheetData sheetId="25340" refreshError="1"/>
      <sheetData sheetId="25341">
        <row r="1">
          <cell r="J1">
            <v>1.7453292519943295E-2</v>
          </cell>
        </row>
      </sheetData>
      <sheetData sheetId="25342" refreshError="1"/>
      <sheetData sheetId="25343" refreshError="1"/>
      <sheetData sheetId="25344">
        <row r="1">
          <cell r="J1">
            <v>1.7453292519943295E-2</v>
          </cell>
        </row>
      </sheetData>
      <sheetData sheetId="25345">
        <row r="1">
          <cell r="J1">
            <v>1.7453292519943295E-2</v>
          </cell>
        </row>
      </sheetData>
      <sheetData sheetId="25346"/>
      <sheetData sheetId="25347"/>
      <sheetData sheetId="25348"/>
      <sheetData sheetId="25349">
        <row r="1">
          <cell r="J1">
            <v>1.7453292519943295E-2</v>
          </cell>
        </row>
      </sheetData>
      <sheetData sheetId="25350">
        <row r="1">
          <cell r="J1">
            <v>1.7453292519943295E-2</v>
          </cell>
        </row>
      </sheetData>
      <sheetData sheetId="25351">
        <row r="1">
          <cell r="J1">
            <v>1.7453292519943295E-2</v>
          </cell>
        </row>
      </sheetData>
      <sheetData sheetId="25352">
        <row r="1">
          <cell r="J1">
            <v>1.7453292519943295E-2</v>
          </cell>
        </row>
      </sheetData>
      <sheetData sheetId="25353">
        <row r="1">
          <cell r="J1">
            <v>1.7453292519943295E-2</v>
          </cell>
        </row>
      </sheetData>
      <sheetData sheetId="25354">
        <row r="1">
          <cell r="J1">
            <v>1.7453292519943295E-2</v>
          </cell>
        </row>
      </sheetData>
      <sheetData sheetId="25355">
        <row r="1">
          <cell r="J1">
            <v>1.7453292519943295E-2</v>
          </cell>
        </row>
      </sheetData>
      <sheetData sheetId="25356">
        <row r="1">
          <cell r="J1">
            <v>1.7453292519943295E-2</v>
          </cell>
        </row>
      </sheetData>
      <sheetData sheetId="25357"/>
      <sheetData sheetId="25358"/>
      <sheetData sheetId="25359"/>
      <sheetData sheetId="25360"/>
      <sheetData sheetId="25361">
        <row r="1">
          <cell r="J1">
            <v>1.7453292519943295E-2</v>
          </cell>
        </row>
      </sheetData>
      <sheetData sheetId="25362">
        <row r="1">
          <cell r="J1">
            <v>1.7453292519943295E-2</v>
          </cell>
        </row>
      </sheetData>
      <sheetData sheetId="25363">
        <row r="1">
          <cell r="J1">
            <v>1.7453292519943295E-2</v>
          </cell>
        </row>
      </sheetData>
      <sheetData sheetId="25364">
        <row r="1">
          <cell r="J1">
            <v>1.7453292519943295E-2</v>
          </cell>
        </row>
      </sheetData>
      <sheetData sheetId="25365"/>
      <sheetData sheetId="25366"/>
      <sheetData sheetId="25367">
        <row r="1">
          <cell r="J1">
            <v>1.7453292519943295E-2</v>
          </cell>
        </row>
      </sheetData>
      <sheetData sheetId="25368">
        <row r="1">
          <cell r="J1">
            <v>1.7453292519943295E-2</v>
          </cell>
        </row>
      </sheetData>
      <sheetData sheetId="25369"/>
      <sheetData sheetId="25370"/>
      <sheetData sheetId="25371">
        <row r="1">
          <cell r="J1">
            <v>1.7453292519943295E-2</v>
          </cell>
        </row>
      </sheetData>
      <sheetData sheetId="25372">
        <row r="1">
          <cell r="J1">
            <v>1.7453292519943295E-2</v>
          </cell>
        </row>
      </sheetData>
      <sheetData sheetId="25373">
        <row r="1">
          <cell r="J1">
            <v>1.7453292519943295E-2</v>
          </cell>
        </row>
      </sheetData>
      <sheetData sheetId="25374">
        <row r="1">
          <cell r="J1">
            <v>1.7453292519943295E-2</v>
          </cell>
        </row>
      </sheetData>
      <sheetData sheetId="25375">
        <row r="1">
          <cell r="J1">
            <v>1.7453292519943295E-2</v>
          </cell>
        </row>
      </sheetData>
      <sheetData sheetId="25376">
        <row r="1">
          <cell r="J1">
            <v>1.7453292519943295E-2</v>
          </cell>
        </row>
      </sheetData>
      <sheetData sheetId="25377">
        <row r="1">
          <cell r="J1">
            <v>1.7453292519943295E-2</v>
          </cell>
        </row>
      </sheetData>
      <sheetData sheetId="25378">
        <row r="1">
          <cell r="J1">
            <v>1.7453292519943295E-2</v>
          </cell>
        </row>
      </sheetData>
      <sheetData sheetId="25379"/>
      <sheetData sheetId="25380"/>
      <sheetData sheetId="25381"/>
      <sheetData sheetId="25382"/>
      <sheetData sheetId="25383">
        <row r="1">
          <cell r="J1">
            <v>1.7453292519943295E-2</v>
          </cell>
        </row>
      </sheetData>
      <sheetData sheetId="25384">
        <row r="1">
          <cell r="J1">
            <v>1.7453292519943295E-2</v>
          </cell>
        </row>
      </sheetData>
      <sheetData sheetId="25385">
        <row r="1">
          <cell r="J1">
            <v>1.7453292519943295E-2</v>
          </cell>
        </row>
      </sheetData>
      <sheetData sheetId="25386">
        <row r="1">
          <cell r="J1">
            <v>1.7453292519943295E-2</v>
          </cell>
        </row>
      </sheetData>
      <sheetData sheetId="25387"/>
      <sheetData sheetId="25388"/>
      <sheetData sheetId="25389">
        <row r="1">
          <cell r="J1">
            <v>1.7453292519943295E-2</v>
          </cell>
        </row>
      </sheetData>
      <sheetData sheetId="25390" refreshError="1"/>
      <sheetData sheetId="25391"/>
      <sheetData sheetId="25392" refreshError="1"/>
      <sheetData sheetId="25393" refreshError="1"/>
      <sheetData sheetId="25394"/>
      <sheetData sheetId="25395">
        <row r="1">
          <cell r="J1">
            <v>1.7453292519943295E-2</v>
          </cell>
        </row>
      </sheetData>
      <sheetData sheetId="25396">
        <row r="1">
          <cell r="J1">
            <v>1.7453292519943295E-2</v>
          </cell>
        </row>
      </sheetData>
      <sheetData sheetId="25397" refreshError="1"/>
      <sheetData sheetId="25398" refreshError="1"/>
      <sheetData sheetId="25399" refreshError="1"/>
      <sheetData sheetId="25400"/>
      <sheetData sheetId="25401"/>
      <sheetData sheetId="25402">
        <row r="1">
          <cell r="J1">
            <v>1.7453292519943295E-2</v>
          </cell>
        </row>
      </sheetData>
      <sheetData sheetId="25403">
        <row r="1">
          <cell r="J1">
            <v>1.7453292519943295E-2</v>
          </cell>
        </row>
      </sheetData>
      <sheetData sheetId="25404">
        <row r="1">
          <cell r="J1">
            <v>1.7453292519943295E-2</v>
          </cell>
        </row>
      </sheetData>
      <sheetData sheetId="25405">
        <row r="1">
          <cell r="J1">
            <v>1.7453292519943295E-2</v>
          </cell>
        </row>
      </sheetData>
      <sheetData sheetId="25406">
        <row r="1">
          <cell r="J1">
            <v>1.7453292519943295E-2</v>
          </cell>
        </row>
      </sheetData>
      <sheetData sheetId="25407">
        <row r="1">
          <cell r="J1">
            <v>1.7453292519943295E-2</v>
          </cell>
        </row>
      </sheetData>
      <sheetData sheetId="25408">
        <row r="1">
          <cell r="J1">
            <v>1.7453292519943295E-2</v>
          </cell>
        </row>
      </sheetData>
      <sheetData sheetId="25409">
        <row r="1">
          <cell r="J1">
            <v>1.7453292519943295E-2</v>
          </cell>
        </row>
      </sheetData>
      <sheetData sheetId="25410"/>
      <sheetData sheetId="25411"/>
      <sheetData sheetId="25412"/>
      <sheetData sheetId="25413"/>
      <sheetData sheetId="25414">
        <row r="1">
          <cell r="J1">
            <v>1.7453292519943295E-2</v>
          </cell>
        </row>
      </sheetData>
      <sheetData sheetId="25415">
        <row r="1">
          <cell r="J1">
            <v>1.7453292519943295E-2</v>
          </cell>
        </row>
      </sheetData>
      <sheetData sheetId="25416">
        <row r="1">
          <cell r="J1">
            <v>1.7453292519943295E-2</v>
          </cell>
        </row>
      </sheetData>
      <sheetData sheetId="25417">
        <row r="1">
          <cell r="J1">
            <v>1.7453292519943295E-2</v>
          </cell>
        </row>
      </sheetData>
      <sheetData sheetId="25418"/>
      <sheetData sheetId="25419"/>
      <sheetData sheetId="25420"/>
      <sheetData sheetId="25421" refreshError="1"/>
      <sheetData sheetId="25422">
        <row r="1">
          <cell r="J1">
            <v>1.7453292519943295E-2</v>
          </cell>
        </row>
      </sheetData>
      <sheetData sheetId="25423" refreshError="1"/>
      <sheetData sheetId="25424">
        <row r="1">
          <cell r="J1">
            <v>1.7453292519943295E-2</v>
          </cell>
        </row>
      </sheetData>
      <sheetData sheetId="25425" refreshError="1"/>
      <sheetData sheetId="25426" refreshError="1"/>
      <sheetData sheetId="25427">
        <row r="1">
          <cell r="J1">
            <v>1.7453292519943295E-2</v>
          </cell>
        </row>
      </sheetData>
      <sheetData sheetId="25428" refreshError="1"/>
      <sheetData sheetId="25429"/>
      <sheetData sheetId="25430">
        <row r="1">
          <cell r="J1">
            <v>1.7453292519943295E-2</v>
          </cell>
        </row>
      </sheetData>
      <sheetData sheetId="25431">
        <row r="1">
          <cell r="J1">
            <v>1.7453292519943295E-2</v>
          </cell>
        </row>
      </sheetData>
      <sheetData sheetId="25432">
        <row r="1">
          <cell r="J1">
            <v>1.7453292519943295E-2</v>
          </cell>
        </row>
      </sheetData>
      <sheetData sheetId="25433">
        <row r="1">
          <cell r="J1">
            <v>1.7453292519943295E-2</v>
          </cell>
        </row>
      </sheetData>
      <sheetData sheetId="25434"/>
      <sheetData sheetId="25435"/>
      <sheetData sheetId="25436">
        <row r="1">
          <cell r="J1">
            <v>1.7453292519943295E-2</v>
          </cell>
        </row>
      </sheetData>
      <sheetData sheetId="25437">
        <row r="1">
          <cell r="J1">
            <v>1.7453292519943295E-2</v>
          </cell>
        </row>
      </sheetData>
      <sheetData sheetId="25438">
        <row r="1">
          <cell r="J1">
            <v>1.7453292519943295E-2</v>
          </cell>
        </row>
      </sheetData>
      <sheetData sheetId="25439"/>
      <sheetData sheetId="25440"/>
      <sheetData sheetId="25441"/>
      <sheetData sheetId="25442"/>
      <sheetData sheetId="25443"/>
      <sheetData sheetId="25444">
        <row r="1">
          <cell r="J1">
            <v>1.7453292519943295E-2</v>
          </cell>
        </row>
      </sheetData>
      <sheetData sheetId="25445">
        <row r="1">
          <cell r="J1">
            <v>1.7453292519943295E-2</v>
          </cell>
        </row>
      </sheetData>
      <sheetData sheetId="25446">
        <row r="1">
          <cell r="J1">
            <v>1.7453292519943295E-2</v>
          </cell>
        </row>
      </sheetData>
      <sheetData sheetId="25447">
        <row r="1">
          <cell r="J1">
            <v>1.7453292519943295E-2</v>
          </cell>
        </row>
      </sheetData>
      <sheetData sheetId="25448">
        <row r="1">
          <cell r="J1">
            <v>1.7453292519943295E-2</v>
          </cell>
        </row>
      </sheetData>
      <sheetData sheetId="25449"/>
      <sheetData sheetId="25450"/>
      <sheetData sheetId="25451">
        <row r="1">
          <cell r="J1">
            <v>1.7453292519943295E-2</v>
          </cell>
        </row>
      </sheetData>
      <sheetData sheetId="25452" refreshError="1"/>
      <sheetData sheetId="25453" refreshError="1"/>
      <sheetData sheetId="25454">
        <row r="1">
          <cell r="J1">
            <v>1.7453292519943295E-2</v>
          </cell>
        </row>
      </sheetData>
      <sheetData sheetId="25455">
        <row r="1">
          <cell r="J1">
            <v>1.7453292519943295E-2</v>
          </cell>
        </row>
      </sheetData>
      <sheetData sheetId="25456">
        <row r="1">
          <cell r="J1">
            <v>1.7453292519943295E-2</v>
          </cell>
        </row>
      </sheetData>
      <sheetData sheetId="25457" refreshError="1"/>
      <sheetData sheetId="25458">
        <row r="1">
          <cell r="J1">
            <v>1.7453292519943295E-2</v>
          </cell>
        </row>
      </sheetData>
      <sheetData sheetId="25459">
        <row r="1">
          <cell r="J1">
            <v>1.7453292519943295E-2</v>
          </cell>
        </row>
      </sheetData>
      <sheetData sheetId="25460" refreshError="1"/>
      <sheetData sheetId="25461">
        <row r="1">
          <cell r="J1">
            <v>1.7453292519943295E-2</v>
          </cell>
        </row>
      </sheetData>
      <sheetData sheetId="25462">
        <row r="1">
          <cell r="J1">
            <v>1.7453292519943295E-2</v>
          </cell>
        </row>
      </sheetData>
      <sheetData sheetId="25463">
        <row r="1">
          <cell r="J1">
            <v>1.7453292519943295E-2</v>
          </cell>
        </row>
      </sheetData>
      <sheetData sheetId="25464" refreshError="1"/>
      <sheetData sheetId="25465" refreshError="1"/>
      <sheetData sheetId="25466" refreshError="1"/>
      <sheetData sheetId="25467"/>
      <sheetData sheetId="25468" refreshError="1"/>
      <sheetData sheetId="25469" refreshError="1"/>
      <sheetData sheetId="25470">
        <row r="1">
          <cell r="J1">
            <v>1.7453292519943295E-2</v>
          </cell>
        </row>
      </sheetData>
      <sheetData sheetId="25471"/>
      <sheetData sheetId="25472"/>
      <sheetData sheetId="25473">
        <row r="1">
          <cell r="J1">
            <v>1.7453292519943295E-2</v>
          </cell>
        </row>
      </sheetData>
      <sheetData sheetId="25474">
        <row r="1">
          <cell r="J1">
            <v>1.7453292519943295E-2</v>
          </cell>
        </row>
      </sheetData>
      <sheetData sheetId="25475">
        <row r="1">
          <cell r="J1">
            <v>1.7453292519943295E-2</v>
          </cell>
        </row>
      </sheetData>
      <sheetData sheetId="25476">
        <row r="1">
          <cell r="J1">
            <v>1.7453292519943295E-2</v>
          </cell>
        </row>
      </sheetData>
      <sheetData sheetId="25477"/>
      <sheetData sheetId="25478">
        <row r="1">
          <cell r="J1">
            <v>1.7453292519943295E-2</v>
          </cell>
        </row>
      </sheetData>
      <sheetData sheetId="25479">
        <row r="1">
          <cell r="J1">
            <v>1.7453292519943295E-2</v>
          </cell>
        </row>
      </sheetData>
      <sheetData sheetId="25480">
        <row r="1">
          <cell r="J1">
            <v>1.7453292519943295E-2</v>
          </cell>
        </row>
      </sheetData>
      <sheetData sheetId="25481"/>
      <sheetData sheetId="25482"/>
      <sheetData sheetId="25483"/>
      <sheetData sheetId="25484"/>
      <sheetData sheetId="25485">
        <row r="1">
          <cell r="J1">
            <v>1.7453292519943295E-2</v>
          </cell>
        </row>
      </sheetData>
      <sheetData sheetId="25486">
        <row r="1">
          <cell r="J1">
            <v>1.7453292519943295E-2</v>
          </cell>
        </row>
      </sheetData>
      <sheetData sheetId="25487">
        <row r="1">
          <cell r="J1">
            <v>1.7453292519943295E-2</v>
          </cell>
        </row>
      </sheetData>
      <sheetData sheetId="25488">
        <row r="1">
          <cell r="J1">
            <v>1.7453292519943295E-2</v>
          </cell>
        </row>
      </sheetData>
      <sheetData sheetId="25489"/>
      <sheetData sheetId="25490"/>
      <sheetData sheetId="25491"/>
      <sheetData sheetId="25492">
        <row r="1">
          <cell r="J1">
            <v>1.7453292519943295E-2</v>
          </cell>
        </row>
      </sheetData>
      <sheetData sheetId="25493">
        <row r="1">
          <cell r="J1">
            <v>1.7453292519943295E-2</v>
          </cell>
        </row>
      </sheetData>
      <sheetData sheetId="25494" refreshError="1"/>
      <sheetData sheetId="25495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>
        <row r="1">
          <cell r="J1">
            <v>1.7453292519943295E-2</v>
          </cell>
        </row>
      </sheetData>
      <sheetData sheetId="25502"/>
      <sheetData sheetId="25503"/>
      <sheetData sheetId="25504">
        <row r="1">
          <cell r="J1">
            <v>1.7453292519943295E-2</v>
          </cell>
        </row>
      </sheetData>
      <sheetData sheetId="25505">
        <row r="1">
          <cell r="J1">
            <v>1.7453292519943295E-2</v>
          </cell>
        </row>
      </sheetData>
      <sheetData sheetId="25506">
        <row r="1">
          <cell r="J1">
            <v>1.7453292519943295E-2</v>
          </cell>
        </row>
      </sheetData>
      <sheetData sheetId="25507">
        <row r="1">
          <cell r="J1">
            <v>1.7453292519943295E-2</v>
          </cell>
        </row>
      </sheetData>
      <sheetData sheetId="25508"/>
      <sheetData sheetId="25509">
        <row r="1">
          <cell r="J1">
            <v>1.7453292519943295E-2</v>
          </cell>
        </row>
      </sheetData>
      <sheetData sheetId="25510">
        <row r="1">
          <cell r="J1">
            <v>1.7453292519943295E-2</v>
          </cell>
        </row>
      </sheetData>
      <sheetData sheetId="25511">
        <row r="1">
          <cell r="J1">
            <v>1.7453292519943295E-2</v>
          </cell>
        </row>
      </sheetData>
      <sheetData sheetId="25512"/>
      <sheetData sheetId="25513"/>
      <sheetData sheetId="25514"/>
      <sheetData sheetId="25515"/>
      <sheetData sheetId="25516">
        <row r="1">
          <cell r="J1">
            <v>1.7453292519943295E-2</v>
          </cell>
        </row>
      </sheetData>
      <sheetData sheetId="25517">
        <row r="1">
          <cell r="J1">
            <v>1.7453292519943295E-2</v>
          </cell>
        </row>
      </sheetData>
      <sheetData sheetId="25518">
        <row r="1">
          <cell r="J1">
            <v>1.7453292519943295E-2</v>
          </cell>
        </row>
      </sheetData>
      <sheetData sheetId="25519">
        <row r="1">
          <cell r="J1">
            <v>1.7453292519943295E-2</v>
          </cell>
        </row>
      </sheetData>
      <sheetData sheetId="25520"/>
      <sheetData sheetId="25521"/>
      <sheetData sheetId="25522">
        <row r="1">
          <cell r="J1">
            <v>1.7453292519943295E-2</v>
          </cell>
        </row>
      </sheetData>
      <sheetData sheetId="25523"/>
      <sheetData sheetId="25524">
        <row r="1">
          <cell r="J1">
            <v>1.7453292519943295E-2</v>
          </cell>
        </row>
      </sheetData>
      <sheetData sheetId="25525">
        <row r="1">
          <cell r="J1">
            <v>1.7453292519943295E-2</v>
          </cell>
        </row>
      </sheetData>
      <sheetData sheetId="25526" refreshError="1"/>
      <sheetData sheetId="25527"/>
      <sheetData sheetId="25528" refreshError="1"/>
      <sheetData sheetId="25529" refreshError="1"/>
      <sheetData sheetId="25530">
        <row r="1">
          <cell r="J1">
            <v>1.7453292519943295E-2</v>
          </cell>
        </row>
      </sheetData>
      <sheetData sheetId="25531" refreshError="1"/>
      <sheetData sheetId="25532">
        <row r="1">
          <cell r="J1">
            <v>1.7453292519943295E-2</v>
          </cell>
        </row>
      </sheetData>
      <sheetData sheetId="25533">
        <row r="1">
          <cell r="J1">
            <v>1.7453292519943295E-2</v>
          </cell>
        </row>
      </sheetData>
      <sheetData sheetId="25534" refreshError="1"/>
      <sheetData sheetId="25535" refreshError="1"/>
      <sheetData sheetId="25536" refreshError="1"/>
      <sheetData sheetId="25537" refreshError="1"/>
      <sheetData sheetId="25538">
        <row r="1">
          <cell r="J1">
            <v>1.7453292519943295E-2</v>
          </cell>
        </row>
      </sheetData>
      <sheetData sheetId="25539"/>
      <sheetData sheetId="25540"/>
      <sheetData sheetId="25541">
        <row r="1">
          <cell r="J1">
            <v>1.7453292519943295E-2</v>
          </cell>
        </row>
      </sheetData>
      <sheetData sheetId="25542"/>
      <sheetData sheetId="25543">
        <row r="1">
          <cell r="J1">
            <v>1.7453292519943295E-2</v>
          </cell>
        </row>
      </sheetData>
      <sheetData sheetId="25544">
        <row r="1">
          <cell r="J1">
            <v>1.7453292519943295E-2</v>
          </cell>
        </row>
      </sheetData>
      <sheetData sheetId="25545">
        <row r="1">
          <cell r="J1">
            <v>1.7453292519943295E-2</v>
          </cell>
        </row>
      </sheetData>
      <sheetData sheetId="25546">
        <row r="1">
          <cell r="J1">
            <v>1.7453292519943295E-2</v>
          </cell>
        </row>
      </sheetData>
      <sheetData sheetId="25547"/>
      <sheetData sheetId="25548"/>
      <sheetData sheetId="25549">
        <row r="1">
          <cell r="J1">
            <v>1.7453292519943295E-2</v>
          </cell>
        </row>
      </sheetData>
      <sheetData sheetId="25550">
        <row r="1">
          <cell r="J1">
            <v>1.7453292519943295E-2</v>
          </cell>
        </row>
      </sheetData>
      <sheetData sheetId="25551">
        <row r="1">
          <cell r="J1">
            <v>1.7453292519943295E-2</v>
          </cell>
        </row>
      </sheetData>
      <sheetData sheetId="25552"/>
      <sheetData sheetId="25553"/>
      <sheetData sheetId="25554"/>
      <sheetData sheetId="25555"/>
      <sheetData sheetId="25556">
        <row r="1">
          <cell r="J1">
            <v>1.7453292519943295E-2</v>
          </cell>
        </row>
      </sheetData>
      <sheetData sheetId="25557">
        <row r="1">
          <cell r="J1">
            <v>1.7453292519943295E-2</v>
          </cell>
        </row>
      </sheetData>
      <sheetData sheetId="25558">
        <row r="1">
          <cell r="J1">
            <v>1.7453292519943295E-2</v>
          </cell>
        </row>
      </sheetData>
      <sheetData sheetId="25559">
        <row r="1">
          <cell r="J1">
            <v>1.7453292519943295E-2</v>
          </cell>
        </row>
      </sheetData>
      <sheetData sheetId="25560"/>
      <sheetData sheetId="25561"/>
      <sheetData sheetId="25562" refreshError="1"/>
      <sheetData sheetId="25563">
        <row r="1">
          <cell r="J1">
            <v>1.7453292519943295E-2</v>
          </cell>
        </row>
      </sheetData>
      <sheetData sheetId="25564">
        <row r="1">
          <cell r="J1">
            <v>1.7453292519943295E-2</v>
          </cell>
        </row>
      </sheetData>
      <sheetData sheetId="25565" refreshError="1"/>
      <sheetData sheetId="25566" refreshError="1"/>
      <sheetData sheetId="25567" refreshError="1"/>
      <sheetData sheetId="25568" refreshError="1"/>
      <sheetData sheetId="25569"/>
      <sheetData sheetId="25570"/>
      <sheetData sheetId="25571"/>
      <sheetData sheetId="25572">
        <row r="1">
          <cell r="J1">
            <v>1.7453292519943295E-2</v>
          </cell>
        </row>
      </sheetData>
      <sheetData sheetId="25573">
        <row r="1">
          <cell r="J1">
            <v>1.7453292519943295E-2</v>
          </cell>
        </row>
      </sheetData>
      <sheetData sheetId="25574">
        <row r="1">
          <cell r="J1">
            <v>1.7453292519943295E-2</v>
          </cell>
        </row>
      </sheetData>
      <sheetData sheetId="25575">
        <row r="1">
          <cell r="J1">
            <v>1.7453292519943295E-2</v>
          </cell>
        </row>
      </sheetData>
      <sheetData sheetId="25576">
        <row r="1">
          <cell r="J1">
            <v>1.7453292519943295E-2</v>
          </cell>
        </row>
      </sheetData>
      <sheetData sheetId="25577">
        <row r="1">
          <cell r="J1">
            <v>1.7453292519943295E-2</v>
          </cell>
        </row>
      </sheetData>
      <sheetData sheetId="25578"/>
      <sheetData sheetId="25579"/>
      <sheetData sheetId="25580">
        <row r="1">
          <cell r="J1">
            <v>1.7453292519943295E-2</v>
          </cell>
        </row>
      </sheetData>
      <sheetData sheetId="25581">
        <row r="1">
          <cell r="J1">
            <v>1.7453292519943295E-2</v>
          </cell>
        </row>
      </sheetData>
      <sheetData sheetId="25582">
        <row r="1">
          <cell r="J1">
            <v>1.7453292519943295E-2</v>
          </cell>
        </row>
      </sheetData>
      <sheetData sheetId="25583"/>
      <sheetData sheetId="25584"/>
      <sheetData sheetId="25585"/>
      <sheetData sheetId="25586"/>
      <sheetData sheetId="25587">
        <row r="1">
          <cell r="J1">
            <v>1.7453292519943295E-2</v>
          </cell>
        </row>
      </sheetData>
      <sheetData sheetId="25588">
        <row r="1">
          <cell r="J1">
            <v>1.7453292519943295E-2</v>
          </cell>
        </row>
      </sheetData>
      <sheetData sheetId="25589">
        <row r="1">
          <cell r="J1">
            <v>1.7453292519943295E-2</v>
          </cell>
        </row>
      </sheetData>
      <sheetData sheetId="25590">
        <row r="1">
          <cell r="J1">
            <v>1.7453292519943295E-2</v>
          </cell>
        </row>
      </sheetData>
      <sheetData sheetId="25591"/>
      <sheetData sheetId="25592">
        <row r="1">
          <cell r="J1">
            <v>1.7453292519943295E-2</v>
          </cell>
        </row>
      </sheetData>
      <sheetData sheetId="25593">
        <row r="1">
          <cell r="J1">
            <v>1.7453292519943295E-2</v>
          </cell>
        </row>
      </sheetData>
      <sheetData sheetId="25594">
        <row r="1">
          <cell r="J1">
            <v>1.7453292519943295E-2</v>
          </cell>
        </row>
      </sheetData>
      <sheetData sheetId="25595" refreshError="1"/>
      <sheetData sheetId="25596">
        <row r="1">
          <cell r="J1">
            <v>1.7453292519943295E-2</v>
          </cell>
        </row>
      </sheetData>
      <sheetData sheetId="25597">
        <row r="1">
          <cell r="J1">
            <v>1.7453292519943295E-2</v>
          </cell>
        </row>
      </sheetData>
      <sheetData sheetId="25598" refreshError="1"/>
      <sheetData sheetId="25599" refreshError="1"/>
      <sheetData sheetId="25600">
        <row r="1">
          <cell r="J1">
            <v>1.7453292519943295E-2</v>
          </cell>
        </row>
      </sheetData>
      <sheetData sheetId="25601"/>
      <sheetData sheetId="25602">
        <row r="1">
          <cell r="J1">
            <v>1.7453292519943295E-2</v>
          </cell>
        </row>
      </sheetData>
      <sheetData sheetId="25603"/>
      <sheetData sheetId="25604" refreshError="1"/>
      <sheetData sheetId="25605">
        <row r="1">
          <cell r="J1">
            <v>1.7453292519943295E-2</v>
          </cell>
        </row>
      </sheetData>
      <sheetData sheetId="25606" refreshError="1"/>
      <sheetData sheetId="25607"/>
      <sheetData sheetId="25608" refreshError="1"/>
      <sheetData sheetId="25609" refreshError="1"/>
      <sheetData sheetId="25610">
        <row r="1">
          <cell r="J1">
            <v>1.7453292519943295E-2</v>
          </cell>
        </row>
      </sheetData>
      <sheetData sheetId="25611" refreshError="1"/>
      <sheetData sheetId="25612" refreshError="1"/>
      <sheetData sheetId="25613">
        <row r="1">
          <cell r="J1">
            <v>1.7453292519943295E-2</v>
          </cell>
        </row>
      </sheetData>
      <sheetData sheetId="25614"/>
      <sheetData sheetId="25615"/>
      <sheetData sheetId="25616">
        <row r="1">
          <cell r="J1">
            <v>1.7453292519943295E-2</v>
          </cell>
        </row>
      </sheetData>
      <sheetData sheetId="25617">
        <row r="1">
          <cell r="J1">
            <v>1.7453292519943295E-2</v>
          </cell>
        </row>
      </sheetData>
      <sheetData sheetId="25618">
        <row r="1">
          <cell r="J1">
            <v>1.7453292519943295E-2</v>
          </cell>
        </row>
      </sheetData>
      <sheetData sheetId="25619"/>
      <sheetData sheetId="25620"/>
      <sheetData sheetId="25621">
        <row r="1">
          <cell r="J1">
            <v>1.7453292519943295E-2</v>
          </cell>
        </row>
      </sheetData>
      <sheetData sheetId="25622">
        <row r="1">
          <cell r="J1">
            <v>1.7453292519943295E-2</v>
          </cell>
        </row>
      </sheetData>
      <sheetData sheetId="25623">
        <row r="1">
          <cell r="J1">
            <v>1.7453292519943295E-2</v>
          </cell>
        </row>
      </sheetData>
      <sheetData sheetId="25624"/>
      <sheetData sheetId="25625"/>
      <sheetData sheetId="25626"/>
      <sheetData sheetId="25627"/>
      <sheetData sheetId="25628">
        <row r="1">
          <cell r="J1">
            <v>1.7453292519943295E-2</v>
          </cell>
        </row>
      </sheetData>
      <sheetData sheetId="25629">
        <row r="1">
          <cell r="J1">
            <v>1.7453292519943295E-2</v>
          </cell>
        </row>
      </sheetData>
      <sheetData sheetId="25630">
        <row r="1">
          <cell r="J1">
            <v>1.7453292519943295E-2</v>
          </cell>
        </row>
      </sheetData>
      <sheetData sheetId="25631">
        <row r="1">
          <cell r="J1">
            <v>1.7453292519943295E-2</v>
          </cell>
        </row>
      </sheetData>
      <sheetData sheetId="25632">
        <row r="1">
          <cell r="J1">
            <v>1.7453292519943295E-2</v>
          </cell>
        </row>
      </sheetData>
      <sheetData sheetId="25633">
        <row r="1">
          <cell r="J1">
            <v>1.7453292519943295E-2</v>
          </cell>
        </row>
      </sheetData>
      <sheetData sheetId="25634" refreshError="1"/>
      <sheetData sheetId="25635" refreshError="1"/>
      <sheetData sheetId="25636">
        <row r="1">
          <cell r="J1">
            <v>1.7453292519943295E-2</v>
          </cell>
        </row>
      </sheetData>
      <sheetData sheetId="25637">
        <row r="1">
          <cell r="J1">
            <v>1.7453292519943295E-2</v>
          </cell>
        </row>
      </sheetData>
      <sheetData sheetId="25638">
        <row r="1">
          <cell r="J1">
            <v>1.7453292519943295E-2</v>
          </cell>
        </row>
      </sheetData>
      <sheetData sheetId="25639" refreshError="1"/>
      <sheetData sheetId="25640" refreshError="1"/>
      <sheetData sheetId="25641" refreshError="1"/>
      <sheetData sheetId="25642">
        <row r="1">
          <cell r="J1">
            <v>1.7453292519943295E-2</v>
          </cell>
        </row>
      </sheetData>
      <sheetData sheetId="25643">
        <row r="1">
          <cell r="J1">
            <v>1.7453292519943295E-2</v>
          </cell>
        </row>
      </sheetData>
      <sheetData sheetId="25644">
        <row r="1">
          <cell r="J1">
            <v>1.7453292519943295E-2</v>
          </cell>
        </row>
      </sheetData>
      <sheetData sheetId="25645">
        <row r="1">
          <cell r="J1">
            <v>1.7453292519943295E-2</v>
          </cell>
        </row>
      </sheetData>
      <sheetData sheetId="25646">
        <row r="1">
          <cell r="J1">
            <v>1.7453292519943295E-2</v>
          </cell>
        </row>
      </sheetData>
      <sheetData sheetId="25647">
        <row r="1">
          <cell r="J1">
            <v>1.7453292519943295E-2</v>
          </cell>
        </row>
      </sheetData>
      <sheetData sheetId="25648"/>
      <sheetData sheetId="25649">
        <row r="1">
          <cell r="J1">
            <v>1.7453292519943295E-2</v>
          </cell>
        </row>
      </sheetData>
      <sheetData sheetId="25650">
        <row r="1">
          <cell r="J1">
            <v>1.7453292519943295E-2</v>
          </cell>
        </row>
      </sheetData>
      <sheetData sheetId="25651">
        <row r="1">
          <cell r="J1">
            <v>1.7453292519943295E-2</v>
          </cell>
        </row>
      </sheetData>
      <sheetData sheetId="25652">
        <row r="1">
          <cell r="J1">
            <v>1.7453292519943295E-2</v>
          </cell>
        </row>
      </sheetData>
      <sheetData sheetId="25653">
        <row r="1">
          <cell r="J1">
            <v>1.7453292519943295E-2</v>
          </cell>
        </row>
      </sheetData>
      <sheetData sheetId="25654"/>
      <sheetData sheetId="25655">
        <row r="1">
          <cell r="J1">
            <v>1.7453292519943295E-2</v>
          </cell>
        </row>
      </sheetData>
      <sheetData sheetId="25656"/>
      <sheetData sheetId="25657">
        <row r="1">
          <cell r="J1">
            <v>1.7453292519943295E-2</v>
          </cell>
        </row>
      </sheetData>
      <sheetData sheetId="25658">
        <row r="1">
          <cell r="J1">
            <v>1.7453292519943295E-2</v>
          </cell>
        </row>
      </sheetData>
      <sheetData sheetId="25659">
        <row r="1">
          <cell r="J1">
            <v>1.7453292519943295E-2</v>
          </cell>
        </row>
      </sheetData>
      <sheetData sheetId="25660">
        <row r="1">
          <cell r="J1">
            <v>1.7453292519943295E-2</v>
          </cell>
        </row>
      </sheetData>
      <sheetData sheetId="25661">
        <row r="1">
          <cell r="J1">
            <v>1.7453292519943295E-2</v>
          </cell>
        </row>
      </sheetData>
      <sheetData sheetId="25662"/>
      <sheetData sheetId="25663"/>
      <sheetData sheetId="25664">
        <row r="1">
          <cell r="J1">
            <v>1.7453292519943295E-2</v>
          </cell>
        </row>
      </sheetData>
      <sheetData sheetId="25665">
        <row r="1">
          <cell r="J1">
            <v>1.7453292519943295E-2</v>
          </cell>
        </row>
      </sheetData>
      <sheetData sheetId="25666">
        <row r="1">
          <cell r="J1">
            <v>1.7453292519943295E-2</v>
          </cell>
        </row>
      </sheetData>
      <sheetData sheetId="25667" refreshError="1"/>
      <sheetData sheetId="25668" refreshError="1"/>
      <sheetData sheetId="25669">
        <row r="1">
          <cell r="J1">
            <v>1.7453292519943295E-2</v>
          </cell>
        </row>
      </sheetData>
      <sheetData sheetId="25670" refreshError="1"/>
      <sheetData sheetId="25671"/>
      <sheetData sheetId="25672">
        <row r="1">
          <cell r="J1">
            <v>1.7453292519943295E-2</v>
          </cell>
        </row>
      </sheetData>
      <sheetData sheetId="25673" refreshError="1"/>
      <sheetData sheetId="25674">
        <row r="1">
          <cell r="J1">
            <v>1.7453292519943295E-2</v>
          </cell>
        </row>
      </sheetData>
      <sheetData sheetId="25675" refreshError="1"/>
      <sheetData sheetId="25676" refreshError="1"/>
      <sheetData sheetId="25677">
        <row r="1">
          <cell r="J1">
            <v>1.7453292519943295E-2</v>
          </cell>
        </row>
      </sheetData>
      <sheetData sheetId="25678" refreshError="1"/>
      <sheetData sheetId="25679"/>
      <sheetData sheetId="25680" refreshError="1"/>
      <sheetData sheetId="25681" refreshError="1"/>
      <sheetData sheetId="25682">
        <row r="1">
          <cell r="J1">
            <v>1.7453292519943295E-2</v>
          </cell>
        </row>
      </sheetData>
      <sheetData sheetId="25683" refreshError="1"/>
      <sheetData sheetId="25684"/>
      <sheetData sheetId="25685">
        <row r="1">
          <cell r="J1">
            <v>1.7453292519943295E-2</v>
          </cell>
        </row>
      </sheetData>
      <sheetData sheetId="25686">
        <row r="1">
          <cell r="J1">
            <v>1.7453292519943295E-2</v>
          </cell>
        </row>
      </sheetData>
      <sheetData sheetId="25687">
        <row r="1">
          <cell r="J1">
            <v>1.7453292519943295E-2</v>
          </cell>
        </row>
      </sheetData>
      <sheetData sheetId="25688">
        <row r="1">
          <cell r="J1">
            <v>1.7453292519943295E-2</v>
          </cell>
        </row>
      </sheetData>
      <sheetData sheetId="25689">
        <row r="1">
          <cell r="J1">
            <v>1.7453292519943295E-2</v>
          </cell>
        </row>
      </sheetData>
      <sheetData sheetId="25690">
        <row r="1">
          <cell r="J1">
            <v>1.7453292519943295E-2</v>
          </cell>
        </row>
      </sheetData>
      <sheetData sheetId="25691">
        <row r="1">
          <cell r="J1">
            <v>1.7453292519943295E-2</v>
          </cell>
        </row>
      </sheetData>
      <sheetData sheetId="25692"/>
      <sheetData sheetId="25693"/>
      <sheetData sheetId="25694"/>
      <sheetData sheetId="25695"/>
      <sheetData sheetId="25696"/>
      <sheetData sheetId="25697">
        <row r="1">
          <cell r="J1">
            <v>1.7453292519943295E-2</v>
          </cell>
        </row>
      </sheetData>
      <sheetData sheetId="25698">
        <row r="1">
          <cell r="J1">
            <v>1.7453292519943295E-2</v>
          </cell>
        </row>
      </sheetData>
      <sheetData sheetId="25699">
        <row r="1">
          <cell r="J1">
            <v>1.7453292519943295E-2</v>
          </cell>
        </row>
      </sheetData>
      <sheetData sheetId="25700">
        <row r="1">
          <cell r="J1">
            <v>1.7453292519943295E-2</v>
          </cell>
        </row>
      </sheetData>
      <sheetData sheetId="25701">
        <row r="1">
          <cell r="J1">
            <v>1.7453292519943295E-2</v>
          </cell>
        </row>
      </sheetData>
      <sheetData sheetId="25702">
        <row r="1">
          <cell r="J1">
            <v>1.7453292519943295E-2</v>
          </cell>
        </row>
      </sheetData>
      <sheetData sheetId="25703"/>
      <sheetData sheetId="25704"/>
      <sheetData sheetId="25705"/>
      <sheetData sheetId="25706"/>
      <sheetData sheetId="25707">
        <row r="1">
          <cell r="J1">
            <v>1.7453292519943295E-2</v>
          </cell>
        </row>
      </sheetData>
      <sheetData sheetId="25708" refreshError="1"/>
      <sheetData sheetId="25709" refreshError="1"/>
      <sheetData sheetId="25710"/>
      <sheetData sheetId="25711">
        <row r="1">
          <cell r="J1">
            <v>1.7453292519943295E-2</v>
          </cell>
        </row>
      </sheetData>
      <sheetData sheetId="25712"/>
      <sheetData sheetId="25713" refreshError="1"/>
      <sheetData sheetId="25714">
        <row r="1">
          <cell r="J1">
            <v>1.7453292519943295E-2</v>
          </cell>
        </row>
      </sheetData>
      <sheetData sheetId="25715" refreshError="1"/>
      <sheetData sheetId="25716" refreshError="1"/>
      <sheetData sheetId="25717" refreshError="1"/>
      <sheetData sheetId="25718" refreshError="1"/>
      <sheetData sheetId="25719">
        <row r="1">
          <cell r="J1">
            <v>1.7453292519943295E-2</v>
          </cell>
        </row>
      </sheetData>
      <sheetData sheetId="25720"/>
      <sheetData sheetId="25721"/>
      <sheetData sheetId="25722">
        <row r="1">
          <cell r="J1">
            <v>1.7453292519943295E-2</v>
          </cell>
        </row>
      </sheetData>
      <sheetData sheetId="25723" refreshError="1"/>
      <sheetData sheetId="25724">
        <row r="1">
          <cell r="J1">
            <v>1.7453292519943295E-2</v>
          </cell>
        </row>
      </sheetData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>
        <row r="1">
          <cell r="J1">
            <v>1.7453292519943295E-2</v>
          </cell>
        </row>
      </sheetData>
      <sheetData sheetId="25731">
        <row r="1">
          <cell r="J1">
            <v>1.7453292519943295E-2</v>
          </cell>
        </row>
      </sheetData>
      <sheetData sheetId="25732">
        <row r="1">
          <cell r="J1">
            <v>1.7453292519943295E-2</v>
          </cell>
        </row>
      </sheetData>
      <sheetData sheetId="25733">
        <row r="1">
          <cell r="J1">
            <v>1.7453292519943295E-2</v>
          </cell>
        </row>
      </sheetData>
      <sheetData sheetId="25734">
        <row r="1">
          <cell r="J1">
            <v>1.7453292519943295E-2</v>
          </cell>
        </row>
      </sheetData>
      <sheetData sheetId="25735">
        <row r="1">
          <cell r="J1">
            <v>1.7453292519943295E-2</v>
          </cell>
        </row>
      </sheetData>
      <sheetData sheetId="25736"/>
      <sheetData sheetId="25737"/>
      <sheetData sheetId="25738"/>
      <sheetData sheetId="25739"/>
      <sheetData sheetId="25740">
        <row r="1">
          <cell r="J1">
            <v>1.7453292519943295E-2</v>
          </cell>
        </row>
      </sheetData>
      <sheetData sheetId="25741">
        <row r="1">
          <cell r="J1">
            <v>1.7453292519943295E-2</v>
          </cell>
        </row>
      </sheetData>
      <sheetData sheetId="25742">
        <row r="1">
          <cell r="J1">
            <v>1.7453292519943295E-2</v>
          </cell>
        </row>
      </sheetData>
      <sheetData sheetId="25743"/>
      <sheetData sheetId="25744"/>
      <sheetData sheetId="25745">
        <row r="1">
          <cell r="J1">
            <v>1.7453292519943295E-2</v>
          </cell>
        </row>
      </sheetData>
      <sheetData sheetId="25746">
        <row r="1">
          <cell r="J1">
            <v>1.7453292519943295E-2</v>
          </cell>
        </row>
      </sheetData>
      <sheetData sheetId="25747">
        <row r="1">
          <cell r="J1">
            <v>1.7453292519943295E-2</v>
          </cell>
        </row>
      </sheetData>
      <sheetData sheetId="25748"/>
      <sheetData sheetId="25749"/>
      <sheetData sheetId="25750"/>
      <sheetData sheetId="25751" refreshError="1"/>
      <sheetData sheetId="25752"/>
      <sheetData sheetId="25753" refreshError="1"/>
      <sheetData sheetId="25754" refreshError="1"/>
      <sheetData sheetId="25755">
        <row r="1">
          <cell r="J1">
            <v>1.7453292519943295E-2</v>
          </cell>
        </row>
      </sheetData>
      <sheetData sheetId="25756"/>
      <sheetData sheetId="25757">
        <row r="1">
          <cell r="J1">
            <v>1.7453292519943295E-2</v>
          </cell>
        </row>
      </sheetData>
      <sheetData sheetId="25758">
        <row r="1">
          <cell r="J1">
            <v>1.7453292519943295E-2</v>
          </cell>
        </row>
      </sheetData>
      <sheetData sheetId="25759" refreshError="1"/>
      <sheetData sheetId="25760"/>
      <sheetData sheetId="25761" refreshError="1"/>
      <sheetData sheetId="25762" refreshError="1"/>
      <sheetData sheetId="25763">
        <row r="1">
          <cell r="J1">
            <v>1.7453292519943295E-2</v>
          </cell>
        </row>
      </sheetData>
      <sheetData sheetId="25764"/>
      <sheetData sheetId="25765">
        <row r="1">
          <cell r="J1">
            <v>1.7453292519943295E-2</v>
          </cell>
        </row>
      </sheetData>
      <sheetData sheetId="25766" refreshError="1"/>
      <sheetData sheetId="25767">
        <row r="1">
          <cell r="J1">
            <v>1.7453292519943295E-2</v>
          </cell>
        </row>
      </sheetData>
      <sheetData sheetId="25768"/>
      <sheetData sheetId="25769"/>
      <sheetData sheetId="25770">
        <row r="1">
          <cell r="J1">
            <v>1.7453292519943295E-2</v>
          </cell>
        </row>
      </sheetData>
      <sheetData sheetId="25771" refreshError="1"/>
      <sheetData sheetId="25772">
        <row r="1">
          <cell r="J1">
            <v>1.7453292519943295E-2</v>
          </cell>
        </row>
      </sheetData>
      <sheetData sheetId="25773" refreshError="1"/>
      <sheetData sheetId="25774" refreshError="1"/>
      <sheetData sheetId="25775">
        <row r="1">
          <cell r="J1">
            <v>1.7453292519943295E-2</v>
          </cell>
        </row>
      </sheetData>
      <sheetData sheetId="25776"/>
      <sheetData sheetId="25777"/>
      <sheetData sheetId="25778">
        <row r="1">
          <cell r="J1">
            <v>1.7453292519943295E-2</v>
          </cell>
        </row>
      </sheetData>
      <sheetData sheetId="25779" refreshError="1"/>
      <sheetData sheetId="25780">
        <row r="1">
          <cell r="J1">
            <v>1.7453292519943295E-2</v>
          </cell>
        </row>
      </sheetData>
      <sheetData sheetId="25781" refreshError="1"/>
      <sheetData sheetId="25782" refreshError="1"/>
      <sheetData sheetId="25783">
        <row r="1">
          <cell r="J1">
            <v>1.7453292519943295E-2</v>
          </cell>
        </row>
      </sheetData>
      <sheetData sheetId="25784"/>
      <sheetData sheetId="25785" refreshError="1"/>
      <sheetData sheetId="25786">
        <row r="1">
          <cell r="J1">
            <v>1.7453292519943295E-2</v>
          </cell>
        </row>
      </sheetData>
      <sheetData sheetId="25787">
        <row r="1">
          <cell r="J1">
            <v>1.7453292519943295E-2</v>
          </cell>
        </row>
      </sheetData>
      <sheetData sheetId="25788" refreshError="1"/>
      <sheetData sheetId="25789" refreshError="1"/>
      <sheetData sheetId="25790" refreshError="1"/>
      <sheetData sheetId="25791" refreshError="1"/>
      <sheetData sheetId="25792">
        <row r="1">
          <cell r="J1">
            <v>1.7453292519943295E-2</v>
          </cell>
        </row>
      </sheetData>
      <sheetData sheetId="25793"/>
      <sheetData sheetId="25794">
        <row r="1">
          <cell r="J1">
            <v>1.7453292519943295E-2</v>
          </cell>
        </row>
      </sheetData>
      <sheetData sheetId="25795">
        <row r="1">
          <cell r="J1">
            <v>1.7453292519943295E-2</v>
          </cell>
        </row>
      </sheetData>
      <sheetData sheetId="25796">
        <row r="1">
          <cell r="J1">
            <v>1.7453292519943295E-2</v>
          </cell>
        </row>
      </sheetData>
      <sheetData sheetId="25797">
        <row r="1">
          <cell r="J1">
            <v>1.7453292519943295E-2</v>
          </cell>
        </row>
      </sheetData>
      <sheetData sheetId="25798">
        <row r="1">
          <cell r="J1">
            <v>1.7453292519943295E-2</v>
          </cell>
        </row>
      </sheetData>
      <sheetData sheetId="25799">
        <row r="1">
          <cell r="J1">
            <v>1.7453292519943295E-2</v>
          </cell>
        </row>
      </sheetData>
      <sheetData sheetId="25800">
        <row r="1">
          <cell r="J1">
            <v>1.7453292519943295E-2</v>
          </cell>
        </row>
      </sheetData>
      <sheetData sheetId="25801"/>
      <sheetData sheetId="25802">
        <row r="1">
          <cell r="J1">
            <v>1.7453292519943295E-2</v>
          </cell>
        </row>
      </sheetData>
      <sheetData sheetId="25803">
        <row r="1">
          <cell r="J1">
            <v>1.7453292519943295E-2</v>
          </cell>
        </row>
      </sheetData>
      <sheetData sheetId="25804">
        <row r="1">
          <cell r="J1">
            <v>1.7453292519943295E-2</v>
          </cell>
        </row>
      </sheetData>
      <sheetData sheetId="25805"/>
      <sheetData sheetId="25806"/>
      <sheetData sheetId="25807"/>
      <sheetData sheetId="25808"/>
      <sheetData sheetId="25809">
        <row r="1">
          <cell r="J1">
            <v>1.7453292519943295E-2</v>
          </cell>
        </row>
      </sheetData>
      <sheetData sheetId="25810">
        <row r="1">
          <cell r="J1">
            <v>1.7453292519943295E-2</v>
          </cell>
        </row>
      </sheetData>
      <sheetData sheetId="25811">
        <row r="1">
          <cell r="J1">
            <v>1.7453292519943295E-2</v>
          </cell>
        </row>
      </sheetData>
      <sheetData sheetId="25812"/>
      <sheetData sheetId="25813"/>
      <sheetData sheetId="25814">
        <row r="1">
          <cell r="J1">
            <v>1.7453292519943295E-2</v>
          </cell>
        </row>
      </sheetData>
      <sheetData sheetId="25815">
        <row r="1">
          <cell r="J1">
            <v>1.7453292519943295E-2</v>
          </cell>
        </row>
      </sheetData>
      <sheetData sheetId="25816">
        <row r="1">
          <cell r="J1">
            <v>1.7453292519943295E-2</v>
          </cell>
        </row>
      </sheetData>
      <sheetData sheetId="25817"/>
      <sheetData sheetId="25818" refreshError="1"/>
      <sheetData sheetId="25819">
        <row r="1">
          <cell r="J1">
            <v>1.7453292519943295E-2</v>
          </cell>
        </row>
      </sheetData>
      <sheetData sheetId="25820"/>
      <sheetData sheetId="25821" refreshError="1"/>
      <sheetData sheetId="25822" refreshError="1"/>
      <sheetData sheetId="25823"/>
      <sheetData sheetId="25824">
        <row r="1">
          <cell r="J1">
            <v>1.7453292519943295E-2</v>
          </cell>
        </row>
      </sheetData>
      <sheetData sheetId="25825" refreshError="1"/>
      <sheetData sheetId="25826"/>
      <sheetData sheetId="25827">
        <row r="1">
          <cell r="J1">
            <v>1.7453292519943295E-2</v>
          </cell>
        </row>
      </sheetData>
      <sheetData sheetId="25828" refreshError="1"/>
      <sheetData sheetId="25829" refreshError="1"/>
      <sheetData sheetId="25830" refreshError="1"/>
      <sheetData sheetId="25831" refreshError="1"/>
      <sheetData sheetId="25832">
        <row r="1">
          <cell r="J1">
            <v>1.7453292519943295E-2</v>
          </cell>
        </row>
      </sheetData>
      <sheetData sheetId="25833"/>
      <sheetData sheetId="25834">
        <row r="1">
          <cell r="J1">
            <v>1.7453292519943295E-2</v>
          </cell>
        </row>
      </sheetData>
      <sheetData sheetId="25835">
        <row r="1">
          <cell r="J1">
            <v>1.7453292519943295E-2</v>
          </cell>
        </row>
      </sheetData>
      <sheetData sheetId="25836">
        <row r="1">
          <cell r="J1">
            <v>1.7453292519943295E-2</v>
          </cell>
        </row>
      </sheetData>
      <sheetData sheetId="25837">
        <row r="1">
          <cell r="J1">
            <v>1.7453292519943295E-2</v>
          </cell>
        </row>
      </sheetData>
      <sheetData sheetId="25838">
        <row r="1">
          <cell r="J1">
            <v>1.7453292519943295E-2</v>
          </cell>
        </row>
      </sheetData>
      <sheetData sheetId="25839">
        <row r="1">
          <cell r="J1">
            <v>1.7453292519943295E-2</v>
          </cell>
        </row>
      </sheetData>
      <sheetData sheetId="25840">
        <row r="1">
          <cell r="J1">
            <v>1.7453292519943295E-2</v>
          </cell>
        </row>
      </sheetData>
      <sheetData sheetId="25841"/>
      <sheetData sheetId="25842"/>
      <sheetData sheetId="25843"/>
      <sheetData sheetId="25844"/>
      <sheetData sheetId="25845"/>
      <sheetData sheetId="25846">
        <row r="1">
          <cell r="J1">
            <v>1.7453292519943295E-2</v>
          </cell>
        </row>
      </sheetData>
      <sheetData sheetId="25847">
        <row r="1">
          <cell r="J1">
            <v>1.7453292519943295E-2</v>
          </cell>
        </row>
      </sheetData>
      <sheetData sheetId="25848">
        <row r="1">
          <cell r="J1">
            <v>1.7453292519943295E-2</v>
          </cell>
        </row>
      </sheetData>
      <sheetData sheetId="25849"/>
      <sheetData sheetId="25850">
        <row r="1">
          <cell r="J1">
            <v>1.7453292519943295E-2</v>
          </cell>
        </row>
      </sheetData>
      <sheetData sheetId="25851">
        <row r="1">
          <cell r="J1">
            <v>1.7453292519943295E-2</v>
          </cell>
        </row>
      </sheetData>
      <sheetData sheetId="25852">
        <row r="1">
          <cell r="J1">
            <v>1.7453292519943295E-2</v>
          </cell>
        </row>
      </sheetData>
      <sheetData sheetId="25853">
        <row r="1">
          <cell r="J1">
            <v>1.7453292519943295E-2</v>
          </cell>
        </row>
      </sheetData>
      <sheetData sheetId="25854"/>
      <sheetData sheetId="25855"/>
      <sheetData sheetId="25856">
        <row r="1">
          <cell r="J1">
            <v>1.7453292519943295E-2</v>
          </cell>
        </row>
      </sheetData>
      <sheetData sheetId="25857" refreshError="1"/>
      <sheetData sheetId="25858"/>
      <sheetData sheetId="25859">
        <row r="1">
          <cell r="J1">
            <v>1.7453292519943295E-2</v>
          </cell>
        </row>
      </sheetData>
      <sheetData sheetId="25860" refreshError="1"/>
      <sheetData sheetId="25861" refreshError="1"/>
      <sheetData sheetId="25862">
        <row r="1">
          <cell r="J1">
            <v>1.7453292519943295E-2</v>
          </cell>
        </row>
      </sheetData>
      <sheetData sheetId="25863"/>
      <sheetData sheetId="25864">
        <row r="1">
          <cell r="J1">
            <v>1.7453292519943295E-2</v>
          </cell>
        </row>
      </sheetData>
      <sheetData sheetId="25865"/>
      <sheetData sheetId="25866" refreshError="1"/>
      <sheetData sheetId="25867" refreshError="1"/>
      <sheetData sheetId="25868">
        <row r="1">
          <cell r="J1">
            <v>1.7453292519943295E-2</v>
          </cell>
        </row>
      </sheetData>
      <sheetData sheetId="25869" refreshError="1"/>
      <sheetData sheetId="25870" refreshError="1"/>
      <sheetData sheetId="25871"/>
      <sheetData sheetId="25872" refreshError="1"/>
      <sheetData sheetId="25873" refreshError="1"/>
      <sheetData sheetId="25874"/>
      <sheetData sheetId="25875"/>
      <sheetData sheetId="25876">
        <row r="1">
          <cell r="J1">
            <v>1.7453292519943295E-2</v>
          </cell>
        </row>
      </sheetData>
      <sheetData sheetId="25877">
        <row r="1">
          <cell r="J1">
            <v>1.7453292519943295E-2</v>
          </cell>
        </row>
      </sheetData>
      <sheetData sheetId="25878">
        <row r="1">
          <cell r="J1">
            <v>1.7453292519943295E-2</v>
          </cell>
        </row>
      </sheetData>
      <sheetData sheetId="25879">
        <row r="1">
          <cell r="J1">
            <v>1.7453292519943295E-2</v>
          </cell>
        </row>
      </sheetData>
      <sheetData sheetId="25880"/>
      <sheetData sheetId="25881"/>
      <sheetData sheetId="25882"/>
      <sheetData sheetId="25883"/>
      <sheetData sheetId="25884"/>
      <sheetData sheetId="25885">
        <row r="1">
          <cell r="J1">
            <v>1.7453292519943295E-2</v>
          </cell>
        </row>
      </sheetData>
      <sheetData sheetId="25886">
        <row r="1">
          <cell r="J1">
            <v>1.7453292519943295E-2</v>
          </cell>
        </row>
      </sheetData>
      <sheetData sheetId="25887">
        <row r="1">
          <cell r="J1">
            <v>1.7453292519943295E-2</v>
          </cell>
        </row>
      </sheetData>
      <sheetData sheetId="25888">
        <row r="1">
          <cell r="J1">
            <v>1.7453292519943295E-2</v>
          </cell>
        </row>
      </sheetData>
      <sheetData sheetId="25889">
        <row r="1">
          <cell r="J1">
            <v>1.7453292519943295E-2</v>
          </cell>
        </row>
      </sheetData>
      <sheetData sheetId="25890">
        <row r="1">
          <cell r="J1">
            <v>1.7453292519943295E-2</v>
          </cell>
        </row>
      </sheetData>
      <sheetData sheetId="25891">
        <row r="1">
          <cell r="J1">
            <v>1.7453292519943295E-2</v>
          </cell>
        </row>
      </sheetData>
      <sheetData sheetId="25892"/>
      <sheetData sheetId="25893"/>
      <sheetData sheetId="25894"/>
      <sheetData sheetId="25895" refreshError="1"/>
      <sheetData sheetId="25896">
        <row r="1">
          <cell r="J1">
            <v>1.7453292519943295E-2</v>
          </cell>
        </row>
      </sheetData>
      <sheetData sheetId="25897">
        <row r="1">
          <cell r="J1">
            <v>1.7453292519943295E-2</v>
          </cell>
        </row>
      </sheetData>
      <sheetData sheetId="25898">
        <row r="1">
          <cell r="J1">
            <v>1.7453292519943295E-2</v>
          </cell>
        </row>
      </sheetData>
      <sheetData sheetId="25899" refreshError="1"/>
      <sheetData sheetId="25900" refreshError="1"/>
      <sheetData sheetId="25901" refreshError="1"/>
      <sheetData sheetId="25902">
        <row r="1">
          <cell r="J1">
            <v>1.7453292519943295E-2</v>
          </cell>
        </row>
      </sheetData>
      <sheetData sheetId="25903" refreshError="1"/>
      <sheetData sheetId="25904" refreshError="1"/>
      <sheetData sheetId="25905">
        <row r="1">
          <cell r="J1">
            <v>1.7453292519943295E-2</v>
          </cell>
        </row>
      </sheetData>
      <sheetData sheetId="25906">
        <row r="1">
          <cell r="J1">
            <v>1.7453292519943295E-2</v>
          </cell>
        </row>
      </sheetData>
      <sheetData sheetId="25907">
        <row r="1">
          <cell r="J1">
            <v>1.7453292519943295E-2</v>
          </cell>
        </row>
      </sheetData>
      <sheetData sheetId="25908">
        <row r="1">
          <cell r="J1">
            <v>1.7453292519943295E-2</v>
          </cell>
        </row>
      </sheetData>
      <sheetData sheetId="25909">
        <row r="1">
          <cell r="J1">
            <v>1.7453292519943295E-2</v>
          </cell>
        </row>
      </sheetData>
      <sheetData sheetId="25910">
        <row r="1">
          <cell r="J1">
            <v>1.7453292519943295E-2</v>
          </cell>
        </row>
      </sheetData>
      <sheetData sheetId="25911">
        <row r="1">
          <cell r="J1">
            <v>1.7453292519943295E-2</v>
          </cell>
        </row>
      </sheetData>
      <sheetData sheetId="25912"/>
      <sheetData sheetId="25913">
        <row r="1">
          <cell r="J1">
            <v>1.7453292519943295E-2</v>
          </cell>
        </row>
      </sheetData>
      <sheetData sheetId="25914">
        <row r="1">
          <cell r="J1">
            <v>1.7453292519943295E-2</v>
          </cell>
        </row>
      </sheetData>
      <sheetData sheetId="25915">
        <row r="1">
          <cell r="J1">
            <v>1.7453292519943295E-2</v>
          </cell>
        </row>
      </sheetData>
      <sheetData sheetId="25916">
        <row r="1">
          <cell r="J1">
            <v>1.7453292519943295E-2</v>
          </cell>
        </row>
      </sheetData>
      <sheetData sheetId="25917">
        <row r="1">
          <cell r="J1">
            <v>1.7453292519943295E-2</v>
          </cell>
        </row>
      </sheetData>
      <sheetData sheetId="25918">
        <row r="1">
          <cell r="J1">
            <v>1.7453292519943295E-2</v>
          </cell>
        </row>
      </sheetData>
      <sheetData sheetId="25919"/>
      <sheetData sheetId="25920">
        <row r="1">
          <cell r="J1">
            <v>1.7453292519943295E-2</v>
          </cell>
        </row>
      </sheetData>
      <sheetData sheetId="25921">
        <row r="1">
          <cell r="J1">
            <v>1.7453292519943295E-2</v>
          </cell>
        </row>
      </sheetData>
      <sheetData sheetId="25922">
        <row r="1">
          <cell r="J1">
            <v>1.7453292519943295E-2</v>
          </cell>
        </row>
      </sheetData>
      <sheetData sheetId="25923"/>
      <sheetData sheetId="25924"/>
      <sheetData sheetId="25925">
        <row r="1">
          <cell r="J1">
            <v>1.7453292519943295E-2</v>
          </cell>
        </row>
      </sheetData>
      <sheetData sheetId="25926">
        <row r="1">
          <cell r="J1">
            <v>1.7453292519943295E-2</v>
          </cell>
        </row>
      </sheetData>
      <sheetData sheetId="25927" refreshError="1"/>
      <sheetData sheetId="25928" refreshError="1"/>
      <sheetData sheetId="25929" refreshError="1"/>
      <sheetData sheetId="25930">
        <row r="1">
          <cell r="J1">
            <v>1.7453292519943295E-2</v>
          </cell>
        </row>
      </sheetData>
      <sheetData sheetId="25931"/>
      <sheetData sheetId="25932" refreshError="1"/>
      <sheetData sheetId="25933">
        <row r="1">
          <cell r="J1">
            <v>1.7453292519943295E-2</v>
          </cell>
        </row>
      </sheetData>
      <sheetData sheetId="25934" refreshError="1"/>
      <sheetData sheetId="25935" refreshError="1"/>
      <sheetData sheetId="25936"/>
      <sheetData sheetId="25937"/>
      <sheetData sheetId="25938">
        <row r="1">
          <cell r="J1">
            <v>1.7453292519943295E-2</v>
          </cell>
        </row>
      </sheetData>
      <sheetData sheetId="25939"/>
      <sheetData sheetId="25940"/>
      <sheetData sheetId="25941">
        <row r="1">
          <cell r="J1">
            <v>1.7453292519943295E-2</v>
          </cell>
        </row>
      </sheetData>
      <sheetData sheetId="25942">
        <row r="1">
          <cell r="J1">
            <v>1.7453292519943295E-2</v>
          </cell>
        </row>
      </sheetData>
      <sheetData sheetId="25943">
        <row r="1">
          <cell r="J1">
            <v>1.7453292519943295E-2</v>
          </cell>
        </row>
      </sheetData>
      <sheetData sheetId="25944">
        <row r="1">
          <cell r="J1">
            <v>1.7453292519943295E-2</v>
          </cell>
        </row>
      </sheetData>
      <sheetData sheetId="25945">
        <row r="1">
          <cell r="J1">
            <v>1.7453292519943295E-2</v>
          </cell>
        </row>
      </sheetData>
      <sheetData sheetId="25946"/>
      <sheetData sheetId="25947"/>
      <sheetData sheetId="25948">
        <row r="1">
          <cell r="J1">
            <v>1.7453292519943295E-2</v>
          </cell>
        </row>
      </sheetData>
      <sheetData sheetId="25949">
        <row r="1">
          <cell r="J1">
            <v>1.7453292519943295E-2</v>
          </cell>
        </row>
      </sheetData>
      <sheetData sheetId="25950">
        <row r="1">
          <cell r="J1">
            <v>1.7453292519943295E-2</v>
          </cell>
        </row>
      </sheetData>
      <sheetData sheetId="25951">
        <row r="1">
          <cell r="J1">
            <v>1.7453292519943295E-2</v>
          </cell>
        </row>
      </sheetData>
      <sheetData sheetId="25952">
        <row r="1">
          <cell r="J1">
            <v>1.7453292519943295E-2</v>
          </cell>
        </row>
      </sheetData>
      <sheetData sheetId="25953">
        <row r="1">
          <cell r="J1">
            <v>1.7453292519943295E-2</v>
          </cell>
        </row>
      </sheetData>
      <sheetData sheetId="25954">
        <row r="1">
          <cell r="J1">
            <v>1.7453292519943295E-2</v>
          </cell>
        </row>
      </sheetData>
      <sheetData sheetId="25955">
        <row r="1">
          <cell r="J1">
            <v>1.7453292519943295E-2</v>
          </cell>
        </row>
      </sheetData>
      <sheetData sheetId="25956">
        <row r="1">
          <cell r="J1">
            <v>1.7453292519943295E-2</v>
          </cell>
        </row>
      </sheetData>
      <sheetData sheetId="25957">
        <row r="1">
          <cell r="J1">
            <v>1.7453292519943295E-2</v>
          </cell>
        </row>
      </sheetData>
      <sheetData sheetId="25958" refreshError="1"/>
      <sheetData sheetId="25959" refreshError="1"/>
      <sheetData sheetId="25960">
        <row r="1">
          <cell r="J1">
            <v>1.7453292519943295E-2</v>
          </cell>
        </row>
      </sheetData>
      <sheetData sheetId="25961"/>
      <sheetData sheetId="25962">
        <row r="1">
          <cell r="J1">
            <v>1.7453292519943295E-2</v>
          </cell>
        </row>
      </sheetData>
      <sheetData sheetId="25963" refreshError="1"/>
      <sheetData sheetId="25964"/>
      <sheetData sheetId="25965">
        <row r="1">
          <cell r="J1">
            <v>1.7453292519943295E-2</v>
          </cell>
        </row>
      </sheetData>
      <sheetData sheetId="25966" refreshError="1"/>
      <sheetData sheetId="25967" refreshError="1"/>
      <sheetData sheetId="25968">
        <row r="1">
          <cell r="J1">
            <v>1.7453292519943295E-2</v>
          </cell>
        </row>
      </sheetData>
      <sheetData sheetId="25969">
        <row r="1">
          <cell r="J1">
            <v>1.7453292519943295E-2</v>
          </cell>
        </row>
      </sheetData>
      <sheetData sheetId="25970"/>
      <sheetData sheetId="25971" refreshError="1"/>
      <sheetData sheetId="25972" refreshError="1"/>
      <sheetData sheetId="25973" refreshError="1"/>
      <sheetData sheetId="25974">
        <row r="1">
          <cell r="J1">
            <v>1.7453292519943295E-2</v>
          </cell>
        </row>
      </sheetData>
      <sheetData sheetId="25975" refreshError="1"/>
      <sheetData sheetId="25976">
        <row r="1">
          <cell r="J1">
            <v>1.7453292519943295E-2</v>
          </cell>
        </row>
      </sheetData>
      <sheetData sheetId="25977">
        <row r="1">
          <cell r="J1">
            <v>1.7453292519943295E-2</v>
          </cell>
        </row>
      </sheetData>
      <sheetData sheetId="25978">
        <row r="1">
          <cell r="J1">
            <v>1.7453292519943295E-2</v>
          </cell>
        </row>
      </sheetData>
      <sheetData sheetId="25979">
        <row r="1">
          <cell r="J1">
            <v>1.7453292519943295E-2</v>
          </cell>
        </row>
      </sheetData>
      <sheetData sheetId="25980"/>
      <sheetData sheetId="25981">
        <row r="1">
          <cell r="J1">
            <v>1.7453292519943295E-2</v>
          </cell>
        </row>
      </sheetData>
      <sheetData sheetId="25982">
        <row r="1">
          <cell r="J1">
            <v>1.7453292519943295E-2</v>
          </cell>
        </row>
      </sheetData>
      <sheetData sheetId="25983">
        <row r="1">
          <cell r="J1">
            <v>1.7453292519943295E-2</v>
          </cell>
        </row>
      </sheetData>
      <sheetData sheetId="25984">
        <row r="1">
          <cell r="J1">
            <v>1.7453292519943295E-2</v>
          </cell>
        </row>
      </sheetData>
      <sheetData sheetId="25985">
        <row r="1">
          <cell r="J1">
            <v>1.7453292519943295E-2</v>
          </cell>
        </row>
      </sheetData>
      <sheetData sheetId="25986">
        <row r="1">
          <cell r="J1">
            <v>1.7453292519943295E-2</v>
          </cell>
        </row>
      </sheetData>
      <sheetData sheetId="25987">
        <row r="1">
          <cell r="J1">
            <v>1.7453292519943295E-2</v>
          </cell>
        </row>
      </sheetData>
      <sheetData sheetId="25988"/>
      <sheetData sheetId="25989">
        <row r="1">
          <cell r="J1">
            <v>1.7453292519943295E-2</v>
          </cell>
        </row>
      </sheetData>
      <sheetData sheetId="25990">
        <row r="1">
          <cell r="J1">
            <v>1.7453292519943295E-2</v>
          </cell>
        </row>
      </sheetData>
      <sheetData sheetId="25991">
        <row r="1">
          <cell r="J1">
            <v>1.7453292519943295E-2</v>
          </cell>
        </row>
      </sheetData>
      <sheetData sheetId="25992">
        <row r="1">
          <cell r="J1">
            <v>1.7453292519943295E-2</v>
          </cell>
        </row>
      </sheetData>
      <sheetData sheetId="25993">
        <row r="1">
          <cell r="J1">
            <v>1.7453292519943295E-2</v>
          </cell>
        </row>
      </sheetData>
      <sheetData sheetId="25994">
        <row r="1">
          <cell r="J1">
            <v>1.7453292519943295E-2</v>
          </cell>
        </row>
      </sheetData>
      <sheetData sheetId="25995">
        <row r="1">
          <cell r="J1">
            <v>1.7453292519943295E-2</v>
          </cell>
        </row>
      </sheetData>
      <sheetData sheetId="25996">
        <row r="1">
          <cell r="J1">
            <v>1.7453292519943295E-2</v>
          </cell>
        </row>
      </sheetData>
      <sheetData sheetId="25997">
        <row r="1">
          <cell r="J1">
            <v>1.7453292519943295E-2</v>
          </cell>
        </row>
      </sheetData>
      <sheetData sheetId="25998" refreshError="1"/>
      <sheetData sheetId="25999" refreshError="1"/>
      <sheetData sheetId="26000">
        <row r="1">
          <cell r="J1">
            <v>1.7453292519943295E-2</v>
          </cell>
        </row>
      </sheetData>
      <sheetData sheetId="26001">
        <row r="1">
          <cell r="J1">
            <v>1.7453292519943295E-2</v>
          </cell>
        </row>
      </sheetData>
      <sheetData sheetId="26002">
        <row r="1">
          <cell r="J1">
            <v>1.7453292519943295E-2</v>
          </cell>
        </row>
      </sheetData>
      <sheetData sheetId="26003" refreshError="1"/>
      <sheetData sheetId="26004">
        <row r="1">
          <cell r="J1">
            <v>1.7453292519943295E-2</v>
          </cell>
        </row>
      </sheetData>
      <sheetData sheetId="26005">
        <row r="1">
          <cell r="J1">
            <v>1.7453292519943295E-2</v>
          </cell>
        </row>
      </sheetData>
      <sheetData sheetId="26006" refreshError="1"/>
      <sheetData sheetId="26007">
        <row r="1">
          <cell r="J1">
            <v>1.7453292519943295E-2</v>
          </cell>
        </row>
      </sheetData>
      <sheetData sheetId="26008">
        <row r="1">
          <cell r="J1">
            <v>1.7453292519943295E-2</v>
          </cell>
        </row>
      </sheetData>
      <sheetData sheetId="26009" refreshError="1"/>
      <sheetData sheetId="26010" refreshError="1"/>
      <sheetData sheetId="26011" refreshError="1"/>
      <sheetData sheetId="26012">
        <row r="1">
          <cell r="J1">
            <v>1.7453292519943295E-2</v>
          </cell>
        </row>
      </sheetData>
      <sheetData sheetId="26013" refreshError="1"/>
      <sheetData sheetId="26014" refreshError="1"/>
      <sheetData sheetId="26015">
        <row r="1">
          <cell r="J1">
            <v>1.7453292519943295E-2</v>
          </cell>
        </row>
      </sheetData>
      <sheetData sheetId="26016">
        <row r="1">
          <cell r="J1">
            <v>1.7453292519943295E-2</v>
          </cell>
        </row>
      </sheetData>
      <sheetData sheetId="26017">
        <row r="1">
          <cell r="J1">
            <v>1.7453292519943295E-2</v>
          </cell>
        </row>
      </sheetData>
      <sheetData sheetId="26018">
        <row r="1">
          <cell r="J1">
            <v>1.7453292519943295E-2</v>
          </cell>
        </row>
      </sheetData>
      <sheetData sheetId="26019">
        <row r="1">
          <cell r="J1">
            <v>1.7453292519943295E-2</v>
          </cell>
        </row>
      </sheetData>
      <sheetData sheetId="26020">
        <row r="1">
          <cell r="J1">
            <v>1.7453292519943295E-2</v>
          </cell>
        </row>
      </sheetData>
      <sheetData sheetId="26021"/>
      <sheetData sheetId="26022">
        <row r="1">
          <cell r="J1">
            <v>1.7453292519943295E-2</v>
          </cell>
        </row>
      </sheetData>
      <sheetData sheetId="26023">
        <row r="1">
          <cell r="J1">
            <v>1.7453292519943295E-2</v>
          </cell>
        </row>
      </sheetData>
      <sheetData sheetId="26024">
        <row r="1">
          <cell r="J1">
            <v>1.7453292519943295E-2</v>
          </cell>
        </row>
      </sheetData>
      <sheetData sheetId="26025">
        <row r="1">
          <cell r="J1">
            <v>1.7453292519943295E-2</v>
          </cell>
        </row>
      </sheetData>
      <sheetData sheetId="26026">
        <row r="1">
          <cell r="J1">
            <v>1.7453292519943295E-2</v>
          </cell>
        </row>
      </sheetData>
      <sheetData sheetId="26027">
        <row r="1">
          <cell r="J1">
            <v>1.7453292519943295E-2</v>
          </cell>
        </row>
      </sheetData>
      <sheetData sheetId="26028"/>
      <sheetData sheetId="26029"/>
      <sheetData sheetId="26030">
        <row r="1">
          <cell r="J1">
            <v>1.7453292519943295E-2</v>
          </cell>
        </row>
      </sheetData>
      <sheetData sheetId="26031">
        <row r="1">
          <cell r="J1">
            <v>1.7453292519943295E-2</v>
          </cell>
        </row>
      </sheetData>
      <sheetData sheetId="26032">
        <row r="1">
          <cell r="J1">
            <v>1.7453292519943295E-2</v>
          </cell>
        </row>
      </sheetData>
      <sheetData sheetId="26033">
        <row r="1">
          <cell r="J1">
            <v>1.7453292519943295E-2</v>
          </cell>
        </row>
      </sheetData>
      <sheetData sheetId="26034"/>
      <sheetData sheetId="26035"/>
      <sheetData sheetId="26036">
        <row r="1">
          <cell r="J1">
            <v>1.7453292519943295E-2</v>
          </cell>
        </row>
      </sheetData>
      <sheetData sheetId="26037" refreshError="1"/>
      <sheetData sheetId="26038" refreshError="1"/>
      <sheetData sheetId="26039">
        <row r="1">
          <cell r="J1">
            <v>1.7453292519943295E-2</v>
          </cell>
        </row>
      </sheetData>
      <sheetData sheetId="26040"/>
      <sheetData sheetId="26041" refreshError="1"/>
      <sheetData sheetId="26042"/>
      <sheetData sheetId="26043">
        <row r="1">
          <cell r="J1">
            <v>1.7453292519943295E-2</v>
          </cell>
        </row>
      </sheetData>
      <sheetData sheetId="26044" refreshError="1"/>
      <sheetData sheetId="26045" refreshError="1"/>
      <sheetData sheetId="26046" refreshError="1"/>
      <sheetData sheetId="26047">
        <row r="1">
          <cell r="J1">
            <v>1.7453292519943295E-2</v>
          </cell>
        </row>
      </sheetData>
      <sheetData sheetId="26048">
        <row r="1">
          <cell r="J1">
            <v>1.7453292519943295E-2</v>
          </cell>
        </row>
      </sheetData>
      <sheetData sheetId="26049">
        <row r="1">
          <cell r="J1">
            <v>1.7453292519943295E-2</v>
          </cell>
        </row>
      </sheetData>
      <sheetData sheetId="26050">
        <row r="1">
          <cell r="J1">
            <v>1.7453292519943295E-2</v>
          </cell>
        </row>
      </sheetData>
      <sheetData sheetId="26051">
        <row r="1">
          <cell r="J1">
            <v>1.7453292519943295E-2</v>
          </cell>
        </row>
      </sheetData>
      <sheetData sheetId="26052">
        <row r="1">
          <cell r="J1">
            <v>1.7453292519943295E-2</v>
          </cell>
        </row>
      </sheetData>
      <sheetData sheetId="26053">
        <row r="1">
          <cell r="J1">
            <v>1.7453292519943295E-2</v>
          </cell>
        </row>
      </sheetData>
      <sheetData sheetId="26054">
        <row r="1">
          <cell r="J1">
            <v>1.7453292519943295E-2</v>
          </cell>
        </row>
      </sheetData>
      <sheetData sheetId="26055">
        <row r="1">
          <cell r="J1">
            <v>1.7453292519943295E-2</v>
          </cell>
        </row>
      </sheetData>
      <sheetData sheetId="26056">
        <row r="1">
          <cell r="J1">
            <v>1.7453292519943295E-2</v>
          </cell>
        </row>
      </sheetData>
      <sheetData sheetId="26057">
        <row r="1">
          <cell r="J1">
            <v>1.7453292519943295E-2</v>
          </cell>
        </row>
      </sheetData>
      <sheetData sheetId="26058">
        <row r="1">
          <cell r="J1">
            <v>1.7453292519943295E-2</v>
          </cell>
        </row>
      </sheetData>
      <sheetData sheetId="26059"/>
      <sheetData sheetId="26060">
        <row r="1">
          <cell r="J1">
            <v>1.7453292519943295E-2</v>
          </cell>
        </row>
      </sheetData>
      <sheetData sheetId="26061">
        <row r="1">
          <cell r="J1">
            <v>1.7453292519943295E-2</v>
          </cell>
        </row>
      </sheetData>
      <sheetData sheetId="26062">
        <row r="1">
          <cell r="J1">
            <v>1.7453292519943295E-2</v>
          </cell>
        </row>
      </sheetData>
      <sheetData sheetId="26063">
        <row r="1">
          <cell r="J1">
            <v>1.7453292519943295E-2</v>
          </cell>
        </row>
      </sheetData>
      <sheetData sheetId="26064"/>
      <sheetData sheetId="26065"/>
      <sheetData sheetId="26066">
        <row r="1">
          <cell r="J1">
            <v>1.7453292519943295E-2</v>
          </cell>
        </row>
      </sheetData>
      <sheetData sheetId="26067">
        <row r="1">
          <cell r="J1">
            <v>1.7453292519943295E-2</v>
          </cell>
        </row>
      </sheetData>
      <sheetData sheetId="26068">
        <row r="1">
          <cell r="J1">
            <v>1.7453292519943295E-2</v>
          </cell>
        </row>
      </sheetData>
      <sheetData sheetId="26069">
        <row r="1">
          <cell r="J1">
            <v>1.7453292519943295E-2</v>
          </cell>
        </row>
      </sheetData>
      <sheetData sheetId="26070" refreshError="1"/>
      <sheetData sheetId="26071">
        <row r="1">
          <cell r="J1">
            <v>1.7453292519943295E-2</v>
          </cell>
        </row>
      </sheetData>
      <sheetData sheetId="26072">
        <row r="1">
          <cell r="J1">
            <v>1.7453292519943295E-2</v>
          </cell>
        </row>
      </sheetData>
      <sheetData sheetId="26073" refreshError="1"/>
      <sheetData sheetId="26074" refreshError="1"/>
      <sheetData sheetId="26075">
        <row r="1">
          <cell r="J1">
            <v>1.7453292519943295E-2</v>
          </cell>
        </row>
      </sheetData>
      <sheetData sheetId="26076">
        <row r="1">
          <cell r="J1">
            <v>1.7453292519943295E-2</v>
          </cell>
        </row>
      </sheetData>
      <sheetData sheetId="26077">
        <row r="1">
          <cell r="J1">
            <v>1.7453292519943295E-2</v>
          </cell>
        </row>
      </sheetData>
      <sheetData sheetId="26078" refreshError="1"/>
      <sheetData sheetId="26079">
        <row r="1">
          <cell r="J1">
            <v>1.7453292519943295E-2</v>
          </cell>
        </row>
      </sheetData>
      <sheetData sheetId="26080">
        <row r="1">
          <cell r="J1">
            <v>1.7453292519943295E-2</v>
          </cell>
        </row>
      </sheetData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>
        <row r="1">
          <cell r="J1">
            <v>1.7453292519943295E-2</v>
          </cell>
        </row>
      </sheetData>
      <sheetData sheetId="26087">
        <row r="1">
          <cell r="J1">
            <v>1.7453292519943295E-2</v>
          </cell>
        </row>
      </sheetData>
      <sheetData sheetId="26088">
        <row r="1">
          <cell r="J1">
            <v>1.7453292519943295E-2</v>
          </cell>
        </row>
      </sheetData>
      <sheetData sheetId="26089"/>
      <sheetData sheetId="26090">
        <row r="1">
          <cell r="J1">
            <v>1.7453292519943295E-2</v>
          </cell>
        </row>
      </sheetData>
      <sheetData sheetId="26091">
        <row r="1">
          <cell r="J1">
            <v>1.7453292519943295E-2</v>
          </cell>
        </row>
      </sheetData>
      <sheetData sheetId="26092">
        <row r="1">
          <cell r="J1">
            <v>1.7453292519943295E-2</v>
          </cell>
        </row>
      </sheetData>
      <sheetData sheetId="26093"/>
      <sheetData sheetId="26094"/>
      <sheetData sheetId="26095">
        <row r="1">
          <cell r="J1">
            <v>1.7453292519943295E-2</v>
          </cell>
        </row>
      </sheetData>
      <sheetData sheetId="26096">
        <row r="1">
          <cell r="J1">
            <v>1.7453292519943295E-2</v>
          </cell>
        </row>
      </sheetData>
      <sheetData sheetId="26097">
        <row r="1">
          <cell r="J1">
            <v>1.7453292519943295E-2</v>
          </cell>
        </row>
      </sheetData>
      <sheetData sheetId="26098">
        <row r="1">
          <cell r="J1">
            <v>1.7453292519943295E-2</v>
          </cell>
        </row>
      </sheetData>
      <sheetData sheetId="26099"/>
      <sheetData sheetId="26100"/>
      <sheetData sheetId="26101"/>
      <sheetData sheetId="26102">
        <row r="1">
          <cell r="J1">
            <v>1.7453292519943295E-2</v>
          </cell>
        </row>
      </sheetData>
      <sheetData sheetId="26103">
        <row r="1">
          <cell r="J1">
            <v>1.7453292519943295E-2</v>
          </cell>
        </row>
      </sheetData>
      <sheetData sheetId="26104">
        <row r="1">
          <cell r="J1">
            <v>1.7453292519943295E-2</v>
          </cell>
        </row>
      </sheetData>
      <sheetData sheetId="26105">
        <row r="1">
          <cell r="J1">
            <v>1.7453292519943295E-2</v>
          </cell>
        </row>
      </sheetData>
      <sheetData sheetId="26106">
        <row r="1">
          <cell r="J1">
            <v>1.7453292519943295E-2</v>
          </cell>
        </row>
      </sheetData>
      <sheetData sheetId="26107">
        <row r="1">
          <cell r="J1">
            <v>1.7453292519943295E-2</v>
          </cell>
        </row>
      </sheetData>
      <sheetData sheetId="26108">
        <row r="1">
          <cell r="J1">
            <v>1.7453292519943295E-2</v>
          </cell>
        </row>
      </sheetData>
      <sheetData sheetId="26109" refreshError="1"/>
      <sheetData sheetId="26110"/>
      <sheetData sheetId="26111" refreshError="1"/>
      <sheetData sheetId="26112" refreshError="1"/>
      <sheetData sheetId="26113" refreshError="1"/>
      <sheetData sheetId="26114">
        <row r="1">
          <cell r="J1">
            <v>1.7453292519943295E-2</v>
          </cell>
        </row>
      </sheetData>
      <sheetData sheetId="26115">
        <row r="1">
          <cell r="J1">
            <v>1.7453292519943295E-2</v>
          </cell>
        </row>
      </sheetData>
      <sheetData sheetId="26116">
        <row r="1">
          <cell r="J1">
            <v>1.7453292519943295E-2</v>
          </cell>
        </row>
      </sheetData>
      <sheetData sheetId="26117">
        <row r="1">
          <cell r="J1">
            <v>1.7453292519943295E-2</v>
          </cell>
        </row>
      </sheetData>
      <sheetData sheetId="26118">
        <row r="1">
          <cell r="J1">
            <v>1.7453292519943295E-2</v>
          </cell>
        </row>
      </sheetData>
      <sheetData sheetId="26119" refreshError="1"/>
      <sheetData sheetId="26120">
        <row r="1">
          <cell r="J1">
            <v>1.7453292519943295E-2</v>
          </cell>
        </row>
      </sheetData>
      <sheetData sheetId="26121" refreshError="1"/>
      <sheetData sheetId="26122" refreshError="1"/>
      <sheetData sheetId="26123">
        <row r="1">
          <cell r="J1">
            <v>1.7453292519943295E-2</v>
          </cell>
        </row>
      </sheetData>
      <sheetData sheetId="26124" refreshError="1"/>
      <sheetData sheetId="26125" refreshError="1"/>
      <sheetData sheetId="26126">
        <row r="1">
          <cell r="J1">
            <v>1.7453292519943295E-2</v>
          </cell>
        </row>
      </sheetData>
      <sheetData sheetId="26127">
        <row r="1">
          <cell r="J1">
            <v>1.7453292519943295E-2</v>
          </cell>
        </row>
      </sheetData>
      <sheetData sheetId="26128"/>
      <sheetData sheetId="26129">
        <row r="1">
          <cell r="J1">
            <v>1.7453292519943295E-2</v>
          </cell>
        </row>
      </sheetData>
      <sheetData sheetId="26130">
        <row r="1">
          <cell r="J1">
            <v>1.7453292519943295E-2</v>
          </cell>
        </row>
      </sheetData>
      <sheetData sheetId="26131">
        <row r="1">
          <cell r="J1">
            <v>1.7453292519943295E-2</v>
          </cell>
        </row>
      </sheetData>
      <sheetData sheetId="26132">
        <row r="1">
          <cell r="J1">
            <v>1.7453292519943295E-2</v>
          </cell>
        </row>
      </sheetData>
      <sheetData sheetId="26133"/>
      <sheetData sheetId="26134"/>
      <sheetData sheetId="26135">
        <row r="1">
          <cell r="J1">
            <v>1.7453292519943295E-2</v>
          </cell>
        </row>
      </sheetData>
      <sheetData sheetId="26136">
        <row r="1">
          <cell r="J1">
            <v>1.7453292519943295E-2</v>
          </cell>
        </row>
      </sheetData>
      <sheetData sheetId="26137"/>
      <sheetData sheetId="26138">
        <row r="1">
          <cell r="J1">
            <v>1.7453292519943295E-2</v>
          </cell>
        </row>
      </sheetData>
      <sheetData sheetId="26139">
        <row r="1">
          <cell r="J1">
            <v>1.7453292519943295E-2</v>
          </cell>
        </row>
      </sheetData>
      <sheetData sheetId="26140"/>
      <sheetData sheetId="26141">
        <row r="1">
          <cell r="J1">
            <v>1.7453292519943295E-2</v>
          </cell>
        </row>
      </sheetData>
      <sheetData sheetId="26142">
        <row r="1">
          <cell r="J1">
            <v>1.7453292519943295E-2</v>
          </cell>
        </row>
      </sheetData>
      <sheetData sheetId="26143">
        <row r="1">
          <cell r="J1">
            <v>1.7453292519943295E-2</v>
          </cell>
        </row>
      </sheetData>
      <sheetData sheetId="26144">
        <row r="1">
          <cell r="J1">
            <v>1.7453292519943295E-2</v>
          </cell>
        </row>
      </sheetData>
      <sheetData sheetId="26145">
        <row r="1">
          <cell r="J1">
            <v>1.7453292519943295E-2</v>
          </cell>
        </row>
      </sheetData>
      <sheetData sheetId="26146">
        <row r="1">
          <cell r="J1">
            <v>1.7453292519943295E-2</v>
          </cell>
        </row>
      </sheetData>
      <sheetData sheetId="26147">
        <row r="1">
          <cell r="J1">
            <v>1.7453292519943295E-2</v>
          </cell>
        </row>
      </sheetData>
      <sheetData sheetId="26148">
        <row r="1">
          <cell r="J1">
            <v>1.7453292519943295E-2</v>
          </cell>
        </row>
      </sheetData>
      <sheetData sheetId="26149">
        <row r="1">
          <cell r="J1">
            <v>1.7453292519943295E-2</v>
          </cell>
        </row>
      </sheetData>
      <sheetData sheetId="26150">
        <row r="1">
          <cell r="J1">
            <v>1.7453292519943295E-2</v>
          </cell>
        </row>
      </sheetData>
      <sheetData sheetId="26151"/>
      <sheetData sheetId="26152"/>
      <sheetData sheetId="26153">
        <row r="1">
          <cell r="J1">
            <v>1.7453292519943295E-2</v>
          </cell>
        </row>
      </sheetData>
      <sheetData sheetId="26154">
        <row r="1">
          <cell r="J1">
            <v>1.7453292519943295E-2</v>
          </cell>
        </row>
      </sheetData>
      <sheetData sheetId="26155">
        <row r="1">
          <cell r="J1">
            <v>1.7453292519943295E-2</v>
          </cell>
        </row>
      </sheetData>
      <sheetData sheetId="26156">
        <row r="1">
          <cell r="J1">
            <v>1.7453292519943295E-2</v>
          </cell>
        </row>
      </sheetData>
      <sheetData sheetId="26157">
        <row r="1">
          <cell r="J1">
            <v>1.7453292519943295E-2</v>
          </cell>
        </row>
      </sheetData>
      <sheetData sheetId="26158">
        <row r="1">
          <cell r="J1">
            <v>1.7453292519943295E-2</v>
          </cell>
        </row>
      </sheetData>
      <sheetData sheetId="26159">
        <row r="1">
          <cell r="J1">
            <v>1.7453292519943295E-2</v>
          </cell>
        </row>
      </sheetData>
      <sheetData sheetId="26160" refreshError="1"/>
      <sheetData sheetId="26161" refreshError="1"/>
      <sheetData sheetId="26162"/>
      <sheetData sheetId="26163"/>
      <sheetData sheetId="26164">
        <row r="1">
          <cell r="J1">
            <v>1.7453292519943295E-2</v>
          </cell>
        </row>
      </sheetData>
      <sheetData sheetId="26165">
        <row r="1">
          <cell r="J1">
            <v>1.7453292519943295E-2</v>
          </cell>
        </row>
      </sheetData>
      <sheetData sheetId="26166">
        <row r="1">
          <cell r="J1">
            <v>1.7453292519943295E-2</v>
          </cell>
        </row>
      </sheetData>
      <sheetData sheetId="26167">
        <row r="1">
          <cell r="J1">
            <v>1.7453292519943295E-2</v>
          </cell>
        </row>
      </sheetData>
      <sheetData sheetId="26168"/>
      <sheetData sheetId="26169"/>
      <sheetData sheetId="26170"/>
      <sheetData sheetId="26171">
        <row r="1">
          <cell r="J1">
            <v>1.7453292519943295E-2</v>
          </cell>
        </row>
      </sheetData>
      <sheetData sheetId="26172">
        <row r="1">
          <cell r="J1">
            <v>1.7453292519943295E-2</v>
          </cell>
        </row>
      </sheetData>
      <sheetData sheetId="26173">
        <row r="1">
          <cell r="J1">
            <v>1.7453292519943295E-2</v>
          </cell>
        </row>
      </sheetData>
      <sheetData sheetId="26174">
        <row r="1">
          <cell r="J1">
            <v>1.7453292519943295E-2</v>
          </cell>
        </row>
      </sheetData>
      <sheetData sheetId="26175">
        <row r="1">
          <cell r="J1">
            <v>1.7453292519943295E-2</v>
          </cell>
        </row>
      </sheetData>
      <sheetData sheetId="26176">
        <row r="1">
          <cell r="J1">
            <v>1.7453292519943295E-2</v>
          </cell>
        </row>
      </sheetData>
      <sheetData sheetId="26177" refreshError="1"/>
      <sheetData sheetId="26178">
        <row r="1">
          <cell r="J1">
            <v>1.7453292519943295E-2</v>
          </cell>
        </row>
      </sheetData>
      <sheetData sheetId="26179" refreshError="1"/>
      <sheetData sheetId="26180">
        <row r="1">
          <cell r="J1">
            <v>1.7453292519943295E-2</v>
          </cell>
        </row>
      </sheetData>
      <sheetData sheetId="26181" refreshError="1"/>
      <sheetData sheetId="26182" refreshError="1"/>
      <sheetData sheetId="26183">
        <row r="1">
          <cell r="J1">
            <v>1.7453292519943295E-2</v>
          </cell>
        </row>
      </sheetData>
      <sheetData sheetId="26184">
        <row r="1">
          <cell r="J1">
            <v>1.7453292519943295E-2</v>
          </cell>
        </row>
      </sheetData>
      <sheetData sheetId="26185">
        <row r="1">
          <cell r="J1">
            <v>1.7453292519943295E-2</v>
          </cell>
        </row>
      </sheetData>
      <sheetData sheetId="26186">
        <row r="1">
          <cell r="J1">
            <v>1.7453292519943295E-2</v>
          </cell>
        </row>
      </sheetData>
      <sheetData sheetId="26187">
        <row r="1">
          <cell r="J1">
            <v>1.7453292519943295E-2</v>
          </cell>
        </row>
      </sheetData>
      <sheetData sheetId="26188"/>
      <sheetData sheetId="26189">
        <row r="1">
          <cell r="J1">
            <v>1.7453292519943295E-2</v>
          </cell>
        </row>
      </sheetData>
      <sheetData sheetId="26190">
        <row r="1">
          <cell r="J1">
            <v>1.7453292519943295E-2</v>
          </cell>
        </row>
      </sheetData>
      <sheetData sheetId="26191">
        <row r="1">
          <cell r="J1">
            <v>1.7453292519943295E-2</v>
          </cell>
        </row>
      </sheetData>
      <sheetData sheetId="26192">
        <row r="1">
          <cell r="J1">
            <v>1.7453292519943295E-2</v>
          </cell>
        </row>
      </sheetData>
      <sheetData sheetId="26193">
        <row r="1">
          <cell r="J1">
            <v>1.7453292519943295E-2</v>
          </cell>
        </row>
      </sheetData>
      <sheetData sheetId="26194" refreshError="1"/>
      <sheetData sheetId="26195">
        <row r="1">
          <cell r="J1">
            <v>1.7453292519943295E-2</v>
          </cell>
        </row>
      </sheetData>
      <sheetData sheetId="26196" refreshError="1"/>
      <sheetData sheetId="26197" refreshError="1"/>
      <sheetData sheetId="26198" refreshError="1"/>
      <sheetData sheetId="26199">
        <row r="1">
          <cell r="J1">
            <v>1.7453292519943295E-2</v>
          </cell>
        </row>
      </sheetData>
      <sheetData sheetId="26200">
        <row r="1">
          <cell r="J1">
            <v>1.7453292519943295E-2</v>
          </cell>
        </row>
      </sheetData>
      <sheetData sheetId="26201">
        <row r="1">
          <cell r="J1">
            <v>1.7453292519943295E-2</v>
          </cell>
        </row>
      </sheetData>
      <sheetData sheetId="26202">
        <row r="1">
          <cell r="J1">
            <v>1.7453292519943295E-2</v>
          </cell>
        </row>
      </sheetData>
      <sheetData sheetId="26203" refreshError="1"/>
      <sheetData sheetId="26204">
        <row r="1">
          <cell r="J1">
            <v>1.7453292519943295E-2</v>
          </cell>
        </row>
      </sheetData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>
        <row r="1">
          <cell r="J1">
            <v>1.7453292519943295E-2</v>
          </cell>
        </row>
      </sheetData>
      <sheetData sheetId="26211"/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>
        <row r="1">
          <cell r="J1">
            <v>1.7453292519943295E-2</v>
          </cell>
        </row>
      </sheetData>
      <sheetData sheetId="26226">
        <row r="1">
          <cell r="J1">
            <v>1.7453292519943295E-2</v>
          </cell>
        </row>
      </sheetData>
      <sheetData sheetId="26227">
        <row r="1">
          <cell r="J1">
            <v>1.7453292519943295E-2</v>
          </cell>
        </row>
      </sheetData>
      <sheetData sheetId="26228"/>
      <sheetData sheetId="26229"/>
      <sheetData sheetId="26230">
        <row r="1">
          <cell r="J1">
            <v>1.7453292519943295E-2</v>
          </cell>
        </row>
      </sheetData>
      <sheetData sheetId="26231" refreshError="1"/>
      <sheetData sheetId="26232" refreshError="1"/>
      <sheetData sheetId="26233">
        <row r="1">
          <cell r="J1">
            <v>1.7453292519943295E-2</v>
          </cell>
        </row>
      </sheetData>
      <sheetData sheetId="26234">
        <row r="1">
          <cell r="J1">
            <v>1.7453292519943295E-2</v>
          </cell>
        </row>
      </sheetData>
      <sheetData sheetId="26235">
        <row r="1">
          <cell r="J1">
            <v>1.7453292519943295E-2</v>
          </cell>
        </row>
      </sheetData>
      <sheetData sheetId="26236" refreshError="1"/>
      <sheetData sheetId="26237" refreshError="1"/>
      <sheetData sheetId="26238">
        <row r="1">
          <cell r="J1">
            <v>1.7453292519943295E-2</v>
          </cell>
        </row>
      </sheetData>
      <sheetData sheetId="26239">
        <row r="1">
          <cell r="J1">
            <v>1.7453292519943295E-2</v>
          </cell>
        </row>
      </sheetData>
      <sheetData sheetId="26240">
        <row r="1">
          <cell r="J1">
            <v>1.7453292519943295E-2</v>
          </cell>
        </row>
      </sheetData>
      <sheetData sheetId="26241" refreshError="1"/>
      <sheetData sheetId="26242" refreshError="1"/>
      <sheetData sheetId="26243">
        <row r="1">
          <cell r="J1">
            <v>1.7453292519943295E-2</v>
          </cell>
        </row>
      </sheetData>
      <sheetData sheetId="26244"/>
      <sheetData sheetId="26245" refreshError="1"/>
      <sheetData sheetId="26246" refreshError="1"/>
      <sheetData sheetId="26247"/>
      <sheetData sheetId="26248" refreshError="1"/>
      <sheetData sheetId="26249">
        <row r="1">
          <cell r="J1">
            <v>1.7453292519943295E-2</v>
          </cell>
        </row>
      </sheetData>
      <sheetData sheetId="26250"/>
      <sheetData sheetId="26251"/>
      <sheetData sheetId="26252"/>
      <sheetData sheetId="26253"/>
      <sheetData sheetId="26254"/>
      <sheetData sheetId="26255"/>
      <sheetData sheetId="26256"/>
      <sheetData sheetId="26257"/>
      <sheetData sheetId="26258"/>
      <sheetData sheetId="26259"/>
      <sheetData sheetId="26260"/>
      <sheetData sheetId="26261"/>
      <sheetData sheetId="26262"/>
      <sheetData sheetId="26263"/>
      <sheetData sheetId="26264">
        <row r="1">
          <cell r="J1">
            <v>1.7453292519943295E-2</v>
          </cell>
        </row>
      </sheetData>
      <sheetData sheetId="26265">
        <row r="1">
          <cell r="J1">
            <v>1.7453292519943295E-2</v>
          </cell>
        </row>
      </sheetData>
      <sheetData sheetId="26266" refreshError="1"/>
      <sheetData sheetId="26267" refreshError="1"/>
      <sheetData sheetId="26268">
        <row r="1">
          <cell r="J1">
            <v>1.7453292519943295E-2</v>
          </cell>
        </row>
      </sheetData>
      <sheetData sheetId="26269">
        <row r="1">
          <cell r="J1">
            <v>1.7453292519943295E-2</v>
          </cell>
        </row>
      </sheetData>
      <sheetData sheetId="26270"/>
      <sheetData sheetId="26271" refreshError="1"/>
      <sheetData sheetId="26272"/>
      <sheetData sheetId="26273">
        <row r="1">
          <cell r="J1">
            <v>1.7453292519943295E-2</v>
          </cell>
        </row>
      </sheetData>
      <sheetData sheetId="26274" refreshError="1"/>
      <sheetData sheetId="26275" refreshError="1"/>
      <sheetData sheetId="26276">
        <row r="1">
          <cell r="J1">
            <v>1.7453292519943295E-2</v>
          </cell>
        </row>
      </sheetData>
      <sheetData sheetId="26277">
        <row r="1">
          <cell r="J1">
            <v>1.7453292519943295E-2</v>
          </cell>
        </row>
      </sheetData>
      <sheetData sheetId="26278">
        <row r="1">
          <cell r="J1">
            <v>1.7453292519943295E-2</v>
          </cell>
        </row>
      </sheetData>
      <sheetData sheetId="26279" refreshError="1"/>
      <sheetData sheetId="26280">
        <row r="1">
          <cell r="J1">
            <v>1.7453292519943295E-2</v>
          </cell>
        </row>
      </sheetData>
      <sheetData sheetId="26281">
        <row r="1">
          <cell r="J1">
            <v>1.7453292519943295E-2</v>
          </cell>
        </row>
      </sheetData>
      <sheetData sheetId="26282">
        <row r="1">
          <cell r="J1">
            <v>1.7453292519943295E-2</v>
          </cell>
        </row>
      </sheetData>
      <sheetData sheetId="26283">
        <row r="1">
          <cell r="J1">
            <v>1.7453292519943295E-2</v>
          </cell>
        </row>
      </sheetData>
      <sheetData sheetId="26284">
        <row r="1">
          <cell r="J1">
            <v>1.7453292519943295E-2</v>
          </cell>
        </row>
      </sheetData>
      <sheetData sheetId="26285">
        <row r="1">
          <cell r="J1">
            <v>1.7453292519943295E-2</v>
          </cell>
        </row>
      </sheetData>
      <sheetData sheetId="26286">
        <row r="1">
          <cell r="J1">
            <v>1.7453292519943295E-2</v>
          </cell>
        </row>
      </sheetData>
      <sheetData sheetId="26287">
        <row r="1">
          <cell r="J1">
            <v>1.7453292519943295E-2</v>
          </cell>
        </row>
      </sheetData>
      <sheetData sheetId="26288">
        <row r="1">
          <cell r="J1">
            <v>1.7453292519943295E-2</v>
          </cell>
        </row>
      </sheetData>
      <sheetData sheetId="26289">
        <row r="1">
          <cell r="J1">
            <v>1.7453292519943295E-2</v>
          </cell>
        </row>
      </sheetData>
      <sheetData sheetId="26290">
        <row r="1">
          <cell r="J1">
            <v>1.7453292519943295E-2</v>
          </cell>
        </row>
      </sheetData>
      <sheetData sheetId="26291">
        <row r="1">
          <cell r="J1">
            <v>1.7453292519943295E-2</v>
          </cell>
        </row>
      </sheetData>
      <sheetData sheetId="26292">
        <row r="1">
          <cell r="J1">
            <v>1.7453292519943295E-2</v>
          </cell>
        </row>
      </sheetData>
      <sheetData sheetId="26293">
        <row r="1">
          <cell r="J1">
            <v>1.7453292519943295E-2</v>
          </cell>
        </row>
      </sheetData>
      <sheetData sheetId="26294">
        <row r="1">
          <cell r="J1">
            <v>1.7453292519943295E-2</v>
          </cell>
        </row>
      </sheetData>
      <sheetData sheetId="26295">
        <row r="1">
          <cell r="J1">
            <v>1.7453292519943295E-2</v>
          </cell>
        </row>
      </sheetData>
      <sheetData sheetId="26296">
        <row r="1">
          <cell r="J1">
            <v>1.7453292519943295E-2</v>
          </cell>
        </row>
      </sheetData>
      <sheetData sheetId="26297" refreshError="1"/>
      <sheetData sheetId="26298">
        <row r="1">
          <cell r="J1">
            <v>1.7453292519943295E-2</v>
          </cell>
        </row>
      </sheetData>
      <sheetData sheetId="26299">
        <row r="1">
          <cell r="J1">
            <v>1.7453292519943295E-2</v>
          </cell>
        </row>
      </sheetData>
      <sheetData sheetId="26300" refreshError="1"/>
      <sheetData sheetId="26301" refreshError="1"/>
      <sheetData sheetId="26302">
        <row r="1">
          <cell r="J1">
            <v>1.7453292519943295E-2</v>
          </cell>
        </row>
      </sheetData>
      <sheetData sheetId="26303">
        <row r="1">
          <cell r="J1">
            <v>1.7453292519943295E-2</v>
          </cell>
        </row>
      </sheetData>
      <sheetData sheetId="26304">
        <row r="1">
          <cell r="J1">
            <v>1.7453292519943295E-2</v>
          </cell>
        </row>
      </sheetData>
      <sheetData sheetId="26305" refreshError="1"/>
      <sheetData sheetId="26306">
        <row r="1">
          <cell r="J1">
            <v>1.7453292519943295E-2</v>
          </cell>
        </row>
      </sheetData>
      <sheetData sheetId="26307">
        <row r="1">
          <cell r="J1">
            <v>1.7453292519943295E-2</v>
          </cell>
        </row>
      </sheetData>
      <sheetData sheetId="26308">
        <row r="1">
          <cell r="J1">
            <v>1.7453292519943295E-2</v>
          </cell>
        </row>
      </sheetData>
      <sheetData sheetId="26309" refreshError="1"/>
      <sheetData sheetId="26310" refreshError="1"/>
      <sheetData sheetId="26311">
        <row r="1">
          <cell r="J1">
            <v>1.7453292519943295E-2</v>
          </cell>
        </row>
      </sheetData>
      <sheetData sheetId="26312">
        <row r="1">
          <cell r="J1">
            <v>1.7453292519943295E-2</v>
          </cell>
        </row>
      </sheetData>
      <sheetData sheetId="26313" refreshError="1"/>
      <sheetData sheetId="26314">
        <row r="1">
          <cell r="J1">
            <v>1.7453292519943295E-2</v>
          </cell>
        </row>
      </sheetData>
      <sheetData sheetId="26315">
        <row r="1">
          <cell r="J1">
            <v>1.7453292519943295E-2</v>
          </cell>
        </row>
      </sheetData>
      <sheetData sheetId="26316">
        <row r="1">
          <cell r="J1">
            <v>1.7453292519943295E-2</v>
          </cell>
        </row>
      </sheetData>
      <sheetData sheetId="26317" refreshError="1"/>
      <sheetData sheetId="26318" refreshError="1"/>
      <sheetData sheetId="26319">
        <row r="1">
          <cell r="J1">
            <v>1.7453292519943295E-2</v>
          </cell>
        </row>
      </sheetData>
      <sheetData sheetId="26320">
        <row r="1">
          <cell r="J1">
            <v>1.7453292519943295E-2</v>
          </cell>
        </row>
      </sheetData>
      <sheetData sheetId="26321">
        <row r="1">
          <cell r="J1">
            <v>1.7453292519943295E-2</v>
          </cell>
        </row>
      </sheetData>
      <sheetData sheetId="26322">
        <row r="1">
          <cell r="J1">
            <v>1.7453292519943295E-2</v>
          </cell>
        </row>
      </sheetData>
      <sheetData sheetId="26323"/>
      <sheetData sheetId="26324"/>
      <sheetData sheetId="26325"/>
      <sheetData sheetId="26326" refreshError="1"/>
      <sheetData sheetId="26327" refreshError="1"/>
      <sheetData sheetId="26328">
        <row r="1">
          <cell r="J1">
            <v>1.7453292519943295E-2</v>
          </cell>
        </row>
      </sheetData>
      <sheetData sheetId="26329" refreshError="1"/>
      <sheetData sheetId="26330" refreshError="1"/>
      <sheetData sheetId="26331"/>
      <sheetData sheetId="26332"/>
      <sheetData sheetId="26333" refreshError="1"/>
      <sheetData sheetId="26334">
        <row r="1">
          <cell r="J1">
            <v>1.7453292519943295E-2</v>
          </cell>
        </row>
      </sheetData>
      <sheetData sheetId="26335" refreshError="1"/>
      <sheetData sheetId="26336">
        <row r="1">
          <cell r="J1">
            <v>1.7453292519943295E-2</v>
          </cell>
        </row>
      </sheetData>
      <sheetData sheetId="26337" refreshError="1"/>
      <sheetData sheetId="26338" refreshError="1"/>
      <sheetData sheetId="26339" refreshError="1"/>
      <sheetData sheetId="26340">
        <row r="1">
          <cell r="J1">
            <v>1.7453292519943295E-2</v>
          </cell>
        </row>
      </sheetData>
      <sheetData sheetId="26341">
        <row r="1">
          <cell r="J1">
            <v>1.7453292519943295E-2</v>
          </cell>
        </row>
      </sheetData>
      <sheetData sheetId="26342">
        <row r="1">
          <cell r="J1">
            <v>1.7453292519943295E-2</v>
          </cell>
        </row>
      </sheetData>
      <sheetData sheetId="26343" refreshError="1"/>
      <sheetData sheetId="26344" refreshError="1"/>
      <sheetData sheetId="26345"/>
      <sheetData sheetId="26346">
        <row r="1">
          <cell r="J1">
            <v>1.7453292519943295E-2</v>
          </cell>
        </row>
      </sheetData>
      <sheetData sheetId="26347">
        <row r="1">
          <cell r="J1">
            <v>1.7453292519943295E-2</v>
          </cell>
        </row>
      </sheetData>
      <sheetData sheetId="26348">
        <row r="1">
          <cell r="J1">
            <v>1.7453292519943295E-2</v>
          </cell>
        </row>
      </sheetData>
      <sheetData sheetId="26349"/>
      <sheetData sheetId="26350">
        <row r="1">
          <cell r="J1">
            <v>1.7453292519943295E-2</v>
          </cell>
        </row>
      </sheetData>
      <sheetData sheetId="26351">
        <row r="1">
          <cell r="J1">
            <v>1.7453292519943295E-2</v>
          </cell>
        </row>
      </sheetData>
      <sheetData sheetId="26352">
        <row r="1">
          <cell r="J1">
            <v>1.7453292519943295E-2</v>
          </cell>
        </row>
      </sheetData>
      <sheetData sheetId="26353"/>
      <sheetData sheetId="26354" refreshError="1"/>
      <sheetData sheetId="26355">
        <row r="1">
          <cell r="J1">
            <v>1.7453292519943295E-2</v>
          </cell>
        </row>
      </sheetData>
      <sheetData sheetId="26356">
        <row r="1">
          <cell r="J1">
            <v>1.7453292519943295E-2</v>
          </cell>
        </row>
      </sheetData>
      <sheetData sheetId="26357" refreshError="1"/>
      <sheetData sheetId="26358" refreshError="1"/>
      <sheetData sheetId="26359" refreshError="1"/>
      <sheetData sheetId="26360">
        <row r="1">
          <cell r="J1">
            <v>1.7453292519943295E-2</v>
          </cell>
        </row>
      </sheetData>
      <sheetData sheetId="26361" refreshError="1"/>
      <sheetData sheetId="26362" refreshError="1"/>
      <sheetData sheetId="26363">
        <row r="1">
          <cell r="J1">
            <v>1.7453292519943295E-2</v>
          </cell>
        </row>
      </sheetData>
      <sheetData sheetId="26364"/>
      <sheetData sheetId="26365">
        <row r="1">
          <cell r="J1">
            <v>1.7453292519943295E-2</v>
          </cell>
        </row>
      </sheetData>
      <sheetData sheetId="26366">
        <row r="1">
          <cell r="J1">
            <v>1.7453292519943295E-2</v>
          </cell>
        </row>
      </sheetData>
      <sheetData sheetId="26367"/>
      <sheetData sheetId="26368"/>
      <sheetData sheetId="26369">
        <row r="1">
          <cell r="J1">
            <v>1.7453292519943295E-2</v>
          </cell>
        </row>
      </sheetData>
      <sheetData sheetId="26370">
        <row r="1">
          <cell r="J1">
            <v>1.7453292519943295E-2</v>
          </cell>
        </row>
      </sheetData>
      <sheetData sheetId="26371"/>
      <sheetData sheetId="26372">
        <row r="1">
          <cell r="J1">
            <v>1.7453292519943295E-2</v>
          </cell>
        </row>
      </sheetData>
      <sheetData sheetId="26373"/>
      <sheetData sheetId="26374"/>
      <sheetData sheetId="26375">
        <row r="1">
          <cell r="J1">
            <v>1.7453292519943295E-2</v>
          </cell>
        </row>
      </sheetData>
      <sheetData sheetId="26376">
        <row r="1">
          <cell r="J1">
            <v>1.7453292519943295E-2</v>
          </cell>
        </row>
      </sheetData>
      <sheetData sheetId="26377">
        <row r="1">
          <cell r="J1">
            <v>1.7453292519943295E-2</v>
          </cell>
        </row>
      </sheetData>
      <sheetData sheetId="26378">
        <row r="1">
          <cell r="J1">
            <v>1.7453292519943295E-2</v>
          </cell>
        </row>
      </sheetData>
      <sheetData sheetId="26379">
        <row r="1">
          <cell r="J1">
            <v>1.7453292519943295E-2</v>
          </cell>
        </row>
      </sheetData>
      <sheetData sheetId="26380">
        <row r="1">
          <cell r="J1">
            <v>1.7453292519943295E-2</v>
          </cell>
        </row>
      </sheetData>
      <sheetData sheetId="26381"/>
      <sheetData sheetId="26382"/>
      <sheetData sheetId="26383" refreshError="1"/>
      <sheetData sheetId="26384" refreshError="1"/>
      <sheetData sheetId="26385"/>
      <sheetData sheetId="26386"/>
      <sheetData sheetId="26387">
        <row r="1">
          <cell r="J1">
            <v>1.7453292519943295E-2</v>
          </cell>
        </row>
      </sheetData>
      <sheetData sheetId="26388">
        <row r="1">
          <cell r="J1">
            <v>1.7453292519943295E-2</v>
          </cell>
        </row>
      </sheetData>
      <sheetData sheetId="26389"/>
      <sheetData sheetId="26390"/>
      <sheetData sheetId="26391"/>
      <sheetData sheetId="26392">
        <row r="1">
          <cell r="J1">
            <v>1.7453292519943295E-2</v>
          </cell>
        </row>
      </sheetData>
      <sheetData sheetId="26393">
        <row r="1">
          <cell r="J1">
            <v>1.7453292519943295E-2</v>
          </cell>
        </row>
      </sheetData>
      <sheetData sheetId="26394">
        <row r="1">
          <cell r="J1">
            <v>1.7453292519943295E-2</v>
          </cell>
        </row>
      </sheetData>
      <sheetData sheetId="26395"/>
      <sheetData sheetId="26396"/>
      <sheetData sheetId="26397"/>
      <sheetData sheetId="26398"/>
      <sheetData sheetId="26399">
        <row r="1">
          <cell r="J1">
            <v>1.7453292519943295E-2</v>
          </cell>
        </row>
      </sheetData>
      <sheetData sheetId="26400">
        <row r="1">
          <cell r="J1">
            <v>1.7453292519943295E-2</v>
          </cell>
        </row>
      </sheetData>
      <sheetData sheetId="26401">
        <row r="1">
          <cell r="J1">
            <v>1.7453292519943295E-2</v>
          </cell>
        </row>
      </sheetData>
      <sheetData sheetId="26402"/>
      <sheetData sheetId="26403"/>
      <sheetData sheetId="26404"/>
      <sheetData sheetId="26405">
        <row r="1">
          <cell r="J1">
            <v>1.7453292519943295E-2</v>
          </cell>
        </row>
      </sheetData>
      <sheetData sheetId="26406" refreshError="1"/>
      <sheetData sheetId="26407"/>
      <sheetData sheetId="26408">
        <row r="1">
          <cell r="J1">
            <v>1.7453292519943295E-2</v>
          </cell>
        </row>
      </sheetData>
      <sheetData sheetId="26409">
        <row r="1">
          <cell r="J1">
            <v>1.7453292519943295E-2</v>
          </cell>
        </row>
      </sheetData>
      <sheetData sheetId="26410" refreshError="1"/>
      <sheetData sheetId="26411" refreshError="1"/>
      <sheetData sheetId="26412">
        <row r="1">
          <cell r="J1">
            <v>1.7453292519943295E-2</v>
          </cell>
        </row>
      </sheetData>
      <sheetData sheetId="26413">
        <row r="1">
          <cell r="J1">
            <v>1.7453292519943295E-2</v>
          </cell>
        </row>
      </sheetData>
      <sheetData sheetId="26414" refreshError="1"/>
      <sheetData sheetId="26415"/>
      <sheetData sheetId="26416">
        <row r="1">
          <cell r="J1">
            <v>1.7453292519943295E-2</v>
          </cell>
        </row>
      </sheetData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/>
      <sheetData sheetId="26424">
        <row r="1">
          <cell r="J1">
            <v>1.7453292519943295E-2</v>
          </cell>
        </row>
      </sheetData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>
        <row r="1">
          <cell r="J1">
            <v>1.7453292519943295E-2</v>
          </cell>
        </row>
      </sheetData>
      <sheetData sheetId="26439">
        <row r="1">
          <cell r="J1">
            <v>1.7453292519943295E-2</v>
          </cell>
        </row>
      </sheetData>
      <sheetData sheetId="26440">
        <row r="1">
          <cell r="J1">
            <v>1.7453292519943295E-2</v>
          </cell>
        </row>
      </sheetData>
      <sheetData sheetId="26441">
        <row r="1">
          <cell r="J1">
            <v>1.7453292519943295E-2</v>
          </cell>
        </row>
      </sheetData>
      <sheetData sheetId="26442"/>
      <sheetData sheetId="26443"/>
      <sheetData sheetId="26444">
        <row r="1">
          <cell r="J1">
            <v>1.7453292519943295E-2</v>
          </cell>
        </row>
      </sheetData>
      <sheetData sheetId="26445">
        <row r="1">
          <cell r="J1">
            <v>1.7453292519943295E-2</v>
          </cell>
        </row>
      </sheetData>
      <sheetData sheetId="26446" refreshError="1"/>
      <sheetData sheetId="26447" refreshError="1"/>
      <sheetData sheetId="26448">
        <row r="1">
          <cell r="J1">
            <v>1.7453292519943295E-2</v>
          </cell>
        </row>
      </sheetData>
      <sheetData sheetId="26449">
        <row r="1">
          <cell r="J1">
            <v>1.7453292519943295E-2</v>
          </cell>
        </row>
      </sheetData>
      <sheetData sheetId="26450"/>
      <sheetData sheetId="26451" refreshError="1"/>
      <sheetData sheetId="26452">
        <row r="1">
          <cell r="J1">
            <v>1.7453292519943295E-2</v>
          </cell>
        </row>
      </sheetData>
      <sheetData sheetId="26453">
        <row r="1">
          <cell r="J1">
            <v>1.7453292519943295E-2</v>
          </cell>
        </row>
      </sheetData>
      <sheetData sheetId="26454" refreshError="1"/>
      <sheetData sheetId="26455" refreshError="1"/>
      <sheetData sheetId="26456">
        <row r="1">
          <cell r="J1">
            <v>1.7453292519943295E-2</v>
          </cell>
        </row>
      </sheetData>
      <sheetData sheetId="26457"/>
      <sheetData sheetId="26458">
        <row r="1">
          <cell r="J1">
            <v>1.7453292519943295E-2</v>
          </cell>
        </row>
      </sheetData>
      <sheetData sheetId="26459"/>
      <sheetData sheetId="26460" refreshError="1"/>
      <sheetData sheetId="26461">
        <row r="1">
          <cell r="J1">
            <v>1.7453292519943295E-2</v>
          </cell>
        </row>
      </sheetData>
      <sheetData sheetId="26462">
        <row r="1">
          <cell r="J1">
            <v>1.7453292519943295E-2</v>
          </cell>
        </row>
      </sheetData>
      <sheetData sheetId="26463" refreshError="1"/>
      <sheetData sheetId="26464" refreshError="1"/>
      <sheetData sheetId="26465"/>
      <sheetData sheetId="26466"/>
      <sheetData sheetId="26467" refreshError="1"/>
      <sheetData sheetId="26468" refreshError="1"/>
      <sheetData sheetId="26469">
        <row r="1">
          <cell r="J1">
            <v>1.7453292519943295E-2</v>
          </cell>
        </row>
      </sheetData>
      <sheetData sheetId="26470" refreshError="1"/>
      <sheetData sheetId="26471">
        <row r="1">
          <cell r="J1">
            <v>1.7453292519943295E-2</v>
          </cell>
        </row>
      </sheetData>
      <sheetData sheetId="26472">
        <row r="1">
          <cell r="J1">
            <v>1.7453292519943295E-2</v>
          </cell>
        </row>
      </sheetData>
      <sheetData sheetId="26473" refreshError="1"/>
      <sheetData sheetId="26474" refreshError="1"/>
      <sheetData sheetId="26475">
        <row r="1">
          <cell r="J1">
            <v>1.7453292519943295E-2</v>
          </cell>
        </row>
      </sheetData>
      <sheetData sheetId="26476">
        <row r="1">
          <cell r="J1">
            <v>1.7453292519943295E-2</v>
          </cell>
        </row>
      </sheetData>
      <sheetData sheetId="26477">
        <row r="1">
          <cell r="J1">
            <v>1.7453292519943295E-2</v>
          </cell>
        </row>
      </sheetData>
      <sheetData sheetId="26478" refreshError="1"/>
      <sheetData sheetId="26479"/>
      <sheetData sheetId="26480">
        <row r="1">
          <cell r="J1">
            <v>1.7453292519943295E-2</v>
          </cell>
        </row>
      </sheetData>
      <sheetData sheetId="26481"/>
      <sheetData sheetId="26482" refreshError="1"/>
      <sheetData sheetId="26483"/>
      <sheetData sheetId="26484">
        <row r="1">
          <cell r="J1">
            <v>1.7453292519943295E-2</v>
          </cell>
        </row>
      </sheetData>
      <sheetData sheetId="26485" refreshError="1"/>
      <sheetData sheetId="26486"/>
      <sheetData sheetId="26487">
        <row r="1">
          <cell r="J1">
            <v>1.7453292519943295E-2</v>
          </cell>
        </row>
      </sheetData>
      <sheetData sheetId="26488" refreshError="1"/>
      <sheetData sheetId="26489" refreshError="1"/>
      <sheetData sheetId="26490">
        <row r="1">
          <cell r="J1">
            <v>1.7453292519943295E-2</v>
          </cell>
        </row>
      </sheetData>
      <sheetData sheetId="26491"/>
      <sheetData sheetId="26492"/>
      <sheetData sheetId="26493" refreshError="1"/>
      <sheetData sheetId="26494" refreshError="1"/>
      <sheetData sheetId="26495" refreshError="1"/>
      <sheetData sheetId="26496">
        <row r="1">
          <cell r="J1">
            <v>1.7453292519943295E-2</v>
          </cell>
        </row>
      </sheetData>
      <sheetData sheetId="26497" refreshError="1"/>
      <sheetData sheetId="26498">
        <row r="1">
          <cell r="J1">
            <v>1.7453292519943295E-2</v>
          </cell>
        </row>
      </sheetData>
      <sheetData sheetId="26499"/>
      <sheetData sheetId="26500">
        <row r="1">
          <cell r="J1">
            <v>1.7453292519943295E-2</v>
          </cell>
        </row>
      </sheetData>
      <sheetData sheetId="26501"/>
      <sheetData sheetId="26502"/>
      <sheetData sheetId="26503">
        <row r="1">
          <cell r="J1">
            <v>1.7453292519943295E-2</v>
          </cell>
        </row>
      </sheetData>
      <sheetData sheetId="26504">
        <row r="1">
          <cell r="J1">
            <v>1.7453292519943295E-2</v>
          </cell>
        </row>
      </sheetData>
      <sheetData sheetId="26505"/>
      <sheetData sheetId="26506"/>
      <sheetData sheetId="26507"/>
      <sheetData sheetId="26508"/>
      <sheetData sheetId="26509">
        <row r="1">
          <cell r="J1">
            <v>1.7453292519943295E-2</v>
          </cell>
        </row>
      </sheetData>
      <sheetData sheetId="26510">
        <row r="1">
          <cell r="J1">
            <v>1.7453292519943295E-2</v>
          </cell>
        </row>
      </sheetData>
      <sheetData sheetId="26511">
        <row r="1">
          <cell r="J1">
            <v>1.7453292519943295E-2</v>
          </cell>
        </row>
      </sheetData>
      <sheetData sheetId="26512"/>
      <sheetData sheetId="26513">
        <row r="1">
          <cell r="J1">
            <v>1.7453292519943295E-2</v>
          </cell>
        </row>
      </sheetData>
      <sheetData sheetId="26514">
        <row r="1">
          <cell r="J1">
            <v>1.7453292519943295E-2</v>
          </cell>
        </row>
      </sheetData>
      <sheetData sheetId="26515">
        <row r="1">
          <cell r="J1">
            <v>1.7453292519943295E-2</v>
          </cell>
        </row>
      </sheetData>
      <sheetData sheetId="26516">
        <row r="1">
          <cell r="J1">
            <v>1.7453292519943295E-2</v>
          </cell>
        </row>
      </sheetData>
      <sheetData sheetId="26517">
        <row r="1">
          <cell r="J1">
            <v>1.7453292519943295E-2</v>
          </cell>
        </row>
      </sheetData>
      <sheetData sheetId="26518"/>
      <sheetData sheetId="26519">
        <row r="1">
          <cell r="J1">
            <v>1.7453292519943295E-2</v>
          </cell>
        </row>
      </sheetData>
      <sheetData sheetId="26520">
        <row r="1">
          <cell r="J1">
            <v>1.7453292519943295E-2</v>
          </cell>
        </row>
      </sheetData>
      <sheetData sheetId="26521" refreshError="1"/>
      <sheetData sheetId="26522" refreshError="1"/>
      <sheetData sheetId="26523">
        <row r="1">
          <cell r="J1">
            <v>1.7453292519943295E-2</v>
          </cell>
        </row>
      </sheetData>
      <sheetData sheetId="26524">
        <row r="1">
          <cell r="J1">
            <v>1.7453292519943295E-2</v>
          </cell>
        </row>
      </sheetData>
      <sheetData sheetId="26525">
        <row r="1">
          <cell r="J1">
            <v>1.7453292519943295E-2</v>
          </cell>
        </row>
      </sheetData>
      <sheetData sheetId="26526" refreshError="1"/>
      <sheetData sheetId="26527">
        <row r="1">
          <cell r="J1">
            <v>1.7453292519943295E-2</v>
          </cell>
        </row>
      </sheetData>
      <sheetData sheetId="26528">
        <row r="1">
          <cell r="J1">
            <v>1.7453292519943295E-2</v>
          </cell>
        </row>
      </sheetData>
      <sheetData sheetId="26529" refreshError="1"/>
      <sheetData sheetId="26530" refreshError="1"/>
      <sheetData sheetId="26531">
        <row r="1">
          <cell r="J1">
            <v>1.7453292519943295E-2</v>
          </cell>
        </row>
      </sheetData>
      <sheetData sheetId="26532">
        <row r="1">
          <cell r="J1">
            <v>1.7453292519943295E-2</v>
          </cell>
        </row>
      </sheetData>
      <sheetData sheetId="26533">
        <row r="1">
          <cell r="J1">
            <v>1.7453292519943295E-2</v>
          </cell>
        </row>
      </sheetData>
      <sheetData sheetId="26534" refreshError="1"/>
      <sheetData sheetId="26535" refreshError="1"/>
      <sheetData sheetId="26536" refreshError="1"/>
      <sheetData sheetId="26537"/>
      <sheetData sheetId="26538" refreshError="1"/>
      <sheetData sheetId="26539">
        <row r="1">
          <cell r="J1">
            <v>1.7453292519943295E-2</v>
          </cell>
        </row>
      </sheetData>
      <sheetData sheetId="26540">
        <row r="1">
          <cell r="J1">
            <v>1.7453292519943295E-2</v>
          </cell>
        </row>
      </sheetData>
      <sheetData sheetId="26541">
        <row r="1">
          <cell r="J1">
            <v>1.7453292519943295E-2</v>
          </cell>
        </row>
      </sheetData>
      <sheetData sheetId="26542">
        <row r="1">
          <cell r="J1">
            <v>1.7453292519943295E-2</v>
          </cell>
        </row>
      </sheetData>
      <sheetData sheetId="26543"/>
      <sheetData sheetId="26544"/>
      <sheetData sheetId="26545"/>
      <sheetData sheetId="26546"/>
      <sheetData sheetId="26547"/>
      <sheetData sheetId="26548"/>
      <sheetData sheetId="26549"/>
      <sheetData sheetId="26550"/>
      <sheetData sheetId="26551"/>
      <sheetData sheetId="26552"/>
      <sheetData sheetId="26553"/>
      <sheetData sheetId="26554">
        <row r="1">
          <cell r="J1">
            <v>1.7453292519943295E-2</v>
          </cell>
        </row>
      </sheetData>
      <sheetData sheetId="26555">
        <row r="1">
          <cell r="J1">
            <v>1.7453292519943295E-2</v>
          </cell>
        </row>
      </sheetData>
      <sheetData sheetId="26556">
        <row r="1">
          <cell r="J1">
            <v>1.7453292519943295E-2</v>
          </cell>
        </row>
      </sheetData>
      <sheetData sheetId="26557">
        <row r="1">
          <cell r="J1">
            <v>1.7453292519943295E-2</v>
          </cell>
        </row>
      </sheetData>
      <sheetData sheetId="26558">
        <row r="1">
          <cell r="J1">
            <v>1.7453292519943295E-2</v>
          </cell>
        </row>
      </sheetData>
      <sheetData sheetId="26559"/>
      <sheetData sheetId="26560">
        <row r="1">
          <cell r="J1">
            <v>1.7453292519943295E-2</v>
          </cell>
        </row>
      </sheetData>
      <sheetData sheetId="26561" refreshError="1"/>
      <sheetData sheetId="26562" refreshError="1"/>
      <sheetData sheetId="26563"/>
      <sheetData sheetId="26564"/>
      <sheetData sheetId="26565" refreshError="1"/>
      <sheetData sheetId="26566">
        <row r="1">
          <cell r="J1">
            <v>1.7453292519943295E-2</v>
          </cell>
        </row>
      </sheetData>
      <sheetData sheetId="26567">
        <row r="1">
          <cell r="J1">
            <v>1.7453292519943295E-2</v>
          </cell>
        </row>
      </sheetData>
      <sheetData sheetId="26568" refreshError="1"/>
      <sheetData sheetId="26569" refreshError="1"/>
      <sheetData sheetId="26570" refreshError="1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/>
      <sheetData sheetId="26580"/>
      <sheetData sheetId="26581"/>
      <sheetData sheetId="26582"/>
      <sheetData sheetId="26583"/>
      <sheetData sheetId="26584"/>
      <sheetData sheetId="26585">
        <row r="1">
          <cell r="J1">
            <v>1.7453292519943295E-2</v>
          </cell>
        </row>
      </sheetData>
      <sheetData sheetId="26586">
        <row r="1">
          <cell r="J1">
            <v>1.7453292519943295E-2</v>
          </cell>
        </row>
      </sheetData>
      <sheetData sheetId="26587">
        <row r="1">
          <cell r="J1">
            <v>1.7453292519943295E-2</v>
          </cell>
        </row>
      </sheetData>
      <sheetData sheetId="26588">
        <row r="1">
          <cell r="J1">
            <v>1.7453292519943295E-2</v>
          </cell>
        </row>
      </sheetData>
      <sheetData sheetId="26589">
        <row r="1">
          <cell r="J1">
            <v>1.7453292519943295E-2</v>
          </cell>
        </row>
      </sheetData>
      <sheetData sheetId="26590">
        <row r="1">
          <cell r="J1">
            <v>1.7453292519943295E-2</v>
          </cell>
        </row>
      </sheetData>
      <sheetData sheetId="26591" refreshError="1"/>
      <sheetData sheetId="26592" refreshError="1"/>
      <sheetData sheetId="26593">
        <row r="1">
          <cell r="J1">
            <v>1.7453292519943295E-2</v>
          </cell>
        </row>
      </sheetData>
      <sheetData sheetId="26594">
        <row r="1">
          <cell r="J1">
            <v>1.7453292519943295E-2</v>
          </cell>
        </row>
      </sheetData>
      <sheetData sheetId="26595" refreshError="1"/>
      <sheetData sheetId="26596">
        <row r="1">
          <cell r="J1">
            <v>1.7453292519943295E-2</v>
          </cell>
        </row>
      </sheetData>
      <sheetData sheetId="26597">
        <row r="1">
          <cell r="J1">
            <v>1.7453292519943295E-2</v>
          </cell>
        </row>
      </sheetData>
      <sheetData sheetId="26598">
        <row r="1">
          <cell r="J1">
            <v>1.7453292519943295E-2</v>
          </cell>
        </row>
      </sheetData>
      <sheetData sheetId="26599" refreshError="1"/>
      <sheetData sheetId="26600" refreshError="1"/>
      <sheetData sheetId="26601">
        <row r="1">
          <cell r="J1">
            <v>1.7453292519943295E-2</v>
          </cell>
        </row>
      </sheetData>
      <sheetData sheetId="26602">
        <row r="1">
          <cell r="J1">
            <v>1.7453292519943295E-2</v>
          </cell>
        </row>
      </sheetData>
      <sheetData sheetId="26603">
        <row r="1">
          <cell r="J1">
            <v>1.7453292519943295E-2</v>
          </cell>
        </row>
      </sheetData>
      <sheetData sheetId="26604" refreshError="1"/>
      <sheetData sheetId="26605"/>
      <sheetData sheetId="26606">
        <row r="1">
          <cell r="J1">
            <v>1.7453292519943295E-2</v>
          </cell>
        </row>
      </sheetData>
      <sheetData sheetId="26607" refreshError="1"/>
      <sheetData sheetId="26608" refreshError="1"/>
      <sheetData sheetId="26609">
        <row r="1">
          <cell r="J1">
            <v>1.7453292519943295E-2</v>
          </cell>
        </row>
      </sheetData>
      <sheetData sheetId="26610">
        <row r="1">
          <cell r="J1">
            <v>1.7453292519943295E-2</v>
          </cell>
        </row>
      </sheetData>
      <sheetData sheetId="26611" refreshError="1"/>
      <sheetData sheetId="26612" refreshError="1"/>
      <sheetData sheetId="26613" refreshError="1"/>
      <sheetData sheetId="26614">
        <row r="1">
          <cell r="J1">
            <v>1.7453292519943295E-2</v>
          </cell>
        </row>
      </sheetData>
      <sheetData sheetId="26615" refreshError="1"/>
      <sheetData sheetId="26616">
        <row r="1">
          <cell r="J1">
            <v>1.7453292519943295E-2</v>
          </cell>
        </row>
      </sheetData>
      <sheetData sheetId="26617">
        <row r="1">
          <cell r="J1">
            <v>1.7453292519943295E-2</v>
          </cell>
        </row>
      </sheetData>
      <sheetData sheetId="26618">
        <row r="1">
          <cell r="J1">
            <v>1.7453292519943295E-2</v>
          </cell>
        </row>
      </sheetData>
      <sheetData sheetId="26619">
        <row r="1">
          <cell r="J1">
            <v>1.7453292519943295E-2</v>
          </cell>
        </row>
      </sheetData>
      <sheetData sheetId="26620">
        <row r="1">
          <cell r="J1">
            <v>1.7453292519943295E-2</v>
          </cell>
        </row>
      </sheetData>
      <sheetData sheetId="26621"/>
      <sheetData sheetId="26622"/>
      <sheetData sheetId="26623"/>
      <sheetData sheetId="26624"/>
      <sheetData sheetId="26625"/>
      <sheetData sheetId="26626">
        <row r="1">
          <cell r="J1">
            <v>1.7453292519943295E-2</v>
          </cell>
        </row>
      </sheetData>
      <sheetData sheetId="26627"/>
      <sheetData sheetId="26628"/>
      <sheetData sheetId="26629"/>
      <sheetData sheetId="26630"/>
      <sheetData sheetId="26631">
        <row r="1">
          <cell r="J1">
            <v>1.7453292519943295E-2</v>
          </cell>
        </row>
      </sheetData>
      <sheetData sheetId="26632">
        <row r="1">
          <cell r="J1">
            <v>1.7453292519943295E-2</v>
          </cell>
        </row>
      </sheetData>
      <sheetData sheetId="26633">
        <row r="1">
          <cell r="J1">
            <v>1.7453292519943295E-2</v>
          </cell>
        </row>
      </sheetData>
      <sheetData sheetId="26634">
        <row r="1">
          <cell r="J1">
            <v>1.7453292519943295E-2</v>
          </cell>
        </row>
      </sheetData>
      <sheetData sheetId="26635"/>
      <sheetData sheetId="26636"/>
      <sheetData sheetId="26637">
        <row r="1">
          <cell r="J1">
            <v>1.7453292519943295E-2</v>
          </cell>
        </row>
      </sheetData>
      <sheetData sheetId="26638" refreshError="1"/>
      <sheetData sheetId="26639" refreshError="1"/>
      <sheetData sheetId="26640">
        <row r="1">
          <cell r="J1">
            <v>1.7453292519943295E-2</v>
          </cell>
        </row>
      </sheetData>
      <sheetData sheetId="26641">
        <row r="1">
          <cell r="J1">
            <v>1.7453292519943295E-2</v>
          </cell>
        </row>
      </sheetData>
      <sheetData sheetId="26642" refreshError="1"/>
      <sheetData sheetId="26643">
        <row r="1">
          <cell r="J1">
            <v>1.7453292519943295E-2</v>
          </cell>
        </row>
      </sheetData>
      <sheetData sheetId="26644">
        <row r="1">
          <cell r="J1">
            <v>1.7453292519943295E-2</v>
          </cell>
        </row>
      </sheetData>
      <sheetData sheetId="26645" refreshError="1"/>
      <sheetData sheetId="26646" refreshError="1"/>
      <sheetData sheetId="26647" refreshError="1"/>
      <sheetData sheetId="26648">
        <row r="1">
          <cell r="J1">
            <v>1.7453292519943295E-2</v>
          </cell>
        </row>
      </sheetData>
      <sheetData sheetId="26649"/>
      <sheetData sheetId="26650"/>
      <sheetData sheetId="26651"/>
      <sheetData sheetId="26652"/>
      <sheetData sheetId="26653"/>
      <sheetData sheetId="26654">
        <row r="1">
          <cell r="J1">
            <v>1.7453292519943295E-2</v>
          </cell>
        </row>
      </sheetData>
      <sheetData sheetId="26655"/>
      <sheetData sheetId="26656"/>
      <sheetData sheetId="26657"/>
      <sheetData sheetId="26658"/>
      <sheetData sheetId="26659"/>
      <sheetData sheetId="26660"/>
      <sheetData sheetId="26661"/>
      <sheetData sheetId="26662">
        <row r="1">
          <cell r="J1">
            <v>1.7453292519943295E-2</v>
          </cell>
        </row>
      </sheetData>
      <sheetData sheetId="26663">
        <row r="1">
          <cell r="J1">
            <v>1.7453292519943295E-2</v>
          </cell>
        </row>
      </sheetData>
      <sheetData sheetId="26664">
        <row r="1">
          <cell r="J1">
            <v>1.7453292519943295E-2</v>
          </cell>
        </row>
      </sheetData>
      <sheetData sheetId="26665"/>
      <sheetData sheetId="26666"/>
      <sheetData sheetId="26667"/>
      <sheetData sheetId="26668">
        <row r="1">
          <cell r="J1">
            <v>1.7453292519943295E-2</v>
          </cell>
        </row>
      </sheetData>
      <sheetData sheetId="26669" refreshError="1"/>
      <sheetData sheetId="26670" refreshError="1"/>
      <sheetData sheetId="26671">
        <row r="1">
          <cell r="J1">
            <v>1.7453292519943295E-2</v>
          </cell>
        </row>
      </sheetData>
      <sheetData sheetId="26672">
        <row r="1">
          <cell r="J1">
            <v>1.7453292519943295E-2</v>
          </cell>
        </row>
      </sheetData>
      <sheetData sheetId="26673" refreshError="1"/>
      <sheetData sheetId="26674"/>
      <sheetData sheetId="26675">
        <row r="1">
          <cell r="J1">
            <v>1.7453292519943295E-2</v>
          </cell>
        </row>
      </sheetData>
      <sheetData sheetId="26676" refreshError="1"/>
      <sheetData sheetId="26677" refreshError="1"/>
      <sheetData sheetId="26678" refreshError="1"/>
      <sheetData sheetId="26679"/>
      <sheetData sheetId="26680">
        <row r="1">
          <cell r="J1">
            <v>1.7453292519943295E-2</v>
          </cell>
        </row>
      </sheetData>
      <sheetData sheetId="26681">
        <row r="1">
          <cell r="J1">
            <v>1.7453292519943295E-2</v>
          </cell>
        </row>
      </sheetData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/>
      <sheetData sheetId="26691"/>
      <sheetData sheetId="26692"/>
      <sheetData sheetId="26693">
        <row r="1">
          <cell r="J1">
            <v>1.7453292519943295E-2</v>
          </cell>
        </row>
      </sheetData>
      <sheetData sheetId="26694">
        <row r="1">
          <cell r="J1">
            <v>1.7453292519943295E-2</v>
          </cell>
        </row>
      </sheetData>
      <sheetData sheetId="26695">
        <row r="1">
          <cell r="J1">
            <v>1.7453292519943295E-2</v>
          </cell>
        </row>
      </sheetData>
      <sheetData sheetId="26696">
        <row r="1">
          <cell r="J1">
            <v>1.7453292519943295E-2</v>
          </cell>
        </row>
      </sheetData>
      <sheetData sheetId="26697">
        <row r="1">
          <cell r="J1">
            <v>1.7453292519943295E-2</v>
          </cell>
        </row>
      </sheetData>
      <sheetData sheetId="26698">
        <row r="1">
          <cell r="J1">
            <v>1.7453292519943295E-2</v>
          </cell>
        </row>
      </sheetData>
      <sheetData sheetId="26699">
        <row r="1">
          <cell r="J1">
            <v>1.7453292519943295E-2</v>
          </cell>
        </row>
      </sheetData>
      <sheetData sheetId="26700" refreshError="1"/>
      <sheetData sheetId="26701" refreshError="1"/>
      <sheetData sheetId="26702">
        <row r="1">
          <cell r="J1">
            <v>1.7453292519943295E-2</v>
          </cell>
        </row>
      </sheetData>
      <sheetData sheetId="26703">
        <row r="1">
          <cell r="J1">
            <v>1.7453292519943295E-2</v>
          </cell>
        </row>
      </sheetData>
      <sheetData sheetId="26704" refreshError="1"/>
      <sheetData sheetId="26705"/>
      <sheetData sheetId="26706">
        <row r="1">
          <cell r="J1">
            <v>1.7453292519943295E-2</v>
          </cell>
        </row>
      </sheetData>
      <sheetData sheetId="26707" refreshError="1"/>
      <sheetData sheetId="26708" refreshError="1"/>
      <sheetData sheetId="26709" refreshError="1"/>
      <sheetData sheetId="26710"/>
      <sheetData sheetId="26711">
        <row r="1">
          <cell r="J1">
            <v>1.7453292519943295E-2</v>
          </cell>
        </row>
      </sheetData>
      <sheetData sheetId="26712"/>
      <sheetData sheetId="26713">
        <row r="1">
          <cell r="J1">
            <v>1.7453292519943295E-2</v>
          </cell>
        </row>
      </sheetData>
      <sheetData sheetId="26714"/>
      <sheetData sheetId="26715"/>
      <sheetData sheetId="26716"/>
      <sheetData sheetId="26717"/>
      <sheetData sheetId="26718"/>
      <sheetData sheetId="26719"/>
      <sheetData sheetId="26720"/>
      <sheetData sheetId="26721"/>
      <sheetData sheetId="26722"/>
      <sheetData sheetId="26723"/>
      <sheetData sheetId="26724">
        <row r="1">
          <cell r="J1">
            <v>1.7453292519943295E-2</v>
          </cell>
        </row>
      </sheetData>
      <sheetData sheetId="26725">
        <row r="1">
          <cell r="J1">
            <v>1.7453292519943295E-2</v>
          </cell>
        </row>
      </sheetData>
      <sheetData sheetId="26726">
        <row r="1">
          <cell r="J1">
            <v>1.7453292519943295E-2</v>
          </cell>
        </row>
      </sheetData>
      <sheetData sheetId="26727">
        <row r="1">
          <cell r="J1">
            <v>1.7453292519943295E-2</v>
          </cell>
        </row>
      </sheetData>
      <sheetData sheetId="26728">
        <row r="1">
          <cell r="J1">
            <v>1.7453292519943295E-2</v>
          </cell>
        </row>
      </sheetData>
      <sheetData sheetId="26729">
        <row r="1">
          <cell r="J1">
            <v>1.7453292519943295E-2</v>
          </cell>
        </row>
      </sheetData>
      <sheetData sheetId="26730"/>
      <sheetData sheetId="26731" refreshError="1"/>
      <sheetData sheetId="26732">
        <row r="1">
          <cell r="J1">
            <v>1.7453292519943295E-2</v>
          </cell>
        </row>
      </sheetData>
      <sheetData sheetId="26733">
        <row r="1">
          <cell r="J1">
            <v>1.7453292519943295E-2</v>
          </cell>
        </row>
      </sheetData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/>
      <sheetData sheetId="26740">
        <row r="1">
          <cell r="J1">
            <v>1.7453292519943295E-2</v>
          </cell>
        </row>
      </sheetData>
      <sheetData sheetId="26741">
        <row r="1">
          <cell r="J1">
            <v>1.7453292519943295E-2</v>
          </cell>
        </row>
      </sheetData>
      <sheetData sheetId="26742"/>
      <sheetData sheetId="26743">
        <row r="1">
          <cell r="J1">
            <v>1.7453292519943295E-2</v>
          </cell>
        </row>
      </sheetData>
      <sheetData sheetId="26744"/>
      <sheetData sheetId="26745"/>
      <sheetData sheetId="26746">
        <row r="1">
          <cell r="J1">
            <v>1.7453292519943295E-2</v>
          </cell>
        </row>
      </sheetData>
      <sheetData sheetId="26747">
        <row r="1">
          <cell r="J1">
            <v>1.7453292519943295E-2</v>
          </cell>
        </row>
      </sheetData>
      <sheetData sheetId="26748"/>
      <sheetData sheetId="26749">
        <row r="1">
          <cell r="J1">
            <v>1.7453292519943295E-2</v>
          </cell>
        </row>
      </sheetData>
      <sheetData sheetId="26750"/>
      <sheetData sheetId="26751">
        <row r="1">
          <cell r="J1">
            <v>1.7453292519943295E-2</v>
          </cell>
        </row>
      </sheetData>
      <sheetData sheetId="26752"/>
      <sheetData sheetId="26753"/>
      <sheetData sheetId="26754">
        <row r="1">
          <cell r="J1">
            <v>1.7453292519943295E-2</v>
          </cell>
        </row>
      </sheetData>
      <sheetData sheetId="26755">
        <row r="1">
          <cell r="J1">
            <v>1.7453292519943295E-2</v>
          </cell>
        </row>
      </sheetData>
      <sheetData sheetId="26756">
        <row r="1">
          <cell r="J1">
            <v>1.7453292519943295E-2</v>
          </cell>
        </row>
      </sheetData>
      <sheetData sheetId="26757">
        <row r="1">
          <cell r="J1">
            <v>1.7453292519943295E-2</v>
          </cell>
        </row>
      </sheetData>
      <sheetData sheetId="26758"/>
      <sheetData sheetId="26759">
        <row r="1">
          <cell r="J1">
            <v>1.7453292519943295E-2</v>
          </cell>
        </row>
      </sheetData>
      <sheetData sheetId="26760"/>
      <sheetData sheetId="26761"/>
      <sheetData sheetId="26762" refreshError="1"/>
      <sheetData sheetId="26763">
        <row r="1">
          <cell r="J1">
            <v>1.7453292519943295E-2</v>
          </cell>
        </row>
      </sheetData>
      <sheetData sheetId="26764" refreshError="1"/>
      <sheetData sheetId="26765">
        <row r="1">
          <cell r="J1">
            <v>1.7453292519943295E-2</v>
          </cell>
        </row>
      </sheetData>
      <sheetData sheetId="26766"/>
      <sheetData sheetId="26767" refreshError="1"/>
      <sheetData sheetId="26768">
        <row r="1">
          <cell r="J1">
            <v>1.7453292519943295E-2</v>
          </cell>
        </row>
      </sheetData>
      <sheetData sheetId="26769" refreshError="1"/>
      <sheetData sheetId="26770" refreshError="1"/>
      <sheetData sheetId="26771">
        <row r="1">
          <cell r="J1">
            <v>1.7453292519943295E-2</v>
          </cell>
        </row>
      </sheetData>
      <sheetData sheetId="26772">
        <row r="1">
          <cell r="J1">
            <v>1.7453292519943295E-2</v>
          </cell>
        </row>
      </sheetData>
      <sheetData sheetId="26773">
        <row r="1">
          <cell r="J1">
            <v>1.7453292519943295E-2</v>
          </cell>
        </row>
      </sheetData>
      <sheetData sheetId="26774" refreshError="1"/>
      <sheetData sheetId="26775" refreshError="1"/>
      <sheetData sheetId="26776" refreshError="1"/>
      <sheetData sheetId="26777"/>
      <sheetData sheetId="26778"/>
      <sheetData sheetId="26779">
        <row r="1">
          <cell r="J1">
            <v>1.7453292519943295E-2</v>
          </cell>
        </row>
      </sheetData>
      <sheetData sheetId="26780"/>
      <sheetData sheetId="26781">
        <row r="1">
          <cell r="J1">
            <v>1.7453292519943295E-2</v>
          </cell>
        </row>
      </sheetData>
      <sheetData sheetId="26782">
        <row r="1">
          <cell r="J1">
            <v>1.7453292519943295E-2</v>
          </cell>
        </row>
      </sheetData>
      <sheetData sheetId="26783">
        <row r="1">
          <cell r="J1">
            <v>1.7453292519943295E-2</v>
          </cell>
        </row>
      </sheetData>
      <sheetData sheetId="26784"/>
      <sheetData sheetId="26785">
        <row r="1">
          <cell r="J1">
            <v>1.7453292519943295E-2</v>
          </cell>
        </row>
      </sheetData>
      <sheetData sheetId="26786"/>
      <sheetData sheetId="26787"/>
      <sheetData sheetId="26788"/>
      <sheetData sheetId="26789">
        <row r="1">
          <cell r="J1">
            <v>1.7453292519943295E-2</v>
          </cell>
        </row>
      </sheetData>
      <sheetData sheetId="26790"/>
      <sheetData sheetId="26791"/>
      <sheetData sheetId="26792"/>
      <sheetData sheetId="26793"/>
      <sheetData sheetId="26794">
        <row r="1">
          <cell r="J1">
            <v>1.7453292519943295E-2</v>
          </cell>
        </row>
      </sheetData>
      <sheetData sheetId="26795">
        <row r="1">
          <cell r="J1">
            <v>1.7453292519943295E-2</v>
          </cell>
        </row>
      </sheetData>
      <sheetData sheetId="26796">
        <row r="1">
          <cell r="J1">
            <v>1.7453292519943295E-2</v>
          </cell>
        </row>
      </sheetData>
      <sheetData sheetId="26797"/>
      <sheetData sheetId="26798"/>
      <sheetData sheetId="26799"/>
      <sheetData sheetId="26800">
        <row r="1">
          <cell r="J1">
            <v>1.7453292519943295E-2</v>
          </cell>
        </row>
      </sheetData>
      <sheetData sheetId="26801"/>
      <sheetData sheetId="26802"/>
      <sheetData sheetId="26803" refreshError="1"/>
      <sheetData sheetId="26804">
        <row r="1">
          <cell r="J1">
            <v>1.7453292519943295E-2</v>
          </cell>
        </row>
      </sheetData>
      <sheetData sheetId="26805" refreshError="1"/>
      <sheetData sheetId="26806" refreshError="1"/>
      <sheetData sheetId="26807">
        <row r="1">
          <cell r="J1">
            <v>1.7453292519943295E-2</v>
          </cell>
        </row>
      </sheetData>
      <sheetData sheetId="26808" refreshError="1"/>
      <sheetData sheetId="26809" refreshError="1"/>
      <sheetData sheetId="26810">
        <row r="1">
          <cell r="J1">
            <v>1.7453292519943295E-2</v>
          </cell>
        </row>
      </sheetData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>
        <row r="1">
          <cell r="J1">
            <v>1.7453292519943295E-2</v>
          </cell>
        </row>
      </sheetData>
      <sheetData sheetId="26823">
        <row r="1">
          <cell r="J1">
            <v>1.7453292519943295E-2</v>
          </cell>
        </row>
      </sheetData>
      <sheetData sheetId="26824">
        <row r="1">
          <cell r="J1">
            <v>1.7453292519943295E-2</v>
          </cell>
        </row>
      </sheetData>
      <sheetData sheetId="26825">
        <row r="1">
          <cell r="J1">
            <v>1.7453292519943295E-2</v>
          </cell>
        </row>
      </sheetData>
      <sheetData sheetId="26826">
        <row r="1">
          <cell r="J1">
            <v>1.7453292519943295E-2</v>
          </cell>
        </row>
      </sheetData>
      <sheetData sheetId="26827">
        <row r="1">
          <cell r="J1">
            <v>1.7453292519943295E-2</v>
          </cell>
        </row>
      </sheetData>
      <sheetData sheetId="26828"/>
      <sheetData sheetId="26829">
        <row r="1">
          <cell r="J1">
            <v>1.7453292519943295E-2</v>
          </cell>
        </row>
      </sheetData>
      <sheetData sheetId="26830">
        <row r="1">
          <cell r="J1">
            <v>1.7453292519943295E-2</v>
          </cell>
        </row>
      </sheetData>
      <sheetData sheetId="26831">
        <row r="1">
          <cell r="J1">
            <v>1.7453292519943295E-2</v>
          </cell>
        </row>
      </sheetData>
      <sheetData sheetId="26832"/>
      <sheetData sheetId="26833" refreshError="1"/>
      <sheetData sheetId="26834">
        <row r="1">
          <cell r="J1">
            <v>1.7453292519943295E-2</v>
          </cell>
        </row>
      </sheetData>
      <sheetData sheetId="26835" refreshError="1"/>
      <sheetData sheetId="26836"/>
      <sheetData sheetId="26837">
        <row r="1">
          <cell r="J1">
            <v>1.7453292519943295E-2</v>
          </cell>
        </row>
      </sheetData>
      <sheetData sheetId="26838">
        <row r="1">
          <cell r="J1">
            <v>1.7453292519943295E-2</v>
          </cell>
        </row>
      </sheetData>
      <sheetData sheetId="26839" refreshError="1"/>
      <sheetData sheetId="26840" refreshError="1"/>
      <sheetData sheetId="26841" refreshError="1"/>
      <sheetData sheetId="26842"/>
      <sheetData sheetId="26843"/>
      <sheetData sheetId="26844"/>
      <sheetData sheetId="26845"/>
      <sheetData sheetId="26846"/>
      <sheetData sheetId="26847"/>
      <sheetData sheetId="26848"/>
      <sheetData sheetId="26849"/>
      <sheetData sheetId="26850"/>
      <sheetData sheetId="26851"/>
      <sheetData sheetId="26852"/>
      <sheetData sheetId="26853"/>
      <sheetData sheetId="26854"/>
      <sheetData sheetId="26855">
        <row r="1">
          <cell r="J1">
            <v>1.7453292519943295E-2</v>
          </cell>
        </row>
      </sheetData>
      <sheetData sheetId="26856">
        <row r="1">
          <cell r="J1">
            <v>1.7453292519943295E-2</v>
          </cell>
        </row>
      </sheetData>
      <sheetData sheetId="26857">
        <row r="1">
          <cell r="J1">
            <v>1.7453292519943295E-2</v>
          </cell>
        </row>
      </sheetData>
      <sheetData sheetId="26858">
        <row r="1">
          <cell r="J1">
            <v>1.7453292519943295E-2</v>
          </cell>
        </row>
      </sheetData>
      <sheetData sheetId="26859"/>
      <sheetData sheetId="26860"/>
      <sheetData sheetId="26861">
        <row r="1">
          <cell r="J1">
            <v>1.7453292519943295E-2</v>
          </cell>
        </row>
      </sheetData>
      <sheetData sheetId="26862" refreshError="1"/>
      <sheetData sheetId="26863"/>
      <sheetData sheetId="26864">
        <row r="1">
          <cell r="J1">
            <v>1.7453292519943295E-2</v>
          </cell>
        </row>
      </sheetData>
      <sheetData sheetId="26865">
        <row r="1">
          <cell r="J1">
            <v>1.7453292519943295E-2</v>
          </cell>
        </row>
      </sheetData>
      <sheetData sheetId="26866" refreshError="1"/>
      <sheetData sheetId="26867" refreshError="1"/>
      <sheetData sheetId="26868" refreshError="1"/>
      <sheetData sheetId="26869"/>
      <sheetData sheetId="26870" refreshError="1"/>
      <sheetData sheetId="26871" refreshError="1"/>
      <sheetData sheetId="26872">
        <row r="1">
          <cell r="J1">
            <v>1.7453292519943295E-2</v>
          </cell>
        </row>
      </sheetData>
      <sheetData sheetId="26873"/>
      <sheetData sheetId="26874"/>
      <sheetData sheetId="26875"/>
      <sheetData sheetId="26876">
        <row r="1">
          <cell r="J1">
            <v>1.7453292519943295E-2</v>
          </cell>
        </row>
      </sheetData>
      <sheetData sheetId="26877"/>
      <sheetData sheetId="26878"/>
      <sheetData sheetId="26879"/>
      <sheetData sheetId="26880">
        <row r="1">
          <cell r="J1">
            <v>1.7453292519943295E-2</v>
          </cell>
        </row>
      </sheetData>
      <sheetData sheetId="26881"/>
      <sheetData sheetId="26882"/>
      <sheetData sheetId="26883"/>
      <sheetData sheetId="26884"/>
      <sheetData sheetId="26885"/>
      <sheetData sheetId="26886"/>
      <sheetData sheetId="26887">
        <row r="1">
          <cell r="J1">
            <v>1.7453292519943295E-2</v>
          </cell>
        </row>
      </sheetData>
      <sheetData sheetId="26888">
        <row r="1">
          <cell r="J1">
            <v>1.7453292519943295E-2</v>
          </cell>
        </row>
      </sheetData>
      <sheetData sheetId="26889">
        <row r="1">
          <cell r="J1">
            <v>1.7453292519943295E-2</v>
          </cell>
        </row>
      </sheetData>
      <sheetData sheetId="26890"/>
      <sheetData sheetId="26891"/>
      <sheetData sheetId="26892"/>
      <sheetData sheetId="26893"/>
      <sheetData sheetId="26894"/>
      <sheetData sheetId="26895">
        <row r="1">
          <cell r="J1">
            <v>1.7453292519943295E-2</v>
          </cell>
        </row>
      </sheetData>
      <sheetData sheetId="26896" refreshError="1"/>
      <sheetData sheetId="26897" refreshError="1"/>
      <sheetData sheetId="26898" refreshError="1"/>
      <sheetData sheetId="26899" refreshError="1"/>
      <sheetData sheetId="26900"/>
      <sheetData sheetId="26901">
        <row r="1">
          <cell r="J1">
            <v>1.7453292519943295E-2</v>
          </cell>
        </row>
      </sheetData>
      <sheetData sheetId="26902" refreshError="1"/>
      <sheetData sheetId="26903">
        <row r="1">
          <cell r="J1">
            <v>1.7453292519943295E-2</v>
          </cell>
        </row>
      </sheetData>
      <sheetData sheetId="26904">
        <row r="1">
          <cell r="J1">
            <v>1.7453292519943295E-2</v>
          </cell>
        </row>
      </sheetData>
      <sheetData sheetId="26905"/>
      <sheetData sheetId="26906"/>
      <sheetData sheetId="26907"/>
      <sheetData sheetId="26908"/>
      <sheetData sheetId="26909"/>
      <sheetData sheetId="26910">
        <row r="1">
          <cell r="J1">
            <v>1.7453292519943295E-2</v>
          </cell>
        </row>
      </sheetData>
      <sheetData sheetId="26911"/>
      <sheetData sheetId="26912"/>
      <sheetData sheetId="26913"/>
      <sheetData sheetId="26914"/>
      <sheetData sheetId="26915"/>
      <sheetData sheetId="26916"/>
      <sheetData sheetId="26917"/>
      <sheetData sheetId="26918">
        <row r="1">
          <cell r="J1">
            <v>1.7453292519943295E-2</v>
          </cell>
        </row>
      </sheetData>
      <sheetData sheetId="26919">
        <row r="1">
          <cell r="J1">
            <v>1.7453292519943295E-2</v>
          </cell>
        </row>
      </sheetData>
      <sheetData sheetId="26920">
        <row r="1">
          <cell r="J1">
            <v>1.7453292519943295E-2</v>
          </cell>
        </row>
      </sheetData>
      <sheetData sheetId="26921"/>
      <sheetData sheetId="26922"/>
      <sheetData sheetId="26923"/>
      <sheetData sheetId="26924">
        <row r="1">
          <cell r="J1">
            <v>1.7453292519943295E-2</v>
          </cell>
        </row>
      </sheetData>
      <sheetData sheetId="26925" refreshError="1"/>
      <sheetData sheetId="26926" refreshError="1"/>
      <sheetData sheetId="26927">
        <row r="1">
          <cell r="J1">
            <v>1.7453292519943295E-2</v>
          </cell>
        </row>
      </sheetData>
      <sheetData sheetId="26928" refreshError="1"/>
      <sheetData sheetId="26929" refreshError="1"/>
      <sheetData sheetId="26930" refreshError="1"/>
      <sheetData sheetId="26931"/>
      <sheetData sheetId="26932">
        <row r="1">
          <cell r="J1">
            <v>1.7453292519943295E-2</v>
          </cell>
        </row>
      </sheetData>
      <sheetData sheetId="26933" refreshError="1"/>
      <sheetData sheetId="26934" refreshError="1"/>
      <sheetData sheetId="26935" refreshError="1"/>
      <sheetData sheetId="26936" refreshError="1"/>
      <sheetData sheetId="26937">
        <row r="1">
          <cell r="J1">
            <v>1.7453292519943295E-2</v>
          </cell>
        </row>
      </sheetData>
      <sheetData sheetId="26938"/>
      <sheetData sheetId="26939" refreshError="1"/>
      <sheetData sheetId="26940"/>
      <sheetData sheetId="26941">
        <row r="1">
          <cell r="J1">
            <v>1.7453292519943295E-2</v>
          </cell>
        </row>
      </sheetData>
      <sheetData sheetId="26942"/>
      <sheetData sheetId="26943">
        <row r="1">
          <cell r="J1">
            <v>1.7453292519943295E-2</v>
          </cell>
        </row>
      </sheetData>
      <sheetData sheetId="26944"/>
      <sheetData sheetId="26945"/>
      <sheetData sheetId="26946"/>
      <sheetData sheetId="26947"/>
      <sheetData sheetId="26948"/>
      <sheetData sheetId="26949"/>
      <sheetData sheetId="26950"/>
      <sheetData sheetId="26951"/>
      <sheetData sheetId="26952"/>
      <sheetData sheetId="26953"/>
      <sheetData sheetId="26954"/>
      <sheetData sheetId="26955"/>
      <sheetData sheetId="26956"/>
      <sheetData sheetId="26957"/>
      <sheetData sheetId="26958">
        <row r="1">
          <cell r="J1">
            <v>1.7453292519943295E-2</v>
          </cell>
        </row>
      </sheetData>
      <sheetData sheetId="26959">
        <row r="1">
          <cell r="J1">
            <v>1.7453292519943295E-2</v>
          </cell>
        </row>
      </sheetData>
      <sheetData sheetId="26960">
        <row r="1">
          <cell r="J1">
            <v>1.7453292519943295E-2</v>
          </cell>
        </row>
      </sheetData>
      <sheetData sheetId="26961">
        <row r="1">
          <cell r="J1">
            <v>1.7453292519943295E-2</v>
          </cell>
        </row>
      </sheetData>
      <sheetData sheetId="26962"/>
      <sheetData sheetId="26963"/>
      <sheetData sheetId="26964"/>
      <sheetData sheetId="26965" refreshError="1"/>
      <sheetData sheetId="26966"/>
      <sheetData sheetId="26967" refreshError="1"/>
      <sheetData sheetId="26968" refreshError="1"/>
      <sheetData sheetId="26969"/>
      <sheetData sheetId="26970">
        <row r="1">
          <cell r="J1">
            <v>1.7453292519943295E-2</v>
          </cell>
        </row>
      </sheetData>
      <sheetData sheetId="26971">
        <row r="1">
          <cell r="J1">
            <v>1.7453292519943295E-2</v>
          </cell>
        </row>
      </sheetData>
      <sheetData sheetId="26972">
        <row r="1">
          <cell r="J1">
            <v>1.7453292519943295E-2</v>
          </cell>
        </row>
      </sheetData>
      <sheetData sheetId="26973" refreshError="1"/>
      <sheetData sheetId="26974">
        <row r="1">
          <cell r="J1">
            <v>1.7453292519943295E-2</v>
          </cell>
        </row>
      </sheetData>
      <sheetData sheetId="26975">
        <row r="1">
          <cell r="J1">
            <v>1.7453292519943295E-2</v>
          </cell>
        </row>
      </sheetData>
      <sheetData sheetId="26976" refreshError="1"/>
      <sheetData sheetId="26977" refreshError="1"/>
      <sheetData sheetId="26978"/>
      <sheetData sheetId="26979" refreshError="1"/>
      <sheetData sheetId="26980">
        <row r="1">
          <cell r="J1">
            <v>1.7453292519943295E-2</v>
          </cell>
        </row>
      </sheetData>
      <sheetData sheetId="26981" refreshError="1"/>
      <sheetData sheetId="26982">
        <row r="1">
          <cell r="J1">
            <v>1.7453292519943295E-2</v>
          </cell>
        </row>
      </sheetData>
      <sheetData sheetId="26983" refreshError="1"/>
      <sheetData sheetId="26984"/>
      <sheetData sheetId="26985">
        <row r="1">
          <cell r="J1">
            <v>1.7453292519943295E-2</v>
          </cell>
        </row>
      </sheetData>
      <sheetData sheetId="26986"/>
      <sheetData sheetId="26987" refreshError="1"/>
      <sheetData sheetId="26988"/>
      <sheetData sheetId="26989" refreshError="1"/>
      <sheetData sheetId="26990" refreshError="1"/>
      <sheetData sheetId="26991">
        <row r="1">
          <cell r="J1">
            <v>1.7453292519943295E-2</v>
          </cell>
        </row>
      </sheetData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>
        <row r="1">
          <cell r="J1">
            <v>1.7453292519943295E-2</v>
          </cell>
        </row>
      </sheetData>
      <sheetData sheetId="27007">
        <row r="1">
          <cell r="J1">
            <v>1.7453292519943295E-2</v>
          </cell>
        </row>
      </sheetData>
      <sheetData sheetId="27008">
        <row r="1">
          <cell r="J1">
            <v>1.7453292519943295E-2</v>
          </cell>
        </row>
      </sheetData>
      <sheetData sheetId="27009">
        <row r="1">
          <cell r="J1">
            <v>1.7453292519943295E-2</v>
          </cell>
        </row>
      </sheetData>
      <sheetData sheetId="27010"/>
      <sheetData sheetId="27011"/>
      <sheetData sheetId="27012"/>
      <sheetData sheetId="27013" refreshError="1"/>
      <sheetData sheetId="27014" refreshError="1"/>
      <sheetData sheetId="27015">
        <row r="1">
          <cell r="J1">
            <v>1.7453292519943295E-2</v>
          </cell>
        </row>
      </sheetData>
      <sheetData sheetId="27016" refreshError="1"/>
      <sheetData sheetId="27017">
        <row r="1">
          <cell r="J1">
            <v>1.7453292519943295E-2</v>
          </cell>
        </row>
      </sheetData>
      <sheetData sheetId="27018" refreshError="1"/>
      <sheetData sheetId="27019" refreshError="1"/>
      <sheetData sheetId="27020">
        <row r="1">
          <cell r="J1">
            <v>1.7453292519943295E-2</v>
          </cell>
        </row>
      </sheetData>
      <sheetData sheetId="27021">
        <row r="1">
          <cell r="J1">
            <v>1.7453292519943295E-2</v>
          </cell>
        </row>
      </sheetData>
      <sheetData sheetId="27022">
        <row r="1">
          <cell r="J1">
            <v>1.7453292519943295E-2</v>
          </cell>
        </row>
      </sheetData>
      <sheetData sheetId="27023" refreshError="1"/>
      <sheetData sheetId="27024"/>
      <sheetData sheetId="27025">
        <row r="1">
          <cell r="J1">
            <v>1.7453292519943295E-2</v>
          </cell>
        </row>
      </sheetData>
      <sheetData sheetId="27026" refreshError="1"/>
      <sheetData sheetId="27027" refreshError="1"/>
      <sheetData sheetId="27028" refreshError="1"/>
      <sheetData sheetId="27029">
        <row r="1">
          <cell r="J1">
            <v>1.7453292519943295E-2</v>
          </cell>
        </row>
      </sheetData>
      <sheetData sheetId="27030"/>
      <sheetData sheetId="27031">
        <row r="1">
          <cell r="J1">
            <v>1.7453292519943295E-2</v>
          </cell>
        </row>
      </sheetData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/>
      <sheetData sheetId="27043"/>
      <sheetData sheetId="27044"/>
      <sheetData sheetId="27045"/>
      <sheetData sheetId="27046" refreshError="1"/>
      <sheetData sheetId="27047">
        <row r="1">
          <cell r="J1">
            <v>1.7453292519943295E-2</v>
          </cell>
        </row>
      </sheetData>
      <sheetData sheetId="27048">
        <row r="1">
          <cell r="J1">
            <v>1.7453292519943295E-2</v>
          </cell>
        </row>
      </sheetData>
      <sheetData sheetId="27049">
        <row r="1">
          <cell r="J1">
            <v>1.7453292519943295E-2</v>
          </cell>
        </row>
      </sheetData>
      <sheetData sheetId="27050"/>
      <sheetData sheetId="27051"/>
      <sheetData sheetId="27052"/>
      <sheetData sheetId="27053"/>
      <sheetData sheetId="27054" refreshError="1"/>
      <sheetData sheetId="27055" refreshError="1"/>
      <sheetData sheetId="27056">
        <row r="1">
          <cell r="J1">
            <v>1.7453292519943295E-2</v>
          </cell>
        </row>
      </sheetData>
      <sheetData sheetId="27057" refreshError="1"/>
      <sheetData sheetId="27058"/>
      <sheetData sheetId="27059">
        <row r="1">
          <cell r="J1">
            <v>1.7453292519943295E-2</v>
          </cell>
        </row>
      </sheetData>
      <sheetData sheetId="27060" refreshError="1"/>
      <sheetData sheetId="27061" refreshError="1"/>
      <sheetData sheetId="27062" refreshError="1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>
        <row r="1">
          <cell r="J1">
            <v>1.7453292519943295E-2</v>
          </cell>
        </row>
      </sheetData>
      <sheetData sheetId="27078">
        <row r="1">
          <cell r="J1">
            <v>1.7453292519943295E-2</v>
          </cell>
        </row>
      </sheetData>
      <sheetData sheetId="27079">
        <row r="1">
          <cell r="J1">
            <v>1.7453292519943295E-2</v>
          </cell>
        </row>
      </sheetData>
      <sheetData sheetId="27080">
        <row r="1">
          <cell r="J1">
            <v>1.7453292519943295E-2</v>
          </cell>
        </row>
      </sheetData>
      <sheetData sheetId="27081"/>
      <sheetData sheetId="27082"/>
      <sheetData sheetId="27083"/>
      <sheetData sheetId="27084">
        <row r="1">
          <cell r="J1">
            <v>1.7453292519943295E-2</v>
          </cell>
        </row>
      </sheetData>
      <sheetData sheetId="27085">
        <row r="1">
          <cell r="J1">
            <v>1.7453292519943295E-2</v>
          </cell>
        </row>
      </sheetData>
      <sheetData sheetId="27086">
        <row r="1">
          <cell r="J1">
            <v>1.7453292519943295E-2</v>
          </cell>
        </row>
      </sheetData>
      <sheetData sheetId="27087" refreshError="1"/>
      <sheetData sheetId="27088"/>
      <sheetData sheetId="27089">
        <row r="1">
          <cell r="J1">
            <v>1.7453292519943295E-2</v>
          </cell>
        </row>
      </sheetData>
      <sheetData sheetId="27090" refreshError="1"/>
      <sheetData sheetId="27091" refreshError="1"/>
      <sheetData sheetId="27092"/>
      <sheetData sheetId="27093"/>
      <sheetData sheetId="27094" refreshError="1"/>
      <sheetData sheetId="27095" refreshError="1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/>
      <sheetData sheetId="27104"/>
      <sheetData sheetId="27105"/>
      <sheetData sheetId="27106"/>
      <sheetData sheetId="27107"/>
      <sheetData sheetId="27108"/>
      <sheetData sheetId="27109"/>
      <sheetData sheetId="27110">
        <row r="1">
          <cell r="J1">
            <v>1.7453292519943295E-2</v>
          </cell>
        </row>
      </sheetData>
      <sheetData sheetId="27111">
        <row r="1">
          <cell r="J1">
            <v>1.7453292519943295E-2</v>
          </cell>
        </row>
      </sheetData>
      <sheetData sheetId="27112">
        <row r="1">
          <cell r="J1">
            <v>1.7453292519943295E-2</v>
          </cell>
        </row>
      </sheetData>
      <sheetData sheetId="27113">
        <row r="1">
          <cell r="J1">
            <v>1.7453292519943295E-2</v>
          </cell>
        </row>
      </sheetData>
      <sheetData sheetId="27114"/>
      <sheetData sheetId="27115"/>
      <sheetData sheetId="27116"/>
      <sheetData sheetId="27117">
        <row r="1">
          <cell r="J1">
            <v>1.7453292519943295E-2</v>
          </cell>
        </row>
      </sheetData>
      <sheetData sheetId="27118" refreshError="1"/>
      <sheetData sheetId="27119" refreshError="1"/>
      <sheetData sheetId="27120">
        <row r="1">
          <cell r="J1">
            <v>1.7453292519943295E-2</v>
          </cell>
        </row>
      </sheetData>
      <sheetData sheetId="27121">
        <row r="1">
          <cell r="J1">
            <v>1.7453292519943295E-2</v>
          </cell>
        </row>
      </sheetData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/>
      <sheetData sheetId="27128"/>
      <sheetData sheetId="27129"/>
      <sheetData sheetId="27130"/>
      <sheetData sheetId="27131"/>
      <sheetData sheetId="27132"/>
      <sheetData sheetId="27133"/>
      <sheetData sheetId="27134"/>
      <sheetData sheetId="27135"/>
      <sheetData sheetId="27136"/>
      <sheetData sheetId="27137"/>
      <sheetData sheetId="27138"/>
      <sheetData sheetId="27139"/>
      <sheetData sheetId="27140"/>
      <sheetData sheetId="27141">
        <row r="1">
          <cell r="J1">
            <v>1.7453292519943295E-2</v>
          </cell>
        </row>
      </sheetData>
      <sheetData sheetId="27142">
        <row r="1">
          <cell r="J1">
            <v>1.7453292519943295E-2</v>
          </cell>
        </row>
      </sheetData>
      <sheetData sheetId="27143">
        <row r="1">
          <cell r="J1">
            <v>1.7453292519943295E-2</v>
          </cell>
        </row>
      </sheetData>
      <sheetData sheetId="27144">
        <row r="1">
          <cell r="J1">
            <v>1.7453292519943295E-2</v>
          </cell>
        </row>
      </sheetData>
      <sheetData sheetId="27145"/>
      <sheetData sheetId="27146"/>
      <sheetData sheetId="27147"/>
      <sheetData sheetId="27148" refreshError="1"/>
      <sheetData sheetId="27149"/>
      <sheetData sheetId="27150">
        <row r="1">
          <cell r="J1">
            <v>1.7453292519943295E-2</v>
          </cell>
        </row>
      </sheetData>
      <sheetData sheetId="27151">
        <row r="1">
          <cell r="J1">
            <v>1.7453292519943295E-2</v>
          </cell>
        </row>
      </sheetData>
      <sheetData sheetId="27152" refreshError="1"/>
      <sheetData sheetId="27153">
        <row r="1">
          <cell r="J1">
            <v>1.7453292519943295E-2</v>
          </cell>
        </row>
      </sheetData>
      <sheetData sheetId="27154" refreshError="1"/>
      <sheetData sheetId="27155" refreshError="1"/>
      <sheetData sheetId="27156">
        <row r="1">
          <cell r="J1">
            <v>1.7453292519943295E-2</v>
          </cell>
        </row>
      </sheetData>
      <sheetData sheetId="27157">
        <row r="1">
          <cell r="J1">
            <v>1.7453292519943295E-2</v>
          </cell>
        </row>
      </sheetData>
      <sheetData sheetId="27158"/>
      <sheetData sheetId="27159" refreshError="1"/>
      <sheetData sheetId="27160" refreshError="1"/>
      <sheetData sheetId="27161">
        <row r="1">
          <cell r="J1">
            <v>1.7453292519943295E-2</v>
          </cell>
        </row>
      </sheetData>
      <sheetData sheetId="27162" refreshError="1"/>
      <sheetData sheetId="27163" refreshError="1"/>
      <sheetData sheetId="27164" refreshError="1"/>
      <sheetData sheetId="27165"/>
      <sheetData sheetId="27166">
        <row r="1">
          <cell r="J1">
            <v>1.7453292519943295E-2</v>
          </cell>
        </row>
      </sheetData>
      <sheetData sheetId="27167"/>
      <sheetData sheetId="27168">
        <row r="1">
          <cell r="J1">
            <v>1.7453292519943295E-2</v>
          </cell>
        </row>
      </sheetData>
      <sheetData sheetId="27169"/>
      <sheetData sheetId="27170"/>
      <sheetData sheetId="27171"/>
      <sheetData sheetId="27172"/>
      <sheetData sheetId="27173"/>
      <sheetData sheetId="27174"/>
      <sheetData sheetId="27175"/>
      <sheetData sheetId="27176"/>
      <sheetData sheetId="27177"/>
      <sheetData sheetId="27178"/>
      <sheetData sheetId="27179"/>
      <sheetData sheetId="27180"/>
      <sheetData sheetId="27181"/>
      <sheetData sheetId="27182"/>
      <sheetData sheetId="27183">
        <row r="1">
          <cell r="J1">
            <v>1.7453292519943295E-2</v>
          </cell>
        </row>
      </sheetData>
      <sheetData sheetId="27184">
        <row r="1">
          <cell r="J1">
            <v>1.7453292519943295E-2</v>
          </cell>
        </row>
      </sheetData>
      <sheetData sheetId="27185">
        <row r="1">
          <cell r="J1">
            <v>1.7453292519943295E-2</v>
          </cell>
        </row>
      </sheetData>
      <sheetData sheetId="27186"/>
      <sheetData sheetId="27187"/>
      <sheetData sheetId="27188"/>
      <sheetData sheetId="27189">
        <row r="1">
          <cell r="J1">
            <v>1.7453292519943295E-2</v>
          </cell>
        </row>
      </sheetData>
      <sheetData sheetId="27190">
        <row r="1">
          <cell r="J1">
            <v>1.7453292519943295E-2</v>
          </cell>
        </row>
      </sheetData>
      <sheetData sheetId="27191">
        <row r="1">
          <cell r="J1">
            <v>1.7453292519943295E-2</v>
          </cell>
        </row>
      </sheetData>
      <sheetData sheetId="27192">
        <row r="1">
          <cell r="J1">
            <v>1.7453292519943295E-2</v>
          </cell>
        </row>
      </sheetData>
      <sheetData sheetId="27193">
        <row r="1">
          <cell r="J1">
            <v>1.7453292519943295E-2</v>
          </cell>
        </row>
      </sheetData>
      <sheetData sheetId="27194" refreshError="1"/>
      <sheetData sheetId="27195">
        <row r="1">
          <cell r="J1">
            <v>1.7453292519943295E-2</v>
          </cell>
        </row>
      </sheetData>
      <sheetData sheetId="27196" refreshError="1"/>
      <sheetData sheetId="27197" refreshError="1"/>
      <sheetData sheetId="27198" refreshError="1"/>
      <sheetData sheetId="27199" refreshError="1"/>
      <sheetData sheetId="27200">
        <row r="1">
          <cell r="J1">
            <v>1.7453292519943295E-2</v>
          </cell>
        </row>
      </sheetData>
      <sheetData sheetId="27201" refreshError="1"/>
      <sheetData sheetId="27202" refreshError="1"/>
      <sheetData sheetId="27203" refreshError="1"/>
      <sheetData sheetId="27204" refreshError="1"/>
      <sheetData sheetId="27205"/>
      <sheetData sheetId="27206" refreshError="1"/>
      <sheetData sheetId="27207" refreshError="1"/>
      <sheetData sheetId="27208">
        <row r="1">
          <cell r="J1">
            <v>1.7453292519943295E-2</v>
          </cell>
        </row>
      </sheetData>
      <sheetData sheetId="27209">
        <row r="1">
          <cell r="J1">
            <v>1.7453292519943295E-2</v>
          </cell>
        </row>
      </sheetData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>
        <row r="1">
          <cell r="J1">
            <v>1.7453292519943295E-2</v>
          </cell>
        </row>
      </sheetData>
      <sheetData sheetId="27225">
        <row r="1">
          <cell r="J1">
            <v>1.7453292519943295E-2</v>
          </cell>
        </row>
      </sheetData>
      <sheetData sheetId="27226">
        <row r="1">
          <cell r="J1">
            <v>1.7453292519943295E-2</v>
          </cell>
        </row>
      </sheetData>
      <sheetData sheetId="27227">
        <row r="1">
          <cell r="J1">
            <v>1.7453292519943295E-2</v>
          </cell>
        </row>
      </sheetData>
      <sheetData sheetId="27228"/>
      <sheetData sheetId="27229"/>
      <sheetData sheetId="27230"/>
      <sheetData sheetId="27231">
        <row r="1">
          <cell r="J1">
            <v>1.7453292519943295E-2</v>
          </cell>
        </row>
      </sheetData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>
        <row r="1">
          <cell r="J1">
            <v>1.7453292519943295E-2</v>
          </cell>
        </row>
      </sheetData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 refreshError="1"/>
      <sheetData sheetId="27267" refreshError="1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>
        <row r="1">
          <cell r="J1">
            <v>1.7453292519943295E-2</v>
          </cell>
        </row>
      </sheetData>
      <sheetData sheetId="27281"/>
      <sheetData sheetId="27282"/>
      <sheetData sheetId="27283">
        <row r="1">
          <cell r="J1">
            <v>1.7453292519943295E-2</v>
          </cell>
        </row>
      </sheetData>
      <sheetData sheetId="27284"/>
      <sheetData sheetId="27285"/>
      <sheetData sheetId="27286"/>
      <sheetData sheetId="27287"/>
      <sheetData sheetId="27288">
        <row r="1">
          <cell r="J1">
            <v>1.7453292519943295E-2</v>
          </cell>
        </row>
      </sheetData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>
        <row r="1">
          <cell r="J1">
            <v>1.7453292519943295E-2</v>
          </cell>
        </row>
      </sheetData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/>
      <sheetData sheetId="27313"/>
      <sheetData sheetId="27314"/>
      <sheetData sheetId="27315"/>
      <sheetData sheetId="27316"/>
      <sheetData sheetId="27317"/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/>
      <sheetData sheetId="27327">
        <row r="1">
          <cell r="J1">
            <v>1.7453292519943295E-2</v>
          </cell>
        </row>
      </sheetData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/>
      <sheetData sheetId="27348"/>
      <sheetData sheetId="27349"/>
      <sheetData sheetId="27350"/>
      <sheetData sheetId="27351"/>
      <sheetData sheetId="27352"/>
      <sheetData sheetId="27353"/>
      <sheetData sheetId="27354"/>
      <sheetData sheetId="27355"/>
      <sheetData sheetId="27356"/>
      <sheetData sheetId="27357"/>
      <sheetData sheetId="27358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/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/>
      <sheetData sheetId="27379"/>
      <sheetData sheetId="27380"/>
      <sheetData sheetId="27381"/>
      <sheetData sheetId="27382"/>
      <sheetData sheetId="27383"/>
      <sheetData sheetId="27384"/>
      <sheetData sheetId="27385">
        <row r="1">
          <cell r="J1">
            <v>1.7453292519943295E-2</v>
          </cell>
        </row>
      </sheetData>
      <sheetData sheetId="27386"/>
      <sheetData sheetId="27387"/>
      <sheetData sheetId="27388"/>
      <sheetData sheetId="27389"/>
      <sheetData sheetId="27390"/>
      <sheetData sheetId="27391">
        <row r="1">
          <cell r="J1">
            <v>1.7453292519943295E-2</v>
          </cell>
        </row>
      </sheetData>
      <sheetData sheetId="27392"/>
      <sheetData sheetId="27393"/>
      <sheetData sheetId="27394"/>
      <sheetData sheetId="27395"/>
      <sheetData sheetId="27396"/>
      <sheetData sheetId="27397"/>
      <sheetData sheetId="27398"/>
      <sheetData sheetId="27399">
        <row r="1">
          <cell r="J1">
            <v>1.7453292519943295E-2</v>
          </cell>
        </row>
      </sheetData>
      <sheetData sheetId="27400"/>
      <sheetData sheetId="27401"/>
      <sheetData sheetId="27402"/>
      <sheetData sheetId="27403">
        <row r="1">
          <cell r="J1">
            <v>1.7453292519943295E-2</v>
          </cell>
        </row>
      </sheetData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>
        <row r="1">
          <cell r="J1">
            <v>1.7453292519943295E-2</v>
          </cell>
        </row>
      </sheetData>
      <sheetData sheetId="27415"/>
      <sheetData sheetId="27416">
        <row r="1">
          <cell r="J1">
            <v>1.7453292519943295E-2</v>
          </cell>
        </row>
      </sheetData>
      <sheetData sheetId="27417"/>
      <sheetData sheetId="27418"/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/>
      <sheetData sheetId="27428"/>
      <sheetData sheetId="27429"/>
      <sheetData sheetId="27430"/>
      <sheetData sheetId="27431"/>
      <sheetData sheetId="27432"/>
      <sheetData sheetId="27433"/>
      <sheetData sheetId="27434"/>
      <sheetData sheetId="27435"/>
      <sheetData sheetId="27436"/>
      <sheetData sheetId="27437"/>
      <sheetData sheetId="27438"/>
      <sheetData sheetId="27439"/>
      <sheetData sheetId="27440"/>
      <sheetData sheetId="27441"/>
      <sheetData sheetId="27442">
        <row r="1">
          <cell r="J1">
            <v>1.7453292519943295E-2</v>
          </cell>
        </row>
      </sheetData>
      <sheetData sheetId="27443">
        <row r="1">
          <cell r="J1">
            <v>1.7453292519943295E-2</v>
          </cell>
        </row>
      </sheetData>
      <sheetData sheetId="27444"/>
      <sheetData sheetId="27445"/>
      <sheetData sheetId="27446"/>
      <sheetData sheetId="27447">
        <row r="1">
          <cell r="J1">
            <v>1.7453292519943295E-2</v>
          </cell>
        </row>
      </sheetData>
      <sheetData sheetId="27448"/>
      <sheetData sheetId="27449"/>
      <sheetData sheetId="27450"/>
      <sheetData sheetId="27451"/>
      <sheetData sheetId="27452"/>
      <sheetData sheetId="27453"/>
      <sheetData sheetId="27454"/>
      <sheetData sheetId="27455"/>
      <sheetData sheetId="27456">
        <row r="1">
          <cell r="J1">
            <v>1.7453292519943295E-2</v>
          </cell>
        </row>
      </sheetData>
      <sheetData sheetId="27457">
        <row r="1">
          <cell r="J1">
            <v>1.7453292519943295E-2</v>
          </cell>
        </row>
      </sheetData>
      <sheetData sheetId="27458"/>
      <sheetData sheetId="27459"/>
      <sheetData sheetId="27460"/>
      <sheetData sheetId="27461"/>
      <sheetData sheetId="27462"/>
      <sheetData sheetId="27463"/>
      <sheetData sheetId="27464">
        <row r="1">
          <cell r="J1">
            <v>1.7453292519943295E-2</v>
          </cell>
        </row>
      </sheetData>
      <sheetData sheetId="27465"/>
      <sheetData sheetId="27466">
        <row r="1">
          <cell r="J1">
            <v>1.7453292519943295E-2</v>
          </cell>
        </row>
      </sheetData>
      <sheetData sheetId="27467"/>
      <sheetData sheetId="27468"/>
      <sheetData sheetId="27469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/>
      <sheetData sheetId="27489"/>
      <sheetData sheetId="27490"/>
      <sheetData sheetId="27491">
        <row r="1">
          <cell r="J1">
            <v>1.7453292519943295E-2</v>
          </cell>
        </row>
      </sheetData>
      <sheetData sheetId="27492">
        <row r="1">
          <cell r="J1">
            <v>1.7453292519943295E-2</v>
          </cell>
        </row>
      </sheetData>
      <sheetData sheetId="27493"/>
      <sheetData sheetId="27494"/>
      <sheetData sheetId="27495"/>
      <sheetData sheetId="27496"/>
      <sheetData sheetId="27497">
        <row r="1">
          <cell r="J1">
            <v>1.7453292519943295E-2</v>
          </cell>
        </row>
      </sheetData>
      <sheetData sheetId="27498">
        <row r="1">
          <cell r="J1">
            <v>1.7453292519943295E-2</v>
          </cell>
        </row>
      </sheetData>
      <sheetData sheetId="27499"/>
      <sheetData sheetId="27500">
        <row r="1">
          <cell r="J1">
            <v>1.7453292519943295E-2</v>
          </cell>
        </row>
      </sheetData>
      <sheetData sheetId="27501">
        <row r="1">
          <cell r="J1">
            <v>1.7453292519943295E-2</v>
          </cell>
        </row>
      </sheetData>
      <sheetData sheetId="27502"/>
      <sheetData sheetId="27503"/>
      <sheetData sheetId="27504"/>
      <sheetData sheetId="27505">
        <row r="1">
          <cell r="J1">
            <v>1.7453292519943295E-2</v>
          </cell>
        </row>
      </sheetData>
      <sheetData sheetId="27506"/>
      <sheetData sheetId="27507">
        <row r="1">
          <cell r="J1">
            <v>1.7453292519943295E-2</v>
          </cell>
        </row>
      </sheetData>
      <sheetData sheetId="27508"/>
      <sheetData sheetId="27509">
        <row r="1">
          <cell r="J1">
            <v>1.7453292519943295E-2</v>
          </cell>
        </row>
      </sheetData>
      <sheetData sheetId="27510">
        <row r="1">
          <cell r="J1">
            <v>1.7453292519943295E-2</v>
          </cell>
        </row>
      </sheetData>
      <sheetData sheetId="27511"/>
      <sheetData sheetId="27512"/>
      <sheetData sheetId="27513"/>
      <sheetData sheetId="27514"/>
      <sheetData sheetId="27515"/>
      <sheetData sheetId="27516">
        <row r="1">
          <cell r="J1">
            <v>1.7453292519943295E-2</v>
          </cell>
        </row>
      </sheetData>
      <sheetData sheetId="27517">
        <row r="1">
          <cell r="J1">
            <v>1.7453292519943295E-2</v>
          </cell>
        </row>
      </sheetData>
      <sheetData sheetId="27518">
        <row r="1">
          <cell r="J1">
            <v>1.7453292519943295E-2</v>
          </cell>
        </row>
      </sheetData>
      <sheetData sheetId="27519">
        <row r="1">
          <cell r="J1">
            <v>1.7453292519943295E-2</v>
          </cell>
        </row>
      </sheetData>
      <sheetData sheetId="27520">
        <row r="1">
          <cell r="J1">
            <v>1.7453292519943295E-2</v>
          </cell>
        </row>
      </sheetData>
      <sheetData sheetId="27521"/>
      <sheetData sheetId="27522">
        <row r="1">
          <cell r="J1">
            <v>1.7453292519943295E-2</v>
          </cell>
        </row>
      </sheetData>
      <sheetData sheetId="27523"/>
      <sheetData sheetId="27524"/>
      <sheetData sheetId="27525"/>
      <sheetData sheetId="27526"/>
      <sheetData sheetId="27527"/>
      <sheetData sheetId="27528"/>
      <sheetData sheetId="27529"/>
      <sheetData sheetId="27530">
        <row r="1">
          <cell r="J1">
            <v>1.7453292519943295E-2</v>
          </cell>
        </row>
      </sheetData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>
        <row r="1">
          <cell r="J1">
            <v>1.7453292519943295E-2</v>
          </cell>
        </row>
      </sheetData>
      <sheetData sheetId="27544">
        <row r="1">
          <cell r="J1">
            <v>1.7453292519943295E-2</v>
          </cell>
        </row>
      </sheetData>
      <sheetData sheetId="27545"/>
      <sheetData sheetId="27546"/>
      <sheetData sheetId="27547"/>
      <sheetData sheetId="27548">
        <row r="1">
          <cell r="J1">
            <v>1.7453292519943295E-2</v>
          </cell>
        </row>
      </sheetData>
      <sheetData sheetId="27549">
        <row r="1">
          <cell r="J1">
            <v>1.7453292519943295E-2</v>
          </cell>
        </row>
      </sheetData>
      <sheetData sheetId="27550">
        <row r="1">
          <cell r="J1">
            <v>1.7453292519943295E-2</v>
          </cell>
        </row>
      </sheetData>
      <sheetData sheetId="27551"/>
      <sheetData sheetId="27552"/>
      <sheetData sheetId="27553"/>
      <sheetData sheetId="27554">
        <row r="1">
          <cell r="J1">
            <v>1.7453292519943295E-2</v>
          </cell>
        </row>
      </sheetData>
      <sheetData sheetId="27555">
        <row r="1">
          <cell r="J1">
            <v>1.7453292519943295E-2</v>
          </cell>
        </row>
      </sheetData>
      <sheetData sheetId="27556"/>
      <sheetData sheetId="27557">
        <row r="1">
          <cell r="J1">
            <v>1.7453292519943295E-2</v>
          </cell>
        </row>
      </sheetData>
      <sheetData sheetId="27558">
        <row r="1">
          <cell r="J1">
            <v>1.7453292519943295E-2</v>
          </cell>
        </row>
      </sheetData>
      <sheetData sheetId="27559">
        <row r="1">
          <cell r="J1">
            <v>1.7453292519943295E-2</v>
          </cell>
        </row>
      </sheetData>
      <sheetData sheetId="27560"/>
      <sheetData sheetId="27561"/>
      <sheetData sheetId="27562"/>
      <sheetData sheetId="27563"/>
      <sheetData sheetId="27564"/>
      <sheetData sheetId="27565"/>
      <sheetData sheetId="27566"/>
      <sheetData sheetId="27567"/>
      <sheetData sheetId="27568"/>
      <sheetData sheetId="27569">
        <row r="1">
          <cell r="J1">
            <v>1.7453292519943295E-2</v>
          </cell>
        </row>
      </sheetData>
      <sheetData sheetId="27570"/>
      <sheetData sheetId="27571">
        <row r="1">
          <cell r="J1">
            <v>1.7453292519943295E-2</v>
          </cell>
        </row>
      </sheetData>
      <sheetData sheetId="27572"/>
      <sheetData sheetId="27573"/>
      <sheetData sheetId="27574"/>
      <sheetData sheetId="27575"/>
      <sheetData sheetId="27576"/>
      <sheetData sheetId="27577"/>
      <sheetData sheetId="27578"/>
      <sheetData sheetId="27579">
        <row r="1">
          <cell r="J1">
            <v>1.7453292519943295E-2</v>
          </cell>
        </row>
      </sheetData>
      <sheetData sheetId="27580"/>
      <sheetData sheetId="27581"/>
      <sheetData sheetId="27582"/>
      <sheetData sheetId="27583"/>
      <sheetData sheetId="27584"/>
      <sheetData sheetId="27585">
        <row r="1">
          <cell r="J1">
            <v>1.7453292519943295E-2</v>
          </cell>
        </row>
      </sheetData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>
        <row r="1">
          <cell r="J1">
            <v>1.7453292519943295E-2</v>
          </cell>
        </row>
      </sheetData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/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>
        <row r="1">
          <cell r="J1">
            <v>1.7453292519943295E-2</v>
          </cell>
        </row>
      </sheetData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>
        <row r="1">
          <cell r="J1">
            <v>1.7453292519943295E-2</v>
          </cell>
        </row>
      </sheetData>
      <sheetData sheetId="27674"/>
      <sheetData sheetId="27675">
        <row r="1">
          <cell r="J1">
            <v>1.7453292519943295E-2</v>
          </cell>
        </row>
      </sheetData>
      <sheetData sheetId="27676">
        <row r="1">
          <cell r="J1">
            <v>1.7453292519943295E-2</v>
          </cell>
        </row>
      </sheetData>
      <sheetData sheetId="27677">
        <row r="1">
          <cell r="J1">
            <v>1.7453292519943295E-2</v>
          </cell>
        </row>
      </sheetData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/>
      <sheetData sheetId="27698"/>
      <sheetData sheetId="27699"/>
      <sheetData sheetId="27700"/>
      <sheetData sheetId="27701"/>
      <sheetData sheetId="27702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/>
      <sheetData sheetId="27725"/>
      <sheetData sheetId="27726"/>
      <sheetData sheetId="27727"/>
      <sheetData sheetId="27728"/>
      <sheetData sheetId="27729"/>
      <sheetData sheetId="27730"/>
      <sheetData sheetId="27731"/>
      <sheetData sheetId="27732"/>
      <sheetData sheetId="27733"/>
      <sheetData sheetId="27734"/>
      <sheetData sheetId="27735"/>
      <sheetData sheetId="27736"/>
      <sheetData sheetId="27737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 refreshError="1"/>
      <sheetData sheetId="28267" refreshError="1"/>
      <sheetData sheetId="28268" refreshError="1"/>
      <sheetData sheetId="28269" refreshError="1"/>
      <sheetData sheetId="28270" refreshError="1"/>
      <sheetData sheetId="28271" refreshError="1"/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 refreshError="1"/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 refreshError="1"/>
      <sheetData sheetId="28613" refreshError="1"/>
      <sheetData sheetId="28614" refreshError="1"/>
      <sheetData sheetId="28615" refreshError="1"/>
      <sheetData sheetId="28616" refreshError="1"/>
      <sheetData sheetId="28617" refreshError="1"/>
      <sheetData sheetId="28618" refreshError="1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>
        <row r="1">
          <cell r="J1">
            <v>1.7453292519943295E-2</v>
          </cell>
        </row>
      </sheetData>
      <sheetData sheetId="28821" refreshError="1"/>
      <sheetData sheetId="28822">
        <row r="1">
          <cell r="J1">
            <v>1.7453292519943295E-2</v>
          </cell>
        </row>
      </sheetData>
      <sheetData sheetId="28823">
        <row r="1">
          <cell r="J1">
            <v>1.7453292519943295E-2</v>
          </cell>
        </row>
      </sheetData>
      <sheetData sheetId="28824">
        <row r="1">
          <cell r="J1">
            <v>1.7453292519943295E-2</v>
          </cell>
        </row>
      </sheetData>
      <sheetData sheetId="28825" refreshError="1"/>
      <sheetData sheetId="28826"/>
      <sheetData sheetId="28827" refreshError="1"/>
      <sheetData sheetId="28828">
        <row r="1">
          <cell r="J1">
            <v>1.7453292519943295E-2</v>
          </cell>
        </row>
      </sheetData>
      <sheetData sheetId="28829" refreshError="1"/>
      <sheetData sheetId="28830">
        <row r="1">
          <cell r="J1">
            <v>1.7453292519943295E-2</v>
          </cell>
        </row>
      </sheetData>
      <sheetData sheetId="28831">
        <row r="1">
          <cell r="J1">
            <v>1.7453292519943295E-2</v>
          </cell>
        </row>
      </sheetData>
      <sheetData sheetId="28832">
        <row r="1">
          <cell r="J1">
            <v>1.7453292519943295E-2</v>
          </cell>
        </row>
      </sheetData>
      <sheetData sheetId="28833" refreshError="1"/>
      <sheetData sheetId="28834" refreshError="1"/>
      <sheetData sheetId="28835" refreshError="1"/>
      <sheetData sheetId="28836"/>
      <sheetData sheetId="28837" refreshError="1"/>
      <sheetData sheetId="28838" refreshError="1"/>
      <sheetData sheetId="28839">
        <row r="1">
          <cell r="J1">
            <v>1.7453292519943295E-2</v>
          </cell>
        </row>
      </sheetData>
      <sheetData sheetId="28840"/>
      <sheetData sheetId="28841"/>
      <sheetData sheetId="28842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>
        <row r="1">
          <cell r="J1">
            <v>1.7453292519943295E-2</v>
          </cell>
        </row>
      </sheetData>
      <sheetData sheetId="28855">
        <row r="1">
          <cell r="J1">
            <v>1.7453292519943295E-2</v>
          </cell>
        </row>
      </sheetData>
      <sheetData sheetId="28856">
        <row r="1">
          <cell r="J1">
            <v>1.7453292519943295E-2</v>
          </cell>
        </row>
      </sheetData>
      <sheetData sheetId="28857"/>
      <sheetData sheetId="28858"/>
      <sheetData sheetId="28859"/>
      <sheetData sheetId="28860" refreshError="1"/>
      <sheetData sheetId="28861" refreshError="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>
        <row r="1">
          <cell r="J1">
            <v>1.7453292519943295E-2</v>
          </cell>
        </row>
      </sheetData>
      <sheetData sheetId="28871">
        <row r="1">
          <cell r="J1">
            <v>1.7453292519943295E-2</v>
          </cell>
        </row>
      </sheetData>
      <sheetData sheetId="28872">
        <row r="1">
          <cell r="J1">
            <v>1.7453292519943295E-2</v>
          </cell>
        </row>
      </sheetData>
      <sheetData sheetId="28873"/>
      <sheetData sheetId="28874"/>
      <sheetData sheetId="28875"/>
      <sheetData sheetId="28876">
        <row r="1">
          <cell r="J1">
            <v>1.7453292519943295E-2</v>
          </cell>
        </row>
      </sheetData>
      <sheetData sheetId="28877">
        <row r="1">
          <cell r="J1">
            <v>1.7453292519943295E-2</v>
          </cell>
        </row>
      </sheetData>
      <sheetData sheetId="28878">
        <row r="1">
          <cell r="J1">
            <v>1.7453292519943295E-2</v>
          </cell>
        </row>
      </sheetData>
      <sheetData sheetId="28879"/>
      <sheetData sheetId="28880"/>
      <sheetData sheetId="28881"/>
      <sheetData sheetId="28882" refreshError="1"/>
      <sheetData sheetId="28883" refreshError="1"/>
      <sheetData sheetId="28884">
        <row r="1">
          <cell r="J1">
            <v>1.7453292519943295E-2</v>
          </cell>
        </row>
      </sheetData>
      <sheetData sheetId="28885">
        <row r="1">
          <cell r="J1">
            <v>1.7453292519943295E-2</v>
          </cell>
        </row>
      </sheetData>
      <sheetData sheetId="28886" refreshError="1"/>
      <sheetData sheetId="28887" refreshError="1"/>
      <sheetData sheetId="28888" refreshError="1"/>
      <sheetData sheetId="28889">
        <row r="1">
          <cell r="J1">
            <v>1.7453292519943295E-2</v>
          </cell>
        </row>
      </sheetData>
      <sheetData sheetId="28890"/>
      <sheetData sheetId="28891"/>
      <sheetData sheetId="28892"/>
      <sheetData sheetId="28893"/>
      <sheetData sheetId="28894"/>
      <sheetData sheetId="28895"/>
      <sheetData sheetId="28896"/>
      <sheetData sheetId="28897"/>
      <sheetData sheetId="28898">
        <row r="1">
          <cell r="J1">
            <v>1.7453292519943295E-2</v>
          </cell>
        </row>
      </sheetData>
      <sheetData sheetId="28899">
        <row r="1">
          <cell r="J1">
            <v>1.7453292519943295E-2</v>
          </cell>
        </row>
      </sheetData>
      <sheetData sheetId="28900">
        <row r="1">
          <cell r="J1">
            <v>1.7453292519943295E-2</v>
          </cell>
        </row>
      </sheetData>
      <sheetData sheetId="28901"/>
      <sheetData sheetId="28902"/>
      <sheetData sheetId="28903"/>
      <sheetData sheetId="28904">
        <row r="1">
          <cell r="J1">
            <v>1.7453292519943295E-2</v>
          </cell>
        </row>
      </sheetData>
      <sheetData sheetId="28905">
        <row r="1">
          <cell r="J1">
            <v>1.7453292519943295E-2</v>
          </cell>
        </row>
      </sheetData>
      <sheetData sheetId="28906">
        <row r="1">
          <cell r="J1">
            <v>1.7453292519943295E-2</v>
          </cell>
        </row>
      </sheetData>
      <sheetData sheetId="28907"/>
      <sheetData sheetId="28908"/>
      <sheetData sheetId="28909"/>
      <sheetData sheetId="28910" refreshError="1"/>
      <sheetData sheetId="28911" refreshError="1"/>
      <sheetData sheetId="28912">
        <row r="1">
          <cell r="J1">
            <v>1.7453292519943295E-2</v>
          </cell>
        </row>
      </sheetData>
      <sheetData sheetId="28913">
        <row r="1">
          <cell r="J1">
            <v>1.7453292519943295E-2</v>
          </cell>
        </row>
      </sheetData>
      <sheetData sheetId="28914">
        <row r="1">
          <cell r="J1">
            <v>1.7453292519943295E-2</v>
          </cell>
        </row>
      </sheetData>
      <sheetData sheetId="28915" refreshError="1"/>
      <sheetData sheetId="28916"/>
      <sheetData sheetId="28917" refreshError="1"/>
      <sheetData sheetId="28918" refreshError="1"/>
      <sheetData sheetId="28919">
        <row r="1">
          <cell r="J1">
            <v>1.7453292519943295E-2</v>
          </cell>
        </row>
      </sheetData>
      <sheetData sheetId="28920">
        <row r="1">
          <cell r="J1">
            <v>1.7453292519943295E-2</v>
          </cell>
        </row>
      </sheetData>
      <sheetData sheetId="28921">
        <row r="1">
          <cell r="J1">
            <v>1.7453292519943295E-2</v>
          </cell>
        </row>
      </sheetData>
      <sheetData sheetId="28922" refreshError="1"/>
      <sheetData sheetId="28923" refreshError="1"/>
      <sheetData sheetId="28924" refreshError="1"/>
      <sheetData sheetId="28925">
        <row r="1">
          <cell r="J1">
            <v>1.7453292519943295E-2</v>
          </cell>
        </row>
      </sheetData>
      <sheetData sheetId="28926" refreshError="1"/>
      <sheetData sheetId="28927">
        <row r="1">
          <cell r="J1">
            <v>1.7453292519943295E-2</v>
          </cell>
        </row>
      </sheetData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>
        <row r="1">
          <cell r="J1">
            <v>1.7453292519943295E-2</v>
          </cell>
        </row>
      </sheetData>
      <sheetData sheetId="28937">
        <row r="1">
          <cell r="J1">
            <v>1.7453292519943295E-2</v>
          </cell>
        </row>
      </sheetData>
      <sheetData sheetId="28938">
        <row r="1">
          <cell r="J1">
            <v>1.7453292519943295E-2</v>
          </cell>
        </row>
      </sheetData>
      <sheetData sheetId="28939"/>
      <sheetData sheetId="28940"/>
      <sheetData sheetId="28941"/>
      <sheetData sheetId="28942">
        <row r="1">
          <cell r="J1">
            <v>1.7453292519943295E-2</v>
          </cell>
        </row>
      </sheetData>
      <sheetData sheetId="28943">
        <row r="1">
          <cell r="J1">
            <v>1.7453292519943295E-2</v>
          </cell>
        </row>
      </sheetData>
      <sheetData sheetId="28944">
        <row r="1">
          <cell r="J1">
            <v>1.7453292519943295E-2</v>
          </cell>
        </row>
      </sheetData>
      <sheetData sheetId="28945"/>
      <sheetData sheetId="28946"/>
      <sheetData sheetId="28947"/>
      <sheetData sheetId="28948">
        <row r="1">
          <cell r="J1">
            <v>1.7453292519943295E-2</v>
          </cell>
        </row>
      </sheetData>
      <sheetData sheetId="28949" refreshError="1"/>
      <sheetData sheetId="28950" refreshError="1"/>
      <sheetData sheetId="28951">
        <row r="1">
          <cell r="J1">
            <v>1.7453292519943295E-2</v>
          </cell>
        </row>
      </sheetData>
      <sheetData sheetId="28952">
        <row r="1">
          <cell r="J1">
            <v>1.7453292519943295E-2</v>
          </cell>
        </row>
      </sheetData>
      <sheetData sheetId="28953" refreshError="1"/>
      <sheetData sheetId="28954"/>
      <sheetData sheetId="28955">
        <row r="1">
          <cell r="J1">
            <v>1.7453292519943295E-2</v>
          </cell>
        </row>
      </sheetData>
      <sheetData sheetId="28956" refreshError="1"/>
      <sheetData sheetId="28957" refreshError="1"/>
      <sheetData sheetId="28958" refreshError="1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>
        <row r="1">
          <cell r="J1">
            <v>1.7453292519943295E-2</v>
          </cell>
        </row>
      </sheetData>
      <sheetData sheetId="28968">
        <row r="1">
          <cell r="J1">
            <v>1.7453292519943295E-2</v>
          </cell>
        </row>
      </sheetData>
      <sheetData sheetId="28969">
        <row r="1">
          <cell r="J1">
            <v>1.7453292519943295E-2</v>
          </cell>
        </row>
      </sheetData>
      <sheetData sheetId="28970"/>
      <sheetData sheetId="28971"/>
      <sheetData sheetId="28972"/>
      <sheetData sheetId="28973">
        <row r="1">
          <cell r="J1">
            <v>1.7453292519943295E-2</v>
          </cell>
        </row>
      </sheetData>
      <sheetData sheetId="28974">
        <row r="1">
          <cell r="J1">
            <v>1.7453292519943295E-2</v>
          </cell>
        </row>
      </sheetData>
      <sheetData sheetId="28975">
        <row r="1">
          <cell r="J1">
            <v>1.7453292519943295E-2</v>
          </cell>
        </row>
      </sheetData>
      <sheetData sheetId="28976"/>
      <sheetData sheetId="28977"/>
      <sheetData sheetId="28978"/>
      <sheetData sheetId="28979">
        <row r="1">
          <cell r="J1">
            <v>1.7453292519943295E-2</v>
          </cell>
        </row>
      </sheetData>
      <sheetData sheetId="28980" refreshError="1"/>
      <sheetData sheetId="28981" refreshError="1"/>
      <sheetData sheetId="28982">
        <row r="1">
          <cell r="J1">
            <v>1.7453292519943295E-2</v>
          </cell>
        </row>
      </sheetData>
      <sheetData sheetId="28983">
        <row r="1">
          <cell r="J1">
            <v>1.7453292519943295E-2</v>
          </cell>
        </row>
      </sheetData>
      <sheetData sheetId="28984">
        <row r="1">
          <cell r="J1">
            <v>1.7453292519943295E-2</v>
          </cell>
        </row>
      </sheetData>
      <sheetData sheetId="28985" refreshError="1"/>
      <sheetData sheetId="28986">
        <row r="1">
          <cell r="J1">
            <v>1.7453292519943295E-2</v>
          </cell>
        </row>
      </sheetData>
      <sheetData sheetId="28987">
        <row r="1">
          <cell r="J1">
            <v>1.7453292519943295E-2</v>
          </cell>
        </row>
      </sheetData>
      <sheetData sheetId="28988" refreshError="1"/>
      <sheetData sheetId="28989" refreshError="1"/>
      <sheetData sheetId="28990">
        <row r="1">
          <cell r="J1">
            <v>1.7453292519943295E-2</v>
          </cell>
        </row>
      </sheetData>
      <sheetData sheetId="28991">
        <row r="1">
          <cell r="J1">
            <v>1.7453292519943295E-2</v>
          </cell>
        </row>
      </sheetData>
      <sheetData sheetId="28992" refreshError="1"/>
      <sheetData sheetId="28993" refreshError="1"/>
      <sheetData sheetId="28994" refreshError="1"/>
      <sheetData sheetId="28995"/>
      <sheetData sheetId="28996" refreshError="1"/>
      <sheetData sheetId="28997">
        <row r="1">
          <cell r="J1">
            <v>1.7453292519943295E-2</v>
          </cell>
        </row>
      </sheetData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>
        <row r="1">
          <cell r="J1">
            <v>1.7453292519943295E-2</v>
          </cell>
        </row>
      </sheetData>
      <sheetData sheetId="29013">
        <row r="1">
          <cell r="J1">
            <v>1.7453292519943295E-2</v>
          </cell>
        </row>
      </sheetData>
      <sheetData sheetId="29014">
        <row r="1">
          <cell r="J1">
            <v>1.7453292519943295E-2</v>
          </cell>
        </row>
      </sheetData>
      <sheetData sheetId="29015"/>
      <sheetData sheetId="29016"/>
      <sheetData sheetId="29017"/>
      <sheetData sheetId="29018">
        <row r="1">
          <cell r="J1">
            <v>1.7453292519943295E-2</v>
          </cell>
        </row>
      </sheetData>
      <sheetData sheetId="29019">
        <row r="1">
          <cell r="J1">
            <v>1.7453292519943295E-2</v>
          </cell>
        </row>
      </sheetData>
      <sheetData sheetId="29020" refreshError="1"/>
      <sheetData sheetId="29021" refreshError="1"/>
      <sheetData sheetId="29022">
        <row r="1">
          <cell r="J1">
            <v>1.7453292519943295E-2</v>
          </cell>
        </row>
      </sheetData>
      <sheetData sheetId="29023">
        <row r="1">
          <cell r="J1">
            <v>1.7453292519943295E-2</v>
          </cell>
        </row>
      </sheetData>
      <sheetData sheetId="29024">
        <row r="1">
          <cell r="J1">
            <v>1.7453292519943295E-2</v>
          </cell>
        </row>
      </sheetData>
      <sheetData sheetId="29025" refreshError="1"/>
      <sheetData sheetId="29026">
        <row r="2">
          <cell r="B2">
            <v>1</v>
          </cell>
        </row>
      </sheetData>
      <sheetData sheetId="29027">
        <row r="1">
          <cell r="J1">
            <v>1.7453292519943295E-2</v>
          </cell>
        </row>
      </sheetData>
      <sheetData sheetId="29028" refreshError="1"/>
      <sheetData sheetId="29029" refreshError="1"/>
      <sheetData sheetId="29030">
        <row r="1">
          <cell r="J1">
            <v>1.7453292519943295E-2</v>
          </cell>
        </row>
      </sheetData>
      <sheetData sheetId="29031">
        <row r="1">
          <cell r="J1">
            <v>1.7453292519943295E-2</v>
          </cell>
        </row>
      </sheetData>
      <sheetData sheetId="29032" refreshError="1"/>
      <sheetData sheetId="29033" refreshError="1"/>
      <sheetData sheetId="29034" refreshError="1"/>
      <sheetData sheetId="29035">
        <row r="1">
          <cell r="J1">
            <v>1.7453292519943295E-2</v>
          </cell>
        </row>
      </sheetData>
      <sheetData sheetId="29036" refreshError="1"/>
      <sheetData sheetId="29037">
        <row r="1">
          <cell r="J1">
            <v>1.7453292519943295E-2</v>
          </cell>
        </row>
      </sheetData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>
        <row r="1">
          <cell r="J1">
            <v>1.7453292519943295E-2</v>
          </cell>
        </row>
      </sheetData>
      <sheetData sheetId="29053">
        <row r="1">
          <cell r="J1">
            <v>1.7453292519943295E-2</v>
          </cell>
        </row>
      </sheetData>
      <sheetData sheetId="29054">
        <row r="1">
          <cell r="J1">
            <v>1.7453292519943295E-2</v>
          </cell>
        </row>
      </sheetData>
      <sheetData sheetId="29055"/>
      <sheetData sheetId="29056"/>
      <sheetData sheetId="29057"/>
      <sheetData sheetId="29058">
        <row r="1">
          <cell r="J1">
            <v>1.7453292519943295E-2</v>
          </cell>
        </row>
      </sheetData>
      <sheetData sheetId="29059">
        <row r="1">
          <cell r="J1">
            <v>1.7453292519943295E-2</v>
          </cell>
        </row>
      </sheetData>
      <sheetData sheetId="29060" refreshError="1"/>
      <sheetData sheetId="29061" refreshError="1"/>
      <sheetData sheetId="29062">
        <row r="1">
          <cell r="J1">
            <v>1.7453292519943295E-2</v>
          </cell>
        </row>
      </sheetData>
      <sheetData sheetId="29063">
        <row r="1">
          <cell r="J1">
            <v>1.7453292519943295E-2</v>
          </cell>
        </row>
      </sheetData>
      <sheetData sheetId="29064" refreshError="1"/>
      <sheetData sheetId="29065">
        <row r="1">
          <cell r="J1">
            <v>1.7453292519943295E-2</v>
          </cell>
        </row>
      </sheetData>
      <sheetData sheetId="29066">
        <row r="1">
          <cell r="J1">
            <v>1.7453292519943295E-2</v>
          </cell>
        </row>
      </sheetData>
      <sheetData sheetId="29067" refreshError="1"/>
      <sheetData sheetId="29068" refreshError="1"/>
      <sheetData sheetId="29069" refreshError="1"/>
      <sheetData sheetId="29070"/>
      <sheetData sheetId="2907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>
        <row r="1">
          <cell r="J1">
            <v>1.7453292519943295E-2</v>
          </cell>
        </row>
      </sheetData>
      <sheetData sheetId="29085">
        <row r="1">
          <cell r="J1">
            <v>1.7453292519943295E-2</v>
          </cell>
        </row>
      </sheetData>
      <sheetData sheetId="29086">
        <row r="1">
          <cell r="J1">
            <v>1.7453292519943295E-2</v>
          </cell>
        </row>
      </sheetData>
      <sheetData sheetId="29087"/>
      <sheetData sheetId="29088"/>
      <sheetData sheetId="29089"/>
      <sheetData sheetId="29090">
        <row r="1">
          <cell r="J1">
            <v>1.7453292519943295E-2</v>
          </cell>
        </row>
      </sheetData>
      <sheetData sheetId="29091" refreshError="1"/>
      <sheetData sheetId="29092" refreshError="1"/>
      <sheetData sheetId="29093">
        <row r="1">
          <cell r="J1">
            <v>1.7453292519943295E-2</v>
          </cell>
        </row>
      </sheetData>
      <sheetData sheetId="29094">
        <row r="1">
          <cell r="J1">
            <v>1.7453292519943295E-2</v>
          </cell>
        </row>
      </sheetData>
      <sheetData sheetId="29095" refreshError="1"/>
      <sheetData sheetId="29096"/>
      <sheetData sheetId="29097">
        <row r="1">
          <cell r="J1">
            <v>1.7453292519943295E-2</v>
          </cell>
        </row>
      </sheetData>
      <sheetData sheetId="29098" refreshError="1"/>
      <sheetData sheetId="29099" refreshError="1"/>
      <sheetData sheetId="29100" refreshError="1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/>
      <sheetData sheetId="29110"/>
      <sheetData sheetId="29111"/>
      <sheetData sheetId="29112"/>
      <sheetData sheetId="29113"/>
      <sheetData sheetId="29114"/>
      <sheetData sheetId="29115">
        <row r="1">
          <cell r="J1">
            <v>1.7453292519943295E-2</v>
          </cell>
        </row>
      </sheetData>
      <sheetData sheetId="29116">
        <row r="1">
          <cell r="J1">
            <v>1.7453292519943295E-2</v>
          </cell>
        </row>
      </sheetData>
      <sheetData sheetId="29117">
        <row r="1">
          <cell r="J1">
            <v>1.7453292519943295E-2</v>
          </cell>
        </row>
      </sheetData>
      <sheetData sheetId="29118"/>
      <sheetData sheetId="29119"/>
      <sheetData sheetId="29120"/>
      <sheetData sheetId="29121">
        <row r="1">
          <cell r="J1">
            <v>1.7453292519943295E-2</v>
          </cell>
        </row>
      </sheetData>
      <sheetData sheetId="29122">
        <row r="1">
          <cell r="J1">
            <v>1.7453292519943295E-2</v>
          </cell>
        </row>
      </sheetData>
      <sheetData sheetId="29123">
        <row r="1">
          <cell r="J1">
            <v>1.7453292519943295E-2</v>
          </cell>
        </row>
      </sheetData>
      <sheetData sheetId="29124" refreshError="1"/>
      <sheetData sheetId="29125" refreshError="1"/>
      <sheetData sheetId="29126" refreshError="1"/>
      <sheetData sheetId="29127" refreshError="1"/>
      <sheetData sheetId="29128"/>
      <sheetData sheetId="29129"/>
      <sheetData sheetId="29130" refreshError="1"/>
      <sheetData sheetId="29131">
        <row r="1">
          <cell r="J1">
            <v>1.7453292519943295E-2</v>
          </cell>
        </row>
      </sheetData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>
        <row r="1">
          <cell r="J1">
            <v>1.7453292519943295E-2</v>
          </cell>
        </row>
      </sheetData>
      <sheetData sheetId="29147">
        <row r="1">
          <cell r="J1">
            <v>1.7453292519943295E-2</v>
          </cell>
        </row>
      </sheetData>
      <sheetData sheetId="29148">
        <row r="1">
          <cell r="J1">
            <v>1.7453292519943295E-2</v>
          </cell>
        </row>
      </sheetData>
      <sheetData sheetId="29149"/>
      <sheetData sheetId="29150"/>
      <sheetData sheetId="29151"/>
      <sheetData sheetId="29152">
        <row r="1">
          <cell r="J1">
            <v>1.7453292519943295E-2</v>
          </cell>
        </row>
      </sheetData>
      <sheetData sheetId="29153" refreshError="1"/>
      <sheetData sheetId="29154">
        <row r="1">
          <cell r="J1">
            <v>1.7453292519943295E-2</v>
          </cell>
        </row>
      </sheetData>
      <sheetData sheetId="29155">
        <row r="1">
          <cell r="J1">
            <v>1.7453292519943295E-2</v>
          </cell>
        </row>
      </sheetData>
      <sheetData sheetId="29156">
        <row r="1">
          <cell r="J1">
            <v>1.7453292519943295E-2</v>
          </cell>
        </row>
      </sheetData>
      <sheetData sheetId="29157">
        <row r="1">
          <cell r="J1">
            <v>1.7453292519943295E-2</v>
          </cell>
        </row>
      </sheetData>
      <sheetData sheetId="29158">
        <row r="1">
          <cell r="J1">
            <v>1.7453292519943295E-2</v>
          </cell>
        </row>
      </sheetData>
      <sheetData sheetId="29159" refreshError="1"/>
      <sheetData sheetId="29160" refreshError="1"/>
      <sheetData sheetId="29161" refreshError="1"/>
      <sheetData sheetId="29162">
        <row r="1">
          <cell r="J1">
            <v>1.7453292519943295E-2</v>
          </cell>
        </row>
      </sheetData>
      <sheetData sheetId="29163">
        <row r="1">
          <cell r="J1">
            <v>1.7453292519943295E-2</v>
          </cell>
        </row>
      </sheetData>
      <sheetData sheetId="29164" refreshError="1"/>
      <sheetData sheetId="29165" refreshError="1"/>
      <sheetData sheetId="29166">
        <row r="1">
          <cell r="J1">
            <v>1.7453292519943295E-2</v>
          </cell>
        </row>
      </sheetData>
      <sheetData sheetId="29167" refreshError="1"/>
      <sheetData sheetId="29168">
        <row r="1">
          <cell r="J1">
            <v>1.7453292519943295E-2</v>
          </cell>
        </row>
      </sheetData>
      <sheetData sheetId="29169">
        <row r="1">
          <cell r="J1">
            <v>1.7453292519943295E-2</v>
          </cell>
        </row>
      </sheetData>
      <sheetData sheetId="29170" refreshError="1"/>
      <sheetData sheetId="29171">
        <row r="1">
          <cell r="J1">
            <v>1.7453292519943295E-2</v>
          </cell>
        </row>
      </sheetData>
      <sheetData sheetId="29172"/>
      <sheetData sheetId="29173" refreshError="1"/>
      <sheetData sheetId="29174">
        <row r="1">
          <cell r="J1">
            <v>1.7453292519943295E-2</v>
          </cell>
        </row>
      </sheetData>
      <sheetData sheetId="29175">
        <row r="1">
          <cell r="J1">
            <v>1.7453292519943295E-2</v>
          </cell>
        </row>
      </sheetData>
      <sheetData sheetId="29176">
        <row r="1">
          <cell r="J1">
            <v>1.7453292519943295E-2</v>
          </cell>
        </row>
      </sheetData>
      <sheetData sheetId="29177" refreshError="1"/>
      <sheetData sheetId="29178"/>
      <sheetData sheetId="29179">
        <row r="1">
          <cell r="J1">
            <v>1.7453292519943295E-2</v>
          </cell>
        </row>
      </sheetData>
      <sheetData sheetId="29180">
        <row r="1">
          <cell r="J1">
            <v>1.7453292519943295E-2</v>
          </cell>
        </row>
      </sheetData>
      <sheetData sheetId="29181"/>
      <sheetData sheetId="29182" refreshError="1"/>
      <sheetData sheetId="29183" refreshError="1"/>
      <sheetData sheetId="29184">
        <row r="1">
          <cell r="J1">
            <v>1.7453292519943295E-2</v>
          </cell>
        </row>
      </sheetData>
      <sheetData sheetId="29185">
        <row r="1">
          <cell r="J1">
            <v>1.7453292519943295E-2</v>
          </cell>
        </row>
      </sheetData>
      <sheetData sheetId="29186" refreshError="1"/>
      <sheetData sheetId="29187">
        <row r="1">
          <cell r="J1">
            <v>1.7453292519943295E-2</v>
          </cell>
        </row>
      </sheetData>
      <sheetData sheetId="29188">
        <row r="1">
          <cell r="J1">
            <v>1.7453292519943295E-2</v>
          </cell>
        </row>
      </sheetData>
      <sheetData sheetId="29189">
        <row r="1">
          <cell r="J1">
            <v>1.7453292519943295E-2</v>
          </cell>
        </row>
      </sheetData>
      <sheetData sheetId="29190">
        <row r="1">
          <cell r="J1">
            <v>1.7453292519943295E-2</v>
          </cell>
        </row>
      </sheetData>
      <sheetData sheetId="29191">
        <row r="1">
          <cell r="J1">
            <v>1.7453292519943295E-2</v>
          </cell>
        </row>
      </sheetData>
      <sheetData sheetId="29192" refreshError="1"/>
      <sheetData sheetId="29193" refreshError="1"/>
      <sheetData sheetId="29194" refreshError="1"/>
      <sheetData sheetId="29195">
        <row r="1">
          <cell r="J1">
            <v>1.7453292519943295E-2</v>
          </cell>
        </row>
      </sheetData>
      <sheetData sheetId="29196" refreshError="1"/>
      <sheetData sheetId="29197" refreshError="1"/>
      <sheetData sheetId="29198">
        <row r="1">
          <cell r="J1">
            <v>1.7453292519943295E-2</v>
          </cell>
        </row>
      </sheetData>
      <sheetData sheetId="29199">
        <row r="1">
          <cell r="J1">
            <v>1.7453292519943295E-2</v>
          </cell>
        </row>
      </sheetData>
      <sheetData sheetId="29200">
        <row r="1">
          <cell r="J1">
            <v>1.7453292519943295E-2</v>
          </cell>
        </row>
      </sheetData>
      <sheetData sheetId="29201" refreshError="1"/>
      <sheetData sheetId="29202" refreshError="1"/>
      <sheetData sheetId="29203" refreshError="1"/>
      <sheetData sheetId="29204"/>
      <sheetData sheetId="29205" refreshError="1"/>
      <sheetData sheetId="29206">
        <row r="1">
          <cell r="J1">
            <v>1.7453292519943295E-2</v>
          </cell>
        </row>
      </sheetData>
      <sheetData sheetId="29207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/>
      <sheetData sheetId="29218"/>
      <sheetData sheetId="29219"/>
      <sheetData sheetId="29220"/>
      <sheetData sheetId="29221">
        <row r="1">
          <cell r="J1">
            <v>1.7453292519943295E-2</v>
          </cell>
        </row>
      </sheetData>
      <sheetData sheetId="29222">
        <row r="1">
          <cell r="J1">
            <v>1.7453292519943295E-2</v>
          </cell>
        </row>
      </sheetData>
      <sheetData sheetId="29223">
        <row r="1">
          <cell r="J1">
            <v>1.7453292519943295E-2</v>
          </cell>
        </row>
      </sheetData>
      <sheetData sheetId="29224"/>
      <sheetData sheetId="29225"/>
      <sheetData sheetId="29226"/>
      <sheetData sheetId="29227">
        <row r="1">
          <cell r="J1">
            <v>1.7453292519943295E-2</v>
          </cell>
        </row>
      </sheetData>
      <sheetData sheetId="29228">
        <row r="1">
          <cell r="J1">
            <v>1.7453292519943295E-2</v>
          </cell>
        </row>
      </sheetData>
      <sheetData sheetId="29229">
        <row r="1">
          <cell r="J1">
            <v>1.7453292519943295E-2</v>
          </cell>
        </row>
      </sheetData>
      <sheetData sheetId="29230">
        <row r="1">
          <cell r="J1">
            <v>1.7453292519943295E-2</v>
          </cell>
        </row>
      </sheetData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>
        <row r="1">
          <cell r="J1">
            <v>1.7453292519943295E-2</v>
          </cell>
        </row>
      </sheetData>
      <sheetData sheetId="29238"/>
      <sheetData sheetId="29239"/>
      <sheetData sheetId="29240"/>
      <sheetData sheetId="29241"/>
      <sheetData sheetId="29242"/>
      <sheetData sheetId="29243"/>
      <sheetData sheetId="29244"/>
      <sheetData sheetId="29245"/>
      <sheetData sheetId="29246"/>
      <sheetData sheetId="29247"/>
      <sheetData sheetId="29248"/>
      <sheetData sheetId="29249"/>
      <sheetData sheetId="29250"/>
      <sheetData sheetId="29251"/>
      <sheetData sheetId="29252">
        <row r="1">
          <cell r="J1">
            <v>1.7453292519943295E-2</v>
          </cell>
        </row>
      </sheetData>
      <sheetData sheetId="29253">
        <row r="1">
          <cell r="J1">
            <v>1.7453292519943295E-2</v>
          </cell>
        </row>
      </sheetData>
      <sheetData sheetId="29254">
        <row r="1">
          <cell r="J1">
            <v>1.7453292519943295E-2</v>
          </cell>
        </row>
      </sheetData>
      <sheetData sheetId="29255"/>
      <sheetData sheetId="29256"/>
      <sheetData sheetId="29257"/>
      <sheetData sheetId="29258" refreshError="1"/>
      <sheetData sheetId="29259" refreshError="1"/>
      <sheetData sheetId="29260">
        <row r="1">
          <cell r="J1">
            <v>1.7453292519943295E-2</v>
          </cell>
        </row>
      </sheetData>
      <sheetData sheetId="29261">
        <row r="1">
          <cell r="J1">
            <v>1.7453292519943295E-2</v>
          </cell>
        </row>
      </sheetData>
      <sheetData sheetId="29262">
        <row r="1">
          <cell r="J1">
            <v>1.7453292519943295E-2</v>
          </cell>
        </row>
      </sheetData>
      <sheetData sheetId="29263" refreshError="1"/>
      <sheetData sheetId="29264" refreshError="1"/>
      <sheetData sheetId="29265" refreshError="1"/>
      <sheetData sheetId="29266"/>
      <sheetData sheetId="29267" refreshError="1"/>
      <sheetData sheetId="29268">
        <row r="1">
          <cell r="J1">
            <v>1.7453292519943295E-2</v>
          </cell>
        </row>
      </sheetData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>
        <row r="1">
          <cell r="J1">
            <v>1.7453292519943295E-2</v>
          </cell>
        </row>
      </sheetData>
      <sheetData sheetId="29284">
        <row r="1">
          <cell r="J1">
            <v>1.7453292519943295E-2</v>
          </cell>
        </row>
      </sheetData>
      <sheetData sheetId="29285">
        <row r="1">
          <cell r="J1">
            <v>1.7453292519943295E-2</v>
          </cell>
        </row>
      </sheetData>
      <sheetData sheetId="29286"/>
      <sheetData sheetId="29287"/>
      <sheetData sheetId="29288"/>
      <sheetData sheetId="29289" refreshError="1"/>
      <sheetData sheetId="29290" refreshError="1"/>
      <sheetData sheetId="29291">
        <row r="1">
          <cell r="J1">
            <v>1.7453292519943295E-2</v>
          </cell>
        </row>
      </sheetData>
      <sheetData sheetId="29292">
        <row r="1">
          <cell r="J1">
            <v>1.7453292519943295E-2</v>
          </cell>
        </row>
      </sheetData>
      <sheetData sheetId="29293" refreshError="1"/>
      <sheetData sheetId="29294">
        <row r="1">
          <cell r="J1">
            <v>1.7453292519943295E-2</v>
          </cell>
        </row>
      </sheetData>
      <sheetData sheetId="29295">
        <row r="1">
          <cell r="J1">
            <v>1.7453292519943295E-2</v>
          </cell>
        </row>
      </sheetData>
      <sheetData sheetId="29296">
        <row r="1">
          <cell r="J1">
            <v>1.7453292519943295E-2</v>
          </cell>
        </row>
      </sheetData>
      <sheetData sheetId="29297">
        <row r="1">
          <cell r="J1">
            <v>1.7453292519943295E-2</v>
          </cell>
        </row>
      </sheetData>
      <sheetData sheetId="29298" refreshError="1"/>
      <sheetData sheetId="29299">
        <row r="1">
          <cell r="J1">
            <v>1.7453292519943295E-2</v>
          </cell>
        </row>
      </sheetData>
      <sheetData sheetId="29300">
        <row r="1">
          <cell r="J1">
            <v>1.7453292519943295E-2</v>
          </cell>
        </row>
      </sheetData>
      <sheetData sheetId="29301">
        <row r="1">
          <cell r="J1">
            <v>1.7453292519943295E-2</v>
          </cell>
        </row>
      </sheetData>
      <sheetData sheetId="29302" refreshError="1"/>
      <sheetData sheetId="29303" refreshError="1"/>
      <sheetData sheetId="29304" refreshError="1"/>
      <sheetData sheetId="29305"/>
      <sheetData sheetId="29306" refreshError="1"/>
      <sheetData sheetId="29307" refreshError="1"/>
      <sheetData sheetId="29308">
        <row r="1">
          <cell r="J1">
            <v>1.7453292519943295E-2</v>
          </cell>
        </row>
      </sheetData>
      <sheetData sheetId="29309"/>
      <sheetData sheetId="29310"/>
      <sheetData sheetId="29311"/>
      <sheetData sheetId="29312"/>
      <sheetData sheetId="29313"/>
      <sheetData sheetId="29314"/>
      <sheetData sheetId="29315"/>
      <sheetData sheetId="29316"/>
      <sheetData sheetId="29317"/>
      <sheetData sheetId="29318"/>
      <sheetData sheetId="29319"/>
      <sheetData sheetId="29320"/>
      <sheetData sheetId="29321"/>
      <sheetData sheetId="29322"/>
      <sheetData sheetId="29323">
        <row r="1">
          <cell r="J1">
            <v>1.7453292519943295E-2</v>
          </cell>
        </row>
      </sheetData>
      <sheetData sheetId="29324">
        <row r="1">
          <cell r="J1">
            <v>1.7453292519943295E-2</v>
          </cell>
        </row>
      </sheetData>
      <sheetData sheetId="29325">
        <row r="1">
          <cell r="J1">
            <v>1.7453292519943295E-2</v>
          </cell>
        </row>
      </sheetData>
      <sheetData sheetId="29326"/>
      <sheetData sheetId="29327"/>
      <sheetData sheetId="29328"/>
      <sheetData sheetId="29329">
        <row r="1">
          <cell r="J1">
            <v>1.7453292519943295E-2</v>
          </cell>
        </row>
      </sheetData>
      <sheetData sheetId="29330" refreshError="1"/>
      <sheetData sheetId="29331" refreshError="1"/>
      <sheetData sheetId="29332">
        <row r="1">
          <cell r="J1">
            <v>1.7453292519943295E-2</v>
          </cell>
        </row>
      </sheetData>
      <sheetData sheetId="29333">
        <row r="1">
          <cell r="J1">
            <v>1.7453292519943295E-2</v>
          </cell>
        </row>
      </sheetData>
      <sheetData sheetId="29334">
        <row r="1">
          <cell r="J1">
            <v>1.7453292519943295E-2</v>
          </cell>
        </row>
      </sheetData>
      <sheetData sheetId="29335" refreshError="1"/>
      <sheetData sheetId="29336"/>
      <sheetData sheetId="29337">
        <row r="1">
          <cell r="J1">
            <v>1.7453292519943295E-2</v>
          </cell>
        </row>
      </sheetData>
      <sheetData sheetId="29338" refreshError="1"/>
      <sheetData sheetId="29339" refreshError="1"/>
      <sheetData sheetId="29340">
        <row r="1">
          <cell r="J1">
            <v>1.7453292519943295E-2</v>
          </cell>
        </row>
      </sheetData>
      <sheetData sheetId="29341">
        <row r="1">
          <cell r="J1">
            <v>1.7453292519943295E-2</v>
          </cell>
        </row>
      </sheetData>
      <sheetData sheetId="29342">
        <row r="1">
          <cell r="J1">
            <v>1.7453292519943295E-2</v>
          </cell>
        </row>
      </sheetData>
      <sheetData sheetId="29343" refreshError="1"/>
      <sheetData sheetId="29344" refreshError="1"/>
      <sheetData sheetId="29345" refreshError="1"/>
      <sheetData sheetId="29346"/>
      <sheetData sheetId="29347" refreshError="1"/>
      <sheetData sheetId="29348">
        <row r="1">
          <cell r="J1">
            <v>1.7453292519943295E-2</v>
          </cell>
        </row>
      </sheetData>
      <sheetData sheetId="29349"/>
      <sheetData sheetId="29350"/>
      <sheetData sheetId="29351"/>
      <sheetData sheetId="29352"/>
      <sheetData sheetId="29353"/>
      <sheetData sheetId="29354"/>
      <sheetData sheetId="29355"/>
      <sheetData sheetId="29356"/>
      <sheetData sheetId="29357"/>
      <sheetData sheetId="29358"/>
      <sheetData sheetId="29359"/>
      <sheetData sheetId="29360"/>
      <sheetData sheetId="29361"/>
      <sheetData sheetId="29362"/>
      <sheetData sheetId="29363">
        <row r="1">
          <cell r="J1">
            <v>1.7453292519943295E-2</v>
          </cell>
        </row>
      </sheetData>
      <sheetData sheetId="29364">
        <row r="1">
          <cell r="J1">
            <v>1.7453292519943295E-2</v>
          </cell>
        </row>
      </sheetData>
      <sheetData sheetId="29365">
        <row r="1">
          <cell r="J1">
            <v>1.7453292519943295E-2</v>
          </cell>
        </row>
      </sheetData>
      <sheetData sheetId="29366"/>
      <sheetData sheetId="29367"/>
      <sheetData sheetId="29368"/>
      <sheetData sheetId="29369" refreshError="1"/>
      <sheetData sheetId="29370" refreshError="1"/>
      <sheetData sheetId="29371">
        <row r="1">
          <cell r="J1">
            <v>1.7453292519943295E-2</v>
          </cell>
        </row>
      </sheetData>
      <sheetData sheetId="29372">
        <row r="1">
          <cell r="J1">
            <v>1.7453292519943295E-2</v>
          </cell>
        </row>
      </sheetData>
      <sheetData sheetId="29373">
        <row r="1">
          <cell r="J1">
            <v>1.7453292519943295E-2</v>
          </cell>
        </row>
      </sheetData>
      <sheetData sheetId="29374" refreshError="1"/>
      <sheetData sheetId="29375"/>
      <sheetData sheetId="29376" refreshError="1"/>
      <sheetData sheetId="29377" refreshError="1"/>
      <sheetData sheetId="29378">
        <row r="1">
          <cell r="J1">
            <v>1.7453292519943295E-2</v>
          </cell>
        </row>
      </sheetData>
      <sheetData sheetId="29379">
        <row r="1">
          <cell r="J1">
            <v>1.7453292519943295E-2</v>
          </cell>
        </row>
      </sheetData>
      <sheetData sheetId="29380">
        <row r="1">
          <cell r="J1">
            <v>1.7453292519943295E-2</v>
          </cell>
        </row>
      </sheetData>
      <sheetData sheetId="29381" refreshError="1"/>
      <sheetData sheetId="29382" refreshError="1"/>
      <sheetData sheetId="29383" refreshError="1"/>
      <sheetData sheetId="29384"/>
      <sheetData sheetId="29385" refreshError="1"/>
      <sheetData sheetId="29386">
        <row r="1">
          <cell r="J1">
            <v>1.7453292519943295E-2</v>
          </cell>
        </row>
      </sheetData>
      <sheetData sheetId="29387"/>
      <sheetData sheetId="29388"/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>
        <row r="1">
          <cell r="J1">
            <v>1.7453292519943295E-2</v>
          </cell>
        </row>
      </sheetData>
      <sheetData sheetId="29402">
        <row r="1">
          <cell r="J1">
            <v>1.7453292519943295E-2</v>
          </cell>
        </row>
      </sheetData>
      <sheetData sheetId="29403">
        <row r="1">
          <cell r="J1">
            <v>1.7453292519943295E-2</v>
          </cell>
        </row>
      </sheetData>
      <sheetData sheetId="29404"/>
      <sheetData sheetId="29405"/>
      <sheetData sheetId="29406"/>
      <sheetData sheetId="29407">
        <row r="1">
          <cell r="J1">
            <v>1.7453292519943295E-2</v>
          </cell>
        </row>
      </sheetData>
      <sheetData sheetId="29408" refreshError="1"/>
      <sheetData sheetId="29409" refreshError="1"/>
      <sheetData sheetId="29410">
        <row r="1">
          <cell r="J1">
            <v>1.7453292519943295E-2</v>
          </cell>
        </row>
      </sheetData>
      <sheetData sheetId="29411">
        <row r="1">
          <cell r="J1">
            <v>1.7453292519943295E-2</v>
          </cell>
        </row>
      </sheetData>
      <sheetData sheetId="29412" refreshError="1"/>
      <sheetData sheetId="29413">
        <row r="1">
          <cell r="J1">
            <v>1.7453292519943295E-2</v>
          </cell>
        </row>
      </sheetData>
      <sheetData sheetId="29414">
        <row r="1">
          <cell r="J1">
            <v>1.7453292519943295E-2</v>
          </cell>
        </row>
      </sheetData>
      <sheetData sheetId="29415" refreshError="1"/>
      <sheetData sheetId="29416" refreshError="1"/>
      <sheetData sheetId="29417" refreshError="1"/>
      <sheetData sheetId="29418"/>
      <sheetData sheetId="29419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>
        <row r="1">
          <cell r="J1">
            <v>1.7453292519943295E-2</v>
          </cell>
        </row>
      </sheetData>
      <sheetData sheetId="29433">
        <row r="1">
          <cell r="J1">
            <v>1.7453292519943295E-2</v>
          </cell>
        </row>
      </sheetData>
      <sheetData sheetId="29434">
        <row r="1">
          <cell r="J1">
            <v>1.7453292519943295E-2</v>
          </cell>
        </row>
      </sheetData>
      <sheetData sheetId="29435"/>
      <sheetData sheetId="29436"/>
      <sheetData sheetId="29437"/>
      <sheetData sheetId="29438">
        <row r="1">
          <cell r="J1">
            <v>1.7453292519943295E-2</v>
          </cell>
        </row>
      </sheetData>
      <sheetData sheetId="29439" refreshError="1"/>
      <sheetData sheetId="29440" refreshError="1"/>
      <sheetData sheetId="29441">
        <row r="1">
          <cell r="J1">
            <v>1.7453292519943295E-2</v>
          </cell>
        </row>
      </sheetData>
      <sheetData sheetId="29442">
        <row r="1">
          <cell r="J1">
            <v>1.7453292519943295E-2</v>
          </cell>
        </row>
      </sheetData>
      <sheetData sheetId="29443">
        <row r="1">
          <cell r="J1">
            <v>1.7453292519943295E-2</v>
          </cell>
        </row>
      </sheetData>
      <sheetData sheetId="29444" refreshError="1"/>
      <sheetData sheetId="29445"/>
      <sheetData sheetId="29446">
        <row r="1">
          <cell r="J1">
            <v>1.7453292519943295E-2</v>
          </cell>
        </row>
      </sheetData>
      <sheetData sheetId="29447" refreshError="1"/>
      <sheetData sheetId="29448" refreshError="1"/>
      <sheetData sheetId="29449">
        <row r="1">
          <cell r="J1">
            <v>1.7453292519943295E-2</v>
          </cell>
        </row>
      </sheetData>
      <sheetData sheetId="29450">
        <row r="1">
          <cell r="J1">
            <v>1.7453292519943295E-2</v>
          </cell>
        </row>
      </sheetData>
      <sheetData sheetId="29451">
        <row r="1">
          <cell r="J1">
            <v>1.7453292519943295E-2</v>
          </cell>
        </row>
      </sheetData>
      <sheetData sheetId="29452" refreshError="1"/>
      <sheetData sheetId="29453" refreshError="1"/>
      <sheetData sheetId="29454" refreshError="1"/>
      <sheetData sheetId="29455">
        <row r="1">
          <cell r="J1">
            <v>1.7453292519943295E-2</v>
          </cell>
        </row>
      </sheetData>
      <sheetData sheetId="29456" refreshError="1"/>
      <sheetData sheetId="29457">
        <row r="1">
          <cell r="J1">
            <v>1.7453292519943295E-2</v>
          </cell>
        </row>
      </sheetData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>
        <row r="1">
          <cell r="J1">
            <v>1.7453292519943295E-2</v>
          </cell>
        </row>
      </sheetData>
      <sheetData sheetId="29473">
        <row r="1">
          <cell r="J1">
            <v>1.7453292519943295E-2</v>
          </cell>
        </row>
      </sheetData>
      <sheetData sheetId="29474">
        <row r="1">
          <cell r="J1">
            <v>1.7453292519943295E-2</v>
          </cell>
        </row>
      </sheetData>
      <sheetData sheetId="29475"/>
      <sheetData sheetId="29476"/>
      <sheetData sheetId="29477"/>
      <sheetData sheetId="29478" refreshError="1"/>
      <sheetData sheetId="29479" refreshError="1"/>
      <sheetData sheetId="29480">
        <row r="1">
          <cell r="J1">
            <v>1.7453292519943295E-2</v>
          </cell>
        </row>
      </sheetData>
      <sheetData sheetId="29481" refreshError="1"/>
      <sheetData sheetId="29482">
        <row r="1">
          <cell r="J1">
            <v>1.7453292519943295E-2</v>
          </cell>
        </row>
      </sheetData>
      <sheetData sheetId="29483" refreshError="1"/>
      <sheetData sheetId="29484" refreshError="1"/>
      <sheetData sheetId="29485">
        <row r="1">
          <cell r="J1">
            <v>1.7453292519943295E-2</v>
          </cell>
        </row>
      </sheetData>
      <sheetData sheetId="29486" refreshError="1"/>
      <sheetData sheetId="29487">
        <row r="1">
          <cell r="J1">
            <v>1.7453292519943295E-2</v>
          </cell>
        </row>
      </sheetData>
      <sheetData sheetId="29488">
        <row r="1">
          <cell r="J1">
            <v>1.7453292519943295E-2</v>
          </cell>
        </row>
      </sheetData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>
        <row r="1">
          <cell r="J1">
            <v>1.7453292519943295E-2</v>
          </cell>
        </row>
      </sheetData>
      <sheetData sheetId="29504">
        <row r="1">
          <cell r="J1">
            <v>1.7453292519943295E-2</v>
          </cell>
        </row>
      </sheetData>
      <sheetData sheetId="29505">
        <row r="1">
          <cell r="J1">
            <v>1.7453292519943295E-2</v>
          </cell>
        </row>
      </sheetData>
      <sheetData sheetId="29506"/>
      <sheetData sheetId="29507"/>
      <sheetData sheetId="29508"/>
      <sheetData sheetId="29509">
        <row r="1">
          <cell r="J1">
            <v>1.7453292519943295E-2</v>
          </cell>
        </row>
      </sheetData>
      <sheetData sheetId="29510">
        <row r="1">
          <cell r="J1">
            <v>1.7453292519943295E-2</v>
          </cell>
        </row>
      </sheetData>
      <sheetData sheetId="29511">
        <row r="1">
          <cell r="J1">
            <v>1.7453292519943295E-2</v>
          </cell>
        </row>
      </sheetData>
      <sheetData sheetId="29512" refreshError="1"/>
      <sheetData sheetId="29513" refreshError="1"/>
      <sheetData sheetId="29514" refreshError="1"/>
      <sheetData sheetId="29515" refreshError="1"/>
      <sheetData sheetId="29516">
        <row r="1">
          <cell r="J1">
            <v>1.7453292519943295E-2</v>
          </cell>
        </row>
      </sheetData>
      <sheetData sheetId="29517">
        <row r="1">
          <cell r="J1">
            <v>1.7453292519943295E-2</v>
          </cell>
        </row>
      </sheetData>
      <sheetData sheetId="29518" refreshError="1"/>
      <sheetData sheetId="29519" refreshError="1"/>
      <sheetData sheetId="29520">
        <row r="1">
          <cell r="J1">
            <v>1.7453292519943295E-2</v>
          </cell>
        </row>
      </sheetData>
      <sheetData sheetId="29521">
        <row r="1">
          <cell r="J1">
            <v>1.7453292519943295E-2</v>
          </cell>
        </row>
      </sheetData>
      <sheetData sheetId="29522" refreshError="1"/>
      <sheetData sheetId="29523"/>
      <sheetData sheetId="29524">
        <row r="1">
          <cell r="J1">
            <v>1.7453292519943295E-2</v>
          </cell>
        </row>
      </sheetData>
      <sheetData sheetId="29525" refreshError="1"/>
      <sheetData sheetId="29526" refreshError="1"/>
      <sheetData sheetId="29527" refreshError="1"/>
      <sheetData sheetId="29528">
        <row r="1">
          <cell r="J1">
            <v>1.7453292519943295E-2</v>
          </cell>
        </row>
      </sheetData>
      <sheetData sheetId="29529" refreshError="1"/>
      <sheetData sheetId="29530" refreshError="1"/>
      <sheetData sheetId="29531">
        <row r="1">
          <cell r="J1">
            <v>1.7453292519943295E-2</v>
          </cell>
        </row>
      </sheetData>
      <sheetData sheetId="29532" refreshError="1"/>
      <sheetData sheetId="29533"/>
      <sheetData sheetId="29534">
        <row r="1">
          <cell r="J1">
            <v>1.7453292519943295E-2</v>
          </cell>
        </row>
      </sheetData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>
        <row r="1">
          <cell r="J1">
            <v>1.7453292519943295E-2</v>
          </cell>
        </row>
      </sheetData>
      <sheetData sheetId="29550">
        <row r="1">
          <cell r="J1">
            <v>1.7453292519943295E-2</v>
          </cell>
        </row>
      </sheetData>
      <sheetData sheetId="29551">
        <row r="1">
          <cell r="J1">
            <v>1.7453292519943295E-2</v>
          </cell>
        </row>
      </sheetData>
      <sheetData sheetId="29552"/>
      <sheetData sheetId="29553"/>
      <sheetData sheetId="29554"/>
      <sheetData sheetId="29555">
        <row r="1">
          <cell r="J1">
            <v>1.7453292519943295E-2</v>
          </cell>
        </row>
      </sheetData>
      <sheetData sheetId="29556" refreshError="1"/>
      <sheetData sheetId="29557" refreshError="1"/>
      <sheetData sheetId="29558"/>
      <sheetData sheetId="29559">
        <row r="1">
          <cell r="J1">
            <v>1.7453292519943295E-2</v>
          </cell>
        </row>
      </sheetData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>
        <row r="1">
          <cell r="J1">
            <v>1.7453292519943295E-2</v>
          </cell>
        </row>
      </sheetData>
      <sheetData sheetId="29575">
        <row r="1">
          <cell r="J1">
            <v>1.7453292519943295E-2</v>
          </cell>
        </row>
      </sheetData>
      <sheetData sheetId="29576">
        <row r="1">
          <cell r="J1">
            <v>1.7453292519943295E-2</v>
          </cell>
        </row>
      </sheetData>
      <sheetData sheetId="29577"/>
      <sheetData sheetId="29578"/>
      <sheetData sheetId="29579"/>
      <sheetData sheetId="29580" refreshError="1"/>
      <sheetData sheetId="29581" refreshError="1"/>
      <sheetData sheetId="29582" refreshError="1"/>
      <sheetData sheetId="29583"/>
      <sheetData sheetId="29584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>
        <row r="1">
          <cell r="J1">
            <v>1.7453292519943295E-2</v>
          </cell>
        </row>
      </sheetData>
      <sheetData sheetId="29598">
        <row r="1">
          <cell r="J1">
            <v>1.7453292519943295E-2</v>
          </cell>
        </row>
      </sheetData>
      <sheetData sheetId="29599">
        <row r="1">
          <cell r="J1">
            <v>1.7453292519943295E-2</v>
          </cell>
        </row>
      </sheetData>
      <sheetData sheetId="29600"/>
      <sheetData sheetId="29601"/>
      <sheetData sheetId="29602"/>
      <sheetData sheetId="29603">
        <row r="1">
          <cell r="J1">
            <v>1.7453292519943295E-2</v>
          </cell>
        </row>
      </sheetData>
      <sheetData sheetId="29604" refreshError="1"/>
      <sheetData sheetId="29605" refreshError="1"/>
      <sheetData sheetId="29606">
        <row r="1">
          <cell r="J1">
            <v>1.7453292519943295E-2</v>
          </cell>
        </row>
      </sheetData>
      <sheetData sheetId="29607" refreshError="1"/>
      <sheetData sheetId="29608">
        <row r="1">
          <cell r="J1">
            <v>1.7453292519943295E-2</v>
          </cell>
        </row>
      </sheetData>
      <sheetData sheetId="29609">
        <row r="1">
          <cell r="J1">
            <v>1.7453292519943295E-2</v>
          </cell>
        </row>
      </sheetData>
      <sheetData sheetId="29610" refreshError="1"/>
      <sheetData sheetId="29611">
        <row r="1">
          <cell r="J1">
            <v>1.7453292519943295E-2</v>
          </cell>
        </row>
      </sheetData>
      <sheetData sheetId="29612" refreshError="1"/>
      <sheetData sheetId="29613" refreshError="1"/>
      <sheetData sheetId="29614">
        <row r="1">
          <cell r="J1">
            <v>1.7453292519943295E-2</v>
          </cell>
        </row>
      </sheetData>
      <sheetData sheetId="29615">
        <row r="1">
          <cell r="J1">
            <v>1.7453292519943295E-2</v>
          </cell>
        </row>
      </sheetData>
      <sheetData sheetId="29616">
        <row r="1">
          <cell r="J1">
            <v>1.7453292519943295E-2</v>
          </cell>
        </row>
      </sheetData>
      <sheetData sheetId="29617" refreshError="1"/>
      <sheetData sheetId="29618" refreshError="1"/>
      <sheetData sheetId="29619" refreshError="1"/>
      <sheetData sheetId="29620">
        <row r="1">
          <cell r="J1">
            <v>1.7453292519943295E-2</v>
          </cell>
        </row>
      </sheetData>
      <sheetData sheetId="29621"/>
      <sheetData sheetId="29622">
        <row r="1">
          <cell r="J1">
            <v>1.7453292519943295E-2</v>
          </cell>
        </row>
      </sheetData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/>
      <sheetData sheetId="29634"/>
      <sheetData sheetId="29635"/>
      <sheetData sheetId="29636"/>
      <sheetData sheetId="29637">
        <row r="1">
          <cell r="J1">
            <v>1.7453292519943295E-2</v>
          </cell>
        </row>
      </sheetData>
      <sheetData sheetId="29638">
        <row r="1">
          <cell r="J1">
            <v>1.7453292519943295E-2</v>
          </cell>
        </row>
      </sheetData>
      <sheetData sheetId="29639">
        <row r="1">
          <cell r="J1">
            <v>1.7453292519943295E-2</v>
          </cell>
        </row>
      </sheetData>
      <sheetData sheetId="29640"/>
      <sheetData sheetId="29641"/>
      <sheetData sheetId="29642"/>
      <sheetData sheetId="29643" refreshError="1"/>
      <sheetData sheetId="29644" refreshError="1"/>
      <sheetData sheetId="29645">
        <row r="1">
          <cell r="J1">
            <v>1.7453292519943295E-2</v>
          </cell>
        </row>
      </sheetData>
      <sheetData sheetId="29646">
        <row r="1">
          <cell r="J1">
            <v>1.7453292519943295E-2</v>
          </cell>
        </row>
      </sheetData>
      <sheetData sheetId="29647">
        <row r="1">
          <cell r="J1">
            <v>1.7453292519943295E-2</v>
          </cell>
        </row>
      </sheetData>
      <sheetData sheetId="29648" refreshError="1"/>
      <sheetData sheetId="29649" refreshError="1"/>
      <sheetData sheetId="29650">
        <row r="1">
          <cell r="J1">
            <v>1.7453292519943295E-2</v>
          </cell>
        </row>
      </sheetData>
      <sheetData sheetId="29651">
        <row r="1">
          <cell r="J1">
            <v>1.7453292519943295E-2</v>
          </cell>
        </row>
      </sheetData>
      <sheetData sheetId="29652" refreshError="1"/>
      <sheetData sheetId="29653">
        <row r="1">
          <cell r="J1">
            <v>1.7453292519943295E-2</v>
          </cell>
        </row>
      </sheetData>
      <sheetData sheetId="29654">
        <row r="1">
          <cell r="J1">
            <v>1.7453292519943295E-2</v>
          </cell>
        </row>
      </sheetData>
      <sheetData sheetId="29655" refreshError="1"/>
      <sheetData sheetId="29656" refreshError="1"/>
      <sheetData sheetId="29657" refreshError="1"/>
      <sheetData sheetId="29658"/>
      <sheetData sheetId="29659"/>
      <sheetData sheetId="29660">
        <row r="1">
          <cell r="J1">
            <v>1.7453292519943295E-2</v>
          </cell>
        </row>
      </sheetData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/>
      <sheetData sheetId="29674"/>
      <sheetData sheetId="29675">
        <row r="1">
          <cell r="J1">
            <v>1.7453292519943295E-2</v>
          </cell>
        </row>
      </sheetData>
      <sheetData sheetId="29676">
        <row r="1">
          <cell r="J1">
            <v>1.7453292519943295E-2</v>
          </cell>
        </row>
      </sheetData>
      <sheetData sheetId="29677">
        <row r="1">
          <cell r="J1">
            <v>1.7453292519943295E-2</v>
          </cell>
        </row>
      </sheetData>
      <sheetData sheetId="29678">
        <row r="1">
          <cell r="J1">
            <v>1.7453292519943295E-2</v>
          </cell>
        </row>
      </sheetData>
      <sheetData sheetId="29679"/>
      <sheetData sheetId="29680"/>
      <sheetData sheetId="29681"/>
      <sheetData sheetId="29682" refreshError="1"/>
      <sheetData sheetId="29683" refreshError="1"/>
      <sheetData sheetId="29684">
        <row r="1">
          <cell r="J1">
            <v>1.7453292519943295E-2</v>
          </cell>
        </row>
      </sheetData>
      <sheetData sheetId="29685">
        <row r="1">
          <cell r="J1">
            <v>1.7453292519943295E-2</v>
          </cell>
        </row>
      </sheetData>
      <sheetData sheetId="29686">
        <row r="1">
          <cell r="J1">
            <v>1.7453292519943295E-2</v>
          </cell>
        </row>
      </sheetData>
      <sheetData sheetId="29687" refreshError="1"/>
      <sheetData sheetId="29688" refreshError="1"/>
      <sheetData sheetId="29689">
        <row r="1">
          <cell r="J1">
            <v>1.7453292519943295E-2</v>
          </cell>
        </row>
      </sheetData>
      <sheetData sheetId="29690">
        <row r="1">
          <cell r="J1">
            <v>1.7453292519943295E-2</v>
          </cell>
        </row>
      </sheetData>
      <sheetData sheetId="29691" refreshError="1"/>
      <sheetData sheetId="29692" refreshError="1"/>
      <sheetData sheetId="29693">
        <row r="1">
          <cell r="J1">
            <v>1.7453292519943295E-2</v>
          </cell>
        </row>
      </sheetData>
      <sheetData sheetId="29694"/>
      <sheetData sheetId="29695" refreshError="1"/>
      <sheetData sheetId="29696" refreshError="1"/>
      <sheetData sheetId="29697"/>
      <sheetData sheetId="29698" refreshError="1"/>
      <sheetData sheetId="29699">
        <row r="1">
          <cell r="J1">
            <v>1.7453292519943295E-2</v>
          </cell>
        </row>
      </sheetData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>
        <row r="1">
          <cell r="J1">
            <v>1.7453292519943295E-2</v>
          </cell>
        </row>
      </sheetData>
      <sheetData sheetId="29715">
        <row r="1">
          <cell r="J1">
            <v>1.7453292519943295E-2</v>
          </cell>
        </row>
      </sheetData>
      <sheetData sheetId="29716">
        <row r="1">
          <cell r="J1">
            <v>1.7453292519943295E-2</v>
          </cell>
        </row>
      </sheetData>
      <sheetData sheetId="29717">
        <row r="1">
          <cell r="J1">
            <v>1.7453292519943295E-2</v>
          </cell>
        </row>
      </sheetData>
      <sheetData sheetId="29718"/>
      <sheetData sheetId="29719"/>
      <sheetData sheetId="29720"/>
      <sheetData sheetId="29721" refreshError="1"/>
      <sheetData sheetId="29722">
        <row r="1">
          <cell r="J1">
            <v>1.7453292519943295E-2</v>
          </cell>
        </row>
      </sheetData>
      <sheetData sheetId="29723" refreshError="1"/>
      <sheetData sheetId="29724" refreshError="1"/>
      <sheetData sheetId="29725">
        <row r="1">
          <cell r="J1">
            <v>1.7453292519943295E-2</v>
          </cell>
        </row>
      </sheetData>
      <sheetData sheetId="29726">
        <row r="1">
          <cell r="J1">
            <v>1.7453292519943295E-2</v>
          </cell>
        </row>
      </sheetData>
      <sheetData sheetId="29727">
        <row r="1">
          <cell r="J1">
            <v>1.7453292519943295E-2</v>
          </cell>
        </row>
      </sheetData>
      <sheetData sheetId="29728" refreshError="1"/>
      <sheetData sheetId="29729">
        <row r="1">
          <cell r="J1">
            <v>1.7453292519943295E-2</v>
          </cell>
        </row>
      </sheetData>
      <sheetData sheetId="29730">
        <row r="1">
          <cell r="J1">
            <v>1.7453292519943295E-2</v>
          </cell>
        </row>
      </sheetData>
      <sheetData sheetId="29731" refreshError="1"/>
      <sheetData sheetId="29732" refreshError="1"/>
      <sheetData sheetId="29733">
        <row r="1">
          <cell r="J1">
            <v>1.7453292519943295E-2</v>
          </cell>
        </row>
      </sheetData>
      <sheetData sheetId="29734" refreshError="1"/>
      <sheetData sheetId="29735">
        <row r="1">
          <cell r="J1">
            <v>1.7453292519943295E-2</v>
          </cell>
        </row>
      </sheetData>
      <sheetData sheetId="29736">
        <row r="1">
          <cell r="J1">
            <v>1.7453292519943295E-2</v>
          </cell>
        </row>
      </sheetData>
      <sheetData sheetId="29737" refreshError="1"/>
      <sheetData sheetId="29738">
        <row r="1">
          <cell r="J1">
            <v>1.7453292519943295E-2</v>
          </cell>
        </row>
      </sheetData>
      <sheetData sheetId="29739" refreshError="1"/>
      <sheetData sheetId="29740" refreshError="1"/>
      <sheetData sheetId="29741">
        <row r="1">
          <cell r="J1">
            <v>1.7453292519943295E-2</v>
          </cell>
        </row>
      </sheetData>
      <sheetData sheetId="29742">
        <row r="1">
          <cell r="J1">
            <v>1.7453292519943295E-2</v>
          </cell>
        </row>
      </sheetData>
      <sheetData sheetId="29743" refreshError="1"/>
      <sheetData sheetId="29744" refreshError="1"/>
      <sheetData sheetId="29745" refreshError="1"/>
      <sheetData sheetId="29746">
        <row r="1">
          <cell r="J1">
            <v>1.7453292519943295E-2</v>
          </cell>
        </row>
      </sheetData>
      <sheetData sheetId="29747">
        <row r="1">
          <cell r="J1">
            <v>1.7453292519943295E-2</v>
          </cell>
        </row>
      </sheetData>
      <sheetData sheetId="29748">
        <row r="1">
          <cell r="J1">
            <v>1.7453292519943295E-2</v>
          </cell>
        </row>
      </sheetData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>
        <row r="1">
          <cell r="J1">
            <v>1.7453292519943295E-2</v>
          </cell>
        </row>
      </sheetData>
      <sheetData sheetId="29764">
        <row r="1">
          <cell r="J1">
            <v>1.7453292519943295E-2</v>
          </cell>
        </row>
      </sheetData>
      <sheetData sheetId="29765">
        <row r="1">
          <cell r="J1">
            <v>1.7453292519943295E-2</v>
          </cell>
        </row>
      </sheetData>
      <sheetData sheetId="29766"/>
      <sheetData sheetId="29767"/>
      <sheetData sheetId="29768"/>
      <sheetData sheetId="29769" refreshError="1"/>
      <sheetData sheetId="29770" refreshError="1"/>
      <sheetData sheetId="29771">
        <row r="1">
          <cell r="J1">
            <v>1.7453292519943295E-2</v>
          </cell>
        </row>
      </sheetData>
      <sheetData sheetId="29772" refreshError="1"/>
      <sheetData sheetId="29773">
        <row r="1">
          <cell r="J1">
            <v>1.7453292519943295E-2</v>
          </cell>
        </row>
      </sheetData>
      <sheetData sheetId="29774">
        <row r="1">
          <cell r="J1">
            <v>1.7453292519943295E-2</v>
          </cell>
        </row>
      </sheetData>
      <sheetData sheetId="29775" refreshError="1"/>
      <sheetData sheetId="29776">
        <row r="1">
          <cell r="J1">
            <v>1.7453292519943295E-2</v>
          </cell>
        </row>
      </sheetData>
      <sheetData sheetId="29777">
        <row r="1">
          <cell r="J1">
            <v>1.7453292519943295E-2</v>
          </cell>
        </row>
      </sheetData>
      <sheetData sheetId="29778">
        <row r="1">
          <cell r="J1">
            <v>1.7453292519943295E-2</v>
          </cell>
        </row>
      </sheetData>
      <sheetData sheetId="29779" refreshError="1"/>
      <sheetData sheetId="29780" refreshError="1"/>
      <sheetData sheetId="29781" refreshError="1"/>
      <sheetData sheetId="29782">
        <row r="1">
          <cell r="J1">
            <v>1.7453292519943295E-2</v>
          </cell>
        </row>
      </sheetData>
      <sheetData sheetId="29783">
        <row r="1">
          <cell r="J1">
            <v>1.7453292519943295E-2</v>
          </cell>
        </row>
      </sheetData>
      <sheetData sheetId="29784">
        <row r="1">
          <cell r="J1">
            <v>1.7453292519943295E-2</v>
          </cell>
        </row>
      </sheetData>
      <sheetData sheetId="29785" refreshError="1"/>
      <sheetData sheetId="29786">
        <row r="1">
          <cell r="J1">
            <v>1.7453292519943295E-2</v>
          </cell>
        </row>
      </sheetData>
      <sheetData sheetId="29787">
        <row r="1">
          <cell r="J1">
            <v>1.7453292519943295E-2</v>
          </cell>
        </row>
      </sheetData>
      <sheetData sheetId="29788" refreshError="1"/>
      <sheetData sheetId="29789" refreshError="1"/>
      <sheetData sheetId="29790" refreshError="1"/>
      <sheetData sheetId="29791">
        <row r="1">
          <cell r="J1">
            <v>1.7453292519943295E-2</v>
          </cell>
        </row>
      </sheetData>
      <sheetData sheetId="29792">
        <row r="1">
          <cell r="J1">
            <v>1.7453292519943295E-2</v>
          </cell>
        </row>
      </sheetData>
      <sheetData sheetId="29793" refreshError="1"/>
      <sheetData sheetId="29794" refreshError="1"/>
      <sheetData sheetId="29795" refreshError="1"/>
      <sheetData sheetId="29796" refreshError="1"/>
      <sheetData sheetId="29797">
        <row r="1">
          <cell r="J1">
            <v>1.7453292519943295E-2</v>
          </cell>
        </row>
      </sheetData>
      <sheetData sheetId="29798" refreshError="1"/>
      <sheetData sheetId="29799" refreshError="1"/>
      <sheetData sheetId="29800">
        <row r="1">
          <cell r="J1">
            <v>1.7453292519943295E-2</v>
          </cell>
        </row>
      </sheetData>
      <sheetData sheetId="29801">
        <row r="1">
          <cell r="J1">
            <v>1.7453292519943295E-2</v>
          </cell>
        </row>
      </sheetData>
      <sheetData sheetId="29802">
        <row r="1">
          <cell r="J1">
            <v>1.7453292519943295E-2</v>
          </cell>
        </row>
      </sheetData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>
        <row r="1">
          <cell r="J1">
            <v>1.7453292519943295E-2</v>
          </cell>
        </row>
      </sheetData>
      <sheetData sheetId="29818">
        <row r="1">
          <cell r="J1">
            <v>1.7453292519943295E-2</v>
          </cell>
        </row>
      </sheetData>
      <sheetData sheetId="29819">
        <row r="1">
          <cell r="J1">
            <v>1.7453292519943295E-2</v>
          </cell>
        </row>
      </sheetData>
      <sheetData sheetId="29820">
        <row r="1">
          <cell r="J1">
            <v>1.7453292519943295E-2</v>
          </cell>
        </row>
      </sheetData>
      <sheetData sheetId="29821"/>
      <sheetData sheetId="29822"/>
      <sheetData sheetId="29823"/>
      <sheetData sheetId="29824">
        <row r="1">
          <cell r="J1">
            <v>1.7453292519943295E-2</v>
          </cell>
        </row>
      </sheetData>
      <sheetData sheetId="29825" refreshError="1"/>
      <sheetData sheetId="29826">
        <row r="1">
          <cell r="J1">
            <v>1.7453292519943295E-2</v>
          </cell>
        </row>
      </sheetData>
      <sheetData sheetId="29827" refreshError="1"/>
      <sheetData sheetId="29828" refreshError="1"/>
      <sheetData sheetId="29829">
        <row r="1">
          <cell r="J1">
            <v>1.7453292519943295E-2</v>
          </cell>
        </row>
      </sheetData>
      <sheetData sheetId="29830">
        <row r="1">
          <cell r="J1">
            <v>1.7453292519943295E-2</v>
          </cell>
        </row>
      </sheetData>
      <sheetData sheetId="29831">
        <row r="1">
          <cell r="J1">
            <v>1.7453292519943295E-2</v>
          </cell>
        </row>
      </sheetData>
      <sheetData sheetId="29832">
        <row r="1">
          <cell r="J1">
            <v>1.7453292519943295E-2</v>
          </cell>
        </row>
      </sheetData>
      <sheetData sheetId="29833">
        <row r="1">
          <cell r="J1">
            <v>1.7453292519943295E-2</v>
          </cell>
        </row>
      </sheetData>
      <sheetData sheetId="29834" refreshError="1"/>
      <sheetData sheetId="29835">
        <row r="1">
          <cell r="J1">
            <v>1.7453292519943295E-2</v>
          </cell>
        </row>
      </sheetData>
      <sheetData sheetId="29836">
        <row r="1">
          <cell r="J1">
            <v>1.7453292519943295E-2</v>
          </cell>
        </row>
      </sheetData>
      <sheetData sheetId="29837" refreshError="1"/>
      <sheetData sheetId="29838" refreshError="1"/>
      <sheetData sheetId="29839">
        <row r="1">
          <cell r="J1">
            <v>1.7453292519943295E-2</v>
          </cell>
        </row>
      </sheetData>
      <sheetData sheetId="29840">
        <row r="1">
          <cell r="J1">
            <v>1.7453292519943295E-2</v>
          </cell>
        </row>
      </sheetData>
      <sheetData sheetId="29841">
        <row r="1">
          <cell r="J1">
            <v>1.7453292519943295E-2</v>
          </cell>
        </row>
      </sheetData>
      <sheetData sheetId="29842"/>
      <sheetData sheetId="29843">
        <row r="1">
          <cell r="J1">
            <v>1.7453292519943295E-2</v>
          </cell>
        </row>
      </sheetData>
      <sheetData sheetId="29844" refreshError="1"/>
      <sheetData sheetId="29845" refreshError="1"/>
      <sheetData sheetId="29846">
        <row r="1">
          <cell r="J1">
            <v>1.7453292519943295E-2</v>
          </cell>
        </row>
      </sheetData>
      <sheetData sheetId="29847"/>
      <sheetData sheetId="29848">
        <row r="1">
          <cell r="J1">
            <v>1.7453292519943295E-2</v>
          </cell>
        </row>
      </sheetData>
      <sheetData sheetId="29849" refreshError="1"/>
      <sheetData sheetId="29850">
        <row r="1">
          <cell r="J1">
            <v>1.7453292519943295E-2</v>
          </cell>
        </row>
      </sheetData>
      <sheetData sheetId="29851" refreshError="1"/>
      <sheetData sheetId="29852" refreshError="1"/>
      <sheetData sheetId="29853">
        <row r="1">
          <cell r="J1">
            <v>1.7453292519943295E-2</v>
          </cell>
        </row>
      </sheetData>
      <sheetData sheetId="29854">
        <row r="1">
          <cell r="J1">
            <v>1.7453292519943295E-2</v>
          </cell>
        </row>
      </sheetData>
      <sheetData sheetId="29855">
        <row r="1">
          <cell r="J1">
            <v>1.7453292519943295E-2</v>
          </cell>
        </row>
      </sheetData>
      <sheetData sheetId="29856" refreshError="1"/>
      <sheetData sheetId="29857"/>
      <sheetData sheetId="29858">
        <row r="1">
          <cell r="J1">
            <v>1.7453292519943295E-2</v>
          </cell>
        </row>
      </sheetData>
      <sheetData sheetId="29859" refreshError="1"/>
      <sheetData sheetId="29860" refreshError="1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>
        <row r="1">
          <cell r="J1">
            <v>1.7453292519943295E-2</v>
          </cell>
        </row>
      </sheetData>
      <sheetData sheetId="29876">
        <row r="1">
          <cell r="J1">
            <v>1.7453292519943295E-2</v>
          </cell>
        </row>
      </sheetData>
      <sheetData sheetId="29877">
        <row r="1">
          <cell r="J1">
            <v>1.7453292519943295E-2</v>
          </cell>
        </row>
      </sheetData>
      <sheetData sheetId="29878"/>
      <sheetData sheetId="29879"/>
      <sheetData sheetId="29880"/>
      <sheetData sheetId="29881" refreshError="1"/>
      <sheetData sheetId="29882" refreshError="1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>
        <row r="1">
          <cell r="J1">
            <v>1.7453292519943295E-2</v>
          </cell>
        </row>
      </sheetData>
      <sheetData sheetId="29898">
        <row r="1">
          <cell r="J1">
            <v>1.7453292519943295E-2</v>
          </cell>
        </row>
      </sheetData>
      <sheetData sheetId="29899">
        <row r="1">
          <cell r="J1">
            <v>1.7453292519943295E-2</v>
          </cell>
        </row>
      </sheetData>
      <sheetData sheetId="29900"/>
      <sheetData sheetId="29901"/>
      <sheetData sheetId="29902"/>
      <sheetData sheetId="29903" refreshError="1"/>
      <sheetData sheetId="29904" refreshError="1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>
        <row r="1">
          <cell r="J1">
            <v>1.7453292519943295E-2</v>
          </cell>
        </row>
      </sheetData>
      <sheetData sheetId="29920">
        <row r="1">
          <cell r="J1">
            <v>1.7453292519943295E-2</v>
          </cell>
        </row>
      </sheetData>
      <sheetData sheetId="29921">
        <row r="1">
          <cell r="J1">
            <v>1.7453292519943295E-2</v>
          </cell>
        </row>
      </sheetData>
      <sheetData sheetId="29922"/>
      <sheetData sheetId="29923"/>
      <sheetData sheetId="29924"/>
      <sheetData sheetId="29925">
        <row r="1">
          <cell r="J1">
            <v>1.7453292519943295E-2</v>
          </cell>
        </row>
      </sheetData>
      <sheetData sheetId="29926" refreshError="1"/>
      <sheetData sheetId="29927">
        <row r="1">
          <cell r="J1">
            <v>1.7453292519943295E-2</v>
          </cell>
        </row>
      </sheetData>
      <sheetData sheetId="29928" refreshError="1"/>
      <sheetData sheetId="29929" refreshError="1"/>
      <sheetData sheetId="29930">
        <row r="1">
          <cell r="J1">
            <v>1.7453292519943295E-2</v>
          </cell>
        </row>
      </sheetData>
      <sheetData sheetId="29931">
        <row r="1">
          <cell r="J1">
            <v>1.7453292519943295E-2</v>
          </cell>
        </row>
      </sheetData>
      <sheetData sheetId="29932">
        <row r="1">
          <cell r="J1">
            <v>1.7453292519943295E-2</v>
          </cell>
        </row>
      </sheetData>
      <sheetData sheetId="29933" refreshError="1"/>
      <sheetData sheetId="29934" refreshError="1"/>
      <sheetData sheetId="29935" refreshError="1"/>
      <sheetData sheetId="29936">
        <row r="1">
          <cell r="J1">
            <v>1.7453292519943295E-2</v>
          </cell>
        </row>
      </sheetData>
      <sheetData sheetId="29937" refreshError="1"/>
      <sheetData sheetId="29938">
        <row r="1">
          <cell r="J1">
            <v>1.7453292519943295E-2</v>
          </cell>
        </row>
      </sheetData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>
        <row r="1">
          <cell r="J1">
            <v>1.7453292519943295E-2</v>
          </cell>
        </row>
      </sheetData>
      <sheetData sheetId="29954">
        <row r="1">
          <cell r="J1">
            <v>1.7453292519943295E-2</v>
          </cell>
        </row>
      </sheetData>
      <sheetData sheetId="29955">
        <row r="1">
          <cell r="J1">
            <v>1.7453292519943295E-2</v>
          </cell>
        </row>
      </sheetData>
      <sheetData sheetId="29956"/>
      <sheetData sheetId="29957"/>
      <sheetData sheetId="29958"/>
      <sheetData sheetId="29959">
        <row r="1">
          <cell r="J1">
            <v>1.7453292519943295E-2</v>
          </cell>
        </row>
      </sheetData>
      <sheetData sheetId="29960" refreshError="1"/>
      <sheetData sheetId="29961" refreshError="1"/>
      <sheetData sheetId="29962">
        <row r="1">
          <cell r="J1">
            <v>1.7453292519943295E-2</v>
          </cell>
        </row>
      </sheetData>
      <sheetData sheetId="29963">
        <row r="1">
          <cell r="J1">
            <v>1.7453292519943295E-2</v>
          </cell>
        </row>
      </sheetData>
      <sheetData sheetId="29964">
        <row r="1">
          <cell r="J1">
            <v>1.7453292519943295E-2</v>
          </cell>
        </row>
      </sheetData>
      <sheetData sheetId="29965" refreshError="1"/>
      <sheetData sheetId="29966">
        <row r="1">
          <cell r="J1">
            <v>1.7453292519943295E-2</v>
          </cell>
        </row>
      </sheetData>
      <sheetData sheetId="29967">
        <row r="1">
          <cell r="J1">
            <v>1.7453292519943295E-2</v>
          </cell>
        </row>
      </sheetData>
      <sheetData sheetId="29968">
        <row r="1">
          <cell r="J1">
            <v>1.7453292519943295E-2</v>
          </cell>
        </row>
      </sheetData>
      <sheetData sheetId="29969" refreshError="1"/>
      <sheetData sheetId="29970" refreshError="1"/>
      <sheetData sheetId="29971">
        <row r="1">
          <cell r="J1">
            <v>1.7453292519943295E-2</v>
          </cell>
        </row>
      </sheetData>
      <sheetData sheetId="29972">
        <row r="1">
          <cell r="J1">
            <v>1.7453292519943295E-2</v>
          </cell>
        </row>
      </sheetData>
      <sheetData sheetId="29973">
        <row r="1">
          <cell r="J1">
            <v>1.7453292519943295E-2</v>
          </cell>
        </row>
      </sheetData>
      <sheetData sheetId="29974" refreshError="1"/>
      <sheetData sheetId="29975"/>
      <sheetData sheetId="29976">
        <row r="1">
          <cell r="J1">
            <v>1.7453292519943295E-2</v>
          </cell>
        </row>
      </sheetData>
      <sheetData sheetId="29977">
        <row r="1">
          <cell r="J1">
            <v>1.7453292519943295E-2</v>
          </cell>
        </row>
      </sheetData>
      <sheetData sheetId="29978">
        <row r="1">
          <cell r="J1">
            <v>1.7453292519943295E-2</v>
          </cell>
        </row>
      </sheetData>
      <sheetData sheetId="29979">
        <row r="1">
          <cell r="J1">
            <v>1.7453292519943295E-2</v>
          </cell>
        </row>
      </sheetData>
      <sheetData sheetId="29980" refreshError="1"/>
      <sheetData sheetId="29981" refreshError="1"/>
      <sheetData sheetId="29982">
        <row r="1">
          <cell r="J1">
            <v>1.7453292519943295E-2</v>
          </cell>
        </row>
      </sheetData>
      <sheetData sheetId="29983">
        <row r="1">
          <cell r="J1">
            <v>1.7453292519943295E-2</v>
          </cell>
        </row>
      </sheetData>
      <sheetData sheetId="29984">
        <row r="1">
          <cell r="J1">
            <v>1.7453292519943295E-2</v>
          </cell>
        </row>
      </sheetData>
      <sheetData sheetId="29985" refreshError="1"/>
      <sheetData sheetId="29986"/>
      <sheetData sheetId="29987">
        <row r="1">
          <cell r="J1">
            <v>1.7453292519943295E-2</v>
          </cell>
        </row>
      </sheetData>
      <sheetData sheetId="29988">
        <row r="1">
          <cell r="J1">
            <v>1.7453292519943295E-2</v>
          </cell>
        </row>
      </sheetData>
      <sheetData sheetId="29989" refreshError="1"/>
      <sheetData sheetId="29990" refreshError="1"/>
      <sheetData sheetId="29991">
        <row r="1">
          <cell r="J1">
            <v>1.7453292519943295E-2</v>
          </cell>
        </row>
      </sheetData>
      <sheetData sheetId="29992">
        <row r="1">
          <cell r="J1">
            <v>1.7453292519943295E-2</v>
          </cell>
        </row>
      </sheetData>
      <sheetData sheetId="29993">
        <row r="1">
          <cell r="J1">
            <v>1.7453292519943295E-2</v>
          </cell>
        </row>
      </sheetData>
      <sheetData sheetId="29994" refreshError="1"/>
      <sheetData sheetId="29995">
        <row r="1">
          <cell r="J1">
            <v>1.7453292519943295E-2</v>
          </cell>
        </row>
      </sheetData>
      <sheetData sheetId="29996">
        <row r="1">
          <cell r="J1">
            <v>1.7453292519943295E-2</v>
          </cell>
        </row>
      </sheetData>
      <sheetData sheetId="29997">
        <row r="1">
          <cell r="J1">
            <v>1.7453292519943295E-2</v>
          </cell>
        </row>
      </sheetData>
      <sheetData sheetId="29998" refreshError="1"/>
      <sheetData sheetId="29999" refreshError="1"/>
      <sheetData sheetId="30000">
        <row r="1">
          <cell r="J1">
            <v>1.7453292519943295E-2</v>
          </cell>
        </row>
      </sheetData>
      <sheetData sheetId="30001">
        <row r="1">
          <cell r="J1">
            <v>1.7453292519943295E-2</v>
          </cell>
        </row>
      </sheetData>
      <sheetData sheetId="30002" refreshError="1"/>
      <sheetData sheetId="30003"/>
      <sheetData sheetId="30004">
        <row r="1">
          <cell r="J1">
            <v>1.7453292519943295E-2</v>
          </cell>
        </row>
      </sheetData>
      <sheetData sheetId="30005">
        <row r="1">
          <cell r="J1">
            <v>1.7453292519943295E-2</v>
          </cell>
        </row>
      </sheetData>
      <sheetData sheetId="30006" refreshError="1"/>
      <sheetData sheetId="30007" refreshError="1"/>
      <sheetData sheetId="30008">
        <row r="1">
          <cell r="J1">
            <v>1.7453292519943295E-2</v>
          </cell>
        </row>
      </sheetData>
      <sheetData sheetId="30009">
        <row r="1">
          <cell r="J1">
            <v>1.7453292519943295E-2</v>
          </cell>
        </row>
      </sheetData>
      <sheetData sheetId="30010">
        <row r="1">
          <cell r="J1">
            <v>1.7453292519943295E-2</v>
          </cell>
        </row>
      </sheetData>
      <sheetData sheetId="30011" refreshError="1"/>
      <sheetData sheetId="30012"/>
      <sheetData sheetId="30013">
        <row r="1">
          <cell r="J1">
            <v>1.7453292519943295E-2</v>
          </cell>
        </row>
      </sheetData>
      <sheetData sheetId="30014">
        <row r="1">
          <cell r="J1">
            <v>1.7453292519943295E-2</v>
          </cell>
        </row>
      </sheetData>
      <sheetData sheetId="30015" refreshError="1"/>
      <sheetData sheetId="30016" refreshError="1"/>
      <sheetData sheetId="30017">
        <row r="1">
          <cell r="J1">
            <v>1.7453292519943295E-2</v>
          </cell>
        </row>
      </sheetData>
      <sheetData sheetId="30018">
        <row r="1">
          <cell r="J1">
            <v>1.7453292519943295E-2</v>
          </cell>
        </row>
      </sheetData>
      <sheetData sheetId="30019" refreshError="1"/>
      <sheetData sheetId="30020">
        <row r="1">
          <cell r="J1">
            <v>1.7453292519943295E-2</v>
          </cell>
        </row>
      </sheetData>
      <sheetData sheetId="30021">
        <row r="1">
          <cell r="J1">
            <v>1.7453292519943295E-2</v>
          </cell>
        </row>
      </sheetData>
      <sheetData sheetId="30022">
        <row r="1">
          <cell r="J1">
            <v>1.7453292519943295E-2</v>
          </cell>
        </row>
      </sheetData>
      <sheetData sheetId="30023">
        <row r="1">
          <cell r="J1">
            <v>1.7453292519943295E-2</v>
          </cell>
        </row>
      </sheetData>
      <sheetData sheetId="30024">
        <row r="1">
          <cell r="J1">
            <v>1.7453292519943295E-2</v>
          </cell>
        </row>
      </sheetData>
      <sheetData sheetId="30025">
        <row r="1">
          <cell r="J1">
            <v>1.7453292519943295E-2</v>
          </cell>
        </row>
      </sheetData>
      <sheetData sheetId="30026">
        <row r="1">
          <cell r="J1">
            <v>1.7453292519943295E-2</v>
          </cell>
        </row>
      </sheetData>
      <sheetData sheetId="30027" refreshError="1"/>
      <sheetData sheetId="30028" refreshError="1"/>
      <sheetData sheetId="30029">
        <row r="1">
          <cell r="J1">
            <v>1.7453292519943295E-2</v>
          </cell>
        </row>
      </sheetData>
      <sheetData sheetId="30030">
        <row r="1">
          <cell r="J1">
            <v>1.7453292519943295E-2</v>
          </cell>
        </row>
      </sheetData>
      <sheetData sheetId="30031">
        <row r="1">
          <cell r="J1">
            <v>1.7453292519943295E-2</v>
          </cell>
        </row>
      </sheetData>
      <sheetData sheetId="30032" refreshError="1"/>
      <sheetData sheetId="30033"/>
      <sheetData sheetId="30034">
        <row r="1">
          <cell r="J1">
            <v>1.7453292519943295E-2</v>
          </cell>
        </row>
      </sheetData>
      <sheetData sheetId="30035" refreshError="1"/>
      <sheetData sheetId="30036" refreshError="1"/>
      <sheetData sheetId="30037">
        <row r="1">
          <cell r="J1">
            <v>1.7453292519943295E-2</v>
          </cell>
        </row>
      </sheetData>
      <sheetData sheetId="30038">
        <row r="1">
          <cell r="J1">
            <v>1.7453292519943295E-2</v>
          </cell>
        </row>
      </sheetData>
      <sheetData sheetId="30039" refreshError="1"/>
      <sheetData sheetId="30040"/>
      <sheetData sheetId="30041">
        <row r="1">
          <cell r="J1">
            <v>1.7453292519943295E-2</v>
          </cell>
        </row>
      </sheetData>
      <sheetData sheetId="30042">
        <row r="1">
          <cell r="J1">
            <v>1.7453292519943295E-2</v>
          </cell>
        </row>
      </sheetData>
      <sheetData sheetId="30043" refreshError="1"/>
      <sheetData sheetId="30044" refreshError="1"/>
      <sheetData sheetId="30045">
        <row r="1">
          <cell r="J1">
            <v>1.7453292519943295E-2</v>
          </cell>
        </row>
      </sheetData>
      <sheetData sheetId="30046">
        <row r="1">
          <cell r="J1">
            <v>1.7453292519943295E-2</v>
          </cell>
        </row>
      </sheetData>
      <sheetData sheetId="30047">
        <row r="1">
          <cell r="J1">
            <v>1.7453292519943295E-2</v>
          </cell>
        </row>
      </sheetData>
      <sheetData sheetId="30048" refreshError="1"/>
      <sheetData sheetId="30049"/>
      <sheetData sheetId="30050">
        <row r="1">
          <cell r="J1">
            <v>1.7453292519943295E-2</v>
          </cell>
        </row>
      </sheetData>
      <sheetData sheetId="30051">
        <row r="1">
          <cell r="J1">
            <v>1.7453292519943295E-2</v>
          </cell>
        </row>
      </sheetData>
      <sheetData sheetId="30052" refreshError="1"/>
      <sheetData sheetId="30053" refreshError="1"/>
      <sheetData sheetId="30054">
        <row r="1">
          <cell r="J1">
            <v>1.7453292519943295E-2</v>
          </cell>
        </row>
      </sheetData>
      <sheetData sheetId="30055">
        <row r="1">
          <cell r="J1">
            <v>1.7453292519943295E-2</v>
          </cell>
        </row>
      </sheetData>
      <sheetData sheetId="30056" refreshError="1"/>
      <sheetData sheetId="30057"/>
      <sheetData sheetId="30058">
        <row r="1">
          <cell r="J1">
            <v>1.7453292519943295E-2</v>
          </cell>
        </row>
      </sheetData>
      <sheetData sheetId="30059">
        <row r="1">
          <cell r="J1">
            <v>1.7453292519943295E-2</v>
          </cell>
        </row>
      </sheetData>
      <sheetData sheetId="30060" refreshError="1"/>
      <sheetData sheetId="30061" refreshError="1"/>
      <sheetData sheetId="30062">
        <row r="1">
          <cell r="J1">
            <v>1.7453292519943295E-2</v>
          </cell>
        </row>
      </sheetData>
      <sheetData sheetId="30063">
        <row r="1">
          <cell r="J1">
            <v>1.7453292519943295E-2</v>
          </cell>
        </row>
      </sheetData>
      <sheetData sheetId="30064">
        <row r="1">
          <cell r="J1">
            <v>1.7453292519943295E-2</v>
          </cell>
        </row>
      </sheetData>
      <sheetData sheetId="30065" refreshError="1"/>
      <sheetData sheetId="30066" refreshError="1"/>
      <sheetData sheetId="30067" refreshError="1"/>
      <sheetData sheetId="30068"/>
      <sheetData sheetId="30069" refreshError="1"/>
      <sheetData sheetId="30070">
        <row r="1">
          <cell r="J1">
            <v>1.7453292519943295E-2</v>
          </cell>
        </row>
      </sheetData>
      <sheetData sheetId="30071"/>
      <sheetData sheetId="30072"/>
      <sheetData sheetId="30073"/>
      <sheetData sheetId="30074"/>
      <sheetData sheetId="30075"/>
      <sheetData sheetId="30076"/>
      <sheetData sheetId="30077"/>
      <sheetData sheetId="30078"/>
      <sheetData sheetId="30079"/>
      <sheetData sheetId="30080"/>
      <sheetData sheetId="30081"/>
      <sheetData sheetId="30082"/>
      <sheetData sheetId="30083"/>
      <sheetData sheetId="30084"/>
      <sheetData sheetId="30085">
        <row r="1">
          <cell r="J1">
            <v>1.7453292519943295E-2</v>
          </cell>
        </row>
      </sheetData>
      <sheetData sheetId="30086">
        <row r="1">
          <cell r="J1">
            <v>1.7453292519943295E-2</v>
          </cell>
        </row>
      </sheetData>
      <sheetData sheetId="30087">
        <row r="1">
          <cell r="J1">
            <v>1.7453292519943295E-2</v>
          </cell>
        </row>
      </sheetData>
      <sheetData sheetId="30088"/>
      <sheetData sheetId="30089"/>
      <sheetData sheetId="30090"/>
      <sheetData sheetId="30091" refreshError="1"/>
      <sheetData sheetId="30092" refreshError="1"/>
      <sheetData sheetId="30093">
        <row r="1">
          <cell r="J1">
            <v>1.7453292519943295E-2</v>
          </cell>
        </row>
      </sheetData>
      <sheetData sheetId="30094">
        <row r="1">
          <cell r="J1">
            <v>1.7453292519943295E-2</v>
          </cell>
        </row>
      </sheetData>
      <sheetData sheetId="30095">
        <row r="1">
          <cell r="J1">
            <v>1.7453292519943295E-2</v>
          </cell>
        </row>
      </sheetData>
      <sheetData sheetId="30096" refreshError="1"/>
      <sheetData sheetId="30097" refreshError="1"/>
      <sheetData sheetId="30098" refreshError="1"/>
      <sheetData sheetId="30099"/>
      <sheetData sheetId="30100" refreshError="1"/>
      <sheetData sheetId="30101">
        <row r="1">
          <cell r="J1">
            <v>1.7453292519943295E-2</v>
          </cell>
        </row>
      </sheetData>
      <sheetData sheetId="30102"/>
      <sheetData sheetId="30103"/>
      <sheetData sheetId="30104"/>
      <sheetData sheetId="30105"/>
      <sheetData sheetId="30106"/>
      <sheetData sheetId="30107"/>
      <sheetData sheetId="30108"/>
      <sheetData sheetId="30109"/>
      <sheetData sheetId="30110"/>
      <sheetData sheetId="30111"/>
      <sheetData sheetId="30112"/>
      <sheetData sheetId="30113"/>
      <sheetData sheetId="30114"/>
      <sheetData sheetId="30115"/>
      <sheetData sheetId="30116">
        <row r="1">
          <cell r="J1">
            <v>1.7453292519943295E-2</v>
          </cell>
        </row>
      </sheetData>
      <sheetData sheetId="30117">
        <row r="1">
          <cell r="J1">
            <v>1.7453292519943295E-2</v>
          </cell>
        </row>
      </sheetData>
      <sheetData sheetId="30118">
        <row r="1">
          <cell r="J1">
            <v>1.7453292519943295E-2</v>
          </cell>
        </row>
      </sheetData>
      <sheetData sheetId="30119"/>
      <sheetData sheetId="30120"/>
      <sheetData sheetId="30121"/>
      <sheetData sheetId="30122" refreshError="1"/>
      <sheetData sheetId="30123" refreshError="1"/>
      <sheetData sheetId="30124">
        <row r="1">
          <cell r="J1">
            <v>1.7453292519943295E-2</v>
          </cell>
        </row>
      </sheetData>
      <sheetData sheetId="30125">
        <row r="1">
          <cell r="J1">
            <v>1.7453292519943295E-2</v>
          </cell>
        </row>
      </sheetData>
      <sheetData sheetId="30126" refreshError="1"/>
      <sheetData sheetId="30127"/>
      <sheetData sheetId="30128">
        <row r="1">
          <cell r="J1">
            <v>1.7453292519943295E-2</v>
          </cell>
        </row>
      </sheetData>
      <sheetData sheetId="30129" refreshError="1"/>
      <sheetData sheetId="30130" refreshError="1"/>
      <sheetData sheetId="30131" refreshError="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>
        <row r="1">
          <cell r="J1">
            <v>1.7453292519943295E-2</v>
          </cell>
        </row>
      </sheetData>
      <sheetData sheetId="30147">
        <row r="1">
          <cell r="J1">
            <v>1.7453292519943295E-2</v>
          </cell>
        </row>
      </sheetData>
      <sheetData sheetId="30148">
        <row r="1">
          <cell r="J1">
            <v>1.7453292519943295E-2</v>
          </cell>
        </row>
      </sheetData>
      <sheetData sheetId="30149"/>
      <sheetData sheetId="30150"/>
      <sheetData sheetId="30151"/>
      <sheetData sheetId="30152">
        <row r="1">
          <cell r="J1">
            <v>1.7453292519943295E-2</v>
          </cell>
        </row>
      </sheetData>
      <sheetData sheetId="30153" refreshError="1"/>
      <sheetData sheetId="30154">
        <row r="1">
          <cell r="J1">
            <v>1.7453292519943295E-2</v>
          </cell>
        </row>
      </sheetData>
      <sheetData sheetId="30155">
        <row r="1">
          <cell r="J1">
            <v>1.7453292519943295E-2</v>
          </cell>
        </row>
      </sheetData>
      <sheetData sheetId="30156">
        <row r="1">
          <cell r="J1">
            <v>1.7453292519943295E-2</v>
          </cell>
        </row>
      </sheetData>
      <sheetData sheetId="30157" refreshError="1"/>
      <sheetData sheetId="30158" refreshError="1"/>
      <sheetData sheetId="30159" refreshError="1"/>
      <sheetData sheetId="30160" refreshError="1"/>
      <sheetData sheetId="30161">
        <row r="1">
          <cell r="J1">
            <v>1.7453292519943295E-2</v>
          </cell>
        </row>
      </sheetData>
      <sheetData sheetId="30162" refreshError="1"/>
      <sheetData sheetId="30163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>
        <row r="1">
          <cell r="J1">
            <v>1.7453292519943295E-2</v>
          </cell>
        </row>
      </sheetData>
      <sheetData sheetId="30178">
        <row r="1">
          <cell r="J1">
            <v>1.7453292519943295E-2</v>
          </cell>
        </row>
      </sheetData>
      <sheetData sheetId="30179">
        <row r="1">
          <cell r="J1">
            <v>1.7453292519943295E-2</v>
          </cell>
        </row>
      </sheetData>
      <sheetData sheetId="30180"/>
      <sheetData sheetId="30181"/>
      <sheetData sheetId="30182"/>
      <sheetData sheetId="30183">
        <row r="1">
          <cell r="J1">
            <v>1.7453292519943295E-2</v>
          </cell>
        </row>
      </sheetData>
      <sheetData sheetId="30184">
        <row r="1">
          <cell r="J1">
            <v>1.7453292519943295E-2</v>
          </cell>
        </row>
      </sheetData>
      <sheetData sheetId="30185" refreshError="1"/>
      <sheetData sheetId="30186">
        <row r="1">
          <cell r="J1">
            <v>1.7453292519943295E-2</v>
          </cell>
        </row>
      </sheetData>
      <sheetData sheetId="30187">
        <row r="1">
          <cell r="J1">
            <v>1.7453292519943295E-2</v>
          </cell>
        </row>
      </sheetData>
      <sheetData sheetId="30188" refreshError="1"/>
      <sheetData sheetId="30189" refreshError="1"/>
      <sheetData sheetId="30190">
        <row r="1">
          <cell r="J1">
            <v>1.7453292519943295E-2</v>
          </cell>
        </row>
      </sheetData>
      <sheetData sheetId="30191">
        <row r="1">
          <cell r="J1">
            <v>1.7453292519943295E-2</v>
          </cell>
        </row>
      </sheetData>
      <sheetData sheetId="30192" refreshError="1"/>
      <sheetData sheetId="30193">
        <row r="1">
          <cell r="J1">
            <v>1.7453292519943295E-2</v>
          </cell>
        </row>
      </sheetData>
      <sheetData sheetId="30194">
        <row r="1">
          <cell r="J1">
            <v>1.7453292519943295E-2</v>
          </cell>
        </row>
      </sheetData>
      <sheetData sheetId="30195">
        <row r="1">
          <cell r="J1">
            <v>1.7453292519943295E-2</v>
          </cell>
        </row>
      </sheetData>
      <sheetData sheetId="30196">
        <row r="1">
          <cell r="J1">
            <v>1.7453292519943295E-2</v>
          </cell>
        </row>
      </sheetData>
      <sheetData sheetId="30197" refreshError="1"/>
      <sheetData sheetId="30198" refreshError="1"/>
      <sheetData sheetId="30199" refreshError="1"/>
      <sheetData sheetId="30200"/>
      <sheetData sheetId="30201">
        <row r="1">
          <cell r="J1">
            <v>1.7453292519943295E-2</v>
          </cell>
        </row>
      </sheetData>
      <sheetData sheetId="30202">
        <row r="1">
          <cell r="J1">
            <v>1.7453292519943295E-2</v>
          </cell>
        </row>
      </sheetData>
      <sheetData sheetId="30203"/>
      <sheetData sheetId="30204"/>
      <sheetData sheetId="30205"/>
      <sheetData sheetId="30206"/>
      <sheetData sheetId="30207"/>
      <sheetData sheetId="30208"/>
      <sheetData sheetId="30209"/>
      <sheetData sheetId="30210"/>
      <sheetData sheetId="30211"/>
      <sheetData sheetId="30212"/>
      <sheetData sheetId="30213"/>
      <sheetData sheetId="30214"/>
      <sheetData sheetId="30215"/>
      <sheetData sheetId="30216"/>
      <sheetData sheetId="30217">
        <row r="1">
          <cell r="J1">
            <v>1.7453292519943295E-2</v>
          </cell>
        </row>
      </sheetData>
      <sheetData sheetId="30218">
        <row r="1">
          <cell r="J1">
            <v>1.7453292519943295E-2</v>
          </cell>
        </row>
      </sheetData>
      <sheetData sheetId="30219">
        <row r="1">
          <cell r="J1">
            <v>1.7453292519943295E-2</v>
          </cell>
        </row>
      </sheetData>
      <sheetData sheetId="30220"/>
      <sheetData sheetId="30221"/>
      <sheetData sheetId="30222"/>
      <sheetData sheetId="30223">
        <row r="1">
          <cell r="J1">
            <v>1.7453292519943295E-2</v>
          </cell>
        </row>
      </sheetData>
      <sheetData sheetId="30224">
        <row r="1">
          <cell r="J1">
            <v>1.7453292519943295E-2</v>
          </cell>
        </row>
      </sheetData>
      <sheetData sheetId="30225">
        <row r="1">
          <cell r="J1">
            <v>1.7453292519943295E-2</v>
          </cell>
        </row>
      </sheetData>
      <sheetData sheetId="30226" refreshError="1"/>
      <sheetData sheetId="30227" refreshError="1"/>
      <sheetData sheetId="30228">
        <row r="1">
          <cell r="J1">
            <v>1.7453292519943295E-2</v>
          </cell>
        </row>
      </sheetData>
      <sheetData sheetId="30229">
        <row r="1">
          <cell r="J1">
            <v>1.7453292519943295E-2</v>
          </cell>
        </row>
      </sheetData>
      <sheetData sheetId="30230">
        <row r="1">
          <cell r="J1">
            <v>1.7453292519943295E-2</v>
          </cell>
        </row>
      </sheetData>
      <sheetData sheetId="30231" refreshError="1"/>
      <sheetData sheetId="30232" refreshError="1"/>
      <sheetData sheetId="30233">
        <row r="1">
          <cell r="J1">
            <v>1.7453292519943295E-2</v>
          </cell>
        </row>
      </sheetData>
      <sheetData sheetId="30234">
        <row r="1">
          <cell r="J1">
            <v>1.7453292519943295E-2</v>
          </cell>
        </row>
      </sheetData>
      <sheetData sheetId="30235">
        <row r="1">
          <cell r="J1">
            <v>1.7453292519943295E-2</v>
          </cell>
        </row>
      </sheetData>
      <sheetData sheetId="30236" refreshError="1"/>
      <sheetData sheetId="30237" refreshError="1"/>
      <sheetData sheetId="30238" refreshError="1"/>
      <sheetData sheetId="30239" refreshError="1"/>
      <sheetData sheetId="30240">
        <row r="1">
          <cell r="J1">
            <v>1.7453292519943295E-2</v>
          </cell>
        </row>
      </sheetData>
      <sheetData sheetId="30241"/>
      <sheetData sheetId="30242">
        <row r="1">
          <cell r="J1">
            <v>1.7453292519943295E-2</v>
          </cell>
        </row>
      </sheetData>
      <sheetData sheetId="30243"/>
      <sheetData sheetId="30244" refreshError="1"/>
      <sheetData sheetId="30245">
        <row r="1">
          <cell r="J1">
            <v>1.7453292519943295E-2</v>
          </cell>
        </row>
      </sheetData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/>
      <sheetData sheetId="30260">
        <row r="1">
          <cell r="J1">
            <v>1.7453292519943295E-2</v>
          </cell>
        </row>
      </sheetData>
      <sheetData sheetId="30261">
        <row r="1">
          <cell r="J1">
            <v>1.7453292519943295E-2</v>
          </cell>
        </row>
      </sheetData>
      <sheetData sheetId="30262">
        <row r="1">
          <cell r="J1">
            <v>1.7453292519943295E-2</v>
          </cell>
        </row>
      </sheetData>
      <sheetData sheetId="30263"/>
      <sheetData sheetId="30264"/>
      <sheetData sheetId="30265"/>
      <sheetData sheetId="30266">
        <row r="1">
          <cell r="J1">
            <v>1.7453292519943295E-2</v>
          </cell>
        </row>
      </sheetData>
      <sheetData sheetId="30267" refreshError="1"/>
      <sheetData sheetId="30268" refreshError="1"/>
      <sheetData sheetId="30269">
        <row r="1">
          <cell r="J1">
            <v>1.7453292519943295E-2</v>
          </cell>
        </row>
      </sheetData>
      <sheetData sheetId="30270"/>
      <sheetData sheetId="30271">
        <row r="1">
          <cell r="J1">
            <v>1.7453292519943295E-2</v>
          </cell>
        </row>
      </sheetData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>
        <row r="1">
          <cell r="J1">
            <v>1.7453292519943295E-2</v>
          </cell>
        </row>
      </sheetData>
      <sheetData sheetId="30278"/>
      <sheetData sheetId="30279"/>
      <sheetData sheetId="30280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/>
      <sheetData sheetId="30364">
        <row r="1">
          <cell r="J1">
            <v>1.7453292519943295E-2</v>
          </cell>
        </row>
      </sheetData>
      <sheetData sheetId="30365">
        <row r="1">
          <cell r="J1">
            <v>1.7453292519943295E-2</v>
          </cell>
        </row>
      </sheetData>
      <sheetData sheetId="30366" refreshError="1"/>
      <sheetData sheetId="30367" refreshError="1"/>
      <sheetData sheetId="30368">
        <row r="1">
          <cell r="J1">
            <v>1.7453292519943295E-2</v>
          </cell>
        </row>
      </sheetData>
      <sheetData sheetId="30369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>
        <row r="1">
          <cell r="J1">
            <v>1.7453292519943295E-2</v>
          </cell>
        </row>
      </sheetData>
      <sheetData sheetId="30376"/>
      <sheetData sheetId="30377">
        <row r="1">
          <cell r="J1">
            <v>1.7453292519943295E-2</v>
          </cell>
        </row>
      </sheetData>
      <sheetData sheetId="30378"/>
      <sheetData sheetId="30379" refreshError="1"/>
      <sheetData sheetId="30380" refreshError="1"/>
      <sheetData sheetId="30381"/>
      <sheetData sheetId="30382"/>
      <sheetData sheetId="30383">
        <row r="1">
          <cell r="J1">
            <v>1.7453292519943295E-2</v>
          </cell>
        </row>
      </sheetData>
      <sheetData sheetId="30384" refreshError="1"/>
      <sheetData sheetId="30385" refreshError="1"/>
      <sheetData sheetId="30386" refreshError="1"/>
      <sheetData sheetId="30387" refreshError="1"/>
      <sheetData sheetId="30388"/>
      <sheetData sheetId="30389">
        <row r="1">
          <cell r="J1">
            <v>1.7453292519943295E-2</v>
          </cell>
        </row>
      </sheetData>
      <sheetData sheetId="30390" refreshError="1"/>
      <sheetData sheetId="30391" refreshError="1"/>
      <sheetData sheetId="30392">
        <row r="1">
          <cell r="J1">
            <v>1.7453292519943295E-2</v>
          </cell>
        </row>
      </sheetData>
      <sheetData sheetId="30393">
        <row r="1">
          <cell r="J1">
            <v>1.7453292519943295E-2</v>
          </cell>
        </row>
      </sheetData>
      <sheetData sheetId="30394">
        <row r="1">
          <cell r="J1">
            <v>1.7453292519943295E-2</v>
          </cell>
        </row>
      </sheetData>
      <sheetData sheetId="30395" refreshError="1"/>
      <sheetData sheetId="30396" refreshError="1"/>
      <sheetData sheetId="30397" refreshError="1"/>
      <sheetData sheetId="30398" refreshError="1"/>
      <sheetData sheetId="30399">
        <row r="1">
          <cell r="J1">
            <v>1.7453292519943295E-2</v>
          </cell>
        </row>
      </sheetData>
      <sheetData sheetId="30400">
        <row r="1">
          <cell r="J1">
            <v>1.7453292519943295E-2</v>
          </cell>
        </row>
      </sheetData>
      <sheetData sheetId="30401" refreshError="1"/>
      <sheetData sheetId="30402" refreshError="1"/>
      <sheetData sheetId="30403"/>
      <sheetData sheetId="30404">
        <row r="1">
          <cell r="J1">
            <v>1.7453292519943295E-2</v>
          </cell>
        </row>
      </sheetData>
      <sheetData sheetId="30405">
        <row r="1">
          <cell r="J1">
            <v>1.7453292519943295E-2</v>
          </cell>
        </row>
      </sheetData>
      <sheetData sheetId="30406" refreshError="1"/>
      <sheetData sheetId="30407" refreshError="1"/>
      <sheetData sheetId="30408" refreshError="1"/>
      <sheetData sheetId="30409" refreshError="1"/>
      <sheetData sheetId="30410">
        <row r="1">
          <cell r="J1">
            <v>1.7453292519943295E-2</v>
          </cell>
        </row>
      </sheetData>
      <sheetData sheetId="30411"/>
      <sheetData sheetId="30412" refreshError="1"/>
      <sheetData sheetId="30413">
        <row r="1">
          <cell r="J1">
            <v>1.7453292519943295E-2</v>
          </cell>
        </row>
      </sheetData>
      <sheetData sheetId="30414">
        <row r="1">
          <cell r="J1">
            <v>1.7453292519943295E-2</v>
          </cell>
        </row>
      </sheetData>
      <sheetData sheetId="30415">
        <row r="1">
          <cell r="J1">
            <v>1.7453292519943295E-2</v>
          </cell>
        </row>
      </sheetData>
      <sheetData sheetId="30416">
        <row r="1">
          <cell r="J1">
            <v>1.7453292519943295E-2</v>
          </cell>
        </row>
      </sheetData>
      <sheetData sheetId="30417" refreshError="1"/>
      <sheetData sheetId="30418" refreshError="1"/>
      <sheetData sheetId="30419" refreshError="1"/>
      <sheetData sheetId="30420" refreshError="1"/>
      <sheetData sheetId="30421"/>
      <sheetData sheetId="30422"/>
      <sheetData sheetId="30423" refreshError="1"/>
      <sheetData sheetId="30424" refreshError="1"/>
      <sheetData sheetId="30425">
        <row r="1">
          <cell r="J1">
            <v>1.7453292519943295E-2</v>
          </cell>
        </row>
      </sheetData>
      <sheetData sheetId="30426">
        <row r="1">
          <cell r="J1">
            <v>1.7453292519943295E-2</v>
          </cell>
        </row>
      </sheetData>
      <sheetData sheetId="30427">
        <row r="1">
          <cell r="J1">
            <v>1.7453292519943295E-2</v>
          </cell>
        </row>
      </sheetData>
      <sheetData sheetId="30428" refreshError="1"/>
      <sheetData sheetId="30429">
        <row r="1">
          <cell r="J1">
            <v>1.7453292519943295E-2</v>
          </cell>
        </row>
      </sheetData>
      <sheetData sheetId="30430"/>
      <sheetData sheetId="30431">
        <row r="1">
          <cell r="J1">
            <v>1.7453292519943295E-2</v>
          </cell>
        </row>
      </sheetData>
      <sheetData sheetId="30432" refreshError="1"/>
      <sheetData sheetId="30433"/>
      <sheetData sheetId="30434">
        <row r="1">
          <cell r="J1">
            <v>1.7453292519943295E-2</v>
          </cell>
        </row>
      </sheetData>
      <sheetData sheetId="30435">
        <row r="1">
          <cell r="J1">
            <v>1.7453292519943295E-2</v>
          </cell>
        </row>
      </sheetData>
      <sheetData sheetId="30436" refreshError="1"/>
      <sheetData sheetId="30437" refreshError="1"/>
      <sheetData sheetId="30438"/>
      <sheetData sheetId="30439">
        <row r="1">
          <cell r="J1">
            <v>1.7453292519943295E-2</v>
          </cell>
        </row>
      </sheetData>
      <sheetData sheetId="30440" refreshError="1"/>
      <sheetData sheetId="30441">
        <row r="1">
          <cell r="J1">
            <v>1.7453292519943295E-2</v>
          </cell>
        </row>
      </sheetData>
      <sheetData sheetId="30442"/>
      <sheetData sheetId="30443"/>
      <sheetData sheetId="30444"/>
      <sheetData sheetId="30445"/>
      <sheetData sheetId="30446"/>
      <sheetData sheetId="30447"/>
      <sheetData sheetId="30448"/>
      <sheetData sheetId="30449"/>
      <sheetData sheetId="30450"/>
      <sheetData sheetId="30451"/>
      <sheetData sheetId="30452"/>
      <sheetData sheetId="30453"/>
      <sheetData sheetId="30454"/>
      <sheetData sheetId="30455"/>
      <sheetData sheetId="30456">
        <row r="1">
          <cell r="J1">
            <v>1.7453292519943295E-2</v>
          </cell>
        </row>
      </sheetData>
      <sheetData sheetId="30457">
        <row r="1">
          <cell r="J1">
            <v>1.7453292519943295E-2</v>
          </cell>
        </row>
      </sheetData>
      <sheetData sheetId="30458">
        <row r="1">
          <cell r="J1">
            <v>1.7453292519943295E-2</v>
          </cell>
        </row>
      </sheetData>
      <sheetData sheetId="30459"/>
      <sheetData sheetId="30460"/>
      <sheetData sheetId="30461"/>
      <sheetData sheetId="30462">
        <row r="1">
          <cell r="J1">
            <v>1.7453292519943295E-2</v>
          </cell>
        </row>
      </sheetData>
      <sheetData sheetId="30463" refreshError="1"/>
      <sheetData sheetId="30464" refreshError="1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 refreshError="1"/>
      <sheetData sheetId="30481">
        <row r="1">
          <cell r="J1">
            <v>1.7453292519943295E-2</v>
          </cell>
        </row>
      </sheetData>
      <sheetData sheetId="30482" refreshError="1"/>
      <sheetData sheetId="30483" refreshError="1"/>
      <sheetData sheetId="30484"/>
      <sheetData sheetId="30485"/>
      <sheetData sheetId="30486"/>
      <sheetData sheetId="30487"/>
      <sheetData sheetId="30488"/>
      <sheetData sheetId="30489"/>
      <sheetData sheetId="30490"/>
      <sheetData sheetId="30491"/>
      <sheetData sheetId="30492"/>
      <sheetData sheetId="30493"/>
      <sheetData sheetId="30494"/>
      <sheetData sheetId="30495"/>
      <sheetData sheetId="30496"/>
      <sheetData sheetId="30497"/>
      <sheetData sheetId="30498">
        <row r="1">
          <cell r="J1">
            <v>1.7453292519943295E-2</v>
          </cell>
        </row>
      </sheetData>
      <sheetData sheetId="30499">
        <row r="1">
          <cell r="J1">
            <v>1.7453292519943295E-2</v>
          </cell>
        </row>
      </sheetData>
      <sheetData sheetId="30500">
        <row r="1">
          <cell r="J1">
            <v>1.7453292519943295E-2</v>
          </cell>
        </row>
      </sheetData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/>
      <sheetData sheetId="30512"/>
      <sheetData sheetId="30513"/>
      <sheetData sheetId="30514"/>
      <sheetData sheetId="30515"/>
      <sheetData sheetId="30516"/>
      <sheetData sheetId="30517"/>
      <sheetData sheetId="30518">
        <row r="1">
          <cell r="J1">
            <v>1.7453292519943295E-2</v>
          </cell>
        </row>
      </sheetData>
      <sheetData sheetId="30519">
        <row r="1">
          <cell r="J1">
            <v>1.7453292519943295E-2</v>
          </cell>
        </row>
      </sheetData>
      <sheetData sheetId="30520">
        <row r="1">
          <cell r="J1">
            <v>1.7453292519943295E-2</v>
          </cell>
        </row>
      </sheetData>
      <sheetData sheetId="30521"/>
      <sheetData sheetId="30522"/>
      <sheetData sheetId="30523"/>
      <sheetData sheetId="30524">
        <row r="1">
          <cell r="J1">
            <v>1.7453292519943295E-2</v>
          </cell>
        </row>
      </sheetData>
      <sheetData sheetId="30525" refreshError="1"/>
      <sheetData sheetId="30526"/>
      <sheetData sheetId="30527">
        <row r="1">
          <cell r="J1">
            <v>1.7453292519943295E-2</v>
          </cell>
        </row>
      </sheetData>
      <sheetData sheetId="30528">
        <row r="1">
          <cell r="J1">
            <v>1.7453292519943295E-2</v>
          </cell>
        </row>
      </sheetData>
      <sheetData sheetId="30529" refreshError="1"/>
      <sheetData sheetId="30530" refreshError="1"/>
      <sheetData sheetId="30531">
        <row r="1">
          <cell r="J1">
            <v>1.7453292519943295E-2</v>
          </cell>
        </row>
      </sheetData>
      <sheetData sheetId="30532">
        <row r="1">
          <cell r="J1">
            <v>1.7453292519943295E-2</v>
          </cell>
        </row>
      </sheetData>
      <sheetData sheetId="30533"/>
      <sheetData sheetId="30534"/>
      <sheetData sheetId="30535"/>
      <sheetData sheetId="30536"/>
      <sheetData sheetId="30537"/>
      <sheetData sheetId="30538"/>
      <sheetData sheetId="30539"/>
      <sheetData sheetId="30540"/>
      <sheetData sheetId="30541"/>
      <sheetData sheetId="30542"/>
      <sheetData sheetId="30543"/>
      <sheetData sheetId="30544"/>
      <sheetData sheetId="30545"/>
      <sheetData sheetId="30546"/>
      <sheetData sheetId="30547">
        <row r="1">
          <cell r="J1">
            <v>1.7453292519943295E-2</v>
          </cell>
        </row>
      </sheetData>
      <sheetData sheetId="30548">
        <row r="1">
          <cell r="J1">
            <v>1.7453292519943295E-2</v>
          </cell>
        </row>
      </sheetData>
      <sheetData sheetId="30549">
        <row r="1">
          <cell r="J1">
            <v>1.7453292519943295E-2</v>
          </cell>
        </row>
      </sheetData>
      <sheetData sheetId="30550"/>
      <sheetData sheetId="30551"/>
      <sheetData sheetId="30552"/>
      <sheetData sheetId="30553"/>
      <sheetData sheetId="30554"/>
      <sheetData sheetId="30555"/>
      <sheetData sheetId="30556"/>
      <sheetData sheetId="30557"/>
      <sheetData sheetId="30558"/>
      <sheetData sheetId="30559"/>
      <sheetData sheetId="30560"/>
      <sheetData sheetId="30561"/>
      <sheetData sheetId="30562"/>
      <sheetData sheetId="30563"/>
      <sheetData sheetId="30564"/>
      <sheetData sheetId="30565"/>
      <sheetData sheetId="30566"/>
      <sheetData sheetId="30567">
        <row r="1">
          <cell r="J1">
            <v>1.7453292519943295E-2</v>
          </cell>
        </row>
      </sheetData>
      <sheetData sheetId="30568">
        <row r="1">
          <cell r="J1">
            <v>1.7453292519943295E-2</v>
          </cell>
        </row>
      </sheetData>
      <sheetData sheetId="30569">
        <row r="1">
          <cell r="J1">
            <v>1.7453292519943295E-2</v>
          </cell>
        </row>
      </sheetData>
      <sheetData sheetId="30570"/>
      <sheetData sheetId="30571"/>
      <sheetData sheetId="30572"/>
      <sheetData sheetId="30573"/>
      <sheetData sheetId="30574"/>
      <sheetData sheetId="30575"/>
      <sheetData sheetId="30576"/>
      <sheetData sheetId="30577"/>
      <sheetData sheetId="30578"/>
      <sheetData sheetId="30579"/>
      <sheetData sheetId="30580"/>
      <sheetData sheetId="30581"/>
      <sheetData sheetId="30582"/>
      <sheetData sheetId="30583"/>
      <sheetData sheetId="30584"/>
      <sheetData sheetId="30585"/>
      <sheetData sheetId="30586"/>
      <sheetData sheetId="30587">
        <row r="1">
          <cell r="J1">
            <v>1.7453292519943295E-2</v>
          </cell>
        </row>
      </sheetData>
      <sheetData sheetId="30588">
        <row r="1">
          <cell r="J1">
            <v>1.7453292519943295E-2</v>
          </cell>
        </row>
      </sheetData>
      <sheetData sheetId="30589">
        <row r="1">
          <cell r="J1">
            <v>1.7453292519943295E-2</v>
          </cell>
        </row>
      </sheetData>
      <sheetData sheetId="30590"/>
      <sheetData sheetId="30591"/>
      <sheetData sheetId="30592"/>
      <sheetData sheetId="30593"/>
      <sheetData sheetId="30594"/>
      <sheetData sheetId="30595"/>
      <sheetData sheetId="30596"/>
      <sheetData sheetId="30597"/>
      <sheetData sheetId="30598"/>
      <sheetData sheetId="30599"/>
      <sheetData sheetId="30600"/>
      <sheetData sheetId="30601"/>
      <sheetData sheetId="30602"/>
      <sheetData sheetId="30603"/>
      <sheetData sheetId="30604"/>
      <sheetData sheetId="30605"/>
      <sheetData sheetId="30606"/>
      <sheetData sheetId="30607">
        <row r="1">
          <cell r="J1">
            <v>1.7453292519943295E-2</v>
          </cell>
        </row>
      </sheetData>
      <sheetData sheetId="30608">
        <row r="1">
          <cell r="J1">
            <v>1.7453292519943295E-2</v>
          </cell>
        </row>
      </sheetData>
      <sheetData sheetId="30609">
        <row r="1">
          <cell r="J1">
            <v>1.7453292519943295E-2</v>
          </cell>
        </row>
      </sheetData>
      <sheetData sheetId="30610"/>
      <sheetData sheetId="30611"/>
      <sheetData sheetId="30612"/>
      <sheetData sheetId="30613" refreshError="1"/>
      <sheetData sheetId="30614" refreshError="1"/>
      <sheetData sheetId="30615">
        <row r="1">
          <cell r="J1">
            <v>1.7453292519943295E-2</v>
          </cell>
        </row>
      </sheetData>
      <sheetData sheetId="30616">
        <row r="1">
          <cell r="J1">
            <v>1.7453292519943295E-2</v>
          </cell>
        </row>
      </sheetData>
      <sheetData sheetId="30617">
        <row r="1">
          <cell r="J1">
            <v>1.7453292519943295E-2</v>
          </cell>
        </row>
      </sheetData>
      <sheetData sheetId="30618">
        <row r="1">
          <cell r="J1">
            <v>1.7453292519943295E-2</v>
          </cell>
        </row>
      </sheetData>
      <sheetData sheetId="30619">
        <row r="1">
          <cell r="J1">
            <v>1.7453292519943295E-2</v>
          </cell>
        </row>
      </sheetData>
      <sheetData sheetId="30620">
        <row r="1">
          <cell r="J1">
            <v>1.7453292519943295E-2</v>
          </cell>
        </row>
      </sheetData>
      <sheetData sheetId="30621"/>
      <sheetData sheetId="30622" refreshError="1"/>
      <sheetData sheetId="30623">
        <row r="1">
          <cell r="J1">
            <v>1.7453292519943295E-2</v>
          </cell>
        </row>
      </sheetData>
      <sheetData sheetId="30624">
        <row r="1">
          <cell r="J1">
            <v>1.7453292519943295E-2</v>
          </cell>
        </row>
      </sheetData>
      <sheetData sheetId="30625" refreshError="1"/>
      <sheetData sheetId="30626" refreshError="1"/>
      <sheetData sheetId="30627">
        <row r="1">
          <cell r="J1">
            <v>1.7453292519943295E-2</v>
          </cell>
        </row>
      </sheetData>
      <sheetData sheetId="30628">
        <row r="1">
          <cell r="J1">
            <v>1.7453292519943295E-2</v>
          </cell>
        </row>
      </sheetData>
      <sheetData sheetId="30629" refreshError="1"/>
      <sheetData sheetId="30630">
        <row r="1">
          <cell r="J1">
            <v>1.7453292519943295E-2</v>
          </cell>
        </row>
      </sheetData>
      <sheetData sheetId="30631" refreshError="1"/>
      <sheetData sheetId="30632">
        <row r="1">
          <cell r="J1">
            <v>1.7453292519943295E-2</v>
          </cell>
        </row>
      </sheetData>
      <sheetData sheetId="30633">
        <row r="1">
          <cell r="J1">
            <v>1.7453292519943295E-2</v>
          </cell>
        </row>
      </sheetData>
      <sheetData sheetId="30634" refreshError="1"/>
      <sheetData sheetId="30635" refreshError="1"/>
      <sheetData sheetId="30636" refreshError="1"/>
      <sheetData sheetId="30637">
        <row r="1">
          <cell r="J1">
            <v>1.7453292519943295E-2</v>
          </cell>
        </row>
      </sheetData>
      <sheetData sheetId="30638" refreshError="1"/>
      <sheetData sheetId="30639" refreshError="1"/>
      <sheetData sheetId="30640">
        <row r="1">
          <cell r="J1">
            <v>1.7453292519943295E-2</v>
          </cell>
        </row>
      </sheetData>
      <sheetData sheetId="30641">
        <row r="1">
          <cell r="J1">
            <v>1.7453292519943295E-2</v>
          </cell>
        </row>
      </sheetData>
      <sheetData sheetId="30642">
        <row r="1">
          <cell r="J1">
            <v>1.7453292519943295E-2</v>
          </cell>
        </row>
      </sheetData>
      <sheetData sheetId="30643" refreshError="1"/>
      <sheetData sheetId="30644" refreshError="1"/>
      <sheetData sheetId="30645" refreshError="1"/>
      <sheetData sheetId="30646"/>
      <sheetData sheetId="30647" refreshError="1"/>
      <sheetData sheetId="30648">
        <row r="1">
          <cell r="J1">
            <v>1.7453292519943295E-2</v>
          </cell>
        </row>
      </sheetData>
      <sheetData sheetId="30649"/>
      <sheetData sheetId="30650"/>
      <sheetData sheetId="30651"/>
      <sheetData sheetId="30652"/>
      <sheetData sheetId="30653"/>
      <sheetData sheetId="30654"/>
      <sheetData sheetId="30655"/>
      <sheetData sheetId="30656"/>
      <sheetData sheetId="30657"/>
      <sheetData sheetId="30658"/>
      <sheetData sheetId="30659"/>
      <sheetData sheetId="30660"/>
      <sheetData sheetId="30661"/>
      <sheetData sheetId="30662"/>
      <sheetData sheetId="30663">
        <row r="1">
          <cell r="J1">
            <v>1.7453292519943295E-2</v>
          </cell>
        </row>
      </sheetData>
      <sheetData sheetId="30664">
        <row r="1">
          <cell r="J1">
            <v>1.7453292519943295E-2</v>
          </cell>
        </row>
      </sheetData>
      <sheetData sheetId="30665">
        <row r="1">
          <cell r="J1">
            <v>1.7453292519943295E-2</v>
          </cell>
        </row>
      </sheetData>
      <sheetData sheetId="30666"/>
      <sheetData sheetId="30667"/>
      <sheetData sheetId="30668"/>
      <sheetData sheetId="30669">
        <row r="1">
          <cell r="J1">
            <v>1.7453292519943295E-2</v>
          </cell>
        </row>
      </sheetData>
      <sheetData sheetId="30670" refreshError="1"/>
      <sheetData sheetId="30671" refreshError="1"/>
      <sheetData sheetId="30672">
        <row r="1">
          <cell r="J1">
            <v>1.7453292519943295E-2</v>
          </cell>
        </row>
      </sheetData>
      <sheetData sheetId="30673">
        <row r="1">
          <cell r="J1">
            <v>1.7453292519943295E-2</v>
          </cell>
        </row>
      </sheetData>
      <sheetData sheetId="30674" refreshError="1"/>
      <sheetData sheetId="30675">
        <row r="1">
          <cell r="J1">
            <v>1.7453292519943295E-2</v>
          </cell>
        </row>
      </sheetData>
      <sheetData sheetId="30676">
        <row r="1">
          <cell r="J1">
            <v>1.7453292519943295E-2</v>
          </cell>
        </row>
      </sheetData>
      <sheetData sheetId="30677" refreshError="1"/>
      <sheetData sheetId="30678" refreshError="1"/>
      <sheetData sheetId="30679" refreshError="1"/>
      <sheetData sheetId="30680"/>
      <sheetData sheetId="30681"/>
      <sheetData sheetId="30682"/>
      <sheetData sheetId="30683"/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>
        <row r="1">
          <cell r="J1">
            <v>1.7453292519943295E-2</v>
          </cell>
        </row>
      </sheetData>
      <sheetData sheetId="30695">
        <row r="1">
          <cell r="J1">
            <v>1.7453292519943295E-2</v>
          </cell>
        </row>
      </sheetData>
      <sheetData sheetId="30696">
        <row r="1">
          <cell r="J1">
            <v>1.7453292519943295E-2</v>
          </cell>
        </row>
      </sheetData>
      <sheetData sheetId="30697"/>
      <sheetData sheetId="30698"/>
      <sheetData sheetId="30699"/>
      <sheetData sheetId="30700">
        <row r="1">
          <cell r="J1">
            <v>1.7453292519943295E-2</v>
          </cell>
        </row>
      </sheetData>
      <sheetData sheetId="30701">
        <row r="1">
          <cell r="J1">
            <v>1.7453292519943295E-2</v>
          </cell>
        </row>
      </sheetData>
      <sheetData sheetId="30702">
        <row r="1">
          <cell r="J1">
            <v>1.7453292519943295E-2</v>
          </cell>
        </row>
      </sheetData>
      <sheetData sheetId="30703" refreshError="1"/>
      <sheetData sheetId="30704">
        <row r="1">
          <cell r="J1">
            <v>1.7453292519943295E-2</v>
          </cell>
        </row>
      </sheetData>
      <sheetData sheetId="30705" refreshError="1"/>
      <sheetData sheetId="30706" refreshError="1"/>
      <sheetData sheetId="30707" refreshError="1"/>
      <sheetData sheetId="30708">
        <row r="1">
          <cell r="J1">
            <v>1.7453292519943295E-2</v>
          </cell>
        </row>
      </sheetData>
      <sheetData sheetId="30709" refreshError="1"/>
      <sheetData sheetId="30710"/>
      <sheetData sheetId="30711"/>
      <sheetData sheetId="30712"/>
      <sheetData sheetId="30713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>
        <row r="1">
          <cell r="J1">
            <v>1.7453292519943295E-2</v>
          </cell>
        </row>
      </sheetData>
      <sheetData sheetId="30725">
        <row r="1">
          <cell r="J1">
            <v>1.7453292519943295E-2</v>
          </cell>
        </row>
      </sheetData>
      <sheetData sheetId="30726">
        <row r="1">
          <cell r="J1">
            <v>1.7453292519943295E-2</v>
          </cell>
        </row>
      </sheetData>
      <sheetData sheetId="30727"/>
      <sheetData sheetId="30728"/>
      <sheetData sheetId="30729"/>
      <sheetData sheetId="30730" refreshError="1"/>
      <sheetData sheetId="30731" refreshError="1"/>
      <sheetData sheetId="30732">
        <row r="1">
          <cell r="J1">
            <v>1.7453292519943295E-2</v>
          </cell>
        </row>
      </sheetData>
      <sheetData sheetId="30733">
        <row r="1">
          <cell r="J1">
            <v>1.7453292519943295E-2</v>
          </cell>
        </row>
      </sheetData>
      <sheetData sheetId="30734">
        <row r="1">
          <cell r="J1">
            <v>1.7453292519943295E-2</v>
          </cell>
        </row>
      </sheetData>
      <sheetData sheetId="30735" refreshError="1"/>
      <sheetData sheetId="30736" refreshError="1"/>
      <sheetData sheetId="30737" refreshError="1"/>
      <sheetData sheetId="30738">
        <row r="1">
          <cell r="J1">
            <v>1.7453292519943295E-2</v>
          </cell>
        </row>
      </sheetData>
      <sheetData sheetId="30739">
        <row r="1">
          <cell r="J1">
            <v>1.7453292519943295E-2</v>
          </cell>
        </row>
      </sheetData>
      <sheetData sheetId="30740">
        <row r="1">
          <cell r="J1">
            <v>1.7453292519943295E-2</v>
          </cell>
        </row>
      </sheetData>
      <sheetData sheetId="30741" refreshError="1"/>
      <sheetData sheetId="30742" refreshError="1"/>
      <sheetData sheetId="30743" refreshError="1"/>
      <sheetData sheetId="30744"/>
      <sheetData sheetId="30745" refreshError="1"/>
      <sheetData sheetId="30746">
        <row r="1">
          <cell r="J1">
            <v>1.7453292519943295E-2</v>
          </cell>
        </row>
      </sheetData>
      <sheetData sheetId="30747">
        <row r="1">
          <cell r="J1">
            <v>1.7453292519943295E-2</v>
          </cell>
        </row>
      </sheetData>
      <sheetData sheetId="30748"/>
      <sheetData sheetId="30749"/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>
        <row r="1">
          <cell r="J1">
            <v>1.7453292519943295E-2</v>
          </cell>
        </row>
      </sheetData>
      <sheetData sheetId="30763">
        <row r="1">
          <cell r="J1">
            <v>1.7453292519943295E-2</v>
          </cell>
        </row>
      </sheetData>
      <sheetData sheetId="30764">
        <row r="1">
          <cell r="J1">
            <v>1.7453292519943295E-2</v>
          </cell>
        </row>
      </sheetData>
      <sheetData sheetId="30765">
        <row r="1">
          <cell r="J1">
            <v>1.7453292519943295E-2</v>
          </cell>
        </row>
      </sheetData>
      <sheetData sheetId="30766"/>
      <sheetData sheetId="30767"/>
      <sheetData sheetId="30768"/>
      <sheetData sheetId="30769">
        <row r="1">
          <cell r="J1">
            <v>1.7453292519943295E-2</v>
          </cell>
        </row>
      </sheetData>
      <sheetData sheetId="30770">
        <row r="1">
          <cell r="J1">
            <v>1.7453292519943295E-2</v>
          </cell>
        </row>
      </sheetData>
      <sheetData sheetId="30771" refreshError="1"/>
      <sheetData sheetId="30772">
        <row r="1">
          <cell r="J1">
            <v>1.7453292519943295E-2</v>
          </cell>
        </row>
      </sheetData>
      <sheetData sheetId="30773">
        <row r="1">
          <cell r="J1">
            <v>1.7453292519943295E-2</v>
          </cell>
        </row>
      </sheetData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>
        <row r="1">
          <cell r="J1">
            <v>1.7453292519943295E-2</v>
          </cell>
        </row>
      </sheetData>
      <sheetData sheetId="30794">
        <row r="1">
          <cell r="J1">
            <v>1.7453292519943295E-2</v>
          </cell>
        </row>
      </sheetData>
      <sheetData sheetId="30795">
        <row r="1">
          <cell r="J1">
            <v>1.7453292519943295E-2</v>
          </cell>
        </row>
      </sheetData>
      <sheetData sheetId="30796">
        <row r="1">
          <cell r="J1">
            <v>1.7453292519943295E-2</v>
          </cell>
        </row>
      </sheetData>
      <sheetData sheetId="30797"/>
      <sheetData sheetId="30798"/>
      <sheetData sheetId="30799"/>
      <sheetData sheetId="30800">
        <row r="1">
          <cell r="J1">
            <v>1.7453292519943295E-2</v>
          </cell>
        </row>
      </sheetData>
      <sheetData sheetId="30801" refreshError="1"/>
      <sheetData sheetId="30802" refreshError="1"/>
      <sheetData sheetId="30803" refreshError="1"/>
      <sheetData sheetId="30804">
        <row r="1">
          <cell r="J1">
            <v>1.7453292519943295E-2</v>
          </cell>
        </row>
      </sheetData>
      <sheetData sheetId="30805">
        <row r="1">
          <cell r="J1">
            <v>1.7453292519943295E-2</v>
          </cell>
        </row>
      </sheetData>
      <sheetData sheetId="30806" refreshError="1"/>
      <sheetData sheetId="30807" refreshError="1"/>
      <sheetData sheetId="30808" refreshError="1"/>
      <sheetData sheetId="30809">
        <row r="1">
          <cell r="J1">
            <v>1.7453292519943295E-2</v>
          </cell>
        </row>
      </sheetData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>
        <row r="1">
          <cell r="J1">
            <v>1.7453292519943295E-2</v>
          </cell>
        </row>
      </sheetData>
      <sheetData sheetId="30825">
        <row r="1">
          <cell r="J1">
            <v>1.7453292519943295E-2</v>
          </cell>
        </row>
      </sheetData>
      <sheetData sheetId="30826">
        <row r="1">
          <cell r="J1">
            <v>1.7453292519943295E-2</v>
          </cell>
        </row>
      </sheetData>
      <sheetData sheetId="30827">
        <row r="1">
          <cell r="J1">
            <v>1.7453292519943295E-2</v>
          </cell>
        </row>
      </sheetData>
      <sheetData sheetId="30828"/>
      <sheetData sheetId="30829"/>
      <sheetData sheetId="30830"/>
      <sheetData sheetId="30831">
        <row r="1">
          <cell r="J1">
            <v>1.7453292519943295E-2</v>
          </cell>
        </row>
      </sheetData>
      <sheetData sheetId="30832" refreshError="1"/>
      <sheetData sheetId="30833" refreshError="1"/>
      <sheetData sheetId="30834">
        <row r="1">
          <cell r="J1">
            <v>1.7453292519943295E-2</v>
          </cell>
        </row>
      </sheetData>
      <sheetData sheetId="30835">
        <row r="1">
          <cell r="J1">
            <v>1.7453292519943295E-2</v>
          </cell>
        </row>
      </sheetData>
      <sheetData sheetId="30836">
        <row r="1">
          <cell r="J1">
            <v>1.7453292519943295E-2</v>
          </cell>
        </row>
      </sheetData>
      <sheetData sheetId="30837" refreshError="1"/>
      <sheetData sheetId="30838"/>
      <sheetData sheetId="30839">
        <row r="1">
          <cell r="J1">
            <v>1.7453292519943295E-2</v>
          </cell>
        </row>
      </sheetData>
      <sheetData sheetId="30840" refreshError="1"/>
      <sheetData sheetId="30841" refreshError="1"/>
      <sheetData sheetId="30842">
        <row r="1">
          <cell r="J1">
            <v>1.7453292519943295E-2</v>
          </cell>
        </row>
      </sheetData>
      <sheetData sheetId="30843">
        <row r="1">
          <cell r="J1">
            <v>1.7453292519943295E-2</v>
          </cell>
        </row>
      </sheetData>
      <sheetData sheetId="30844">
        <row r="1">
          <cell r="J1">
            <v>1.7453292519943295E-2</v>
          </cell>
        </row>
      </sheetData>
      <sheetData sheetId="30845" refreshError="1"/>
      <sheetData sheetId="30846" refreshError="1"/>
      <sheetData sheetId="30847" refreshError="1"/>
      <sheetData sheetId="30848"/>
      <sheetData sheetId="30849" refreshError="1"/>
      <sheetData sheetId="30850">
        <row r="1">
          <cell r="J1">
            <v>1.7453292519943295E-2</v>
          </cell>
        </row>
      </sheetData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>
        <row r="1">
          <cell r="J1">
            <v>1.7453292519943295E-2</v>
          </cell>
        </row>
      </sheetData>
      <sheetData sheetId="30866">
        <row r="1">
          <cell r="J1">
            <v>1.7453292519943295E-2</v>
          </cell>
        </row>
      </sheetData>
      <sheetData sheetId="30867">
        <row r="1">
          <cell r="J1">
            <v>1.7453292519943295E-2</v>
          </cell>
        </row>
      </sheetData>
      <sheetData sheetId="30868"/>
      <sheetData sheetId="30869"/>
      <sheetData sheetId="30870"/>
      <sheetData sheetId="30871" refreshError="1"/>
      <sheetData sheetId="30872" refreshError="1"/>
      <sheetData sheetId="30873">
        <row r="1">
          <cell r="J1">
            <v>1.7453292519943295E-2</v>
          </cell>
        </row>
      </sheetData>
      <sheetData sheetId="30874">
        <row r="1">
          <cell r="J1">
            <v>1.7453292519943295E-2</v>
          </cell>
        </row>
      </sheetData>
      <sheetData sheetId="30875">
        <row r="1">
          <cell r="J1">
            <v>1.7453292519943295E-2</v>
          </cell>
        </row>
      </sheetData>
      <sheetData sheetId="30876" refreshError="1"/>
      <sheetData sheetId="30877" refreshError="1"/>
      <sheetData sheetId="30878" refreshError="1"/>
      <sheetData sheetId="30879"/>
      <sheetData sheetId="30880" refreshError="1"/>
      <sheetData sheetId="30881">
        <row r="1">
          <cell r="J1">
            <v>1.7453292519943295E-2</v>
          </cell>
        </row>
      </sheetData>
      <sheetData sheetId="30882"/>
      <sheetData sheetId="30883"/>
      <sheetData sheetId="30884"/>
      <sheetData sheetId="30885"/>
      <sheetData sheetId="30886"/>
      <sheetData sheetId="30887"/>
      <sheetData sheetId="30888"/>
      <sheetData sheetId="30889"/>
      <sheetData sheetId="30890"/>
      <sheetData sheetId="30891"/>
      <sheetData sheetId="30892"/>
      <sheetData sheetId="30893"/>
      <sheetData sheetId="30894"/>
      <sheetData sheetId="30895"/>
      <sheetData sheetId="30896">
        <row r="1">
          <cell r="J1">
            <v>1.7453292519943295E-2</v>
          </cell>
        </row>
      </sheetData>
      <sheetData sheetId="30897">
        <row r="1">
          <cell r="J1">
            <v>1.7453292519943295E-2</v>
          </cell>
        </row>
      </sheetData>
      <sheetData sheetId="30898">
        <row r="1">
          <cell r="J1">
            <v>1.7453292519943295E-2</v>
          </cell>
        </row>
      </sheetData>
      <sheetData sheetId="30899"/>
      <sheetData sheetId="30900"/>
      <sheetData sheetId="30901"/>
      <sheetData sheetId="30902">
        <row r="1">
          <cell r="J1">
            <v>1.7453292519943295E-2</v>
          </cell>
        </row>
      </sheetData>
      <sheetData sheetId="30903">
        <row r="1">
          <cell r="J1">
            <v>1.7453292519943295E-2</v>
          </cell>
        </row>
      </sheetData>
      <sheetData sheetId="30904">
        <row r="1">
          <cell r="J1">
            <v>1.7453292519943295E-2</v>
          </cell>
        </row>
      </sheetData>
      <sheetData sheetId="30905">
        <row r="1">
          <cell r="J1">
            <v>1.7453292519943295E-2</v>
          </cell>
        </row>
      </sheetData>
      <sheetData sheetId="30906"/>
      <sheetData sheetId="30907" refreshError="1"/>
      <sheetData sheetId="30908">
        <row r="1">
          <cell r="J1">
            <v>1.7453292519943295E-2</v>
          </cell>
        </row>
      </sheetData>
      <sheetData sheetId="30909" refreshError="1"/>
      <sheetData sheetId="30910" refreshError="1"/>
      <sheetData sheetId="30911">
        <row r="1">
          <cell r="J1">
            <v>1.7453292519943295E-2</v>
          </cell>
        </row>
      </sheetData>
      <sheetData sheetId="30912">
        <row r="1">
          <cell r="J1">
            <v>1.7453292519943295E-2</v>
          </cell>
        </row>
      </sheetData>
      <sheetData sheetId="30913">
        <row r="1">
          <cell r="J1">
            <v>1.7453292519943295E-2</v>
          </cell>
        </row>
      </sheetData>
      <sheetData sheetId="30914" refreshError="1"/>
      <sheetData sheetId="30915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>
        <row r="1">
          <cell r="J1">
            <v>1.7453292519943295E-2</v>
          </cell>
        </row>
      </sheetData>
      <sheetData sheetId="30923">
        <row r="1">
          <cell r="J1">
            <v>1.7453292519943295E-2</v>
          </cell>
        </row>
      </sheetData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/>
      <sheetData sheetId="30933"/>
      <sheetData sheetId="30934"/>
      <sheetData sheetId="30935"/>
      <sheetData sheetId="30936"/>
      <sheetData sheetId="30937"/>
      <sheetData sheetId="30938">
        <row r="1">
          <cell r="J1">
            <v>1.7453292519943295E-2</v>
          </cell>
        </row>
      </sheetData>
      <sheetData sheetId="30939">
        <row r="1">
          <cell r="J1">
            <v>1.7453292519943295E-2</v>
          </cell>
        </row>
      </sheetData>
      <sheetData sheetId="30940">
        <row r="1">
          <cell r="J1">
            <v>1.7453292519943295E-2</v>
          </cell>
        </row>
      </sheetData>
      <sheetData sheetId="30941"/>
      <sheetData sheetId="30942"/>
      <sheetData sheetId="30943"/>
      <sheetData sheetId="30944">
        <row r="1">
          <cell r="J1">
            <v>1.7453292519943295E-2</v>
          </cell>
        </row>
      </sheetData>
      <sheetData sheetId="30945" refreshError="1"/>
      <sheetData sheetId="30946">
        <row r="1">
          <cell r="J1">
            <v>1.7453292519943295E-2</v>
          </cell>
        </row>
      </sheetData>
      <sheetData sheetId="30947">
        <row r="1">
          <cell r="J1">
            <v>1.7453292519943295E-2</v>
          </cell>
        </row>
      </sheetData>
      <sheetData sheetId="30948" refreshError="1"/>
      <sheetData sheetId="30949" refreshError="1"/>
      <sheetData sheetId="30950" refreshError="1"/>
      <sheetData sheetId="30951">
        <row r="1">
          <cell r="J1">
            <v>1.7453292519943295E-2</v>
          </cell>
        </row>
      </sheetData>
      <sheetData sheetId="30952">
        <row r="1">
          <cell r="J1">
            <v>1.7453292519943295E-2</v>
          </cell>
        </row>
      </sheetData>
      <sheetData sheetId="30953" refreshError="1"/>
      <sheetData sheetId="30954" refreshError="1"/>
      <sheetData sheetId="30955">
        <row r="1">
          <cell r="J1">
            <v>1.7453292519943295E-2</v>
          </cell>
        </row>
      </sheetData>
      <sheetData sheetId="30956">
        <row r="1">
          <cell r="J1">
            <v>1.7453292519943295E-2</v>
          </cell>
        </row>
      </sheetData>
      <sheetData sheetId="30957">
        <row r="1">
          <cell r="J1">
            <v>1.7453292519943295E-2</v>
          </cell>
        </row>
      </sheetData>
      <sheetData sheetId="30958" refreshError="1"/>
      <sheetData sheetId="30959"/>
      <sheetData sheetId="30960">
        <row r="1">
          <cell r="J1">
            <v>1.7453292519943295E-2</v>
          </cell>
        </row>
      </sheetData>
      <sheetData sheetId="30961" refreshError="1"/>
      <sheetData sheetId="30962" refreshError="1"/>
      <sheetData sheetId="30963">
        <row r="1">
          <cell r="J1">
            <v>1.7453292519943295E-2</v>
          </cell>
        </row>
      </sheetData>
      <sheetData sheetId="30964">
        <row r="1">
          <cell r="J1">
            <v>1.7453292519943295E-2</v>
          </cell>
        </row>
      </sheetData>
      <sheetData sheetId="30965">
        <row r="1">
          <cell r="J1">
            <v>1.7453292519943295E-2</v>
          </cell>
        </row>
      </sheetData>
      <sheetData sheetId="30966" refreshError="1"/>
      <sheetData sheetId="30967"/>
      <sheetData sheetId="30968" refreshError="1"/>
      <sheetData sheetId="30969" refreshError="1"/>
      <sheetData sheetId="30970">
        <row r="1">
          <cell r="J1">
            <v>1.7453292519943295E-2</v>
          </cell>
        </row>
      </sheetData>
      <sheetData sheetId="30971">
        <row r="1">
          <cell r="J1">
            <v>1.7453292519943295E-2</v>
          </cell>
        </row>
      </sheetData>
      <sheetData sheetId="30972" refreshError="1"/>
      <sheetData sheetId="30973" refreshError="1"/>
      <sheetData sheetId="30974" refreshError="1"/>
      <sheetData sheetId="30975">
        <row r="1">
          <cell r="J1">
            <v>1.7453292519943295E-2</v>
          </cell>
        </row>
      </sheetData>
      <sheetData sheetId="30976" refreshError="1"/>
      <sheetData sheetId="30977">
        <row r="1">
          <cell r="J1">
            <v>1.7453292519943295E-2</v>
          </cell>
        </row>
      </sheetData>
      <sheetData sheetId="30978"/>
      <sheetData sheetId="30979"/>
      <sheetData sheetId="30980"/>
      <sheetData sheetId="30981"/>
      <sheetData sheetId="30982"/>
      <sheetData sheetId="30983"/>
      <sheetData sheetId="30984"/>
      <sheetData sheetId="30985"/>
      <sheetData sheetId="30986"/>
      <sheetData sheetId="30987"/>
      <sheetData sheetId="30988"/>
      <sheetData sheetId="30989"/>
      <sheetData sheetId="30990"/>
      <sheetData sheetId="30991"/>
      <sheetData sheetId="30992">
        <row r="1">
          <cell r="J1">
            <v>1.7453292519943295E-2</v>
          </cell>
        </row>
      </sheetData>
      <sheetData sheetId="30993">
        <row r="1">
          <cell r="J1">
            <v>1.7453292519943295E-2</v>
          </cell>
        </row>
      </sheetData>
      <sheetData sheetId="30994">
        <row r="1">
          <cell r="J1">
            <v>1.7453292519943295E-2</v>
          </cell>
        </row>
      </sheetData>
      <sheetData sheetId="30995"/>
      <sheetData sheetId="30996"/>
      <sheetData sheetId="30997"/>
      <sheetData sheetId="30998">
        <row r="1">
          <cell r="J1">
            <v>1.7453292519943295E-2</v>
          </cell>
        </row>
      </sheetData>
      <sheetData sheetId="30999">
        <row r="1">
          <cell r="J1">
            <v>1.7453292519943295E-2</v>
          </cell>
        </row>
      </sheetData>
      <sheetData sheetId="31000" refreshError="1"/>
      <sheetData sheetId="31001">
        <row r="1">
          <cell r="J1">
            <v>1.7453292519943295E-2</v>
          </cell>
        </row>
      </sheetData>
      <sheetData sheetId="31002" refreshError="1"/>
      <sheetData sheetId="31003" refreshError="1"/>
      <sheetData sheetId="31004">
        <row r="1">
          <cell r="J1">
            <v>1.7453292519943295E-2</v>
          </cell>
        </row>
      </sheetData>
      <sheetData sheetId="31005">
        <row r="1">
          <cell r="J1">
            <v>1.7453292519943295E-2</v>
          </cell>
        </row>
      </sheetData>
      <sheetData sheetId="31006" refreshError="1"/>
      <sheetData sheetId="31007" refreshError="1"/>
      <sheetData sheetId="31008" refreshError="1"/>
      <sheetData sheetId="31009"/>
      <sheetData sheetId="31010" refreshError="1"/>
      <sheetData sheetId="31011"/>
      <sheetData sheetId="31012"/>
      <sheetData sheetId="31013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/>
      <sheetData sheetId="31025">
        <row r="1">
          <cell r="J1">
            <v>1.7453292519943295E-2</v>
          </cell>
        </row>
      </sheetData>
      <sheetData sheetId="31026">
        <row r="1">
          <cell r="J1">
            <v>1.7453292519943295E-2</v>
          </cell>
        </row>
      </sheetData>
      <sheetData sheetId="31027">
        <row r="1">
          <cell r="J1">
            <v>1.7453292519943295E-2</v>
          </cell>
        </row>
      </sheetData>
      <sheetData sheetId="31028"/>
      <sheetData sheetId="31029"/>
      <sheetData sheetId="31030"/>
      <sheetData sheetId="31031" refreshError="1"/>
      <sheetData sheetId="31032" refreshError="1"/>
      <sheetData sheetId="31033"/>
      <sheetData sheetId="31034"/>
      <sheetData sheetId="31035"/>
      <sheetData sheetId="31036"/>
      <sheetData sheetId="31037"/>
      <sheetData sheetId="31038"/>
      <sheetData sheetId="31039"/>
      <sheetData sheetId="31040"/>
      <sheetData sheetId="31041"/>
      <sheetData sheetId="31042"/>
      <sheetData sheetId="31043"/>
      <sheetData sheetId="31044"/>
      <sheetData sheetId="31045"/>
      <sheetData sheetId="31046"/>
      <sheetData sheetId="31047">
        <row r="1">
          <cell r="J1">
            <v>1.7453292519943295E-2</v>
          </cell>
        </row>
      </sheetData>
      <sheetData sheetId="31048">
        <row r="1">
          <cell r="J1">
            <v>1.7453292519943295E-2</v>
          </cell>
        </row>
      </sheetData>
      <sheetData sheetId="31049">
        <row r="1">
          <cell r="J1">
            <v>1.7453292519943295E-2</v>
          </cell>
        </row>
      </sheetData>
      <sheetData sheetId="31050"/>
      <sheetData sheetId="31051"/>
      <sheetData sheetId="31052"/>
      <sheetData sheetId="31053" refreshError="1"/>
      <sheetData sheetId="31054" refreshError="1"/>
      <sheetData sheetId="31055"/>
      <sheetData sheetId="31056"/>
      <sheetData sheetId="31057"/>
      <sheetData sheetId="31058"/>
      <sheetData sheetId="31059"/>
      <sheetData sheetId="31060"/>
      <sheetData sheetId="31061"/>
      <sheetData sheetId="31062"/>
      <sheetData sheetId="31063"/>
      <sheetData sheetId="31064"/>
      <sheetData sheetId="31065"/>
      <sheetData sheetId="31066"/>
      <sheetData sheetId="31067"/>
      <sheetData sheetId="31068"/>
      <sheetData sheetId="31069">
        <row r="1">
          <cell r="J1">
            <v>1.7453292519943295E-2</v>
          </cell>
        </row>
      </sheetData>
      <sheetData sheetId="31070">
        <row r="1">
          <cell r="J1">
            <v>1.7453292519943295E-2</v>
          </cell>
        </row>
      </sheetData>
      <sheetData sheetId="31071">
        <row r="1">
          <cell r="J1">
            <v>1.7453292519943295E-2</v>
          </cell>
        </row>
      </sheetData>
      <sheetData sheetId="31072"/>
      <sheetData sheetId="31073"/>
      <sheetData sheetId="31074"/>
      <sheetData sheetId="31075" refreshError="1"/>
      <sheetData sheetId="31076" refreshError="1"/>
      <sheetData sheetId="31077"/>
      <sheetData sheetId="31078"/>
      <sheetData sheetId="31079"/>
      <sheetData sheetId="31080"/>
      <sheetData sheetId="31081"/>
      <sheetData sheetId="31082"/>
      <sheetData sheetId="31083"/>
      <sheetData sheetId="31084"/>
      <sheetData sheetId="31085"/>
      <sheetData sheetId="31086"/>
      <sheetData sheetId="31087"/>
      <sheetData sheetId="31088"/>
      <sheetData sheetId="31089"/>
      <sheetData sheetId="31090"/>
      <sheetData sheetId="31091">
        <row r="1">
          <cell r="J1">
            <v>1.7453292519943295E-2</v>
          </cell>
        </row>
      </sheetData>
      <sheetData sheetId="31092">
        <row r="1">
          <cell r="J1">
            <v>1.7453292519943295E-2</v>
          </cell>
        </row>
      </sheetData>
      <sheetData sheetId="31093">
        <row r="1">
          <cell r="J1">
            <v>1.7453292519943295E-2</v>
          </cell>
        </row>
      </sheetData>
      <sheetData sheetId="31094"/>
      <sheetData sheetId="31095"/>
      <sheetData sheetId="31096"/>
      <sheetData sheetId="31097" refreshError="1"/>
      <sheetData sheetId="31098" refreshError="1"/>
      <sheetData sheetId="31099" refreshError="1"/>
      <sheetData sheetId="31100"/>
      <sheetData sheetId="31101"/>
      <sheetData sheetId="31102"/>
      <sheetData sheetId="31103"/>
      <sheetData sheetId="31104"/>
      <sheetData sheetId="31105"/>
      <sheetData sheetId="31106"/>
      <sheetData sheetId="31107"/>
      <sheetData sheetId="31108"/>
      <sheetData sheetId="31109"/>
      <sheetData sheetId="31110"/>
      <sheetData sheetId="31111"/>
      <sheetData sheetId="31112"/>
      <sheetData sheetId="31113"/>
      <sheetData sheetId="31114">
        <row r="1">
          <cell r="J1">
            <v>1.7453292519943295E-2</v>
          </cell>
        </row>
      </sheetData>
      <sheetData sheetId="31115">
        <row r="1">
          <cell r="J1">
            <v>1.7453292519943295E-2</v>
          </cell>
        </row>
      </sheetData>
      <sheetData sheetId="31116">
        <row r="1">
          <cell r="J1">
            <v>1.7453292519943295E-2</v>
          </cell>
        </row>
      </sheetData>
      <sheetData sheetId="31117"/>
      <sheetData sheetId="31118"/>
      <sheetData sheetId="31119"/>
      <sheetData sheetId="31120">
        <row r="1">
          <cell r="J1">
            <v>1.7453292519943295E-2</v>
          </cell>
        </row>
      </sheetData>
      <sheetData sheetId="31121" refreshError="1"/>
      <sheetData sheetId="31122" refreshError="1"/>
      <sheetData sheetId="31123">
        <row r="1">
          <cell r="J1">
            <v>1.7453292519943295E-2</v>
          </cell>
        </row>
      </sheetData>
      <sheetData sheetId="31124">
        <row r="1">
          <cell r="J1">
            <v>1.7453292519943295E-2</v>
          </cell>
        </row>
      </sheetData>
      <sheetData sheetId="31125">
        <row r="1">
          <cell r="J1">
            <v>1.7453292519943295E-2</v>
          </cell>
        </row>
      </sheetData>
      <sheetData sheetId="31126" refreshError="1"/>
      <sheetData sheetId="31127">
        <row r="1">
          <cell r="J1">
            <v>1.7453292519943295E-2</v>
          </cell>
        </row>
      </sheetData>
      <sheetData sheetId="31128">
        <row r="1">
          <cell r="J1">
            <v>1.7453292519943295E-2</v>
          </cell>
        </row>
      </sheetData>
      <sheetData sheetId="31129" refreshError="1"/>
      <sheetData sheetId="31130" refreshError="1"/>
      <sheetData sheetId="31131">
        <row r="1">
          <cell r="J1">
            <v>1.7453292519943295E-2</v>
          </cell>
        </row>
      </sheetData>
      <sheetData sheetId="31132">
        <row r="1">
          <cell r="J1">
            <v>1.7453292519943295E-2</v>
          </cell>
        </row>
      </sheetData>
      <sheetData sheetId="31133" refreshError="1"/>
      <sheetData sheetId="31134" refreshError="1"/>
      <sheetData sheetId="31135" refreshError="1"/>
      <sheetData sheetId="31136">
        <row r="1">
          <cell r="J1">
            <v>1.7453292519943295E-2</v>
          </cell>
        </row>
      </sheetData>
      <sheetData sheetId="31137" refreshError="1"/>
      <sheetData sheetId="31138">
        <row r="1">
          <cell r="J1">
            <v>1.7453292519943295E-2</v>
          </cell>
        </row>
      </sheetData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>
        <row r="1">
          <cell r="J1">
            <v>1.7453292519943295E-2</v>
          </cell>
        </row>
      </sheetData>
      <sheetData sheetId="31154">
        <row r="1">
          <cell r="J1">
            <v>1.7453292519943295E-2</v>
          </cell>
        </row>
      </sheetData>
      <sheetData sheetId="31155">
        <row r="1">
          <cell r="J1">
            <v>1.7453292519943295E-2</v>
          </cell>
        </row>
      </sheetData>
      <sheetData sheetId="31156"/>
      <sheetData sheetId="31157"/>
      <sheetData sheetId="31158"/>
      <sheetData sheetId="31159">
        <row r="1">
          <cell r="J1">
            <v>1.7453292519943295E-2</v>
          </cell>
        </row>
      </sheetData>
      <sheetData sheetId="31160">
        <row r="1">
          <cell r="J1">
            <v>1.7453292519943295E-2</v>
          </cell>
        </row>
      </sheetData>
      <sheetData sheetId="31161">
        <row r="1">
          <cell r="J1">
            <v>1.7453292519943295E-2</v>
          </cell>
        </row>
      </sheetData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/>
      <sheetData sheetId="31169"/>
      <sheetData sheetId="31170"/>
      <sheetData sheetId="31171"/>
      <sheetData sheetId="31172"/>
      <sheetData sheetId="31173"/>
      <sheetData sheetId="31174"/>
      <sheetData sheetId="31175"/>
      <sheetData sheetId="31176"/>
      <sheetData sheetId="31177"/>
      <sheetData sheetId="31178"/>
      <sheetData sheetId="31179"/>
      <sheetData sheetId="31180"/>
      <sheetData sheetId="31181"/>
      <sheetData sheetId="31182">
        <row r="1">
          <cell r="J1">
            <v>1.7453292519943295E-2</v>
          </cell>
        </row>
      </sheetData>
      <sheetData sheetId="31183">
        <row r="1">
          <cell r="J1">
            <v>1.7453292519943295E-2</v>
          </cell>
        </row>
      </sheetData>
      <sheetData sheetId="31184">
        <row r="1">
          <cell r="J1">
            <v>1.7453292519943295E-2</v>
          </cell>
        </row>
      </sheetData>
      <sheetData sheetId="31185"/>
      <sheetData sheetId="31186"/>
      <sheetData sheetId="31187"/>
      <sheetData sheetId="31188" refreshError="1"/>
      <sheetData sheetId="31189" refreshError="1"/>
      <sheetData sheetId="31190">
        <row r="1">
          <cell r="J1">
            <v>1.7453292519943295E-2</v>
          </cell>
        </row>
      </sheetData>
      <sheetData sheetId="31191">
        <row r="1">
          <cell r="J1">
            <v>1.7453292519943295E-2</v>
          </cell>
        </row>
      </sheetData>
      <sheetData sheetId="31192">
        <row r="1">
          <cell r="J1">
            <v>1.7453292519943295E-2</v>
          </cell>
        </row>
      </sheetData>
      <sheetData sheetId="31193" refreshError="1"/>
      <sheetData sheetId="31194" refreshError="1"/>
      <sheetData sheetId="31195" refreshError="1"/>
      <sheetData sheetId="31196">
        <row r="1">
          <cell r="J1">
            <v>1.7453292519943295E-2</v>
          </cell>
        </row>
      </sheetData>
      <sheetData sheetId="31197" refreshError="1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>
        <row r="1">
          <cell r="J1">
            <v>1.7453292519943295E-2</v>
          </cell>
        </row>
      </sheetData>
      <sheetData sheetId="31213">
        <row r="1">
          <cell r="J1">
            <v>1.7453292519943295E-2</v>
          </cell>
        </row>
      </sheetData>
      <sheetData sheetId="31214">
        <row r="1">
          <cell r="J1">
            <v>1.7453292519943295E-2</v>
          </cell>
        </row>
      </sheetData>
      <sheetData sheetId="31215"/>
      <sheetData sheetId="31216"/>
      <sheetData sheetId="31217"/>
      <sheetData sheetId="31218">
        <row r="1">
          <cell r="J1">
            <v>1.7453292519943295E-2</v>
          </cell>
        </row>
      </sheetData>
      <sheetData sheetId="31219" refreshError="1"/>
      <sheetData sheetId="31220" refreshError="1"/>
      <sheetData sheetId="31221">
        <row r="1">
          <cell r="J1">
            <v>1.7453292519943295E-2</v>
          </cell>
        </row>
      </sheetData>
      <sheetData sheetId="31222">
        <row r="1">
          <cell r="J1">
            <v>1.7453292519943295E-2</v>
          </cell>
        </row>
      </sheetData>
      <sheetData sheetId="31223">
        <row r="1">
          <cell r="J1">
            <v>1.7453292519943295E-2</v>
          </cell>
        </row>
      </sheetData>
      <sheetData sheetId="31224" refreshError="1"/>
      <sheetData sheetId="31225">
        <row r="1">
          <cell r="J1">
            <v>1.7453292519943295E-2</v>
          </cell>
        </row>
      </sheetData>
      <sheetData sheetId="31226">
        <row r="1">
          <cell r="J1">
            <v>1.7453292519943295E-2</v>
          </cell>
        </row>
      </sheetData>
      <sheetData sheetId="31227" refreshError="1"/>
      <sheetData sheetId="31228" refreshError="1"/>
      <sheetData sheetId="31229">
        <row r="1">
          <cell r="J1">
            <v>1.7453292519943295E-2</v>
          </cell>
        </row>
      </sheetData>
      <sheetData sheetId="31230">
        <row r="1">
          <cell r="J1">
            <v>1.7453292519943295E-2</v>
          </cell>
        </row>
      </sheetData>
      <sheetData sheetId="31231">
        <row r="1">
          <cell r="J1">
            <v>1.7453292519943295E-2</v>
          </cell>
        </row>
      </sheetData>
      <sheetData sheetId="31232" refreshError="1"/>
      <sheetData sheetId="31233" refreshError="1"/>
      <sheetData sheetId="31234" refreshError="1"/>
      <sheetData sheetId="31235"/>
      <sheetData sheetId="31236" refreshError="1"/>
      <sheetData sheetId="31237">
        <row r="1">
          <cell r="J1">
            <v>1.7453292519943295E-2</v>
          </cell>
        </row>
      </sheetData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>
        <row r="1">
          <cell r="J1">
            <v>1.7453292519943295E-2</v>
          </cell>
        </row>
      </sheetData>
      <sheetData sheetId="31253">
        <row r="1">
          <cell r="J1">
            <v>1.7453292519943295E-2</v>
          </cell>
        </row>
      </sheetData>
      <sheetData sheetId="31254">
        <row r="1">
          <cell r="J1">
            <v>1.7453292519943295E-2</v>
          </cell>
        </row>
      </sheetData>
      <sheetData sheetId="31255"/>
      <sheetData sheetId="31256"/>
      <sheetData sheetId="31257"/>
      <sheetData sheetId="31258" refreshError="1"/>
      <sheetData sheetId="31259" refreshError="1"/>
      <sheetData sheetId="31260">
        <row r="1">
          <cell r="J1">
            <v>1.7453292519943295E-2</v>
          </cell>
        </row>
      </sheetData>
      <sheetData sheetId="31261">
        <row r="1">
          <cell r="J1">
            <v>1.7453292519943295E-2</v>
          </cell>
        </row>
      </sheetData>
      <sheetData sheetId="31262">
        <row r="1">
          <cell r="J1">
            <v>1.7453292519943295E-2</v>
          </cell>
        </row>
      </sheetData>
      <sheetData sheetId="31263" refreshError="1"/>
      <sheetData sheetId="31264" refreshError="1"/>
      <sheetData sheetId="31265" refreshError="1"/>
      <sheetData sheetId="31266"/>
      <sheetData sheetId="31267" refreshError="1"/>
      <sheetData sheetId="31268">
        <row r="1">
          <cell r="J1">
            <v>1.7453292519943295E-2</v>
          </cell>
        </row>
      </sheetData>
      <sheetData sheetId="31269"/>
      <sheetData sheetId="31270"/>
      <sheetData sheetId="31271"/>
      <sheetData sheetId="31272"/>
      <sheetData sheetId="31273"/>
      <sheetData sheetId="31274"/>
      <sheetData sheetId="31275"/>
      <sheetData sheetId="31276"/>
      <sheetData sheetId="31277"/>
      <sheetData sheetId="31278"/>
      <sheetData sheetId="31279"/>
      <sheetData sheetId="31280"/>
      <sheetData sheetId="31281"/>
      <sheetData sheetId="31282"/>
      <sheetData sheetId="31283">
        <row r="1">
          <cell r="J1">
            <v>1.7453292519943295E-2</v>
          </cell>
        </row>
      </sheetData>
      <sheetData sheetId="31284">
        <row r="1">
          <cell r="J1">
            <v>1.7453292519943295E-2</v>
          </cell>
        </row>
      </sheetData>
      <sheetData sheetId="31285">
        <row r="1">
          <cell r="J1">
            <v>1.7453292519943295E-2</v>
          </cell>
        </row>
      </sheetData>
      <sheetData sheetId="31286"/>
      <sheetData sheetId="31287"/>
      <sheetData sheetId="31288"/>
      <sheetData sheetId="31289">
        <row r="1">
          <cell r="J1">
            <v>1.7453292519943295E-2</v>
          </cell>
        </row>
      </sheetData>
      <sheetData sheetId="31290" refreshError="1"/>
      <sheetData sheetId="31291" refreshError="1"/>
      <sheetData sheetId="31292">
        <row r="1">
          <cell r="J1">
            <v>1.7453292519943295E-2</v>
          </cell>
        </row>
      </sheetData>
      <sheetData sheetId="31293">
        <row r="1">
          <cell r="J1">
            <v>1.7453292519943295E-2</v>
          </cell>
        </row>
      </sheetData>
      <sheetData sheetId="31294" refreshError="1"/>
      <sheetData sheetId="31295"/>
      <sheetData sheetId="31296">
        <row r="1">
          <cell r="J1">
            <v>1.7453292519943295E-2</v>
          </cell>
        </row>
      </sheetData>
      <sheetData sheetId="31297" refreshError="1"/>
      <sheetData sheetId="31298" refreshError="1"/>
      <sheetData sheetId="31299" refreshError="1"/>
      <sheetData sheetId="31300"/>
      <sheetData sheetId="31301"/>
      <sheetData sheetId="31302"/>
      <sheetData sheetId="31303"/>
      <sheetData sheetId="31304"/>
      <sheetData sheetId="31305"/>
      <sheetData sheetId="31306"/>
      <sheetData sheetId="31307"/>
      <sheetData sheetId="31308"/>
      <sheetData sheetId="31309"/>
      <sheetData sheetId="31310"/>
      <sheetData sheetId="31311"/>
      <sheetData sheetId="31312"/>
      <sheetData sheetId="31313"/>
      <sheetData sheetId="31314">
        <row r="1">
          <cell r="J1">
            <v>1.7453292519943295E-2</v>
          </cell>
        </row>
      </sheetData>
      <sheetData sheetId="31315">
        <row r="1">
          <cell r="J1">
            <v>1.7453292519943295E-2</v>
          </cell>
        </row>
      </sheetData>
      <sheetData sheetId="31316">
        <row r="1">
          <cell r="J1">
            <v>1.7453292519943295E-2</v>
          </cell>
        </row>
      </sheetData>
      <sheetData sheetId="31317"/>
      <sheetData sheetId="31318"/>
      <sheetData sheetId="31319"/>
      <sheetData sheetId="31320">
        <row r="1">
          <cell r="J1">
            <v>1.7453292519943295E-2</v>
          </cell>
        </row>
      </sheetData>
      <sheetData sheetId="31321" refreshError="1"/>
      <sheetData sheetId="31322" refreshError="1"/>
      <sheetData sheetId="31323">
        <row r="1">
          <cell r="J1">
            <v>1.7453292519943295E-2</v>
          </cell>
        </row>
      </sheetData>
      <sheetData sheetId="31324">
        <row r="1">
          <cell r="J1">
            <v>1.7453292519943295E-2</v>
          </cell>
        </row>
      </sheetData>
      <sheetData sheetId="31325" refreshError="1"/>
      <sheetData sheetId="31326"/>
      <sheetData sheetId="31327">
        <row r="1">
          <cell r="J1">
            <v>1.7453292519943295E-2</v>
          </cell>
        </row>
      </sheetData>
      <sheetData sheetId="31328" refreshError="1"/>
      <sheetData sheetId="31329" refreshError="1"/>
      <sheetData sheetId="31330" refreshError="1"/>
      <sheetData sheetId="31331"/>
      <sheetData sheetId="31332"/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>
        <row r="1">
          <cell r="J1">
            <v>1.7453292519943295E-2</v>
          </cell>
        </row>
      </sheetData>
      <sheetData sheetId="31346">
        <row r="1">
          <cell r="J1">
            <v>1.7453292519943295E-2</v>
          </cell>
        </row>
      </sheetData>
      <sheetData sheetId="31347">
        <row r="1">
          <cell r="J1">
            <v>1.7453292519943295E-2</v>
          </cell>
        </row>
      </sheetData>
      <sheetData sheetId="31348"/>
      <sheetData sheetId="31349"/>
      <sheetData sheetId="31350"/>
      <sheetData sheetId="31351">
        <row r="1">
          <cell r="J1">
            <v>1.7453292519943295E-2</v>
          </cell>
        </row>
      </sheetData>
      <sheetData sheetId="31352" refreshError="1"/>
      <sheetData sheetId="31353" refreshError="1"/>
      <sheetData sheetId="31354">
        <row r="1">
          <cell r="J1">
            <v>1.7453292519943295E-2</v>
          </cell>
        </row>
      </sheetData>
      <sheetData sheetId="31355">
        <row r="1">
          <cell r="J1">
            <v>1.7453292519943295E-2</v>
          </cell>
        </row>
      </sheetData>
      <sheetData sheetId="31356" refreshError="1"/>
      <sheetData sheetId="31357"/>
      <sheetData sheetId="31358">
        <row r="1">
          <cell r="J1">
            <v>1.7453292519943295E-2</v>
          </cell>
        </row>
      </sheetData>
      <sheetData sheetId="31359" refreshError="1"/>
      <sheetData sheetId="31360" refreshError="1"/>
      <sheetData sheetId="31361" refreshError="1"/>
      <sheetData sheetId="31362"/>
      <sheetData sheetId="31363"/>
      <sheetData sheetId="31364"/>
      <sheetData sheetId="31365"/>
      <sheetData sheetId="31366"/>
      <sheetData sheetId="31367"/>
      <sheetData sheetId="31368"/>
      <sheetData sheetId="31369"/>
      <sheetData sheetId="31370"/>
      <sheetData sheetId="31371"/>
      <sheetData sheetId="31372"/>
      <sheetData sheetId="31373"/>
      <sheetData sheetId="31374"/>
      <sheetData sheetId="31375"/>
      <sheetData sheetId="31376">
        <row r="1">
          <cell r="J1">
            <v>1.7453292519943295E-2</v>
          </cell>
        </row>
      </sheetData>
      <sheetData sheetId="31377">
        <row r="1">
          <cell r="J1">
            <v>1.7453292519943295E-2</v>
          </cell>
        </row>
      </sheetData>
      <sheetData sheetId="31378">
        <row r="1">
          <cell r="J1">
            <v>1.7453292519943295E-2</v>
          </cell>
        </row>
      </sheetData>
      <sheetData sheetId="31379"/>
      <sheetData sheetId="31380"/>
      <sheetData sheetId="31381"/>
      <sheetData sheetId="31382" refreshError="1"/>
      <sheetData sheetId="31383" refreshError="1"/>
      <sheetData sheetId="31384">
        <row r="1">
          <cell r="J1">
            <v>1.7453292519943295E-2</v>
          </cell>
        </row>
      </sheetData>
      <sheetData sheetId="31385">
        <row r="1">
          <cell r="J1">
            <v>1.7453292519943295E-2</v>
          </cell>
        </row>
      </sheetData>
      <sheetData sheetId="31386">
        <row r="1">
          <cell r="J1">
            <v>1.7453292519943295E-2</v>
          </cell>
        </row>
      </sheetData>
      <sheetData sheetId="31387" refreshError="1"/>
      <sheetData sheetId="31388"/>
      <sheetData sheetId="31389">
        <row r="1">
          <cell r="J1">
            <v>1.7453292519943295E-2</v>
          </cell>
        </row>
      </sheetData>
      <sheetData sheetId="31390" refreshError="1"/>
      <sheetData sheetId="31391" refreshError="1"/>
      <sheetData sheetId="31392">
        <row r="1">
          <cell r="J1">
            <v>1.7453292519943295E-2</v>
          </cell>
        </row>
      </sheetData>
      <sheetData sheetId="31393">
        <row r="1">
          <cell r="J1">
            <v>1.7453292519943295E-2</v>
          </cell>
        </row>
      </sheetData>
      <sheetData sheetId="31394">
        <row r="1">
          <cell r="J1">
            <v>1.7453292519943295E-2</v>
          </cell>
        </row>
      </sheetData>
      <sheetData sheetId="31395" refreshError="1"/>
      <sheetData sheetId="31396" refreshError="1"/>
      <sheetData sheetId="31397" refreshError="1"/>
      <sheetData sheetId="31398"/>
      <sheetData sheetId="31399" refreshError="1"/>
      <sheetData sheetId="31400">
        <row r="1">
          <cell r="J1">
            <v>1.7453292519943295E-2</v>
          </cell>
        </row>
      </sheetData>
      <sheetData sheetId="31401"/>
      <sheetData sheetId="31402"/>
      <sheetData sheetId="31403"/>
      <sheetData sheetId="31404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>
        <row r="1">
          <cell r="J1">
            <v>1.7453292519943295E-2</v>
          </cell>
        </row>
      </sheetData>
      <sheetData sheetId="31416">
        <row r="1">
          <cell r="J1">
            <v>1.7453292519943295E-2</v>
          </cell>
        </row>
      </sheetData>
      <sheetData sheetId="31417">
        <row r="1">
          <cell r="J1">
            <v>1.7453292519943295E-2</v>
          </cell>
        </row>
      </sheetData>
      <sheetData sheetId="31418"/>
      <sheetData sheetId="31419"/>
      <sheetData sheetId="31420"/>
      <sheetData sheetId="31421">
        <row r="1">
          <cell r="J1">
            <v>1.7453292519943295E-2</v>
          </cell>
        </row>
      </sheetData>
      <sheetData sheetId="31422" refreshError="1"/>
      <sheetData sheetId="31423" refreshError="1"/>
      <sheetData sheetId="31424">
        <row r="1">
          <cell r="J1">
            <v>1.7453292519943295E-2</v>
          </cell>
        </row>
      </sheetData>
      <sheetData sheetId="31425">
        <row r="1">
          <cell r="J1">
            <v>1.7453292519943295E-2</v>
          </cell>
        </row>
      </sheetData>
      <sheetData sheetId="31426">
        <row r="1">
          <cell r="J1">
            <v>1.7453292519943295E-2</v>
          </cell>
        </row>
      </sheetData>
      <sheetData sheetId="31427" refreshError="1"/>
      <sheetData sheetId="31428"/>
      <sheetData sheetId="31429">
        <row r="1">
          <cell r="J1">
            <v>1.7453292519943295E-2</v>
          </cell>
        </row>
      </sheetData>
      <sheetData sheetId="31430">
        <row r="1">
          <cell r="J1">
            <v>1.7453292519943295E-2</v>
          </cell>
        </row>
      </sheetData>
      <sheetData sheetId="31431" refreshError="1"/>
      <sheetData sheetId="31432" refreshError="1"/>
      <sheetData sheetId="31433">
        <row r="1">
          <cell r="J1">
            <v>1.7453292519943295E-2</v>
          </cell>
        </row>
      </sheetData>
      <sheetData sheetId="31434" refreshError="1"/>
      <sheetData sheetId="31435">
        <row r="1">
          <cell r="J1">
            <v>1.7453292519943295E-2</v>
          </cell>
        </row>
      </sheetData>
      <sheetData sheetId="31436" refreshError="1"/>
      <sheetData sheetId="31437" refreshError="1"/>
      <sheetData sheetId="31438">
        <row r="1">
          <cell r="J1">
            <v>1.7453292519943295E-2</v>
          </cell>
        </row>
      </sheetData>
      <sheetData sheetId="31439">
        <row r="1">
          <cell r="J1">
            <v>1.7453292519943295E-2</v>
          </cell>
        </row>
      </sheetData>
      <sheetData sheetId="31440">
        <row r="1">
          <cell r="J1">
            <v>1.7453292519943295E-2</v>
          </cell>
        </row>
      </sheetData>
      <sheetData sheetId="31441" refreshError="1"/>
      <sheetData sheetId="31442">
        <row r="1">
          <cell r="J1">
            <v>1.7453292519943295E-2</v>
          </cell>
        </row>
      </sheetData>
      <sheetData sheetId="31443" refreshError="1"/>
      <sheetData sheetId="31444" refreshError="1"/>
      <sheetData sheetId="31445" refreshError="1"/>
      <sheetData sheetId="31446"/>
      <sheetData sheetId="31447"/>
      <sheetData sheetId="31448">
        <row r="1">
          <cell r="J1">
            <v>1.7453292519943295E-2</v>
          </cell>
        </row>
      </sheetData>
      <sheetData sheetId="31449"/>
      <sheetData sheetId="31450"/>
      <sheetData sheetId="31451"/>
      <sheetData sheetId="31452"/>
      <sheetData sheetId="31453"/>
      <sheetData sheetId="31454"/>
      <sheetData sheetId="31455"/>
      <sheetData sheetId="31456"/>
      <sheetData sheetId="31457"/>
      <sheetData sheetId="31458"/>
      <sheetData sheetId="31459"/>
      <sheetData sheetId="31460"/>
      <sheetData sheetId="31461"/>
      <sheetData sheetId="31462"/>
      <sheetData sheetId="31463">
        <row r="1">
          <cell r="J1">
            <v>1.7453292519943295E-2</v>
          </cell>
        </row>
      </sheetData>
      <sheetData sheetId="31464">
        <row r="1">
          <cell r="J1">
            <v>1.7453292519943295E-2</v>
          </cell>
        </row>
      </sheetData>
      <sheetData sheetId="31465">
        <row r="1">
          <cell r="J1">
            <v>1.7453292519943295E-2</v>
          </cell>
        </row>
      </sheetData>
      <sheetData sheetId="31466">
        <row r="1">
          <cell r="J1">
            <v>1.7453292519943295E-2</v>
          </cell>
        </row>
      </sheetData>
      <sheetData sheetId="31467"/>
      <sheetData sheetId="31468"/>
      <sheetData sheetId="31469"/>
      <sheetData sheetId="31470">
        <row r="1">
          <cell r="J1">
            <v>1.7453292519943295E-2</v>
          </cell>
        </row>
      </sheetData>
      <sheetData sheetId="31471" refreshError="1"/>
      <sheetData sheetId="31472" refreshError="1"/>
      <sheetData sheetId="31473">
        <row r="1">
          <cell r="J1">
            <v>1.7453292519943295E-2</v>
          </cell>
        </row>
      </sheetData>
      <sheetData sheetId="31474" refreshError="1"/>
      <sheetData sheetId="31475" refreshError="1"/>
      <sheetData sheetId="31476">
        <row r="1">
          <cell r="J1">
            <v>1.7453292519943295E-2</v>
          </cell>
        </row>
      </sheetData>
      <sheetData sheetId="31477">
        <row r="1">
          <cell r="J1">
            <v>1.7453292519943295E-2</v>
          </cell>
        </row>
      </sheetData>
      <sheetData sheetId="31478">
        <row r="1">
          <cell r="J1">
            <v>1.7453292519943295E-2</v>
          </cell>
        </row>
      </sheetData>
      <sheetData sheetId="31479">
        <row r="1">
          <cell r="J1">
            <v>1.7453292519943295E-2</v>
          </cell>
        </row>
      </sheetData>
      <sheetData sheetId="31480" refreshError="1"/>
      <sheetData sheetId="31481" refreshError="1"/>
      <sheetData sheetId="31482">
        <row r="1">
          <cell r="J1">
            <v>1.7453292519943295E-2</v>
          </cell>
        </row>
      </sheetData>
      <sheetData sheetId="31483">
        <row r="1">
          <cell r="J1">
            <v>1.7453292519943295E-2</v>
          </cell>
        </row>
      </sheetData>
      <sheetData sheetId="31484" refreshError="1"/>
      <sheetData sheetId="31485">
        <row r="1">
          <cell r="J1">
            <v>1.7453292519943295E-2</v>
          </cell>
        </row>
      </sheetData>
      <sheetData sheetId="31486">
        <row r="1">
          <cell r="J1">
            <v>1.7453292519943295E-2</v>
          </cell>
        </row>
      </sheetData>
      <sheetData sheetId="31487">
        <row r="1">
          <cell r="J1">
            <v>1.7453292519943295E-2</v>
          </cell>
        </row>
      </sheetData>
      <sheetData sheetId="31488" refreshError="1"/>
      <sheetData sheetId="31489" refreshError="1"/>
      <sheetData sheetId="31490">
        <row r="1">
          <cell r="J1">
            <v>1.7453292519943295E-2</v>
          </cell>
        </row>
      </sheetData>
      <sheetData sheetId="31491">
        <row r="1">
          <cell r="J1">
            <v>1.7453292519943295E-2</v>
          </cell>
        </row>
      </sheetData>
      <sheetData sheetId="31492" refreshError="1"/>
      <sheetData sheetId="31493"/>
      <sheetData sheetId="31494">
        <row r="1">
          <cell r="J1">
            <v>1.7453292519943295E-2</v>
          </cell>
        </row>
      </sheetData>
      <sheetData sheetId="31495">
        <row r="1">
          <cell r="J1">
            <v>1.7453292519943295E-2</v>
          </cell>
        </row>
      </sheetData>
      <sheetData sheetId="31496" refreshError="1"/>
      <sheetData sheetId="31497"/>
      <sheetData sheetId="31498">
        <row r="1">
          <cell r="J1">
            <v>1.7453292519943295E-2</v>
          </cell>
        </row>
      </sheetData>
      <sheetData sheetId="31499" refreshError="1"/>
      <sheetData sheetId="31500" refreshError="1"/>
      <sheetData sheetId="31501" refreshError="1"/>
      <sheetData sheetId="31502">
        <row r="1">
          <cell r="J1">
            <v>1.7453292519943295E-2</v>
          </cell>
        </row>
      </sheetData>
      <sheetData sheetId="31503">
        <row r="1">
          <cell r="J1">
            <v>1.7453292519943295E-2</v>
          </cell>
        </row>
      </sheetData>
      <sheetData sheetId="31504" refreshError="1"/>
      <sheetData sheetId="31505"/>
      <sheetData sheetId="31506">
        <row r="1">
          <cell r="J1">
            <v>1.7453292519943295E-2</v>
          </cell>
        </row>
      </sheetData>
      <sheetData sheetId="31507" refreshError="1"/>
      <sheetData sheetId="31508" refreshError="1"/>
      <sheetData sheetId="31509" refreshError="1"/>
      <sheetData sheetId="31510" refreshError="1"/>
      <sheetData sheetId="31511">
        <row r="1">
          <cell r="J1">
            <v>1.7453292519943295E-2</v>
          </cell>
        </row>
      </sheetData>
      <sheetData sheetId="31512">
        <row r="1">
          <cell r="J1">
            <v>1.7453292519943295E-2</v>
          </cell>
        </row>
      </sheetData>
      <sheetData sheetId="31513">
        <row r="1">
          <cell r="J1">
            <v>1.7453292519943295E-2</v>
          </cell>
        </row>
      </sheetData>
      <sheetData sheetId="31514">
        <row r="1">
          <cell r="J1">
            <v>1.7453292519943295E-2</v>
          </cell>
        </row>
      </sheetData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>
        <row r="1">
          <cell r="J1">
            <v>1.7453292519943295E-2</v>
          </cell>
        </row>
      </sheetData>
      <sheetData sheetId="31530">
        <row r="1">
          <cell r="J1">
            <v>1.7453292519943295E-2</v>
          </cell>
        </row>
      </sheetData>
      <sheetData sheetId="31531">
        <row r="1">
          <cell r="J1">
            <v>1.7453292519943295E-2</v>
          </cell>
        </row>
      </sheetData>
      <sheetData sheetId="31532"/>
      <sheetData sheetId="31533"/>
      <sheetData sheetId="31534"/>
      <sheetData sheetId="31535">
        <row r="1">
          <cell r="J1">
            <v>1.7453292519943295E-2</v>
          </cell>
        </row>
      </sheetData>
      <sheetData sheetId="31536" refreshError="1"/>
      <sheetData sheetId="31537"/>
      <sheetData sheetId="31538">
        <row r="1">
          <cell r="J1">
            <v>1.7453292519943295E-2</v>
          </cell>
        </row>
      </sheetData>
      <sheetData sheetId="31539" refreshError="1"/>
      <sheetData sheetId="31540" refreshError="1"/>
      <sheetData sheetId="31541">
        <row r="1">
          <cell r="J1">
            <v>1.7453292519943295E-2</v>
          </cell>
        </row>
      </sheetData>
      <sheetData sheetId="31542">
        <row r="1">
          <cell r="J1">
            <v>1.7453292519943295E-2</v>
          </cell>
        </row>
      </sheetData>
      <sheetData sheetId="31543">
        <row r="1">
          <cell r="J1">
            <v>1.7453292519943295E-2</v>
          </cell>
        </row>
      </sheetData>
      <sheetData sheetId="31544">
        <row r="1">
          <cell r="J1">
            <v>1.7453292519943295E-2</v>
          </cell>
        </row>
      </sheetData>
      <sheetData sheetId="31545" refreshError="1"/>
      <sheetData sheetId="31546"/>
      <sheetData sheetId="31547">
        <row r="1">
          <cell r="J1">
            <v>1.7453292519943295E-2</v>
          </cell>
        </row>
      </sheetData>
      <sheetData sheetId="31548" refreshError="1"/>
      <sheetData sheetId="31549" refreshError="1"/>
      <sheetData sheetId="31550">
        <row r="1">
          <cell r="J1">
            <v>1.7453292519943295E-2</v>
          </cell>
        </row>
      </sheetData>
      <sheetData sheetId="31551">
        <row r="1">
          <cell r="J1">
            <v>1.7453292519943295E-2</v>
          </cell>
        </row>
      </sheetData>
      <sheetData sheetId="31552">
        <row r="1">
          <cell r="J1">
            <v>1.7453292519943295E-2</v>
          </cell>
        </row>
      </sheetData>
      <sheetData sheetId="31553" refreshError="1"/>
      <sheetData sheetId="31554">
        <row r="1">
          <cell r="J1">
            <v>1.7453292519943295E-2</v>
          </cell>
        </row>
      </sheetData>
      <sheetData sheetId="31555">
        <row r="1">
          <cell r="J1">
            <v>1.7453292519943295E-2</v>
          </cell>
        </row>
      </sheetData>
      <sheetData sheetId="31556" refreshError="1"/>
      <sheetData sheetId="31557" refreshError="1"/>
      <sheetData sheetId="31558" refreshError="1"/>
      <sheetData sheetId="31559" refreshError="1"/>
      <sheetData sheetId="31560">
        <row r="1">
          <cell r="J1">
            <v>1.7453292519943295E-2</v>
          </cell>
        </row>
      </sheetData>
      <sheetData sheetId="31561" refreshError="1"/>
      <sheetData sheetId="31562" refreshError="1"/>
      <sheetData sheetId="31563">
        <row r="1">
          <cell r="J1">
            <v>1.7453292519943295E-2</v>
          </cell>
        </row>
      </sheetData>
      <sheetData sheetId="31564"/>
      <sheetData sheetId="31565"/>
      <sheetData sheetId="31566"/>
      <sheetData sheetId="31567"/>
      <sheetData sheetId="31568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>
        <row r="1">
          <cell r="J1">
            <v>1.7453292519943295E-2</v>
          </cell>
        </row>
      </sheetData>
      <sheetData sheetId="31579">
        <row r="1">
          <cell r="J1">
            <v>1.7453292519943295E-2</v>
          </cell>
        </row>
      </sheetData>
      <sheetData sheetId="31580">
        <row r="1">
          <cell r="J1">
            <v>1.7453292519943295E-2</v>
          </cell>
        </row>
      </sheetData>
      <sheetData sheetId="31581"/>
      <sheetData sheetId="31582"/>
      <sheetData sheetId="31583"/>
      <sheetData sheetId="31584">
        <row r="1">
          <cell r="J1">
            <v>1.7453292519943295E-2</v>
          </cell>
        </row>
      </sheetData>
      <sheetData sheetId="31585">
        <row r="1">
          <cell r="J1">
            <v>1.7453292519943295E-2</v>
          </cell>
        </row>
      </sheetData>
      <sheetData sheetId="31586" refreshError="1"/>
      <sheetData sheetId="31587" refreshError="1"/>
      <sheetData sheetId="31588">
        <row r="1">
          <cell r="J1">
            <v>1.7453292519943295E-2</v>
          </cell>
        </row>
      </sheetData>
      <sheetData sheetId="31589">
        <row r="1">
          <cell r="J1">
            <v>1.7453292519943295E-2</v>
          </cell>
        </row>
      </sheetData>
      <sheetData sheetId="31590">
        <row r="1">
          <cell r="J1">
            <v>1.7453292519943295E-2</v>
          </cell>
        </row>
      </sheetData>
      <sheetData sheetId="31591" refreshError="1"/>
      <sheetData sheetId="31592"/>
      <sheetData sheetId="31593">
        <row r="1">
          <cell r="J1">
            <v>1.7453292519943295E-2</v>
          </cell>
        </row>
      </sheetData>
      <sheetData sheetId="31594" refreshError="1"/>
      <sheetData sheetId="31595" refreshError="1"/>
      <sheetData sheetId="31596">
        <row r="1">
          <cell r="J1">
            <v>1.7453292519943295E-2</v>
          </cell>
        </row>
      </sheetData>
      <sheetData sheetId="31597">
        <row r="1">
          <cell r="J1">
            <v>1.7453292519943295E-2</v>
          </cell>
        </row>
      </sheetData>
      <sheetData sheetId="31598">
        <row r="1">
          <cell r="J1">
            <v>1.7453292519943295E-2</v>
          </cell>
        </row>
      </sheetData>
      <sheetData sheetId="31599" refreshError="1"/>
      <sheetData sheetId="31600" refreshError="1"/>
      <sheetData sheetId="31601" refreshError="1"/>
      <sheetData sheetId="31602"/>
      <sheetData sheetId="31603" refreshError="1"/>
      <sheetData sheetId="31604">
        <row r="1">
          <cell r="J1">
            <v>1.7453292519943295E-2</v>
          </cell>
        </row>
      </sheetData>
      <sheetData sheetId="31605"/>
      <sheetData sheetId="31606"/>
      <sheetData sheetId="31607"/>
      <sheetData sheetId="31608"/>
      <sheetData sheetId="31609"/>
      <sheetData sheetId="31610"/>
      <sheetData sheetId="31611"/>
      <sheetData sheetId="31612"/>
      <sheetData sheetId="31613"/>
      <sheetData sheetId="31614"/>
      <sheetData sheetId="31615"/>
      <sheetData sheetId="31616"/>
      <sheetData sheetId="31617"/>
      <sheetData sheetId="31618"/>
      <sheetData sheetId="31619">
        <row r="1">
          <cell r="J1">
            <v>1.7453292519943295E-2</v>
          </cell>
        </row>
      </sheetData>
      <sheetData sheetId="31620">
        <row r="1">
          <cell r="J1">
            <v>1.7453292519943295E-2</v>
          </cell>
        </row>
      </sheetData>
      <sheetData sheetId="31621">
        <row r="1">
          <cell r="J1">
            <v>1.7453292519943295E-2</v>
          </cell>
        </row>
      </sheetData>
      <sheetData sheetId="31622"/>
      <sheetData sheetId="31623"/>
      <sheetData sheetId="31624"/>
      <sheetData sheetId="31625">
        <row r="1">
          <cell r="J1">
            <v>1.7453292519943295E-2</v>
          </cell>
        </row>
      </sheetData>
      <sheetData sheetId="31626">
        <row r="1">
          <cell r="J1">
            <v>1.7453292519943295E-2</v>
          </cell>
        </row>
      </sheetData>
      <sheetData sheetId="31627">
        <row r="1">
          <cell r="J1">
            <v>1.7453292519943295E-2</v>
          </cell>
        </row>
      </sheetData>
      <sheetData sheetId="31628">
        <row r="1">
          <cell r="J1">
            <v>1.7453292519943295E-2</v>
          </cell>
        </row>
      </sheetData>
      <sheetData sheetId="31629" refreshError="1"/>
      <sheetData sheetId="31630" refreshError="1"/>
      <sheetData sheetId="31631" refreshError="1"/>
      <sheetData sheetId="31632">
        <row r="1">
          <cell r="J1">
            <v>1.7453292519943295E-2</v>
          </cell>
        </row>
      </sheetData>
      <sheetData sheetId="31633" refreshError="1"/>
      <sheetData sheetId="31634" refreshError="1"/>
      <sheetData sheetId="31635" refreshError="1"/>
      <sheetData sheetId="31636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>
        <row r="1">
          <cell r="J1">
            <v>1.7453292519943295E-2</v>
          </cell>
        </row>
      </sheetData>
      <sheetData sheetId="31651">
        <row r="1">
          <cell r="J1">
            <v>1.7453292519943295E-2</v>
          </cell>
        </row>
      </sheetData>
      <sheetData sheetId="31652">
        <row r="1">
          <cell r="J1">
            <v>1.7453292519943295E-2</v>
          </cell>
        </row>
      </sheetData>
      <sheetData sheetId="31653"/>
      <sheetData sheetId="31654"/>
      <sheetData sheetId="31655"/>
      <sheetData sheetId="31656">
        <row r="1">
          <cell r="J1">
            <v>1.7453292519943295E-2</v>
          </cell>
        </row>
      </sheetData>
      <sheetData sheetId="31657" refreshError="1"/>
      <sheetData sheetId="31658" refreshError="1"/>
      <sheetData sheetId="31659">
        <row r="1">
          <cell r="J1">
            <v>1.7453292519943295E-2</v>
          </cell>
        </row>
      </sheetData>
      <sheetData sheetId="31660">
        <row r="1">
          <cell r="J1">
            <v>1.7453292519943295E-2</v>
          </cell>
        </row>
      </sheetData>
      <sheetData sheetId="31661" refreshError="1"/>
      <sheetData sheetId="31662">
        <row r="1">
          <cell r="J1">
            <v>1.7453292519943295E-2</v>
          </cell>
        </row>
      </sheetData>
      <sheetData sheetId="31663">
        <row r="1">
          <cell r="J1">
            <v>1.7453292519943295E-2</v>
          </cell>
        </row>
      </sheetData>
      <sheetData sheetId="31664">
        <row r="1">
          <cell r="J1">
            <v>1.7453292519943295E-2</v>
          </cell>
        </row>
      </sheetData>
      <sheetData sheetId="31665">
        <row r="1">
          <cell r="J1">
            <v>1.7453292519943295E-2</v>
          </cell>
        </row>
      </sheetData>
      <sheetData sheetId="31666">
        <row r="1">
          <cell r="J1">
            <v>1.7453292519943295E-2</v>
          </cell>
        </row>
      </sheetData>
      <sheetData sheetId="31667">
        <row r="1">
          <cell r="J1">
            <v>1.7453292519943295E-2</v>
          </cell>
        </row>
      </sheetData>
      <sheetData sheetId="31668">
        <row r="1">
          <cell r="J1">
            <v>1.7453292519943295E-2</v>
          </cell>
        </row>
      </sheetData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>
        <row r="1">
          <cell r="J1">
            <v>1.7453292519943295E-2</v>
          </cell>
        </row>
      </sheetData>
      <sheetData sheetId="31677" refreshError="1"/>
      <sheetData sheetId="31678" refreshError="1"/>
      <sheetData sheetId="31679">
        <row r="1">
          <cell r="J1">
            <v>1.7453292519943295E-2</v>
          </cell>
        </row>
      </sheetData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>
        <row r="1">
          <cell r="J1">
            <v>1.7453292519943295E-2</v>
          </cell>
        </row>
      </sheetData>
      <sheetData sheetId="31687">
        <row r="1">
          <cell r="J1">
            <v>1.7453292519943295E-2</v>
          </cell>
        </row>
      </sheetData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>
        <row r="1">
          <cell r="J1">
            <v>1.7453292519943295E-2</v>
          </cell>
        </row>
      </sheetData>
      <sheetData sheetId="31703">
        <row r="1">
          <cell r="J1">
            <v>1.7453292519943295E-2</v>
          </cell>
        </row>
      </sheetData>
      <sheetData sheetId="31704">
        <row r="1">
          <cell r="J1">
            <v>1.7453292519943295E-2</v>
          </cell>
        </row>
      </sheetData>
      <sheetData sheetId="31705"/>
      <sheetData sheetId="31706"/>
      <sheetData sheetId="31707"/>
      <sheetData sheetId="31708">
        <row r="1">
          <cell r="J1">
            <v>1.7453292519943295E-2</v>
          </cell>
        </row>
      </sheetData>
      <sheetData sheetId="31709">
        <row r="1">
          <cell r="J1">
            <v>1.7453292519943295E-2</v>
          </cell>
        </row>
      </sheetData>
      <sheetData sheetId="31710">
        <row r="1">
          <cell r="J1">
            <v>1.7453292519943295E-2</v>
          </cell>
        </row>
      </sheetData>
      <sheetData sheetId="31711">
        <row r="1">
          <cell r="J1">
            <v>1.7453292519943295E-2</v>
          </cell>
        </row>
      </sheetData>
      <sheetData sheetId="31712" refreshError="1"/>
      <sheetData sheetId="31713">
        <row r="1">
          <cell r="J1">
            <v>1.7453292519943295E-2</v>
          </cell>
        </row>
      </sheetData>
      <sheetData sheetId="31714">
        <row r="1">
          <cell r="J1">
            <v>1.7453292519943295E-2</v>
          </cell>
        </row>
      </sheetData>
      <sheetData sheetId="31715" refreshError="1"/>
      <sheetData sheetId="31716" refreshError="1"/>
      <sheetData sheetId="31717">
        <row r="1">
          <cell r="J1">
            <v>1.7453292519943295E-2</v>
          </cell>
        </row>
      </sheetData>
      <sheetData sheetId="31718">
        <row r="1">
          <cell r="J1">
            <v>1.7453292519943295E-2</v>
          </cell>
        </row>
      </sheetData>
      <sheetData sheetId="31719">
        <row r="1">
          <cell r="J1">
            <v>1.7453292519943295E-2</v>
          </cell>
        </row>
      </sheetData>
      <sheetData sheetId="31720"/>
      <sheetData sheetId="31721"/>
      <sheetData sheetId="31722">
        <row r="1">
          <cell r="J1">
            <v>1.7453292519943295E-2</v>
          </cell>
        </row>
      </sheetData>
      <sheetData sheetId="31723">
        <row r="1">
          <cell r="J1">
            <v>1.7453292519943295E-2</v>
          </cell>
        </row>
      </sheetData>
      <sheetData sheetId="31724">
        <row r="1">
          <cell r="J1">
            <v>1.7453292519943295E-2</v>
          </cell>
        </row>
      </sheetData>
      <sheetData sheetId="31725" refreshError="1"/>
      <sheetData sheetId="31726" refreshError="1"/>
      <sheetData sheetId="31727">
        <row r="1">
          <cell r="J1">
            <v>1.7453292519943295E-2</v>
          </cell>
        </row>
      </sheetData>
      <sheetData sheetId="31728">
        <row r="1">
          <cell r="J1">
            <v>1.7453292519943295E-2</v>
          </cell>
        </row>
      </sheetData>
      <sheetData sheetId="31729">
        <row r="1">
          <cell r="J1">
            <v>1.7453292519943295E-2</v>
          </cell>
        </row>
      </sheetData>
      <sheetData sheetId="31730" refreshError="1"/>
      <sheetData sheetId="31731" refreshError="1"/>
      <sheetData sheetId="31732"/>
      <sheetData sheetId="31733" refreshError="1"/>
      <sheetData sheetId="31734" refreshError="1"/>
      <sheetData sheetId="31735"/>
      <sheetData sheetId="31736" refreshError="1"/>
      <sheetData sheetId="31737">
        <row r="1">
          <cell r="J1">
            <v>1.7453292519943295E-2</v>
          </cell>
        </row>
      </sheetData>
      <sheetData sheetId="31738"/>
      <sheetData sheetId="31739"/>
      <sheetData sheetId="31740"/>
      <sheetData sheetId="31741"/>
      <sheetData sheetId="31742"/>
      <sheetData sheetId="31743"/>
      <sheetData sheetId="31744"/>
      <sheetData sheetId="31745"/>
      <sheetData sheetId="31746"/>
      <sheetData sheetId="31747"/>
      <sheetData sheetId="31748"/>
      <sheetData sheetId="31749"/>
      <sheetData sheetId="31750"/>
      <sheetData sheetId="31751"/>
      <sheetData sheetId="31752">
        <row r="1">
          <cell r="J1">
            <v>1.7453292519943295E-2</v>
          </cell>
        </row>
      </sheetData>
      <sheetData sheetId="31753">
        <row r="1">
          <cell r="J1">
            <v>1.7453292519943295E-2</v>
          </cell>
        </row>
      </sheetData>
      <sheetData sheetId="31754">
        <row r="1">
          <cell r="J1">
            <v>1.7453292519943295E-2</v>
          </cell>
        </row>
      </sheetData>
      <sheetData sheetId="31755">
        <row r="1">
          <cell r="J1">
            <v>1.7453292519943295E-2</v>
          </cell>
        </row>
      </sheetData>
      <sheetData sheetId="31756"/>
      <sheetData sheetId="31757"/>
      <sheetData sheetId="31758"/>
      <sheetData sheetId="31759" refreshError="1"/>
      <sheetData sheetId="31760" refreshError="1"/>
      <sheetData sheetId="31761">
        <row r="1">
          <cell r="J1">
            <v>1.7453292519943295E-2</v>
          </cell>
        </row>
      </sheetData>
      <sheetData sheetId="31762">
        <row r="1">
          <cell r="J1">
            <v>1.7453292519943295E-2</v>
          </cell>
        </row>
      </sheetData>
      <sheetData sheetId="31763">
        <row r="1">
          <cell r="J1">
            <v>1.7453292519943295E-2</v>
          </cell>
        </row>
      </sheetData>
      <sheetData sheetId="31764" refreshError="1"/>
      <sheetData sheetId="31765"/>
      <sheetData sheetId="31766">
        <row r="1">
          <cell r="J1">
            <v>1.7453292519943295E-2</v>
          </cell>
        </row>
      </sheetData>
      <sheetData sheetId="31767">
        <row r="1">
          <cell r="J1">
            <v>1.7453292519943295E-2</v>
          </cell>
        </row>
      </sheetData>
      <sheetData sheetId="31768" refreshError="1"/>
      <sheetData sheetId="31769" refreshError="1"/>
      <sheetData sheetId="31770">
        <row r="1">
          <cell r="J1">
            <v>1.7453292519943295E-2</v>
          </cell>
        </row>
      </sheetData>
      <sheetData sheetId="31771">
        <row r="1">
          <cell r="J1">
            <v>1.7453292519943295E-2</v>
          </cell>
        </row>
      </sheetData>
      <sheetData sheetId="31772">
        <row r="1">
          <cell r="J1">
            <v>1.7453292519943295E-2</v>
          </cell>
        </row>
      </sheetData>
      <sheetData sheetId="31773" refreshError="1"/>
      <sheetData sheetId="31774" refreshError="1"/>
      <sheetData sheetId="31775">
        <row r="1">
          <cell r="J1">
            <v>1.7453292519943295E-2</v>
          </cell>
        </row>
      </sheetData>
      <sheetData sheetId="31776">
        <row r="1">
          <cell r="J1">
            <v>1.7453292519943295E-2</v>
          </cell>
        </row>
      </sheetData>
      <sheetData sheetId="31777">
        <row r="1">
          <cell r="J1">
            <v>1.7453292519943295E-2</v>
          </cell>
        </row>
      </sheetData>
      <sheetData sheetId="31778" refreshError="1"/>
      <sheetData sheetId="31779" refreshError="1"/>
      <sheetData sheetId="31780"/>
      <sheetData sheetId="31781" refreshError="1"/>
      <sheetData sheetId="31782" refreshError="1"/>
      <sheetData sheetId="31783"/>
      <sheetData sheetId="31784" refreshError="1"/>
      <sheetData sheetId="31785">
        <row r="1">
          <cell r="J1">
            <v>1.7453292519943295E-2</v>
          </cell>
        </row>
      </sheetData>
      <sheetData sheetId="31786"/>
      <sheetData sheetId="31787"/>
      <sheetData sheetId="31788"/>
      <sheetData sheetId="31789"/>
      <sheetData sheetId="31790"/>
      <sheetData sheetId="31791"/>
      <sheetData sheetId="31792"/>
      <sheetData sheetId="31793"/>
      <sheetData sheetId="31794"/>
      <sheetData sheetId="31795"/>
      <sheetData sheetId="31796"/>
      <sheetData sheetId="31797"/>
      <sheetData sheetId="31798"/>
      <sheetData sheetId="31799"/>
      <sheetData sheetId="31800">
        <row r="1">
          <cell r="J1">
            <v>1.7453292519943295E-2</v>
          </cell>
        </row>
      </sheetData>
      <sheetData sheetId="31801">
        <row r="1">
          <cell r="J1">
            <v>1.7453292519943295E-2</v>
          </cell>
        </row>
      </sheetData>
      <sheetData sheetId="31802">
        <row r="1">
          <cell r="J1">
            <v>1.7453292519943295E-2</v>
          </cell>
        </row>
      </sheetData>
      <sheetData sheetId="31803">
        <row r="1">
          <cell r="J1">
            <v>1.7453292519943295E-2</v>
          </cell>
        </row>
      </sheetData>
      <sheetData sheetId="31804"/>
      <sheetData sheetId="31805"/>
      <sheetData sheetId="31806"/>
      <sheetData sheetId="31807">
        <row r="1">
          <cell r="J1">
            <v>1.7453292519943295E-2</v>
          </cell>
        </row>
      </sheetData>
      <sheetData sheetId="31808" refreshError="1"/>
      <sheetData sheetId="31809" refreshError="1"/>
      <sheetData sheetId="31810">
        <row r="1">
          <cell r="J1">
            <v>1.7453292519943295E-2</v>
          </cell>
        </row>
      </sheetData>
      <sheetData sheetId="31811">
        <row r="1">
          <cell r="J1">
            <v>1.7453292519943295E-2</v>
          </cell>
        </row>
      </sheetData>
      <sheetData sheetId="31812">
        <row r="1">
          <cell r="J1">
            <v>1.7453292519943295E-2</v>
          </cell>
        </row>
      </sheetData>
      <sheetData sheetId="31813" refreshError="1"/>
      <sheetData sheetId="31814"/>
      <sheetData sheetId="31815">
        <row r="1">
          <cell r="J1">
            <v>1.7453292519943295E-2</v>
          </cell>
        </row>
      </sheetData>
      <sheetData sheetId="31816" refreshError="1"/>
      <sheetData sheetId="31817" refreshError="1"/>
      <sheetData sheetId="31818">
        <row r="1">
          <cell r="J1">
            <v>1.7453292519943295E-2</v>
          </cell>
        </row>
      </sheetData>
      <sheetData sheetId="31819">
        <row r="1">
          <cell r="J1">
            <v>1.7453292519943295E-2</v>
          </cell>
        </row>
      </sheetData>
      <sheetData sheetId="31820">
        <row r="1">
          <cell r="J1">
            <v>1.7453292519943295E-2</v>
          </cell>
        </row>
      </sheetData>
      <sheetData sheetId="31821" refreshError="1"/>
      <sheetData sheetId="31822" refreshError="1"/>
      <sheetData sheetId="31823" refreshError="1"/>
      <sheetData sheetId="31824"/>
      <sheetData sheetId="31825" refreshError="1"/>
      <sheetData sheetId="31826">
        <row r="1">
          <cell r="J1">
            <v>1.7453292519943295E-2</v>
          </cell>
        </row>
      </sheetData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>
        <row r="1">
          <cell r="J1">
            <v>1.7453292519943295E-2</v>
          </cell>
        </row>
      </sheetData>
      <sheetData sheetId="31842">
        <row r="1">
          <cell r="J1">
            <v>1.7453292519943295E-2</v>
          </cell>
        </row>
      </sheetData>
      <sheetData sheetId="31843">
        <row r="1">
          <cell r="J1">
            <v>1.7453292519943295E-2</v>
          </cell>
        </row>
      </sheetData>
      <sheetData sheetId="31844"/>
      <sheetData sheetId="31845"/>
      <sheetData sheetId="31846"/>
      <sheetData sheetId="31847" refreshError="1"/>
      <sheetData sheetId="31848" refreshError="1"/>
      <sheetData sheetId="31849">
        <row r="1">
          <cell r="J1">
            <v>1.7453292519943295E-2</v>
          </cell>
        </row>
      </sheetData>
      <sheetData sheetId="31850">
        <row r="1">
          <cell r="J1">
            <v>1.7453292519943295E-2</v>
          </cell>
        </row>
      </sheetData>
      <sheetData sheetId="31851">
        <row r="1">
          <cell r="J1">
            <v>1.7453292519943295E-2</v>
          </cell>
        </row>
      </sheetData>
      <sheetData sheetId="31852" refreshError="1"/>
      <sheetData sheetId="31853" refreshError="1"/>
      <sheetData sheetId="31854" refreshError="1"/>
      <sheetData sheetId="31855"/>
      <sheetData sheetId="31856" refreshError="1"/>
      <sheetData sheetId="31857">
        <row r="1">
          <cell r="J1">
            <v>1.7453292519943295E-2</v>
          </cell>
        </row>
      </sheetData>
      <sheetData sheetId="31858"/>
      <sheetData sheetId="31859"/>
      <sheetData sheetId="31860"/>
      <sheetData sheetId="31861"/>
      <sheetData sheetId="31862"/>
      <sheetData sheetId="31863"/>
      <sheetData sheetId="31864"/>
      <sheetData sheetId="31865"/>
      <sheetData sheetId="31866"/>
      <sheetData sheetId="31867"/>
      <sheetData sheetId="31868"/>
      <sheetData sheetId="31869"/>
      <sheetData sheetId="31870"/>
      <sheetData sheetId="31871"/>
      <sheetData sheetId="31872">
        <row r="1">
          <cell r="J1">
            <v>1.7453292519943295E-2</v>
          </cell>
        </row>
      </sheetData>
      <sheetData sheetId="31873">
        <row r="1">
          <cell r="J1">
            <v>1.7453292519943295E-2</v>
          </cell>
        </row>
      </sheetData>
      <sheetData sheetId="31874">
        <row r="1">
          <cell r="J1">
            <v>1.7453292519943295E-2</v>
          </cell>
        </row>
      </sheetData>
      <sheetData sheetId="31875"/>
      <sheetData sheetId="31876"/>
      <sheetData sheetId="31877"/>
      <sheetData sheetId="31878" refreshError="1"/>
      <sheetData sheetId="31879" refreshError="1"/>
      <sheetData sheetId="31880">
        <row r="1">
          <cell r="J1">
            <v>1.7453292519943295E-2</v>
          </cell>
        </row>
      </sheetData>
      <sheetData sheetId="31881">
        <row r="1">
          <cell r="J1">
            <v>1.7453292519943295E-2</v>
          </cell>
        </row>
      </sheetData>
      <sheetData sheetId="31882">
        <row r="1">
          <cell r="J1">
            <v>1.7453292519943295E-2</v>
          </cell>
        </row>
      </sheetData>
      <sheetData sheetId="31883" refreshError="1"/>
      <sheetData sheetId="31884" refreshError="1"/>
      <sheetData sheetId="31885" refreshError="1"/>
      <sheetData sheetId="31886"/>
      <sheetData sheetId="31887" refreshError="1"/>
      <sheetData sheetId="31888">
        <row r="1">
          <cell r="J1">
            <v>1.7453292519943295E-2</v>
          </cell>
        </row>
      </sheetData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/>
      <sheetData sheetId="31899"/>
      <sheetData sheetId="31900"/>
      <sheetData sheetId="31901"/>
      <sheetData sheetId="31902"/>
      <sheetData sheetId="31903">
        <row r="1">
          <cell r="J1">
            <v>1.7453292519943295E-2</v>
          </cell>
        </row>
      </sheetData>
      <sheetData sheetId="31904">
        <row r="1">
          <cell r="J1">
            <v>1.7453292519943295E-2</v>
          </cell>
        </row>
      </sheetData>
      <sheetData sheetId="31905">
        <row r="1">
          <cell r="J1">
            <v>1.7453292519943295E-2</v>
          </cell>
        </row>
      </sheetData>
      <sheetData sheetId="31906"/>
      <sheetData sheetId="31907"/>
      <sheetData sheetId="31908"/>
      <sheetData sheetId="31909">
        <row r="1">
          <cell r="J1">
            <v>1.7453292519943295E-2</v>
          </cell>
        </row>
      </sheetData>
      <sheetData sheetId="31910" refreshError="1"/>
      <sheetData sheetId="31911" refreshError="1"/>
      <sheetData sheetId="31912">
        <row r="1">
          <cell r="J1">
            <v>1.7453292519943295E-2</v>
          </cell>
        </row>
      </sheetData>
      <sheetData sheetId="31913">
        <row r="1">
          <cell r="J1">
            <v>1.7453292519943295E-2</v>
          </cell>
        </row>
      </sheetData>
      <sheetData sheetId="31914" refreshError="1"/>
      <sheetData sheetId="31915"/>
      <sheetData sheetId="31916">
        <row r="1">
          <cell r="J1">
            <v>1.7453292519943295E-2</v>
          </cell>
        </row>
      </sheetData>
      <sheetData sheetId="31917" refreshError="1"/>
      <sheetData sheetId="31918" refreshError="1"/>
      <sheetData sheetId="31919" refreshError="1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>
        <row r="1">
          <cell r="J1">
            <v>1.7453292519943295E-2</v>
          </cell>
        </row>
      </sheetData>
      <sheetData sheetId="31935">
        <row r="1">
          <cell r="J1">
            <v>1.7453292519943295E-2</v>
          </cell>
        </row>
      </sheetData>
      <sheetData sheetId="31936">
        <row r="1">
          <cell r="J1">
            <v>1.7453292519943295E-2</v>
          </cell>
        </row>
      </sheetData>
      <sheetData sheetId="31937"/>
      <sheetData sheetId="31938"/>
      <sheetData sheetId="31939"/>
      <sheetData sheetId="31940">
        <row r="1">
          <cell r="J1">
            <v>1.7453292519943295E-2</v>
          </cell>
        </row>
      </sheetData>
      <sheetData sheetId="31941" refreshError="1"/>
      <sheetData sheetId="31942" refreshError="1"/>
      <sheetData sheetId="31943">
        <row r="1">
          <cell r="J1">
            <v>1.7453292519943295E-2</v>
          </cell>
        </row>
      </sheetData>
      <sheetData sheetId="31944">
        <row r="1">
          <cell r="J1">
            <v>1.7453292519943295E-2</v>
          </cell>
        </row>
      </sheetData>
      <sheetData sheetId="31945">
        <row r="1">
          <cell r="J1">
            <v>1.7453292519943295E-2</v>
          </cell>
        </row>
      </sheetData>
      <sheetData sheetId="31946" refreshError="1"/>
      <sheetData sheetId="31947" refreshError="1"/>
      <sheetData sheetId="31948">
        <row r="1">
          <cell r="J1">
            <v>1.7453292519943295E-2</v>
          </cell>
        </row>
      </sheetData>
      <sheetData sheetId="31949">
        <row r="1">
          <cell r="J1">
            <v>1.7453292519943295E-2</v>
          </cell>
        </row>
      </sheetData>
      <sheetData sheetId="31950">
        <row r="1">
          <cell r="J1">
            <v>1.7453292519943295E-2</v>
          </cell>
        </row>
      </sheetData>
      <sheetData sheetId="31951" refreshError="1"/>
      <sheetData sheetId="31952" refreshError="1"/>
      <sheetData sheetId="31953"/>
      <sheetData sheetId="31954" refreshError="1"/>
      <sheetData sheetId="31955" refreshError="1"/>
      <sheetData sheetId="31956"/>
      <sheetData sheetId="31957" refreshError="1"/>
      <sheetData sheetId="31958">
        <row r="1">
          <cell r="J1">
            <v>1.7453292519943295E-2</v>
          </cell>
        </row>
      </sheetData>
      <sheetData sheetId="31959"/>
      <sheetData sheetId="31960"/>
      <sheetData sheetId="31961"/>
      <sheetData sheetId="31962"/>
      <sheetData sheetId="31963"/>
      <sheetData sheetId="31964"/>
      <sheetData sheetId="31965"/>
      <sheetData sheetId="31966"/>
      <sheetData sheetId="31967"/>
      <sheetData sheetId="31968"/>
      <sheetData sheetId="31969"/>
      <sheetData sheetId="31970"/>
      <sheetData sheetId="31971"/>
      <sheetData sheetId="31972"/>
      <sheetData sheetId="31973">
        <row r="1">
          <cell r="J1">
            <v>1.7453292519943295E-2</v>
          </cell>
        </row>
      </sheetData>
      <sheetData sheetId="31974">
        <row r="1">
          <cell r="J1">
            <v>1.7453292519943295E-2</v>
          </cell>
        </row>
      </sheetData>
      <sheetData sheetId="31975">
        <row r="1">
          <cell r="J1">
            <v>1.7453292519943295E-2</v>
          </cell>
        </row>
      </sheetData>
      <sheetData sheetId="31976">
        <row r="1">
          <cell r="J1">
            <v>1.7453292519943295E-2</v>
          </cell>
        </row>
      </sheetData>
      <sheetData sheetId="31977"/>
      <sheetData sheetId="31978"/>
      <sheetData sheetId="31979"/>
      <sheetData sheetId="31980" refreshError="1"/>
      <sheetData sheetId="31981" refreshError="1"/>
      <sheetData sheetId="31982">
        <row r="1">
          <cell r="J1">
            <v>1.7453292519943295E-2</v>
          </cell>
        </row>
      </sheetData>
      <sheetData sheetId="31983">
        <row r="1">
          <cell r="J1">
            <v>1.7453292519943295E-2</v>
          </cell>
        </row>
      </sheetData>
      <sheetData sheetId="31984">
        <row r="1">
          <cell r="J1">
            <v>1.7453292519943295E-2</v>
          </cell>
        </row>
      </sheetData>
      <sheetData sheetId="31985" refreshError="1"/>
      <sheetData sheetId="31986"/>
      <sheetData sheetId="31987">
        <row r="1">
          <cell r="J1">
            <v>1.7453292519943295E-2</v>
          </cell>
        </row>
      </sheetData>
      <sheetData sheetId="31988" refreshError="1"/>
      <sheetData sheetId="31989" refreshError="1"/>
      <sheetData sheetId="31990">
        <row r="1">
          <cell r="J1">
            <v>1.7453292519943295E-2</v>
          </cell>
        </row>
      </sheetData>
      <sheetData sheetId="31991">
        <row r="1">
          <cell r="J1">
            <v>1.7453292519943295E-2</v>
          </cell>
        </row>
      </sheetData>
      <sheetData sheetId="31992">
        <row r="1">
          <cell r="J1">
            <v>1.7453292519943295E-2</v>
          </cell>
        </row>
      </sheetData>
      <sheetData sheetId="31993" refreshError="1"/>
      <sheetData sheetId="31994" refreshError="1"/>
      <sheetData sheetId="31995">
        <row r="1">
          <cell r="J1">
            <v>1.7453292519943295E-2</v>
          </cell>
        </row>
      </sheetData>
      <sheetData sheetId="31996">
        <row r="1">
          <cell r="J1">
            <v>1.7453292519943295E-2</v>
          </cell>
        </row>
      </sheetData>
      <sheetData sheetId="31997">
        <row r="1">
          <cell r="J1">
            <v>1.7453292519943295E-2</v>
          </cell>
        </row>
      </sheetData>
      <sheetData sheetId="31998" refreshError="1"/>
      <sheetData sheetId="31999" refreshError="1"/>
      <sheetData sheetId="32000"/>
      <sheetData sheetId="32001" refreshError="1"/>
      <sheetData sheetId="32002" refreshError="1"/>
      <sheetData sheetId="32003">
        <row r="1">
          <cell r="J1">
            <v>1.7453292519943295E-2</v>
          </cell>
        </row>
      </sheetData>
      <sheetData sheetId="32004" refreshError="1"/>
      <sheetData sheetId="32005">
        <row r="1">
          <cell r="J1">
            <v>1.7453292519943295E-2</v>
          </cell>
        </row>
      </sheetData>
      <sheetData sheetId="32006"/>
      <sheetData sheetId="32007"/>
      <sheetData sheetId="32008"/>
      <sheetData sheetId="32009"/>
      <sheetData sheetId="32010"/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>
        <row r="1">
          <cell r="J1">
            <v>1.7453292519943295E-2</v>
          </cell>
        </row>
      </sheetData>
      <sheetData sheetId="32021">
        <row r="1">
          <cell r="J1">
            <v>1.7453292519943295E-2</v>
          </cell>
        </row>
      </sheetData>
      <sheetData sheetId="32022">
        <row r="1">
          <cell r="J1">
            <v>1.7453292519943295E-2</v>
          </cell>
        </row>
      </sheetData>
      <sheetData sheetId="32023">
        <row r="1">
          <cell r="J1">
            <v>1.7453292519943295E-2</v>
          </cell>
        </row>
      </sheetData>
      <sheetData sheetId="32024"/>
      <sheetData sheetId="32025"/>
      <sheetData sheetId="32026"/>
      <sheetData sheetId="32027" refreshError="1"/>
      <sheetData sheetId="32028" refreshError="1"/>
      <sheetData sheetId="32029">
        <row r="1">
          <cell r="J1">
            <v>1.7453292519943295E-2</v>
          </cell>
        </row>
      </sheetData>
      <sheetData sheetId="32030">
        <row r="1">
          <cell r="J1">
            <v>1.7453292519943295E-2</v>
          </cell>
        </row>
      </sheetData>
      <sheetData sheetId="32031">
        <row r="1">
          <cell r="J1">
            <v>1.7453292519943295E-2</v>
          </cell>
        </row>
      </sheetData>
      <sheetData sheetId="32032" refreshError="1"/>
      <sheetData sheetId="32033" refreshError="1"/>
      <sheetData sheetId="32034" refreshError="1"/>
      <sheetData sheetId="32035">
        <row r="1">
          <cell r="J1">
            <v>1.7453292519943295E-2</v>
          </cell>
        </row>
      </sheetData>
      <sheetData sheetId="32036" refreshError="1"/>
      <sheetData sheetId="32037">
        <row r="1">
          <cell r="J1">
            <v>1.7453292519943295E-2</v>
          </cell>
        </row>
      </sheetData>
      <sheetData sheetId="32038"/>
      <sheetData sheetId="32039"/>
      <sheetData sheetId="32040"/>
      <sheetData sheetId="32041"/>
      <sheetData sheetId="32042"/>
      <sheetData sheetId="32043"/>
      <sheetData sheetId="32044"/>
      <sheetData sheetId="32045"/>
      <sheetData sheetId="32046"/>
      <sheetData sheetId="32047"/>
      <sheetData sheetId="32048"/>
      <sheetData sheetId="32049"/>
      <sheetData sheetId="32050"/>
      <sheetData sheetId="32051"/>
      <sheetData sheetId="32052">
        <row r="1">
          <cell r="J1">
            <v>1.7453292519943295E-2</v>
          </cell>
        </row>
      </sheetData>
      <sheetData sheetId="32053">
        <row r="1">
          <cell r="J1">
            <v>1.7453292519943295E-2</v>
          </cell>
        </row>
      </sheetData>
      <sheetData sheetId="32054">
        <row r="1">
          <cell r="J1">
            <v>1.7453292519943295E-2</v>
          </cell>
        </row>
      </sheetData>
      <sheetData sheetId="32055"/>
      <sheetData sheetId="32056"/>
      <sheetData sheetId="32057"/>
      <sheetData sheetId="32058" refreshError="1"/>
      <sheetData sheetId="32059" refreshError="1"/>
      <sheetData sheetId="32060" refreshError="1"/>
      <sheetData sheetId="32061">
        <row r="1">
          <cell r="J1">
            <v>1.7453292519943295E-2</v>
          </cell>
        </row>
      </sheetData>
      <sheetData sheetId="32062">
        <row r="1">
          <cell r="J1">
            <v>1.7453292519943295E-2</v>
          </cell>
        </row>
      </sheetData>
      <sheetData sheetId="32063">
        <row r="1">
          <cell r="J1">
            <v>1.7453292519943295E-2</v>
          </cell>
        </row>
      </sheetData>
      <sheetData sheetId="32064" refreshError="1"/>
      <sheetData sheetId="32065" refreshError="1"/>
      <sheetData sheetId="32066">
        <row r="1">
          <cell r="J1">
            <v>1.7453292519943295E-2</v>
          </cell>
        </row>
      </sheetData>
      <sheetData sheetId="32067">
        <row r="1">
          <cell r="J1">
            <v>1.7453292519943295E-2</v>
          </cell>
        </row>
      </sheetData>
      <sheetData sheetId="32068">
        <row r="1">
          <cell r="J1">
            <v>1.7453292519943295E-2</v>
          </cell>
        </row>
      </sheetData>
      <sheetData sheetId="32069" refreshError="1"/>
      <sheetData sheetId="32070" refreshError="1"/>
      <sheetData sheetId="32071" refreshError="1"/>
      <sheetData sheetId="32072">
        <row r="1">
          <cell r="J1">
            <v>1.7453292519943295E-2</v>
          </cell>
        </row>
      </sheetData>
      <sheetData sheetId="32073" refreshError="1"/>
      <sheetData sheetId="32074"/>
      <sheetData sheetId="32075">
        <row r="1">
          <cell r="J1">
            <v>1.7453292519943295E-2</v>
          </cell>
        </row>
      </sheetData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>
        <row r="1">
          <cell r="J1">
            <v>1.7453292519943295E-2</v>
          </cell>
        </row>
      </sheetData>
      <sheetData sheetId="32091">
        <row r="1">
          <cell r="J1">
            <v>1.7453292519943295E-2</v>
          </cell>
        </row>
      </sheetData>
      <sheetData sheetId="32092">
        <row r="1">
          <cell r="J1">
            <v>1.7453292519943295E-2</v>
          </cell>
        </row>
      </sheetData>
      <sheetData sheetId="32093">
        <row r="1">
          <cell r="J1">
            <v>1.7453292519943295E-2</v>
          </cell>
        </row>
      </sheetData>
      <sheetData sheetId="32094"/>
      <sheetData sheetId="32095"/>
      <sheetData sheetId="32096"/>
      <sheetData sheetId="32097" refreshError="1"/>
      <sheetData sheetId="32098" refreshError="1"/>
      <sheetData sheetId="32099">
        <row r="1">
          <cell r="J1">
            <v>1.7453292519943295E-2</v>
          </cell>
        </row>
      </sheetData>
      <sheetData sheetId="32100">
        <row r="1">
          <cell r="J1">
            <v>1.7453292519943295E-2</v>
          </cell>
        </row>
      </sheetData>
      <sheetData sheetId="32101">
        <row r="1">
          <cell r="J1">
            <v>1.7453292519943295E-2</v>
          </cell>
        </row>
      </sheetData>
      <sheetData sheetId="32102" refreshError="1"/>
      <sheetData sheetId="32103"/>
      <sheetData sheetId="32104">
        <row r="1">
          <cell r="J1">
            <v>1.7453292519943295E-2</v>
          </cell>
        </row>
      </sheetData>
      <sheetData sheetId="32105">
        <row r="1">
          <cell r="J1">
            <v>1.7453292519943295E-2</v>
          </cell>
        </row>
      </sheetData>
      <sheetData sheetId="32106">
        <row r="1">
          <cell r="J1">
            <v>1.7453292519943295E-2</v>
          </cell>
        </row>
      </sheetData>
      <sheetData sheetId="32107" refreshError="1"/>
      <sheetData sheetId="32108" refreshError="1"/>
      <sheetData sheetId="32109">
        <row r="1">
          <cell r="J1">
            <v>1.7453292519943295E-2</v>
          </cell>
        </row>
      </sheetData>
      <sheetData sheetId="32110">
        <row r="1">
          <cell r="J1">
            <v>1.7453292519943295E-2</v>
          </cell>
        </row>
      </sheetData>
      <sheetData sheetId="32111">
        <row r="1">
          <cell r="J1">
            <v>1.7453292519943295E-2</v>
          </cell>
        </row>
      </sheetData>
      <sheetData sheetId="32112" refreshError="1"/>
      <sheetData sheetId="32113">
        <row r="1">
          <cell r="J1">
            <v>1.7453292519943295E-2</v>
          </cell>
        </row>
      </sheetData>
      <sheetData sheetId="32114">
        <row r="1">
          <cell r="J1">
            <v>1.7453292519943295E-2</v>
          </cell>
        </row>
      </sheetData>
      <sheetData sheetId="32115">
        <row r="1">
          <cell r="J1">
            <v>1.7453292519943295E-2</v>
          </cell>
        </row>
      </sheetData>
      <sheetData sheetId="32116">
        <row r="1">
          <cell r="J1">
            <v>1.7453292519943295E-2</v>
          </cell>
        </row>
      </sheetData>
      <sheetData sheetId="32117">
        <row r="1">
          <cell r="J1">
            <v>1.7453292519943295E-2</v>
          </cell>
        </row>
      </sheetData>
      <sheetData sheetId="32118">
        <row r="1">
          <cell r="J1">
            <v>1.7453292519943295E-2</v>
          </cell>
        </row>
      </sheetData>
      <sheetData sheetId="32119" refreshError="1"/>
      <sheetData sheetId="32120" refreshError="1"/>
      <sheetData sheetId="32121">
        <row r="1">
          <cell r="J1">
            <v>1.7453292519943295E-2</v>
          </cell>
        </row>
      </sheetData>
      <sheetData sheetId="32122">
        <row r="1">
          <cell r="J1">
            <v>1.7453292519943295E-2</v>
          </cell>
        </row>
      </sheetData>
      <sheetData sheetId="32123">
        <row r="1">
          <cell r="J1">
            <v>1.7453292519943295E-2</v>
          </cell>
        </row>
      </sheetData>
      <sheetData sheetId="32124">
        <row r="1">
          <cell r="J1">
            <v>1.7453292519943295E-2</v>
          </cell>
        </row>
      </sheetData>
      <sheetData sheetId="32125" refreshError="1"/>
      <sheetData sheetId="32126"/>
      <sheetData sheetId="32127">
        <row r="1">
          <cell r="J1">
            <v>1.7453292519943295E-2</v>
          </cell>
        </row>
      </sheetData>
      <sheetData sheetId="32128" refreshError="1"/>
      <sheetData sheetId="32129" refreshError="1"/>
      <sheetData sheetId="32130">
        <row r="1">
          <cell r="J1">
            <v>1.7453292519943295E-2</v>
          </cell>
        </row>
      </sheetData>
      <sheetData sheetId="32131">
        <row r="1">
          <cell r="J1">
            <v>1.7453292519943295E-2</v>
          </cell>
        </row>
      </sheetData>
      <sheetData sheetId="32132">
        <row r="1">
          <cell r="J1">
            <v>1.7453292519943295E-2</v>
          </cell>
        </row>
      </sheetData>
      <sheetData sheetId="32133" refreshError="1"/>
      <sheetData sheetId="32134" refreshError="1"/>
      <sheetData sheetId="32135">
        <row r="1">
          <cell r="J1">
            <v>1.7453292519943295E-2</v>
          </cell>
        </row>
      </sheetData>
      <sheetData sheetId="32136">
        <row r="1">
          <cell r="J1">
            <v>1.7453292519943295E-2</v>
          </cell>
        </row>
      </sheetData>
      <sheetData sheetId="32137">
        <row r="1">
          <cell r="J1">
            <v>1.7453292519943295E-2</v>
          </cell>
        </row>
      </sheetData>
      <sheetData sheetId="32138" refreshError="1"/>
      <sheetData sheetId="32139" refreshError="1"/>
      <sheetData sheetId="32140">
        <row r="1">
          <cell r="J1">
            <v>1.7453292519943295E-2</v>
          </cell>
        </row>
      </sheetData>
      <sheetData sheetId="32141" refreshError="1"/>
      <sheetData sheetId="32142" refreshError="1"/>
      <sheetData sheetId="32143">
        <row r="1">
          <cell r="J1">
            <v>1.7453292519943295E-2</v>
          </cell>
        </row>
      </sheetData>
      <sheetData sheetId="32144" refreshError="1"/>
      <sheetData sheetId="32145">
        <row r="1">
          <cell r="J1">
            <v>1.7453292519943295E-2</v>
          </cell>
        </row>
      </sheetData>
      <sheetData sheetId="32146"/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>
        <row r="1">
          <cell r="J1">
            <v>1.7453292519943295E-2</v>
          </cell>
        </row>
      </sheetData>
      <sheetData sheetId="32161">
        <row r="1">
          <cell r="J1">
            <v>1.7453292519943295E-2</v>
          </cell>
        </row>
      </sheetData>
      <sheetData sheetId="32162">
        <row r="1">
          <cell r="J1">
            <v>1.7453292519943295E-2</v>
          </cell>
        </row>
      </sheetData>
      <sheetData sheetId="32163">
        <row r="1">
          <cell r="J1">
            <v>1.7453292519943295E-2</v>
          </cell>
        </row>
      </sheetData>
      <sheetData sheetId="32164"/>
      <sheetData sheetId="32165"/>
      <sheetData sheetId="32166"/>
      <sheetData sheetId="32167">
        <row r="1">
          <cell r="J1">
            <v>1.7453292519943295E-2</v>
          </cell>
        </row>
      </sheetData>
      <sheetData sheetId="32168" refreshError="1"/>
      <sheetData sheetId="32169" refreshError="1"/>
      <sheetData sheetId="32170">
        <row r="1">
          <cell r="J1">
            <v>1.7453292519943295E-2</v>
          </cell>
        </row>
      </sheetData>
      <sheetData sheetId="32171">
        <row r="1">
          <cell r="J1">
            <v>1.7453292519943295E-2</v>
          </cell>
        </row>
      </sheetData>
      <sheetData sheetId="32172">
        <row r="1">
          <cell r="J1">
            <v>1.7453292519943295E-2</v>
          </cell>
        </row>
      </sheetData>
      <sheetData sheetId="32173" refreshError="1"/>
      <sheetData sheetId="32174" refreshError="1"/>
      <sheetData sheetId="32175">
        <row r="1">
          <cell r="J1">
            <v>1.7453292519943295E-2</v>
          </cell>
        </row>
      </sheetData>
      <sheetData sheetId="32176">
        <row r="1">
          <cell r="J1">
            <v>1.7453292519943295E-2</v>
          </cell>
        </row>
      </sheetData>
      <sheetData sheetId="32177">
        <row r="1">
          <cell r="J1">
            <v>1.7453292519943295E-2</v>
          </cell>
        </row>
      </sheetData>
      <sheetData sheetId="32178" refreshError="1"/>
      <sheetData sheetId="32179" refreshError="1"/>
      <sheetData sheetId="32180"/>
      <sheetData sheetId="32181" refreshError="1"/>
      <sheetData sheetId="32182" refreshError="1"/>
      <sheetData sheetId="32183"/>
      <sheetData sheetId="32184" refreshError="1"/>
      <sheetData sheetId="32185">
        <row r="1">
          <cell r="J1">
            <v>1.7453292519943295E-2</v>
          </cell>
        </row>
      </sheetData>
      <sheetData sheetId="32186"/>
      <sheetData sheetId="32187"/>
      <sheetData sheetId="32188"/>
      <sheetData sheetId="32189"/>
      <sheetData sheetId="32190"/>
      <sheetData sheetId="32191"/>
      <sheetData sheetId="32192"/>
      <sheetData sheetId="32193"/>
      <sheetData sheetId="32194"/>
      <sheetData sheetId="32195"/>
      <sheetData sheetId="32196"/>
      <sheetData sheetId="32197"/>
      <sheetData sheetId="32198"/>
      <sheetData sheetId="32199"/>
      <sheetData sheetId="32200">
        <row r="1">
          <cell r="J1">
            <v>1.7453292519943295E-2</v>
          </cell>
        </row>
      </sheetData>
      <sheetData sheetId="32201">
        <row r="1">
          <cell r="J1">
            <v>1.7453292519943295E-2</v>
          </cell>
        </row>
      </sheetData>
      <sheetData sheetId="32202">
        <row r="1">
          <cell r="J1">
            <v>1.7453292519943295E-2</v>
          </cell>
        </row>
      </sheetData>
      <sheetData sheetId="32203">
        <row r="1">
          <cell r="J1">
            <v>1.7453292519943295E-2</v>
          </cell>
        </row>
      </sheetData>
      <sheetData sheetId="32204"/>
      <sheetData sheetId="32205"/>
      <sheetData sheetId="32206"/>
      <sheetData sheetId="32207">
        <row r="1">
          <cell r="J1">
            <v>1.7453292519943295E-2</v>
          </cell>
        </row>
      </sheetData>
      <sheetData sheetId="32208" refreshError="1"/>
      <sheetData sheetId="32209" refreshError="1"/>
      <sheetData sheetId="32210">
        <row r="1">
          <cell r="J1">
            <v>1.7453292519943295E-2</v>
          </cell>
        </row>
      </sheetData>
      <sheetData sheetId="32211">
        <row r="1">
          <cell r="J1">
            <v>1.7453292519943295E-2</v>
          </cell>
        </row>
      </sheetData>
      <sheetData sheetId="32212" refreshError="1"/>
      <sheetData sheetId="32213"/>
      <sheetData sheetId="32214">
        <row r="1">
          <cell r="J1">
            <v>1.7453292519943295E-2</v>
          </cell>
        </row>
      </sheetData>
      <sheetData sheetId="32215">
        <row r="1">
          <cell r="J1">
            <v>1.7453292519943295E-2</v>
          </cell>
        </row>
      </sheetData>
      <sheetData sheetId="32216">
        <row r="1">
          <cell r="J1">
            <v>1.7453292519943295E-2</v>
          </cell>
        </row>
      </sheetData>
      <sheetData sheetId="32217">
        <row r="1">
          <cell r="J1">
            <v>1.7453292519943295E-2</v>
          </cell>
        </row>
      </sheetData>
      <sheetData sheetId="32218" refreshError="1"/>
      <sheetData sheetId="32219" refreshError="1"/>
      <sheetData sheetId="32220">
        <row r="1">
          <cell r="J1">
            <v>1.7453292519943295E-2</v>
          </cell>
        </row>
      </sheetData>
      <sheetData sheetId="32221">
        <row r="1">
          <cell r="J1">
            <v>1.7453292519943295E-2</v>
          </cell>
        </row>
      </sheetData>
      <sheetData sheetId="32222" refreshError="1"/>
      <sheetData sheetId="32223" refreshError="1"/>
      <sheetData sheetId="32224">
        <row r="1">
          <cell r="J1">
            <v>1.7453292519943295E-2</v>
          </cell>
        </row>
      </sheetData>
      <sheetData sheetId="32225">
        <row r="1">
          <cell r="J1">
            <v>1.7453292519943295E-2</v>
          </cell>
        </row>
      </sheetData>
      <sheetData sheetId="32226">
        <row r="1">
          <cell r="J1">
            <v>1.7453292519943295E-2</v>
          </cell>
        </row>
      </sheetData>
      <sheetData sheetId="32227" refreshError="1"/>
      <sheetData sheetId="32228" refreshError="1"/>
      <sheetData sheetId="32229"/>
      <sheetData sheetId="32230" refreshError="1"/>
      <sheetData sheetId="32231" refreshError="1"/>
      <sheetData sheetId="32232"/>
      <sheetData sheetId="32233" refreshError="1"/>
      <sheetData sheetId="32234"/>
      <sheetData sheetId="32235"/>
      <sheetData sheetId="32236"/>
      <sheetData sheetId="32237"/>
      <sheetData sheetId="32238"/>
      <sheetData sheetId="32239"/>
      <sheetData sheetId="32240"/>
      <sheetData sheetId="32241"/>
      <sheetData sheetId="32242"/>
      <sheetData sheetId="32243"/>
      <sheetData sheetId="32244"/>
      <sheetData sheetId="32245"/>
      <sheetData sheetId="32246"/>
      <sheetData sheetId="32247"/>
      <sheetData sheetId="32248">
        <row r="1">
          <cell r="J1">
            <v>1.7453292519943295E-2</v>
          </cell>
        </row>
      </sheetData>
      <sheetData sheetId="32249">
        <row r="1">
          <cell r="J1">
            <v>1.7453292519943295E-2</v>
          </cell>
        </row>
      </sheetData>
      <sheetData sheetId="32250">
        <row r="1">
          <cell r="J1">
            <v>1.7453292519943295E-2</v>
          </cell>
        </row>
      </sheetData>
      <sheetData sheetId="32251"/>
      <sheetData sheetId="32252"/>
      <sheetData sheetId="32253"/>
      <sheetData sheetId="32254">
        <row r="1">
          <cell r="J1">
            <v>1.7453292519943295E-2</v>
          </cell>
        </row>
      </sheetData>
      <sheetData sheetId="32255">
        <row r="1">
          <cell r="J1">
            <v>1.7453292519943295E-2</v>
          </cell>
        </row>
      </sheetData>
      <sheetData sheetId="32256" refreshError="1"/>
      <sheetData sheetId="32257" refreshError="1"/>
      <sheetData sheetId="32258">
        <row r="1">
          <cell r="J1">
            <v>1.7453292519943295E-2</v>
          </cell>
        </row>
      </sheetData>
      <sheetData sheetId="32259">
        <row r="1">
          <cell r="J1">
            <v>1.7453292519943295E-2</v>
          </cell>
        </row>
      </sheetData>
      <sheetData sheetId="32260">
        <row r="1">
          <cell r="J1">
            <v>1.7453292519943295E-2</v>
          </cell>
        </row>
      </sheetData>
      <sheetData sheetId="32261" refreshError="1"/>
      <sheetData sheetId="32262" refreshError="1"/>
      <sheetData sheetId="32263">
        <row r="1">
          <cell r="J1">
            <v>1.7453292519943295E-2</v>
          </cell>
        </row>
      </sheetData>
      <sheetData sheetId="32264">
        <row r="1">
          <cell r="J1">
            <v>1.7453292519943295E-2</v>
          </cell>
        </row>
      </sheetData>
      <sheetData sheetId="32265">
        <row r="1">
          <cell r="J1">
            <v>1.7453292519943295E-2</v>
          </cell>
        </row>
      </sheetData>
      <sheetData sheetId="32266" refreshError="1"/>
      <sheetData sheetId="32267" refreshError="1"/>
      <sheetData sheetId="32268"/>
      <sheetData sheetId="32269" refreshError="1"/>
      <sheetData sheetId="32270" refreshError="1"/>
      <sheetData sheetId="32271"/>
      <sheetData sheetId="32272" refreshError="1"/>
      <sheetData sheetId="32273">
        <row r="1">
          <cell r="J1">
            <v>1.7453292519943295E-2</v>
          </cell>
        </row>
      </sheetData>
      <sheetData sheetId="32274"/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>
        <row r="1">
          <cell r="J1">
            <v>1.7453292519943295E-2</v>
          </cell>
        </row>
      </sheetData>
      <sheetData sheetId="32289">
        <row r="1">
          <cell r="J1">
            <v>1.7453292519943295E-2</v>
          </cell>
        </row>
      </sheetData>
      <sheetData sheetId="32290">
        <row r="1">
          <cell r="J1">
            <v>1.7453292519943295E-2</v>
          </cell>
        </row>
      </sheetData>
      <sheetData sheetId="32291">
        <row r="1">
          <cell r="J1">
            <v>1.7453292519943295E-2</v>
          </cell>
        </row>
      </sheetData>
      <sheetData sheetId="32292"/>
      <sheetData sheetId="32293"/>
      <sheetData sheetId="32294"/>
      <sheetData sheetId="32295" refreshError="1"/>
      <sheetData sheetId="32296" refreshError="1"/>
      <sheetData sheetId="32297">
        <row r="1">
          <cell r="J1">
            <v>1.7453292519943295E-2</v>
          </cell>
        </row>
      </sheetData>
      <sheetData sheetId="32298">
        <row r="1">
          <cell r="J1">
            <v>1.7453292519943295E-2</v>
          </cell>
        </row>
      </sheetData>
      <sheetData sheetId="32299">
        <row r="1">
          <cell r="J1">
            <v>1.7453292519943295E-2</v>
          </cell>
        </row>
      </sheetData>
      <sheetData sheetId="32300" refreshError="1"/>
      <sheetData sheetId="32301"/>
      <sheetData sheetId="32302">
        <row r="1">
          <cell r="J1">
            <v>1.7453292519943295E-2</v>
          </cell>
        </row>
      </sheetData>
      <sheetData sheetId="32303">
        <row r="1">
          <cell r="J1">
            <v>1.7453292519943295E-2</v>
          </cell>
        </row>
      </sheetData>
      <sheetData sheetId="32304" refreshError="1"/>
      <sheetData sheetId="32305" refreshError="1"/>
      <sheetData sheetId="32306">
        <row r="1">
          <cell r="J1">
            <v>1.7453292519943295E-2</v>
          </cell>
        </row>
      </sheetData>
      <sheetData sheetId="32307">
        <row r="1">
          <cell r="J1">
            <v>1.7453292519943295E-2</v>
          </cell>
        </row>
      </sheetData>
      <sheetData sheetId="32308" refreshError="1"/>
      <sheetData sheetId="32309"/>
      <sheetData sheetId="32310">
        <row r="1">
          <cell r="J1">
            <v>1.7453292519943295E-2</v>
          </cell>
        </row>
      </sheetData>
      <sheetData sheetId="32311">
        <row r="1">
          <cell r="J1">
            <v>1.7453292519943295E-2</v>
          </cell>
        </row>
      </sheetData>
      <sheetData sheetId="32312">
        <row r="1">
          <cell r="J1">
            <v>1.7453292519943295E-2</v>
          </cell>
        </row>
      </sheetData>
      <sheetData sheetId="32313" refreshError="1"/>
      <sheetData sheetId="32314" refreshError="1"/>
      <sheetData sheetId="32315">
        <row r="1">
          <cell r="J1">
            <v>1.7453292519943295E-2</v>
          </cell>
        </row>
      </sheetData>
      <sheetData sheetId="32316">
        <row r="1">
          <cell r="J1">
            <v>1.7453292519943295E-2</v>
          </cell>
        </row>
      </sheetData>
      <sheetData sheetId="32317" refreshError="1"/>
      <sheetData sheetId="32318"/>
      <sheetData sheetId="32319">
        <row r="1">
          <cell r="J1">
            <v>1.7453292519943295E-2</v>
          </cell>
        </row>
      </sheetData>
      <sheetData sheetId="32320" refreshError="1"/>
      <sheetData sheetId="32321" refreshError="1"/>
      <sheetData sheetId="32322">
        <row r="1">
          <cell r="J1">
            <v>1.7453292519943295E-2</v>
          </cell>
        </row>
      </sheetData>
      <sheetData sheetId="32323">
        <row r="1">
          <cell r="J1">
            <v>1.7453292519943295E-2</v>
          </cell>
        </row>
      </sheetData>
      <sheetData sheetId="32324">
        <row r="1">
          <cell r="J1">
            <v>1.7453292519943295E-2</v>
          </cell>
        </row>
      </sheetData>
      <sheetData sheetId="32325" refreshError="1"/>
      <sheetData sheetId="32326" refreshError="1"/>
      <sheetData sheetId="32327" refreshError="1"/>
      <sheetData sheetId="32328"/>
      <sheetData sheetId="32329" refreshError="1"/>
      <sheetData sheetId="32330">
        <row r="1">
          <cell r="J1">
            <v>1.7453292519943295E-2</v>
          </cell>
        </row>
      </sheetData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/>
      <sheetData sheetId="32343"/>
      <sheetData sheetId="32344"/>
      <sheetData sheetId="32345">
        <row r="1">
          <cell r="J1">
            <v>1.7453292519943295E-2</v>
          </cell>
        </row>
      </sheetData>
      <sheetData sheetId="32346">
        <row r="1">
          <cell r="J1">
            <v>1.7453292519943295E-2</v>
          </cell>
        </row>
      </sheetData>
      <sheetData sheetId="32347">
        <row r="1">
          <cell r="J1">
            <v>1.7453292519943295E-2</v>
          </cell>
        </row>
      </sheetData>
      <sheetData sheetId="32348"/>
      <sheetData sheetId="32349"/>
      <sheetData sheetId="32350"/>
      <sheetData sheetId="32351" refreshError="1"/>
      <sheetData sheetId="32352" refreshError="1"/>
      <sheetData sheetId="32353" refreshError="1"/>
      <sheetData sheetId="32354"/>
      <sheetData sheetId="32355"/>
      <sheetData sheetId="32356"/>
      <sheetData sheetId="32357"/>
      <sheetData sheetId="32358"/>
      <sheetData sheetId="32359"/>
      <sheetData sheetId="32360"/>
      <sheetData sheetId="32361"/>
      <sheetData sheetId="32362"/>
      <sheetData sheetId="32363"/>
      <sheetData sheetId="32364"/>
      <sheetData sheetId="32365"/>
      <sheetData sheetId="32366"/>
      <sheetData sheetId="32367"/>
      <sheetData sheetId="32368">
        <row r="1">
          <cell r="J1">
            <v>1.7453292519943295E-2</v>
          </cell>
        </row>
      </sheetData>
      <sheetData sheetId="32369">
        <row r="1">
          <cell r="J1">
            <v>1.7453292519943295E-2</v>
          </cell>
        </row>
      </sheetData>
      <sheetData sheetId="32370">
        <row r="1">
          <cell r="J1">
            <v>1.7453292519943295E-2</v>
          </cell>
        </row>
      </sheetData>
      <sheetData sheetId="32371"/>
      <sheetData sheetId="32372"/>
      <sheetData sheetId="32373"/>
      <sheetData sheetId="32374" refreshError="1"/>
      <sheetData sheetId="32375" refreshError="1"/>
      <sheetData sheetId="32376">
        <row r="1">
          <cell r="J1">
            <v>1.7453292519943295E-2</v>
          </cell>
        </row>
      </sheetData>
      <sheetData sheetId="32377">
        <row r="1">
          <cell r="J1">
            <v>1.7453292519943295E-2</v>
          </cell>
        </row>
      </sheetData>
      <sheetData sheetId="32378" refreshError="1"/>
      <sheetData sheetId="32379" refreshError="1"/>
      <sheetData sheetId="32380">
        <row r="1">
          <cell r="J1">
            <v>1.7453292519943295E-2</v>
          </cell>
        </row>
      </sheetData>
      <sheetData sheetId="32381">
        <row r="1">
          <cell r="J1">
            <v>1.7453292519943295E-2</v>
          </cell>
        </row>
      </sheetData>
      <sheetData sheetId="32382">
        <row r="1">
          <cell r="J1">
            <v>1.7453292519943295E-2</v>
          </cell>
        </row>
      </sheetData>
      <sheetData sheetId="32383" refreshError="1"/>
      <sheetData sheetId="32384" refreshError="1"/>
      <sheetData sheetId="32385"/>
      <sheetData sheetId="32386" refreshError="1"/>
      <sheetData sheetId="32387" refreshError="1"/>
      <sheetData sheetId="32388"/>
      <sheetData sheetId="32389" refreshError="1"/>
      <sheetData sheetId="32390">
        <row r="1">
          <cell r="J1">
            <v>1.7453292519943295E-2</v>
          </cell>
        </row>
      </sheetData>
      <sheetData sheetId="32391"/>
      <sheetData sheetId="32392"/>
      <sheetData sheetId="32393"/>
      <sheetData sheetId="32394"/>
      <sheetData sheetId="32395"/>
      <sheetData sheetId="32396"/>
      <sheetData sheetId="32397"/>
      <sheetData sheetId="32398"/>
      <sheetData sheetId="32399"/>
      <sheetData sheetId="32400"/>
      <sheetData sheetId="32401"/>
      <sheetData sheetId="32402"/>
      <sheetData sheetId="32403"/>
      <sheetData sheetId="32404"/>
      <sheetData sheetId="32405">
        <row r="1">
          <cell r="J1">
            <v>1.7453292519943295E-2</v>
          </cell>
        </row>
      </sheetData>
      <sheetData sheetId="32406">
        <row r="1">
          <cell r="J1">
            <v>1.7453292519943295E-2</v>
          </cell>
        </row>
      </sheetData>
      <sheetData sheetId="32407">
        <row r="1">
          <cell r="J1">
            <v>1.7453292519943295E-2</v>
          </cell>
        </row>
      </sheetData>
      <sheetData sheetId="32408">
        <row r="1">
          <cell r="J1">
            <v>1.7453292519943295E-2</v>
          </cell>
        </row>
      </sheetData>
      <sheetData sheetId="32409"/>
      <sheetData sheetId="32410"/>
      <sheetData sheetId="32411"/>
      <sheetData sheetId="32412" refreshError="1"/>
      <sheetData sheetId="32413" refreshError="1"/>
      <sheetData sheetId="32414">
        <row r="1">
          <cell r="J1">
            <v>1.7453292519943295E-2</v>
          </cell>
        </row>
      </sheetData>
      <sheetData sheetId="32415">
        <row r="1">
          <cell r="J1">
            <v>1.7453292519943295E-2</v>
          </cell>
        </row>
      </sheetData>
      <sheetData sheetId="32416">
        <row r="1">
          <cell r="J1">
            <v>1.7453292519943295E-2</v>
          </cell>
        </row>
      </sheetData>
      <sheetData sheetId="32417">
        <row r="1">
          <cell r="J1">
            <v>1.7453292519943295E-2</v>
          </cell>
        </row>
      </sheetData>
      <sheetData sheetId="32418" refreshError="1"/>
      <sheetData sheetId="32419"/>
      <sheetData sheetId="32420">
        <row r="1">
          <cell r="J1">
            <v>1.7453292519943295E-2</v>
          </cell>
        </row>
      </sheetData>
      <sheetData sheetId="32421" refreshError="1"/>
      <sheetData sheetId="32422" refreshError="1"/>
      <sheetData sheetId="32423">
        <row r="1">
          <cell r="J1">
            <v>1.7453292519943295E-2</v>
          </cell>
        </row>
      </sheetData>
      <sheetData sheetId="32424">
        <row r="1">
          <cell r="J1">
            <v>1.7453292519943295E-2</v>
          </cell>
        </row>
      </sheetData>
      <sheetData sheetId="32425">
        <row r="1">
          <cell r="J1">
            <v>1.7453292519943295E-2</v>
          </cell>
        </row>
      </sheetData>
      <sheetData sheetId="32426" refreshError="1"/>
      <sheetData sheetId="32427" refreshError="1"/>
      <sheetData sheetId="32428" refreshError="1"/>
      <sheetData sheetId="32429"/>
      <sheetData sheetId="32430" refreshError="1"/>
      <sheetData sheetId="32431">
        <row r="1">
          <cell r="J1">
            <v>1.7453292519943295E-2</v>
          </cell>
        </row>
      </sheetData>
      <sheetData sheetId="32432"/>
      <sheetData sheetId="32433"/>
      <sheetData sheetId="32434"/>
      <sheetData sheetId="32435"/>
      <sheetData sheetId="32436"/>
      <sheetData sheetId="32437"/>
      <sheetData sheetId="32438"/>
      <sheetData sheetId="32439"/>
      <sheetData sheetId="32440"/>
      <sheetData sheetId="32441"/>
      <sheetData sheetId="32442"/>
      <sheetData sheetId="32443"/>
      <sheetData sheetId="32444"/>
      <sheetData sheetId="32445"/>
      <sheetData sheetId="32446">
        <row r="1">
          <cell r="J1">
            <v>1.7453292519943295E-2</v>
          </cell>
        </row>
      </sheetData>
      <sheetData sheetId="32447">
        <row r="1">
          <cell r="J1">
            <v>1.7453292519943295E-2</v>
          </cell>
        </row>
      </sheetData>
      <sheetData sheetId="32448">
        <row r="1">
          <cell r="J1">
            <v>1.7453292519943295E-2</v>
          </cell>
        </row>
      </sheetData>
      <sheetData sheetId="32449"/>
      <sheetData sheetId="32450"/>
      <sheetData sheetId="32451"/>
      <sheetData sheetId="32452">
        <row r="1">
          <cell r="J1">
            <v>1.7453292519943295E-2</v>
          </cell>
        </row>
      </sheetData>
      <sheetData sheetId="32453">
        <row r="1">
          <cell r="J1">
            <v>1.7453292519943295E-2</v>
          </cell>
        </row>
      </sheetData>
      <sheetData sheetId="32454">
        <row r="1">
          <cell r="J1">
            <v>1.7453292519943295E-2</v>
          </cell>
        </row>
      </sheetData>
      <sheetData sheetId="32455" refreshError="1"/>
      <sheetData sheetId="32456" refreshError="1"/>
      <sheetData sheetId="32457">
        <row r="1">
          <cell r="J1">
            <v>1.7453292519943295E-2</v>
          </cell>
        </row>
      </sheetData>
      <sheetData sheetId="32458">
        <row r="1">
          <cell r="J1">
            <v>1.7453292519943295E-2</v>
          </cell>
        </row>
      </sheetData>
      <sheetData sheetId="32459">
        <row r="1">
          <cell r="J1">
            <v>1.7453292519943295E-2</v>
          </cell>
        </row>
      </sheetData>
      <sheetData sheetId="32460" refreshError="1"/>
      <sheetData sheetId="32461"/>
      <sheetData sheetId="32462">
        <row r="1">
          <cell r="J1">
            <v>1.7453292519943295E-2</v>
          </cell>
        </row>
      </sheetData>
      <sheetData sheetId="32463">
        <row r="1">
          <cell r="J1">
            <v>1.7453292519943295E-2</v>
          </cell>
        </row>
      </sheetData>
      <sheetData sheetId="32464" refreshError="1"/>
      <sheetData sheetId="32465" refreshError="1"/>
      <sheetData sheetId="32466">
        <row r="1">
          <cell r="J1">
            <v>1.7453292519943295E-2</v>
          </cell>
        </row>
      </sheetData>
      <sheetData sheetId="32467">
        <row r="1">
          <cell r="J1">
            <v>1.7453292519943295E-2</v>
          </cell>
        </row>
      </sheetData>
      <sheetData sheetId="32468">
        <row r="1">
          <cell r="J1">
            <v>1.7453292519943295E-2</v>
          </cell>
        </row>
      </sheetData>
      <sheetData sheetId="32469" refreshError="1"/>
      <sheetData sheetId="32470"/>
      <sheetData sheetId="32471">
        <row r="1">
          <cell r="J1">
            <v>1.7453292519943295E-2</v>
          </cell>
        </row>
      </sheetData>
      <sheetData sheetId="32472" refreshError="1"/>
      <sheetData sheetId="32473" refreshError="1"/>
      <sheetData sheetId="32474">
        <row r="1">
          <cell r="J1">
            <v>1.7453292519943295E-2</v>
          </cell>
        </row>
      </sheetData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>
        <row r="1">
          <cell r="J1">
            <v>1.7453292519943295E-2</v>
          </cell>
        </row>
      </sheetData>
      <sheetData sheetId="32484">
        <row r="1">
          <cell r="J1">
            <v>1.7453292519943295E-2</v>
          </cell>
        </row>
      </sheetData>
      <sheetData sheetId="32485">
        <row r="1">
          <cell r="J1">
            <v>1.7453292519943295E-2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>
        <row r="1">
          <cell r="J1">
            <v>1.7453292519943295E-2</v>
          </cell>
        </row>
      </sheetData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>
        <row r="1">
          <cell r="J1">
            <v>1.7453292519943295E-2</v>
          </cell>
        </row>
      </sheetData>
      <sheetData sheetId="32505">
        <row r="1">
          <cell r="J1">
            <v>1.7453292519943295E-2</v>
          </cell>
        </row>
      </sheetData>
      <sheetData sheetId="32506" refreshError="1"/>
      <sheetData sheetId="32507">
        <row r="1">
          <cell r="J1">
            <v>1.7453292519943295E-2</v>
          </cell>
        </row>
      </sheetData>
      <sheetData sheetId="32508" refreshError="1"/>
      <sheetData sheetId="32509" refreshError="1"/>
      <sheetData sheetId="32510" refreshError="1"/>
      <sheetData sheetId="32511">
        <row r="1">
          <cell r="J1">
            <v>1.7453292519943295E-2</v>
          </cell>
        </row>
      </sheetData>
      <sheetData sheetId="32512">
        <row r="1">
          <cell r="J1">
            <v>1.7453292519943295E-2</v>
          </cell>
        </row>
      </sheetData>
      <sheetData sheetId="32513" refreshError="1"/>
      <sheetData sheetId="32514">
        <row r="1">
          <cell r="J1">
            <v>1.7453292519943295E-2</v>
          </cell>
        </row>
      </sheetData>
      <sheetData sheetId="32515">
        <row r="1">
          <cell r="J1">
            <v>1.7453292519943295E-2</v>
          </cell>
        </row>
      </sheetData>
      <sheetData sheetId="32516">
        <row r="1">
          <cell r="J1">
            <v>1.7453292519943295E-2</v>
          </cell>
        </row>
      </sheetData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>
        <row r="1">
          <cell r="J1">
            <v>1.7453292519943295E-2</v>
          </cell>
        </row>
      </sheetData>
      <sheetData sheetId="32526">
        <row r="1">
          <cell r="J1">
            <v>1.7453292519943295E-2</v>
          </cell>
        </row>
      </sheetData>
      <sheetData sheetId="32527" refreshError="1"/>
      <sheetData sheetId="32528" refreshError="1"/>
      <sheetData sheetId="32529" refreshError="1"/>
      <sheetData sheetId="32530">
        <row r="1">
          <cell r="J1">
            <v>1.7453292519943295E-2</v>
          </cell>
        </row>
      </sheetData>
      <sheetData sheetId="32531">
        <row r="1">
          <cell r="J1">
            <v>1.7453292519943295E-2</v>
          </cell>
        </row>
      </sheetData>
      <sheetData sheetId="32532" refreshError="1"/>
      <sheetData sheetId="32533">
        <row r="1">
          <cell r="J1">
            <v>1.7453292519943295E-2</v>
          </cell>
        </row>
      </sheetData>
      <sheetData sheetId="32534">
        <row r="1">
          <cell r="J1">
            <v>1.7453292519943295E-2</v>
          </cell>
        </row>
      </sheetData>
      <sheetData sheetId="32535">
        <row r="1">
          <cell r="J1">
            <v>1.7453292519943295E-2</v>
          </cell>
        </row>
      </sheetData>
      <sheetData sheetId="32536" refreshError="1"/>
      <sheetData sheetId="32537" refreshError="1"/>
      <sheetData sheetId="32538" refreshError="1"/>
      <sheetData sheetId="32539">
        <row r="1">
          <cell r="J1">
            <v>1.7453292519943295E-2</v>
          </cell>
        </row>
      </sheetData>
      <sheetData sheetId="32540">
        <row r="1">
          <cell r="J1">
            <v>1.7453292519943295E-2</v>
          </cell>
        </row>
      </sheetData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 refreshError="1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>
        <row r="1">
          <cell r="J1">
            <v>1.7453292519943295E-2</v>
          </cell>
        </row>
      </sheetData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>
        <row r="1">
          <cell r="J1">
            <v>1.7453292519943295E-2</v>
          </cell>
        </row>
      </sheetData>
      <sheetData sheetId="32657">
        <row r="1">
          <cell r="J1">
            <v>1.7453292519943295E-2</v>
          </cell>
        </row>
      </sheetData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>
        <row r="1">
          <cell r="J1">
            <v>1.7453292519943295E-2</v>
          </cell>
        </row>
      </sheetData>
      <sheetData sheetId="32664" refreshError="1"/>
      <sheetData sheetId="32665">
        <row r="1">
          <cell r="J1">
            <v>1.7453292519943295E-2</v>
          </cell>
        </row>
      </sheetData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>
        <row r="1">
          <cell r="J1">
            <v>1.7453292519943295E-2</v>
          </cell>
        </row>
      </sheetData>
      <sheetData sheetId="32682">
        <row r="1">
          <cell r="J1">
            <v>1.7453292519943295E-2</v>
          </cell>
        </row>
      </sheetData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 refreshError="1"/>
      <sheetData sheetId="32725" refreshError="1"/>
      <sheetData sheetId="32726" refreshError="1"/>
      <sheetData sheetId="32727" refreshError="1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 refreshError="1"/>
      <sheetData sheetId="33010" refreshError="1"/>
      <sheetData sheetId="33011" refreshError="1"/>
      <sheetData sheetId="33012" refreshError="1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>
        <row r="1">
          <cell r="J1">
            <v>1.7453292519943295E-2</v>
          </cell>
        </row>
      </sheetData>
      <sheetData sheetId="33042" refreshError="1"/>
      <sheetData sheetId="33043">
        <row r="1">
          <cell r="J1">
            <v>1.7453292519943295E-2</v>
          </cell>
        </row>
      </sheetData>
      <sheetData sheetId="33044">
        <row r="1">
          <cell r="J1">
            <v>1.7453292519943295E-2</v>
          </cell>
        </row>
      </sheetData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>
        <row r="1">
          <cell r="J1">
            <v>1.7453292519943295E-2</v>
          </cell>
        </row>
      </sheetData>
      <sheetData sheetId="33064" refreshError="1"/>
      <sheetData sheetId="33065" refreshError="1"/>
      <sheetData sheetId="33066">
        <row r="1">
          <cell r="J1">
            <v>1.7453292519943295E-2</v>
          </cell>
        </row>
      </sheetData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/>
      <sheetData sheetId="33135"/>
      <sheetData sheetId="33136" refreshError="1"/>
      <sheetData sheetId="33137">
        <row r="1">
          <cell r="J1">
            <v>1.7453292519943295E-2</v>
          </cell>
        </row>
      </sheetData>
      <sheetData sheetId="33138">
        <row r="1">
          <cell r="J1">
            <v>1.7453292519943295E-2</v>
          </cell>
        </row>
      </sheetData>
      <sheetData sheetId="33139">
        <row r="1">
          <cell r="J1">
            <v>1.7453292519943295E-2</v>
          </cell>
        </row>
      </sheetData>
      <sheetData sheetId="33140">
        <row r="1">
          <cell r="J1">
            <v>1.7453292519943295E-2</v>
          </cell>
        </row>
      </sheetData>
      <sheetData sheetId="33141" refreshError="1"/>
      <sheetData sheetId="33142" refreshError="1"/>
      <sheetData sheetId="33143" refreshError="1"/>
      <sheetData sheetId="33144">
        <row r="1">
          <cell r="J1">
            <v>1.7453292519943295E-2</v>
          </cell>
        </row>
      </sheetData>
      <sheetData sheetId="33145" refreshError="1"/>
      <sheetData sheetId="33146" refreshError="1"/>
      <sheetData sheetId="33147">
        <row r="1">
          <cell r="J1">
            <v>1.7453292519943295E-2</v>
          </cell>
        </row>
      </sheetData>
      <sheetData sheetId="33148">
        <row r="1">
          <cell r="J1">
            <v>1.7453292519943295E-2</v>
          </cell>
        </row>
      </sheetData>
      <sheetData sheetId="33149">
        <row r="1">
          <cell r="J1">
            <v>1.7453292519943295E-2</v>
          </cell>
        </row>
      </sheetData>
      <sheetData sheetId="33150" refreshError="1"/>
      <sheetData sheetId="33151" refreshError="1"/>
      <sheetData sheetId="33152" refreshError="1"/>
      <sheetData sheetId="33153">
        <row r="1">
          <cell r="J1">
            <v>1.7453292519943295E-2</v>
          </cell>
        </row>
      </sheetData>
      <sheetData sheetId="33154" refreshError="1"/>
      <sheetData sheetId="33155">
        <row r="1">
          <cell r="J1">
            <v>1.7453292519943295E-2</v>
          </cell>
        </row>
      </sheetData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>
        <row r="1">
          <cell r="J1">
            <v>1.7453292519943295E-2</v>
          </cell>
        </row>
      </sheetData>
      <sheetData sheetId="33171">
        <row r="1">
          <cell r="J1">
            <v>1.7453292519943295E-2</v>
          </cell>
        </row>
      </sheetData>
      <sheetData sheetId="33172">
        <row r="1">
          <cell r="J1">
            <v>1.7453292519943295E-2</v>
          </cell>
        </row>
      </sheetData>
      <sheetData sheetId="33173"/>
      <sheetData sheetId="33174"/>
      <sheetData sheetId="33175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>
        <row r="1">
          <cell r="J1">
            <v>1.7453292519943295E-2</v>
          </cell>
        </row>
      </sheetData>
      <sheetData sheetId="33207">
        <row r="1">
          <cell r="J1">
            <v>1.7453292519943295E-2</v>
          </cell>
        </row>
      </sheetData>
      <sheetData sheetId="33208" refreshError="1"/>
      <sheetData sheetId="33209" refreshError="1"/>
      <sheetData sheetId="33210">
        <row r="1">
          <cell r="J1">
            <v>1.7453292519943295E-2</v>
          </cell>
        </row>
      </sheetData>
      <sheetData sheetId="33211">
        <row r="1">
          <cell r="J1">
            <v>1.7453292519943295E-2</v>
          </cell>
        </row>
      </sheetData>
      <sheetData sheetId="33212">
        <row r="1">
          <cell r="J1">
            <v>1.7453292519943295E-2</v>
          </cell>
        </row>
      </sheetData>
      <sheetData sheetId="33213" refreshError="1"/>
      <sheetData sheetId="33214">
        <row r="1">
          <cell r="J1">
            <v>1.7453292519943295E-2</v>
          </cell>
        </row>
      </sheetData>
      <sheetData sheetId="33215"/>
      <sheetData sheetId="33216">
        <row r="1">
          <cell r="J1">
            <v>1.7453292519943295E-2</v>
          </cell>
        </row>
      </sheetData>
      <sheetData sheetId="33217" refreshError="1"/>
      <sheetData sheetId="33218" refreshError="1"/>
      <sheetData sheetId="33219">
        <row r="1">
          <cell r="J1">
            <v>1.7453292519943295E-2</v>
          </cell>
        </row>
      </sheetData>
      <sheetData sheetId="33220">
        <row r="1">
          <cell r="J1">
            <v>1.7453292519943295E-2</v>
          </cell>
        </row>
      </sheetData>
      <sheetData sheetId="33221">
        <row r="1">
          <cell r="J1">
            <v>1.7453292519943295E-2</v>
          </cell>
        </row>
      </sheetData>
      <sheetData sheetId="33222" refreshError="1"/>
      <sheetData sheetId="33223">
        <row r="1">
          <cell r="J1">
            <v>1.7453292519943295E-2</v>
          </cell>
        </row>
      </sheetData>
      <sheetData sheetId="33224"/>
      <sheetData sheetId="33225">
        <row r="1">
          <cell r="J1">
            <v>1.7453292519943295E-2</v>
          </cell>
        </row>
      </sheetData>
      <sheetData sheetId="33226" refreshError="1"/>
      <sheetData sheetId="33227" refreshError="1"/>
      <sheetData sheetId="33228" refreshError="1"/>
      <sheetData sheetId="33229" refreshError="1"/>
      <sheetData sheetId="33230">
        <row r="1">
          <cell r="J1">
            <v>1.7453292519943295E-2</v>
          </cell>
        </row>
      </sheetData>
      <sheetData sheetId="33231">
        <row r="1">
          <cell r="J1">
            <v>1.7453292519943295E-2</v>
          </cell>
        </row>
      </sheetData>
      <sheetData sheetId="33232" refreshError="1"/>
      <sheetData sheetId="33233" refreshError="1"/>
      <sheetData sheetId="33234" refreshError="1"/>
      <sheetData sheetId="33235">
        <row r="1">
          <cell r="J1">
            <v>1.7453292519943295E-2</v>
          </cell>
        </row>
      </sheetData>
      <sheetData sheetId="33236" refreshError="1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>
        <row r="1">
          <cell r="J1">
            <v>1.7453292519943295E-2</v>
          </cell>
        </row>
      </sheetData>
      <sheetData sheetId="33252">
        <row r="1">
          <cell r="J1">
            <v>1.7453292519943295E-2</v>
          </cell>
        </row>
      </sheetData>
      <sheetData sheetId="33253">
        <row r="1">
          <cell r="J1">
            <v>1.7453292519943295E-2</v>
          </cell>
        </row>
      </sheetData>
      <sheetData sheetId="33254"/>
      <sheetData sheetId="33255"/>
      <sheetData sheetId="33256"/>
      <sheetData sheetId="33257">
        <row r="1">
          <cell r="J1">
            <v>1.7453292519943295E-2</v>
          </cell>
        </row>
      </sheetData>
      <sheetData sheetId="33258" refreshError="1"/>
      <sheetData sheetId="33259" refreshError="1"/>
      <sheetData sheetId="33260">
        <row r="1">
          <cell r="J1">
            <v>1.7453292519943295E-2</v>
          </cell>
        </row>
      </sheetData>
      <sheetData sheetId="33261">
        <row r="1">
          <cell r="J1">
            <v>1.7453292519943295E-2</v>
          </cell>
        </row>
      </sheetData>
      <sheetData sheetId="33262">
        <row r="1">
          <cell r="J1">
            <v>1.7453292519943295E-2</v>
          </cell>
        </row>
      </sheetData>
      <sheetData sheetId="33263" refreshError="1"/>
      <sheetData sheetId="33264">
        <row r="1">
          <cell r="J1">
            <v>1.7453292519943295E-2</v>
          </cell>
        </row>
      </sheetData>
      <sheetData sheetId="33265">
        <row r="1">
          <cell r="J1">
            <v>1.7453292519943295E-2</v>
          </cell>
        </row>
      </sheetData>
      <sheetData sheetId="33266">
        <row r="1">
          <cell r="J1">
            <v>1.7453292519943295E-2</v>
          </cell>
        </row>
      </sheetData>
      <sheetData sheetId="33267">
        <row r="1">
          <cell r="J1">
            <v>1.7453292519943295E-2</v>
          </cell>
        </row>
      </sheetData>
      <sheetData sheetId="33268" refreshError="1"/>
      <sheetData sheetId="33269">
        <row r="1">
          <cell r="J1">
            <v>1.7453292519943295E-2</v>
          </cell>
        </row>
      </sheetData>
      <sheetData sheetId="33270">
        <row r="1">
          <cell r="J1">
            <v>1.7453292519943295E-2</v>
          </cell>
        </row>
      </sheetData>
      <sheetData sheetId="33271">
        <row r="1">
          <cell r="J1">
            <v>1.7453292519943295E-2</v>
          </cell>
        </row>
      </sheetData>
      <sheetData sheetId="33272" refreshError="1"/>
      <sheetData sheetId="33273" refreshError="1"/>
      <sheetData sheetId="33274">
        <row r="1">
          <cell r="J1">
            <v>1.7453292519943295E-2</v>
          </cell>
        </row>
      </sheetData>
      <sheetData sheetId="33275">
        <row r="1">
          <cell r="J1">
            <v>1.7453292519943295E-2</v>
          </cell>
        </row>
      </sheetData>
      <sheetData sheetId="33276">
        <row r="1">
          <cell r="J1">
            <v>1.7453292519943295E-2</v>
          </cell>
        </row>
      </sheetData>
      <sheetData sheetId="33277" refreshError="1"/>
      <sheetData sheetId="33278" refreshError="1"/>
      <sheetData sheetId="33279">
        <row r="1">
          <cell r="J1">
            <v>1.7453292519943295E-2</v>
          </cell>
        </row>
      </sheetData>
      <sheetData sheetId="33280" refreshError="1"/>
      <sheetData sheetId="33281" refreshError="1"/>
      <sheetData sheetId="33282"/>
      <sheetData sheetId="33283" refreshError="1"/>
      <sheetData sheetId="33284">
        <row r="1">
          <cell r="J1">
            <v>1.7453292519943295E-2</v>
          </cell>
        </row>
      </sheetData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>
        <row r="1">
          <cell r="J1">
            <v>1.7453292519943295E-2</v>
          </cell>
        </row>
      </sheetData>
      <sheetData sheetId="33300">
        <row r="1">
          <cell r="J1">
            <v>1.7453292519943295E-2</v>
          </cell>
        </row>
      </sheetData>
      <sheetData sheetId="33301">
        <row r="1">
          <cell r="J1">
            <v>1.7453292519943295E-2</v>
          </cell>
        </row>
      </sheetData>
      <sheetData sheetId="33302">
        <row r="1">
          <cell r="J1">
            <v>1.7453292519943295E-2</v>
          </cell>
        </row>
      </sheetData>
      <sheetData sheetId="33303"/>
      <sheetData sheetId="33304"/>
      <sheetData sheetId="33305"/>
      <sheetData sheetId="33306">
        <row r="1">
          <cell r="J1">
            <v>1.7453292519943295E-2</v>
          </cell>
        </row>
      </sheetData>
      <sheetData sheetId="33307">
        <row r="1">
          <cell r="J1">
            <v>1.7453292519943295E-2</v>
          </cell>
        </row>
      </sheetData>
      <sheetData sheetId="33308" refreshError="1"/>
      <sheetData sheetId="33309">
        <row r="1">
          <cell r="J1">
            <v>1.7453292519943295E-2</v>
          </cell>
        </row>
      </sheetData>
      <sheetData sheetId="33310" refreshError="1"/>
      <sheetData sheetId="33311" refreshError="1"/>
      <sheetData sheetId="33312" refreshError="1"/>
      <sheetData sheetId="33313">
        <row r="1">
          <cell r="J1">
            <v>1.7453292519943295E-2</v>
          </cell>
        </row>
      </sheetData>
      <sheetData sheetId="33314" refreshError="1"/>
      <sheetData sheetId="33315" refreshError="1"/>
      <sheetData sheetId="33316">
        <row r="1">
          <cell r="J1">
            <v>1.7453292519943295E-2</v>
          </cell>
        </row>
      </sheetData>
      <sheetData sheetId="33317" refreshError="1"/>
      <sheetData sheetId="33318" refreshError="1"/>
      <sheetData sheetId="33319">
        <row r="1">
          <cell r="J1">
            <v>1.7453292519943295E-2</v>
          </cell>
        </row>
      </sheetData>
      <sheetData sheetId="33320" refreshError="1"/>
      <sheetData sheetId="33321" refreshError="1"/>
      <sheetData sheetId="33322" refreshError="1"/>
      <sheetData sheetId="33323">
        <row r="1">
          <cell r="J1">
            <v>1.7453292519943295E-2</v>
          </cell>
        </row>
      </sheetData>
      <sheetData sheetId="33324">
        <row r="1">
          <cell r="J1">
            <v>1.7453292519943295E-2</v>
          </cell>
        </row>
      </sheetData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>
        <row r="1">
          <cell r="J1">
            <v>1.7453292519943295E-2</v>
          </cell>
        </row>
      </sheetData>
      <sheetData sheetId="33340">
        <row r="1">
          <cell r="J1">
            <v>1.7453292519943295E-2</v>
          </cell>
        </row>
      </sheetData>
      <sheetData sheetId="33341">
        <row r="1">
          <cell r="J1">
            <v>1.7453292519943295E-2</v>
          </cell>
        </row>
      </sheetData>
      <sheetData sheetId="33342"/>
      <sheetData sheetId="33343"/>
      <sheetData sheetId="33344"/>
      <sheetData sheetId="33345">
        <row r="1">
          <cell r="J1">
            <v>1.7453292519943295E-2</v>
          </cell>
        </row>
      </sheetData>
      <sheetData sheetId="33346">
        <row r="1">
          <cell r="J1">
            <v>1.7453292519943295E-2</v>
          </cell>
        </row>
      </sheetData>
      <sheetData sheetId="33347">
        <row r="1">
          <cell r="J1">
            <v>1.7453292519943295E-2</v>
          </cell>
        </row>
      </sheetData>
      <sheetData sheetId="33348">
        <row r="1">
          <cell r="J1">
            <v>1.7453292519943295E-2</v>
          </cell>
        </row>
      </sheetData>
      <sheetData sheetId="33349" refreshError="1"/>
      <sheetData sheetId="33350">
        <row r="1">
          <cell r="J1">
            <v>1.7453292519943295E-2</v>
          </cell>
        </row>
      </sheetData>
      <sheetData sheetId="33351" refreshError="1"/>
      <sheetData sheetId="33352" refreshError="1"/>
      <sheetData sheetId="33353" refreshError="1"/>
      <sheetData sheetId="33354" refreshError="1"/>
      <sheetData sheetId="33355">
        <row r="1">
          <cell r="J1">
            <v>1.7453292519943295E-2</v>
          </cell>
        </row>
      </sheetData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>
        <row r="1">
          <cell r="J1">
            <v>1.7453292519943295E-2</v>
          </cell>
        </row>
      </sheetData>
      <sheetData sheetId="33371">
        <row r="1">
          <cell r="J1">
            <v>1.7453292519943295E-2</v>
          </cell>
        </row>
      </sheetData>
      <sheetData sheetId="33372">
        <row r="1">
          <cell r="J1">
            <v>1.7453292519943295E-2</v>
          </cell>
        </row>
      </sheetData>
      <sheetData sheetId="33373">
        <row r="1">
          <cell r="J1">
            <v>1.7453292519943295E-2</v>
          </cell>
        </row>
      </sheetData>
      <sheetData sheetId="33374"/>
      <sheetData sheetId="33375"/>
      <sheetData sheetId="33376"/>
      <sheetData sheetId="33377">
        <row r="1">
          <cell r="J1">
            <v>1.7453292519943295E-2</v>
          </cell>
        </row>
      </sheetData>
      <sheetData sheetId="33378" refreshError="1"/>
      <sheetData sheetId="33379" refreshError="1"/>
      <sheetData sheetId="33380">
        <row r="1">
          <cell r="J1">
            <v>1.7453292519943295E-2</v>
          </cell>
        </row>
      </sheetData>
      <sheetData sheetId="33381">
        <row r="1">
          <cell r="J1">
            <v>1.7453292519943295E-2</v>
          </cell>
        </row>
      </sheetData>
      <sheetData sheetId="33382">
        <row r="1">
          <cell r="J1">
            <v>1.7453292519943295E-2</v>
          </cell>
        </row>
      </sheetData>
      <sheetData sheetId="33383" refreshError="1"/>
      <sheetData sheetId="33384"/>
      <sheetData sheetId="33385">
        <row r="1">
          <cell r="J1">
            <v>1.7453292519943295E-2</v>
          </cell>
        </row>
      </sheetData>
      <sheetData sheetId="33386">
        <row r="1">
          <cell r="J1">
            <v>1.7453292519943295E-2</v>
          </cell>
        </row>
      </sheetData>
      <sheetData sheetId="33387">
        <row r="1">
          <cell r="J1">
            <v>1.7453292519943295E-2</v>
          </cell>
        </row>
      </sheetData>
      <sheetData sheetId="33388" refreshError="1"/>
      <sheetData sheetId="33389" refreshError="1"/>
      <sheetData sheetId="33390">
        <row r="1">
          <cell r="J1">
            <v>1.7453292519943295E-2</v>
          </cell>
        </row>
      </sheetData>
      <sheetData sheetId="33391">
        <row r="1">
          <cell r="J1">
            <v>1.7453292519943295E-2</v>
          </cell>
        </row>
      </sheetData>
      <sheetData sheetId="33392">
        <row r="1">
          <cell r="J1">
            <v>1.7453292519943295E-2</v>
          </cell>
        </row>
      </sheetData>
      <sheetData sheetId="33393" refreshError="1"/>
      <sheetData sheetId="33394">
        <row r="1">
          <cell r="J1">
            <v>1.7453292519943295E-2</v>
          </cell>
        </row>
      </sheetData>
      <sheetData sheetId="33395">
        <row r="1">
          <cell r="J1">
            <v>1.7453292519943295E-2</v>
          </cell>
        </row>
      </sheetData>
      <sheetData sheetId="33396">
        <row r="1">
          <cell r="J1">
            <v>1.7453292519943295E-2</v>
          </cell>
        </row>
      </sheetData>
      <sheetData sheetId="33397">
        <row r="1">
          <cell r="J1">
            <v>1.7453292519943295E-2</v>
          </cell>
        </row>
      </sheetData>
      <sheetData sheetId="33398">
        <row r="1">
          <cell r="J1">
            <v>1.7453292519943295E-2</v>
          </cell>
        </row>
      </sheetData>
      <sheetData sheetId="33399">
        <row r="1">
          <cell r="J1">
            <v>1.7453292519943295E-2</v>
          </cell>
        </row>
      </sheetData>
      <sheetData sheetId="33400">
        <row r="1">
          <cell r="J1">
            <v>1.7453292519943295E-2</v>
          </cell>
        </row>
      </sheetData>
      <sheetData sheetId="33401"/>
      <sheetData sheetId="33402"/>
      <sheetData sheetId="33403"/>
      <sheetData sheetId="33404">
        <row r="1">
          <cell r="J1">
            <v>1.7453292519943295E-2</v>
          </cell>
        </row>
      </sheetData>
      <sheetData sheetId="33405">
        <row r="1">
          <cell r="J1">
            <v>1.7453292519943295E-2</v>
          </cell>
        </row>
      </sheetData>
      <sheetData sheetId="33406" refreshError="1"/>
      <sheetData sheetId="33407" refreshError="1"/>
      <sheetData sheetId="33408"/>
      <sheetData sheetId="33409"/>
      <sheetData sheetId="33410"/>
      <sheetData sheetId="33411" refreshError="1"/>
      <sheetData sheetId="33412" refreshError="1"/>
      <sheetData sheetId="33413" refreshError="1"/>
      <sheetData sheetId="33414"/>
      <sheetData sheetId="33415">
        <row r="1">
          <cell r="J1">
            <v>1.7453292519943295E-2</v>
          </cell>
        </row>
      </sheetData>
      <sheetData sheetId="33416"/>
      <sheetData sheetId="33417" refreshError="1"/>
      <sheetData sheetId="33418">
        <row r="1">
          <cell r="J1">
            <v>1.7453292519943295E-2</v>
          </cell>
        </row>
      </sheetData>
      <sheetData sheetId="33419">
        <row r="1">
          <cell r="J1">
            <v>1.7453292519943295E-2</v>
          </cell>
        </row>
      </sheetData>
      <sheetData sheetId="33420">
        <row r="1">
          <cell r="J1">
            <v>1.7453292519943295E-2</v>
          </cell>
        </row>
      </sheetData>
      <sheetData sheetId="33421" refreshError="1"/>
      <sheetData sheetId="33422" refreshError="1"/>
      <sheetData sheetId="33423">
        <row r="1">
          <cell r="J1">
            <v>1.7453292519943295E-2</v>
          </cell>
        </row>
      </sheetData>
      <sheetData sheetId="33424">
        <row r="1">
          <cell r="J1">
            <v>1.7453292519943295E-2</v>
          </cell>
        </row>
      </sheetData>
      <sheetData sheetId="33425">
        <row r="1">
          <cell r="J1">
            <v>1.7453292519943295E-2</v>
          </cell>
        </row>
      </sheetData>
      <sheetData sheetId="33426" refreshError="1"/>
      <sheetData sheetId="33427" refreshError="1"/>
      <sheetData sheetId="33428">
        <row r="1">
          <cell r="J1">
            <v>1.7453292519943295E-2</v>
          </cell>
        </row>
      </sheetData>
      <sheetData sheetId="33429">
        <row r="1">
          <cell r="J1">
            <v>1.7453292519943295E-2</v>
          </cell>
        </row>
      </sheetData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>
        <row r="1">
          <cell r="J1">
            <v>1.7453292519943295E-2</v>
          </cell>
        </row>
      </sheetData>
      <sheetData sheetId="33436">
        <row r="1">
          <cell r="J1">
            <v>1.7453292519943295E-2</v>
          </cell>
        </row>
      </sheetData>
      <sheetData sheetId="33437" refreshError="1"/>
      <sheetData sheetId="33438"/>
      <sheetData sheetId="33439" refreshError="1"/>
      <sheetData sheetId="33440"/>
      <sheetData sheetId="33441"/>
      <sheetData sheetId="33442"/>
      <sheetData sheetId="33443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>
        <row r="1">
          <cell r="J1">
            <v>1.7453292519943295E-2</v>
          </cell>
        </row>
      </sheetData>
      <sheetData sheetId="33455">
        <row r="1">
          <cell r="J1">
            <v>1.7453292519943295E-2</v>
          </cell>
        </row>
      </sheetData>
      <sheetData sheetId="33456">
        <row r="1">
          <cell r="J1">
            <v>1.7453292519943295E-2</v>
          </cell>
        </row>
      </sheetData>
      <sheetData sheetId="33457"/>
      <sheetData sheetId="33458"/>
      <sheetData sheetId="33459"/>
      <sheetData sheetId="33460" refreshError="1"/>
      <sheetData sheetId="33461">
        <row r="1">
          <cell r="J1">
            <v>1.7453292519943295E-2</v>
          </cell>
        </row>
      </sheetData>
      <sheetData sheetId="33462">
        <row r="1">
          <cell r="J1">
            <v>1.7453292519943295E-2</v>
          </cell>
        </row>
      </sheetData>
      <sheetData sheetId="33463">
        <row r="1">
          <cell r="J1">
            <v>1.7453292519943295E-2</v>
          </cell>
        </row>
      </sheetData>
      <sheetData sheetId="33464">
        <row r="1">
          <cell r="J1">
            <v>1.7453292519943295E-2</v>
          </cell>
        </row>
      </sheetData>
      <sheetData sheetId="33465" refreshError="1"/>
      <sheetData sheetId="33466" refreshError="1"/>
      <sheetData sheetId="33467" refreshError="1"/>
      <sheetData sheetId="33468">
        <row r="1">
          <cell r="J1">
            <v>1.7453292519943295E-2</v>
          </cell>
        </row>
      </sheetData>
      <sheetData sheetId="33469">
        <row r="1">
          <cell r="J1">
            <v>1.7453292519943295E-2</v>
          </cell>
        </row>
      </sheetData>
      <sheetData sheetId="33470">
        <row r="1">
          <cell r="J1">
            <v>1.7453292519943295E-2</v>
          </cell>
        </row>
      </sheetData>
      <sheetData sheetId="33471" refreshError="1"/>
      <sheetData sheetId="33472" refreshError="1"/>
      <sheetData sheetId="33473" refreshError="1"/>
      <sheetData sheetId="33474" refreshError="1"/>
      <sheetData sheetId="33475" refreshError="1"/>
      <sheetData sheetId="33476"/>
      <sheetData sheetId="33477" refreshError="1"/>
      <sheetData sheetId="33478">
        <row r="1">
          <cell r="J1">
            <v>1.7453292519943295E-2</v>
          </cell>
        </row>
      </sheetData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/>
      <sheetData sheetId="33490"/>
      <sheetData sheetId="33491"/>
      <sheetData sheetId="33492"/>
      <sheetData sheetId="33493">
        <row r="1">
          <cell r="J1">
            <v>1.7453292519943295E-2</v>
          </cell>
        </row>
      </sheetData>
      <sheetData sheetId="33494">
        <row r="1">
          <cell r="J1">
            <v>1.7453292519943295E-2</v>
          </cell>
        </row>
      </sheetData>
      <sheetData sheetId="33495">
        <row r="1">
          <cell r="J1">
            <v>1.7453292519943295E-2</v>
          </cell>
        </row>
      </sheetData>
      <sheetData sheetId="33496">
        <row r="1">
          <cell r="J1">
            <v>1.7453292519943295E-2</v>
          </cell>
        </row>
      </sheetData>
      <sheetData sheetId="33497"/>
      <sheetData sheetId="33498"/>
      <sheetData sheetId="33499"/>
      <sheetData sheetId="33500">
        <row r="1">
          <cell r="J1">
            <v>1.7453292519943295E-2</v>
          </cell>
        </row>
      </sheetData>
      <sheetData sheetId="33501" refreshError="1"/>
      <sheetData sheetId="33502" refreshError="1"/>
      <sheetData sheetId="33503">
        <row r="1">
          <cell r="J1">
            <v>1.7453292519943295E-2</v>
          </cell>
        </row>
      </sheetData>
      <sheetData sheetId="33504">
        <row r="1">
          <cell r="J1">
            <v>1.7453292519943295E-2</v>
          </cell>
        </row>
      </sheetData>
      <sheetData sheetId="33505" refreshError="1"/>
      <sheetData sheetId="33506"/>
      <sheetData sheetId="33507">
        <row r="1">
          <cell r="J1">
            <v>1.7453292519943295E-2</v>
          </cell>
        </row>
      </sheetData>
      <sheetData sheetId="33508">
        <row r="1">
          <cell r="J1">
            <v>1.7453292519943295E-2</v>
          </cell>
        </row>
      </sheetData>
      <sheetData sheetId="33509">
        <row r="1">
          <cell r="J1">
            <v>1.7453292519943295E-2</v>
          </cell>
        </row>
      </sheetData>
      <sheetData sheetId="33510">
        <row r="1">
          <cell r="J1">
            <v>1.7453292519943295E-2</v>
          </cell>
        </row>
      </sheetData>
      <sheetData sheetId="33511" refreshError="1"/>
      <sheetData sheetId="33512" refreshError="1"/>
      <sheetData sheetId="33513"/>
      <sheetData sheetId="33514">
        <row r="1">
          <cell r="J1">
            <v>1.7453292519943295E-2</v>
          </cell>
        </row>
      </sheetData>
      <sheetData sheetId="33515">
        <row r="1">
          <cell r="J1">
            <v>1.7453292519943295E-2</v>
          </cell>
        </row>
      </sheetData>
      <sheetData sheetId="33516">
        <row r="1">
          <cell r="J1">
            <v>1.7453292519943295E-2</v>
          </cell>
        </row>
      </sheetData>
      <sheetData sheetId="33517">
        <row r="1">
          <cell r="J1">
            <v>1.7453292519943295E-2</v>
          </cell>
        </row>
      </sheetData>
      <sheetData sheetId="33518" refreshError="1"/>
      <sheetData sheetId="33519"/>
      <sheetData sheetId="33520">
        <row r="1">
          <cell r="J1">
            <v>1.7453292519943295E-2</v>
          </cell>
        </row>
      </sheetData>
      <sheetData sheetId="33521">
        <row r="1">
          <cell r="J1">
            <v>1.7453292519943295E-2</v>
          </cell>
        </row>
      </sheetData>
      <sheetData sheetId="33522">
        <row r="1">
          <cell r="J1">
            <v>1.7453292519943295E-2</v>
          </cell>
        </row>
      </sheetData>
      <sheetData sheetId="33523" refreshError="1"/>
      <sheetData sheetId="33524"/>
      <sheetData sheetId="33525">
        <row r="1">
          <cell r="J1">
            <v>1.7453292519943295E-2</v>
          </cell>
        </row>
      </sheetData>
      <sheetData sheetId="33526" refreshError="1"/>
      <sheetData sheetId="33527" refreshError="1"/>
      <sheetData sheetId="33528"/>
      <sheetData sheetId="33529"/>
      <sheetData sheetId="33530"/>
      <sheetData sheetId="33531"/>
      <sheetData sheetId="33532"/>
      <sheetData sheetId="33533"/>
      <sheetData sheetId="33534"/>
      <sheetData sheetId="33535"/>
      <sheetData sheetId="33536"/>
      <sheetData sheetId="33537"/>
      <sheetData sheetId="33538"/>
      <sheetData sheetId="33539"/>
      <sheetData sheetId="33540"/>
      <sheetData sheetId="33541"/>
      <sheetData sheetId="33542">
        <row r="1">
          <cell r="J1">
            <v>1.7453292519943295E-2</v>
          </cell>
        </row>
      </sheetData>
      <sheetData sheetId="33543">
        <row r="1">
          <cell r="J1">
            <v>1.7453292519943295E-2</v>
          </cell>
        </row>
      </sheetData>
      <sheetData sheetId="33544">
        <row r="1">
          <cell r="J1">
            <v>1.7453292519943295E-2</v>
          </cell>
        </row>
      </sheetData>
      <sheetData sheetId="33545"/>
      <sheetData sheetId="33546"/>
      <sheetData sheetId="33547"/>
      <sheetData sheetId="33548" refreshError="1"/>
      <sheetData sheetId="33549" refreshError="1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>
        <row r="1">
          <cell r="J1">
            <v>1.7453292519943295E-2</v>
          </cell>
        </row>
      </sheetData>
      <sheetData sheetId="33565">
        <row r="1">
          <cell r="J1">
            <v>1.7453292519943295E-2</v>
          </cell>
        </row>
      </sheetData>
      <sheetData sheetId="33566">
        <row r="1">
          <cell r="J1">
            <v>1.7453292519943295E-2</v>
          </cell>
        </row>
      </sheetData>
      <sheetData sheetId="33567"/>
      <sheetData sheetId="33568"/>
      <sheetData sheetId="33569"/>
      <sheetData sheetId="33570">
        <row r="1">
          <cell r="J1">
            <v>1.7453292519943295E-2</v>
          </cell>
        </row>
      </sheetData>
      <sheetData sheetId="33571" refreshError="1"/>
      <sheetData sheetId="33572"/>
      <sheetData sheetId="33573" refreshError="1"/>
      <sheetData sheetId="33574" refreshError="1"/>
      <sheetData sheetId="33575" refreshError="1"/>
      <sheetData sheetId="33576">
        <row r="1">
          <cell r="J1">
            <v>1.7453292519943295E-2</v>
          </cell>
        </row>
      </sheetData>
      <sheetData sheetId="33577" refreshError="1"/>
      <sheetData sheetId="33578" refreshError="1"/>
      <sheetData sheetId="33579">
        <row r="1">
          <cell r="J1">
            <v>1.7453292519943295E-2</v>
          </cell>
        </row>
      </sheetData>
      <sheetData sheetId="33580">
        <row r="1">
          <cell r="J1">
            <v>1.7453292519943295E-2</v>
          </cell>
        </row>
      </sheetData>
      <sheetData sheetId="33581">
        <row r="1">
          <cell r="J1">
            <v>1.7453292519943295E-2</v>
          </cell>
        </row>
      </sheetData>
      <sheetData sheetId="33582">
        <row r="1">
          <cell r="J1">
            <v>1.7453292519943295E-2</v>
          </cell>
        </row>
      </sheetData>
      <sheetData sheetId="33583">
        <row r="1">
          <cell r="J1">
            <v>1.7453292519943295E-2</v>
          </cell>
        </row>
      </sheetData>
      <sheetData sheetId="33584" refreshError="1"/>
      <sheetData sheetId="33585">
        <row r="1">
          <cell r="J1">
            <v>1.7453292519943295E-2</v>
          </cell>
        </row>
      </sheetData>
      <sheetData sheetId="33586">
        <row r="1">
          <cell r="J1">
            <v>1.7453292519943295E-2</v>
          </cell>
        </row>
      </sheetData>
      <sheetData sheetId="33587" refreshError="1"/>
      <sheetData sheetId="33588" refreshError="1"/>
      <sheetData sheetId="33589">
        <row r="1">
          <cell r="J1">
            <v>1.7453292519943295E-2</v>
          </cell>
        </row>
      </sheetData>
      <sheetData sheetId="33590">
        <row r="1">
          <cell r="J1">
            <v>1.7453292519943295E-2</v>
          </cell>
        </row>
      </sheetData>
      <sheetData sheetId="33591">
        <row r="1">
          <cell r="J1">
            <v>1.7453292519943295E-2</v>
          </cell>
        </row>
      </sheetData>
      <sheetData sheetId="33592" refreshError="1"/>
      <sheetData sheetId="33593">
        <row r="1">
          <cell r="J1">
            <v>1.7453292519943295E-2</v>
          </cell>
        </row>
      </sheetData>
      <sheetData sheetId="33594">
        <row r="1">
          <cell r="J1">
            <v>1.7453292519943295E-2</v>
          </cell>
        </row>
      </sheetData>
      <sheetData sheetId="33595">
        <row r="1">
          <cell r="J1">
            <v>1.7453292519943295E-2</v>
          </cell>
        </row>
      </sheetData>
      <sheetData sheetId="33596" refreshError="1"/>
      <sheetData sheetId="33597" refreshError="1"/>
      <sheetData sheetId="33598">
        <row r="1">
          <cell r="J1">
            <v>1.7453292519943295E-2</v>
          </cell>
        </row>
      </sheetData>
      <sheetData sheetId="33599">
        <row r="1">
          <cell r="J1">
            <v>1.7453292519943295E-2</v>
          </cell>
        </row>
      </sheetData>
      <sheetData sheetId="33600">
        <row r="1">
          <cell r="J1">
            <v>1.7453292519943295E-2</v>
          </cell>
        </row>
      </sheetData>
      <sheetData sheetId="33601" refreshError="1"/>
      <sheetData sheetId="33602" refreshError="1"/>
      <sheetData sheetId="33603">
        <row r="1">
          <cell r="J1">
            <v>1.7453292519943295E-2</v>
          </cell>
        </row>
      </sheetData>
      <sheetData sheetId="33604" refreshError="1"/>
      <sheetData sheetId="33605" refreshError="1"/>
      <sheetData sheetId="33606">
        <row r="1">
          <cell r="J1">
            <v>1.7453292519943295E-2</v>
          </cell>
        </row>
      </sheetData>
      <sheetData sheetId="33607">
        <row r="1">
          <cell r="J1">
            <v>1.7453292519943295E-2</v>
          </cell>
        </row>
      </sheetData>
      <sheetData sheetId="33608">
        <row r="1">
          <cell r="J1">
            <v>1.7453292519943295E-2</v>
          </cell>
        </row>
      </sheetData>
      <sheetData sheetId="33609" refreshError="1"/>
      <sheetData sheetId="33610"/>
      <sheetData sheetId="33611" refreshError="1"/>
      <sheetData sheetId="33612">
        <row r="1">
          <cell r="J1">
            <v>1.7453292519943295E-2</v>
          </cell>
        </row>
      </sheetData>
      <sheetData sheetId="33613">
        <row r="1">
          <cell r="J1">
            <v>1.7453292519943295E-2</v>
          </cell>
        </row>
      </sheetData>
      <sheetData sheetId="33614">
        <row r="1">
          <cell r="J1">
            <v>1.7453292519943295E-2</v>
          </cell>
        </row>
      </sheetData>
      <sheetData sheetId="33615">
        <row r="1">
          <cell r="J1">
            <v>1.7453292519943295E-2</v>
          </cell>
        </row>
      </sheetData>
      <sheetData sheetId="33616">
        <row r="1">
          <cell r="J1">
            <v>1.7453292519943295E-2</v>
          </cell>
        </row>
      </sheetData>
      <sheetData sheetId="33617">
        <row r="1">
          <cell r="J1">
            <v>1.7453292519943295E-2</v>
          </cell>
        </row>
      </sheetData>
      <sheetData sheetId="33618">
        <row r="1">
          <cell r="J1">
            <v>1.7453292519943295E-2</v>
          </cell>
        </row>
      </sheetData>
      <sheetData sheetId="33619"/>
      <sheetData sheetId="33620">
        <row r="1">
          <cell r="J1">
            <v>1.7453292519943295E-2</v>
          </cell>
        </row>
      </sheetData>
      <sheetData sheetId="33621">
        <row r="1">
          <cell r="J1">
            <v>1.7453292519943295E-2</v>
          </cell>
        </row>
      </sheetData>
      <sheetData sheetId="33622" refreshError="1"/>
      <sheetData sheetId="33623" refreshError="1"/>
      <sheetData sheetId="33624">
        <row r="1">
          <cell r="J1">
            <v>1.7453292519943295E-2</v>
          </cell>
        </row>
      </sheetData>
      <sheetData sheetId="33625">
        <row r="1">
          <cell r="J1">
            <v>1.7453292519943295E-2</v>
          </cell>
        </row>
      </sheetData>
      <sheetData sheetId="33626">
        <row r="1">
          <cell r="J1">
            <v>1.7453292519943295E-2</v>
          </cell>
        </row>
      </sheetData>
      <sheetData sheetId="33627" refreshError="1"/>
      <sheetData sheetId="33628" refreshError="1"/>
      <sheetData sheetId="33629" refreshError="1"/>
      <sheetData sheetId="33630"/>
      <sheetData sheetId="33631" refreshError="1"/>
      <sheetData sheetId="33632">
        <row r="1">
          <cell r="J1">
            <v>1.7453292519943295E-2</v>
          </cell>
        </row>
      </sheetData>
      <sheetData sheetId="33633"/>
      <sheetData sheetId="33634"/>
      <sheetData sheetId="33635"/>
      <sheetData sheetId="33636"/>
      <sheetData sheetId="33637"/>
      <sheetData sheetId="33638"/>
      <sheetData sheetId="33639"/>
      <sheetData sheetId="33640"/>
      <sheetData sheetId="33641"/>
      <sheetData sheetId="33642"/>
      <sheetData sheetId="33643"/>
      <sheetData sheetId="33644"/>
      <sheetData sheetId="33645"/>
      <sheetData sheetId="33646"/>
      <sheetData sheetId="33647">
        <row r="1">
          <cell r="J1">
            <v>1.7453292519943295E-2</v>
          </cell>
        </row>
      </sheetData>
      <sheetData sheetId="33648">
        <row r="1">
          <cell r="J1">
            <v>1.7453292519943295E-2</v>
          </cell>
        </row>
      </sheetData>
      <sheetData sheetId="33649">
        <row r="1">
          <cell r="J1">
            <v>1.7453292519943295E-2</v>
          </cell>
        </row>
      </sheetData>
      <sheetData sheetId="33650"/>
      <sheetData sheetId="33651"/>
      <sheetData sheetId="33652"/>
      <sheetData sheetId="33653">
        <row r="1">
          <cell r="J1">
            <v>1.7453292519943295E-2</v>
          </cell>
        </row>
      </sheetData>
      <sheetData sheetId="33654" refreshError="1"/>
      <sheetData sheetId="33655" refreshError="1"/>
      <sheetData sheetId="33656">
        <row r="1">
          <cell r="J1">
            <v>1.7453292519943295E-2</v>
          </cell>
        </row>
      </sheetData>
      <sheetData sheetId="33657">
        <row r="1">
          <cell r="J1">
            <v>1.7453292519943295E-2</v>
          </cell>
        </row>
      </sheetData>
      <sheetData sheetId="33658">
        <row r="1">
          <cell r="J1">
            <v>1.7453292519943295E-2</v>
          </cell>
        </row>
      </sheetData>
      <sheetData sheetId="33659" refreshError="1"/>
      <sheetData sheetId="33660"/>
      <sheetData sheetId="33661">
        <row r="1">
          <cell r="J1">
            <v>1.7453292519943295E-2</v>
          </cell>
        </row>
      </sheetData>
      <sheetData sheetId="33662">
        <row r="1">
          <cell r="J1">
            <v>1.7453292519943295E-2</v>
          </cell>
        </row>
      </sheetData>
      <sheetData sheetId="33663">
        <row r="1">
          <cell r="J1">
            <v>1.7453292519943295E-2</v>
          </cell>
        </row>
      </sheetData>
      <sheetData sheetId="33664">
        <row r="1">
          <cell r="J1">
            <v>1.7453292519943295E-2</v>
          </cell>
        </row>
      </sheetData>
      <sheetData sheetId="33665">
        <row r="1">
          <cell r="J1">
            <v>1.7453292519943295E-2</v>
          </cell>
        </row>
      </sheetData>
      <sheetData sheetId="33666" refreshError="1"/>
      <sheetData sheetId="33667" refreshError="1"/>
      <sheetData sheetId="33668">
        <row r="1">
          <cell r="J1">
            <v>1.7453292519943295E-2</v>
          </cell>
        </row>
      </sheetData>
      <sheetData sheetId="33669">
        <row r="1">
          <cell r="J1">
            <v>1.7453292519943295E-2</v>
          </cell>
        </row>
      </sheetData>
      <sheetData sheetId="33670">
        <row r="1">
          <cell r="J1">
            <v>1.7453292519943295E-2</v>
          </cell>
        </row>
      </sheetData>
      <sheetData sheetId="33671">
        <row r="1">
          <cell r="J1">
            <v>1.7453292519943295E-2</v>
          </cell>
        </row>
      </sheetData>
      <sheetData sheetId="33672">
        <row r="1">
          <cell r="J1">
            <v>1.7453292519943295E-2</v>
          </cell>
        </row>
      </sheetData>
      <sheetData sheetId="33673" refreshError="1"/>
      <sheetData sheetId="33674" refreshError="1"/>
      <sheetData sheetId="33675">
        <row r="1">
          <cell r="J1">
            <v>1.7453292519943295E-2</v>
          </cell>
        </row>
      </sheetData>
      <sheetData sheetId="33676">
        <row r="1">
          <cell r="J1">
            <v>1.7453292519943295E-2</v>
          </cell>
        </row>
      </sheetData>
      <sheetData sheetId="33677">
        <row r="1">
          <cell r="J1">
            <v>1.7453292519943295E-2</v>
          </cell>
        </row>
      </sheetData>
      <sheetData sheetId="33678" refreshError="1"/>
      <sheetData sheetId="33679" refreshError="1"/>
      <sheetData sheetId="33680" refreshError="1"/>
      <sheetData sheetId="33681">
        <row r="1">
          <cell r="J1">
            <v>1.7453292519943295E-2</v>
          </cell>
        </row>
      </sheetData>
      <sheetData sheetId="33682">
        <row r="1">
          <cell r="J1">
            <v>1.7453292519943295E-2</v>
          </cell>
        </row>
      </sheetData>
      <sheetData sheetId="33683">
        <row r="1">
          <cell r="J1">
            <v>1.7453292519943295E-2</v>
          </cell>
        </row>
      </sheetData>
      <sheetData sheetId="33684" refreshError="1"/>
      <sheetData sheetId="33685">
        <row r="1">
          <cell r="J1">
            <v>1.7453292519943295E-2</v>
          </cell>
        </row>
      </sheetData>
      <sheetData sheetId="33686"/>
      <sheetData sheetId="33687" refreshError="1"/>
      <sheetData sheetId="33688" refreshError="1"/>
      <sheetData sheetId="33689">
        <row r="1">
          <cell r="J1">
            <v>1.7453292519943295E-2</v>
          </cell>
        </row>
      </sheetData>
      <sheetData sheetId="33690" refreshError="1"/>
      <sheetData sheetId="33691">
        <row r="1">
          <cell r="J1">
            <v>1.7453292519943295E-2</v>
          </cell>
        </row>
      </sheetData>
      <sheetData sheetId="33692"/>
      <sheetData sheetId="33693"/>
      <sheetData sheetId="33694"/>
      <sheetData sheetId="33695"/>
      <sheetData sheetId="33696"/>
      <sheetData sheetId="33697"/>
      <sheetData sheetId="33698"/>
      <sheetData sheetId="33699"/>
      <sheetData sheetId="33700"/>
      <sheetData sheetId="33701"/>
      <sheetData sheetId="33702"/>
      <sheetData sheetId="33703"/>
      <sheetData sheetId="33704"/>
      <sheetData sheetId="33705"/>
      <sheetData sheetId="33706">
        <row r="1">
          <cell r="J1">
            <v>1.7453292519943295E-2</v>
          </cell>
        </row>
      </sheetData>
      <sheetData sheetId="33707">
        <row r="1">
          <cell r="J1">
            <v>1.7453292519943295E-2</v>
          </cell>
        </row>
      </sheetData>
      <sheetData sheetId="33708">
        <row r="1">
          <cell r="J1">
            <v>1.7453292519943295E-2</v>
          </cell>
        </row>
      </sheetData>
      <sheetData sheetId="33709">
        <row r="1">
          <cell r="J1">
            <v>1.7453292519943295E-2</v>
          </cell>
        </row>
      </sheetData>
      <sheetData sheetId="33710"/>
      <sheetData sheetId="33711"/>
      <sheetData sheetId="33712"/>
      <sheetData sheetId="33713" refreshError="1"/>
      <sheetData sheetId="33714">
        <row r="1">
          <cell r="J1">
            <v>1.7453292519943295E-2</v>
          </cell>
        </row>
      </sheetData>
      <sheetData sheetId="33715">
        <row r="1">
          <cell r="J1">
            <v>1.7453292519943295E-2</v>
          </cell>
        </row>
      </sheetData>
      <sheetData sheetId="33716">
        <row r="1">
          <cell r="J1">
            <v>1.7453292519943295E-2</v>
          </cell>
        </row>
      </sheetData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/>
      <sheetData sheetId="33724"/>
      <sheetData sheetId="33725"/>
      <sheetData sheetId="33726"/>
      <sheetData sheetId="33727"/>
      <sheetData sheetId="33728"/>
      <sheetData sheetId="33729"/>
      <sheetData sheetId="33730"/>
      <sheetData sheetId="33731"/>
      <sheetData sheetId="33732"/>
      <sheetData sheetId="33733"/>
      <sheetData sheetId="33734"/>
      <sheetData sheetId="33735"/>
      <sheetData sheetId="33736"/>
      <sheetData sheetId="33737">
        <row r="1">
          <cell r="J1">
            <v>1.7453292519943295E-2</v>
          </cell>
        </row>
      </sheetData>
      <sheetData sheetId="33738">
        <row r="1">
          <cell r="J1">
            <v>1.7453292519943295E-2</v>
          </cell>
        </row>
      </sheetData>
      <sheetData sheetId="33739">
        <row r="1">
          <cell r="J1">
            <v>1.7453292519943295E-2</v>
          </cell>
        </row>
      </sheetData>
      <sheetData sheetId="33740">
        <row r="1">
          <cell r="J1">
            <v>1.7453292519943295E-2</v>
          </cell>
        </row>
      </sheetData>
      <sheetData sheetId="33741"/>
      <sheetData sheetId="33742"/>
      <sheetData sheetId="33743"/>
      <sheetData sheetId="33744" refreshError="1"/>
      <sheetData sheetId="33745" refreshError="1"/>
      <sheetData sheetId="33746">
        <row r="1">
          <cell r="J1">
            <v>1.7453292519943295E-2</v>
          </cell>
        </row>
      </sheetData>
      <sheetData sheetId="33747">
        <row r="1">
          <cell r="J1">
            <v>1.7453292519943295E-2</v>
          </cell>
        </row>
      </sheetData>
      <sheetData sheetId="33748">
        <row r="1">
          <cell r="J1">
            <v>1.7453292519943295E-2</v>
          </cell>
        </row>
      </sheetData>
      <sheetData sheetId="33749" refreshError="1"/>
      <sheetData sheetId="33750"/>
      <sheetData sheetId="33751">
        <row r="1">
          <cell r="J1">
            <v>1.7453292519943295E-2</v>
          </cell>
        </row>
      </sheetData>
      <sheetData sheetId="33752">
        <row r="1">
          <cell r="J1">
            <v>1.7453292519943295E-2</v>
          </cell>
        </row>
      </sheetData>
      <sheetData sheetId="33753">
        <row r="1">
          <cell r="J1">
            <v>1.7453292519943295E-2</v>
          </cell>
        </row>
      </sheetData>
      <sheetData sheetId="33754">
        <row r="1">
          <cell r="J1">
            <v>1.7453292519943295E-2</v>
          </cell>
        </row>
      </sheetData>
      <sheetData sheetId="33755">
        <row r="1">
          <cell r="J1">
            <v>1.7453292519943295E-2</v>
          </cell>
        </row>
      </sheetData>
      <sheetData sheetId="33756" refreshError="1"/>
      <sheetData sheetId="33757">
        <row r="1">
          <cell r="J1">
            <v>1.7453292519943295E-2</v>
          </cell>
        </row>
      </sheetData>
      <sheetData sheetId="33758" refreshError="1"/>
      <sheetData sheetId="33759" refreshError="1"/>
      <sheetData sheetId="33760">
        <row r="1">
          <cell r="J1">
            <v>1.7453292519943295E-2</v>
          </cell>
        </row>
      </sheetData>
      <sheetData sheetId="33761" refreshError="1"/>
      <sheetData sheetId="33762" refreshError="1"/>
      <sheetData sheetId="33763">
        <row r="1">
          <cell r="J1">
            <v>1.7453292519943295E-2</v>
          </cell>
        </row>
      </sheetData>
      <sheetData sheetId="33764">
        <row r="1">
          <cell r="J1">
            <v>1.7453292519943295E-2</v>
          </cell>
        </row>
      </sheetData>
      <sheetData sheetId="33765">
        <row r="1">
          <cell r="J1">
            <v>1.7453292519943295E-2</v>
          </cell>
        </row>
      </sheetData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/>
      <sheetData sheetId="33772">
        <row r="1">
          <cell r="J1">
            <v>1.7453292519943295E-2</v>
          </cell>
        </row>
      </sheetData>
      <sheetData sheetId="33773">
        <row r="1">
          <cell r="J1">
            <v>1.7453292519943295E-2</v>
          </cell>
        </row>
      </sheetData>
      <sheetData sheetId="33774"/>
      <sheetData sheetId="33775"/>
      <sheetData sheetId="33776"/>
      <sheetData sheetId="33777"/>
      <sheetData sheetId="33778"/>
      <sheetData sheetId="33779"/>
      <sheetData sheetId="33780"/>
      <sheetData sheetId="33781"/>
      <sheetData sheetId="33782"/>
      <sheetData sheetId="33783"/>
      <sheetData sheetId="33784"/>
      <sheetData sheetId="33785"/>
      <sheetData sheetId="33786"/>
      <sheetData sheetId="33787"/>
      <sheetData sheetId="33788">
        <row r="1">
          <cell r="J1">
            <v>1.7453292519943295E-2</v>
          </cell>
        </row>
      </sheetData>
      <sheetData sheetId="33789">
        <row r="1">
          <cell r="J1">
            <v>1.7453292519943295E-2</v>
          </cell>
        </row>
      </sheetData>
      <sheetData sheetId="33790">
        <row r="1">
          <cell r="J1">
            <v>1.7453292519943295E-2</v>
          </cell>
        </row>
      </sheetData>
      <sheetData sheetId="33791">
        <row r="1">
          <cell r="J1">
            <v>1.7453292519943295E-2</v>
          </cell>
        </row>
      </sheetData>
      <sheetData sheetId="33792"/>
      <sheetData sheetId="33793"/>
      <sheetData sheetId="33794"/>
      <sheetData sheetId="33795" refreshError="1"/>
      <sheetData sheetId="33796" refreshError="1"/>
      <sheetData sheetId="33797" refreshError="1"/>
      <sheetData sheetId="33798">
        <row r="1">
          <cell r="J1">
            <v>1.7453292519943295E-2</v>
          </cell>
        </row>
      </sheetData>
      <sheetData sheetId="33799">
        <row r="1">
          <cell r="J1">
            <v>1.7453292519943295E-2</v>
          </cell>
        </row>
      </sheetData>
      <sheetData sheetId="33800">
        <row r="1">
          <cell r="J1">
            <v>1.7453292519943295E-2</v>
          </cell>
        </row>
      </sheetData>
      <sheetData sheetId="33801" refreshError="1"/>
      <sheetData sheetId="33802">
        <row r="1">
          <cell r="J1">
            <v>1.7453292519943295E-2</v>
          </cell>
        </row>
      </sheetData>
      <sheetData sheetId="33803" refreshError="1"/>
      <sheetData sheetId="33804">
        <row r="1">
          <cell r="J1">
            <v>1.7453292519943295E-2</v>
          </cell>
        </row>
      </sheetData>
      <sheetData sheetId="33805">
        <row r="1">
          <cell r="J1">
            <v>1.7453292519943295E-2</v>
          </cell>
        </row>
      </sheetData>
      <sheetData sheetId="33806">
        <row r="1">
          <cell r="J1">
            <v>1.7453292519943295E-2</v>
          </cell>
        </row>
      </sheetData>
      <sheetData sheetId="33807" refreshError="1"/>
      <sheetData sheetId="33808" refreshError="1"/>
      <sheetData sheetId="33809" refreshError="1"/>
      <sheetData sheetId="33810"/>
      <sheetData sheetId="33811" refreshError="1"/>
      <sheetData sheetId="33812" refreshError="1"/>
      <sheetData sheetId="33813">
        <row r="1">
          <cell r="J1">
            <v>1.7453292519943295E-2</v>
          </cell>
        </row>
      </sheetData>
      <sheetData sheetId="33814"/>
      <sheetData sheetId="33815"/>
      <sheetData sheetId="33816"/>
      <sheetData sheetId="33817"/>
      <sheetData sheetId="33818"/>
      <sheetData sheetId="33819"/>
      <sheetData sheetId="33820"/>
      <sheetData sheetId="33821"/>
      <sheetData sheetId="33822"/>
      <sheetData sheetId="33823"/>
      <sheetData sheetId="33824"/>
      <sheetData sheetId="33825"/>
      <sheetData sheetId="33826"/>
      <sheetData sheetId="33827"/>
      <sheetData sheetId="33828">
        <row r="1">
          <cell r="J1">
            <v>1.7453292519943295E-2</v>
          </cell>
        </row>
      </sheetData>
      <sheetData sheetId="33829">
        <row r="1">
          <cell r="J1">
            <v>1.7453292519943295E-2</v>
          </cell>
        </row>
      </sheetData>
      <sheetData sheetId="33830">
        <row r="1">
          <cell r="J1">
            <v>1.7453292519943295E-2</v>
          </cell>
        </row>
      </sheetData>
      <sheetData sheetId="33831">
        <row r="1">
          <cell r="J1">
            <v>1.7453292519943295E-2</v>
          </cell>
        </row>
      </sheetData>
      <sheetData sheetId="33832"/>
      <sheetData sheetId="33833"/>
      <sheetData sheetId="33834"/>
      <sheetData sheetId="33835" refreshError="1"/>
      <sheetData sheetId="33836" refreshError="1"/>
      <sheetData sheetId="33837"/>
      <sheetData sheetId="33838"/>
      <sheetData sheetId="33839"/>
      <sheetData sheetId="33840"/>
      <sheetData sheetId="33841"/>
      <sheetData sheetId="33842"/>
      <sheetData sheetId="33843"/>
      <sheetData sheetId="33844"/>
      <sheetData sheetId="33845"/>
      <sheetData sheetId="33846"/>
      <sheetData sheetId="33847"/>
      <sheetData sheetId="33848"/>
      <sheetData sheetId="33849"/>
      <sheetData sheetId="33850"/>
      <sheetData sheetId="33851">
        <row r="1">
          <cell r="J1">
            <v>1.7453292519943295E-2</v>
          </cell>
        </row>
      </sheetData>
      <sheetData sheetId="33852">
        <row r="1">
          <cell r="J1">
            <v>1.7453292519943295E-2</v>
          </cell>
        </row>
      </sheetData>
      <sheetData sheetId="33853">
        <row r="1">
          <cell r="J1">
            <v>1.7453292519943295E-2</v>
          </cell>
        </row>
      </sheetData>
      <sheetData sheetId="33854"/>
      <sheetData sheetId="33855"/>
      <sheetData sheetId="33856"/>
      <sheetData sheetId="33857">
        <row r="1">
          <cell r="J1">
            <v>1.7453292519943295E-2</v>
          </cell>
        </row>
      </sheetData>
      <sheetData sheetId="33858" refreshError="1"/>
      <sheetData sheetId="33859" refreshError="1"/>
      <sheetData sheetId="33860" refreshError="1"/>
      <sheetData sheetId="33861" refreshError="1"/>
      <sheetData sheetId="33862"/>
      <sheetData sheetId="33863"/>
      <sheetData sheetId="33864"/>
      <sheetData sheetId="33865"/>
      <sheetData sheetId="33866"/>
      <sheetData sheetId="33867"/>
      <sheetData sheetId="33868"/>
      <sheetData sheetId="33869"/>
      <sheetData sheetId="33870"/>
      <sheetData sheetId="33871"/>
      <sheetData sheetId="33872"/>
      <sheetData sheetId="33873"/>
      <sheetData sheetId="33874"/>
      <sheetData sheetId="33875"/>
      <sheetData sheetId="33876">
        <row r="1">
          <cell r="J1">
            <v>1.7453292519943295E-2</v>
          </cell>
        </row>
      </sheetData>
      <sheetData sheetId="33877">
        <row r="1">
          <cell r="J1">
            <v>1.7453292519943295E-2</v>
          </cell>
        </row>
      </sheetData>
      <sheetData sheetId="33878">
        <row r="1">
          <cell r="J1">
            <v>1.7453292519943295E-2</v>
          </cell>
        </row>
      </sheetData>
      <sheetData sheetId="33879"/>
      <sheetData sheetId="33880"/>
      <sheetData sheetId="33881"/>
      <sheetData sheetId="33882" refreshError="1"/>
      <sheetData sheetId="33883" refreshError="1"/>
      <sheetData sheetId="33884">
        <row r="1">
          <cell r="J1">
            <v>1.7453292519943295E-2</v>
          </cell>
        </row>
      </sheetData>
      <sheetData sheetId="33885">
        <row r="1">
          <cell r="J1">
            <v>1.7453292519943295E-2</v>
          </cell>
        </row>
      </sheetData>
      <sheetData sheetId="33886" refreshError="1"/>
      <sheetData sheetId="33887" refreshError="1"/>
      <sheetData sheetId="33888" refreshError="1"/>
      <sheetData sheetId="33889"/>
      <sheetData sheetId="33890" refreshError="1"/>
      <sheetData sheetId="33891"/>
      <sheetData sheetId="33892"/>
      <sheetData sheetId="33893"/>
      <sheetData sheetId="33894"/>
      <sheetData sheetId="33895"/>
      <sheetData sheetId="33896"/>
      <sheetData sheetId="33897"/>
      <sheetData sheetId="33898"/>
      <sheetData sheetId="33899"/>
      <sheetData sheetId="33900"/>
      <sheetData sheetId="33901"/>
      <sheetData sheetId="33902"/>
      <sheetData sheetId="33903"/>
      <sheetData sheetId="33904"/>
      <sheetData sheetId="33905">
        <row r="1">
          <cell r="J1">
            <v>1.7453292519943295E-2</v>
          </cell>
        </row>
      </sheetData>
      <sheetData sheetId="33906">
        <row r="1">
          <cell r="J1">
            <v>1.7453292519943295E-2</v>
          </cell>
        </row>
      </sheetData>
      <sheetData sheetId="33907">
        <row r="1">
          <cell r="J1">
            <v>1.7453292519943295E-2</v>
          </cell>
        </row>
      </sheetData>
      <sheetData sheetId="33908"/>
      <sheetData sheetId="33909"/>
      <sheetData sheetId="33910"/>
      <sheetData sheetId="33911" refreshError="1"/>
      <sheetData sheetId="33912" refreshError="1"/>
      <sheetData sheetId="33913">
        <row r="1">
          <cell r="J1">
            <v>1.7453292519943295E-2</v>
          </cell>
        </row>
      </sheetData>
      <sheetData sheetId="33914">
        <row r="1">
          <cell r="J1">
            <v>1.7453292519943295E-2</v>
          </cell>
        </row>
      </sheetData>
      <sheetData sheetId="33915">
        <row r="1">
          <cell r="J1">
            <v>1.7453292519943295E-2</v>
          </cell>
        </row>
      </sheetData>
      <sheetData sheetId="33916" refreshError="1"/>
      <sheetData sheetId="33917" refreshError="1"/>
      <sheetData sheetId="33918" refreshError="1"/>
      <sheetData sheetId="33919"/>
      <sheetData sheetId="33920" refreshError="1"/>
      <sheetData sheetId="33921"/>
      <sheetData sheetId="33922"/>
      <sheetData sheetId="33923"/>
      <sheetData sheetId="33924"/>
      <sheetData sheetId="33925"/>
      <sheetData sheetId="33926"/>
      <sheetData sheetId="33927"/>
      <sheetData sheetId="33928"/>
      <sheetData sheetId="33929"/>
      <sheetData sheetId="33930"/>
      <sheetData sheetId="33931"/>
      <sheetData sheetId="33932"/>
      <sheetData sheetId="33933"/>
      <sheetData sheetId="33934"/>
      <sheetData sheetId="33935">
        <row r="1">
          <cell r="J1">
            <v>1.7453292519943295E-2</v>
          </cell>
        </row>
      </sheetData>
      <sheetData sheetId="33936">
        <row r="1">
          <cell r="J1">
            <v>1.7453292519943295E-2</v>
          </cell>
        </row>
      </sheetData>
      <sheetData sheetId="33937">
        <row r="1">
          <cell r="J1">
            <v>1.7453292519943295E-2</v>
          </cell>
        </row>
      </sheetData>
      <sheetData sheetId="33938"/>
      <sheetData sheetId="33939"/>
      <sheetData sheetId="33940"/>
      <sheetData sheetId="33941" refreshError="1"/>
      <sheetData sheetId="33942" refreshError="1"/>
      <sheetData sheetId="33943" refreshError="1"/>
      <sheetData sheetId="33944">
        <row r="1">
          <cell r="J1">
            <v>1.7453292519943295E-2</v>
          </cell>
        </row>
      </sheetData>
      <sheetData sheetId="33945">
        <row r="1">
          <cell r="J1">
            <v>1.7453292519943295E-2</v>
          </cell>
        </row>
      </sheetData>
      <sheetData sheetId="33946">
        <row r="1">
          <cell r="J1">
            <v>1.7453292519943295E-2</v>
          </cell>
        </row>
      </sheetData>
      <sheetData sheetId="33947" refreshError="1"/>
      <sheetData sheetId="33948" refreshError="1"/>
      <sheetData sheetId="33949">
        <row r="1">
          <cell r="J1">
            <v>1.7453292519943295E-2</v>
          </cell>
        </row>
      </sheetData>
      <sheetData sheetId="33950">
        <row r="1">
          <cell r="J1">
            <v>1.7453292519943295E-2</v>
          </cell>
        </row>
      </sheetData>
      <sheetData sheetId="33951">
        <row r="1">
          <cell r="J1">
            <v>1.7453292519943295E-2</v>
          </cell>
        </row>
      </sheetData>
      <sheetData sheetId="33952" refreshError="1"/>
      <sheetData sheetId="33953" refreshError="1"/>
      <sheetData sheetId="33954" refreshError="1"/>
      <sheetData sheetId="33955"/>
      <sheetData sheetId="33956" refreshError="1"/>
      <sheetData sheetId="33957"/>
      <sheetData sheetId="33958">
        <row r="1">
          <cell r="J1">
            <v>1.7453292519943295E-2</v>
          </cell>
        </row>
      </sheetData>
      <sheetData sheetId="33959"/>
      <sheetData sheetId="33960"/>
      <sheetData sheetId="33961"/>
      <sheetData sheetId="33962"/>
      <sheetData sheetId="33963"/>
      <sheetData sheetId="33964"/>
      <sheetData sheetId="33965"/>
      <sheetData sheetId="33966"/>
      <sheetData sheetId="33967"/>
      <sheetData sheetId="33968"/>
      <sheetData sheetId="33969"/>
      <sheetData sheetId="33970"/>
      <sheetData sheetId="33971"/>
      <sheetData sheetId="33972"/>
      <sheetData sheetId="33973">
        <row r="1">
          <cell r="J1">
            <v>1.7453292519943295E-2</v>
          </cell>
        </row>
      </sheetData>
      <sheetData sheetId="33974">
        <row r="1">
          <cell r="J1">
            <v>1.7453292519943295E-2</v>
          </cell>
        </row>
      </sheetData>
      <sheetData sheetId="33975">
        <row r="1">
          <cell r="J1">
            <v>1.7453292519943295E-2</v>
          </cell>
        </row>
      </sheetData>
      <sheetData sheetId="33976">
        <row r="1">
          <cell r="J1">
            <v>1.7453292519943295E-2</v>
          </cell>
        </row>
      </sheetData>
      <sheetData sheetId="33977"/>
      <sheetData sheetId="33978"/>
      <sheetData sheetId="33979"/>
      <sheetData sheetId="33980" refreshError="1"/>
      <sheetData sheetId="33981" refreshError="1"/>
      <sheetData sheetId="33982" refreshError="1"/>
      <sheetData sheetId="33983">
        <row r="1">
          <cell r="J1">
            <v>1.7453292519943295E-2</v>
          </cell>
        </row>
      </sheetData>
      <sheetData sheetId="33984">
        <row r="1">
          <cell r="J1">
            <v>1.7453292519943295E-2</v>
          </cell>
        </row>
      </sheetData>
      <sheetData sheetId="33985" refreshError="1"/>
      <sheetData sheetId="33986" refreshError="1"/>
      <sheetData sheetId="33987" refreshError="1"/>
      <sheetData sheetId="33988"/>
      <sheetData sheetId="33989"/>
      <sheetData sheetId="33990"/>
      <sheetData sheetId="33991"/>
      <sheetData sheetId="33992"/>
      <sheetData sheetId="33993"/>
      <sheetData sheetId="33994"/>
      <sheetData sheetId="33995"/>
      <sheetData sheetId="33996"/>
      <sheetData sheetId="33997"/>
      <sheetData sheetId="33998"/>
      <sheetData sheetId="33999"/>
      <sheetData sheetId="34000"/>
      <sheetData sheetId="34001"/>
      <sheetData sheetId="34002"/>
      <sheetData sheetId="34003">
        <row r="1">
          <cell r="J1">
            <v>1.7453292519943295E-2</v>
          </cell>
        </row>
      </sheetData>
      <sheetData sheetId="34004">
        <row r="1">
          <cell r="J1">
            <v>1.7453292519943295E-2</v>
          </cell>
        </row>
      </sheetData>
      <sheetData sheetId="34005">
        <row r="1">
          <cell r="J1">
            <v>1.7453292519943295E-2</v>
          </cell>
        </row>
      </sheetData>
      <sheetData sheetId="34006"/>
      <sheetData sheetId="34007"/>
      <sheetData sheetId="34008"/>
      <sheetData sheetId="34009" refreshError="1"/>
      <sheetData sheetId="34010" refreshError="1"/>
      <sheetData sheetId="34011">
        <row r="1">
          <cell r="J1">
            <v>1.7453292519943295E-2</v>
          </cell>
        </row>
      </sheetData>
      <sheetData sheetId="34012">
        <row r="1">
          <cell r="J1">
            <v>1.7453292519943295E-2</v>
          </cell>
        </row>
      </sheetData>
      <sheetData sheetId="34013">
        <row r="1">
          <cell r="J1">
            <v>1.7453292519943295E-2</v>
          </cell>
        </row>
      </sheetData>
      <sheetData sheetId="34014" refreshError="1"/>
      <sheetData sheetId="34015" refreshError="1"/>
      <sheetData sheetId="34016" refreshError="1"/>
      <sheetData sheetId="34017"/>
      <sheetData sheetId="34018" refreshError="1"/>
      <sheetData sheetId="34019">
        <row r="1">
          <cell r="J1">
            <v>1.7453292519943295E-2</v>
          </cell>
        </row>
      </sheetData>
      <sheetData sheetId="34020"/>
      <sheetData sheetId="34021"/>
      <sheetData sheetId="34022"/>
      <sheetData sheetId="34023"/>
      <sheetData sheetId="34024"/>
      <sheetData sheetId="34025"/>
      <sheetData sheetId="34026"/>
      <sheetData sheetId="34027"/>
      <sheetData sheetId="34028"/>
      <sheetData sheetId="34029"/>
      <sheetData sheetId="34030"/>
      <sheetData sheetId="34031"/>
      <sheetData sheetId="34032"/>
      <sheetData sheetId="34033"/>
      <sheetData sheetId="34034">
        <row r="1">
          <cell r="J1">
            <v>1.7453292519943295E-2</v>
          </cell>
        </row>
      </sheetData>
      <sheetData sheetId="34035">
        <row r="1">
          <cell r="J1">
            <v>1.7453292519943295E-2</v>
          </cell>
        </row>
      </sheetData>
      <sheetData sheetId="34036">
        <row r="1">
          <cell r="J1">
            <v>1.7453292519943295E-2</v>
          </cell>
        </row>
      </sheetData>
      <sheetData sheetId="34037"/>
      <sheetData sheetId="34038"/>
      <sheetData sheetId="34039"/>
      <sheetData sheetId="34040" refreshError="1"/>
      <sheetData sheetId="34041" refreshError="1"/>
      <sheetData sheetId="34042">
        <row r="1">
          <cell r="J1">
            <v>1.7453292519943295E-2</v>
          </cell>
        </row>
      </sheetData>
      <sheetData sheetId="34043">
        <row r="1">
          <cell r="J1">
            <v>1.7453292519943295E-2</v>
          </cell>
        </row>
      </sheetData>
      <sheetData sheetId="34044" refreshError="1"/>
      <sheetData sheetId="34045"/>
      <sheetData sheetId="34046">
        <row r="1">
          <cell r="J1">
            <v>1.7453292519943295E-2</v>
          </cell>
        </row>
      </sheetData>
      <sheetData sheetId="34047" refreshError="1"/>
      <sheetData sheetId="34048" refreshError="1"/>
      <sheetData sheetId="34049" refreshError="1"/>
      <sheetData sheetId="34050"/>
      <sheetData sheetId="34051"/>
      <sheetData sheetId="34052"/>
      <sheetData sheetId="34053"/>
      <sheetData sheetId="34054"/>
      <sheetData sheetId="34055"/>
      <sheetData sheetId="34056"/>
      <sheetData sheetId="34057"/>
      <sheetData sheetId="34058"/>
      <sheetData sheetId="34059"/>
      <sheetData sheetId="34060"/>
      <sheetData sheetId="34061"/>
      <sheetData sheetId="34062"/>
      <sheetData sheetId="34063"/>
      <sheetData sheetId="34064">
        <row r="1">
          <cell r="J1">
            <v>1.7453292519943295E-2</v>
          </cell>
        </row>
      </sheetData>
      <sheetData sheetId="34065">
        <row r="1">
          <cell r="J1">
            <v>1.7453292519943295E-2</v>
          </cell>
        </row>
      </sheetData>
      <sheetData sheetId="34066">
        <row r="1">
          <cell r="J1">
            <v>1.7453292519943295E-2</v>
          </cell>
        </row>
      </sheetData>
      <sheetData sheetId="34067"/>
      <sheetData sheetId="34068"/>
      <sheetData sheetId="34069"/>
      <sheetData sheetId="34070" refreshError="1"/>
      <sheetData sheetId="34071">
        <row r="1">
          <cell r="J1">
            <v>1.7453292519943295E-2</v>
          </cell>
        </row>
      </sheetData>
      <sheetData sheetId="34072">
        <row r="1">
          <cell r="J1">
            <v>1.7453292519943295E-2</v>
          </cell>
        </row>
      </sheetData>
      <sheetData sheetId="34073">
        <row r="1">
          <cell r="J1">
            <v>1.7453292519943295E-2</v>
          </cell>
        </row>
      </sheetData>
      <sheetData sheetId="34074">
        <row r="1">
          <cell r="J1">
            <v>1.7453292519943295E-2</v>
          </cell>
        </row>
      </sheetData>
      <sheetData sheetId="34075" refreshError="1"/>
      <sheetData sheetId="34076" refreshError="1"/>
      <sheetData sheetId="34077" refreshError="1"/>
      <sheetData sheetId="34078" refreshError="1"/>
      <sheetData sheetId="34079">
        <row r="1">
          <cell r="J1">
            <v>1.7453292519943295E-2</v>
          </cell>
        </row>
      </sheetData>
      <sheetData sheetId="34080">
        <row r="1">
          <cell r="J1">
            <v>1.7453292519943295E-2</v>
          </cell>
        </row>
      </sheetData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>
        <row r="1">
          <cell r="J1">
            <v>1.7453292519943295E-2</v>
          </cell>
        </row>
      </sheetData>
      <sheetData sheetId="34088"/>
      <sheetData sheetId="34089"/>
      <sheetData sheetId="34090"/>
      <sheetData sheetId="34091"/>
      <sheetData sheetId="34092"/>
      <sheetData sheetId="34093"/>
      <sheetData sheetId="34094"/>
      <sheetData sheetId="34095"/>
      <sheetData sheetId="34096"/>
      <sheetData sheetId="34097"/>
      <sheetData sheetId="34098"/>
      <sheetData sheetId="34099"/>
      <sheetData sheetId="34100"/>
      <sheetData sheetId="34101"/>
      <sheetData sheetId="34102">
        <row r="1">
          <cell r="J1">
            <v>1.7453292519943295E-2</v>
          </cell>
        </row>
      </sheetData>
      <sheetData sheetId="34103">
        <row r="1">
          <cell r="J1">
            <v>1.7453292519943295E-2</v>
          </cell>
        </row>
      </sheetData>
      <sheetData sheetId="34104">
        <row r="1">
          <cell r="J1">
            <v>1.7453292519943295E-2</v>
          </cell>
        </row>
      </sheetData>
      <sheetData sheetId="34105">
        <row r="1">
          <cell r="J1">
            <v>1.7453292519943295E-2</v>
          </cell>
        </row>
      </sheetData>
      <sheetData sheetId="34106"/>
      <sheetData sheetId="34107"/>
      <sheetData sheetId="34108"/>
      <sheetData sheetId="34109" refreshError="1"/>
      <sheetData sheetId="34110" refreshError="1"/>
      <sheetData sheetId="34111">
        <row r="1">
          <cell r="J1">
            <v>1.7453292519943295E-2</v>
          </cell>
        </row>
      </sheetData>
      <sheetData sheetId="34112">
        <row r="1">
          <cell r="J1">
            <v>1.7453292519943295E-2</v>
          </cell>
        </row>
      </sheetData>
      <sheetData sheetId="34113">
        <row r="1">
          <cell r="J1">
            <v>1.7453292519943295E-2</v>
          </cell>
        </row>
      </sheetData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>
        <row r="1">
          <cell r="J1">
            <v>1.7453292519943295E-2</v>
          </cell>
        </row>
      </sheetData>
      <sheetData sheetId="34120"/>
      <sheetData sheetId="34121"/>
      <sheetData sheetId="34122"/>
      <sheetData sheetId="34123"/>
      <sheetData sheetId="34124"/>
      <sheetData sheetId="34125"/>
      <sheetData sheetId="34126"/>
      <sheetData sheetId="34127"/>
      <sheetData sheetId="34128"/>
      <sheetData sheetId="34129"/>
      <sheetData sheetId="34130"/>
      <sheetData sheetId="34131"/>
      <sheetData sheetId="34132"/>
      <sheetData sheetId="34133"/>
      <sheetData sheetId="34134">
        <row r="1">
          <cell r="J1">
            <v>1.7453292519943295E-2</v>
          </cell>
        </row>
      </sheetData>
      <sheetData sheetId="34135">
        <row r="1">
          <cell r="J1">
            <v>1.7453292519943295E-2</v>
          </cell>
        </row>
      </sheetData>
      <sheetData sheetId="34136">
        <row r="1">
          <cell r="J1">
            <v>1.7453292519943295E-2</v>
          </cell>
        </row>
      </sheetData>
      <sheetData sheetId="34137"/>
      <sheetData sheetId="34138"/>
      <sheetData sheetId="34139"/>
      <sheetData sheetId="34140" refreshError="1"/>
      <sheetData sheetId="34141" refreshError="1"/>
      <sheetData sheetId="34142">
        <row r="1">
          <cell r="J1">
            <v>1.7453292519943295E-2</v>
          </cell>
        </row>
      </sheetData>
      <sheetData sheetId="34143">
        <row r="1">
          <cell r="J1">
            <v>1.7453292519943295E-2</v>
          </cell>
        </row>
      </sheetData>
      <sheetData sheetId="34144">
        <row r="1">
          <cell r="J1">
            <v>1.7453292519943295E-2</v>
          </cell>
        </row>
      </sheetData>
      <sheetData sheetId="34145" refreshError="1"/>
      <sheetData sheetId="34146" refreshError="1"/>
      <sheetData sheetId="34147" refreshError="1"/>
      <sheetData sheetId="34148"/>
      <sheetData sheetId="34149" refreshError="1"/>
      <sheetData sheetId="34150">
        <row r="1">
          <cell r="J1">
            <v>1.7453292519943295E-2</v>
          </cell>
        </row>
      </sheetData>
      <sheetData sheetId="34151"/>
      <sheetData sheetId="34152"/>
      <sheetData sheetId="34153"/>
      <sheetData sheetId="34154"/>
      <sheetData sheetId="34155"/>
      <sheetData sheetId="34156"/>
      <sheetData sheetId="34157"/>
      <sheetData sheetId="34158"/>
      <sheetData sheetId="34159"/>
      <sheetData sheetId="34160"/>
      <sheetData sheetId="34161"/>
      <sheetData sheetId="34162"/>
      <sheetData sheetId="34163"/>
      <sheetData sheetId="34164"/>
      <sheetData sheetId="34165">
        <row r="1">
          <cell r="J1">
            <v>1.7453292519943295E-2</v>
          </cell>
        </row>
      </sheetData>
      <sheetData sheetId="34166">
        <row r="1">
          <cell r="J1">
            <v>1.7453292519943295E-2</v>
          </cell>
        </row>
      </sheetData>
      <sheetData sheetId="34167">
        <row r="1">
          <cell r="J1">
            <v>1.7453292519943295E-2</v>
          </cell>
        </row>
      </sheetData>
      <sheetData sheetId="34168"/>
      <sheetData sheetId="34169"/>
      <sheetData sheetId="34170"/>
      <sheetData sheetId="34171" refreshError="1"/>
      <sheetData sheetId="34172" refreshError="1"/>
      <sheetData sheetId="34173">
        <row r="1">
          <cell r="J1">
            <v>1.7453292519943295E-2</v>
          </cell>
        </row>
      </sheetData>
      <sheetData sheetId="34174">
        <row r="1">
          <cell r="J1">
            <v>1.7453292519943295E-2</v>
          </cell>
        </row>
      </sheetData>
      <sheetData sheetId="34175">
        <row r="1">
          <cell r="J1">
            <v>1.7453292519943295E-2</v>
          </cell>
        </row>
      </sheetData>
      <sheetData sheetId="34176" refreshError="1"/>
      <sheetData sheetId="34177"/>
      <sheetData sheetId="34178">
        <row r="1">
          <cell r="J1">
            <v>1.7453292519943295E-2</v>
          </cell>
        </row>
      </sheetData>
      <sheetData sheetId="34179">
        <row r="1">
          <cell r="J1">
            <v>1.7453292519943295E-2</v>
          </cell>
        </row>
      </sheetData>
      <sheetData sheetId="34180" refreshError="1"/>
      <sheetData sheetId="34181" refreshError="1"/>
      <sheetData sheetId="34182">
        <row r="1">
          <cell r="J1">
            <v>1.7453292519943295E-2</v>
          </cell>
        </row>
      </sheetData>
      <sheetData sheetId="34183">
        <row r="1">
          <cell r="J1">
            <v>1.7453292519943295E-2</v>
          </cell>
        </row>
      </sheetData>
      <sheetData sheetId="34184" refreshError="1"/>
      <sheetData sheetId="34185"/>
      <sheetData sheetId="34186">
        <row r="1">
          <cell r="J1">
            <v>1.7453292519943295E-2</v>
          </cell>
        </row>
      </sheetData>
      <sheetData sheetId="34187"/>
      <sheetData sheetId="34188">
        <row r="1">
          <cell r="J1">
            <v>1.7453292519943295E-2</v>
          </cell>
        </row>
      </sheetData>
      <sheetData sheetId="34189" refreshError="1"/>
      <sheetData sheetId="34190" refreshError="1"/>
      <sheetData sheetId="34191">
        <row r="1">
          <cell r="J1">
            <v>1.7453292519943295E-2</v>
          </cell>
        </row>
      </sheetData>
      <sheetData sheetId="34192">
        <row r="1">
          <cell r="J1">
            <v>1.7453292519943295E-2</v>
          </cell>
        </row>
      </sheetData>
      <sheetData sheetId="34193">
        <row r="1">
          <cell r="J1">
            <v>1.7453292519943295E-2</v>
          </cell>
        </row>
      </sheetData>
      <sheetData sheetId="34194" refreshError="1"/>
      <sheetData sheetId="34195"/>
      <sheetData sheetId="34196">
        <row r="1">
          <cell r="J1">
            <v>1.7453292519943295E-2</v>
          </cell>
        </row>
      </sheetData>
      <sheetData sheetId="34197" refreshError="1"/>
      <sheetData sheetId="34198" refreshError="1"/>
      <sheetData sheetId="34199">
        <row r="1">
          <cell r="J1">
            <v>1.7453292519943295E-2</v>
          </cell>
        </row>
      </sheetData>
      <sheetData sheetId="34200">
        <row r="1">
          <cell r="J1">
            <v>1.7453292519943295E-2</v>
          </cell>
        </row>
      </sheetData>
      <sheetData sheetId="34201">
        <row r="1">
          <cell r="J1">
            <v>1.7453292519943295E-2</v>
          </cell>
        </row>
      </sheetData>
      <sheetData sheetId="34202" refreshError="1"/>
      <sheetData sheetId="34203"/>
      <sheetData sheetId="34204" refreshError="1"/>
      <sheetData sheetId="34205" refreshError="1"/>
      <sheetData sheetId="34206">
        <row r="1">
          <cell r="J1">
            <v>1.7453292519943295E-2</v>
          </cell>
        </row>
      </sheetData>
      <sheetData sheetId="34207">
        <row r="1">
          <cell r="J1">
            <v>1.7453292519943295E-2</v>
          </cell>
        </row>
      </sheetData>
      <sheetData sheetId="34208">
        <row r="1">
          <cell r="J1">
            <v>1.7453292519943295E-2</v>
          </cell>
        </row>
      </sheetData>
      <sheetData sheetId="34209" refreshError="1"/>
      <sheetData sheetId="34210"/>
      <sheetData sheetId="34211">
        <row r="1">
          <cell r="J1">
            <v>1.7453292519943295E-2</v>
          </cell>
        </row>
      </sheetData>
      <sheetData sheetId="34212" refreshError="1"/>
      <sheetData sheetId="34213" refreshError="1"/>
      <sheetData sheetId="34214">
        <row r="1">
          <cell r="J1">
            <v>1.7453292519943295E-2</v>
          </cell>
        </row>
      </sheetData>
      <sheetData sheetId="34215">
        <row r="1">
          <cell r="J1">
            <v>1.7453292519943295E-2</v>
          </cell>
        </row>
      </sheetData>
      <sheetData sheetId="34216">
        <row r="1">
          <cell r="J1">
            <v>1.7453292519943295E-2</v>
          </cell>
        </row>
      </sheetData>
      <sheetData sheetId="34217" refreshError="1"/>
      <sheetData sheetId="34218"/>
      <sheetData sheetId="34219">
        <row r="1">
          <cell r="J1">
            <v>1.7453292519943295E-2</v>
          </cell>
        </row>
      </sheetData>
      <sheetData sheetId="34220" refreshError="1"/>
      <sheetData sheetId="34221" refreshError="1"/>
      <sheetData sheetId="34222">
        <row r="1">
          <cell r="J1">
            <v>1.7453292519943295E-2</v>
          </cell>
        </row>
      </sheetData>
      <sheetData sheetId="34223"/>
      <sheetData sheetId="34224"/>
      <sheetData sheetId="34225"/>
      <sheetData sheetId="34226">
        <row r="1">
          <cell r="J1">
            <v>1.7453292519943295E-2</v>
          </cell>
        </row>
      </sheetData>
      <sheetData sheetId="34227" refreshError="1"/>
      <sheetData sheetId="34228" refreshError="1"/>
      <sheetData sheetId="34229">
        <row r="1">
          <cell r="J1">
            <v>1.7453292519943295E-2</v>
          </cell>
        </row>
      </sheetData>
      <sheetData sheetId="34230">
        <row r="1">
          <cell r="J1">
            <v>1.7453292519943295E-2</v>
          </cell>
        </row>
      </sheetData>
      <sheetData sheetId="34231">
        <row r="1">
          <cell r="J1">
            <v>1.7453292519943295E-2</v>
          </cell>
        </row>
      </sheetData>
      <sheetData sheetId="34232" refreshError="1"/>
      <sheetData sheetId="34233"/>
      <sheetData sheetId="34234">
        <row r="1">
          <cell r="J1">
            <v>1.7453292519943295E-2</v>
          </cell>
        </row>
      </sheetData>
      <sheetData sheetId="34235">
        <row r="1">
          <cell r="J1">
            <v>1.7453292519943295E-2</v>
          </cell>
        </row>
      </sheetData>
      <sheetData sheetId="34236">
        <row r="1">
          <cell r="J1">
            <v>1.7453292519943295E-2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ck base"/>
      <sheetName val="Sheet1"/>
      <sheetName val="var3"/>
      <sheetName val="ag81 var"/>
      <sheetName val="studs"/>
      <sheetName val="ag81 f1 brkup"/>
      <sheetName val="ag81 studs"/>
      <sheetName val="ag50 f11"/>
      <sheetName val="ag50 f4"/>
      <sheetName val="hos dining s"/>
      <sheetName val="HOS dining"/>
      <sheetName val="hos round s"/>
      <sheetName val="HOS round side table"/>
      <sheetName val="var 2"/>
      <sheetName val="fab"/>
      <sheetName val="fabric rev"/>
      <sheetName val="intr stool brkup (2)"/>
      <sheetName val="var1A"/>
      <sheetName val="intr stool brkup"/>
      <sheetName val="side tables-brkup"/>
      <sheetName val="boq final"/>
      <sheetName val="base only"/>
      <sheetName val="oil gldng"/>
      <sheetName val="clock base brk"/>
      <sheetName val="clock_base"/>
      <sheetName val="ag81_var"/>
      <sheetName val="ag81_f1_brkup"/>
      <sheetName val="ag81_studs"/>
      <sheetName val="ag50_f11"/>
      <sheetName val="ag50_f4"/>
      <sheetName val="hos_dining_s"/>
      <sheetName val="HOS_dining"/>
      <sheetName val="hos_round_s"/>
      <sheetName val="HOS_round_side_table"/>
      <sheetName val="var_2"/>
      <sheetName val="fabric_rev"/>
      <sheetName val="intr_stool_brkup_(2)"/>
      <sheetName val="intr_stool_brkup"/>
      <sheetName val="side_tables-brkup"/>
      <sheetName val="boq_final"/>
      <sheetName val="base_only"/>
      <sheetName val="oil_gldng"/>
      <sheetName val="clock_base_brk"/>
      <sheetName val="BILL COV"/>
      <sheetName val="vb 9&amp;10"/>
      <sheetName val="SPT vs PHI"/>
      <sheetName val="Rate analysis"/>
      <sheetName val="Estimate for approval"/>
      <sheetName val="col-reinft1"/>
      <sheetName val="clock_base6"/>
      <sheetName val="ag81_var6"/>
      <sheetName val="ag81_f1_brkup6"/>
      <sheetName val="ag81_studs6"/>
      <sheetName val="ag50_f116"/>
      <sheetName val="ag50_f46"/>
      <sheetName val="hos_dining_s6"/>
      <sheetName val="HOS_dining6"/>
      <sheetName val="hos_round_s6"/>
      <sheetName val="HOS_round_side_table6"/>
      <sheetName val="var_26"/>
      <sheetName val="fabric_rev6"/>
      <sheetName val="intr_stool_brkup_(2)6"/>
      <sheetName val="intr_stool_brkup6"/>
      <sheetName val="side_tables-brkup6"/>
      <sheetName val="boq_final6"/>
      <sheetName val="base_only6"/>
      <sheetName val="oil_gldng6"/>
      <sheetName val="clock_base_brk6"/>
      <sheetName val="BILL_COV5"/>
      <sheetName val="vb_9&amp;105"/>
      <sheetName val="SPT_vs_PHI5"/>
      <sheetName val="Rate_analysis5"/>
      <sheetName val="Estimate_for_approval5"/>
      <sheetName val="clock_base4"/>
      <sheetName val="ag81_var4"/>
      <sheetName val="ag81_f1_brkup4"/>
      <sheetName val="ag81_studs4"/>
      <sheetName val="ag50_f114"/>
      <sheetName val="ag50_f44"/>
      <sheetName val="hos_dining_s4"/>
      <sheetName val="HOS_dining4"/>
      <sheetName val="hos_round_s4"/>
      <sheetName val="HOS_round_side_table4"/>
      <sheetName val="var_24"/>
      <sheetName val="fabric_rev4"/>
      <sheetName val="intr_stool_brkup_(2)4"/>
      <sheetName val="intr_stool_brkup4"/>
      <sheetName val="side_tables-brkup4"/>
      <sheetName val="boq_final4"/>
      <sheetName val="base_only4"/>
      <sheetName val="oil_gldng4"/>
      <sheetName val="clock_base_brk4"/>
      <sheetName val="BILL_COV3"/>
      <sheetName val="vb_9&amp;103"/>
      <sheetName val="SPT_vs_PHI3"/>
      <sheetName val="Rate_analysis3"/>
      <sheetName val="Estimate_for_approval3"/>
      <sheetName val="clock_base3"/>
      <sheetName val="ag81_var3"/>
      <sheetName val="ag81_f1_brkup3"/>
      <sheetName val="ag81_studs3"/>
      <sheetName val="ag50_f113"/>
      <sheetName val="ag50_f43"/>
      <sheetName val="hos_dining_s3"/>
      <sheetName val="HOS_dining3"/>
      <sheetName val="hos_round_s3"/>
      <sheetName val="HOS_round_side_table3"/>
      <sheetName val="var_23"/>
      <sheetName val="fabric_rev3"/>
      <sheetName val="intr_stool_brkup_(2)3"/>
      <sheetName val="intr_stool_brkup3"/>
      <sheetName val="side_tables-brkup3"/>
      <sheetName val="boq_final3"/>
      <sheetName val="base_only3"/>
      <sheetName val="oil_gldng3"/>
      <sheetName val="clock_base_brk3"/>
      <sheetName val="BILL_COV2"/>
      <sheetName val="vb_9&amp;102"/>
      <sheetName val="SPT_vs_PHI2"/>
      <sheetName val="Rate_analysis2"/>
      <sheetName val="Estimate_for_approval2"/>
      <sheetName val="clock_base1"/>
      <sheetName val="ag81_var1"/>
      <sheetName val="ag81_f1_brkup1"/>
      <sheetName val="ag81_studs1"/>
      <sheetName val="ag50_f111"/>
      <sheetName val="ag50_f41"/>
      <sheetName val="hos_dining_s1"/>
      <sheetName val="HOS_dining1"/>
      <sheetName val="hos_round_s1"/>
      <sheetName val="HOS_round_side_table1"/>
      <sheetName val="var_21"/>
      <sheetName val="fabric_rev1"/>
      <sheetName val="intr_stool_brkup_(2)1"/>
      <sheetName val="intr_stool_brkup1"/>
      <sheetName val="side_tables-brkup1"/>
      <sheetName val="boq_final1"/>
      <sheetName val="base_only1"/>
      <sheetName val="oil_gldng1"/>
      <sheetName val="clock_base_brk1"/>
      <sheetName val="BILL_COV"/>
      <sheetName val="vb_9&amp;10"/>
      <sheetName val="SPT_vs_PHI"/>
      <sheetName val="Rate_analysis"/>
      <sheetName val="Estimate_for_approval"/>
      <sheetName val="clock_base2"/>
      <sheetName val="ag81_var2"/>
      <sheetName val="ag81_f1_brkup2"/>
      <sheetName val="ag81_studs2"/>
      <sheetName val="ag50_f112"/>
      <sheetName val="ag50_f42"/>
      <sheetName val="hos_dining_s2"/>
      <sheetName val="HOS_dining2"/>
      <sheetName val="hos_round_s2"/>
      <sheetName val="HOS_round_side_table2"/>
      <sheetName val="var_22"/>
      <sheetName val="fabric_rev2"/>
      <sheetName val="intr_stool_brkup_(2)2"/>
      <sheetName val="intr_stool_brkup2"/>
      <sheetName val="side_tables-brkup2"/>
      <sheetName val="boq_final2"/>
      <sheetName val="base_only2"/>
      <sheetName val="oil_gldng2"/>
      <sheetName val="clock_base_brk2"/>
      <sheetName val="BILL_COV1"/>
      <sheetName val="vb_9&amp;101"/>
      <sheetName val="SPT_vs_PHI1"/>
      <sheetName val="Rate_analysis1"/>
      <sheetName val="Estimate_for_approval1"/>
      <sheetName val="clock_base5"/>
      <sheetName val="ag81_var5"/>
      <sheetName val="ag81_f1_brkup5"/>
      <sheetName val="ag81_studs5"/>
      <sheetName val="ag50_f115"/>
      <sheetName val="ag50_f45"/>
      <sheetName val="hos_dining_s5"/>
      <sheetName val="HOS_dining5"/>
      <sheetName val="hos_round_s5"/>
      <sheetName val="HOS_round_side_table5"/>
      <sheetName val="var_25"/>
      <sheetName val="fabric_rev5"/>
      <sheetName val="intr_stool_brkup_(2)5"/>
      <sheetName val="intr_stool_brkup5"/>
      <sheetName val="side_tables-brkup5"/>
      <sheetName val="boq_final5"/>
      <sheetName val="base_only5"/>
      <sheetName val="oil_gldng5"/>
      <sheetName val="clock_base_brk5"/>
      <sheetName val="BILL_COV4"/>
      <sheetName val="vb_9&amp;104"/>
      <sheetName val="SPT_vs_PHI4"/>
      <sheetName val="Rate_analysis4"/>
      <sheetName val="Estimate_for_approval4"/>
      <sheetName val="B &amp; C class items "/>
      <sheetName val="Surface preparation"/>
      <sheetName val="General works"/>
      <sheetName val="Plastering"/>
      <sheetName val="earth works"/>
      <sheetName val="Concrete"/>
      <sheetName val="Shuttering"/>
      <sheetName val="Reinf"/>
      <sheetName val="Masonary"/>
      <sheetName val="Check"/>
      <sheetName val="Maintenance &amp; other codes"/>
      <sheetName val="clock_base7"/>
      <sheetName val="ag81_var7"/>
      <sheetName val="ag81_f1_brkup7"/>
      <sheetName val="ag81_studs7"/>
      <sheetName val="ag50_f117"/>
      <sheetName val="ag50_f47"/>
      <sheetName val="hos_dining_s7"/>
      <sheetName val="HOS_dining7"/>
      <sheetName val="hos_round_s7"/>
      <sheetName val="HOS_round_side_table7"/>
      <sheetName val="var_27"/>
      <sheetName val="fabric_rev7"/>
      <sheetName val="intr_stool_brkup_(2)7"/>
      <sheetName val="intr_stool_brkup7"/>
      <sheetName val="side_tables-brkup7"/>
      <sheetName val="boq_final7"/>
      <sheetName val="base_only7"/>
      <sheetName val="oil_gldng7"/>
      <sheetName val="clock_base_brk7"/>
      <sheetName val="BILL_COV6"/>
      <sheetName val="vb_9&amp;106"/>
      <sheetName val="SPT_vs_PHI6"/>
      <sheetName val="Rate_analysis6"/>
      <sheetName val="Estimate_for_approval6"/>
      <sheetName val="Surface_preparation"/>
      <sheetName val="General_works"/>
      <sheetName val="earth_works"/>
      <sheetName val="Maintenance_&amp;_other_codes"/>
      <sheetName val="B_&amp;_C_class_items_"/>
      <sheetName val="rcc( sub)"/>
      <sheetName val="POWER"/>
      <sheetName val="PROJECT BRIEF_EX_NEW_"/>
      <sheetName val="Plinthbeam"/>
      <sheetName val="BM"/>
      <sheetName val="Data"/>
      <sheetName val="Names"/>
      <sheetName val="BOQ"/>
      <sheetName val="#REF!"/>
      <sheetName val="FitOutConfCentre"/>
      <sheetName val="GYPSUM_PRICING"/>
      <sheetName val="149"/>
      <sheetName val="Démol."/>
      <sheetName val="Ravalement"/>
      <sheetName val="Schedules"/>
      <sheetName val="CTC"/>
      <sheetName val="Main Villa-Walls"/>
      <sheetName val="CERTIFICATE"/>
      <sheetName val="analysis"/>
      <sheetName val="INDIGINEOUS ITEMS "/>
      <sheetName val="Lead"/>
      <sheetName val="Control"/>
      <sheetName val="d-safe DELUXE"/>
      <sheetName val="Abstract Sheet"/>
      <sheetName val="clock_base8"/>
      <sheetName val="ag81_var8"/>
      <sheetName val="ag81_f1_brkup8"/>
      <sheetName val="ag81_studs8"/>
      <sheetName val="ag50_f118"/>
      <sheetName val="ag50_f48"/>
      <sheetName val="hos_dining_s8"/>
      <sheetName val="HOS_dining8"/>
      <sheetName val="hos_round_s8"/>
      <sheetName val="HOS_round_side_table8"/>
      <sheetName val="var_28"/>
      <sheetName val="fabric_rev8"/>
      <sheetName val="intr_stool_brkup_(2)8"/>
      <sheetName val="intr_stool_brkup8"/>
      <sheetName val="side_tables-brkup8"/>
      <sheetName val="boq_final8"/>
      <sheetName val="base_only8"/>
      <sheetName val="oil_gldng8"/>
      <sheetName val="clock_base_brk8"/>
      <sheetName val="BILL_COV7"/>
      <sheetName val="vb_9&amp;107"/>
      <sheetName val="SPT_vs_PHI7"/>
      <sheetName val="Rate_analysis7"/>
      <sheetName val="Estimate_for_approval7"/>
      <sheetName val="B_&amp;_C_class_items_1"/>
      <sheetName val="Surface_preparation1"/>
      <sheetName val="General_works1"/>
      <sheetName val="earth_works1"/>
      <sheetName val="Maintenance_&amp;_other_codes1"/>
      <sheetName val="rcc(_sub)"/>
      <sheetName val="PROJECT_BRIEF_EX_NEW_"/>
      <sheetName val="Démol_"/>
      <sheetName val="Main_Villa-Walls"/>
      <sheetName val="INDIGINEOUS_ITEMS_"/>
      <sheetName val="d-safe_DELUXE"/>
      <sheetName val="Abstract_Sheet"/>
      <sheetName val="clock_base11"/>
      <sheetName val="ag81_var11"/>
      <sheetName val="ag81_f1_brkup11"/>
      <sheetName val="ag81_studs11"/>
      <sheetName val="ag50_f1111"/>
      <sheetName val="ag50_f411"/>
      <sheetName val="hos_dining_s11"/>
      <sheetName val="HOS_dining11"/>
      <sheetName val="hos_round_s11"/>
      <sheetName val="HOS_round_side_table11"/>
      <sheetName val="var_211"/>
      <sheetName val="fabric_rev11"/>
      <sheetName val="intr_stool_brkup_(2)11"/>
      <sheetName val="intr_stool_brkup11"/>
      <sheetName val="side_tables-brkup11"/>
      <sheetName val="boq_final11"/>
      <sheetName val="base_only11"/>
      <sheetName val="oil_gldng11"/>
      <sheetName val="clock_base_brk11"/>
      <sheetName val="BILL_COV10"/>
      <sheetName val="vb_9&amp;1010"/>
      <sheetName val="SPT_vs_PHI10"/>
      <sheetName val="Rate_analysis10"/>
      <sheetName val="Estimate_for_approval10"/>
      <sheetName val="B_&amp;_C_class_items_4"/>
      <sheetName val="Surface_preparation4"/>
      <sheetName val="General_works4"/>
      <sheetName val="earth_works4"/>
      <sheetName val="Maintenance_&amp;_other_codes4"/>
      <sheetName val="rcc(_sub)3"/>
      <sheetName val="PROJECT_BRIEF_EX_NEW_3"/>
      <sheetName val="Démol_3"/>
      <sheetName val="Main_Villa-Walls3"/>
      <sheetName val="INDIGINEOUS_ITEMS_3"/>
      <sheetName val="d-safe_DELUXE3"/>
      <sheetName val="Abstract_Sheet3"/>
      <sheetName val="clock_base10"/>
      <sheetName val="ag81_var10"/>
      <sheetName val="ag81_f1_brkup10"/>
      <sheetName val="ag81_studs10"/>
      <sheetName val="ag50_f1110"/>
      <sheetName val="ag50_f410"/>
      <sheetName val="hos_dining_s10"/>
      <sheetName val="HOS_dining10"/>
      <sheetName val="hos_round_s10"/>
      <sheetName val="HOS_round_side_table10"/>
      <sheetName val="var_210"/>
      <sheetName val="fabric_rev10"/>
      <sheetName val="intr_stool_brkup_(2)10"/>
      <sheetName val="intr_stool_brkup10"/>
      <sheetName val="side_tables-brkup10"/>
      <sheetName val="boq_final10"/>
      <sheetName val="base_only10"/>
      <sheetName val="oil_gldng10"/>
      <sheetName val="clock_base_brk10"/>
      <sheetName val="BILL_COV9"/>
      <sheetName val="vb_9&amp;109"/>
      <sheetName val="SPT_vs_PHI9"/>
      <sheetName val="Rate_analysis9"/>
      <sheetName val="Estimate_for_approval9"/>
      <sheetName val="B_&amp;_C_class_items_3"/>
      <sheetName val="Surface_preparation3"/>
      <sheetName val="General_works3"/>
      <sheetName val="earth_works3"/>
      <sheetName val="Maintenance_&amp;_other_codes3"/>
      <sheetName val="rcc(_sub)2"/>
      <sheetName val="PROJECT_BRIEF_EX_NEW_2"/>
      <sheetName val="Démol_2"/>
      <sheetName val="Main_Villa-Walls2"/>
      <sheetName val="INDIGINEOUS_ITEMS_2"/>
      <sheetName val="d-safe_DELUXE2"/>
      <sheetName val="Abstract_Sheet2"/>
      <sheetName val="clock_base9"/>
      <sheetName val="ag81_var9"/>
      <sheetName val="ag81_f1_brkup9"/>
      <sheetName val="ag81_studs9"/>
      <sheetName val="ag50_f119"/>
      <sheetName val="ag50_f49"/>
      <sheetName val="hos_dining_s9"/>
      <sheetName val="HOS_dining9"/>
      <sheetName val="hos_round_s9"/>
      <sheetName val="HOS_round_side_table9"/>
      <sheetName val="var_29"/>
      <sheetName val="fabric_rev9"/>
      <sheetName val="intr_stool_brkup_(2)9"/>
      <sheetName val="intr_stool_brkup9"/>
      <sheetName val="side_tables-brkup9"/>
      <sheetName val="boq_final9"/>
      <sheetName val="base_only9"/>
      <sheetName val="oil_gldng9"/>
      <sheetName val="clock_base_brk9"/>
      <sheetName val="BILL_COV8"/>
      <sheetName val="vb_9&amp;108"/>
      <sheetName val="SPT_vs_PHI8"/>
      <sheetName val="Rate_analysis8"/>
      <sheetName val="Estimate_for_approval8"/>
      <sheetName val="B_&amp;_C_class_items_2"/>
      <sheetName val="Surface_preparation2"/>
      <sheetName val="General_works2"/>
      <sheetName val="earth_works2"/>
      <sheetName val="Maintenance_&amp;_other_codes2"/>
      <sheetName val="rcc(_sub)1"/>
      <sheetName val="PROJECT_BRIEF_EX_NEW_1"/>
      <sheetName val="Démol_1"/>
      <sheetName val="Main_Villa-Walls1"/>
      <sheetName val="INDIGINEOUS_ITEMS_1"/>
      <sheetName val="d-safe_DELUXE1"/>
      <sheetName val="Abstract_Sheet1"/>
      <sheetName val="dBase"/>
      <sheetName val="B3-B4-B5-B6"/>
      <sheetName val="PRELIM5"/>
      <sheetName val="SS MH"/>
      <sheetName val="SS_MH"/>
      <sheetName val="India F&amp;S Template"/>
      <sheetName val="Day work"/>
      <sheetName val="Testing"/>
    </sheetNames>
    <sheetDataSet>
      <sheetData sheetId="0">
        <row r="8">
          <cell r="B8" t="str">
            <v>Room AG 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8">
          <cell r="B8" t="str">
            <v>Room AG 08</v>
          </cell>
        </row>
        <row r="9">
          <cell r="A9" t="str">
            <v>I</v>
          </cell>
          <cell r="B9" t="str">
            <v>Interpreter's Stool (similar to side table )</v>
          </cell>
        </row>
        <row r="11">
          <cell r="B11" t="str">
            <v xml:space="preserve">Prorata rate as per Square Side Table (Boq Ref.2/13/C, Room AG 50) </v>
          </cell>
        </row>
        <row r="13">
          <cell r="A13">
            <v>1</v>
          </cell>
          <cell r="B13" t="str">
            <v>Square Side Table</v>
          </cell>
          <cell r="C13">
            <v>0</v>
          </cell>
          <cell r="D13">
            <v>713</v>
          </cell>
        </row>
        <row r="15">
          <cell r="A15">
            <v>2</v>
          </cell>
          <cell r="B15" t="str">
            <v>Addition</v>
          </cell>
        </row>
        <row r="16">
          <cell r="B16" t="str">
            <v>Upholstery Material</v>
          </cell>
          <cell r="C16" t="str">
            <v>sum</v>
          </cell>
          <cell r="D16">
            <v>1.9</v>
          </cell>
        </row>
        <row r="17">
          <cell r="B17" t="str">
            <v>Upholstery labour</v>
          </cell>
          <cell r="C17" t="str">
            <v>0.5MD x RO12.5/day</v>
          </cell>
          <cell r="D17">
            <v>6.25</v>
          </cell>
        </row>
        <row r="18">
          <cell r="B18" t="str">
            <v>Sub total</v>
          </cell>
          <cell r="C18">
            <v>0</v>
          </cell>
          <cell r="D18">
            <v>8.15</v>
          </cell>
        </row>
        <row r="19">
          <cell r="B19" t="str">
            <v>Add 10 % for Overheads</v>
          </cell>
          <cell r="C19">
            <v>0</v>
          </cell>
          <cell r="D19">
            <v>0.81500000000000006</v>
          </cell>
        </row>
        <row r="20">
          <cell r="B20" t="str">
            <v>Sub total</v>
          </cell>
          <cell r="C20">
            <v>0</v>
          </cell>
          <cell r="D20">
            <v>8.9649999999999999</v>
          </cell>
        </row>
        <row r="21">
          <cell r="B21" t="str">
            <v>Add 25% for Oncost &amp; Profit</v>
          </cell>
          <cell r="C21">
            <v>0</v>
          </cell>
          <cell r="D21">
            <v>2.24125</v>
          </cell>
        </row>
        <row r="22">
          <cell r="B22" t="str">
            <v>Total</v>
          </cell>
          <cell r="C22">
            <v>0</v>
          </cell>
          <cell r="D22">
            <v>11.206250000000001</v>
          </cell>
        </row>
        <row r="24">
          <cell r="B24" t="str">
            <v>Fabric</v>
          </cell>
          <cell r="C24" t="str">
            <v>0.65 m x RO 83.9/m</v>
          </cell>
          <cell r="D24">
            <v>54.535000000000004</v>
          </cell>
        </row>
        <row r="25">
          <cell r="B25" t="str">
            <v>Trimmings</v>
          </cell>
          <cell r="C25" t="str">
            <v>1.7 m x RO 3/m</v>
          </cell>
          <cell r="D25">
            <v>5.0999999999999996</v>
          </cell>
        </row>
        <row r="26">
          <cell r="B26" t="str">
            <v>Sum</v>
          </cell>
          <cell r="C26">
            <v>0</v>
          </cell>
          <cell r="D26">
            <v>59.635000000000005</v>
          </cell>
        </row>
        <row r="27">
          <cell r="B27" t="str">
            <v>Add 15% for Oncost &amp; Profit</v>
          </cell>
          <cell r="C27">
            <v>0</v>
          </cell>
          <cell r="D27">
            <v>8.9452499999999997</v>
          </cell>
        </row>
        <row r="28">
          <cell r="B28" t="str">
            <v>Total for Fabric</v>
          </cell>
          <cell r="C28">
            <v>0</v>
          </cell>
          <cell r="D28">
            <v>68.580250000000007</v>
          </cell>
        </row>
        <row r="30">
          <cell r="B30" t="str">
            <v>Net Addition</v>
          </cell>
          <cell r="C30">
            <v>0</v>
          </cell>
          <cell r="D30">
            <v>79.786500000000004</v>
          </cell>
        </row>
        <row r="32">
          <cell r="A32">
            <v>3</v>
          </cell>
          <cell r="B32" t="str">
            <v>Deletion</v>
          </cell>
        </row>
        <row r="34">
          <cell r="B34" t="str">
            <v>24mm Composite Board</v>
          </cell>
          <cell r="C34" t="str">
            <v>0.432sqm x RO8.400</v>
          </cell>
        </row>
        <row r="35">
          <cell r="B35" t="str">
            <v>Balancer Veneer</v>
          </cell>
          <cell r="C35" t="str">
            <v>0.432sqm x RO0.700</v>
          </cell>
        </row>
        <row r="36">
          <cell r="B36" t="str">
            <v>Polishing Material for Table top</v>
          </cell>
          <cell r="C36" t="str">
            <v>0.432sqm x RO4.400</v>
          </cell>
        </row>
        <row r="37">
          <cell r="B37" t="str">
            <v>Polishing Labour</v>
          </cell>
          <cell r="C37" t="str">
            <v>0.2 MD x RO 12.500</v>
          </cell>
        </row>
        <row r="38">
          <cell r="B38" t="str">
            <v>Joinery Labour (Assembly of Table top )</v>
          </cell>
          <cell r="C38" t="str">
            <v>0.5 MD x RO 12.500</v>
          </cell>
        </row>
        <row r="39">
          <cell r="B39" t="str">
            <v>Machining  for Table Top</v>
          </cell>
          <cell r="C39" t="str">
            <v>0.3 Hrs x RO 12.500</v>
          </cell>
        </row>
        <row r="40">
          <cell r="B40" t="str">
            <v>Sub total</v>
          </cell>
        </row>
        <row r="41">
          <cell r="B41" t="str">
            <v>Add 10 % for Overheads</v>
          </cell>
        </row>
        <row r="42">
          <cell r="B42" t="str">
            <v>Sub total</v>
          </cell>
        </row>
        <row r="43">
          <cell r="B43" t="str">
            <v>Add 25% for Oncost &amp; Profit</v>
          </cell>
        </row>
        <row r="44">
          <cell r="B44" t="str">
            <v>Total</v>
          </cell>
        </row>
        <row r="46">
          <cell r="B46" t="str">
            <v>Marquetry at table top</v>
          </cell>
        </row>
        <row r="47">
          <cell r="B47" t="str">
            <v>On costs &amp; Margins @ 15%</v>
          </cell>
        </row>
        <row r="48">
          <cell r="B48" t="str">
            <v>Total for Marquetry</v>
          </cell>
        </row>
        <row r="50">
          <cell r="B50" t="str">
            <v>Net  Deletion</v>
          </cell>
        </row>
        <row r="52">
          <cell r="B52" t="str">
            <v>Interpreter's Stool (1+2-3)</v>
          </cell>
          <cell r="C52">
            <v>0</v>
          </cell>
          <cell r="D52">
            <v>656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8">
          <cell r="B8" t="str">
            <v>Room AG 08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8">
          <cell r="B8" t="str">
            <v>Room AG 08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8">
          <cell r="B8" t="str">
            <v>Room AG 08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8">
          <cell r="B8" t="str">
            <v>Room AG 08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8">
          <cell r="B8" t="str">
            <v>Room AG 08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8">
          <cell r="B8" t="str">
            <v>Room AG 08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8">
          <cell r="B8" t="str">
            <v>Room AG 08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>
        <row r="8">
          <cell r="B8" t="str">
            <v>Room AG 08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ATE ANALYSIS"/>
      <sheetName val="intr stool brkup"/>
      <sheetName val="Column Blk 1"/>
      <sheetName val="Rft Footing Blk 1"/>
      <sheetName val="Beam FF,SF Blk 1"/>
      <sheetName val="Slab FF,SF Blk 2"/>
      <sheetName val="Swimming pool"/>
      <sheetName val="Estimate for approval"/>
      <sheetName val="SPT vs PHI"/>
      <sheetName val="RA-markate"/>
      <sheetName val="Lift Updated Sheet"/>
      <sheetName val="Abstract - Released"/>
      <sheetName val="Withheld Bills"/>
      <sheetName val="ITD Tracking sheet"/>
      <sheetName val="SIL &amp; SGML Stock Projects"/>
      <sheetName val="SIL &amp; SGML Stock (MockUp)"/>
      <sheetName val="BILL COV"/>
    </sheetNames>
    <sheetDataSet>
      <sheetData sheetId="0">
        <row r="1">
          <cell r="A1" t="str">
            <v>DONGRE ASSOCIATES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GINEOUS ITEMS "/>
      <sheetName val="MASTER_RATE ANALYSIS"/>
      <sheetName val="intr stool brkup"/>
      <sheetName val="Headings"/>
      <sheetName val="PRELIM5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F1a-Pile"/>
      <sheetName val="SUMMARY OPTION"/>
      <sheetName val="IMPORTED EQUIPMENTS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Summary"/>
      <sheetName val=" B1"/>
      <sheetName val="Cost summary"/>
      <sheetName val="RA-markate"/>
      <sheetName val="Data sheet"/>
      <sheetName val="Per Unit"/>
      <sheetName val="1-Internal electrical"/>
      <sheetName val="3. Elemental Summary"/>
      <sheetName val="12a. CFTable"/>
      <sheetName val="Meas.-Hotel Part"/>
      <sheetName val="Lintel"/>
      <sheetName val="CASHFLOWS"/>
      <sheetName val="Names&amp;Cases"/>
      <sheetName val="PRECAST lightconc-II"/>
      <sheetName val="run"/>
      <sheetName val="product prices"/>
      <sheetName val="price"/>
      <sheetName val="07"/>
      <sheetName val="PUMP"/>
      <sheetName val=" B3"/>
      <sheetName val="Budget"/>
      <sheetName val="Design"/>
      <sheetName val="BOQ"/>
      <sheetName val="Break_Up"/>
      <sheetName val="RESULT"/>
      <sheetName val="Pacakges split"/>
      <sheetName val="dlvoid"/>
      <sheetName val="9. Package split - Cost "/>
      <sheetName val="10. &amp; 11. Rate Code &amp; BQ"/>
      <sheetName val="Cashflow projection"/>
      <sheetName val="INDEX"/>
      <sheetName val="AREAS"/>
      <sheetName val="Sheet2"/>
      <sheetName val="PANEL ANNEXURE"/>
      <sheetName val="ELEC_BOQ"/>
      <sheetName val="LIST OF MAKES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final abstract"/>
      <sheetName val="currency"/>
      <sheetName val="Switch costs lookup"/>
      <sheetName val="jobhist"/>
      <sheetName val="Fill this out first..."/>
      <sheetName val="p&amp;m"/>
      <sheetName val="A"/>
      <sheetName val="Approved MTD Proj #'s"/>
      <sheetName val="final estimate"/>
      <sheetName val="Sheet 1"/>
      <sheetName val="STAFFSCHED "/>
      <sheetName val="Codes"/>
      <sheetName val="BOQ "/>
      <sheetName val="재1"/>
      <sheetName val="PA- Consutant "/>
      <sheetName val="INTERIOR"/>
      <sheetName val="Bill 1-BOQ-Civil Works"/>
      <sheetName val="HEAD"/>
      <sheetName val="Site Dev BOQ"/>
      <sheetName val="HT WORKS PART-A"/>
      <sheetName val="MN T.B."/>
      <sheetName val="환율"/>
      <sheetName val="BHANDUP"/>
      <sheetName val="calcul"/>
      <sheetName val="GEN REQ"/>
      <sheetName val="SD and START UP"/>
      <sheetName val="analysis"/>
      <sheetName val="Formwork"/>
      <sheetName val="Door"/>
      <sheetName val="Window"/>
      <sheetName val="PRECAST lightconc_II"/>
      <sheetName val="Rate analysis"/>
      <sheetName val="horizontal"/>
      <sheetName val="Assumptions"/>
      <sheetName val="Summ"/>
      <sheetName val="Fossil_DCF"/>
      <sheetName val="INDIGINEOUS_ITEMS_"/>
      <sheetName val="MN_T_B_"/>
      <sheetName val="final_abstract"/>
      <sheetName val="Switch_costs_lookup"/>
      <sheetName val="Fill_this_out_first___"/>
      <sheetName val="ACAD_Finishes"/>
      <sheetName val="Site_Details"/>
      <sheetName val="Site_Area_Statement"/>
      <sheetName val="SUMMARY_OPTION"/>
      <sheetName val="IMPORTED_EQUIPMENTS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_B1"/>
      <sheetName val="Cost_summary"/>
      <sheetName val="Data_sheet"/>
      <sheetName val="Per_Unit"/>
      <sheetName val="1-Internal_electrical"/>
      <sheetName val="3__Elemental_Summary"/>
      <sheetName val="12a__CFTable"/>
      <sheetName val="Meas_-Hotel_Part"/>
      <sheetName val="MASTER_RATE_ANALYSIS"/>
      <sheetName val="PRECAST_lightconc-II"/>
      <sheetName val="product_prices"/>
      <sheetName val="_B3"/>
      <sheetName val="INDIGINEOUS_ITEMS_1"/>
      <sheetName val="MN_T_B_1"/>
      <sheetName val="final_abstract1"/>
      <sheetName val="Switch_costs_lookup1"/>
      <sheetName val="Fill_this_out_first___1"/>
      <sheetName val="ACAD_Finishes1"/>
      <sheetName val="Site_Details1"/>
      <sheetName val="Site_Area_Statement1"/>
      <sheetName val="SUMMARY_OPTION1"/>
      <sheetName val="IMPORTED_EQUIPMENTS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_B11"/>
      <sheetName val="Cost_summary1"/>
      <sheetName val="Data_sheet1"/>
      <sheetName val="Per_Unit1"/>
      <sheetName val="1-Internal_electrical1"/>
      <sheetName val="3__Elemental_Summary1"/>
      <sheetName val="12a__CFTable1"/>
      <sheetName val="Meas_-Hotel_Part1"/>
      <sheetName val="MASTER_RATE_ANALYSIS1"/>
      <sheetName val="PRECAST_lightconc-II1"/>
      <sheetName val="product_prices1"/>
      <sheetName val="_B31"/>
      <sheetName val="Pacakges_split"/>
      <sheetName val="9__Package_split_-_Cost_"/>
      <sheetName val="10__&amp;_11__Rate_Code_&amp;_BQ"/>
      <sheetName val="Cashflow_projection"/>
      <sheetName val="PANEL_ANNEXURE"/>
      <sheetName val="PCS DATA"/>
      <sheetName val="Costing"/>
      <sheetName val="Major Qty."/>
      <sheetName val="IV-Utility"/>
      <sheetName val="SPT vs PHI"/>
      <sheetName val="A class reconciliation"/>
      <sheetName val="Shuttering consumables"/>
      <sheetName val="Paint"/>
      <sheetName val="Grills"/>
      <sheetName val="B &amp; C class items "/>
      <sheetName val="SOR"/>
      <sheetName val="INDIGINEOUS_ITEMS_2"/>
      <sheetName val="MASTER_RATE_ANALYSIS2"/>
      <sheetName val="intr_stool_brkup"/>
      <sheetName val="ACAD_Finishes2"/>
      <sheetName val="Site_Details2"/>
      <sheetName val="Site_Area_Statement2"/>
      <sheetName val="SUMMARY_OPTION2"/>
      <sheetName val="IMPORTED_EQUIPMENTS2"/>
      <sheetName val="VRV_Install2"/>
      <sheetName val="Cu_Tube_with_insulation_2"/>
      <sheetName val="PVC_PIPE2"/>
      <sheetName val="Nitrile_Ins_for_CHW_Pipe_&amp;_Duc2"/>
      <sheetName val="Fire_Damper2"/>
      <sheetName val="Grill,_Diffuser_Revised2"/>
      <sheetName val="DUCT_INSULATION2"/>
      <sheetName val="Lock_Former_Ducting2"/>
      <sheetName val="Insulated_Flexible_Ducts2"/>
      <sheetName val="_B12"/>
      <sheetName val="Cost_summary2"/>
      <sheetName val="Data_sheet2"/>
      <sheetName val="Per_Unit2"/>
      <sheetName val="1-Internal_electrical2"/>
      <sheetName val="3__Elemental_Summary2"/>
      <sheetName val="12a__CFTable2"/>
      <sheetName val="Meas_-Hotel_Part2"/>
      <sheetName val="PRECAST_lightconc-II2"/>
      <sheetName val="product_prices2"/>
      <sheetName val="_B32"/>
      <sheetName val="Pacakges_split1"/>
      <sheetName val="9__Package_split_-_Cost_1"/>
      <sheetName val="10__&amp;_11__Rate_Code_&amp;_BQ1"/>
      <sheetName val="Cashflow_projection1"/>
      <sheetName val="PANEL_ANNEXURE1"/>
      <sheetName val="LIST_OF_MAKES"/>
      <sheetName val="CFForecast_detail"/>
      <sheetName val="INPUT_SHEET"/>
      <sheetName val="Basement_Budget"/>
      <sheetName val="SCurv_(3)"/>
      <sheetName val="WORK_TABLE"/>
      <sheetName val="final_abstract2"/>
      <sheetName val="Switch_costs_lookup2"/>
      <sheetName val="Fill_this_out_first___2"/>
      <sheetName val="Approved_MTD_Proj_#'s"/>
      <sheetName val="final_estimate"/>
      <sheetName val="Sheet_1"/>
      <sheetName val="STAFFSCHED_"/>
      <sheetName val="BOQ_"/>
      <sheetName val="PA-_Consutant_"/>
      <sheetName val="Bill_1-BOQ-Civil_Works"/>
      <sheetName val="Site_Dev_BOQ"/>
      <sheetName val="HT_WORKS_PART-A"/>
      <sheetName val="MN_T_B_2"/>
      <sheetName val="GEN_REQ"/>
      <sheetName val="SD_and_START_UP"/>
      <sheetName val="PRECAST_lightconc_II"/>
      <sheetName val="Rate_analysis"/>
      <sheetName val="PCS_DATA"/>
      <sheetName val="Major_Qty_"/>
      <sheetName val="SPT_vs_PHI"/>
      <sheetName val="A_class_reconciliation"/>
      <sheetName val="Shuttering_consumables"/>
      <sheetName val="B_&amp;_C_class_items_"/>
      <sheetName val="RCC,Ret. Wall"/>
      <sheetName val="02"/>
      <sheetName val="03"/>
      <sheetName val="04"/>
      <sheetName val="01"/>
      <sheetName val="Material List "/>
      <sheetName val="07016, Master List-Major Minor"/>
      <sheetName val="월선수금"/>
      <sheetName val="Old"/>
      <sheetName val="Introduction"/>
      <sheetName val="Sheet3"/>
      <sheetName val="Operating Statistics"/>
      <sheetName val="#REF"/>
      <sheetName val="Financials"/>
      <sheetName val="Input"/>
      <sheetName val="escon"/>
      <sheetName val="PLANT"/>
      <sheetName val="INSTRUMENT"/>
      <sheetName val="SpecITEM"/>
      <sheetName val="LINE_Sc"/>
      <sheetName val="MOTOR"/>
      <sheetName val="Materials "/>
      <sheetName val="Labour"/>
      <sheetName val="MAchinery(R1)"/>
      <sheetName val="PrintManager"/>
      <sheetName val="Assumption"/>
      <sheetName val="hist&amp;proj"/>
      <sheetName val="SITE OVERHEADS"/>
      <sheetName val="list"/>
      <sheetName val="CivilOld"/>
      <sheetName val="RA BILL"/>
      <sheetName val="Balustrade"/>
      <sheetName val="office"/>
      <sheetName val="Lab"/>
      <sheetName val="ABS_Sec C"/>
      <sheetName val="CONC. &amp; STEEL - PILES"/>
      <sheetName val="WS RA"/>
      <sheetName val="labour coeff"/>
      <sheetName val="B.O.Q 04-05-07"/>
      <sheetName val="BLK2"/>
      <sheetName val="BLK3"/>
      <sheetName val="E &amp; R"/>
      <sheetName val="radar"/>
      <sheetName val="UG"/>
      <sheetName val="Core Data"/>
      <sheetName val="Cement"/>
      <sheetName val="Site facilities"/>
      <sheetName val="Ins &amp; Bonds"/>
      <sheetName val="Clients Requirements"/>
      <sheetName val="concrete"/>
      <sheetName val="beam-reinft-IIInd floor"/>
      <sheetName val="IO List"/>
      <sheetName val="FORM7"/>
      <sheetName val="MAT.8.1"/>
      <sheetName val="BOQ DG BQ PP"/>
      <sheetName val="RA"/>
      <sheetName val="COST"/>
      <sheetName val="dBase"/>
      <sheetName val="Sheet1"/>
      <sheetName val="PPA Summary"/>
      <sheetName val="Voucher"/>
      <sheetName val="Data"/>
      <sheetName val=" "/>
      <sheetName val="A.O.R."/>
      <sheetName val="FitOutConfCentre"/>
      <sheetName val="STOCKWTG"/>
      <sheetName val="Sales &amp; Prod"/>
      <sheetName val="Mat_Cost"/>
      <sheetName val="TBAL9697 -group wise  sdpl"/>
      <sheetName val="pri-com"/>
      <sheetName val="Main-Material"/>
      <sheetName val="Structure Bills Qty"/>
      <sheetName val="S1BOQ"/>
      <sheetName val="costing_ESDV"/>
      <sheetName val="costing_FE"/>
      <sheetName val="costing_Misc"/>
      <sheetName val="costing_MOV"/>
      <sheetName val="costing_Press"/>
      <sheetName val="Cash Flow Working"/>
      <sheetName val="foot-slab reinft"/>
      <sheetName val="key dates"/>
      <sheetName val="Actuals"/>
      <sheetName val="Parameter"/>
      <sheetName val="1_Project_Profile"/>
      <sheetName val="Evaluate"/>
      <sheetName val="BOQ LT"/>
      <sheetName val="Config"/>
      <sheetName val="Break Dw"/>
      <sheetName val="Dimensions"/>
      <sheetName val="crews"/>
      <sheetName val="Lead"/>
      <sheetName val="ETC Plant Cost"/>
      <sheetName val="공사비집계"/>
      <sheetName val="Estimation"/>
      <sheetName val="Fee Rate Summary"/>
      <sheetName val="C23"/>
      <sheetName val="31st_Oct"/>
      <sheetName val="01st_Nov"/>
      <sheetName val="CABLE DATA"/>
      <sheetName val="Basement"/>
      <sheetName val="External HT"/>
      <sheetName val="External LT"/>
      <sheetName val="Assmpn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Meas__Hotel Part"/>
      <sheetName val="Inputs"/>
      <sheetName val="Data Input"/>
      <sheetName val="Ass4"/>
      <sheetName val="DCF"/>
      <sheetName val="Key Ass"/>
      <sheetName val="WORKING boq"/>
      <sheetName val="S3 - Summary"/>
      <sheetName val="Chennai"/>
      <sheetName val="Phasing"/>
      <sheetName val="Shuttering costing-Annex-IV"/>
      <sheetName val="Detail In Door Stad"/>
      <sheetName val="upa"/>
      <sheetName val="Sqn_Abs"/>
      <sheetName val="New33KVSS_E3"/>
      <sheetName val="Prop aug of Ex 33KVSS_E3a"/>
      <sheetName val="Qty SR"/>
      <sheetName val="Model"/>
      <sheetName val="CONSTRUCTION COMPONENT"/>
      <sheetName val="Cover"/>
      <sheetName val="LCS SCHEDULE "/>
      <sheetName val="Eqpmnt Plng"/>
      <sheetName val="Area Statement _ OPTION C"/>
      <sheetName val="activit-graph  "/>
      <sheetName val="Driveway Beams"/>
      <sheetName val="BOQ_Direct_selling cost"/>
      <sheetName val="CAHD"/>
      <sheetName val="ivy G"/>
      <sheetName val="Cheque Receipt"/>
      <sheetName val="RDPL"/>
      <sheetName val="factor sheet"/>
      <sheetName val="Footings"/>
      <sheetName val="Mat.Cost"/>
      <sheetName val="VCH-SLC"/>
      <sheetName val="Supplier"/>
      <sheetName val="BFS"/>
      <sheetName val="Break up Sheet"/>
      <sheetName val="Break_Up (bc)"/>
      <sheetName val="Break_Up (bc1)"/>
      <sheetName val="Break_Up (bc2)"/>
      <sheetName val="MH Compensate-Nov"/>
      <sheetName val="India F&amp;S Template"/>
      <sheetName val="Detail"/>
      <sheetName val="Factor_sheet"/>
      <sheetName val="Estimate for approval"/>
      <sheetName val="BLOCK-A (MEA.SHEET)"/>
      <sheetName val="sheet6"/>
      <sheetName val="Abstract"/>
      <sheetName val="Summery"/>
      <sheetName val="입찰내역 발주처 양식"/>
      <sheetName val="Raw Data"/>
      <sheetName val="입찰내역_발주처_양식"/>
      <sheetName val="Raw_Data"/>
      <sheetName val="입찰내역_발주처_양식1"/>
      <sheetName val="SPT_vs_PHI1"/>
      <sheetName val="Raw_Data1"/>
      <sheetName val="Rate_Analysis1"/>
      <sheetName val="입찰내역_발주처_양식2"/>
      <sheetName val="SPT_vs_PHI2"/>
      <sheetName val="Raw_Data2"/>
      <sheetName val="Rate_Analysis2"/>
      <sheetName val="Cash2"/>
      <sheetName val="Z"/>
      <sheetName val="Setup"/>
      <sheetName val="P-Ins &amp; Bonds"/>
      <sheetName val="BOQELECT"/>
      <sheetName val="Pay_Sep06"/>
      <sheetName val="col-reinft1"/>
      <sheetName val="MORGACTS"/>
      <sheetName val="Exc"/>
      <sheetName val="AoR Finishing"/>
      <sheetName val="Staff Acco."/>
      <sheetName val="Measurment"/>
      <sheetName val="starter"/>
      <sheetName val="RATE.XLS"/>
      <sheetName val="Set"/>
      <sheetName val="Door as per UL-1.6&amp;1.2-18-12-08"/>
      <sheetName val="FORM-16"/>
      <sheetName val="Vind-BtB"/>
      <sheetName val="BLDG4"/>
      <sheetName val="electr_ work CA "/>
      <sheetName val="SPILL OVER"/>
      <sheetName val="Weightage-Sub Sht"/>
      <sheetName val="Basic"/>
      <sheetName val="07016,_Master_List-Major_Minor"/>
      <sheetName val="RCC,Ret__Wall"/>
      <sheetName val="Material_List_"/>
      <sheetName val="Operating_Statistics"/>
      <sheetName val="SITE_OVERHEADS"/>
      <sheetName val="BOQ_LT"/>
      <sheetName val="Break_Dw"/>
      <sheetName val="ETC_Plant_Cost"/>
      <sheetName val="beam-reinft-IIInd_floor"/>
      <sheetName val="Fee_Rate_Summary"/>
      <sheetName val="CABLE_DATA"/>
      <sheetName val="External_HT"/>
      <sheetName val="External_LT"/>
      <sheetName val="TBAL9697_-group_wise__sdpl"/>
      <sheetName val="L12_"/>
      <sheetName val="E_Electrical_(2)"/>
      <sheetName val="Lift_(2)"/>
      <sheetName val="Struc_glazing_&amp;_Alco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Prop_aug_of_Ex_33KVSS_E3a"/>
      <sheetName val="Qty_SR"/>
      <sheetName val="IO_List"/>
      <sheetName val="Structure_Bills_Qty"/>
      <sheetName val="Cash_Flow_Working"/>
      <sheetName val="foot-slab_reinft"/>
      <sheetName val="key_dates"/>
      <sheetName val="Site_facilities"/>
      <sheetName val="Ins_&amp;_Bonds"/>
      <sheetName val="Clients_Requirements"/>
      <sheetName val="Break_Up_(bc)"/>
      <sheetName val="Break_Up_(bc1)"/>
      <sheetName val="Break_Up_(bc2)"/>
      <sheetName val="labour_coeff"/>
      <sheetName val="Sales_&amp;_Prod"/>
      <sheetName val="RA_BILL"/>
      <sheetName val="ABS_Sec_C"/>
      <sheetName val="WS_RA"/>
      <sheetName val="E_&amp;_R"/>
      <sheetName val="MAT_8_1"/>
      <sheetName val="Door_as_per_UL-1_6&amp;1_2-18-12-08"/>
      <sheetName val="BOQ_Direct_selling_cost"/>
      <sheetName val="Detail_In_Door_Stad"/>
      <sheetName val="A_O_R_"/>
      <sheetName val="AoR_Finishing"/>
      <sheetName val="Materials_"/>
      <sheetName val="Staff_Acco_"/>
      <sheetName val="Break_up_Sheet"/>
      <sheetName val="RATE_XLS"/>
      <sheetName val="electr__work_CA_"/>
      <sheetName val="SPILL_OVER"/>
      <sheetName val="Weightage-Sub_Sht"/>
      <sheetName val="Core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-A (MEA.SHEET)"/>
      <sheetName val="BLOCK_A _MEA_SHEET_"/>
      <sheetName val="Headings"/>
      <sheetName val="intr stool brkup"/>
      <sheetName val="Design"/>
      <sheetName val="INDIGINEOUS ITEMS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Launch vs detailed comparison"/>
      <sheetName val="Raft-1,2&amp;4"/>
      <sheetName val="SW"/>
      <sheetName val="Raft (3)"/>
      <sheetName val="Raft breakup pln"/>
      <sheetName val="UG Sump Str"/>
      <sheetName val="Retaining wall R1"/>
      <sheetName val="Retaining wall"/>
      <sheetName val="RW-Beams"/>
      <sheetName val="Footing"/>
      <sheetName val="FootingR1"/>
      <sheetName val="making"/>
      <sheetName val="Column schedule"/>
      <sheetName val="Pedestal"/>
      <sheetName val="Columns(Foundation to B-1)"/>
      <sheetName val="Columns B1-Floor1"/>
      <sheetName val="support screen shot"/>
      <sheetName val="slab basement tower &amp; NTA R1"/>
      <sheetName val="slab tower area basement-1"/>
      <sheetName val="slab basement-1"/>
      <sheetName val="slab non tower floor-1"/>
      <sheetName val="slab tower area floor-r2"/>
      <sheetName val="Basement-02 roof beam"/>
      <sheetName val="Basement-01 room beam"/>
      <sheetName val="R0"/>
      <sheetName val="SW Foundation to B1 R1"/>
      <sheetName val="SW B1 to floor-01"/>
      <sheetName val="SW Foundation to Basement1 R1"/>
      <sheetName val="Lift wall upto Basement2"/>
      <sheetName val="Lift wall B-1 to Floor-01"/>
      <sheetName val="Staircase-1-3"/>
      <sheetName val="Staircase-1-3 R1"/>
      <sheetName val="SW until 60.30-pln breakup"/>
      <sheetName val="Sheet1"/>
      <sheetName val="slab rein upto 11th floor lvl"/>
      <sheetName val="8th floor lvl slab re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6">
          <cell r="D26">
            <v>237.13581819000009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>
        <row r="6">
          <cell r="C6">
            <v>78.266564999999986</v>
          </cell>
        </row>
        <row r="656">
          <cell r="C656">
            <v>0.86499999999999999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SPT vs PHI"/>
      <sheetName val="Notes"/>
      <sheetName val="IO List"/>
      <sheetName val="Detail"/>
      <sheetName val="FitOutConfCentre"/>
      <sheetName val="Stress Calculation"/>
      <sheetName val="Fill this out first..."/>
      <sheetName val="Summary 0506"/>
      <sheetName val="Summary 0607- 31.MAR"/>
      <sheetName val="149"/>
      <sheetName val="AutoOpen_Stub_Data"/>
      <sheetName val="SPT_vs_PHI"/>
      <sheetName val="Summary_0506"/>
      <sheetName val="Summary_0607-_31_MAR"/>
      <sheetName val="IO_List"/>
      <sheetName val="Stress_Calculation"/>
      <sheetName val="Fill_this_out_first___"/>
      <sheetName val="1.00"/>
      <sheetName val="BLOCK-A (MEA.SHEET)"/>
      <sheetName val="AutoOpen_Stub_Data1"/>
      <sheetName val="SPT_vs_PHI1"/>
      <sheetName val="IO_List1"/>
      <sheetName val="Stress_Calculation1"/>
      <sheetName val="Fill_this_out_first___1"/>
      <sheetName val="Summary_05061"/>
      <sheetName val="Summary_0607-_31_MAR1"/>
      <sheetName val="1_00"/>
      <sheetName val="BLOCK-A_(MEA_SHEET)"/>
      <sheetName val="PCC"/>
      <sheetName val="B &amp; C class items "/>
      <sheetName val="Admin"/>
      <sheetName val="CH Bud"/>
      <sheetName val="HK Bud"/>
      <sheetName val="PEPL Income"/>
      <sheetName val="Tech Bud"/>
      <sheetName val="wdr bldg"/>
      <sheetName val="intr stool brkup"/>
      <sheetName val="Estimate for approval"/>
      <sheetName val="GN-ST-06(2)(Design Sheet-Ruled)"/>
      <sheetName val="Headings"/>
      <sheetName val="COLUMN"/>
      <sheetName val="M.S."/>
      <sheetName val="pt-cw"/>
      <sheetName val="Boq"/>
      <sheetName val="2gii"/>
      <sheetName val="PRECAST lightconc-II"/>
      <sheetName val="Pur"/>
      <sheetName val="Civil Boq"/>
      <sheetName val="conc-foot-gradeslab"/>
      <sheetName val="Sheet2"/>
      <sheetName val="Citrix"/>
      <sheetName val="Estimate Abstract"/>
      <sheetName val="Structure Bills Qty"/>
      <sheetName val="Analysis"/>
      <sheetName val="Basement Budget"/>
      <sheetName val="AutoOpen_Stub_Data7"/>
      <sheetName val="SPT_vs_PHI7"/>
      <sheetName val="IO_List7"/>
      <sheetName val="Stress_Calculation7"/>
      <sheetName val="Fill_this_out_first___7"/>
      <sheetName val="Summary_05067"/>
      <sheetName val="Summary_0607-_31_MAR7"/>
      <sheetName val="1_006"/>
      <sheetName val="BLOCK-A_(MEA_SHEET)6"/>
      <sheetName val="B_&amp;_C_class_items_5"/>
      <sheetName val="CH_Bud5"/>
      <sheetName val="HK_Bud5"/>
      <sheetName val="PEPL_Income5"/>
      <sheetName val="Tech_Bud5"/>
      <sheetName val="wdr_bldg5"/>
      <sheetName val="intr_stool_brkup5"/>
      <sheetName val="Estimate_for_approval5"/>
      <sheetName val="Estimate_Abstract5"/>
      <sheetName val="GN-ST-06(2)(Design_Sheet-Ruled5"/>
      <sheetName val="M_S_5"/>
      <sheetName val="PRECAST_lightconc-II5"/>
      <sheetName val="Civil_Boq5"/>
      <sheetName val="AutoOpen_Stub_Data5"/>
      <sheetName val="SPT_vs_PHI5"/>
      <sheetName val="IO_List5"/>
      <sheetName val="Stress_Calculation5"/>
      <sheetName val="Fill_this_out_first___5"/>
      <sheetName val="Summary_05065"/>
      <sheetName val="Summary_0607-_31_MAR5"/>
      <sheetName val="1_004"/>
      <sheetName val="BLOCK-A_(MEA_SHEET)4"/>
      <sheetName val="B_&amp;_C_class_items_3"/>
      <sheetName val="CH_Bud3"/>
      <sheetName val="HK_Bud3"/>
      <sheetName val="PEPL_Income3"/>
      <sheetName val="Tech_Bud3"/>
      <sheetName val="wdr_bldg3"/>
      <sheetName val="intr_stool_brkup3"/>
      <sheetName val="Estimate_for_approval3"/>
      <sheetName val="Estimate_Abstract3"/>
      <sheetName val="GN-ST-06(2)(Design_Sheet-Ruled3"/>
      <sheetName val="AutoOpen_Stub_Data4"/>
      <sheetName val="SPT_vs_PHI4"/>
      <sheetName val="IO_List4"/>
      <sheetName val="Stress_Calculation4"/>
      <sheetName val="Fill_this_out_first___4"/>
      <sheetName val="Summary_05064"/>
      <sheetName val="Summary_0607-_31_MAR4"/>
      <sheetName val="1_003"/>
      <sheetName val="BLOCK-A_(MEA_SHEET)3"/>
      <sheetName val="B_&amp;_C_class_items_2"/>
      <sheetName val="CH_Bud2"/>
      <sheetName val="HK_Bud2"/>
      <sheetName val="PEPL_Income2"/>
      <sheetName val="Tech_Bud2"/>
      <sheetName val="wdr_bldg2"/>
      <sheetName val="intr_stool_brkup2"/>
      <sheetName val="Estimate_for_approval2"/>
      <sheetName val="GN-ST-06(2)(Design_Sheet-Ruled2"/>
      <sheetName val="Estimate_Abstract2"/>
      <sheetName val="M_S_2"/>
      <sheetName val="PRECAST_lightconc-II2"/>
      <sheetName val="Civil_Boq2"/>
      <sheetName val="Structure_Bills_Qty2"/>
      <sheetName val="AutoOpen_Stub_Data2"/>
      <sheetName val="SPT_vs_PHI2"/>
      <sheetName val="IO_List2"/>
      <sheetName val="Stress_Calculation2"/>
      <sheetName val="Fill_this_out_first___2"/>
      <sheetName val="Summary_05062"/>
      <sheetName val="Summary_0607-_31_MAR2"/>
      <sheetName val="1_001"/>
      <sheetName val="BLOCK-A_(MEA_SHEET)1"/>
      <sheetName val="B_&amp;_C_class_items_"/>
      <sheetName val="CH_Bud"/>
      <sheetName val="HK_Bud"/>
      <sheetName val="PEPL_Income"/>
      <sheetName val="Tech_Bud"/>
      <sheetName val="wdr_bldg"/>
      <sheetName val="intr_stool_brkup"/>
      <sheetName val="Estimate_for_approval"/>
      <sheetName val="GN-ST-06(2)(Design_Sheet-Ruled)"/>
      <sheetName val="Estimate_Abstract"/>
      <sheetName val="M_S_"/>
      <sheetName val="PRECAST_lightconc-II"/>
      <sheetName val="Civil_Boq"/>
      <sheetName val="Structure_Bills_Qty"/>
      <sheetName val="AutoOpen_Stub_Data3"/>
      <sheetName val="SPT_vs_PHI3"/>
      <sheetName val="IO_List3"/>
      <sheetName val="Stress_Calculation3"/>
      <sheetName val="Fill_this_out_first___3"/>
      <sheetName val="Summary_05063"/>
      <sheetName val="Summary_0607-_31_MAR3"/>
      <sheetName val="1_002"/>
      <sheetName val="BLOCK-A_(MEA_SHEET)2"/>
      <sheetName val="B_&amp;_C_class_items_1"/>
      <sheetName val="CH_Bud1"/>
      <sheetName val="HK_Bud1"/>
      <sheetName val="PEPL_Income1"/>
      <sheetName val="Tech_Bud1"/>
      <sheetName val="wdr_bldg1"/>
      <sheetName val="intr_stool_brkup1"/>
      <sheetName val="Estimate_for_approval1"/>
      <sheetName val="GN-ST-06(2)(Design_Sheet-Ruled1"/>
      <sheetName val="Estimate_Abstract1"/>
      <sheetName val="M_S_1"/>
      <sheetName val="PRECAST_lightconc-II1"/>
      <sheetName val="Civil_Boq1"/>
      <sheetName val="Structure_Bills_Qty1"/>
      <sheetName val="M_S_3"/>
      <sheetName val="PRECAST_lightconc-II3"/>
      <sheetName val="Civil_Boq3"/>
      <sheetName val="Structure_Bills_Qty3"/>
      <sheetName val="AutoOpen_Stub_Data6"/>
      <sheetName val="SPT_vs_PHI6"/>
      <sheetName val="IO_List6"/>
      <sheetName val="Stress_Calculation6"/>
      <sheetName val="Fill_this_out_first___6"/>
      <sheetName val="Summary_05066"/>
      <sheetName val="Summary_0607-_31_MAR6"/>
      <sheetName val="1_005"/>
      <sheetName val="BLOCK-A_(MEA_SHEET)5"/>
      <sheetName val="B_&amp;_C_class_items_4"/>
      <sheetName val="CH_Bud4"/>
      <sheetName val="HK_Bud4"/>
      <sheetName val="PEPL_Income4"/>
      <sheetName val="Tech_Bud4"/>
      <sheetName val="wdr_bldg4"/>
      <sheetName val="intr_stool_brkup4"/>
      <sheetName val="Estimate_for_approval4"/>
      <sheetName val="GN-ST-06(2)(Design_Sheet-Ruled4"/>
      <sheetName val="Estimate_Abstract4"/>
      <sheetName val="M_S_4"/>
      <sheetName val="PRECAST_lightconc-II4"/>
      <sheetName val="Civil_Boq4"/>
      <sheetName val="Structure_Bills_Qty4"/>
      <sheetName val="Structure_Bills_Qty5"/>
      <sheetName val="Column Blk 1"/>
      <sheetName val="Rft Footing Blk 1"/>
      <sheetName val="Beam FF,SF Blk 1"/>
      <sheetName val="Swimming pool"/>
      <sheetName val="Break up Sheet"/>
      <sheetName val="p&amp;m"/>
      <sheetName val="TBAL9697 -group wise  sdpl"/>
      <sheetName val="Data"/>
      <sheetName val="Lead"/>
      <sheetName val="Base"/>
      <sheetName val="EAW Final Accounts - 99"/>
      <sheetName val="Meas.-Hotel Part"/>
      <sheetName val="New May"/>
      <sheetName val="FORM7"/>
      <sheetName val="Costing"/>
      <sheetName val="INPUT SHEET"/>
      <sheetName val="gen"/>
      <sheetName val="ABP inputs"/>
      <sheetName val="Synergy Sales Budget"/>
      <sheetName val="Voucher"/>
      <sheetName val="factors"/>
      <sheetName val="WORK TABLE"/>
      <sheetName val="SCurv (3)"/>
      <sheetName val="Intro"/>
      <sheetName val="SC-E-02-03"/>
      <sheetName val="TB-JUNE-2003-18.7.03"/>
      <sheetName val="Cashflow projection"/>
      <sheetName val="Deprec."/>
      <sheetName val="Extra Item"/>
      <sheetName val="Detail In Door Stad"/>
      <sheetName val="BLK2"/>
      <sheetName val="BLK3"/>
      <sheetName val="E &amp; R"/>
      <sheetName val="radar"/>
      <sheetName val="UG"/>
      <sheetName val="Inc.St.-Link"/>
      <sheetName val="para"/>
      <sheetName val="kppl pl"/>
      <sheetName val="labour coeff"/>
      <sheetName val="oresreqsum"/>
      <sheetName val="Sheet3"/>
      <sheetName val="Sheet1"/>
      <sheetName val="#REF"/>
      <sheetName val="Assumptions"/>
      <sheetName val="girder"/>
      <sheetName val="InputPO_Del"/>
      <sheetName val="final abstract"/>
      <sheetName val="d-safe DELUXE"/>
      <sheetName val="switch"/>
      <sheetName val="basic-data"/>
      <sheetName val="Supplier"/>
      <sheetName val="Basic"/>
      <sheetName val="B1"/>
      <sheetName val="Project Details.."/>
      <sheetName val="Rocker"/>
      <sheetName val="PA- Consutant "/>
      <sheetName val="Builtup Area"/>
      <sheetName val="March Analysts"/>
      <sheetName val="Main-Material"/>
      <sheetName val="RES-PLANNING"/>
      <sheetName val="ORDER BOOKING"/>
      <sheetName val="3. Elemental Summary"/>
      <sheetName val="Desgn(zone I)"/>
      <sheetName val="introduction"/>
      <sheetName val="Rate analysis"/>
      <sheetName val="basdat"/>
      <sheetName val="Pay_Sep06"/>
      <sheetName val="P4-B"/>
      <sheetName val="TASKRSRC (2)"/>
      <sheetName val="TARGET"/>
      <sheetName val="BASELINE"/>
      <sheetName val="Fee Rate Summary"/>
      <sheetName val="CASHFLOWS"/>
      <sheetName val="Summary"/>
      <sheetName val="horizontal"/>
      <sheetName val="concrete"/>
      <sheetName val="beam-reinft-IIInd floor"/>
      <sheetName val="pol-60"/>
      <sheetName val="Door"/>
      <sheetName val="월선수금"/>
      <sheetName val="Material"/>
      <sheetName val="RECAPITULATION"/>
      <sheetName val="RA-markate"/>
      <sheetName val="dummy"/>
      <sheetName val="BOQ_Direct_selling cost"/>
      <sheetName val="Input"/>
      <sheetName val="A-General"/>
      <sheetName val="VIWSCo1"/>
      <sheetName val="LABOUR"/>
      <sheetName val="Staff Acco."/>
      <sheetName val="BOQ (2)"/>
      <sheetName val="factor"/>
      <sheetName val="VCH-SLC"/>
      <sheetName val="07016, Master List-Major Minor"/>
      <sheetName val="GBW"/>
      <sheetName val="WACC Calculation"/>
      <sheetName val="Control"/>
      <sheetName val="currency (2)"/>
      <sheetName val="405"/>
      <sheetName val="427"/>
      <sheetName val="403"/>
      <sheetName val="Basis"/>
      <sheetName val="Ratio"/>
      <sheetName val="S &amp; A"/>
      <sheetName val="calcul"/>
      <sheetName val="Progress"/>
      <sheetName val="Actuals_by_Job"/>
      <sheetName val="Heads_Equiv_QI"/>
      <sheetName val="PT_Heads_SD"/>
      <sheetName val="Month"/>
      <sheetName val="Outlook"/>
      <sheetName val="Macro1"/>
      <sheetName val="Site Dev BOQ"/>
      <sheetName val="MSU"/>
      <sheetName val="MASTER_RATE ANALYSI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WBS"/>
      <sheetName val="currency_(2)"/>
      <sheetName val="Staff_Acco_"/>
      <sheetName val="labour_coeff"/>
      <sheetName val="final_abstract"/>
      <sheetName val="BOQ_(2)"/>
      <sheetName val="Fee_Rate_Summary"/>
      <sheetName val="07016,_Master_List-Major_Minor"/>
      <sheetName val="INPUT_SHEET"/>
      <sheetName val="Site_Dev_BOQ"/>
      <sheetName val="WACC_Calculation"/>
      <sheetName val="Makro1"/>
      <sheetName val="공장별판관비배부"/>
      <sheetName val="India F&amp;S Template"/>
      <sheetName val="FT-05-02IsoBOM"/>
      <sheetName val="A"/>
      <sheetName val="Materials Cost(PCC)"/>
      <sheetName val="list"/>
      <sheetName val="DSLP"/>
      <sheetName val="Vcap1500"/>
      <sheetName val="dlvoid"/>
      <sheetName val="key dates"/>
      <sheetName val="Actuals"/>
      <sheetName val="Material "/>
      <sheetName val="Codes"/>
      <sheetName val="Labour &amp; Plant"/>
      <sheetName val="STAFFSCHED "/>
      <sheetName val="Assumption Inputs"/>
      <sheetName val="3cd Annexure"/>
      <sheetName val="Administrative Prices"/>
      <sheetName val="Debits as on 12.04.08"/>
      <sheetName val="Block A - BOQ"/>
      <sheetName val="Assmpns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PS Rate Working"/>
      <sheetName val="CIVIL Str vise"/>
      <sheetName val="JCR sEP 06 IDC WORKINGS"/>
      <sheetName val="Linked Lead"/>
      <sheetName val="upa"/>
      <sheetName val="Option 159"/>
      <sheetName val="Interpretations (incl piling)"/>
      <sheetName val="Dem"/>
      <sheetName val="PCS DATA"/>
      <sheetName val="CABLERET"/>
      <sheetName val="loadcal"/>
      <sheetName val="Cashflow"/>
      <sheetName val="Process"/>
      <sheetName val="hyperstatic-3"/>
      <sheetName val="ABP_inputs"/>
      <sheetName val="Synergy_Sales_Budget"/>
      <sheetName val="WORK_TABLE"/>
      <sheetName val="SCurv_(3)"/>
      <sheetName val="TBAL9697_-group_wise__sdpl"/>
      <sheetName val="Cashflow_projection"/>
      <sheetName val="Deprec_"/>
      <sheetName val="TB-JUNE-2003-18_7_03"/>
      <sheetName val="Extra_Item"/>
      <sheetName val="E_&amp;_R"/>
      <sheetName val="Detail_In_Door_Stad"/>
      <sheetName val="Inc_St_-Link"/>
      <sheetName val="kppl_pl"/>
      <sheetName val="d-safe_DELUXE"/>
      <sheetName val="Break_up_Sheet"/>
      <sheetName val="Project_Details__"/>
      <sheetName val="ORDER_BOOKING"/>
      <sheetName val="3__Elemental_Summary"/>
      <sheetName val="TASKRSRC_(2)"/>
      <sheetName val="PA-_Consutant_"/>
      <sheetName val="Desgn(zone_I)"/>
      <sheetName val="Rate_analysis"/>
      <sheetName val="beam-reinft-IIInd_floor"/>
      <sheetName val="Materials_Cost(PCC)"/>
      <sheetName val="BOQ_Direct_selling_cost"/>
      <sheetName val="key_dates"/>
      <sheetName val="Material_"/>
      <sheetName val="Labour_&amp;_Plant"/>
      <sheetName val="Assumption_Inputs"/>
      <sheetName val="STAFFSCHED_"/>
      <sheetName val="Administrative_Prices"/>
      <sheetName val="Debits_as_on_12_04_08"/>
      <sheetName val="Block_A_-_BOQ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3cd_Annexure"/>
      <sheetName val="Linked_Lead"/>
      <sheetName val="ABP_inputs1"/>
      <sheetName val="Synergy_Sales_Budget1"/>
      <sheetName val="WORK_TABLE1"/>
      <sheetName val="SCurv_(3)1"/>
      <sheetName val="TBAL9697_-group_wise__sdpl1"/>
      <sheetName val="Cashflow_projection1"/>
      <sheetName val="Deprec_1"/>
      <sheetName val="TB-JUNE-2003-18_7_031"/>
      <sheetName val="Extra_Item1"/>
      <sheetName val="E_&amp;_R1"/>
      <sheetName val="Detail_In_Door_Stad1"/>
      <sheetName val="INPUT_SHEET1"/>
      <sheetName val="Inc_St_-Link1"/>
      <sheetName val="kppl_pl1"/>
      <sheetName val="labour_coeff1"/>
      <sheetName val="final_abstract1"/>
      <sheetName val="d-safe_DELUXE1"/>
      <sheetName val="Break_up_Sheet1"/>
      <sheetName val="Project_Details__1"/>
      <sheetName val="ORDER_BOOKING1"/>
      <sheetName val="3__Elemental_Summary1"/>
      <sheetName val="TASKRSRC_(2)1"/>
      <sheetName val="PA-_Consutant_1"/>
      <sheetName val="Desgn(zone_I)1"/>
      <sheetName val="Rate_analysis1"/>
      <sheetName val="beam-reinft-IIInd_floor1"/>
      <sheetName val="Fee_Rate_Summary1"/>
      <sheetName val="Materials_Cost(PCC)1"/>
      <sheetName val="BOQ_Direct_selling_cost1"/>
      <sheetName val="key_dates1"/>
      <sheetName val="Material_1"/>
      <sheetName val="Labour_&amp;_Plant1"/>
      <sheetName val="Assumption_Inputs1"/>
      <sheetName val="STAFFSCHED_1"/>
      <sheetName val="Administrative_Prices1"/>
      <sheetName val="Debits_as_on_12_04_081"/>
      <sheetName val="Block_A_-_BOQ1"/>
      <sheetName val="Site_Dev_BOQ1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3cd_Annexure1"/>
      <sheetName val="Linked_Lead1"/>
      <sheetName val="ABP_inputs2"/>
      <sheetName val="Synergy_Sales_Budget2"/>
      <sheetName val="WORK_TABLE2"/>
      <sheetName val="SCurv_(3)2"/>
      <sheetName val="TBAL9697_-group_wise__sdpl2"/>
      <sheetName val="Cashflow_projection2"/>
      <sheetName val="Deprec_2"/>
      <sheetName val="TB-JUNE-2003-18_7_032"/>
      <sheetName val="Extra_Item2"/>
      <sheetName val="E_&amp;_R2"/>
      <sheetName val="Detail_In_Door_Stad2"/>
      <sheetName val="INPUT_SHEET2"/>
      <sheetName val="Inc_St_-Link2"/>
      <sheetName val="kppl_pl2"/>
      <sheetName val="labour_coeff2"/>
      <sheetName val="final_abstract2"/>
      <sheetName val="d-safe_DELUXE2"/>
      <sheetName val="Break_up_Sheet2"/>
      <sheetName val="Project_Details__2"/>
      <sheetName val="ORDER_BOOKING2"/>
      <sheetName val="3__Elemental_Summary2"/>
      <sheetName val="TASKRSRC_(2)2"/>
      <sheetName val="PA-_Consutant_2"/>
      <sheetName val="Desgn(zone_I)2"/>
      <sheetName val="Rate_analysis2"/>
      <sheetName val="beam-reinft-IIInd_floor2"/>
      <sheetName val="Fee_Rate_Summary2"/>
      <sheetName val="Materials_Cost(PCC)2"/>
      <sheetName val="BOQ_Direct_selling_cost2"/>
      <sheetName val="key_dates2"/>
      <sheetName val="Material_2"/>
      <sheetName val="Labour_&amp;_Plant2"/>
      <sheetName val="Assumption_Inputs2"/>
      <sheetName val="STAFFSCHED_2"/>
      <sheetName val="Administrative_Prices2"/>
      <sheetName val="Debits_as_on_12_04_082"/>
      <sheetName val="Block_A_-_BOQ2"/>
      <sheetName val="Site_Dev_BOQ2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3cd_Annexure2"/>
      <sheetName val="Linked_Lead2"/>
      <sheetName val="ABP_inputs3"/>
      <sheetName val="Synergy_Sales_Budget3"/>
      <sheetName val="WORK_TABLE3"/>
      <sheetName val="SCurv_(3)3"/>
      <sheetName val="TBAL9697_-group_wise__sdpl3"/>
      <sheetName val="Cashflow_projection3"/>
      <sheetName val="Deprec_3"/>
      <sheetName val="TB-JUNE-2003-18_7_033"/>
      <sheetName val="Extra_Item3"/>
      <sheetName val="E_&amp;_R3"/>
      <sheetName val="Detail_In_Door_Stad3"/>
      <sheetName val="INPUT_SHEET3"/>
      <sheetName val="Inc_St_-Link3"/>
      <sheetName val="kppl_pl3"/>
      <sheetName val="labour_coeff3"/>
      <sheetName val="final_abstract3"/>
      <sheetName val="d-safe_DELUXE3"/>
      <sheetName val="Break_up_Sheet3"/>
      <sheetName val="Project_Details__3"/>
      <sheetName val="ORDER_BOOKING3"/>
      <sheetName val="3__Elemental_Summary3"/>
      <sheetName val="TASKRSRC_(2)3"/>
      <sheetName val="PA-_Consutant_3"/>
      <sheetName val="Desgn(zone_I)3"/>
      <sheetName val="Rate_analysis3"/>
      <sheetName val="beam-reinft-IIInd_floor3"/>
      <sheetName val="Fee_Rate_Summary3"/>
      <sheetName val="Materials_Cost(PCC)3"/>
      <sheetName val="BOQ_Direct_selling_cost3"/>
      <sheetName val="key_dates3"/>
      <sheetName val="Material_3"/>
      <sheetName val="Labour_&amp;_Plant3"/>
      <sheetName val="Assumption_Inputs3"/>
      <sheetName val="STAFFSCHED_3"/>
      <sheetName val="Administrative_Prices3"/>
      <sheetName val="Debits_as_on_12_04_083"/>
      <sheetName val="Block_A_-_BOQ3"/>
      <sheetName val="Site_Dev_BOQ3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3cd_Annexure3"/>
      <sheetName val="Linked_Lead3"/>
      <sheetName val="ABP_inputs4"/>
      <sheetName val="Synergy_Sales_Budget4"/>
      <sheetName val="WORK_TABLE4"/>
      <sheetName val="SCurv_(3)4"/>
      <sheetName val="TBAL9697_-group_wise__sdpl4"/>
      <sheetName val="Cashflow_projection4"/>
      <sheetName val="Deprec_4"/>
      <sheetName val="TB-JUNE-2003-18_7_034"/>
      <sheetName val="Extra_Item4"/>
      <sheetName val="E_&amp;_R4"/>
      <sheetName val="Detail_In_Door_Stad4"/>
      <sheetName val="INPUT_SHEET4"/>
      <sheetName val="Inc_St_-Link4"/>
      <sheetName val="kppl_pl4"/>
      <sheetName val="labour_coeff4"/>
      <sheetName val="final_abstract4"/>
      <sheetName val="d-safe_DELUXE4"/>
      <sheetName val="Break_up_Sheet4"/>
      <sheetName val="Project_Details__4"/>
      <sheetName val="ORDER_BOOKING4"/>
      <sheetName val="3__Elemental_Summary4"/>
      <sheetName val="TASKRSRC_(2)4"/>
      <sheetName val="PA-_Consutant_4"/>
      <sheetName val="Desgn(zone_I)4"/>
      <sheetName val="Rate_analysis4"/>
      <sheetName val="beam-reinft-IIInd_floor4"/>
      <sheetName val="Fee_Rate_Summary4"/>
      <sheetName val="Materials_Cost(PCC)4"/>
      <sheetName val="BOQ_Direct_selling_cost4"/>
      <sheetName val="key_dates4"/>
      <sheetName val="Material_4"/>
      <sheetName val="Labour_&amp;_Plant4"/>
      <sheetName val="Assumption_Inputs4"/>
      <sheetName val="STAFFSCHED_4"/>
      <sheetName val="Administrative_Prices4"/>
      <sheetName val="Debits_as_on_12_04_084"/>
      <sheetName val="Block_A_-_BOQ4"/>
      <sheetName val="Site_Dev_BOQ4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3cd_Annexure4"/>
      <sheetName val="Linked_Lead4"/>
      <sheetName val="ABP_inputs5"/>
      <sheetName val="Synergy_Sales_Budget5"/>
      <sheetName val="WORK_TABLE5"/>
      <sheetName val="SCurv_(3)5"/>
      <sheetName val="RATIOS"/>
      <sheetName val="TBAL9697_-group_wise__sdpl5"/>
      <sheetName val="Cashflow_projection5"/>
      <sheetName val="Deprec_5"/>
      <sheetName val="TB-JUNE-2003-18_7_035"/>
      <sheetName val="Extra_Item5"/>
      <sheetName val="E_&amp;_R5"/>
      <sheetName val="Detail_In_Door_Stad5"/>
      <sheetName val="INPUT_SHEET5"/>
      <sheetName val="Inc_St_-Link5"/>
      <sheetName val="kppl_pl5"/>
      <sheetName val="labour_coeff5"/>
      <sheetName val="final_abstract5"/>
      <sheetName val="d-safe_DELUXE5"/>
      <sheetName val="Break_up_Sheet5"/>
      <sheetName val="Project_Details__5"/>
      <sheetName val="ORDER_BOOKING5"/>
      <sheetName val="3__Elemental_Summary5"/>
      <sheetName val="TASKRSRC_(2)5"/>
      <sheetName val="PA-_Consutant_5"/>
      <sheetName val="Desgn(zone_I)5"/>
      <sheetName val="Rate_analysis5"/>
      <sheetName val="beam-reinft-IIInd_floor5"/>
      <sheetName val="Fee_Rate_Summary5"/>
      <sheetName val="Materials_Cost(PCC)5"/>
      <sheetName val="BOQ_Direct_selling_cost5"/>
      <sheetName val="key_dates5"/>
      <sheetName val="Material_5"/>
      <sheetName val="Labour_&amp;_Plant5"/>
      <sheetName val="Assumption_Inputs5"/>
      <sheetName val="STAFFSCHED_5"/>
      <sheetName val="Administrative_Prices5"/>
      <sheetName val="Debits_as_on_12_04_085"/>
      <sheetName val="Block_A_-_BOQ5"/>
      <sheetName val="Site_Dev_BOQ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3cd_Annexure5"/>
      <sheetName val="Linked_Lead5"/>
      <sheetName val="ABP_inputs6"/>
      <sheetName val="Synergy_Sales_Budget6"/>
      <sheetName val="WORK_TABLE6"/>
      <sheetName val="SCurv_(3)6"/>
      <sheetName val="TBAL9697_-group_wise__sdpl6"/>
      <sheetName val="GN-ST-06(2)(Design_Sheet-Ruled6"/>
      <sheetName val="Cashflow_projection6"/>
      <sheetName val="Deprec_6"/>
      <sheetName val="TB-JUNE-2003-18_7_036"/>
      <sheetName val="Extra_Item6"/>
      <sheetName val="E_&amp;_R6"/>
      <sheetName val="Detail_In_Door_Stad6"/>
      <sheetName val="INPUT_SHEET6"/>
      <sheetName val="Inc_St_-Link6"/>
      <sheetName val="kppl_pl6"/>
      <sheetName val="PRECAST_lightconc-II6"/>
      <sheetName val="labour_coeff6"/>
      <sheetName val="final_abstract6"/>
      <sheetName val="d-safe_DELUXE6"/>
      <sheetName val="Break_up_Sheet6"/>
      <sheetName val="Project_Details__6"/>
      <sheetName val="ORDER_BOOKING6"/>
      <sheetName val="3__Elemental_Summary6"/>
      <sheetName val="TASKRSRC_(2)6"/>
      <sheetName val="PA-_Consutant_6"/>
      <sheetName val="Desgn(zone_I)6"/>
      <sheetName val="Rate_analysis6"/>
      <sheetName val="beam-reinft-IIInd_floor6"/>
      <sheetName val="Fee_Rate_Summary6"/>
      <sheetName val="Materials_Cost(PCC)6"/>
      <sheetName val="BOQ_Direct_selling_cost6"/>
      <sheetName val="key_dates6"/>
      <sheetName val="M_S_6"/>
      <sheetName val="Material_6"/>
      <sheetName val="Labour_&amp;_Plant6"/>
      <sheetName val="Assumption_Inputs6"/>
      <sheetName val="STAFFSCHED_6"/>
      <sheetName val="Administrative_Prices6"/>
      <sheetName val="Debits_as_on_12_04_086"/>
      <sheetName val="Block_A_-_BOQ6"/>
      <sheetName val="Site_Dev_BOQ6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Civil_Boq6"/>
      <sheetName val="3cd_Annexure6"/>
      <sheetName val="Linked_Lead6"/>
      <sheetName val="MORGACTS"/>
      <sheetName val="jobhist"/>
      <sheetName val="Break_Up (bc)"/>
      <sheetName val="Break_Up (bc1)"/>
      <sheetName val="Break_Up (bc2)"/>
      <sheetName val="98Price"/>
      <sheetName val="Detail 1A"/>
      <sheetName val="Rate"/>
      <sheetName val="BOQ-Part1"/>
      <sheetName val="Project Budget Worksheet"/>
      <sheetName val="budget"/>
      <sheetName val="Abstract"/>
      <sheetName val="RA_markate"/>
      <sheetName val="MG"/>
      <sheetName val="P&amp;L-BDMC"/>
      <sheetName val="Occ, Other Rev, Exp, Dispo"/>
      <sheetName val="DetEst"/>
      <sheetName val="Pay_Sep"/>
      <sheetName val="9. Package split - Cost "/>
      <sheetName val="Basic Rates"/>
      <sheetName val="grid"/>
      <sheetName val="col-reinft1"/>
      <sheetName val="office"/>
      <sheetName val="Lab"/>
      <sheetName val="CABLE DATA"/>
      <sheetName val="Cable-data"/>
      <sheetName val="Ave.wtd.rates"/>
      <sheetName val="ANNX - I ( a )"/>
      <sheetName val="Flooring"/>
      <sheetName val="Ceilings"/>
      <sheetName val="ACAD Finishes"/>
      <sheetName val="Measurements"/>
      <sheetName val="Chair"/>
      <sheetName val="Doors"/>
      <sheetName val="Estimate"/>
      <sheetName val="Tables"/>
      <sheetName val="Site Details"/>
      <sheetName val="Legend"/>
      <sheetName val="Materials Cost"/>
      <sheetName val="Sheet7"/>
      <sheetName val="Legal Risk Analysis"/>
      <sheetName val="sept-plan"/>
      <sheetName val="water prop."/>
      <sheetName val="한계원가"/>
      <sheetName val="LIST OF MAKES"/>
      <sheetName val="cubes_M20"/>
      <sheetName val="Boq - Flats"/>
      <sheetName val="Bill 3 - Site Works"/>
      <sheetName val="Form 6"/>
      <sheetName val="3MLKQ"/>
      <sheetName val="Indices"/>
      <sheetName val="JAPANESE ACCM"/>
      <sheetName val="INDIAN GUEST HOUSE"/>
      <sheetName val="ANPARA-SITE "/>
      <sheetName val="TBEAM"/>
      <sheetName val="Sheet18"/>
      <sheetName val="S1BOQ"/>
      <sheetName val="Parameter"/>
      <sheetName val="Report"/>
      <sheetName val="Construction"/>
      <sheetName val="Prodn Report"/>
      <sheetName val="num-word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Tender Summary"/>
      <sheetName val="Cover"/>
      <sheetName val="1.01 (a)"/>
      <sheetName val="AutoOpen_Stub_Data8"/>
      <sheetName val="SPT_vs_PHI8"/>
      <sheetName val="IO_List8"/>
      <sheetName val="Stress_Calculation8"/>
      <sheetName val="Fill_this_out_first___8"/>
      <sheetName val="Summary_05068"/>
      <sheetName val="Summary_0607-_31_MAR8"/>
      <sheetName val="1_007"/>
      <sheetName val="BLOCK-A_(MEA_SHEET)7"/>
      <sheetName val="B_&amp;_C_class_items_6"/>
      <sheetName val="CH_Bud6"/>
      <sheetName val="HK_Bud6"/>
      <sheetName val="PEPL_Income6"/>
      <sheetName val="Tech_Bud6"/>
      <sheetName val="wdr_bldg6"/>
      <sheetName val="intr_stool_brkup6"/>
      <sheetName val="Estimate_for_approval6"/>
      <sheetName val="Estimate_Abstract6"/>
      <sheetName val="Structure_Bills_Qty6"/>
      <sheetName val="Basement_Budget"/>
      <sheetName val="Column_Blk_1"/>
      <sheetName val="Rft_Footing_Blk_1"/>
      <sheetName val="Beam_FF,SF_Blk_1"/>
      <sheetName val="Swimming_pool"/>
      <sheetName val="A6"/>
      <sheetName val="Elect."/>
      <sheetName val="PACK (B)"/>
      <sheetName val="CPA_EQP"/>
      <sheetName val="BILL COV"/>
      <sheetName val="beam-reinft-machine rm"/>
      <sheetName val="Sec 5"/>
      <sheetName val="Sec 6"/>
      <sheetName val="Sec 7"/>
      <sheetName val="Sec 1"/>
      <sheetName val="Measurment"/>
      <sheetName val="Staff_Acco_1"/>
      <sheetName val="currency_(2)1"/>
      <sheetName val="BOQ_(2)1"/>
      <sheetName val="07016,_Master_List-Major_Minor1"/>
      <sheetName val="S_&amp;_A"/>
      <sheetName val="WACC_Calculation1"/>
      <sheetName val="MASTER_RATE_ANALYSIS"/>
      <sheetName val="India_F&amp;S_Template"/>
      <sheetName val="Staff_Acco_2"/>
      <sheetName val="currency_(2)2"/>
      <sheetName val="BOQ_(2)2"/>
      <sheetName val="07016,_Master_List-Major_Minor2"/>
      <sheetName val="Basement_Budget1"/>
      <sheetName val="S_&amp;_A1"/>
      <sheetName val="WACC_Calculation2"/>
      <sheetName val="MASTER_RATE_ANALYSIS1"/>
      <sheetName val="India_F&amp;S_Template1"/>
      <sheetName val="MA"/>
      <sheetName val="Variables"/>
      <sheetName val="Staff_Acco_3"/>
      <sheetName val="currency_(2)3"/>
      <sheetName val="BOQ_(2)3"/>
      <sheetName val="07016,_Master_List-Major_Minor3"/>
      <sheetName val="Basement_Budget2"/>
      <sheetName val="S_&amp;_A2"/>
      <sheetName val="WACC_Calculation3"/>
      <sheetName val="MASTER_RATE_ANALYSIS2"/>
      <sheetName val="India_F&amp;S_Template2"/>
      <sheetName val="Staff_Acco_4"/>
      <sheetName val="currency_(2)4"/>
      <sheetName val="BOQ_(2)4"/>
      <sheetName val="07016,_Master_List-Major_Minor4"/>
      <sheetName val="Basement_Budget3"/>
      <sheetName val="S_&amp;_A3"/>
      <sheetName val="WACC_Calculation4"/>
      <sheetName val="MASTER_RATE_ANALYSIS3"/>
      <sheetName val="India_F&amp;S_Template3"/>
      <sheetName val="Sec_5"/>
      <sheetName val="Sec_6"/>
      <sheetName val="Sec_7"/>
      <sheetName val="Sec_1"/>
      <sheetName val="Form_6"/>
      <sheetName val="sheeet7"/>
      <sheetName val="BQLIST"/>
      <sheetName val="Timesheet"/>
      <sheetName val="220 11  BS "/>
      <sheetName val="EAW_Final_Accounts_-_99"/>
      <sheetName val="Meas_-Hotel_Part"/>
      <sheetName val="New_May"/>
      <sheetName val="Builtup_Area"/>
      <sheetName val="March_Analysts"/>
      <sheetName val="Option_159"/>
      <sheetName val="Interpretations_(incl_piling)"/>
      <sheetName val="PCS_DATA"/>
      <sheetName val="AutoOpen_Stub_Data11"/>
      <sheetName val="SPT_vs_PHI11"/>
      <sheetName val="IO_List11"/>
      <sheetName val="Stress_Calculation11"/>
      <sheetName val="Fill_this_out_first___11"/>
      <sheetName val="Summary_050611"/>
      <sheetName val="Summary_0607-_31_MAR11"/>
      <sheetName val="1_0010"/>
      <sheetName val="BLOCK-A_(MEA_SHEET)10"/>
      <sheetName val="M_S_9"/>
      <sheetName val="B_&amp;_C_class_items_9"/>
      <sheetName val="CH_Bud9"/>
      <sheetName val="HK_Bud9"/>
      <sheetName val="PEPL_Income9"/>
      <sheetName val="Tech_Bud9"/>
      <sheetName val="wdr_bldg9"/>
      <sheetName val="intr_stool_brkup9"/>
      <sheetName val="Civil_Boq9"/>
      <sheetName val="PRECAST_lightconc-II9"/>
      <sheetName val="Basement_Budget6"/>
      <sheetName val="EAW_Final_Accounts_-_993"/>
      <sheetName val="Meas_-Hotel_Part3"/>
      <sheetName val="New_May3"/>
      <sheetName val="INPUT_SHEET9"/>
      <sheetName val="ABP_inputs9"/>
      <sheetName val="Synergy_Sales_Budget9"/>
      <sheetName val="WORK_TABLE9"/>
      <sheetName val="SCurv_(3)9"/>
      <sheetName val="TBAL9697_-group_wise__sdpl9"/>
      <sheetName val="GN-ST-06(2)(Design_Sheet-Ruled9"/>
      <sheetName val="TB-JUNE-2003-18_7_039"/>
      <sheetName val="Cashflow_projection9"/>
      <sheetName val="Deprec_9"/>
      <sheetName val="Extra_Item9"/>
      <sheetName val="Detail_In_Door_Stad9"/>
      <sheetName val="E_&amp;_R9"/>
      <sheetName val="Inc_St_-Link9"/>
      <sheetName val="kppl_pl9"/>
      <sheetName val="labour_coeff9"/>
      <sheetName val="final_abstract9"/>
      <sheetName val="d-safe_DELUXE9"/>
      <sheetName val="Break_up_Sheet9"/>
      <sheetName val="Project_Details__9"/>
      <sheetName val="PA-_Consutant_9"/>
      <sheetName val="Builtup_Area3"/>
      <sheetName val="March_Analysts3"/>
      <sheetName val="ORDER_BOOKING9"/>
      <sheetName val="3__Elemental_Summary9"/>
      <sheetName val="Desgn(zone_I)9"/>
      <sheetName val="Rate_analysis9"/>
      <sheetName val="TASKRSRC_(2)9"/>
      <sheetName val="Fee_Rate_Summary9"/>
      <sheetName val="beam-reinft-IIInd_floor9"/>
      <sheetName val="BOQ_Direct_selling_cost9"/>
      <sheetName val="Staff_Acco_7"/>
      <sheetName val="BOQ_(2)7"/>
      <sheetName val="07016,_Master_List-Major_Minor7"/>
      <sheetName val="WACC_Calculation7"/>
      <sheetName val="currency_(2)7"/>
      <sheetName val="S_&amp;_A6"/>
      <sheetName val="Site_Dev_BOQ9"/>
      <sheetName val="MASTER_RATE_ANALYSIS6"/>
      <sheetName val="India_F&amp;S_Template6"/>
      <sheetName val="Materials_Cost(PCC)9"/>
      <sheetName val="key_dates9"/>
      <sheetName val="Material_9"/>
      <sheetName val="Labour_&amp;_Plant9"/>
      <sheetName val="STAFFSCHED_9"/>
      <sheetName val="Assumption_Inputs9"/>
      <sheetName val="3cd_Annexure9"/>
      <sheetName val="Administrative_Prices9"/>
      <sheetName val="Debits_as_on_12_04_089"/>
      <sheetName val="Block_A_-_BOQ9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Linked_Lead9"/>
      <sheetName val="Option_1593"/>
      <sheetName val="Interpretations_(incl_piling)3"/>
      <sheetName val="PCS_DATA3"/>
      <sheetName val="Break_Up_(bc)2"/>
      <sheetName val="Break_Up_(bc1)2"/>
      <sheetName val="Break_Up_(bc2)2"/>
      <sheetName val="Detail_1A2"/>
      <sheetName val="Project_Budget_Worksheet2"/>
      <sheetName val="Occ,_Other_Rev,_Exp,_Dispo2"/>
      <sheetName val="9__Package_split_-_Cost_2"/>
      <sheetName val="Basic_Rates2"/>
      <sheetName val="CABLE_DATA2"/>
      <sheetName val="Ave_wtd_rates2"/>
      <sheetName val="ANNX_-_I_(_a_)2"/>
      <sheetName val="ACAD_Finishes2"/>
      <sheetName val="Site_Details2"/>
      <sheetName val="Materials_Cost2"/>
      <sheetName val="Legal_Risk_Analysis2"/>
      <sheetName val="water_prop_2"/>
      <sheetName val="LIST_OF_MAKES2"/>
      <sheetName val="Boq_-_Flats2"/>
      <sheetName val="Bill_3_-_Site_Works2"/>
      <sheetName val="Form_63"/>
      <sheetName val="JAPANESE_ACCM2"/>
      <sheetName val="INDIAN_GUEST_HOUSE2"/>
      <sheetName val="ANPARA-SITE_2"/>
      <sheetName val="Prodn_Report2"/>
      <sheetName val="11B_2"/>
      <sheetName val="Tender_Summary2"/>
      <sheetName val="Estimate_for_approval9"/>
      <sheetName val="Estimate_Abstract9"/>
      <sheetName val="Structure_Bills_Qty9"/>
      <sheetName val="Column_Blk_13"/>
      <sheetName val="Rft_Footing_Blk_13"/>
      <sheetName val="Beam_FF,SF_Blk_13"/>
      <sheetName val="Swimming_pool3"/>
      <sheetName val="1_01_(a)2"/>
      <sheetName val="Elect_2"/>
      <sheetName val="PACK_(B)2"/>
      <sheetName val="BILL_COV2"/>
      <sheetName val="beam-reinft-machine_rm2"/>
      <sheetName val="Sec_53"/>
      <sheetName val="Sec_63"/>
      <sheetName val="Sec_73"/>
      <sheetName val="Sec_13"/>
      <sheetName val="220_11__BS_2"/>
      <sheetName val="AutoOpen_Stub_Data10"/>
      <sheetName val="SPT_vs_PHI10"/>
      <sheetName val="IO_List10"/>
      <sheetName val="Stress_Calculation10"/>
      <sheetName val="Fill_this_out_first___10"/>
      <sheetName val="Summary_050610"/>
      <sheetName val="Summary_0607-_31_MAR10"/>
      <sheetName val="1_009"/>
      <sheetName val="BLOCK-A_(MEA_SHEET)9"/>
      <sheetName val="B_&amp;_C_class_items_8"/>
      <sheetName val="CH_Bud8"/>
      <sheetName val="HK_Bud8"/>
      <sheetName val="PEPL_Income8"/>
      <sheetName val="Tech_Bud8"/>
      <sheetName val="wdr_bldg8"/>
      <sheetName val="intr_stool_brkup8"/>
      <sheetName val="M_S_8"/>
      <sheetName val="Civil_Boq8"/>
      <sheetName val="PRECAST_lightconc-II8"/>
      <sheetName val="Estimate_for_approval8"/>
      <sheetName val="Basement_Budget5"/>
      <sheetName val="EAW_Final_Accounts_-_992"/>
      <sheetName val="Meas_-Hotel_Part2"/>
      <sheetName val="New_May2"/>
      <sheetName val="INPUT_SHEET8"/>
      <sheetName val="ABP_inputs8"/>
      <sheetName val="Synergy_Sales_Budget8"/>
      <sheetName val="WORK_TABLE8"/>
      <sheetName val="SCurv_(3)8"/>
      <sheetName val="TBAL9697_-group_wise__sdpl8"/>
      <sheetName val="GN-ST-06(2)(Design_Sheet-Ruled8"/>
      <sheetName val="TB-JUNE-2003-18_7_038"/>
      <sheetName val="Cashflow_projection8"/>
      <sheetName val="Deprec_8"/>
      <sheetName val="Extra_Item8"/>
      <sheetName val="Detail_In_Door_Stad8"/>
      <sheetName val="E_&amp;_R8"/>
      <sheetName val="Inc_St_-Link8"/>
      <sheetName val="kppl_pl8"/>
      <sheetName val="labour_coeff8"/>
      <sheetName val="final_abstract8"/>
      <sheetName val="d-safe_DELUXE8"/>
      <sheetName val="Break_up_Sheet8"/>
      <sheetName val="Project_Details__8"/>
      <sheetName val="PA-_Consutant_8"/>
      <sheetName val="Builtup_Area2"/>
      <sheetName val="March_Analysts2"/>
      <sheetName val="ORDER_BOOKING8"/>
      <sheetName val="3__Elemental_Summary8"/>
      <sheetName val="Desgn(zone_I)8"/>
      <sheetName val="Rate_analysis8"/>
      <sheetName val="TASKRSRC_(2)8"/>
      <sheetName val="Fee_Rate_Summary8"/>
      <sheetName val="beam-reinft-IIInd_floor8"/>
      <sheetName val="BOQ_Direct_selling_cost8"/>
      <sheetName val="Staff_Acco_6"/>
      <sheetName val="BOQ_(2)6"/>
      <sheetName val="07016,_Master_List-Major_Minor6"/>
      <sheetName val="WACC_Calculation6"/>
      <sheetName val="currency_(2)6"/>
      <sheetName val="S_&amp;_A5"/>
      <sheetName val="Site_Dev_BOQ8"/>
      <sheetName val="MASTER_RATE_ANALYSIS5"/>
      <sheetName val="India_F&amp;S_Template5"/>
      <sheetName val="Materials_Cost(PCC)8"/>
      <sheetName val="key_dates8"/>
      <sheetName val="Material_8"/>
      <sheetName val="Labour_&amp;_Plant8"/>
      <sheetName val="STAFFSCHED_8"/>
      <sheetName val="Assumption_Inputs8"/>
      <sheetName val="3cd_Annexure8"/>
      <sheetName val="Administrative_Prices8"/>
      <sheetName val="Debits_as_on_12_04_088"/>
      <sheetName val="Block_A_-_BOQ8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Linked_Lead8"/>
      <sheetName val="Option_1592"/>
      <sheetName val="Interpretations_(incl_piling)2"/>
      <sheetName val="PCS_DATA2"/>
      <sheetName val="Break_Up_(bc)1"/>
      <sheetName val="Break_Up_(bc1)1"/>
      <sheetName val="Break_Up_(bc2)1"/>
      <sheetName val="Detail_1A1"/>
      <sheetName val="Project_Budget_Worksheet1"/>
      <sheetName val="Occ,_Other_Rev,_Exp,_Dispo1"/>
      <sheetName val="9__Package_split_-_Cost_1"/>
      <sheetName val="Basic_Rates1"/>
      <sheetName val="CABLE_DATA1"/>
      <sheetName val="Ave_wtd_rates1"/>
      <sheetName val="ANNX_-_I_(_a_)1"/>
      <sheetName val="ACAD_Finishes1"/>
      <sheetName val="Site_Details1"/>
      <sheetName val="Materials_Cost1"/>
      <sheetName val="Legal_Risk_Analysis1"/>
      <sheetName val="water_prop_1"/>
      <sheetName val="LIST_OF_MAKES1"/>
      <sheetName val="Boq_-_Flats1"/>
      <sheetName val="Bill_3_-_Site_Works1"/>
      <sheetName val="Form_62"/>
      <sheetName val="JAPANESE_ACCM1"/>
      <sheetName val="INDIAN_GUEST_HOUSE1"/>
      <sheetName val="ANPARA-SITE_1"/>
      <sheetName val="Prodn_Report1"/>
      <sheetName val="11B_1"/>
      <sheetName val="Tender_Summary1"/>
      <sheetName val="Estimate_Abstract8"/>
      <sheetName val="Structure_Bills_Qty8"/>
      <sheetName val="Column_Blk_12"/>
      <sheetName val="Rft_Footing_Blk_12"/>
      <sheetName val="Beam_FF,SF_Blk_12"/>
      <sheetName val="Swimming_pool2"/>
      <sheetName val="1_01_(a)1"/>
      <sheetName val="Elect_1"/>
      <sheetName val="PACK_(B)1"/>
      <sheetName val="BILL_COV1"/>
      <sheetName val="beam-reinft-machine_rm1"/>
      <sheetName val="Sec_52"/>
      <sheetName val="Sec_62"/>
      <sheetName val="Sec_72"/>
      <sheetName val="Sec_12"/>
      <sheetName val="220_11__BS_1"/>
      <sheetName val="AutoOpen_Stub_Data9"/>
      <sheetName val="SPT_vs_PHI9"/>
      <sheetName val="IO_List9"/>
      <sheetName val="Stress_Calculation9"/>
      <sheetName val="Fill_this_out_first___9"/>
      <sheetName val="Summary_05069"/>
      <sheetName val="Summary_0607-_31_MAR9"/>
      <sheetName val="1_008"/>
      <sheetName val="BLOCK-A_(MEA_SHEET)8"/>
      <sheetName val="B_&amp;_C_class_items_7"/>
      <sheetName val="CH_Bud7"/>
      <sheetName val="HK_Bud7"/>
      <sheetName val="PEPL_Income7"/>
      <sheetName val="Tech_Bud7"/>
      <sheetName val="wdr_bldg7"/>
      <sheetName val="intr_stool_brkup7"/>
      <sheetName val="M_S_7"/>
      <sheetName val="Civil_Boq7"/>
      <sheetName val="PRECAST_lightconc-II7"/>
      <sheetName val="Estimate_for_approval7"/>
      <sheetName val="Basement_Budget4"/>
      <sheetName val="EAW_Final_Accounts_-_991"/>
      <sheetName val="Meas_-Hotel_Part1"/>
      <sheetName val="New_May1"/>
      <sheetName val="INPUT_SHEET7"/>
      <sheetName val="ABP_inputs7"/>
      <sheetName val="Synergy_Sales_Budget7"/>
      <sheetName val="WORK_TABLE7"/>
      <sheetName val="SCurv_(3)7"/>
      <sheetName val="TBAL9697_-group_wise__sdpl7"/>
      <sheetName val="GN-ST-06(2)(Design_Sheet-Ruled7"/>
      <sheetName val="TB-JUNE-2003-18_7_037"/>
      <sheetName val="Cashflow_projection7"/>
      <sheetName val="Deprec_7"/>
      <sheetName val="Extra_Item7"/>
      <sheetName val="Detail_In_Door_Stad7"/>
      <sheetName val="E_&amp;_R7"/>
      <sheetName val="Inc_St_-Link7"/>
      <sheetName val="kppl_pl7"/>
      <sheetName val="labour_coeff7"/>
      <sheetName val="final_abstract7"/>
      <sheetName val="d-safe_DELUXE7"/>
      <sheetName val="Break_up_Sheet7"/>
      <sheetName val="Project_Details__7"/>
      <sheetName val="PA-_Consutant_7"/>
      <sheetName val="Builtup_Area1"/>
      <sheetName val="March_Analysts1"/>
      <sheetName val="ORDER_BOOKING7"/>
      <sheetName val="3__Elemental_Summary7"/>
      <sheetName val="Desgn(zone_I)7"/>
      <sheetName val="Rate_analysis7"/>
      <sheetName val="TASKRSRC_(2)7"/>
      <sheetName val="Fee_Rate_Summary7"/>
      <sheetName val="beam-reinft-IIInd_floor7"/>
      <sheetName val="BOQ_Direct_selling_cost7"/>
      <sheetName val="Staff_Acco_5"/>
      <sheetName val="BOQ_(2)5"/>
      <sheetName val="07016,_Master_List-Major_Minor5"/>
      <sheetName val="WACC_Calculation5"/>
      <sheetName val="currency_(2)5"/>
      <sheetName val="S_&amp;_A4"/>
      <sheetName val="Site_Dev_BOQ7"/>
      <sheetName val="MASTER_RATE_ANALYSIS4"/>
      <sheetName val="India_F&amp;S_Template4"/>
      <sheetName val="Materials_Cost(PCC)7"/>
      <sheetName val="key_dates7"/>
      <sheetName val="Material_7"/>
      <sheetName val="Labour_&amp;_Plant7"/>
      <sheetName val="STAFFSCHED_7"/>
      <sheetName val="Assumption_Inputs7"/>
      <sheetName val="3cd_Annexure7"/>
      <sheetName val="Administrative_Prices7"/>
      <sheetName val="Debits_as_on_12_04_087"/>
      <sheetName val="Block_A_-_BOQ7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Linked_Lead7"/>
      <sheetName val="Option_1591"/>
      <sheetName val="Interpretations_(incl_piling)1"/>
      <sheetName val="PCS_DATA1"/>
      <sheetName val="Break_Up_(bc)"/>
      <sheetName val="Break_Up_(bc1)"/>
      <sheetName val="Break_Up_(bc2)"/>
      <sheetName val="Detail_1A"/>
      <sheetName val="Project_Budget_Worksheet"/>
      <sheetName val="Occ,_Other_Rev,_Exp,_Dispo"/>
      <sheetName val="9__Package_split_-_Cost_"/>
      <sheetName val="Basic_Rates"/>
      <sheetName val="CABLE_DATA"/>
      <sheetName val="Ave_wtd_rates"/>
      <sheetName val="ANNX_-_I_(_a_)"/>
      <sheetName val="ACAD_Finishes"/>
      <sheetName val="Site_Details"/>
      <sheetName val="Materials_Cost"/>
      <sheetName val="Legal_Risk_Analysis"/>
      <sheetName val="water_prop_"/>
      <sheetName val="LIST_OF_MAKES"/>
      <sheetName val="Boq_-_Flats"/>
      <sheetName val="Bill_3_-_Site_Works"/>
      <sheetName val="Form_61"/>
      <sheetName val="JAPANESE_ACCM"/>
      <sheetName val="INDIAN_GUEST_HOUSE"/>
      <sheetName val="ANPARA-SITE_"/>
      <sheetName val="Prodn_Report"/>
      <sheetName val="11B_"/>
      <sheetName val="Tender_Summary"/>
      <sheetName val="Estimate_Abstract7"/>
      <sheetName val="Structure_Bills_Qty7"/>
      <sheetName val="Column_Blk_11"/>
      <sheetName val="Rft_Footing_Blk_11"/>
      <sheetName val="Beam_FF,SF_Blk_11"/>
      <sheetName val="Swimming_pool1"/>
      <sheetName val="1_01_(a)"/>
      <sheetName val="Elect_"/>
      <sheetName val="PACK_(B)"/>
      <sheetName val="BILL_COV"/>
      <sheetName val="beam-reinft-machine_rm"/>
      <sheetName val="Sec_51"/>
      <sheetName val="Sec_61"/>
      <sheetName val="Sec_71"/>
      <sheetName val="Sec_11"/>
      <sheetName val="220_11__BS_"/>
      <sheetName val="Assets"/>
      <sheetName val="SRC-B3U2"/>
      <sheetName val="CTC"/>
      <sheetName val="BOQ Distribution"/>
      <sheetName val="finalj"/>
      <sheetName val="BOQ_Distribution"/>
      <sheetName val="BOQ_Distribution1"/>
      <sheetName val="600 thrst"/>
      <sheetName val="UPA(Part C,D,E,G,H)"/>
      <sheetName val="UPA(Part F)"/>
      <sheetName val="Materials"/>
      <sheetName val="WorkBreakDown"/>
      <sheetName val="BOQ_Distribution2"/>
      <sheetName val="600_thrst"/>
      <sheetName val="UPA(Part_C,D,E,G,H)"/>
      <sheetName val="UPA(Part_F)"/>
      <sheetName val="Item정리"/>
      <sheetName val="final estimat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 refreshError="1"/>
      <sheetData sheetId="13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Maintenances-Materials"/>
      <sheetName val="Assumption Inputs"/>
      <sheetName val="Detail"/>
      <sheetName val="PCC"/>
      <sheetName val="Structure Bills Qty"/>
      <sheetName val="Granite works"/>
      <sheetName val="Pranav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Assumption_Inputs"/>
      <sheetName val="Structure_Bills_Qty"/>
      <sheetName val="Granite_works"/>
      <sheetName val="Detail In Door Stad"/>
      <sheetName val="Design"/>
      <sheetName val="B1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Structure_Bills_Qty1"/>
      <sheetName val="Assumption_Inputs1"/>
      <sheetName val="Costing"/>
      <sheetName val="Control"/>
      <sheetName val="405"/>
      <sheetName val="427"/>
      <sheetName val="403"/>
      <sheetName val="#REF"/>
      <sheetName val="Break up Sheet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Assumption_Inputs2"/>
      <sheetName val="Structure_Bills_Qty2"/>
      <sheetName val="SECPROP"/>
      <sheetName val="factors"/>
      <sheetName val="Cover"/>
      <sheetName val="Sheet3"/>
      <sheetName val="2gii"/>
      <sheetName val="共機J"/>
      <sheetName val="rcc( sub)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Assumption_Inputs8"/>
      <sheetName val="Structure_Bills_Qty8"/>
      <sheetName val="Granite_works6"/>
      <sheetName val="Detail_In_Door_Stad5"/>
      <sheetName val="Break_up_Sheet5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Assumption_Inputs6"/>
      <sheetName val="Structure_Bills_Qty6"/>
      <sheetName val="Granite_works4"/>
      <sheetName val="Detail_In_Door_Stad3"/>
      <sheetName val="Break_up_Sheet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Assumption_Inputs5"/>
      <sheetName val="Structure_Bills_Qty5"/>
      <sheetName val="Granite_works3"/>
      <sheetName val="Detail_In_Door_Stad2"/>
      <sheetName val="Break_up_Sheet2"/>
      <sheetName val="rcc(_sub)2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Assumption_Inputs3"/>
      <sheetName val="Structure_Bills_Qty3"/>
      <sheetName val="Granite_works1"/>
      <sheetName val="Detail_In_Door_Stad"/>
      <sheetName val="Break_up_Sheet"/>
      <sheetName val="rcc(_sub)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Assumption_Inputs4"/>
      <sheetName val="Structure_Bills_Qty4"/>
      <sheetName val="Granite_works2"/>
      <sheetName val="Detail_In_Door_Stad1"/>
      <sheetName val="Break_up_Sheet1"/>
      <sheetName val="rcc(_sub)1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Assumption_Inputs7"/>
      <sheetName val="Structure_Bills_Qty7"/>
      <sheetName val="Granite_works5"/>
      <sheetName val="Detail_In_Door_Stad4"/>
      <sheetName val="Break_up_Sheet4"/>
      <sheetName val="rcc(_sub)3"/>
      <sheetName val="rcc(_sub)4"/>
      <sheetName val="00010(A)"/>
      <sheetName val="0020(A)"/>
      <sheetName val="00030(A)"/>
      <sheetName val="00040(A)"/>
      <sheetName val="00050(A)"/>
      <sheetName val="0060(A)"/>
      <sheetName val="00030(B)"/>
      <sheetName val="00040(B)"/>
      <sheetName val="00050(B)"/>
      <sheetName val="0060(B)"/>
      <sheetName val="SPT vs PHI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Assumption_Inputs9"/>
      <sheetName val="Structure_Bills_Qty9"/>
      <sheetName val="Granite_works7"/>
      <sheetName val="Detail_In_Door_Stad6"/>
      <sheetName val="Break_up_Sheet6"/>
      <sheetName val="rcc(_sub)5"/>
      <sheetName val="BLOCK-A (MEA.SHEET)"/>
      <sheetName val="CASHFLOWS"/>
      <sheetName val="Data sheet"/>
      <sheetName val="PRECAST lightconc-II"/>
      <sheetName val="TBAL9697 -group wise  sdpl"/>
      <sheetName val="Fin Sum"/>
      <sheetName val="Project Budget Worksheet"/>
      <sheetName val="analysis"/>
      <sheetName val="BASIS -DEC 08"/>
      <sheetName val="Basisdaten"/>
      <sheetName val="Vordruck-Nr. 7.1.3_D"/>
      <sheetName val="Ersatzteile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caff-Rose"/>
      <sheetName val="INPUT SHEET"/>
      <sheetName val="para"/>
      <sheetName val="Basic"/>
      <sheetName val="E &amp; R"/>
      <sheetName val="radar"/>
      <sheetName val="UG"/>
      <sheetName val="BLK2"/>
      <sheetName val="BLK3"/>
      <sheetName val="Manpower"/>
      <sheetName val="Sheet1"/>
      <sheetName val="M.S."/>
      <sheetName val="p&amp;m"/>
      <sheetName val="1.00"/>
      <sheetName val="Works - Quote Sheet"/>
      <sheetName val="Assmpns"/>
      <sheetName val="Internal Finishes (Unit types)"/>
      <sheetName val="Global Assm."/>
      <sheetName val="STEEL STRUCTURE"/>
      <sheetName val="CABLERET"/>
      <sheetName val="Wordsdata"/>
      <sheetName val="item"/>
      <sheetName val="SPILL OVER"/>
      <sheetName val="pri-com"/>
      <sheetName val="Calc"/>
      <sheetName val="Final Bill of Material"/>
      <sheetName val="KP1590_E"/>
      <sheetName val="Meas.-Hotel Part"/>
      <sheetName val="NOT FULL RESTRAINT"/>
      <sheetName val="BEARING &amp; BUCKLING"/>
      <sheetName val="PFC"/>
      <sheetName val="RSJ"/>
      <sheetName val="Basement Budget"/>
      <sheetName val="Door"/>
      <sheetName val="Price Comparison"/>
      <sheetName val="Detail 1A"/>
      <sheetName val="Rate"/>
      <sheetName val="old_serial no."/>
      <sheetName val="tot_ass_9697"/>
      <sheetName val="UC"/>
      <sheetName val="final abstrac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detail'02"/>
      <sheetName val="Detail P&amp;L"/>
      <sheetName val="Assumption Sheet"/>
      <sheetName val="Riser-1"/>
      <sheetName val="Cost summary"/>
      <sheetName val="S1BOQ"/>
      <sheetName val="ridgewood"/>
      <sheetName val="Sheet2"/>
      <sheetName val="Old"/>
      <sheetName val="Introduction"/>
      <sheetName val="Operating Statistics"/>
      <sheetName val="Financials"/>
      <sheetName val="입찰내역 발주처 양식"/>
      <sheetName val="Name List"/>
      <sheetName val="Fee Rate Summary"/>
      <sheetName val="Makro1"/>
      <sheetName val="LEVEL SHEET"/>
      <sheetName val="Staff Acco."/>
      <sheetName val="banilad"/>
      <sheetName val="Mactan"/>
      <sheetName val="Mandaue"/>
      <sheetName val="PRICE-COMP"/>
      <sheetName val="FitOutConfCentre"/>
      <sheetName val="RA-markate"/>
      <sheetName val="Build-up"/>
      <sheetName val="FINOLEX"/>
      <sheetName val="Data"/>
      <sheetName val="Lead"/>
      <sheetName val="LABOUR SALARY "/>
      <sheetName val="TRIAL BALANC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tress Calculation"/>
      <sheetName val="SITE OVERHEADS"/>
      <sheetName val="Equipment List (Process)"/>
      <sheetName val="Load Details(B2)"/>
      <sheetName val="Measurment"/>
      <sheetName val="Precalculation"/>
      <sheetName val="Notes"/>
      <sheetName val="concrete"/>
      <sheetName val="Labor abs-NMR"/>
      <sheetName val="WM -Expenses Statement "/>
      <sheetName val="PM use"/>
      <sheetName val="PM use??P_x0011_ M&amp;E"/>
      <sheetName val="Tower Crane Oper"/>
      <sheetName val="PM use__P_x0011_ M&amp;E"/>
      <sheetName val="SCHEDULE"/>
      <sheetName val="PointNo.5"/>
      <sheetName val="PM use_x0000__x0000_P_x0011_ M&amp;E"/>
      <sheetName val="Tower Crane Oper_x0000_n4on"/>
      <sheetName val="Assumptions"/>
      <sheetName val="Basis"/>
      <sheetName val="AS_PER_TALLY10"/>
      <sheetName val="det_04_0510"/>
      <sheetName val="A_block10"/>
      <sheetName val="B_block10"/>
      <sheetName val="A-Class_material_new10"/>
      <sheetName val="MS_Items10"/>
      <sheetName val="Shuttering_Working10"/>
      <sheetName val="Scaffolding__@_THE_END10"/>
      <sheetName val="Scaffolding_rec10"/>
      <sheetName val="Scaffolding_10"/>
      <sheetName val="steel_10"/>
      <sheetName val="PM_ch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Establishment_ch_10"/>
      <sheetName val="Staff_Salary10"/>
      <sheetName val="Training_sheet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SPT_vs_PHI"/>
      <sheetName val="Costing Aug 31 recon - Tulip-pq"/>
      <sheetName val="PM useP_x0011_ M&amp;E"/>
      <sheetName val="Tower Crane Opern4on"/>
      <sheetName val="Abs PMRL"/>
      <sheetName val="Citrix"/>
      <sheetName val="AoR Finishing"/>
      <sheetName val="A.O.R r1Str"/>
      <sheetName val="Balustrade"/>
      <sheetName val="Addl.40"/>
      <sheetName val="Main-Material"/>
      <sheetName val="Reference Data"/>
      <sheetName val="E_&amp;_R"/>
      <sheetName val="Vordruck-Nr__7_1_3_D"/>
      <sheetName val="M&amp;A_D"/>
      <sheetName val="M&amp;A_E"/>
      <sheetName val="M&amp;A_G"/>
      <sheetName val="PRECAST_lightconc-II"/>
      <sheetName val="Data_sheet"/>
      <sheetName val="TBAL9697_-group_wise__sdpl"/>
      <sheetName val="Fin_Sum"/>
      <sheetName val="Project_Budget_Worksheet"/>
      <sheetName val="BASIS_-DEC_08"/>
      <sheetName val="BLOCK-A_(MEA_SHEET)"/>
      <sheetName val="Basement_Budget"/>
      <sheetName val="Internal_Finishes_(Unit_types)"/>
      <sheetName val="Global_Assm_"/>
      <sheetName val="STEEL_STRUCTURE"/>
      <sheetName val="KSt - Analysis 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RCC,Ret. Wall"/>
      <sheetName val="MASTER_RATE_ANALYSIS"/>
      <sheetName val="Insurance Ext"/>
      <sheetName val="Prelims"/>
      <sheetName val="Tender Summary"/>
      <sheetName val="office"/>
      <sheetName val="IO List"/>
      <sheetName val="FORM7"/>
      <sheetName val="SOR"/>
      <sheetName val=" COP 100%"/>
      <sheetName val="M-Book for Conc"/>
      <sheetName val="M-Book for FW"/>
      <sheetName val="upa"/>
      <sheetName val="Requirements"/>
      <sheetName val="Storage"/>
      <sheetName val="Financial"/>
      <sheetName val="pol-60"/>
      <sheetName val="BOQ"/>
      <sheetName val="COLUMN"/>
      <sheetName val="RA"/>
      <sheetName val="M.R.List (2)"/>
      <sheetName val="Boq (Main Building)"/>
      <sheetName val="Debits as on 12.04.08"/>
      <sheetName val="girder"/>
      <sheetName val="Materials Cost"/>
      <sheetName val="S2groupcode"/>
      <sheetName val="Benutzungshinweise"/>
      <sheetName val="RES-PLANNING"/>
      <sheetName val="Costing_Aug_31_recon_-_Tulip-pq"/>
      <sheetName val="INPUT_SHEET"/>
      <sheetName val="r"/>
      <sheetName val="Works_-_Quote_Sheet"/>
      <sheetName val="intr stool brkup"/>
      <sheetName val="UPA(Part C,D,E,G,H)"/>
      <sheetName val="UPA(Part F)"/>
      <sheetName val="Materials"/>
      <sheetName val="Price List"/>
      <sheetName val="UPA(Part_C,D,E,G,H)"/>
      <sheetName val="UPA(Part_F)"/>
      <sheetName val="Price_List"/>
      <sheetName val="UPA(Part_C,D,E,G,H)1"/>
      <sheetName val="UPA(Part_F)1"/>
      <sheetName val="Price_List1"/>
      <sheetName val="BLOCK-A_(MEA_SHEET)1"/>
      <sheetName val="UPA(Part_C,D,E,G,H)2"/>
      <sheetName val="UPA(Part_F)2"/>
      <sheetName val="Price_List2"/>
      <sheetName val="BLOCK-A_(MEA_SHEET)2"/>
      <sheetName val="Assets"/>
      <sheetName val="12 APPS &amp; CERTS"/>
      <sheetName val="10 CLAIMS"/>
      <sheetName val="9 VO's"/>
      <sheetName val="15 SUPP.LIABS"/>
      <sheetName val="15a SUPP.LIAB.DET"/>
      <sheetName val="7 CASHFLOW"/>
      <sheetName val="8 FLEX.BUDGET"/>
      <sheetName val="11 LAB.PROD"/>
      <sheetName val="14 SC.LIABS"/>
      <sheetName val="14a SC.LIAB.DET"/>
      <sheetName val="Ra  stair"/>
      <sheetName val="S1 new-Overall-with C8A"/>
      <sheetName val="BOQ Distribution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Rate analysis"/>
      <sheetName val="Structure Bills Qty"/>
      <sheetName val="Load Details(B2)"/>
      <sheetName val="Break up Sheet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Rate_analysis5"/>
      <sheetName val="Load_Details(B2)5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Rate_analysis3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Rate_analysis2"/>
      <sheetName val="Load_Details(B2)2"/>
      <sheetName val="Structure_Bills_Qty2"/>
      <sheetName val="Break_up_Sheet2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Rate_analysis"/>
      <sheetName val="Load_Details(B2)"/>
      <sheetName val="Structure_Bills_Qty"/>
      <sheetName val="Break_up_Sheet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Rate_analysis1"/>
      <sheetName val="Load_Details(B2)1"/>
      <sheetName val="Structure_Bills_Qty1"/>
      <sheetName val="Break_up_Sheet1"/>
      <sheetName val="Load_Details(B2)3"/>
      <sheetName val="Structure_Bills_Qty3"/>
      <sheetName val="Break_up_Sheet3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Rate_analysis4"/>
      <sheetName val="Load_Details(B2)4"/>
      <sheetName val="Structure_Bills_Qty4"/>
      <sheetName val="Break_up_Sheet4"/>
      <sheetName val="Structure_Bills_Qty5"/>
      <sheetName val="Break_up_Sheet5"/>
      <sheetName val="intr stool brkup"/>
      <sheetName val="Design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Rate_analysis6"/>
      <sheetName val="Load_Details(B2)6"/>
      <sheetName val="Structure_Bills_Qty6"/>
      <sheetName val="Break_up_Sheet6"/>
      <sheetName val="intr_stool_brkup"/>
      <sheetName val="BLOCK-A (MEA.SHEET)"/>
      <sheetName val="std"/>
      <sheetName val="CERTIFICATE"/>
      <sheetName val="CTC"/>
      <sheetName val="Conc"/>
      <sheetName val="Sheet3"/>
      <sheetName val="Main Villa-Walls"/>
      <sheetName val="2 &amp; 3 CG 78 V"/>
      <sheetName val="Detail In Door Stad"/>
      <sheetName val="A0744339"/>
      <sheetName val="final abstract"/>
      <sheetName val="A-General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Rate_analysis7"/>
      <sheetName val="Structure_Bills_Qty7"/>
      <sheetName val="Load_Details(B2)7"/>
      <sheetName val="Break_up_Sheet7"/>
      <sheetName val="intr_stool_brkup1"/>
      <sheetName val="BLOCK-A_(MEA_SHEET)"/>
      <sheetName val="Main_Villa-Walls"/>
      <sheetName val="2_&amp;_3_CG_78_V"/>
      <sheetName val="Detail_In_Door_Stad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Rate_analysis10"/>
      <sheetName val="Structure_Bills_Qty10"/>
      <sheetName val="Load_Details(B2)10"/>
      <sheetName val="Break_up_Sheet10"/>
      <sheetName val="intr_stool_brkup4"/>
      <sheetName val="BLOCK-A_(MEA_SHEET)3"/>
      <sheetName val="Main_Villa-Walls3"/>
      <sheetName val="2_&amp;_3_CG_78_V3"/>
      <sheetName val="Detail_In_Door_Stad3"/>
      <sheetName val="final_abstract2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Rate_analysis9"/>
      <sheetName val="Structure_Bills_Qty9"/>
      <sheetName val="Load_Details(B2)9"/>
      <sheetName val="Break_up_Sheet9"/>
      <sheetName val="intr_stool_brkup3"/>
      <sheetName val="BLOCK-A_(MEA_SHEET)2"/>
      <sheetName val="Main_Villa-Walls2"/>
      <sheetName val="2_&amp;_3_CG_78_V2"/>
      <sheetName val="Detail_In_Door_Stad2"/>
      <sheetName val="final_abstract1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Rate_analysis8"/>
      <sheetName val="Structure_Bills_Qty8"/>
      <sheetName val="Load_Details(B2)8"/>
      <sheetName val="Break_up_Sheet8"/>
      <sheetName val="intr_stool_brkup2"/>
      <sheetName val="BLOCK-A_(MEA_SHEET)1"/>
      <sheetName val="Main_Villa-Walls1"/>
      <sheetName val="2_&amp;_3_CG_78_V1"/>
      <sheetName val="Detail_In_Door_Stad1"/>
      <sheetName val="final_abstract"/>
      <sheetName val="workscope변경"/>
      <sheetName val="allowances"/>
      <sheetName val="analysis"/>
      <sheetName val="IT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ning wall -1"/>
      <sheetName val="Rio vista 1"/>
    </sheetNames>
    <sheetDataSet>
      <sheetData sheetId="0" refreshError="1">
        <row r="8">
          <cell r="C8">
            <v>0.05</v>
          </cell>
        </row>
        <row r="9">
          <cell r="C9">
            <v>0.06</v>
          </cell>
        </row>
        <row r="10">
          <cell r="C10">
            <v>0.04</v>
          </cell>
        </row>
        <row r="11">
          <cell r="C11">
            <v>0.3</v>
          </cell>
        </row>
        <row r="12">
          <cell r="C12">
            <v>0.1</v>
          </cell>
        </row>
        <row r="13">
          <cell r="C13">
            <v>0.1</v>
          </cell>
        </row>
        <row r="14">
          <cell r="C14">
            <v>12</v>
          </cell>
        </row>
        <row r="15">
          <cell r="C15">
            <v>0.03</v>
          </cell>
        </row>
        <row r="16">
          <cell r="C16">
            <v>4.95</v>
          </cell>
        </row>
        <row r="17">
          <cell r="C17">
            <v>3.3</v>
          </cell>
        </row>
        <row r="18">
          <cell r="C18">
            <v>3.4</v>
          </cell>
        </row>
        <row r="20">
          <cell r="C20">
            <v>0.02</v>
          </cell>
        </row>
        <row r="21">
          <cell r="C21">
            <v>0.03</v>
          </cell>
        </row>
        <row r="22">
          <cell r="C22">
            <v>0.02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"/>
      <sheetName val="APP.S CONT (2)"/>
      <sheetName val="std"/>
      <sheetName val="Sheet3"/>
      <sheetName val="SC-ISO"/>
      <sheetName val="APP.S CONT"/>
      <sheetName val="APP_S_CONT_(2)"/>
      <sheetName val="APP_S_CONT"/>
      <sheetName val="Mobile Micro "/>
      <sheetName val="Break up Sheet"/>
      <sheetName val="rcc( sub)"/>
      <sheetName val="STP"/>
      <sheetName val="retaining wall (2)"/>
      <sheetName val="003.03 qcs"/>
      <sheetName val="Block 02, Staircace &amp; lift head"/>
      <sheetName val="Slab"/>
      <sheetName val="Arc features"/>
      <sheetName val="factors"/>
      <sheetName val="APP_S_CONT_(2)6"/>
      <sheetName val="APP_S_CONT6"/>
      <sheetName val="Mobile_Micro_5"/>
      <sheetName val="Break_up_Sheet5"/>
      <sheetName val="003_03_qcs5"/>
      <sheetName val="retaining_wall_(2)5"/>
      <sheetName val="Block_02,_Staircace_&amp;_lift_hea5"/>
      <sheetName val="APP_S_CONT_(2)4"/>
      <sheetName val="APP_S_CONT4"/>
      <sheetName val="Mobile_Micro_3"/>
      <sheetName val="Break_up_Sheet3"/>
      <sheetName val="003_03_qcs3"/>
      <sheetName val="retaining_wall_(2)3"/>
      <sheetName val="Block_02,_Staircace_&amp;_lift_hea3"/>
      <sheetName val="APP_S_CONT_(2)3"/>
      <sheetName val="APP_S_CONT3"/>
      <sheetName val="Mobile_Micro_2"/>
      <sheetName val="Break_up_Sheet2"/>
      <sheetName val="003_03_qcs2"/>
      <sheetName val="retaining_wall_(2)2"/>
      <sheetName val="Block_02,_Staircace_&amp;_lift_hea2"/>
      <sheetName val="Arc_features2"/>
      <sheetName val="rcc(_sub)2"/>
      <sheetName val="APP_S_CONT_(2)1"/>
      <sheetName val="APP_S_CONT1"/>
      <sheetName val="Mobile_Micro_"/>
      <sheetName val="Break_up_Sheet"/>
      <sheetName val="003_03_qcs"/>
      <sheetName val="retaining_wall_(2)"/>
      <sheetName val="Block_02,_Staircace_&amp;_lift_head"/>
      <sheetName val="Arc_features"/>
      <sheetName val="rcc(_sub)"/>
      <sheetName val="APP_S_CONT_(2)2"/>
      <sheetName val="APP_S_CONT2"/>
      <sheetName val="Mobile_Micro_1"/>
      <sheetName val="Break_up_Sheet1"/>
      <sheetName val="003_03_qcs1"/>
      <sheetName val="retaining_wall_(2)1"/>
      <sheetName val="Block_02,_Staircace_&amp;_lift_hea1"/>
      <sheetName val="Arc_features1"/>
      <sheetName val="rcc(_sub)1"/>
      <sheetName val="Arc_features3"/>
      <sheetName val="rcc(_sub)3"/>
      <sheetName val="APP_S_CONT_(2)5"/>
      <sheetName val="APP_S_CONT5"/>
      <sheetName val="Mobile_Micro_4"/>
      <sheetName val="Break_up_Sheet4"/>
      <sheetName val="003_03_qcs4"/>
      <sheetName val="retaining_wall_(2)4"/>
      <sheetName val="Block_02,_Staircace_&amp;_lift_hea4"/>
      <sheetName val="Arc_features4"/>
      <sheetName val="rcc(_sub)4"/>
      <sheetName val="Arc_features5"/>
      <sheetName val="rcc(_sub)5"/>
      <sheetName val="lintels Costing "/>
      <sheetName val="Lintels Estimation"/>
      <sheetName val="SPT vs PHI"/>
      <sheetName val="Sheet1"/>
      <sheetName val="APP_S_CONT_(2)7"/>
      <sheetName val="APP_S_CONT7"/>
      <sheetName val="Mobile_Micro_6"/>
      <sheetName val="Break_up_Sheet6"/>
      <sheetName val="003_03_qcs6"/>
      <sheetName val="retaining_wall_(2)6"/>
      <sheetName val="Block_02,_Staircace_&amp;_lift_hea6"/>
      <sheetName val="Arc_features6"/>
      <sheetName val="rcc(_sub)6"/>
      <sheetName val="lintels_Costing_"/>
      <sheetName val="Lintels_Estimation"/>
      <sheetName val="SPT_vs_PHI"/>
      <sheetName val="Balance Sheet "/>
      <sheetName val="Staff Acco."/>
      <sheetName val="Elect."/>
      <sheetName val="Rate analysis"/>
      <sheetName val="comp(lau to det) 26.11.12"/>
      <sheetName val="Main Villa-Walls"/>
      <sheetName val="BOQ"/>
      <sheetName val="Beam at Ground flr lvl(Steel)"/>
      <sheetName val="intr stool brkup"/>
      <sheetName val="MD REVIEW"/>
      <sheetName val="Data Input"/>
      <sheetName val="Bar.Sched"/>
      <sheetName val="Comparison"/>
      <sheetName val="COST"/>
      <sheetName val="GR.slab-reinft"/>
      <sheetName val="Meas.-Hotel Part"/>
      <sheetName val="A-General"/>
      <sheetName val="APP_S_CONT_(2)8"/>
      <sheetName val="APP_S_CONT8"/>
      <sheetName val="Mobile_Micro_7"/>
      <sheetName val="Break_up_Sheet7"/>
      <sheetName val="rcc(_sub)7"/>
      <sheetName val="retaining_wall_(2)7"/>
      <sheetName val="003_03_qcs7"/>
      <sheetName val="Block_02,_Staircace_&amp;_lift_hea7"/>
      <sheetName val="Arc_features7"/>
      <sheetName val="lintels_Costing_1"/>
      <sheetName val="Lintels_Estimation1"/>
      <sheetName val="SPT_vs_PHI1"/>
      <sheetName val="Balance_Sheet_"/>
      <sheetName val="Staff_Acco_"/>
      <sheetName val="Elect_"/>
      <sheetName val="Rate_analysis"/>
      <sheetName val="comp(lau_to_det)_26_11_12"/>
      <sheetName val="Main_Villa-Walls"/>
      <sheetName val="Beam_at_Ground_flr_lvl(Steel)"/>
      <sheetName val="intr_stool_brkup"/>
      <sheetName val="MD_REVIEW"/>
      <sheetName val="Data_Input"/>
      <sheetName val="Bar_Sched"/>
      <sheetName val="GR_slab-reinft"/>
      <sheetName val="Meas_-Hotel_Part"/>
      <sheetName val="APP_S_CONT_(2)11"/>
      <sheetName val="APP_S_CONT11"/>
      <sheetName val="Mobile_Micro_10"/>
      <sheetName val="Break_up_Sheet10"/>
      <sheetName val="rcc(_sub)10"/>
      <sheetName val="retaining_wall_(2)10"/>
      <sheetName val="003_03_qcs10"/>
      <sheetName val="Block_02,_Staircace_&amp;_lift_he10"/>
      <sheetName val="Arc_features10"/>
      <sheetName val="lintels_Costing_4"/>
      <sheetName val="Lintels_Estimation4"/>
      <sheetName val="SPT_vs_PHI4"/>
      <sheetName val="Balance_Sheet_3"/>
      <sheetName val="Staff_Acco_3"/>
      <sheetName val="Elect_3"/>
      <sheetName val="Rate_analysis3"/>
      <sheetName val="comp(lau_to_det)_26_11_123"/>
      <sheetName val="Main_Villa-Walls3"/>
      <sheetName val="Beam_at_Ground_flr_lvl(Steel)3"/>
      <sheetName val="intr_stool_brkup3"/>
      <sheetName val="MD_REVIEW3"/>
      <sheetName val="Data_Input3"/>
      <sheetName val="Bar_Sched3"/>
      <sheetName val="GR_slab-reinft3"/>
      <sheetName val="Meas_-Hotel_Part3"/>
      <sheetName val="APP_S_CONT_(2)10"/>
      <sheetName val="APP_S_CONT10"/>
      <sheetName val="Mobile_Micro_9"/>
      <sheetName val="Break_up_Sheet9"/>
      <sheetName val="rcc(_sub)9"/>
      <sheetName val="retaining_wall_(2)9"/>
      <sheetName val="003_03_qcs9"/>
      <sheetName val="Block_02,_Staircace_&amp;_lift_hea9"/>
      <sheetName val="Arc_features9"/>
      <sheetName val="lintels_Costing_3"/>
      <sheetName val="Lintels_Estimation3"/>
      <sheetName val="SPT_vs_PHI3"/>
      <sheetName val="Balance_Sheet_2"/>
      <sheetName val="Staff_Acco_2"/>
      <sheetName val="Elect_2"/>
      <sheetName val="Rate_analysis2"/>
      <sheetName val="comp(lau_to_det)_26_11_122"/>
      <sheetName val="Main_Villa-Walls2"/>
      <sheetName val="Beam_at_Ground_flr_lvl(Steel)2"/>
      <sheetName val="intr_stool_brkup2"/>
      <sheetName val="MD_REVIEW2"/>
      <sheetName val="Data_Input2"/>
      <sheetName val="Bar_Sched2"/>
      <sheetName val="GR_slab-reinft2"/>
      <sheetName val="Meas_-Hotel_Part2"/>
      <sheetName val="APP_S_CONT_(2)9"/>
      <sheetName val="APP_S_CONT9"/>
      <sheetName val="Mobile_Micro_8"/>
      <sheetName val="Break_up_Sheet8"/>
      <sheetName val="rcc(_sub)8"/>
      <sheetName val="retaining_wall_(2)8"/>
      <sheetName val="003_03_qcs8"/>
      <sheetName val="Block_02,_Staircace_&amp;_lift_hea8"/>
      <sheetName val="Arc_features8"/>
      <sheetName val="lintels_Costing_2"/>
      <sheetName val="Lintels_Estimation2"/>
      <sheetName val="SPT_vs_PHI2"/>
      <sheetName val="Balance_Sheet_1"/>
      <sheetName val="Staff_Acco_1"/>
      <sheetName val="Elect_1"/>
      <sheetName val="Rate_analysis1"/>
      <sheetName val="comp(lau_to_det)_26_11_121"/>
      <sheetName val="Main_Villa-Walls1"/>
      <sheetName val="Beam_at_Ground_flr_lvl(Steel)1"/>
      <sheetName val="intr_stool_brkup1"/>
      <sheetName val="MD_REVIEW1"/>
      <sheetName val="Data_Input1"/>
      <sheetName val="Bar_Sched1"/>
      <sheetName val="GR_slab-reinft1"/>
      <sheetName val="Meas_-Hotel_Part1"/>
      <sheetName val="Bill 1"/>
      <sheetName val="Bill 2"/>
      <sheetName val="Bill 3"/>
      <sheetName val="Bill 4"/>
      <sheetName val="Bill 5"/>
      <sheetName val="Bill 6"/>
      <sheetName val="Bill 7"/>
      <sheetName val="MECH-1"/>
      <sheetName val="piling V"/>
      <sheetName val="EEV(Prilim)"/>
      <sheetName val="Building - 4"/>
      <sheetName val="SCHD OF OPENING"/>
      <sheetName val="piling_V"/>
      <sheetName val="Building_-_4"/>
      <sheetName val="SCHD_OF_OPENING"/>
      <sheetName val="Bill_1"/>
      <sheetName val="Bill_2"/>
      <sheetName val="Bill_3"/>
      <sheetName val="Bill_4"/>
      <sheetName val="Bill_5"/>
      <sheetName val="Bill_6"/>
      <sheetName val="Bill_7"/>
      <sheetName val="piling_V1"/>
      <sheetName val="Building_-_41"/>
      <sheetName val="SCHD_OF_OPENING1"/>
      <sheetName val="Bill_11"/>
      <sheetName val="Bill_21"/>
      <sheetName val="Bill_31"/>
      <sheetName val="Bill_41"/>
      <sheetName val="Bill_51"/>
      <sheetName val="Bill_61"/>
      <sheetName val="Bill_71"/>
      <sheetName val="Sheet9"/>
      <sheetName val="Bill_12"/>
      <sheetName val="Bill_22"/>
      <sheetName val="Bill_32"/>
      <sheetName val="Bill_42"/>
      <sheetName val="Bill_52"/>
      <sheetName val="Bill_62"/>
      <sheetName val="Bill_72"/>
      <sheetName val="piling_V2"/>
      <sheetName val="Building_-_42"/>
      <sheetName val="SCHD_OF_OPENING2"/>
      <sheetName val="analysis"/>
    </sheetNames>
    <definedNames>
      <definedName name="_______________b1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Precalculation"/>
      <sheetName val="Labor_abs-PW"/>
      <sheetName val="Labor_abs-NMR"/>
      <sheetName val="BS Schedules"/>
      <sheetName val="Staff Acco."/>
      <sheetName val="Break up Sheet"/>
      <sheetName val="std"/>
      <sheetName val="Slab"/>
      <sheetName val="Labor_abs-PW6"/>
      <sheetName val="Labor_abs-NMR6"/>
      <sheetName val="BS_Schedules5"/>
      <sheetName val="Staff_Acco_5"/>
      <sheetName val="Break_up_Sheet5"/>
      <sheetName val="Labor_abs-PW4"/>
      <sheetName val="Labor_abs-NMR4"/>
      <sheetName val="BS_Schedules3"/>
      <sheetName val="Staff_Acco_3"/>
      <sheetName val="Labor_abs-PW3"/>
      <sheetName val="Labor_abs-NMR3"/>
      <sheetName val="BS_Schedules2"/>
      <sheetName val="Break_up_Sheet2"/>
      <sheetName val="Staff_Acco_2"/>
      <sheetName val="Labor_abs-PW1"/>
      <sheetName val="Labor_abs-NMR1"/>
      <sheetName val="BS_Schedules"/>
      <sheetName val="Break_up_Sheet"/>
      <sheetName val="Staff_Acco_"/>
      <sheetName val="Labor_abs-PW2"/>
      <sheetName val="Labor_abs-NMR2"/>
      <sheetName val="BS_Schedules1"/>
      <sheetName val="Break_up_Sheet1"/>
      <sheetName val="Staff_Acco_1"/>
      <sheetName val="Break_up_Sheet3"/>
      <sheetName val="Labor_abs-PW5"/>
      <sheetName val="Labor_abs-NMR5"/>
      <sheetName val="BS_Schedules4"/>
      <sheetName val="Break_up_Sheet4"/>
      <sheetName val="Staff_Acco_4"/>
      <sheetName val="Rate analysis"/>
      <sheetName val="NC"/>
      <sheetName val="Labor_abs-PW7"/>
      <sheetName val="Labor_abs-NMR7"/>
      <sheetName val="BS_Schedules6"/>
      <sheetName val="Staff_Acco_6"/>
      <sheetName val="Break_up_Sheet6"/>
      <sheetName val="Cost summary"/>
      <sheetName val="labour coeff"/>
      <sheetName val="RA-markate"/>
      <sheetName val="Sheet1"/>
      <sheetName val="Boq"/>
      <sheetName val="IO LIST"/>
      <sheetName val="basic-data"/>
      <sheetName val="mem-property"/>
      <sheetName val="Boq Block A"/>
      <sheetName val="RES-PLANNING"/>
      <sheetName val="Civil Boq"/>
      <sheetName val="Intro"/>
      <sheetName val="A-General"/>
      <sheetName val="Names&amp;Cases"/>
      <sheetName val="CABLE DATA"/>
      <sheetName val="CERTIFICATE"/>
      <sheetName val="CABLE_DATA"/>
      <sheetName val="CABLE_DATA1"/>
      <sheetName val="CABLE_DATA2"/>
      <sheetName val="Loads"/>
      <sheetName val="CCTV_EST1"/>
      <sheetName val="TBAL9697 -group wise  sdpl"/>
      <sheetName val="PR Standards Technopark"/>
      <sheetName val="Labor_abs-PW8"/>
      <sheetName val="Labor_abs-NMR8"/>
      <sheetName val="BS_Schedules7"/>
      <sheetName val="Staff_Acco_7"/>
      <sheetName val="Break_up_Sheet7"/>
      <sheetName val="Rate_analysis"/>
      <sheetName val="labour_coeff"/>
      <sheetName val="IO_LIST"/>
      <sheetName val="Boq_Block_A"/>
      <sheetName val="Civil_Boq"/>
      <sheetName val="Cost_summary"/>
      <sheetName val="CABLE_DATA3"/>
      <sheetName val="TBAL9697_-group_wise__sdpl"/>
      <sheetName val="PR_Standards_Technopark"/>
      <sheetName val="rcc( sub)"/>
      <sheetName val="Labor_abs-PW11"/>
      <sheetName val="Labor_abs-NMR11"/>
      <sheetName val="BS_Schedules10"/>
      <sheetName val="Staff_Acco_10"/>
      <sheetName val="Break_up_Sheet10"/>
      <sheetName val="Rate_analysis3"/>
      <sheetName val="labour_coeff3"/>
      <sheetName val="IO_LIST3"/>
      <sheetName val="Boq_Block_A3"/>
      <sheetName val="Civil_Boq3"/>
      <sheetName val="Cost_summary3"/>
      <sheetName val="CABLE_DATA6"/>
      <sheetName val="TBAL9697_-group_wise__sdpl3"/>
      <sheetName val="PR_Standards_Technopark3"/>
      <sheetName val="Labor_abs-PW10"/>
      <sheetName val="Labor_abs-NMR10"/>
      <sheetName val="BS_Schedules9"/>
      <sheetName val="Staff_Acco_9"/>
      <sheetName val="Break_up_Sheet9"/>
      <sheetName val="Rate_analysis2"/>
      <sheetName val="labour_coeff2"/>
      <sheetName val="IO_LIST2"/>
      <sheetName val="Boq_Block_A2"/>
      <sheetName val="Civil_Boq2"/>
      <sheetName val="Cost_summary2"/>
      <sheetName val="CABLE_DATA5"/>
      <sheetName val="TBAL9697_-group_wise__sdpl2"/>
      <sheetName val="PR_Standards_Technopark2"/>
      <sheetName val="Labor_abs-PW9"/>
      <sheetName val="Labor_abs-NMR9"/>
      <sheetName val="BS_Schedules8"/>
      <sheetName val="Staff_Acco_8"/>
      <sheetName val="Break_up_Sheet8"/>
      <sheetName val="Rate_analysis1"/>
      <sheetName val="labour_coeff1"/>
      <sheetName val="IO_LIST1"/>
      <sheetName val="Boq_Block_A1"/>
      <sheetName val="Civil_Boq1"/>
      <sheetName val="Cost_summary1"/>
      <sheetName val="CABLE_DATA4"/>
      <sheetName val="TBAL9697_-group_wise__sdpl1"/>
      <sheetName val="PR_Standards_Technopark1"/>
      <sheetName val="DETAILED  BOQ"/>
      <sheetName val="COLUMN"/>
      <sheetName val="Voucher"/>
      <sheetName val="old boq"/>
      <sheetName val="p&amp;m"/>
      <sheetName val="upa"/>
      <sheetName val="232V-010"/>
      <sheetName val="factors"/>
      <sheetName val="final abstract"/>
      <sheetName val="10"/>
      <sheetName val="11"/>
      <sheetName val="12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CO_budzet_97"/>
    </sheetNames>
    <sheetDataSet>
      <sheetData sheetId="0"/>
      <sheetData sheetId="1"/>
      <sheetData sheetId="2" refreshError="1">
        <row r="2">
          <cell r="B2" t="str">
            <v>LABOUR BILL ITEMWISE ABSTRACT - PW</v>
          </cell>
        </row>
        <row r="20">
          <cell r="C20" t="str">
            <v>Cover</v>
          </cell>
        </row>
      </sheetData>
      <sheetData sheetId="3" refreshError="1"/>
      <sheetData sheetId="4">
        <row r="2">
          <cell r="B2" t="str">
            <v>LABOUR BILL ITEMWISE ABSTRACT - PW</v>
          </cell>
        </row>
      </sheetData>
      <sheetData sheetId="5">
        <row r="2">
          <cell r="B2" t="str">
            <v>LABOUR BILL ITEMWISE ABSTRACT - PW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LABOUR BILL ITEMWISE ABSTRACT - PW</v>
          </cell>
        </row>
      </sheetData>
      <sheetData sheetId="20">
        <row r="2">
          <cell r="B2" t="str">
            <v>LABOUR BILL ITEMWISE ABSTRACT - PW</v>
          </cell>
        </row>
      </sheetData>
      <sheetData sheetId="21">
        <row r="2">
          <cell r="B2" t="str">
            <v>LABOUR BILL ITEMWISE ABSTRACT - PW</v>
          </cell>
        </row>
      </sheetData>
      <sheetData sheetId="22">
        <row r="2">
          <cell r="B2" t="str">
            <v>LABOUR BILL ITEMWISE ABSTRACT - PW</v>
          </cell>
        </row>
      </sheetData>
      <sheetData sheetId="23"/>
      <sheetData sheetId="24"/>
      <sheetData sheetId="25">
        <row r="2">
          <cell r="B2" t="str">
            <v>LABOUR BILL ITEMWISE ABSTRACT - PW</v>
          </cell>
        </row>
      </sheetData>
      <sheetData sheetId="26">
        <row r="2">
          <cell r="B2" t="str">
            <v>LABOUR BILL ITEMWISE ABSTRACT - PW</v>
          </cell>
        </row>
      </sheetData>
      <sheetData sheetId="27"/>
      <sheetData sheetId="28"/>
      <sheetData sheetId="29"/>
      <sheetData sheetId="30"/>
      <sheetData sheetId="31">
        <row r="2">
          <cell r="B2" t="str">
            <v>LABOUR BILL ITEMWISE ABSTRACT - PW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>
        <row r="2">
          <cell r="B2" t="str">
            <v>LABOUR BILL ITEMWISE ABSTRACT - PW</v>
          </cell>
        </row>
      </sheetData>
      <sheetData sheetId="44">
        <row r="2">
          <cell r="B2" t="str">
            <v>LABOUR BILL ITEMWISE ABSTRACT - PW</v>
          </cell>
        </row>
      </sheetData>
      <sheetData sheetId="45">
        <row r="2">
          <cell r="B2" t="str">
            <v>LABOUR BILL ITEMWISE ABSTRACT - PW</v>
          </cell>
        </row>
      </sheetData>
      <sheetData sheetId="46">
        <row r="2">
          <cell r="B2" t="str">
            <v>LABOUR BILL ITEMWISE ABSTRACT - PW</v>
          </cell>
        </row>
      </sheetData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>
        <row r="2">
          <cell r="B2" t="str">
            <v>LABOUR BILL ITEMWISE ABSTRACT - PW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>
        <row r="2">
          <cell r="B2" t="str">
            <v>LABOUR BILL ITEMWISE ABSTRACT - PW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an maint"/>
      <sheetName val="coimbatore"/>
      <sheetName val="PRASAD"/>
      <sheetName val="paipay"/>
      <sheetName val="MIS"/>
      <sheetName val="CRtbobpljuly"/>
      <sheetName val="TBOBPLJul98"/>
      <sheetName val="CORPN OCT"/>
      <sheetName val="inout consol-nov"/>
      <sheetName val="inout consol (2)"/>
      <sheetName val="AS ON DT EXPS Mar"/>
      <sheetName val="J_fix asst"/>
      <sheetName val="J_fix asst sdpl"/>
      <sheetName val="f a_obpl"/>
      <sheetName val="J_fix asst obpl"/>
      <sheetName val="J_fix asst scc"/>
      <sheetName val="J_fix asst ripl"/>
      <sheetName val="fa-pl &amp; mach-site"/>
      <sheetName val="fa-veh"/>
      <sheetName val="fa_off eqp"/>
      <sheetName val="fa_fur&amp; fix"/>
      <sheetName val="fa_comp"/>
      <sheetName val="omantopaz"/>
      <sheetName val="I_Con WIP (2)"/>
      <sheetName val="TBAL9596 -IIIIRUN"/>
      <sheetName val="TBCRSsdpl July98"/>
      <sheetName val="TBSDPLJuly98"/>
      <sheetName val="G-1"/>
      <sheetName val="Other Proj Schdl"/>
      <sheetName val="OT CLIENTS"/>
      <sheetName val="inout consol July 98"/>
      <sheetName val="consol flow"/>
      <sheetName val="A_EQUITY-OBPL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G-1_sdpl_work"/>
      <sheetName val="G_1_obpl_Work"/>
      <sheetName val="sdpl_oth Liab"/>
      <sheetName val="obpl-oth liab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TBCRSSdplmar98"/>
      <sheetName val="TB9798OBPL07"/>
      <sheetName val="D_Loan  Prom"/>
      <sheetName val="E_Bank Loan"/>
      <sheetName val="F_Adv-Client"/>
      <sheetName val="G_work Cap "/>
      <sheetName val="H_land adv"/>
      <sheetName val="detai Wip 2"/>
      <sheetName val="detai Wip I "/>
      <sheetName val="WIP"/>
      <sheetName val="J_Con WIP"/>
      <sheetName val="K_L_Oth Co "/>
      <sheetName val="fix asst_Obpl"/>
      <sheetName val="fixass-scc-obpl"/>
      <sheetName val="TBAL9697 _group wise  sdpl"/>
      <sheetName val="[sept98.xlsUomantopaz"/>
      <sheetName val="TBS_x0004_PLJuly98"/>
      <sheetName val="[sept98.xls_x001d_B_Sheet 97"/>
      <sheetName val="_sept98.xlsUomantopaz"/>
      <sheetName val="_sept98.xls_x001d_B_Sheet 97"/>
      <sheetName val="TBS_x005f_x0004_PLJuly98"/>
      <sheetName val="_sept98.xls_x005f_x001d_B_Sheet 97"/>
      <sheetName val="Boq"/>
      <sheetName val="CODE"/>
      <sheetName val="Design"/>
      <sheetName val="PRECAST lightconc-II"/>
      <sheetName val="[sept98.xls_x005f_x001d_B_Sheet 97"/>
      <sheetName val="TBS_x005f_x005f_x005f_x0004_PLJuly98"/>
      <sheetName val="_sept98.xls_x005f_x005f_x005f_x001d_B_Sheet"/>
      <sheetName val="[sept98.xls_x005f_x005f_x005f_x001d_B_Sheet"/>
      <sheetName val="Staff Acco."/>
      <sheetName val="SITE OVERHEADS"/>
      <sheetName val="Data"/>
      <sheetName val="salestax9697-t_x0000_"/>
      <sheetName val="crs -G-1_x001a__x0000__x0000_TBAL9697 -group wise"/>
      <sheetName val="salestax9697-t?"/>
      <sheetName val="crs -G-1_x001a_??TBAL9697 -group wise"/>
      <sheetName val="Sheet1"/>
      <sheetName val="Boq Block A"/>
      <sheetName val="Project Details.."/>
      <sheetName val="[sept98.xls࡝sdpl_oth Liab"/>
      <sheetName val="RCC,Ret. Wall"/>
      <sheetName val="scurve calc (2)"/>
      <sheetName val="LIST OF MAKES"/>
      <sheetName val="PULSATOR"/>
      <sheetName val="Precalculation"/>
      <sheetName val="Sheet3"/>
      <sheetName val="_sept98.xls࡝sdpl_oth Liab"/>
      <sheetName val="salestax9697-t"/>
      <sheetName val="crs -G-1_x001a_"/>
      <sheetName val="salestax9697-t_"/>
      <sheetName val="crs -G-1_x001a___TBAL9697 -group wise"/>
      <sheetName val="TBS_x005f_x005f_x005f_x005f_x005f_x005f_x005f_x0004_PLJ"/>
      <sheetName val="_sept98.xls_x005f_x005f_x005f_x005f_x005f_x005f_x"/>
      <sheetName val="salestax9697-t_x005f_x0000_"/>
      <sheetName val="crs -G-1_x005f_x001a__x005f_x0000__x005f_x0000_TB"/>
      <sheetName val="crs -G-1_x005f_x001a___TBAL9697 -grou"/>
      <sheetName val="final abstract"/>
      <sheetName val="TOS-F"/>
      <sheetName val="key dates"/>
      <sheetName val="Actuals"/>
      <sheetName val="col-reinft1"/>
      <sheetName val="#REF!"/>
      <sheetName val="Labor abs-NMR"/>
      <sheetName val="costing"/>
      <sheetName val="Fin Sum"/>
      <sheetName val="ROH"/>
      <sheetName val="oman_maint"/>
      <sheetName val="CORPN_OCT"/>
      <sheetName val="inout_consol-nov"/>
      <sheetName val="inout_consol_(2)"/>
      <sheetName val="AS_ON_DT_EXPS_Mar"/>
      <sheetName val="J_fix_asst"/>
      <sheetName val="J_fix_asst_sdpl"/>
      <sheetName val="f_a_obpl"/>
      <sheetName val="J_fix_asst_obpl"/>
      <sheetName val="J_fix_asst_scc"/>
      <sheetName val="J_fix_asst_ripl"/>
      <sheetName val="fa-pl_&amp;_mach-site"/>
      <sheetName val="fa_off_eqp"/>
      <sheetName val="fa_fur&amp;_fix"/>
      <sheetName val="I_Con_WIP_(2)"/>
      <sheetName val="TBAL9596_-IIIIRUN"/>
      <sheetName val="TBCRSsdpl_July98"/>
      <sheetName val="Other_Proj_Schdl"/>
      <sheetName val="OT_CLIENTS"/>
      <sheetName val="inout_consol_July_98"/>
      <sheetName val="consol_flow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D_Loan__Prom"/>
      <sheetName val="E_Bank_Loan"/>
      <sheetName val="G_work_Cap_"/>
      <sheetName val="H_land_adv"/>
      <sheetName val="detai_Wip_2"/>
      <sheetName val="detai_Wip_I_"/>
      <sheetName val="J_Con_WIP"/>
      <sheetName val="K_L_Oth_Co_"/>
      <sheetName val="fix_asst_Obpl"/>
      <sheetName val="TBAL9697__group_wise__sdp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Customize Your Purchase Order"/>
      <sheetName val="factors"/>
      <sheetName val="3MLKQ"/>
      <sheetName val="_sept98.xls_x005f_x001d_B_Sheet"/>
      <sheetName val="TBS_x005f_x005f_x005f_x0004_PLJ"/>
      <sheetName val="crs -G-1_x001a__x0000__x0000_TB"/>
      <sheetName val="crs -G-1_x001a___TBAL9697 -grou"/>
      <sheetName val="_sept98.xls_x005f_x005f_x"/>
      <sheetName val="[sept98_xlsUomantopaz"/>
      <sheetName val="[sept98_xlsB_Sheet_97"/>
      <sheetName val="_sept98_xlsUomantopaz"/>
      <sheetName val="_sept98_xlsB_Sheet_97"/>
      <sheetName val="_sept98_xls_x005f_x001d_B_Sheet_97"/>
      <sheetName val="[sept98_xls_x005f_x001d_B_Sheet_97"/>
      <sheetName val="PRECAST_lightconc-II"/>
      <sheetName val="TBSPLJuly98"/>
      <sheetName val="총괄표"/>
      <sheetName val="Control"/>
      <sheetName val="p&amp;m"/>
      <sheetName val="oman_maint1"/>
      <sheetName val="CORPN_OCT1"/>
      <sheetName val="inout_consol-nov1"/>
      <sheetName val="inout_consol_(2)1"/>
      <sheetName val="AS_ON_DT_EXPS_Mar1"/>
      <sheetName val="J_fix_asst1"/>
      <sheetName val="J_fix_asst_sdpl1"/>
      <sheetName val="f_a_obpl1"/>
      <sheetName val="J_fix_asst_obpl1"/>
      <sheetName val="J_fix_asst_scc1"/>
      <sheetName val="J_fix_asst_ripl1"/>
      <sheetName val="fa-pl_&amp;_mach-site1"/>
      <sheetName val="fa_off_eqp1"/>
      <sheetName val="fa_fur&amp;_fix1"/>
      <sheetName val="I_Con_WIP_(2)1"/>
      <sheetName val="TBAL9596_-IIIIRUN1"/>
      <sheetName val="TBCRSsdpl_July981"/>
      <sheetName val="Other_Proj_Schdl1"/>
      <sheetName val="OT_CLIENTS1"/>
      <sheetName val="inout_consol_July_981"/>
      <sheetName val="consol_flow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D_Loan__Prom1"/>
      <sheetName val="E_Bank_Loan1"/>
      <sheetName val="G_work_Cap_1"/>
      <sheetName val="H_land_adv1"/>
      <sheetName val="detai_Wip_21"/>
      <sheetName val="detai_Wip_I_1"/>
      <sheetName val="J_Con_WIP1"/>
      <sheetName val="K_L_Oth_Co_1"/>
      <sheetName val="fix_asst_Obpl1"/>
      <sheetName val="TBAL9697__group_wise__sdpl1"/>
      <sheetName val="[sept98_xlsUomantopaz1"/>
      <sheetName val="_sept98_xlsUomantopaz1"/>
      <sheetName val="_sept98_xls_x005f_x001d_B_Sheet_971"/>
      <sheetName val="PRECAST_lightconc-II1"/>
      <sheetName val="[sept98_xls_x005f_x001d_B_Sheet_971"/>
      <sheetName val="_sept98_xls_x005f_x005f_x005f_x001d_B_Sheet"/>
      <sheetName val="[sept98_xls_x005f_x005f_x005f_x001d_B_Sheet"/>
      <sheetName val="Staff_Acco_"/>
      <sheetName val="SITE_OVERHEADS"/>
      <sheetName val="crs_-G-1TBAL9697_-group_wise"/>
      <sheetName val="crs_-G-1??TBAL9697_-group_wise"/>
      <sheetName val="Boq_Block_A"/>
      <sheetName val="Project_Details__"/>
      <sheetName val="[sept98_xls࡝sdpl_oth_Liab"/>
      <sheetName val="RCC,Ret__Wall"/>
      <sheetName val="scurve_calc_(2)"/>
      <sheetName val="LIST_OF_MAKES"/>
      <sheetName val="_sept98_xls࡝sdpl_oth_Liab"/>
      <sheetName val="crs_-G-1__TBAL9697_-group_wise"/>
      <sheetName val="_sept98_xls_x005f_x005f_x005f_x005f_x005f_x005f_x"/>
      <sheetName val="crs_-G-1_x005f_x001a__x005f_x0000__x005f_x0000_TB"/>
      <sheetName val="crs_-G-1_x005f_x001a___TBAL9697_-grou"/>
      <sheetName val="final_abstract"/>
      <sheetName val="key_dates"/>
      <sheetName val="Labor_abs-NMR"/>
      <sheetName val="Fin_Sum"/>
      <sheetName val="Customize_Your_Purchase_Order"/>
      <sheetName val="_sept98_xls_x005f_x001d_B_Sheet"/>
      <sheetName val="crs_-G-1TB"/>
      <sheetName val="crs_-G-1__TBAL9697_-grou"/>
      <sheetName val="_sept98_xls_x005f_x005f_x"/>
      <sheetName val="INPUT SHEET"/>
      <sheetName val="DETAILED  BOQ"/>
      <sheetName val="acevsSp (ABC)"/>
      <sheetName val="MASTER_RATE ANALYSIS"/>
      <sheetName val="BEAM INPUT"/>
      <sheetName val="STD"/>
      <sheetName val="LTG-STG"/>
      <sheetName val="Plinth beam"/>
      <sheetName val="_sept98_xls_x001d_B_Sheet_97"/>
      <sheetName val="Direct Cost"/>
      <sheetName val="oman_maint17"/>
      <sheetName val="CORPN_OCT16"/>
      <sheetName val="inout_consol-nov16"/>
      <sheetName val="inout_consol_(2)16"/>
      <sheetName val="AS_ON_DT_EXPS_Mar16"/>
      <sheetName val="J_fix_asst16"/>
      <sheetName val="J_fix_asst_sdpl16"/>
      <sheetName val="f_a_obpl16"/>
      <sheetName val="J_fix_asst_obpl16"/>
      <sheetName val="J_fix_asst_scc16"/>
      <sheetName val="J_fix_asst_ripl16"/>
      <sheetName val="fa-pl_&amp;_mach-site16"/>
      <sheetName val="fa_off_eqp16"/>
      <sheetName val="fa_fur&amp;_fix16"/>
      <sheetName val="I_Con_WIP_(2)16"/>
      <sheetName val="TBAL9596_-IIIIRUN16"/>
      <sheetName val="TBCRSsdpl_July9816"/>
      <sheetName val="Other_Proj_Schdl16"/>
      <sheetName val="OT_CLIENTS16"/>
      <sheetName val="inout_consol_July_9816"/>
      <sheetName val="consol_flow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D_Loan__Prom16"/>
      <sheetName val="E_Bank_Loan16"/>
      <sheetName val="G_work_Cap_16"/>
      <sheetName val="H_land_adv16"/>
      <sheetName val="detai_Wip_216"/>
      <sheetName val="detai_Wip_I_16"/>
      <sheetName val="J_Con_WIP16"/>
      <sheetName val="K_L_Oth_Co_16"/>
      <sheetName val="fix_asst_Obpl16"/>
      <sheetName val="TBAL9697__group_wise__sdpl16"/>
      <sheetName val="_sept98_xlsUomantopaz13"/>
      <sheetName val="[sept98_xlsUomantopaz13"/>
      <sheetName val="_sept98_xls_x005f_x001d_B_Sheet_9713"/>
      <sheetName val="[sept98_xls_x005f_x001d_B_Sheet_9713"/>
      <sheetName val="PRECAST_lightconc-II13"/>
      <sheetName val="oman_maint9"/>
      <sheetName val="CORPN_OCT9"/>
      <sheetName val="inout_consol-nov9"/>
      <sheetName val="inout_consol_(2)9"/>
      <sheetName val="AS_ON_DT_EXPS_Mar9"/>
      <sheetName val="J_fix_asst9"/>
      <sheetName val="J_fix_asst_sdpl9"/>
      <sheetName val="f_a_obpl9"/>
      <sheetName val="J_fix_asst_obpl9"/>
      <sheetName val="J_fix_asst_scc9"/>
      <sheetName val="J_fix_asst_ripl9"/>
      <sheetName val="fa-pl_&amp;_mach-site9"/>
      <sheetName val="fa_off_eqp9"/>
      <sheetName val="fa_fur&amp;_fix9"/>
      <sheetName val="I_Con_WIP_(2)9"/>
      <sheetName val="TBAL9596_-IIIIRUN9"/>
      <sheetName val="TBCRSsdpl_July989"/>
      <sheetName val="Other_Proj_Schdl9"/>
      <sheetName val="OT_CLIENTS9"/>
      <sheetName val="inout_consol_July_989"/>
      <sheetName val="consol_flow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D_Loan__Prom9"/>
      <sheetName val="E_Bank_Loan9"/>
      <sheetName val="G_work_Cap_9"/>
      <sheetName val="H_land_adv9"/>
      <sheetName val="detai_Wip_29"/>
      <sheetName val="detai_Wip_I_9"/>
      <sheetName val="J_Con_WIP9"/>
      <sheetName val="K_L_Oth_Co_9"/>
      <sheetName val="fix_asst_Obpl9"/>
      <sheetName val="TBAL9697__group_wise__sdpl9"/>
      <sheetName val="_sept98_xlsUomantopaz7"/>
      <sheetName val="[sept98_xlsUomantopaz7"/>
      <sheetName val="_sept98_xls_x005f_x001d_B_Sheet_977"/>
      <sheetName val="Labels"/>
      <sheetName val="Cost_any"/>
      <sheetName val="IO LIST"/>
      <sheetName val="#REF"/>
      <sheetName val="[sept98_xls_x005f_x001d_B_Sheet_977"/>
      <sheetName val="PRECAST_lightconc-II7"/>
      <sheetName val="oman_maint2"/>
      <sheetName val="CORPN_OCT2"/>
      <sheetName val="Detail In Door Stad"/>
      <sheetName val="_sept98.xls_x001d_B_Sheet"/>
      <sheetName val="ABB"/>
      <sheetName val="GE"/>
      <sheetName val="_sept98.xls_x005f_x005f_x005f_x005f_x"/>
      <sheetName val="inout_consol-nov2"/>
      <sheetName val="inout_consol_(2)2"/>
      <sheetName val="AS_ON_DT_EXPS_Mar2"/>
      <sheetName val="J_fix_asst2"/>
      <sheetName val="J_fix_asst_sdpl2"/>
      <sheetName val="f_a_obpl2"/>
      <sheetName val="J_fix_asst_obpl2"/>
      <sheetName val="J_fix_asst_scc2"/>
      <sheetName val="J_fix_asst_ripl2"/>
      <sheetName val="fa-pl_&amp;_mach-site2"/>
      <sheetName val="fa_off_eqp2"/>
      <sheetName val="fa_fur&amp;_fix2"/>
      <sheetName val="I_Con_WIP_(2)2"/>
      <sheetName val="TBAL9596_-IIIIRUN2"/>
      <sheetName val="TBCRSsdpl_July982"/>
      <sheetName val="Other_Proj_Schdl2"/>
      <sheetName val="OT_CLIENTS2"/>
      <sheetName val="inout_consol_July_982"/>
      <sheetName val="consol_flow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D_Loan__Prom2"/>
      <sheetName val="E_Bank_Loan2"/>
      <sheetName val="G_work_Cap_2"/>
      <sheetName val="H_land_adv2"/>
      <sheetName val="detai_Wip_22"/>
      <sheetName val="detai_Wip_I_2"/>
      <sheetName val="Labor abs-PW"/>
      <sheetName val="Rate analysis"/>
      <sheetName val="Debits as on 12.04.08"/>
      <sheetName val="Basic Rates"/>
      <sheetName val="5"/>
      <sheetName val="1"/>
      <sheetName val="Detail"/>
      <sheetName val="Works - Quote Sheet"/>
      <sheetName val="Cashflow projection"/>
      <sheetName val="DetEst"/>
      <sheetName val="Labour"/>
      <sheetName val="CCTV_EST1"/>
      <sheetName val="220 11  BS "/>
      <sheetName val="GR.slab-reinft"/>
      <sheetName val="Assumption Inputs"/>
      <sheetName val="Build-up"/>
      <sheetName val="analysis"/>
      <sheetName val="J_Con_WIP2"/>
      <sheetName val="K_L_Oth_Co_2"/>
      <sheetName val="fix_asst_Obpl2"/>
      <sheetName val="TBAL9697__group_wise__sdpl2"/>
      <sheetName val="oman_maint3"/>
      <sheetName val="CORPN_OCT3"/>
      <sheetName val="inout_consol-nov3"/>
      <sheetName val="inout_consol_(2)3"/>
      <sheetName val="Summary_Bank"/>
      <sheetName val="AS_ON_DT_EXPS_Mar3"/>
      <sheetName val="J_fix_asst3"/>
      <sheetName val="J_fix_asst_sdpl3"/>
      <sheetName val="f_a_obpl3"/>
      <sheetName val="J_fix_asst_obpl3"/>
      <sheetName val="J_fix_asst_scc3"/>
      <sheetName val="J_fix_asst_ripl3"/>
      <sheetName val="fa-pl_&amp;_mach-site3"/>
      <sheetName val="fa_off_eqp3"/>
      <sheetName val="fa_fur&amp;_fix3"/>
      <sheetName val="I_Con_WIP_(2)3"/>
      <sheetName val="TBAL9596_-IIIIRUN3"/>
      <sheetName val="TBCRSsdpl_July983"/>
      <sheetName val="Other_Proj_Schdl3"/>
      <sheetName val="OT_CLIENTS3"/>
      <sheetName val="inout_consol_July_983"/>
      <sheetName val="consol_flow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D_Loan__Prom3"/>
      <sheetName val="E_Bank_Loan3"/>
      <sheetName val="G_work_Cap_3"/>
      <sheetName val="oman_maint24"/>
      <sheetName val="CORPN_OCT22"/>
      <sheetName val="inout_consol-nov22"/>
      <sheetName val="inout_consol_(2)22"/>
      <sheetName val="AS_ON_DT_EXPS_Mar22"/>
      <sheetName val="J_fix_asst22"/>
      <sheetName val="J_fix_asst_sdpl22"/>
      <sheetName val="f_a_obpl22"/>
      <sheetName val="J_fix_asst_obpl22"/>
      <sheetName val="J_fix_asst_scc22"/>
      <sheetName val="J_fix_asst_ripl22"/>
      <sheetName val="fa-pl_&amp;_mach-site22"/>
      <sheetName val="fa_off_eqp22"/>
      <sheetName val="fa_fur&amp;_fix22"/>
      <sheetName val="I_Con_WIP_(2)22"/>
      <sheetName val="TBAL9596_-IIIIRUN22"/>
      <sheetName val="TBCRSsdpl_July9822"/>
      <sheetName val="Other_Proj_Schdl22"/>
      <sheetName val="OT_CLIENTS22"/>
      <sheetName val="inout_consol_July_9822"/>
      <sheetName val="consol_flow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D_Loan__Prom22"/>
      <sheetName val="E_Bank_Loan22"/>
      <sheetName val="G_work_Cap_22"/>
      <sheetName val="H_land_adv22"/>
      <sheetName val="detai_Wip_222"/>
      <sheetName val="detai_Wip_I_22"/>
      <sheetName val="J_Con_WIP22"/>
      <sheetName val="K_L_Oth_Co_22"/>
      <sheetName val="fix_asst_Obpl22"/>
      <sheetName val="TBAL9697__group_wise__sdpl22"/>
      <sheetName val="_sept98_xlsUomantopaz18"/>
      <sheetName val="[sept98_xlsUomantopaz18"/>
      <sheetName val="_sept98_xls_x005f_x001d_B_Sheet_9718"/>
      <sheetName val="[sept98_xls_x005f_x001d_B_Sheet_9718"/>
      <sheetName val="PRECAST_lightconc-II18"/>
      <sheetName val="oman_maint22"/>
      <sheetName val="CORPN_OCT20"/>
      <sheetName val="inout_consol-nov20"/>
      <sheetName val="inout_consol_(2)20"/>
      <sheetName val="AS_ON_DT_EXPS_Mar20"/>
      <sheetName val="J_fix_asst20"/>
      <sheetName val="J_fix_asst_sdpl20"/>
      <sheetName val="f_a_obpl20"/>
      <sheetName val="J_fix_asst_obpl20"/>
      <sheetName val="J_fix_asst_scc20"/>
      <sheetName val="J_fix_asst_ripl20"/>
      <sheetName val="fa-pl_&amp;_mach-site20"/>
      <sheetName val="fa_off_eqp20"/>
      <sheetName val="fa_fur&amp;_fix20"/>
      <sheetName val="I_Con_WIP_(2)20"/>
      <sheetName val="TBAL9596_-IIIIRUN20"/>
      <sheetName val="TBCRSsdpl_July9820"/>
      <sheetName val="Other_Proj_Schdl20"/>
      <sheetName val="OT_CLIENTS20"/>
      <sheetName val="inout_consol_July_9820"/>
      <sheetName val="consol_flow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D_Loan__Prom20"/>
      <sheetName val="E_Bank_Loan20"/>
      <sheetName val="G_work_Cap_20"/>
      <sheetName val="H_land_adv20"/>
      <sheetName val="detai_Wip_220"/>
      <sheetName val="detai_Wip_I_20"/>
      <sheetName val="J_Con_WIP20"/>
      <sheetName val="K_L_Oth_Co_20"/>
      <sheetName val="fix_asst_Obpl20"/>
      <sheetName val="TBAL9697__group_wise__sdpl20"/>
      <sheetName val="_sept98_xlsUomantopaz16"/>
      <sheetName val="[sept98_xlsUomantopaz16"/>
      <sheetName val="_sept98_xls_x005f_x001d_B_Sheet_9716"/>
      <sheetName val="[sept98_xls_x005f_x001d_B_Sheet_9716"/>
      <sheetName val="PRECAST_lightconc-II16"/>
      <sheetName val="SPILL OVER"/>
      <sheetName val="GF Columns"/>
      <sheetName val="Rollup"/>
      <sheetName val="H_land_adv3"/>
      <sheetName val="detai_Wip_23"/>
      <sheetName val="detai_Wip_I_3"/>
      <sheetName val="J_Con_WIP3"/>
      <sheetName val="K_L_Oth_Co_3"/>
      <sheetName val="fix_asst_Obpl3"/>
      <sheetName val="TBAL9697__group_wise__sdpl3"/>
      <sheetName val="_sept98_xlsUomantopaz2"/>
      <sheetName val="[sept98_xlsUomantopaz2"/>
      <sheetName val="_sept98_xls_x005f_x001d_B_Sheet_972"/>
      <sheetName val="[sept98_xls_x005f_x001d_B_Sheet_972"/>
      <sheetName val="PRECAST_lightconc-II2"/>
      <sheetName val="KQ Cost Controlling"/>
      <sheetName val="KQ Appropriation"/>
      <sheetName val="oman_maint4"/>
      <sheetName val="CORPN_OCT4"/>
      <sheetName val="inout_consol-nov4"/>
      <sheetName val="inout_consol_(2)4"/>
      <sheetName val="AS_ON_DT_EXPS_Mar4"/>
      <sheetName val="J_fix_asst4"/>
      <sheetName val="J_fix_asst_sdpl4"/>
      <sheetName val="f_a_obpl4"/>
      <sheetName val="J_fix_asst_obpl4"/>
      <sheetName val="J_fix_asst_scc4"/>
      <sheetName val="J_fix_asst_ripl4"/>
      <sheetName val="fa-pl_&amp;_mach-site4"/>
      <sheetName val="fa_off_eqp4"/>
      <sheetName val="fa_fur&amp;_fix4"/>
      <sheetName val="I_Con_WIP_(2)4"/>
      <sheetName val="TBAL9596_-IIIIRUN4"/>
      <sheetName val="TBCRSsdpl_July984"/>
      <sheetName val="Other_Proj_Schdl4"/>
      <sheetName val="OT_CLIENTS4"/>
      <sheetName val="inout_consol_July_984"/>
      <sheetName val="consol_flow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BALAN1"/>
      <sheetName val="Reinforcement"/>
      <sheetName val="Pilling_24"/>
      <sheetName val="BFS"/>
      <sheetName val="Quotation"/>
      <sheetName val="TBS_x005f_x005f_x005f_x005f_x005f_x005f_x005f_x005f_x00"/>
      <sheetName val="경비공통"/>
      <sheetName val=""/>
      <sheetName val="_x0000_⒤"/>
      <sheetName val="_x0000_⒄"/>
      <sheetName val="_x0000_ⓤ"/>
      <sheetName val="_x0000_┤"/>
      <sheetName val="_x0000_╄"/>
      <sheetName val="_x0000_┄"/>
      <sheetName val="crs -G-1_x005f_x001a_"/>
      <sheetName val="Cash Flow Input Data_ISC"/>
      <sheetName val="Interface_SC"/>
      <sheetName val="Calc_ISC"/>
      <sheetName val="Calc_SC"/>
      <sheetName val="Interface_ISC"/>
      <sheetName val="GD"/>
      <sheetName val="CABLE DATA"/>
      <sheetName val="Config"/>
      <sheetName val="Break Dw"/>
      <sheetName val="Tender Summary"/>
      <sheetName val="SUMMARY"/>
      <sheetName val="RW1"/>
      <sheetName val="RW3"/>
      <sheetName val="RW4"/>
      <sheetName val="RW5"/>
      <sheetName val="RW7"/>
      <sheetName val="RW2"/>
      <sheetName val="RW6"/>
      <sheetName val="RA BILL (47-)"/>
      <sheetName val="oman_maint11"/>
      <sheetName val="CORPN_OCT11"/>
      <sheetName val="inout_consol-nov11"/>
      <sheetName val="inout_consol_(2)11"/>
      <sheetName val="AS_ON_DT_EXPS_Mar11"/>
      <sheetName val="J_fix_asst11"/>
      <sheetName val="J_fix_asst_sdpl11"/>
      <sheetName val="f_a_obpl11"/>
      <sheetName val="J_fix_asst_obpl11"/>
      <sheetName val="J_fix_asst_scc11"/>
      <sheetName val="J_fix_asst_ripl11"/>
      <sheetName val="fa-pl_&amp;_mach-site11"/>
      <sheetName val="fa_off_eqp11"/>
      <sheetName val="fa_fur&amp;_fix11"/>
      <sheetName val="I_Con_WIP_(2)11"/>
      <sheetName val="TBAL9596_-IIIIRUN11"/>
      <sheetName val="TBCRSsdpl_July9811"/>
      <sheetName val="Other_Proj_Schdl11"/>
      <sheetName val="OT_CLIENTS11"/>
      <sheetName val="inout_consol_July_9811"/>
      <sheetName val="consol_flow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0"/>
      <sheetName val="creditors_tb_obpl10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D_Loan__Prom10"/>
      <sheetName val="E_Bank_Loan10"/>
      <sheetName val="G_work_Cap_10"/>
      <sheetName val="H_land_adv10"/>
      <sheetName val="detai_Wip_210"/>
      <sheetName val="detai_Wip_I_10"/>
      <sheetName val="J_Con_WIP10"/>
      <sheetName val="K_L_Oth_Co_10"/>
      <sheetName val="fix_asst_Obpl10"/>
      <sheetName val="TBAL9697__group_wise__sdpl10"/>
      <sheetName val="[sept98_xlsUomantopaz9"/>
      <sheetName val="_sept98_xlsUomantopaz9"/>
      <sheetName val="_sept98_xlsB_Sheet_971"/>
      <sheetName val="_sept98_xls_x005f_x001d_B_Sheet_979"/>
      <sheetName val="PRECAST_lightconc-II9"/>
      <sheetName val="[sept98_xls_x005f_x001d_B_Sheet_979"/>
      <sheetName val="_sept98_xls_x005f_x005f_x005f_x001d_B_Shee6"/>
      <sheetName val="[sept98_xls_x005f_x005f_x005f_x001d_B_Shee6"/>
      <sheetName val="Staff_Acco_6"/>
      <sheetName val="SITE_OVERHEADS6"/>
      <sheetName val="Boq_Block_A6"/>
      <sheetName val="Project_Details__6"/>
      <sheetName val="[sept98_xls࡝sdpl_oth_Liab6"/>
      <sheetName val="RCC,Ret__Wall6"/>
      <sheetName val="scurve_calc_(2)6"/>
      <sheetName val="LIST_OF_MAKES6"/>
      <sheetName val="_sept98_xls࡝sdpl_oth_Liab6"/>
      <sheetName val="_sept98_xls_x005f_x005f_x005f_x005f_x005f_x005f_6"/>
      <sheetName val="crs_-G-1_x005f_x001a__x005f_x0000__x005f_x0000_T6"/>
      <sheetName val="crs_-G-1_x005f_x001a___TBAL9697_-gro6"/>
      <sheetName val="final_abstract6"/>
      <sheetName val="key_dates6"/>
      <sheetName val="Labor_abs-NMR6"/>
      <sheetName val="Fin_Sum6"/>
      <sheetName val="Customize_Your_Purchase_Order6"/>
      <sheetName val="_sept98_xls_x005f_x001d_B_Sheet6"/>
      <sheetName val="_sept98_xls_x005f_x005f_x6"/>
      <sheetName val="INPUT_SHEET5"/>
      <sheetName val="DETAILED__BOQ5"/>
      <sheetName val="acevsSp_(ABC)5"/>
      <sheetName val="MASTER_RATE_ANALYSIS5"/>
      <sheetName val="BEAM_INPUT5"/>
      <sheetName val="Plinth_beam5"/>
      <sheetName val="Direct_Cost5"/>
      <sheetName val="IO_LIST5"/>
      <sheetName val="oman_maint8"/>
      <sheetName val="CORPN_OCT8"/>
      <sheetName val="inout_consol-nov8"/>
      <sheetName val="inout_consol_(2)8"/>
      <sheetName val="AS_ON_DT_EXPS_Mar8"/>
      <sheetName val="J_fix_asst8"/>
      <sheetName val="J_fix_asst_sdpl8"/>
      <sheetName val="f_a_obpl8"/>
      <sheetName val="J_fix_asst_obpl8"/>
      <sheetName val="J_fix_asst_scc8"/>
      <sheetName val="J_fix_asst_ripl8"/>
      <sheetName val="fa-pl_&amp;_mach-site8"/>
      <sheetName val="fa_off_eqp8"/>
      <sheetName val="fa_fur&amp;_fix8"/>
      <sheetName val="I_Con_WIP_(2)8"/>
      <sheetName val="TBAL9596_-IIIIRUN8"/>
      <sheetName val="TBCRSsdpl_July988"/>
      <sheetName val="Other_Proj_Schdl8"/>
      <sheetName val="OT_CLIENTS8"/>
      <sheetName val="inout_consol_July_988"/>
      <sheetName val="consol_flow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7"/>
      <sheetName val="creditors_tb_obpl7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D_Loan__Prom7"/>
      <sheetName val="E_Bank_Loan7"/>
      <sheetName val="G_work_Cap_7"/>
      <sheetName val="H_land_adv7"/>
      <sheetName val="detai_Wip_27"/>
      <sheetName val="detai_Wip_I_7"/>
      <sheetName val="J_Con_WIP7"/>
      <sheetName val="K_L_Oth_Co_7"/>
      <sheetName val="fix_asst_Obpl7"/>
      <sheetName val="TBAL9697__group_wise__sdpl7"/>
      <sheetName val="[sept98_xlsUomantopaz6"/>
      <sheetName val="_sept98_xlsUomantopaz6"/>
      <sheetName val="_sept98_xls_x005f_x001d_B_Sheet_976"/>
      <sheetName val="PRECAST_lightconc-II6"/>
      <sheetName val="[sept98_xls_x005f_x001d_B_Sheet_976"/>
      <sheetName val="_sept98_xls_x005f_x005f_x005f_x001d_B_Shee4"/>
      <sheetName val="[sept98_xls_x005f_x005f_x005f_x001d_B_Shee4"/>
      <sheetName val="Staff_Acco_4"/>
      <sheetName val="SITE_OVERHEADS4"/>
      <sheetName val="Boq_Block_A4"/>
      <sheetName val="Project_Details__4"/>
      <sheetName val="[sept98_xls࡝sdpl_oth_Liab4"/>
      <sheetName val="RCC,Ret__Wall4"/>
      <sheetName val="scurve_calc_(2)4"/>
      <sheetName val="LIST_OF_MAKES4"/>
      <sheetName val="_sept98_xls࡝sdpl_oth_Liab4"/>
      <sheetName val="_sept98_xls_x005f_x005f_x005f_x005f_x005f_x005f_4"/>
      <sheetName val="crs_-G-1_x005f_x001a__x005f_x0000__x005f_x0000_T4"/>
      <sheetName val="crs_-G-1_x005f_x001a___TBAL9697_-gro4"/>
      <sheetName val="final_abstract4"/>
      <sheetName val="key_dates4"/>
      <sheetName val="Labor_abs-NMR4"/>
      <sheetName val="Fin_Sum4"/>
      <sheetName val="Customize_Your_Purchase_Order4"/>
      <sheetName val="_sept98_xls_x005f_x001d_B_Sheet4"/>
      <sheetName val="_sept98_xls_x005f_x005f_x4"/>
      <sheetName val="INPUT_SHEET3"/>
      <sheetName val="DETAILED__BOQ3"/>
      <sheetName val="acevsSp_(ABC)3"/>
      <sheetName val="MASTER_RATE_ANALYSIS3"/>
      <sheetName val="BEAM_INPUT3"/>
      <sheetName val="Plinth_beam3"/>
      <sheetName val="Direct_Cost3"/>
      <sheetName val="IO_LIST3"/>
      <sheetName val="oman_maint7"/>
      <sheetName val="CORPN_OCT7"/>
      <sheetName val="inout_consol-nov7"/>
      <sheetName val="inout_consol_(2)7"/>
      <sheetName val="AS_ON_DT_EXPS_Mar7"/>
      <sheetName val="J_fix_asst7"/>
      <sheetName val="J_fix_asst_sdpl7"/>
      <sheetName val="f_a_obpl7"/>
      <sheetName val="J_fix_asst_obpl7"/>
      <sheetName val="J_fix_asst_scc7"/>
      <sheetName val="J_fix_asst_ripl7"/>
      <sheetName val="fa-pl_&amp;_mach-site7"/>
      <sheetName val="fa_off_eqp7"/>
      <sheetName val="fa_fur&amp;_fix7"/>
      <sheetName val="I_Con_WIP_(2)7"/>
      <sheetName val="TBAL9596_-IIIIRUN7"/>
      <sheetName val="TBCRSsdpl_July987"/>
      <sheetName val="Other_Proj_Schdl7"/>
      <sheetName val="OT_CLIENTS7"/>
      <sheetName val="inout_consol_July_987"/>
      <sheetName val="consol_flow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6"/>
      <sheetName val="creditors_tb_obpl6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D_Loan__Prom6"/>
      <sheetName val="E_Bank_Loan6"/>
      <sheetName val="G_work_Cap_6"/>
      <sheetName val="H_land_adv6"/>
      <sheetName val="detai_Wip_26"/>
      <sheetName val="detai_Wip_I_6"/>
      <sheetName val="J_Con_WIP6"/>
      <sheetName val="K_L_Oth_Co_6"/>
      <sheetName val="fix_asst_Obpl6"/>
      <sheetName val="TBAL9697__group_wise__sdpl6"/>
      <sheetName val="[sept98_xlsUomantopaz5"/>
      <sheetName val="_sept98_xlsUomantopaz5"/>
      <sheetName val="_sept98_xls_x005f_x001d_B_Sheet_975"/>
      <sheetName val="PRECAST_lightconc-II5"/>
      <sheetName val="[sept98_xls_x005f_x001d_B_Sheet_975"/>
      <sheetName val="_sept98_xls_x005f_x005f_x005f_x001d_B_Shee3"/>
      <sheetName val="[sept98_xls_x005f_x005f_x005f_x001d_B_Shee3"/>
      <sheetName val="Staff_Acco_3"/>
      <sheetName val="SITE_OVERHEADS3"/>
      <sheetName val="Boq_Block_A3"/>
      <sheetName val="Project_Details__3"/>
      <sheetName val="[sept98_xls࡝sdpl_oth_Liab3"/>
      <sheetName val="RCC,Ret__Wall3"/>
      <sheetName val="scurve_calc_(2)3"/>
      <sheetName val="LIST_OF_MAKES3"/>
      <sheetName val="_sept98_xls࡝sdpl_oth_Liab3"/>
      <sheetName val="_sept98_xls_x005f_x005f_x005f_x005f_x005f_x005f_3"/>
      <sheetName val="crs_-G-1_x005f_x001a__x005f_x0000__x005f_x0000_T3"/>
      <sheetName val="crs_-G-1_x005f_x001a___TBAL9697_-gro3"/>
      <sheetName val="final_abstract3"/>
      <sheetName val="key_dates3"/>
      <sheetName val="Labor_abs-NMR3"/>
      <sheetName val="Fin_Sum3"/>
      <sheetName val="Customize_Your_Purchase_Order3"/>
      <sheetName val="_sept98_xls_x005f_x001d_B_Sheet3"/>
      <sheetName val="_sept98_xls_x005f_x005f_x3"/>
      <sheetName val="INPUT_SHEET2"/>
      <sheetName val="DETAILED__BOQ2"/>
      <sheetName val="acevsSp_(ABC)2"/>
      <sheetName val="MASTER_RATE_ANALYSIS2"/>
      <sheetName val="BEAM_INPUT2"/>
      <sheetName val="Plinth_beam2"/>
      <sheetName val="Direct_Cost2"/>
      <sheetName val="IO_LIST2"/>
      <sheetName val="oman_maint5"/>
      <sheetName val="CORPN_OCT5"/>
      <sheetName val="inout_consol-nov5"/>
      <sheetName val="inout_consol_(2)5"/>
      <sheetName val="AS_ON_DT_EXPS_Mar5"/>
      <sheetName val="J_fix_asst5"/>
      <sheetName val="J_fix_asst_sdpl5"/>
      <sheetName val="f_a_obpl5"/>
      <sheetName val="J_fix_asst_obpl5"/>
      <sheetName val="J_fix_asst_scc5"/>
      <sheetName val="J_fix_asst_ripl5"/>
      <sheetName val="fa-pl_&amp;_mach-site5"/>
      <sheetName val="fa_off_eqp5"/>
      <sheetName val="fa_fur&amp;_fix5"/>
      <sheetName val="I_Con_WIP_(2)5"/>
      <sheetName val="TBAL9596_-IIIIRUN5"/>
      <sheetName val="TBCRSsdpl_July985"/>
      <sheetName val="Other_Proj_Schdl5"/>
      <sheetName val="OT_CLIENTS5"/>
      <sheetName val="inout_consol_July_985"/>
      <sheetName val="consol_flow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D_Loan__Prom4"/>
      <sheetName val="E_Bank_Loan4"/>
      <sheetName val="G_work_Cap_4"/>
      <sheetName val="H_land_adv4"/>
      <sheetName val="detai_Wip_24"/>
      <sheetName val="detai_Wip_I_4"/>
      <sheetName val="J_Con_WIP4"/>
      <sheetName val="K_L_Oth_Co_4"/>
      <sheetName val="fix_asst_Obpl4"/>
      <sheetName val="TBAL9697__group_wise__sdpl4"/>
      <sheetName val="[sept98_xlsUomantopaz3"/>
      <sheetName val="_sept98_xlsUomantopaz3"/>
      <sheetName val="_sept98_xls_x005f_x001d_B_Sheet_973"/>
      <sheetName val="PRECAST_lightconc-II3"/>
      <sheetName val="[sept98_xls_x005f_x001d_B_Sheet_973"/>
      <sheetName val="_sept98_xls_x005f_x005f_x005f_x001d_B_Shee1"/>
      <sheetName val="[sept98_xls_x005f_x005f_x005f_x001d_B_Shee1"/>
      <sheetName val="Staff_Acco_1"/>
      <sheetName val="SITE_OVERHEADS1"/>
      <sheetName val="Boq_Block_A1"/>
      <sheetName val="Project_Details__1"/>
      <sheetName val="[sept98_xls࡝sdpl_oth_Liab1"/>
      <sheetName val="RCC,Ret__Wall1"/>
      <sheetName val="scurve_calc_(2)1"/>
      <sheetName val="LIST_OF_MAKES1"/>
      <sheetName val="_sept98_xls࡝sdpl_oth_Liab1"/>
      <sheetName val="_sept98_xls_x005f_x005f_x005f_x005f_x005f_x005f_1"/>
      <sheetName val="crs_-G-1_x005f_x001a__x005f_x0000__x005f_x0000_T1"/>
      <sheetName val="crs_-G-1_x005f_x001a___TBAL9697_-gro1"/>
      <sheetName val="final_abstract1"/>
      <sheetName val="key_dates1"/>
      <sheetName val="Labor_abs-NMR1"/>
      <sheetName val="Fin_Sum1"/>
      <sheetName val="Customize_Your_Purchase_Order1"/>
      <sheetName val="_sept98_xls_x005f_x001d_B_Sheet1"/>
      <sheetName val="_sept98_xls_x005f_x005f_x1"/>
      <sheetName val="INPUT_SHEET"/>
      <sheetName val="DETAILED__BOQ"/>
      <sheetName val="acevsSp_(ABC)"/>
      <sheetName val="MASTER_RATE_ANALYSIS"/>
      <sheetName val="BEAM_INPUT"/>
      <sheetName val="Plinth_beam"/>
      <sheetName val="Direct_Cost"/>
      <sheetName val="IO_LIST"/>
      <sheetName val="Detail_In_Door_Stad"/>
      <sheetName val="_sept98_xlsB_Sheet"/>
      <sheetName val="_sept98_xls_x005f_x005f_x005f_x005f_x"/>
      <sheetName val="Labor_abs-PW"/>
      <sheetName val="KQ_Cost_Controlling"/>
      <sheetName val="KQ_Appropriation"/>
      <sheetName val="Basic_Rates"/>
      <sheetName val="Works_-_Quote_Sheet"/>
      <sheetName val="Cashflow_projection"/>
      <sheetName val="Rate_Analysis"/>
      <sheetName val="crs_-G-1_x005f_x001a_"/>
      <sheetName val="Cash_Flow_Input_Data_ISC"/>
      <sheetName val="CABLE_DATA"/>
      <sheetName val="Break_Dw"/>
      <sheetName val="Debits_as_on_12_04_08"/>
      <sheetName val="220_11__BS_"/>
      <sheetName val="GR_slab-reinft"/>
      <sheetName val="Assumption_Inputs"/>
      <sheetName val="SPILL_OVER"/>
      <sheetName val="GF_Columns"/>
      <sheetName val="oman_maint6"/>
      <sheetName val="CORPN_OCT6"/>
      <sheetName val="inout_consol-nov6"/>
      <sheetName val="inout_consol_(2)6"/>
      <sheetName val="AS_ON_DT_EXPS_Mar6"/>
      <sheetName val="J_fix_asst6"/>
      <sheetName val="J_fix_asst_sdpl6"/>
      <sheetName val="f_a_obpl6"/>
      <sheetName val="J_fix_asst_obpl6"/>
      <sheetName val="J_fix_asst_scc6"/>
      <sheetName val="J_fix_asst_ripl6"/>
      <sheetName val="fa-pl_&amp;_mach-site6"/>
      <sheetName val="fa_off_eqp6"/>
      <sheetName val="fa_fur&amp;_fix6"/>
      <sheetName val="I_Con_WIP_(2)6"/>
      <sheetName val="TBAL9596_-IIIIRUN6"/>
      <sheetName val="TBCRSsdpl_July986"/>
      <sheetName val="Other_Proj_Schdl6"/>
      <sheetName val="OT_CLIENTS6"/>
      <sheetName val="inout_consol_July_986"/>
      <sheetName val="consol_flow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5"/>
      <sheetName val="creditors_tb_obpl5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D_Loan__Prom5"/>
      <sheetName val="E_Bank_Loan5"/>
      <sheetName val="G_work_Cap_5"/>
      <sheetName val="H_land_adv5"/>
      <sheetName val="detai_Wip_25"/>
      <sheetName val="detai_Wip_I_5"/>
      <sheetName val="J_Con_WIP5"/>
      <sheetName val="K_L_Oth_Co_5"/>
      <sheetName val="fix_asst_Obpl5"/>
      <sheetName val="TBAL9697__group_wise__sdpl5"/>
      <sheetName val="[sept98_xlsUomantopaz4"/>
      <sheetName val="_sept98_xlsUomantopaz4"/>
      <sheetName val="_sept98_xls_x005f_x001d_B_Sheet_974"/>
      <sheetName val="PRECAST_lightconc-II4"/>
      <sheetName val="[sept98_xls_x005f_x001d_B_Sheet_974"/>
      <sheetName val="_sept98_xls_x005f_x005f_x005f_x001d_B_Shee2"/>
      <sheetName val="[sept98_xls_x005f_x005f_x005f_x001d_B_Shee2"/>
      <sheetName val="Staff_Acco_2"/>
      <sheetName val="SITE_OVERHEADS2"/>
      <sheetName val="Boq_Block_A2"/>
      <sheetName val="Project_Details__2"/>
      <sheetName val="[sept98_xls࡝sdpl_oth_Liab2"/>
      <sheetName val="RCC,Ret__Wall2"/>
      <sheetName val="scurve_calc_(2)2"/>
      <sheetName val="LIST_OF_MAKES2"/>
      <sheetName val="_sept98_xls࡝sdpl_oth_Liab2"/>
      <sheetName val="_sept98_xls_x005f_x005f_x005f_x005f_x005f_x005f_2"/>
      <sheetName val="crs_-G-1_x005f_x001a__x005f_x0000__x005f_x0000_T2"/>
      <sheetName val="crs_-G-1_x005f_x001a___TBAL9697_-gro2"/>
      <sheetName val="final_abstract2"/>
      <sheetName val="key_dates2"/>
      <sheetName val="Labor_abs-NMR2"/>
      <sheetName val="Fin_Sum2"/>
      <sheetName val="Customize_Your_Purchase_Order2"/>
      <sheetName val="_sept98_xls_x005f_x001d_B_Sheet2"/>
      <sheetName val="_sept98_xls_x005f_x005f_x2"/>
      <sheetName val="INPUT_SHEET1"/>
      <sheetName val="DETAILED__BOQ1"/>
      <sheetName val="acevsSp_(ABC)1"/>
      <sheetName val="MASTER_RATE_ANALYSIS1"/>
      <sheetName val="BEAM_INPUT1"/>
      <sheetName val="Plinth_beam1"/>
      <sheetName val="Direct_Cost1"/>
      <sheetName val="IO_LIST1"/>
      <sheetName val="Detail_In_Door_Stad1"/>
      <sheetName val="_sept98_xls_x005f_x005f_x005f_x005f_x1"/>
      <sheetName val="Labor_abs-PW1"/>
      <sheetName val="KQ_Cost_Controlling1"/>
      <sheetName val="KQ_Appropriation1"/>
      <sheetName val="Basic_Rates1"/>
      <sheetName val="Works_-_Quote_Sheet1"/>
      <sheetName val="Cashflow_projection1"/>
      <sheetName val="Rate_Analysis1"/>
      <sheetName val="crs_-G-1_x005f_x001a_1"/>
      <sheetName val="Cash_Flow_Input_Data_ISC1"/>
      <sheetName val="CABLE_DATA1"/>
      <sheetName val="Break_Dw1"/>
      <sheetName val="Debits_as_on_12_04_081"/>
      <sheetName val="220_11__BS_1"/>
      <sheetName val="GR_slab-reinft1"/>
      <sheetName val="Assumption_Inputs1"/>
      <sheetName val="SPILL_OVER1"/>
      <sheetName val="GF_Columns1"/>
      <sheetName val="Detail_In_Door_Stad2"/>
      <sheetName val="_sept98_xls_x005f_x005f_x005f_x005f_x2"/>
      <sheetName val="Labor_abs-PW2"/>
      <sheetName val="KQ_Cost_Controlling2"/>
      <sheetName val="KQ_Appropriation2"/>
      <sheetName val="Basic_Rates2"/>
      <sheetName val="Works_-_Quote_Sheet2"/>
      <sheetName val="Cashflow_projection2"/>
      <sheetName val="Rate_Analysis2"/>
      <sheetName val="crs_-G-1_x005f_x001a_2"/>
      <sheetName val="Cash_Flow_Input_Data_ISC2"/>
      <sheetName val="CABLE_DATA2"/>
      <sheetName val="Break_Dw2"/>
      <sheetName val="Debits_as_on_12_04_082"/>
      <sheetName val="220_11__BS_2"/>
      <sheetName val="GR_slab-reinft2"/>
      <sheetName val="Assumption_Inputs2"/>
      <sheetName val="SPILL_OVER2"/>
      <sheetName val="GF_Columns2"/>
      <sheetName val="oman_maint10"/>
      <sheetName val="CORPN_OCT10"/>
      <sheetName val="inout_consol-nov10"/>
      <sheetName val="inout_consol_(2)10"/>
      <sheetName val="AS_ON_DT_EXPS_Mar10"/>
      <sheetName val="J_fix_asst10"/>
      <sheetName val="J_fix_asst_sdpl10"/>
      <sheetName val="f_a_obpl10"/>
      <sheetName val="J_fix_asst_obpl10"/>
      <sheetName val="J_fix_asst_scc10"/>
      <sheetName val="J_fix_asst_ripl10"/>
      <sheetName val="fa-pl_&amp;_mach-site10"/>
      <sheetName val="fa_off_eqp10"/>
      <sheetName val="fa_fur&amp;_fix10"/>
      <sheetName val="I_Con_WIP_(2)10"/>
      <sheetName val="TBAL9596_-IIIIRUN10"/>
      <sheetName val="TBCRSsdpl_July9810"/>
      <sheetName val="Other_Proj_Schdl10"/>
      <sheetName val="OT_CLIENTS10"/>
      <sheetName val="inout_consol_July_9810"/>
      <sheetName val="consol_flow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8"/>
      <sheetName val="creditors_tb_obpl8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D_Loan__Prom8"/>
      <sheetName val="E_Bank_Loan8"/>
      <sheetName val="G_work_Cap_8"/>
      <sheetName val="H_land_adv8"/>
      <sheetName val="detai_Wip_28"/>
      <sheetName val="detai_Wip_I_8"/>
      <sheetName val="J_Con_WIP8"/>
      <sheetName val="K_L_Oth_Co_8"/>
      <sheetName val="fix_asst_Obpl8"/>
      <sheetName val="TBAL9697__group_wise__sdpl8"/>
      <sheetName val="[sept98_xlsUomantopaz8"/>
      <sheetName val="_sept98_xlsUomantopaz8"/>
      <sheetName val="_sept98_xls_x005f_x001d_B_Sheet_978"/>
      <sheetName val="PRECAST_lightconc-II8"/>
      <sheetName val="[sept98_xls_x005f_x001d_B_Sheet_978"/>
      <sheetName val="_sept98_xls_x005f_x005f_x005f_x001d_B_Shee5"/>
      <sheetName val="[sept98_xls_x005f_x005f_x005f_x001d_B_Shee5"/>
      <sheetName val="Staff_Acco_5"/>
      <sheetName val="SITE_OVERHEADS5"/>
      <sheetName val="Boq_Block_A5"/>
      <sheetName val="Project_Details__5"/>
      <sheetName val="[sept98_xls࡝sdpl_oth_Liab5"/>
      <sheetName val="RCC,Ret__Wall5"/>
      <sheetName val="scurve_calc_(2)5"/>
      <sheetName val="LIST_OF_MAKES5"/>
      <sheetName val="_sept98_xls࡝sdpl_oth_Liab5"/>
      <sheetName val="_sept98_xls_x005f_x005f_x005f_x005f_x005f_x005f_5"/>
      <sheetName val="crs_-G-1_x005f_x001a__x005f_x0000__x005f_x0000_T5"/>
      <sheetName val="crs_-G-1_x005f_x001a___TBAL9697_-gro5"/>
      <sheetName val="final_abstract5"/>
      <sheetName val="key_dates5"/>
      <sheetName val="Labor_abs-NMR5"/>
      <sheetName val="Fin_Sum5"/>
      <sheetName val="Customize_Your_Purchase_Order5"/>
      <sheetName val="_sept98_xls_x005f_x001d_B_Sheet5"/>
      <sheetName val="_sept98_xls_x005f_x005f_x5"/>
      <sheetName val="INPUT_SHEET4"/>
      <sheetName val="DETAILED__BOQ4"/>
      <sheetName val="acevsSp_(ABC)4"/>
      <sheetName val="MASTER_RATE_ANALYSIS4"/>
      <sheetName val="BEAM_INPUT4"/>
      <sheetName val="Plinth_beam4"/>
      <sheetName val="Direct_Cost4"/>
      <sheetName val="IO_LIST4"/>
      <sheetName val="GM &amp; TA"/>
      <sheetName val="12A"/>
      <sheetName val="12B"/>
      <sheetName val="7A"/>
      <sheetName val="7B"/>
      <sheetName val="[sept98.xls_x005f_x005f_x005f_x005f_x005f_x005f_x"/>
      <sheetName val="COMP-MDL"/>
      <sheetName val="Customize Your Invoice"/>
      <sheetName val="Slab"/>
      <sheetName val="oman_maint12"/>
      <sheetName val="CORPN_OCT12"/>
      <sheetName val="inout_consol-nov12"/>
      <sheetName val="inout_consol_(2)12"/>
      <sheetName val="AS_ON_DT_EXPS_Mar12"/>
      <sheetName val="J_fix_asst12"/>
      <sheetName val="J_fix_asst_sdpl12"/>
      <sheetName val="f_a_obpl12"/>
      <sheetName val="J_fix_asst_obpl12"/>
      <sheetName val="J_fix_asst_scc12"/>
      <sheetName val="J_fix_asst_ripl12"/>
      <sheetName val="fa-pl_&amp;_mach-site12"/>
      <sheetName val="fa_off_eqp12"/>
      <sheetName val="fa_fur&amp;_fix12"/>
      <sheetName val="I_Con_WIP_(2)12"/>
      <sheetName val="TBAL9596_-IIIIRUN12"/>
      <sheetName val="TBCRSsdpl_July9812"/>
      <sheetName val="Other_Proj_Schdl12"/>
      <sheetName val="OT_CLIENTS12"/>
      <sheetName val="inout_consol_July_9812"/>
      <sheetName val="consol_flow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1"/>
      <sheetName val="creditors_tb_obpl11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D_Loan__Prom11"/>
      <sheetName val="E_Bank_Loan11"/>
      <sheetName val="G_work_Cap_11"/>
      <sheetName val="H_land_adv11"/>
      <sheetName val="detai_Wip_211"/>
      <sheetName val="detai_Wip_I_11"/>
      <sheetName val="J_Con_WIP11"/>
      <sheetName val="K_L_Oth_Co_11"/>
      <sheetName val="fix_asst_Obpl11"/>
      <sheetName val="TBAL9697__group_wise__sdpl11"/>
      <sheetName val="[sept98_xlsUomantopaz10"/>
      <sheetName val="_sept98_xlsUomantopaz10"/>
      <sheetName val="_sept98_xls_x005f_x001d_B_Sheet_9710"/>
      <sheetName val="PRECAST_lightconc-II10"/>
      <sheetName val="[sept98_xls_x005f_x001d_B_Sheet_9710"/>
      <sheetName val="_sept98_xls_x005f_x005f_x005f_x001d_B_Shee7"/>
      <sheetName val="[sept98_xls_x005f_x005f_x005f_x001d_B_Shee7"/>
      <sheetName val="Staff_Acco_7"/>
      <sheetName val="SITE_OVERHEADS7"/>
      <sheetName val="Boq_Block_A7"/>
      <sheetName val="Project_Details__7"/>
      <sheetName val="[sept98_xls࡝sdpl_oth_Liab7"/>
      <sheetName val="RCC,Ret__Wall7"/>
      <sheetName val="scurve_calc_(2)7"/>
      <sheetName val="LIST_OF_MAKES7"/>
      <sheetName val="_sept98_xls࡝sdpl_oth_Liab7"/>
      <sheetName val="_sept98_xls_x005f_x005f_x005f_x005f_x005f_x005f_7"/>
      <sheetName val="crs_-G-1_x005f_x001a__x005f_x0000__x005f_x0000_T7"/>
      <sheetName val="crs_-G-1_x005f_x001a___TBAL9697_-gro7"/>
      <sheetName val="final_abstract7"/>
      <sheetName val="key_dates7"/>
      <sheetName val="Labor_abs-NMR7"/>
      <sheetName val="Fin_Sum7"/>
      <sheetName val="Customize_Your_Purchase_Order7"/>
      <sheetName val="_sept98_xls_x005f_x001d_B_Sheet7"/>
      <sheetName val="_sept98_xls_x005f_x005f_x7"/>
      <sheetName val="INPUT_SHEET6"/>
      <sheetName val="DETAILED__BOQ6"/>
      <sheetName val="acevsSp_(ABC)6"/>
      <sheetName val="MASTER_RATE_ANALYSIS6"/>
      <sheetName val="BEAM_INPUT6"/>
      <sheetName val="Plinth_beam6"/>
      <sheetName val="Direct_Cost6"/>
      <sheetName val="IO_LIST6"/>
      <sheetName val="Detail_In_Door_Stad3"/>
      <sheetName val="_sept98_xls_x005f_x005f_x005f_x005f_x3"/>
      <sheetName val="Labor_abs-PW3"/>
      <sheetName val="KQ_Cost_Controlling3"/>
      <sheetName val="KQ_Appropriation3"/>
      <sheetName val="Basic_Rates3"/>
      <sheetName val="Works_-_Quote_Sheet3"/>
      <sheetName val="Cashflow_projection3"/>
      <sheetName val="Rate_Analysis3"/>
      <sheetName val="crs_-G-1_x005f_x001a_3"/>
      <sheetName val="Cash_Flow_Input_Data_ISC3"/>
      <sheetName val="CABLE_DATA3"/>
      <sheetName val="Break_Dw3"/>
      <sheetName val="Debits_as_on_12_04_083"/>
      <sheetName val="220_11__BS_3"/>
      <sheetName val="GR_slab-reinft3"/>
      <sheetName val="Assumption_Inputs3"/>
      <sheetName val="SPILL_OVER3"/>
      <sheetName val="GF_Columns3"/>
      <sheetName val="Tender_Summary"/>
      <sheetName val="RA_BILL_(47-)"/>
      <sheetName val="GM_&amp;_TA"/>
      <sheetName val="oman_maint13"/>
      <sheetName val="CORPN_OCT13"/>
      <sheetName val="inout_consol-nov13"/>
      <sheetName val="inout_consol_(2)13"/>
      <sheetName val="AS_ON_DT_EXPS_Mar13"/>
      <sheetName val="J_fix_asst13"/>
      <sheetName val="J_fix_asst_sdpl13"/>
      <sheetName val="f_a_obpl13"/>
      <sheetName val="J_fix_asst_obpl13"/>
      <sheetName val="J_fix_asst_scc13"/>
      <sheetName val="J_fix_asst_ripl13"/>
      <sheetName val="fa-pl_&amp;_mach-site13"/>
      <sheetName val="fa_off_eqp13"/>
      <sheetName val="fa_fur&amp;_fix13"/>
      <sheetName val="I_Con_WIP_(2)13"/>
      <sheetName val="TBAL9596_-IIIIRUN13"/>
      <sheetName val="TBCRSsdpl_July9813"/>
      <sheetName val="Other_Proj_Schdl13"/>
      <sheetName val="OT_CLIENTS13"/>
      <sheetName val="inout_consol_July_9813"/>
      <sheetName val="consol_flow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D_Loan__Prom13"/>
      <sheetName val="E_Bank_Loan13"/>
      <sheetName val="G_work_Cap_13"/>
      <sheetName val="H_land_adv13"/>
      <sheetName val="detai_Wip_213"/>
      <sheetName val="detai_Wip_I_13"/>
      <sheetName val="J_Con_WIP13"/>
      <sheetName val="K_L_Oth_Co_13"/>
      <sheetName val="fix_asst_Obpl13"/>
      <sheetName val="TBAL9697__group_wise__sdpl13"/>
      <sheetName val="D_fix_asst_scdl_12"/>
      <sheetName val="creditors_tb_obpl12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D_Loan__Prom12"/>
      <sheetName val="E_Bank_Loan12"/>
      <sheetName val="G_work_Cap_12"/>
      <sheetName val="H_land_adv12"/>
      <sheetName val="detai_Wip_212"/>
      <sheetName val="detai_Wip_I_12"/>
      <sheetName val="J_Con_WIP12"/>
      <sheetName val="K_L_Oth_Co_12"/>
      <sheetName val="fix_asst_Obpl12"/>
      <sheetName val="TBAL9697__group_wise__sdpl12"/>
      <sheetName val="oman_maint14"/>
      <sheetName val="CORPN_OCT14"/>
      <sheetName val="inout_consol-nov14"/>
      <sheetName val="inout_consol_(2)14"/>
      <sheetName val="AS_ON_DT_EXPS_Mar14"/>
      <sheetName val="J_fix_asst14"/>
      <sheetName val="J_fix_asst_sdpl14"/>
      <sheetName val="f_a_obpl14"/>
      <sheetName val="J_fix_asst_obpl14"/>
      <sheetName val="J_fix_asst_scc14"/>
      <sheetName val="J_fix_asst_ripl14"/>
      <sheetName val="fa-pl_&amp;_mach-site14"/>
      <sheetName val="fa_off_eqp14"/>
      <sheetName val="fa_fur&amp;_fix14"/>
      <sheetName val="I_Con_WIP_(2)14"/>
      <sheetName val="TBAL9596_-IIIIRUN14"/>
      <sheetName val="TBCRSsdpl_July9814"/>
      <sheetName val="Other_Proj_Schdl14"/>
      <sheetName val="OT_CLIENTS14"/>
      <sheetName val="inout_consol_July_9814"/>
      <sheetName val="consol_flow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D_Loan__Prom14"/>
      <sheetName val="E_Bank_Loan14"/>
      <sheetName val="G_work_Cap_14"/>
      <sheetName val="H_land_adv14"/>
      <sheetName val="detai_Wip_214"/>
      <sheetName val="detai_Wip_I_14"/>
      <sheetName val="J_Con_WIP14"/>
      <sheetName val="K_L_Oth_Co_14"/>
      <sheetName val="fix_asst_Obpl14"/>
      <sheetName val="TBAL9697__group_wise__sdpl14"/>
      <sheetName val="_sept98_xlsUomantopaz11"/>
      <sheetName val="[sept98_xlsUomantopaz11"/>
      <sheetName val="_sept98_xls_x005f_x001d_B_Sheet_9711"/>
      <sheetName val="[sept98_xls_x005f_x001d_B_Sheet_9711"/>
      <sheetName val="PRECAST_lightconc-II11"/>
      <sheetName val="oman_maint15"/>
      <sheetName val="CORPN_OCT15"/>
      <sheetName val="inout_consol-nov15"/>
      <sheetName val="inout_consol_(2)15"/>
      <sheetName val="AS_ON_DT_EXPS_Mar15"/>
      <sheetName val="J_fix_asst15"/>
      <sheetName val="J_fix_asst_sdpl15"/>
      <sheetName val="f_a_obpl15"/>
      <sheetName val="J_fix_asst_obpl15"/>
      <sheetName val="J_fix_asst_scc15"/>
      <sheetName val="J_fix_asst_ripl15"/>
      <sheetName val="fa-pl_&amp;_mach-site15"/>
      <sheetName val="fa_off_eqp15"/>
      <sheetName val="fa_fur&amp;_fix15"/>
      <sheetName val="I_Con_WIP_(2)15"/>
      <sheetName val="TBAL9596_-IIIIRUN15"/>
      <sheetName val="TBCRSsdpl_July9815"/>
      <sheetName val="Other_Proj_Schdl15"/>
      <sheetName val="OT_CLIENTS15"/>
      <sheetName val="inout_consol_July_9815"/>
      <sheetName val="consol_flow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D_Loan__Prom15"/>
      <sheetName val="E_Bank_Loan15"/>
      <sheetName val="G_work_Cap_15"/>
      <sheetName val="H_land_adv15"/>
      <sheetName val="detai_Wip_215"/>
      <sheetName val="detai_Wip_I_15"/>
      <sheetName val="J_Con_WIP15"/>
      <sheetName val="K_L_Oth_Co_15"/>
      <sheetName val="fix_asst_Obpl15"/>
      <sheetName val="TBAL9697__group_wise__sdpl15"/>
      <sheetName val="_sept98_xlsUomantopaz12"/>
      <sheetName val="[sept98_xlsUomantopaz12"/>
      <sheetName val="_sept98_xls_x005f_x001d_B_Sheet_9712"/>
      <sheetName val="[sept98_xls_x005f_x001d_B_Sheet_9712"/>
      <sheetName val="PRECAST_lightconc-II12"/>
      <sheetName val="oman_maint16"/>
      <sheetName val="oman_maint18"/>
      <sheetName val="CORPN_OCT17"/>
      <sheetName val="inout_consol-nov17"/>
      <sheetName val="inout_consol_(2)17"/>
      <sheetName val="AS_ON_DT_EXPS_Mar17"/>
      <sheetName val="J_fix_asst17"/>
      <sheetName val="J_fix_asst_sdpl17"/>
      <sheetName val="f_a_obpl17"/>
      <sheetName val="J_fix_asst_obpl17"/>
      <sheetName val="J_fix_asst_scc17"/>
      <sheetName val="J_fix_asst_ripl17"/>
      <sheetName val="fa-pl_&amp;_mach-site17"/>
      <sheetName val="fa_off_eqp17"/>
      <sheetName val="fa_fur&amp;_fix17"/>
      <sheetName val="I_Con_WIP_(2)17"/>
      <sheetName val="TBAL9596_-IIIIRUN17"/>
      <sheetName val="TBCRSsdpl_July9817"/>
      <sheetName val="Other_Proj_Schdl17"/>
      <sheetName val="OT_CLIENTS17"/>
      <sheetName val="inout_consol_July_9817"/>
      <sheetName val="consol_flow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D_Loan__Prom17"/>
      <sheetName val="E_Bank_Loan17"/>
      <sheetName val="G_work_Cap_17"/>
      <sheetName val="H_land_adv17"/>
      <sheetName val="detai_Wip_217"/>
      <sheetName val="detai_Wip_I_17"/>
      <sheetName val="J_Con_WIP17"/>
      <sheetName val="K_L_Oth_Co_17"/>
      <sheetName val="fix_asst_Obpl17"/>
      <sheetName val="TBAL9697__group_wise__sdpl17"/>
      <sheetName val="_sept98_xlsUomantopaz14"/>
      <sheetName val="[sept98_xlsUomantopaz14"/>
      <sheetName val="_sept98_xls_x005f_x001d_B_Sheet_9714"/>
      <sheetName val="[sept98_xls_x005f_x001d_B_Sheet_9714"/>
      <sheetName val="PRECAST_lightconc-II14"/>
      <sheetName val="oman_maint19"/>
      <sheetName val="CORPN_OCT18"/>
      <sheetName val="inout_consol-nov18"/>
      <sheetName val="inout_consol_(2)18"/>
      <sheetName val="AS_ON_DT_EXPS_Mar18"/>
      <sheetName val="J_fix_asst18"/>
      <sheetName val="J_fix_asst_sdpl18"/>
      <sheetName val="f_a_obpl18"/>
      <sheetName val="J_fix_asst_obpl18"/>
      <sheetName val="J_fix_asst_scc18"/>
      <sheetName val="J_fix_asst_ripl18"/>
      <sheetName val="fa-pl_&amp;_mach-site18"/>
      <sheetName val="fa_off_eqp18"/>
      <sheetName val="fa_fur&amp;_fix18"/>
      <sheetName val="I_Con_WIP_(2)18"/>
      <sheetName val="TBAL9596_-IIIIRUN18"/>
      <sheetName val="TBCRSsdpl_July9818"/>
      <sheetName val="Other_Proj_Schdl18"/>
      <sheetName val="OT_CLIENTS18"/>
      <sheetName val="inout_consol_July_9818"/>
      <sheetName val="consol_flow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D_Loan__Prom18"/>
      <sheetName val="E_Bank_Loan18"/>
      <sheetName val="G_work_Cap_18"/>
      <sheetName val="H_land_adv18"/>
      <sheetName val="detai_Wip_218"/>
      <sheetName val="detai_Wip_I_18"/>
      <sheetName val="J_Con_WIP18"/>
      <sheetName val="K_L_Oth_Co_18"/>
      <sheetName val="fix_asst_Obpl18"/>
      <sheetName val="TBAL9697__group_wise__sdpl18"/>
      <sheetName val="PCC"/>
      <sheetName val=" Labour bills -Excav,Conc &amp; Rft"/>
      <sheetName val="sheet6"/>
      <sheetName val="BS1"/>
      <sheetName val="Area Statement"/>
      <sheetName val="Risk Analysis"/>
      <sheetName val="A-General"/>
      <sheetName val="Names&amp;Cases"/>
      <sheetName val="Ref"/>
      <sheetName val="sept98"/>
      <sheetName val="Sheet2"/>
      <sheetName val="PPM Dates 10-16-07"/>
      <sheetName val="Sheet1 (2)"/>
      <sheetName val="basic-data"/>
      <sheetName val="mem-property"/>
      <sheetName val="TBS_x005f_x0004_PLJ"/>
      <sheetName val="TBS_x0004_PLJ"/>
      <sheetName val="_sept98.xls_x"/>
      <sheetName val="crs -G-1_x001a___TB"/>
      <sheetName val="Dropdowns"/>
      <sheetName val="[sept98.xls_x005f_x001d_B_Sheet"/>
      <sheetName val="PHE BOQ"/>
      <sheetName val="Enquire"/>
      <sheetName val="gen"/>
      <sheetName val="TBAL9697 -group wise sdpl"/>
      <sheetName val="Break up Sheet"/>
      <sheetName val="Legal Risk Analysis"/>
      <sheetName val="WORK TABLE"/>
      <sheetName val="Database"/>
      <sheetName val="schedule nos"/>
      <sheetName val="sheeet7"/>
      <sheetName val="SPT vs PHI"/>
      <sheetName val="oman_maint20"/>
      <sheetName val="CORPN_OCT19"/>
      <sheetName val="inout_consol-nov19"/>
      <sheetName val="inout_consol_(2)19"/>
      <sheetName val="AS_ON_DT_EXPS_Mar19"/>
      <sheetName val="J_fix_asst19"/>
      <sheetName val="J_fix_asst_sdpl19"/>
      <sheetName val="f_a_obpl19"/>
      <sheetName val="J_fix_asst_obpl19"/>
      <sheetName val="J_fix_asst_scc19"/>
      <sheetName val="J_fix_asst_ripl19"/>
      <sheetName val="fa-pl_&amp;_mach-site19"/>
      <sheetName val="fa_off_eqp19"/>
      <sheetName val="fa_fur&amp;_fix19"/>
      <sheetName val="I_Con_WIP_(2)19"/>
      <sheetName val="TBAL9596_-IIIIRUN19"/>
      <sheetName val="TBCRSsdpl_July9819"/>
      <sheetName val="Other_Proj_Schdl19"/>
      <sheetName val="OT_CLIENTS19"/>
      <sheetName val="inout_consol_July_9819"/>
      <sheetName val="consol_flow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D_Loan__Prom19"/>
      <sheetName val="E_Bank_Loan19"/>
      <sheetName val="G_work_Cap_19"/>
      <sheetName val="H_land_adv19"/>
      <sheetName val="detai_Wip_219"/>
      <sheetName val="detai_Wip_I_19"/>
      <sheetName val="J_Con_WIP19"/>
      <sheetName val="K_L_Oth_Co_19"/>
      <sheetName val="fix_asst_Obpl19"/>
      <sheetName val="TBAL9697__group_wise__sdpl19"/>
      <sheetName val="[sept98_xlsUomantopaz15"/>
      <sheetName val="_sept98_xlsUomantopaz15"/>
      <sheetName val="_sept98_xls_x005f_x001d_B_Sheet_9715"/>
      <sheetName val="[sept98_xls_x005f_x001d_B_Sheet_9715"/>
      <sheetName val="PRECAST_lightconc-II15"/>
      <sheetName val="Area_Statement"/>
      <sheetName val="Risk_Analysis"/>
      <sheetName val="TBAL9697_-group_wise_sdpl"/>
      <sheetName val="Break_up_Sheet"/>
      <sheetName val="Legal_Risk_Analysis"/>
      <sheetName val="PPM_Dates_10-16-07"/>
      <sheetName val="Sheet1_(2)"/>
      <sheetName val="TBSPLJ"/>
      <sheetName val="_sept98_xls_x"/>
      <sheetName val="crs_-G-1__TB"/>
      <sheetName val="[sept98_xls_x005f_x001d_B_Sheet"/>
      <sheetName val="PHE_BOQ"/>
      <sheetName val="oman_maint21"/>
      <sheetName val="CORPN_OCT21"/>
      <sheetName val="inout_consol-nov21"/>
      <sheetName val="inout_consol_(2)21"/>
      <sheetName val="AS_ON_DT_EXPS_Mar21"/>
      <sheetName val="J_fix_asst21"/>
      <sheetName val="J_fix_asst_sdpl21"/>
      <sheetName val="f_a_obpl21"/>
      <sheetName val="J_fix_asst_obpl21"/>
      <sheetName val="J_fix_asst_scc21"/>
      <sheetName val="J_fix_asst_ripl21"/>
      <sheetName val="fa-pl_&amp;_mach-site21"/>
      <sheetName val="fa_off_eqp21"/>
      <sheetName val="fa_fur&amp;_fix21"/>
      <sheetName val="I_Con_WIP_(2)21"/>
      <sheetName val="TBAL9596_-IIIIRUN21"/>
      <sheetName val="TBCRSsdpl_July9821"/>
      <sheetName val="Other_Proj_Schdl21"/>
      <sheetName val="OT_CLIENTS21"/>
      <sheetName val="inout_consol_July_9821"/>
      <sheetName val="consol_flow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D_Loan__Prom21"/>
      <sheetName val="E_Bank_Loan21"/>
      <sheetName val="G_work_Cap_21"/>
      <sheetName val="H_land_adv21"/>
      <sheetName val="detai_Wip_221"/>
      <sheetName val="detai_Wip_I_21"/>
      <sheetName val="J_Con_WIP21"/>
      <sheetName val="K_L_Oth_Co_21"/>
      <sheetName val="fix_asst_Obpl21"/>
      <sheetName val="TBAL9697__group_wise__sdpl21"/>
      <sheetName val="[sept98_xlsUomantopaz17"/>
      <sheetName val="_sept98_xlsUomantopaz17"/>
      <sheetName val="_sept98_xls_x005f_x001d_B_Sheet_9717"/>
      <sheetName val="[sept98_xls_x005f_x001d_B_Sheet_9717"/>
      <sheetName val="PRECAST_lightconc-II17"/>
      <sheetName val="Tender_Summary1"/>
      <sheetName val="Area_Statement1"/>
      <sheetName val="Risk_Analysis1"/>
      <sheetName val="TBAL9697_-group_wise_sdpl1"/>
      <sheetName val="Break_up_Sheet1"/>
      <sheetName val="RA_BILL_(47-)1"/>
      <sheetName val="Legal_Risk_Analysis1"/>
      <sheetName val="PPM_Dates_10-16-071"/>
      <sheetName val="Sheet1_(2)1"/>
      <sheetName val="_sept98_xls_x1"/>
      <sheetName val="[sept98_xls_x005f_x001d_B_Sheet1"/>
      <sheetName val="PHE_BOQ1"/>
      <sheetName val="oman_maint23"/>
      <sheetName val="CORPN_OCT23"/>
      <sheetName val="inout_consol-nov23"/>
      <sheetName val="inout_consol_(2)23"/>
      <sheetName val="AS_ON_DT_EXPS_Mar23"/>
      <sheetName val="J_fix_asst23"/>
      <sheetName val="J_fix_asst_sdpl23"/>
      <sheetName val="f_a_obpl23"/>
      <sheetName val="J_fix_asst_obpl23"/>
      <sheetName val="J_fix_asst_scc23"/>
      <sheetName val="J_fix_asst_ripl23"/>
      <sheetName val="fa-pl_&amp;_mach-site23"/>
      <sheetName val="fa_off_eqp23"/>
      <sheetName val="fa_fur&amp;_fix23"/>
      <sheetName val="I_Con_WIP_(2)23"/>
      <sheetName val="TBAL9596_-IIIIRUN23"/>
      <sheetName val="TBCRSsdpl_July9823"/>
      <sheetName val="Other_Proj_Schdl23"/>
      <sheetName val="OT_CLIENTS23"/>
      <sheetName val="inout_consol_July_9823"/>
      <sheetName val="consol_flow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D_Loan__Prom23"/>
      <sheetName val="E_Bank_Loan23"/>
      <sheetName val="G_work_Cap_23"/>
      <sheetName val="H_land_adv23"/>
      <sheetName val="detai_Wip_223"/>
      <sheetName val="detai_Wip_I_23"/>
      <sheetName val="J_Con_WIP23"/>
      <sheetName val="K_L_Oth_Co_23"/>
      <sheetName val="fix_asst_Obpl23"/>
      <sheetName val="TBAL9697__group_wise__sdpl23"/>
      <sheetName val="[sept98_xlsUomantopaz19"/>
      <sheetName val="_sept98_xlsUomantopaz19"/>
      <sheetName val="_sept98_xls_x005f_x001d_B_Sheet_9719"/>
      <sheetName val="[sept98_xls_x005f_x001d_B_Sheet_9719"/>
      <sheetName val="PRECAST_lightconc-II19"/>
      <sheetName val="Tender_Summary2"/>
      <sheetName val="Area_Statement2"/>
      <sheetName val="Risk_Analysis2"/>
      <sheetName val="TBAL9697_-group_wise_sdpl2"/>
      <sheetName val="Break_up_Sheet2"/>
      <sheetName val="RA_BILL_(47-)2"/>
      <sheetName val="Legal_Risk_Analysis2"/>
      <sheetName val="PPM_Dates_10-16-072"/>
      <sheetName val="Sheet1_(2)2"/>
      <sheetName val="_sept98_xls_x2"/>
      <sheetName val="[sept98_xls_x005f_x001d_B_Sheet2"/>
      <sheetName val="PHE_BOQ2"/>
      <sheetName val="Mat_Cost"/>
      <sheetName val="Next Weeks Plan"/>
      <sheetName val="GLOBAL_REFERRENCE_SHEET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rs -G-1_x001a_??TB"/>
      <sheetName val="upa"/>
      <sheetName val="COLUMN-CR"/>
      <sheetName val="bending stress"/>
      <sheetName val="VENDQRY"/>
      <sheetName val="Cash Details"/>
      <sheetName val="boq actual"/>
      <sheetName val="crs -G-1_x005f_x001a_??TBAL9697 -grou"/>
      <sheetName val="RA-markate"/>
      <sheetName val="_sept98_xls_x001d_B_Sheet_9713"/>
      <sheetName val="_sept98_xls_x001d_B_Sheet_977"/>
      <sheetName val="_sept98_xls_x001d_B_Sheet_971"/>
      <sheetName val="_sept98_xls_x001d_B_Sheet_972"/>
      <sheetName val="Driveway Beams"/>
      <sheetName val="Staff Acco_"/>
      <sheetName val="01"/>
      <sheetName val="Data sheet"/>
      <sheetName val="Per Unit"/>
      <sheetName val="TBS_x005f_x005f_x005f_x005F_x005f_x0004_PLJ"/>
      <sheetName val="Columns"/>
      <sheetName val="Gen Info"/>
      <sheetName val="schedule1"/>
      <sheetName val="AutoOpen Stub Data"/>
      <sheetName val="salestax9697-t_x005f_x005f_x005f_x0000_"/>
      <sheetName val="crs -G-1_x005f_x005f_x005f_x001a__x005f_x005f_x00"/>
      <sheetName val="crs -G-1_x005f_x005f_x005f_x001a___TBAL9697"/>
      <sheetName val="Material Rate"/>
      <sheetName val="Lowside"/>
      <sheetName val="Pay_Sep06"/>
      <sheetName val="Preambles"/>
      <sheetName val="ANNEXURE 1"/>
      <sheetName val="ANNEXURE 2"/>
      <sheetName val="ANNEXURE 3"/>
      <sheetName val="ANNEXURE 4 - C&amp;I Works "/>
      <sheetName val="ANNEXURE 4 - C&amp;I(HUB &amp; Toilet)"/>
      <sheetName val="C&amp;I- COMM QUAL"/>
      <sheetName val="ANNEXURE 4 - Site Office"/>
      <sheetName val="ANNEXURE 4.PHE &amp; RO "/>
      <sheetName val="ANNEXURE 4.ELECRICAL WORKS"/>
      <sheetName val="Ele-Cables, Trays, Race Way etc"/>
      <sheetName val="Ele - Circuit Wiring "/>
      <sheetName val="ELE - Inventory"/>
      <sheetName val="ANNEXURE 4 LIGHT FIXTURES"/>
      <sheetName val="ANNEXURE 4.UPS"/>
      <sheetName val="ANNEXURE 4 HVAC"/>
      <sheetName val="HVAC -Measurement"/>
      <sheetName val=" Duct Measurement"/>
      <sheetName val="ANNEXURE 4 PAC"/>
      <sheetName val="PAC- Measurement"/>
      <sheetName val="ANNEXURE 4 FPS"/>
      <sheetName val="FPS- Measurement"/>
      <sheetName val="ANNEXURE 4 ELV-FAS"/>
      <sheetName val="FA - Measurement"/>
      <sheetName val="ANNEXURE 4 ELV- Digital PAS"/>
      <sheetName val="PA -Measurement"/>
      <sheetName val="ANNEXURE 4 ELV-RRS"/>
      <sheetName val="RRS- Measurement"/>
      <sheetName val="ANNEXURE 4 ELV-WLD"/>
      <sheetName val="Measurement -WLD"/>
      <sheetName val="ANNEXURE 4 ELV-BMS"/>
      <sheetName val="BMS- Measurement"/>
      <sheetName val="ANNEXURE 4 ELV-VAV"/>
      <sheetName val="VAV-Measurement"/>
      <sheetName val="ANNEXURE 4 SECURITY-ACS"/>
      <sheetName val="Access-Measurement "/>
      <sheetName val="ANNEXURE 4 SECURITY-VMS"/>
      <sheetName val="ANNEXURE 4 SECURITY-CCTV"/>
      <sheetName val="Measurement -CCTV"/>
      <sheetName val="ANNEXURE 4 PRINTER &amp; LOCKER "/>
      <sheetName val="Code03"/>
      <sheetName val="PRSH"/>
      <sheetName val="TBS_x005f_x005f_x005f_x005f_x00"/>
      <sheetName val="crs -G-1_x005f_x001a__x00"/>
      <sheetName val="crs -G-1_x005f_x001a___TBAL9697"/>
      <sheetName val="crs_-G-1_x005f_x001a__x00"/>
      <sheetName val="crs_-G-1_x005f_x001a___TBAL9697"/>
      <sheetName val="salestax9697-t_x005f_x005f_x005"/>
      <sheetName val="crs -G-1_x005f_x005f_x001"/>
      <sheetName val="crs -G-1_x005f_x001a__x005f_x005f_x00"/>
      <sheetName val="[sept98.xls_x005f_x005f_x"/>
      <sheetName val="accom cash"/>
      <sheetName val="train cash"/>
      <sheetName val="NC"/>
      <sheetName val="_sept98_xls_x001d_B_Sheet"/>
      <sheetName val="CONNECT"/>
      <sheetName val="SLAB SCH"/>
      <sheetName val="Voucher"/>
      <sheetName val="Cal"/>
      <sheetName val="FINOLEX"/>
      <sheetName val="Ring Details"/>
      <sheetName val="CABLERET"/>
      <sheetName val="Detail 1A"/>
      <sheetName val="Rate"/>
      <sheetName val="PARAMETRES"/>
      <sheetName val="PROJECT BRIEF(EX.NEW)"/>
      <sheetName val="_sept98_xls_x001d_B_Sheet_9718"/>
      <sheetName val="_sept98_xls_x001d_B_Sheet_9716"/>
      <sheetName val="Construction"/>
      <sheetName val="ecc_res"/>
      <sheetName val="BOQ Distribution"/>
      <sheetName val="Basement Budget"/>
      <sheetName val="Financials"/>
      <sheetName val="_sept98_xls_x005f_x005f_x005f_x001d_B_She_2"/>
      <sheetName val="_sept98_xls_x005f_x005f_x005f_x001d_B_She_3"/>
      <sheetName val="BM"/>
      <sheetName val="ivory"/>
      <sheetName val="[sept98_xls_x005f_x005f_x005f_x005f_x005f_x005f_x"/>
      <sheetName val="crs_-G-1_x005f_x001a_??TBAL9697_-grou"/>
      <sheetName val="Meas.-Hotel Part"/>
      <sheetName val="SC Cost FEB 03"/>
      <sheetName val="SEW4"/>
      <sheetName val="oman_maint25"/>
      <sheetName val="CORPN_OCT24"/>
      <sheetName val="inout_consol-nov24"/>
      <sheetName val="inout_consol_(2)24"/>
      <sheetName val="AS_ON_DT_EXPS_Mar24"/>
      <sheetName val="J_fix_asst24"/>
      <sheetName val="J_fix_asst_sdpl24"/>
      <sheetName val="f_a_obpl24"/>
      <sheetName val="J_fix_asst_obpl24"/>
      <sheetName val="J_fix_asst_scc24"/>
      <sheetName val="J_fix_asst_ripl24"/>
      <sheetName val="fa-pl_&amp;_mach-site24"/>
      <sheetName val="fa_off_eqp24"/>
      <sheetName val="fa_fur&amp;_fix24"/>
      <sheetName val="I_Con_WIP_(2)24"/>
      <sheetName val="TBAL9596_-IIIIRUN24"/>
      <sheetName val="TBCRSsdpl_July9824"/>
      <sheetName val="Other_Proj_Schdl24"/>
      <sheetName val="OT_CLIENTS24"/>
      <sheetName val="inout_consol_July_9824"/>
      <sheetName val="consol_flow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D_Loan__Prom24"/>
      <sheetName val="E_Bank_Loan24"/>
      <sheetName val="G_work_Cap_24"/>
      <sheetName val="H_land_adv24"/>
      <sheetName val="detai_Wip_224"/>
      <sheetName val="detai_Wip_I_24"/>
      <sheetName val="J_Con_WIP24"/>
      <sheetName val="K_L_Oth_Co_24"/>
      <sheetName val="fix_asst_Obpl24"/>
      <sheetName val="TBAL9697__group_wise__sdpl24"/>
      <sheetName val="[sept98_xlsUomantopaz20"/>
      <sheetName val="_sept98_xlsUomantopaz20"/>
      <sheetName val="_sept98_xls_x005f_x001d_B_Sheet_9720"/>
      <sheetName val="[sept98_xls_x005f_x001d_B_Sheet_9720"/>
      <sheetName val="PRECAST_lightconc-II20"/>
      <sheetName val="Tender_Summary3"/>
      <sheetName val="Area_Statement3"/>
      <sheetName val="Risk_Analysis3"/>
      <sheetName val="TBAL9697_-group_wise_sdpl3"/>
      <sheetName val="Break_up_Sheet3"/>
      <sheetName val="RA_BILL_(47-)3"/>
      <sheetName val="Legal_Risk_Analysis3"/>
      <sheetName val="PPM_Dates_10-16-073"/>
      <sheetName val="Sheet1_(2)3"/>
      <sheetName val="_sept98_xls_x3"/>
      <sheetName val="[sept98_xls_x005f_x001d_B_Sheet3"/>
      <sheetName val="PHE_BOQ3"/>
      <sheetName val="11B "/>
      <sheetName val="6B"/>
      <sheetName val="13"/>
      <sheetName val="Builtup Area"/>
      <sheetName val="Customize_Your_Invoice"/>
      <sheetName val="ANNEXURE_1"/>
      <sheetName val="ANNEXURE_2"/>
      <sheetName val="ANNEXURE_3"/>
      <sheetName val="ANNEXURE_4_-_C&amp;I_Works_"/>
      <sheetName val="ANNEXURE_4_-_C&amp;I(HUB_&amp;_Toilet)"/>
      <sheetName val="C&amp;I-_COMM_QUAL"/>
      <sheetName val="ANNEXURE_4_-_Site_Office"/>
      <sheetName val="ANNEXURE_4_PHE_&amp;_RO_"/>
      <sheetName val="ANNEXURE_4_ELECRICAL_WORKS"/>
      <sheetName val="Ele-Cables,_Trays,_Race_Way_etc"/>
      <sheetName val="Ele_-_Circuit_Wiring_"/>
      <sheetName val="ELE_-_Inventory"/>
      <sheetName val="ANNEXURE_4_LIGHT_FIXTURES"/>
      <sheetName val="ANNEXURE_4_UPS"/>
      <sheetName val="ANNEXURE_4_HVAC"/>
      <sheetName val="HVAC_-Measurement"/>
      <sheetName val="_Duct_Measurement"/>
      <sheetName val="ANNEXURE_4_PAC"/>
      <sheetName val="PAC-_Measurement"/>
      <sheetName val="ANNEXURE_4_FPS"/>
      <sheetName val="FPS-_Measurement"/>
      <sheetName val="ANNEXURE_4_ELV-FAS"/>
      <sheetName val="FA_-_Measurement"/>
      <sheetName val="ANNEXURE_4_ELV-_Digital_PAS"/>
      <sheetName val="PA_-Measurement"/>
      <sheetName val="ANNEXURE_4_ELV-RRS"/>
      <sheetName val="RRS-_Measurement"/>
      <sheetName val="ANNEXURE_4_ELV-WLD"/>
      <sheetName val="Measurement_-WLD"/>
      <sheetName val="ANNEXURE_4_ELV-BMS"/>
      <sheetName val="BMS-_Measurement"/>
      <sheetName val="ANNEXURE_4_ELV-VAV"/>
      <sheetName val="ANNEXURE_4_SECURITY-ACS"/>
      <sheetName val="Access-Measurement_"/>
      <sheetName val="ANNEXURE_4_SECURITY-VMS"/>
      <sheetName val="ANNEXURE_4_SECURITY-CCTV"/>
      <sheetName val="Measurement_-CCTV"/>
      <sheetName val="ANNEXURE_4_PRINTER_&amp;_LOCKER_"/>
      <sheetName val="crs_-G-1_x005f_x005f_x005f_x001a__x005f_x005f_x00"/>
      <sheetName val="crs_-G-1_x005f_x005f_x005f_x001a___TBAL9697"/>
      <sheetName val="AutoOpen_Stub_Data"/>
      <sheetName val="Material_Rate"/>
      <sheetName val="Index"/>
      <sheetName val="Footing "/>
      <sheetName val="_sept98_xlsB_Sheet_973"/>
      <sheetName val="boq_actual"/>
      <sheetName val="Gen_Info"/>
      <sheetName val="_sept98_xlsB_Sheet_972"/>
      <sheetName val="crs_-G-1_x005f_x001a__x001"/>
      <sheetName val="crs_-G-1_x005f_x001a___TBAL96971"/>
      <sheetName val="crs_-G-1_x005f_x005f_x001"/>
      <sheetName val="Fina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rs_-G-1_x005f_x005f_x005f_x001a__x005f_x005f_x01"/>
      <sheetName val="crs_-G-1_x005f_x005f_x005f_x001a___TBAL9691"/>
      <sheetName val="AutoOpen_Stub_Data1"/>
      <sheetName val="Material_Rate1"/>
      <sheetName val="boq_actual1"/>
      <sheetName val="[sept98_xls_x005f_x005f_x005f_x005f_x005f_x005f_1"/>
      <sheetName val="crs_-G-1_x005f_x001a_??TBAL9697_-gro1"/>
      <sheetName val="ANNEXURE_11"/>
      <sheetName val="ANNEXURE_21"/>
      <sheetName val="ANNEXURE_31"/>
      <sheetName val="ANNEXURE_4_-_C&amp;I_Works_1"/>
      <sheetName val="ANNEXURE_4_-_C&amp;I(HUB_&amp;_Toilet)1"/>
      <sheetName val="C&amp;I-_COMM_QUAL1"/>
      <sheetName val="ANNEXURE_4_-_Site_Office1"/>
      <sheetName val="ANNEXURE_4_PHE_&amp;_RO_1"/>
      <sheetName val="ANNEXURE_4_ELECRICAL_WORKS1"/>
      <sheetName val="Ele-Cables,_Trays,_Race_Way_et1"/>
      <sheetName val="Ele_-_Circuit_Wiring_1"/>
      <sheetName val="ELE_-_Inventory1"/>
      <sheetName val="ANNEXURE_4_LIGHT_FIXTURES1"/>
      <sheetName val="ANNEXURE_4_UPS1"/>
      <sheetName val="ANNEXURE_4_HVAC1"/>
      <sheetName val="HVAC_-Measurement1"/>
      <sheetName val="_Duct_Measurement1"/>
      <sheetName val="ANNEXURE_4_PAC1"/>
      <sheetName val="PAC-_Measurement1"/>
      <sheetName val="ANNEXURE_4_FPS1"/>
      <sheetName val="FPS-_Measurement1"/>
      <sheetName val="ANNEXURE_4_ELV-FAS1"/>
      <sheetName val="FA_-_Measurement1"/>
      <sheetName val="ANNEXURE_4_ELV-_Digital_PAS1"/>
      <sheetName val="PA_-Measurement1"/>
      <sheetName val="ANNEXURE_4_ELV-RRS1"/>
      <sheetName val="RRS-_Measurement1"/>
      <sheetName val="ANNEXURE_4_ELV-WLD1"/>
      <sheetName val="Measurement_-WLD1"/>
      <sheetName val="ANNEXURE_4_ELV-BMS1"/>
      <sheetName val="BMS-_Measurement1"/>
      <sheetName val="ANNEXURE_4_ELV-VAV1"/>
      <sheetName val="ANNEXURE_4_SECURITY-ACS1"/>
      <sheetName val="Access-Measurement_1"/>
      <sheetName val="ANNEXURE_4_SECURITY-VMS1"/>
      <sheetName val="ANNEXURE_4_SECURITY-CCTV1"/>
      <sheetName val="Measurement_-CCTV1"/>
      <sheetName val="ANNEXURE_4_PRINTER_&amp;_LOCKER_1"/>
      <sheetName val="Gen_Info1"/>
      <sheetName val="crs_-G-1_x005f_x001a__x002"/>
      <sheetName val="crs_-G-1_x005f_x001a___TBAL96972"/>
      <sheetName val="crs_-G-1_x005f_x005f_x0011"/>
      <sheetName val="Design sheet"/>
      <sheetName val="FORM7"/>
      <sheetName val="Formulas"/>
      <sheetName val="labour coeff"/>
      <sheetName val="Fee Rate Summary"/>
      <sheetName val="A"/>
      <sheetName val="VI Floor Beam "/>
      <sheetName val="crs_-G-1_x001a__x0000__x0000_TB"/>
      <sheetName val="crs_-G-1_x001a___TBAL9697_-grou"/>
      <sheetName val="11A"/>
      <sheetName val="14"/>
      <sheetName val="Boq (Main Building)"/>
      <sheetName val="refer"/>
      <sheetName val="TBS_x005f_x005f_x00"/>
      <sheetName val="crs_-G-1_x001a_"/>
      <sheetName val="[sept98_xls_x001d_B_Sheet_97"/>
      <sheetName val="[sept98_xls_x001d_B_Sheet_971"/>
      <sheetName val="[sept98_xls_x001d_B_Sheet_972"/>
      <sheetName val="Column all floor R1"/>
      <sheetName val="Loan Amortization Schedule"/>
      <sheetName val="6A"/>
      <sheetName val="SCHEDULE OF RATES"/>
      <sheetName val="_sept98_xls_x005f_x001d_B_Shee1"/>
      <sheetName val="[sept98_xls_x005f_x001d_B_Shee1"/>
      <sheetName val="_sept98_xls_x005f_x005f_1"/>
      <sheetName val="HPL"/>
      <sheetName val="Annex"/>
      <sheetName val="_sept98_xlsB_Sheet1"/>
      <sheetName val="crs_-G-1TB1"/>
      <sheetName val="crs_-G-1__TBAL9697_-grou1"/>
      <sheetName val="crs_-G-1_x005f_x005f_x005f_x001a__x005f_x005f_x03"/>
      <sheetName val="crs_-G-1_x005f_x005f_x005f_x001a___TBAL9693"/>
      <sheetName val="AutoOpen_Stub_Data3"/>
      <sheetName val="Material_Rate3"/>
      <sheetName val="boq_actual3"/>
      <sheetName val="[sept98_xls_x005f_x005f_x005f_x005f_x005f_x005f_3"/>
      <sheetName val="crs_-G-1_x005f_x001a_??TBAL9697_-gro3"/>
      <sheetName val="ANNEXURE_13"/>
      <sheetName val="ANNEXURE_23"/>
      <sheetName val="ANNEXURE_33"/>
      <sheetName val="ANNEXURE_4_-_C&amp;I_Works_3"/>
      <sheetName val="ANNEXURE_4_-_C&amp;I(HUB_&amp;_Toilet)3"/>
      <sheetName val="C&amp;I-_COMM_QUAL3"/>
      <sheetName val="ANNEXURE_4_-_Site_Office3"/>
      <sheetName val="ANNEXURE_4_PHE_&amp;_RO_3"/>
      <sheetName val="ANNEXURE_4_ELECRICAL_WORKS3"/>
      <sheetName val="Ele-Cables,_Trays,_Race_Way_et3"/>
      <sheetName val="Ele_-_Circuit_Wiring_3"/>
      <sheetName val="ELE_-_Inventory3"/>
      <sheetName val="ANNEXURE_4_LIGHT_FIXTURES3"/>
      <sheetName val="ANNEXURE_4_UPS3"/>
      <sheetName val="ANNEXURE_4_HVAC3"/>
      <sheetName val="HVAC_-Measurement3"/>
      <sheetName val="_Duct_Measurement3"/>
      <sheetName val="ANNEXURE_4_PAC3"/>
      <sheetName val="PAC-_Measurement3"/>
      <sheetName val="ANNEXURE_4_FPS3"/>
      <sheetName val="FPS-_Measurement3"/>
      <sheetName val="ANNEXURE_4_ELV-FAS3"/>
      <sheetName val="FA_-_Measurement3"/>
      <sheetName val="ANNEXURE_4_ELV-_Digital_PAS3"/>
      <sheetName val="PA_-Measurement3"/>
      <sheetName val="ANNEXURE_4_ELV-RRS3"/>
      <sheetName val="RRS-_Measurement3"/>
      <sheetName val="ANNEXURE_4_ELV-WLD3"/>
      <sheetName val="Measurement_-WLD3"/>
      <sheetName val="ANNEXURE_4_ELV-BMS3"/>
      <sheetName val="BMS-_Measurement3"/>
      <sheetName val="ANNEXURE_4_ELV-VAV3"/>
      <sheetName val="ANNEXURE_4_SECURITY-ACS3"/>
      <sheetName val="Access-Measurement_3"/>
      <sheetName val="ANNEXURE_4_SECURITY-VMS3"/>
      <sheetName val="ANNEXURE_4_SECURITY-CCTV3"/>
      <sheetName val="Measurement_-CCTV3"/>
      <sheetName val="ANNEXURE_4_PRINTER_&amp;_LOCKER_3"/>
      <sheetName val="Gen_Info3"/>
      <sheetName val="crs_-G-1_x005f_x001a__x004"/>
      <sheetName val="crs_-G-1_x005f_x001a___TBAL96974"/>
      <sheetName val="crs_-G-1_x005f_x005f_x0013"/>
      <sheetName val="crs_-G-1_x005f_x001a__x005f_x005f_x001"/>
      <sheetName val="[sept98_xls_x005f_x005f_x1"/>
      <sheetName val="accom_cash1"/>
      <sheetName val="train_cash1"/>
      <sheetName val="SLAB_SCH1"/>
      <sheetName val="Customize_Your_Invoice1"/>
      <sheetName val="Ring_Details1"/>
      <sheetName val="schedule_nos1"/>
      <sheetName val="_sept98_xlsB_Sheet_9713"/>
      <sheetName val="_sept98_xlsB_Sheet_977"/>
      <sheetName val="BOQ_Distribution1"/>
      <sheetName val="Basement_Budget1"/>
      <sheetName val="_sept98_xlsB_Sheet_9718"/>
      <sheetName val="_sept98_xlsB_Sheet_9716"/>
      <sheetName val="Design_sheet1"/>
      <sheetName val="labour_coeff1"/>
      <sheetName val="Fee_Rate_Summary1"/>
      <sheetName val="VI_Floor_Beam_1"/>
      <sheetName val="Boq_(Main_Building)1"/>
      <sheetName val="Detail_1A1"/>
      <sheetName val="PROJECT_BRIEF(EX_NEW)1"/>
      <sheetName val="11B_1"/>
      <sheetName val="Footing_1"/>
      <sheetName val="crs_-G-1_x005f_x005f_x005f_x001a__x005f_x005f_x02"/>
      <sheetName val="crs_-G-1_x005f_x005f_x005f_x001a___TBAL9692"/>
      <sheetName val="AutoOpen_Stub_Data2"/>
      <sheetName val="Material_Rate2"/>
      <sheetName val="boq_actual2"/>
      <sheetName val="[sept98_xls_x005f_x005f_x005f_x005f_x005f_x005f_2"/>
      <sheetName val="crs_-G-1_x005f_x001a_??TBAL9697_-gro2"/>
      <sheetName val="ANNEXURE_12"/>
      <sheetName val="ANNEXURE_22"/>
      <sheetName val="ANNEXURE_32"/>
      <sheetName val="ANNEXURE_4_-_C&amp;I_Works_2"/>
      <sheetName val="ANNEXURE_4_-_C&amp;I(HUB_&amp;_Toilet)2"/>
      <sheetName val="C&amp;I-_COMM_QUAL2"/>
      <sheetName val="ANNEXURE_4_-_Site_Office2"/>
      <sheetName val="ANNEXURE_4_PHE_&amp;_RO_2"/>
      <sheetName val="ANNEXURE_4_ELECRICAL_WORKS2"/>
      <sheetName val="Ele-Cables,_Trays,_Race_Way_et2"/>
      <sheetName val="Ele_-_Circuit_Wiring_2"/>
      <sheetName val="ELE_-_Inventory2"/>
      <sheetName val="ANNEXURE_4_LIGHT_FIXTURES2"/>
      <sheetName val="ANNEXURE_4_UPS2"/>
      <sheetName val="ANNEXURE_4_HVAC2"/>
      <sheetName val="HVAC_-Measurement2"/>
      <sheetName val="_Duct_Measurement2"/>
      <sheetName val="ANNEXURE_4_PAC2"/>
      <sheetName val="PAC-_Measurement2"/>
      <sheetName val="ANNEXURE_4_FPS2"/>
      <sheetName val="FPS-_Measurement2"/>
      <sheetName val="ANNEXURE_4_ELV-FAS2"/>
      <sheetName val="FA_-_Measurement2"/>
      <sheetName val="ANNEXURE_4_ELV-_Digital_PAS2"/>
      <sheetName val="PA_-Measurement2"/>
      <sheetName val="ANNEXURE_4_ELV-RRS2"/>
      <sheetName val="RRS-_Measurement2"/>
      <sheetName val="ANNEXURE_4_ELV-WLD2"/>
      <sheetName val="Measurement_-WLD2"/>
      <sheetName val="ANNEXURE_4_ELV-BMS2"/>
      <sheetName val="BMS-_Measurement2"/>
      <sheetName val="ANNEXURE_4_ELV-VAV2"/>
      <sheetName val="ANNEXURE_4_SECURITY-ACS2"/>
      <sheetName val="Access-Measurement_2"/>
      <sheetName val="ANNEXURE_4_SECURITY-VMS2"/>
      <sheetName val="ANNEXURE_4_SECURITY-CCTV2"/>
      <sheetName val="Measurement_-CCTV2"/>
      <sheetName val="ANNEXURE_4_PRINTER_&amp;_LOCKER_2"/>
      <sheetName val="Gen_Info2"/>
      <sheetName val="crs_-G-1_x005f_x001a__x003"/>
      <sheetName val="crs_-G-1_x005f_x001a___TBAL96973"/>
      <sheetName val="crs_-G-1_x005f_x005f_x0012"/>
      <sheetName val="crs_-G-1_x005f_x001a__x005f_x005f_x00"/>
      <sheetName val="[sept98_xls_x005f_x005f_x"/>
      <sheetName val="accom_cash"/>
      <sheetName val="train_cash"/>
      <sheetName val="SLAB_SCH"/>
      <sheetName val="Ring_Details"/>
      <sheetName val="schedule_nos"/>
      <sheetName val="BOQ_Distribution"/>
      <sheetName val="Basement_Budget"/>
      <sheetName val="Design_sheet"/>
      <sheetName val="labour_coeff"/>
      <sheetName val="Fee_Rate_Summary"/>
      <sheetName val="VI_Floor_Beam_"/>
      <sheetName val="Boq_(Main_Building)"/>
      <sheetName val="Detail_1A"/>
      <sheetName val="PROJECT_BRIEF(EX_NEW)"/>
      <sheetName val="11B_"/>
      <sheetName val="Footing_"/>
      <sheetName val="oman_maint26"/>
      <sheetName val="CORPN_OCT25"/>
      <sheetName val="inout_consol-nov25"/>
      <sheetName val="inout_consol_(2)25"/>
      <sheetName val="AS_ON_DT_EXPS_Mar25"/>
      <sheetName val="J_fix_asst25"/>
      <sheetName val="J_fix_asst_sdpl25"/>
      <sheetName val="f_a_obpl25"/>
      <sheetName val="J_fix_asst_obpl25"/>
      <sheetName val="J_fix_asst_scc25"/>
      <sheetName val="J_fix_asst_ripl25"/>
      <sheetName val="fa-pl_&amp;_mach-site25"/>
      <sheetName val="fa_off_eqp25"/>
      <sheetName val="fa_fur&amp;_fix25"/>
      <sheetName val="I_Con_WIP_(2)25"/>
      <sheetName val="TBAL9596_-IIIIRUN25"/>
      <sheetName val="TBCRSsdpl_July9825"/>
      <sheetName val="Other_Proj_Schdl25"/>
      <sheetName val="OT_CLIENTS25"/>
      <sheetName val="inout_consol_July_9825"/>
      <sheetName val="consol_flow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D_Loan__Prom25"/>
      <sheetName val="E_Bank_Loan25"/>
      <sheetName val="G_work_Cap_25"/>
      <sheetName val="H_land_adv25"/>
      <sheetName val="detai_Wip_225"/>
      <sheetName val="detai_Wip_I_25"/>
      <sheetName val="J_Con_WIP25"/>
      <sheetName val="K_L_Oth_Co_25"/>
      <sheetName val="fix_asst_Obpl25"/>
      <sheetName val="TBAL9697__group_wise__sdpl25"/>
      <sheetName val="[sept98_xlsUomantopaz21"/>
      <sheetName val="_sept98_xlsUomantopaz21"/>
      <sheetName val="_sept98_xls_x005f_x001d_B_Sheet_9721"/>
      <sheetName val="PRECAST_lightconc-II21"/>
      <sheetName val="[sept98_xls_x005f_x001d_B_Sheet_9721"/>
      <sheetName val="Detail_In_Door_Stad4"/>
      <sheetName val="_sept98_xls_x005f_x005f_x005f_x005f_x4"/>
      <sheetName val="KQ_Cost_Controlling4"/>
      <sheetName val="KQ_Appropriation4"/>
      <sheetName val="crs_-G-1_x005f_x001a_4"/>
      <sheetName val="RA_BILL_(47-)4"/>
      <sheetName val="Debits_as_on_12_04_084"/>
      <sheetName val="Basic_Rates4"/>
      <sheetName val="Works_-_Quote_Sheet4"/>
      <sheetName val="Cashflow_projection4"/>
      <sheetName val="220_11__BS_4"/>
      <sheetName val="GR_slab-reinft4"/>
      <sheetName val="GF_Columns4"/>
      <sheetName val="Cash_Flow_Input_Data_ISC4"/>
      <sheetName val="Tender_Summary4"/>
      <sheetName val="Rate_Analysis4"/>
      <sheetName val="Assumption_Inputs4"/>
      <sheetName val="PPM_Dates_10-16-074"/>
      <sheetName val="Sheet1_(2)4"/>
      <sheetName val="_sept98_xls_x4"/>
      <sheetName val="[sept98_xls_x005f_x001d_B_Sheet4"/>
      <sheetName val="PHE_BOQ4"/>
      <sheetName val="SPILL_OVER4"/>
      <sheetName val="Break_up_Sheet4"/>
      <sheetName val="TBAL9697_-group_wise_sdpl4"/>
      <sheetName val="Legal_Risk_Analysis4"/>
      <sheetName val="crs_-G-1_x005f_x005f_x005f_x001a__x005f_x005f_x04"/>
      <sheetName val="crs_-G-1_x005f_x005f_x005f_x001a___TBAL9694"/>
      <sheetName val="AutoOpen_Stub_Data4"/>
      <sheetName val="Material_Rate4"/>
      <sheetName val="Area_Statement4"/>
      <sheetName val="Risk_Analysis4"/>
      <sheetName val="boq_actual4"/>
      <sheetName val="[sept98_xls_x005f_x005f_x005f_x005f_x005f_x005f_4"/>
      <sheetName val="crs_-G-1_x005f_x001a_??TBAL9697_-gro4"/>
      <sheetName val="CABLE_DATA4"/>
      <sheetName val="Break_Dw4"/>
      <sheetName val="ANNEXURE_14"/>
      <sheetName val="ANNEXURE_24"/>
      <sheetName val="ANNEXURE_34"/>
      <sheetName val="ANNEXURE_4_-_C&amp;I_Works_4"/>
      <sheetName val="ANNEXURE_4_-_C&amp;I(HUB_&amp;_Toilet)4"/>
      <sheetName val="C&amp;I-_COMM_QUAL4"/>
      <sheetName val="ANNEXURE_4_-_Site_Office4"/>
      <sheetName val="ANNEXURE_4_PHE_&amp;_RO_4"/>
      <sheetName val="ANNEXURE_4_ELECRICAL_WORKS4"/>
      <sheetName val="Ele-Cables,_Trays,_Race_Way_et4"/>
      <sheetName val="Ele_-_Circuit_Wiring_4"/>
      <sheetName val="ELE_-_Inventory4"/>
      <sheetName val="ANNEXURE_4_LIGHT_FIXTURES4"/>
      <sheetName val="ANNEXURE_4_UPS4"/>
      <sheetName val="ANNEXURE_4_HVAC4"/>
      <sheetName val="HVAC_-Measurement4"/>
      <sheetName val="_Duct_Measurement4"/>
      <sheetName val="ANNEXURE_4_PAC4"/>
      <sheetName val="PAC-_Measurement4"/>
      <sheetName val="ANNEXURE_4_FPS4"/>
      <sheetName val="FPS-_Measurement4"/>
      <sheetName val="ANNEXURE_4_ELV-FAS4"/>
      <sheetName val="FA_-_Measurement4"/>
      <sheetName val="ANNEXURE_4_ELV-_Digital_PAS4"/>
      <sheetName val="PA_-Measurement4"/>
      <sheetName val="ANNEXURE_4_ELV-RRS4"/>
      <sheetName val="RRS-_Measurement4"/>
      <sheetName val="ANNEXURE_4_ELV-WLD4"/>
      <sheetName val="Measurement_-WLD4"/>
      <sheetName val="ANNEXURE_4_ELV-BMS4"/>
      <sheetName val="BMS-_Measurement4"/>
      <sheetName val="ANNEXURE_4_ELV-VAV4"/>
      <sheetName val="ANNEXURE_4_SECURITY-ACS4"/>
      <sheetName val="Access-Measurement_4"/>
      <sheetName val="ANNEXURE_4_SECURITY-VMS4"/>
      <sheetName val="ANNEXURE_4_SECURITY-CCTV4"/>
      <sheetName val="Measurement_-CCTV4"/>
      <sheetName val="ANNEXURE_4_PRINTER_&amp;_LOCKER_4"/>
      <sheetName val="Gen_Info4"/>
      <sheetName val="crs_-G-1_x005f_x001a__x005"/>
      <sheetName val="crs_-G-1_x005f_x001a___TBAL96975"/>
      <sheetName val="crs_-G-1_x005f_x005f_x0014"/>
      <sheetName val="crs_-G-1_x005f_x001a__x005f_x005f_x002"/>
      <sheetName val="[sept98_xls_x005f_x005f_x2"/>
      <sheetName val="accom_cash2"/>
      <sheetName val="train_cash2"/>
      <sheetName val="SLAB_SCH2"/>
      <sheetName val="Customize_Your_Invoice2"/>
      <sheetName val="Ring_Details2"/>
      <sheetName val="schedule_nos2"/>
      <sheetName val="BOQ_Distribution2"/>
      <sheetName val="Basement_Budget2"/>
      <sheetName val="Design_sheet2"/>
      <sheetName val="labour_coeff2"/>
      <sheetName val="Fee_Rate_Summary2"/>
      <sheetName val="VI_Floor_Beam_2"/>
      <sheetName val="Boq_(Main_Building)2"/>
      <sheetName val="Detail_1A2"/>
      <sheetName val="PROJECT_BRIEF(EX_NEW)2"/>
      <sheetName val="11B_2"/>
      <sheetName val="Footing_2"/>
      <sheetName val="Lease rents"/>
      <sheetName val="ord-lost_98&amp;99"/>
      <sheetName val="inWords"/>
      <sheetName val="Column Detail"/>
      <sheetName val="oman_maint27"/>
      <sheetName val="CORPN_OCT26"/>
      <sheetName val="inout_consol-nov26"/>
      <sheetName val="inout_consol_(2)26"/>
      <sheetName val="AS_ON_DT_EXPS_Mar26"/>
      <sheetName val="J_fix_asst26"/>
      <sheetName val="J_fix_asst_sdpl26"/>
      <sheetName val="f_a_obpl26"/>
      <sheetName val="J_fix_asst_obpl26"/>
      <sheetName val="J_fix_asst_scc26"/>
      <sheetName val="J_fix_asst_ripl26"/>
      <sheetName val="fa-pl_&amp;_mach-site26"/>
      <sheetName val="fa_off_eqp26"/>
      <sheetName val="fa_fur&amp;_fix26"/>
      <sheetName val="I_Con_WIP_(2)26"/>
      <sheetName val="TBAL9596_-IIIIRUN26"/>
      <sheetName val="TBCRSsdpl_July9826"/>
      <sheetName val="Other_Proj_Schdl26"/>
      <sheetName val="OT_CLIENTS26"/>
      <sheetName val="inout_consol_July_9826"/>
      <sheetName val="consol_flow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D_Loan__Prom26"/>
      <sheetName val="E_Bank_Loan26"/>
      <sheetName val="G_work_Cap_26"/>
      <sheetName val="H_land_adv26"/>
      <sheetName val="detai_Wip_226"/>
      <sheetName val="detai_Wip_I_26"/>
      <sheetName val="J_Con_WIP26"/>
      <sheetName val="K_L_Oth_Co_26"/>
      <sheetName val="fix_asst_Obpl26"/>
      <sheetName val="TBAL9697__group_wise__sdpl26"/>
      <sheetName val="[sept98_xlsUomantopaz22"/>
      <sheetName val="_sept98_xlsUomantopaz22"/>
      <sheetName val="_sept98_xls_x005f_x001d_B_Sheet_9722"/>
      <sheetName val="[sept98_xls_x005f_x001d_B_Sheet_9722"/>
      <sheetName val="PRECAST_lightconc-II22"/>
      <sheetName val="Detail_In_Door_Stad5"/>
      <sheetName val="_sept98_xls_x005f_x005f_x005f_x005f_x5"/>
      <sheetName val="KQ_Cost_Controlling5"/>
      <sheetName val="KQ_Appropriation5"/>
      <sheetName val="crs_-G-1_x005f_x001a_5"/>
      <sheetName val="RA_BILL_(47-)5"/>
      <sheetName val="Debits_as_on_12_04_085"/>
      <sheetName val="Basic_Rates5"/>
      <sheetName val="Works_-_Quote_Sheet5"/>
      <sheetName val="Cashflow_projection5"/>
      <sheetName val="220_11__BS_5"/>
      <sheetName val="GR_slab-reinft5"/>
      <sheetName val="GF_Columns5"/>
      <sheetName val="Cash_Flow_Input_Data_ISC5"/>
      <sheetName val="Tender_Summary5"/>
      <sheetName val="Rate_Analysis5"/>
      <sheetName val="Assumption_Inputs5"/>
      <sheetName val="PPM_Dates_10-16-075"/>
      <sheetName val="Sheet1_(2)5"/>
      <sheetName val="_sept98_xls_x5"/>
      <sheetName val="[sept98_xls_x005f_x001d_B_Sheet5"/>
      <sheetName val="PHE_BOQ5"/>
      <sheetName val="SPILL_OVER5"/>
      <sheetName val="Break_up_Sheet5"/>
      <sheetName val="TBAL9697_-group_wise_sdpl5"/>
      <sheetName val="Legal_Risk_Analysis5"/>
      <sheetName val="crs_-G-1_x005f_x005f_x005f_x001a__x005f_x005f_x05"/>
      <sheetName val="crs_-G-1_x005f_x005f_x005f_x001a___TBAL9695"/>
      <sheetName val="AutoOpen_Stub_Data5"/>
      <sheetName val="Material_Rate5"/>
      <sheetName val="boq_actual5"/>
      <sheetName val="ANNEXURE_15"/>
      <sheetName val="ANNEXURE_25"/>
      <sheetName val="ANNEXURE_35"/>
      <sheetName val="ANNEXURE_4_-_C&amp;I_Works_5"/>
      <sheetName val="ANNEXURE_4_-_C&amp;I(HUB_&amp;_Toilet)5"/>
      <sheetName val="C&amp;I-_COMM_QUAL5"/>
      <sheetName val="ANNEXURE_4_-_Site_Office5"/>
      <sheetName val="ANNEXURE_4_PHE_&amp;_RO_5"/>
      <sheetName val="ANNEXURE_4_ELECRICAL_WORKS5"/>
      <sheetName val="Ele-Cables,_Trays,_Race_Way_et5"/>
      <sheetName val="Ele_-_Circuit_Wiring_5"/>
      <sheetName val="ELE_-_Inventory5"/>
      <sheetName val="ANNEXURE_4_LIGHT_FIXTURES5"/>
      <sheetName val="ANNEXURE_4_UPS5"/>
      <sheetName val="ANNEXURE_4_HVAC5"/>
      <sheetName val="HVAC_-Measurement5"/>
      <sheetName val="_Duct_Measurement5"/>
      <sheetName val="ANNEXURE_4_PAC5"/>
      <sheetName val="PAC-_Measurement5"/>
      <sheetName val="ANNEXURE_4_FPS5"/>
      <sheetName val="FPS-_Measurement5"/>
      <sheetName val="ANNEXURE_4_ELV-FAS5"/>
      <sheetName val="FA_-_Measurement5"/>
      <sheetName val="ANNEXURE_4_ELV-_Digital_PAS5"/>
      <sheetName val="PA_-Measurement5"/>
      <sheetName val="ANNEXURE_4_ELV-RRS5"/>
      <sheetName val="RRS-_Measurement5"/>
      <sheetName val="ANNEXURE_4_ELV-WLD5"/>
      <sheetName val="Measurement_-WLD5"/>
      <sheetName val="ANNEXURE_4_ELV-BMS5"/>
      <sheetName val="BMS-_Measurement5"/>
      <sheetName val="ANNEXURE_4_ELV-VAV5"/>
      <sheetName val="ANNEXURE_4_SECURITY-ACS5"/>
      <sheetName val="Access-Measurement_5"/>
      <sheetName val="ANNEXURE_4_SECURITY-VMS5"/>
      <sheetName val="ANNEXURE_4_SECURITY-CCTV5"/>
      <sheetName val="Measurement_-CCTV5"/>
      <sheetName val="ANNEXURE_4_PRINTER_&amp;_LOCKER_5"/>
      <sheetName val="Gen_Info5"/>
      <sheetName val="[sept98_xls_x005f_x005f_x005f_x005f_x005f_x005f_5"/>
      <sheetName val="crs_-G-1_x005f_x001a_??TBAL9697_-gro5"/>
      <sheetName val="CABLE_DATA5"/>
      <sheetName val="Break_Dw5"/>
      <sheetName val="crs_-G-1_x005f_x001a__x005f_x005f_x003"/>
      <sheetName val="crs_-G-1_x005f_x001a___TBAL96976"/>
      <sheetName val="[sept98_xls_x005f_x005f_x3"/>
      <sheetName val="accom_cash3"/>
      <sheetName val="train_cash3"/>
      <sheetName val="Area_Statement5"/>
      <sheetName val="Risk_Analysis5"/>
      <sheetName val="crs_-G-1_x005f_x001a__x006"/>
      <sheetName val="crs_-G-1_x005f_x005f_x0015"/>
      <sheetName val="SLAB_SCH3"/>
      <sheetName val="Customize_Your_Invoice3"/>
      <sheetName val="Ring_Details3"/>
      <sheetName val="schedule_nos3"/>
      <sheetName val="BOQ_Distribution3"/>
      <sheetName val="Basement_Budget3"/>
      <sheetName val="Design_sheet3"/>
      <sheetName val="labour_coeff3"/>
      <sheetName val="Fee_Rate_Summary3"/>
      <sheetName val="VI_Floor_Beam_3"/>
      <sheetName val="Boq_(Main_Building)3"/>
      <sheetName val="Detail_1A3"/>
      <sheetName val="PROJECT_BRIEF(EX_NEW)3"/>
      <sheetName val="11B_3"/>
      <sheetName val="Footing_3"/>
      <sheetName val="外気負荷"/>
      <sheetName val="MTO REV.0"/>
      <sheetName val="Core Data"/>
      <sheetName val="ASHRAE Std 62.1-2013"/>
      <sheetName val="LPD VALUE"/>
      <sheetName val="IEQ 6.1 Systems Lighting"/>
      <sheetName val="[sept98_xls_x001d_B_Sheet_9713"/>
      <sheetName val="[sept98_xls_x001d_B_Sheet_977"/>
      <sheetName val="[sept98_xls_x001d_B_Sheet_9718"/>
      <sheetName val="[sept98_xls_x001d_B_Sheet_9716"/>
      <sheetName val="_sept98_xls_x001d_B_Sheet_979"/>
      <sheetName val="[sept98_xls_x001d_B_Sheet_979"/>
      <sheetName val="_sept98_xls_x005f_x001d_B_Shee6"/>
      <sheetName val="[sept98_xls_x005f_x001d_B_Shee6"/>
      <sheetName val="_sept98_xls_x005f_x005f_6"/>
      <sheetName val="crs_-G-1_x001a__x0000__x0000_T6"/>
      <sheetName val="crs_-G-1_x001a___TBAL9697_-gro6"/>
      <sheetName val="_sept98_xls_x001d_B_Sheet6"/>
      <sheetName val="_sept98_xls_x6"/>
      <sheetName val="_sept98_xls_x001d_B_Sheet_976"/>
      <sheetName val="[sept98_xls_x001d_B_Sheet_976"/>
      <sheetName val="_sept98_xls_x005f_x001d_B_Shee4"/>
      <sheetName val="[sept98_xls_x005f_x001d_B_Shee4"/>
      <sheetName val="_sept98_xls_x005f_x005f_4"/>
      <sheetName val="crs_-G-1_x001a__x0000__x0000_T4"/>
      <sheetName val="crs_-G-1_x001a___TBAL9697_-gro4"/>
      <sheetName val="_sept98_xls_x001d_B_Sheet4"/>
      <sheetName val="_sept98_xls_x001d_B_Sheet_975"/>
      <sheetName val="[sept98_xls_x001d_B_Sheet_975"/>
      <sheetName val="_sept98_xls_x005f_x001d_B_Shee3"/>
      <sheetName val="[sept98_xls_x005f_x001d_B_Shee3"/>
      <sheetName val="_sept98_xls_x005f_x005f_3"/>
      <sheetName val="crs_-G-1_x001a__x0000__x0000_T3"/>
      <sheetName val="crs_-G-1_x001a___TBAL9697_-gro3"/>
      <sheetName val="_sept98_xls_x001d_B_Sheet3"/>
      <sheetName val="_sept98_xls_x001d_B_Sheet_973"/>
      <sheetName val="[sept98_xls_x001d_B_Sheet_973"/>
      <sheetName val="crs_-G-1_x001a__x0000__x0000_T1"/>
      <sheetName val="crs_-G-1_x001a___TBAL9697_-gro1"/>
      <sheetName val="_sept98_xls_x001d_B_Sheet1"/>
      <sheetName val="_sept98_xls_x001d_B_Sheet_974"/>
      <sheetName val="[sept98_xls_x001d_B_Sheet_974"/>
      <sheetName val="_sept98_xls_x005f_x001d_B_Shee2"/>
      <sheetName val="[sept98_xls_x005f_x001d_B_Shee2"/>
      <sheetName val="_sept98_xls_x005f_x005f_2"/>
      <sheetName val="crs_-G-1_x001a__x0000__x0000_T2"/>
      <sheetName val="crs_-G-1_x001a___TBAL9697_-gro2"/>
      <sheetName val="_sept98_xls_x001d_B_Sheet2"/>
      <sheetName val="crs_-G-1_x001a_1"/>
      <sheetName val="crs_-G-1_x001a_2"/>
      <sheetName val="_sept98_xls_x001d_B_Sheet_978"/>
      <sheetName val="[sept98_xls_x001d_B_Sheet_978"/>
      <sheetName val="_sept98_xls_x005f_x001d_B_Shee5"/>
      <sheetName val="[sept98_xls_x005f_x001d_B_Shee5"/>
      <sheetName val="_sept98_xls_x005f_x005f_5"/>
      <sheetName val="crs_-G-1_x001a__x0000__x0000_T5"/>
      <sheetName val="crs_-G-1_x001a___TBAL9697_-gro5"/>
      <sheetName val="_sept98_xls_x001d_B_Sheet5"/>
      <sheetName val="_sept98_xls_x001d_B_Sheet_9710"/>
      <sheetName val="[sept98_xls_x001d_B_Sheet_9710"/>
      <sheetName val="_sept98_xls_x005f_x001d_B_Shee7"/>
      <sheetName val="[sept98_xls_x005f_x001d_B_Shee7"/>
      <sheetName val="_sept98_xls_x005f_x005f_7"/>
      <sheetName val="crs_-G-1_x001a__x0000__x0000_T7"/>
      <sheetName val="crs_-G-1_x001a___TBAL9697_-gro7"/>
      <sheetName val="_sept98_xls_x001d_B_Sheet7"/>
      <sheetName val="_sept98_xls_x7"/>
      <sheetName val="crs_-G-1_x001a_3"/>
      <sheetName val="_sept98_xls_x001d_B_Sheet_9711"/>
      <sheetName val="[sept98_xls_x001d_B_Sheet_9711"/>
      <sheetName val="_sept98_xls_x001d_B_Sheet_9712"/>
      <sheetName val="[sept98_xls_x001d_B_Sheet_9712"/>
      <sheetName val="_sept98_xls_x001d_B_Sheet_9714"/>
      <sheetName val="[sept98_xls_x001d_B_Sheet_9714"/>
      <sheetName val="[sept98.xls_x001d_B_Sheet"/>
      <sheetName val="_sept98_xls_x001d_B_Sheet_9715"/>
      <sheetName val="[sept98_xls_x001d_B_Sheet_9715"/>
      <sheetName val="[sept98_xls_x001d_B_Sheet"/>
      <sheetName val="_sept98_xls_x001d_B_Sheet_9717"/>
      <sheetName val="[sept98_xls_x001d_B_Sheet_9717"/>
      <sheetName val="[sept98_xls_x001d_B_Sheet1"/>
      <sheetName val="_sept98_xls_x001d_B_Sheet_9719"/>
      <sheetName val="[sept98_xls_x001d_B_Sheet_9719"/>
      <sheetName val="[sept98_xls_x001d_B_Sheet2"/>
      <sheetName val="crs -G-1_x001a_??TBAL9697 -grou"/>
      <sheetName val="crs -G-1_x001a__x00"/>
      <sheetName val="crs -G-1_x001a___TBAL9697"/>
      <sheetName val="crs_-G-1_x001a__x00"/>
      <sheetName val="crs_-G-1_x001a___TBAL9697"/>
      <sheetName val="salestax9697-t_x005"/>
      <sheetName val="crs -G-1_x001"/>
      <sheetName val="[sept98.xls_x"/>
      <sheetName val="_sept98_xls_x005f_x001d_B_She_2"/>
      <sheetName val="_sept98_xls_x005f_x001d_B_She_3"/>
      <sheetName val="crs -G-1_x001a_TBAL9697 -group wise"/>
      <sheetName val="crs -G-1_x001a_TB"/>
      <sheetName val="crs_-G-1_x001a_TB"/>
      <sheetName val="crs_-G-1_x001a_T6"/>
      <sheetName val="crs_-G-1_x001a_T4"/>
      <sheetName val="crs_-G-1_x001a_T3"/>
      <sheetName val="crs_-G-1_x001a_T1"/>
      <sheetName val="crs_-G-1_x001a_T2"/>
      <sheetName val="crs_-G-1_x001a_T5"/>
      <sheetName val="crs_-G-1_x001a_T7"/>
      <sheetName val="Invoice"/>
      <sheetName val="Footings"/>
      <sheetName val="Gujrat"/>
      <sheetName val="Intro"/>
      <sheetName val="Day2works"/>
      <sheetName val="Lead"/>
      <sheetName val="crs__G_1___TBAL9697__group_wi_2"/>
      <sheetName val="crs__G_1___TBAL9697__group_wi_3"/>
      <sheetName val="FIND THE PART"/>
      <sheetName val="일위대가"/>
      <sheetName val="COST"/>
      <sheetName val="細目"/>
      <sheetName val="Load Details(B1)"/>
      <sheetName val="Default Values"/>
      <sheetName val="Background"/>
      <sheetName val="oman_maint28"/>
      <sheetName val="CORPN_OCT27"/>
      <sheetName val="inout_consol-nov27"/>
      <sheetName val="inout_consol_(2)27"/>
      <sheetName val="AS_ON_DT_EXPS_Mar27"/>
      <sheetName val="J_fix_asst27"/>
      <sheetName val="J_fix_asst_sdpl27"/>
      <sheetName val="f_a_obpl27"/>
      <sheetName val="J_fix_asst_obpl27"/>
      <sheetName val="J_fix_asst_scc27"/>
      <sheetName val="J_fix_asst_ripl27"/>
      <sheetName val="fa-pl_&amp;_mach-site27"/>
      <sheetName val="fa_off_eqp27"/>
      <sheetName val="fa_fur&amp;_fix27"/>
      <sheetName val="I_Con_WIP_(2)27"/>
      <sheetName val="TBAL9596_-IIIIRUN27"/>
      <sheetName val="TBCRSsdpl_July9827"/>
      <sheetName val="Other_Proj_Schdl27"/>
      <sheetName val="OT_CLIENTS27"/>
      <sheetName val="inout_consol_July_9827"/>
      <sheetName val="consol_flow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D_Loan__Prom27"/>
      <sheetName val="E_Bank_Loan27"/>
      <sheetName val="G_work_Cap_27"/>
      <sheetName val="H_land_adv27"/>
      <sheetName val="detai_Wip_227"/>
      <sheetName val="detai_Wip_I_27"/>
      <sheetName val="J_Con_WIP27"/>
      <sheetName val="K_L_Oth_Co_27"/>
      <sheetName val="fix_asst_Obpl27"/>
      <sheetName val="TBAL9697__group_wise__sdpl27"/>
      <sheetName val="[sept98_xlsUomantopaz23"/>
      <sheetName val="_sept98_xlsUomantopaz23"/>
      <sheetName val="_sept98_xls_x005f_x001d_B_Sheet_9723"/>
      <sheetName val="[sept98_xls_x005f_x001d_B_Sheet_9723"/>
      <sheetName val="PRECAST_lightconc-II23"/>
      <sheetName val="Detail_In_Door_Stad6"/>
      <sheetName val="_sept98_xls_x005f_x005f_x005f_x005f_x6"/>
      <sheetName val="KQ_Cost_Controlling6"/>
      <sheetName val="KQ_Appropriation6"/>
      <sheetName val="crs_-G-1_x005f_x001a_6"/>
      <sheetName val="RA_BILL_(47-)6"/>
      <sheetName val="Debits_as_on_12_04_086"/>
      <sheetName val="Basic_Rates6"/>
      <sheetName val="Works_-_Quote_Sheet6"/>
      <sheetName val="Cashflow_projection6"/>
      <sheetName val="220_11__BS_6"/>
      <sheetName val="GR_slab-reinft6"/>
      <sheetName val="GF_Columns6"/>
      <sheetName val="Cash_Flow_Input_Data_ISC6"/>
      <sheetName val="Tender_Summary6"/>
      <sheetName val="Rate_Analysis6"/>
      <sheetName val="Assumption_Inputs6"/>
      <sheetName val="PPM_Dates_10-16-076"/>
      <sheetName val="Sheet1_(2)6"/>
      <sheetName val="[sept98_xls_x005f_x001d_B_Sheet6"/>
      <sheetName val="PHE_BOQ6"/>
      <sheetName val="SPILL_OVER6"/>
      <sheetName val="Break_up_Sheet6"/>
      <sheetName val="TBAL9697_-group_wise_sdpl6"/>
      <sheetName val="Legal_Risk_Analysis6"/>
      <sheetName val="crs_-G-1_x005f_x005f_x005f_x001a__x005f_x005f_x06"/>
      <sheetName val="crs_-G-1_x005f_x005f_x005f_x001a___TBAL9696"/>
      <sheetName val="AutoOpen_Stub_Data6"/>
      <sheetName val="Material_Rate6"/>
      <sheetName val="boq_actual6"/>
      <sheetName val="ANNEXURE_16"/>
      <sheetName val="ANNEXURE_26"/>
      <sheetName val="ANNEXURE_36"/>
      <sheetName val="ANNEXURE_4_-_C&amp;I_Works_6"/>
      <sheetName val="ANNEXURE_4_-_C&amp;I(HUB_&amp;_Toilet)6"/>
      <sheetName val="C&amp;I-_COMM_QUAL6"/>
      <sheetName val="ANNEXURE_4_-_Site_Office6"/>
      <sheetName val="ANNEXURE_4_PHE_&amp;_RO_6"/>
      <sheetName val="ANNEXURE_4_ELECRICAL_WORKS6"/>
      <sheetName val="Ele-Cables,_Trays,_Race_Way_et6"/>
      <sheetName val="Ele_-_Circuit_Wiring_6"/>
      <sheetName val="ELE_-_Inventory6"/>
      <sheetName val="ANNEXURE_4_LIGHT_FIXTURES6"/>
      <sheetName val="ANNEXURE_4_UPS6"/>
      <sheetName val="ANNEXURE_4_HVAC6"/>
      <sheetName val="HVAC_-Measurement6"/>
      <sheetName val="_Duct_Measurement6"/>
      <sheetName val="ANNEXURE_4_PAC6"/>
      <sheetName val="PAC-_Measurement6"/>
      <sheetName val="ANNEXURE_4_FPS6"/>
      <sheetName val="FPS-_Measurement6"/>
      <sheetName val="ANNEXURE_4_ELV-FAS6"/>
      <sheetName val="FA_-_Measurement6"/>
      <sheetName val="ANNEXURE_4_ELV-_Digital_PAS6"/>
      <sheetName val="PA_-Measurement6"/>
      <sheetName val="ANNEXURE_4_ELV-RRS6"/>
      <sheetName val="RRS-_Measurement6"/>
      <sheetName val="ANNEXURE_4_ELV-WLD6"/>
      <sheetName val="Measurement_-WLD6"/>
      <sheetName val="ANNEXURE_4_ELV-BMS6"/>
      <sheetName val="BMS-_Measurement6"/>
      <sheetName val="ANNEXURE_4_ELV-VAV6"/>
      <sheetName val="ANNEXURE_4_SECURITY-ACS6"/>
      <sheetName val="Access-Measurement_6"/>
      <sheetName val="ANNEXURE_4_SECURITY-VMS6"/>
      <sheetName val="ANNEXURE_4_SECURITY-CCTV6"/>
      <sheetName val="Measurement_-CCTV6"/>
      <sheetName val="ANNEXURE_4_PRINTER_&amp;_LOCKER_6"/>
      <sheetName val="Gen_Info6"/>
      <sheetName val="[sept98_xls_x005f_x005f_x005f_x005f_x005f_x005f_6"/>
      <sheetName val="crs_-G-1_x005f_x001a_??TBAL9697_-gro6"/>
      <sheetName val="CABLE_DATA6"/>
      <sheetName val="Break_Dw6"/>
      <sheetName val="crs_-G-1_x005f_x001a__x005f_x005f_x004"/>
      <sheetName val="crs_-G-1_x005f_x001a___TBAL96977"/>
      <sheetName val="[sept98_xls_x005f_x005f_x4"/>
      <sheetName val="accom_cash4"/>
      <sheetName val="train_cash4"/>
      <sheetName val="Area_Statement6"/>
      <sheetName val="Risk_Analysis6"/>
      <sheetName val="crs_-G-1_x005f_x001a__x007"/>
      <sheetName val="crs_-G-1_x005f_x005f_x0016"/>
      <sheetName val="SLAB_SCH4"/>
      <sheetName val="Customize_Your_Invoice4"/>
      <sheetName val="Ring_Details4"/>
      <sheetName val="schedule_nos4"/>
      <sheetName val="BOQ_Distribution4"/>
      <sheetName val="Basement_Budget4"/>
      <sheetName val="Design_sheet4"/>
      <sheetName val="labour_coeff4"/>
      <sheetName val="Fee_Rate_Summary4"/>
      <sheetName val="VI_Floor_Beam_4"/>
      <sheetName val="Boq_(Main_Building)4"/>
      <sheetName val="Detail_1A4"/>
      <sheetName val="PROJECT_BRIEF(EX_NEW)4"/>
      <sheetName val="11B_4"/>
      <sheetName val="Footing_4"/>
      <sheetName val="Lease_rents"/>
      <sheetName val="Column_all_floor_R1"/>
      <sheetName val="Column_Detail"/>
      <sheetName val="WORK_TABLE"/>
      <sheetName val="Meas_-Hotel_Part"/>
      <sheetName val="oman_maint29"/>
      <sheetName val="CORPN_OCT28"/>
      <sheetName val="inout_consol-nov28"/>
      <sheetName val="inout_consol_(2)28"/>
      <sheetName val="AS_ON_DT_EXPS_Mar28"/>
      <sheetName val="J_fix_asst28"/>
      <sheetName val="J_fix_asst_sdpl28"/>
      <sheetName val="f_a_obpl28"/>
      <sheetName val="J_fix_asst_obpl28"/>
      <sheetName val="J_fix_asst_scc28"/>
      <sheetName val="J_fix_asst_ripl28"/>
      <sheetName val="fa-pl_&amp;_mach-site28"/>
      <sheetName val="fa_off_eqp28"/>
      <sheetName val="fa_fur&amp;_fix28"/>
      <sheetName val="I_Con_WIP_(2)28"/>
      <sheetName val="TBAL9596_-IIIIRUN28"/>
      <sheetName val="TBCRSsdpl_July9828"/>
      <sheetName val="Other_Proj_Schdl28"/>
      <sheetName val="OT_CLIENTS28"/>
      <sheetName val="inout_consol_July_9828"/>
      <sheetName val="consol_flow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D_Loan__Prom28"/>
      <sheetName val="E_Bank_Loan28"/>
      <sheetName val="G_work_Cap_28"/>
      <sheetName val="H_land_adv28"/>
      <sheetName val="detai_Wip_228"/>
      <sheetName val="detai_Wip_I_28"/>
      <sheetName val="J_Con_WIP28"/>
      <sheetName val="K_L_Oth_Co_28"/>
      <sheetName val="fix_asst_Obpl28"/>
      <sheetName val="TBAL9697__group_wise__sdpl28"/>
      <sheetName val="_sept98_xlsUomantopaz24"/>
      <sheetName val="_sept98_xls_x005f_x001d_B_Sheet_9724"/>
      <sheetName val="PRECAST_lightconc-II24"/>
      <sheetName val="Staff_Acco_8"/>
      <sheetName val="SITE_OVERHEADS8"/>
      <sheetName val="RCC,Ret__Wall8"/>
      <sheetName val="LIST_OF_MAKES8"/>
      <sheetName val="Project_Details__8"/>
      <sheetName val="scurve_calc_(2)8"/>
      <sheetName val="key_dates8"/>
      <sheetName val="_sept98_xls_x005f_x005f_x005f_x001d_B_Shee8"/>
      <sheetName val="Boq_Block_A8"/>
      <sheetName val="_sept98_xls࡝sdpl_oth_Liab8"/>
      <sheetName val="Labor_abs-NMR8"/>
      <sheetName val="Customize_Your_Purchase_Order8"/>
      <sheetName val="final_abstract8"/>
      <sheetName val="_sept98_xls_x005f_x005f_x005f_x005f_x005f_x005f_8"/>
      <sheetName val="crs_-G-1_x005f_x001a__x005f_x0000__x005f_x0000_T8"/>
      <sheetName val="crs_-G-1_x005f_x001a___TBAL9697_-gro8"/>
      <sheetName val="_sept98_xls_x005f_x001d_B_Sheet8"/>
      <sheetName val="IO_LIST7"/>
      <sheetName val="Detail_In_Door_Stad7"/>
      <sheetName val="_sept98_xls_x005f_x005f_x8"/>
      <sheetName val="_sept98_xls_x005f_x005f_x005f_x005f_x7"/>
      <sheetName val="Fin_Sum8"/>
      <sheetName val="[sept98_xlsUomantopaz24"/>
      <sheetName val="[sept98_xls_x005f_x001d_B_Sheet_9724"/>
      <sheetName val="[sept98_xls_x005f_x005f_x005f_x001d_B_Shee8"/>
      <sheetName val="[sept98_xls࡝sdpl_oth_Liab8"/>
      <sheetName val="GR_slab-reinft7"/>
      <sheetName val="Assumption_Inputs7"/>
      <sheetName val="[sept98_xls_x005f_x001d_B_Sheet7"/>
      <sheetName val="Direct_Cost7"/>
      <sheetName val="INPUT_SHEET7"/>
      <sheetName val="MASTER_RATE_ANALYSIS7"/>
      <sheetName val="BEAM_INPUT7"/>
      <sheetName val="Plinth_beam7"/>
      <sheetName val="DETAILED__BOQ7"/>
      <sheetName val="acevsSp_(ABC)7"/>
      <sheetName val="KQ_Cost_Controlling7"/>
      <sheetName val="KQ_Appropriation7"/>
      <sheetName val="crs_-G-1_x005f_x001a_7"/>
      <sheetName val="RA_BILL_(47-)7"/>
      <sheetName val="Debits_as_on_12_04_087"/>
      <sheetName val="Basic_Rates7"/>
      <sheetName val="Works_-_Quote_Sheet7"/>
      <sheetName val="Cashflow_projection7"/>
      <sheetName val="220_11__BS_7"/>
      <sheetName val="GF_Columns7"/>
      <sheetName val="Cash_Flow_Input_Data_ISC7"/>
      <sheetName val="Tender_Summary7"/>
      <sheetName val="Rate_Analysis7"/>
      <sheetName val="PPM_Dates_10-16-077"/>
      <sheetName val="Sheet1_(2)7"/>
      <sheetName val="TBAL9697_-group_wise_sdpl7"/>
      <sheetName val="Break_up_Sheet7"/>
      <sheetName val="Legal_Risk_Analysis7"/>
      <sheetName val="PHE_BOQ7"/>
      <sheetName val="SPILL_OVER7"/>
      <sheetName val="ANNEXURE_17"/>
      <sheetName val="ANNEXURE_27"/>
      <sheetName val="ANNEXURE_37"/>
      <sheetName val="ANNEXURE_4_-_C&amp;I_Works_7"/>
      <sheetName val="ANNEXURE_4_-_C&amp;I(HUB_&amp;_Toilet)7"/>
      <sheetName val="C&amp;I-_COMM_QUAL7"/>
      <sheetName val="ANNEXURE_4_-_Site_Office7"/>
      <sheetName val="ANNEXURE_4_PHE_&amp;_RO_7"/>
      <sheetName val="ANNEXURE_4_ELECRICAL_WORKS7"/>
      <sheetName val="Ele-Cables,_Trays,_Race_Way_et7"/>
      <sheetName val="Ele_-_Circuit_Wiring_7"/>
      <sheetName val="ELE_-_Inventory7"/>
      <sheetName val="ANNEXURE_4_LIGHT_FIXTURES7"/>
      <sheetName val="ANNEXURE_4_UPS7"/>
      <sheetName val="ANNEXURE_4_HVAC7"/>
      <sheetName val="HVAC_-Measurement7"/>
      <sheetName val="_Duct_Measurement7"/>
      <sheetName val="ANNEXURE_4_PAC7"/>
      <sheetName val="PAC-_Measurement7"/>
      <sheetName val="ANNEXURE_4_FPS7"/>
      <sheetName val="FPS-_Measurement7"/>
      <sheetName val="ANNEXURE_4_ELV-FAS7"/>
      <sheetName val="FA_-_Measurement7"/>
      <sheetName val="ANNEXURE_4_ELV-_Digital_PAS7"/>
      <sheetName val="PA_-Measurement7"/>
      <sheetName val="ANNEXURE_4_ELV-RRS7"/>
      <sheetName val="RRS-_Measurement7"/>
      <sheetName val="ANNEXURE_4_ELV-WLD7"/>
      <sheetName val="Measurement_-WLD7"/>
      <sheetName val="ANNEXURE_4_ELV-BMS7"/>
      <sheetName val="BMS-_Measurement7"/>
      <sheetName val="ANNEXURE_4_ELV-VAV7"/>
      <sheetName val="ANNEXURE_4_SECURITY-ACS7"/>
      <sheetName val="Access-Measurement_7"/>
      <sheetName val="ANNEXURE_4_SECURITY-VMS7"/>
      <sheetName val="ANNEXURE_4_SECURITY-CCTV7"/>
      <sheetName val="Measurement_-CCTV7"/>
      <sheetName val="ANNEXURE_4_PRINTER_&amp;_LOCKER_7"/>
      <sheetName val="Gen_Info7"/>
      <sheetName val="AutoOpen_Stub_Data7"/>
      <sheetName val="boq_actual7"/>
      <sheetName val="[sept98_xls_x005f_x005f_x005f_x005f_x005f_x005f_7"/>
      <sheetName val="crs_-G-1_x005f_x001a_??TBAL9697_-gro7"/>
      <sheetName val="crs_-G-1_x005f_x005f_x005f_x001a__x005f_x005f_x07"/>
      <sheetName val="crs_-G-1_x005f_x005f_x005f_x001a___TBAL9698"/>
      <sheetName val="Material_Rate7"/>
      <sheetName val="CABLE_DATA7"/>
      <sheetName val="Break_Dw7"/>
      <sheetName val="crs_-G-1_x005f_x001a__x005f_x005f_x005"/>
      <sheetName val="crs_-G-1_x005f_x001a___TBAL96978"/>
      <sheetName val="[sept98_xls_x005f_x005f_x5"/>
      <sheetName val="accom_cash5"/>
      <sheetName val="train_cash5"/>
      <sheetName val="Area_Statement7"/>
      <sheetName val="Risk_Analysis7"/>
      <sheetName val="crs_-G-1_x005f_x001a__x008"/>
      <sheetName val="crs_-G-1_x005f_x005f_x0017"/>
      <sheetName val="SLAB_SCH5"/>
      <sheetName val="Customize_Your_Invoice5"/>
      <sheetName val="Ring_Details5"/>
      <sheetName val="schedule_nos5"/>
      <sheetName val="BOQ_Distribution5"/>
      <sheetName val="Basement_Budget5"/>
      <sheetName val="Design_sheet5"/>
      <sheetName val="labour_coeff5"/>
      <sheetName val="Fee_Rate_Summary5"/>
      <sheetName val="VI_Floor_Beam_5"/>
      <sheetName val="Boq_(Main_Building)5"/>
      <sheetName val="Detail_1A5"/>
      <sheetName val="PROJECT_BRIEF(EX_NEW)5"/>
      <sheetName val="11B_5"/>
      <sheetName val="Footing_5"/>
      <sheetName val="?⒤"/>
      <sheetName val="?⒄"/>
      <sheetName val="?ⓤ"/>
      <sheetName val="?┤"/>
      <sheetName val="?╄"/>
      <sheetName val="?┄"/>
      <sheetName val="LB020A(月)"/>
      <sheetName val="Material"/>
      <sheetName val="Plant &amp;  Machinery"/>
      <sheetName val="Criteria"/>
      <sheetName val="SBI(Siliguri)"/>
      <sheetName val="Civil Works"/>
      <sheetName val="Cover"/>
      <sheetName val="SCHEDULE"/>
      <sheetName val="_sept98_xls_x001d_B_Sheet_9720"/>
      <sheetName val="Assumptions"/>
      <sheetName val="KP1590_E"/>
      <sheetName val="RCC_Ret_ Wall"/>
      <sheetName val="pri-com"/>
      <sheetName val="M- Rate"/>
      <sheetName val="Civil Boq"/>
      <sheetName val="OH"/>
      <sheetName val="crs -G-1_x005f_x005f_x005f_x001a_"/>
      <sheetName val="salestax9697-t_x005f_x005f_x005f_x005f_x005"/>
      <sheetName val="crs -G-1_x005f_x005f_x005f_x005f_x005f_x005f_x001"/>
      <sheetName val="crs -G-1_x005f_x005f_x005f_x001a__x00"/>
      <sheetName val="M-Book for FW"/>
      <sheetName val="M-Book for Conc"/>
      <sheetName val="oman_maint32"/>
      <sheetName val="CORPN_OCT31"/>
      <sheetName val="inout_consol-nov31"/>
      <sheetName val="inout_consol_(2)31"/>
      <sheetName val="AS_ON_DT_EXPS_Mar31"/>
      <sheetName val="J_fix_asst31"/>
      <sheetName val="J_fix_asst_sdpl31"/>
      <sheetName val="f_a_obpl31"/>
      <sheetName val="J_fix_asst_obpl31"/>
      <sheetName val="J_fix_asst_scc31"/>
      <sheetName val="J_fix_asst_ripl31"/>
      <sheetName val="fa-pl_&amp;_mach-site31"/>
      <sheetName val="fa_off_eqp31"/>
      <sheetName val="fa_fur&amp;_fix31"/>
      <sheetName val="I_Con_WIP_(2)31"/>
      <sheetName val="TBAL9596_-IIIIRUN31"/>
      <sheetName val="TBCRSsdpl_July9831"/>
      <sheetName val="Other_Proj_Schdl31"/>
      <sheetName val="OT_CLIENTS31"/>
      <sheetName val="inout_consol_July_9831"/>
      <sheetName val="consol_flow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D_Loan__Prom31"/>
      <sheetName val="E_Bank_Loan31"/>
      <sheetName val="G_work_Cap_31"/>
      <sheetName val="H_land_adv31"/>
      <sheetName val="detai_Wip_231"/>
      <sheetName val="detai_Wip_I_31"/>
      <sheetName val="J_Con_WIP31"/>
      <sheetName val="K_L_Oth_Co_31"/>
      <sheetName val="fix_asst_Obpl31"/>
      <sheetName val="TBAL9697__group_wise__sdpl31"/>
      <sheetName val="_sept98_xlsUomantopaz27"/>
      <sheetName val="_sept98_xlsB_Sheet_9721"/>
      <sheetName val="[sept98_xlsUomantopaz27"/>
      <sheetName val="[sept98_xlsB_Sheet_9720"/>
      <sheetName val="_sept98_xls_x005f_x001d_B_Sheet_9727"/>
      <sheetName val="PRECAST_lightconc-II27"/>
      <sheetName val="[sept98_xls_x005f_x001d_B_Sheet_9727"/>
      <sheetName val="Staff_Acco_13"/>
      <sheetName val="SITE_OVERHEADS11"/>
      <sheetName val="RCC,Ret__Wall11"/>
      <sheetName val="Project_Details__11"/>
      <sheetName val="scurve_calc_(2)11"/>
      <sheetName val="LIST_OF_MAKES11"/>
      <sheetName val="[sept98_xls࡝sdpl_oth_Liab11"/>
      <sheetName val="Boq_Block_A11"/>
      <sheetName val="_sept98_xls_x005f_x005f_x005f_x001d_B_She11"/>
      <sheetName val="[sept98_xls_x005f_x005f_x005f_x001d_B_She11"/>
      <sheetName val="_sept98_xls࡝sdpl_oth_Liab11"/>
      <sheetName val="Customize_Your_Purchase_Order11"/>
      <sheetName val="key_dates11"/>
      <sheetName val="Labor_abs-NMR11"/>
      <sheetName val="_sept98_xls_x005f_x005f_x005f_x005f_x005f11"/>
      <sheetName val="crs_-G-1_x005f_x001a__x005f_x0000__x005f_x0000_11"/>
      <sheetName val="crs_-G-1_x005f_x001a___TBAL9697_-gr11"/>
      <sheetName val="final_abstract11"/>
      <sheetName val="Fin_Sum11"/>
      <sheetName val="Direct_Cost10"/>
      <sheetName val="Legal_Risk_Analysis10"/>
      <sheetName val="_sept98_xls_x005f_x001d_B_Sheet11"/>
      <sheetName val="IO_LIST10"/>
      <sheetName val="Detail_In_Door_Stad10"/>
      <sheetName val="_sept98_xlsB_Sheet8"/>
      <sheetName val="_sept98_xls_x005f_x005f_x11"/>
      <sheetName val="_sept98_xls_x005f_x005f_x005f_x005f_x10"/>
      <sheetName val="INPUT_SHEET10"/>
      <sheetName val="MASTER_RATE_ANALYSIS10"/>
      <sheetName val="BEAM_INPUT10"/>
      <sheetName val="Plinth_beam10"/>
      <sheetName val="DETAILED__BOQ10"/>
      <sheetName val="acevsSp_(ABC)10"/>
      <sheetName val="KQ_Cost_Controlling10"/>
      <sheetName val="KQ_Appropriation10"/>
      <sheetName val="crs_-G-1_x005f_x001a_10"/>
      <sheetName val="RA_BILL_(47-)10"/>
      <sheetName val="Debits_as_on_12_04_0810"/>
      <sheetName val="Basic_Rates10"/>
      <sheetName val="Works_-_Quote_Sheet10"/>
      <sheetName val="Cashflow_projection10"/>
      <sheetName val="Rate_Analysis8"/>
      <sheetName val="TBAL9697_-group_wise_sdpl10"/>
      <sheetName val="GR_slab-reinft10"/>
      <sheetName val="Assumption_Inputs10"/>
      <sheetName val="Tender_Summary10"/>
      <sheetName val="Break_up_Sheet10"/>
      <sheetName val="220_11__BS_10"/>
      <sheetName val="GF_Columns10"/>
      <sheetName val="SPILL_OVER10"/>
      <sheetName val="SPT_vs_PHI2"/>
      <sheetName val="_sept98_xls_x10"/>
      <sheetName val="Cash_Flow_Input_Data_ISC10"/>
      <sheetName val="PPM_Dates_10-16-0710"/>
      <sheetName val="Sheet1_(2)10"/>
      <sheetName val="boq_actual10"/>
      <sheetName val="[sept98_xls_x005f_x005f_x005f_x005f_x005f10"/>
      <sheetName val="crs_-G-1_x005f_x001a_??TBAL9697_-gr10"/>
      <sheetName val="CABLE_DATA10"/>
      <sheetName val="Break_Dw10"/>
      <sheetName val="Driveway_Beams2"/>
      <sheetName val="[sept98_xls_x005f_x001d_B_Sheet10"/>
      <sheetName val="PHE_BOQ10"/>
      <sheetName val="Customize_Your_Invoice8"/>
      <sheetName val="AutoOpen_Stub_Data10"/>
      <sheetName val="Material_Rate10"/>
      <sheetName val="ANNEXURE_110"/>
      <sheetName val="ANNEXURE_210"/>
      <sheetName val="ANNEXURE_310"/>
      <sheetName val="ANNEXURE_4_-_C&amp;I_Works_10"/>
      <sheetName val="ANNEXURE_4_-_C&amp;I(HUB_&amp;_Toilet10"/>
      <sheetName val="C&amp;I-_COMM_QUAL10"/>
      <sheetName val="ANNEXURE_4_-_Site_Office10"/>
      <sheetName val="ANNEXURE_4_PHE_&amp;_RO_10"/>
      <sheetName val="ANNEXURE_4_ELECRICAL_WORKS10"/>
      <sheetName val="Ele-Cables,_Trays,_Race_Way_e10"/>
      <sheetName val="Ele_-_Circuit_Wiring_10"/>
      <sheetName val="ELE_-_Inventory10"/>
      <sheetName val="ANNEXURE_4_LIGHT_FIXTURES10"/>
      <sheetName val="ANNEXURE_4_UPS10"/>
      <sheetName val="ANNEXURE_4_HVAC10"/>
      <sheetName val="HVAC_-Measurement10"/>
      <sheetName val="_Duct_Measurement10"/>
      <sheetName val="ANNEXURE_4_PAC10"/>
      <sheetName val="PAC-_Measurement10"/>
      <sheetName val="ANNEXURE_4_FPS10"/>
      <sheetName val="FPS-_Measurement10"/>
      <sheetName val="ANNEXURE_4_ELV-FAS10"/>
      <sheetName val="FA_-_Measurement10"/>
      <sheetName val="ANNEXURE_4_ELV-_Digital_PAS10"/>
      <sheetName val="PA_-Measurement10"/>
      <sheetName val="ANNEXURE_4_ELV-RRS10"/>
      <sheetName val="RRS-_Measurement10"/>
      <sheetName val="ANNEXURE_4_ELV-WLD10"/>
      <sheetName val="Measurement_-WLD10"/>
      <sheetName val="ANNEXURE_4_ELV-BMS10"/>
      <sheetName val="BMS-_Measurement10"/>
      <sheetName val="ANNEXURE_4_ELV-VAV10"/>
      <sheetName val="ANNEXURE_4_SECURITY-ACS10"/>
      <sheetName val="Access-Measurement_10"/>
      <sheetName val="ANNEXURE_4_SECURITY-VMS10"/>
      <sheetName val="ANNEXURE_4_SECURITY-CCTV10"/>
      <sheetName val="Measurement_-CCTV10"/>
      <sheetName val="ANNEXURE_4_PRINTER_&amp;_LOCKER_10"/>
      <sheetName val="crs_-G-1_x005f_x005f_x005f_x001a__x005f_x005f_x10"/>
      <sheetName val="crs_-G-1_x005f_x005f_x005f_x001a___TBAL9611"/>
      <sheetName val="Gen_Info10"/>
      <sheetName val="[sept98_xlsB_Sheet_971"/>
      <sheetName val="[sept98_xlsB_Sheet_972"/>
      <sheetName val="[sept98_xlsB_Sheet_977"/>
      <sheetName val="[sept98_xlsB_Sheet_9713"/>
      <sheetName val="[sept98_xlsB_Sheet_9718"/>
      <sheetName val="[sept98_xlsB_Sheet_9716"/>
      <sheetName val="Labor_abs-PW6"/>
      <sheetName val="SLAB_SCH8"/>
      <sheetName val="Area_Statement10"/>
      <sheetName val="Risk_Analysis10"/>
      <sheetName val="crs_-G-1_x005f_x001a__x0011"/>
      <sheetName val="crs_-G-1_x005f_x001a___TBAL969711"/>
      <sheetName val="crs_-G-1_x005f_x005f_x00110"/>
      <sheetName val="Staff_Acco_14"/>
      <sheetName val="Data_sheet2"/>
      <sheetName val="Per_Unit2"/>
      <sheetName val="BOQ_Distribution8"/>
      <sheetName val="crs_-G-1_x005f_x001a__x005f_x005f_x008"/>
      <sheetName val="[sept98_xls_x005f_x005f_x8"/>
      <sheetName val="accom_cash8"/>
      <sheetName val="train_cash8"/>
      <sheetName val="Basement_Budget8"/>
      <sheetName val="FIND_THE_PART2"/>
      <sheetName val="VI_Floor_Beam_8"/>
      <sheetName val="WORK_TABLE3"/>
      <sheetName val="Load_Details(B1)2"/>
      <sheetName val="labour_coeff8"/>
      <sheetName val="Ring_Details8"/>
      <sheetName val="schedule_nos8"/>
      <sheetName val="Detail_1A8"/>
      <sheetName val="Column_all_floor_R13"/>
      <sheetName val="Builtup_Area2"/>
      <sheetName val="Loan_Amortization_Schedule2"/>
      <sheetName val="11B_8"/>
      <sheetName val="SCHEDULE_OF_RATES2"/>
      <sheetName val="PROJECT_BRIEF(EX_NEW)8"/>
      <sheetName val="Boq_(Main_Building)8"/>
      <sheetName val="Default_Values2"/>
      <sheetName val="Design_sheet8"/>
      <sheetName val="Fee_Rate_Summary8"/>
      <sheetName val="Footing_8"/>
      <sheetName val="Lease_rents3"/>
      <sheetName val="Column_Detail3"/>
      <sheetName val="Meas_-Hotel_Part3"/>
      <sheetName val="MTO_REV_02"/>
      <sheetName val="crs_-G-1??TB"/>
      <sheetName val="SC_Cost_FEB_032"/>
      <sheetName val="bending_stress2"/>
      <sheetName val="ASHRAE_Std_62_1-20132"/>
      <sheetName val="LPD_VALUE2"/>
      <sheetName val="IEQ_6_1_Systems_Lighting2"/>
      <sheetName val="Core_Data2"/>
      <sheetName val="Plant_&amp;__Machinery2"/>
      <sheetName val="Civil_Works2"/>
      <sheetName val="Next_Weeks_Plan2"/>
      <sheetName val="_sept98_xlsB_Sheet_9710"/>
      <sheetName val="_sept98_xlsB_Sheet_976"/>
      <sheetName val="_sept98_xlsB_Sheet_974"/>
      <sheetName val="_sept98_xlsB_Sheet_975"/>
      <sheetName val="_sept98_xlsB_Sheet_978"/>
      <sheetName val="_sept98_xlsB_Sheet_979"/>
      <sheetName val="_sept98_xlsB_Sheet_9711"/>
      <sheetName val="_sept98_xlsB_Sheet_9712"/>
      <sheetName val="_sept98_xlsB_Sheet_9714"/>
      <sheetName val="crs_-G-1_x001"/>
      <sheetName val="crs_-G-1__TBAL96971"/>
      <sheetName val="crs_-G-1_x00"/>
      <sheetName val="crs_-G-1__TBAL9697"/>
      <sheetName val="_sept98_xlsB_Sheet_9715"/>
      <sheetName val="crs_-G-1T1"/>
      <sheetName val="crs_-G-1__TBAL9697_-gro1"/>
      <sheetName val="_sept98_xlsB_Sheet_9717"/>
      <sheetName val="_sept98_xlsB_Sheet2"/>
      <sheetName val="crs_-G-1T2"/>
      <sheetName val="crs_-G-1__TBAL9697_-gro2"/>
      <sheetName val="_sept98_xlsB_Sheet_9719"/>
      <sheetName val="_sept98_xlsB_Sheet3"/>
      <sheetName val="crs_-G-1T3"/>
      <sheetName val="crs_-G-1__TBAL9697_-gro3"/>
      <sheetName val="_sept98_xlsB_Sheet_9720"/>
      <sheetName val="_sept98_xlsB_Sheet4"/>
      <sheetName val="crs_-G-1T4"/>
      <sheetName val="crs_-G-1__TBAL9697_-gro4"/>
      <sheetName val="crs_-G-1_x0012"/>
      <sheetName val="RCC_Ret__Wall2"/>
      <sheetName val="M-_Rate2"/>
      <sheetName val="Civil_Boq2"/>
      <sheetName val="GM_&amp;_TA3"/>
      <sheetName val="_Labour_bills_-Excav,Conc_&amp;_Rf2"/>
      <sheetName val="Cash_Details2"/>
      <sheetName val="[sept98_xlsB_Sheet_979"/>
      <sheetName val="crs_-G-1T6"/>
      <sheetName val="crs_-G-1__TBAL9697_-gro6"/>
      <sheetName val="_sept98_xlsB_Sheet6"/>
      <sheetName val="[sept98_xlsB_Sheet_976"/>
      <sheetName val="[sept98_xlsB_Sheet_975"/>
      <sheetName val="[sept98_xlsB_Sheet_973"/>
      <sheetName val="[sept98_xlsB_Sheet_974"/>
      <sheetName val="[sept98_xlsB_Sheet_978"/>
      <sheetName val="crs_-G-1T5"/>
      <sheetName val="crs_-G-1__TBAL9697_-gro5"/>
      <sheetName val="_sept98_xlsB_Sheet5"/>
      <sheetName val="[sept98_xlsB_Sheet_9710"/>
      <sheetName val="crs_-G-1T7"/>
      <sheetName val="crs_-G-1__TBAL9697_-gro7"/>
      <sheetName val="_sept98_xlsB_Sheet7"/>
      <sheetName val="[sept98_xlsB_Sheet_9711"/>
      <sheetName val="[sept98_xlsB_Sheet_9712"/>
      <sheetName val="[sept98_xlsB_Sheet_9714"/>
      <sheetName val="[sept98_xlsB_Sheet3"/>
      <sheetName val="[sept98_xlsB_Sheet_9715"/>
      <sheetName val="[sept98_xlsB_Sheet"/>
      <sheetName val="[sept98_xlsB_Sheet_9717"/>
      <sheetName val="[sept98_xlsB_Sheet1"/>
      <sheetName val="[sept98_xlsB_Sheet_9719"/>
      <sheetName val="[sept98_xlsB_Sheet2"/>
      <sheetName val="crs_-G-1??TBAL9697_-grou"/>
      <sheetName val="[sept98_xls_x2"/>
      <sheetName val="oman_maint31"/>
      <sheetName val="CORPN_OCT30"/>
      <sheetName val="inout_consol-nov30"/>
      <sheetName val="inout_consol_(2)30"/>
      <sheetName val="AS_ON_DT_EXPS_Mar30"/>
      <sheetName val="J_fix_asst30"/>
      <sheetName val="J_fix_asst_sdpl30"/>
      <sheetName val="f_a_obpl30"/>
      <sheetName val="J_fix_asst_obpl30"/>
      <sheetName val="J_fix_asst_scc30"/>
      <sheetName val="J_fix_asst_ripl30"/>
      <sheetName val="fa-pl_&amp;_mach-site30"/>
      <sheetName val="fa_off_eqp30"/>
      <sheetName val="fa_fur&amp;_fix30"/>
      <sheetName val="I_Con_WIP_(2)30"/>
      <sheetName val="TBAL9596_-IIIIRUN30"/>
      <sheetName val="TBCRSsdpl_July9830"/>
      <sheetName val="Other_Proj_Schdl30"/>
      <sheetName val="OT_CLIENTS30"/>
      <sheetName val="inout_consol_July_9830"/>
      <sheetName val="consol_flow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D_Loan__Prom30"/>
      <sheetName val="E_Bank_Loan30"/>
      <sheetName val="G_work_Cap_30"/>
      <sheetName val="H_land_adv30"/>
      <sheetName val="detai_Wip_230"/>
      <sheetName val="detai_Wip_I_30"/>
      <sheetName val="J_Con_WIP30"/>
      <sheetName val="K_L_Oth_Co_30"/>
      <sheetName val="fix_asst_Obpl30"/>
      <sheetName val="TBAL9697__group_wise__sdpl30"/>
      <sheetName val="[sept98_xlsUomantopaz26"/>
      <sheetName val="_sept98_xlsUomantopaz26"/>
      <sheetName val="_sept98_xls_x005f_x001d_B_Sheet_9726"/>
      <sheetName val="PRECAST_lightconc-II26"/>
      <sheetName val="[sept98_xls_x005f_x001d_B_Sheet_9726"/>
      <sheetName val="_sept98_xls_x005f_x005f_x005f_x001d_B_She10"/>
      <sheetName val="[sept98_xls_x005f_x005f_x005f_x001d_B_She10"/>
      <sheetName val="Staff_Acco_11"/>
      <sheetName val="SITE_OVERHEADS10"/>
      <sheetName val="RCC,Ret__Wall10"/>
      <sheetName val="Project_Details__10"/>
      <sheetName val="scurve_calc_(2)10"/>
      <sheetName val="LIST_OF_MAKES10"/>
      <sheetName val="Boq_Block_A10"/>
      <sheetName val="[sept98_xls࡝sdpl_oth_Liab10"/>
      <sheetName val="_sept98_xls_x005f_x005f_x005f_x005f_x005f10"/>
      <sheetName val="crs_-G-1_x005f_x001a__x005f_x0000__x005f_x0000_10"/>
      <sheetName val="crs_-G-1_x005f_x001a___TBAL9697_-gr10"/>
      <sheetName val="final_abstract10"/>
      <sheetName val="_sept98_xls࡝sdpl_oth_Liab10"/>
      <sheetName val="key_dates10"/>
      <sheetName val="Labor_abs-NMR10"/>
      <sheetName val="Fin_Sum10"/>
      <sheetName val="Customize_Your_Purchase_Order10"/>
      <sheetName val="_sept98_xls_x005f_x001d_B_Sheet10"/>
      <sheetName val="_sept98_xls_x005f_x005f_x10"/>
      <sheetName val="INPUT_SHEET9"/>
      <sheetName val="DETAILED__BOQ9"/>
      <sheetName val="acevsSp_(ABC)9"/>
      <sheetName val="MASTER_RATE_ANALYSIS9"/>
      <sheetName val="BEAM_INPUT9"/>
      <sheetName val="Plinth_beam9"/>
      <sheetName val="Direct_Cost9"/>
      <sheetName val="IO_LIST9"/>
      <sheetName val="Detail_In_Door_Stad9"/>
      <sheetName val="_sept98_xls_x005f_x005f_x005f_x005f_x9"/>
      <sheetName val="Labor_abs-PW5"/>
      <sheetName val="Debits_as_on_12_04_089"/>
      <sheetName val="Basic_Rates9"/>
      <sheetName val="Works_-_Quote_Sheet9"/>
      <sheetName val="Cashflow_projection9"/>
      <sheetName val="220_11__BS_9"/>
      <sheetName val="GR_slab-reinft9"/>
      <sheetName val="Assumption_Inputs9"/>
      <sheetName val="SPILL_OVER9"/>
      <sheetName val="GF_Columns9"/>
      <sheetName val="KQ_Cost_Controlling9"/>
      <sheetName val="KQ_Appropriation9"/>
      <sheetName val="crs_-G-1_x005f_x001a_9"/>
      <sheetName val="Cash_Flow_Input_Data_ISC9"/>
      <sheetName val="CABLE_DATA9"/>
      <sheetName val="Break_Dw9"/>
      <sheetName val="Tender_Summary9"/>
      <sheetName val="RA_BILL_(47-)9"/>
      <sheetName val="GM_&amp;_TA2"/>
      <sheetName val="[sept98_xls_x005f_x005f_x005f_x005f_x005f_x005f_9"/>
      <sheetName val="Customize_Your_Invoice7"/>
      <sheetName val="_Labour_bills_-Excav,Conc_&amp;_Rf1"/>
      <sheetName val="Area_Statement9"/>
      <sheetName val="Risk_Analysis9"/>
      <sheetName val="PPM_Dates_10-16-079"/>
      <sheetName val="Sheet1_(2)9"/>
      <sheetName val="_sept98_xls_x9"/>
      <sheetName val="[sept98_xls_x005f_x001d_B_Sheet9"/>
      <sheetName val="PHE_BOQ9"/>
      <sheetName val="TBAL9697_-group_wise_sdpl9"/>
      <sheetName val="Break_up_Sheet9"/>
      <sheetName val="Legal_Risk_Analysis9"/>
      <sheetName val="WORK_TABLE2"/>
      <sheetName val="schedule_nos7"/>
      <sheetName val="SPT_vs_PHI1"/>
      <sheetName val="Next_Weeks_Plan1"/>
      <sheetName val="Cash_Details1"/>
      <sheetName val="bending_stress1"/>
      <sheetName val="boq_actual9"/>
      <sheetName val="crs_-G-1_x005f_x001a_??TBAL9697_-gro9"/>
      <sheetName val="Driveway_Beams1"/>
      <sheetName val="Staff_Acco_12"/>
      <sheetName val="Data_sheet1"/>
      <sheetName val="Per_Unit1"/>
      <sheetName val="Gen_Info9"/>
      <sheetName val="AutoOpen_Stub_Data9"/>
      <sheetName val="crs_-G-1_x005f_x005f_x005f_x001a__x005f_x005f_x09"/>
      <sheetName val="crs_-G-1_x005f_x005f_x005f_x001a___TBAL9610"/>
      <sheetName val="Material_Rate9"/>
      <sheetName val="ANNEXURE_19"/>
      <sheetName val="ANNEXURE_29"/>
      <sheetName val="ANNEXURE_39"/>
      <sheetName val="ANNEXURE_4_-_C&amp;I_Works_9"/>
      <sheetName val="ANNEXURE_4_-_C&amp;I(HUB_&amp;_Toilet)9"/>
      <sheetName val="C&amp;I-_COMM_QUAL9"/>
      <sheetName val="ANNEXURE_4_-_Site_Office9"/>
      <sheetName val="ANNEXURE_4_PHE_&amp;_RO_9"/>
      <sheetName val="ANNEXURE_4_ELECRICAL_WORKS9"/>
      <sheetName val="Ele-Cables,_Trays,_Race_Way_et9"/>
      <sheetName val="Ele_-_Circuit_Wiring_9"/>
      <sheetName val="ELE_-_Inventory9"/>
      <sheetName val="ANNEXURE_4_LIGHT_FIXTURES9"/>
      <sheetName val="ANNEXURE_4_UPS9"/>
      <sheetName val="ANNEXURE_4_HVAC9"/>
      <sheetName val="HVAC_-Measurement9"/>
      <sheetName val="_Duct_Measurement9"/>
      <sheetName val="ANNEXURE_4_PAC9"/>
      <sheetName val="PAC-_Measurement9"/>
      <sheetName val="ANNEXURE_4_FPS9"/>
      <sheetName val="FPS-_Measurement9"/>
      <sheetName val="ANNEXURE_4_ELV-FAS9"/>
      <sheetName val="FA_-_Measurement9"/>
      <sheetName val="ANNEXURE_4_ELV-_Digital_PAS9"/>
      <sheetName val="PA_-Measurement9"/>
      <sheetName val="ANNEXURE_4_ELV-RRS9"/>
      <sheetName val="RRS-_Measurement9"/>
      <sheetName val="ANNEXURE_4_ELV-WLD9"/>
      <sheetName val="Measurement_-WLD9"/>
      <sheetName val="ANNEXURE_4_ELV-BMS9"/>
      <sheetName val="BMS-_Measurement9"/>
      <sheetName val="ANNEXURE_4_ELV-VAV9"/>
      <sheetName val="ANNEXURE_4_SECURITY-ACS9"/>
      <sheetName val="Access-Measurement_9"/>
      <sheetName val="ANNEXURE_4_SECURITY-VMS9"/>
      <sheetName val="ANNEXURE_4_SECURITY-CCTV9"/>
      <sheetName val="Measurement_-CCTV9"/>
      <sheetName val="ANNEXURE_4_PRINTER_&amp;_LOCKER_9"/>
      <sheetName val="crs_-G-1_x005f_x001a__x0010"/>
      <sheetName val="crs_-G-1_x005f_x001a___TBAL969710"/>
      <sheetName val="crs_-G-1_x005f_x005f_x0019"/>
      <sheetName val="crs_-G-1_x005f_x001a__x005f_x005f_x007"/>
      <sheetName val="[sept98_xls_x005f_x005f_x7"/>
      <sheetName val="accom_cash7"/>
      <sheetName val="train_cash7"/>
      <sheetName val="SLAB_SCH7"/>
      <sheetName val="Ring_Details7"/>
      <sheetName val="Detail_1A7"/>
      <sheetName val="PROJECT_BRIEF(EX_NEW)7"/>
      <sheetName val="BOQ_Distribution7"/>
      <sheetName val="Basement_Budget7"/>
      <sheetName val="crs_-G-1_x0011"/>
      <sheetName val="[sept98_xls_x1"/>
      <sheetName val="FIND_THE_PART1"/>
      <sheetName val="VI_Floor_Beam_7"/>
      <sheetName val="Load_Details(B1)1"/>
      <sheetName val="labour_coeff7"/>
      <sheetName val="Column_all_floor_R12"/>
      <sheetName val="Builtup_Area1"/>
      <sheetName val="Loan_Amortization_Schedule1"/>
      <sheetName val="11B_7"/>
      <sheetName val="SCHEDULE_OF_RATES1"/>
      <sheetName val="Boq_(Main_Building)7"/>
      <sheetName val="Default_Values1"/>
      <sheetName val="Design_sheet7"/>
      <sheetName val="Fee_Rate_Summary7"/>
      <sheetName val="Footing_7"/>
      <sheetName val="Lease_rents2"/>
      <sheetName val="Column_Detail2"/>
      <sheetName val="Meas_-Hotel_Part2"/>
      <sheetName val="MTO_REV_01"/>
      <sheetName val="SC_Cost_FEB_031"/>
      <sheetName val="ASHRAE_Std_62_1-20131"/>
      <sheetName val="LPD_VALUE1"/>
      <sheetName val="IEQ_6_1_Systems_Lighting1"/>
      <sheetName val="Core_Data1"/>
      <sheetName val="Plant_&amp;__Machinery1"/>
      <sheetName val="Civil_Works1"/>
      <sheetName val="RCC_Ret__Wall1"/>
      <sheetName val="M-_Rate1"/>
      <sheetName val="Civil_Boq1"/>
      <sheetName val="crs_-G-1_x005f_x005f_x005f_x001a_1"/>
      <sheetName val="crs_-G-1_x005f_x005f_x005f_x005f_x005f_x005f_x002"/>
      <sheetName val="crs_-G-1_x005f_x005f_x005f_x001a__x001"/>
      <sheetName val="M-Book_for_FW1"/>
      <sheetName val="M-Book_for_Conc1"/>
      <sheetName val="oman_maint30"/>
      <sheetName val="CORPN_OCT29"/>
      <sheetName val="inout_consol-nov29"/>
      <sheetName val="inout_consol_(2)29"/>
      <sheetName val="AS_ON_DT_EXPS_Mar29"/>
      <sheetName val="J_fix_asst29"/>
      <sheetName val="J_fix_asst_sdpl29"/>
      <sheetName val="f_a_obpl29"/>
      <sheetName val="J_fix_asst_obpl29"/>
      <sheetName val="J_fix_asst_scc29"/>
      <sheetName val="J_fix_asst_ripl29"/>
      <sheetName val="fa-pl_&amp;_mach-site29"/>
      <sheetName val="fa_off_eqp29"/>
      <sheetName val="fa_fur&amp;_fix29"/>
      <sheetName val="I_Con_WIP_(2)29"/>
      <sheetName val="TBAL9596_-IIIIRUN29"/>
      <sheetName val="TBCRSsdpl_July9829"/>
      <sheetName val="Other_Proj_Schdl29"/>
      <sheetName val="OT_CLIENTS29"/>
      <sheetName val="inout_consol_July_9829"/>
      <sheetName val="consol_flow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D_Loan__Prom29"/>
      <sheetName val="E_Bank_Loan29"/>
      <sheetName val="G_work_Cap_29"/>
      <sheetName val="H_land_adv29"/>
      <sheetName val="detai_Wip_229"/>
      <sheetName val="detai_Wip_I_29"/>
      <sheetName val="J_Con_WIP29"/>
      <sheetName val="K_L_Oth_Co_29"/>
      <sheetName val="fix_asst_Obpl29"/>
      <sheetName val="TBAL9697__group_wise__sdpl29"/>
      <sheetName val="[sept98_xlsUomantopaz25"/>
      <sheetName val="_sept98_xlsUomantopaz25"/>
      <sheetName val="_sept98_xls_x005f_x001d_B_Sheet_9725"/>
      <sheetName val="PRECAST_lightconc-II25"/>
      <sheetName val="[sept98_xls_x005f_x001d_B_Sheet_9725"/>
      <sheetName val="_sept98_xls_x005f_x005f_x005f_x001d_B_Shee9"/>
      <sheetName val="[sept98_xls_x005f_x005f_x005f_x001d_B_Shee9"/>
      <sheetName val="Staff_Acco_9"/>
      <sheetName val="SITE_OVERHEADS9"/>
      <sheetName val="RCC,Ret__Wall9"/>
      <sheetName val="Project_Details__9"/>
      <sheetName val="scurve_calc_(2)9"/>
      <sheetName val="LIST_OF_MAKES9"/>
      <sheetName val="Boq_Block_A9"/>
      <sheetName val="[sept98_xls࡝sdpl_oth_Liab9"/>
      <sheetName val="_sept98_xls_x005f_x005f_x005f_x005f_x005f_x005f_9"/>
      <sheetName val="crs_-G-1_x005f_x001a__x005f_x0000__x005f_x0000_T9"/>
      <sheetName val="crs_-G-1_x005f_x001a___TBAL9697_-gro9"/>
      <sheetName val="final_abstract9"/>
      <sheetName val="_sept98_xls࡝sdpl_oth_Liab9"/>
      <sheetName val="key_dates9"/>
      <sheetName val="Labor_abs-NMR9"/>
      <sheetName val="Fin_Sum9"/>
      <sheetName val="Customize_Your_Purchase_Order9"/>
      <sheetName val="_sept98_xls_x005f_x001d_B_Sheet9"/>
      <sheetName val="_sept98_xls_x005f_x005f_x9"/>
      <sheetName val="INPUT_SHEET8"/>
      <sheetName val="DETAILED__BOQ8"/>
      <sheetName val="acevsSp_(ABC)8"/>
      <sheetName val="MASTER_RATE_ANALYSIS8"/>
      <sheetName val="BEAM_INPUT8"/>
      <sheetName val="Plinth_beam8"/>
      <sheetName val="Direct_Cost8"/>
      <sheetName val="IO_LIST8"/>
      <sheetName val="Detail_In_Door_Stad8"/>
      <sheetName val="_sept98_xls_x005f_x005f_x005f_x005f_x8"/>
      <sheetName val="Labor_abs-PW4"/>
      <sheetName val="Debits_as_on_12_04_088"/>
      <sheetName val="Basic_Rates8"/>
      <sheetName val="Works_-_Quote_Sheet8"/>
      <sheetName val="Cashflow_projection8"/>
      <sheetName val="220_11__BS_8"/>
      <sheetName val="GR_slab-reinft8"/>
      <sheetName val="Assumption_Inputs8"/>
      <sheetName val="SPILL_OVER8"/>
      <sheetName val="GF_Columns8"/>
      <sheetName val="KQ_Cost_Controlling8"/>
      <sheetName val="KQ_Appropriation8"/>
      <sheetName val="crs_-G-1_x005f_x001a_8"/>
      <sheetName val="Cash_Flow_Input_Data_ISC8"/>
      <sheetName val="CABLE_DATA8"/>
      <sheetName val="Break_Dw8"/>
      <sheetName val="Tender_Summary8"/>
      <sheetName val="RA_BILL_(47-)8"/>
      <sheetName val="GM_&amp;_TA1"/>
      <sheetName val="[sept98_xls_x005f_x005f_x005f_x005f_x005f_x005f_8"/>
      <sheetName val="Customize_Your_Invoice6"/>
      <sheetName val="_Labour_bills_-Excav,Conc_&amp;_Rft"/>
      <sheetName val="Area_Statement8"/>
      <sheetName val="Risk_Analysis8"/>
      <sheetName val="PPM_Dates_10-16-078"/>
      <sheetName val="Sheet1_(2)8"/>
      <sheetName val="_sept98_xls_x8"/>
      <sheetName val="[sept98_xls_x005f_x001d_B_Sheet8"/>
      <sheetName val="PHE_BOQ8"/>
      <sheetName val="TBAL9697_-group_wise_sdpl8"/>
      <sheetName val="Break_up_Sheet8"/>
      <sheetName val="Legal_Risk_Analysis8"/>
      <sheetName val="WORK_TABLE1"/>
      <sheetName val="schedule_nos6"/>
      <sheetName val="SPT_vs_PHI"/>
      <sheetName val="Next_Weeks_Plan"/>
      <sheetName val="Cash_Details"/>
      <sheetName val="bending_stress"/>
      <sheetName val="boq_actual8"/>
      <sheetName val="crs_-G-1_x005f_x001a_??TBAL9697_-gro8"/>
      <sheetName val="Driveway_Beams"/>
      <sheetName val="Staff_Acco_10"/>
      <sheetName val="Data_sheet"/>
      <sheetName val="Per_Unit"/>
      <sheetName val="Gen_Info8"/>
      <sheetName val="AutoOpen_Stub_Data8"/>
      <sheetName val="crs_-G-1_x005f_x005f_x005f_x001a__x005f_x005f_x08"/>
      <sheetName val="crs_-G-1_x005f_x005f_x005f_x001a___TBAL9699"/>
      <sheetName val="Material_Rate8"/>
      <sheetName val="ANNEXURE_18"/>
      <sheetName val="ANNEXURE_28"/>
      <sheetName val="ANNEXURE_38"/>
      <sheetName val="ANNEXURE_4_-_C&amp;I_Works_8"/>
      <sheetName val="ANNEXURE_4_-_C&amp;I(HUB_&amp;_Toilet)8"/>
      <sheetName val="C&amp;I-_COMM_QUAL8"/>
      <sheetName val="ANNEXURE_4_-_Site_Office8"/>
      <sheetName val="ANNEXURE_4_PHE_&amp;_RO_8"/>
      <sheetName val="ANNEXURE_4_ELECRICAL_WORKS8"/>
      <sheetName val="Ele-Cables,_Trays,_Race_Way_et8"/>
      <sheetName val="Ele_-_Circuit_Wiring_8"/>
      <sheetName val="ELE_-_Inventory8"/>
      <sheetName val="ANNEXURE_4_LIGHT_FIXTURES8"/>
      <sheetName val="ANNEXURE_4_UPS8"/>
      <sheetName val="ANNEXURE_4_HVAC8"/>
      <sheetName val="HVAC_-Measurement8"/>
      <sheetName val="_Duct_Measurement8"/>
      <sheetName val="ANNEXURE_4_PAC8"/>
      <sheetName val="PAC-_Measurement8"/>
      <sheetName val="ANNEXURE_4_FPS8"/>
      <sheetName val="FPS-_Measurement8"/>
      <sheetName val="ANNEXURE_4_ELV-FAS8"/>
      <sheetName val="FA_-_Measurement8"/>
      <sheetName val="ANNEXURE_4_ELV-_Digital_PAS8"/>
      <sheetName val="PA_-Measurement8"/>
      <sheetName val="ANNEXURE_4_ELV-RRS8"/>
      <sheetName val="RRS-_Measurement8"/>
      <sheetName val="ANNEXURE_4_ELV-WLD8"/>
      <sheetName val="Measurement_-WLD8"/>
      <sheetName val="ANNEXURE_4_ELV-BMS8"/>
      <sheetName val="BMS-_Measurement8"/>
      <sheetName val="ANNEXURE_4_ELV-VAV8"/>
      <sheetName val="ANNEXURE_4_SECURITY-ACS8"/>
      <sheetName val="Access-Measurement_8"/>
      <sheetName val="ANNEXURE_4_SECURITY-VMS8"/>
      <sheetName val="ANNEXURE_4_SECURITY-CCTV8"/>
      <sheetName val="Measurement_-CCTV8"/>
      <sheetName val="ANNEXURE_4_PRINTER_&amp;_LOCKER_8"/>
      <sheetName val="crs_-G-1_x005f_x001a__x009"/>
      <sheetName val="crs_-G-1_x005f_x001a___TBAL96979"/>
      <sheetName val="crs_-G-1_x005f_x005f_x0018"/>
      <sheetName val="crs_-G-1_x005f_x001a__x005f_x005f_x006"/>
      <sheetName val="[sept98_xls_x005f_x005f_x6"/>
      <sheetName val="accom_cash6"/>
      <sheetName val="train_cash6"/>
      <sheetName val="SLAB_SCH6"/>
      <sheetName val="Ring_Details6"/>
      <sheetName val="Detail_1A6"/>
      <sheetName val="PROJECT_BRIEF(EX_NEW)6"/>
      <sheetName val="BOQ_Distribution6"/>
      <sheetName val="Basement_Budget6"/>
      <sheetName val="[sept98_xls_x"/>
      <sheetName val="FIND_THE_PART"/>
      <sheetName val="VI_Floor_Beam_6"/>
      <sheetName val="Load_Details(B1)"/>
      <sheetName val="labour_coeff6"/>
      <sheetName val="Column_all_floor_R11"/>
      <sheetName val="Builtup_Area"/>
      <sheetName val="Loan_Amortization_Schedule"/>
      <sheetName val="11B_6"/>
      <sheetName val="SCHEDULE_OF_RATES"/>
      <sheetName val="Boq_(Main_Building)6"/>
      <sheetName val="Default_Values"/>
      <sheetName val="Design_sheet6"/>
      <sheetName val="Fee_Rate_Summary6"/>
      <sheetName val="Footing_6"/>
      <sheetName val="Lease_rents1"/>
      <sheetName val="Column_Detail1"/>
      <sheetName val="Meas_-Hotel_Part1"/>
      <sheetName val="MTO_REV_0"/>
      <sheetName val="SC_Cost_FEB_03"/>
      <sheetName val="ASHRAE_Std_62_1-2013"/>
      <sheetName val="LPD_VALUE"/>
      <sheetName val="IEQ_6_1_Systems_Lighting"/>
      <sheetName val="Core_Data"/>
      <sheetName val="Plant_&amp;__Machinery"/>
      <sheetName val="Civil_Works"/>
      <sheetName val="RCC_Ret__Wall"/>
      <sheetName val="M-_Rate"/>
      <sheetName val="Civil_Boq"/>
      <sheetName val="crs_-G-1_x005f_x005f_x005f_x001a_"/>
      <sheetName val="crs_-G-1_x005f_x005f_x005f_x005f_x005f_x005f_x001"/>
      <sheetName val="crs_-G-1_x005f_x005f_x005f_x001a__x00"/>
      <sheetName val="M-Book_for_FW"/>
      <sheetName val="M-Book_for_Conc"/>
      <sheetName val="A.O.R r1Str"/>
      <sheetName val="A.O.R r1"/>
      <sheetName val="A.O.R (2)"/>
      <sheetName val="Development Strategy"/>
      <sheetName val="Development_Strategy"/>
      <sheetName val="B'Sheet"/>
      <sheetName val="Asmp"/>
      <sheetName val="BTB"/>
      <sheetName val="cf"/>
      <sheetName val="orders"/>
      <sheetName val="LABOUR RATE"/>
      <sheetName val="Cash2"/>
      <sheetName val="Z"/>
      <sheetName val="Estimate"/>
      <sheetName val="LABOUR_RATE"/>
      <sheetName val="Approved MTD Proj #'s"/>
      <sheetName val="Main Summary"/>
      <sheetName val="설계내역서"/>
      <sheetName val="General"/>
      <sheetName val="total export"/>
      <sheetName val="rc01"/>
      <sheetName val="Datas"/>
      <sheetName val="갑지1"/>
      <sheetName val="Structure Bills Qty"/>
      <sheetName val="DATI_CONS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定义"/>
      <sheetName val="AN2"/>
      <sheetName val="21"/>
      <sheetName val="Total  Amount"/>
      <sheetName val="Summary Transformers"/>
      <sheetName val="AN"/>
      <sheetName val="basdat"/>
      <sheetName val="Sqn-Abs(G+6) "/>
      <sheetName val="WO-Abs (G+2) 6 DUs"/>
      <sheetName val="Air-Abs(G+6) 23 DUs"/>
      <sheetName val="M.R.List (2)"/>
      <sheetName val="SSR &amp; NSSR Market final"/>
      <sheetName val="dBase"/>
      <sheetName val="Quantity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Program"/>
      <sheetName val="Unit cost- Drain-Protection-1 "/>
      <sheetName val="Setup Variables"/>
      <sheetName val="Capital Expenditures"/>
      <sheetName val="Compensation"/>
      <sheetName val="Start"/>
      <sheetName val="administrative prices"/>
      <sheetName val="BLOCK-A (MEA.SHEET)"/>
      <sheetName val="Headings"/>
      <sheetName val="Data Input"/>
      <sheetName val="Costcal"/>
      <sheetName val="BoQ-1"/>
      <sheetName val="BoQ-2"/>
      <sheetName val="Sales &amp; Prod"/>
      <sheetName val="2.3.1 - CFR MAIN"/>
      <sheetName val="FAO dwnld"/>
      <sheetName val="Download M-10"/>
      <sheetName val="FR_M10"/>
      <sheetName val="FR_TREND"/>
      <sheetName val="1R_M10"/>
      <sheetName val="M10_2R"/>
      <sheetName val="3R_M10"/>
      <sheetName val="data m10"/>
      <sheetName val="ACTUAL - 12 MTHS DATA"/>
      <sheetName val="Download Prior Year"/>
      <sheetName val="3s"/>
      <sheetName val="PLAN - 12 MTHS DATA"/>
      <sheetName val="9F2RTRND"/>
      <sheetName val="9F3RTRND"/>
      <sheetName val="[sept98.xlsMB_Sheet_97-BEXP18"/>
      <sheetName val="Site Dev BOQ"/>
      <sheetName val="pt-cw"/>
      <sheetName val="10"/>
      <sheetName val="Material List "/>
      <sheetName val="Bed Class"/>
      <sheetName val="Cd"/>
      <sheetName val="MB FOR SUPERSTRUCTURE"/>
      <sheetName val="X rate"/>
      <sheetName val="LABOUR_RATE1"/>
      <sheetName val="SPT_vs_PHI3"/>
      <sheetName val="LABOUR_RATE3"/>
      <sheetName val="LABOUR_RATE2"/>
      <sheetName val="meas-wp"/>
      <sheetName val="재1"/>
      <sheetName val="Capital_by_Years_Valuation"/>
      <sheetName val="ReportsParameters"/>
      <sheetName val="Nopat_by_Years_Valuation"/>
      <sheetName val="1 - B1 (KBIs)"/>
      <sheetName val="Trigger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csdim"/>
      <sheetName val="cdsload"/>
      <sheetName val="chsload"/>
      <sheetName val="CLAMP"/>
      <sheetName val="cvsload"/>
      <sheetName val="pipe"/>
      <sheetName val="Measurment"/>
      <sheetName val="A.O.R."/>
      <sheetName val="project rollout plan"/>
      <sheetName val="Project Budget Worksheet"/>
      <sheetName val="Door"/>
      <sheetName val="C_link"/>
      <sheetName val="P_link"/>
      <sheetName val="coa_ramco_168"/>
      <sheetName val="Bill 1"/>
      <sheetName val="Bill 2"/>
      <sheetName val="Bill 3"/>
      <sheetName val="Bill 4"/>
      <sheetName val="Bill 5"/>
      <sheetName val="Bill 6"/>
      <sheetName val="Bill 7"/>
      <sheetName val="Variation Statement"/>
      <sheetName val="sumary"/>
      <sheetName val="2nd "/>
      <sheetName val="shuttering"/>
      <sheetName val="concrete"/>
      <sheetName val="Field Values"/>
      <sheetName val="Detail P&amp;L"/>
      <sheetName val="PRICE-COMP"/>
      <sheetName val="Assumption Sheet"/>
      <sheetName val="crs_-G-1_x001a_??TBAL9697_-grou"/>
      <sheetName val="crs_-G-1_x001a__x001"/>
      <sheetName val="crs_-G-1_x001a___TBAL96971"/>
      <sheetName val="crs_-G-1_x005f_x001a__x01"/>
      <sheetName val="crs_-G-1_x005f_x001a___TBAL9691"/>
      <sheetName val="[sept98_xls_x005f_x005f_1"/>
      <sheetName val="crs_-G-1_x001a_??TBAL9697_-gro1"/>
      <sheetName val="crs_-G-1_x001a__x002"/>
      <sheetName val="crs_-G-1_x001a___TBAL96972"/>
      <sheetName val="_sept98_xls_x001d_B_Shee1"/>
      <sheetName val="[sept98_xls_x001d_B_Shee1"/>
      <sheetName val="_sept98_xls_1"/>
      <sheetName val="[sept98_xls_x001d_B_Sheet_9720"/>
      <sheetName val="[sept98_xls_x001d_B_Sheet3"/>
      <sheetName val="crs_-G-1_x005f_x001a__x03"/>
      <sheetName val="crs_-G-1_x005f_x001a___TBAL9693"/>
      <sheetName val="[sept98_xls_x005f_x005f_3"/>
      <sheetName val="crs_-G-1_x001a_??TBAL9697_-gro3"/>
      <sheetName val="crs_-G-1_x001a__x004"/>
      <sheetName val="crs_-G-1_x001a___TBAL96974"/>
      <sheetName val="crs_-G-1_x0013"/>
      <sheetName val="crs_-G-1_x005f_x001a__x02"/>
      <sheetName val="crs_-G-1_x005f_x001a___TBAL9692"/>
      <sheetName val="[sept98_xls_x005f_x005f_2"/>
      <sheetName val="crs_-G-1_x001a_??TBAL9697_-gro2"/>
      <sheetName val="crs_-G-1_x001a__x003"/>
      <sheetName val="crs_-G-1_x001a___TBAL96973"/>
      <sheetName val="_sept98_xls_x001d_B_Sheet_9721"/>
      <sheetName val="[sept98_xls_x001d_B_Sheet_9721"/>
      <sheetName val="crs_-G-1_x001a_4"/>
      <sheetName val="[sept98_xls_x001d_B_Sheet4"/>
      <sheetName val="crs_-G-1_x005f_x001a__x04"/>
      <sheetName val="crs_-G-1_x005f_x001a___TBAL9694"/>
      <sheetName val="[sept98_xls_x005f_x005f_4"/>
      <sheetName val="crs_-G-1_x001a_??TBAL9697_-gro4"/>
      <sheetName val="crs_-G-1_x001a__x005"/>
      <sheetName val="crs_-G-1_x001a___TBAL96975"/>
      <sheetName val="crs_-G-1_x0014"/>
      <sheetName val="_sept98_xls_x001d_B_Sheet_9722"/>
      <sheetName val="[sept98_xls_x001d_B_Sheet_9722"/>
      <sheetName val="crs_-G-1_x001a_5"/>
      <sheetName val="[sept98_xls_x001d_B_Sheet5"/>
      <sheetName val="crs_-G-1_x005f_x001a__x05"/>
      <sheetName val="crs_-G-1_x005f_x001a___TBAL9695"/>
      <sheetName val="[sept98_xls_x005f_x005f_5"/>
      <sheetName val="crs_-G-1_x001a_??TBAL9697_-gro5"/>
      <sheetName val="crs_-G-1_x001a___TBAL96976"/>
      <sheetName val="[sept98_xls_x3"/>
      <sheetName val="crs_-G-1_x001a__x006"/>
      <sheetName val="crs_-G-1_x0015"/>
      <sheetName val="TBS_x00"/>
      <sheetName val="_sept98_xls_x001d_B_Sheet_9723"/>
      <sheetName val="[sept98_xls_x001d_B_Sheet_9723"/>
      <sheetName val="crs_-G-1_x001a_6"/>
      <sheetName val="[sept98_xls_x001d_B_Sheet6"/>
      <sheetName val="crs_-G-1_x005f_x001a__x06"/>
      <sheetName val="crs_-G-1_x005f_x001a___TBAL9696"/>
      <sheetName val="[sept98_xls_x005f_x005f_6"/>
      <sheetName val="crs_-G-1_x001a_??TBAL9697_-gro6"/>
      <sheetName val="crs_-G-1_x001a___TBAL96977"/>
      <sheetName val="[sept98_xls_x4"/>
      <sheetName val="crs_-G-1_x001a__x007"/>
      <sheetName val="crs_-G-1_x0016"/>
      <sheetName val="_sept98_xls_x001d_B_Sheet_9724"/>
      <sheetName val="_sept98_xls_x005f_x001d_B_Shee8"/>
      <sheetName val="_sept98_xls_x005f_x005f_8"/>
      <sheetName val="crs_-G-1_x001a__x0000__x0000_T8"/>
      <sheetName val="crs_-G-1_x001a___TBAL9697_-gro8"/>
      <sheetName val="_sept98_xls_x001d_B_Sheet8"/>
      <sheetName val="[sept98_xls_x001d_B_Sheet_9724"/>
      <sheetName val="[sept98_xls_x005f_x001d_B_Shee8"/>
      <sheetName val="[sept98_xls_x001d_B_Sheet7"/>
      <sheetName val="crs_-G-1_x001a_7"/>
      <sheetName val="[sept98_xls_x005f_x005f_7"/>
      <sheetName val="crs_-G-1_x001a_??TBAL9697_-gro7"/>
      <sheetName val="crs_-G-1_x005f_x001a__x07"/>
      <sheetName val="crs_-G-1_x005f_x001a___TBAL9698"/>
      <sheetName val="crs_-G-1_x001a___TBAL96978"/>
      <sheetName val="[sept98_xls_x5"/>
      <sheetName val="crs_-G-1_x001a__x008"/>
      <sheetName val="crs_-G-1_x0017"/>
      <sheetName val="_sept98_xls_x001d_B_Shee2"/>
      <sheetName val="_sept98_xls_x001d_B_Shee3"/>
      <sheetName val="_sept98_xls_x001d_B_Shee4"/>
      <sheetName val="Rate_Analysis9"/>
      <sheetName val="SPT_vs_PHI4"/>
      <sheetName val="LABOUR_RATE4"/>
      <sheetName val="MTO_REV_03"/>
      <sheetName val="Core_Data3"/>
      <sheetName val="Builtup_Area3"/>
      <sheetName val="Loan_Amortization_Schedule3"/>
      <sheetName val="SCHEDULE_OF_RATES3"/>
      <sheetName val="Driveway_Beams3"/>
      <sheetName val="ASHRAE_Std_62_1-20133"/>
      <sheetName val="LPD_VALUE3"/>
      <sheetName val="IEQ_6_1_Systems_Lighting3"/>
      <sheetName val="SC_Cost_FEB_033"/>
      <sheetName val="Plant_&amp;__Machinery3"/>
      <sheetName val="bending_stress3"/>
      <sheetName val="Staff_Acco_15"/>
      <sheetName val="Rate_Analysis10"/>
      <sheetName val="Staff_Acco_16"/>
      <sheetName val="SPT_vs_PHI5"/>
      <sheetName val="LABOUR_RATE5"/>
      <sheetName val="MTO_REV_04"/>
      <sheetName val="Core_Data4"/>
      <sheetName val="Column_all_floor_R14"/>
      <sheetName val="Builtup_Area4"/>
      <sheetName val="Loan_Amortization_Schedule4"/>
      <sheetName val="SCHEDULE_OF_RATES4"/>
      <sheetName val="Driveway_Beams4"/>
      <sheetName val="WORK_TABLE4"/>
      <sheetName val="ASHRAE_Std_62_1-20134"/>
      <sheetName val="LPD_VALUE4"/>
      <sheetName val="IEQ_6_1_Systems_Lighting4"/>
      <sheetName val="Meas_-Hotel_Part4"/>
      <sheetName val="SC_Cost_FEB_034"/>
      <sheetName val="Lease_rents4"/>
      <sheetName val="Column_Detail4"/>
      <sheetName val="Plant_&amp;__Machinery4"/>
      <sheetName val="bending_stress4"/>
      <sheetName val="Boundary Wall Summary"/>
      <sheetName val="r"/>
      <sheetName val="Misc. Data"/>
      <sheetName val="QCEQPT-owned"/>
      <sheetName val="288-1"/>
      <sheetName val="Sheet4"/>
      <sheetName val="General Info"/>
      <sheetName val="SOLUT001"/>
      <sheetName val="Capital_Expenditures"/>
      <sheetName val="Capital_Expenditures1"/>
      <sheetName val="Capital_Expenditures2"/>
      <sheetName val="Tools Rev"/>
      <sheetName val="Capital_Expenditures3"/>
      <sheetName val="Sheet5"/>
      <sheetName val="Tools_Rev4"/>
      <sheetName val="GI"/>
      <sheetName val="Tax_RF"/>
      <sheetName val="Income_VAT Output"/>
      <sheetName val="Capital_Expenditures4"/>
      <sheetName val="INPUT-DATA"/>
      <sheetName val="CRK-W1-500"/>
      <sheetName val="Interaction Charts-43"/>
      <sheetName val="Interaction Charts-44"/>
      <sheetName val="Interaction Charts-45"/>
      <sheetName val="Interaction Charts-46"/>
      <sheetName val="crs_-G-1_x001a_T8"/>
      <sheetName val="DLC lookup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TPL_RECEIPTS_MB51"/>
      <sheetName val="ROW_Orders_for_March_05"/>
      <sheetName val="PKG_PO"/>
      <sheetName val="LLM_DPRECEIPTS_MB51"/>
      <sheetName val="ZSEM_stock_(ympc038)"/>
      <sheetName val="MFG_PO"/>
      <sheetName val="BLOCK-A_(MEA_SHEET)"/>
      <sheetName val="DLC_lookups"/>
      <sheetName val="DOOR-WINDOW SCHEDULE"/>
      <sheetName val="I-BEAM-BASE-SLAB(0-1)"/>
      <sheetName val="I-BEAM-(PLINTH)"/>
      <sheetName val="CABLE"/>
      <sheetName val="number"/>
      <sheetName val="s"/>
      <sheetName val="18-misc"/>
      <sheetName val="5-pipe"/>
      <sheetName val="11-hsd"/>
      <sheetName val="13-septic"/>
      <sheetName val="7-ug"/>
      <sheetName val="2-ut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214">
          <cell r="A214" t="str">
            <v>ADMINISTRATIVE &amp; MANAGEMENT EXPENSES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>
        <row r="214">
          <cell r="A214" t="str">
            <v>ADMINISTRATIVE &amp; MANAGEMENT EXPENSES</v>
          </cell>
        </row>
      </sheetData>
      <sheetData sheetId="130" refreshError="1"/>
      <sheetData sheetId="131" refreshError="1"/>
      <sheetData sheetId="132" refreshError="1"/>
      <sheetData sheetId="133">
        <row r="214">
          <cell r="A214" t="str">
            <v>ADMINISTRATIVE &amp; MANAGEMENT EXPENSES</v>
          </cell>
        </row>
      </sheetData>
      <sheetData sheetId="134">
        <row r="214">
          <cell r="A214" t="str">
            <v>ADMINISTRATIVE &amp; MANAGEMENT EXPENSES</v>
          </cell>
        </row>
      </sheetData>
      <sheetData sheetId="135">
        <row r="214">
          <cell r="A214" t="str">
            <v>ADMINISTRATIVE &amp; MANAGEMENT EXPENSES</v>
          </cell>
        </row>
      </sheetData>
      <sheetData sheetId="136">
        <row r="214">
          <cell r="A214" t="str">
            <v>ADMINISTRATIVE &amp; MANAGEMENT EXPENSES</v>
          </cell>
        </row>
      </sheetData>
      <sheetData sheetId="137">
        <row r="214">
          <cell r="A214" t="str">
            <v>ADMINISTRATIVE &amp; MANAGEMENT EXPENSES</v>
          </cell>
        </row>
      </sheetData>
      <sheetData sheetId="138">
        <row r="214">
          <cell r="A214" t="str">
            <v>ADMINISTRATIVE &amp; MANAGEMENT EXPENSES</v>
          </cell>
        </row>
      </sheetData>
      <sheetData sheetId="139">
        <row r="214">
          <cell r="A214" t="str">
            <v>ADMINISTRATIVE &amp; MANAGEMENT EXPENSES</v>
          </cell>
        </row>
      </sheetData>
      <sheetData sheetId="140">
        <row r="214">
          <cell r="A214" t="str">
            <v>ADMINISTRATIVE &amp; MANAGEMENT EXPENSES</v>
          </cell>
        </row>
      </sheetData>
      <sheetData sheetId="141">
        <row r="214">
          <cell r="A214" t="str">
            <v>ADMINISTRATIVE &amp; MANAGEMENT EXPENSES</v>
          </cell>
        </row>
      </sheetData>
      <sheetData sheetId="142">
        <row r="214">
          <cell r="A214" t="str">
            <v>ADMINISTRATIVE &amp; MANAGEMENT EXPENSES</v>
          </cell>
        </row>
      </sheetData>
      <sheetData sheetId="143">
        <row r="214">
          <cell r="A214" t="str">
            <v>ADMINISTRATIVE &amp; MANAGEMENT EXPENSES</v>
          </cell>
        </row>
      </sheetData>
      <sheetData sheetId="144">
        <row r="214">
          <cell r="A214" t="str">
            <v>ADMINISTRATIVE &amp; MANAGEMENT EXPENSES</v>
          </cell>
        </row>
      </sheetData>
      <sheetData sheetId="145">
        <row r="214">
          <cell r="A214" t="str">
            <v>ADMINISTRATIVE &amp; MANAGEMENT EXPENSES</v>
          </cell>
        </row>
      </sheetData>
      <sheetData sheetId="146">
        <row r="214">
          <cell r="A214" t="str">
            <v>ADMINISTRATIVE &amp; MANAGEMENT EXPENSES</v>
          </cell>
        </row>
      </sheetData>
      <sheetData sheetId="147">
        <row r="214">
          <cell r="A214" t="str">
            <v>ADMINISTRATIVE &amp; MANAGEMENT EXPENSES</v>
          </cell>
        </row>
      </sheetData>
      <sheetData sheetId="148">
        <row r="214">
          <cell r="A214" t="str">
            <v>ADMINISTRATIVE &amp; MANAGEMENT EXPENSES</v>
          </cell>
        </row>
      </sheetData>
      <sheetData sheetId="149">
        <row r="214">
          <cell r="A214" t="str">
            <v>ADMINISTRATIVE &amp; MANAGEMENT EXPENSES</v>
          </cell>
        </row>
      </sheetData>
      <sheetData sheetId="150">
        <row r="214">
          <cell r="A214" t="str">
            <v>ADMINISTRATIVE &amp; MANAGEMENT EXPENSES</v>
          </cell>
        </row>
      </sheetData>
      <sheetData sheetId="151">
        <row r="214">
          <cell r="A214" t="str">
            <v>ADMINISTRATIVE &amp; MANAGEMENT EXPENSES</v>
          </cell>
        </row>
      </sheetData>
      <sheetData sheetId="152">
        <row r="214">
          <cell r="A214" t="str">
            <v>ADMINISTRATIVE &amp; MANAGEMENT EXPENSES</v>
          </cell>
        </row>
      </sheetData>
      <sheetData sheetId="153">
        <row r="214">
          <cell r="A214" t="str">
            <v>ADMINISTRATIVE &amp; MANAGEMENT EXPENSES</v>
          </cell>
        </row>
      </sheetData>
      <sheetData sheetId="154">
        <row r="214">
          <cell r="A214" t="str">
            <v>ADMINISTRATIVE &amp; MANAGEMENT EXPENSES</v>
          </cell>
        </row>
      </sheetData>
      <sheetData sheetId="155">
        <row r="214">
          <cell r="A214" t="str">
            <v>ADMINISTRATIVE &amp; MANAGEMENT EXPENSES</v>
          </cell>
        </row>
      </sheetData>
      <sheetData sheetId="156">
        <row r="214">
          <cell r="A214" t="str">
            <v>ADMINISTRATIVE &amp; MANAGEMENT EXPENSES</v>
          </cell>
        </row>
      </sheetData>
      <sheetData sheetId="157">
        <row r="214">
          <cell r="A214" t="str">
            <v>ADMINISTRATIVE &amp; MANAGEMENT EXPENSES</v>
          </cell>
        </row>
      </sheetData>
      <sheetData sheetId="158">
        <row r="214">
          <cell r="A214" t="str">
            <v>ADMINISTRATIVE &amp; MANAGEMENT EXPENSES</v>
          </cell>
        </row>
      </sheetData>
      <sheetData sheetId="159">
        <row r="214">
          <cell r="A214" t="str">
            <v>ADMINISTRATIVE &amp; MANAGEMENT EXPENSES</v>
          </cell>
        </row>
      </sheetData>
      <sheetData sheetId="160">
        <row r="214">
          <cell r="A214" t="str">
            <v>ADMINISTRATIVE &amp; MANAGEMENT EXPENSES</v>
          </cell>
        </row>
      </sheetData>
      <sheetData sheetId="161">
        <row r="214">
          <cell r="A214" t="str">
            <v>ADMINISTRATIVE &amp; MANAGEMENT EXPENSES</v>
          </cell>
        </row>
      </sheetData>
      <sheetData sheetId="162">
        <row r="214">
          <cell r="A214" t="str">
            <v>ADMINISTRATIVE &amp; MANAGEMENT EXPENSES</v>
          </cell>
        </row>
      </sheetData>
      <sheetData sheetId="163">
        <row r="214">
          <cell r="A214" t="str">
            <v>ADMINISTRATIVE &amp; MANAGEMENT EXPENSES</v>
          </cell>
        </row>
      </sheetData>
      <sheetData sheetId="164">
        <row r="214">
          <cell r="A214" t="str">
            <v>ADMINISTRATIVE &amp; MANAGEMENT EXPENSES</v>
          </cell>
        </row>
      </sheetData>
      <sheetData sheetId="165">
        <row r="214">
          <cell r="A214" t="str">
            <v>ADMINISTRATIVE &amp; MANAGEMENT EXPENSES</v>
          </cell>
        </row>
      </sheetData>
      <sheetData sheetId="166">
        <row r="214">
          <cell r="A214" t="str">
            <v>ADMINISTRATIVE &amp; MANAGEMENT EXPENSES</v>
          </cell>
        </row>
      </sheetData>
      <sheetData sheetId="167">
        <row r="214">
          <cell r="A214" t="str">
            <v>ADMINISTRATIVE &amp; MANAGEMENT EXPENSES</v>
          </cell>
        </row>
      </sheetData>
      <sheetData sheetId="168">
        <row r="214">
          <cell r="A214" t="str">
            <v>ADMINISTRATIVE &amp; MANAGEMENT EXPENSES</v>
          </cell>
        </row>
      </sheetData>
      <sheetData sheetId="169">
        <row r="214">
          <cell r="A214" t="str">
            <v>ADMINISTRATIVE &amp; MANAGEMENT EXPENSES</v>
          </cell>
        </row>
      </sheetData>
      <sheetData sheetId="170">
        <row r="214">
          <cell r="A214" t="str">
            <v>ADMINISTRATIVE &amp; MANAGEMENT EXPENSES</v>
          </cell>
        </row>
      </sheetData>
      <sheetData sheetId="171">
        <row r="214">
          <cell r="A214" t="str">
            <v>ADMINISTRATIVE &amp; MANAGEMENT EXPENSES</v>
          </cell>
        </row>
      </sheetData>
      <sheetData sheetId="172">
        <row r="214">
          <cell r="A214" t="str">
            <v>ADMINISTRATIVE &amp; MANAGEMENT EXPENSES</v>
          </cell>
        </row>
      </sheetData>
      <sheetData sheetId="173">
        <row r="214">
          <cell r="A214" t="str">
            <v>ADMINISTRATIVE &amp; MANAGEMENT EXPENSES</v>
          </cell>
        </row>
      </sheetData>
      <sheetData sheetId="174">
        <row r="214">
          <cell r="A214" t="str">
            <v>ADMINISTRATIVE &amp; MANAGEMENT EXPENSES</v>
          </cell>
        </row>
      </sheetData>
      <sheetData sheetId="175">
        <row r="214">
          <cell r="A214" t="str">
            <v>ADMINISTRATIVE &amp; MANAGEMENT EXPENSES</v>
          </cell>
        </row>
      </sheetData>
      <sheetData sheetId="176">
        <row r="214">
          <cell r="A214" t="str">
            <v>ADMINISTRATIVE &amp; MANAGEMENT EXPENSES</v>
          </cell>
        </row>
      </sheetData>
      <sheetData sheetId="177">
        <row r="214">
          <cell r="A214" t="str">
            <v>ADMINISTRATIVE &amp; MANAGEMENT EXPENSES</v>
          </cell>
        </row>
      </sheetData>
      <sheetData sheetId="178">
        <row r="214">
          <cell r="A214" t="str">
            <v>ADMINISTRATIVE &amp; MANAGEMENT EXPENSES</v>
          </cell>
        </row>
      </sheetData>
      <sheetData sheetId="179">
        <row r="214">
          <cell r="A214" t="str">
            <v>ADMINISTRATIVE &amp; MANAGEMENT EXPENSES</v>
          </cell>
        </row>
      </sheetData>
      <sheetData sheetId="180">
        <row r="214">
          <cell r="A214" t="str">
            <v>ADMINISTRATIVE &amp; MANAGEMENT EXPENSES</v>
          </cell>
        </row>
      </sheetData>
      <sheetData sheetId="181">
        <row r="214">
          <cell r="A214" t="str">
            <v>ADMINISTRATIVE &amp; MANAGEMENT EXPENSES</v>
          </cell>
        </row>
      </sheetData>
      <sheetData sheetId="182">
        <row r="214">
          <cell r="A214" t="str">
            <v>ADMINISTRATIVE &amp; MANAGEMENT EXPENSES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214">
          <cell r="A214" t="str">
            <v>ADMINISTRATIVE &amp; MANAGEMENT EXPENSES</v>
          </cell>
        </row>
      </sheetData>
      <sheetData sheetId="223">
        <row r="214">
          <cell r="A214" t="str">
            <v>ADMINISTRATIVE &amp; MANAGEMENT EXPENSES</v>
          </cell>
        </row>
      </sheetData>
      <sheetData sheetId="224">
        <row r="214">
          <cell r="A214" t="str">
            <v>ADMINISTRATIVE &amp; MANAGEMENT EXPENSES</v>
          </cell>
        </row>
      </sheetData>
      <sheetData sheetId="225">
        <row r="214">
          <cell r="A214" t="str">
            <v>ADMINISTRATIVE &amp; MANAGEMENT EXPENSES</v>
          </cell>
        </row>
      </sheetData>
      <sheetData sheetId="226">
        <row r="214">
          <cell r="A214" t="str">
            <v>ADMINISTRATIVE &amp; MANAGEMENT EXPENSES</v>
          </cell>
        </row>
      </sheetData>
      <sheetData sheetId="227" refreshError="1"/>
      <sheetData sheetId="228">
        <row r="214">
          <cell r="A214" t="str">
            <v>ADMINISTRATIVE &amp; MANAGEMENT EXPENSES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>
        <row r="214">
          <cell r="A214" t="str">
            <v>ADMINISTRATIVE &amp; MANAGEMENT EXPENSES</v>
          </cell>
        </row>
      </sheetData>
      <sheetData sheetId="234">
        <row r="214">
          <cell r="A214" t="str">
            <v>ADMINISTRATIVE &amp; MANAGEMENT EXPENSES</v>
          </cell>
        </row>
      </sheetData>
      <sheetData sheetId="235">
        <row r="214">
          <cell r="A214" t="str">
            <v>ADMINISTRATIVE &amp; MANAGEMENT EXPENSES</v>
          </cell>
        </row>
      </sheetData>
      <sheetData sheetId="236">
        <row r="214">
          <cell r="A214" t="str">
            <v>ADMINISTRATIVE &amp; MANAGEMENT EXPENSES</v>
          </cell>
        </row>
      </sheetData>
      <sheetData sheetId="237">
        <row r="214">
          <cell r="A214" t="str">
            <v>ADMINISTRATIVE &amp; MANAGEMENT EXPENSES</v>
          </cell>
        </row>
      </sheetData>
      <sheetData sheetId="238">
        <row r="214">
          <cell r="A214" t="str">
            <v>ADMINISTRATIVE &amp; MANAGEMENT EXPENSES</v>
          </cell>
        </row>
      </sheetData>
      <sheetData sheetId="239">
        <row r="214">
          <cell r="A214" t="str">
            <v>ADMINISTRATIVE &amp; MANAGEMENT EXPENSES</v>
          </cell>
        </row>
      </sheetData>
      <sheetData sheetId="240">
        <row r="214">
          <cell r="A214" t="str">
            <v>ADMINISTRATIVE &amp; MANAGEMENT EXPENSES</v>
          </cell>
        </row>
      </sheetData>
      <sheetData sheetId="241">
        <row r="214">
          <cell r="A214" t="str">
            <v>ADMINISTRATIVE &amp; MANAGEMENT EXPENSES</v>
          </cell>
        </row>
      </sheetData>
      <sheetData sheetId="242">
        <row r="214">
          <cell r="A214" t="str">
            <v>ADMINISTRATIVE &amp; MANAGEMENT EXPENSES</v>
          </cell>
        </row>
      </sheetData>
      <sheetData sheetId="243">
        <row r="214">
          <cell r="A214" t="str">
            <v>ADMINISTRATIVE &amp; MANAGEMENT EXPENSES</v>
          </cell>
        </row>
      </sheetData>
      <sheetData sheetId="244">
        <row r="214">
          <cell r="A214" t="str">
            <v>ADMINISTRATIVE &amp; MANAGEMENT EXPENSES</v>
          </cell>
        </row>
      </sheetData>
      <sheetData sheetId="245">
        <row r="214">
          <cell r="A214" t="str">
            <v>ADMINISTRATIVE &amp; MANAGEMENT EXPENSES</v>
          </cell>
        </row>
      </sheetData>
      <sheetData sheetId="246">
        <row r="214">
          <cell r="A214" t="str">
            <v>ADMINISTRATIVE &amp; MANAGEMENT EXPENSES</v>
          </cell>
        </row>
      </sheetData>
      <sheetData sheetId="247">
        <row r="214">
          <cell r="A214" t="str">
            <v>ADMINISTRATIVE &amp; MANAGEMENT EXPENSES</v>
          </cell>
        </row>
      </sheetData>
      <sheetData sheetId="248">
        <row r="214">
          <cell r="A214" t="str">
            <v>ADMINISTRATIVE &amp; MANAGEMENT EXPENSES</v>
          </cell>
        </row>
      </sheetData>
      <sheetData sheetId="249">
        <row r="214">
          <cell r="A214" t="str">
            <v>ADMINISTRATIVE &amp; MANAGEMENT EXPENSES</v>
          </cell>
        </row>
      </sheetData>
      <sheetData sheetId="250">
        <row r="214">
          <cell r="A214" t="str">
            <v>ADMINISTRATIVE &amp; MANAGEMENT EXPENSES</v>
          </cell>
        </row>
      </sheetData>
      <sheetData sheetId="251">
        <row r="214">
          <cell r="A214" t="str">
            <v>ADMINISTRATIVE &amp; MANAGEMENT EXPENSES</v>
          </cell>
        </row>
      </sheetData>
      <sheetData sheetId="252">
        <row r="214">
          <cell r="A214" t="str">
            <v>ADMINISTRATIVE &amp; MANAGEMENT EXPENSES</v>
          </cell>
        </row>
      </sheetData>
      <sheetData sheetId="253">
        <row r="214">
          <cell r="A214" t="str">
            <v>ADMINISTRATIVE &amp; MANAGEMENT EXPENSES</v>
          </cell>
        </row>
      </sheetData>
      <sheetData sheetId="254">
        <row r="214">
          <cell r="A214" t="str">
            <v>ADMINISTRATIVE &amp; MANAGEMENT EXPENSES</v>
          </cell>
        </row>
      </sheetData>
      <sheetData sheetId="255">
        <row r="214">
          <cell r="A214" t="str">
            <v>ADMINISTRATIVE &amp; MANAGEMENT EXPENSES</v>
          </cell>
        </row>
      </sheetData>
      <sheetData sheetId="256">
        <row r="214">
          <cell r="A214" t="str">
            <v>ADMINISTRATIVE &amp; MANAGEMENT EXPENSES</v>
          </cell>
        </row>
      </sheetData>
      <sheetData sheetId="257">
        <row r="214">
          <cell r="A214" t="str">
            <v>ADMINISTRATIVE &amp; MANAGEMENT EXPENSES</v>
          </cell>
        </row>
      </sheetData>
      <sheetData sheetId="258">
        <row r="214">
          <cell r="A214" t="str">
            <v>ADMINISTRATIVE &amp; MANAGEMENT EXPENSES</v>
          </cell>
        </row>
      </sheetData>
      <sheetData sheetId="259">
        <row r="214">
          <cell r="A214" t="str">
            <v>ADMINISTRATIVE &amp; MANAGEMENT EXPENSES</v>
          </cell>
        </row>
      </sheetData>
      <sheetData sheetId="260">
        <row r="214">
          <cell r="A214" t="str">
            <v>ADMINISTRATIVE &amp; MANAGEMENT EXPENSES</v>
          </cell>
        </row>
      </sheetData>
      <sheetData sheetId="261">
        <row r="214">
          <cell r="A214" t="str">
            <v>ADMINISTRATIVE &amp; MANAGEMENT EXPENSES</v>
          </cell>
        </row>
      </sheetData>
      <sheetData sheetId="262">
        <row r="214">
          <cell r="A214" t="str">
            <v>ADMINISTRATIVE &amp; MANAGEMENT EXPENSES</v>
          </cell>
        </row>
      </sheetData>
      <sheetData sheetId="263">
        <row r="214">
          <cell r="A214" t="str">
            <v>ADMINISTRATIVE &amp; MANAGEMENT EXPENSES</v>
          </cell>
        </row>
      </sheetData>
      <sheetData sheetId="264">
        <row r="214">
          <cell r="A214" t="str">
            <v>ADMINISTRATIVE &amp; MANAGEMENT EXPENSES</v>
          </cell>
        </row>
      </sheetData>
      <sheetData sheetId="265">
        <row r="214">
          <cell r="A214" t="str">
            <v>ADMINISTRATIVE &amp; MANAGEMENT EXPENSES</v>
          </cell>
        </row>
      </sheetData>
      <sheetData sheetId="266">
        <row r="214">
          <cell r="A214" t="str">
            <v>ADMINISTRATIVE &amp; MANAGEMENT EXPENSES</v>
          </cell>
        </row>
      </sheetData>
      <sheetData sheetId="267">
        <row r="214">
          <cell r="A214" t="str">
            <v>ADMINISTRATIVE &amp; MANAGEMENT EXPENSES</v>
          </cell>
        </row>
      </sheetData>
      <sheetData sheetId="268">
        <row r="214">
          <cell r="A214" t="str">
            <v>ADMINISTRATIVE &amp; MANAGEMENT EXPENSES</v>
          </cell>
        </row>
      </sheetData>
      <sheetData sheetId="269">
        <row r="214">
          <cell r="A214" t="str">
            <v>ADMINISTRATIVE &amp; MANAGEMENT EXPENSES</v>
          </cell>
        </row>
      </sheetData>
      <sheetData sheetId="270">
        <row r="214">
          <cell r="A214" t="str">
            <v>ADMINISTRATIVE &amp; MANAGEMENT EXPENSES</v>
          </cell>
        </row>
      </sheetData>
      <sheetData sheetId="271">
        <row r="214">
          <cell r="A214" t="str">
            <v>ADMINISTRATIVE &amp; MANAGEMENT EXPENSES</v>
          </cell>
        </row>
      </sheetData>
      <sheetData sheetId="272">
        <row r="214">
          <cell r="A214" t="str">
            <v>ADMINISTRATIVE &amp; MANAGEMENT EXPENSES</v>
          </cell>
        </row>
      </sheetData>
      <sheetData sheetId="273">
        <row r="214">
          <cell r="A214" t="str">
            <v>ADMINISTRATIVE &amp; MANAGEMENT EXPENSES</v>
          </cell>
        </row>
      </sheetData>
      <sheetData sheetId="274">
        <row r="214">
          <cell r="A214" t="str">
            <v>ADMINISTRATIVE &amp; MANAGEMENT EXPENSES</v>
          </cell>
        </row>
      </sheetData>
      <sheetData sheetId="275">
        <row r="214">
          <cell r="A214" t="str">
            <v>ADMINISTRATIVE &amp; MANAGEMENT EXPENSES</v>
          </cell>
        </row>
      </sheetData>
      <sheetData sheetId="276">
        <row r="214">
          <cell r="A214" t="str">
            <v>ADMINISTRATIVE &amp; MANAGEMENT EXPENSES</v>
          </cell>
        </row>
      </sheetData>
      <sheetData sheetId="277">
        <row r="214">
          <cell r="A214" t="str">
            <v>ADMINISTRATIVE &amp; MANAGEMENT EXPENSES</v>
          </cell>
        </row>
      </sheetData>
      <sheetData sheetId="278">
        <row r="214">
          <cell r="A214" t="str">
            <v>ADMINISTRATIVE &amp; MANAGEMENT EXPENSES</v>
          </cell>
        </row>
      </sheetData>
      <sheetData sheetId="279">
        <row r="214">
          <cell r="A214" t="str">
            <v>ADMINISTRATIVE &amp; MANAGEMENT EXPENSES</v>
          </cell>
        </row>
      </sheetData>
      <sheetData sheetId="280">
        <row r="214">
          <cell r="A214" t="str">
            <v>ADMINISTRATIVE &amp; MANAGEMENT EXPENSES</v>
          </cell>
        </row>
      </sheetData>
      <sheetData sheetId="281">
        <row r="214">
          <cell r="A214" t="str">
            <v>ADMINISTRATIVE &amp; MANAGEMENT EXPENSES</v>
          </cell>
        </row>
      </sheetData>
      <sheetData sheetId="282">
        <row r="214">
          <cell r="A214" t="str">
            <v>ADMINISTRATIVE &amp; MANAGEMENT EXPENSES</v>
          </cell>
        </row>
      </sheetData>
      <sheetData sheetId="283">
        <row r="214">
          <cell r="A214" t="str">
            <v>ADMINISTRATIVE &amp; MANAGEMENT EXPENSES</v>
          </cell>
        </row>
      </sheetData>
      <sheetData sheetId="284">
        <row r="214">
          <cell r="A214" t="str">
            <v>ADMINISTRATIVE &amp; MANAGEMENT EXPENSES</v>
          </cell>
        </row>
      </sheetData>
      <sheetData sheetId="285">
        <row r="214">
          <cell r="A214" t="str">
            <v>ADMINISTRATIVE &amp; MANAGEMENT EXPENSES</v>
          </cell>
        </row>
      </sheetData>
      <sheetData sheetId="286">
        <row r="214">
          <cell r="A214" t="str">
            <v>ADMINISTRATIVE &amp; MANAGEMENT EXPENSES</v>
          </cell>
        </row>
      </sheetData>
      <sheetData sheetId="287">
        <row r="214">
          <cell r="A214" t="str">
            <v>ADMINISTRATIVE &amp; MANAGEMENT EXPENSES</v>
          </cell>
        </row>
      </sheetData>
      <sheetData sheetId="288">
        <row r="214">
          <cell r="A214" t="str">
            <v>ADMINISTRATIVE &amp; MANAGEMENT EXPENSES</v>
          </cell>
        </row>
      </sheetData>
      <sheetData sheetId="289">
        <row r="214">
          <cell r="A214" t="str">
            <v>ADMINISTRATIVE &amp; MANAGEMENT EXPENSES</v>
          </cell>
        </row>
      </sheetData>
      <sheetData sheetId="290">
        <row r="214">
          <cell r="A214" t="str">
            <v>ADMINISTRATIVE &amp; MANAGEMENT EXPENSES</v>
          </cell>
        </row>
      </sheetData>
      <sheetData sheetId="291">
        <row r="214">
          <cell r="A214" t="str">
            <v>ADMINISTRATIVE &amp; MANAGEMENT EXPENSES</v>
          </cell>
        </row>
      </sheetData>
      <sheetData sheetId="292">
        <row r="214">
          <cell r="A214" t="str">
            <v>ADMINISTRATIVE &amp; MANAGEMENT EXPENSES</v>
          </cell>
        </row>
      </sheetData>
      <sheetData sheetId="293">
        <row r="214">
          <cell r="A214" t="str">
            <v>ADMINISTRATIVE &amp; MANAGEMENT EXPENSES</v>
          </cell>
        </row>
      </sheetData>
      <sheetData sheetId="294">
        <row r="214">
          <cell r="A214" t="str">
            <v>ADMINISTRATIVE &amp; MANAGEMENT EXPENSES</v>
          </cell>
        </row>
      </sheetData>
      <sheetData sheetId="295">
        <row r="214">
          <cell r="A214" t="str">
            <v>ADMINISTRATIVE &amp; MANAGEMENT EXPENSES</v>
          </cell>
        </row>
      </sheetData>
      <sheetData sheetId="296">
        <row r="214">
          <cell r="A214" t="str">
            <v>ADMINISTRATIVE &amp; MANAGEMENT EXPENSES</v>
          </cell>
        </row>
      </sheetData>
      <sheetData sheetId="297">
        <row r="214">
          <cell r="A214" t="str">
            <v>ADMINISTRATIVE &amp; MANAGEMENT EXPENSES</v>
          </cell>
        </row>
      </sheetData>
      <sheetData sheetId="298">
        <row r="214">
          <cell r="A214" t="str">
            <v>ADMINISTRATIVE &amp; MANAGEMENT EXPENSES</v>
          </cell>
        </row>
      </sheetData>
      <sheetData sheetId="299">
        <row r="214">
          <cell r="A214" t="str">
            <v>ADMINISTRATIVE &amp; MANAGEMENT EXPENSES</v>
          </cell>
        </row>
      </sheetData>
      <sheetData sheetId="300">
        <row r="214">
          <cell r="A214" t="str">
            <v>ADMINISTRATIVE &amp; MANAGEMENT EXPENSES</v>
          </cell>
        </row>
      </sheetData>
      <sheetData sheetId="301">
        <row r="214">
          <cell r="A214" t="str">
            <v>ADMINISTRATIVE &amp; MANAGEMENT EXPENSES</v>
          </cell>
        </row>
      </sheetData>
      <sheetData sheetId="302">
        <row r="214">
          <cell r="A214" t="str">
            <v>ADMINISTRATIVE &amp; MANAGEMENT EXPENSES</v>
          </cell>
        </row>
      </sheetData>
      <sheetData sheetId="303">
        <row r="214">
          <cell r="A214" t="str">
            <v>ADMINISTRATIVE &amp; MANAGEMENT EXPENSES</v>
          </cell>
        </row>
      </sheetData>
      <sheetData sheetId="304">
        <row r="214">
          <cell r="A214" t="str">
            <v>ADMINISTRATIVE &amp; MANAGEMENT EXPENSES</v>
          </cell>
        </row>
      </sheetData>
      <sheetData sheetId="305">
        <row r="214">
          <cell r="A214" t="str">
            <v>ADMINISTRATIVE &amp; MANAGEMENT EXPENSES</v>
          </cell>
        </row>
      </sheetData>
      <sheetData sheetId="306">
        <row r="214">
          <cell r="A214" t="str">
            <v>ADMINISTRATIVE &amp; MANAGEMENT EXPENSES</v>
          </cell>
        </row>
      </sheetData>
      <sheetData sheetId="307">
        <row r="214">
          <cell r="A214" t="str">
            <v>ADMINISTRATIVE &amp; MANAGEMENT EXPENSES</v>
          </cell>
        </row>
      </sheetData>
      <sheetData sheetId="308">
        <row r="214">
          <cell r="A214" t="str">
            <v>ADMINISTRATIVE &amp; MANAGEMENT EXPENSES</v>
          </cell>
        </row>
      </sheetData>
      <sheetData sheetId="309">
        <row r="214">
          <cell r="A214" t="str">
            <v>ADMINISTRATIVE &amp; MANAGEMENT EXPENSES</v>
          </cell>
        </row>
      </sheetData>
      <sheetData sheetId="310">
        <row r="214">
          <cell r="A214" t="str">
            <v>ADMINISTRATIVE &amp; MANAGEMENT EXPENSES</v>
          </cell>
        </row>
      </sheetData>
      <sheetData sheetId="311">
        <row r="214">
          <cell r="A214" t="str">
            <v>ADMINISTRATIVE &amp; MANAGEMENT EXPENSES</v>
          </cell>
        </row>
      </sheetData>
      <sheetData sheetId="312">
        <row r="214">
          <cell r="A214" t="str">
            <v>ADMINISTRATIVE &amp; MANAGEMENT EXPENSES</v>
          </cell>
        </row>
      </sheetData>
      <sheetData sheetId="313">
        <row r="214">
          <cell r="A214" t="str">
            <v>ADMINISTRATIVE &amp; MANAGEMENT EXPENSES</v>
          </cell>
        </row>
      </sheetData>
      <sheetData sheetId="314">
        <row r="214">
          <cell r="A214" t="str">
            <v>ADMINISTRATIVE &amp; MANAGEMENT EXPENSES</v>
          </cell>
        </row>
      </sheetData>
      <sheetData sheetId="315">
        <row r="214">
          <cell r="A214" t="str">
            <v>ADMINISTRATIVE &amp; MANAGEMENT EXPENSES</v>
          </cell>
        </row>
      </sheetData>
      <sheetData sheetId="316">
        <row r="214">
          <cell r="A214" t="str">
            <v>ADMINISTRATIVE &amp; MANAGEMENT EXPENSES</v>
          </cell>
        </row>
      </sheetData>
      <sheetData sheetId="317">
        <row r="214">
          <cell r="A214" t="str">
            <v>ADMINISTRATIVE &amp; MANAGEMENT EXPENSES</v>
          </cell>
        </row>
      </sheetData>
      <sheetData sheetId="318">
        <row r="214">
          <cell r="A214" t="str">
            <v>ADMINISTRATIVE &amp; MANAGEMENT EXPENSES</v>
          </cell>
        </row>
      </sheetData>
      <sheetData sheetId="319">
        <row r="214">
          <cell r="A214" t="str">
            <v>ADMINISTRATIVE &amp; MANAGEMENT EXPENSES</v>
          </cell>
        </row>
      </sheetData>
      <sheetData sheetId="320">
        <row r="214">
          <cell r="A214" t="str">
            <v>ADMINISTRATIVE &amp; MANAGEMENT EXPENSES</v>
          </cell>
        </row>
      </sheetData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214">
          <cell r="A214" t="str">
            <v>ADMINISTRATIVE &amp; MANAGEMENT EXPENSES</v>
          </cell>
        </row>
      </sheetData>
      <sheetData sheetId="332">
        <row r="214">
          <cell r="A214" t="str">
            <v>ADMINISTRATIVE &amp; MANAGEMENT EXPENSES</v>
          </cell>
        </row>
      </sheetData>
      <sheetData sheetId="333">
        <row r="214">
          <cell r="A214" t="str">
            <v>ADMINISTRATIVE &amp; MANAGEMENT EXPENSES</v>
          </cell>
        </row>
      </sheetData>
      <sheetData sheetId="334">
        <row r="214">
          <cell r="A214" t="str">
            <v>ADMINISTRATIVE &amp; MANAGEMENT EXPENSES</v>
          </cell>
        </row>
      </sheetData>
      <sheetData sheetId="335">
        <row r="214">
          <cell r="A214" t="str">
            <v>ADMINISTRATIVE &amp; MANAGEMENT EXPENSES</v>
          </cell>
        </row>
      </sheetData>
      <sheetData sheetId="336">
        <row r="214">
          <cell r="A214" t="str">
            <v>ADMINISTRATIVE &amp; MANAGEMENT EXPENSES</v>
          </cell>
        </row>
      </sheetData>
      <sheetData sheetId="337">
        <row r="214">
          <cell r="A214" t="str">
            <v>ADMINISTRATIVE &amp; MANAGEMENT EXPENSES</v>
          </cell>
        </row>
      </sheetData>
      <sheetData sheetId="338">
        <row r="214">
          <cell r="A214" t="str">
            <v>ADMINISTRATIVE &amp; MANAGEMENT EXPENSES</v>
          </cell>
        </row>
      </sheetData>
      <sheetData sheetId="339">
        <row r="214">
          <cell r="A214" t="str">
            <v>ADMINISTRATIVE &amp; MANAGEMENT EXPENSES</v>
          </cell>
        </row>
      </sheetData>
      <sheetData sheetId="340">
        <row r="214">
          <cell r="A214" t="str">
            <v>ADMINISTRATIVE &amp; MANAGEMENT EXPENSES</v>
          </cell>
        </row>
      </sheetData>
      <sheetData sheetId="341">
        <row r="214">
          <cell r="A214" t="str">
            <v>ADMINISTRATIVE &amp; MANAGEMENT EXPENSES</v>
          </cell>
        </row>
      </sheetData>
      <sheetData sheetId="342">
        <row r="214">
          <cell r="A214" t="str">
            <v>ADMINISTRATIVE &amp; MANAGEMENT EXPENSES</v>
          </cell>
        </row>
      </sheetData>
      <sheetData sheetId="343">
        <row r="214">
          <cell r="A214" t="str">
            <v>ADMINISTRATIVE &amp; MANAGEMENT EXPENSES</v>
          </cell>
        </row>
      </sheetData>
      <sheetData sheetId="344">
        <row r="214">
          <cell r="A214" t="str">
            <v>ADMINISTRATIVE &amp; MANAGEMENT EXPENSES</v>
          </cell>
        </row>
      </sheetData>
      <sheetData sheetId="345">
        <row r="214">
          <cell r="A214" t="str">
            <v>ADMINISTRATIVE &amp; MANAGEMENT EXPENSES</v>
          </cell>
        </row>
      </sheetData>
      <sheetData sheetId="346">
        <row r="214">
          <cell r="A214" t="str">
            <v>ADMINISTRATIVE &amp; MANAGEMENT EXPENSES</v>
          </cell>
        </row>
      </sheetData>
      <sheetData sheetId="347">
        <row r="214">
          <cell r="A214" t="str">
            <v>ADMINISTRATIVE &amp; MANAGEMENT EXPENSES</v>
          </cell>
        </row>
      </sheetData>
      <sheetData sheetId="348">
        <row r="214">
          <cell r="A214" t="str">
            <v>ADMINISTRATIVE &amp; MANAGEMENT EXPENSES</v>
          </cell>
        </row>
      </sheetData>
      <sheetData sheetId="349">
        <row r="214">
          <cell r="A214" t="str">
            <v>ADMINISTRATIVE &amp; MANAGEMENT EXPENSES</v>
          </cell>
        </row>
      </sheetData>
      <sheetData sheetId="350">
        <row r="214">
          <cell r="A214" t="str">
            <v>ADMINISTRATIVE &amp; MANAGEMENT EXPENSES</v>
          </cell>
        </row>
      </sheetData>
      <sheetData sheetId="351">
        <row r="214">
          <cell r="A214" t="str">
            <v>ADMINISTRATIVE &amp; MANAGEMENT EXPENSES</v>
          </cell>
        </row>
      </sheetData>
      <sheetData sheetId="352">
        <row r="214">
          <cell r="A214" t="str">
            <v>ADMINISTRATIVE &amp; MANAGEMENT EXPENSES</v>
          </cell>
        </row>
      </sheetData>
      <sheetData sheetId="353">
        <row r="214">
          <cell r="A214" t="str">
            <v>ADMINISTRATIVE &amp; MANAGEMENT EXPENSES</v>
          </cell>
        </row>
      </sheetData>
      <sheetData sheetId="354">
        <row r="214">
          <cell r="A214" t="str">
            <v>ADMINISTRATIVE &amp; MANAGEMENT EXPENSES</v>
          </cell>
        </row>
      </sheetData>
      <sheetData sheetId="355">
        <row r="214">
          <cell r="A214" t="str">
            <v>ADMINISTRATIVE &amp; MANAGEMENT EXPENSES</v>
          </cell>
        </row>
      </sheetData>
      <sheetData sheetId="356">
        <row r="214">
          <cell r="A214" t="str">
            <v>ADMINISTRATIVE &amp; MANAGEMENT EXPENSES</v>
          </cell>
        </row>
      </sheetData>
      <sheetData sheetId="357">
        <row r="214">
          <cell r="A214" t="str">
            <v>ADMINISTRATIVE &amp; MANAGEMENT EXPENSES</v>
          </cell>
        </row>
      </sheetData>
      <sheetData sheetId="358">
        <row r="214">
          <cell r="A214" t="str">
            <v>ADMINISTRATIVE &amp; MANAGEMENT EXPENSES</v>
          </cell>
        </row>
      </sheetData>
      <sheetData sheetId="359">
        <row r="214">
          <cell r="A214" t="str">
            <v>ADMINISTRATIVE &amp; MANAGEMENT EXPENSES</v>
          </cell>
        </row>
      </sheetData>
      <sheetData sheetId="360">
        <row r="214">
          <cell r="A214" t="str">
            <v>ADMINISTRATIVE &amp; MANAGEMENT EXPENSES</v>
          </cell>
        </row>
      </sheetData>
      <sheetData sheetId="361">
        <row r="214">
          <cell r="A214" t="str">
            <v>ADMINISTRATIVE &amp; MANAGEMENT EXPENSES</v>
          </cell>
        </row>
      </sheetData>
      <sheetData sheetId="362">
        <row r="214">
          <cell r="A214" t="str">
            <v>ADMINISTRATIVE &amp; MANAGEMENT EXPENSES</v>
          </cell>
        </row>
      </sheetData>
      <sheetData sheetId="363">
        <row r="214">
          <cell r="A214" t="str">
            <v>ADMINISTRATIVE &amp; MANAGEMENT EXPENSES</v>
          </cell>
        </row>
      </sheetData>
      <sheetData sheetId="364">
        <row r="214">
          <cell r="A214" t="str">
            <v>ADMINISTRATIVE &amp; MANAGEMENT EXPENSES</v>
          </cell>
        </row>
      </sheetData>
      <sheetData sheetId="365">
        <row r="214">
          <cell r="A214" t="str">
            <v>ADMINISTRATIVE &amp; MANAGEMENT EXPENSES</v>
          </cell>
        </row>
      </sheetData>
      <sheetData sheetId="366">
        <row r="214">
          <cell r="A214" t="str">
            <v>ADMINISTRATIVE &amp; MANAGEMENT EXPENSES</v>
          </cell>
        </row>
      </sheetData>
      <sheetData sheetId="367">
        <row r="214">
          <cell r="A214" t="str">
            <v>ADMINISTRATIVE &amp; MANAGEMENT EXPENSES</v>
          </cell>
        </row>
      </sheetData>
      <sheetData sheetId="368">
        <row r="214">
          <cell r="A214" t="str">
            <v>ADMINISTRATIVE &amp; MANAGEMENT EXPENSES</v>
          </cell>
        </row>
      </sheetData>
      <sheetData sheetId="369">
        <row r="214">
          <cell r="A214" t="str">
            <v>ADMINISTRATIVE &amp; MANAGEMENT EXPENSES</v>
          </cell>
        </row>
      </sheetData>
      <sheetData sheetId="370">
        <row r="214">
          <cell r="A214" t="str">
            <v>ADMINISTRATIVE &amp; MANAGEMENT EXPENSES</v>
          </cell>
        </row>
      </sheetData>
      <sheetData sheetId="371">
        <row r="214">
          <cell r="A214" t="str">
            <v>ADMINISTRATIVE &amp; MANAGEMENT EXPENSES</v>
          </cell>
        </row>
      </sheetData>
      <sheetData sheetId="372">
        <row r="214">
          <cell r="A214" t="str">
            <v>ADMINISTRATIVE &amp; MANAGEMENT EXPENSES</v>
          </cell>
        </row>
      </sheetData>
      <sheetData sheetId="373">
        <row r="214">
          <cell r="A214" t="str">
            <v>ADMINISTRATIVE &amp; MANAGEMENT EXPENSES</v>
          </cell>
        </row>
      </sheetData>
      <sheetData sheetId="374">
        <row r="214">
          <cell r="A214" t="str">
            <v>ADMINISTRATIVE &amp; MANAGEMENT EXPENSES</v>
          </cell>
        </row>
      </sheetData>
      <sheetData sheetId="375">
        <row r="214">
          <cell r="A214" t="str">
            <v>ADMINISTRATIVE &amp; MANAGEMENT EXPENSES</v>
          </cell>
        </row>
      </sheetData>
      <sheetData sheetId="376">
        <row r="214">
          <cell r="A214" t="str">
            <v>ADMINISTRATIVE &amp; MANAGEMENT EXPENSES</v>
          </cell>
        </row>
      </sheetData>
      <sheetData sheetId="377">
        <row r="214">
          <cell r="A214" t="str">
            <v>ADMINISTRATIVE &amp; MANAGEMENT EXPENSES</v>
          </cell>
        </row>
      </sheetData>
      <sheetData sheetId="378">
        <row r="214">
          <cell r="A214" t="str">
            <v>ADMINISTRATIVE &amp; MANAGEMENT EXPENSES</v>
          </cell>
        </row>
      </sheetData>
      <sheetData sheetId="379">
        <row r="214">
          <cell r="A214" t="str">
            <v>ADMINISTRATIVE &amp; MANAGEMENT EXPENSES</v>
          </cell>
        </row>
      </sheetData>
      <sheetData sheetId="380">
        <row r="214">
          <cell r="A214" t="str">
            <v>ADMINISTRATIVE &amp; MANAGEMENT EXPENSES</v>
          </cell>
        </row>
      </sheetData>
      <sheetData sheetId="381">
        <row r="214">
          <cell r="A214" t="str">
            <v>ADMINISTRATIVE &amp; MANAGEMENT EXPENSES</v>
          </cell>
        </row>
      </sheetData>
      <sheetData sheetId="382">
        <row r="214">
          <cell r="A214" t="str">
            <v>ADMINISTRATIVE &amp; MANAGEMENT EXPENSES</v>
          </cell>
        </row>
      </sheetData>
      <sheetData sheetId="383">
        <row r="214">
          <cell r="A214" t="str">
            <v>ADMINISTRATIVE &amp; MANAGEMENT EXPENSES</v>
          </cell>
        </row>
      </sheetData>
      <sheetData sheetId="384">
        <row r="214">
          <cell r="A214" t="str">
            <v>ADMINISTRATIVE &amp; MANAGEMENT EXPENSES</v>
          </cell>
        </row>
      </sheetData>
      <sheetData sheetId="385">
        <row r="214">
          <cell r="A214" t="str">
            <v>ADMINISTRATIVE &amp; MANAGEMENT EXPENSES</v>
          </cell>
        </row>
      </sheetData>
      <sheetData sheetId="386">
        <row r="214">
          <cell r="A214" t="str">
            <v>ADMINISTRATIVE &amp; MANAGEMENT EXPENSES</v>
          </cell>
        </row>
      </sheetData>
      <sheetData sheetId="387">
        <row r="214">
          <cell r="A214" t="str">
            <v>ADMINISTRATIVE &amp; MANAGEMENT EXPENSES</v>
          </cell>
        </row>
      </sheetData>
      <sheetData sheetId="388">
        <row r="214">
          <cell r="A214" t="str">
            <v>ADMINISTRATIVE &amp; MANAGEMENT EXPENSES</v>
          </cell>
        </row>
      </sheetData>
      <sheetData sheetId="389">
        <row r="214">
          <cell r="A214" t="str">
            <v>ADMINISTRATIVE &amp; MANAGEMENT EXPENSES</v>
          </cell>
        </row>
      </sheetData>
      <sheetData sheetId="390">
        <row r="214">
          <cell r="A214" t="str">
            <v>ADMINISTRATIVE &amp; MANAGEMENT EXPENSES</v>
          </cell>
        </row>
      </sheetData>
      <sheetData sheetId="391">
        <row r="214">
          <cell r="A214" t="str">
            <v>ADMINISTRATIVE &amp; MANAGEMENT EXPENSES</v>
          </cell>
        </row>
      </sheetData>
      <sheetData sheetId="392">
        <row r="214">
          <cell r="A214" t="str">
            <v>ADMINISTRATIVE &amp; MANAGEMENT EXPENSES</v>
          </cell>
        </row>
      </sheetData>
      <sheetData sheetId="393">
        <row r="214">
          <cell r="A214" t="str">
            <v>ADMINISTRATIVE &amp; MANAGEMENT EXPENSES</v>
          </cell>
        </row>
      </sheetData>
      <sheetData sheetId="394">
        <row r="214">
          <cell r="A214" t="str">
            <v>ADMINISTRATIVE &amp; MANAGEMENT EXPENSES</v>
          </cell>
        </row>
      </sheetData>
      <sheetData sheetId="395">
        <row r="214">
          <cell r="A214" t="str">
            <v>ADMINISTRATIVE &amp; MANAGEMENT EXPENSES</v>
          </cell>
        </row>
      </sheetData>
      <sheetData sheetId="396">
        <row r="214">
          <cell r="A214" t="str">
            <v>ADMINISTRATIVE &amp; MANAGEMENT EXPENSES</v>
          </cell>
        </row>
      </sheetData>
      <sheetData sheetId="397">
        <row r="214">
          <cell r="A214" t="str">
            <v>ADMINISTRATIVE &amp; MANAGEMENT EXPENSES</v>
          </cell>
        </row>
      </sheetData>
      <sheetData sheetId="398">
        <row r="214">
          <cell r="A214" t="str">
            <v>ADMINISTRATIVE &amp; MANAGEMENT EXPENSES</v>
          </cell>
        </row>
      </sheetData>
      <sheetData sheetId="399">
        <row r="214">
          <cell r="A214" t="str">
            <v>ADMINISTRATIVE &amp; MANAGEMENT EXPENSES</v>
          </cell>
        </row>
      </sheetData>
      <sheetData sheetId="400">
        <row r="214">
          <cell r="A214" t="str">
            <v>ADMINISTRATIVE &amp; MANAGEMENT EXPENSES</v>
          </cell>
        </row>
      </sheetData>
      <sheetData sheetId="401">
        <row r="214">
          <cell r="A214" t="str">
            <v>ADMINISTRATIVE &amp; MANAGEMENT EXPENSES</v>
          </cell>
        </row>
      </sheetData>
      <sheetData sheetId="402">
        <row r="214">
          <cell r="A214" t="str">
            <v>ADMINISTRATIVE &amp; MANAGEMENT EXPENSES</v>
          </cell>
        </row>
      </sheetData>
      <sheetData sheetId="403">
        <row r="214">
          <cell r="A214" t="str">
            <v>ADMINISTRATIVE &amp; MANAGEMENT EXPENSES</v>
          </cell>
        </row>
      </sheetData>
      <sheetData sheetId="404">
        <row r="214">
          <cell r="A214" t="str">
            <v>ADMINISTRATIVE &amp; MANAGEMENT EXPENSES</v>
          </cell>
        </row>
      </sheetData>
      <sheetData sheetId="405">
        <row r="214">
          <cell r="A214" t="str">
            <v>ADMINISTRATIVE &amp; MANAGEMENT EXPENSES</v>
          </cell>
        </row>
      </sheetData>
      <sheetData sheetId="406">
        <row r="214">
          <cell r="A214" t="str">
            <v>ADMINISTRATIVE &amp; MANAGEMENT EXPENSES</v>
          </cell>
        </row>
      </sheetData>
      <sheetData sheetId="407">
        <row r="214">
          <cell r="A214" t="str">
            <v>ADMINISTRATIVE &amp; MANAGEMENT EXPENSES</v>
          </cell>
        </row>
      </sheetData>
      <sheetData sheetId="408">
        <row r="214">
          <cell r="A214" t="str">
            <v>ADMINISTRATIVE &amp; MANAGEMENT EXPENSES</v>
          </cell>
        </row>
      </sheetData>
      <sheetData sheetId="409">
        <row r="214">
          <cell r="A214" t="str">
            <v>ADMINISTRATIVE &amp; MANAGEMENT EXPENSES</v>
          </cell>
        </row>
      </sheetData>
      <sheetData sheetId="410">
        <row r="214">
          <cell r="A214" t="str">
            <v>ADMINISTRATIVE &amp; MANAGEMENT EXPENSES</v>
          </cell>
        </row>
      </sheetData>
      <sheetData sheetId="411">
        <row r="214">
          <cell r="A214" t="str">
            <v>ADMINISTRATIVE &amp; MANAGEMENT EXPENSES</v>
          </cell>
        </row>
      </sheetData>
      <sheetData sheetId="412">
        <row r="214">
          <cell r="A214" t="str">
            <v>ADMINISTRATIVE &amp; MANAGEMENT EXPENSES</v>
          </cell>
        </row>
      </sheetData>
      <sheetData sheetId="413">
        <row r="214">
          <cell r="A214" t="str">
            <v>ADMINISTRATIVE &amp; MANAGEMENT EXPENSES</v>
          </cell>
        </row>
      </sheetData>
      <sheetData sheetId="414">
        <row r="214">
          <cell r="A214" t="str">
            <v>ADMINISTRATIVE &amp; MANAGEMENT EXPENSES</v>
          </cell>
        </row>
      </sheetData>
      <sheetData sheetId="415">
        <row r="214">
          <cell r="A214" t="str">
            <v>ADMINISTRATIVE &amp; MANAGEMENT EXPENSES</v>
          </cell>
        </row>
      </sheetData>
      <sheetData sheetId="416">
        <row r="214">
          <cell r="A214" t="str">
            <v>ADMINISTRATIVE &amp; MANAGEMENT EXPENSES</v>
          </cell>
        </row>
      </sheetData>
      <sheetData sheetId="417">
        <row r="214">
          <cell r="A214" t="str">
            <v>ADMINISTRATIVE &amp; MANAGEMENT EXPENSES</v>
          </cell>
        </row>
      </sheetData>
      <sheetData sheetId="418">
        <row r="214">
          <cell r="A214" t="str">
            <v>ADMINISTRATIVE &amp; MANAGEMENT EXPENSES</v>
          </cell>
        </row>
      </sheetData>
      <sheetData sheetId="419">
        <row r="214">
          <cell r="A214" t="str">
            <v>ADMINISTRATIVE &amp; MANAGEMENT EXPENSES</v>
          </cell>
        </row>
      </sheetData>
      <sheetData sheetId="420">
        <row r="214">
          <cell r="A214" t="str">
            <v>ADMINISTRATIVE &amp; MANAGEMENT EXPENSES</v>
          </cell>
        </row>
      </sheetData>
      <sheetData sheetId="421">
        <row r="214">
          <cell r="A214" t="str">
            <v>ADMINISTRATIVE &amp; MANAGEMENT EXPENSES</v>
          </cell>
        </row>
      </sheetData>
      <sheetData sheetId="422">
        <row r="214">
          <cell r="A214" t="str">
            <v>ADMINISTRATIVE &amp; MANAGEMENT EXPENSES</v>
          </cell>
        </row>
      </sheetData>
      <sheetData sheetId="423">
        <row r="214">
          <cell r="A214" t="str">
            <v>ADMINISTRATIVE &amp; MANAGEMENT EXPENSES</v>
          </cell>
        </row>
      </sheetData>
      <sheetData sheetId="424">
        <row r="214">
          <cell r="A214" t="str">
            <v>ADMINISTRATIVE &amp; MANAGEMENT EXPENSES</v>
          </cell>
        </row>
      </sheetData>
      <sheetData sheetId="425">
        <row r="214">
          <cell r="A214" t="str">
            <v>ADMINISTRATIVE &amp; MANAGEMENT EXPENSES</v>
          </cell>
        </row>
      </sheetData>
      <sheetData sheetId="426">
        <row r="214">
          <cell r="A214" t="str">
            <v>ADMINISTRATIVE &amp; MANAGEMENT EXPENSES</v>
          </cell>
        </row>
      </sheetData>
      <sheetData sheetId="427">
        <row r="214">
          <cell r="A214" t="str">
            <v>ADMINISTRATIVE &amp; MANAGEMENT EXPENSES</v>
          </cell>
        </row>
      </sheetData>
      <sheetData sheetId="428">
        <row r="214">
          <cell r="A214" t="str">
            <v>ADMINISTRATIVE &amp; MANAGEMENT EXPENSES</v>
          </cell>
        </row>
      </sheetData>
      <sheetData sheetId="429">
        <row r="214">
          <cell r="A214" t="str">
            <v>ADMINISTRATIVE &amp; MANAGEMENT EXPENSES</v>
          </cell>
        </row>
      </sheetData>
      <sheetData sheetId="430">
        <row r="214">
          <cell r="A214" t="str">
            <v>ADMINISTRATIVE &amp; MANAGEMENT EXPENSES</v>
          </cell>
        </row>
      </sheetData>
      <sheetData sheetId="431">
        <row r="214">
          <cell r="A214" t="str">
            <v>ADMINISTRATIVE &amp; MANAGEMENT EXPENSES</v>
          </cell>
        </row>
      </sheetData>
      <sheetData sheetId="432">
        <row r="214">
          <cell r="A214" t="str">
            <v>ADMINISTRATIVE &amp; MANAGEMENT EXPENSES</v>
          </cell>
        </row>
      </sheetData>
      <sheetData sheetId="433">
        <row r="214">
          <cell r="A214" t="str">
            <v>ADMINISTRATIVE &amp; MANAGEMENT EXPENSES</v>
          </cell>
        </row>
      </sheetData>
      <sheetData sheetId="434">
        <row r="214">
          <cell r="A214" t="str">
            <v>ADMINISTRATIVE &amp; MANAGEMENT EXPENSES</v>
          </cell>
        </row>
      </sheetData>
      <sheetData sheetId="435">
        <row r="214">
          <cell r="A214" t="str">
            <v>ADMINISTRATIVE &amp; MANAGEMENT EXPENSES</v>
          </cell>
        </row>
      </sheetData>
      <sheetData sheetId="436">
        <row r="214">
          <cell r="A214" t="str">
            <v>ADMINISTRATIVE &amp; MANAGEMENT EXPENSES</v>
          </cell>
        </row>
      </sheetData>
      <sheetData sheetId="437">
        <row r="214">
          <cell r="A214" t="str">
            <v>ADMINISTRATIVE &amp; MANAGEMENT EXPENSES</v>
          </cell>
        </row>
      </sheetData>
      <sheetData sheetId="438">
        <row r="214">
          <cell r="A214" t="str">
            <v>ADMINISTRATIVE &amp; MANAGEMENT EXPENSES</v>
          </cell>
        </row>
      </sheetData>
      <sheetData sheetId="439">
        <row r="214">
          <cell r="A214" t="str">
            <v>ADMINISTRATIVE &amp; MANAGEMENT EXPENSES</v>
          </cell>
        </row>
      </sheetData>
      <sheetData sheetId="440">
        <row r="214">
          <cell r="A214" t="str">
            <v>ADMINISTRATIVE &amp; MANAGEMENT EXPENSES</v>
          </cell>
        </row>
      </sheetData>
      <sheetData sheetId="441">
        <row r="214">
          <cell r="A214" t="str">
            <v>ADMINISTRATIVE &amp; MANAGEMENT EXPENSES</v>
          </cell>
        </row>
      </sheetData>
      <sheetData sheetId="442">
        <row r="214">
          <cell r="A214" t="str">
            <v>ADMINISTRATIVE &amp; MANAGEMENT EXPENSES</v>
          </cell>
        </row>
      </sheetData>
      <sheetData sheetId="443">
        <row r="214">
          <cell r="A214" t="str">
            <v>ADMINISTRATIVE &amp; MANAGEMENT EXPENSES</v>
          </cell>
        </row>
      </sheetData>
      <sheetData sheetId="444">
        <row r="214">
          <cell r="A214" t="str">
            <v>ADMINISTRATIVE &amp; MANAGEMENT EXPENSES</v>
          </cell>
        </row>
      </sheetData>
      <sheetData sheetId="445">
        <row r="214">
          <cell r="A214" t="str">
            <v>ADMINISTRATIVE &amp; MANAGEMENT EXPENSES</v>
          </cell>
        </row>
      </sheetData>
      <sheetData sheetId="446">
        <row r="214">
          <cell r="A214" t="str">
            <v>ADMINISTRATIVE &amp; MANAGEMENT EXPENSES</v>
          </cell>
        </row>
      </sheetData>
      <sheetData sheetId="447">
        <row r="214">
          <cell r="A214" t="str">
            <v>ADMINISTRATIVE &amp; MANAGEMENT EXPENSES</v>
          </cell>
        </row>
      </sheetData>
      <sheetData sheetId="448">
        <row r="214">
          <cell r="A214" t="str">
            <v>ADMINISTRATIVE &amp; MANAGEMENT EXPENSES</v>
          </cell>
        </row>
      </sheetData>
      <sheetData sheetId="449">
        <row r="214">
          <cell r="A214" t="str">
            <v>ADMINISTRATIVE &amp; MANAGEMENT EXPENSES</v>
          </cell>
        </row>
      </sheetData>
      <sheetData sheetId="450">
        <row r="214">
          <cell r="A214" t="str">
            <v>ADMINISTRATIVE &amp; MANAGEMENT EXPENSES</v>
          </cell>
        </row>
      </sheetData>
      <sheetData sheetId="451">
        <row r="214">
          <cell r="A214" t="str">
            <v>ADMINISTRATIVE &amp; MANAGEMENT EXPENSES</v>
          </cell>
        </row>
      </sheetData>
      <sheetData sheetId="452">
        <row r="214">
          <cell r="A214" t="str">
            <v>ADMINISTRATIVE &amp; MANAGEMENT EXPENSES</v>
          </cell>
        </row>
      </sheetData>
      <sheetData sheetId="453" refreshError="1"/>
      <sheetData sheetId="454" refreshError="1"/>
      <sheetData sheetId="455" refreshError="1"/>
      <sheetData sheetId="456" refreshError="1"/>
      <sheetData sheetId="457">
        <row r="214">
          <cell r="A214" t="str">
            <v>ADMINISTRATIVE &amp; MANAGEMENT EXPENSES</v>
          </cell>
        </row>
      </sheetData>
      <sheetData sheetId="458">
        <row r="214">
          <cell r="A214" t="str">
            <v>ADMINISTRATIVE &amp; MANAGEMENT EXPENSES</v>
          </cell>
        </row>
      </sheetData>
      <sheetData sheetId="459">
        <row r="214">
          <cell r="A214" t="str">
            <v>ADMINISTRATIVE &amp; MANAGEMENT EXPENSES</v>
          </cell>
        </row>
      </sheetData>
      <sheetData sheetId="460">
        <row r="214">
          <cell r="A214" t="str">
            <v>ADMINISTRATIVE &amp; MANAGEMENT EXPENSES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214">
          <cell r="A214" t="str">
            <v>ADMINISTRATIVE &amp; MANAGEMENT EXPENSES</v>
          </cell>
        </row>
      </sheetData>
      <sheetData sheetId="467">
        <row r="214">
          <cell r="A214" t="str">
            <v>ADMINISTRATIVE &amp; MANAGEMENT EXPENSES</v>
          </cell>
        </row>
      </sheetData>
      <sheetData sheetId="468">
        <row r="214">
          <cell r="A214" t="str">
            <v>ADMINISTRATIVE &amp; MANAGEMENT EXPENSES</v>
          </cell>
        </row>
      </sheetData>
      <sheetData sheetId="469">
        <row r="214">
          <cell r="A214" t="str">
            <v>ADMINISTRATIVE &amp; MANAGEMENT EXPENSES</v>
          </cell>
        </row>
      </sheetData>
      <sheetData sheetId="470">
        <row r="214">
          <cell r="A214" t="str">
            <v>ADMINISTRATIVE &amp; MANAGEMENT EXPENSES</v>
          </cell>
        </row>
      </sheetData>
      <sheetData sheetId="471">
        <row r="214">
          <cell r="A214" t="str">
            <v>ADMINISTRATIVE &amp; MANAGEMENT EXPENSES</v>
          </cell>
        </row>
      </sheetData>
      <sheetData sheetId="472">
        <row r="214">
          <cell r="A214" t="str">
            <v>ADMINISTRATIVE &amp; MANAGEMENT EXPENSES</v>
          </cell>
        </row>
      </sheetData>
      <sheetData sheetId="473">
        <row r="214">
          <cell r="A214" t="str">
            <v>ADMINISTRATIVE &amp; MANAGEMENT EXPENSES</v>
          </cell>
        </row>
      </sheetData>
      <sheetData sheetId="474">
        <row r="214">
          <cell r="A214" t="str">
            <v>ADMINISTRATIVE &amp; MANAGEMENT EXPENSES</v>
          </cell>
        </row>
      </sheetData>
      <sheetData sheetId="475">
        <row r="214">
          <cell r="A214" t="str">
            <v>ADMINISTRATIVE &amp; MANAGEMENT EXPENSES</v>
          </cell>
        </row>
      </sheetData>
      <sheetData sheetId="476">
        <row r="214">
          <cell r="A214" t="str">
            <v>ADMINISTRATIVE &amp; MANAGEMENT EXPENSES</v>
          </cell>
        </row>
      </sheetData>
      <sheetData sheetId="477">
        <row r="214">
          <cell r="A214" t="str">
            <v>ADMINISTRATIVE &amp; MANAGEMENT EXPENSES</v>
          </cell>
        </row>
      </sheetData>
      <sheetData sheetId="478">
        <row r="214">
          <cell r="A214" t="str">
            <v>ADMINISTRATIVE &amp; MANAGEMENT EXPENSES</v>
          </cell>
        </row>
      </sheetData>
      <sheetData sheetId="479">
        <row r="214">
          <cell r="A214" t="str">
            <v>ADMINISTRATIVE &amp; MANAGEMENT EXPENSES</v>
          </cell>
        </row>
      </sheetData>
      <sheetData sheetId="480">
        <row r="214">
          <cell r="A214" t="str">
            <v>ADMINISTRATIVE &amp; MANAGEMENT EXPENSES</v>
          </cell>
        </row>
      </sheetData>
      <sheetData sheetId="481">
        <row r="214">
          <cell r="A214" t="str">
            <v>ADMINISTRATIVE &amp; MANAGEMENT EXPENSES</v>
          </cell>
        </row>
      </sheetData>
      <sheetData sheetId="482">
        <row r="214">
          <cell r="A214" t="str">
            <v>ADMINISTRATIVE &amp; MANAGEMENT EXPENSES</v>
          </cell>
        </row>
      </sheetData>
      <sheetData sheetId="483">
        <row r="214">
          <cell r="A214" t="str">
            <v>ADMINISTRATIVE &amp; MANAGEMENT EXPENSES</v>
          </cell>
        </row>
      </sheetData>
      <sheetData sheetId="484">
        <row r="214">
          <cell r="A214" t="str">
            <v>ADMINISTRATIVE &amp; MANAGEMENT EXPENSES</v>
          </cell>
        </row>
      </sheetData>
      <sheetData sheetId="485">
        <row r="214">
          <cell r="A214" t="str">
            <v>ADMINISTRATIVE &amp; MANAGEMENT EXPENSES</v>
          </cell>
        </row>
      </sheetData>
      <sheetData sheetId="486">
        <row r="214">
          <cell r="A214" t="str">
            <v>ADMINISTRATIVE &amp; MANAGEMENT EXPENSES</v>
          </cell>
        </row>
      </sheetData>
      <sheetData sheetId="487">
        <row r="214">
          <cell r="A214" t="str">
            <v>ADMINISTRATIVE &amp; MANAGEMENT EXPENSES</v>
          </cell>
        </row>
      </sheetData>
      <sheetData sheetId="488">
        <row r="214">
          <cell r="A214" t="str">
            <v>ADMINISTRATIVE &amp; MANAGEMENT EXPENSES</v>
          </cell>
        </row>
      </sheetData>
      <sheetData sheetId="489">
        <row r="214">
          <cell r="A214" t="str">
            <v>ADMINISTRATIVE &amp; MANAGEMENT EXPENSES</v>
          </cell>
        </row>
      </sheetData>
      <sheetData sheetId="490">
        <row r="214">
          <cell r="A214" t="str">
            <v>ADMINISTRATIVE &amp; MANAGEMENT EXPENSES</v>
          </cell>
        </row>
      </sheetData>
      <sheetData sheetId="491">
        <row r="214">
          <cell r="A214" t="str">
            <v>ADMINISTRATIVE &amp; MANAGEMENT EXPENSES</v>
          </cell>
        </row>
      </sheetData>
      <sheetData sheetId="492">
        <row r="214">
          <cell r="A214" t="str">
            <v>ADMINISTRATIVE &amp; MANAGEMENT EXPENSES</v>
          </cell>
        </row>
      </sheetData>
      <sheetData sheetId="493">
        <row r="214">
          <cell r="A214" t="str">
            <v>ADMINISTRATIVE &amp; MANAGEMENT EXPENSES</v>
          </cell>
        </row>
      </sheetData>
      <sheetData sheetId="494">
        <row r="214">
          <cell r="A214" t="str">
            <v>ADMINISTRATIVE &amp; MANAGEMENT EXPENSES</v>
          </cell>
        </row>
      </sheetData>
      <sheetData sheetId="495">
        <row r="214">
          <cell r="A214" t="str">
            <v>ADMINISTRATIVE &amp; MANAGEMENT EXPENSES</v>
          </cell>
        </row>
      </sheetData>
      <sheetData sheetId="496">
        <row r="214">
          <cell r="A214" t="str">
            <v>ADMINISTRATIVE &amp; MANAGEMENT EXPENSES</v>
          </cell>
        </row>
      </sheetData>
      <sheetData sheetId="497">
        <row r="214">
          <cell r="A214" t="str">
            <v>ADMINISTRATIVE &amp; MANAGEMENT EXPENSES</v>
          </cell>
        </row>
      </sheetData>
      <sheetData sheetId="498">
        <row r="214">
          <cell r="A214" t="str">
            <v>ADMINISTRATIVE &amp; MANAGEMENT EXPENSES</v>
          </cell>
        </row>
      </sheetData>
      <sheetData sheetId="499">
        <row r="214">
          <cell r="A214" t="str">
            <v>ADMINISTRATIVE &amp; MANAGEMENT EXPENSES</v>
          </cell>
        </row>
      </sheetData>
      <sheetData sheetId="500">
        <row r="214">
          <cell r="A214" t="str">
            <v>ADMINISTRATIVE &amp; MANAGEMENT EXPENSES</v>
          </cell>
        </row>
      </sheetData>
      <sheetData sheetId="501">
        <row r="214">
          <cell r="A214" t="str">
            <v>ADMINISTRATIVE &amp; MANAGEMENT EXPENSES</v>
          </cell>
        </row>
      </sheetData>
      <sheetData sheetId="502">
        <row r="214">
          <cell r="A214" t="str">
            <v>ADMINISTRATIVE &amp; MANAGEMENT EXPENSES</v>
          </cell>
        </row>
      </sheetData>
      <sheetData sheetId="503">
        <row r="214">
          <cell r="A214" t="str">
            <v>ADMINISTRATIVE &amp; MANAGEMENT EXPENSES</v>
          </cell>
        </row>
      </sheetData>
      <sheetData sheetId="504">
        <row r="214">
          <cell r="A214" t="str">
            <v>ADMINISTRATIVE &amp; MANAGEMENT EXPENSES</v>
          </cell>
        </row>
      </sheetData>
      <sheetData sheetId="505">
        <row r="214">
          <cell r="A214" t="str">
            <v>ADMINISTRATIVE &amp; MANAGEMENT EXPENSES</v>
          </cell>
        </row>
      </sheetData>
      <sheetData sheetId="506">
        <row r="214">
          <cell r="A214" t="str">
            <v>ADMINISTRATIVE &amp; MANAGEMENT EXPENSES</v>
          </cell>
        </row>
      </sheetData>
      <sheetData sheetId="507">
        <row r="214">
          <cell r="A214" t="str">
            <v>ADMINISTRATIVE &amp; MANAGEMENT EXPENSES</v>
          </cell>
        </row>
      </sheetData>
      <sheetData sheetId="508">
        <row r="214">
          <cell r="A214" t="str">
            <v>ADMINISTRATIVE &amp; MANAGEMENT EXPENSES</v>
          </cell>
        </row>
      </sheetData>
      <sheetData sheetId="509">
        <row r="214">
          <cell r="A214" t="str">
            <v>ADMINISTRATIVE &amp; MANAGEMENT EXPENSES</v>
          </cell>
        </row>
      </sheetData>
      <sheetData sheetId="510">
        <row r="214">
          <cell r="A214" t="str">
            <v>ADMINISTRATIVE &amp; MANAGEMENT EXPENSES</v>
          </cell>
        </row>
      </sheetData>
      <sheetData sheetId="511">
        <row r="214">
          <cell r="A214" t="str">
            <v>ADMINISTRATIVE &amp; MANAGEMENT EXPENSES</v>
          </cell>
        </row>
      </sheetData>
      <sheetData sheetId="512">
        <row r="214">
          <cell r="A214" t="str">
            <v>ADMINISTRATIVE &amp; MANAGEMENT EXPENSES</v>
          </cell>
        </row>
      </sheetData>
      <sheetData sheetId="513">
        <row r="214">
          <cell r="A214" t="str">
            <v>ADMINISTRATIVE &amp; MANAGEMENT EXPENSES</v>
          </cell>
        </row>
      </sheetData>
      <sheetData sheetId="514">
        <row r="214">
          <cell r="A214" t="str">
            <v>ADMINISTRATIVE &amp; MANAGEMENT EXPENSES</v>
          </cell>
        </row>
      </sheetData>
      <sheetData sheetId="515">
        <row r="214">
          <cell r="A214" t="str">
            <v>ADMINISTRATIVE &amp; MANAGEMENT EXPENSES</v>
          </cell>
        </row>
      </sheetData>
      <sheetData sheetId="516">
        <row r="214">
          <cell r="A214" t="str">
            <v>ADMINISTRATIVE &amp; MANAGEMENT EXPENSES</v>
          </cell>
        </row>
      </sheetData>
      <sheetData sheetId="517" refreshError="1"/>
      <sheetData sheetId="518" refreshError="1"/>
      <sheetData sheetId="519" refreshError="1"/>
      <sheetData sheetId="520">
        <row r="214">
          <cell r="A214" t="str">
            <v>ADMINISTRATIVE &amp; MANAGEMENT EXPENSES</v>
          </cell>
        </row>
      </sheetData>
      <sheetData sheetId="521" refreshError="1"/>
      <sheetData sheetId="522" refreshError="1"/>
      <sheetData sheetId="523">
        <row r="214">
          <cell r="A214" t="str">
            <v>ADMINISTRATIVE &amp; MANAGEMENT EXPENSES</v>
          </cell>
        </row>
      </sheetData>
      <sheetData sheetId="524">
        <row r="214">
          <cell r="A214" t="str">
            <v>ADMINISTRATIVE &amp; MANAGEMENT EXPENSES</v>
          </cell>
        </row>
      </sheetData>
      <sheetData sheetId="525">
        <row r="214">
          <cell r="A214" t="str">
            <v>ADMINISTRATIVE &amp; MANAGEMENT EXPENSES</v>
          </cell>
        </row>
      </sheetData>
      <sheetData sheetId="526">
        <row r="214">
          <cell r="A214" t="str">
            <v>ADMINISTRATIVE &amp; MANAGEMENT EXPENSES</v>
          </cell>
        </row>
      </sheetData>
      <sheetData sheetId="527">
        <row r="214">
          <cell r="A214" t="str">
            <v>ADMINISTRATIVE &amp; MANAGEMENT EXPENSES</v>
          </cell>
        </row>
      </sheetData>
      <sheetData sheetId="528">
        <row r="214">
          <cell r="A214" t="str">
            <v>ADMINISTRATIVE &amp; MANAGEMENT EXPENSES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14">
          <cell r="A214" t="str">
            <v>ADMINISTRATIVE &amp; MANAGEMENT EXPENSES</v>
          </cell>
        </row>
      </sheetData>
      <sheetData sheetId="539">
        <row r="214">
          <cell r="A214" t="str">
            <v>ADMINISTRATIVE &amp; MANAGEMENT EXPENSES</v>
          </cell>
        </row>
      </sheetData>
      <sheetData sheetId="540">
        <row r="214">
          <cell r="A214" t="str">
            <v>ADMINISTRATIVE &amp; MANAGEMENT EXPENSES</v>
          </cell>
        </row>
      </sheetData>
      <sheetData sheetId="541">
        <row r="214">
          <cell r="A214" t="str">
            <v>ADMINISTRATIVE &amp; MANAGEMENT EXPENSES</v>
          </cell>
        </row>
      </sheetData>
      <sheetData sheetId="542" refreshError="1"/>
      <sheetData sheetId="543">
        <row r="214">
          <cell r="A214" t="str">
            <v>ADMINISTRATIVE &amp; MANAGEMENT EXPENSES</v>
          </cell>
        </row>
      </sheetData>
      <sheetData sheetId="544">
        <row r="214">
          <cell r="A214" t="str">
            <v>ADMINISTRATIVE &amp; MANAGEMENT EXPENSES</v>
          </cell>
        </row>
      </sheetData>
      <sheetData sheetId="545">
        <row r="214">
          <cell r="A214" t="str">
            <v>ADMINISTRATIVE &amp; MANAGEMENT EXPENSES</v>
          </cell>
        </row>
      </sheetData>
      <sheetData sheetId="546">
        <row r="214">
          <cell r="A214" t="str">
            <v>ADMINISTRATIVE &amp; MANAGEMENT EXPENSES</v>
          </cell>
        </row>
      </sheetData>
      <sheetData sheetId="547">
        <row r="214">
          <cell r="A214" t="str">
            <v>ADMINISTRATIVE &amp; MANAGEMENT EXPENSES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>
        <row r="214">
          <cell r="A214" t="str">
            <v>ADMINISTRATIVE &amp; MANAGEMENT EXPENSES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>
        <row r="214">
          <cell r="A214" t="str">
            <v>ADMINISTRATIVE &amp; MANAGEMENT EXPENSES</v>
          </cell>
        </row>
      </sheetData>
      <sheetData sheetId="803">
        <row r="214">
          <cell r="A214" t="str">
            <v>ADMINISTRATIVE &amp; MANAGEMENT EXPENSES</v>
          </cell>
        </row>
      </sheetData>
      <sheetData sheetId="804">
        <row r="214">
          <cell r="A214" t="str">
            <v>ADMINISTRATIVE &amp; MANAGEMENT EXPENSES</v>
          </cell>
        </row>
      </sheetData>
      <sheetData sheetId="805">
        <row r="214">
          <cell r="A214" t="str">
            <v>ADMINISTRATIVE &amp; MANAGEMENT EXPENSES</v>
          </cell>
        </row>
      </sheetData>
      <sheetData sheetId="806">
        <row r="214">
          <cell r="A214" t="str">
            <v>ADMINISTRATIVE &amp; MANAGEMENT EXPENSES</v>
          </cell>
        </row>
      </sheetData>
      <sheetData sheetId="807">
        <row r="214">
          <cell r="A214" t="str">
            <v>ADMINISTRATIVE &amp; MANAGEMENT EXPENSES</v>
          </cell>
        </row>
      </sheetData>
      <sheetData sheetId="808">
        <row r="214">
          <cell r="A214" t="str">
            <v>ADMINISTRATIVE &amp; MANAGEMENT EXPENSES</v>
          </cell>
        </row>
      </sheetData>
      <sheetData sheetId="809">
        <row r="214">
          <cell r="A214" t="str">
            <v>ADMINISTRATIVE &amp; MANAGEMENT EXPENSES</v>
          </cell>
        </row>
      </sheetData>
      <sheetData sheetId="810">
        <row r="214">
          <cell r="A214" t="str">
            <v>ADMINISTRATIVE &amp; MANAGEMENT EXPENSES</v>
          </cell>
        </row>
      </sheetData>
      <sheetData sheetId="811">
        <row r="214">
          <cell r="A214" t="str">
            <v>ADMINISTRATIVE &amp; MANAGEMENT EXPENSES</v>
          </cell>
        </row>
      </sheetData>
      <sheetData sheetId="812">
        <row r="214">
          <cell r="A214" t="str">
            <v>ADMINISTRATIVE &amp; MANAGEMENT EXPENSES</v>
          </cell>
        </row>
      </sheetData>
      <sheetData sheetId="813">
        <row r="214">
          <cell r="A214" t="str">
            <v>ADMINISTRATIVE &amp; MANAGEMENT EXPENSES</v>
          </cell>
        </row>
      </sheetData>
      <sheetData sheetId="814">
        <row r="214">
          <cell r="A214" t="str">
            <v>ADMINISTRATIVE &amp; MANAGEMENT EXPENSES</v>
          </cell>
        </row>
      </sheetData>
      <sheetData sheetId="815">
        <row r="214">
          <cell r="A214" t="str">
            <v>ADMINISTRATIVE &amp; MANAGEMENT EXPENSES</v>
          </cell>
        </row>
      </sheetData>
      <sheetData sheetId="816">
        <row r="214">
          <cell r="A214" t="str">
            <v>ADMINISTRATIVE &amp; MANAGEMENT EXPENSES</v>
          </cell>
        </row>
      </sheetData>
      <sheetData sheetId="817">
        <row r="214">
          <cell r="A214" t="str">
            <v>ADMINISTRATIVE &amp; MANAGEMENT EXPENSES</v>
          </cell>
        </row>
      </sheetData>
      <sheetData sheetId="818">
        <row r="214">
          <cell r="A214" t="str">
            <v>ADMINISTRATIVE &amp; MANAGEMENT EXPENSES</v>
          </cell>
        </row>
      </sheetData>
      <sheetData sheetId="819">
        <row r="214">
          <cell r="A214" t="str">
            <v>ADMINISTRATIVE &amp; MANAGEMENT EXPENSES</v>
          </cell>
        </row>
      </sheetData>
      <sheetData sheetId="820">
        <row r="214">
          <cell r="A214" t="str">
            <v>ADMINISTRATIVE &amp; MANAGEMENT EXPENSES</v>
          </cell>
        </row>
      </sheetData>
      <sheetData sheetId="821">
        <row r="214">
          <cell r="A214" t="str">
            <v>ADMINISTRATIVE &amp; MANAGEMENT EXPENSES</v>
          </cell>
        </row>
      </sheetData>
      <sheetData sheetId="822">
        <row r="214">
          <cell r="A214" t="str">
            <v>ADMINISTRATIVE &amp; MANAGEMENT EXPENSES</v>
          </cell>
        </row>
      </sheetData>
      <sheetData sheetId="823">
        <row r="214">
          <cell r="A214" t="str">
            <v>ADMINISTRATIVE &amp; MANAGEMENT EXPENSES</v>
          </cell>
        </row>
      </sheetData>
      <sheetData sheetId="824">
        <row r="214">
          <cell r="A214" t="str">
            <v>ADMINISTRATIVE &amp; MANAGEMENT EXPENSES</v>
          </cell>
        </row>
      </sheetData>
      <sheetData sheetId="825">
        <row r="214">
          <cell r="A214" t="str">
            <v>ADMINISTRATIVE &amp; MANAGEMENT EXPENSES</v>
          </cell>
        </row>
      </sheetData>
      <sheetData sheetId="826">
        <row r="214">
          <cell r="A214" t="str">
            <v>ADMINISTRATIVE &amp; MANAGEMENT EXPENSES</v>
          </cell>
        </row>
      </sheetData>
      <sheetData sheetId="827">
        <row r="214">
          <cell r="A214" t="str">
            <v>ADMINISTRATIVE &amp; MANAGEMENT EXPENSES</v>
          </cell>
        </row>
      </sheetData>
      <sheetData sheetId="828">
        <row r="214">
          <cell r="A214" t="str">
            <v>ADMINISTRATIVE &amp; MANAGEMENT EXPENSES</v>
          </cell>
        </row>
      </sheetData>
      <sheetData sheetId="829">
        <row r="214">
          <cell r="A214" t="str">
            <v>ADMINISTRATIVE &amp; MANAGEMENT EXPENSES</v>
          </cell>
        </row>
      </sheetData>
      <sheetData sheetId="830">
        <row r="214">
          <cell r="A214" t="str">
            <v>ADMINISTRATIVE &amp; MANAGEMENT EXPENSES</v>
          </cell>
        </row>
      </sheetData>
      <sheetData sheetId="831">
        <row r="214">
          <cell r="A214" t="str">
            <v>ADMINISTRATIVE &amp; MANAGEMENT EXPENSES</v>
          </cell>
        </row>
      </sheetData>
      <sheetData sheetId="832">
        <row r="214">
          <cell r="A214" t="str">
            <v>ADMINISTRATIVE &amp; MANAGEMENT EXPENSES</v>
          </cell>
        </row>
      </sheetData>
      <sheetData sheetId="833">
        <row r="214">
          <cell r="A214" t="str">
            <v>ADMINISTRATIVE &amp; MANAGEMENT EXPENSES</v>
          </cell>
        </row>
      </sheetData>
      <sheetData sheetId="834">
        <row r="214">
          <cell r="A214" t="str">
            <v>ADMINISTRATIVE &amp; MANAGEMENT EXPENSES</v>
          </cell>
        </row>
      </sheetData>
      <sheetData sheetId="835">
        <row r="214">
          <cell r="A214" t="str">
            <v>ADMINISTRATIVE &amp; MANAGEMENT EXPENSES</v>
          </cell>
        </row>
      </sheetData>
      <sheetData sheetId="836">
        <row r="214">
          <cell r="A214" t="str">
            <v>ADMINISTRATIVE &amp; MANAGEMENT EXPENSES</v>
          </cell>
        </row>
      </sheetData>
      <sheetData sheetId="837">
        <row r="214">
          <cell r="A214" t="str">
            <v>ADMINISTRATIVE &amp; MANAGEMENT EXPENSES</v>
          </cell>
        </row>
      </sheetData>
      <sheetData sheetId="838">
        <row r="214">
          <cell r="A214" t="str">
            <v>ADMINISTRATIVE &amp; MANAGEMENT EXPENSES</v>
          </cell>
        </row>
      </sheetData>
      <sheetData sheetId="839">
        <row r="214">
          <cell r="A214" t="str">
            <v>ADMINISTRATIVE &amp; MANAGEMENT EXPENSES</v>
          </cell>
        </row>
      </sheetData>
      <sheetData sheetId="840">
        <row r="214">
          <cell r="A214" t="str">
            <v>ADMINISTRATIVE &amp; MANAGEMENT EXPENSES</v>
          </cell>
        </row>
      </sheetData>
      <sheetData sheetId="841">
        <row r="214">
          <cell r="A214" t="str">
            <v>ADMINISTRATIVE &amp; MANAGEMENT EXPENSES</v>
          </cell>
        </row>
      </sheetData>
      <sheetData sheetId="842">
        <row r="214">
          <cell r="A214" t="str">
            <v>ADMINISTRATIVE &amp; MANAGEMENT EXPENSES</v>
          </cell>
        </row>
      </sheetData>
      <sheetData sheetId="843">
        <row r="214">
          <cell r="A214" t="str">
            <v>ADMINISTRATIVE &amp; MANAGEMENT EXPENSES</v>
          </cell>
        </row>
      </sheetData>
      <sheetData sheetId="844">
        <row r="214">
          <cell r="A214" t="str">
            <v>ADMINISTRATIVE &amp; MANAGEMENT EXPENSES</v>
          </cell>
        </row>
      </sheetData>
      <sheetData sheetId="845">
        <row r="214">
          <cell r="A214" t="str">
            <v>ADMINISTRATIVE &amp; MANAGEMENT EXPENSES</v>
          </cell>
        </row>
      </sheetData>
      <sheetData sheetId="846">
        <row r="214">
          <cell r="A214" t="str">
            <v>ADMINISTRATIVE &amp; MANAGEMENT EXPENSES</v>
          </cell>
        </row>
      </sheetData>
      <sheetData sheetId="847">
        <row r="214">
          <cell r="A214" t="str">
            <v>ADMINISTRATIVE &amp; MANAGEMENT EXPENSES</v>
          </cell>
        </row>
      </sheetData>
      <sheetData sheetId="848">
        <row r="214">
          <cell r="A214" t="str">
            <v>ADMINISTRATIVE &amp; MANAGEMENT EXPENSES</v>
          </cell>
        </row>
      </sheetData>
      <sheetData sheetId="849">
        <row r="214">
          <cell r="A214" t="str">
            <v>ADMINISTRATIVE &amp; MANAGEMENT EXPENSES</v>
          </cell>
        </row>
      </sheetData>
      <sheetData sheetId="850">
        <row r="214">
          <cell r="A214" t="str">
            <v>ADMINISTRATIVE &amp; MANAGEMENT EXPENSES</v>
          </cell>
        </row>
      </sheetData>
      <sheetData sheetId="851">
        <row r="214">
          <cell r="A214" t="str">
            <v>ADMINISTRATIVE &amp; MANAGEMENT EXPENSES</v>
          </cell>
        </row>
      </sheetData>
      <sheetData sheetId="852">
        <row r="214">
          <cell r="A214" t="str">
            <v>ADMINISTRATIVE &amp; MANAGEMENT EXPENSES</v>
          </cell>
        </row>
      </sheetData>
      <sheetData sheetId="853">
        <row r="214">
          <cell r="A214" t="str">
            <v>ADMINISTRATIVE &amp; MANAGEMENT EXPENSES</v>
          </cell>
        </row>
      </sheetData>
      <sheetData sheetId="854">
        <row r="214">
          <cell r="A214" t="str">
            <v>ADMINISTRATIVE &amp; MANAGEMENT EXPENSES</v>
          </cell>
        </row>
      </sheetData>
      <sheetData sheetId="855">
        <row r="214">
          <cell r="A214" t="str">
            <v>ADMINISTRATIVE &amp; MANAGEMENT EXPENSES</v>
          </cell>
        </row>
      </sheetData>
      <sheetData sheetId="856">
        <row r="214">
          <cell r="A214" t="str">
            <v>ADMINISTRATIVE &amp; MANAGEMENT EXPENSES</v>
          </cell>
        </row>
      </sheetData>
      <sheetData sheetId="857">
        <row r="214">
          <cell r="A214" t="str">
            <v>ADMINISTRATIVE &amp; MANAGEMENT EXPENSES</v>
          </cell>
        </row>
      </sheetData>
      <sheetData sheetId="858">
        <row r="214">
          <cell r="A214" t="str">
            <v>ADMINISTRATIVE &amp; MANAGEMENT EXPENSES</v>
          </cell>
        </row>
      </sheetData>
      <sheetData sheetId="859">
        <row r="214">
          <cell r="A214" t="str">
            <v>ADMINISTRATIVE &amp; MANAGEMENT EXPENSES</v>
          </cell>
        </row>
      </sheetData>
      <sheetData sheetId="860">
        <row r="214">
          <cell r="A214" t="str">
            <v>ADMINISTRATIVE &amp; MANAGEMENT EXPENSES</v>
          </cell>
        </row>
      </sheetData>
      <sheetData sheetId="861">
        <row r="214">
          <cell r="A214" t="str">
            <v>ADMINISTRATIVE &amp; MANAGEMENT EXPENSES</v>
          </cell>
        </row>
      </sheetData>
      <sheetData sheetId="862">
        <row r="214">
          <cell r="A214" t="str">
            <v>ADMINISTRATIVE &amp; MANAGEMENT EXPENSES</v>
          </cell>
        </row>
      </sheetData>
      <sheetData sheetId="863">
        <row r="214">
          <cell r="A214" t="str">
            <v>ADMINISTRATIVE &amp; MANAGEMENT EXPENSES</v>
          </cell>
        </row>
      </sheetData>
      <sheetData sheetId="864">
        <row r="214">
          <cell r="A214" t="str">
            <v>ADMINISTRATIVE &amp; MANAGEMENT EXPENSES</v>
          </cell>
        </row>
      </sheetData>
      <sheetData sheetId="865">
        <row r="214">
          <cell r="A214" t="str">
            <v>ADMINISTRATIVE &amp; MANAGEMENT EXPENSES</v>
          </cell>
        </row>
      </sheetData>
      <sheetData sheetId="866">
        <row r="214">
          <cell r="A214" t="str">
            <v>ADMINISTRATIVE &amp; MANAGEMENT EXPENSES</v>
          </cell>
        </row>
      </sheetData>
      <sheetData sheetId="867">
        <row r="214">
          <cell r="A214" t="str">
            <v>ADMINISTRATIVE &amp; MANAGEMENT EXPENSES</v>
          </cell>
        </row>
      </sheetData>
      <sheetData sheetId="868">
        <row r="214">
          <cell r="A214" t="str">
            <v>ADMINISTRATIVE &amp; MANAGEMENT EXPENSES</v>
          </cell>
        </row>
      </sheetData>
      <sheetData sheetId="869">
        <row r="214">
          <cell r="A214" t="str">
            <v>ADMINISTRATIVE &amp; MANAGEMENT EXPENSES</v>
          </cell>
        </row>
      </sheetData>
      <sheetData sheetId="870">
        <row r="214">
          <cell r="A214" t="str">
            <v>ADMINISTRATIVE &amp; MANAGEMENT EXPENSES</v>
          </cell>
        </row>
      </sheetData>
      <sheetData sheetId="871">
        <row r="214">
          <cell r="A214" t="str">
            <v>ADMINISTRATIVE &amp; MANAGEMENT EXPENSES</v>
          </cell>
        </row>
      </sheetData>
      <sheetData sheetId="872">
        <row r="214">
          <cell r="A214" t="str">
            <v>ADMINISTRATIVE &amp; MANAGEMENT EXPENSES</v>
          </cell>
        </row>
      </sheetData>
      <sheetData sheetId="873">
        <row r="214">
          <cell r="A214" t="str">
            <v>ADMINISTRATIVE &amp; MANAGEMENT EXPENSES</v>
          </cell>
        </row>
      </sheetData>
      <sheetData sheetId="874">
        <row r="214">
          <cell r="A214" t="str">
            <v>ADMINISTRATIVE &amp; MANAGEMENT EXPENSES</v>
          </cell>
        </row>
      </sheetData>
      <sheetData sheetId="875">
        <row r="214">
          <cell r="A214" t="str">
            <v>ADMINISTRATIVE &amp; MANAGEMENT EXPENSES</v>
          </cell>
        </row>
      </sheetData>
      <sheetData sheetId="876">
        <row r="214">
          <cell r="A214" t="str">
            <v>ADMINISTRATIVE &amp; MANAGEMENT EXPENSES</v>
          </cell>
        </row>
      </sheetData>
      <sheetData sheetId="877">
        <row r="214">
          <cell r="A214" t="str">
            <v>ADMINISTRATIVE &amp; MANAGEMENT EXPENSES</v>
          </cell>
        </row>
      </sheetData>
      <sheetData sheetId="878">
        <row r="214">
          <cell r="A214" t="str">
            <v>ADMINISTRATIVE &amp; MANAGEMENT EXPENSES</v>
          </cell>
        </row>
      </sheetData>
      <sheetData sheetId="879">
        <row r="214">
          <cell r="A214" t="str">
            <v>ADMINISTRATIVE &amp; MANAGEMENT EXPENSES</v>
          </cell>
        </row>
      </sheetData>
      <sheetData sheetId="880">
        <row r="214">
          <cell r="A214" t="str">
            <v>ADMINISTRATIVE &amp; MANAGEMENT EXPENSES</v>
          </cell>
        </row>
      </sheetData>
      <sheetData sheetId="881">
        <row r="214">
          <cell r="A214" t="str">
            <v>ADMINISTRATIVE &amp; MANAGEMENT EXPENSES</v>
          </cell>
        </row>
      </sheetData>
      <sheetData sheetId="882">
        <row r="214">
          <cell r="A214" t="str">
            <v>ADMINISTRATIVE &amp; MANAGEMENT EXPENSES</v>
          </cell>
        </row>
      </sheetData>
      <sheetData sheetId="883">
        <row r="214">
          <cell r="A214" t="str">
            <v>ADMINISTRATIVE &amp; MANAGEMENT EXPENSES</v>
          </cell>
        </row>
      </sheetData>
      <sheetData sheetId="884">
        <row r="214">
          <cell r="A214" t="str">
            <v>ADMINISTRATIVE &amp; MANAGEMENT EXPENSES</v>
          </cell>
        </row>
      </sheetData>
      <sheetData sheetId="885">
        <row r="214">
          <cell r="A214" t="str">
            <v>ADMINISTRATIVE &amp; MANAGEMENT EXPENSES</v>
          </cell>
        </row>
      </sheetData>
      <sheetData sheetId="886">
        <row r="214">
          <cell r="A214" t="str">
            <v>ADMINISTRATIVE &amp; MANAGEMENT EXPENSES</v>
          </cell>
        </row>
      </sheetData>
      <sheetData sheetId="887">
        <row r="214">
          <cell r="A214" t="str">
            <v>ADMINISTRATIVE &amp; MANAGEMENT EXPENSES</v>
          </cell>
        </row>
      </sheetData>
      <sheetData sheetId="888">
        <row r="214">
          <cell r="A214" t="str">
            <v>ADMINISTRATIVE &amp; MANAGEMENT EXPENSES</v>
          </cell>
        </row>
      </sheetData>
      <sheetData sheetId="889">
        <row r="214">
          <cell r="A214" t="str">
            <v>ADMINISTRATIVE &amp; MANAGEMENT EXPENSES</v>
          </cell>
        </row>
      </sheetData>
      <sheetData sheetId="890">
        <row r="214">
          <cell r="A214" t="str">
            <v>ADMINISTRATIVE &amp; MANAGEMENT EXPENSES</v>
          </cell>
        </row>
      </sheetData>
      <sheetData sheetId="891">
        <row r="214">
          <cell r="A214" t="str">
            <v>ADMINISTRATIVE &amp; MANAGEMENT EXPENSES</v>
          </cell>
        </row>
      </sheetData>
      <sheetData sheetId="892">
        <row r="214">
          <cell r="A214" t="str">
            <v>ADMINISTRATIVE &amp; MANAGEMENT EXPENSES</v>
          </cell>
        </row>
      </sheetData>
      <sheetData sheetId="893">
        <row r="214">
          <cell r="A214" t="str">
            <v>ADMINISTRATIVE &amp; MANAGEMENT EXPENSES</v>
          </cell>
        </row>
      </sheetData>
      <sheetData sheetId="894">
        <row r="214">
          <cell r="A214" t="str">
            <v>ADMINISTRATIVE &amp; MANAGEMENT EXPENSES</v>
          </cell>
        </row>
      </sheetData>
      <sheetData sheetId="895">
        <row r="214">
          <cell r="A214" t="str">
            <v>ADMINISTRATIVE &amp; MANAGEMENT EXPENSES</v>
          </cell>
        </row>
      </sheetData>
      <sheetData sheetId="896">
        <row r="214">
          <cell r="A214" t="str">
            <v>ADMINISTRATIVE &amp; MANAGEMENT EXPENSES</v>
          </cell>
        </row>
      </sheetData>
      <sheetData sheetId="897">
        <row r="214">
          <cell r="A214" t="str">
            <v>ADMINISTRATIVE &amp; MANAGEMENT EXPENSES</v>
          </cell>
        </row>
      </sheetData>
      <sheetData sheetId="898">
        <row r="214">
          <cell r="A214" t="str">
            <v>ADMINISTRATIVE &amp; MANAGEMENT EXPENSES</v>
          </cell>
        </row>
      </sheetData>
      <sheetData sheetId="899">
        <row r="214">
          <cell r="A214" t="str">
            <v>ADMINISTRATIVE &amp; MANAGEMENT EXPENSES</v>
          </cell>
        </row>
      </sheetData>
      <sheetData sheetId="900">
        <row r="214">
          <cell r="A214" t="str">
            <v>ADMINISTRATIVE &amp; MANAGEMENT EXPENSES</v>
          </cell>
        </row>
      </sheetData>
      <sheetData sheetId="901">
        <row r="214">
          <cell r="A214" t="str">
            <v>ADMINISTRATIVE &amp; MANAGEMENT EXPENSES</v>
          </cell>
        </row>
      </sheetData>
      <sheetData sheetId="902">
        <row r="214">
          <cell r="A214" t="str">
            <v>ADMINISTRATIVE &amp; MANAGEMENT EXPENSES</v>
          </cell>
        </row>
      </sheetData>
      <sheetData sheetId="903">
        <row r="214">
          <cell r="A214" t="str">
            <v>ADMINISTRATIVE &amp; MANAGEMENT EXPENSES</v>
          </cell>
        </row>
      </sheetData>
      <sheetData sheetId="904">
        <row r="214">
          <cell r="A214" t="str">
            <v>ADMINISTRATIVE &amp; MANAGEMENT EXPENSES</v>
          </cell>
        </row>
      </sheetData>
      <sheetData sheetId="905">
        <row r="214">
          <cell r="A214" t="str">
            <v>ADMINISTRATIVE &amp; MANAGEMENT EXPENSES</v>
          </cell>
        </row>
      </sheetData>
      <sheetData sheetId="906">
        <row r="214">
          <cell r="A214" t="str">
            <v>ADMINISTRATIVE &amp; MANAGEMENT EXPENSES</v>
          </cell>
        </row>
      </sheetData>
      <sheetData sheetId="907">
        <row r="214">
          <cell r="A214" t="str">
            <v>ADMINISTRATIVE &amp; MANAGEMENT EXPENSES</v>
          </cell>
        </row>
      </sheetData>
      <sheetData sheetId="908">
        <row r="214">
          <cell r="A214" t="str">
            <v>ADMINISTRATIVE &amp; MANAGEMENT EXPENSES</v>
          </cell>
        </row>
      </sheetData>
      <sheetData sheetId="909">
        <row r="214">
          <cell r="A214" t="str">
            <v>ADMINISTRATIVE &amp; MANAGEMENT EXPENSES</v>
          </cell>
        </row>
      </sheetData>
      <sheetData sheetId="910">
        <row r="214">
          <cell r="A214" t="str">
            <v>ADMINISTRATIVE &amp; MANAGEMENT EXPENSES</v>
          </cell>
        </row>
      </sheetData>
      <sheetData sheetId="911">
        <row r="214">
          <cell r="A214" t="str">
            <v>ADMINISTRATIVE &amp; MANAGEMENT EXPENSES</v>
          </cell>
        </row>
      </sheetData>
      <sheetData sheetId="912">
        <row r="214">
          <cell r="A214" t="str">
            <v>ADMINISTRATIVE &amp; MANAGEMENT EXPENSES</v>
          </cell>
        </row>
      </sheetData>
      <sheetData sheetId="913">
        <row r="214">
          <cell r="A214" t="str">
            <v>ADMINISTRATIVE &amp; MANAGEMENT EXPENSES</v>
          </cell>
        </row>
      </sheetData>
      <sheetData sheetId="914">
        <row r="214">
          <cell r="A214" t="str">
            <v>ADMINISTRATIVE &amp; MANAGEMENT EXPENSES</v>
          </cell>
        </row>
      </sheetData>
      <sheetData sheetId="915">
        <row r="214">
          <cell r="A214" t="str">
            <v>ADMINISTRATIVE &amp; MANAGEMENT EXPENSES</v>
          </cell>
        </row>
      </sheetData>
      <sheetData sheetId="916">
        <row r="214">
          <cell r="A214" t="str">
            <v>ADMINISTRATIVE &amp; MANAGEMENT EXPENSES</v>
          </cell>
        </row>
      </sheetData>
      <sheetData sheetId="917">
        <row r="214">
          <cell r="A214" t="str">
            <v>ADMINISTRATIVE &amp; MANAGEMENT EXPENSES</v>
          </cell>
        </row>
      </sheetData>
      <sheetData sheetId="918">
        <row r="214">
          <cell r="A214" t="str">
            <v>ADMINISTRATIVE &amp; MANAGEMENT EXPENSES</v>
          </cell>
        </row>
      </sheetData>
      <sheetData sheetId="919">
        <row r="214">
          <cell r="A214" t="str">
            <v>ADMINISTRATIVE &amp; MANAGEMENT EXPENSES</v>
          </cell>
        </row>
      </sheetData>
      <sheetData sheetId="920">
        <row r="214">
          <cell r="A214" t="str">
            <v>ADMINISTRATIVE &amp; MANAGEMENT EXPENSES</v>
          </cell>
        </row>
      </sheetData>
      <sheetData sheetId="921">
        <row r="214">
          <cell r="A214" t="str">
            <v>ADMINISTRATIVE &amp; MANAGEMENT EXPENSES</v>
          </cell>
        </row>
      </sheetData>
      <sheetData sheetId="922">
        <row r="214">
          <cell r="A214" t="str">
            <v>ADMINISTRATIVE &amp; MANAGEMENT EXPENSES</v>
          </cell>
        </row>
      </sheetData>
      <sheetData sheetId="923">
        <row r="214">
          <cell r="A214" t="str">
            <v>ADMINISTRATIVE &amp; MANAGEMENT EXPENSES</v>
          </cell>
        </row>
      </sheetData>
      <sheetData sheetId="924">
        <row r="214">
          <cell r="A214" t="str">
            <v>ADMINISTRATIVE &amp; MANAGEMENT EXPENSES</v>
          </cell>
        </row>
      </sheetData>
      <sheetData sheetId="925">
        <row r="214">
          <cell r="A214" t="str">
            <v>ADMINISTRATIVE &amp; MANAGEMENT EXPENSES</v>
          </cell>
        </row>
      </sheetData>
      <sheetData sheetId="926">
        <row r="214">
          <cell r="A214" t="str">
            <v>ADMINISTRATIVE &amp; MANAGEMENT EXPENSES</v>
          </cell>
        </row>
      </sheetData>
      <sheetData sheetId="927">
        <row r="214">
          <cell r="A214" t="str">
            <v>ADMINISTRATIVE &amp; MANAGEMENT EXPENSES</v>
          </cell>
        </row>
      </sheetData>
      <sheetData sheetId="928">
        <row r="214">
          <cell r="A214" t="str">
            <v>ADMINISTRATIVE &amp; MANAGEMENT EXPENSES</v>
          </cell>
        </row>
      </sheetData>
      <sheetData sheetId="929">
        <row r="214">
          <cell r="A214" t="str">
            <v>ADMINISTRATIVE &amp; MANAGEMENT EXPENSES</v>
          </cell>
        </row>
      </sheetData>
      <sheetData sheetId="930">
        <row r="214">
          <cell r="A214" t="str">
            <v>ADMINISTRATIVE &amp; MANAGEMENT EXPENSES</v>
          </cell>
        </row>
      </sheetData>
      <sheetData sheetId="931">
        <row r="214">
          <cell r="A214" t="str">
            <v>ADMINISTRATIVE &amp; MANAGEMENT EXPENSES</v>
          </cell>
        </row>
      </sheetData>
      <sheetData sheetId="932">
        <row r="214">
          <cell r="A214" t="str">
            <v>ADMINISTRATIVE &amp; MANAGEMENT EXPENSES</v>
          </cell>
        </row>
      </sheetData>
      <sheetData sheetId="933">
        <row r="214">
          <cell r="A214" t="str">
            <v>ADMINISTRATIVE &amp; MANAGEMENT EXPENSES</v>
          </cell>
        </row>
      </sheetData>
      <sheetData sheetId="934">
        <row r="214">
          <cell r="A214" t="str">
            <v>ADMINISTRATIVE &amp; MANAGEMENT EXPENSES</v>
          </cell>
        </row>
      </sheetData>
      <sheetData sheetId="935">
        <row r="214">
          <cell r="A214" t="str">
            <v>ADMINISTRATIVE &amp; MANAGEMENT EXPENSES</v>
          </cell>
        </row>
      </sheetData>
      <sheetData sheetId="936">
        <row r="214">
          <cell r="A214" t="str">
            <v>ADMINISTRATIVE &amp; MANAGEMENT EXPENSES</v>
          </cell>
        </row>
      </sheetData>
      <sheetData sheetId="937">
        <row r="214">
          <cell r="A214" t="str">
            <v>ADMINISTRATIVE &amp; MANAGEMENT EXPENSES</v>
          </cell>
        </row>
      </sheetData>
      <sheetData sheetId="938">
        <row r="214">
          <cell r="A214" t="str">
            <v>ADMINISTRATIVE &amp; MANAGEMENT EXPENSES</v>
          </cell>
        </row>
      </sheetData>
      <sheetData sheetId="939">
        <row r="214">
          <cell r="A214" t="str">
            <v>ADMINISTRATIVE &amp; MANAGEMENT EXPENSES</v>
          </cell>
        </row>
      </sheetData>
      <sheetData sheetId="940">
        <row r="214">
          <cell r="A214" t="str">
            <v>ADMINISTRATIVE &amp; MANAGEMENT EXPENSES</v>
          </cell>
        </row>
      </sheetData>
      <sheetData sheetId="941">
        <row r="214">
          <cell r="A214" t="str">
            <v>ADMINISTRATIVE &amp; MANAGEMENT EXPENSES</v>
          </cell>
        </row>
      </sheetData>
      <sheetData sheetId="942">
        <row r="214">
          <cell r="A214" t="str">
            <v>ADMINISTRATIVE &amp; MANAGEMENT EXPENSES</v>
          </cell>
        </row>
      </sheetData>
      <sheetData sheetId="943">
        <row r="214">
          <cell r="A214" t="str">
            <v>ADMINISTRATIVE &amp; MANAGEMENT EXPENSES</v>
          </cell>
        </row>
      </sheetData>
      <sheetData sheetId="944">
        <row r="214">
          <cell r="A214" t="str">
            <v>ADMINISTRATIVE &amp; MANAGEMENT EXPENSES</v>
          </cell>
        </row>
      </sheetData>
      <sheetData sheetId="945">
        <row r="214">
          <cell r="A214" t="str">
            <v>ADMINISTRATIVE &amp; MANAGEMENT EXPENSES</v>
          </cell>
        </row>
      </sheetData>
      <sheetData sheetId="946">
        <row r="214">
          <cell r="A214" t="str">
            <v>ADMINISTRATIVE &amp; MANAGEMENT EXPENSES</v>
          </cell>
        </row>
      </sheetData>
      <sheetData sheetId="947">
        <row r="214">
          <cell r="A214" t="str">
            <v>ADMINISTRATIVE &amp; MANAGEMENT EXPENSES</v>
          </cell>
        </row>
      </sheetData>
      <sheetData sheetId="948">
        <row r="214">
          <cell r="A214" t="str">
            <v>ADMINISTRATIVE &amp; MANAGEMENT EXPENSES</v>
          </cell>
        </row>
      </sheetData>
      <sheetData sheetId="949">
        <row r="214">
          <cell r="A214" t="str">
            <v>ADMINISTRATIVE &amp; MANAGEMENT EXPENSES</v>
          </cell>
        </row>
      </sheetData>
      <sheetData sheetId="950">
        <row r="214">
          <cell r="A214" t="str">
            <v>ADMINISTRATIVE &amp; MANAGEMENT EXPENSES</v>
          </cell>
        </row>
      </sheetData>
      <sheetData sheetId="951">
        <row r="214">
          <cell r="A214" t="str">
            <v>ADMINISTRATIVE &amp; MANAGEMENT EXPENSES</v>
          </cell>
        </row>
      </sheetData>
      <sheetData sheetId="952">
        <row r="214">
          <cell r="A214" t="str">
            <v>ADMINISTRATIVE &amp; MANAGEMENT EXPENSES</v>
          </cell>
        </row>
      </sheetData>
      <sheetData sheetId="953">
        <row r="214">
          <cell r="A214" t="str">
            <v>ADMINISTRATIVE &amp; MANAGEMENT EXPENSES</v>
          </cell>
        </row>
      </sheetData>
      <sheetData sheetId="954">
        <row r="214">
          <cell r="A214" t="str">
            <v>ADMINISTRATIVE &amp; MANAGEMENT EXPENSES</v>
          </cell>
        </row>
      </sheetData>
      <sheetData sheetId="955">
        <row r="214">
          <cell r="A214" t="str">
            <v>ADMINISTRATIVE &amp; MANAGEMENT EXPENSES</v>
          </cell>
        </row>
      </sheetData>
      <sheetData sheetId="956">
        <row r="214">
          <cell r="A214" t="str">
            <v>ADMINISTRATIVE &amp; MANAGEMENT EXPENSES</v>
          </cell>
        </row>
      </sheetData>
      <sheetData sheetId="957">
        <row r="214">
          <cell r="A214" t="str">
            <v>ADMINISTRATIVE &amp; MANAGEMENT EXPENSES</v>
          </cell>
        </row>
      </sheetData>
      <sheetData sheetId="958">
        <row r="214">
          <cell r="A214" t="str">
            <v>ADMINISTRATIVE &amp; MANAGEMENT EXPENSES</v>
          </cell>
        </row>
      </sheetData>
      <sheetData sheetId="959">
        <row r="214">
          <cell r="A214" t="str">
            <v>ADMINISTRATIVE &amp; MANAGEMENT EXPENSES</v>
          </cell>
        </row>
      </sheetData>
      <sheetData sheetId="960">
        <row r="214">
          <cell r="A214" t="str">
            <v>ADMINISTRATIVE &amp; MANAGEMENT EXPENSES</v>
          </cell>
        </row>
      </sheetData>
      <sheetData sheetId="961">
        <row r="214">
          <cell r="A214" t="str">
            <v>ADMINISTRATIVE &amp; MANAGEMENT EXPENSES</v>
          </cell>
        </row>
      </sheetData>
      <sheetData sheetId="962">
        <row r="214">
          <cell r="A214" t="str">
            <v>ADMINISTRATIVE &amp; MANAGEMENT EXPENSES</v>
          </cell>
        </row>
      </sheetData>
      <sheetData sheetId="963">
        <row r="214">
          <cell r="A214" t="str">
            <v>ADMINISTRATIVE &amp; MANAGEMENT EXPENSES</v>
          </cell>
        </row>
      </sheetData>
      <sheetData sheetId="964">
        <row r="214">
          <cell r="A214" t="str">
            <v>ADMINISTRATIVE &amp; MANAGEMENT EXPENSES</v>
          </cell>
        </row>
      </sheetData>
      <sheetData sheetId="965">
        <row r="214">
          <cell r="A214" t="str">
            <v>ADMINISTRATIVE &amp; MANAGEMENT EXPENSES</v>
          </cell>
        </row>
      </sheetData>
      <sheetData sheetId="966">
        <row r="214">
          <cell r="A214" t="str">
            <v>ADMINISTRATIVE &amp; MANAGEMENT EXPENSES</v>
          </cell>
        </row>
      </sheetData>
      <sheetData sheetId="967">
        <row r="214">
          <cell r="A214" t="str">
            <v>ADMINISTRATIVE &amp; MANAGEMENT EXPENSES</v>
          </cell>
        </row>
      </sheetData>
      <sheetData sheetId="968">
        <row r="214">
          <cell r="A214" t="str">
            <v>ADMINISTRATIVE &amp; MANAGEMENT EXPENSES</v>
          </cell>
        </row>
      </sheetData>
      <sheetData sheetId="969">
        <row r="214">
          <cell r="A214" t="str">
            <v>ADMINISTRATIVE &amp; MANAGEMENT EXPENSES</v>
          </cell>
        </row>
      </sheetData>
      <sheetData sheetId="970">
        <row r="214">
          <cell r="A214" t="str">
            <v>ADMINISTRATIVE &amp; MANAGEMENT EXPENSES</v>
          </cell>
        </row>
      </sheetData>
      <sheetData sheetId="971">
        <row r="214">
          <cell r="A214" t="str">
            <v>ADMINISTRATIVE &amp; MANAGEMENT EXPENSES</v>
          </cell>
        </row>
      </sheetData>
      <sheetData sheetId="972">
        <row r="214">
          <cell r="A214" t="str">
            <v>ADMINISTRATIVE &amp; MANAGEMENT EXPENSES</v>
          </cell>
        </row>
      </sheetData>
      <sheetData sheetId="973">
        <row r="214">
          <cell r="A214" t="str">
            <v>ADMINISTRATIVE &amp; MANAGEMENT EXPENSES</v>
          </cell>
        </row>
      </sheetData>
      <sheetData sheetId="974">
        <row r="214">
          <cell r="A214" t="str">
            <v>ADMINISTRATIVE &amp; MANAGEMENT EXPENSES</v>
          </cell>
        </row>
      </sheetData>
      <sheetData sheetId="975">
        <row r="214">
          <cell r="A214" t="str">
            <v>ADMINISTRATIVE &amp; MANAGEMENT EXPENSES</v>
          </cell>
        </row>
      </sheetData>
      <sheetData sheetId="976">
        <row r="214">
          <cell r="A214" t="str">
            <v>ADMINISTRATIVE &amp; MANAGEMENT EXPENSES</v>
          </cell>
        </row>
      </sheetData>
      <sheetData sheetId="977">
        <row r="214">
          <cell r="A214" t="str">
            <v>ADMINISTRATIVE &amp; MANAGEMENT EXPENSES</v>
          </cell>
        </row>
      </sheetData>
      <sheetData sheetId="978">
        <row r="214">
          <cell r="A214" t="str">
            <v>ADMINISTRATIVE &amp; MANAGEMENT EXPENSES</v>
          </cell>
        </row>
      </sheetData>
      <sheetData sheetId="979">
        <row r="214">
          <cell r="A214" t="str">
            <v>ADMINISTRATIVE &amp; MANAGEMENT EXPENSES</v>
          </cell>
        </row>
      </sheetData>
      <sheetData sheetId="980">
        <row r="214">
          <cell r="A214" t="str">
            <v>ADMINISTRATIVE &amp; MANAGEMENT EXPENSES</v>
          </cell>
        </row>
      </sheetData>
      <sheetData sheetId="981">
        <row r="214">
          <cell r="A214" t="str">
            <v>ADMINISTRATIVE &amp; MANAGEMENT EXPENSES</v>
          </cell>
        </row>
      </sheetData>
      <sheetData sheetId="982">
        <row r="214">
          <cell r="A214" t="str">
            <v>ADMINISTRATIVE &amp; MANAGEMENT EXPENSES</v>
          </cell>
        </row>
      </sheetData>
      <sheetData sheetId="983">
        <row r="214">
          <cell r="A214" t="str">
            <v>ADMINISTRATIVE &amp; MANAGEMENT EXPENSES</v>
          </cell>
        </row>
      </sheetData>
      <sheetData sheetId="984">
        <row r="214">
          <cell r="A214" t="str">
            <v>ADMINISTRATIVE &amp; MANAGEMENT EXPENSES</v>
          </cell>
        </row>
      </sheetData>
      <sheetData sheetId="985">
        <row r="214">
          <cell r="A214" t="str">
            <v>ADMINISTRATIVE &amp; MANAGEMENT EXPENSES</v>
          </cell>
        </row>
      </sheetData>
      <sheetData sheetId="986">
        <row r="214">
          <cell r="A214" t="str">
            <v>ADMINISTRATIVE &amp; MANAGEMENT EXPENSES</v>
          </cell>
        </row>
      </sheetData>
      <sheetData sheetId="987">
        <row r="214">
          <cell r="A214" t="str">
            <v>ADMINISTRATIVE &amp; MANAGEMENT EXPENSES</v>
          </cell>
        </row>
      </sheetData>
      <sheetData sheetId="988">
        <row r="214">
          <cell r="A214" t="str">
            <v>ADMINISTRATIVE &amp; MANAGEMENT EXPENSES</v>
          </cell>
        </row>
      </sheetData>
      <sheetData sheetId="989">
        <row r="214">
          <cell r="A214" t="str">
            <v>ADMINISTRATIVE &amp; MANAGEMENT EXPENSES</v>
          </cell>
        </row>
      </sheetData>
      <sheetData sheetId="990">
        <row r="214">
          <cell r="A214" t="str">
            <v>ADMINISTRATIVE &amp; MANAGEMENT EXPENSES</v>
          </cell>
        </row>
      </sheetData>
      <sheetData sheetId="991">
        <row r="214">
          <cell r="A214" t="str">
            <v>ADMINISTRATIVE &amp; MANAGEMENT EXPENSES</v>
          </cell>
        </row>
      </sheetData>
      <sheetData sheetId="992">
        <row r="214">
          <cell r="A214" t="str">
            <v>ADMINISTRATIVE &amp; MANAGEMENT EXPENSES</v>
          </cell>
        </row>
      </sheetData>
      <sheetData sheetId="993">
        <row r="214">
          <cell r="A214" t="str">
            <v>ADMINISTRATIVE &amp; MANAGEMENT EXPENSES</v>
          </cell>
        </row>
      </sheetData>
      <sheetData sheetId="994">
        <row r="214">
          <cell r="A214" t="str">
            <v>ADMINISTRATIVE &amp; MANAGEMENT EXPENSES</v>
          </cell>
        </row>
      </sheetData>
      <sheetData sheetId="995">
        <row r="214">
          <cell r="A214" t="str">
            <v>ADMINISTRATIVE &amp; MANAGEMENT EXPENSES</v>
          </cell>
        </row>
      </sheetData>
      <sheetData sheetId="996">
        <row r="214">
          <cell r="A214" t="str">
            <v>ADMINISTRATIVE &amp; MANAGEMENT EXPENSES</v>
          </cell>
        </row>
      </sheetData>
      <sheetData sheetId="997">
        <row r="214">
          <cell r="A214" t="str">
            <v>ADMINISTRATIVE &amp; MANAGEMENT EXPENSES</v>
          </cell>
        </row>
      </sheetData>
      <sheetData sheetId="998">
        <row r="214">
          <cell r="A214" t="str">
            <v>ADMINISTRATIVE &amp; MANAGEMENT EXPENSES</v>
          </cell>
        </row>
      </sheetData>
      <sheetData sheetId="999">
        <row r="214">
          <cell r="A214" t="str">
            <v>ADMINISTRATIVE &amp; MANAGEMENT EXPENSES</v>
          </cell>
        </row>
      </sheetData>
      <sheetData sheetId="1000">
        <row r="214">
          <cell r="A214" t="str">
            <v>ADMINISTRATIVE &amp; MANAGEMENT EXPENSES</v>
          </cell>
        </row>
      </sheetData>
      <sheetData sheetId="1001">
        <row r="214">
          <cell r="A214" t="str">
            <v>ADMINISTRATIVE &amp; MANAGEMENT EXPENSES</v>
          </cell>
        </row>
      </sheetData>
      <sheetData sheetId="1002">
        <row r="214">
          <cell r="A214" t="str">
            <v>ADMINISTRATIVE &amp; MANAGEMENT EXPENSES</v>
          </cell>
        </row>
      </sheetData>
      <sheetData sheetId="1003">
        <row r="214">
          <cell r="A214" t="str">
            <v>ADMINISTRATIVE &amp; MANAGEMENT EXPENSES</v>
          </cell>
        </row>
      </sheetData>
      <sheetData sheetId="1004">
        <row r="214">
          <cell r="A214" t="str">
            <v>ADMINISTRATIVE &amp; MANAGEMENT EXPENSES</v>
          </cell>
        </row>
      </sheetData>
      <sheetData sheetId="1005">
        <row r="214">
          <cell r="A214" t="str">
            <v>ADMINISTRATIVE &amp; MANAGEMENT EXPENSES</v>
          </cell>
        </row>
      </sheetData>
      <sheetData sheetId="1006">
        <row r="214">
          <cell r="A214" t="str">
            <v>ADMINISTRATIVE &amp; MANAGEMENT EXPENSES</v>
          </cell>
        </row>
      </sheetData>
      <sheetData sheetId="1007">
        <row r="214">
          <cell r="A214" t="str">
            <v>ADMINISTRATIVE &amp; MANAGEMENT EXPENSES</v>
          </cell>
        </row>
      </sheetData>
      <sheetData sheetId="1008">
        <row r="214">
          <cell r="A214" t="str">
            <v>ADMINISTRATIVE &amp; MANAGEMENT EXPENSES</v>
          </cell>
        </row>
      </sheetData>
      <sheetData sheetId="1009">
        <row r="214">
          <cell r="A214" t="str">
            <v>ADMINISTRATIVE &amp; MANAGEMENT EXPENSES</v>
          </cell>
        </row>
      </sheetData>
      <sheetData sheetId="1010">
        <row r="214">
          <cell r="A214" t="str">
            <v>ADMINISTRATIVE &amp; MANAGEMENT EXPENSES</v>
          </cell>
        </row>
      </sheetData>
      <sheetData sheetId="1011">
        <row r="214">
          <cell r="A214" t="str">
            <v>ADMINISTRATIVE &amp; MANAGEMENT EXPENSES</v>
          </cell>
        </row>
      </sheetData>
      <sheetData sheetId="1012">
        <row r="214">
          <cell r="A214" t="str">
            <v>ADMINISTRATIVE &amp; MANAGEMENT EXPENSES</v>
          </cell>
        </row>
      </sheetData>
      <sheetData sheetId="1013">
        <row r="214">
          <cell r="A214" t="str">
            <v>ADMINISTRATIVE &amp; MANAGEMENT EXPENSES</v>
          </cell>
        </row>
      </sheetData>
      <sheetData sheetId="1014">
        <row r="214">
          <cell r="A214" t="str">
            <v>ADMINISTRATIVE &amp; MANAGEMENT EXPENSES</v>
          </cell>
        </row>
      </sheetData>
      <sheetData sheetId="1015">
        <row r="214">
          <cell r="A214" t="str">
            <v>ADMINISTRATIVE &amp; MANAGEMENT EXPENSES</v>
          </cell>
        </row>
      </sheetData>
      <sheetData sheetId="1016">
        <row r="214">
          <cell r="A214" t="str">
            <v>ADMINISTRATIVE &amp; MANAGEMENT EXPENSES</v>
          </cell>
        </row>
      </sheetData>
      <sheetData sheetId="1017">
        <row r="214">
          <cell r="A214" t="str">
            <v>ADMINISTRATIVE &amp; MANAGEMENT EXPENSES</v>
          </cell>
        </row>
      </sheetData>
      <sheetData sheetId="1018">
        <row r="214">
          <cell r="A214" t="str">
            <v>ADMINISTRATIVE &amp; MANAGEMENT EXPENSES</v>
          </cell>
        </row>
      </sheetData>
      <sheetData sheetId="1019">
        <row r="214">
          <cell r="A214" t="str">
            <v>ADMINISTRATIVE &amp; MANAGEMENT EXPENSES</v>
          </cell>
        </row>
      </sheetData>
      <sheetData sheetId="1020">
        <row r="214">
          <cell r="A214" t="str">
            <v>ADMINISTRATIVE &amp; MANAGEMENT EXPENSES</v>
          </cell>
        </row>
      </sheetData>
      <sheetData sheetId="1021">
        <row r="214">
          <cell r="A214" t="str">
            <v>ADMINISTRATIVE &amp; MANAGEMENT EXPENSES</v>
          </cell>
        </row>
      </sheetData>
      <sheetData sheetId="1022">
        <row r="214">
          <cell r="A214" t="str">
            <v>ADMINISTRATIVE &amp; MANAGEMENT EXPENSES</v>
          </cell>
        </row>
      </sheetData>
      <sheetData sheetId="1023">
        <row r="214">
          <cell r="A214" t="str">
            <v>ADMINISTRATIVE &amp; MANAGEMENT EXPENSES</v>
          </cell>
        </row>
      </sheetData>
      <sheetData sheetId="1024">
        <row r="214">
          <cell r="A214" t="str">
            <v>ADMINISTRATIVE &amp; MANAGEMENT EXPENSES</v>
          </cell>
        </row>
      </sheetData>
      <sheetData sheetId="1025">
        <row r="214">
          <cell r="A214" t="str">
            <v>ADMINISTRATIVE &amp; MANAGEMENT EXPENSES</v>
          </cell>
        </row>
      </sheetData>
      <sheetData sheetId="1026">
        <row r="214">
          <cell r="A214" t="str">
            <v>ADMINISTRATIVE &amp; MANAGEMENT EXPENSES</v>
          </cell>
        </row>
      </sheetData>
      <sheetData sheetId="1027">
        <row r="214">
          <cell r="A214" t="str">
            <v>ADMINISTRATIVE &amp; MANAGEMENT EXPENSES</v>
          </cell>
        </row>
      </sheetData>
      <sheetData sheetId="1028">
        <row r="214">
          <cell r="A214" t="str">
            <v>ADMINISTRATIVE &amp; MANAGEMENT EXPENSES</v>
          </cell>
        </row>
      </sheetData>
      <sheetData sheetId="1029">
        <row r="214">
          <cell r="A214" t="str">
            <v>ADMINISTRATIVE &amp; MANAGEMENT EXPENSES</v>
          </cell>
        </row>
      </sheetData>
      <sheetData sheetId="1030">
        <row r="214">
          <cell r="A214" t="str">
            <v>ADMINISTRATIVE &amp; MANAGEMENT EXPENSES</v>
          </cell>
        </row>
      </sheetData>
      <sheetData sheetId="1031">
        <row r="214">
          <cell r="A214" t="str">
            <v>ADMINISTRATIVE &amp; MANAGEMENT EXPENSES</v>
          </cell>
        </row>
      </sheetData>
      <sheetData sheetId="1032">
        <row r="214">
          <cell r="A214" t="str">
            <v>ADMINISTRATIVE &amp; MANAGEMENT EXPENSES</v>
          </cell>
        </row>
      </sheetData>
      <sheetData sheetId="1033">
        <row r="214">
          <cell r="A214" t="str">
            <v>ADMINISTRATIVE &amp; MANAGEMENT EXPENSES</v>
          </cell>
        </row>
      </sheetData>
      <sheetData sheetId="1034">
        <row r="214">
          <cell r="A214" t="str">
            <v>ADMINISTRATIVE &amp; MANAGEMENT EXPENSES</v>
          </cell>
        </row>
      </sheetData>
      <sheetData sheetId="1035">
        <row r="214">
          <cell r="A214" t="str">
            <v>ADMINISTRATIVE &amp; MANAGEMENT EXPENSES</v>
          </cell>
        </row>
      </sheetData>
      <sheetData sheetId="1036">
        <row r="214">
          <cell r="A214" t="str">
            <v>ADMINISTRATIVE &amp; MANAGEMENT EXPENSES</v>
          </cell>
        </row>
      </sheetData>
      <sheetData sheetId="1037">
        <row r="214">
          <cell r="A214" t="str">
            <v>ADMINISTRATIVE &amp; MANAGEMENT EXPENSES</v>
          </cell>
        </row>
      </sheetData>
      <sheetData sheetId="1038">
        <row r="214">
          <cell r="A214" t="str">
            <v>ADMINISTRATIVE &amp; MANAGEMENT EXPENSES</v>
          </cell>
        </row>
      </sheetData>
      <sheetData sheetId="1039">
        <row r="214">
          <cell r="A214" t="str">
            <v>ADMINISTRATIVE &amp; MANAGEMENT EXPENSES</v>
          </cell>
        </row>
      </sheetData>
      <sheetData sheetId="1040">
        <row r="214">
          <cell r="A214" t="str">
            <v>ADMINISTRATIVE &amp; MANAGEMENT EXPENSES</v>
          </cell>
        </row>
      </sheetData>
      <sheetData sheetId="1041">
        <row r="214">
          <cell r="A214" t="str">
            <v>ADMINISTRATIVE &amp; MANAGEMENT EXPENSES</v>
          </cell>
        </row>
      </sheetData>
      <sheetData sheetId="1042">
        <row r="214">
          <cell r="A214" t="str">
            <v>ADMINISTRATIVE &amp; MANAGEMENT EXPENSES</v>
          </cell>
        </row>
      </sheetData>
      <sheetData sheetId="1043">
        <row r="214">
          <cell r="A214" t="str">
            <v>ADMINISTRATIVE &amp; MANAGEMENT EXPENSES</v>
          </cell>
        </row>
      </sheetData>
      <sheetData sheetId="1044">
        <row r="214">
          <cell r="A214" t="str">
            <v>ADMINISTRATIVE &amp; MANAGEMENT EXPENSES</v>
          </cell>
        </row>
      </sheetData>
      <sheetData sheetId="1045">
        <row r="214">
          <cell r="A214" t="str">
            <v>ADMINISTRATIVE &amp; MANAGEMENT EXPENSES</v>
          </cell>
        </row>
      </sheetData>
      <sheetData sheetId="1046">
        <row r="214">
          <cell r="A214" t="str">
            <v>ADMINISTRATIVE &amp; MANAGEMENT EXPENSES</v>
          </cell>
        </row>
      </sheetData>
      <sheetData sheetId="1047">
        <row r="214">
          <cell r="A214" t="str">
            <v>ADMINISTRATIVE &amp; MANAGEMENT EXPENSES</v>
          </cell>
        </row>
      </sheetData>
      <sheetData sheetId="1048">
        <row r="214">
          <cell r="A214" t="str">
            <v>ADMINISTRATIVE &amp; MANAGEMENT EXPENSES</v>
          </cell>
        </row>
      </sheetData>
      <sheetData sheetId="1049">
        <row r="214">
          <cell r="A214" t="str">
            <v>ADMINISTRATIVE &amp; MANAGEMENT EXPENSES</v>
          </cell>
        </row>
      </sheetData>
      <sheetData sheetId="1050">
        <row r="214">
          <cell r="A214" t="str">
            <v>ADMINISTRATIVE &amp; MANAGEMENT EXPENSES</v>
          </cell>
        </row>
      </sheetData>
      <sheetData sheetId="1051">
        <row r="214">
          <cell r="A214" t="str">
            <v>ADMINISTRATIVE &amp; MANAGEMENT EXPENSES</v>
          </cell>
        </row>
      </sheetData>
      <sheetData sheetId="1052">
        <row r="214">
          <cell r="A214" t="str">
            <v>ADMINISTRATIVE &amp; MANAGEMENT EXPENSES</v>
          </cell>
        </row>
      </sheetData>
      <sheetData sheetId="1053">
        <row r="214">
          <cell r="A214" t="str">
            <v>ADMINISTRATIVE &amp; MANAGEMENT EXPENSES</v>
          </cell>
        </row>
      </sheetData>
      <sheetData sheetId="1054">
        <row r="214">
          <cell r="A214" t="str">
            <v>ADMINISTRATIVE &amp; MANAGEMENT EXPENSES</v>
          </cell>
        </row>
      </sheetData>
      <sheetData sheetId="1055">
        <row r="214">
          <cell r="A214" t="str">
            <v>ADMINISTRATIVE &amp; MANAGEMENT EXPENSES</v>
          </cell>
        </row>
      </sheetData>
      <sheetData sheetId="1056">
        <row r="214">
          <cell r="A214" t="str">
            <v>ADMINISTRATIVE &amp; MANAGEMENT EXPENSES</v>
          </cell>
        </row>
      </sheetData>
      <sheetData sheetId="1057">
        <row r="214">
          <cell r="A214" t="str">
            <v>ADMINISTRATIVE &amp; MANAGEMENT EXPENSES</v>
          </cell>
        </row>
      </sheetData>
      <sheetData sheetId="1058">
        <row r="214">
          <cell r="A214" t="str">
            <v>ADMINISTRATIVE &amp; MANAGEMENT EXPENSES</v>
          </cell>
        </row>
      </sheetData>
      <sheetData sheetId="1059">
        <row r="214">
          <cell r="A214" t="str">
            <v>ADMINISTRATIVE &amp; MANAGEMENT EXPENSES</v>
          </cell>
        </row>
      </sheetData>
      <sheetData sheetId="1060">
        <row r="214">
          <cell r="A214" t="str">
            <v>ADMINISTRATIVE &amp; MANAGEMENT EXPENSES</v>
          </cell>
        </row>
      </sheetData>
      <sheetData sheetId="1061">
        <row r="214">
          <cell r="A214" t="str">
            <v>ADMINISTRATIVE &amp; MANAGEMENT EXPENSES</v>
          </cell>
        </row>
      </sheetData>
      <sheetData sheetId="1062">
        <row r="214">
          <cell r="A214" t="str">
            <v>ADMINISTRATIVE &amp; MANAGEMENT EXPENSES</v>
          </cell>
        </row>
      </sheetData>
      <sheetData sheetId="1063">
        <row r="214">
          <cell r="A214" t="str">
            <v>ADMINISTRATIVE &amp; MANAGEMENT EXPENSES</v>
          </cell>
        </row>
      </sheetData>
      <sheetData sheetId="1064">
        <row r="214">
          <cell r="A214" t="str">
            <v>ADMINISTRATIVE &amp; MANAGEMENT EXPENSES</v>
          </cell>
        </row>
      </sheetData>
      <sheetData sheetId="1065">
        <row r="214">
          <cell r="A214" t="str">
            <v>ADMINISTRATIVE &amp; MANAGEMENT EXPENSES</v>
          </cell>
        </row>
      </sheetData>
      <sheetData sheetId="1066">
        <row r="214">
          <cell r="A214" t="str">
            <v>ADMINISTRATIVE &amp; MANAGEMENT EXPENSES</v>
          </cell>
        </row>
      </sheetData>
      <sheetData sheetId="1067">
        <row r="214">
          <cell r="A214" t="str">
            <v>ADMINISTRATIVE &amp; MANAGEMENT EXPENSES</v>
          </cell>
        </row>
      </sheetData>
      <sheetData sheetId="1068">
        <row r="214">
          <cell r="A214" t="str">
            <v>ADMINISTRATIVE &amp; MANAGEMENT EXPENSES</v>
          </cell>
        </row>
      </sheetData>
      <sheetData sheetId="1069">
        <row r="214">
          <cell r="A214" t="str">
            <v>ADMINISTRATIVE &amp; MANAGEMENT EXPENSES</v>
          </cell>
        </row>
      </sheetData>
      <sheetData sheetId="1070">
        <row r="214">
          <cell r="A214" t="str">
            <v>ADMINISTRATIVE &amp; MANAGEMENT EXPENSES</v>
          </cell>
        </row>
      </sheetData>
      <sheetData sheetId="1071">
        <row r="214">
          <cell r="A214" t="str">
            <v>ADMINISTRATIVE &amp; MANAGEMENT EXPENSES</v>
          </cell>
        </row>
      </sheetData>
      <sheetData sheetId="1072">
        <row r="214">
          <cell r="A214" t="str">
            <v>ADMINISTRATIVE &amp; MANAGEMENT EXPENSES</v>
          </cell>
        </row>
      </sheetData>
      <sheetData sheetId="1073">
        <row r="214">
          <cell r="A214" t="str">
            <v>ADMINISTRATIVE &amp; MANAGEMENT EXPENSES</v>
          </cell>
        </row>
      </sheetData>
      <sheetData sheetId="1074">
        <row r="214">
          <cell r="A214" t="str">
            <v>ADMINISTRATIVE &amp; MANAGEMENT EXPENSES</v>
          </cell>
        </row>
      </sheetData>
      <sheetData sheetId="1075">
        <row r="214">
          <cell r="A214" t="str">
            <v>ADMINISTRATIVE &amp; MANAGEMENT EXPENSES</v>
          </cell>
        </row>
      </sheetData>
      <sheetData sheetId="1076">
        <row r="214">
          <cell r="A214" t="str">
            <v>ADMINISTRATIVE &amp; MANAGEMENT EXPENSES</v>
          </cell>
        </row>
      </sheetData>
      <sheetData sheetId="1077">
        <row r="214">
          <cell r="A214" t="str">
            <v>ADMINISTRATIVE &amp; MANAGEMENT EXPENSES</v>
          </cell>
        </row>
      </sheetData>
      <sheetData sheetId="1078">
        <row r="214">
          <cell r="A214" t="str">
            <v>ADMINISTRATIVE &amp; MANAGEMENT EXPENSES</v>
          </cell>
        </row>
      </sheetData>
      <sheetData sheetId="1079">
        <row r="214">
          <cell r="A214" t="str">
            <v>ADMINISTRATIVE &amp; MANAGEMENT EXPENSES</v>
          </cell>
        </row>
      </sheetData>
      <sheetData sheetId="1080">
        <row r="214">
          <cell r="A214" t="str">
            <v>ADMINISTRATIVE &amp; MANAGEMENT EXPENSES</v>
          </cell>
        </row>
      </sheetData>
      <sheetData sheetId="1081">
        <row r="214">
          <cell r="A214" t="str">
            <v>ADMINISTRATIVE &amp; MANAGEMENT EXPENSES</v>
          </cell>
        </row>
      </sheetData>
      <sheetData sheetId="1082">
        <row r="214">
          <cell r="A214" t="str">
            <v>ADMINISTRATIVE &amp; MANAGEMENT EXPENSES</v>
          </cell>
        </row>
      </sheetData>
      <sheetData sheetId="1083">
        <row r="214">
          <cell r="A214" t="str">
            <v>ADMINISTRATIVE &amp; MANAGEMENT EXPENSES</v>
          </cell>
        </row>
      </sheetData>
      <sheetData sheetId="1084">
        <row r="214">
          <cell r="A214" t="str">
            <v>ADMINISTRATIVE &amp; MANAGEMENT EXPENSES</v>
          </cell>
        </row>
      </sheetData>
      <sheetData sheetId="1085">
        <row r="214">
          <cell r="A214" t="str">
            <v>ADMINISTRATIVE &amp; MANAGEMENT EXPENSES</v>
          </cell>
        </row>
      </sheetData>
      <sheetData sheetId="1086">
        <row r="214">
          <cell r="A214" t="str">
            <v>ADMINISTRATIVE &amp; MANAGEMENT EXPENSES</v>
          </cell>
        </row>
      </sheetData>
      <sheetData sheetId="1087">
        <row r="214">
          <cell r="A214" t="str">
            <v>ADMINISTRATIVE &amp; MANAGEMENT EXPENSES</v>
          </cell>
        </row>
      </sheetData>
      <sheetData sheetId="1088">
        <row r="214">
          <cell r="A214" t="str">
            <v>ADMINISTRATIVE &amp; MANAGEMENT EXPENSES</v>
          </cell>
        </row>
      </sheetData>
      <sheetData sheetId="1089">
        <row r="214">
          <cell r="A214" t="str">
            <v>ADMINISTRATIVE &amp; MANAGEMENT EXPENSES</v>
          </cell>
        </row>
      </sheetData>
      <sheetData sheetId="1090">
        <row r="214">
          <cell r="A214" t="str">
            <v>ADMINISTRATIVE &amp; MANAGEMENT EXPENSES</v>
          </cell>
        </row>
      </sheetData>
      <sheetData sheetId="1091">
        <row r="214">
          <cell r="A214" t="str">
            <v>ADMINISTRATIVE &amp; MANAGEMENT EXPENSES</v>
          </cell>
        </row>
      </sheetData>
      <sheetData sheetId="1092">
        <row r="214">
          <cell r="A214" t="str">
            <v>ADMINISTRATIVE &amp; MANAGEMENT EXPENSES</v>
          </cell>
        </row>
      </sheetData>
      <sheetData sheetId="1093">
        <row r="214">
          <cell r="A214" t="str">
            <v>ADMINISTRATIVE &amp; MANAGEMENT EXPENSES</v>
          </cell>
        </row>
      </sheetData>
      <sheetData sheetId="1094">
        <row r="214">
          <cell r="A214" t="str">
            <v>ADMINISTRATIVE &amp; MANAGEMENT EXPENSES</v>
          </cell>
        </row>
      </sheetData>
      <sheetData sheetId="1095">
        <row r="214">
          <cell r="A214" t="str">
            <v>ADMINISTRATIVE &amp; MANAGEMENT EXPENSES</v>
          </cell>
        </row>
      </sheetData>
      <sheetData sheetId="1096">
        <row r="214">
          <cell r="A214" t="str">
            <v>ADMINISTRATIVE &amp; MANAGEMENT EXPENSES</v>
          </cell>
        </row>
      </sheetData>
      <sheetData sheetId="1097">
        <row r="214">
          <cell r="A214" t="str">
            <v>ADMINISTRATIVE &amp; MANAGEMENT EXPENSES</v>
          </cell>
        </row>
      </sheetData>
      <sheetData sheetId="1098">
        <row r="214">
          <cell r="A214" t="str">
            <v>ADMINISTRATIVE &amp; MANAGEMENT EXPENSES</v>
          </cell>
        </row>
      </sheetData>
      <sheetData sheetId="1099">
        <row r="214">
          <cell r="A214" t="str">
            <v>ADMINISTRATIVE &amp; MANAGEMENT EXPENSES</v>
          </cell>
        </row>
      </sheetData>
      <sheetData sheetId="1100">
        <row r="214">
          <cell r="A214" t="str">
            <v>ADMINISTRATIVE &amp; MANAGEMENT EXPENSES</v>
          </cell>
        </row>
      </sheetData>
      <sheetData sheetId="1101">
        <row r="214">
          <cell r="A214" t="str">
            <v>ADMINISTRATIVE &amp; MANAGEMENT EXPENSES</v>
          </cell>
        </row>
      </sheetData>
      <sheetData sheetId="1102">
        <row r="214">
          <cell r="A214" t="str">
            <v>ADMINISTRATIVE &amp; MANAGEMENT EXPENSES</v>
          </cell>
        </row>
      </sheetData>
      <sheetData sheetId="1103">
        <row r="214">
          <cell r="A214" t="str">
            <v>ADMINISTRATIVE &amp; MANAGEMENT EXPENSES</v>
          </cell>
        </row>
      </sheetData>
      <sheetData sheetId="1104">
        <row r="214">
          <cell r="A214" t="str">
            <v>ADMINISTRATIVE &amp; MANAGEMENT EXPENSES</v>
          </cell>
        </row>
      </sheetData>
      <sheetData sheetId="1105">
        <row r="214">
          <cell r="A214" t="str">
            <v>ADMINISTRATIVE &amp; MANAGEMENT EXPENSES</v>
          </cell>
        </row>
      </sheetData>
      <sheetData sheetId="1106">
        <row r="214">
          <cell r="A214" t="str">
            <v>ADMINISTRATIVE &amp; MANAGEMENT EXPENSES</v>
          </cell>
        </row>
      </sheetData>
      <sheetData sheetId="1107">
        <row r="214">
          <cell r="A214" t="str">
            <v>ADMINISTRATIVE &amp; MANAGEMENT EXPENSES</v>
          </cell>
        </row>
      </sheetData>
      <sheetData sheetId="1108">
        <row r="214">
          <cell r="A214" t="str">
            <v>ADMINISTRATIVE &amp; MANAGEMENT EXPENSES</v>
          </cell>
        </row>
      </sheetData>
      <sheetData sheetId="1109">
        <row r="214">
          <cell r="A214" t="str">
            <v>ADMINISTRATIVE &amp; MANAGEMENT EXPENSES</v>
          </cell>
        </row>
      </sheetData>
      <sheetData sheetId="1110">
        <row r="214">
          <cell r="A214" t="str">
            <v>ADMINISTRATIVE &amp; MANAGEMENT EXPENSES</v>
          </cell>
        </row>
      </sheetData>
      <sheetData sheetId="1111">
        <row r="214">
          <cell r="A214" t="str">
            <v>ADMINISTRATIVE &amp; MANAGEMENT EXPENSES</v>
          </cell>
        </row>
      </sheetData>
      <sheetData sheetId="1112">
        <row r="214">
          <cell r="A214" t="str">
            <v>ADMINISTRATIVE &amp; MANAGEMENT EXPENSES</v>
          </cell>
        </row>
      </sheetData>
      <sheetData sheetId="1113">
        <row r="214">
          <cell r="A214" t="str">
            <v>ADMINISTRATIVE &amp; MANAGEMENT EXPENSES</v>
          </cell>
        </row>
      </sheetData>
      <sheetData sheetId="1114">
        <row r="214">
          <cell r="A214" t="str">
            <v>ADMINISTRATIVE &amp; MANAGEMENT EXPENSES</v>
          </cell>
        </row>
      </sheetData>
      <sheetData sheetId="1115">
        <row r="214">
          <cell r="A214" t="str">
            <v>ADMINISTRATIVE &amp; MANAGEMENT EXPENSES</v>
          </cell>
        </row>
      </sheetData>
      <sheetData sheetId="1116">
        <row r="214">
          <cell r="A214" t="str">
            <v>ADMINISTRATIVE &amp; MANAGEMENT EXPENSES</v>
          </cell>
        </row>
      </sheetData>
      <sheetData sheetId="1117">
        <row r="214">
          <cell r="A214" t="str">
            <v>ADMINISTRATIVE &amp; MANAGEMENT EXPENSES</v>
          </cell>
        </row>
      </sheetData>
      <sheetData sheetId="1118">
        <row r="214">
          <cell r="A214" t="str">
            <v>ADMINISTRATIVE &amp; MANAGEMENT EXPENSES</v>
          </cell>
        </row>
      </sheetData>
      <sheetData sheetId="1119">
        <row r="214">
          <cell r="A214" t="str">
            <v>ADMINISTRATIVE &amp; MANAGEMENT EXPENSES</v>
          </cell>
        </row>
      </sheetData>
      <sheetData sheetId="1120">
        <row r="214">
          <cell r="A214" t="str">
            <v>ADMINISTRATIVE &amp; MANAGEMENT EXPENSES</v>
          </cell>
        </row>
      </sheetData>
      <sheetData sheetId="1121">
        <row r="214">
          <cell r="A214" t="str">
            <v>ADMINISTRATIVE &amp; MANAGEMENT EXPENSES</v>
          </cell>
        </row>
      </sheetData>
      <sheetData sheetId="1122">
        <row r="214">
          <cell r="A214" t="str">
            <v>ADMINISTRATIVE &amp; MANAGEMENT EXPENSES</v>
          </cell>
        </row>
      </sheetData>
      <sheetData sheetId="1123">
        <row r="214">
          <cell r="A214" t="str">
            <v>ADMINISTRATIVE &amp; MANAGEMENT EXPENSES</v>
          </cell>
        </row>
      </sheetData>
      <sheetData sheetId="1124">
        <row r="214">
          <cell r="A214" t="str">
            <v>ADMINISTRATIVE &amp; MANAGEMENT EXPENSES</v>
          </cell>
        </row>
      </sheetData>
      <sheetData sheetId="1125">
        <row r="214">
          <cell r="A214" t="str">
            <v>ADMINISTRATIVE &amp; MANAGEMENT EXPENSES</v>
          </cell>
        </row>
      </sheetData>
      <sheetData sheetId="1126">
        <row r="214">
          <cell r="A214" t="str">
            <v>ADMINISTRATIVE &amp; MANAGEMENT EXPENSES</v>
          </cell>
        </row>
      </sheetData>
      <sheetData sheetId="1127">
        <row r="214">
          <cell r="A214" t="str">
            <v>ADMINISTRATIVE &amp; MANAGEMENT EXPENSES</v>
          </cell>
        </row>
      </sheetData>
      <sheetData sheetId="1128">
        <row r="214">
          <cell r="A214" t="str">
            <v>ADMINISTRATIVE &amp; MANAGEMENT EXPENSES</v>
          </cell>
        </row>
      </sheetData>
      <sheetData sheetId="1129">
        <row r="214">
          <cell r="A214" t="str">
            <v>ADMINISTRATIVE &amp; MANAGEMENT EXPENSES</v>
          </cell>
        </row>
      </sheetData>
      <sheetData sheetId="1130">
        <row r="214">
          <cell r="A214" t="str">
            <v>ADMINISTRATIVE &amp; MANAGEMENT EXPENSES</v>
          </cell>
        </row>
      </sheetData>
      <sheetData sheetId="1131">
        <row r="214">
          <cell r="A214" t="str">
            <v>ADMINISTRATIVE &amp; MANAGEMENT EXPENSES</v>
          </cell>
        </row>
      </sheetData>
      <sheetData sheetId="1132">
        <row r="214">
          <cell r="A214" t="str">
            <v>ADMINISTRATIVE &amp; MANAGEMENT EXPENSES</v>
          </cell>
        </row>
      </sheetData>
      <sheetData sheetId="1133">
        <row r="214">
          <cell r="A214" t="str">
            <v>ADMINISTRATIVE &amp; MANAGEMENT EXPENSES</v>
          </cell>
        </row>
      </sheetData>
      <sheetData sheetId="1134">
        <row r="214">
          <cell r="A214" t="str">
            <v>ADMINISTRATIVE &amp; MANAGEMENT EXPENSES</v>
          </cell>
        </row>
      </sheetData>
      <sheetData sheetId="1135">
        <row r="214">
          <cell r="A214" t="str">
            <v>ADMINISTRATIVE &amp; MANAGEMENT EXPENSES</v>
          </cell>
        </row>
      </sheetData>
      <sheetData sheetId="1136">
        <row r="214">
          <cell r="A214" t="str">
            <v>ADMINISTRATIVE &amp; MANAGEMENT EXPENSES</v>
          </cell>
        </row>
      </sheetData>
      <sheetData sheetId="1137">
        <row r="214">
          <cell r="A214" t="str">
            <v>ADMINISTRATIVE &amp; MANAGEMENT EXPENSES</v>
          </cell>
        </row>
      </sheetData>
      <sheetData sheetId="1138">
        <row r="214">
          <cell r="A214" t="str">
            <v>ADMINISTRATIVE &amp; MANAGEMENT EXPENSES</v>
          </cell>
        </row>
      </sheetData>
      <sheetData sheetId="1139">
        <row r="214">
          <cell r="A214" t="str">
            <v>ADMINISTRATIVE &amp; MANAGEMENT EXPENSES</v>
          </cell>
        </row>
      </sheetData>
      <sheetData sheetId="1140">
        <row r="214">
          <cell r="A214" t="str">
            <v>ADMINISTRATIVE &amp; MANAGEMENT EXPENSES</v>
          </cell>
        </row>
      </sheetData>
      <sheetData sheetId="1141">
        <row r="214">
          <cell r="A214" t="str">
            <v>ADMINISTRATIVE &amp; MANAGEMENT EXPENSES</v>
          </cell>
        </row>
      </sheetData>
      <sheetData sheetId="1142">
        <row r="214">
          <cell r="A214" t="str">
            <v>ADMINISTRATIVE &amp; MANAGEMENT EXPENSES</v>
          </cell>
        </row>
      </sheetData>
      <sheetData sheetId="1143">
        <row r="214">
          <cell r="A214" t="str">
            <v>ADMINISTRATIVE &amp; MANAGEMENT EXPENSES</v>
          </cell>
        </row>
      </sheetData>
      <sheetData sheetId="1144">
        <row r="214">
          <cell r="A214" t="str">
            <v>ADMINISTRATIVE &amp; MANAGEMENT EXPENSES</v>
          </cell>
        </row>
      </sheetData>
      <sheetData sheetId="1145">
        <row r="214">
          <cell r="A214" t="str">
            <v>ADMINISTRATIVE &amp; MANAGEMENT EXPENSES</v>
          </cell>
        </row>
      </sheetData>
      <sheetData sheetId="1146">
        <row r="214">
          <cell r="A214" t="str">
            <v>ADMINISTRATIVE &amp; MANAGEMENT EXPENSES</v>
          </cell>
        </row>
      </sheetData>
      <sheetData sheetId="1147">
        <row r="214">
          <cell r="A214" t="str">
            <v>ADMINISTRATIVE &amp; MANAGEMENT EXPENSES</v>
          </cell>
        </row>
      </sheetData>
      <sheetData sheetId="1148">
        <row r="214">
          <cell r="A214" t="str">
            <v>ADMINISTRATIVE &amp; MANAGEMENT EXPENSES</v>
          </cell>
        </row>
      </sheetData>
      <sheetData sheetId="1149">
        <row r="214">
          <cell r="A214" t="str">
            <v>ADMINISTRATIVE &amp; MANAGEMENT EXPENSES</v>
          </cell>
        </row>
      </sheetData>
      <sheetData sheetId="1150">
        <row r="214">
          <cell r="A214" t="str">
            <v>ADMINISTRATIVE &amp; MANAGEMENT EXPENSES</v>
          </cell>
        </row>
      </sheetData>
      <sheetData sheetId="1151">
        <row r="214">
          <cell r="A214" t="str">
            <v>ADMINISTRATIVE &amp; MANAGEMENT EXPENSES</v>
          </cell>
        </row>
      </sheetData>
      <sheetData sheetId="1152">
        <row r="214">
          <cell r="A214" t="str">
            <v>ADMINISTRATIVE &amp; MANAGEMENT EXPENSES</v>
          </cell>
        </row>
      </sheetData>
      <sheetData sheetId="1153">
        <row r="214">
          <cell r="A214" t="str">
            <v>ADMINISTRATIVE &amp; MANAGEMENT EXPENSES</v>
          </cell>
        </row>
      </sheetData>
      <sheetData sheetId="1154">
        <row r="214">
          <cell r="A214" t="str">
            <v>ADMINISTRATIVE &amp; MANAGEMENT EXPENSES</v>
          </cell>
        </row>
      </sheetData>
      <sheetData sheetId="1155">
        <row r="214">
          <cell r="A214" t="str">
            <v>ADMINISTRATIVE &amp; MANAGEMENT EXPENSES</v>
          </cell>
        </row>
      </sheetData>
      <sheetData sheetId="1156">
        <row r="214">
          <cell r="A214" t="str">
            <v>ADMINISTRATIVE &amp; MANAGEMENT EXPENSES</v>
          </cell>
        </row>
      </sheetData>
      <sheetData sheetId="1157">
        <row r="214">
          <cell r="A214" t="str">
            <v>ADMINISTRATIVE &amp; MANAGEMENT EXPENSES</v>
          </cell>
        </row>
      </sheetData>
      <sheetData sheetId="1158">
        <row r="214">
          <cell r="A214" t="str">
            <v>ADMINISTRATIVE &amp; MANAGEMENT EXPENSES</v>
          </cell>
        </row>
      </sheetData>
      <sheetData sheetId="1159">
        <row r="214">
          <cell r="A214" t="str">
            <v>ADMINISTRATIVE &amp; MANAGEMENT EXPENSES</v>
          </cell>
        </row>
      </sheetData>
      <sheetData sheetId="1160">
        <row r="214">
          <cell r="A214" t="str">
            <v>ADMINISTRATIVE &amp; MANAGEMENT EXPENSES</v>
          </cell>
        </row>
      </sheetData>
      <sheetData sheetId="1161">
        <row r="214">
          <cell r="A214" t="str">
            <v>ADMINISTRATIVE &amp; MANAGEMENT EXPENSES</v>
          </cell>
        </row>
      </sheetData>
      <sheetData sheetId="1162">
        <row r="214">
          <cell r="A214" t="str">
            <v>ADMINISTRATIVE &amp; MANAGEMENT EXPENSES</v>
          </cell>
        </row>
      </sheetData>
      <sheetData sheetId="1163">
        <row r="214">
          <cell r="A214" t="str">
            <v>ADMINISTRATIVE &amp; MANAGEMENT EXPENSES</v>
          </cell>
        </row>
      </sheetData>
      <sheetData sheetId="1164">
        <row r="214">
          <cell r="A214" t="str">
            <v>ADMINISTRATIVE &amp; MANAGEMENT EXPENSES</v>
          </cell>
        </row>
      </sheetData>
      <sheetData sheetId="1165">
        <row r="214">
          <cell r="A214" t="str">
            <v>ADMINISTRATIVE &amp; MANAGEMENT EXPENSES</v>
          </cell>
        </row>
      </sheetData>
      <sheetData sheetId="1166">
        <row r="214">
          <cell r="A214" t="str">
            <v>ADMINISTRATIVE &amp; MANAGEMENT EXPENSES</v>
          </cell>
        </row>
      </sheetData>
      <sheetData sheetId="1167">
        <row r="214">
          <cell r="A214" t="str">
            <v>ADMINISTRATIVE &amp; MANAGEMENT EXPENSES</v>
          </cell>
        </row>
      </sheetData>
      <sheetData sheetId="1168">
        <row r="214">
          <cell r="A214" t="str">
            <v>ADMINISTRATIVE &amp; MANAGEMENT EXPENSES</v>
          </cell>
        </row>
      </sheetData>
      <sheetData sheetId="1169">
        <row r="214">
          <cell r="A214" t="str">
            <v>ADMINISTRATIVE &amp; MANAGEMENT EXPENSES</v>
          </cell>
        </row>
      </sheetData>
      <sheetData sheetId="1170">
        <row r="214">
          <cell r="A214" t="str">
            <v>ADMINISTRATIVE &amp; MANAGEMENT EXPENSES</v>
          </cell>
        </row>
      </sheetData>
      <sheetData sheetId="1171">
        <row r="214">
          <cell r="A214" t="str">
            <v>ADMINISTRATIVE &amp; MANAGEMENT EXPENSES</v>
          </cell>
        </row>
      </sheetData>
      <sheetData sheetId="1172">
        <row r="214">
          <cell r="A214" t="str">
            <v>ADMINISTRATIVE &amp; MANAGEMENT EXPENSES</v>
          </cell>
        </row>
      </sheetData>
      <sheetData sheetId="1173">
        <row r="214">
          <cell r="A214" t="str">
            <v>ADMINISTRATIVE &amp; MANAGEMENT EXPENSES</v>
          </cell>
        </row>
      </sheetData>
      <sheetData sheetId="1174">
        <row r="214">
          <cell r="A214" t="str">
            <v>ADMINISTRATIVE &amp; MANAGEMENT EXPENSES</v>
          </cell>
        </row>
      </sheetData>
      <sheetData sheetId="1175">
        <row r="214">
          <cell r="A214" t="str">
            <v>ADMINISTRATIVE &amp; MANAGEMENT EXPENSES</v>
          </cell>
        </row>
      </sheetData>
      <sheetData sheetId="1176">
        <row r="214">
          <cell r="A214" t="str">
            <v>ADMINISTRATIVE &amp; MANAGEMENT EXPENSES</v>
          </cell>
        </row>
      </sheetData>
      <sheetData sheetId="1177">
        <row r="214">
          <cell r="A214" t="str">
            <v>ADMINISTRATIVE &amp; MANAGEMENT EXPENSES</v>
          </cell>
        </row>
      </sheetData>
      <sheetData sheetId="1178">
        <row r="214">
          <cell r="A214" t="str">
            <v>ADMINISTRATIVE &amp; MANAGEMENT EXPENSES</v>
          </cell>
        </row>
      </sheetData>
      <sheetData sheetId="1179">
        <row r="214">
          <cell r="A214" t="str">
            <v>ADMINISTRATIVE &amp; MANAGEMENT EXPENSES</v>
          </cell>
        </row>
      </sheetData>
      <sheetData sheetId="1180">
        <row r="214">
          <cell r="A214" t="str">
            <v>ADMINISTRATIVE &amp; MANAGEMENT EXPENSES</v>
          </cell>
        </row>
      </sheetData>
      <sheetData sheetId="1181">
        <row r="214">
          <cell r="A214" t="str">
            <v>ADMINISTRATIVE &amp; MANAGEMENT EXPENSES</v>
          </cell>
        </row>
      </sheetData>
      <sheetData sheetId="1182">
        <row r="214">
          <cell r="A214" t="str">
            <v>ADMINISTRATIVE &amp; MANAGEMENT EXPENSES</v>
          </cell>
        </row>
      </sheetData>
      <sheetData sheetId="1183">
        <row r="214">
          <cell r="A214" t="str">
            <v>ADMINISTRATIVE &amp; MANAGEMENT EXPENSES</v>
          </cell>
        </row>
      </sheetData>
      <sheetData sheetId="1184">
        <row r="214">
          <cell r="A214" t="str">
            <v>ADMINISTRATIVE &amp; MANAGEMENT EXPENSES</v>
          </cell>
        </row>
      </sheetData>
      <sheetData sheetId="1185">
        <row r="214">
          <cell r="A214" t="str">
            <v>ADMINISTRATIVE &amp; MANAGEMENT EXPENSES</v>
          </cell>
        </row>
      </sheetData>
      <sheetData sheetId="1186">
        <row r="214">
          <cell r="A214" t="str">
            <v>ADMINISTRATIVE &amp; MANAGEMENT EXPENSES</v>
          </cell>
        </row>
      </sheetData>
      <sheetData sheetId="1187">
        <row r="214">
          <cell r="A214" t="str">
            <v>ADMINISTRATIVE &amp; MANAGEMENT EXPENSES</v>
          </cell>
        </row>
      </sheetData>
      <sheetData sheetId="1188">
        <row r="214">
          <cell r="A214" t="str">
            <v>ADMINISTRATIVE &amp; MANAGEMENT EXPENSES</v>
          </cell>
        </row>
      </sheetData>
      <sheetData sheetId="1189">
        <row r="214">
          <cell r="A214" t="str">
            <v>ADMINISTRATIVE &amp; MANAGEMENT EXPENSES</v>
          </cell>
        </row>
      </sheetData>
      <sheetData sheetId="1190">
        <row r="214">
          <cell r="A214" t="str">
            <v>ADMINISTRATIVE &amp; MANAGEMENT EXPENSES</v>
          </cell>
        </row>
      </sheetData>
      <sheetData sheetId="1191">
        <row r="214">
          <cell r="A214" t="str">
            <v>ADMINISTRATIVE &amp; MANAGEMENT EXPENSES</v>
          </cell>
        </row>
      </sheetData>
      <sheetData sheetId="1192">
        <row r="214">
          <cell r="A214" t="str">
            <v>ADMINISTRATIVE &amp; MANAGEMENT EXPENSES</v>
          </cell>
        </row>
      </sheetData>
      <sheetData sheetId="1193">
        <row r="214">
          <cell r="A214" t="str">
            <v>ADMINISTRATIVE &amp; MANAGEMENT EXPENSES</v>
          </cell>
        </row>
      </sheetData>
      <sheetData sheetId="1194">
        <row r="214">
          <cell r="A214" t="str">
            <v>ADMINISTRATIVE &amp; MANAGEMENT EXPENSES</v>
          </cell>
        </row>
      </sheetData>
      <sheetData sheetId="1195">
        <row r="214">
          <cell r="A214" t="str">
            <v>ADMINISTRATIVE &amp; MANAGEMENT EXPENSES</v>
          </cell>
        </row>
      </sheetData>
      <sheetData sheetId="1196">
        <row r="214">
          <cell r="A214" t="str">
            <v>ADMINISTRATIVE &amp; MANAGEMENT EXPENSES</v>
          </cell>
        </row>
      </sheetData>
      <sheetData sheetId="1197">
        <row r="214">
          <cell r="A214" t="str">
            <v>ADMINISTRATIVE &amp; MANAGEMENT EXPENSES</v>
          </cell>
        </row>
      </sheetData>
      <sheetData sheetId="1198">
        <row r="214">
          <cell r="A214" t="str">
            <v>ADMINISTRATIVE &amp; MANAGEMENT EXPENSES</v>
          </cell>
        </row>
      </sheetData>
      <sheetData sheetId="1199">
        <row r="214">
          <cell r="A214" t="str">
            <v>ADMINISTRATIVE &amp; MANAGEMENT EXPENSES</v>
          </cell>
        </row>
      </sheetData>
      <sheetData sheetId="1200">
        <row r="214">
          <cell r="A214" t="str">
            <v>ADMINISTRATIVE &amp; MANAGEMENT EXPENSES</v>
          </cell>
        </row>
      </sheetData>
      <sheetData sheetId="1201">
        <row r="214">
          <cell r="A214" t="str">
            <v>ADMINISTRATIVE &amp; MANAGEMENT EXPENSES</v>
          </cell>
        </row>
      </sheetData>
      <sheetData sheetId="1202">
        <row r="214">
          <cell r="A214" t="str">
            <v>ADMINISTRATIVE &amp; MANAGEMENT EXPENSES</v>
          </cell>
        </row>
      </sheetData>
      <sheetData sheetId="1203">
        <row r="214">
          <cell r="A214" t="str">
            <v>ADMINISTRATIVE &amp; MANAGEMENT EXPENSES</v>
          </cell>
        </row>
      </sheetData>
      <sheetData sheetId="1204">
        <row r="214">
          <cell r="A214" t="str">
            <v>ADMINISTRATIVE &amp; MANAGEMENT EXPENSES</v>
          </cell>
        </row>
      </sheetData>
      <sheetData sheetId="1205">
        <row r="214">
          <cell r="A214" t="str">
            <v>ADMINISTRATIVE &amp; MANAGEMENT EXPENSES</v>
          </cell>
        </row>
      </sheetData>
      <sheetData sheetId="1206">
        <row r="214">
          <cell r="A214" t="str">
            <v>ADMINISTRATIVE &amp; MANAGEMENT EXPENSES</v>
          </cell>
        </row>
      </sheetData>
      <sheetData sheetId="1207">
        <row r="214">
          <cell r="A214" t="str">
            <v>ADMINISTRATIVE &amp; MANAGEMENT EXPENSES</v>
          </cell>
        </row>
      </sheetData>
      <sheetData sheetId="1208">
        <row r="214">
          <cell r="A214" t="str">
            <v>ADMINISTRATIVE &amp; MANAGEMENT EXPENSES</v>
          </cell>
        </row>
      </sheetData>
      <sheetData sheetId="1209">
        <row r="214">
          <cell r="A214" t="str">
            <v>ADMINISTRATIVE &amp; MANAGEMENT EXPENSES</v>
          </cell>
        </row>
      </sheetData>
      <sheetData sheetId="1210">
        <row r="214">
          <cell r="A214" t="str">
            <v>ADMINISTRATIVE &amp; MANAGEMENT EXPENSES</v>
          </cell>
        </row>
      </sheetData>
      <sheetData sheetId="1211">
        <row r="214">
          <cell r="A214" t="str">
            <v>ADMINISTRATIVE &amp; MANAGEMENT EXPENSES</v>
          </cell>
        </row>
      </sheetData>
      <sheetData sheetId="1212">
        <row r="214">
          <cell r="A214" t="str">
            <v>ADMINISTRATIVE &amp; MANAGEMENT EXPENSES</v>
          </cell>
        </row>
      </sheetData>
      <sheetData sheetId="1213">
        <row r="214">
          <cell r="A214" t="str">
            <v>ADMINISTRATIVE &amp; MANAGEMENT EXPENSES</v>
          </cell>
        </row>
      </sheetData>
      <sheetData sheetId="1214">
        <row r="214">
          <cell r="A214" t="str">
            <v>ADMINISTRATIVE &amp; MANAGEMENT EXPENSES</v>
          </cell>
        </row>
      </sheetData>
      <sheetData sheetId="1215">
        <row r="214">
          <cell r="A214" t="str">
            <v>ADMINISTRATIVE &amp; MANAGEMENT EXPENSES</v>
          </cell>
        </row>
      </sheetData>
      <sheetData sheetId="1216">
        <row r="214">
          <cell r="A214" t="str">
            <v>ADMINISTRATIVE &amp; MANAGEMENT EXPENSES</v>
          </cell>
        </row>
      </sheetData>
      <sheetData sheetId="1217">
        <row r="214">
          <cell r="A214" t="str">
            <v>ADMINISTRATIVE &amp; MANAGEMENT EXPENSES</v>
          </cell>
        </row>
      </sheetData>
      <sheetData sheetId="1218">
        <row r="214">
          <cell r="A214" t="str">
            <v>ADMINISTRATIVE &amp; MANAGEMENT EXPENSES</v>
          </cell>
        </row>
      </sheetData>
      <sheetData sheetId="1219">
        <row r="214">
          <cell r="A214" t="str">
            <v>ADMINISTRATIVE &amp; MANAGEMENT EXPENSES</v>
          </cell>
        </row>
      </sheetData>
      <sheetData sheetId="1220">
        <row r="214">
          <cell r="A214" t="str">
            <v>ADMINISTRATIVE &amp; MANAGEMENT EXPENSES</v>
          </cell>
        </row>
      </sheetData>
      <sheetData sheetId="1221">
        <row r="214">
          <cell r="A214" t="str">
            <v>ADMINISTRATIVE &amp; MANAGEMENT EXPENSES</v>
          </cell>
        </row>
      </sheetData>
      <sheetData sheetId="1222">
        <row r="214">
          <cell r="A214" t="str">
            <v>ADMINISTRATIVE &amp; MANAGEMENT EXPENSES</v>
          </cell>
        </row>
      </sheetData>
      <sheetData sheetId="1223">
        <row r="214">
          <cell r="A214" t="str">
            <v>ADMINISTRATIVE &amp; MANAGEMENT EXPENSES</v>
          </cell>
        </row>
      </sheetData>
      <sheetData sheetId="1224">
        <row r="214">
          <cell r="A214" t="str">
            <v>ADMINISTRATIVE &amp; MANAGEMENT EXPENSES</v>
          </cell>
        </row>
      </sheetData>
      <sheetData sheetId="1225">
        <row r="214">
          <cell r="A214" t="str">
            <v>ADMINISTRATIVE &amp; MANAGEMENT EXPENSES</v>
          </cell>
        </row>
      </sheetData>
      <sheetData sheetId="1226">
        <row r="214">
          <cell r="A214" t="str">
            <v>ADMINISTRATIVE &amp; MANAGEMENT EXPENSES</v>
          </cell>
        </row>
      </sheetData>
      <sheetData sheetId="1227">
        <row r="214">
          <cell r="A214" t="str">
            <v>ADMINISTRATIVE &amp; MANAGEMENT EXPENSES</v>
          </cell>
        </row>
      </sheetData>
      <sheetData sheetId="1228">
        <row r="214">
          <cell r="A214" t="str">
            <v>ADMINISTRATIVE &amp; MANAGEMENT EXPENSES</v>
          </cell>
        </row>
      </sheetData>
      <sheetData sheetId="1229">
        <row r="214">
          <cell r="A214" t="str">
            <v>ADMINISTRATIVE &amp; MANAGEMENT EXPENSES</v>
          </cell>
        </row>
      </sheetData>
      <sheetData sheetId="1230">
        <row r="214">
          <cell r="A214" t="str">
            <v>ADMINISTRATIVE &amp; MANAGEMENT EXPENSES</v>
          </cell>
        </row>
      </sheetData>
      <sheetData sheetId="1231">
        <row r="214">
          <cell r="A214" t="str">
            <v>ADMINISTRATIVE &amp; MANAGEMENT EXPENSES</v>
          </cell>
        </row>
      </sheetData>
      <sheetData sheetId="1232">
        <row r="214">
          <cell r="A214" t="str">
            <v>ADMINISTRATIVE &amp; MANAGEMENT EXPENSES</v>
          </cell>
        </row>
      </sheetData>
      <sheetData sheetId="1233">
        <row r="214">
          <cell r="A214" t="str">
            <v>ADMINISTRATIVE &amp; MANAGEMENT EXPENSES</v>
          </cell>
        </row>
      </sheetData>
      <sheetData sheetId="1234">
        <row r="214">
          <cell r="A214" t="str">
            <v>ADMINISTRATIVE &amp; MANAGEMENT EXPENSES</v>
          </cell>
        </row>
      </sheetData>
      <sheetData sheetId="1235">
        <row r="214">
          <cell r="A214" t="str">
            <v>ADMINISTRATIVE &amp; MANAGEMENT EXPENSES</v>
          </cell>
        </row>
      </sheetData>
      <sheetData sheetId="1236">
        <row r="214">
          <cell r="A214" t="str">
            <v>ADMINISTRATIVE &amp; MANAGEMENT EXPENSES</v>
          </cell>
        </row>
      </sheetData>
      <sheetData sheetId="1237">
        <row r="214">
          <cell r="A214" t="str">
            <v>ADMINISTRATIVE &amp; MANAGEMENT EXPENSES</v>
          </cell>
        </row>
      </sheetData>
      <sheetData sheetId="1238">
        <row r="214">
          <cell r="A214" t="str">
            <v>ADMINISTRATIVE &amp; MANAGEMENT EXPENSES</v>
          </cell>
        </row>
      </sheetData>
      <sheetData sheetId="1239">
        <row r="214">
          <cell r="A214" t="str">
            <v>ADMINISTRATIVE &amp; MANAGEMENT EXPENSES</v>
          </cell>
        </row>
      </sheetData>
      <sheetData sheetId="1240">
        <row r="214">
          <cell r="A214" t="str">
            <v>ADMINISTRATIVE &amp; MANAGEMENT EXPENSES</v>
          </cell>
        </row>
      </sheetData>
      <sheetData sheetId="1241">
        <row r="214">
          <cell r="A214" t="str">
            <v>ADMINISTRATIVE &amp; MANAGEMENT EXPENSES</v>
          </cell>
        </row>
      </sheetData>
      <sheetData sheetId="1242">
        <row r="214">
          <cell r="A214" t="str">
            <v>ADMINISTRATIVE &amp; MANAGEMENT EXPENSES</v>
          </cell>
        </row>
      </sheetData>
      <sheetData sheetId="1243">
        <row r="214">
          <cell r="A214" t="str">
            <v>ADMINISTRATIVE &amp; MANAGEMENT EXPENSES</v>
          </cell>
        </row>
      </sheetData>
      <sheetData sheetId="1244">
        <row r="214">
          <cell r="A214" t="str">
            <v>ADMINISTRATIVE &amp; MANAGEMENT EXPENSES</v>
          </cell>
        </row>
      </sheetData>
      <sheetData sheetId="1245">
        <row r="214">
          <cell r="A214" t="str">
            <v>ADMINISTRATIVE &amp; MANAGEMENT EXPENSES</v>
          </cell>
        </row>
      </sheetData>
      <sheetData sheetId="1246">
        <row r="214">
          <cell r="A214" t="str">
            <v>ADMINISTRATIVE &amp; MANAGEMENT EXPENSES</v>
          </cell>
        </row>
      </sheetData>
      <sheetData sheetId="1247">
        <row r="214">
          <cell r="A214" t="str">
            <v>ADMINISTRATIVE &amp; MANAGEMENT EXPENSES</v>
          </cell>
        </row>
      </sheetData>
      <sheetData sheetId="1248">
        <row r="214">
          <cell r="A214" t="str">
            <v>ADMINISTRATIVE &amp; MANAGEMENT EXPENSES</v>
          </cell>
        </row>
      </sheetData>
      <sheetData sheetId="1249">
        <row r="214">
          <cell r="A214" t="str">
            <v>ADMINISTRATIVE &amp; MANAGEMENT EXPENSES</v>
          </cell>
        </row>
      </sheetData>
      <sheetData sheetId="1250">
        <row r="214">
          <cell r="A214" t="str">
            <v>ADMINISTRATIVE &amp; MANAGEMENT EXPENSES</v>
          </cell>
        </row>
      </sheetData>
      <sheetData sheetId="1251">
        <row r="214">
          <cell r="A214" t="str">
            <v>ADMINISTRATIVE &amp; MANAGEMENT EXPENSES</v>
          </cell>
        </row>
      </sheetData>
      <sheetData sheetId="1252">
        <row r="214">
          <cell r="A214" t="str">
            <v>ADMINISTRATIVE &amp; MANAGEMENT EXPENSES</v>
          </cell>
        </row>
      </sheetData>
      <sheetData sheetId="1253">
        <row r="214">
          <cell r="A214" t="str">
            <v>ADMINISTRATIVE &amp; MANAGEMENT EXPENSES</v>
          </cell>
        </row>
      </sheetData>
      <sheetData sheetId="1254">
        <row r="214">
          <cell r="A214" t="str">
            <v>ADMINISTRATIVE &amp; MANAGEMENT EXPENSES</v>
          </cell>
        </row>
      </sheetData>
      <sheetData sheetId="1255">
        <row r="214">
          <cell r="A214" t="str">
            <v>ADMINISTRATIVE &amp; MANAGEMENT EXPENSES</v>
          </cell>
        </row>
      </sheetData>
      <sheetData sheetId="1256">
        <row r="214">
          <cell r="A214" t="str">
            <v>ADMINISTRATIVE &amp; MANAGEMENT EXPENSES</v>
          </cell>
        </row>
      </sheetData>
      <sheetData sheetId="1257">
        <row r="214">
          <cell r="A214" t="str">
            <v>ADMINISTRATIVE &amp; MANAGEMENT EXPENSES</v>
          </cell>
        </row>
      </sheetData>
      <sheetData sheetId="1258">
        <row r="214">
          <cell r="A214" t="str">
            <v>ADMINISTRATIVE &amp; MANAGEMENT EXPENSES</v>
          </cell>
        </row>
      </sheetData>
      <sheetData sheetId="1259">
        <row r="214">
          <cell r="A214" t="str">
            <v>ADMINISTRATIVE &amp; MANAGEMENT EXPENSES</v>
          </cell>
        </row>
      </sheetData>
      <sheetData sheetId="1260">
        <row r="214">
          <cell r="A214" t="str">
            <v>ADMINISTRATIVE &amp; MANAGEMENT EXPENSES</v>
          </cell>
        </row>
      </sheetData>
      <sheetData sheetId="1261">
        <row r="214">
          <cell r="A214" t="str">
            <v>ADMINISTRATIVE &amp; MANAGEMENT EXPENSES</v>
          </cell>
        </row>
      </sheetData>
      <sheetData sheetId="1262">
        <row r="214">
          <cell r="A214" t="str">
            <v>ADMINISTRATIVE &amp; MANAGEMENT EXPENSES</v>
          </cell>
        </row>
      </sheetData>
      <sheetData sheetId="1263">
        <row r="214">
          <cell r="A214" t="str">
            <v>ADMINISTRATIVE &amp; MANAGEMENT EXPENSES</v>
          </cell>
        </row>
      </sheetData>
      <sheetData sheetId="1264">
        <row r="214">
          <cell r="A214" t="str">
            <v>ADMINISTRATIVE &amp; MANAGEMENT EXPENSES</v>
          </cell>
        </row>
      </sheetData>
      <sheetData sheetId="1265">
        <row r="214">
          <cell r="A214" t="str">
            <v>ADMINISTRATIVE &amp; MANAGEMENT EXPENSES</v>
          </cell>
        </row>
      </sheetData>
      <sheetData sheetId="1266">
        <row r="214">
          <cell r="A214" t="str">
            <v>ADMINISTRATIVE &amp; MANAGEMENT EXPENSES</v>
          </cell>
        </row>
      </sheetData>
      <sheetData sheetId="1267">
        <row r="214">
          <cell r="A214" t="str">
            <v>ADMINISTRATIVE &amp; MANAGEMENT EXPENSES</v>
          </cell>
        </row>
      </sheetData>
      <sheetData sheetId="1268">
        <row r="214">
          <cell r="A214" t="str">
            <v>ADMINISTRATIVE &amp; MANAGEMENT EXPENSES</v>
          </cell>
        </row>
      </sheetData>
      <sheetData sheetId="1269">
        <row r="214">
          <cell r="A214" t="str">
            <v>ADMINISTRATIVE &amp; MANAGEMENT EXPENSES</v>
          </cell>
        </row>
      </sheetData>
      <sheetData sheetId="1270">
        <row r="214">
          <cell r="A214" t="str">
            <v>ADMINISTRATIVE &amp; MANAGEMENT EXPENSES</v>
          </cell>
        </row>
      </sheetData>
      <sheetData sheetId="1271">
        <row r="214">
          <cell r="A214" t="str">
            <v>ADMINISTRATIVE &amp; MANAGEMENT EXPENSES</v>
          </cell>
        </row>
      </sheetData>
      <sheetData sheetId="1272">
        <row r="214">
          <cell r="A214" t="str">
            <v>ADMINISTRATIVE &amp; MANAGEMENT EXPENSES</v>
          </cell>
        </row>
      </sheetData>
      <sheetData sheetId="1273">
        <row r="214">
          <cell r="A214" t="str">
            <v>ADMINISTRATIVE &amp; MANAGEMENT EXPENSES</v>
          </cell>
        </row>
      </sheetData>
      <sheetData sheetId="1274">
        <row r="214">
          <cell r="A214" t="str">
            <v>ADMINISTRATIVE &amp; MANAGEMENT EXPENSES</v>
          </cell>
        </row>
      </sheetData>
      <sheetData sheetId="1275">
        <row r="214">
          <cell r="A214" t="str">
            <v>ADMINISTRATIVE &amp; MANAGEMENT EXPENSES</v>
          </cell>
        </row>
      </sheetData>
      <sheetData sheetId="1276">
        <row r="214">
          <cell r="A214" t="str">
            <v>ADMINISTRATIVE &amp; MANAGEMENT EXPENSES</v>
          </cell>
        </row>
      </sheetData>
      <sheetData sheetId="1277">
        <row r="214">
          <cell r="A214" t="str">
            <v>ADMINISTRATIVE &amp; MANAGEMENT EXPENSES</v>
          </cell>
        </row>
      </sheetData>
      <sheetData sheetId="1278">
        <row r="214">
          <cell r="A214" t="str">
            <v>ADMINISTRATIVE &amp; MANAGEMENT EXPENSES</v>
          </cell>
        </row>
      </sheetData>
      <sheetData sheetId="1279">
        <row r="214">
          <cell r="A214" t="str">
            <v>ADMINISTRATIVE &amp; MANAGEMENT EXPENSES</v>
          </cell>
        </row>
      </sheetData>
      <sheetData sheetId="1280">
        <row r="214">
          <cell r="A214" t="str">
            <v>ADMINISTRATIVE &amp; MANAGEMENT EXPENSES</v>
          </cell>
        </row>
      </sheetData>
      <sheetData sheetId="1281">
        <row r="214">
          <cell r="A214" t="str">
            <v>ADMINISTRATIVE &amp; MANAGEMENT EXPENSES</v>
          </cell>
        </row>
      </sheetData>
      <sheetData sheetId="1282">
        <row r="214">
          <cell r="A214" t="str">
            <v>ADMINISTRATIVE &amp; MANAGEMENT EXPENSES</v>
          </cell>
        </row>
      </sheetData>
      <sheetData sheetId="1283">
        <row r="214">
          <cell r="A214" t="str">
            <v>ADMINISTRATIVE &amp; MANAGEMENT EXPENSES</v>
          </cell>
        </row>
      </sheetData>
      <sheetData sheetId="1284">
        <row r="214">
          <cell r="A214" t="str">
            <v>ADMINISTRATIVE &amp; MANAGEMENT EXPENSES</v>
          </cell>
        </row>
      </sheetData>
      <sheetData sheetId="1285">
        <row r="214">
          <cell r="A214" t="str">
            <v>ADMINISTRATIVE &amp; MANAGEMENT EXPENSES</v>
          </cell>
        </row>
      </sheetData>
      <sheetData sheetId="1286">
        <row r="214">
          <cell r="A214" t="str">
            <v>ADMINISTRATIVE &amp; MANAGEMENT EXPENSES</v>
          </cell>
        </row>
      </sheetData>
      <sheetData sheetId="1287">
        <row r="214">
          <cell r="A214" t="str">
            <v>ADMINISTRATIVE &amp; MANAGEMENT EXPENSES</v>
          </cell>
        </row>
      </sheetData>
      <sheetData sheetId="1288">
        <row r="214">
          <cell r="A214" t="str">
            <v>ADMINISTRATIVE &amp; MANAGEMENT EXPENSES</v>
          </cell>
        </row>
      </sheetData>
      <sheetData sheetId="1289">
        <row r="214">
          <cell r="A214" t="str">
            <v>ADMINISTRATIVE &amp; MANAGEMENT EXPENSES</v>
          </cell>
        </row>
      </sheetData>
      <sheetData sheetId="1290">
        <row r="214">
          <cell r="A214" t="str">
            <v>ADMINISTRATIVE &amp; MANAGEMENT EXPENSES</v>
          </cell>
        </row>
      </sheetData>
      <sheetData sheetId="1291">
        <row r="214">
          <cell r="A214" t="str">
            <v>ADMINISTRATIVE &amp; MANAGEMENT EXPENSES</v>
          </cell>
        </row>
      </sheetData>
      <sheetData sheetId="1292">
        <row r="214">
          <cell r="A214" t="str">
            <v>ADMINISTRATIVE &amp; MANAGEMENT EXPENSES</v>
          </cell>
        </row>
      </sheetData>
      <sheetData sheetId="1293">
        <row r="214">
          <cell r="A214" t="str">
            <v>ADMINISTRATIVE &amp; MANAGEMENT EXPENSES</v>
          </cell>
        </row>
      </sheetData>
      <sheetData sheetId="1294">
        <row r="214">
          <cell r="A214" t="str">
            <v>ADMINISTRATIVE &amp; MANAGEMENT EXPENSES</v>
          </cell>
        </row>
      </sheetData>
      <sheetData sheetId="1295">
        <row r="214">
          <cell r="A214" t="str">
            <v>ADMINISTRATIVE &amp; MANAGEMENT EXPENSES</v>
          </cell>
        </row>
      </sheetData>
      <sheetData sheetId="1296">
        <row r="214">
          <cell r="A214" t="str">
            <v>ADMINISTRATIVE &amp; MANAGEMENT EXPENSES</v>
          </cell>
        </row>
      </sheetData>
      <sheetData sheetId="1297">
        <row r="214">
          <cell r="A214" t="str">
            <v>ADMINISTRATIVE &amp; MANAGEMENT EXPENSES</v>
          </cell>
        </row>
      </sheetData>
      <sheetData sheetId="1298">
        <row r="214">
          <cell r="A214" t="str">
            <v>ADMINISTRATIVE &amp; MANAGEMENT EXPENSES</v>
          </cell>
        </row>
      </sheetData>
      <sheetData sheetId="1299">
        <row r="214">
          <cell r="A214" t="str">
            <v>ADMINISTRATIVE &amp; MANAGEMENT EXPENSES</v>
          </cell>
        </row>
      </sheetData>
      <sheetData sheetId="1300">
        <row r="214">
          <cell r="A214" t="str">
            <v>ADMINISTRATIVE &amp; MANAGEMENT EXPENSES</v>
          </cell>
        </row>
      </sheetData>
      <sheetData sheetId="1301">
        <row r="214">
          <cell r="A214" t="str">
            <v>ADMINISTRATIVE &amp; MANAGEMENT EXPENSES</v>
          </cell>
        </row>
      </sheetData>
      <sheetData sheetId="1302">
        <row r="214">
          <cell r="A214" t="str">
            <v>ADMINISTRATIVE &amp; MANAGEMENT EXPENSES</v>
          </cell>
        </row>
      </sheetData>
      <sheetData sheetId="1303">
        <row r="214">
          <cell r="A214" t="str">
            <v>ADMINISTRATIVE &amp; MANAGEMENT EXPENSES</v>
          </cell>
        </row>
      </sheetData>
      <sheetData sheetId="1304">
        <row r="214">
          <cell r="A214" t="str">
            <v>ADMINISTRATIVE &amp; MANAGEMENT EXPENSES</v>
          </cell>
        </row>
      </sheetData>
      <sheetData sheetId="1305">
        <row r="214">
          <cell r="A214" t="str">
            <v>ADMINISTRATIVE &amp; MANAGEMENT EXPENSES</v>
          </cell>
        </row>
      </sheetData>
      <sheetData sheetId="1306">
        <row r="214">
          <cell r="A214" t="str">
            <v>ADMINISTRATIVE &amp; MANAGEMENT EXPENSES</v>
          </cell>
        </row>
      </sheetData>
      <sheetData sheetId="1307">
        <row r="214">
          <cell r="A214" t="str">
            <v>ADMINISTRATIVE &amp; MANAGEMENT EXPENSES</v>
          </cell>
        </row>
      </sheetData>
      <sheetData sheetId="1308">
        <row r="214">
          <cell r="A214" t="str">
            <v>ADMINISTRATIVE &amp; MANAGEMENT EXPENSES</v>
          </cell>
        </row>
      </sheetData>
      <sheetData sheetId="1309">
        <row r="214">
          <cell r="A214" t="str">
            <v>ADMINISTRATIVE &amp; MANAGEMENT EXPENSES</v>
          </cell>
        </row>
      </sheetData>
      <sheetData sheetId="1310">
        <row r="214">
          <cell r="A214" t="str">
            <v>ADMINISTRATIVE &amp; MANAGEMENT EXPENSES</v>
          </cell>
        </row>
      </sheetData>
      <sheetData sheetId="1311">
        <row r="214">
          <cell r="A214" t="str">
            <v>ADMINISTRATIVE &amp; MANAGEMENT EXPENSES</v>
          </cell>
        </row>
      </sheetData>
      <sheetData sheetId="1312">
        <row r="214">
          <cell r="A214" t="str">
            <v>ADMINISTRATIVE &amp; MANAGEMENT EXPENSES</v>
          </cell>
        </row>
      </sheetData>
      <sheetData sheetId="1313">
        <row r="214">
          <cell r="A214" t="str">
            <v>ADMINISTRATIVE &amp; MANAGEMENT EXPENSES</v>
          </cell>
        </row>
      </sheetData>
      <sheetData sheetId="1314">
        <row r="214">
          <cell r="A214" t="str">
            <v>ADMINISTRATIVE &amp; MANAGEMENT EXPENSES</v>
          </cell>
        </row>
      </sheetData>
      <sheetData sheetId="1315">
        <row r="214">
          <cell r="A214" t="str">
            <v>ADMINISTRATIVE &amp; MANAGEMENT EXPENSES</v>
          </cell>
        </row>
      </sheetData>
      <sheetData sheetId="1316">
        <row r="214">
          <cell r="A214" t="str">
            <v>ADMINISTRATIVE &amp; MANAGEMENT EXPENSES</v>
          </cell>
        </row>
      </sheetData>
      <sheetData sheetId="1317">
        <row r="214">
          <cell r="A214" t="str">
            <v>ADMINISTRATIVE &amp; MANAGEMENT EXPENSES</v>
          </cell>
        </row>
      </sheetData>
      <sheetData sheetId="1318">
        <row r="214">
          <cell r="A214" t="str">
            <v>ADMINISTRATIVE &amp; MANAGEMENT EXPENSES</v>
          </cell>
        </row>
      </sheetData>
      <sheetData sheetId="1319">
        <row r="214">
          <cell r="A214" t="str">
            <v>ADMINISTRATIVE &amp; MANAGEMENT EXPENSES</v>
          </cell>
        </row>
      </sheetData>
      <sheetData sheetId="1320">
        <row r="214">
          <cell r="A214" t="str">
            <v>ADMINISTRATIVE &amp; MANAGEMENT EXPENSES</v>
          </cell>
        </row>
      </sheetData>
      <sheetData sheetId="1321">
        <row r="214">
          <cell r="A214" t="str">
            <v>ADMINISTRATIVE &amp; MANAGEMENT EXPENSES</v>
          </cell>
        </row>
      </sheetData>
      <sheetData sheetId="1322">
        <row r="214">
          <cell r="A214" t="str">
            <v>ADMINISTRATIVE &amp; MANAGEMENT EXPENSES</v>
          </cell>
        </row>
      </sheetData>
      <sheetData sheetId="1323">
        <row r="214">
          <cell r="A214" t="str">
            <v>ADMINISTRATIVE &amp; MANAGEMENT EXPENSES</v>
          </cell>
        </row>
      </sheetData>
      <sheetData sheetId="1324">
        <row r="214">
          <cell r="A214" t="str">
            <v>ADMINISTRATIVE &amp; MANAGEMENT EXPENSES</v>
          </cell>
        </row>
      </sheetData>
      <sheetData sheetId="1325">
        <row r="214">
          <cell r="A214" t="str">
            <v>ADMINISTRATIVE &amp; MANAGEMENT EXPENSES</v>
          </cell>
        </row>
      </sheetData>
      <sheetData sheetId="1326">
        <row r="214">
          <cell r="A214" t="str">
            <v>ADMINISTRATIVE &amp; MANAGEMENT EXPENSES</v>
          </cell>
        </row>
      </sheetData>
      <sheetData sheetId="1327">
        <row r="214">
          <cell r="A214" t="str">
            <v>ADMINISTRATIVE &amp; MANAGEMENT EXPENSES</v>
          </cell>
        </row>
      </sheetData>
      <sheetData sheetId="1328">
        <row r="214">
          <cell r="A214" t="str">
            <v>ADMINISTRATIVE &amp; MANAGEMENT EXPENSES</v>
          </cell>
        </row>
      </sheetData>
      <sheetData sheetId="1329">
        <row r="214">
          <cell r="A214" t="str">
            <v>ADMINISTRATIVE &amp; MANAGEMENT EXPENSES</v>
          </cell>
        </row>
      </sheetData>
      <sheetData sheetId="1330">
        <row r="214">
          <cell r="A214" t="str">
            <v>ADMINISTRATIVE &amp; MANAGEMENT EXPENSES</v>
          </cell>
        </row>
      </sheetData>
      <sheetData sheetId="1331">
        <row r="214">
          <cell r="A214" t="str">
            <v>ADMINISTRATIVE &amp; MANAGEMENT EXPENSES</v>
          </cell>
        </row>
      </sheetData>
      <sheetData sheetId="1332">
        <row r="214">
          <cell r="A214" t="str">
            <v>ADMINISTRATIVE &amp; MANAGEMENT EXPENSES</v>
          </cell>
        </row>
      </sheetData>
      <sheetData sheetId="1333">
        <row r="214">
          <cell r="A214" t="str">
            <v>ADMINISTRATIVE &amp; MANAGEMENT EXPENSES</v>
          </cell>
        </row>
      </sheetData>
      <sheetData sheetId="1334">
        <row r="214">
          <cell r="A214" t="str">
            <v>ADMINISTRATIVE &amp; MANAGEMENT EXPENSES</v>
          </cell>
        </row>
      </sheetData>
      <sheetData sheetId="1335">
        <row r="214">
          <cell r="A214" t="str">
            <v>ADMINISTRATIVE &amp; MANAGEMENT EXPENSES</v>
          </cell>
        </row>
      </sheetData>
      <sheetData sheetId="1336">
        <row r="214">
          <cell r="A214" t="str">
            <v>ADMINISTRATIVE &amp; MANAGEMENT EXPENSES</v>
          </cell>
        </row>
      </sheetData>
      <sheetData sheetId="1337">
        <row r="214">
          <cell r="A214" t="str">
            <v>ADMINISTRATIVE &amp; MANAGEMENT EXPENSES</v>
          </cell>
        </row>
      </sheetData>
      <sheetData sheetId="1338">
        <row r="214">
          <cell r="A214" t="str">
            <v>ADMINISTRATIVE &amp; MANAGEMENT EXPENSES</v>
          </cell>
        </row>
      </sheetData>
      <sheetData sheetId="1339">
        <row r="214">
          <cell r="A214" t="str">
            <v>ADMINISTRATIVE &amp; MANAGEMENT EXPENSES</v>
          </cell>
        </row>
      </sheetData>
      <sheetData sheetId="1340">
        <row r="214">
          <cell r="A214" t="str">
            <v>ADMINISTRATIVE &amp; MANAGEMENT EXPENSES</v>
          </cell>
        </row>
      </sheetData>
      <sheetData sheetId="1341">
        <row r="214">
          <cell r="A214" t="str">
            <v>ADMINISTRATIVE &amp; MANAGEMENT EXPENSES</v>
          </cell>
        </row>
      </sheetData>
      <sheetData sheetId="1342">
        <row r="214">
          <cell r="A214" t="str">
            <v>ADMINISTRATIVE &amp; MANAGEMENT EXPENSES</v>
          </cell>
        </row>
      </sheetData>
      <sheetData sheetId="1343">
        <row r="214">
          <cell r="A214" t="str">
            <v>ADMINISTRATIVE &amp; MANAGEMENT EXPENSES</v>
          </cell>
        </row>
      </sheetData>
      <sheetData sheetId="1344">
        <row r="214">
          <cell r="A214" t="str">
            <v>ADMINISTRATIVE &amp; MANAGEMENT EXPENSES</v>
          </cell>
        </row>
      </sheetData>
      <sheetData sheetId="1345">
        <row r="214">
          <cell r="A214" t="str">
            <v>ADMINISTRATIVE &amp; MANAGEMENT EXPENSES</v>
          </cell>
        </row>
      </sheetData>
      <sheetData sheetId="1346">
        <row r="214">
          <cell r="A214" t="str">
            <v>ADMINISTRATIVE &amp; MANAGEMENT EXPENSES</v>
          </cell>
        </row>
      </sheetData>
      <sheetData sheetId="1347">
        <row r="214">
          <cell r="A214" t="str">
            <v>ADMINISTRATIVE &amp; MANAGEMENT EXPENSES</v>
          </cell>
        </row>
      </sheetData>
      <sheetData sheetId="1348">
        <row r="214">
          <cell r="A214" t="str">
            <v>ADMINISTRATIVE &amp; MANAGEMENT EXPENSES</v>
          </cell>
        </row>
      </sheetData>
      <sheetData sheetId="1349">
        <row r="214">
          <cell r="A214" t="str">
            <v>ADMINISTRATIVE &amp; MANAGEMENT EXPENSES</v>
          </cell>
        </row>
      </sheetData>
      <sheetData sheetId="1350">
        <row r="214">
          <cell r="A214" t="str">
            <v>ADMINISTRATIVE &amp; MANAGEMENT EXPENSES</v>
          </cell>
        </row>
      </sheetData>
      <sheetData sheetId="1351">
        <row r="214">
          <cell r="A214" t="str">
            <v>ADMINISTRATIVE &amp; MANAGEMENT EXPENSES</v>
          </cell>
        </row>
      </sheetData>
      <sheetData sheetId="1352">
        <row r="214">
          <cell r="A214" t="str">
            <v>ADMINISTRATIVE &amp; MANAGEMENT EXPENSES</v>
          </cell>
        </row>
      </sheetData>
      <sheetData sheetId="1353">
        <row r="214">
          <cell r="A214" t="str">
            <v>ADMINISTRATIVE &amp; MANAGEMENT EXPENSES</v>
          </cell>
        </row>
      </sheetData>
      <sheetData sheetId="1354">
        <row r="214">
          <cell r="A214" t="str">
            <v>ADMINISTRATIVE &amp; MANAGEMENT EXPENSES</v>
          </cell>
        </row>
      </sheetData>
      <sheetData sheetId="1355">
        <row r="214">
          <cell r="A214" t="str">
            <v>ADMINISTRATIVE &amp; MANAGEMENT EXPENSES</v>
          </cell>
        </row>
      </sheetData>
      <sheetData sheetId="1356">
        <row r="214">
          <cell r="A214" t="str">
            <v>ADMINISTRATIVE &amp; MANAGEMENT EXPENSES</v>
          </cell>
        </row>
      </sheetData>
      <sheetData sheetId="1357">
        <row r="214">
          <cell r="A214" t="str">
            <v>ADMINISTRATIVE &amp; MANAGEMENT EXPENSES</v>
          </cell>
        </row>
      </sheetData>
      <sheetData sheetId="1358">
        <row r="214">
          <cell r="A214" t="str">
            <v>ADMINISTRATIVE &amp; MANAGEMENT EXPENSES</v>
          </cell>
        </row>
      </sheetData>
      <sheetData sheetId="1359">
        <row r="214">
          <cell r="A214" t="str">
            <v>ADMINISTRATIVE &amp; MANAGEMENT EXPENSES</v>
          </cell>
        </row>
      </sheetData>
      <sheetData sheetId="1360">
        <row r="214">
          <cell r="A214" t="str">
            <v>ADMINISTRATIVE &amp; MANAGEMENT EXPENSES</v>
          </cell>
        </row>
      </sheetData>
      <sheetData sheetId="1361">
        <row r="214">
          <cell r="A214" t="str">
            <v>ADMINISTRATIVE &amp; MANAGEMENT EXPENSES</v>
          </cell>
        </row>
      </sheetData>
      <sheetData sheetId="1362">
        <row r="214">
          <cell r="A214" t="str">
            <v>ADMINISTRATIVE &amp; MANAGEMENT EXPENSES</v>
          </cell>
        </row>
      </sheetData>
      <sheetData sheetId="1363">
        <row r="214">
          <cell r="A214" t="str">
            <v>ADMINISTRATIVE &amp; MANAGEMENT EXPENSES</v>
          </cell>
        </row>
      </sheetData>
      <sheetData sheetId="1364">
        <row r="214">
          <cell r="A214" t="str">
            <v>ADMINISTRATIVE &amp; MANAGEMENT EXPENSES</v>
          </cell>
        </row>
      </sheetData>
      <sheetData sheetId="1365">
        <row r="214">
          <cell r="A214" t="str">
            <v>ADMINISTRATIVE &amp; MANAGEMENT EXPENSES</v>
          </cell>
        </row>
      </sheetData>
      <sheetData sheetId="1366">
        <row r="214">
          <cell r="A214" t="str">
            <v>ADMINISTRATIVE &amp; MANAGEMENT EXPENSES</v>
          </cell>
        </row>
      </sheetData>
      <sheetData sheetId="1367">
        <row r="214">
          <cell r="A214" t="str">
            <v>ADMINISTRATIVE &amp; MANAGEMENT EXPENSES</v>
          </cell>
        </row>
      </sheetData>
      <sheetData sheetId="1368">
        <row r="214">
          <cell r="A214" t="str">
            <v>ADMINISTRATIVE &amp; MANAGEMENT EXPENSES</v>
          </cell>
        </row>
      </sheetData>
      <sheetData sheetId="1369">
        <row r="214">
          <cell r="A214" t="str">
            <v>ADMINISTRATIVE &amp; MANAGEMENT EXPENSES</v>
          </cell>
        </row>
      </sheetData>
      <sheetData sheetId="1370">
        <row r="214">
          <cell r="A214" t="str">
            <v>ADMINISTRATIVE &amp; MANAGEMENT EXPENSES</v>
          </cell>
        </row>
      </sheetData>
      <sheetData sheetId="1371">
        <row r="214">
          <cell r="A214" t="str">
            <v>ADMINISTRATIVE &amp; MANAGEMENT EXPENSES</v>
          </cell>
        </row>
      </sheetData>
      <sheetData sheetId="1372">
        <row r="214">
          <cell r="A214" t="str">
            <v>ADMINISTRATIVE &amp; MANAGEMENT EXPENSES</v>
          </cell>
        </row>
      </sheetData>
      <sheetData sheetId="1373">
        <row r="214">
          <cell r="A214" t="str">
            <v>ADMINISTRATIVE &amp; MANAGEMENT EXPENSES</v>
          </cell>
        </row>
      </sheetData>
      <sheetData sheetId="1374">
        <row r="214">
          <cell r="A214" t="str">
            <v>ADMINISTRATIVE &amp; MANAGEMENT EXPENSES</v>
          </cell>
        </row>
      </sheetData>
      <sheetData sheetId="1375">
        <row r="214">
          <cell r="A214" t="str">
            <v>ADMINISTRATIVE &amp; MANAGEMENT EXPENSES</v>
          </cell>
        </row>
      </sheetData>
      <sheetData sheetId="1376">
        <row r="214">
          <cell r="A214" t="str">
            <v>ADMINISTRATIVE &amp; MANAGEMENT EXPENSES</v>
          </cell>
        </row>
      </sheetData>
      <sheetData sheetId="1377">
        <row r="214">
          <cell r="A214" t="str">
            <v>ADMINISTRATIVE &amp; MANAGEMENT EXPENSES</v>
          </cell>
        </row>
      </sheetData>
      <sheetData sheetId="1378">
        <row r="214">
          <cell r="A214" t="str">
            <v>ADMINISTRATIVE &amp; MANAGEMENT EXPENSES</v>
          </cell>
        </row>
      </sheetData>
      <sheetData sheetId="1379">
        <row r="214">
          <cell r="A214" t="str">
            <v>ADMINISTRATIVE &amp; MANAGEMENT EXPENSES</v>
          </cell>
        </row>
      </sheetData>
      <sheetData sheetId="1380">
        <row r="214">
          <cell r="A214" t="str">
            <v>ADMINISTRATIVE &amp; MANAGEMENT EXPENSES</v>
          </cell>
        </row>
      </sheetData>
      <sheetData sheetId="1381">
        <row r="214">
          <cell r="A214" t="str">
            <v>ADMINISTRATIVE &amp; MANAGEMENT EXPENSES</v>
          </cell>
        </row>
      </sheetData>
      <sheetData sheetId="1382">
        <row r="214">
          <cell r="A214" t="str">
            <v>ADMINISTRATIVE &amp; MANAGEMENT EXPENSES</v>
          </cell>
        </row>
      </sheetData>
      <sheetData sheetId="1383">
        <row r="214">
          <cell r="A214" t="str">
            <v>ADMINISTRATIVE &amp; MANAGEMENT EXPENSES</v>
          </cell>
        </row>
      </sheetData>
      <sheetData sheetId="1384">
        <row r="214">
          <cell r="A214" t="str">
            <v>ADMINISTRATIVE &amp; MANAGEMENT EXPENSES</v>
          </cell>
        </row>
      </sheetData>
      <sheetData sheetId="1385">
        <row r="214">
          <cell r="A214" t="str">
            <v>ADMINISTRATIVE &amp; MANAGEMENT EXPENSES</v>
          </cell>
        </row>
      </sheetData>
      <sheetData sheetId="1386">
        <row r="214">
          <cell r="A214" t="str">
            <v>ADMINISTRATIVE &amp; MANAGEMENT EXPENSES</v>
          </cell>
        </row>
      </sheetData>
      <sheetData sheetId="1387">
        <row r="214">
          <cell r="A214" t="str">
            <v>ADMINISTRATIVE &amp; MANAGEMENT EXPENSES</v>
          </cell>
        </row>
      </sheetData>
      <sheetData sheetId="1388">
        <row r="214">
          <cell r="A214" t="str">
            <v>ADMINISTRATIVE &amp; MANAGEMENT EXPENSES</v>
          </cell>
        </row>
      </sheetData>
      <sheetData sheetId="1389">
        <row r="214">
          <cell r="A214" t="str">
            <v>ADMINISTRATIVE &amp; MANAGEMENT EXPENSES</v>
          </cell>
        </row>
      </sheetData>
      <sheetData sheetId="1390">
        <row r="214">
          <cell r="A214" t="str">
            <v>ADMINISTRATIVE &amp; MANAGEMENT EXPENSES</v>
          </cell>
        </row>
      </sheetData>
      <sheetData sheetId="1391">
        <row r="214">
          <cell r="A214" t="str">
            <v>ADMINISTRATIVE &amp; MANAGEMENT EXPENSES</v>
          </cell>
        </row>
      </sheetData>
      <sheetData sheetId="1392">
        <row r="214">
          <cell r="A214" t="str">
            <v>ADMINISTRATIVE &amp; MANAGEMENT EXPENSES</v>
          </cell>
        </row>
      </sheetData>
      <sheetData sheetId="1393">
        <row r="214">
          <cell r="A214" t="str">
            <v>ADMINISTRATIVE &amp; MANAGEMENT EXPENSES</v>
          </cell>
        </row>
      </sheetData>
      <sheetData sheetId="1394">
        <row r="214">
          <cell r="A214" t="str">
            <v>ADMINISTRATIVE &amp; MANAGEMENT EXPENSES</v>
          </cell>
        </row>
      </sheetData>
      <sheetData sheetId="1395">
        <row r="214">
          <cell r="A214" t="str">
            <v>ADMINISTRATIVE &amp; MANAGEMENT EXPENSES</v>
          </cell>
        </row>
      </sheetData>
      <sheetData sheetId="1396">
        <row r="214">
          <cell r="A214" t="str">
            <v>ADMINISTRATIVE &amp; MANAGEMENT EXPENSES</v>
          </cell>
        </row>
      </sheetData>
      <sheetData sheetId="1397">
        <row r="214">
          <cell r="A214" t="str">
            <v>ADMINISTRATIVE &amp; MANAGEMENT EXPENSES</v>
          </cell>
        </row>
      </sheetData>
      <sheetData sheetId="1398">
        <row r="214">
          <cell r="A214" t="str">
            <v>ADMINISTRATIVE &amp; MANAGEMENT EXPENSES</v>
          </cell>
        </row>
      </sheetData>
      <sheetData sheetId="1399">
        <row r="214">
          <cell r="A214" t="str">
            <v>ADMINISTRATIVE &amp; MANAGEMENT EXPENSES</v>
          </cell>
        </row>
      </sheetData>
      <sheetData sheetId="1400">
        <row r="214">
          <cell r="A214" t="str">
            <v>ADMINISTRATIVE &amp; MANAGEMENT EXPENSES</v>
          </cell>
        </row>
      </sheetData>
      <sheetData sheetId="1401">
        <row r="214">
          <cell r="A214" t="str">
            <v>ADMINISTRATIVE &amp; MANAGEMENT EXPENSES</v>
          </cell>
        </row>
      </sheetData>
      <sheetData sheetId="1402">
        <row r="214">
          <cell r="A214" t="str">
            <v>ADMINISTRATIVE &amp; MANAGEMENT EXPENSES</v>
          </cell>
        </row>
      </sheetData>
      <sheetData sheetId="1403">
        <row r="214">
          <cell r="A214" t="str">
            <v>ADMINISTRATIVE &amp; MANAGEMENT EXPENSES</v>
          </cell>
        </row>
      </sheetData>
      <sheetData sheetId="1404">
        <row r="214">
          <cell r="A214" t="str">
            <v>ADMINISTRATIVE &amp; MANAGEMENT EXPENSES</v>
          </cell>
        </row>
      </sheetData>
      <sheetData sheetId="1405">
        <row r="214">
          <cell r="A214" t="str">
            <v>ADMINISTRATIVE &amp; MANAGEMENT EXPENSES</v>
          </cell>
        </row>
      </sheetData>
      <sheetData sheetId="1406">
        <row r="214">
          <cell r="A214" t="str">
            <v>ADMINISTRATIVE &amp; MANAGEMENT EXPENSES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>
        <row r="214">
          <cell r="A214" t="str">
            <v>ADMINISTRATIVE &amp; MANAGEMENT EXPENSES</v>
          </cell>
        </row>
      </sheetData>
      <sheetData sheetId="1417">
        <row r="214">
          <cell r="A214" t="str">
            <v>ADMINISTRATIVE &amp; MANAGEMENT EXPENSES</v>
          </cell>
        </row>
      </sheetData>
      <sheetData sheetId="1418">
        <row r="214">
          <cell r="A214" t="str">
            <v>ADMINISTRATIVE &amp; MANAGEMENT EXPENSES</v>
          </cell>
        </row>
      </sheetData>
      <sheetData sheetId="1419">
        <row r="214">
          <cell r="A214" t="str">
            <v>ADMINISTRATIVE &amp; MANAGEMENT EXPENSES</v>
          </cell>
        </row>
      </sheetData>
      <sheetData sheetId="1420">
        <row r="214">
          <cell r="A214" t="str">
            <v>ADMINISTRATIVE &amp; MANAGEMENT EXPENSES</v>
          </cell>
        </row>
      </sheetData>
      <sheetData sheetId="1421">
        <row r="214">
          <cell r="A214" t="str">
            <v>ADMINISTRATIVE &amp; MANAGEMENT EXPENSES</v>
          </cell>
        </row>
      </sheetData>
      <sheetData sheetId="1422">
        <row r="214">
          <cell r="A214" t="str">
            <v>ADMINISTRATIVE &amp; MANAGEMENT EXPENSES</v>
          </cell>
        </row>
      </sheetData>
      <sheetData sheetId="1423">
        <row r="214">
          <cell r="A214" t="str">
            <v>ADMINISTRATIVE &amp; MANAGEMENT EXPENSES</v>
          </cell>
        </row>
      </sheetData>
      <sheetData sheetId="1424">
        <row r="214">
          <cell r="A214" t="str">
            <v>ADMINISTRATIVE &amp; MANAGEMENT EXPENSES</v>
          </cell>
        </row>
      </sheetData>
      <sheetData sheetId="1425">
        <row r="214">
          <cell r="A214" t="str">
            <v>ADMINISTRATIVE &amp; MANAGEMENT EXPENSES</v>
          </cell>
        </row>
      </sheetData>
      <sheetData sheetId="1426">
        <row r="214">
          <cell r="A214" t="str">
            <v>ADMINISTRATIVE &amp; MANAGEMENT EXPENSES</v>
          </cell>
        </row>
      </sheetData>
      <sheetData sheetId="1427">
        <row r="214">
          <cell r="A214" t="str">
            <v>ADMINISTRATIVE &amp; MANAGEMENT EXPENSES</v>
          </cell>
        </row>
      </sheetData>
      <sheetData sheetId="1428">
        <row r="214">
          <cell r="A214" t="str">
            <v>ADMINISTRATIVE &amp; MANAGEMENT EXPENSES</v>
          </cell>
        </row>
      </sheetData>
      <sheetData sheetId="1429">
        <row r="214">
          <cell r="A214" t="str">
            <v>ADMINISTRATIVE &amp; MANAGEMENT EXPENSES</v>
          </cell>
        </row>
      </sheetData>
      <sheetData sheetId="1430">
        <row r="214">
          <cell r="A214" t="str">
            <v>ADMINISTRATIVE &amp; MANAGEMENT EXPENSES</v>
          </cell>
        </row>
      </sheetData>
      <sheetData sheetId="1431">
        <row r="214">
          <cell r="A214" t="str">
            <v>ADMINISTRATIVE &amp; MANAGEMENT EXPENSES</v>
          </cell>
        </row>
      </sheetData>
      <sheetData sheetId="1432">
        <row r="214">
          <cell r="A214" t="str">
            <v>ADMINISTRATIVE &amp; MANAGEMENT EXPENSES</v>
          </cell>
        </row>
      </sheetData>
      <sheetData sheetId="1433">
        <row r="214">
          <cell r="A214" t="str">
            <v>ADMINISTRATIVE &amp; MANAGEMENT EXPENSES</v>
          </cell>
        </row>
      </sheetData>
      <sheetData sheetId="1434">
        <row r="214">
          <cell r="A214" t="str">
            <v>ADMINISTRATIVE &amp; MANAGEMENT EXPENSES</v>
          </cell>
        </row>
      </sheetData>
      <sheetData sheetId="1435">
        <row r="214">
          <cell r="A214" t="str">
            <v>ADMINISTRATIVE &amp; MANAGEMENT EXPENSES</v>
          </cell>
        </row>
      </sheetData>
      <sheetData sheetId="1436">
        <row r="214">
          <cell r="A214" t="str">
            <v>ADMINISTRATIVE &amp; MANAGEMENT EXPENSES</v>
          </cell>
        </row>
      </sheetData>
      <sheetData sheetId="1437">
        <row r="214">
          <cell r="A214" t="str">
            <v>ADMINISTRATIVE &amp; MANAGEMENT EXPENSES</v>
          </cell>
        </row>
      </sheetData>
      <sheetData sheetId="1438">
        <row r="214">
          <cell r="A214" t="str">
            <v>ADMINISTRATIVE &amp; MANAGEMENT EXPENSES</v>
          </cell>
        </row>
      </sheetData>
      <sheetData sheetId="1439">
        <row r="214">
          <cell r="A214" t="str">
            <v>ADMINISTRATIVE &amp; MANAGEMENT EXPENSES</v>
          </cell>
        </row>
      </sheetData>
      <sheetData sheetId="1440">
        <row r="214">
          <cell r="A214" t="str">
            <v>ADMINISTRATIVE &amp; MANAGEMENT EXPENSES</v>
          </cell>
        </row>
      </sheetData>
      <sheetData sheetId="1441">
        <row r="214">
          <cell r="A214" t="str">
            <v>ADMINISTRATIVE &amp; MANAGEMENT EXPENSES</v>
          </cell>
        </row>
      </sheetData>
      <sheetData sheetId="1442">
        <row r="214">
          <cell r="A214" t="str">
            <v>ADMINISTRATIVE &amp; MANAGEMENT EXPENSES</v>
          </cell>
        </row>
      </sheetData>
      <sheetData sheetId="1443">
        <row r="214">
          <cell r="A214" t="str">
            <v>ADMINISTRATIVE &amp; MANAGEMENT EXPENSES</v>
          </cell>
        </row>
      </sheetData>
      <sheetData sheetId="1444">
        <row r="214">
          <cell r="A214" t="str">
            <v>ADMINISTRATIVE &amp; MANAGEMENT EXPENSES</v>
          </cell>
        </row>
      </sheetData>
      <sheetData sheetId="1445">
        <row r="214">
          <cell r="A214" t="str">
            <v>ADMINISTRATIVE &amp; MANAGEMENT EXPENSES</v>
          </cell>
        </row>
      </sheetData>
      <sheetData sheetId="1446">
        <row r="214">
          <cell r="A214" t="str">
            <v>ADMINISTRATIVE &amp; MANAGEMENT EXPENSES</v>
          </cell>
        </row>
      </sheetData>
      <sheetData sheetId="1447">
        <row r="214">
          <cell r="A214" t="str">
            <v>ADMINISTRATIVE &amp; MANAGEMENT EXPENSES</v>
          </cell>
        </row>
      </sheetData>
      <sheetData sheetId="1448">
        <row r="214">
          <cell r="A214" t="str">
            <v>ADMINISTRATIVE &amp; MANAGEMENT EXPENSES</v>
          </cell>
        </row>
      </sheetData>
      <sheetData sheetId="1449">
        <row r="214">
          <cell r="A214" t="str">
            <v>ADMINISTRATIVE &amp; MANAGEMENT EXPENSES</v>
          </cell>
        </row>
      </sheetData>
      <sheetData sheetId="1450">
        <row r="214">
          <cell r="A214" t="str">
            <v>ADMINISTRATIVE &amp; MANAGEMENT EXPENSES</v>
          </cell>
        </row>
      </sheetData>
      <sheetData sheetId="1451">
        <row r="214">
          <cell r="A214" t="str">
            <v>ADMINISTRATIVE &amp; MANAGEMENT EXPENSES</v>
          </cell>
        </row>
      </sheetData>
      <sheetData sheetId="1452">
        <row r="214">
          <cell r="A214" t="str">
            <v>ADMINISTRATIVE &amp; MANAGEMENT EXPENSES</v>
          </cell>
        </row>
      </sheetData>
      <sheetData sheetId="1453">
        <row r="214">
          <cell r="A214" t="str">
            <v>ADMINISTRATIVE &amp; MANAGEMENT EXPENSES</v>
          </cell>
        </row>
      </sheetData>
      <sheetData sheetId="1454">
        <row r="214">
          <cell r="A214" t="str">
            <v>ADMINISTRATIVE &amp; MANAGEMENT EXPENSES</v>
          </cell>
        </row>
      </sheetData>
      <sheetData sheetId="1455">
        <row r="214">
          <cell r="A214" t="str">
            <v>ADMINISTRATIVE &amp; MANAGEMENT EXPENSES</v>
          </cell>
        </row>
      </sheetData>
      <sheetData sheetId="1456">
        <row r="214">
          <cell r="A214" t="str">
            <v>ADMINISTRATIVE &amp; MANAGEMENT EXPENSES</v>
          </cell>
        </row>
      </sheetData>
      <sheetData sheetId="1457">
        <row r="214">
          <cell r="A214" t="str">
            <v>ADMINISTRATIVE &amp; MANAGEMENT EXPENSES</v>
          </cell>
        </row>
      </sheetData>
      <sheetData sheetId="1458">
        <row r="214">
          <cell r="A214" t="str">
            <v>ADMINISTRATIVE &amp; MANAGEMENT EXPENSES</v>
          </cell>
        </row>
      </sheetData>
      <sheetData sheetId="1459">
        <row r="214">
          <cell r="A214" t="str">
            <v>ADMINISTRATIVE &amp; MANAGEMENT EXPENSES</v>
          </cell>
        </row>
      </sheetData>
      <sheetData sheetId="1460">
        <row r="214">
          <cell r="A214" t="str">
            <v>ADMINISTRATIVE &amp; MANAGEMENT EXPENSES</v>
          </cell>
        </row>
      </sheetData>
      <sheetData sheetId="1461">
        <row r="214">
          <cell r="A214" t="str">
            <v>ADMINISTRATIVE &amp; MANAGEMENT EXPENSES</v>
          </cell>
        </row>
      </sheetData>
      <sheetData sheetId="1462">
        <row r="214">
          <cell r="A214" t="str">
            <v>ADMINISTRATIVE &amp; MANAGEMENT EXPENSES</v>
          </cell>
        </row>
      </sheetData>
      <sheetData sheetId="1463">
        <row r="214">
          <cell r="A214" t="str">
            <v>ADMINISTRATIVE &amp; MANAGEMENT EXPENSES</v>
          </cell>
        </row>
      </sheetData>
      <sheetData sheetId="1464">
        <row r="214">
          <cell r="A214" t="str">
            <v>ADMINISTRATIVE &amp; MANAGEMENT EXPENSES</v>
          </cell>
        </row>
      </sheetData>
      <sheetData sheetId="1465">
        <row r="214">
          <cell r="A214" t="str">
            <v>ADMINISTRATIVE &amp; MANAGEMENT EXPENSES</v>
          </cell>
        </row>
      </sheetData>
      <sheetData sheetId="1466">
        <row r="214">
          <cell r="A214" t="str">
            <v>ADMINISTRATIVE &amp; MANAGEMENT EXPENSES</v>
          </cell>
        </row>
      </sheetData>
      <sheetData sheetId="1467">
        <row r="214">
          <cell r="A214" t="str">
            <v>ADMINISTRATIVE &amp; MANAGEMENT EXPENSES</v>
          </cell>
        </row>
      </sheetData>
      <sheetData sheetId="1468">
        <row r="214">
          <cell r="A214" t="str">
            <v>ADMINISTRATIVE &amp; MANAGEMENT EXPENSES</v>
          </cell>
        </row>
      </sheetData>
      <sheetData sheetId="1469">
        <row r="214">
          <cell r="A214" t="str">
            <v>ADMINISTRATIVE &amp; MANAGEMENT EXPENSES</v>
          </cell>
        </row>
      </sheetData>
      <sheetData sheetId="1470">
        <row r="214">
          <cell r="A214" t="str">
            <v>ADMINISTRATIVE &amp; MANAGEMENT EXPENSES</v>
          </cell>
        </row>
      </sheetData>
      <sheetData sheetId="1471">
        <row r="214">
          <cell r="A214" t="str">
            <v>ADMINISTRATIVE &amp; MANAGEMENT EXPENSES</v>
          </cell>
        </row>
      </sheetData>
      <sheetData sheetId="1472">
        <row r="214">
          <cell r="A214" t="str">
            <v>ADMINISTRATIVE &amp; MANAGEMENT EXPENSES</v>
          </cell>
        </row>
      </sheetData>
      <sheetData sheetId="1473">
        <row r="214">
          <cell r="A214" t="str">
            <v>ADMINISTRATIVE &amp; MANAGEMENT EXPENSES</v>
          </cell>
        </row>
      </sheetData>
      <sheetData sheetId="1474">
        <row r="214">
          <cell r="A214" t="str">
            <v>ADMINISTRATIVE &amp; MANAGEMENT EXPENSES</v>
          </cell>
        </row>
      </sheetData>
      <sheetData sheetId="1475">
        <row r="214">
          <cell r="A214" t="str">
            <v>ADMINISTRATIVE &amp; MANAGEMENT EXPENSES</v>
          </cell>
        </row>
      </sheetData>
      <sheetData sheetId="1476">
        <row r="214">
          <cell r="A214" t="str">
            <v>ADMINISTRATIVE &amp; MANAGEMENT EXPENSES</v>
          </cell>
        </row>
      </sheetData>
      <sheetData sheetId="1477">
        <row r="214">
          <cell r="A214" t="str">
            <v>ADMINISTRATIVE &amp; MANAGEMENT EXPENSES</v>
          </cell>
        </row>
      </sheetData>
      <sheetData sheetId="1478">
        <row r="214">
          <cell r="A214" t="str">
            <v>ADMINISTRATIVE &amp; MANAGEMENT EXPENSES</v>
          </cell>
        </row>
      </sheetData>
      <sheetData sheetId="1479">
        <row r="214">
          <cell r="A214" t="str">
            <v>ADMINISTRATIVE &amp; MANAGEMENT EXPENSES</v>
          </cell>
        </row>
      </sheetData>
      <sheetData sheetId="1480">
        <row r="214">
          <cell r="A214" t="str">
            <v>ADMINISTRATIVE &amp; MANAGEMENT EXPENSES</v>
          </cell>
        </row>
      </sheetData>
      <sheetData sheetId="1481">
        <row r="214">
          <cell r="A214" t="str">
            <v>ADMINISTRATIVE &amp; MANAGEMENT EXPENSES</v>
          </cell>
        </row>
      </sheetData>
      <sheetData sheetId="1482">
        <row r="214">
          <cell r="A214" t="str">
            <v>ADMINISTRATIVE &amp; MANAGEMENT EXPENSES</v>
          </cell>
        </row>
      </sheetData>
      <sheetData sheetId="1483">
        <row r="214">
          <cell r="A214" t="str">
            <v>ADMINISTRATIVE &amp; MANAGEMENT EXPENSES</v>
          </cell>
        </row>
      </sheetData>
      <sheetData sheetId="1484">
        <row r="214">
          <cell r="A214" t="str">
            <v>ADMINISTRATIVE &amp; MANAGEMENT EXPENSES</v>
          </cell>
        </row>
      </sheetData>
      <sheetData sheetId="1485">
        <row r="214">
          <cell r="A214" t="str">
            <v>ADMINISTRATIVE &amp; MANAGEMENT EXPENSES</v>
          </cell>
        </row>
      </sheetData>
      <sheetData sheetId="1486">
        <row r="214">
          <cell r="A214" t="str">
            <v>ADMINISTRATIVE &amp; MANAGEMENT EXPENSES</v>
          </cell>
        </row>
      </sheetData>
      <sheetData sheetId="1487">
        <row r="214">
          <cell r="A214" t="str">
            <v>ADMINISTRATIVE &amp; MANAGEMENT EXPENSES</v>
          </cell>
        </row>
      </sheetData>
      <sheetData sheetId="1488">
        <row r="214">
          <cell r="A214" t="str">
            <v>ADMINISTRATIVE &amp; MANAGEMENT EXPENSES</v>
          </cell>
        </row>
      </sheetData>
      <sheetData sheetId="1489">
        <row r="214">
          <cell r="A214" t="str">
            <v>ADMINISTRATIVE &amp; MANAGEMENT EXPENSES</v>
          </cell>
        </row>
      </sheetData>
      <sheetData sheetId="1490">
        <row r="214">
          <cell r="A214" t="str">
            <v>ADMINISTRATIVE &amp; MANAGEMENT EXPENSES</v>
          </cell>
        </row>
      </sheetData>
      <sheetData sheetId="1491">
        <row r="214">
          <cell r="A214" t="str">
            <v>ADMINISTRATIVE &amp; MANAGEMENT EXPENSES</v>
          </cell>
        </row>
      </sheetData>
      <sheetData sheetId="1492">
        <row r="214">
          <cell r="A214" t="str">
            <v>ADMINISTRATIVE &amp; MANAGEMENT EXPENSES</v>
          </cell>
        </row>
      </sheetData>
      <sheetData sheetId="1493">
        <row r="214">
          <cell r="A214" t="str">
            <v>ADMINISTRATIVE &amp; MANAGEMENT EXPENSES</v>
          </cell>
        </row>
      </sheetData>
      <sheetData sheetId="1494">
        <row r="214">
          <cell r="A214" t="str">
            <v>ADMINISTRATIVE &amp; MANAGEMENT EXPENSES</v>
          </cell>
        </row>
      </sheetData>
      <sheetData sheetId="1495">
        <row r="214">
          <cell r="A214" t="str">
            <v>ADMINISTRATIVE &amp; MANAGEMENT EXPENSES</v>
          </cell>
        </row>
      </sheetData>
      <sheetData sheetId="1496">
        <row r="214">
          <cell r="A214" t="str">
            <v>ADMINISTRATIVE &amp; MANAGEMENT EXPENSES</v>
          </cell>
        </row>
      </sheetData>
      <sheetData sheetId="1497">
        <row r="214">
          <cell r="A214" t="str">
            <v>ADMINISTRATIVE &amp; MANAGEMENT EXPENSES</v>
          </cell>
        </row>
      </sheetData>
      <sheetData sheetId="1498">
        <row r="214">
          <cell r="A214" t="str">
            <v>ADMINISTRATIVE &amp; MANAGEMENT EXPENSES</v>
          </cell>
        </row>
      </sheetData>
      <sheetData sheetId="1499">
        <row r="214">
          <cell r="A214" t="str">
            <v>ADMINISTRATIVE &amp; MANAGEMENT EXPENSES</v>
          </cell>
        </row>
      </sheetData>
      <sheetData sheetId="1500">
        <row r="214">
          <cell r="A214" t="str">
            <v>ADMINISTRATIVE &amp; MANAGEMENT EXPENSES</v>
          </cell>
        </row>
      </sheetData>
      <sheetData sheetId="1501">
        <row r="214">
          <cell r="A214" t="str">
            <v>ADMINISTRATIVE &amp; MANAGEMENT EXPENSES</v>
          </cell>
        </row>
      </sheetData>
      <sheetData sheetId="1502">
        <row r="214">
          <cell r="A214" t="str">
            <v>ADMINISTRATIVE &amp; MANAGEMENT EXPENSES</v>
          </cell>
        </row>
      </sheetData>
      <sheetData sheetId="1503">
        <row r="214">
          <cell r="A214" t="str">
            <v>ADMINISTRATIVE &amp; MANAGEMENT EXPENSES</v>
          </cell>
        </row>
      </sheetData>
      <sheetData sheetId="1504">
        <row r="214">
          <cell r="A214" t="str">
            <v>ADMINISTRATIVE &amp; MANAGEMENT EXPENSES</v>
          </cell>
        </row>
      </sheetData>
      <sheetData sheetId="1505">
        <row r="214">
          <cell r="A214" t="str">
            <v>ADMINISTRATIVE &amp; MANAGEMENT EXPENSES</v>
          </cell>
        </row>
      </sheetData>
      <sheetData sheetId="1506">
        <row r="214">
          <cell r="A214" t="str">
            <v>ADMINISTRATIVE &amp; MANAGEMENT EXPENSES</v>
          </cell>
        </row>
      </sheetData>
      <sheetData sheetId="1507">
        <row r="214">
          <cell r="A214" t="str">
            <v>ADMINISTRATIVE &amp; MANAGEMENT EXPENSES</v>
          </cell>
        </row>
      </sheetData>
      <sheetData sheetId="1508">
        <row r="214">
          <cell r="A214" t="str">
            <v>ADMINISTRATIVE &amp; MANAGEMENT EXPENSES</v>
          </cell>
        </row>
      </sheetData>
      <sheetData sheetId="1509">
        <row r="214">
          <cell r="A214" t="str">
            <v>ADMINISTRATIVE &amp; MANAGEMENT EXPENSES</v>
          </cell>
        </row>
      </sheetData>
      <sheetData sheetId="1510">
        <row r="214">
          <cell r="A214" t="str">
            <v>ADMINISTRATIVE &amp; MANAGEMENT EXPENSES</v>
          </cell>
        </row>
      </sheetData>
      <sheetData sheetId="1511">
        <row r="214">
          <cell r="A214" t="str">
            <v>ADMINISTRATIVE &amp; MANAGEMENT EXPENSES</v>
          </cell>
        </row>
      </sheetData>
      <sheetData sheetId="1512">
        <row r="214">
          <cell r="A214" t="str">
            <v>ADMINISTRATIVE &amp; MANAGEMENT EXPENSES</v>
          </cell>
        </row>
      </sheetData>
      <sheetData sheetId="1513">
        <row r="214">
          <cell r="A214" t="str">
            <v>ADMINISTRATIVE &amp; MANAGEMENT EXPENSES</v>
          </cell>
        </row>
      </sheetData>
      <sheetData sheetId="1514">
        <row r="214">
          <cell r="A214" t="str">
            <v>ADMINISTRATIVE &amp; MANAGEMENT EXPENSES</v>
          </cell>
        </row>
      </sheetData>
      <sheetData sheetId="1515">
        <row r="214">
          <cell r="A214" t="str">
            <v>ADMINISTRATIVE &amp; MANAGEMENT EXPENSES</v>
          </cell>
        </row>
      </sheetData>
      <sheetData sheetId="1516">
        <row r="214">
          <cell r="A214" t="str">
            <v>ADMINISTRATIVE &amp; MANAGEMENT EXPENSES</v>
          </cell>
        </row>
      </sheetData>
      <sheetData sheetId="1517">
        <row r="214">
          <cell r="A214" t="str">
            <v>ADMINISTRATIVE &amp; MANAGEMENT EXPENSES</v>
          </cell>
        </row>
      </sheetData>
      <sheetData sheetId="1518">
        <row r="214">
          <cell r="A214" t="str">
            <v>ADMINISTRATIVE &amp; MANAGEMENT EXPENSES</v>
          </cell>
        </row>
      </sheetData>
      <sheetData sheetId="1519">
        <row r="214">
          <cell r="A214" t="str">
            <v>ADMINISTRATIVE &amp; MANAGEMENT EXPENSES</v>
          </cell>
        </row>
      </sheetData>
      <sheetData sheetId="1520">
        <row r="214">
          <cell r="A214" t="str">
            <v>ADMINISTRATIVE &amp; MANAGEMENT EXPENSES</v>
          </cell>
        </row>
      </sheetData>
      <sheetData sheetId="1521">
        <row r="214">
          <cell r="A214" t="str">
            <v>ADMINISTRATIVE &amp; MANAGEMENT EXPENSES</v>
          </cell>
        </row>
      </sheetData>
      <sheetData sheetId="1522">
        <row r="214">
          <cell r="A214" t="str">
            <v>ADMINISTRATIVE &amp; MANAGEMENT EXPENSES</v>
          </cell>
        </row>
      </sheetData>
      <sheetData sheetId="1523">
        <row r="214">
          <cell r="A214" t="str">
            <v>ADMINISTRATIVE &amp; MANAGEMENT EXPENSES</v>
          </cell>
        </row>
      </sheetData>
      <sheetData sheetId="1524">
        <row r="214">
          <cell r="A214" t="str">
            <v>ADMINISTRATIVE &amp; MANAGEMENT EXPENSES</v>
          </cell>
        </row>
      </sheetData>
      <sheetData sheetId="1525">
        <row r="214">
          <cell r="A214" t="str">
            <v>ADMINISTRATIVE &amp; MANAGEMENT EXPENSES</v>
          </cell>
        </row>
      </sheetData>
      <sheetData sheetId="1526">
        <row r="214">
          <cell r="A214" t="str">
            <v>ADMINISTRATIVE &amp; MANAGEMENT EXPENSES</v>
          </cell>
        </row>
      </sheetData>
      <sheetData sheetId="1527">
        <row r="214">
          <cell r="A214" t="str">
            <v>ADMINISTRATIVE &amp; MANAGEMENT EXPENSES</v>
          </cell>
        </row>
      </sheetData>
      <sheetData sheetId="1528">
        <row r="214">
          <cell r="A214" t="str">
            <v>ADMINISTRATIVE &amp; MANAGEMENT EXPENSES</v>
          </cell>
        </row>
      </sheetData>
      <sheetData sheetId="1529">
        <row r="214">
          <cell r="A214" t="str">
            <v>ADMINISTRATIVE &amp; MANAGEMENT EXPENSES</v>
          </cell>
        </row>
      </sheetData>
      <sheetData sheetId="1530">
        <row r="214">
          <cell r="A214" t="str">
            <v>ADMINISTRATIVE &amp; MANAGEMENT EXPENSES</v>
          </cell>
        </row>
      </sheetData>
      <sheetData sheetId="1531">
        <row r="214">
          <cell r="A214" t="str">
            <v>ADMINISTRATIVE &amp; MANAGEMENT EXPENSES</v>
          </cell>
        </row>
      </sheetData>
      <sheetData sheetId="1532">
        <row r="214">
          <cell r="A214" t="str">
            <v>ADMINISTRATIVE &amp; MANAGEMENT EXPENSES</v>
          </cell>
        </row>
      </sheetData>
      <sheetData sheetId="1533">
        <row r="214">
          <cell r="A214" t="str">
            <v>ADMINISTRATIVE &amp; MANAGEMENT EXPENSES</v>
          </cell>
        </row>
      </sheetData>
      <sheetData sheetId="1534">
        <row r="214">
          <cell r="A214" t="str">
            <v>ADMINISTRATIVE &amp; MANAGEMENT EXPENSES</v>
          </cell>
        </row>
      </sheetData>
      <sheetData sheetId="1535">
        <row r="214">
          <cell r="A214" t="str">
            <v>ADMINISTRATIVE &amp; MANAGEMENT EXPENSES</v>
          </cell>
        </row>
      </sheetData>
      <sheetData sheetId="1536">
        <row r="214">
          <cell r="A214" t="str">
            <v>ADMINISTRATIVE &amp; MANAGEMENT EXPENSES</v>
          </cell>
        </row>
      </sheetData>
      <sheetData sheetId="1537">
        <row r="214">
          <cell r="A214" t="str">
            <v>ADMINISTRATIVE &amp; MANAGEMENT EXPENSES</v>
          </cell>
        </row>
      </sheetData>
      <sheetData sheetId="1538">
        <row r="214">
          <cell r="A214" t="str">
            <v>ADMINISTRATIVE &amp; MANAGEMENT EXPENSES</v>
          </cell>
        </row>
      </sheetData>
      <sheetData sheetId="1539">
        <row r="214">
          <cell r="A214" t="str">
            <v>ADMINISTRATIVE &amp; MANAGEMENT EXPENSES</v>
          </cell>
        </row>
      </sheetData>
      <sheetData sheetId="1540">
        <row r="214">
          <cell r="A214" t="str">
            <v>ADMINISTRATIVE &amp; MANAGEMENT EXPENSES</v>
          </cell>
        </row>
      </sheetData>
      <sheetData sheetId="1541">
        <row r="214">
          <cell r="A214" t="str">
            <v>ADMINISTRATIVE &amp; MANAGEMENT EXPENSES</v>
          </cell>
        </row>
      </sheetData>
      <sheetData sheetId="1542">
        <row r="214">
          <cell r="A214" t="str">
            <v>ADMINISTRATIVE &amp; MANAGEMENT EXPENSES</v>
          </cell>
        </row>
      </sheetData>
      <sheetData sheetId="1543">
        <row r="214">
          <cell r="A214" t="str">
            <v>ADMINISTRATIVE &amp; MANAGEMENT EXPENSES</v>
          </cell>
        </row>
      </sheetData>
      <sheetData sheetId="1544">
        <row r="214">
          <cell r="A214" t="str">
            <v>ADMINISTRATIVE &amp; MANAGEMENT EXPENSES</v>
          </cell>
        </row>
      </sheetData>
      <sheetData sheetId="1545">
        <row r="214">
          <cell r="A214" t="str">
            <v>ADMINISTRATIVE &amp; MANAGEMENT EXPENSES</v>
          </cell>
        </row>
      </sheetData>
      <sheetData sheetId="1546">
        <row r="214">
          <cell r="A214" t="str">
            <v>ADMINISTRATIVE &amp; MANAGEMENT EXPENSES</v>
          </cell>
        </row>
      </sheetData>
      <sheetData sheetId="1547">
        <row r="214">
          <cell r="A214" t="str">
            <v>ADMINISTRATIVE &amp; MANAGEMENT EXPENSES</v>
          </cell>
        </row>
      </sheetData>
      <sheetData sheetId="1548">
        <row r="214">
          <cell r="A214" t="str">
            <v>ADMINISTRATIVE &amp; MANAGEMENT EXPENSES</v>
          </cell>
        </row>
      </sheetData>
      <sheetData sheetId="1549">
        <row r="214">
          <cell r="A214" t="str">
            <v>ADMINISTRATIVE &amp; MANAGEMENT EXPENSES</v>
          </cell>
        </row>
      </sheetData>
      <sheetData sheetId="1550">
        <row r="214">
          <cell r="A214" t="str">
            <v>ADMINISTRATIVE &amp; MANAGEMENT EXPENSES</v>
          </cell>
        </row>
      </sheetData>
      <sheetData sheetId="1551">
        <row r="214">
          <cell r="A214" t="str">
            <v>ADMINISTRATIVE &amp; MANAGEMENT EXPENSES</v>
          </cell>
        </row>
      </sheetData>
      <sheetData sheetId="1552">
        <row r="214">
          <cell r="A214" t="str">
            <v>ADMINISTRATIVE &amp; MANAGEMENT EXPENSES</v>
          </cell>
        </row>
      </sheetData>
      <sheetData sheetId="1553">
        <row r="214">
          <cell r="A214" t="str">
            <v>ADMINISTRATIVE &amp; MANAGEMENT EXPENSES</v>
          </cell>
        </row>
      </sheetData>
      <sheetData sheetId="1554">
        <row r="214">
          <cell r="A214" t="str">
            <v>ADMINISTRATIVE &amp; MANAGEMENT EXPENSES</v>
          </cell>
        </row>
      </sheetData>
      <sheetData sheetId="1555">
        <row r="214">
          <cell r="A214" t="str">
            <v>ADMINISTRATIVE &amp; MANAGEMENT EXPENSES</v>
          </cell>
        </row>
      </sheetData>
      <sheetData sheetId="1556">
        <row r="214">
          <cell r="A214" t="str">
            <v>ADMINISTRATIVE &amp; MANAGEMENT EXPENSES</v>
          </cell>
        </row>
      </sheetData>
      <sheetData sheetId="1557">
        <row r="214">
          <cell r="A214" t="str">
            <v>ADMINISTRATIVE &amp; MANAGEMENT EXPENSES</v>
          </cell>
        </row>
      </sheetData>
      <sheetData sheetId="1558">
        <row r="214">
          <cell r="A214" t="str">
            <v>ADMINISTRATIVE &amp; MANAGEMENT EXPENSES</v>
          </cell>
        </row>
      </sheetData>
      <sheetData sheetId="1559">
        <row r="214">
          <cell r="A214" t="str">
            <v>ADMINISTRATIVE &amp; MANAGEMENT EXPENSES</v>
          </cell>
        </row>
      </sheetData>
      <sheetData sheetId="1560">
        <row r="214">
          <cell r="A214" t="str">
            <v>ADMINISTRATIVE &amp; MANAGEMENT EXPENSES</v>
          </cell>
        </row>
      </sheetData>
      <sheetData sheetId="1561">
        <row r="214">
          <cell r="A214" t="str">
            <v>ADMINISTRATIVE &amp; MANAGEMENT EXPENSES</v>
          </cell>
        </row>
      </sheetData>
      <sheetData sheetId="1562">
        <row r="214">
          <cell r="A214" t="str">
            <v>ADMINISTRATIVE &amp; MANAGEMENT EXPENSES</v>
          </cell>
        </row>
      </sheetData>
      <sheetData sheetId="1563">
        <row r="214">
          <cell r="A214" t="str">
            <v>ADMINISTRATIVE &amp; MANAGEMENT EXPENSES</v>
          </cell>
        </row>
      </sheetData>
      <sheetData sheetId="1564">
        <row r="214">
          <cell r="A214" t="str">
            <v>ADMINISTRATIVE &amp; MANAGEMENT EXPENSES</v>
          </cell>
        </row>
      </sheetData>
      <sheetData sheetId="1565">
        <row r="214">
          <cell r="A214" t="str">
            <v>ADMINISTRATIVE &amp; MANAGEMENT EXPENSES</v>
          </cell>
        </row>
      </sheetData>
      <sheetData sheetId="1566">
        <row r="214">
          <cell r="A214" t="str">
            <v>ADMINISTRATIVE &amp; MANAGEMENT EXPENSES</v>
          </cell>
        </row>
      </sheetData>
      <sheetData sheetId="1567">
        <row r="214">
          <cell r="A214" t="str">
            <v>ADMINISTRATIVE &amp; MANAGEMENT EXPENSES</v>
          </cell>
        </row>
      </sheetData>
      <sheetData sheetId="1568">
        <row r="214">
          <cell r="A214" t="str">
            <v>ADMINISTRATIVE &amp; MANAGEMENT EXPENSES</v>
          </cell>
        </row>
      </sheetData>
      <sheetData sheetId="1569">
        <row r="214">
          <cell r="A214" t="str">
            <v>ADMINISTRATIVE &amp; MANAGEMENT EXPENSES</v>
          </cell>
        </row>
      </sheetData>
      <sheetData sheetId="1570">
        <row r="214">
          <cell r="A214" t="str">
            <v>ADMINISTRATIVE &amp; MANAGEMENT EXPENSES</v>
          </cell>
        </row>
      </sheetData>
      <sheetData sheetId="1571">
        <row r="214">
          <cell r="A214" t="str">
            <v>ADMINISTRATIVE &amp; MANAGEMENT EXPENSES</v>
          </cell>
        </row>
      </sheetData>
      <sheetData sheetId="1572">
        <row r="214">
          <cell r="A214" t="str">
            <v>ADMINISTRATIVE &amp; MANAGEMENT EXPENSES</v>
          </cell>
        </row>
      </sheetData>
      <sheetData sheetId="1573">
        <row r="214">
          <cell r="A214" t="str">
            <v>ADMINISTRATIVE &amp; MANAGEMENT EXPENSES</v>
          </cell>
        </row>
      </sheetData>
      <sheetData sheetId="1574">
        <row r="214">
          <cell r="A214" t="str">
            <v>ADMINISTRATIVE &amp; MANAGEMENT EXPENSES</v>
          </cell>
        </row>
      </sheetData>
      <sheetData sheetId="1575">
        <row r="214">
          <cell r="A214" t="str">
            <v>ADMINISTRATIVE &amp; MANAGEMENT EXPENSES</v>
          </cell>
        </row>
      </sheetData>
      <sheetData sheetId="1576">
        <row r="214">
          <cell r="A214" t="str">
            <v>ADMINISTRATIVE &amp; MANAGEMENT EXPENSES</v>
          </cell>
        </row>
      </sheetData>
      <sheetData sheetId="1577">
        <row r="214">
          <cell r="A214" t="str">
            <v>ADMINISTRATIVE &amp; MANAGEMENT EXPENSES</v>
          </cell>
        </row>
      </sheetData>
      <sheetData sheetId="1578">
        <row r="214">
          <cell r="A214" t="str">
            <v>ADMINISTRATIVE &amp; MANAGEMENT EXPENSES</v>
          </cell>
        </row>
      </sheetData>
      <sheetData sheetId="1579">
        <row r="214">
          <cell r="A214" t="str">
            <v>ADMINISTRATIVE &amp; MANAGEMENT EXPENSES</v>
          </cell>
        </row>
      </sheetData>
      <sheetData sheetId="1580">
        <row r="214">
          <cell r="A214" t="str">
            <v>ADMINISTRATIVE &amp; MANAGEMENT EXPENSES</v>
          </cell>
        </row>
      </sheetData>
      <sheetData sheetId="1581">
        <row r="214">
          <cell r="A214" t="str">
            <v>ADMINISTRATIVE &amp; MANAGEMENT EXPENSES</v>
          </cell>
        </row>
      </sheetData>
      <sheetData sheetId="1582">
        <row r="214">
          <cell r="A214" t="str">
            <v>ADMINISTRATIVE &amp; MANAGEMENT EXPENSES</v>
          </cell>
        </row>
      </sheetData>
      <sheetData sheetId="1583">
        <row r="214">
          <cell r="A214" t="str">
            <v>ADMINISTRATIVE &amp; MANAGEMENT EXPENSES</v>
          </cell>
        </row>
      </sheetData>
      <sheetData sheetId="1584">
        <row r="214">
          <cell r="A214" t="str">
            <v>ADMINISTRATIVE &amp; MANAGEMENT EXPENSES</v>
          </cell>
        </row>
      </sheetData>
      <sheetData sheetId="1585">
        <row r="214">
          <cell r="A214" t="str">
            <v>ADMINISTRATIVE &amp; MANAGEMENT EXPENSES</v>
          </cell>
        </row>
      </sheetData>
      <sheetData sheetId="1586">
        <row r="214">
          <cell r="A214" t="str">
            <v>ADMINISTRATIVE &amp; MANAGEMENT EXPENSES</v>
          </cell>
        </row>
      </sheetData>
      <sheetData sheetId="1587">
        <row r="214">
          <cell r="A214" t="str">
            <v>ADMINISTRATIVE &amp; MANAGEMENT EXPENSES</v>
          </cell>
        </row>
      </sheetData>
      <sheetData sheetId="1588">
        <row r="214">
          <cell r="A214" t="str">
            <v>ADMINISTRATIVE &amp; MANAGEMENT EXPENSES</v>
          </cell>
        </row>
      </sheetData>
      <sheetData sheetId="1589">
        <row r="214">
          <cell r="A214" t="str">
            <v>ADMINISTRATIVE &amp; MANAGEMENT EXPENSES</v>
          </cell>
        </row>
      </sheetData>
      <sheetData sheetId="1590">
        <row r="214">
          <cell r="A214" t="str">
            <v>ADMINISTRATIVE &amp; MANAGEMENT EXPENSES</v>
          </cell>
        </row>
      </sheetData>
      <sheetData sheetId="1591">
        <row r="214">
          <cell r="A214" t="str">
            <v>ADMINISTRATIVE &amp; MANAGEMENT EXPENSES</v>
          </cell>
        </row>
      </sheetData>
      <sheetData sheetId="1592">
        <row r="214">
          <cell r="A214" t="str">
            <v>ADMINISTRATIVE &amp; MANAGEMENT EXPENSES</v>
          </cell>
        </row>
      </sheetData>
      <sheetData sheetId="1593">
        <row r="214">
          <cell r="A214" t="str">
            <v>ADMINISTRATIVE &amp; MANAGEMENT EXPENSES</v>
          </cell>
        </row>
      </sheetData>
      <sheetData sheetId="1594">
        <row r="214">
          <cell r="A214" t="str">
            <v>ADMINISTRATIVE &amp; MANAGEMENT EXPENSES</v>
          </cell>
        </row>
      </sheetData>
      <sheetData sheetId="1595">
        <row r="214">
          <cell r="A214" t="str">
            <v>ADMINISTRATIVE &amp; MANAGEMENT EXPENSES</v>
          </cell>
        </row>
      </sheetData>
      <sheetData sheetId="1596">
        <row r="214">
          <cell r="A214" t="str">
            <v>ADMINISTRATIVE &amp; MANAGEMENT EXPENSES</v>
          </cell>
        </row>
      </sheetData>
      <sheetData sheetId="1597">
        <row r="214">
          <cell r="A214" t="str">
            <v>ADMINISTRATIVE &amp; MANAGEMENT EXPENSES</v>
          </cell>
        </row>
      </sheetData>
      <sheetData sheetId="1598">
        <row r="214">
          <cell r="A214" t="str">
            <v>ADMINISTRATIVE &amp; MANAGEMENT EXPENSES</v>
          </cell>
        </row>
      </sheetData>
      <sheetData sheetId="1599">
        <row r="214">
          <cell r="A214" t="str">
            <v>ADMINISTRATIVE &amp; MANAGEMENT EXPENSES</v>
          </cell>
        </row>
      </sheetData>
      <sheetData sheetId="1600">
        <row r="214">
          <cell r="A214" t="str">
            <v>ADMINISTRATIVE &amp; MANAGEMENT EXPENSES</v>
          </cell>
        </row>
      </sheetData>
      <sheetData sheetId="1601">
        <row r="214">
          <cell r="A214" t="str">
            <v>ADMINISTRATIVE &amp; MANAGEMENT EXPENSES</v>
          </cell>
        </row>
      </sheetData>
      <sheetData sheetId="1602">
        <row r="214">
          <cell r="A214" t="str">
            <v>ADMINISTRATIVE &amp; MANAGEMENT EXPENSES</v>
          </cell>
        </row>
      </sheetData>
      <sheetData sheetId="1603">
        <row r="214">
          <cell r="A214" t="str">
            <v>ADMINISTRATIVE &amp; MANAGEMENT EXPENSES</v>
          </cell>
        </row>
      </sheetData>
      <sheetData sheetId="1604">
        <row r="214">
          <cell r="A214" t="str">
            <v>ADMINISTRATIVE &amp; MANAGEMENT EXPENSES</v>
          </cell>
        </row>
      </sheetData>
      <sheetData sheetId="1605">
        <row r="214">
          <cell r="A214" t="str">
            <v>ADMINISTRATIVE &amp; MANAGEMENT EXPENSES</v>
          </cell>
        </row>
      </sheetData>
      <sheetData sheetId="1606">
        <row r="214">
          <cell r="A214" t="str">
            <v>ADMINISTRATIVE &amp; MANAGEMENT EXPENSES</v>
          </cell>
        </row>
      </sheetData>
      <sheetData sheetId="1607">
        <row r="214">
          <cell r="A214" t="str">
            <v>ADMINISTRATIVE &amp; MANAGEMENT EXPENSES</v>
          </cell>
        </row>
      </sheetData>
      <sheetData sheetId="1608" refreshError="1"/>
      <sheetData sheetId="1609" refreshError="1"/>
      <sheetData sheetId="1610" refreshError="1"/>
      <sheetData sheetId="1611">
        <row r="214">
          <cell r="A214" t="str">
            <v>ADMINISTRATIVE &amp; MANAGEMENT EXPENSES</v>
          </cell>
        </row>
      </sheetData>
      <sheetData sheetId="1612">
        <row r="214">
          <cell r="A214" t="str">
            <v>ADMINISTRATIVE &amp; MANAGEMENT EXPENSES</v>
          </cell>
        </row>
      </sheetData>
      <sheetData sheetId="1613">
        <row r="214">
          <cell r="A214" t="str">
            <v>ADMINISTRATIVE &amp; MANAGEMENT EXPENSES</v>
          </cell>
        </row>
      </sheetData>
      <sheetData sheetId="1614">
        <row r="214">
          <cell r="A214" t="str">
            <v>ADMINISTRATIVE &amp; MANAGEMENT EXPENSES</v>
          </cell>
        </row>
      </sheetData>
      <sheetData sheetId="1615">
        <row r="214">
          <cell r="A214" t="str">
            <v>ADMINISTRATIVE &amp; MANAGEMENT EXPENSES</v>
          </cell>
        </row>
      </sheetData>
      <sheetData sheetId="1616">
        <row r="214">
          <cell r="A214" t="str">
            <v>ADMINISTRATIVE &amp; MANAGEMENT EXPENSES</v>
          </cell>
        </row>
      </sheetData>
      <sheetData sheetId="1617">
        <row r="214">
          <cell r="A214" t="str">
            <v>ADMINISTRATIVE &amp; MANAGEMENT EXPENSES</v>
          </cell>
        </row>
      </sheetData>
      <sheetData sheetId="1618">
        <row r="214">
          <cell r="A214" t="str">
            <v>ADMINISTRATIVE &amp; MANAGEMENT EXPENSES</v>
          </cell>
        </row>
      </sheetData>
      <sheetData sheetId="1619">
        <row r="214">
          <cell r="A214" t="str">
            <v>ADMINISTRATIVE &amp; MANAGEMENT EXPENSES</v>
          </cell>
        </row>
      </sheetData>
      <sheetData sheetId="1620">
        <row r="214">
          <cell r="A214" t="str">
            <v>ADMINISTRATIVE &amp; MANAGEMENT EXPENSES</v>
          </cell>
        </row>
      </sheetData>
      <sheetData sheetId="1621">
        <row r="214">
          <cell r="A214" t="str">
            <v>ADMINISTRATIVE &amp; MANAGEMENT EXPENSES</v>
          </cell>
        </row>
      </sheetData>
      <sheetData sheetId="1622">
        <row r="214">
          <cell r="A214" t="str">
            <v>ADMINISTRATIVE &amp; MANAGEMENT EXPENSES</v>
          </cell>
        </row>
      </sheetData>
      <sheetData sheetId="1623">
        <row r="214">
          <cell r="A214" t="str">
            <v>ADMINISTRATIVE &amp; MANAGEMENT EXPENSES</v>
          </cell>
        </row>
      </sheetData>
      <sheetData sheetId="1624">
        <row r="214">
          <cell r="A214" t="str">
            <v>ADMINISTRATIVE &amp; MANAGEMENT EXPENSES</v>
          </cell>
        </row>
      </sheetData>
      <sheetData sheetId="1625">
        <row r="214">
          <cell r="A214" t="str">
            <v>ADMINISTRATIVE &amp; MANAGEMENT EXPENSES</v>
          </cell>
        </row>
      </sheetData>
      <sheetData sheetId="1626">
        <row r="214">
          <cell r="A214" t="str">
            <v>ADMINISTRATIVE &amp; MANAGEMENT EXPENSES</v>
          </cell>
        </row>
      </sheetData>
      <sheetData sheetId="1627">
        <row r="214">
          <cell r="A214" t="str">
            <v>ADMINISTRATIVE &amp; MANAGEMENT EXPENSES</v>
          </cell>
        </row>
      </sheetData>
      <sheetData sheetId="1628">
        <row r="214">
          <cell r="A214" t="str">
            <v>ADMINISTRATIVE &amp; MANAGEMENT EXPENSES</v>
          </cell>
        </row>
      </sheetData>
      <sheetData sheetId="1629">
        <row r="214">
          <cell r="A214" t="str">
            <v>ADMINISTRATIVE &amp; MANAGEMENT EXPENSES</v>
          </cell>
        </row>
      </sheetData>
      <sheetData sheetId="1630">
        <row r="214">
          <cell r="A214" t="str">
            <v>ADMINISTRATIVE &amp; MANAGEMENT EXPENSES</v>
          </cell>
        </row>
      </sheetData>
      <sheetData sheetId="1631">
        <row r="214">
          <cell r="A214" t="str">
            <v>ADMINISTRATIVE &amp; MANAGEMENT EXPENSES</v>
          </cell>
        </row>
      </sheetData>
      <sheetData sheetId="1632">
        <row r="214">
          <cell r="A214" t="str">
            <v>ADMINISTRATIVE &amp; MANAGEMENT EXPENSES</v>
          </cell>
        </row>
      </sheetData>
      <sheetData sheetId="1633">
        <row r="214">
          <cell r="A214" t="str">
            <v>ADMINISTRATIVE &amp; MANAGEMENT EXPENSES</v>
          </cell>
        </row>
      </sheetData>
      <sheetData sheetId="1634">
        <row r="214">
          <cell r="A214" t="str">
            <v>ADMINISTRATIVE &amp; MANAGEMENT EXPENSES</v>
          </cell>
        </row>
      </sheetData>
      <sheetData sheetId="1635">
        <row r="214">
          <cell r="A214" t="str">
            <v>ADMINISTRATIVE &amp; MANAGEMENT EXPENSES</v>
          </cell>
        </row>
      </sheetData>
      <sheetData sheetId="1636">
        <row r="214">
          <cell r="A214" t="str">
            <v>ADMINISTRATIVE &amp; MANAGEMENT EXPENSES</v>
          </cell>
        </row>
      </sheetData>
      <sheetData sheetId="1637">
        <row r="214">
          <cell r="A214" t="str">
            <v>ADMINISTRATIVE &amp; MANAGEMENT EXPENSES</v>
          </cell>
        </row>
      </sheetData>
      <sheetData sheetId="1638">
        <row r="214">
          <cell r="A214" t="str">
            <v>ADMINISTRATIVE &amp; MANAGEMENT EXPENSES</v>
          </cell>
        </row>
      </sheetData>
      <sheetData sheetId="1639">
        <row r="214">
          <cell r="A214" t="str">
            <v>ADMINISTRATIVE &amp; MANAGEMENT EXPENSES</v>
          </cell>
        </row>
      </sheetData>
      <sheetData sheetId="1640">
        <row r="214">
          <cell r="A214" t="str">
            <v>ADMINISTRATIVE &amp; MANAGEMENT EXPENSES</v>
          </cell>
        </row>
      </sheetData>
      <sheetData sheetId="1641">
        <row r="214">
          <cell r="A214" t="str">
            <v>ADMINISTRATIVE &amp; MANAGEMENT EXPENSES</v>
          </cell>
        </row>
      </sheetData>
      <sheetData sheetId="1642">
        <row r="214">
          <cell r="A214" t="str">
            <v>ADMINISTRATIVE &amp; MANAGEMENT EXPENSES</v>
          </cell>
        </row>
      </sheetData>
      <sheetData sheetId="1643">
        <row r="214">
          <cell r="A214" t="str">
            <v>ADMINISTRATIVE &amp; MANAGEMENT EXPENSES</v>
          </cell>
        </row>
      </sheetData>
      <sheetData sheetId="1644">
        <row r="214">
          <cell r="A214" t="str">
            <v>ADMINISTRATIVE &amp; MANAGEMENT EXPENSES</v>
          </cell>
        </row>
      </sheetData>
      <sheetData sheetId="1645">
        <row r="214">
          <cell r="A214" t="str">
            <v>ADMINISTRATIVE &amp; MANAGEMENT EXPENSES</v>
          </cell>
        </row>
      </sheetData>
      <sheetData sheetId="1646">
        <row r="214">
          <cell r="A214" t="str">
            <v>ADMINISTRATIVE &amp; MANAGEMENT EXPENSES</v>
          </cell>
        </row>
      </sheetData>
      <sheetData sheetId="1647">
        <row r="214">
          <cell r="A214" t="str">
            <v>ADMINISTRATIVE &amp; MANAGEMENT EXPENSES</v>
          </cell>
        </row>
      </sheetData>
      <sheetData sheetId="1648">
        <row r="214">
          <cell r="A214" t="str">
            <v>ADMINISTRATIVE &amp; MANAGEMENT EXPENSES</v>
          </cell>
        </row>
      </sheetData>
      <sheetData sheetId="1649">
        <row r="214">
          <cell r="A214" t="str">
            <v>ADMINISTRATIVE &amp; MANAGEMENT EXPENSES</v>
          </cell>
        </row>
      </sheetData>
      <sheetData sheetId="1650">
        <row r="214">
          <cell r="A214" t="str">
            <v>ADMINISTRATIVE &amp; MANAGEMENT EXPENSES</v>
          </cell>
        </row>
      </sheetData>
      <sheetData sheetId="1651">
        <row r="214">
          <cell r="A214" t="str">
            <v>ADMINISTRATIVE &amp; MANAGEMENT EXPENSES</v>
          </cell>
        </row>
      </sheetData>
      <sheetData sheetId="1652">
        <row r="214">
          <cell r="A214" t="str">
            <v>ADMINISTRATIVE &amp; MANAGEMENT EXPENSES</v>
          </cell>
        </row>
      </sheetData>
      <sheetData sheetId="1653">
        <row r="214">
          <cell r="A214" t="str">
            <v>ADMINISTRATIVE &amp; MANAGEMENT EXPENSES</v>
          </cell>
        </row>
      </sheetData>
      <sheetData sheetId="1654">
        <row r="214">
          <cell r="A214" t="str">
            <v>ADMINISTRATIVE &amp; MANAGEMENT EXPENSES</v>
          </cell>
        </row>
      </sheetData>
      <sheetData sheetId="1655">
        <row r="214">
          <cell r="A214" t="str">
            <v>ADMINISTRATIVE &amp; MANAGEMENT EXPENSES</v>
          </cell>
        </row>
      </sheetData>
      <sheetData sheetId="1656">
        <row r="214">
          <cell r="A214" t="str">
            <v>ADMINISTRATIVE &amp; MANAGEMENT EXPENSES</v>
          </cell>
        </row>
      </sheetData>
      <sheetData sheetId="1657">
        <row r="214">
          <cell r="A214" t="str">
            <v>ADMINISTRATIVE &amp; MANAGEMENT EXPENSES</v>
          </cell>
        </row>
      </sheetData>
      <sheetData sheetId="1658">
        <row r="214">
          <cell r="A214" t="str">
            <v>ADMINISTRATIVE &amp; MANAGEMENT EXPENSES</v>
          </cell>
        </row>
      </sheetData>
      <sheetData sheetId="1659">
        <row r="214">
          <cell r="A214" t="str">
            <v>ADMINISTRATIVE &amp; MANAGEMENT EXPENSES</v>
          </cell>
        </row>
      </sheetData>
      <sheetData sheetId="1660">
        <row r="214">
          <cell r="A214" t="str">
            <v>ADMINISTRATIVE &amp; MANAGEMENT EXPENSES</v>
          </cell>
        </row>
      </sheetData>
      <sheetData sheetId="1661">
        <row r="214">
          <cell r="A214" t="str">
            <v>ADMINISTRATIVE &amp; MANAGEMENT EXPENSES</v>
          </cell>
        </row>
      </sheetData>
      <sheetData sheetId="1662">
        <row r="214">
          <cell r="A214" t="str">
            <v>ADMINISTRATIVE &amp; MANAGEMENT EXPENSES</v>
          </cell>
        </row>
      </sheetData>
      <sheetData sheetId="1663">
        <row r="214">
          <cell r="A214" t="str">
            <v>ADMINISTRATIVE &amp; MANAGEMENT EXPENSES</v>
          </cell>
        </row>
      </sheetData>
      <sheetData sheetId="1664">
        <row r="214">
          <cell r="A214" t="str">
            <v>ADMINISTRATIVE &amp; MANAGEMENT EXPENSES</v>
          </cell>
        </row>
      </sheetData>
      <sheetData sheetId="1665">
        <row r="214">
          <cell r="A214" t="str">
            <v>ADMINISTRATIVE &amp; MANAGEMENT EXPENSES</v>
          </cell>
        </row>
      </sheetData>
      <sheetData sheetId="1666">
        <row r="214">
          <cell r="A214" t="str">
            <v>ADMINISTRATIVE &amp; MANAGEMENT EXPENSES</v>
          </cell>
        </row>
      </sheetData>
      <sheetData sheetId="1667">
        <row r="214">
          <cell r="A214" t="str">
            <v>ADMINISTRATIVE &amp; MANAGEMENT EXPENSES</v>
          </cell>
        </row>
      </sheetData>
      <sheetData sheetId="1668">
        <row r="214">
          <cell r="A214" t="str">
            <v>ADMINISTRATIVE &amp; MANAGEMENT EXPENSES</v>
          </cell>
        </row>
      </sheetData>
      <sheetData sheetId="1669">
        <row r="214">
          <cell r="A214" t="str">
            <v>ADMINISTRATIVE &amp; MANAGEMENT EXPENSES</v>
          </cell>
        </row>
      </sheetData>
      <sheetData sheetId="1670">
        <row r="214">
          <cell r="A214" t="str">
            <v>ADMINISTRATIVE &amp; MANAGEMENT EXPENSES</v>
          </cell>
        </row>
      </sheetData>
      <sheetData sheetId="1671">
        <row r="214">
          <cell r="A214" t="str">
            <v>ADMINISTRATIVE &amp; MANAGEMENT EXPENSES</v>
          </cell>
        </row>
      </sheetData>
      <sheetData sheetId="1672">
        <row r="214">
          <cell r="A214" t="str">
            <v>ADMINISTRATIVE &amp; MANAGEMENT EXPENSES</v>
          </cell>
        </row>
      </sheetData>
      <sheetData sheetId="1673">
        <row r="214">
          <cell r="A214" t="str">
            <v>ADMINISTRATIVE &amp; MANAGEMENT EXPENSES</v>
          </cell>
        </row>
      </sheetData>
      <sheetData sheetId="1674">
        <row r="214">
          <cell r="A214" t="str">
            <v>ADMINISTRATIVE &amp; MANAGEMENT EXPENSES</v>
          </cell>
        </row>
      </sheetData>
      <sheetData sheetId="1675">
        <row r="214">
          <cell r="A214" t="str">
            <v>ADMINISTRATIVE &amp; MANAGEMENT EXPENSES</v>
          </cell>
        </row>
      </sheetData>
      <sheetData sheetId="1676">
        <row r="214">
          <cell r="A214" t="str">
            <v>ADMINISTRATIVE &amp; MANAGEMENT EXPENSES</v>
          </cell>
        </row>
      </sheetData>
      <sheetData sheetId="1677">
        <row r="214">
          <cell r="A214" t="str">
            <v>ADMINISTRATIVE &amp; MANAGEMENT EXPENSES</v>
          </cell>
        </row>
      </sheetData>
      <sheetData sheetId="1678">
        <row r="214">
          <cell r="A214" t="str">
            <v>ADMINISTRATIVE &amp; MANAGEMENT EXPENSES</v>
          </cell>
        </row>
      </sheetData>
      <sheetData sheetId="1679">
        <row r="214">
          <cell r="A214" t="str">
            <v>ADMINISTRATIVE &amp; MANAGEMENT EXPENSES</v>
          </cell>
        </row>
      </sheetData>
      <sheetData sheetId="1680">
        <row r="214">
          <cell r="A214" t="str">
            <v>ADMINISTRATIVE &amp; MANAGEMENT EXPENSES</v>
          </cell>
        </row>
      </sheetData>
      <sheetData sheetId="1681">
        <row r="214">
          <cell r="A214" t="str">
            <v>ADMINISTRATIVE &amp; MANAGEMENT EXPENSES</v>
          </cell>
        </row>
      </sheetData>
      <sheetData sheetId="1682">
        <row r="214">
          <cell r="A214" t="str">
            <v>ADMINISTRATIVE &amp; MANAGEMENT EXPENSES</v>
          </cell>
        </row>
      </sheetData>
      <sheetData sheetId="1683">
        <row r="214">
          <cell r="A214" t="str">
            <v>ADMINISTRATIVE &amp; MANAGEMENT EXPENSES</v>
          </cell>
        </row>
      </sheetData>
      <sheetData sheetId="1684">
        <row r="214">
          <cell r="A214" t="str">
            <v>ADMINISTRATIVE &amp; MANAGEMENT EXPENSES</v>
          </cell>
        </row>
      </sheetData>
      <sheetData sheetId="1685">
        <row r="214">
          <cell r="A214" t="str">
            <v>ADMINISTRATIVE &amp; MANAGEMENT EXPENSES</v>
          </cell>
        </row>
      </sheetData>
      <sheetData sheetId="1686">
        <row r="214">
          <cell r="A214" t="str">
            <v>ADMINISTRATIVE &amp; MANAGEMENT EXPENSES</v>
          </cell>
        </row>
      </sheetData>
      <sheetData sheetId="1687">
        <row r="214">
          <cell r="A214" t="str">
            <v>ADMINISTRATIVE &amp; MANAGEMENT EXPENSES</v>
          </cell>
        </row>
      </sheetData>
      <sheetData sheetId="1688">
        <row r="214">
          <cell r="A214" t="str">
            <v>ADMINISTRATIVE &amp; MANAGEMENT EXPENSES</v>
          </cell>
        </row>
      </sheetData>
      <sheetData sheetId="1689">
        <row r="214">
          <cell r="A214" t="str">
            <v>ADMINISTRATIVE &amp; MANAGEMENT EXPENSES</v>
          </cell>
        </row>
      </sheetData>
      <sheetData sheetId="1690">
        <row r="214">
          <cell r="A214" t="str">
            <v>ADMINISTRATIVE &amp; MANAGEMENT EXPENSES</v>
          </cell>
        </row>
      </sheetData>
      <sheetData sheetId="1691">
        <row r="214">
          <cell r="A214" t="str">
            <v>ADMINISTRATIVE &amp; MANAGEMENT EXPENSES</v>
          </cell>
        </row>
      </sheetData>
      <sheetData sheetId="1692">
        <row r="214">
          <cell r="A214" t="str">
            <v>ADMINISTRATIVE &amp; MANAGEMENT EXPENSES</v>
          </cell>
        </row>
      </sheetData>
      <sheetData sheetId="1693">
        <row r="214">
          <cell r="A214" t="str">
            <v>ADMINISTRATIVE &amp; MANAGEMENT EXPENSES</v>
          </cell>
        </row>
      </sheetData>
      <sheetData sheetId="1694">
        <row r="214">
          <cell r="A214" t="str">
            <v>ADMINISTRATIVE &amp; MANAGEMENT EXPENSES</v>
          </cell>
        </row>
      </sheetData>
      <sheetData sheetId="1695">
        <row r="214">
          <cell r="A214" t="str">
            <v>ADMINISTRATIVE &amp; MANAGEMENT EXPENSES</v>
          </cell>
        </row>
      </sheetData>
      <sheetData sheetId="1696">
        <row r="214">
          <cell r="A214" t="str">
            <v>ADMINISTRATIVE &amp; MANAGEMENT EXPENSES</v>
          </cell>
        </row>
      </sheetData>
      <sheetData sheetId="1697">
        <row r="214">
          <cell r="A214" t="str">
            <v>ADMINISTRATIVE &amp; MANAGEMENT EXPENSES</v>
          </cell>
        </row>
      </sheetData>
      <sheetData sheetId="1698">
        <row r="214">
          <cell r="A214" t="str">
            <v>ADMINISTRATIVE &amp; MANAGEMENT EXPENSES</v>
          </cell>
        </row>
      </sheetData>
      <sheetData sheetId="1699">
        <row r="214">
          <cell r="A214" t="str">
            <v>ADMINISTRATIVE &amp; MANAGEMENT EXPENSES</v>
          </cell>
        </row>
      </sheetData>
      <sheetData sheetId="1700">
        <row r="214">
          <cell r="A214" t="str">
            <v>ADMINISTRATIVE &amp; MANAGEMENT EXPENSES</v>
          </cell>
        </row>
      </sheetData>
      <sheetData sheetId="1701">
        <row r="214">
          <cell r="A214" t="str">
            <v>ADMINISTRATIVE &amp; MANAGEMENT EXPENSES</v>
          </cell>
        </row>
      </sheetData>
      <sheetData sheetId="1702">
        <row r="214">
          <cell r="A214" t="str">
            <v>ADMINISTRATIVE &amp; MANAGEMENT EXPENSES</v>
          </cell>
        </row>
      </sheetData>
      <sheetData sheetId="1703">
        <row r="214">
          <cell r="A214" t="str">
            <v>ADMINISTRATIVE &amp; MANAGEMENT EXPENSES</v>
          </cell>
        </row>
      </sheetData>
      <sheetData sheetId="1704">
        <row r="214">
          <cell r="A214" t="str">
            <v>ADMINISTRATIVE &amp; MANAGEMENT EXPENSES</v>
          </cell>
        </row>
      </sheetData>
      <sheetData sheetId="1705">
        <row r="214">
          <cell r="A214" t="str">
            <v>ADMINISTRATIVE &amp; MANAGEMENT EXPENSES</v>
          </cell>
        </row>
      </sheetData>
      <sheetData sheetId="1706">
        <row r="214">
          <cell r="A214" t="str">
            <v>ADMINISTRATIVE &amp; MANAGEMENT EXPENSES</v>
          </cell>
        </row>
      </sheetData>
      <sheetData sheetId="1707">
        <row r="214">
          <cell r="A214" t="str">
            <v>ADMINISTRATIVE &amp; MANAGEMENT EXPENSES</v>
          </cell>
        </row>
      </sheetData>
      <sheetData sheetId="1708">
        <row r="214">
          <cell r="A214" t="str">
            <v>ADMINISTRATIVE &amp; MANAGEMENT EXPENSES</v>
          </cell>
        </row>
      </sheetData>
      <sheetData sheetId="1709">
        <row r="214">
          <cell r="A214" t="str">
            <v>ADMINISTRATIVE &amp; MANAGEMENT EXPENSES</v>
          </cell>
        </row>
      </sheetData>
      <sheetData sheetId="1710">
        <row r="214">
          <cell r="A214" t="str">
            <v>ADMINISTRATIVE &amp; MANAGEMENT EXPENSES</v>
          </cell>
        </row>
      </sheetData>
      <sheetData sheetId="1711">
        <row r="214">
          <cell r="A214" t="str">
            <v>ADMINISTRATIVE &amp; MANAGEMENT EXPENSES</v>
          </cell>
        </row>
      </sheetData>
      <sheetData sheetId="1712">
        <row r="214">
          <cell r="A214" t="str">
            <v>ADMINISTRATIVE &amp; MANAGEMENT EXPENSES</v>
          </cell>
        </row>
      </sheetData>
      <sheetData sheetId="1713">
        <row r="214">
          <cell r="A214" t="str">
            <v>ADMINISTRATIVE &amp; MANAGEMENT EXPENSES</v>
          </cell>
        </row>
      </sheetData>
      <sheetData sheetId="1714">
        <row r="214">
          <cell r="A214" t="str">
            <v>ADMINISTRATIVE &amp; MANAGEMENT EXPENSES</v>
          </cell>
        </row>
      </sheetData>
      <sheetData sheetId="1715">
        <row r="214">
          <cell r="A214" t="str">
            <v>ADMINISTRATIVE &amp; MANAGEMENT EXPENSES</v>
          </cell>
        </row>
      </sheetData>
      <sheetData sheetId="1716">
        <row r="214">
          <cell r="A214" t="str">
            <v>ADMINISTRATIVE &amp; MANAGEMENT EXPENSES</v>
          </cell>
        </row>
      </sheetData>
      <sheetData sheetId="1717">
        <row r="214">
          <cell r="A214" t="str">
            <v>ADMINISTRATIVE &amp; MANAGEMENT EXPENSES</v>
          </cell>
        </row>
      </sheetData>
      <sheetData sheetId="1718">
        <row r="214">
          <cell r="A214" t="str">
            <v>ADMINISTRATIVE &amp; MANAGEMENT EXPENSES</v>
          </cell>
        </row>
      </sheetData>
      <sheetData sheetId="1719">
        <row r="214">
          <cell r="A214" t="str">
            <v>ADMINISTRATIVE &amp; MANAGEMENT EXPENSES</v>
          </cell>
        </row>
      </sheetData>
      <sheetData sheetId="1720">
        <row r="214">
          <cell r="A214" t="str">
            <v>ADMINISTRATIVE &amp; MANAGEMENT EXPENSES</v>
          </cell>
        </row>
      </sheetData>
      <sheetData sheetId="1721">
        <row r="214">
          <cell r="A214" t="str">
            <v>ADMINISTRATIVE &amp; MANAGEMENT EXPENSES</v>
          </cell>
        </row>
      </sheetData>
      <sheetData sheetId="1722">
        <row r="214">
          <cell r="A214" t="str">
            <v>ADMINISTRATIVE &amp; MANAGEMENT EXPENSES</v>
          </cell>
        </row>
      </sheetData>
      <sheetData sheetId="1723">
        <row r="214">
          <cell r="A214" t="str">
            <v>ADMINISTRATIVE &amp; MANAGEMENT EXPENSES</v>
          </cell>
        </row>
      </sheetData>
      <sheetData sheetId="1724">
        <row r="214">
          <cell r="A214" t="str">
            <v>ADMINISTRATIVE &amp; MANAGEMENT EXPENSES</v>
          </cell>
        </row>
      </sheetData>
      <sheetData sheetId="1725">
        <row r="214">
          <cell r="A214" t="str">
            <v>ADMINISTRATIVE &amp; MANAGEMENT EXPENSES</v>
          </cell>
        </row>
      </sheetData>
      <sheetData sheetId="1726">
        <row r="214">
          <cell r="A214" t="str">
            <v>ADMINISTRATIVE &amp; MANAGEMENT EXPENSES</v>
          </cell>
        </row>
      </sheetData>
      <sheetData sheetId="1727">
        <row r="214">
          <cell r="A214" t="str">
            <v>ADMINISTRATIVE &amp; MANAGEMENT EXPENSES</v>
          </cell>
        </row>
      </sheetData>
      <sheetData sheetId="1728">
        <row r="214">
          <cell r="A214" t="str">
            <v>ADMINISTRATIVE &amp; MANAGEMENT EXPENSES</v>
          </cell>
        </row>
      </sheetData>
      <sheetData sheetId="1729">
        <row r="214">
          <cell r="A214" t="str">
            <v>ADMINISTRATIVE &amp; MANAGEMENT EXPENSES</v>
          </cell>
        </row>
      </sheetData>
      <sheetData sheetId="1730">
        <row r="214">
          <cell r="A214" t="str">
            <v>ADMINISTRATIVE &amp; MANAGEMENT EXPENSES</v>
          </cell>
        </row>
      </sheetData>
      <sheetData sheetId="1731">
        <row r="214">
          <cell r="A214" t="str">
            <v>ADMINISTRATIVE &amp; MANAGEMENT EXPENSES</v>
          </cell>
        </row>
      </sheetData>
      <sheetData sheetId="1732">
        <row r="214">
          <cell r="A214" t="str">
            <v>ADMINISTRATIVE &amp; MANAGEMENT EXPENSES</v>
          </cell>
        </row>
      </sheetData>
      <sheetData sheetId="1733">
        <row r="214">
          <cell r="A214" t="str">
            <v>ADMINISTRATIVE &amp; MANAGEMENT EXPENSES</v>
          </cell>
        </row>
      </sheetData>
      <sheetData sheetId="1734">
        <row r="214">
          <cell r="A214" t="str">
            <v>ADMINISTRATIVE &amp; MANAGEMENT EXPENSES</v>
          </cell>
        </row>
      </sheetData>
      <sheetData sheetId="1735">
        <row r="214">
          <cell r="A214" t="str">
            <v>ADMINISTRATIVE &amp; MANAGEMENT EXPENSES</v>
          </cell>
        </row>
      </sheetData>
      <sheetData sheetId="1736">
        <row r="214">
          <cell r="A214" t="str">
            <v>ADMINISTRATIVE &amp; MANAGEMENT EXPENSES</v>
          </cell>
        </row>
      </sheetData>
      <sheetData sheetId="1737">
        <row r="214">
          <cell r="A214" t="str">
            <v>ADMINISTRATIVE &amp; MANAGEMENT EXPENSES</v>
          </cell>
        </row>
      </sheetData>
      <sheetData sheetId="1738">
        <row r="214">
          <cell r="A214" t="str">
            <v>ADMINISTRATIVE &amp; MANAGEMENT EXPENSES</v>
          </cell>
        </row>
      </sheetData>
      <sheetData sheetId="1739">
        <row r="214">
          <cell r="A214" t="str">
            <v>ADMINISTRATIVE &amp; MANAGEMENT EXPENSES</v>
          </cell>
        </row>
      </sheetData>
      <sheetData sheetId="1740">
        <row r="214">
          <cell r="A214" t="str">
            <v>ADMINISTRATIVE &amp; MANAGEMENT EXPENSES</v>
          </cell>
        </row>
      </sheetData>
      <sheetData sheetId="1741">
        <row r="214">
          <cell r="A214" t="str">
            <v>ADMINISTRATIVE &amp; MANAGEMENT EXPENSES</v>
          </cell>
        </row>
      </sheetData>
      <sheetData sheetId="1742">
        <row r="214">
          <cell r="A214" t="str">
            <v>ADMINISTRATIVE &amp; MANAGEMENT EXPENSES</v>
          </cell>
        </row>
      </sheetData>
      <sheetData sheetId="1743">
        <row r="214">
          <cell r="A214" t="str">
            <v>ADMINISTRATIVE &amp; MANAGEMENT EXPENSES</v>
          </cell>
        </row>
      </sheetData>
      <sheetData sheetId="1744">
        <row r="214">
          <cell r="A214" t="str">
            <v>ADMINISTRATIVE &amp; MANAGEMENT EXPENSES</v>
          </cell>
        </row>
      </sheetData>
      <sheetData sheetId="1745">
        <row r="214">
          <cell r="A214" t="str">
            <v>ADMINISTRATIVE &amp; MANAGEMENT EXPENSES</v>
          </cell>
        </row>
      </sheetData>
      <sheetData sheetId="1746">
        <row r="214">
          <cell r="A214" t="str">
            <v>ADMINISTRATIVE &amp; MANAGEMENT EXPENSES</v>
          </cell>
        </row>
      </sheetData>
      <sheetData sheetId="1747">
        <row r="214">
          <cell r="A214" t="str">
            <v>ADMINISTRATIVE &amp; MANAGEMENT EXPENSES</v>
          </cell>
        </row>
      </sheetData>
      <sheetData sheetId="1748">
        <row r="214">
          <cell r="A214" t="str">
            <v>ADMINISTRATIVE &amp; MANAGEMENT EXPENSES</v>
          </cell>
        </row>
      </sheetData>
      <sheetData sheetId="1749">
        <row r="214">
          <cell r="A214" t="str">
            <v>ADMINISTRATIVE &amp; MANAGEMENT EXPENSES</v>
          </cell>
        </row>
      </sheetData>
      <sheetData sheetId="1750">
        <row r="214">
          <cell r="A214" t="str">
            <v>ADMINISTRATIVE &amp; MANAGEMENT EXPENSES</v>
          </cell>
        </row>
      </sheetData>
      <sheetData sheetId="1751">
        <row r="214">
          <cell r="A214" t="str">
            <v>ADMINISTRATIVE &amp; MANAGEMENT EXPENSES</v>
          </cell>
        </row>
      </sheetData>
      <sheetData sheetId="1752">
        <row r="214">
          <cell r="A214" t="str">
            <v>ADMINISTRATIVE &amp; MANAGEMENT EXPENSES</v>
          </cell>
        </row>
      </sheetData>
      <sheetData sheetId="1753">
        <row r="214">
          <cell r="A214" t="str">
            <v>ADMINISTRATIVE &amp; MANAGEMENT EXPENSES</v>
          </cell>
        </row>
      </sheetData>
      <sheetData sheetId="1754">
        <row r="214">
          <cell r="A214" t="str">
            <v>ADMINISTRATIVE &amp; MANAGEMENT EXPENSES</v>
          </cell>
        </row>
      </sheetData>
      <sheetData sheetId="1755">
        <row r="214">
          <cell r="A214" t="str">
            <v>ADMINISTRATIVE &amp; MANAGEMENT EXPENSES</v>
          </cell>
        </row>
      </sheetData>
      <sheetData sheetId="1756">
        <row r="214">
          <cell r="A214" t="str">
            <v>ADMINISTRATIVE &amp; MANAGEMENT EXPENSES</v>
          </cell>
        </row>
      </sheetData>
      <sheetData sheetId="1757">
        <row r="214">
          <cell r="A214" t="str">
            <v>ADMINISTRATIVE &amp; MANAGEMENT EXPENSES</v>
          </cell>
        </row>
      </sheetData>
      <sheetData sheetId="1758">
        <row r="214">
          <cell r="A214" t="str">
            <v>ADMINISTRATIVE &amp; MANAGEMENT EXPENSES</v>
          </cell>
        </row>
      </sheetData>
      <sheetData sheetId="1759">
        <row r="214">
          <cell r="A214" t="str">
            <v>ADMINISTRATIVE &amp; MANAGEMENT EXPENSES</v>
          </cell>
        </row>
      </sheetData>
      <sheetData sheetId="1760">
        <row r="214">
          <cell r="A214" t="str">
            <v>ADMINISTRATIVE &amp; MANAGEMENT EXPENSES</v>
          </cell>
        </row>
      </sheetData>
      <sheetData sheetId="1761">
        <row r="214">
          <cell r="A214" t="str">
            <v>ADMINISTRATIVE &amp; MANAGEMENT EXPENSES</v>
          </cell>
        </row>
      </sheetData>
      <sheetData sheetId="1762">
        <row r="214">
          <cell r="A214" t="str">
            <v>ADMINISTRATIVE &amp; MANAGEMENT EXPENSES</v>
          </cell>
        </row>
      </sheetData>
      <sheetData sheetId="1763">
        <row r="214">
          <cell r="A214" t="str">
            <v>ADMINISTRATIVE &amp; MANAGEMENT EXPENSES</v>
          </cell>
        </row>
      </sheetData>
      <sheetData sheetId="1764">
        <row r="214">
          <cell r="A214" t="str">
            <v>ADMINISTRATIVE &amp; MANAGEMENT EXPENSES</v>
          </cell>
        </row>
      </sheetData>
      <sheetData sheetId="1765">
        <row r="214">
          <cell r="A214" t="str">
            <v>ADMINISTRATIVE &amp; MANAGEMENT EXPENSES</v>
          </cell>
        </row>
      </sheetData>
      <sheetData sheetId="1766">
        <row r="214">
          <cell r="A214" t="str">
            <v>ADMINISTRATIVE &amp; MANAGEMENT EXPENSES</v>
          </cell>
        </row>
      </sheetData>
      <sheetData sheetId="1767">
        <row r="214">
          <cell r="A214" t="str">
            <v>ADMINISTRATIVE &amp; MANAGEMENT EXPENSES</v>
          </cell>
        </row>
      </sheetData>
      <sheetData sheetId="1768">
        <row r="214">
          <cell r="A214" t="str">
            <v>ADMINISTRATIVE &amp; MANAGEMENT EXPENSES</v>
          </cell>
        </row>
      </sheetData>
      <sheetData sheetId="1769">
        <row r="214">
          <cell r="A214" t="str">
            <v>ADMINISTRATIVE &amp; MANAGEMENT EXPENSES</v>
          </cell>
        </row>
      </sheetData>
      <sheetData sheetId="1770">
        <row r="214">
          <cell r="A214" t="str">
            <v>ADMINISTRATIVE &amp; MANAGEMENT EXPENSES</v>
          </cell>
        </row>
      </sheetData>
      <sheetData sheetId="1771">
        <row r="214">
          <cell r="A214" t="str">
            <v>ADMINISTRATIVE &amp; MANAGEMENT EXPENSES</v>
          </cell>
        </row>
      </sheetData>
      <sheetData sheetId="1772">
        <row r="214">
          <cell r="A214" t="str">
            <v>ADMINISTRATIVE &amp; MANAGEMENT EXPENSES</v>
          </cell>
        </row>
      </sheetData>
      <sheetData sheetId="1773">
        <row r="214">
          <cell r="A214" t="str">
            <v>ADMINISTRATIVE &amp; MANAGEMENT EXPENSES</v>
          </cell>
        </row>
      </sheetData>
      <sheetData sheetId="1774">
        <row r="214">
          <cell r="A214" t="str">
            <v>ADMINISTRATIVE &amp; MANAGEMENT EXPENSES</v>
          </cell>
        </row>
      </sheetData>
      <sheetData sheetId="1775">
        <row r="214">
          <cell r="A214" t="str">
            <v>ADMINISTRATIVE &amp; MANAGEMENT EXPENSES</v>
          </cell>
        </row>
      </sheetData>
      <sheetData sheetId="1776">
        <row r="214">
          <cell r="A214" t="str">
            <v>ADMINISTRATIVE &amp; MANAGEMENT EXPENSES</v>
          </cell>
        </row>
      </sheetData>
      <sheetData sheetId="1777">
        <row r="214">
          <cell r="A214" t="str">
            <v>ADMINISTRATIVE &amp; MANAGEMENT EXPENSES</v>
          </cell>
        </row>
      </sheetData>
      <sheetData sheetId="1778">
        <row r="214">
          <cell r="A214" t="str">
            <v>ADMINISTRATIVE &amp; MANAGEMENT EXPENSES</v>
          </cell>
        </row>
      </sheetData>
      <sheetData sheetId="1779">
        <row r="214">
          <cell r="A214" t="str">
            <v>ADMINISTRATIVE &amp; MANAGEMENT EXPENSES</v>
          </cell>
        </row>
      </sheetData>
      <sheetData sheetId="1780">
        <row r="214">
          <cell r="A214" t="str">
            <v>ADMINISTRATIVE &amp; MANAGEMENT EXPENSES</v>
          </cell>
        </row>
      </sheetData>
      <sheetData sheetId="1781">
        <row r="214">
          <cell r="A214" t="str">
            <v>ADMINISTRATIVE &amp; MANAGEMENT EXPENSES</v>
          </cell>
        </row>
      </sheetData>
      <sheetData sheetId="1782">
        <row r="214">
          <cell r="A214" t="str">
            <v>ADMINISTRATIVE &amp; MANAGEMENT EXPENSES</v>
          </cell>
        </row>
      </sheetData>
      <sheetData sheetId="1783">
        <row r="214">
          <cell r="A214" t="str">
            <v>ADMINISTRATIVE &amp; MANAGEMENT EXPENSES</v>
          </cell>
        </row>
      </sheetData>
      <sheetData sheetId="1784">
        <row r="214">
          <cell r="A214" t="str">
            <v>ADMINISTRATIVE &amp; MANAGEMENT EXPENSES</v>
          </cell>
        </row>
      </sheetData>
      <sheetData sheetId="1785">
        <row r="214">
          <cell r="A214" t="str">
            <v>ADMINISTRATIVE &amp; MANAGEMENT EXPENSES</v>
          </cell>
        </row>
      </sheetData>
      <sheetData sheetId="1786">
        <row r="214">
          <cell r="A214" t="str">
            <v>ADMINISTRATIVE &amp; MANAGEMENT EXPENSES</v>
          </cell>
        </row>
      </sheetData>
      <sheetData sheetId="1787">
        <row r="214">
          <cell r="A214" t="str">
            <v>ADMINISTRATIVE &amp; MANAGEMENT EXPENSES</v>
          </cell>
        </row>
      </sheetData>
      <sheetData sheetId="1788">
        <row r="214">
          <cell r="A214" t="str">
            <v>ADMINISTRATIVE &amp; MANAGEMENT EXPENSES</v>
          </cell>
        </row>
      </sheetData>
      <sheetData sheetId="1789">
        <row r="214">
          <cell r="A214" t="str">
            <v>ADMINISTRATIVE &amp; MANAGEMENT EXPENSES</v>
          </cell>
        </row>
      </sheetData>
      <sheetData sheetId="1790">
        <row r="214">
          <cell r="A214" t="str">
            <v>ADMINISTRATIVE &amp; MANAGEMENT EXPENSES</v>
          </cell>
        </row>
      </sheetData>
      <sheetData sheetId="1791">
        <row r="214">
          <cell r="A214" t="str">
            <v>ADMINISTRATIVE &amp; MANAGEMENT EXPENSES</v>
          </cell>
        </row>
      </sheetData>
      <sheetData sheetId="1792">
        <row r="214">
          <cell r="A214" t="str">
            <v>ADMINISTRATIVE &amp; MANAGEMENT EXPENSES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214">
          <cell r="A214" t="str">
            <v>ADMINISTRATIVE &amp; MANAGEMENT EXPENSES</v>
          </cell>
        </row>
      </sheetData>
      <sheetData sheetId="1882">
        <row r="214">
          <cell r="A214" t="str">
            <v>ADMINISTRATIVE &amp; MANAGEMENT EXPENSES</v>
          </cell>
        </row>
      </sheetData>
      <sheetData sheetId="1883">
        <row r="214">
          <cell r="A214" t="str">
            <v>ADMINISTRATIVE &amp; MANAGEMENT EXPENSES</v>
          </cell>
        </row>
      </sheetData>
      <sheetData sheetId="1884">
        <row r="214">
          <cell r="A214" t="str">
            <v>ADMINISTRATIVE &amp; MANAGEMENT EXPENSES</v>
          </cell>
        </row>
      </sheetData>
      <sheetData sheetId="1885">
        <row r="214">
          <cell r="A214" t="str">
            <v>ADMINISTRATIVE &amp; MANAGEMENT EXPENSES</v>
          </cell>
        </row>
      </sheetData>
      <sheetData sheetId="1886">
        <row r="214">
          <cell r="A214" t="str">
            <v>ADMINISTRATIVE &amp; MANAGEMENT EXPENSES</v>
          </cell>
        </row>
      </sheetData>
      <sheetData sheetId="1887">
        <row r="214">
          <cell r="A214" t="str">
            <v>ADMINISTRATIVE &amp; MANAGEMENT EXPENSES</v>
          </cell>
        </row>
      </sheetData>
      <sheetData sheetId="1888">
        <row r="214">
          <cell r="A214" t="str">
            <v>ADMINISTRATIVE &amp; MANAGEMENT EXPENSES</v>
          </cell>
        </row>
      </sheetData>
      <sheetData sheetId="1889">
        <row r="214">
          <cell r="A214" t="str">
            <v>ADMINISTRATIVE &amp; MANAGEMENT EXPENSES</v>
          </cell>
        </row>
      </sheetData>
      <sheetData sheetId="1890">
        <row r="214">
          <cell r="A214" t="str">
            <v>ADMINISTRATIVE &amp; MANAGEMENT EXPENSES</v>
          </cell>
        </row>
      </sheetData>
      <sheetData sheetId="1891">
        <row r="214">
          <cell r="A214" t="str">
            <v>ADMINISTRATIVE &amp; MANAGEMENT EXPENSES</v>
          </cell>
        </row>
      </sheetData>
      <sheetData sheetId="1892">
        <row r="214">
          <cell r="A214" t="str">
            <v>ADMINISTRATIVE &amp; MANAGEMENT EXPENSES</v>
          </cell>
        </row>
      </sheetData>
      <sheetData sheetId="1893">
        <row r="214">
          <cell r="A214" t="str">
            <v>ADMINISTRATIVE &amp; MANAGEMENT EXPENSES</v>
          </cell>
        </row>
      </sheetData>
      <sheetData sheetId="1894">
        <row r="214">
          <cell r="A214" t="str">
            <v>ADMINISTRATIVE &amp; MANAGEMENT EXPENSES</v>
          </cell>
        </row>
      </sheetData>
      <sheetData sheetId="1895">
        <row r="214">
          <cell r="A214" t="str">
            <v>ADMINISTRATIVE &amp; MANAGEMENT EXPENSES</v>
          </cell>
        </row>
      </sheetData>
      <sheetData sheetId="1896">
        <row r="214">
          <cell r="A214" t="str">
            <v>ADMINISTRATIVE &amp; MANAGEMENT EXPENSES</v>
          </cell>
        </row>
      </sheetData>
      <sheetData sheetId="1897">
        <row r="214">
          <cell r="A214" t="str">
            <v>ADMINISTRATIVE &amp; MANAGEMENT EXPENSES</v>
          </cell>
        </row>
      </sheetData>
      <sheetData sheetId="1898">
        <row r="214">
          <cell r="A214" t="str">
            <v>ADMINISTRATIVE &amp; MANAGEMENT EXPENSES</v>
          </cell>
        </row>
      </sheetData>
      <sheetData sheetId="1899">
        <row r="214">
          <cell r="A214" t="str">
            <v>ADMINISTRATIVE &amp; MANAGEMENT EXPENSES</v>
          </cell>
        </row>
      </sheetData>
      <sheetData sheetId="1900">
        <row r="214">
          <cell r="A214" t="str">
            <v>ADMINISTRATIVE &amp; MANAGEMENT EXPENSES</v>
          </cell>
        </row>
      </sheetData>
      <sheetData sheetId="1901">
        <row r="214">
          <cell r="A214" t="str">
            <v>ADMINISTRATIVE &amp; MANAGEMENT EXPENSES</v>
          </cell>
        </row>
      </sheetData>
      <sheetData sheetId="1902">
        <row r="214">
          <cell r="A214" t="str">
            <v>ADMINISTRATIVE &amp; MANAGEMENT EXPENSES</v>
          </cell>
        </row>
      </sheetData>
      <sheetData sheetId="1903">
        <row r="214">
          <cell r="A214" t="str">
            <v>ADMINISTRATIVE &amp; MANAGEMENT EXPENSES</v>
          </cell>
        </row>
      </sheetData>
      <sheetData sheetId="1904">
        <row r="214">
          <cell r="A214" t="str">
            <v>ADMINISTRATIVE &amp; MANAGEMENT EXPENSES</v>
          </cell>
        </row>
      </sheetData>
      <sheetData sheetId="1905">
        <row r="214">
          <cell r="A214" t="str">
            <v>ADMINISTRATIVE &amp; MANAGEMENT EXPENSES</v>
          </cell>
        </row>
      </sheetData>
      <sheetData sheetId="1906">
        <row r="214">
          <cell r="A214" t="str">
            <v>ADMINISTRATIVE &amp; MANAGEMENT EXPENSES</v>
          </cell>
        </row>
      </sheetData>
      <sheetData sheetId="1907">
        <row r="214">
          <cell r="A214" t="str">
            <v>ADMINISTRATIVE &amp; MANAGEMENT EXPENSES</v>
          </cell>
        </row>
      </sheetData>
      <sheetData sheetId="1908">
        <row r="214">
          <cell r="A214" t="str">
            <v>ADMINISTRATIVE &amp; MANAGEMENT EXPENSES</v>
          </cell>
        </row>
      </sheetData>
      <sheetData sheetId="1909">
        <row r="214">
          <cell r="A214" t="str">
            <v>ADMINISTRATIVE &amp; MANAGEMENT EXPENSES</v>
          </cell>
        </row>
      </sheetData>
      <sheetData sheetId="1910">
        <row r="214">
          <cell r="A214" t="str">
            <v>ADMINISTRATIVE &amp; MANAGEMENT EXPENSES</v>
          </cell>
        </row>
      </sheetData>
      <sheetData sheetId="1911">
        <row r="214">
          <cell r="A214" t="str">
            <v>ADMINISTRATIVE &amp; MANAGEMENT EXPENSES</v>
          </cell>
        </row>
      </sheetData>
      <sheetData sheetId="1912">
        <row r="214">
          <cell r="A214" t="str">
            <v>ADMINISTRATIVE &amp; MANAGEMENT EXPENSES</v>
          </cell>
        </row>
      </sheetData>
      <sheetData sheetId="1913">
        <row r="214">
          <cell r="A214" t="str">
            <v>ADMINISTRATIVE &amp; MANAGEMENT EXPENSES</v>
          </cell>
        </row>
      </sheetData>
      <sheetData sheetId="1914">
        <row r="214">
          <cell r="A214" t="str">
            <v>ADMINISTRATIVE &amp; MANAGEMENT EXPENSES</v>
          </cell>
        </row>
      </sheetData>
      <sheetData sheetId="1915">
        <row r="214">
          <cell r="A214" t="str">
            <v>ADMINISTRATIVE &amp; MANAGEMENT EXPENSES</v>
          </cell>
        </row>
      </sheetData>
      <sheetData sheetId="1916">
        <row r="214">
          <cell r="A214" t="str">
            <v>ADMINISTRATIVE &amp; MANAGEMENT EXPENSES</v>
          </cell>
        </row>
      </sheetData>
      <sheetData sheetId="1917">
        <row r="214">
          <cell r="A214" t="str">
            <v>ADMINISTRATIVE &amp; MANAGEMENT EXPENSES</v>
          </cell>
        </row>
      </sheetData>
      <sheetData sheetId="1918">
        <row r="214">
          <cell r="A214" t="str">
            <v>ADMINISTRATIVE &amp; MANAGEMENT EXPENSES</v>
          </cell>
        </row>
      </sheetData>
      <sheetData sheetId="1919">
        <row r="214">
          <cell r="A214" t="str">
            <v>ADMINISTRATIVE &amp; MANAGEMENT EXPENSES</v>
          </cell>
        </row>
      </sheetData>
      <sheetData sheetId="1920">
        <row r="214">
          <cell r="A214" t="str">
            <v>ADMINISTRATIVE &amp; MANAGEMENT EXPENSES</v>
          </cell>
        </row>
      </sheetData>
      <sheetData sheetId="1921">
        <row r="214">
          <cell r="A214" t="str">
            <v>ADMINISTRATIVE &amp; MANAGEMENT EXPENSES</v>
          </cell>
        </row>
      </sheetData>
      <sheetData sheetId="1922">
        <row r="214">
          <cell r="A214" t="str">
            <v>ADMINISTRATIVE &amp; MANAGEMENT EXPENSES</v>
          </cell>
        </row>
      </sheetData>
      <sheetData sheetId="1923">
        <row r="214">
          <cell r="A214" t="str">
            <v>ADMINISTRATIVE &amp; MANAGEMENT EXPENSES</v>
          </cell>
        </row>
      </sheetData>
      <sheetData sheetId="1924">
        <row r="214">
          <cell r="A214" t="str">
            <v>ADMINISTRATIVE &amp; MANAGEMENT EXPENSES</v>
          </cell>
        </row>
      </sheetData>
      <sheetData sheetId="1925">
        <row r="214">
          <cell r="A214" t="str">
            <v>ADMINISTRATIVE &amp; MANAGEMENT EXPENSES</v>
          </cell>
        </row>
      </sheetData>
      <sheetData sheetId="1926">
        <row r="214">
          <cell r="A214" t="str">
            <v>ADMINISTRATIVE &amp; MANAGEMENT EXPENSES</v>
          </cell>
        </row>
      </sheetData>
      <sheetData sheetId="1927">
        <row r="214">
          <cell r="A214" t="str">
            <v>ADMINISTRATIVE &amp; MANAGEMENT EXPENSES</v>
          </cell>
        </row>
      </sheetData>
      <sheetData sheetId="1928">
        <row r="214">
          <cell r="A214" t="str">
            <v>ADMINISTRATIVE &amp; MANAGEMENT EXPENSES</v>
          </cell>
        </row>
      </sheetData>
      <sheetData sheetId="1929">
        <row r="214">
          <cell r="A214" t="str">
            <v>ADMINISTRATIVE &amp; MANAGEMENT EXPENSES</v>
          </cell>
        </row>
      </sheetData>
      <sheetData sheetId="1930">
        <row r="214">
          <cell r="A214" t="str">
            <v>ADMINISTRATIVE &amp; MANAGEMENT EXPENSES</v>
          </cell>
        </row>
      </sheetData>
      <sheetData sheetId="1931">
        <row r="214">
          <cell r="A214" t="str">
            <v>ADMINISTRATIVE &amp; MANAGEMENT EXPENSES</v>
          </cell>
        </row>
      </sheetData>
      <sheetData sheetId="1932">
        <row r="214">
          <cell r="A214" t="str">
            <v>ADMINISTRATIVE &amp; MANAGEMENT EXPENSES</v>
          </cell>
        </row>
      </sheetData>
      <sheetData sheetId="1933">
        <row r="214">
          <cell r="A214" t="str">
            <v>ADMINISTRATIVE &amp; MANAGEMENT EXPENSES</v>
          </cell>
        </row>
      </sheetData>
      <sheetData sheetId="1934">
        <row r="214">
          <cell r="A214" t="str">
            <v>ADMINISTRATIVE &amp; MANAGEMENT EXPENSES</v>
          </cell>
        </row>
      </sheetData>
      <sheetData sheetId="1935">
        <row r="214">
          <cell r="A214" t="str">
            <v>ADMINISTRATIVE &amp; MANAGEMENT EXPENSES</v>
          </cell>
        </row>
      </sheetData>
      <sheetData sheetId="1936">
        <row r="214">
          <cell r="A214" t="str">
            <v>ADMINISTRATIVE &amp; MANAGEMENT EXPENSES</v>
          </cell>
        </row>
      </sheetData>
      <sheetData sheetId="1937">
        <row r="214">
          <cell r="A214" t="str">
            <v>ADMINISTRATIVE &amp; MANAGEMENT EXPENSES</v>
          </cell>
        </row>
      </sheetData>
      <sheetData sheetId="1938">
        <row r="214">
          <cell r="A214" t="str">
            <v>ADMINISTRATIVE &amp; MANAGEMENT EXPENSES</v>
          </cell>
        </row>
      </sheetData>
      <sheetData sheetId="1939">
        <row r="214">
          <cell r="A214" t="str">
            <v>ADMINISTRATIVE &amp; MANAGEMENT EXPENSES</v>
          </cell>
        </row>
      </sheetData>
      <sheetData sheetId="1940">
        <row r="214">
          <cell r="A214" t="str">
            <v>ADMINISTRATIVE &amp; MANAGEMENT EXPENSES</v>
          </cell>
        </row>
      </sheetData>
      <sheetData sheetId="1941">
        <row r="214">
          <cell r="A214" t="str">
            <v>ADMINISTRATIVE &amp; MANAGEMENT EXPENSES</v>
          </cell>
        </row>
      </sheetData>
      <sheetData sheetId="1942">
        <row r="214">
          <cell r="A214" t="str">
            <v>ADMINISTRATIVE &amp; MANAGEMENT EXPENSES</v>
          </cell>
        </row>
      </sheetData>
      <sheetData sheetId="1943">
        <row r="214">
          <cell r="A214" t="str">
            <v>ADMINISTRATIVE &amp; MANAGEMENT EXPENSES</v>
          </cell>
        </row>
      </sheetData>
      <sheetData sheetId="1944">
        <row r="214">
          <cell r="A214" t="str">
            <v>ADMINISTRATIVE &amp; MANAGEMENT EXPENSES</v>
          </cell>
        </row>
      </sheetData>
      <sheetData sheetId="1945">
        <row r="214">
          <cell r="A214" t="str">
            <v>ADMINISTRATIVE &amp; MANAGEMENT EXPENSES</v>
          </cell>
        </row>
      </sheetData>
      <sheetData sheetId="1946">
        <row r="214">
          <cell r="A214" t="str">
            <v>ADMINISTRATIVE &amp; MANAGEMENT EXPENSES</v>
          </cell>
        </row>
      </sheetData>
      <sheetData sheetId="1947">
        <row r="214">
          <cell r="A214" t="str">
            <v>ADMINISTRATIVE &amp; MANAGEMENT EXPENSES</v>
          </cell>
        </row>
      </sheetData>
      <sheetData sheetId="1948">
        <row r="214">
          <cell r="A214" t="str">
            <v>ADMINISTRATIVE &amp; MANAGEMENT EXPENSES</v>
          </cell>
        </row>
      </sheetData>
      <sheetData sheetId="1949">
        <row r="214">
          <cell r="A214" t="str">
            <v>ADMINISTRATIVE &amp; MANAGEMENT EXPENSES</v>
          </cell>
        </row>
      </sheetData>
      <sheetData sheetId="1950">
        <row r="214">
          <cell r="A214" t="str">
            <v>ADMINISTRATIVE &amp; MANAGEMENT EXPENSES</v>
          </cell>
        </row>
      </sheetData>
      <sheetData sheetId="1951">
        <row r="214">
          <cell r="A214" t="str">
            <v>ADMINISTRATIVE &amp; MANAGEMENT EXPENSES</v>
          </cell>
        </row>
      </sheetData>
      <sheetData sheetId="1952">
        <row r="214">
          <cell r="A214" t="str">
            <v>ADMINISTRATIVE &amp; MANAGEMENT EXPENSES</v>
          </cell>
        </row>
      </sheetData>
      <sheetData sheetId="1953">
        <row r="214">
          <cell r="A214" t="str">
            <v>ADMINISTRATIVE &amp; MANAGEMENT EXPENSES</v>
          </cell>
        </row>
      </sheetData>
      <sheetData sheetId="1954">
        <row r="214">
          <cell r="A214" t="str">
            <v>ADMINISTRATIVE &amp; MANAGEMENT EXPENSES</v>
          </cell>
        </row>
      </sheetData>
      <sheetData sheetId="1955">
        <row r="214">
          <cell r="A214" t="str">
            <v>ADMINISTRATIVE &amp; MANAGEMENT EXPENSES</v>
          </cell>
        </row>
      </sheetData>
      <sheetData sheetId="1956">
        <row r="214">
          <cell r="A214" t="str">
            <v>ADMINISTRATIVE &amp; MANAGEMENT EXPENSES</v>
          </cell>
        </row>
      </sheetData>
      <sheetData sheetId="1957">
        <row r="214">
          <cell r="A214" t="str">
            <v>ADMINISTRATIVE &amp; MANAGEMENT EXPENSES</v>
          </cell>
        </row>
      </sheetData>
      <sheetData sheetId="1958">
        <row r="214">
          <cell r="A214" t="str">
            <v>ADMINISTRATIVE &amp; MANAGEMENT EXPENSES</v>
          </cell>
        </row>
      </sheetData>
      <sheetData sheetId="1959">
        <row r="214">
          <cell r="A214" t="str">
            <v>ADMINISTRATIVE &amp; MANAGEMENT EXPENSES</v>
          </cell>
        </row>
      </sheetData>
      <sheetData sheetId="1960">
        <row r="214">
          <cell r="A214" t="str">
            <v>ADMINISTRATIVE &amp; MANAGEMENT EXPENSES</v>
          </cell>
        </row>
      </sheetData>
      <sheetData sheetId="1961">
        <row r="214">
          <cell r="A214" t="str">
            <v>ADMINISTRATIVE &amp; MANAGEMENT EXPENSES</v>
          </cell>
        </row>
      </sheetData>
      <sheetData sheetId="1962">
        <row r="214">
          <cell r="A214" t="str">
            <v>ADMINISTRATIVE &amp; MANAGEMENT EXPENSES</v>
          </cell>
        </row>
      </sheetData>
      <sheetData sheetId="1963">
        <row r="214">
          <cell r="A214" t="str">
            <v>ADMINISTRATIVE &amp; MANAGEMENT EXPENSES</v>
          </cell>
        </row>
      </sheetData>
      <sheetData sheetId="1964">
        <row r="214">
          <cell r="A214" t="str">
            <v>ADMINISTRATIVE &amp; MANAGEMENT EXPENSES</v>
          </cell>
        </row>
      </sheetData>
      <sheetData sheetId="1965">
        <row r="214">
          <cell r="A214" t="str">
            <v>ADMINISTRATIVE &amp; MANAGEMENT EXPENSES</v>
          </cell>
        </row>
      </sheetData>
      <sheetData sheetId="1966">
        <row r="214">
          <cell r="A214" t="str">
            <v>ADMINISTRATIVE &amp; MANAGEMENT EXPENSES</v>
          </cell>
        </row>
      </sheetData>
      <sheetData sheetId="1967">
        <row r="214">
          <cell r="A214" t="str">
            <v>ADMINISTRATIVE &amp; MANAGEMENT EXPENSES</v>
          </cell>
        </row>
      </sheetData>
      <sheetData sheetId="1968">
        <row r="214">
          <cell r="A214" t="str">
            <v>ADMINISTRATIVE &amp; MANAGEMENT EXPENSES</v>
          </cell>
        </row>
      </sheetData>
      <sheetData sheetId="1969">
        <row r="214">
          <cell r="A214" t="str">
            <v>ADMINISTRATIVE &amp; MANAGEMENT EXPENSES</v>
          </cell>
        </row>
      </sheetData>
      <sheetData sheetId="1970">
        <row r="214">
          <cell r="A214" t="str">
            <v>ADMINISTRATIVE &amp; MANAGEMENT EXPENSES</v>
          </cell>
        </row>
      </sheetData>
      <sheetData sheetId="1971">
        <row r="214">
          <cell r="A214" t="str">
            <v>ADMINISTRATIVE &amp; MANAGEMENT EXPENSES</v>
          </cell>
        </row>
      </sheetData>
      <sheetData sheetId="1972">
        <row r="214">
          <cell r="A214" t="str">
            <v>ADMINISTRATIVE &amp; MANAGEMENT EXPENSES</v>
          </cell>
        </row>
      </sheetData>
      <sheetData sheetId="1973">
        <row r="214">
          <cell r="A214" t="str">
            <v>ADMINISTRATIVE &amp; MANAGEMENT EXPENSES</v>
          </cell>
        </row>
      </sheetData>
      <sheetData sheetId="1974">
        <row r="214">
          <cell r="A214" t="str">
            <v>ADMINISTRATIVE &amp; MANAGEMENT EXPENSES</v>
          </cell>
        </row>
      </sheetData>
      <sheetData sheetId="1975">
        <row r="214">
          <cell r="A214" t="str">
            <v>ADMINISTRATIVE &amp; MANAGEMENT EXPENSES</v>
          </cell>
        </row>
      </sheetData>
      <sheetData sheetId="1976">
        <row r="214">
          <cell r="A214" t="str">
            <v>ADMINISTRATIVE &amp; MANAGEMENT EXPENSES</v>
          </cell>
        </row>
      </sheetData>
      <sheetData sheetId="1977">
        <row r="214">
          <cell r="A214" t="str">
            <v>ADMINISTRATIVE &amp; MANAGEMENT EXPENSES</v>
          </cell>
        </row>
      </sheetData>
      <sheetData sheetId="1978">
        <row r="214">
          <cell r="A214" t="str">
            <v>ADMINISTRATIVE &amp; MANAGEMENT EXPENSES</v>
          </cell>
        </row>
      </sheetData>
      <sheetData sheetId="1979">
        <row r="214">
          <cell r="A214" t="str">
            <v>ADMINISTRATIVE &amp; MANAGEMENT EXPENSES</v>
          </cell>
        </row>
      </sheetData>
      <sheetData sheetId="1980">
        <row r="214">
          <cell r="A214" t="str">
            <v>ADMINISTRATIVE &amp; MANAGEMENT EXPENSES</v>
          </cell>
        </row>
      </sheetData>
      <sheetData sheetId="1981">
        <row r="214">
          <cell r="A214" t="str">
            <v>ADMINISTRATIVE &amp; MANAGEMENT EXPENSES</v>
          </cell>
        </row>
      </sheetData>
      <sheetData sheetId="1982">
        <row r="214">
          <cell r="A214" t="str">
            <v>ADMINISTRATIVE &amp; MANAGEMENT EXPENSES</v>
          </cell>
        </row>
      </sheetData>
      <sheetData sheetId="1983">
        <row r="214">
          <cell r="A214" t="str">
            <v>ADMINISTRATIVE &amp; MANAGEMENT EXPENSES</v>
          </cell>
        </row>
      </sheetData>
      <sheetData sheetId="1984">
        <row r="214">
          <cell r="A214" t="str">
            <v>ADMINISTRATIVE &amp; MANAGEMENT EXPENSES</v>
          </cell>
        </row>
      </sheetData>
      <sheetData sheetId="1985">
        <row r="214">
          <cell r="A214" t="str">
            <v>ADMINISTRATIVE &amp; MANAGEMENT EXPENSES</v>
          </cell>
        </row>
      </sheetData>
      <sheetData sheetId="1986">
        <row r="214">
          <cell r="A214" t="str">
            <v>ADMINISTRATIVE &amp; MANAGEMENT EXPENSES</v>
          </cell>
        </row>
      </sheetData>
      <sheetData sheetId="1987">
        <row r="214">
          <cell r="A214" t="str">
            <v>ADMINISTRATIVE &amp; MANAGEMENT EXPENSES</v>
          </cell>
        </row>
      </sheetData>
      <sheetData sheetId="1988">
        <row r="214">
          <cell r="A214" t="str">
            <v>ADMINISTRATIVE &amp; MANAGEMENT EXPENSES</v>
          </cell>
        </row>
      </sheetData>
      <sheetData sheetId="1989">
        <row r="214">
          <cell r="A214" t="str">
            <v>ADMINISTRATIVE &amp; MANAGEMENT EXPENSES</v>
          </cell>
        </row>
      </sheetData>
      <sheetData sheetId="1990">
        <row r="214">
          <cell r="A214" t="str">
            <v>ADMINISTRATIVE &amp; MANAGEMENT EXPENSES</v>
          </cell>
        </row>
      </sheetData>
      <sheetData sheetId="1991">
        <row r="214">
          <cell r="A214" t="str">
            <v>ADMINISTRATIVE &amp; MANAGEMENT EXPENSES</v>
          </cell>
        </row>
      </sheetData>
      <sheetData sheetId="1992">
        <row r="214">
          <cell r="A214" t="str">
            <v>ADMINISTRATIVE &amp; MANAGEMENT EXPENSES</v>
          </cell>
        </row>
      </sheetData>
      <sheetData sheetId="1993">
        <row r="214">
          <cell r="A214" t="str">
            <v>ADMINISTRATIVE &amp; MANAGEMENT EXPENSES</v>
          </cell>
        </row>
      </sheetData>
      <sheetData sheetId="1994">
        <row r="214">
          <cell r="A214" t="str">
            <v>ADMINISTRATIVE &amp; MANAGEMENT EXPENSES</v>
          </cell>
        </row>
      </sheetData>
      <sheetData sheetId="1995">
        <row r="214">
          <cell r="A214" t="str">
            <v>ADMINISTRATIVE &amp; MANAGEMENT EXPENSES</v>
          </cell>
        </row>
      </sheetData>
      <sheetData sheetId="1996">
        <row r="214">
          <cell r="A214" t="str">
            <v>ADMINISTRATIVE &amp; MANAGEMENT EXPENSES</v>
          </cell>
        </row>
      </sheetData>
      <sheetData sheetId="1997">
        <row r="214">
          <cell r="A214" t="str">
            <v>ADMINISTRATIVE &amp; MANAGEMENT EXPENSES</v>
          </cell>
        </row>
      </sheetData>
      <sheetData sheetId="1998">
        <row r="214">
          <cell r="A214" t="str">
            <v>ADMINISTRATIVE &amp; MANAGEMENT EXPENSES</v>
          </cell>
        </row>
      </sheetData>
      <sheetData sheetId="1999">
        <row r="214">
          <cell r="A214" t="str">
            <v>ADMINISTRATIVE &amp; MANAGEMENT EXPENSES</v>
          </cell>
        </row>
      </sheetData>
      <sheetData sheetId="2000">
        <row r="214">
          <cell r="A214" t="str">
            <v>ADMINISTRATIVE &amp; MANAGEMENT EXPENSES</v>
          </cell>
        </row>
      </sheetData>
      <sheetData sheetId="2001">
        <row r="214">
          <cell r="A214" t="str">
            <v>ADMINISTRATIVE &amp; MANAGEMENT EXPENSES</v>
          </cell>
        </row>
      </sheetData>
      <sheetData sheetId="2002">
        <row r="214">
          <cell r="A214" t="str">
            <v>ADMINISTRATIVE &amp; MANAGEMENT EXPENSES</v>
          </cell>
        </row>
      </sheetData>
      <sheetData sheetId="2003">
        <row r="214">
          <cell r="A214" t="str">
            <v>ADMINISTRATIVE &amp; MANAGEMENT EXPENSES</v>
          </cell>
        </row>
      </sheetData>
      <sheetData sheetId="2004">
        <row r="214">
          <cell r="A214" t="str">
            <v>ADMINISTRATIVE &amp; MANAGEMENT EXPENSES</v>
          </cell>
        </row>
      </sheetData>
      <sheetData sheetId="2005">
        <row r="214">
          <cell r="A214" t="str">
            <v>ADMINISTRATIVE &amp; MANAGEMENT EXPENSES</v>
          </cell>
        </row>
      </sheetData>
      <sheetData sheetId="2006">
        <row r="214">
          <cell r="A214" t="str">
            <v>ADMINISTRATIVE &amp; MANAGEMENT EXPENSES</v>
          </cell>
        </row>
      </sheetData>
      <sheetData sheetId="2007">
        <row r="214">
          <cell r="A214" t="str">
            <v>ADMINISTRATIVE &amp; MANAGEMENT EXPENSES</v>
          </cell>
        </row>
      </sheetData>
      <sheetData sheetId="2008">
        <row r="214">
          <cell r="A214" t="str">
            <v>ADMINISTRATIVE &amp; MANAGEMENT EXPENSES</v>
          </cell>
        </row>
      </sheetData>
      <sheetData sheetId="2009">
        <row r="214">
          <cell r="A214" t="str">
            <v>ADMINISTRATIVE &amp; MANAGEMENT EXPENSES</v>
          </cell>
        </row>
      </sheetData>
      <sheetData sheetId="2010">
        <row r="214">
          <cell r="A214" t="str">
            <v>ADMINISTRATIVE &amp; MANAGEMENT EXPENSES</v>
          </cell>
        </row>
      </sheetData>
      <sheetData sheetId="2011">
        <row r="214">
          <cell r="A214" t="str">
            <v>ADMINISTRATIVE &amp; MANAGEMENT EXPENSES</v>
          </cell>
        </row>
      </sheetData>
      <sheetData sheetId="2012">
        <row r="214">
          <cell r="A214" t="str">
            <v>ADMINISTRATIVE &amp; MANAGEMENT EXPENSES</v>
          </cell>
        </row>
      </sheetData>
      <sheetData sheetId="2013">
        <row r="214">
          <cell r="A214" t="str">
            <v>ADMINISTRATIVE &amp; MANAGEMENT EXPENSES</v>
          </cell>
        </row>
      </sheetData>
      <sheetData sheetId="2014">
        <row r="214">
          <cell r="A214" t="str">
            <v>ADMINISTRATIVE &amp; MANAGEMENT EXPENSES</v>
          </cell>
        </row>
      </sheetData>
      <sheetData sheetId="2015">
        <row r="214">
          <cell r="A214" t="str">
            <v>ADMINISTRATIVE &amp; MANAGEMENT EXPENSES</v>
          </cell>
        </row>
      </sheetData>
      <sheetData sheetId="2016">
        <row r="214">
          <cell r="A214" t="str">
            <v>ADMINISTRATIVE &amp; MANAGEMENT EXPENSES</v>
          </cell>
        </row>
      </sheetData>
      <sheetData sheetId="2017">
        <row r="214">
          <cell r="A214" t="str">
            <v>ADMINISTRATIVE &amp; MANAGEMENT EXPENSES</v>
          </cell>
        </row>
      </sheetData>
      <sheetData sheetId="2018">
        <row r="214">
          <cell r="A214" t="str">
            <v>ADMINISTRATIVE &amp; MANAGEMENT EXPENSES</v>
          </cell>
        </row>
      </sheetData>
      <sheetData sheetId="2019">
        <row r="214">
          <cell r="A214" t="str">
            <v>ADMINISTRATIVE &amp; MANAGEMENT EXPENSES</v>
          </cell>
        </row>
      </sheetData>
      <sheetData sheetId="2020">
        <row r="214">
          <cell r="A214" t="str">
            <v>ADMINISTRATIVE &amp; MANAGEMENT EXPENSES</v>
          </cell>
        </row>
      </sheetData>
      <sheetData sheetId="2021">
        <row r="214">
          <cell r="A214" t="str">
            <v>ADMINISTRATIVE &amp; MANAGEMENT EXPENSES</v>
          </cell>
        </row>
      </sheetData>
      <sheetData sheetId="2022">
        <row r="214">
          <cell r="A214" t="str">
            <v>ADMINISTRATIVE &amp; MANAGEMENT EXPENSES</v>
          </cell>
        </row>
      </sheetData>
      <sheetData sheetId="2023">
        <row r="214">
          <cell r="A214" t="str">
            <v>ADMINISTRATIVE &amp; MANAGEMENT EXPENSES</v>
          </cell>
        </row>
      </sheetData>
      <sheetData sheetId="2024">
        <row r="214">
          <cell r="A214" t="str">
            <v>ADMINISTRATIVE &amp; MANAGEMENT EXPENSES</v>
          </cell>
        </row>
      </sheetData>
      <sheetData sheetId="2025">
        <row r="214">
          <cell r="A214" t="str">
            <v>ADMINISTRATIVE &amp; MANAGEMENT EXPENSES</v>
          </cell>
        </row>
      </sheetData>
      <sheetData sheetId="2026">
        <row r="214">
          <cell r="A214" t="str">
            <v>ADMINISTRATIVE &amp; MANAGEMENT EXPENSES</v>
          </cell>
        </row>
      </sheetData>
      <sheetData sheetId="2027">
        <row r="214">
          <cell r="A214" t="str">
            <v>ADMINISTRATIVE &amp; MANAGEMENT EXPENSES</v>
          </cell>
        </row>
      </sheetData>
      <sheetData sheetId="2028">
        <row r="214">
          <cell r="A214" t="str">
            <v>ADMINISTRATIVE &amp; MANAGEMENT EXPENSES</v>
          </cell>
        </row>
      </sheetData>
      <sheetData sheetId="2029">
        <row r="214">
          <cell r="A214" t="str">
            <v>ADMINISTRATIVE &amp; MANAGEMENT EXPENSES</v>
          </cell>
        </row>
      </sheetData>
      <sheetData sheetId="2030">
        <row r="214">
          <cell r="A214" t="str">
            <v>ADMINISTRATIVE &amp; MANAGEMENT EXPENSES</v>
          </cell>
        </row>
      </sheetData>
      <sheetData sheetId="2031">
        <row r="214">
          <cell r="A214" t="str">
            <v>ADMINISTRATIVE &amp; MANAGEMENT EXPENSES</v>
          </cell>
        </row>
      </sheetData>
      <sheetData sheetId="2032">
        <row r="214">
          <cell r="A214" t="str">
            <v>ADMINISTRATIVE &amp; MANAGEMENT EXPENSES</v>
          </cell>
        </row>
      </sheetData>
      <sheetData sheetId="2033">
        <row r="214">
          <cell r="A214" t="str">
            <v>ADMINISTRATIVE &amp; MANAGEMENT EXPENSES</v>
          </cell>
        </row>
      </sheetData>
      <sheetData sheetId="2034">
        <row r="214">
          <cell r="A214" t="str">
            <v>ADMINISTRATIVE &amp; MANAGEMENT EXPENSES</v>
          </cell>
        </row>
      </sheetData>
      <sheetData sheetId="2035">
        <row r="214">
          <cell r="A214" t="str">
            <v>ADMINISTRATIVE &amp; MANAGEMENT EXPENSES</v>
          </cell>
        </row>
      </sheetData>
      <sheetData sheetId="2036">
        <row r="214">
          <cell r="A214" t="str">
            <v>ADMINISTRATIVE &amp; MANAGEMENT EXPENSES</v>
          </cell>
        </row>
      </sheetData>
      <sheetData sheetId="2037">
        <row r="214">
          <cell r="A214" t="str">
            <v>ADMINISTRATIVE &amp; MANAGEMENT EXPENSES</v>
          </cell>
        </row>
      </sheetData>
      <sheetData sheetId="2038">
        <row r="214">
          <cell r="A214" t="str">
            <v>ADMINISTRATIVE &amp; MANAGEMENT EXPENSES</v>
          </cell>
        </row>
      </sheetData>
      <sheetData sheetId="2039">
        <row r="214">
          <cell r="A214" t="str">
            <v>ADMINISTRATIVE &amp; MANAGEMENT EXPENSES</v>
          </cell>
        </row>
      </sheetData>
      <sheetData sheetId="2040">
        <row r="214">
          <cell r="A214" t="str">
            <v>ADMINISTRATIVE &amp; MANAGEMENT EXPENSES</v>
          </cell>
        </row>
      </sheetData>
      <sheetData sheetId="2041">
        <row r="214">
          <cell r="A214" t="str">
            <v>ADMINISTRATIVE &amp; MANAGEMENT EXPENSES</v>
          </cell>
        </row>
      </sheetData>
      <sheetData sheetId="2042">
        <row r="214">
          <cell r="A214" t="str">
            <v>ADMINISTRATIVE &amp; MANAGEMENT EXPENSES</v>
          </cell>
        </row>
      </sheetData>
      <sheetData sheetId="2043">
        <row r="214">
          <cell r="A214" t="str">
            <v>ADMINISTRATIVE &amp; MANAGEMENT EXPENSES</v>
          </cell>
        </row>
      </sheetData>
      <sheetData sheetId="2044">
        <row r="214">
          <cell r="A214" t="str">
            <v>ADMINISTRATIVE &amp; MANAGEMENT EXPENSES</v>
          </cell>
        </row>
      </sheetData>
      <sheetData sheetId="2045">
        <row r="214">
          <cell r="A214" t="str">
            <v>ADMINISTRATIVE &amp; MANAGEMENT EXPENSES</v>
          </cell>
        </row>
      </sheetData>
      <sheetData sheetId="2046">
        <row r="214">
          <cell r="A214" t="str">
            <v>ADMINISTRATIVE &amp; MANAGEMENT EXPENSES</v>
          </cell>
        </row>
      </sheetData>
      <sheetData sheetId="2047">
        <row r="214">
          <cell r="A214" t="str">
            <v>ADMINISTRATIVE &amp; MANAGEMENT EXPENSES</v>
          </cell>
        </row>
      </sheetData>
      <sheetData sheetId="2048">
        <row r="214">
          <cell r="A214" t="str">
            <v>ADMINISTRATIVE &amp; MANAGEMENT EXPENSES</v>
          </cell>
        </row>
      </sheetData>
      <sheetData sheetId="2049">
        <row r="214">
          <cell r="A214" t="str">
            <v>ADMINISTRATIVE &amp; MANAGEMENT EXPENSES</v>
          </cell>
        </row>
      </sheetData>
      <sheetData sheetId="2050">
        <row r="214">
          <cell r="A214" t="str">
            <v>ADMINISTRATIVE &amp; MANAGEMENT EXPENSES</v>
          </cell>
        </row>
      </sheetData>
      <sheetData sheetId="2051">
        <row r="214">
          <cell r="A214" t="str">
            <v>ADMINISTRATIVE &amp; MANAGEMENT EXPENSES</v>
          </cell>
        </row>
      </sheetData>
      <sheetData sheetId="2052">
        <row r="214">
          <cell r="A214" t="str">
            <v>ADMINISTRATIVE &amp; MANAGEMENT EXPENSES</v>
          </cell>
        </row>
      </sheetData>
      <sheetData sheetId="2053">
        <row r="214">
          <cell r="A214" t="str">
            <v>ADMINISTRATIVE &amp; MANAGEMENT EXPENSES</v>
          </cell>
        </row>
      </sheetData>
      <sheetData sheetId="2054">
        <row r="214">
          <cell r="A214" t="str">
            <v>ADMINISTRATIVE &amp; MANAGEMENT EXPENSES</v>
          </cell>
        </row>
      </sheetData>
      <sheetData sheetId="2055">
        <row r="214">
          <cell r="A214" t="str">
            <v>ADMINISTRATIVE &amp; MANAGEMENT EXPENSES</v>
          </cell>
        </row>
      </sheetData>
      <sheetData sheetId="2056">
        <row r="214">
          <cell r="A214" t="str">
            <v>ADMINISTRATIVE &amp; MANAGEMENT EXPENSES</v>
          </cell>
        </row>
      </sheetData>
      <sheetData sheetId="2057">
        <row r="214">
          <cell r="A214" t="str">
            <v>ADMINISTRATIVE &amp; MANAGEMENT EXPENSES</v>
          </cell>
        </row>
      </sheetData>
      <sheetData sheetId="2058">
        <row r="214">
          <cell r="A214" t="str">
            <v>ADMINISTRATIVE &amp; MANAGEMENT EXPENSES</v>
          </cell>
        </row>
      </sheetData>
      <sheetData sheetId="2059">
        <row r="214">
          <cell r="A214" t="str">
            <v>ADMINISTRATIVE &amp; MANAGEMENT EXPENSES</v>
          </cell>
        </row>
      </sheetData>
      <sheetData sheetId="2060">
        <row r="214">
          <cell r="A214" t="str">
            <v>ADMINISTRATIVE &amp; MANAGEMENT EXPENSES</v>
          </cell>
        </row>
      </sheetData>
      <sheetData sheetId="2061">
        <row r="214">
          <cell r="A214" t="str">
            <v>ADMINISTRATIVE &amp; MANAGEMENT EXPENSES</v>
          </cell>
        </row>
      </sheetData>
      <sheetData sheetId="2062">
        <row r="214">
          <cell r="A214" t="str">
            <v>ADMINISTRATIVE &amp; MANAGEMENT EXPENSES</v>
          </cell>
        </row>
      </sheetData>
      <sheetData sheetId="2063">
        <row r="214">
          <cell r="A214" t="str">
            <v>ADMINISTRATIVE &amp; MANAGEMENT EXPENSES</v>
          </cell>
        </row>
      </sheetData>
      <sheetData sheetId="2064">
        <row r="214">
          <cell r="A214" t="str">
            <v>ADMINISTRATIVE &amp; MANAGEMENT EXPENSES</v>
          </cell>
        </row>
      </sheetData>
      <sheetData sheetId="2065">
        <row r="214">
          <cell r="A214" t="str">
            <v>ADMINISTRATIVE &amp; MANAGEMENT EXPENSES</v>
          </cell>
        </row>
      </sheetData>
      <sheetData sheetId="2066">
        <row r="214">
          <cell r="A214" t="str">
            <v>ADMINISTRATIVE &amp; MANAGEMENT EXPENSES</v>
          </cell>
        </row>
      </sheetData>
      <sheetData sheetId="2067">
        <row r="214">
          <cell r="A214" t="str">
            <v>ADMINISTRATIVE &amp; MANAGEMENT EXPENSES</v>
          </cell>
        </row>
      </sheetData>
      <sheetData sheetId="2068">
        <row r="214">
          <cell r="A214" t="str">
            <v>ADMINISTRATIVE &amp; MANAGEMENT EXPENSES</v>
          </cell>
        </row>
      </sheetData>
      <sheetData sheetId="2069">
        <row r="214">
          <cell r="A214" t="str">
            <v>ADMINISTRATIVE &amp; MANAGEMENT EXPENSES</v>
          </cell>
        </row>
      </sheetData>
      <sheetData sheetId="2070">
        <row r="214">
          <cell r="A214" t="str">
            <v>ADMINISTRATIVE &amp; MANAGEMENT EXPENSES</v>
          </cell>
        </row>
      </sheetData>
      <sheetData sheetId="2071">
        <row r="214">
          <cell r="A214" t="str">
            <v>ADMINISTRATIVE &amp; MANAGEMENT EXPENSES</v>
          </cell>
        </row>
      </sheetData>
      <sheetData sheetId="2072">
        <row r="214">
          <cell r="A214" t="str">
            <v>ADMINISTRATIVE &amp; MANAGEMENT EXPENSES</v>
          </cell>
        </row>
      </sheetData>
      <sheetData sheetId="2073">
        <row r="214">
          <cell r="A214" t="str">
            <v>ADMINISTRATIVE &amp; MANAGEMENT EXPENSES</v>
          </cell>
        </row>
      </sheetData>
      <sheetData sheetId="2074">
        <row r="214">
          <cell r="A214" t="str">
            <v>ADMINISTRATIVE &amp; MANAGEMENT EXPENSES</v>
          </cell>
        </row>
      </sheetData>
      <sheetData sheetId="2075">
        <row r="214">
          <cell r="A214" t="str">
            <v>ADMINISTRATIVE &amp; MANAGEMENT EXPENSES</v>
          </cell>
        </row>
      </sheetData>
      <sheetData sheetId="2076">
        <row r="214">
          <cell r="A214" t="str">
            <v>ADMINISTRATIVE &amp; MANAGEMENT EXPENSES</v>
          </cell>
        </row>
      </sheetData>
      <sheetData sheetId="2077">
        <row r="214">
          <cell r="A214" t="str">
            <v>ADMINISTRATIVE &amp; MANAGEMENT EXPENSES</v>
          </cell>
        </row>
      </sheetData>
      <sheetData sheetId="2078">
        <row r="214">
          <cell r="A214" t="str">
            <v>ADMINISTRATIVE &amp; MANAGEMENT EXPENSES</v>
          </cell>
        </row>
      </sheetData>
      <sheetData sheetId="2079">
        <row r="214">
          <cell r="A214" t="str">
            <v>ADMINISTRATIVE &amp; MANAGEMENT EXPENSES</v>
          </cell>
        </row>
      </sheetData>
      <sheetData sheetId="2080">
        <row r="214">
          <cell r="A214" t="str">
            <v>ADMINISTRATIVE &amp; MANAGEMENT EXPENSES</v>
          </cell>
        </row>
      </sheetData>
      <sheetData sheetId="2081">
        <row r="214">
          <cell r="A214" t="str">
            <v>ADMINISTRATIVE &amp; MANAGEMENT EXPENSES</v>
          </cell>
        </row>
      </sheetData>
      <sheetData sheetId="2082">
        <row r="214">
          <cell r="A214" t="str">
            <v>ADMINISTRATIVE &amp; MANAGEMENT EXPENSES</v>
          </cell>
        </row>
      </sheetData>
      <sheetData sheetId="2083">
        <row r="214">
          <cell r="A214" t="str">
            <v>ADMINISTRATIVE &amp; MANAGEMENT EXPENSES</v>
          </cell>
        </row>
      </sheetData>
      <sheetData sheetId="2084">
        <row r="214">
          <cell r="A214" t="str">
            <v>ADMINISTRATIVE &amp; MANAGEMENT EXPENSES</v>
          </cell>
        </row>
      </sheetData>
      <sheetData sheetId="2085">
        <row r="214">
          <cell r="A214" t="str">
            <v>ADMINISTRATIVE &amp; MANAGEMENT EXPENSES</v>
          </cell>
        </row>
      </sheetData>
      <sheetData sheetId="2086">
        <row r="214">
          <cell r="A214" t="str">
            <v>ADMINISTRATIVE &amp; MANAGEMENT EXPENSES</v>
          </cell>
        </row>
      </sheetData>
      <sheetData sheetId="2087">
        <row r="214">
          <cell r="A214" t="str">
            <v>ADMINISTRATIVE &amp; MANAGEMENT EXPENSES</v>
          </cell>
        </row>
      </sheetData>
      <sheetData sheetId="2088">
        <row r="214">
          <cell r="A214" t="str">
            <v>ADMINISTRATIVE &amp; MANAGEMENT EXPENSES</v>
          </cell>
        </row>
      </sheetData>
      <sheetData sheetId="2089">
        <row r="214">
          <cell r="A214" t="str">
            <v>ADMINISTRATIVE &amp; MANAGEMENT EXPENSES</v>
          </cell>
        </row>
      </sheetData>
      <sheetData sheetId="2090">
        <row r="214">
          <cell r="A214" t="str">
            <v>ADMINISTRATIVE &amp; MANAGEMENT EXPENSES</v>
          </cell>
        </row>
      </sheetData>
      <sheetData sheetId="2091">
        <row r="214">
          <cell r="A214" t="str">
            <v>ADMINISTRATIVE &amp; MANAGEMENT EXPENSES</v>
          </cell>
        </row>
      </sheetData>
      <sheetData sheetId="2092">
        <row r="214">
          <cell r="A214" t="str">
            <v>ADMINISTRATIVE &amp; MANAGEMENT EXPENSES</v>
          </cell>
        </row>
      </sheetData>
      <sheetData sheetId="2093">
        <row r="214">
          <cell r="A214" t="str">
            <v>ADMINISTRATIVE &amp; MANAGEMENT EXPENSES</v>
          </cell>
        </row>
      </sheetData>
      <sheetData sheetId="2094">
        <row r="214">
          <cell r="A214" t="str">
            <v>ADMINISTRATIVE &amp; MANAGEMENT EXPENSES</v>
          </cell>
        </row>
      </sheetData>
      <sheetData sheetId="2095">
        <row r="214">
          <cell r="A214" t="str">
            <v>ADMINISTRATIVE &amp; MANAGEMENT EXPENSES</v>
          </cell>
        </row>
      </sheetData>
      <sheetData sheetId="2096">
        <row r="214">
          <cell r="A214" t="str">
            <v>ADMINISTRATIVE &amp; MANAGEMENT EXPENSES</v>
          </cell>
        </row>
      </sheetData>
      <sheetData sheetId="2097">
        <row r="214">
          <cell r="A214" t="str">
            <v>ADMINISTRATIVE &amp; MANAGEMENT EXPENSES</v>
          </cell>
        </row>
      </sheetData>
      <sheetData sheetId="2098">
        <row r="214">
          <cell r="A214" t="str">
            <v>ADMINISTRATIVE &amp; MANAGEMENT EXPENSES</v>
          </cell>
        </row>
      </sheetData>
      <sheetData sheetId="2099">
        <row r="214">
          <cell r="A214" t="str">
            <v>ADMINISTRATIVE &amp; MANAGEMENT EXPENSES</v>
          </cell>
        </row>
      </sheetData>
      <sheetData sheetId="2100">
        <row r="214">
          <cell r="A214" t="str">
            <v>ADMINISTRATIVE &amp; MANAGEMENT EXPENSES</v>
          </cell>
        </row>
      </sheetData>
      <sheetData sheetId="2101">
        <row r="214">
          <cell r="A214" t="str">
            <v>ADMINISTRATIVE &amp; MANAGEMENT EXPENSES</v>
          </cell>
        </row>
      </sheetData>
      <sheetData sheetId="2102">
        <row r="214">
          <cell r="A214" t="str">
            <v>ADMINISTRATIVE &amp; MANAGEMENT EXPENSES</v>
          </cell>
        </row>
      </sheetData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>
        <row r="214">
          <cell r="A214" t="str">
            <v>ADMINISTRATIVE &amp; MANAGEMENT EXPENSES</v>
          </cell>
        </row>
      </sheetData>
      <sheetData sheetId="2215">
        <row r="214">
          <cell r="A214" t="str">
            <v>ADMINISTRATIVE &amp; MANAGEMENT EXPENSES</v>
          </cell>
        </row>
      </sheetData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>
        <row r="214">
          <cell r="A214" t="str">
            <v>ADMINISTRATIVE &amp; MANAGEMENT EXPENSES</v>
          </cell>
        </row>
      </sheetData>
      <sheetData sheetId="2223">
        <row r="214">
          <cell r="A214" t="str">
            <v>ADMINISTRATIVE &amp; MANAGEMENT EXPENSES</v>
          </cell>
        </row>
      </sheetData>
      <sheetData sheetId="2224" refreshError="1"/>
      <sheetData sheetId="2225" refreshError="1"/>
      <sheetData sheetId="2226" refreshError="1"/>
      <sheetData sheetId="2227">
        <row r="214">
          <cell r="A214" t="str">
            <v>ADMINISTRATIVE &amp; MANAGEMENT EXPENSES</v>
          </cell>
        </row>
      </sheetData>
      <sheetData sheetId="2228">
        <row r="214">
          <cell r="A214" t="str">
            <v>ADMINISTRATIVE &amp; MANAGEMENT EXPENSES</v>
          </cell>
        </row>
      </sheetData>
      <sheetData sheetId="2229">
        <row r="214">
          <cell r="A214" t="str">
            <v>ADMINISTRATIVE &amp; MANAGEMENT EXPENSES</v>
          </cell>
        </row>
      </sheetData>
      <sheetData sheetId="2230">
        <row r="214">
          <cell r="A214" t="str">
            <v>ADMINISTRATIVE &amp; MANAGEMENT EXPENSES</v>
          </cell>
        </row>
      </sheetData>
      <sheetData sheetId="2231">
        <row r="214">
          <cell r="A214" t="str">
            <v>ADMINISTRATIVE &amp; MANAGEMENT EXPENSES</v>
          </cell>
        </row>
      </sheetData>
      <sheetData sheetId="2232">
        <row r="214">
          <cell r="A214" t="str">
            <v>ADMINISTRATIVE &amp; MANAGEMENT EXPENSES</v>
          </cell>
        </row>
      </sheetData>
      <sheetData sheetId="2233">
        <row r="214">
          <cell r="A214" t="str">
            <v>ADMINISTRATIVE &amp; MANAGEMENT EXPENSES</v>
          </cell>
        </row>
      </sheetData>
      <sheetData sheetId="2234">
        <row r="214">
          <cell r="A214" t="str">
            <v>ADMINISTRATIVE &amp; MANAGEMENT EXPENSES</v>
          </cell>
        </row>
      </sheetData>
      <sheetData sheetId="2235">
        <row r="214">
          <cell r="A214" t="str">
            <v>ADMINISTRATIVE &amp; MANAGEMENT EXPENSES</v>
          </cell>
        </row>
      </sheetData>
      <sheetData sheetId="2236">
        <row r="214">
          <cell r="A214" t="str">
            <v>ADMINISTRATIVE &amp; MANAGEMENT EXPENSES</v>
          </cell>
        </row>
      </sheetData>
      <sheetData sheetId="2237">
        <row r="214">
          <cell r="A214" t="str">
            <v>ADMINISTRATIVE &amp; MANAGEMENT EXPENSES</v>
          </cell>
        </row>
      </sheetData>
      <sheetData sheetId="2238">
        <row r="214">
          <cell r="A214" t="str">
            <v>ADMINISTRATIVE &amp; MANAGEMENT EXPENSES</v>
          </cell>
        </row>
      </sheetData>
      <sheetData sheetId="2239">
        <row r="214">
          <cell r="A214" t="str">
            <v>ADMINISTRATIVE &amp; MANAGEMENT EXPENSES</v>
          </cell>
        </row>
      </sheetData>
      <sheetData sheetId="2240">
        <row r="214">
          <cell r="A214" t="str">
            <v>ADMINISTRATIVE &amp; MANAGEMENT EXPENSES</v>
          </cell>
        </row>
      </sheetData>
      <sheetData sheetId="2241">
        <row r="214">
          <cell r="A214" t="str">
            <v>ADMINISTRATIVE &amp; MANAGEMENT EXPENSES</v>
          </cell>
        </row>
      </sheetData>
      <sheetData sheetId="2242">
        <row r="214">
          <cell r="A214" t="str">
            <v>ADMINISTRATIVE &amp; MANAGEMENT EXPENSES</v>
          </cell>
        </row>
      </sheetData>
      <sheetData sheetId="2243">
        <row r="214">
          <cell r="A214" t="str">
            <v>ADMINISTRATIVE &amp; MANAGEMENT EXPENSES</v>
          </cell>
        </row>
      </sheetData>
      <sheetData sheetId="2244">
        <row r="214">
          <cell r="A214" t="str">
            <v>ADMINISTRATIVE &amp; MANAGEMENT EXPENSES</v>
          </cell>
        </row>
      </sheetData>
      <sheetData sheetId="2245">
        <row r="214">
          <cell r="A214" t="str">
            <v>ADMINISTRATIVE &amp; MANAGEMENT EXPENSES</v>
          </cell>
        </row>
      </sheetData>
      <sheetData sheetId="2246">
        <row r="214">
          <cell r="A214" t="str">
            <v>ADMINISTRATIVE &amp; MANAGEMENT EXPENSES</v>
          </cell>
        </row>
      </sheetData>
      <sheetData sheetId="2247">
        <row r="214">
          <cell r="A214" t="str">
            <v>ADMINISTRATIVE &amp; MANAGEMENT EXPENSES</v>
          </cell>
        </row>
      </sheetData>
      <sheetData sheetId="2248">
        <row r="214">
          <cell r="A214" t="str">
            <v>ADMINISTRATIVE &amp; MANAGEMENT EXPENSES</v>
          </cell>
        </row>
      </sheetData>
      <sheetData sheetId="2249">
        <row r="214">
          <cell r="A214" t="str">
            <v>ADMINISTRATIVE &amp; MANAGEMENT EXPENSES</v>
          </cell>
        </row>
      </sheetData>
      <sheetData sheetId="2250">
        <row r="214">
          <cell r="A214" t="str">
            <v>ADMINISTRATIVE &amp; MANAGEMENT EXPENSES</v>
          </cell>
        </row>
      </sheetData>
      <sheetData sheetId="2251">
        <row r="214">
          <cell r="A214" t="str">
            <v>ADMINISTRATIVE &amp; MANAGEMENT EXPENSES</v>
          </cell>
        </row>
      </sheetData>
      <sheetData sheetId="2252">
        <row r="214">
          <cell r="A214" t="str">
            <v>ADMINISTRATIVE &amp; MANAGEMENT EXPENSES</v>
          </cell>
        </row>
      </sheetData>
      <sheetData sheetId="2253">
        <row r="214">
          <cell r="A214" t="str">
            <v>ADMINISTRATIVE &amp; MANAGEMENT EXPENSES</v>
          </cell>
        </row>
      </sheetData>
      <sheetData sheetId="2254">
        <row r="214">
          <cell r="A214" t="str">
            <v>ADMINISTRATIVE &amp; MANAGEMENT EXPENSES</v>
          </cell>
        </row>
      </sheetData>
      <sheetData sheetId="2255">
        <row r="214">
          <cell r="A214" t="str">
            <v>ADMINISTRATIVE &amp; MANAGEMENT EXPENSES</v>
          </cell>
        </row>
      </sheetData>
      <sheetData sheetId="2256">
        <row r="214">
          <cell r="A214" t="str">
            <v>ADMINISTRATIVE &amp; MANAGEMENT EXPENSES</v>
          </cell>
        </row>
      </sheetData>
      <sheetData sheetId="2257">
        <row r="214">
          <cell r="A214" t="str">
            <v>ADMINISTRATIVE &amp; MANAGEMENT EXPENSES</v>
          </cell>
        </row>
      </sheetData>
      <sheetData sheetId="2258">
        <row r="214">
          <cell r="A214" t="str">
            <v>ADMINISTRATIVE &amp; MANAGEMENT EXPENSES</v>
          </cell>
        </row>
      </sheetData>
      <sheetData sheetId="2259">
        <row r="214">
          <cell r="A214" t="str">
            <v>ADMINISTRATIVE &amp; MANAGEMENT EXPENSES</v>
          </cell>
        </row>
      </sheetData>
      <sheetData sheetId="2260">
        <row r="214">
          <cell r="A214" t="str">
            <v>ADMINISTRATIVE &amp; MANAGEMENT EXPENSES</v>
          </cell>
        </row>
      </sheetData>
      <sheetData sheetId="2261">
        <row r="214">
          <cell r="A214" t="str">
            <v>ADMINISTRATIVE &amp; MANAGEMENT EXPENSES</v>
          </cell>
        </row>
      </sheetData>
      <sheetData sheetId="2262">
        <row r="214">
          <cell r="A214" t="str">
            <v>ADMINISTRATIVE &amp; MANAGEMENT EXPENSES</v>
          </cell>
        </row>
      </sheetData>
      <sheetData sheetId="2263">
        <row r="214">
          <cell r="A214" t="str">
            <v>ADMINISTRATIVE &amp; MANAGEMENT EXPENSES</v>
          </cell>
        </row>
      </sheetData>
      <sheetData sheetId="2264">
        <row r="214">
          <cell r="A214" t="str">
            <v>ADMINISTRATIVE &amp; MANAGEMENT EXPENSES</v>
          </cell>
        </row>
      </sheetData>
      <sheetData sheetId="2265">
        <row r="214">
          <cell r="A214" t="str">
            <v>ADMINISTRATIVE &amp; MANAGEMENT EXPENSES</v>
          </cell>
        </row>
      </sheetData>
      <sheetData sheetId="2266">
        <row r="214">
          <cell r="A214" t="str">
            <v>ADMINISTRATIVE &amp; MANAGEMENT EXPENSES</v>
          </cell>
        </row>
      </sheetData>
      <sheetData sheetId="2267">
        <row r="214">
          <cell r="A214" t="str">
            <v>ADMINISTRATIVE &amp; MANAGEMENT EXPENSES</v>
          </cell>
        </row>
      </sheetData>
      <sheetData sheetId="2268">
        <row r="214">
          <cell r="A214" t="str">
            <v>ADMINISTRATIVE &amp; MANAGEMENT EXPENSES</v>
          </cell>
        </row>
      </sheetData>
      <sheetData sheetId="2269">
        <row r="214">
          <cell r="A214" t="str">
            <v>ADMINISTRATIVE &amp; MANAGEMENT EXPENSES</v>
          </cell>
        </row>
      </sheetData>
      <sheetData sheetId="2270">
        <row r="214">
          <cell r="A214" t="str">
            <v>ADMINISTRATIVE &amp; MANAGEMENT EXPENSES</v>
          </cell>
        </row>
      </sheetData>
      <sheetData sheetId="2271">
        <row r="214">
          <cell r="A214" t="str">
            <v>ADMINISTRATIVE &amp; MANAGEMENT EXPENSES</v>
          </cell>
        </row>
      </sheetData>
      <sheetData sheetId="2272">
        <row r="214">
          <cell r="A214" t="str">
            <v>ADMINISTRATIVE &amp; MANAGEMENT EXPENSES</v>
          </cell>
        </row>
      </sheetData>
      <sheetData sheetId="2273">
        <row r="214">
          <cell r="A214" t="str">
            <v>ADMINISTRATIVE &amp; MANAGEMENT EXPENSES</v>
          </cell>
        </row>
      </sheetData>
      <sheetData sheetId="2274">
        <row r="214">
          <cell r="A214" t="str">
            <v>ADMINISTRATIVE &amp; MANAGEMENT EXPENSES</v>
          </cell>
        </row>
      </sheetData>
      <sheetData sheetId="2275">
        <row r="214">
          <cell r="A214" t="str">
            <v>ADMINISTRATIVE &amp; MANAGEMENT EXPENSES</v>
          </cell>
        </row>
      </sheetData>
      <sheetData sheetId="2276">
        <row r="214">
          <cell r="A214" t="str">
            <v>ADMINISTRATIVE &amp; MANAGEMENT EXPENSES</v>
          </cell>
        </row>
      </sheetData>
      <sheetData sheetId="2277">
        <row r="214">
          <cell r="A214" t="str">
            <v>ADMINISTRATIVE &amp; MANAGEMENT EXPENSES</v>
          </cell>
        </row>
      </sheetData>
      <sheetData sheetId="2278">
        <row r="214">
          <cell r="A214" t="str">
            <v>ADMINISTRATIVE &amp; MANAGEMENT EXPENSES</v>
          </cell>
        </row>
      </sheetData>
      <sheetData sheetId="2279">
        <row r="214">
          <cell r="A214" t="str">
            <v>ADMINISTRATIVE &amp; MANAGEMENT EXPENSES</v>
          </cell>
        </row>
      </sheetData>
      <sheetData sheetId="2280">
        <row r="214">
          <cell r="A214" t="str">
            <v>ADMINISTRATIVE &amp; MANAGEMENT EXPENSES</v>
          </cell>
        </row>
      </sheetData>
      <sheetData sheetId="2281">
        <row r="214">
          <cell r="A214" t="str">
            <v>ADMINISTRATIVE &amp; MANAGEMENT EXPENSES</v>
          </cell>
        </row>
      </sheetData>
      <sheetData sheetId="2282">
        <row r="214">
          <cell r="A214" t="str">
            <v>ADMINISTRATIVE &amp; MANAGEMENT EXPENSES</v>
          </cell>
        </row>
      </sheetData>
      <sheetData sheetId="2283">
        <row r="214">
          <cell r="A214" t="str">
            <v>ADMINISTRATIVE &amp; MANAGEMENT EXPENSES</v>
          </cell>
        </row>
      </sheetData>
      <sheetData sheetId="2284">
        <row r="214">
          <cell r="A214" t="str">
            <v>ADMINISTRATIVE &amp; MANAGEMENT EXPENSES</v>
          </cell>
        </row>
      </sheetData>
      <sheetData sheetId="2285">
        <row r="214">
          <cell r="A214" t="str">
            <v>ADMINISTRATIVE &amp; MANAGEMENT EXPENSES</v>
          </cell>
        </row>
      </sheetData>
      <sheetData sheetId="2286">
        <row r="214">
          <cell r="A214" t="str">
            <v>ADMINISTRATIVE &amp; MANAGEMENT EXPENSES</v>
          </cell>
        </row>
      </sheetData>
      <sheetData sheetId="2287">
        <row r="214">
          <cell r="A214" t="str">
            <v>ADMINISTRATIVE &amp; MANAGEMENT EXPENSES</v>
          </cell>
        </row>
      </sheetData>
      <sheetData sheetId="2288">
        <row r="214">
          <cell r="A214" t="str">
            <v>ADMINISTRATIVE &amp; MANAGEMENT EXPENSES</v>
          </cell>
        </row>
      </sheetData>
      <sheetData sheetId="2289">
        <row r="214">
          <cell r="A214" t="str">
            <v>ADMINISTRATIVE &amp; MANAGEMENT EXPENSES</v>
          </cell>
        </row>
      </sheetData>
      <sheetData sheetId="2290">
        <row r="214">
          <cell r="A214" t="str">
            <v>ADMINISTRATIVE &amp; MANAGEMENT EXPENSES</v>
          </cell>
        </row>
      </sheetData>
      <sheetData sheetId="2291">
        <row r="214">
          <cell r="A214" t="str">
            <v>ADMINISTRATIVE &amp; MANAGEMENT EXPENSES</v>
          </cell>
        </row>
      </sheetData>
      <sheetData sheetId="2292">
        <row r="214">
          <cell r="A214" t="str">
            <v>ADMINISTRATIVE &amp; MANAGEMENT EXPENSES</v>
          </cell>
        </row>
      </sheetData>
      <sheetData sheetId="2293">
        <row r="214">
          <cell r="A214" t="str">
            <v>ADMINISTRATIVE &amp; MANAGEMENT EXPENSES</v>
          </cell>
        </row>
      </sheetData>
      <sheetData sheetId="2294">
        <row r="214">
          <cell r="A214" t="str">
            <v>ADMINISTRATIVE &amp; MANAGEMENT EXPENSES</v>
          </cell>
        </row>
      </sheetData>
      <sheetData sheetId="2295">
        <row r="214">
          <cell r="A214" t="str">
            <v>ADMINISTRATIVE &amp; MANAGEMENT EXPENSES</v>
          </cell>
        </row>
      </sheetData>
      <sheetData sheetId="2296">
        <row r="214">
          <cell r="A214" t="str">
            <v>ADMINISTRATIVE &amp; MANAGEMENT EXPENSES</v>
          </cell>
        </row>
      </sheetData>
      <sheetData sheetId="2297">
        <row r="214">
          <cell r="A214" t="str">
            <v>ADMINISTRATIVE &amp; MANAGEMENT EXPENSES</v>
          </cell>
        </row>
      </sheetData>
      <sheetData sheetId="2298"/>
      <sheetData sheetId="2299">
        <row r="214">
          <cell r="A214" t="str">
            <v>ADMINISTRATIVE &amp; MANAGEMENT EXPENSES</v>
          </cell>
        </row>
      </sheetData>
      <sheetData sheetId="2300">
        <row r="214">
          <cell r="A214" t="str">
            <v>ADMINISTRATIVE &amp; MANAGEMENT EXPENSES</v>
          </cell>
        </row>
      </sheetData>
      <sheetData sheetId="2301" refreshError="1"/>
      <sheetData sheetId="2302" refreshError="1"/>
      <sheetData sheetId="2303" refreshError="1"/>
      <sheetData sheetId="2304" refreshError="1"/>
      <sheetData sheetId="2305">
        <row r="214">
          <cell r="A214" t="str">
            <v>ADMINISTRATIVE &amp; MANAGEMENT EXPENSES</v>
          </cell>
        </row>
      </sheetData>
      <sheetData sheetId="2306">
        <row r="214">
          <cell r="A214" t="str">
            <v>ADMINISTRATIVE &amp; MANAGEMENT EXPENSES</v>
          </cell>
        </row>
      </sheetData>
      <sheetData sheetId="2307">
        <row r="214">
          <cell r="A214" t="str">
            <v>ADMINISTRATIVE &amp; MANAGEMENT EXPENSES</v>
          </cell>
        </row>
      </sheetData>
      <sheetData sheetId="2308">
        <row r="214">
          <cell r="A214" t="str">
            <v>ADMINISTRATIVE &amp; MANAGEMENT EXPENSES</v>
          </cell>
        </row>
      </sheetData>
      <sheetData sheetId="2309">
        <row r="214">
          <cell r="A214" t="str">
            <v>ADMINISTRATIVE &amp; MANAGEMENT EXPENSES</v>
          </cell>
        </row>
      </sheetData>
      <sheetData sheetId="2310">
        <row r="214">
          <cell r="A214" t="str">
            <v>ADMINISTRATIVE &amp; MANAGEMENT EXPENSES</v>
          </cell>
        </row>
      </sheetData>
      <sheetData sheetId="2311">
        <row r="214">
          <cell r="A214" t="str">
            <v>ADMINISTRATIVE &amp; MANAGEMENT EXPENSES</v>
          </cell>
        </row>
      </sheetData>
      <sheetData sheetId="2312">
        <row r="214">
          <cell r="A214" t="str">
            <v>ADMINISTRATIVE &amp; MANAGEMENT EXPENSES</v>
          </cell>
        </row>
      </sheetData>
      <sheetData sheetId="2313">
        <row r="214">
          <cell r="A214" t="str">
            <v>ADMINISTRATIVE &amp; MANAGEMENT EXPENSES</v>
          </cell>
        </row>
      </sheetData>
      <sheetData sheetId="2314">
        <row r="214">
          <cell r="A214" t="str">
            <v>ADMINISTRATIVE &amp; MANAGEMENT EXPENSES</v>
          </cell>
        </row>
      </sheetData>
      <sheetData sheetId="2315">
        <row r="214">
          <cell r="A214" t="str">
            <v>ADMINISTRATIVE &amp; MANAGEMENT EXPENSES</v>
          </cell>
        </row>
      </sheetData>
      <sheetData sheetId="2316">
        <row r="214">
          <cell r="A214" t="str">
            <v>ADMINISTRATIVE &amp; MANAGEMENT EXPENSES</v>
          </cell>
        </row>
      </sheetData>
      <sheetData sheetId="2317">
        <row r="214">
          <cell r="A214" t="str">
            <v>ADMINISTRATIVE &amp; MANAGEMENT EXPENSES</v>
          </cell>
        </row>
      </sheetData>
      <sheetData sheetId="2318">
        <row r="214">
          <cell r="A214" t="str">
            <v>ADMINISTRATIVE &amp; MANAGEMENT EXPENSES</v>
          </cell>
        </row>
      </sheetData>
      <sheetData sheetId="2319">
        <row r="214">
          <cell r="A214" t="str">
            <v>ADMINISTRATIVE &amp; MANAGEMENT EXPENSES</v>
          </cell>
        </row>
      </sheetData>
      <sheetData sheetId="2320">
        <row r="214">
          <cell r="A214" t="str">
            <v>ADMINISTRATIVE &amp; MANAGEMENT EXPENSES</v>
          </cell>
        </row>
      </sheetData>
      <sheetData sheetId="2321">
        <row r="214">
          <cell r="A214" t="str">
            <v>ADMINISTRATIVE &amp; MANAGEMENT EXPENSES</v>
          </cell>
        </row>
      </sheetData>
      <sheetData sheetId="2322">
        <row r="214">
          <cell r="A214" t="str">
            <v>ADMINISTRATIVE &amp; MANAGEMENT EXPENSES</v>
          </cell>
        </row>
      </sheetData>
      <sheetData sheetId="2323">
        <row r="214">
          <cell r="A214" t="str">
            <v>ADMINISTRATIVE &amp; MANAGEMENT EXPENSES</v>
          </cell>
        </row>
      </sheetData>
      <sheetData sheetId="2324">
        <row r="214">
          <cell r="A214" t="str">
            <v>ADMINISTRATIVE &amp; MANAGEMENT EXPENSES</v>
          </cell>
        </row>
      </sheetData>
      <sheetData sheetId="2325">
        <row r="214">
          <cell r="A214" t="str">
            <v>ADMINISTRATIVE &amp; MANAGEMENT EXPENSES</v>
          </cell>
        </row>
      </sheetData>
      <sheetData sheetId="2326">
        <row r="214">
          <cell r="A214" t="str">
            <v>ADMINISTRATIVE &amp; MANAGEMENT EXPENSES</v>
          </cell>
        </row>
      </sheetData>
      <sheetData sheetId="2327">
        <row r="214">
          <cell r="A214" t="str">
            <v>ADMINISTRATIVE &amp; MANAGEMENT EXPENSES</v>
          </cell>
        </row>
      </sheetData>
      <sheetData sheetId="2328">
        <row r="214">
          <cell r="A214" t="str">
            <v>ADMINISTRATIVE &amp; MANAGEMENT EXPENSES</v>
          </cell>
        </row>
      </sheetData>
      <sheetData sheetId="2329">
        <row r="214">
          <cell r="A214" t="str">
            <v>ADMINISTRATIVE &amp; MANAGEMENT EXPENSES</v>
          </cell>
        </row>
      </sheetData>
      <sheetData sheetId="2330">
        <row r="214">
          <cell r="A214" t="str">
            <v>ADMINISTRATIVE &amp; MANAGEMENT EXPENSES</v>
          </cell>
        </row>
      </sheetData>
      <sheetData sheetId="2331">
        <row r="214">
          <cell r="A214" t="str">
            <v>ADMINISTRATIVE &amp; MANAGEMENT EXPENSES</v>
          </cell>
        </row>
      </sheetData>
      <sheetData sheetId="2332">
        <row r="214">
          <cell r="A214" t="str">
            <v>ADMINISTRATIVE &amp; MANAGEMENT EXPENSES</v>
          </cell>
        </row>
      </sheetData>
      <sheetData sheetId="2333">
        <row r="214">
          <cell r="A214" t="str">
            <v>ADMINISTRATIVE &amp; MANAGEMENT EXPENSES</v>
          </cell>
        </row>
      </sheetData>
      <sheetData sheetId="2334">
        <row r="214">
          <cell r="A214" t="str">
            <v>ADMINISTRATIVE &amp; MANAGEMENT EXPENSES</v>
          </cell>
        </row>
      </sheetData>
      <sheetData sheetId="2335">
        <row r="214">
          <cell r="A214" t="str">
            <v>ADMINISTRATIVE &amp; MANAGEMENT EXPENSES</v>
          </cell>
        </row>
      </sheetData>
      <sheetData sheetId="2336">
        <row r="214">
          <cell r="A214" t="str">
            <v>ADMINISTRATIVE &amp; MANAGEMENT EXPENSES</v>
          </cell>
        </row>
      </sheetData>
      <sheetData sheetId="2337">
        <row r="214">
          <cell r="A214" t="str">
            <v>ADMINISTRATIVE &amp; MANAGEMENT EXPENSES</v>
          </cell>
        </row>
      </sheetData>
      <sheetData sheetId="2338">
        <row r="214">
          <cell r="A214" t="str">
            <v>ADMINISTRATIVE &amp; MANAGEMENT EXPENSES</v>
          </cell>
        </row>
      </sheetData>
      <sheetData sheetId="2339">
        <row r="214">
          <cell r="A214" t="str">
            <v>ADMINISTRATIVE &amp; MANAGEMENT EXPENSES</v>
          </cell>
        </row>
      </sheetData>
      <sheetData sheetId="2340">
        <row r="214">
          <cell r="A214" t="str">
            <v>ADMINISTRATIVE &amp; MANAGEMENT EXPENSES</v>
          </cell>
        </row>
      </sheetData>
      <sheetData sheetId="2341">
        <row r="214">
          <cell r="A214" t="str">
            <v>ADMINISTRATIVE &amp; MANAGEMENT EXPENSES</v>
          </cell>
        </row>
      </sheetData>
      <sheetData sheetId="2342">
        <row r="214">
          <cell r="A214" t="str">
            <v>ADMINISTRATIVE &amp; MANAGEMENT EXPENSES</v>
          </cell>
        </row>
      </sheetData>
      <sheetData sheetId="2343">
        <row r="214">
          <cell r="A214" t="str">
            <v>ADMINISTRATIVE &amp; MANAGEMENT EXPENSES</v>
          </cell>
        </row>
      </sheetData>
      <sheetData sheetId="2344">
        <row r="214">
          <cell r="A214" t="str">
            <v>ADMINISTRATIVE &amp; MANAGEMENT EXPENSES</v>
          </cell>
        </row>
      </sheetData>
      <sheetData sheetId="2345">
        <row r="214">
          <cell r="A214" t="str">
            <v>ADMINISTRATIVE &amp; MANAGEMENT EXPENSES</v>
          </cell>
        </row>
      </sheetData>
      <sheetData sheetId="2346">
        <row r="214">
          <cell r="A214" t="str">
            <v>ADMINISTRATIVE &amp; MANAGEMENT EXPENSES</v>
          </cell>
        </row>
      </sheetData>
      <sheetData sheetId="2347">
        <row r="214">
          <cell r="A214" t="str">
            <v>ADMINISTRATIVE &amp; MANAGEMENT EXPENSES</v>
          </cell>
        </row>
      </sheetData>
      <sheetData sheetId="2348" refreshError="1"/>
      <sheetData sheetId="2349" refreshError="1"/>
      <sheetData sheetId="2350">
        <row r="214">
          <cell r="A214" t="str">
            <v>ADMINISTRATIVE &amp; MANAGEMENT EXPENSES</v>
          </cell>
        </row>
      </sheetData>
      <sheetData sheetId="2351">
        <row r="214">
          <cell r="A214" t="str">
            <v>ADMINISTRATIVE &amp; MANAGEMENT EXPENSES</v>
          </cell>
        </row>
      </sheetData>
      <sheetData sheetId="2352">
        <row r="214">
          <cell r="A214" t="str">
            <v>ADMINISTRATIVE &amp; MANAGEMENT EXPENSES</v>
          </cell>
        </row>
      </sheetData>
      <sheetData sheetId="2353">
        <row r="214">
          <cell r="A214" t="str">
            <v>ADMINISTRATIVE &amp; MANAGEMENT EXPENSES</v>
          </cell>
        </row>
      </sheetData>
      <sheetData sheetId="2354">
        <row r="214">
          <cell r="A214" t="str">
            <v>ADMINISTRATIVE &amp; MANAGEMENT EXPENSES</v>
          </cell>
        </row>
      </sheetData>
      <sheetData sheetId="2355">
        <row r="214">
          <cell r="A214" t="str">
            <v>ADMINISTRATIVE &amp; MANAGEMENT EXPENSES</v>
          </cell>
        </row>
      </sheetData>
      <sheetData sheetId="2356">
        <row r="214">
          <cell r="A214" t="str">
            <v>ADMINISTRATIVE &amp; MANAGEMENT EXPENSES</v>
          </cell>
        </row>
      </sheetData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>
        <row r="214">
          <cell r="A214" t="str">
            <v>ADMINISTRATIVE &amp; MANAGEMENT EXPENSES</v>
          </cell>
        </row>
      </sheetData>
      <sheetData sheetId="2373">
        <row r="214">
          <cell r="A214" t="str">
            <v>ADMINISTRATIVE &amp; MANAGEMENT EXPENSES</v>
          </cell>
        </row>
      </sheetData>
      <sheetData sheetId="2374">
        <row r="214">
          <cell r="A214" t="str">
            <v>ADMINISTRATIVE &amp; MANAGEMENT EXPENSES</v>
          </cell>
        </row>
      </sheetData>
      <sheetData sheetId="2375">
        <row r="214">
          <cell r="A214" t="str">
            <v>ADMINISTRATIVE &amp; MANAGEMENT EXPENSES</v>
          </cell>
        </row>
      </sheetData>
      <sheetData sheetId="2376">
        <row r="214">
          <cell r="A214" t="str">
            <v>ADMINISTRATIVE &amp; MANAGEMENT EXPENSES</v>
          </cell>
        </row>
      </sheetData>
      <sheetData sheetId="2377">
        <row r="214">
          <cell r="A214" t="str">
            <v>ADMINISTRATIVE &amp; MANAGEMENT EXPENSES</v>
          </cell>
        </row>
      </sheetData>
      <sheetData sheetId="2378">
        <row r="214">
          <cell r="A214" t="str">
            <v>ADMINISTRATIVE &amp; MANAGEMENT EXPENSES</v>
          </cell>
        </row>
      </sheetData>
      <sheetData sheetId="2379">
        <row r="214">
          <cell r="A214" t="str">
            <v>ADMINISTRATIVE &amp; MANAGEMENT EXPENSES</v>
          </cell>
        </row>
      </sheetData>
      <sheetData sheetId="2380">
        <row r="214">
          <cell r="A214" t="str">
            <v>ADMINISTRATIVE &amp; MANAGEMENT EXPENSES</v>
          </cell>
        </row>
      </sheetData>
      <sheetData sheetId="2381">
        <row r="214">
          <cell r="A214" t="str">
            <v>ADMINISTRATIVE &amp; MANAGEMENT EXPENSES</v>
          </cell>
        </row>
      </sheetData>
      <sheetData sheetId="2382">
        <row r="214">
          <cell r="A214" t="str">
            <v>ADMINISTRATIVE &amp; MANAGEMENT EXPENSES</v>
          </cell>
        </row>
      </sheetData>
      <sheetData sheetId="2383">
        <row r="214">
          <cell r="A214" t="str">
            <v>ADMINISTRATIVE &amp; MANAGEMENT EXPENSES</v>
          </cell>
        </row>
      </sheetData>
      <sheetData sheetId="2384">
        <row r="214">
          <cell r="A214" t="str">
            <v>ADMINISTRATIVE &amp; MANAGEMENT EXPENSES</v>
          </cell>
        </row>
      </sheetData>
      <sheetData sheetId="2385">
        <row r="214">
          <cell r="A214" t="str">
            <v>ADMINISTRATIVE &amp; MANAGEMENT EXPENSES</v>
          </cell>
        </row>
      </sheetData>
      <sheetData sheetId="2386">
        <row r="214">
          <cell r="A214" t="str">
            <v>ADMINISTRATIVE &amp; MANAGEMENT EXPENSES</v>
          </cell>
        </row>
      </sheetData>
      <sheetData sheetId="2387">
        <row r="214">
          <cell r="A214" t="str">
            <v>ADMINISTRATIVE &amp; MANAGEMENT EXPENSES</v>
          </cell>
        </row>
      </sheetData>
      <sheetData sheetId="2388">
        <row r="214">
          <cell r="A214" t="str">
            <v>ADMINISTRATIVE &amp; MANAGEMENT EXPENSES</v>
          </cell>
        </row>
      </sheetData>
      <sheetData sheetId="2389">
        <row r="214">
          <cell r="A214" t="str">
            <v>ADMINISTRATIVE &amp; MANAGEMENT EXPENSES</v>
          </cell>
        </row>
      </sheetData>
      <sheetData sheetId="2390">
        <row r="214">
          <cell r="A214" t="str">
            <v>ADMINISTRATIVE &amp; MANAGEMENT EXPENSES</v>
          </cell>
        </row>
      </sheetData>
      <sheetData sheetId="2391">
        <row r="214">
          <cell r="A214" t="str">
            <v>ADMINISTRATIVE &amp; MANAGEMENT EXPENSES</v>
          </cell>
        </row>
      </sheetData>
      <sheetData sheetId="2392">
        <row r="214">
          <cell r="A214" t="str">
            <v>ADMINISTRATIVE &amp; MANAGEMENT EXPENSES</v>
          </cell>
        </row>
      </sheetData>
      <sheetData sheetId="2393">
        <row r="214">
          <cell r="A214" t="str">
            <v>ADMINISTRATIVE &amp; MANAGEMENT EXPENSES</v>
          </cell>
        </row>
      </sheetData>
      <sheetData sheetId="2394">
        <row r="214">
          <cell r="A214" t="str">
            <v>ADMINISTRATIVE &amp; MANAGEMENT EXPENSES</v>
          </cell>
        </row>
      </sheetData>
      <sheetData sheetId="2395">
        <row r="214">
          <cell r="A214" t="str">
            <v>ADMINISTRATIVE &amp; MANAGEMENT EXPENSES</v>
          </cell>
        </row>
      </sheetData>
      <sheetData sheetId="2396">
        <row r="214">
          <cell r="A214" t="str">
            <v>ADMINISTRATIVE &amp; MANAGEMENT EXPENSES</v>
          </cell>
        </row>
      </sheetData>
      <sheetData sheetId="2397">
        <row r="214">
          <cell r="A214" t="str">
            <v>ADMINISTRATIVE &amp; MANAGEMENT EXPENSES</v>
          </cell>
        </row>
      </sheetData>
      <sheetData sheetId="2398">
        <row r="214">
          <cell r="A214" t="str">
            <v>ADMINISTRATIVE &amp; MANAGEMENT EXPENSES</v>
          </cell>
        </row>
      </sheetData>
      <sheetData sheetId="2399">
        <row r="214">
          <cell r="A214" t="str">
            <v>ADMINISTRATIVE &amp; MANAGEMENT EXPENSES</v>
          </cell>
        </row>
      </sheetData>
      <sheetData sheetId="2400">
        <row r="214">
          <cell r="A214" t="str">
            <v>ADMINISTRATIVE &amp; MANAGEMENT EXPENSES</v>
          </cell>
        </row>
      </sheetData>
      <sheetData sheetId="2401">
        <row r="214">
          <cell r="A214" t="str">
            <v>ADMINISTRATIVE &amp; MANAGEMENT EXPENSES</v>
          </cell>
        </row>
      </sheetData>
      <sheetData sheetId="2402">
        <row r="214">
          <cell r="A214" t="str">
            <v>ADMINISTRATIVE &amp; MANAGEMENT EXPENSES</v>
          </cell>
        </row>
      </sheetData>
      <sheetData sheetId="2403">
        <row r="214">
          <cell r="A214" t="str">
            <v>ADMINISTRATIVE &amp; MANAGEMENT EXPENSES</v>
          </cell>
        </row>
      </sheetData>
      <sheetData sheetId="2404">
        <row r="214">
          <cell r="A214" t="str">
            <v>ADMINISTRATIVE &amp; MANAGEMENT EXPENSES</v>
          </cell>
        </row>
      </sheetData>
      <sheetData sheetId="2405">
        <row r="214">
          <cell r="A214" t="str">
            <v>ADMINISTRATIVE &amp; MANAGEMENT EXPENSES</v>
          </cell>
        </row>
      </sheetData>
      <sheetData sheetId="2406">
        <row r="214">
          <cell r="A214" t="str">
            <v>ADMINISTRATIVE &amp; MANAGEMENT EXPENSES</v>
          </cell>
        </row>
      </sheetData>
      <sheetData sheetId="2407">
        <row r="214">
          <cell r="A214" t="str">
            <v>ADMINISTRATIVE &amp; MANAGEMENT EXPENSES</v>
          </cell>
        </row>
      </sheetData>
      <sheetData sheetId="2408">
        <row r="214">
          <cell r="A214" t="str">
            <v>ADMINISTRATIVE &amp; MANAGEMENT EXPENSES</v>
          </cell>
        </row>
      </sheetData>
      <sheetData sheetId="2409">
        <row r="214">
          <cell r="A214" t="str">
            <v>ADMINISTRATIVE &amp; MANAGEMENT EXPENSES</v>
          </cell>
        </row>
      </sheetData>
      <sheetData sheetId="2410">
        <row r="214">
          <cell r="A214" t="str">
            <v>ADMINISTRATIVE &amp; MANAGEMENT EXPENSES</v>
          </cell>
        </row>
      </sheetData>
      <sheetData sheetId="2411">
        <row r="214">
          <cell r="A214" t="str">
            <v>ADMINISTRATIVE &amp; MANAGEMENT EXPENSES</v>
          </cell>
        </row>
      </sheetData>
      <sheetData sheetId="2412">
        <row r="214">
          <cell r="A214" t="str">
            <v>ADMINISTRATIVE &amp; MANAGEMENT EXPENSES</v>
          </cell>
        </row>
      </sheetData>
      <sheetData sheetId="2413">
        <row r="214">
          <cell r="A214" t="str">
            <v>ADMINISTRATIVE &amp; MANAGEMENT EXPENSES</v>
          </cell>
        </row>
      </sheetData>
      <sheetData sheetId="2414">
        <row r="214">
          <cell r="A214" t="str">
            <v>ADMINISTRATIVE &amp; MANAGEMENT EXPENSES</v>
          </cell>
        </row>
      </sheetData>
      <sheetData sheetId="2415">
        <row r="214">
          <cell r="A214" t="str">
            <v>ADMINISTRATIVE &amp; MANAGEMENT EXPENSES</v>
          </cell>
        </row>
      </sheetData>
      <sheetData sheetId="2416">
        <row r="214">
          <cell r="A214" t="str">
            <v>ADMINISTRATIVE &amp; MANAGEMENT EXPENSES</v>
          </cell>
        </row>
      </sheetData>
      <sheetData sheetId="2417">
        <row r="214">
          <cell r="A214" t="str">
            <v>ADMINISTRATIVE &amp; MANAGEMENT EXPENSES</v>
          </cell>
        </row>
      </sheetData>
      <sheetData sheetId="2418">
        <row r="214">
          <cell r="A214" t="str">
            <v>ADMINISTRATIVE &amp; MANAGEMENT EXPENSES</v>
          </cell>
        </row>
      </sheetData>
      <sheetData sheetId="2419">
        <row r="214">
          <cell r="A214" t="str">
            <v>ADMINISTRATIVE &amp; MANAGEMENT EXPENSES</v>
          </cell>
        </row>
      </sheetData>
      <sheetData sheetId="2420">
        <row r="214">
          <cell r="A214" t="str">
            <v>ADMINISTRATIVE &amp; MANAGEMENT EXPENSES</v>
          </cell>
        </row>
      </sheetData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/>
      <sheetData sheetId="2445"/>
      <sheetData sheetId="2446" refreshError="1"/>
      <sheetData sheetId="2447" refreshError="1"/>
      <sheetData sheetId="2448">
        <row r="214">
          <cell r="A214" t="str">
            <v>ADMINISTRATIVE &amp; MANAGEMENT EXPENSES</v>
          </cell>
        </row>
      </sheetData>
      <sheetData sheetId="2449">
        <row r="214">
          <cell r="A214" t="str">
            <v>ADMINISTRATIVE &amp; MANAGEMENT EXPENSES</v>
          </cell>
        </row>
      </sheetData>
      <sheetData sheetId="2450">
        <row r="214">
          <cell r="A214" t="str">
            <v>ADMINISTRATIVE &amp; MANAGEMENT EXPENSES</v>
          </cell>
        </row>
      </sheetData>
      <sheetData sheetId="2451">
        <row r="214">
          <cell r="A214" t="str">
            <v>ADMINISTRATIVE &amp; MANAGEMENT EXPENSES</v>
          </cell>
        </row>
      </sheetData>
      <sheetData sheetId="2452">
        <row r="214">
          <cell r="A214" t="str">
            <v>ADMINISTRATIVE &amp; MANAGEMENT EXPENSES</v>
          </cell>
        </row>
      </sheetData>
      <sheetData sheetId="2453">
        <row r="214">
          <cell r="A214" t="str">
            <v>ADMINISTRATIVE &amp; MANAGEMENT EXPENSES</v>
          </cell>
        </row>
      </sheetData>
      <sheetData sheetId="2454">
        <row r="214">
          <cell r="A214" t="str">
            <v>ADMINISTRATIVE &amp; MANAGEMENT EXPENSES</v>
          </cell>
        </row>
      </sheetData>
      <sheetData sheetId="2455">
        <row r="214">
          <cell r="A214" t="str">
            <v>ADMINISTRATIVE &amp; MANAGEMENT EXPENSES</v>
          </cell>
        </row>
      </sheetData>
      <sheetData sheetId="2456">
        <row r="214">
          <cell r="A214" t="str">
            <v>ADMINISTRATIVE &amp; MANAGEMENT EXPENSES</v>
          </cell>
        </row>
      </sheetData>
      <sheetData sheetId="2457">
        <row r="214">
          <cell r="A214" t="str">
            <v>ADMINISTRATIVE &amp; MANAGEMENT EXPENSES</v>
          </cell>
        </row>
      </sheetData>
      <sheetData sheetId="2458">
        <row r="214">
          <cell r="A214" t="str">
            <v>ADMINISTRATIVE &amp; MANAGEMENT EXPENSES</v>
          </cell>
        </row>
      </sheetData>
      <sheetData sheetId="2459">
        <row r="214">
          <cell r="A214" t="str">
            <v>ADMINISTRATIVE &amp; MANAGEMENT EXPENSES</v>
          </cell>
        </row>
      </sheetData>
      <sheetData sheetId="2460">
        <row r="214">
          <cell r="A214" t="str">
            <v>ADMINISTRATIVE &amp; MANAGEMENT EXPENSES</v>
          </cell>
        </row>
      </sheetData>
      <sheetData sheetId="2461">
        <row r="214">
          <cell r="A214" t="str">
            <v>ADMINISTRATIVE &amp; MANAGEMENT EXPENSES</v>
          </cell>
        </row>
      </sheetData>
      <sheetData sheetId="2462">
        <row r="214">
          <cell r="A214" t="str">
            <v>ADMINISTRATIVE &amp; MANAGEMENT EXPENSES</v>
          </cell>
        </row>
      </sheetData>
      <sheetData sheetId="2463">
        <row r="214">
          <cell r="A214" t="str">
            <v>ADMINISTRATIVE &amp; MANAGEMENT EXPENSES</v>
          </cell>
        </row>
      </sheetData>
      <sheetData sheetId="2464">
        <row r="214">
          <cell r="A214" t="str">
            <v>ADMINISTRATIVE &amp; MANAGEMENT EXPENSES</v>
          </cell>
        </row>
      </sheetData>
      <sheetData sheetId="2465">
        <row r="214">
          <cell r="A214" t="str">
            <v>ADMINISTRATIVE &amp; MANAGEMENT EXPENSES</v>
          </cell>
        </row>
      </sheetData>
      <sheetData sheetId="2466">
        <row r="214">
          <cell r="A214" t="str">
            <v>ADMINISTRATIVE &amp; MANAGEMENT EXPENSES</v>
          </cell>
        </row>
      </sheetData>
      <sheetData sheetId="2467">
        <row r="214">
          <cell r="A214" t="str">
            <v>ADMINISTRATIVE &amp; MANAGEMENT EXPENSES</v>
          </cell>
        </row>
      </sheetData>
      <sheetData sheetId="2468">
        <row r="214">
          <cell r="A214" t="str">
            <v>ADMINISTRATIVE &amp; MANAGEMENT EXPENSES</v>
          </cell>
        </row>
      </sheetData>
      <sheetData sheetId="2469">
        <row r="214">
          <cell r="A214" t="str">
            <v>ADMINISTRATIVE &amp; MANAGEMENT EXPENSES</v>
          </cell>
        </row>
      </sheetData>
      <sheetData sheetId="2470">
        <row r="214">
          <cell r="A214" t="str">
            <v>ADMINISTRATIVE &amp; MANAGEMENT EXPENSES</v>
          </cell>
        </row>
      </sheetData>
      <sheetData sheetId="2471">
        <row r="214">
          <cell r="A214" t="str">
            <v>ADMINISTRATIVE &amp; MANAGEMENT EXPENSES</v>
          </cell>
        </row>
      </sheetData>
      <sheetData sheetId="2472">
        <row r="214">
          <cell r="A214" t="str">
            <v>ADMINISTRATIVE &amp; MANAGEMENT EXPENSES</v>
          </cell>
        </row>
      </sheetData>
      <sheetData sheetId="2473">
        <row r="214">
          <cell r="A214" t="str">
            <v>ADMINISTRATIVE &amp; MANAGEMENT EXPENSES</v>
          </cell>
        </row>
      </sheetData>
      <sheetData sheetId="2474">
        <row r="214">
          <cell r="A214" t="str">
            <v>ADMINISTRATIVE &amp; MANAGEMENT EXPENSES</v>
          </cell>
        </row>
      </sheetData>
      <sheetData sheetId="2475">
        <row r="214">
          <cell r="A214" t="str">
            <v>ADMINISTRATIVE &amp; MANAGEMENT EXPENSES</v>
          </cell>
        </row>
      </sheetData>
      <sheetData sheetId="2476">
        <row r="214">
          <cell r="A214" t="str">
            <v>ADMINISTRATIVE &amp; MANAGEMENT EXPENSES</v>
          </cell>
        </row>
      </sheetData>
      <sheetData sheetId="2477">
        <row r="214">
          <cell r="A214" t="str">
            <v>ADMINISTRATIVE &amp; MANAGEMENT EXPENSES</v>
          </cell>
        </row>
      </sheetData>
      <sheetData sheetId="2478">
        <row r="214">
          <cell r="A214" t="str">
            <v>ADMINISTRATIVE &amp; MANAGEMENT EXPENSES</v>
          </cell>
        </row>
      </sheetData>
      <sheetData sheetId="2479">
        <row r="214">
          <cell r="A214" t="str">
            <v>ADMINISTRATIVE &amp; MANAGEMENT EXPENSES</v>
          </cell>
        </row>
      </sheetData>
      <sheetData sheetId="2480">
        <row r="214">
          <cell r="A214" t="str">
            <v>ADMINISTRATIVE &amp; MANAGEMENT EXPENSES</v>
          </cell>
        </row>
      </sheetData>
      <sheetData sheetId="2481">
        <row r="214">
          <cell r="A214" t="str">
            <v>ADMINISTRATIVE &amp; MANAGEMENT EXPENSES</v>
          </cell>
        </row>
      </sheetData>
      <sheetData sheetId="2482">
        <row r="214">
          <cell r="A214" t="str">
            <v>ADMINISTRATIVE &amp; MANAGEMENT EXPENSES</v>
          </cell>
        </row>
      </sheetData>
      <sheetData sheetId="2483">
        <row r="214">
          <cell r="A214" t="str">
            <v>ADMINISTRATIVE &amp; MANAGEMENT EXPENSES</v>
          </cell>
        </row>
      </sheetData>
      <sheetData sheetId="2484">
        <row r="214">
          <cell r="A214" t="str">
            <v>ADMINISTRATIVE &amp; MANAGEMENT EXPENSES</v>
          </cell>
        </row>
      </sheetData>
      <sheetData sheetId="2485">
        <row r="214">
          <cell r="A214" t="str">
            <v>ADMINISTRATIVE &amp; MANAGEMENT EXPENSES</v>
          </cell>
        </row>
      </sheetData>
      <sheetData sheetId="2486">
        <row r="214">
          <cell r="A214" t="str">
            <v>ADMINISTRATIVE &amp; MANAGEMENT EXPENSES</v>
          </cell>
        </row>
      </sheetData>
      <sheetData sheetId="2487">
        <row r="214">
          <cell r="A214" t="str">
            <v>ADMINISTRATIVE &amp; MANAGEMENT EXPENSES</v>
          </cell>
        </row>
      </sheetData>
      <sheetData sheetId="2488">
        <row r="214">
          <cell r="A214" t="str">
            <v>ADMINISTRATIVE &amp; MANAGEMENT EXPENSES</v>
          </cell>
        </row>
      </sheetData>
      <sheetData sheetId="2489">
        <row r="214">
          <cell r="A214" t="str">
            <v>ADMINISTRATIVE &amp; MANAGEMENT EXPENSES</v>
          </cell>
        </row>
      </sheetData>
      <sheetData sheetId="2490">
        <row r="214">
          <cell r="A214" t="str">
            <v>ADMINISTRATIVE &amp; MANAGEMENT EXPENSES</v>
          </cell>
        </row>
      </sheetData>
      <sheetData sheetId="2491">
        <row r="214">
          <cell r="A214" t="str">
            <v>ADMINISTRATIVE &amp; MANAGEMENT EXPENSES</v>
          </cell>
        </row>
      </sheetData>
      <sheetData sheetId="2492">
        <row r="214">
          <cell r="A214" t="str">
            <v>ADMINISTRATIVE &amp; MANAGEMENT EXPENSES</v>
          </cell>
        </row>
      </sheetData>
      <sheetData sheetId="2493">
        <row r="214">
          <cell r="A214" t="str">
            <v>ADMINISTRATIVE &amp; MANAGEMENT EXPENSES</v>
          </cell>
        </row>
      </sheetData>
      <sheetData sheetId="2494">
        <row r="214">
          <cell r="A214" t="str">
            <v>ADMINISTRATIVE &amp; MANAGEMENT EXPENSES</v>
          </cell>
        </row>
      </sheetData>
      <sheetData sheetId="2495">
        <row r="214">
          <cell r="A214" t="str">
            <v>ADMINISTRATIVE &amp; MANAGEMENT EXPENSES</v>
          </cell>
        </row>
      </sheetData>
      <sheetData sheetId="2496">
        <row r="214">
          <cell r="A214" t="str">
            <v>ADMINISTRATIVE &amp; MANAGEMENT EXPENSES</v>
          </cell>
        </row>
      </sheetData>
      <sheetData sheetId="2497">
        <row r="214">
          <cell r="A214" t="str">
            <v>ADMINISTRATIVE &amp; MANAGEMENT EXPENSES</v>
          </cell>
        </row>
      </sheetData>
      <sheetData sheetId="2498">
        <row r="214">
          <cell r="A214" t="str">
            <v>ADMINISTRATIVE &amp; MANAGEMENT EXPENSES</v>
          </cell>
        </row>
      </sheetData>
      <sheetData sheetId="2499">
        <row r="214">
          <cell r="A214" t="str">
            <v>ADMINISTRATIVE &amp; MANAGEMENT EXPENSES</v>
          </cell>
        </row>
      </sheetData>
      <sheetData sheetId="2500">
        <row r="214">
          <cell r="A214" t="str">
            <v>ADMINISTRATIVE &amp; MANAGEMENT EXPENSES</v>
          </cell>
        </row>
      </sheetData>
      <sheetData sheetId="2501">
        <row r="214">
          <cell r="A214" t="str">
            <v>ADMINISTRATIVE &amp; MANAGEMENT EXPENSES</v>
          </cell>
        </row>
      </sheetData>
      <sheetData sheetId="2502">
        <row r="214">
          <cell r="A214" t="str">
            <v>ADMINISTRATIVE &amp; MANAGEMENT EXPENSES</v>
          </cell>
        </row>
      </sheetData>
      <sheetData sheetId="2503">
        <row r="214">
          <cell r="A214" t="str">
            <v>ADMINISTRATIVE &amp; MANAGEMENT EXPENSES</v>
          </cell>
        </row>
      </sheetData>
      <sheetData sheetId="2504">
        <row r="214">
          <cell r="A214" t="str">
            <v>ADMINISTRATIVE &amp; MANAGEMENT EXPENSES</v>
          </cell>
        </row>
      </sheetData>
      <sheetData sheetId="2505">
        <row r="214">
          <cell r="A214" t="str">
            <v>ADMINISTRATIVE &amp; MANAGEMENT EXPENSES</v>
          </cell>
        </row>
      </sheetData>
      <sheetData sheetId="2506">
        <row r="214">
          <cell r="A214" t="str">
            <v>ADMINISTRATIVE &amp; MANAGEMENT EXPENSES</v>
          </cell>
        </row>
      </sheetData>
      <sheetData sheetId="2507">
        <row r="214">
          <cell r="A214" t="str">
            <v>ADMINISTRATIVE &amp; MANAGEMENT EXPENSES</v>
          </cell>
        </row>
      </sheetData>
      <sheetData sheetId="2508">
        <row r="214">
          <cell r="A214" t="str">
            <v>ADMINISTRATIVE &amp; MANAGEMENT EXPENSES</v>
          </cell>
        </row>
      </sheetData>
      <sheetData sheetId="2509">
        <row r="214">
          <cell r="A214" t="str">
            <v>ADMINISTRATIVE &amp; MANAGEMENT EXPENSES</v>
          </cell>
        </row>
      </sheetData>
      <sheetData sheetId="2510">
        <row r="214">
          <cell r="A214" t="str">
            <v>ADMINISTRATIVE &amp; MANAGEMENT EXPENSES</v>
          </cell>
        </row>
      </sheetData>
      <sheetData sheetId="2511">
        <row r="214">
          <cell r="A214" t="str">
            <v>ADMINISTRATIVE &amp; MANAGEMENT EXPENSES</v>
          </cell>
        </row>
      </sheetData>
      <sheetData sheetId="2512">
        <row r="214">
          <cell r="A214" t="str">
            <v>ADMINISTRATIVE &amp; MANAGEMENT EXPENSES</v>
          </cell>
        </row>
      </sheetData>
      <sheetData sheetId="2513">
        <row r="214">
          <cell r="A214" t="str">
            <v>ADMINISTRATIVE &amp; MANAGEMENT EXPENSES</v>
          </cell>
        </row>
      </sheetData>
      <sheetData sheetId="2514">
        <row r="214">
          <cell r="A214" t="str">
            <v>ADMINISTRATIVE &amp; MANAGEMENT EXPENSES</v>
          </cell>
        </row>
      </sheetData>
      <sheetData sheetId="2515">
        <row r="214">
          <cell r="A214" t="str">
            <v>ADMINISTRATIVE &amp; MANAGEMENT EXPENSES</v>
          </cell>
        </row>
      </sheetData>
      <sheetData sheetId="2516">
        <row r="214">
          <cell r="A214" t="str">
            <v>ADMINISTRATIVE &amp; MANAGEMENT EXPENSES</v>
          </cell>
        </row>
      </sheetData>
      <sheetData sheetId="2517">
        <row r="214">
          <cell r="A214" t="str">
            <v>ADMINISTRATIVE &amp; MANAGEMENT EXPENSES</v>
          </cell>
        </row>
      </sheetData>
      <sheetData sheetId="2518">
        <row r="214">
          <cell r="A214" t="str">
            <v>ADMINISTRATIVE &amp; MANAGEMENT EXPENSES</v>
          </cell>
        </row>
      </sheetData>
      <sheetData sheetId="2519">
        <row r="214">
          <cell r="A214" t="str">
            <v>ADMINISTRATIVE &amp; MANAGEMENT EXPENSES</v>
          </cell>
        </row>
      </sheetData>
      <sheetData sheetId="2520">
        <row r="214">
          <cell r="A214" t="str">
            <v>ADMINISTRATIVE &amp; MANAGEMENT EXPENSES</v>
          </cell>
        </row>
      </sheetData>
      <sheetData sheetId="2521">
        <row r="214">
          <cell r="A214" t="str">
            <v>ADMINISTRATIVE &amp; MANAGEMENT EXPENSES</v>
          </cell>
        </row>
      </sheetData>
      <sheetData sheetId="2522">
        <row r="214">
          <cell r="A214" t="str">
            <v>ADMINISTRATIVE &amp; MANAGEMENT EXPENSES</v>
          </cell>
        </row>
      </sheetData>
      <sheetData sheetId="2523">
        <row r="214">
          <cell r="A214" t="str">
            <v>ADMINISTRATIVE &amp; MANAGEMENT EXPENSES</v>
          </cell>
        </row>
      </sheetData>
      <sheetData sheetId="2524">
        <row r="214">
          <cell r="A214" t="str">
            <v>ADMINISTRATIVE &amp; MANAGEMENT EXPENSES</v>
          </cell>
        </row>
      </sheetData>
      <sheetData sheetId="2525">
        <row r="214">
          <cell r="A214" t="str">
            <v>ADMINISTRATIVE &amp; MANAGEMENT EXPENSES</v>
          </cell>
        </row>
      </sheetData>
      <sheetData sheetId="2526">
        <row r="214">
          <cell r="A214" t="str">
            <v>ADMINISTRATIVE &amp; MANAGEMENT EXPENSES</v>
          </cell>
        </row>
      </sheetData>
      <sheetData sheetId="2527">
        <row r="214">
          <cell r="A214" t="str">
            <v>ADMINISTRATIVE &amp; MANAGEMENT EXPENSES</v>
          </cell>
        </row>
      </sheetData>
      <sheetData sheetId="2528">
        <row r="214">
          <cell r="A214" t="str">
            <v>ADMINISTRATIVE &amp; MANAGEMENT EXPENSES</v>
          </cell>
        </row>
      </sheetData>
      <sheetData sheetId="2529">
        <row r="214">
          <cell r="A214" t="str">
            <v>ADMINISTRATIVE &amp; MANAGEMENT EXPENSES</v>
          </cell>
        </row>
      </sheetData>
      <sheetData sheetId="2530">
        <row r="214">
          <cell r="A214" t="str">
            <v>ADMINISTRATIVE &amp; MANAGEMENT EXPENSES</v>
          </cell>
        </row>
      </sheetData>
      <sheetData sheetId="2531">
        <row r="214">
          <cell r="A214" t="str">
            <v>ADMINISTRATIVE &amp; MANAGEMENT EXPENSES</v>
          </cell>
        </row>
      </sheetData>
      <sheetData sheetId="2532">
        <row r="214">
          <cell r="A214" t="str">
            <v>ADMINISTRATIVE &amp; MANAGEMENT EXPENSES</v>
          </cell>
        </row>
      </sheetData>
      <sheetData sheetId="2533">
        <row r="214">
          <cell r="A214" t="str">
            <v>ADMINISTRATIVE &amp; MANAGEMENT EXPENSES</v>
          </cell>
        </row>
      </sheetData>
      <sheetData sheetId="2534">
        <row r="214">
          <cell r="A214" t="str">
            <v>ADMINISTRATIVE &amp; MANAGEMENT EXPENSES</v>
          </cell>
        </row>
      </sheetData>
      <sheetData sheetId="2535">
        <row r="214">
          <cell r="A214" t="str">
            <v>ADMINISTRATIVE &amp; MANAGEMENT EXPENSES</v>
          </cell>
        </row>
      </sheetData>
      <sheetData sheetId="2536">
        <row r="214">
          <cell r="A214" t="str">
            <v>ADMINISTRATIVE &amp; MANAGEMENT EXPENSES</v>
          </cell>
        </row>
      </sheetData>
      <sheetData sheetId="2537">
        <row r="214">
          <cell r="A214" t="str">
            <v>ADMINISTRATIVE &amp; MANAGEMENT EXPENSES</v>
          </cell>
        </row>
      </sheetData>
      <sheetData sheetId="2538">
        <row r="214">
          <cell r="A214" t="str">
            <v>ADMINISTRATIVE &amp; MANAGEMENT EXPENSES</v>
          </cell>
        </row>
      </sheetData>
      <sheetData sheetId="2539">
        <row r="214">
          <cell r="A214" t="str">
            <v>ADMINISTRATIVE &amp; MANAGEMENT EXPENSES</v>
          </cell>
        </row>
      </sheetData>
      <sheetData sheetId="2540">
        <row r="214">
          <cell r="A214" t="str">
            <v>ADMINISTRATIVE &amp; MANAGEMENT EXPENSES</v>
          </cell>
        </row>
      </sheetData>
      <sheetData sheetId="2541">
        <row r="214">
          <cell r="A214" t="str">
            <v>ADMINISTRATIVE &amp; MANAGEMENT EXPENSES</v>
          </cell>
        </row>
      </sheetData>
      <sheetData sheetId="2542">
        <row r="214">
          <cell r="A214" t="str">
            <v>ADMINISTRATIVE &amp; MANAGEMENT EXPENSES</v>
          </cell>
        </row>
      </sheetData>
      <sheetData sheetId="2543">
        <row r="214">
          <cell r="A214" t="str">
            <v>ADMINISTRATIVE &amp; MANAGEMENT EXPENSES</v>
          </cell>
        </row>
      </sheetData>
      <sheetData sheetId="2544">
        <row r="214">
          <cell r="A214" t="str">
            <v>ADMINISTRATIVE &amp; MANAGEMENT EXPENSES</v>
          </cell>
        </row>
      </sheetData>
      <sheetData sheetId="2545">
        <row r="214">
          <cell r="A214" t="str">
            <v>ADMINISTRATIVE &amp; MANAGEMENT EXPENSES</v>
          </cell>
        </row>
      </sheetData>
      <sheetData sheetId="2546">
        <row r="214">
          <cell r="A214" t="str">
            <v>ADMINISTRATIVE &amp; MANAGEMENT EXPENSES</v>
          </cell>
        </row>
      </sheetData>
      <sheetData sheetId="2547">
        <row r="214">
          <cell r="A214" t="str">
            <v>ADMINISTRATIVE &amp; MANAGEMENT EXPENSES</v>
          </cell>
        </row>
      </sheetData>
      <sheetData sheetId="2548">
        <row r="214">
          <cell r="A214" t="str">
            <v>ADMINISTRATIVE &amp; MANAGEMENT EXPENSES</v>
          </cell>
        </row>
      </sheetData>
      <sheetData sheetId="2549">
        <row r="214">
          <cell r="A214" t="str">
            <v>ADMINISTRATIVE &amp; MANAGEMENT EXPENSES</v>
          </cell>
        </row>
      </sheetData>
      <sheetData sheetId="2550">
        <row r="214">
          <cell r="A214" t="str">
            <v>ADMINISTRATIVE &amp; MANAGEMENT EXPENSES</v>
          </cell>
        </row>
      </sheetData>
      <sheetData sheetId="2551">
        <row r="214">
          <cell r="A214" t="str">
            <v>ADMINISTRATIVE &amp; MANAGEMENT EXPENSES</v>
          </cell>
        </row>
      </sheetData>
      <sheetData sheetId="2552">
        <row r="214">
          <cell r="A214" t="str">
            <v>ADMINISTRATIVE &amp; MANAGEMENT EXPENSES</v>
          </cell>
        </row>
      </sheetData>
      <sheetData sheetId="2553">
        <row r="214">
          <cell r="A214" t="str">
            <v>ADMINISTRATIVE &amp; MANAGEMENT EXPENSES</v>
          </cell>
        </row>
      </sheetData>
      <sheetData sheetId="2554">
        <row r="214">
          <cell r="A214" t="str">
            <v>ADMINISTRATIVE &amp; MANAGEMENT EXPENSES</v>
          </cell>
        </row>
      </sheetData>
      <sheetData sheetId="2555">
        <row r="214">
          <cell r="A214" t="str">
            <v>ADMINISTRATIVE &amp; MANAGEMENT EXPENSES</v>
          </cell>
        </row>
      </sheetData>
      <sheetData sheetId="2556">
        <row r="214">
          <cell r="A214" t="str">
            <v>ADMINISTRATIVE &amp; MANAGEMENT EXPENSES</v>
          </cell>
        </row>
      </sheetData>
      <sheetData sheetId="2557">
        <row r="214">
          <cell r="A214" t="str">
            <v>ADMINISTRATIVE &amp; MANAGEMENT EXPENSES</v>
          </cell>
        </row>
      </sheetData>
      <sheetData sheetId="2558">
        <row r="214">
          <cell r="A214" t="str">
            <v>ADMINISTRATIVE &amp; MANAGEMENT EXPENSES</v>
          </cell>
        </row>
      </sheetData>
      <sheetData sheetId="2559">
        <row r="214">
          <cell r="A214" t="str">
            <v>ADMINISTRATIVE &amp; MANAGEMENT EXPENSES</v>
          </cell>
        </row>
      </sheetData>
      <sheetData sheetId="2560">
        <row r="214">
          <cell r="A214" t="str">
            <v>ADMINISTRATIVE &amp; MANAGEMENT EXPENSES</v>
          </cell>
        </row>
      </sheetData>
      <sheetData sheetId="2561">
        <row r="214">
          <cell r="A214" t="str">
            <v>ADMINISTRATIVE &amp; MANAGEMENT EXPENSES</v>
          </cell>
        </row>
      </sheetData>
      <sheetData sheetId="2562">
        <row r="214">
          <cell r="A214" t="str">
            <v>ADMINISTRATIVE &amp; MANAGEMENT EXPENSES</v>
          </cell>
        </row>
      </sheetData>
      <sheetData sheetId="2563">
        <row r="214">
          <cell r="A214" t="str">
            <v>ADMINISTRATIVE &amp; MANAGEMENT EXPENSES</v>
          </cell>
        </row>
      </sheetData>
      <sheetData sheetId="2564">
        <row r="214">
          <cell r="A214" t="str">
            <v>ADMINISTRATIVE &amp; MANAGEMENT EXPENSES</v>
          </cell>
        </row>
      </sheetData>
      <sheetData sheetId="2565">
        <row r="214">
          <cell r="A214" t="str">
            <v>ADMINISTRATIVE &amp; MANAGEMENT EXPENSES</v>
          </cell>
        </row>
      </sheetData>
      <sheetData sheetId="2566">
        <row r="214">
          <cell r="A214" t="str">
            <v>ADMINISTRATIVE &amp; MANAGEMENT EXPENSES</v>
          </cell>
        </row>
      </sheetData>
      <sheetData sheetId="2567">
        <row r="214">
          <cell r="A214" t="str">
            <v>ADMINISTRATIVE &amp; MANAGEMENT EXPENSES</v>
          </cell>
        </row>
      </sheetData>
      <sheetData sheetId="2568">
        <row r="214">
          <cell r="A214" t="str">
            <v>ADMINISTRATIVE &amp; MANAGEMENT EXPENSES</v>
          </cell>
        </row>
      </sheetData>
      <sheetData sheetId="2569">
        <row r="214">
          <cell r="A214" t="str">
            <v>ADMINISTRATIVE &amp; MANAGEMENT EXPENSES</v>
          </cell>
        </row>
      </sheetData>
      <sheetData sheetId="2570">
        <row r="214">
          <cell r="A214" t="str">
            <v>ADMINISTRATIVE &amp; MANAGEMENT EXPENSES</v>
          </cell>
        </row>
      </sheetData>
      <sheetData sheetId="2571">
        <row r="214">
          <cell r="A214" t="str">
            <v>ADMINISTRATIVE &amp; MANAGEMENT EXPENSES</v>
          </cell>
        </row>
      </sheetData>
      <sheetData sheetId="2572">
        <row r="214">
          <cell r="A214" t="str">
            <v>ADMINISTRATIVE &amp; MANAGEMENT EXPENSES</v>
          </cell>
        </row>
      </sheetData>
      <sheetData sheetId="2573">
        <row r="214">
          <cell r="A214" t="str">
            <v>ADMINISTRATIVE &amp; MANAGEMENT EXPENSES</v>
          </cell>
        </row>
      </sheetData>
      <sheetData sheetId="2574">
        <row r="214">
          <cell r="A214" t="str">
            <v>ADMINISTRATIVE &amp; MANAGEMENT EXPENSES</v>
          </cell>
        </row>
      </sheetData>
      <sheetData sheetId="2575">
        <row r="214">
          <cell r="A214" t="str">
            <v>ADMINISTRATIVE &amp; MANAGEMENT EXPENSES</v>
          </cell>
        </row>
      </sheetData>
      <sheetData sheetId="2576">
        <row r="214">
          <cell r="A214" t="str">
            <v>ADMINISTRATIVE &amp; MANAGEMENT EXPENSES</v>
          </cell>
        </row>
      </sheetData>
      <sheetData sheetId="2577">
        <row r="214">
          <cell r="A214" t="str">
            <v>ADMINISTRATIVE &amp; MANAGEMENT EXPENSES</v>
          </cell>
        </row>
      </sheetData>
      <sheetData sheetId="2578">
        <row r="214">
          <cell r="A214" t="str">
            <v>ADMINISTRATIVE &amp; MANAGEMENT EXPENSES</v>
          </cell>
        </row>
      </sheetData>
      <sheetData sheetId="2579">
        <row r="214">
          <cell r="A214" t="str">
            <v>ADMINISTRATIVE &amp; MANAGEMENT EXPENSES</v>
          </cell>
        </row>
      </sheetData>
      <sheetData sheetId="2580">
        <row r="214">
          <cell r="A214" t="str">
            <v>ADMINISTRATIVE &amp; MANAGEMENT EXPENSES</v>
          </cell>
        </row>
      </sheetData>
      <sheetData sheetId="2581">
        <row r="214">
          <cell r="A214" t="str">
            <v>ADMINISTRATIVE &amp; MANAGEMENT EXPENSES</v>
          </cell>
        </row>
      </sheetData>
      <sheetData sheetId="2582">
        <row r="214">
          <cell r="A214" t="str">
            <v>ADMINISTRATIVE &amp; MANAGEMENT EXPENSES</v>
          </cell>
        </row>
      </sheetData>
      <sheetData sheetId="2583">
        <row r="214">
          <cell r="A214" t="str">
            <v>ADMINISTRATIVE &amp; MANAGEMENT EXPENSES</v>
          </cell>
        </row>
      </sheetData>
      <sheetData sheetId="2584">
        <row r="214">
          <cell r="A214" t="str">
            <v>ADMINISTRATIVE &amp; MANAGEMENT EXPENSES</v>
          </cell>
        </row>
      </sheetData>
      <sheetData sheetId="2585">
        <row r="214">
          <cell r="A214" t="str">
            <v>ADMINISTRATIVE &amp; MANAGEMENT EXPENSES</v>
          </cell>
        </row>
      </sheetData>
      <sheetData sheetId="2586">
        <row r="214">
          <cell r="A214" t="str">
            <v>ADMINISTRATIVE &amp; MANAGEMENT EXPENSES</v>
          </cell>
        </row>
      </sheetData>
      <sheetData sheetId="2587">
        <row r="214">
          <cell r="A214" t="str">
            <v>ADMINISTRATIVE &amp; MANAGEMENT EXPENSES</v>
          </cell>
        </row>
      </sheetData>
      <sheetData sheetId="2588">
        <row r="214">
          <cell r="A214" t="str">
            <v>ADMINISTRATIVE &amp; MANAGEMENT EXPENSES</v>
          </cell>
        </row>
      </sheetData>
      <sheetData sheetId="2589">
        <row r="214">
          <cell r="A214" t="str">
            <v>ADMINISTRATIVE &amp; MANAGEMENT EXPENSES</v>
          </cell>
        </row>
      </sheetData>
      <sheetData sheetId="2590">
        <row r="214">
          <cell r="A214" t="str">
            <v>ADMINISTRATIVE &amp; MANAGEMENT EXPENSES</v>
          </cell>
        </row>
      </sheetData>
      <sheetData sheetId="2591">
        <row r="214">
          <cell r="A214" t="str">
            <v>ADMINISTRATIVE &amp; MANAGEMENT EXPENSES</v>
          </cell>
        </row>
      </sheetData>
      <sheetData sheetId="2592">
        <row r="214">
          <cell r="A214" t="str">
            <v>ADMINISTRATIVE &amp; MANAGEMENT EXPENSES</v>
          </cell>
        </row>
      </sheetData>
      <sheetData sheetId="2593">
        <row r="214">
          <cell r="A214" t="str">
            <v>ADMINISTRATIVE &amp; MANAGEMENT EXPENSES</v>
          </cell>
        </row>
      </sheetData>
      <sheetData sheetId="2594">
        <row r="214">
          <cell r="A214" t="str">
            <v>ADMINISTRATIVE &amp; MANAGEMENT EXPENSES</v>
          </cell>
        </row>
      </sheetData>
      <sheetData sheetId="2595">
        <row r="214">
          <cell r="A214" t="str">
            <v>ADMINISTRATIVE &amp; MANAGEMENT EXPENSES</v>
          </cell>
        </row>
      </sheetData>
      <sheetData sheetId="2596">
        <row r="214">
          <cell r="A214" t="str">
            <v>ADMINISTRATIVE &amp; MANAGEMENT EXPENSES</v>
          </cell>
        </row>
      </sheetData>
      <sheetData sheetId="2597">
        <row r="214">
          <cell r="A214" t="str">
            <v>ADMINISTRATIVE &amp; MANAGEMENT EXPENSES</v>
          </cell>
        </row>
      </sheetData>
      <sheetData sheetId="2598">
        <row r="214">
          <cell r="A214" t="str">
            <v>ADMINISTRATIVE &amp; MANAGEMENT EXPENSES</v>
          </cell>
        </row>
      </sheetData>
      <sheetData sheetId="2599">
        <row r="214">
          <cell r="A214" t="str">
            <v>ADMINISTRATIVE &amp; MANAGEMENT EXPENSES</v>
          </cell>
        </row>
      </sheetData>
      <sheetData sheetId="2600">
        <row r="214">
          <cell r="A214" t="str">
            <v>ADMINISTRATIVE &amp; MANAGEMENT EXPENSES</v>
          </cell>
        </row>
      </sheetData>
      <sheetData sheetId="2601">
        <row r="214">
          <cell r="A214" t="str">
            <v>ADMINISTRATIVE &amp; MANAGEMENT EXPENSES</v>
          </cell>
        </row>
      </sheetData>
      <sheetData sheetId="2602">
        <row r="214">
          <cell r="A214" t="str">
            <v>ADMINISTRATIVE &amp; MANAGEMENT EXPENSES</v>
          </cell>
        </row>
      </sheetData>
      <sheetData sheetId="2603">
        <row r="214">
          <cell r="A214" t="str">
            <v>ADMINISTRATIVE &amp; MANAGEMENT EXPENSES</v>
          </cell>
        </row>
      </sheetData>
      <sheetData sheetId="2604">
        <row r="214">
          <cell r="A214" t="str">
            <v>ADMINISTRATIVE &amp; MANAGEMENT EXPENSES</v>
          </cell>
        </row>
      </sheetData>
      <sheetData sheetId="2605">
        <row r="214">
          <cell r="A214" t="str">
            <v>ADMINISTRATIVE &amp; MANAGEMENT EXPENSES</v>
          </cell>
        </row>
      </sheetData>
      <sheetData sheetId="2606">
        <row r="214">
          <cell r="A214" t="str">
            <v>ADMINISTRATIVE &amp; MANAGEMENT EXPENSES</v>
          </cell>
        </row>
      </sheetData>
      <sheetData sheetId="2607">
        <row r="214">
          <cell r="A214" t="str">
            <v>ADMINISTRATIVE &amp; MANAGEMENT EXPENSES</v>
          </cell>
        </row>
      </sheetData>
      <sheetData sheetId="2608">
        <row r="214">
          <cell r="A214" t="str">
            <v>ADMINISTRATIVE &amp; MANAGEMENT EXPENSES</v>
          </cell>
        </row>
      </sheetData>
      <sheetData sheetId="2609">
        <row r="214">
          <cell r="A214" t="str">
            <v>ADMINISTRATIVE &amp; MANAGEMENT EXPENSES</v>
          </cell>
        </row>
      </sheetData>
      <sheetData sheetId="2610">
        <row r="214">
          <cell r="A214" t="str">
            <v>ADMINISTRATIVE &amp; MANAGEMENT EXPENSES</v>
          </cell>
        </row>
      </sheetData>
      <sheetData sheetId="2611">
        <row r="214">
          <cell r="A214" t="str">
            <v>ADMINISTRATIVE &amp; MANAGEMENT EXPENSES</v>
          </cell>
        </row>
      </sheetData>
      <sheetData sheetId="2612">
        <row r="214">
          <cell r="A214" t="str">
            <v>ADMINISTRATIVE &amp; MANAGEMENT EXPENSES</v>
          </cell>
        </row>
      </sheetData>
      <sheetData sheetId="2613">
        <row r="214">
          <cell r="A214" t="str">
            <v>ADMINISTRATIVE &amp; MANAGEMENT EXPENSES</v>
          </cell>
        </row>
      </sheetData>
      <sheetData sheetId="2614">
        <row r="214">
          <cell r="A214" t="str">
            <v>ADMINISTRATIVE &amp; MANAGEMENT EXPENSES</v>
          </cell>
        </row>
      </sheetData>
      <sheetData sheetId="2615">
        <row r="214">
          <cell r="A214" t="str">
            <v>ADMINISTRATIVE &amp; MANAGEMENT EXPENSES</v>
          </cell>
        </row>
      </sheetData>
      <sheetData sheetId="2616">
        <row r="214">
          <cell r="A214" t="str">
            <v>ADMINISTRATIVE &amp; MANAGEMENT EXPENSES</v>
          </cell>
        </row>
      </sheetData>
      <sheetData sheetId="2617">
        <row r="214">
          <cell r="A214" t="str">
            <v>ADMINISTRATIVE &amp; MANAGEMENT EXPENSES</v>
          </cell>
        </row>
      </sheetData>
      <sheetData sheetId="2618">
        <row r="214">
          <cell r="A214" t="str">
            <v>ADMINISTRATIVE &amp; MANAGEMENT EXPENSES</v>
          </cell>
        </row>
      </sheetData>
      <sheetData sheetId="2619">
        <row r="214">
          <cell r="A214" t="str">
            <v>ADMINISTRATIVE &amp; MANAGEMENT EXPENSES</v>
          </cell>
        </row>
      </sheetData>
      <sheetData sheetId="2620">
        <row r="214">
          <cell r="A214" t="str">
            <v>ADMINISTRATIVE &amp; MANAGEMENT EXPENSES</v>
          </cell>
        </row>
      </sheetData>
      <sheetData sheetId="2621">
        <row r="214">
          <cell r="A214" t="str">
            <v>ADMINISTRATIVE &amp; MANAGEMENT EXPENSES</v>
          </cell>
        </row>
      </sheetData>
      <sheetData sheetId="2622">
        <row r="214">
          <cell r="A214" t="str">
            <v>ADMINISTRATIVE &amp; MANAGEMENT EXPENSES</v>
          </cell>
        </row>
      </sheetData>
      <sheetData sheetId="2623">
        <row r="214">
          <cell r="A214" t="str">
            <v>ADMINISTRATIVE &amp; MANAGEMENT EXPENSES</v>
          </cell>
        </row>
      </sheetData>
      <sheetData sheetId="2624">
        <row r="214">
          <cell r="A214" t="str">
            <v>ADMINISTRATIVE &amp; MANAGEMENT EXPENSES</v>
          </cell>
        </row>
      </sheetData>
      <sheetData sheetId="2625">
        <row r="214">
          <cell r="A214" t="str">
            <v>ADMINISTRATIVE &amp; MANAGEMENT EXPENSES</v>
          </cell>
        </row>
      </sheetData>
      <sheetData sheetId="2626">
        <row r="214">
          <cell r="A214" t="str">
            <v>ADMINISTRATIVE &amp; MANAGEMENT EXPENSES</v>
          </cell>
        </row>
      </sheetData>
      <sheetData sheetId="2627">
        <row r="214">
          <cell r="A214" t="str">
            <v>ADMINISTRATIVE &amp; MANAGEMENT EXPENSES</v>
          </cell>
        </row>
      </sheetData>
      <sheetData sheetId="2628">
        <row r="214">
          <cell r="A214" t="str">
            <v>ADMINISTRATIVE &amp; MANAGEMENT EXPENSES</v>
          </cell>
        </row>
      </sheetData>
      <sheetData sheetId="2629">
        <row r="214">
          <cell r="A214" t="str">
            <v>ADMINISTRATIVE &amp; MANAGEMENT EXPENSES</v>
          </cell>
        </row>
      </sheetData>
      <sheetData sheetId="2630">
        <row r="214">
          <cell r="A214" t="str">
            <v>ADMINISTRATIVE &amp; MANAGEMENT EXPENSES</v>
          </cell>
        </row>
      </sheetData>
      <sheetData sheetId="2631">
        <row r="214">
          <cell r="A214" t="str">
            <v>ADMINISTRATIVE &amp; MANAGEMENT EXPENSES</v>
          </cell>
        </row>
      </sheetData>
      <sheetData sheetId="2632">
        <row r="214">
          <cell r="A214" t="str">
            <v>ADMINISTRATIVE &amp; MANAGEMENT EXPENSES</v>
          </cell>
        </row>
      </sheetData>
      <sheetData sheetId="2633">
        <row r="214">
          <cell r="A214" t="str">
            <v>ADMINISTRATIVE &amp; MANAGEMENT EXPENSES</v>
          </cell>
        </row>
      </sheetData>
      <sheetData sheetId="2634">
        <row r="214">
          <cell r="A214" t="str">
            <v>ADMINISTRATIVE &amp; MANAGEMENT EXPENSES</v>
          </cell>
        </row>
      </sheetData>
      <sheetData sheetId="2635">
        <row r="214">
          <cell r="A214" t="str">
            <v>ADMINISTRATIVE &amp; MANAGEMENT EXPENSES</v>
          </cell>
        </row>
      </sheetData>
      <sheetData sheetId="2636">
        <row r="214">
          <cell r="A214" t="str">
            <v>ADMINISTRATIVE &amp; MANAGEMENT EXPENSES</v>
          </cell>
        </row>
      </sheetData>
      <sheetData sheetId="2637">
        <row r="214">
          <cell r="A214" t="str">
            <v>ADMINISTRATIVE &amp; MANAGEMENT EXPENSES</v>
          </cell>
        </row>
      </sheetData>
      <sheetData sheetId="2638">
        <row r="214">
          <cell r="A214" t="str">
            <v>ADMINISTRATIVE &amp; MANAGEMENT EXPENSES</v>
          </cell>
        </row>
      </sheetData>
      <sheetData sheetId="2639">
        <row r="214">
          <cell r="A214" t="str">
            <v>ADMINISTRATIVE &amp; MANAGEMENT EXPENSES</v>
          </cell>
        </row>
      </sheetData>
      <sheetData sheetId="2640">
        <row r="214">
          <cell r="A214" t="str">
            <v>ADMINISTRATIVE &amp; MANAGEMENT EXPENSES</v>
          </cell>
        </row>
      </sheetData>
      <sheetData sheetId="2641">
        <row r="214">
          <cell r="A214" t="str">
            <v>ADMINISTRATIVE &amp; MANAGEMENT EXPENSES</v>
          </cell>
        </row>
      </sheetData>
      <sheetData sheetId="2642">
        <row r="214">
          <cell r="A214" t="str">
            <v>ADMINISTRATIVE &amp; MANAGEMENT EXPENSES</v>
          </cell>
        </row>
      </sheetData>
      <sheetData sheetId="2643">
        <row r="214">
          <cell r="A214" t="str">
            <v>ADMINISTRATIVE &amp; MANAGEMENT EXPENSES</v>
          </cell>
        </row>
      </sheetData>
      <sheetData sheetId="2644">
        <row r="214">
          <cell r="A214" t="str">
            <v>ADMINISTRATIVE &amp; MANAGEMENT EXPENSES</v>
          </cell>
        </row>
      </sheetData>
      <sheetData sheetId="2645">
        <row r="214">
          <cell r="A214" t="str">
            <v>ADMINISTRATIVE &amp; MANAGEMENT EXPENSES</v>
          </cell>
        </row>
      </sheetData>
      <sheetData sheetId="2646">
        <row r="214">
          <cell r="A214" t="str">
            <v>ADMINISTRATIVE &amp; MANAGEMENT EXPENSES</v>
          </cell>
        </row>
      </sheetData>
      <sheetData sheetId="2647">
        <row r="214">
          <cell r="A214" t="str">
            <v>ADMINISTRATIVE &amp; MANAGEMENT EXPENSES</v>
          </cell>
        </row>
      </sheetData>
      <sheetData sheetId="2648">
        <row r="214">
          <cell r="A214" t="str">
            <v>ADMINISTRATIVE &amp; MANAGEMENT EXPENSES</v>
          </cell>
        </row>
      </sheetData>
      <sheetData sheetId="2649">
        <row r="214">
          <cell r="A214" t="str">
            <v>ADMINISTRATIVE &amp; MANAGEMENT EXPENSES</v>
          </cell>
        </row>
      </sheetData>
      <sheetData sheetId="2650">
        <row r="214">
          <cell r="A214" t="str">
            <v>ADMINISTRATIVE &amp; MANAGEMENT EXPENSES</v>
          </cell>
        </row>
      </sheetData>
      <sheetData sheetId="2651">
        <row r="214">
          <cell r="A214" t="str">
            <v>ADMINISTRATIVE &amp; MANAGEMENT EXPENSES</v>
          </cell>
        </row>
      </sheetData>
      <sheetData sheetId="2652">
        <row r="214">
          <cell r="A214" t="str">
            <v>ADMINISTRATIVE &amp; MANAGEMENT EXPENSES</v>
          </cell>
        </row>
      </sheetData>
      <sheetData sheetId="2653">
        <row r="214">
          <cell r="A214" t="str">
            <v>ADMINISTRATIVE &amp; MANAGEMENT EXPENSES</v>
          </cell>
        </row>
      </sheetData>
      <sheetData sheetId="2654">
        <row r="214">
          <cell r="A214" t="str">
            <v>ADMINISTRATIVE &amp; MANAGEMENT EXPENSES</v>
          </cell>
        </row>
      </sheetData>
      <sheetData sheetId="2655">
        <row r="214">
          <cell r="A214" t="str">
            <v>ADMINISTRATIVE &amp; MANAGEMENT EXPENSES</v>
          </cell>
        </row>
      </sheetData>
      <sheetData sheetId="2656">
        <row r="214">
          <cell r="A214" t="str">
            <v>ADMINISTRATIVE &amp; MANAGEMENT EXPENSES</v>
          </cell>
        </row>
      </sheetData>
      <sheetData sheetId="2657">
        <row r="214">
          <cell r="A214" t="str">
            <v>ADMINISTRATIVE &amp; MANAGEMENT EXPENSES</v>
          </cell>
        </row>
      </sheetData>
      <sheetData sheetId="2658">
        <row r="214">
          <cell r="A214" t="str">
            <v>ADMINISTRATIVE &amp; MANAGEMENT EXPENSES</v>
          </cell>
        </row>
      </sheetData>
      <sheetData sheetId="2659">
        <row r="214">
          <cell r="A214" t="str">
            <v>ADMINISTRATIVE &amp; MANAGEMENT EXPENSES</v>
          </cell>
        </row>
      </sheetData>
      <sheetData sheetId="2660">
        <row r="214">
          <cell r="A214" t="str">
            <v>ADMINISTRATIVE &amp; MANAGEMENT EXPENSES</v>
          </cell>
        </row>
      </sheetData>
      <sheetData sheetId="2661">
        <row r="214">
          <cell r="A214" t="str">
            <v>ADMINISTRATIVE &amp; MANAGEMENT EXPENSES</v>
          </cell>
        </row>
      </sheetData>
      <sheetData sheetId="2662">
        <row r="214">
          <cell r="A214" t="str">
            <v>ADMINISTRATIVE &amp; MANAGEMENT EXPENSES</v>
          </cell>
        </row>
      </sheetData>
      <sheetData sheetId="2663">
        <row r="214">
          <cell r="A214" t="str">
            <v>ADMINISTRATIVE &amp; MANAGEMENT EXPENSES</v>
          </cell>
        </row>
      </sheetData>
      <sheetData sheetId="2664">
        <row r="214">
          <cell r="A214" t="str">
            <v>ADMINISTRATIVE &amp; MANAGEMENT EXPENSES</v>
          </cell>
        </row>
      </sheetData>
      <sheetData sheetId="2665">
        <row r="214">
          <cell r="A214" t="str">
            <v>ADMINISTRATIVE &amp; MANAGEMENT EXPENSES</v>
          </cell>
        </row>
      </sheetData>
      <sheetData sheetId="2666">
        <row r="214">
          <cell r="A214" t="str">
            <v>ADMINISTRATIVE &amp; MANAGEMENT EXPENSES</v>
          </cell>
        </row>
      </sheetData>
      <sheetData sheetId="2667">
        <row r="214">
          <cell r="A214" t="str">
            <v>ADMINISTRATIVE &amp; MANAGEMENT EXPENSES</v>
          </cell>
        </row>
      </sheetData>
      <sheetData sheetId="2668">
        <row r="214">
          <cell r="A214" t="str">
            <v>ADMINISTRATIVE &amp; MANAGEMENT EXPENSES</v>
          </cell>
        </row>
      </sheetData>
      <sheetData sheetId="2669">
        <row r="214">
          <cell r="A214" t="str">
            <v>ADMINISTRATIVE &amp; MANAGEMENT EXPENSES</v>
          </cell>
        </row>
      </sheetData>
      <sheetData sheetId="2670">
        <row r="214">
          <cell r="A214" t="str">
            <v>ADMINISTRATIVE &amp; MANAGEMENT EXPENSES</v>
          </cell>
        </row>
      </sheetData>
      <sheetData sheetId="2671"/>
      <sheetData sheetId="2672">
        <row r="214">
          <cell r="A214" t="str">
            <v>ADMINISTRATIVE &amp; MANAGEMENT EXPENSES</v>
          </cell>
        </row>
      </sheetData>
      <sheetData sheetId="2673">
        <row r="214">
          <cell r="A214" t="str">
            <v>ADMINISTRATIVE &amp; MANAGEMENT EXPENSES</v>
          </cell>
        </row>
      </sheetData>
      <sheetData sheetId="2674">
        <row r="214">
          <cell r="A214" t="str">
            <v>ADMINISTRATIVE &amp; MANAGEMENT EXPENSES</v>
          </cell>
        </row>
      </sheetData>
      <sheetData sheetId="2675">
        <row r="214">
          <cell r="A214" t="str">
            <v>ADMINISTRATIVE &amp; MANAGEMENT EXPENSES</v>
          </cell>
        </row>
      </sheetData>
      <sheetData sheetId="2676">
        <row r="214">
          <cell r="A214" t="str">
            <v>ADMINISTRATIVE &amp; MANAGEMENT EXPENSES</v>
          </cell>
        </row>
      </sheetData>
      <sheetData sheetId="2677">
        <row r="214">
          <cell r="A214" t="str">
            <v>ADMINISTRATIVE &amp; MANAGEMENT EXPENSES</v>
          </cell>
        </row>
      </sheetData>
      <sheetData sheetId="2678">
        <row r="214">
          <cell r="A214" t="str">
            <v>ADMINISTRATIVE &amp; MANAGEMENT EXPENSES</v>
          </cell>
        </row>
      </sheetData>
      <sheetData sheetId="2679">
        <row r="214">
          <cell r="A214" t="str">
            <v>ADMINISTRATIVE &amp; MANAGEMENT EXPENSES</v>
          </cell>
        </row>
      </sheetData>
      <sheetData sheetId="2680">
        <row r="214">
          <cell r="A214" t="str">
            <v>ADMINISTRATIVE &amp; MANAGEMENT EXPENSES</v>
          </cell>
        </row>
      </sheetData>
      <sheetData sheetId="2681">
        <row r="214">
          <cell r="A214" t="str">
            <v>ADMINISTRATIVE &amp; MANAGEMENT EXPENSES</v>
          </cell>
        </row>
      </sheetData>
      <sheetData sheetId="2682">
        <row r="214">
          <cell r="A214" t="str">
            <v>ADMINISTRATIVE &amp; MANAGEMENT EXPENSES</v>
          </cell>
        </row>
      </sheetData>
      <sheetData sheetId="2683">
        <row r="214">
          <cell r="A214" t="str">
            <v>ADMINISTRATIVE &amp; MANAGEMENT EXPENSES</v>
          </cell>
        </row>
      </sheetData>
      <sheetData sheetId="2684">
        <row r="214">
          <cell r="A214" t="str">
            <v>ADMINISTRATIVE &amp; MANAGEMENT EXPENSES</v>
          </cell>
        </row>
      </sheetData>
      <sheetData sheetId="2685">
        <row r="214">
          <cell r="A214" t="str">
            <v>ADMINISTRATIVE &amp; MANAGEMENT EXPENSES</v>
          </cell>
        </row>
      </sheetData>
      <sheetData sheetId="2686">
        <row r="214">
          <cell r="A214" t="str">
            <v>ADMINISTRATIVE &amp; MANAGEMENT EXPENSES</v>
          </cell>
        </row>
      </sheetData>
      <sheetData sheetId="2687">
        <row r="214">
          <cell r="A214" t="str">
            <v>ADMINISTRATIVE &amp; MANAGEMENT EXPENSES</v>
          </cell>
        </row>
      </sheetData>
      <sheetData sheetId="2688">
        <row r="214">
          <cell r="A214" t="str">
            <v>ADMINISTRATIVE &amp; MANAGEMENT EXPENSES</v>
          </cell>
        </row>
      </sheetData>
      <sheetData sheetId="2689">
        <row r="214">
          <cell r="A214" t="str">
            <v>ADMINISTRATIVE &amp; MANAGEMENT EXPENSES</v>
          </cell>
        </row>
      </sheetData>
      <sheetData sheetId="2690">
        <row r="214">
          <cell r="A214" t="str">
            <v>ADMINISTRATIVE &amp; MANAGEMENT EXPENSES</v>
          </cell>
        </row>
      </sheetData>
      <sheetData sheetId="2691">
        <row r="214">
          <cell r="A214" t="str">
            <v>ADMINISTRATIVE &amp; MANAGEMENT EXPENSES</v>
          </cell>
        </row>
      </sheetData>
      <sheetData sheetId="2692">
        <row r="214">
          <cell r="A214" t="str">
            <v>ADMINISTRATIVE &amp; MANAGEMENT EXPENSES</v>
          </cell>
        </row>
      </sheetData>
      <sheetData sheetId="2693">
        <row r="214">
          <cell r="A214" t="str">
            <v>ADMINISTRATIVE &amp; MANAGEMENT EXPENSES</v>
          </cell>
        </row>
      </sheetData>
      <sheetData sheetId="2694">
        <row r="214">
          <cell r="A214" t="str">
            <v>ADMINISTRATIVE &amp; MANAGEMENT EXPENSES</v>
          </cell>
        </row>
      </sheetData>
      <sheetData sheetId="2695">
        <row r="214">
          <cell r="A214" t="str">
            <v>ADMINISTRATIVE &amp; MANAGEMENT EXPENSES</v>
          </cell>
        </row>
      </sheetData>
      <sheetData sheetId="2696">
        <row r="214">
          <cell r="A214" t="str">
            <v>ADMINISTRATIVE &amp; MANAGEMENT EXPENSES</v>
          </cell>
        </row>
      </sheetData>
      <sheetData sheetId="2697">
        <row r="214">
          <cell r="A214" t="str">
            <v>ADMINISTRATIVE &amp; MANAGEMENT EXPENSES</v>
          </cell>
        </row>
      </sheetData>
      <sheetData sheetId="2698">
        <row r="214">
          <cell r="A214" t="str">
            <v>ADMINISTRATIVE &amp; MANAGEMENT EXPENSES</v>
          </cell>
        </row>
      </sheetData>
      <sheetData sheetId="2699">
        <row r="214">
          <cell r="A214" t="str">
            <v>ADMINISTRATIVE &amp; MANAGEMENT EXPENSES</v>
          </cell>
        </row>
      </sheetData>
      <sheetData sheetId="2700">
        <row r="214">
          <cell r="A214" t="str">
            <v>ADMINISTRATIVE &amp; MANAGEMENT EXPENSES</v>
          </cell>
        </row>
      </sheetData>
      <sheetData sheetId="2701">
        <row r="214">
          <cell r="A214" t="str">
            <v>ADMINISTRATIVE &amp; MANAGEMENT EXPENSES</v>
          </cell>
        </row>
      </sheetData>
      <sheetData sheetId="2702">
        <row r="214">
          <cell r="A214" t="str">
            <v>ADMINISTRATIVE &amp; MANAGEMENT EXPENSES</v>
          </cell>
        </row>
      </sheetData>
      <sheetData sheetId="2703">
        <row r="214">
          <cell r="A214" t="str">
            <v>ADMINISTRATIVE &amp; MANAGEMENT EXPENSES</v>
          </cell>
        </row>
      </sheetData>
      <sheetData sheetId="2704">
        <row r="214">
          <cell r="A214" t="str">
            <v>ADMINISTRATIVE &amp; MANAGEMENT EXPENSES</v>
          </cell>
        </row>
      </sheetData>
      <sheetData sheetId="2705">
        <row r="214">
          <cell r="A214" t="str">
            <v>ADMINISTRATIVE &amp; MANAGEMENT EXPENSES</v>
          </cell>
        </row>
      </sheetData>
      <sheetData sheetId="2706">
        <row r="214">
          <cell r="A214" t="str">
            <v>ADMINISTRATIVE &amp; MANAGEMENT EXPENSES</v>
          </cell>
        </row>
      </sheetData>
      <sheetData sheetId="2707">
        <row r="214">
          <cell r="A214" t="str">
            <v>ADMINISTRATIVE &amp; MANAGEMENT EXPENSES</v>
          </cell>
        </row>
      </sheetData>
      <sheetData sheetId="2708">
        <row r="214">
          <cell r="A214" t="str">
            <v>ADMINISTRATIVE &amp; MANAGEMENT EXPENSES</v>
          </cell>
        </row>
      </sheetData>
      <sheetData sheetId="2709">
        <row r="214">
          <cell r="A214" t="str">
            <v>ADMINISTRATIVE &amp; MANAGEMENT EXPENSES</v>
          </cell>
        </row>
      </sheetData>
      <sheetData sheetId="2710">
        <row r="214">
          <cell r="A214" t="str">
            <v>ADMINISTRATIVE &amp; MANAGEMENT EXPENSES</v>
          </cell>
        </row>
      </sheetData>
      <sheetData sheetId="2711">
        <row r="214">
          <cell r="A214" t="str">
            <v>ADMINISTRATIVE &amp; MANAGEMENT EXPENSES</v>
          </cell>
        </row>
      </sheetData>
      <sheetData sheetId="2712">
        <row r="214">
          <cell r="A214" t="str">
            <v>ADMINISTRATIVE &amp; MANAGEMENT EXPENSES</v>
          </cell>
        </row>
      </sheetData>
      <sheetData sheetId="2713">
        <row r="214">
          <cell r="A214" t="str">
            <v>ADMINISTRATIVE &amp; MANAGEMENT EXPENSES</v>
          </cell>
        </row>
      </sheetData>
      <sheetData sheetId="2714">
        <row r="214">
          <cell r="A214" t="str">
            <v>ADMINISTRATIVE &amp; MANAGEMENT EXPENSES</v>
          </cell>
        </row>
      </sheetData>
      <sheetData sheetId="2715">
        <row r="214">
          <cell r="A214" t="str">
            <v>ADMINISTRATIVE &amp; MANAGEMENT EXPENSES</v>
          </cell>
        </row>
      </sheetData>
      <sheetData sheetId="2716">
        <row r="214">
          <cell r="A214" t="str">
            <v>ADMINISTRATIVE &amp; MANAGEMENT EXPENSES</v>
          </cell>
        </row>
      </sheetData>
      <sheetData sheetId="2717">
        <row r="214">
          <cell r="A214" t="str">
            <v>ADMINISTRATIVE &amp; MANAGEMENT EXPENSES</v>
          </cell>
        </row>
      </sheetData>
      <sheetData sheetId="2718">
        <row r="214">
          <cell r="A214" t="str">
            <v>ADMINISTRATIVE &amp; MANAGEMENT EXPENSES</v>
          </cell>
        </row>
      </sheetData>
      <sheetData sheetId="2719">
        <row r="214">
          <cell r="A214" t="str">
            <v>ADMINISTRATIVE &amp; MANAGEMENT EXPENSES</v>
          </cell>
        </row>
      </sheetData>
      <sheetData sheetId="2720">
        <row r="214">
          <cell r="A214" t="str">
            <v>ADMINISTRATIVE &amp; MANAGEMENT EXPENSES</v>
          </cell>
        </row>
      </sheetData>
      <sheetData sheetId="2721">
        <row r="214">
          <cell r="A214" t="str">
            <v>ADMINISTRATIVE &amp; MANAGEMENT EXPENSES</v>
          </cell>
        </row>
      </sheetData>
      <sheetData sheetId="2722">
        <row r="214">
          <cell r="A214" t="str">
            <v>ADMINISTRATIVE &amp; MANAGEMENT EXPENSES</v>
          </cell>
        </row>
      </sheetData>
      <sheetData sheetId="2723">
        <row r="214">
          <cell r="A214" t="str">
            <v>ADMINISTRATIVE &amp; MANAGEMENT EXPENSES</v>
          </cell>
        </row>
      </sheetData>
      <sheetData sheetId="2724">
        <row r="214">
          <cell r="A214" t="str">
            <v>ADMINISTRATIVE &amp; MANAGEMENT EXPENSES</v>
          </cell>
        </row>
      </sheetData>
      <sheetData sheetId="2725">
        <row r="214">
          <cell r="A214" t="str">
            <v>ADMINISTRATIVE &amp; MANAGEMENT EXPENSES</v>
          </cell>
        </row>
      </sheetData>
      <sheetData sheetId="2726">
        <row r="214">
          <cell r="A214" t="str">
            <v>ADMINISTRATIVE &amp; MANAGEMENT EXPENSES</v>
          </cell>
        </row>
      </sheetData>
      <sheetData sheetId="2727">
        <row r="214">
          <cell r="A214" t="str">
            <v>ADMINISTRATIVE &amp; MANAGEMENT EXPENSES</v>
          </cell>
        </row>
      </sheetData>
      <sheetData sheetId="2728">
        <row r="214">
          <cell r="A214" t="str">
            <v>ADMINISTRATIVE &amp; MANAGEMENT EXPENSES</v>
          </cell>
        </row>
      </sheetData>
      <sheetData sheetId="2729">
        <row r="214">
          <cell r="A214" t="str">
            <v>ADMINISTRATIVE &amp; MANAGEMENT EXPENSES</v>
          </cell>
        </row>
      </sheetData>
      <sheetData sheetId="2730">
        <row r="214">
          <cell r="A214" t="str">
            <v>ADMINISTRATIVE &amp; MANAGEMENT EXPENSES</v>
          </cell>
        </row>
      </sheetData>
      <sheetData sheetId="2731">
        <row r="214">
          <cell r="A214" t="str">
            <v>ADMINISTRATIVE &amp; MANAGEMENT EXPENSES</v>
          </cell>
        </row>
      </sheetData>
      <sheetData sheetId="2732">
        <row r="214">
          <cell r="A214" t="str">
            <v>ADMINISTRATIVE &amp; MANAGEMENT EXPENSES</v>
          </cell>
        </row>
      </sheetData>
      <sheetData sheetId="2733">
        <row r="214">
          <cell r="A214" t="str">
            <v>ADMINISTRATIVE &amp; MANAGEMENT EXPENSES</v>
          </cell>
        </row>
      </sheetData>
      <sheetData sheetId="2734">
        <row r="214">
          <cell r="A214" t="str">
            <v>ADMINISTRATIVE &amp; MANAGEMENT EXPENSES</v>
          </cell>
        </row>
      </sheetData>
      <sheetData sheetId="2735">
        <row r="214">
          <cell r="A214" t="str">
            <v>ADMINISTRATIVE &amp; MANAGEMENT EXPENSES</v>
          </cell>
        </row>
      </sheetData>
      <sheetData sheetId="2736">
        <row r="214">
          <cell r="A214" t="str">
            <v>ADMINISTRATIVE &amp; MANAGEMENT EXPENSES</v>
          </cell>
        </row>
      </sheetData>
      <sheetData sheetId="2737">
        <row r="214">
          <cell r="A214" t="str">
            <v>ADMINISTRATIVE &amp; MANAGEMENT EXPENSES</v>
          </cell>
        </row>
      </sheetData>
      <sheetData sheetId="2738">
        <row r="214">
          <cell r="A214" t="str">
            <v>ADMINISTRATIVE &amp; MANAGEMENT EXPENSES</v>
          </cell>
        </row>
      </sheetData>
      <sheetData sheetId="2739">
        <row r="214">
          <cell r="A214" t="str">
            <v>ADMINISTRATIVE &amp; MANAGEMENT EXPENSES</v>
          </cell>
        </row>
      </sheetData>
      <sheetData sheetId="2740">
        <row r="214">
          <cell r="A214" t="str">
            <v>ADMINISTRATIVE &amp; MANAGEMENT EXPENSES</v>
          </cell>
        </row>
      </sheetData>
      <sheetData sheetId="2741">
        <row r="214">
          <cell r="A214" t="str">
            <v>ADMINISTRATIVE &amp; MANAGEMENT EXPENSES</v>
          </cell>
        </row>
      </sheetData>
      <sheetData sheetId="2742">
        <row r="214">
          <cell r="A214" t="str">
            <v>ADMINISTRATIVE &amp; MANAGEMENT EXPENSES</v>
          </cell>
        </row>
      </sheetData>
      <sheetData sheetId="2743">
        <row r="214">
          <cell r="A214" t="str">
            <v>ADMINISTRATIVE &amp; MANAGEMENT EXPENSES</v>
          </cell>
        </row>
      </sheetData>
      <sheetData sheetId="2744">
        <row r="214">
          <cell r="A214" t="str">
            <v>ADMINISTRATIVE &amp; MANAGEMENT EXPENSES</v>
          </cell>
        </row>
      </sheetData>
      <sheetData sheetId="2745">
        <row r="214">
          <cell r="A214" t="str">
            <v>ADMINISTRATIVE &amp; MANAGEMENT EXPENSES</v>
          </cell>
        </row>
      </sheetData>
      <sheetData sheetId="2746">
        <row r="214">
          <cell r="A214" t="str">
            <v>ADMINISTRATIVE &amp; MANAGEMENT EXPENSES</v>
          </cell>
        </row>
      </sheetData>
      <sheetData sheetId="2747">
        <row r="214">
          <cell r="A214" t="str">
            <v>ADMINISTRATIVE &amp; MANAGEMENT EXPENSES</v>
          </cell>
        </row>
      </sheetData>
      <sheetData sheetId="2748">
        <row r="214">
          <cell r="A214" t="str">
            <v>ADMINISTRATIVE &amp; MANAGEMENT EXPENSES</v>
          </cell>
        </row>
      </sheetData>
      <sheetData sheetId="2749">
        <row r="214">
          <cell r="A214" t="str">
            <v>ADMINISTRATIVE &amp; MANAGEMENT EXPENSES</v>
          </cell>
        </row>
      </sheetData>
      <sheetData sheetId="2750" refreshError="1"/>
      <sheetData sheetId="2751" refreshError="1"/>
      <sheetData sheetId="2752" refreshError="1"/>
      <sheetData sheetId="2753" refreshError="1"/>
      <sheetData sheetId="2754">
        <row r="214">
          <cell r="A214" t="str">
            <v>ADMINISTRATIVE &amp; MANAGEMENT EXPENSES</v>
          </cell>
        </row>
      </sheetData>
      <sheetData sheetId="2755">
        <row r="214">
          <cell r="A214" t="str">
            <v>ADMINISTRATIVE &amp; MANAGEMENT EXPENSES</v>
          </cell>
        </row>
      </sheetData>
      <sheetData sheetId="2756">
        <row r="214">
          <cell r="A214" t="str">
            <v>ADMINISTRATIVE &amp; MANAGEMENT EXPENSES</v>
          </cell>
        </row>
      </sheetData>
      <sheetData sheetId="2757">
        <row r="214">
          <cell r="A214" t="str">
            <v>ADMINISTRATIVE &amp; MANAGEMENT EXPENSES</v>
          </cell>
        </row>
      </sheetData>
      <sheetData sheetId="2758">
        <row r="214">
          <cell r="A214" t="str">
            <v>ADMINISTRATIVE &amp; MANAGEMENT EXPENSES</v>
          </cell>
        </row>
      </sheetData>
      <sheetData sheetId="2759">
        <row r="214">
          <cell r="A214" t="str">
            <v>ADMINISTRATIVE &amp; MANAGEMENT EXPENSES</v>
          </cell>
        </row>
      </sheetData>
      <sheetData sheetId="2760">
        <row r="214">
          <cell r="A214" t="str">
            <v>ADMINISTRATIVE &amp; MANAGEMENT EXPENSES</v>
          </cell>
        </row>
      </sheetData>
      <sheetData sheetId="2761">
        <row r="214">
          <cell r="A214" t="str">
            <v>ADMINISTRATIVE &amp; MANAGEMENT EXPENSES</v>
          </cell>
        </row>
      </sheetData>
      <sheetData sheetId="2762">
        <row r="214">
          <cell r="A214" t="str">
            <v>ADMINISTRATIVE &amp; MANAGEMENT EXPENSES</v>
          </cell>
        </row>
      </sheetData>
      <sheetData sheetId="2763">
        <row r="214">
          <cell r="A214" t="str">
            <v>ADMINISTRATIVE &amp; MANAGEMENT EXPENSES</v>
          </cell>
        </row>
      </sheetData>
      <sheetData sheetId="2764">
        <row r="214">
          <cell r="A214" t="str">
            <v>ADMINISTRATIVE &amp; MANAGEMENT EXPENSES</v>
          </cell>
        </row>
      </sheetData>
      <sheetData sheetId="2765">
        <row r="214">
          <cell r="A214" t="str">
            <v>ADMINISTRATIVE &amp; MANAGEMENT EXPENSES</v>
          </cell>
        </row>
      </sheetData>
      <sheetData sheetId="2766">
        <row r="214">
          <cell r="A214" t="str">
            <v>ADMINISTRATIVE &amp; MANAGEMENT EXPENSES</v>
          </cell>
        </row>
      </sheetData>
      <sheetData sheetId="2767">
        <row r="214">
          <cell r="A214" t="str">
            <v>ADMINISTRATIVE &amp; MANAGEMENT EXPENSES</v>
          </cell>
        </row>
      </sheetData>
      <sheetData sheetId="2768">
        <row r="214">
          <cell r="A214" t="str">
            <v>ADMINISTRATIVE &amp; MANAGEMENT EXPENSES</v>
          </cell>
        </row>
      </sheetData>
      <sheetData sheetId="2769">
        <row r="214">
          <cell r="A214" t="str">
            <v>ADMINISTRATIVE &amp; MANAGEMENT EXPENSES</v>
          </cell>
        </row>
      </sheetData>
      <sheetData sheetId="2770">
        <row r="214">
          <cell r="A214" t="str">
            <v>ADMINISTRATIVE &amp; MANAGEMENT EXPENSES</v>
          </cell>
        </row>
      </sheetData>
      <sheetData sheetId="2771">
        <row r="214">
          <cell r="A214" t="str">
            <v>ADMINISTRATIVE &amp; MANAGEMENT EXPENSES</v>
          </cell>
        </row>
      </sheetData>
      <sheetData sheetId="2772">
        <row r="214">
          <cell r="A214" t="str">
            <v>ADMINISTRATIVE &amp; MANAGEMENT EXPENSES</v>
          </cell>
        </row>
      </sheetData>
      <sheetData sheetId="2773">
        <row r="214">
          <cell r="A214" t="str">
            <v>ADMINISTRATIVE &amp; MANAGEMENT EXPENSES</v>
          </cell>
        </row>
      </sheetData>
      <sheetData sheetId="2774">
        <row r="214">
          <cell r="A214" t="str">
            <v>ADMINISTRATIVE &amp; MANAGEMENT EXPENSES</v>
          </cell>
        </row>
      </sheetData>
      <sheetData sheetId="2775">
        <row r="214">
          <cell r="A214" t="str">
            <v>ADMINISTRATIVE &amp; MANAGEMENT EXPENSES</v>
          </cell>
        </row>
      </sheetData>
      <sheetData sheetId="2776">
        <row r="214">
          <cell r="A214" t="str">
            <v>ADMINISTRATIVE &amp; MANAGEMENT EXPENSES</v>
          </cell>
        </row>
      </sheetData>
      <sheetData sheetId="2777">
        <row r="214">
          <cell r="A214" t="str">
            <v>ADMINISTRATIVE &amp; MANAGEMENT EXPENSES</v>
          </cell>
        </row>
      </sheetData>
      <sheetData sheetId="2778">
        <row r="214">
          <cell r="A214" t="str">
            <v>ADMINISTRATIVE &amp; MANAGEMENT EXPENSES</v>
          </cell>
        </row>
      </sheetData>
      <sheetData sheetId="2779">
        <row r="214">
          <cell r="A214" t="str">
            <v>ADMINISTRATIVE &amp; MANAGEMENT EXPENSES</v>
          </cell>
        </row>
      </sheetData>
      <sheetData sheetId="2780">
        <row r="214">
          <cell r="A214" t="str">
            <v>ADMINISTRATIVE &amp; MANAGEMENT EXPENSES</v>
          </cell>
        </row>
      </sheetData>
      <sheetData sheetId="2781">
        <row r="214">
          <cell r="A214" t="str">
            <v>ADMINISTRATIVE &amp; MANAGEMENT EXPENSES</v>
          </cell>
        </row>
      </sheetData>
      <sheetData sheetId="2782">
        <row r="214">
          <cell r="A214" t="str">
            <v>ADMINISTRATIVE &amp; MANAGEMENT EXPENSES</v>
          </cell>
        </row>
      </sheetData>
      <sheetData sheetId="2783">
        <row r="214">
          <cell r="A214" t="str">
            <v>ADMINISTRATIVE &amp; MANAGEMENT EXPENSES</v>
          </cell>
        </row>
      </sheetData>
      <sheetData sheetId="2784">
        <row r="214">
          <cell r="A214" t="str">
            <v>ADMINISTRATIVE &amp; MANAGEMENT EXPENSES</v>
          </cell>
        </row>
      </sheetData>
      <sheetData sheetId="2785">
        <row r="214">
          <cell r="A214" t="str">
            <v>ADMINISTRATIVE &amp; MANAGEMENT EXPENSES</v>
          </cell>
        </row>
      </sheetData>
      <sheetData sheetId="2786">
        <row r="214">
          <cell r="A214" t="str">
            <v>ADMINISTRATIVE &amp; MANAGEMENT EXPENSES</v>
          </cell>
        </row>
      </sheetData>
      <sheetData sheetId="2787">
        <row r="214">
          <cell r="A214" t="str">
            <v>ADMINISTRATIVE &amp; MANAGEMENT EXPENSES</v>
          </cell>
        </row>
      </sheetData>
      <sheetData sheetId="2788">
        <row r="214">
          <cell r="A214" t="str">
            <v>ADMINISTRATIVE &amp; MANAGEMENT EXPENSES</v>
          </cell>
        </row>
      </sheetData>
      <sheetData sheetId="2789">
        <row r="214">
          <cell r="A214" t="str">
            <v>ADMINISTRATIVE &amp; MANAGEMENT EXPENSES</v>
          </cell>
        </row>
      </sheetData>
      <sheetData sheetId="2790">
        <row r="214">
          <cell r="A214" t="str">
            <v>ADMINISTRATIVE &amp; MANAGEMENT EXPENSES</v>
          </cell>
        </row>
      </sheetData>
      <sheetData sheetId="2791">
        <row r="214">
          <cell r="A214" t="str">
            <v>ADMINISTRATIVE &amp; MANAGEMENT EXPENSES</v>
          </cell>
        </row>
      </sheetData>
      <sheetData sheetId="2792">
        <row r="214">
          <cell r="A214" t="str">
            <v>ADMINISTRATIVE &amp; MANAGEMENT EXPENSES</v>
          </cell>
        </row>
      </sheetData>
      <sheetData sheetId="2793">
        <row r="214">
          <cell r="A214" t="str">
            <v>ADMINISTRATIVE &amp; MANAGEMENT EXPENSES</v>
          </cell>
        </row>
      </sheetData>
      <sheetData sheetId="2794">
        <row r="214">
          <cell r="A214" t="str">
            <v>ADMINISTRATIVE &amp; MANAGEMENT EXPENSES</v>
          </cell>
        </row>
      </sheetData>
      <sheetData sheetId="2795">
        <row r="214">
          <cell r="A214" t="str">
            <v>ADMINISTRATIVE &amp; MANAGEMENT EXPENSES</v>
          </cell>
        </row>
      </sheetData>
      <sheetData sheetId="2796">
        <row r="214">
          <cell r="A214" t="str">
            <v>ADMINISTRATIVE &amp; MANAGEMENT EXPENSES</v>
          </cell>
        </row>
      </sheetData>
      <sheetData sheetId="2797">
        <row r="214">
          <cell r="A214" t="str">
            <v>ADMINISTRATIVE &amp; MANAGEMENT EXPENSES</v>
          </cell>
        </row>
      </sheetData>
      <sheetData sheetId="2798">
        <row r="214">
          <cell r="A214" t="str">
            <v>ADMINISTRATIVE &amp; MANAGEMENT EXPENSES</v>
          </cell>
        </row>
      </sheetData>
      <sheetData sheetId="2799">
        <row r="214">
          <cell r="A214" t="str">
            <v>ADMINISTRATIVE &amp; MANAGEMENT EXPENSES</v>
          </cell>
        </row>
      </sheetData>
      <sheetData sheetId="2800">
        <row r="214">
          <cell r="A214" t="str">
            <v>ADMINISTRATIVE &amp; MANAGEMENT EXPENSES</v>
          </cell>
        </row>
      </sheetData>
      <sheetData sheetId="2801">
        <row r="214">
          <cell r="A214" t="str">
            <v>ADMINISTRATIVE &amp; MANAGEMENT EXPENSES</v>
          </cell>
        </row>
      </sheetData>
      <sheetData sheetId="2802">
        <row r="214">
          <cell r="A214" t="str">
            <v>ADMINISTRATIVE &amp; MANAGEMENT EXPENSES</v>
          </cell>
        </row>
      </sheetData>
      <sheetData sheetId="2803">
        <row r="214">
          <cell r="A214" t="str">
            <v>ADMINISTRATIVE &amp; MANAGEMENT EXPENSES</v>
          </cell>
        </row>
      </sheetData>
      <sheetData sheetId="2804">
        <row r="214">
          <cell r="A214" t="str">
            <v>ADMINISTRATIVE &amp; MANAGEMENT EXPENSES</v>
          </cell>
        </row>
      </sheetData>
      <sheetData sheetId="2805">
        <row r="214">
          <cell r="A214" t="str">
            <v>ADMINISTRATIVE &amp; MANAGEMENT EXPENSES</v>
          </cell>
        </row>
      </sheetData>
      <sheetData sheetId="2806">
        <row r="214">
          <cell r="A214" t="str">
            <v>ADMINISTRATIVE &amp; MANAGEMENT EXPENSES</v>
          </cell>
        </row>
      </sheetData>
      <sheetData sheetId="2807">
        <row r="214">
          <cell r="A214" t="str">
            <v>ADMINISTRATIVE &amp; MANAGEMENT EXPENSES</v>
          </cell>
        </row>
      </sheetData>
      <sheetData sheetId="2808">
        <row r="214">
          <cell r="A214" t="str">
            <v>ADMINISTRATIVE &amp; MANAGEMENT EXPENSES</v>
          </cell>
        </row>
      </sheetData>
      <sheetData sheetId="2809">
        <row r="214">
          <cell r="A214" t="str">
            <v>ADMINISTRATIVE &amp; MANAGEMENT EXPENSES</v>
          </cell>
        </row>
      </sheetData>
      <sheetData sheetId="2810">
        <row r="214">
          <cell r="A214" t="str">
            <v>ADMINISTRATIVE &amp; MANAGEMENT EXPENSES</v>
          </cell>
        </row>
      </sheetData>
      <sheetData sheetId="2811">
        <row r="214">
          <cell r="A214" t="str">
            <v>ADMINISTRATIVE &amp; MANAGEMENT EXPENSES</v>
          </cell>
        </row>
      </sheetData>
      <sheetData sheetId="2812">
        <row r="214">
          <cell r="A214" t="str">
            <v>ADMINISTRATIVE &amp; MANAGEMENT EXPENSES</v>
          </cell>
        </row>
      </sheetData>
      <sheetData sheetId="2813">
        <row r="214">
          <cell r="A214" t="str">
            <v>ADMINISTRATIVE &amp; MANAGEMENT EXPENSES</v>
          </cell>
        </row>
      </sheetData>
      <sheetData sheetId="2814">
        <row r="214">
          <cell r="A214" t="str">
            <v>ADMINISTRATIVE &amp; MANAGEMENT EXPENSES</v>
          </cell>
        </row>
      </sheetData>
      <sheetData sheetId="2815">
        <row r="214">
          <cell r="A214" t="str">
            <v>ADMINISTRATIVE &amp; MANAGEMENT EXPENSES</v>
          </cell>
        </row>
      </sheetData>
      <sheetData sheetId="2816">
        <row r="214">
          <cell r="A214" t="str">
            <v>ADMINISTRATIVE &amp; MANAGEMENT EXPENSES</v>
          </cell>
        </row>
      </sheetData>
      <sheetData sheetId="2817">
        <row r="214">
          <cell r="A214" t="str">
            <v>ADMINISTRATIVE &amp; MANAGEMENT EXPENSES</v>
          </cell>
        </row>
      </sheetData>
      <sheetData sheetId="2818">
        <row r="214">
          <cell r="A214" t="str">
            <v>ADMINISTRATIVE &amp; MANAGEMENT EXPENSES</v>
          </cell>
        </row>
      </sheetData>
      <sheetData sheetId="2819">
        <row r="214">
          <cell r="A214" t="str">
            <v>ADMINISTRATIVE &amp; MANAGEMENT EXPENSES</v>
          </cell>
        </row>
      </sheetData>
      <sheetData sheetId="2820">
        <row r="214">
          <cell r="A214" t="str">
            <v>ADMINISTRATIVE &amp; MANAGEMENT EXPENSES</v>
          </cell>
        </row>
      </sheetData>
      <sheetData sheetId="2821">
        <row r="214">
          <cell r="A214" t="str">
            <v>ADMINISTRATIVE &amp; MANAGEMENT EXPENSES</v>
          </cell>
        </row>
      </sheetData>
      <sheetData sheetId="2822">
        <row r="214">
          <cell r="A214" t="str">
            <v>ADMINISTRATIVE &amp; MANAGEMENT EXPENSES</v>
          </cell>
        </row>
      </sheetData>
      <sheetData sheetId="2823">
        <row r="214">
          <cell r="A214" t="str">
            <v>ADMINISTRATIVE &amp; MANAGEMENT EXPENSES</v>
          </cell>
        </row>
      </sheetData>
      <sheetData sheetId="2824">
        <row r="214">
          <cell r="A214" t="str">
            <v>ADMINISTRATIVE &amp; MANAGEMENT EXPENSES</v>
          </cell>
        </row>
      </sheetData>
      <sheetData sheetId="2825">
        <row r="214">
          <cell r="A214" t="str">
            <v>ADMINISTRATIVE &amp; MANAGEMENT EXPENSES</v>
          </cell>
        </row>
      </sheetData>
      <sheetData sheetId="2826">
        <row r="214">
          <cell r="A214" t="str">
            <v>ADMINISTRATIVE &amp; MANAGEMENT EXPENSES</v>
          </cell>
        </row>
      </sheetData>
      <sheetData sheetId="2827">
        <row r="214">
          <cell r="A214" t="str">
            <v>ADMINISTRATIVE &amp; MANAGEMENT EXPENSES</v>
          </cell>
        </row>
      </sheetData>
      <sheetData sheetId="2828">
        <row r="214">
          <cell r="A214" t="str">
            <v>ADMINISTRATIVE &amp; MANAGEMENT EXPENSES</v>
          </cell>
        </row>
      </sheetData>
      <sheetData sheetId="2829">
        <row r="214">
          <cell r="A214" t="str">
            <v>ADMINISTRATIVE &amp; MANAGEMENT EXPENSES</v>
          </cell>
        </row>
      </sheetData>
      <sheetData sheetId="2830">
        <row r="214">
          <cell r="A214" t="str">
            <v>ADMINISTRATIVE &amp; MANAGEMENT EXPENSES</v>
          </cell>
        </row>
      </sheetData>
      <sheetData sheetId="2831">
        <row r="214">
          <cell r="A214" t="str">
            <v>ADMINISTRATIVE &amp; MANAGEMENT EXPENSES</v>
          </cell>
        </row>
      </sheetData>
      <sheetData sheetId="2832">
        <row r="214">
          <cell r="A214" t="str">
            <v>ADMINISTRATIVE &amp; MANAGEMENT EXPENSES</v>
          </cell>
        </row>
      </sheetData>
      <sheetData sheetId="2833">
        <row r="214">
          <cell r="A214" t="str">
            <v>ADMINISTRATIVE &amp; MANAGEMENT EXPENSES</v>
          </cell>
        </row>
      </sheetData>
      <sheetData sheetId="2834">
        <row r="214">
          <cell r="A214" t="str">
            <v>ADMINISTRATIVE &amp; MANAGEMENT EXPENSES</v>
          </cell>
        </row>
      </sheetData>
      <sheetData sheetId="2835"/>
      <sheetData sheetId="2836">
        <row r="214">
          <cell r="A214" t="str">
            <v>ADMINISTRATIVE &amp; MANAGEMENT EXPENSES</v>
          </cell>
        </row>
      </sheetData>
      <sheetData sheetId="2837">
        <row r="214">
          <cell r="A214" t="str">
            <v>ADMINISTRATIVE &amp; MANAGEMENT EXPENSES</v>
          </cell>
        </row>
      </sheetData>
      <sheetData sheetId="2838">
        <row r="214">
          <cell r="A214" t="str">
            <v>ADMINISTRATIVE &amp; MANAGEMENT EXPENSES</v>
          </cell>
        </row>
      </sheetData>
      <sheetData sheetId="2839">
        <row r="214">
          <cell r="A214" t="str">
            <v>ADMINISTRATIVE &amp; MANAGEMENT EXPENSES</v>
          </cell>
        </row>
      </sheetData>
      <sheetData sheetId="2840">
        <row r="214">
          <cell r="A214" t="str">
            <v>ADMINISTRATIVE &amp; MANAGEMENT EXPENSES</v>
          </cell>
        </row>
      </sheetData>
      <sheetData sheetId="2841">
        <row r="214">
          <cell r="A214" t="str">
            <v>ADMINISTRATIVE &amp; MANAGEMENT EXPENSES</v>
          </cell>
        </row>
      </sheetData>
      <sheetData sheetId="2842">
        <row r="214">
          <cell r="A214" t="str">
            <v>ADMINISTRATIVE &amp; MANAGEMENT EXPENSES</v>
          </cell>
        </row>
      </sheetData>
      <sheetData sheetId="2843">
        <row r="214">
          <cell r="A214" t="str">
            <v>ADMINISTRATIVE &amp; MANAGEMENT EXPENSES</v>
          </cell>
        </row>
      </sheetData>
      <sheetData sheetId="2844">
        <row r="214">
          <cell r="A214" t="str">
            <v>ADMINISTRATIVE &amp; MANAGEMENT EXPENSES</v>
          </cell>
        </row>
      </sheetData>
      <sheetData sheetId="2845">
        <row r="214">
          <cell r="A214" t="str">
            <v>ADMINISTRATIVE &amp; MANAGEMENT EXPENSES</v>
          </cell>
        </row>
      </sheetData>
      <sheetData sheetId="2846">
        <row r="214">
          <cell r="A214" t="str">
            <v>ADMINISTRATIVE &amp; MANAGEMENT EXPENSES</v>
          </cell>
        </row>
      </sheetData>
      <sheetData sheetId="2847">
        <row r="214">
          <cell r="A214" t="str">
            <v>ADMINISTRATIVE &amp; MANAGEMENT EXPENSES</v>
          </cell>
        </row>
      </sheetData>
      <sheetData sheetId="2848">
        <row r="214">
          <cell r="A214" t="str">
            <v>ADMINISTRATIVE &amp; MANAGEMENT EXPENSES</v>
          </cell>
        </row>
      </sheetData>
      <sheetData sheetId="2849">
        <row r="214">
          <cell r="A214" t="str">
            <v>ADMINISTRATIVE &amp; MANAGEMENT EXPENSES</v>
          </cell>
        </row>
      </sheetData>
      <sheetData sheetId="2850">
        <row r="214">
          <cell r="A214" t="str">
            <v>ADMINISTRATIVE &amp; MANAGEMENT EXPENSES</v>
          </cell>
        </row>
      </sheetData>
      <sheetData sheetId="2851">
        <row r="214">
          <cell r="A214" t="str">
            <v>ADMINISTRATIVE &amp; MANAGEMENT EXPENSES</v>
          </cell>
        </row>
      </sheetData>
      <sheetData sheetId="2852">
        <row r="214">
          <cell r="A214" t="str">
            <v>ADMINISTRATIVE &amp; MANAGEMENT EXPENSES</v>
          </cell>
        </row>
      </sheetData>
      <sheetData sheetId="2853">
        <row r="214">
          <cell r="A214" t="str">
            <v>ADMINISTRATIVE &amp; MANAGEMENT EXPENSES</v>
          </cell>
        </row>
      </sheetData>
      <sheetData sheetId="2854">
        <row r="214">
          <cell r="A214" t="str">
            <v>ADMINISTRATIVE &amp; MANAGEMENT EXPENSES</v>
          </cell>
        </row>
      </sheetData>
      <sheetData sheetId="2855">
        <row r="214">
          <cell r="A214" t="str">
            <v>ADMINISTRATIVE &amp; MANAGEMENT EXPENSES</v>
          </cell>
        </row>
      </sheetData>
      <sheetData sheetId="2856">
        <row r="214">
          <cell r="A214" t="str">
            <v>ADMINISTRATIVE &amp; MANAGEMENT EXPENSES</v>
          </cell>
        </row>
      </sheetData>
      <sheetData sheetId="2857">
        <row r="214">
          <cell r="A214" t="str">
            <v>ADMINISTRATIVE &amp; MANAGEMENT EXPENSES</v>
          </cell>
        </row>
      </sheetData>
      <sheetData sheetId="2858">
        <row r="214">
          <cell r="A214" t="str">
            <v>ADMINISTRATIVE &amp; MANAGEMENT EXPENSES</v>
          </cell>
        </row>
      </sheetData>
      <sheetData sheetId="2859">
        <row r="214">
          <cell r="A214" t="str">
            <v>ADMINISTRATIVE &amp; MANAGEMENT EXPENSES</v>
          </cell>
        </row>
      </sheetData>
      <sheetData sheetId="2860">
        <row r="214">
          <cell r="A214" t="str">
            <v>ADMINISTRATIVE &amp; MANAGEMENT EXPENSES</v>
          </cell>
        </row>
      </sheetData>
      <sheetData sheetId="2861">
        <row r="214">
          <cell r="A214" t="str">
            <v>ADMINISTRATIVE &amp; MANAGEMENT EXPENSES</v>
          </cell>
        </row>
      </sheetData>
      <sheetData sheetId="2862">
        <row r="214">
          <cell r="A214" t="str">
            <v>ADMINISTRATIVE &amp; MANAGEMENT EXPENSES</v>
          </cell>
        </row>
      </sheetData>
      <sheetData sheetId="2863">
        <row r="214">
          <cell r="A214" t="str">
            <v>ADMINISTRATIVE &amp; MANAGEMENT EXPENSES</v>
          </cell>
        </row>
      </sheetData>
      <sheetData sheetId="2864">
        <row r="214">
          <cell r="A214" t="str">
            <v>ADMINISTRATIVE &amp; MANAGEMENT EXPENSES</v>
          </cell>
        </row>
      </sheetData>
      <sheetData sheetId="2865">
        <row r="214">
          <cell r="A214" t="str">
            <v>ADMINISTRATIVE &amp; MANAGEMENT EXPENSES</v>
          </cell>
        </row>
      </sheetData>
      <sheetData sheetId="2866">
        <row r="214">
          <cell r="A214" t="str">
            <v>ADMINISTRATIVE &amp; MANAGEMENT EXPENSES</v>
          </cell>
        </row>
      </sheetData>
      <sheetData sheetId="2867">
        <row r="214">
          <cell r="A214" t="str">
            <v>ADMINISTRATIVE &amp; MANAGEMENT EXPENSES</v>
          </cell>
        </row>
      </sheetData>
      <sheetData sheetId="2868">
        <row r="214">
          <cell r="A214" t="str">
            <v>ADMINISTRATIVE &amp; MANAGEMENT EXPENSES</v>
          </cell>
        </row>
      </sheetData>
      <sheetData sheetId="2869">
        <row r="214">
          <cell r="A214" t="str">
            <v>ADMINISTRATIVE &amp; MANAGEMENT EXPENSES</v>
          </cell>
        </row>
      </sheetData>
      <sheetData sheetId="2870">
        <row r="214">
          <cell r="A214" t="str">
            <v>ADMINISTRATIVE &amp; MANAGEMENT EXPENSES</v>
          </cell>
        </row>
      </sheetData>
      <sheetData sheetId="2871">
        <row r="214">
          <cell r="A214" t="str">
            <v>ADMINISTRATIVE &amp; MANAGEMENT EXPENSES</v>
          </cell>
        </row>
      </sheetData>
      <sheetData sheetId="2872"/>
      <sheetData sheetId="2873">
        <row r="214">
          <cell r="A214" t="str">
            <v>ADMINISTRATIVE &amp; MANAGEMENT EXPENSES</v>
          </cell>
        </row>
      </sheetData>
      <sheetData sheetId="2874">
        <row r="214">
          <cell r="A214" t="str">
            <v>ADMINISTRATIVE &amp; MANAGEMENT EXPENSES</v>
          </cell>
        </row>
      </sheetData>
      <sheetData sheetId="2875">
        <row r="214">
          <cell r="A214" t="str">
            <v>ADMINISTRATIVE &amp; MANAGEMENT EXPENSES</v>
          </cell>
        </row>
      </sheetData>
      <sheetData sheetId="2876">
        <row r="214">
          <cell r="A214" t="str">
            <v>ADMINISTRATIVE &amp; MANAGEMENT EXPENSES</v>
          </cell>
        </row>
      </sheetData>
      <sheetData sheetId="2877">
        <row r="214">
          <cell r="A214" t="str">
            <v>ADMINISTRATIVE &amp; MANAGEMENT EXPENSES</v>
          </cell>
        </row>
      </sheetData>
      <sheetData sheetId="2878">
        <row r="214">
          <cell r="A214" t="str">
            <v>ADMINISTRATIVE &amp; MANAGEMENT EXPENSES</v>
          </cell>
        </row>
      </sheetData>
      <sheetData sheetId="2879">
        <row r="214">
          <cell r="A214" t="str">
            <v>ADMINISTRATIVE &amp; MANAGEMENT EXPENSES</v>
          </cell>
        </row>
      </sheetData>
      <sheetData sheetId="2880">
        <row r="214">
          <cell r="A214" t="str">
            <v>ADMINISTRATIVE &amp; MANAGEMENT EXPENSES</v>
          </cell>
        </row>
      </sheetData>
      <sheetData sheetId="2881">
        <row r="214">
          <cell r="A214" t="str">
            <v>ADMINISTRATIVE &amp; MANAGEMENT EXPENSES</v>
          </cell>
        </row>
      </sheetData>
      <sheetData sheetId="2882">
        <row r="214">
          <cell r="A214" t="str">
            <v>ADMINISTRATIVE &amp; MANAGEMENT EXPENSES</v>
          </cell>
        </row>
      </sheetData>
      <sheetData sheetId="2883">
        <row r="214">
          <cell r="A214" t="str">
            <v>ADMINISTRATIVE &amp; MANAGEMENT EXPENSES</v>
          </cell>
        </row>
      </sheetData>
      <sheetData sheetId="2884">
        <row r="214">
          <cell r="A214" t="str">
            <v>ADMINISTRATIVE &amp; MANAGEMENT EXPENSES</v>
          </cell>
        </row>
      </sheetData>
      <sheetData sheetId="2885">
        <row r="214">
          <cell r="A214" t="str">
            <v>ADMINISTRATIVE &amp; MANAGEMENT EXPENSES</v>
          </cell>
        </row>
      </sheetData>
      <sheetData sheetId="2886">
        <row r="214">
          <cell r="A214" t="str">
            <v>ADMINISTRATIVE &amp; MANAGEMENT EXPENSES</v>
          </cell>
        </row>
      </sheetData>
      <sheetData sheetId="2887">
        <row r="214">
          <cell r="A214" t="str">
            <v>ADMINISTRATIVE &amp; MANAGEMENT EXPENSES</v>
          </cell>
        </row>
      </sheetData>
      <sheetData sheetId="2888">
        <row r="214">
          <cell r="A214" t="str">
            <v>ADMINISTRATIVE &amp; MANAGEMENT EXPENSES</v>
          </cell>
        </row>
      </sheetData>
      <sheetData sheetId="2889">
        <row r="214">
          <cell r="A214" t="str">
            <v>ADMINISTRATIVE &amp; MANAGEMENT EXPENSES</v>
          </cell>
        </row>
      </sheetData>
      <sheetData sheetId="2890">
        <row r="214">
          <cell r="A214" t="str">
            <v>ADMINISTRATIVE &amp; MANAGEMENT EXPENSES</v>
          </cell>
        </row>
      </sheetData>
      <sheetData sheetId="2891">
        <row r="214">
          <cell r="A214" t="str">
            <v>ADMINISTRATIVE &amp; MANAGEMENT EXPENSES</v>
          </cell>
        </row>
      </sheetData>
      <sheetData sheetId="2892">
        <row r="214">
          <cell r="A214" t="str">
            <v>ADMINISTRATIVE &amp; MANAGEMENT EXPENSES</v>
          </cell>
        </row>
      </sheetData>
      <sheetData sheetId="2893">
        <row r="214">
          <cell r="A214" t="str">
            <v>ADMINISTRATIVE &amp; MANAGEMENT EXPENSES</v>
          </cell>
        </row>
      </sheetData>
      <sheetData sheetId="2894">
        <row r="214">
          <cell r="A214" t="str">
            <v>ADMINISTRATIVE &amp; MANAGEMENT EXPENSES</v>
          </cell>
        </row>
      </sheetData>
      <sheetData sheetId="2895">
        <row r="214">
          <cell r="A214" t="str">
            <v>ADMINISTRATIVE &amp; MANAGEMENT EXPENSES</v>
          </cell>
        </row>
      </sheetData>
      <sheetData sheetId="2896">
        <row r="214">
          <cell r="A214" t="str">
            <v>ADMINISTRATIVE &amp; MANAGEMENT EXPENSES</v>
          </cell>
        </row>
      </sheetData>
      <sheetData sheetId="2897">
        <row r="214">
          <cell r="A214" t="str">
            <v>ADMINISTRATIVE &amp; MANAGEMENT EXPENSES</v>
          </cell>
        </row>
      </sheetData>
      <sheetData sheetId="2898">
        <row r="214">
          <cell r="A214" t="str">
            <v>ADMINISTRATIVE &amp; MANAGEMENT EXPENSES</v>
          </cell>
        </row>
      </sheetData>
      <sheetData sheetId="2899">
        <row r="214">
          <cell r="A214" t="str">
            <v>ADMINISTRATIVE &amp; MANAGEMENT EXPENSES</v>
          </cell>
        </row>
      </sheetData>
      <sheetData sheetId="2900">
        <row r="214">
          <cell r="A214" t="str">
            <v>ADMINISTRATIVE &amp; MANAGEMENT EXPENSES</v>
          </cell>
        </row>
      </sheetData>
      <sheetData sheetId="2901">
        <row r="214">
          <cell r="A214" t="str">
            <v>ADMINISTRATIVE &amp; MANAGEMENT EXPENSES</v>
          </cell>
        </row>
      </sheetData>
      <sheetData sheetId="2902">
        <row r="214">
          <cell r="A214" t="str">
            <v>ADMINISTRATIVE &amp; MANAGEMENT EXPENSES</v>
          </cell>
        </row>
      </sheetData>
      <sheetData sheetId="2903">
        <row r="214">
          <cell r="A214" t="str">
            <v>ADMINISTRATIVE &amp; MANAGEMENT EXPENSES</v>
          </cell>
        </row>
      </sheetData>
      <sheetData sheetId="2904">
        <row r="214">
          <cell r="A214" t="str">
            <v>ADMINISTRATIVE &amp; MANAGEMENT EXPENSES</v>
          </cell>
        </row>
      </sheetData>
      <sheetData sheetId="2905">
        <row r="214">
          <cell r="A214" t="str">
            <v>ADMINISTRATIVE &amp; MANAGEMENT EXPENSES</v>
          </cell>
        </row>
      </sheetData>
      <sheetData sheetId="2906">
        <row r="214">
          <cell r="A214" t="str">
            <v>ADMINISTRATIVE &amp; MANAGEMENT EXPENSES</v>
          </cell>
        </row>
      </sheetData>
      <sheetData sheetId="2907">
        <row r="214">
          <cell r="A214" t="str">
            <v>ADMINISTRATIVE &amp; MANAGEMENT EXPENSES</v>
          </cell>
        </row>
      </sheetData>
      <sheetData sheetId="2908">
        <row r="214">
          <cell r="A214" t="str">
            <v>ADMINISTRATIVE &amp; MANAGEMENT EXPENSES</v>
          </cell>
        </row>
      </sheetData>
      <sheetData sheetId="2909">
        <row r="214">
          <cell r="A214" t="str">
            <v>ADMINISTRATIVE &amp; MANAGEMENT EXPENSES</v>
          </cell>
        </row>
      </sheetData>
      <sheetData sheetId="2910">
        <row r="214">
          <cell r="A214" t="str">
            <v>ADMINISTRATIVE &amp; MANAGEMENT EXPENSES</v>
          </cell>
        </row>
      </sheetData>
      <sheetData sheetId="2911">
        <row r="214">
          <cell r="A214" t="str">
            <v>ADMINISTRATIVE &amp; MANAGEMENT EXPENSES</v>
          </cell>
        </row>
      </sheetData>
      <sheetData sheetId="2912">
        <row r="214">
          <cell r="A214" t="str">
            <v>ADMINISTRATIVE &amp; MANAGEMENT EXPENSES</v>
          </cell>
        </row>
      </sheetData>
      <sheetData sheetId="2913">
        <row r="214">
          <cell r="A214" t="str">
            <v>ADMINISTRATIVE &amp; MANAGEMENT EXPENSES</v>
          </cell>
        </row>
      </sheetData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>
        <row r="214">
          <cell r="A214" t="str">
            <v>ADMINISTRATIVE &amp; MANAGEMENT EXPENSES</v>
          </cell>
        </row>
      </sheetData>
      <sheetData sheetId="3034">
        <row r="214">
          <cell r="A214" t="str">
            <v>ADMINISTRATIVE &amp; MANAGEMENT EXPENSES</v>
          </cell>
        </row>
      </sheetData>
      <sheetData sheetId="3035">
        <row r="214">
          <cell r="A214" t="str">
            <v>ADMINISTRATIVE &amp; MANAGEMENT EXPENSES</v>
          </cell>
        </row>
      </sheetData>
      <sheetData sheetId="3036">
        <row r="214">
          <cell r="A214" t="str">
            <v>ADMINISTRATIVE &amp; MANAGEMENT EXPENSES</v>
          </cell>
        </row>
      </sheetData>
      <sheetData sheetId="3037">
        <row r="214">
          <cell r="A214" t="str">
            <v>ADMINISTRATIVE &amp; MANAGEMENT EXPENSES</v>
          </cell>
        </row>
      </sheetData>
      <sheetData sheetId="3038">
        <row r="214">
          <cell r="A214" t="str">
            <v>ADMINISTRATIVE &amp; MANAGEMENT EXPENSES</v>
          </cell>
        </row>
      </sheetData>
      <sheetData sheetId="3039">
        <row r="214">
          <cell r="A214" t="str">
            <v>ADMINISTRATIVE &amp; MANAGEMENT EXPENSES</v>
          </cell>
        </row>
      </sheetData>
      <sheetData sheetId="3040">
        <row r="214">
          <cell r="A214" t="str">
            <v>ADMINISTRATIVE &amp; MANAGEMENT EXPENSES</v>
          </cell>
        </row>
      </sheetData>
      <sheetData sheetId="3041">
        <row r="214">
          <cell r="A214" t="str">
            <v>ADMINISTRATIVE &amp; MANAGEMENT EXPENSES</v>
          </cell>
        </row>
      </sheetData>
      <sheetData sheetId="3042">
        <row r="214">
          <cell r="A214" t="str">
            <v>ADMINISTRATIVE &amp; MANAGEMENT EXPENSES</v>
          </cell>
        </row>
      </sheetData>
      <sheetData sheetId="3043">
        <row r="214">
          <cell r="A214" t="str">
            <v>ADMINISTRATIVE &amp; MANAGEMENT EXPENSES</v>
          </cell>
        </row>
      </sheetData>
      <sheetData sheetId="3044">
        <row r="214">
          <cell r="A214" t="str">
            <v>ADMINISTRATIVE &amp; MANAGEMENT EXPENSES</v>
          </cell>
        </row>
      </sheetData>
      <sheetData sheetId="3045">
        <row r="214">
          <cell r="A214" t="str">
            <v>ADMINISTRATIVE &amp; MANAGEMENT EXPENSES</v>
          </cell>
        </row>
      </sheetData>
      <sheetData sheetId="3046">
        <row r="214">
          <cell r="A214" t="str">
            <v>ADMINISTRATIVE &amp; MANAGEMENT EXPENSES</v>
          </cell>
        </row>
      </sheetData>
      <sheetData sheetId="3047">
        <row r="214">
          <cell r="A214" t="str">
            <v>ADMINISTRATIVE &amp; MANAGEMENT EXPENSES</v>
          </cell>
        </row>
      </sheetData>
      <sheetData sheetId="3048">
        <row r="214">
          <cell r="A214" t="str">
            <v>ADMINISTRATIVE &amp; MANAGEMENT EXPENSES</v>
          </cell>
        </row>
      </sheetData>
      <sheetData sheetId="3049">
        <row r="214">
          <cell r="A214" t="str">
            <v>ADMINISTRATIVE &amp; MANAGEMENT EXPENSES</v>
          </cell>
        </row>
      </sheetData>
      <sheetData sheetId="3050">
        <row r="214">
          <cell r="A214" t="str">
            <v>ADMINISTRATIVE &amp; MANAGEMENT EXPENSES</v>
          </cell>
        </row>
      </sheetData>
      <sheetData sheetId="3051">
        <row r="214">
          <cell r="A214" t="str">
            <v>ADMINISTRATIVE &amp; MANAGEMENT EXPENSES</v>
          </cell>
        </row>
      </sheetData>
      <sheetData sheetId="3052">
        <row r="214">
          <cell r="A214" t="str">
            <v>ADMINISTRATIVE &amp; MANAGEMENT EXPENSES</v>
          </cell>
        </row>
      </sheetData>
      <sheetData sheetId="3053">
        <row r="214">
          <cell r="A214" t="str">
            <v>ADMINISTRATIVE &amp; MANAGEMENT EXPENSES</v>
          </cell>
        </row>
      </sheetData>
      <sheetData sheetId="3054">
        <row r="214">
          <cell r="A214" t="str">
            <v>ADMINISTRATIVE &amp; MANAGEMENT EXPENSES</v>
          </cell>
        </row>
      </sheetData>
      <sheetData sheetId="3055">
        <row r="214">
          <cell r="A214" t="str">
            <v>ADMINISTRATIVE &amp; MANAGEMENT EXPENSES</v>
          </cell>
        </row>
      </sheetData>
      <sheetData sheetId="3056">
        <row r="214">
          <cell r="A214" t="str">
            <v>ADMINISTRATIVE &amp; MANAGEMENT EXPENSES</v>
          </cell>
        </row>
      </sheetData>
      <sheetData sheetId="3057">
        <row r="214">
          <cell r="A214" t="str">
            <v>ADMINISTRATIVE &amp; MANAGEMENT EXPENSES</v>
          </cell>
        </row>
      </sheetData>
      <sheetData sheetId="3058">
        <row r="214">
          <cell r="A214" t="str">
            <v>ADMINISTRATIVE &amp; MANAGEMENT EXPENSES</v>
          </cell>
        </row>
      </sheetData>
      <sheetData sheetId="3059">
        <row r="214">
          <cell r="A214" t="str">
            <v>ADMINISTRATIVE &amp; MANAGEMENT EXPENSES</v>
          </cell>
        </row>
      </sheetData>
      <sheetData sheetId="3060">
        <row r="214">
          <cell r="A214" t="str">
            <v>ADMINISTRATIVE &amp; MANAGEMENT EXPENSES</v>
          </cell>
        </row>
      </sheetData>
      <sheetData sheetId="3061">
        <row r="214">
          <cell r="A214" t="str">
            <v>ADMINISTRATIVE &amp; MANAGEMENT EXPENSES</v>
          </cell>
        </row>
      </sheetData>
      <sheetData sheetId="3062">
        <row r="214">
          <cell r="A214" t="str">
            <v>ADMINISTRATIVE &amp; MANAGEMENT EXPENSES</v>
          </cell>
        </row>
      </sheetData>
      <sheetData sheetId="3063">
        <row r="214">
          <cell r="A214" t="str">
            <v>ADMINISTRATIVE &amp; MANAGEMENT EXPENSES</v>
          </cell>
        </row>
      </sheetData>
      <sheetData sheetId="3064">
        <row r="214">
          <cell r="A214" t="str">
            <v>ADMINISTRATIVE &amp; MANAGEMENT EXPENSES</v>
          </cell>
        </row>
      </sheetData>
      <sheetData sheetId="3065">
        <row r="214">
          <cell r="A214" t="str">
            <v>ADMINISTRATIVE &amp; MANAGEMENT EXPENSES</v>
          </cell>
        </row>
      </sheetData>
      <sheetData sheetId="3066">
        <row r="214">
          <cell r="A214" t="str">
            <v>ADMINISTRATIVE &amp; MANAGEMENT EXPENSES</v>
          </cell>
        </row>
      </sheetData>
      <sheetData sheetId="3067">
        <row r="214">
          <cell r="A214" t="str">
            <v>ADMINISTRATIVE &amp; MANAGEMENT EXPENSES</v>
          </cell>
        </row>
      </sheetData>
      <sheetData sheetId="3068">
        <row r="214">
          <cell r="A214" t="str">
            <v>ADMINISTRATIVE &amp; MANAGEMENT EXPENSES</v>
          </cell>
        </row>
      </sheetData>
      <sheetData sheetId="3069">
        <row r="214">
          <cell r="A214" t="str">
            <v>ADMINISTRATIVE &amp; MANAGEMENT EXPENSES</v>
          </cell>
        </row>
      </sheetData>
      <sheetData sheetId="3070">
        <row r="214">
          <cell r="A214" t="str">
            <v>ADMINISTRATIVE &amp; MANAGEMENT EXPENSES</v>
          </cell>
        </row>
      </sheetData>
      <sheetData sheetId="3071">
        <row r="214">
          <cell r="A214" t="str">
            <v>ADMINISTRATIVE &amp; MANAGEMENT EXPENSES</v>
          </cell>
        </row>
      </sheetData>
      <sheetData sheetId="3072">
        <row r="214">
          <cell r="A214" t="str">
            <v>ADMINISTRATIVE &amp; MANAGEMENT EXPENSES</v>
          </cell>
        </row>
      </sheetData>
      <sheetData sheetId="3073">
        <row r="214">
          <cell r="A214" t="str">
            <v>ADMINISTRATIVE &amp; MANAGEMENT EXPENSES</v>
          </cell>
        </row>
      </sheetData>
      <sheetData sheetId="3074">
        <row r="214">
          <cell r="A214" t="str">
            <v>ADMINISTRATIVE &amp; MANAGEMENT EXPENSES</v>
          </cell>
        </row>
      </sheetData>
      <sheetData sheetId="3075">
        <row r="214">
          <cell r="A214" t="str">
            <v>ADMINISTRATIVE &amp; MANAGEMENT EXPENSES</v>
          </cell>
        </row>
      </sheetData>
      <sheetData sheetId="3076">
        <row r="214">
          <cell r="A214" t="str">
            <v>ADMINISTRATIVE &amp; MANAGEMENT EXPENSES</v>
          </cell>
        </row>
      </sheetData>
      <sheetData sheetId="3077">
        <row r="214">
          <cell r="A214" t="str">
            <v>ADMINISTRATIVE &amp; MANAGEMENT EXPENSES</v>
          </cell>
        </row>
      </sheetData>
      <sheetData sheetId="3078">
        <row r="214">
          <cell r="A214" t="str">
            <v>ADMINISTRATIVE &amp; MANAGEMENT EXPENSES</v>
          </cell>
        </row>
      </sheetData>
      <sheetData sheetId="3079">
        <row r="214">
          <cell r="A214" t="str">
            <v>ADMINISTRATIVE &amp; MANAGEMENT EXPENSES</v>
          </cell>
        </row>
      </sheetData>
      <sheetData sheetId="3080">
        <row r="214">
          <cell r="A214" t="str">
            <v>ADMINISTRATIVE &amp; MANAGEMENT EXPENSES</v>
          </cell>
        </row>
      </sheetData>
      <sheetData sheetId="3081">
        <row r="214">
          <cell r="A214" t="str">
            <v>ADMINISTRATIVE &amp; MANAGEMENT EXPENSES</v>
          </cell>
        </row>
      </sheetData>
      <sheetData sheetId="3082">
        <row r="214">
          <cell r="A214" t="str">
            <v>ADMINISTRATIVE &amp; MANAGEMENT EXPENSES</v>
          </cell>
        </row>
      </sheetData>
      <sheetData sheetId="3083">
        <row r="214">
          <cell r="A214" t="str">
            <v>ADMINISTRATIVE &amp; MANAGEMENT EXPENSES</v>
          </cell>
        </row>
      </sheetData>
      <sheetData sheetId="3084">
        <row r="214">
          <cell r="A214" t="str">
            <v>ADMINISTRATIVE &amp; MANAGEMENT EXPENSES</v>
          </cell>
        </row>
      </sheetData>
      <sheetData sheetId="3085">
        <row r="214">
          <cell r="A214" t="str">
            <v>ADMINISTRATIVE &amp; MANAGEMENT EXPENSES</v>
          </cell>
        </row>
      </sheetData>
      <sheetData sheetId="3086">
        <row r="214">
          <cell r="A214" t="str">
            <v>ADMINISTRATIVE &amp; MANAGEMENT EXPENSES</v>
          </cell>
        </row>
      </sheetData>
      <sheetData sheetId="3087">
        <row r="214">
          <cell r="A214" t="str">
            <v>ADMINISTRATIVE &amp; MANAGEMENT EXPENSES</v>
          </cell>
        </row>
      </sheetData>
      <sheetData sheetId="3088">
        <row r="214">
          <cell r="A214" t="str">
            <v>ADMINISTRATIVE &amp; MANAGEMENT EXPENSES</v>
          </cell>
        </row>
      </sheetData>
      <sheetData sheetId="3089">
        <row r="214">
          <cell r="A214" t="str">
            <v>ADMINISTRATIVE &amp; MANAGEMENT EXPENSES</v>
          </cell>
        </row>
      </sheetData>
      <sheetData sheetId="3090">
        <row r="214">
          <cell r="A214" t="str">
            <v>ADMINISTRATIVE &amp; MANAGEMENT EXPENSES</v>
          </cell>
        </row>
      </sheetData>
      <sheetData sheetId="3091">
        <row r="214">
          <cell r="A214" t="str">
            <v>ADMINISTRATIVE &amp; MANAGEMENT EXPENSES</v>
          </cell>
        </row>
      </sheetData>
      <sheetData sheetId="3092">
        <row r="214">
          <cell r="A214" t="str">
            <v>ADMINISTRATIVE &amp; MANAGEMENT EXPENSES</v>
          </cell>
        </row>
      </sheetData>
      <sheetData sheetId="3093">
        <row r="214">
          <cell r="A214" t="str">
            <v>ADMINISTRATIVE &amp; MANAGEMENT EXPENSES</v>
          </cell>
        </row>
      </sheetData>
      <sheetData sheetId="3094">
        <row r="214">
          <cell r="A214" t="str">
            <v>ADMINISTRATIVE &amp; MANAGEMENT EXPENSES</v>
          </cell>
        </row>
      </sheetData>
      <sheetData sheetId="3095">
        <row r="214">
          <cell r="A214" t="str">
            <v>ADMINISTRATIVE &amp; MANAGEMENT EXPENSES</v>
          </cell>
        </row>
      </sheetData>
      <sheetData sheetId="3096">
        <row r="214">
          <cell r="A214" t="str">
            <v>ADMINISTRATIVE &amp; MANAGEMENT EXPENSES</v>
          </cell>
        </row>
      </sheetData>
      <sheetData sheetId="3097">
        <row r="214">
          <cell r="A214" t="str">
            <v>ADMINISTRATIVE &amp; MANAGEMENT EXPENSES</v>
          </cell>
        </row>
      </sheetData>
      <sheetData sheetId="3098">
        <row r="214">
          <cell r="A214" t="str">
            <v>ADMINISTRATIVE &amp; MANAGEMENT EXPENSES</v>
          </cell>
        </row>
      </sheetData>
      <sheetData sheetId="3099">
        <row r="214">
          <cell r="A214" t="str">
            <v>ADMINISTRATIVE &amp; MANAGEMENT EXPENSES</v>
          </cell>
        </row>
      </sheetData>
      <sheetData sheetId="3100">
        <row r="214">
          <cell r="A214" t="str">
            <v>ADMINISTRATIVE &amp; MANAGEMENT EXPENSES</v>
          </cell>
        </row>
      </sheetData>
      <sheetData sheetId="3101">
        <row r="214">
          <cell r="A214" t="str">
            <v>ADMINISTRATIVE &amp; MANAGEMENT EXPENSES</v>
          </cell>
        </row>
      </sheetData>
      <sheetData sheetId="3102">
        <row r="214">
          <cell r="A214" t="str">
            <v>ADMINISTRATIVE &amp; MANAGEMENT EXPENSES</v>
          </cell>
        </row>
      </sheetData>
      <sheetData sheetId="3103">
        <row r="214">
          <cell r="A214" t="str">
            <v>ADMINISTRATIVE &amp; MANAGEMENT EXPENSES</v>
          </cell>
        </row>
      </sheetData>
      <sheetData sheetId="3104">
        <row r="214">
          <cell r="A214" t="str">
            <v>ADMINISTRATIVE &amp; MANAGEMENT EXPENSES</v>
          </cell>
        </row>
      </sheetData>
      <sheetData sheetId="3105">
        <row r="214">
          <cell r="A214" t="str">
            <v>ADMINISTRATIVE &amp; MANAGEMENT EXPENSES</v>
          </cell>
        </row>
      </sheetData>
      <sheetData sheetId="3106">
        <row r="214">
          <cell r="A214" t="str">
            <v>ADMINISTRATIVE &amp; MANAGEMENT EXPENSES</v>
          </cell>
        </row>
      </sheetData>
      <sheetData sheetId="3107">
        <row r="214">
          <cell r="A214" t="str">
            <v>ADMINISTRATIVE &amp; MANAGEMENT EXPENSES</v>
          </cell>
        </row>
      </sheetData>
      <sheetData sheetId="3108">
        <row r="214">
          <cell r="A214" t="str">
            <v>ADMINISTRATIVE &amp; MANAGEMENT EXPENSES</v>
          </cell>
        </row>
      </sheetData>
      <sheetData sheetId="3109">
        <row r="214">
          <cell r="A214" t="str">
            <v>ADMINISTRATIVE &amp; MANAGEMENT EXPENSES</v>
          </cell>
        </row>
      </sheetData>
      <sheetData sheetId="3110">
        <row r="214">
          <cell r="A214" t="str">
            <v>ADMINISTRATIVE &amp; MANAGEMENT EXPENSES</v>
          </cell>
        </row>
      </sheetData>
      <sheetData sheetId="3111">
        <row r="214">
          <cell r="A214" t="str">
            <v>ADMINISTRATIVE &amp; MANAGEMENT EXPENSES</v>
          </cell>
        </row>
      </sheetData>
      <sheetData sheetId="3112">
        <row r="214">
          <cell r="A214" t="str">
            <v>ADMINISTRATIVE &amp; MANAGEMENT EXPENSES</v>
          </cell>
        </row>
      </sheetData>
      <sheetData sheetId="3113">
        <row r="214">
          <cell r="A214" t="str">
            <v>ADMINISTRATIVE &amp; MANAGEMENT EXPENSES</v>
          </cell>
        </row>
      </sheetData>
      <sheetData sheetId="3114">
        <row r="214">
          <cell r="A214" t="str">
            <v>ADMINISTRATIVE &amp; MANAGEMENT EXPENSES</v>
          </cell>
        </row>
      </sheetData>
      <sheetData sheetId="3115">
        <row r="214">
          <cell r="A214" t="str">
            <v>ADMINISTRATIVE &amp; MANAGEMENT EXPENSES</v>
          </cell>
        </row>
      </sheetData>
      <sheetData sheetId="3116">
        <row r="214">
          <cell r="A214" t="str">
            <v>ADMINISTRATIVE &amp; MANAGEMENT EXPENSES</v>
          </cell>
        </row>
      </sheetData>
      <sheetData sheetId="3117">
        <row r="214">
          <cell r="A214" t="str">
            <v>ADMINISTRATIVE &amp; MANAGEMENT EXPENSES</v>
          </cell>
        </row>
      </sheetData>
      <sheetData sheetId="3118">
        <row r="214">
          <cell r="A214" t="str">
            <v>ADMINISTRATIVE &amp; MANAGEMENT EXPENSES</v>
          </cell>
        </row>
      </sheetData>
      <sheetData sheetId="3119">
        <row r="214">
          <cell r="A214" t="str">
            <v>ADMINISTRATIVE &amp; MANAGEMENT EXPENSES</v>
          </cell>
        </row>
      </sheetData>
      <sheetData sheetId="3120">
        <row r="214">
          <cell r="A214" t="str">
            <v>ADMINISTRATIVE &amp; MANAGEMENT EXPENSES</v>
          </cell>
        </row>
      </sheetData>
      <sheetData sheetId="3121">
        <row r="214">
          <cell r="A214" t="str">
            <v>ADMINISTRATIVE &amp; MANAGEMENT EXPENSES</v>
          </cell>
        </row>
      </sheetData>
      <sheetData sheetId="3122">
        <row r="214">
          <cell r="A214" t="str">
            <v>ADMINISTRATIVE &amp; MANAGEMENT EXPENSES</v>
          </cell>
        </row>
      </sheetData>
      <sheetData sheetId="3123">
        <row r="214">
          <cell r="A214" t="str">
            <v>ADMINISTRATIVE &amp; MANAGEMENT EXPENSES</v>
          </cell>
        </row>
      </sheetData>
      <sheetData sheetId="3124">
        <row r="214">
          <cell r="A214" t="str">
            <v>ADMINISTRATIVE &amp; MANAGEMENT EXPENSES</v>
          </cell>
        </row>
      </sheetData>
      <sheetData sheetId="3125">
        <row r="214">
          <cell r="A214" t="str">
            <v>ADMINISTRATIVE &amp; MANAGEMENT EXPENSES</v>
          </cell>
        </row>
      </sheetData>
      <sheetData sheetId="3126">
        <row r="214">
          <cell r="A214" t="str">
            <v>ADMINISTRATIVE &amp; MANAGEMENT EXPENSES</v>
          </cell>
        </row>
      </sheetData>
      <sheetData sheetId="3127">
        <row r="214">
          <cell r="A214" t="str">
            <v>ADMINISTRATIVE &amp; MANAGEMENT EXPENSES</v>
          </cell>
        </row>
      </sheetData>
      <sheetData sheetId="3128">
        <row r="214">
          <cell r="A214" t="str">
            <v>ADMINISTRATIVE &amp; MANAGEMENT EXPENSES</v>
          </cell>
        </row>
      </sheetData>
      <sheetData sheetId="3129">
        <row r="214">
          <cell r="A214" t="str">
            <v>ADMINISTRATIVE &amp; MANAGEMENT EXPENSES</v>
          </cell>
        </row>
      </sheetData>
      <sheetData sheetId="3130">
        <row r="214">
          <cell r="A214" t="str">
            <v>ADMINISTRATIVE &amp; MANAGEMENT EXPENSES</v>
          </cell>
        </row>
      </sheetData>
      <sheetData sheetId="3131">
        <row r="214">
          <cell r="A214" t="str">
            <v>ADMINISTRATIVE &amp; MANAGEMENT EXPENSES</v>
          </cell>
        </row>
      </sheetData>
      <sheetData sheetId="3132">
        <row r="214">
          <cell r="A214" t="str">
            <v>ADMINISTRATIVE &amp; MANAGEMENT EXPENSES</v>
          </cell>
        </row>
      </sheetData>
      <sheetData sheetId="3133">
        <row r="214">
          <cell r="A214" t="str">
            <v>ADMINISTRATIVE &amp; MANAGEMENT EXPENSES</v>
          </cell>
        </row>
      </sheetData>
      <sheetData sheetId="3134">
        <row r="214">
          <cell r="A214" t="str">
            <v>ADMINISTRATIVE &amp; MANAGEMENT EXPENSES</v>
          </cell>
        </row>
      </sheetData>
      <sheetData sheetId="3135">
        <row r="214">
          <cell r="A214" t="str">
            <v>ADMINISTRATIVE &amp; MANAGEMENT EXPENSES</v>
          </cell>
        </row>
      </sheetData>
      <sheetData sheetId="3136">
        <row r="214">
          <cell r="A214" t="str">
            <v>ADMINISTRATIVE &amp; MANAGEMENT EXPENSES</v>
          </cell>
        </row>
      </sheetData>
      <sheetData sheetId="3137">
        <row r="214">
          <cell r="A214" t="str">
            <v>ADMINISTRATIVE &amp; MANAGEMENT EXPENSES</v>
          </cell>
        </row>
      </sheetData>
      <sheetData sheetId="3138">
        <row r="214">
          <cell r="A214" t="str">
            <v>ADMINISTRATIVE &amp; MANAGEMENT EXPENSES</v>
          </cell>
        </row>
      </sheetData>
      <sheetData sheetId="3139">
        <row r="214">
          <cell r="A214" t="str">
            <v>ADMINISTRATIVE &amp; MANAGEMENT EXPENSES</v>
          </cell>
        </row>
      </sheetData>
      <sheetData sheetId="3140">
        <row r="214">
          <cell r="A214" t="str">
            <v>ADMINISTRATIVE &amp; MANAGEMENT EXPENSES</v>
          </cell>
        </row>
      </sheetData>
      <sheetData sheetId="3141">
        <row r="214">
          <cell r="A214" t="str">
            <v>ADMINISTRATIVE &amp; MANAGEMENT EXPENSES</v>
          </cell>
        </row>
      </sheetData>
      <sheetData sheetId="3142">
        <row r="214">
          <cell r="A214" t="str">
            <v>ADMINISTRATIVE &amp; MANAGEMENT EXPENSES</v>
          </cell>
        </row>
      </sheetData>
      <sheetData sheetId="3143">
        <row r="214">
          <cell r="A214" t="str">
            <v>ADMINISTRATIVE &amp; MANAGEMENT EXPENSES</v>
          </cell>
        </row>
      </sheetData>
      <sheetData sheetId="3144">
        <row r="214">
          <cell r="A214" t="str">
            <v>ADMINISTRATIVE &amp; MANAGEMENT EXPENSES</v>
          </cell>
        </row>
      </sheetData>
      <sheetData sheetId="3145">
        <row r="214">
          <cell r="A214" t="str">
            <v>ADMINISTRATIVE &amp; MANAGEMENT EXPENSES</v>
          </cell>
        </row>
      </sheetData>
      <sheetData sheetId="3146">
        <row r="214">
          <cell r="A214" t="str">
            <v>ADMINISTRATIVE &amp; MANAGEMENT EXPENSES</v>
          </cell>
        </row>
      </sheetData>
      <sheetData sheetId="3147">
        <row r="214">
          <cell r="A214" t="str">
            <v>ADMINISTRATIVE &amp; MANAGEMENT EXPENSES</v>
          </cell>
        </row>
      </sheetData>
      <sheetData sheetId="3148">
        <row r="214">
          <cell r="A214" t="str">
            <v>ADMINISTRATIVE &amp; MANAGEMENT EXPENSES</v>
          </cell>
        </row>
      </sheetData>
      <sheetData sheetId="3149">
        <row r="214">
          <cell r="A214" t="str">
            <v>ADMINISTRATIVE &amp; MANAGEMENT EXPENSES</v>
          </cell>
        </row>
      </sheetData>
      <sheetData sheetId="3150">
        <row r="214">
          <cell r="A214" t="str">
            <v>ADMINISTRATIVE &amp; MANAGEMENT EXPENSES</v>
          </cell>
        </row>
      </sheetData>
      <sheetData sheetId="3151">
        <row r="214">
          <cell r="A214" t="str">
            <v>ADMINISTRATIVE &amp; MANAGEMENT EXPENSES</v>
          </cell>
        </row>
      </sheetData>
      <sheetData sheetId="3152">
        <row r="214">
          <cell r="A214" t="str">
            <v>ADMINISTRATIVE &amp; MANAGEMENT EXPENSES</v>
          </cell>
        </row>
      </sheetData>
      <sheetData sheetId="3153">
        <row r="214">
          <cell r="A214" t="str">
            <v>ADMINISTRATIVE &amp; MANAGEMENT EXPENSES</v>
          </cell>
        </row>
      </sheetData>
      <sheetData sheetId="3154">
        <row r="214">
          <cell r="A214" t="str">
            <v>ADMINISTRATIVE &amp; MANAGEMENT EXPENSES</v>
          </cell>
        </row>
      </sheetData>
      <sheetData sheetId="3155">
        <row r="214">
          <cell r="A214" t="str">
            <v>ADMINISTRATIVE &amp; MANAGEMENT EXPENSES</v>
          </cell>
        </row>
      </sheetData>
      <sheetData sheetId="3156">
        <row r="214">
          <cell r="A214" t="str">
            <v>ADMINISTRATIVE &amp; MANAGEMENT EXPENSES</v>
          </cell>
        </row>
      </sheetData>
      <sheetData sheetId="3157">
        <row r="214">
          <cell r="A214" t="str">
            <v>ADMINISTRATIVE &amp; MANAGEMENT EXPENSES</v>
          </cell>
        </row>
      </sheetData>
      <sheetData sheetId="3158">
        <row r="214">
          <cell r="A214" t="str">
            <v>ADMINISTRATIVE &amp; MANAGEMENT EXPENSES</v>
          </cell>
        </row>
      </sheetData>
      <sheetData sheetId="3159">
        <row r="214">
          <cell r="A214" t="str">
            <v>ADMINISTRATIVE &amp; MANAGEMENT EXPENSES</v>
          </cell>
        </row>
      </sheetData>
      <sheetData sheetId="3160">
        <row r="214">
          <cell r="A214" t="str">
            <v>ADMINISTRATIVE &amp; MANAGEMENT EXPENSES</v>
          </cell>
        </row>
      </sheetData>
      <sheetData sheetId="3161">
        <row r="214">
          <cell r="A214" t="str">
            <v>ADMINISTRATIVE &amp; MANAGEMENT EXPENSES</v>
          </cell>
        </row>
      </sheetData>
      <sheetData sheetId="3162">
        <row r="214">
          <cell r="A214" t="str">
            <v>ADMINISTRATIVE &amp; MANAGEMENT EXPENSES</v>
          </cell>
        </row>
      </sheetData>
      <sheetData sheetId="3163">
        <row r="214">
          <cell r="A214" t="str">
            <v>ADMINISTRATIVE &amp; MANAGEMENT EXPENSES</v>
          </cell>
        </row>
      </sheetData>
      <sheetData sheetId="3164">
        <row r="214">
          <cell r="A214" t="str">
            <v>ADMINISTRATIVE &amp; MANAGEMENT EXPENSES</v>
          </cell>
        </row>
      </sheetData>
      <sheetData sheetId="3165">
        <row r="214">
          <cell r="A214" t="str">
            <v>ADMINISTRATIVE &amp; MANAGEMENT EXPENSES</v>
          </cell>
        </row>
      </sheetData>
      <sheetData sheetId="3166">
        <row r="214">
          <cell r="A214" t="str">
            <v>ADMINISTRATIVE &amp; MANAGEMENT EXPENSES</v>
          </cell>
        </row>
      </sheetData>
      <sheetData sheetId="3167">
        <row r="214">
          <cell r="A214" t="str">
            <v>ADMINISTRATIVE &amp; MANAGEMENT EXPENSES</v>
          </cell>
        </row>
      </sheetData>
      <sheetData sheetId="3168">
        <row r="214">
          <cell r="A214" t="str">
            <v>ADMINISTRATIVE &amp; MANAGEMENT EXPENSES</v>
          </cell>
        </row>
      </sheetData>
      <sheetData sheetId="3169">
        <row r="214">
          <cell r="A214" t="str">
            <v>ADMINISTRATIVE &amp; MANAGEMENT EXPENSES</v>
          </cell>
        </row>
      </sheetData>
      <sheetData sheetId="3170">
        <row r="214">
          <cell r="A214" t="str">
            <v>ADMINISTRATIVE &amp; MANAGEMENT EXPENSES</v>
          </cell>
        </row>
      </sheetData>
      <sheetData sheetId="3171">
        <row r="214">
          <cell r="A214" t="str">
            <v>ADMINISTRATIVE &amp; MANAGEMENT EXPENSES</v>
          </cell>
        </row>
      </sheetData>
      <sheetData sheetId="3172">
        <row r="214">
          <cell r="A214" t="str">
            <v>ADMINISTRATIVE &amp; MANAGEMENT EXPENSES</v>
          </cell>
        </row>
      </sheetData>
      <sheetData sheetId="3173">
        <row r="214">
          <cell r="A214" t="str">
            <v>ADMINISTRATIVE &amp; MANAGEMENT EXPENSES</v>
          </cell>
        </row>
      </sheetData>
      <sheetData sheetId="3174">
        <row r="214">
          <cell r="A214" t="str">
            <v>ADMINISTRATIVE &amp; MANAGEMENT EXPENSES</v>
          </cell>
        </row>
      </sheetData>
      <sheetData sheetId="3175">
        <row r="214">
          <cell r="A214" t="str">
            <v>ADMINISTRATIVE &amp; MANAGEMENT EXPENSES</v>
          </cell>
        </row>
      </sheetData>
      <sheetData sheetId="3176">
        <row r="214">
          <cell r="A214" t="str">
            <v>ADMINISTRATIVE &amp; MANAGEMENT EXPENSES</v>
          </cell>
        </row>
      </sheetData>
      <sheetData sheetId="3177">
        <row r="214">
          <cell r="A214" t="str">
            <v>ADMINISTRATIVE &amp; MANAGEMENT EXPENSES</v>
          </cell>
        </row>
      </sheetData>
      <sheetData sheetId="3178">
        <row r="214">
          <cell r="A214" t="str">
            <v>ADMINISTRATIVE &amp; MANAGEMENT EXPENSES</v>
          </cell>
        </row>
      </sheetData>
      <sheetData sheetId="3179">
        <row r="214">
          <cell r="A214" t="str">
            <v>ADMINISTRATIVE &amp; MANAGEMENT EXPENSES</v>
          </cell>
        </row>
      </sheetData>
      <sheetData sheetId="3180">
        <row r="214">
          <cell r="A214" t="str">
            <v>ADMINISTRATIVE &amp; MANAGEMENT EXPENSES</v>
          </cell>
        </row>
      </sheetData>
      <sheetData sheetId="3181">
        <row r="214">
          <cell r="A214" t="str">
            <v>ADMINISTRATIVE &amp; MANAGEMENT EXPENSES</v>
          </cell>
        </row>
      </sheetData>
      <sheetData sheetId="3182">
        <row r="214">
          <cell r="A214" t="str">
            <v>ADMINISTRATIVE &amp; MANAGEMENT EXPENSES</v>
          </cell>
        </row>
      </sheetData>
      <sheetData sheetId="3183">
        <row r="214">
          <cell r="A214" t="str">
            <v>ADMINISTRATIVE &amp; MANAGEMENT EXPENSES</v>
          </cell>
        </row>
      </sheetData>
      <sheetData sheetId="3184">
        <row r="214">
          <cell r="A214" t="str">
            <v>ADMINISTRATIVE &amp; MANAGEMENT EXPENSES</v>
          </cell>
        </row>
      </sheetData>
      <sheetData sheetId="3185">
        <row r="214">
          <cell r="A214" t="str">
            <v>ADMINISTRATIVE &amp; MANAGEMENT EXPENSES</v>
          </cell>
        </row>
      </sheetData>
      <sheetData sheetId="3186">
        <row r="214">
          <cell r="A214" t="str">
            <v>ADMINISTRATIVE &amp; MANAGEMENT EXPENSES</v>
          </cell>
        </row>
      </sheetData>
      <sheetData sheetId="3187">
        <row r="214">
          <cell r="A214" t="str">
            <v>ADMINISTRATIVE &amp; MANAGEMENT EXPENSES</v>
          </cell>
        </row>
      </sheetData>
      <sheetData sheetId="3188">
        <row r="214">
          <cell r="A214" t="str">
            <v>ADMINISTRATIVE &amp; MANAGEMENT EXPENSES</v>
          </cell>
        </row>
      </sheetData>
      <sheetData sheetId="3189">
        <row r="214">
          <cell r="A214" t="str">
            <v>ADMINISTRATIVE &amp; MANAGEMENT EXPENSES</v>
          </cell>
        </row>
      </sheetData>
      <sheetData sheetId="3190">
        <row r="214">
          <cell r="A214" t="str">
            <v>ADMINISTRATIVE &amp; MANAGEMENT EXPENSES</v>
          </cell>
        </row>
      </sheetData>
      <sheetData sheetId="3191">
        <row r="214">
          <cell r="A214" t="str">
            <v>ADMINISTRATIVE &amp; MANAGEMENT EXPENSES</v>
          </cell>
        </row>
      </sheetData>
      <sheetData sheetId="3192">
        <row r="214">
          <cell r="A214" t="str">
            <v>ADMINISTRATIVE &amp; MANAGEMENT EXPENSES</v>
          </cell>
        </row>
      </sheetData>
      <sheetData sheetId="3193">
        <row r="214">
          <cell r="A214" t="str">
            <v>ADMINISTRATIVE &amp; MANAGEMENT EXPENSES</v>
          </cell>
        </row>
      </sheetData>
      <sheetData sheetId="3194">
        <row r="214">
          <cell r="A214" t="str">
            <v>ADMINISTRATIVE &amp; MANAGEMENT EXPENSES</v>
          </cell>
        </row>
      </sheetData>
      <sheetData sheetId="3195">
        <row r="214">
          <cell r="A214" t="str">
            <v>ADMINISTRATIVE &amp; MANAGEMENT EXPENSES</v>
          </cell>
        </row>
      </sheetData>
      <sheetData sheetId="3196">
        <row r="214">
          <cell r="A214" t="str">
            <v>ADMINISTRATIVE &amp; MANAGEMENT EXPENSES</v>
          </cell>
        </row>
      </sheetData>
      <sheetData sheetId="3197"/>
      <sheetData sheetId="3198"/>
      <sheetData sheetId="3199"/>
      <sheetData sheetId="3200"/>
      <sheetData sheetId="3201">
        <row r="214">
          <cell r="A214" t="str">
            <v>ADMINISTRATIVE &amp; MANAGEMENT EXPENSES</v>
          </cell>
        </row>
      </sheetData>
      <sheetData sheetId="3202"/>
      <sheetData sheetId="3203"/>
      <sheetData sheetId="3204"/>
      <sheetData sheetId="3205">
        <row r="214">
          <cell r="A214" t="str">
            <v>ADMINISTRATIVE &amp; MANAGEMENT EXPENSES</v>
          </cell>
        </row>
      </sheetData>
      <sheetData sheetId="3206"/>
      <sheetData sheetId="3207">
        <row r="214">
          <cell r="A214" t="str">
            <v>ADMINISTRATIVE &amp; MANAGEMENT EXPENSES</v>
          </cell>
        </row>
      </sheetData>
      <sheetData sheetId="3208">
        <row r="214">
          <cell r="A214" t="str">
            <v>ADMINISTRATIVE &amp; MANAGEMENT EXPENSES</v>
          </cell>
        </row>
      </sheetData>
      <sheetData sheetId="3209">
        <row r="214">
          <cell r="A214" t="str">
            <v>ADMINISTRATIVE &amp; MANAGEMENT EXPENSES</v>
          </cell>
        </row>
      </sheetData>
      <sheetData sheetId="3210">
        <row r="214">
          <cell r="A214" t="str">
            <v>ADMINISTRATIVE &amp; MANAGEMENT EXPENSES</v>
          </cell>
        </row>
      </sheetData>
      <sheetData sheetId="3211">
        <row r="214">
          <cell r="A214" t="str">
            <v>ADMINISTRATIVE &amp; MANAGEMENT EXPENSES</v>
          </cell>
        </row>
      </sheetData>
      <sheetData sheetId="3212">
        <row r="214">
          <cell r="A214" t="str">
            <v>ADMINISTRATIVE &amp; MANAGEMENT EXPENSES</v>
          </cell>
        </row>
      </sheetData>
      <sheetData sheetId="3213">
        <row r="214">
          <cell r="A214" t="str">
            <v>ADMINISTRATIVE &amp; MANAGEMENT EXPENSES</v>
          </cell>
        </row>
      </sheetData>
      <sheetData sheetId="3214">
        <row r="214">
          <cell r="A214" t="str">
            <v>ADMINISTRATIVE &amp; MANAGEMENT EXPENSES</v>
          </cell>
        </row>
      </sheetData>
      <sheetData sheetId="3215">
        <row r="214">
          <cell r="A214" t="str">
            <v>ADMINISTRATIVE &amp; MANAGEMENT EXPENSES</v>
          </cell>
        </row>
      </sheetData>
      <sheetData sheetId="3216">
        <row r="214">
          <cell r="A214" t="str">
            <v>ADMINISTRATIVE &amp; MANAGEMENT EXPENSES</v>
          </cell>
        </row>
      </sheetData>
      <sheetData sheetId="3217">
        <row r="214">
          <cell r="A214" t="str">
            <v>ADMINISTRATIVE &amp; MANAGEMENT EXPENSES</v>
          </cell>
        </row>
      </sheetData>
      <sheetData sheetId="3218">
        <row r="214">
          <cell r="A214" t="str">
            <v>ADMINISTRATIVE &amp; MANAGEMENT EXPENSES</v>
          </cell>
        </row>
      </sheetData>
      <sheetData sheetId="3219">
        <row r="214">
          <cell r="A214" t="str">
            <v>ADMINISTRATIVE &amp; MANAGEMENT EXPENSES</v>
          </cell>
        </row>
      </sheetData>
      <sheetData sheetId="3220">
        <row r="214">
          <cell r="A214" t="str">
            <v>ADMINISTRATIVE &amp; MANAGEMENT EXPENSES</v>
          </cell>
        </row>
      </sheetData>
      <sheetData sheetId="3221">
        <row r="214">
          <cell r="A214" t="str">
            <v>ADMINISTRATIVE &amp; MANAGEMENT EXPENSES</v>
          </cell>
        </row>
      </sheetData>
      <sheetData sheetId="3222">
        <row r="214">
          <cell r="A214" t="str">
            <v>ADMINISTRATIVE &amp; MANAGEMENT EXPENSES</v>
          </cell>
        </row>
      </sheetData>
      <sheetData sheetId="3223">
        <row r="214">
          <cell r="A214" t="str">
            <v>ADMINISTRATIVE &amp; MANAGEMENT EXPENSES</v>
          </cell>
        </row>
      </sheetData>
      <sheetData sheetId="3224">
        <row r="214">
          <cell r="A214" t="str">
            <v>ADMINISTRATIVE &amp; MANAGEMENT EXPENSES</v>
          </cell>
        </row>
      </sheetData>
      <sheetData sheetId="3225">
        <row r="214">
          <cell r="A214" t="str">
            <v>ADMINISTRATIVE &amp; MANAGEMENT EXPENSES</v>
          </cell>
        </row>
      </sheetData>
      <sheetData sheetId="3226">
        <row r="214">
          <cell r="A214" t="str">
            <v>ADMINISTRATIVE &amp; MANAGEMENT EXPENSES</v>
          </cell>
        </row>
      </sheetData>
      <sheetData sheetId="3227">
        <row r="214">
          <cell r="A214" t="str">
            <v>ADMINISTRATIVE &amp; MANAGEMENT EXPENSES</v>
          </cell>
        </row>
      </sheetData>
      <sheetData sheetId="3228">
        <row r="214">
          <cell r="A214" t="str">
            <v>ADMINISTRATIVE &amp; MANAGEMENT EXPENSES</v>
          </cell>
        </row>
      </sheetData>
      <sheetData sheetId="3229">
        <row r="214">
          <cell r="A214" t="str">
            <v>ADMINISTRATIVE &amp; MANAGEMENT EXPENSES</v>
          </cell>
        </row>
      </sheetData>
      <sheetData sheetId="3230">
        <row r="214">
          <cell r="A214" t="str">
            <v>ADMINISTRATIVE &amp; MANAGEMENT EXPENSES</v>
          </cell>
        </row>
      </sheetData>
      <sheetData sheetId="3231">
        <row r="214">
          <cell r="A214" t="str">
            <v>ADMINISTRATIVE &amp; MANAGEMENT EXPENSES</v>
          </cell>
        </row>
      </sheetData>
      <sheetData sheetId="3232">
        <row r="214">
          <cell r="A214" t="str">
            <v>ADMINISTRATIVE &amp; MANAGEMENT EXPENSES</v>
          </cell>
        </row>
      </sheetData>
      <sheetData sheetId="3233">
        <row r="214">
          <cell r="A214" t="str">
            <v>ADMINISTRATIVE &amp; MANAGEMENT EXPENSES</v>
          </cell>
        </row>
      </sheetData>
      <sheetData sheetId="3234">
        <row r="214">
          <cell r="A214" t="str">
            <v>ADMINISTRATIVE &amp; MANAGEMENT EXPENSES</v>
          </cell>
        </row>
      </sheetData>
      <sheetData sheetId="3235">
        <row r="214">
          <cell r="A214" t="str">
            <v>ADMINISTRATIVE &amp; MANAGEMENT EXPENSES</v>
          </cell>
        </row>
      </sheetData>
      <sheetData sheetId="3236">
        <row r="214">
          <cell r="A214" t="str">
            <v>ADMINISTRATIVE &amp; MANAGEMENT EXPENSES</v>
          </cell>
        </row>
      </sheetData>
      <sheetData sheetId="3237">
        <row r="214">
          <cell r="A214" t="str">
            <v>ADMINISTRATIVE &amp; MANAGEMENT EXPENSES</v>
          </cell>
        </row>
      </sheetData>
      <sheetData sheetId="3238">
        <row r="214">
          <cell r="A214" t="str">
            <v>ADMINISTRATIVE &amp; MANAGEMENT EXPENSES</v>
          </cell>
        </row>
      </sheetData>
      <sheetData sheetId="3239">
        <row r="214">
          <cell r="A214" t="str">
            <v>ADMINISTRATIVE &amp; MANAGEMENT EXPENSES</v>
          </cell>
        </row>
      </sheetData>
      <sheetData sheetId="3240">
        <row r="214">
          <cell r="A214" t="str">
            <v>ADMINISTRATIVE &amp; MANAGEMENT EXPENSES</v>
          </cell>
        </row>
      </sheetData>
      <sheetData sheetId="3241">
        <row r="214">
          <cell r="A214" t="str">
            <v>ADMINISTRATIVE &amp; MANAGEMENT EXPENSES</v>
          </cell>
        </row>
      </sheetData>
      <sheetData sheetId="3242">
        <row r="214">
          <cell r="A214" t="str">
            <v>ADMINISTRATIVE &amp; MANAGEMENT EXPENSES</v>
          </cell>
        </row>
      </sheetData>
      <sheetData sheetId="3243">
        <row r="214">
          <cell r="A214" t="str">
            <v>ADMINISTRATIVE &amp; MANAGEMENT EXPENSES</v>
          </cell>
        </row>
      </sheetData>
      <sheetData sheetId="3244">
        <row r="214">
          <cell r="A214" t="str">
            <v>ADMINISTRATIVE &amp; MANAGEMENT EXPENSES</v>
          </cell>
        </row>
      </sheetData>
      <sheetData sheetId="3245">
        <row r="214">
          <cell r="A214" t="str">
            <v>ADMINISTRATIVE &amp; MANAGEMENT EXPENSES</v>
          </cell>
        </row>
      </sheetData>
      <sheetData sheetId="3246">
        <row r="214">
          <cell r="A214" t="str">
            <v>ADMINISTRATIVE &amp; MANAGEMENT EXPENSES</v>
          </cell>
        </row>
      </sheetData>
      <sheetData sheetId="3247">
        <row r="214">
          <cell r="A214" t="str">
            <v>ADMINISTRATIVE &amp; MANAGEMENT EXPENSES</v>
          </cell>
        </row>
      </sheetData>
      <sheetData sheetId="3248">
        <row r="214">
          <cell r="A214" t="str">
            <v>ADMINISTRATIVE &amp; MANAGEMENT EXPENSES</v>
          </cell>
        </row>
      </sheetData>
      <sheetData sheetId="3249">
        <row r="214">
          <cell r="A214" t="str">
            <v>ADMINISTRATIVE &amp; MANAGEMENT EXPENSES</v>
          </cell>
        </row>
      </sheetData>
      <sheetData sheetId="3250">
        <row r="214">
          <cell r="A214" t="str">
            <v>ADMINISTRATIVE &amp; MANAGEMENT EXPENSES</v>
          </cell>
        </row>
      </sheetData>
      <sheetData sheetId="3251">
        <row r="214">
          <cell r="A214" t="str">
            <v>ADMINISTRATIVE &amp; MANAGEMENT EXPENSES</v>
          </cell>
        </row>
      </sheetData>
      <sheetData sheetId="3252">
        <row r="214">
          <cell r="A214" t="str">
            <v>ADMINISTRATIVE &amp; MANAGEMENT EXPENSES</v>
          </cell>
        </row>
      </sheetData>
      <sheetData sheetId="3253">
        <row r="214">
          <cell r="A214" t="str">
            <v>ADMINISTRATIVE &amp; MANAGEMENT EXPENSES</v>
          </cell>
        </row>
      </sheetData>
      <sheetData sheetId="3254">
        <row r="214">
          <cell r="A214" t="str">
            <v>ADMINISTRATIVE &amp; MANAGEMENT EXPENSES</v>
          </cell>
        </row>
      </sheetData>
      <sheetData sheetId="3255">
        <row r="214">
          <cell r="A214" t="str">
            <v>ADMINISTRATIVE &amp; MANAGEMENT EXPENSES</v>
          </cell>
        </row>
      </sheetData>
      <sheetData sheetId="3256">
        <row r="214">
          <cell r="A214" t="str">
            <v>ADMINISTRATIVE &amp; MANAGEMENT EXPENSES</v>
          </cell>
        </row>
      </sheetData>
      <sheetData sheetId="3257">
        <row r="214">
          <cell r="A214" t="str">
            <v>ADMINISTRATIVE &amp; MANAGEMENT EXPENSES</v>
          </cell>
        </row>
      </sheetData>
      <sheetData sheetId="3258">
        <row r="214">
          <cell r="A214" t="str">
            <v>ADMINISTRATIVE &amp; MANAGEMENT EXPENSES</v>
          </cell>
        </row>
      </sheetData>
      <sheetData sheetId="3259">
        <row r="214">
          <cell r="A214" t="str">
            <v>ADMINISTRATIVE &amp; MANAGEMENT EXPENSES</v>
          </cell>
        </row>
      </sheetData>
      <sheetData sheetId="3260">
        <row r="214">
          <cell r="A214" t="str">
            <v>ADMINISTRATIVE &amp; MANAGEMENT EXPENSES</v>
          </cell>
        </row>
      </sheetData>
      <sheetData sheetId="3261">
        <row r="214">
          <cell r="A214" t="str">
            <v>ADMINISTRATIVE &amp; MANAGEMENT EXPENSES</v>
          </cell>
        </row>
      </sheetData>
      <sheetData sheetId="3262">
        <row r="214">
          <cell r="A214" t="str">
            <v>ADMINISTRATIVE &amp; MANAGEMENT EXPENSES</v>
          </cell>
        </row>
      </sheetData>
      <sheetData sheetId="3263">
        <row r="214">
          <cell r="A214" t="str">
            <v>ADMINISTRATIVE &amp; MANAGEMENT EXPENSES</v>
          </cell>
        </row>
      </sheetData>
      <sheetData sheetId="3264">
        <row r="214">
          <cell r="A214" t="str">
            <v>ADMINISTRATIVE &amp; MANAGEMENT EXPENSES</v>
          </cell>
        </row>
      </sheetData>
      <sheetData sheetId="3265">
        <row r="214">
          <cell r="A214" t="str">
            <v>ADMINISTRATIVE &amp; MANAGEMENT EXPENSES</v>
          </cell>
        </row>
      </sheetData>
      <sheetData sheetId="3266">
        <row r="214">
          <cell r="A214" t="str">
            <v>ADMINISTRATIVE &amp; MANAGEMENT EXPENSES</v>
          </cell>
        </row>
      </sheetData>
      <sheetData sheetId="3267">
        <row r="214">
          <cell r="A214" t="str">
            <v>ADMINISTRATIVE &amp; MANAGEMENT EXPENSES</v>
          </cell>
        </row>
      </sheetData>
      <sheetData sheetId="3268">
        <row r="214">
          <cell r="A214" t="str">
            <v>ADMINISTRATIVE &amp; MANAGEMENT EXPENSES</v>
          </cell>
        </row>
      </sheetData>
      <sheetData sheetId="3269">
        <row r="214">
          <cell r="A214" t="str">
            <v>ADMINISTRATIVE &amp; MANAGEMENT EXPENSES</v>
          </cell>
        </row>
      </sheetData>
      <sheetData sheetId="3270">
        <row r="214">
          <cell r="A214" t="str">
            <v>ADMINISTRATIVE &amp; MANAGEMENT EXPENSES</v>
          </cell>
        </row>
      </sheetData>
      <sheetData sheetId="3271">
        <row r="214">
          <cell r="A214" t="str">
            <v>ADMINISTRATIVE &amp; MANAGEMENT EXPENSES</v>
          </cell>
        </row>
      </sheetData>
      <sheetData sheetId="3272">
        <row r="214">
          <cell r="A214" t="str">
            <v>ADMINISTRATIVE &amp; MANAGEMENT EXPENSES</v>
          </cell>
        </row>
      </sheetData>
      <sheetData sheetId="3273">
        <row r="214">
          <cell r="A214" t="str">
            <v>ADMINISTRATIVE &amp; MANAGEMENT EXPENSES</v>
          </cell>
        </row>
      </sheetData>
      <sheetData sheetId="3274">
        <row r="214">
          <cell r="A214" t="str">
            <v>ADMINISTRATIVE &amp; MANAGEMENT EXPENSES</v>
          </cell>
        </row>
      </sheetData>
      <sheetData sheetId="3275">
        <row r="214">
          <cell r="A214" t="str">
            <v>ADMINISTRATIVE &amp; MANAGEMENT EXPENSES</v>
          </cell>
        </row>
      </sheetData>
      <sheetData sheetId="3276">
        <row r="214">
          <cell r="A214" t="str">
            <v>ADMINISTRATIVE &amp; MANAGEMENT EXPENSES</v>
          </cell>
        </row>
      </sheetData>
      <sheetData sheetId="3277">
        <row r="214">
          <cell r="A214" t="str">
            <v>ADMINISTRATIVE &amp; MANAGEMENT EXPENSES</v>
          </cell>
        </row>
      </sheetData>
      <sheetData sheetId="3278">
        <row r="214">
          <cell r="A214" t="str">
            <v>ADMINISTRATIVE &amp; MANAGEMENT EXPENSES</v>
          </cell>
        </row>
      </sheetData>
      <sheetData sheetId="3279">
        <row r="214">
          <cell r="A214" t="str">
            <v>ADMINISTRATIVE &amp; MANAGEMENT EXPENSES</v>
          </cell>
        </row>
      </sheetData>
      <sheetData sheetId="3280">
        <row r="214">
          <cell r="A214" t="str">
            <v>ADMINISTRATIVE &amp; MANAGEMENT EXPENSES</v>
          </cell>
        </row>
      </sheetData>
      <sheetData sheetId="3281">
        <row r="214">
          <cell r="A214" t="str">
            <v>ADMINISTRATIVE &amp; MANAGEMENT EXPENSES</v>
          </cell>
        </row>
      </sheetData>
      <sheetData sheetId="3282">
        <row r="214">
          <cell r="A214" t="str">
            <v>ADMINISTRATIVE &amp; MANAGEMENT EXPENSES</v>
          </cell>
        </row>
      </sheetData>
      <sheetData sheetId="3283">
        <row r="214">
          <cell r="A214" t="str">
            <v>ADMINISTRATIVE &amp; MANAGEMENT EXPENSES</v>
          </cell>
        </row>
      </sheetData>
      <sheetData sheetId="3284">
        <row r="214">
          <cell r="A214" t="str">
            <v>ADMINISTRATIVE &amp; MANAGEMENT EXPENSES</v>
          </cell>
        </row>
      </sheetData>
      <sheetData sheetId="3285">
        <row r="214">
          <cell r="A214" t="str">
            <v>ADMINISTRATIVE &amp; MANAGEMENT EXPENSES</v>
          </cell>
        </row>
      </sheetData>
      <sheetData sheetId="3286">
        <row r="214">
          <cell r="A214" t="str">
            <v>ADMINISTRATIVE &amp; MANAGEMENT EXPENSES</v>
          </cell>
        </row>
      </sheetData>
      <sheetData sheetId="3287">
        <row r="214">
          <cell r="A214" t="str">
            <v>ADMINISTRATIVE &amp; MANAGEMENT EXPENSES</v>
          </cell>
        </row>
      </sheetData>
      <sheetData sheetId="3288">
        <row r="214">
          <cell r="A214" t="str">
            <v>ADMINISTRATIVE &amp; MANAGEMENT EXPENSES</v>
          </cell>
        </row>
      </sheetData>
      <sheetData sheetId="3289">
        <row r="214">
          <cell r="A214" t="str">
            <v>ADMINISTRATIVE &amp; MANAGEMENT EXPENSES</v>
          </cell>
        </row>
      </sheetData>
      <sheetData sheetId="3290">
        <row r="214">
          <cell r="A214" t="str">
            <v>ADMINISTRATIVE &amp; MANAGEMENT EXPENSES</v>
          </cell>
        </row>
      </sheetData>
      <sheetData sheetId="3291">
        <row r="214">
          <cell r="A214" t="str">
            <v>ADMINISTRATIVE &amp; MANAGEMENT EXPENSES</v>
          </cell>
        </row>
      </sheetData>
      <sheetData sheetId="3292">
        <row r="214">
          <cell r="A214" t="str">
            <v>ADMINISTRATIVE &amp; MANAGEMENT EXPENSES</v>
          </cell>
        </row>
      </sheetData>
      <sheetData sheetId="3293">
        <row r="214">
          <cell r="A214" t="str">
            <v>ADMINISTRATIVE &amp; MANAGEMENT EXPENSES</v>
          </cell>
        </row>
      </sheetData>
      <sheetData sheetId="3294">
        <row r="214">
          <cell r="A214" t="str">
            <v>ADMINISTRATIVE &amp; MANAGEMENT EXPENSES</v>
          </cell>
        </row>
      </sheetData>
      <sheetData sheetId="3295">
        <row r="214">
          <cell r="A214" t="str">
            <v>ADMINISTRATIVE &amp; MANAGEMENT EXPENSES</v>
          </cell>
        </row>
      </sheetData>
      <sheetData sheetId="3296">
        <row r="214">
          <cell r="A214" t="str">
            <v>ADMINISTRATIVE &amp; MANAGEMENT EXPENSES</v>
          </cell>
        </row>
      </sheetData>
      <sheetData sheetId="3297">
        <row r="214">
          <cell r="A214" t="str">
            <v>ADMINISTRATIVE &amp; MANAGEMENT EXPENSES</v>
          </cell>
        </row>
      </sheetData>
      <sheetData sheetId="3298">
        <row r="214">
          <cell r="A214" t="str">
            <v>ADMINISTRATIVE &amp; MANAGEMENT EXPENSES</v>
          </cell>
        </row>
      </sheetData>
      <sheetData sheetId="3299">
        <row r="214">
          <cell r="A214" t="str">
            <v>ADMINISTRATIVE &amp; MANAGEMENT EXPENSES</v>
          </cell>
        </row>
      </sheetData>
      <sheetData sheetId="3300">
        <row r="214">
          <cell r="A214" t="str">
            <v>ADMINISTRATIVE &amp; MANAGEMENT EXPENSES</v>
          </cell>
        </row>
      </sheetData>
      <sheetData sheetId="3301">
        <row r="214">
          <cell r="A214" t="str">
            <v>ADMINISTRATIVE &amp; MANAGEMENT EXPENSES</v>
          </cell>
        </row>
      </sheetData>
      <sheetData sheetId="3302">
        <row r="214">
          <cell r="A214" t="str">
            <v>ADMINISTRATIVE &amp; MANAGEMENT EXPENSES</v>
          </cell>
        </row>
      </sheetData>
      <sheetData sheetId="3303">
        <row r="214">
          <cell r="A214" t="str">
            <v>ADMINISTRATIVE &amp; MANAGEMENT EXPENSES</v>
          </cell>
        </row>
      </sheetData>
      <sheetData sheetId="3304">
        <row r="214">
          <cell r="A214" t="str">
            <v>ADMINISTRATIVE &amp; MANAGEMENT EXPENSES</v>
          </cell>
        </row>
      </sheetData>
      <sheetData sheetId="3305">
        <row r="214">
          <cell r="A214" t="str">
            <v>ADMINISTRATIVE &amp; MANAGEMENT EXPENSES</v>
          </cell>
        </row>
      </sheetData>
      <sheetData sheetId="3306">
        <row r="214">
          <cell r="A214" t="str">
            <v>ADMINISTRATIVE &amp; MANAGEMENT EXPENSES</v>
          </cell>
        </row>
      </sheetData>
      <sheetData sheetId="3307">
        <row r="214">
          <cell r="A214" t="str">
            <v>ADMINISTRATIVE &amp; MANAGEMENT EXPENSES</v>
          </cell>
        </row>
      </sheetData>
      <sheetData sheetId="3308">
        <row r="214">
          <cell r="A214" t="str">
            <v>ADMINISTRATIVE &amp; MANAGEMENT EXPENSES</v>
          </cell>
        </row>
      </sheetData>
      <sheetData sheetId="3309">
        <row r="214">
          <cell r="A214" t="str">
            <v>ADMINISTRATIVE &amp; MANAGEMENT EXPENSES</v>
          </cell>
        </row>
      </sheetData>
      <sheetData sheetId="3310">
        <row r="214">
          <cell r="A214" t="str">
            <v>ADMINISTRATIVE &amp; MANAGEMENT EXPENSES</v>
          </cell>
        </row>
      </sheetData>
      <sheetData sheetId="3311">
        <row r="214">
          <cell r="A214" t="str">
            <v>ADMINISTRATIVE &amp; MANAGEMENT EXPENSES</v>
          </cell>
        </row>
      </sheetData>
      <sheetData sheetId="3312">
        <row r="214">
          <cell r="A214" t="str">
            <v>ADMINISTRATIVE &amp; MANAGEMENT EXPENSES</v>
          </cell>
        </row>
      </sheetData>
      <sheetData sheetId="3313">
        <row r="214">
          <cell r="A214" t="str">
            <v>ADMINISTRATIVE &amp; MANAGEMENT EXPENSES</v>
          </cell>
        </row>
      </sheetData>
      <sheetData sheetId="3314">
        <row r="214">
          <cell r="A214" t="str">
            <v>ADMINISTRATIVE &amp; MANAGEMENT EXPENSES</v>
          </cell>
        </row>
      </sheetData>
      <sheetData sheetId="3315">
        <row r="214">
          <cell r="A214" t="str">
            <v>ADMINISTRATIVE &amp; MANAGEMENT EXPENSES</v>
          </cell>
        </row>
      </sheetData>
      <sheetData sheetId="3316">
        <row r="214">
          <cell r="A214" t="str">
            <v>ADMINISTRATIVE &amp; MANAGEMENT EXPENSES</v>
          </cell>
        </row>
      </sheetData>
      <sheetData sheetId="3317">
        <row r="214">
          <cell r="A214" t="str">
            <v>ADMINISTRATIVE &amp; MANAGEMENT EXPENSES</v>
          </cell>
        </row>
      </sheetData>
      <sheetData sheetId="3318">
        <row r="214">
          <cell r="A214" t="str">
            <v>ADMINISTRATIVE &amp; MANAGEMENT EXPENSES</v>
          </cell>
        </row>
      </sheetData>
      <sheetData sheetId="3319">
        <row r="214">
          <cell r="A214" t="str">
            <v>ADMINISTRATIVE &amp; MANAGEMENT EXPENSES</v>
          </cell>
        </row>
      </sheetData>
      <sheetData sheetId="3320">
        <row r="214">
          <cell r="A214" t="str">
            <v>ADMINISTRATIVE &amp; MANAGEMENT EXPENSES</v>
          </cell>
        </row>
      </sheetData>
      <sheetData sheetId="3321">
        <row r="214">
          <cell r="A214" t="str">
            <v>ADMINISTRATIVE &amp; MANAGEMENT EXPENSES</v>
          </cell>
        </row>
      </sheetData>
      <sheetData sheetId="3322">
        <row r="214">
          <cell r="A214" t="str">
            <v>ADMINISTRATIVE &amp; MANAGEMENT EXPENSES</v>
          </cell>
        </row>
      </sheetData>
      <sheetData sheetId="3323">
        <row r="214">
          <cell r="A214" t="str">
            <v>ADMINISTRATIVE &amp; MANAGEMENT EXPENSES</v>
          </cell>
        </row>
      </sheetData>
      <sheetData sheetId="3324">
        <row r="214">
          <cell r="A214" t="str">
            <v>ADMINISTRATIVE &amp; MANAGEMENT EXPENSES</v>
          </cell>
        </row>
      </sheetData>
      <sheetData sheetId="3325">
        <row r="214">
          <cell r="A214" t="str">
            <v>ADMINISTRATIVE &amp; MANAGEMENT EXPENSES</v>
          </cell>
        </row>
      </sheetData>
      <sheetData sheetId="3326">
        <row r="214">
          <cell r="A214" t="str">
            <v>ADMINISTRATIVE &amp; MANAGEMENT EXPENSES</v>
          </cell>
        </row>
      </sheetData>
      <sheetData sheetId="3327">
        <row r="214">
          <cell r="A214" t="str">
            <v>ADMINISTRATIVE &amp; MANAGEMENT EXPENSES</v>
          </cell>
        </row>
      </sheetData>
      <sheetData sheetId="3328">
        <row r="214">
          <cell r="A214" t="str">
            <v>ADMINISTRATIVE &amp; MANAGEMENT EXPENSES</v>
          </cell>
        </row>
      </sheetData>
      <sheetData sheetId="3329">
        <row r="214">
          <cell r="A214" t="str">
            <v>ADMINISTRATIVE &amp; MANAGEMENT EXPENSES</v>
          </cell>
        </row>
      </sheetData>
      <sheetData sheetId="3330">
        <row r="214">
          <cell r="A214" t="str">
            <v>ADMINISTRATIVE &amp; MANAGEMENT EXPENSES</v>
          </cell>
        </row>
      </sheetData>
      <sheetData sheetId="3331">
        <row r="214">
          <cell r="A214" t="str">
            <v>ADMINISTRATIVE &amp; MANAGEMENT EXPENSES</v>
          </cell>
        </row>
      </sheetData>
      <sheetData sheetId="3332">
        <row r="214">
          <cell r="A214" t="str">
            <v>ADMINISTRATIVE &amp; MANAGEMENT EXPENSES</v>
          </cell>
        </row>
      </sheetData>
      <sheetData sheetId="3333">
        <row r="214">
          <cell r="A214" t="str">
            <v>ADMINISTRATIVE &amp; MANAGEMENT EXPENSES</v>
          </cell>
        </row>
      </sheetData>
      <sheetData sheetId="3334">
        <row r="214">
          <cell r="A214" t="str">
            <v>ADMINISTRATIVE &amp; MANAGEMENT EXPENSES</v>
          </cell>
        </row>
      </sheetData>
      <sheetData sheetId="3335">
        <row r="214">
          <cell r="A214" t="str">
            <v>ADMINISTRATIVE &amp; MANAGEMENT EXPENSES</v>
          </cell>
        </row>
      </sheetData>
      <sheetData sheetId="3336">
        <row r="214">
          <cell r="A214" t="str">
            <v>ADMINISTRATIVE &amp; MANAGEMENT EXPENSES</v>
          </cell>
        </row>
      </sheetData>
      <sheetData sheetId="3337">
        <row r="214">
          <cell r="A214" t="str">
            <v>ADMINISTRATIVE &amp; MANAGEMENT EXPENSES</v>
          </cell>
        </row>
      </sheetData>
      <sheetData sheetId="3338">
        <row r="214">
          <cell r="A214" t="str">
            <v>ADMINISTRATIVE &amp; MANAGEMENT EXPENSES</v>
          </cell>
        </row>
      </sheetData>
      <sheetData sheetId="3339">
        <row r="214">
          <cell r="A214" t="str">
            <v>ADMINISTRATIVE &amp; MANAGEMENT EXPENSES</v>
          </cell>
        </row>
      </sheetData>
      <sheetData sheetId="3340">
        <row r="214">
          <cell r="A214" t="str">
            <v>ADMINISTRATIVE &amp; MANAGEMENT EXPENSES</v>
          </cell>
        </row>
      </sheetData>
      <sheetData sheetId="3341">
        <row r="214">
          <cell r="A214" t="str">
            <v>ADMINISTRATIVE &amp; MANAGEMENT EXPENSES</v>
          </cell>
        </row>
      </sheetData>
      <sheetData sheetId="3342">
        <row r="214">
          <cell r="A214" t="str">
            <v>ADMINISTRATIVE &amp; MANAGEMENT EXPENSES</v>
          </cell>
        </row>
      </sheetData>
      <sheetData sheetId="3343">
        <row r="214">
          <cell r="A214" t="str">
            <v>ADMINISTRATIVE &amp; MANAGEMENT EXPENSES</v>
          </cell>
        </row>
      </sheetData>
      <sheetData sheetId="3344">
        <row r="214">
          <cell r="A214" t="str">
            <v>ADMINISTRATIVE &amp; MANAGEMENT EXPENSES</v>
          </cell>
        </row>
      </sheetData>
      <sheetData sheetId="3345">
        <row r="214">
          <cell r="A214" t="str">
            <v>ADMINISTRATIVE &amp; MANAGEMENT EXPENSES</v>
          </cell>
        </row>
      </sheetData>
      <sheetData sheetId="3346">
        <row r="214">
          <cell r="A214" t="str">
            <v>ADMINISTRATIVE &amp; MANAGEMENT EXPENSES</v>
          </cell>
        </row>
      </sheetData>
      <sheetData sheetId="3347">
        <row r="214">
          <cell r="A214" t="str">
            <v>ADMINISTRATIVE &amp; MANAGEMENT EXPENSES</v>
          </cell>
        </row>
      </sheetData>
      <sheetData sheetId="3348">
        <row r="214">
          <cell r="A214" t="str">
            <v>ADMINISTRATIVE &amp; MANAGEMENT EXPENSES</v>
          </cell>
        </row>
      </sheetData>
      <sheetData sheetId="3349">
        <row r="214">
          <cell r="A214" t="str">
            <v>ADMINISTRATIVE &amp; MANAGEMENT EXPENSES</v>
          </cell>
        </row>
      </sheetData>
      <sheetData sheetId="3350">
        <row r="214">
          <cell r="A214" t="str">
            <v>ADMINISTRATIVE &amp; MANAGEMENT EXPENSES</v>
          </cell>
        </row>
      </sheetData>
      <sheetData sheetId="3351">
        <row r="214">
          <cell r="A214" t="str">
            <v>ADMINISTRATIVE &amp; MANAGEMENT EXPENSES</v>
          </cell>
        </row>
      </sheetData>
      <sheetData sheetId="3352">
        <row r="214">
          <cell r="A214" t="str">
            <v>ADMINISTRATIVE &amp; MANAGEMENT EXPENSES</v>
          </cell>
        </row>
      </sheetData>
      <sheetData sheetId="3353">
        <row r="214">
          <cell r="A214" t="str">
            <v>ADMINISTRATIVE &amp; MANAGEMENT EXPENSES</v>
          </cell>
        </row>
      </sheetData>
      <sheetData sheetId="3354">
        <row r="214">
          <cell r="A214" t="str">
            <v>ADMINISTRATIVE &amp; MANAGEMENT EXPENSES</v>
          </cell>
        </row>
      </sheetData>
      <sheetData sheetId="3355">
        <row r="214">
          <cell r="A214" t="str">
            <v>ADMINISTRATIVE &amp; MANAGEMENT EXPENSES</v>
          </cell>
        </row>
      </sheetData>
      <sheetData sheetId="3356">
        <row r="214">
          <cell r="A214" t="str">
            <v>ADMINISTRATIVE &amp; MANAGEMENT EXPENSES</v>
          </cell>
        </row>
      </sheetData>
      <sheetData sheetId="3357">
        <row r="214">
          <cell r="A214" t="str">
            <v>ADMINISTRATIVE &amp; MANAGEMENT EXPENSES</v>
          </cell>
        </row>
      </sheetData>
      <sheetData sheetId="3358">
        <row r="214">
          <cell r="A214" t="str">
            <v>ADMINISTRATIVE &amp; MANAGEMENT EXPENSES</v>
          </cell>
        </row>
      </sheetData>
      <sheetData sheetId="3359">
        <row r="214">
          <cell r="A214" t="str">
            <v>ADMINISTRATIVE &amp; MANAGEMENT EXPENSES</v>
          </cell>
        </row>
      </sheetData>
      <sheetData sheetId="3360">
        <row r="214">
          <cell r="A214" t="str">
            <v>ADMINISTRATIVE &amp; MANAGEMENT EXPENSES</v>
          </cell>
        </row>
      </sheetData>
      <sheetData sheetId="3361">
        <row r="214">
          <cell r="A214" t="str">
            <v>ADMINISTRATIVE &amp; MANAGEMENT EXPENSES</v>
          </cell>
        </row>
      </sheetData>
      <sheetData sheetId="3362">
        <row r="214">
          <cell r="A214" t="str">
            <v>ADMINISTRATIVE &amp; MANAGEMENT EXPENSES</v>
          </cell>
        </row>
      </sheetData>
      <sheetData sheetId="3363">
        <row r="214">
          <cell r="A214" t="str">
            <v>ADMINISTRATIVE &amp; MANAGEMENT EXPENSES</v>
          </cell>
        </row>
      </sheetData>
      <sheetData sheetId="3364">
        <row r="214">
          <cell r="A214" t="str">
            <v>ADMINISTRATIVE &amp; MANAGEMENT EXPENSES</v>
          </cell>
        </row>
      </sheetData>
      <sheetData sheetId="3365">
        <row r="214">
          <cell r="A214" t="str">
            <v>ADMINISTRATIVE &amp; MANAGEMENT EXPENSES</v>
          </cell>
        </row>
      </sheetData>
      <sheetData sheetId="3366">
        <row r="214">
          <cell r="A214" t="str">
            <v>ADMINISTRATIVE &amp; MANAGEMENT EXPENSES</v>
          </cell>
        </row>
      </sheetData>
      <sheetData sheetId="3367">
        <row r="214">
          <cell r="A214" t="str">
            <v>ADMINISTRATIVE &amp; MANAGEMENT EXPENSES</v>
          </cell>
        </row>
      </sheetData>
      <sheetData sheetId="3368">
        <row r="214">
          <cell r="A214" t="str">
            <v>ADMINISTRATIVE &amp; MANAGEMENT EXPENSES</v>
          </cell>
        </row>
      </sheetData>
      <sheetData sheetId="3369">
        <row r="214">
          <cell r="A214" t="str">
            <v>ADMINISTRATIVE &amp; MANAGEMENT EXPENSES</v>
          </cell>
        </row>
      </sheetData>
      <sheetData sheetId="3370">
        <row r="214">
          <cell r="A214" t="str">
            <v>ADMINISTRATIVE &amp; MANAGEMENT EXPENSES</v>
          </cell>
        </row>
      </sheetData>
      <sheetData sheetId="3371">
        <row r="214">
          <cell r="A214" t="str">
            <v>ADMINISTRATIVE &amp; MANAGEMENT EXPENSES</v>
          </cell>
        </row>
      </sheetData>
      <sheetData sheetId="3372">
        <row r="214">
          <cell r="A214" t="str">
            <v>ADMINISTRATIVE &amp; MANAGEMENT EXPENSES</v>
          </cell>
        </row>
      </sheetData>
      <sheetData sheetId="3373">
        <row r="214">
          <cell r="A214" t="str">
            <v>ADMINISTRATIVE &amp; MANAGEMENT EXPENSES</v>
          </cell>
        </row>
      </sheetData>
      <sheetData sheetId="3374">
        <row r="214">
          <cell r="A214" t="str">
            <v>ADMINISTRATIVE &amp; MANAGEMENT EXPENSES</v>
          </cell>
        </row>
      </sheetData>
      <sheetData sheetId="3375">
        <row r="214">
          <cell r="A214" t="str">
            <v>ADMINISTRATIVE &amp; MANAGEMENT EXPENSES</v>
          </cell>
        </row>
      </sheetData>
      <sheetData sheetId="3376">
        <row r="214">
          <cell r="A214" t="str">
            <v>ADMINISTRATIVE &amp; MANAGEMENT EXPENSES</v>
          </cell>
        </row>
      </sheetData>
      <sheetData sheetId="3377">
        <row r="214">
          <cell r="A214" t="str">
            <v>ADMINISTRATIVE &amp; MANAGEMENT EXPENSES</v>
          </cell>
        </row>
      </sheetData>
      <sheetData sheetId="3378">
        <row r="214">
          <cell r="A214" t="str">
            <v>ADMINISTRATIVE &amp; MANAGEMENT EXPENSES</v>
          </cell>
        </row>
      </sheetData>
      <sheetData sheetId="3379">
        <row r="214">
          <cell r="A214" t="str">
            <v>ADMINISTRATIVE &amp; MANAGEMENT EXPENSES</v>
          </cell>
        </row>
      </sheetData>
      <sheetData sheetId="3380">
        <row r="214">
          <cell r="A214" t="str">
            <v>ADMINISTRATIVE &amp; MANAGEMENT EXPENSES</v>
          </cell>
        </row>
      </sheetData>
      <sheetData sheetId="3381">
        <row r="214">
          <cell r="A214" t="str">
            <v>ADMINISTRATIVE &amp; MANAGEMENT EXPENSES</v>
          </cell>
        </row>
      </sheetData>
      <sheetData sheetId="3382">
        <row r="214">
          <cell r="A214" t="str">
            <v>ADMINISTRATIVE &amp; MANAGEMENT EXPENSES</v>
          </cell>
        </row>
      </sheetData>
      <sheetData sheetId="3383">
        <row r="214">
          <cell r="A214" t="str">
            <v>ADMINISTRATIVE &amp; MANAGEMENT EXPENSES</v>
          </cell>
        </row>
      </sheetData>
      <sheetData sheetId="3384">
        <row r="214">
          <cell r="A214" t="str">
            <v>ADMINISTRATIVE &amp; MANAGEMENT EXPENSES</v>
          </cell>
        </row>
      </sheetData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>
        <row r="214">
          <cell r="A214" t="str">
            <v>ADMINISTRATIVE &amp; MANAGEMENT EXPENSES</v>
          </cell>
        </row>
      </sheetData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214">
          <cell r="A214" t="str">
            <v>ADMINISTRATIVE &amp; MANAGEMENT EXPENSES</v>
          </cell>
        </row>
      </sheetData>
      <sheetData sheetId="4446">
        <row r="214">
          <cell r="A214" t="str">
            <v>ADMINISTRATIVE &amp; MANAGEMENT EXPENSES</v>
          </cell>
        </row>
      </sheetData>
      <sheetData sheetId="4447"/>
      <sheetData sheetId="4448" refreshError="1"/>
      <sheetData sheetId="4449">
        <row r="214">
          <cell r="A214" t="str">
            <v>ADMINISTRATIVE &amp; MANAGEMENT EXPENSES</v>
          </cell>
        </row>
      </sheetData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>
        <row r="214">
          <cell r="A214" t="str">
            <v>ADMINISTRATIVE &amp; MANAGEMENT EXPENSES</v>
          </cell>
        </row>
      </sheetData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/>
      <sheetData sheetId="4501"/>
      <sheetData sheetId="4502"/>
      <sheetData sheetId="4503"/>
      <sheetData sheetId="450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L_Oth Bo"/>
      <sheetName val="3‰AL9697 -group wise  onpl"/>
      <sheetName val=""/>
      <sheetName val="Boq"/>
      <sheetName val="Civil Boq"/>
      <sheetName val="p&amp;m"/>
      <sheetName val="Staff Acco."/>
      <sheetName val="STEEL"/>
      <sheetName val="Sheet3"/>
      <sheetName val="SITE OVERHEADS"/>
      <sheetName val="Sheet1"/>
      <sheetName val="PRECAST lightconc-II"/>
      <sheetName val="Project-Material "/>
      <sheetName val="Boq Block A"/>
      <sheetName val="PL"/>
      <sheetName val="sept-plan"/>
      <sheetName val="1. PayRec"/>
      <sheetName val="Cashflow projection"/>
      <sheetName val="SPT vs PHI"/>
      <sheetName val="factors"/>
      <sheetName val="key dates"/>
      <sheetName val="Actuals"/>
      <sheetName val="Main-Material"/>
      <sheetName val="TBL9798_x0010_DPL03"/>
      <sheetName val="CORPN O_x0000_T"/>
      <sheetName val="ino4t conso,-nov"/>
      <sheetName val="(nout co,sol (2)"/>
      <sheetName val="Blr hire"/>
      <sheetName val="DESIGN"/>
      <sheetName val="VCH-SLC"/>
      <sheetName val="Supplier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_1_obpl_x005f_x000b_Wori"/>
      <sheetName val="_x005f_x0003_dpl_oth Lia`"/>
      <sheetName val="TBAL9697 _x005f_x000d_grotp wise "/>
      <sheetName val="St.co.91.5lvl"/>
      <sheetName val="R2"/>
      <sheetName val="template"/>
      <sheetName val="Build-up"/>
      <sheetName val="PRW"/>
      <sheetName val="analysis"/>
      <sheetName val="INPUT SHEET"/>
      <sheetName val="A-General"/>
      <sheetName val="data"/>
      <sheetName val="Sun E Type"/>
      <sheetName val="G-�"/>
      <sheetName val="3�AL9697 -group wise  onpl"/>
      <sheetName val="目录"/>
      <sheetName val="FORM7"/>
      <sheetName val="PCC"/>
      <sheetName val="Headings"/>
      <sheetName val="Precalculation"/>
      <sheetName val="nanjprofit"/>
      <sheetName val="Bill No.5"/>
      <sheetName val="Labor abs-NMR"/>
      <sheetName val="Names&amp;Cases"/>
      <sheetName val="Pay_Sep06"/>
      <sheetName val="TBAL9697 _x000a_grotp wise 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Fin Sum"/>
      <sheetName val="CORPN O?T"/>
      <sheetName val="Inventory"/>
      <sheetName val="MAR98"/>
      <sheetName val="환율"/>
      <sheetName val="CCTV_EST1"/>
      <sheetName val="Input"/>
      <sheetName val="Control"/>
      <sheetName val="gen"/>
      <sheetName val="TBL9798_x005f_x0010_DPL03"/>
      <sheetName val="CORPN O_x005f_x0000_T"/>
      <sheetName val="External"/>
      <sheetName val="SUPPLY -Sanitary Fixtures"/>
      <sheetName val="ITEMS FOR CIVIL TENDER"/>
      <sheetName val="Costing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P&amp;L - AD"/>
      <sheetName val="1__PayRec"/>
      <sheetName val="Boq_Block_A"/>
      <sheetName val="Cashflow_projection"/>
      <sheetName val="G_1_obpl_x005f_x005f_x005f_x000b_Wori"/>
      <sheetName val="_x005f_x005f_x005f_x0003_dpl_oth Lia`"/>
      <sheetName val="TBAL9697 _x005f_x005f_x005f_x000d_grotp wis"/>
      <sheetName val="CASHFLOWS"/>
      <sheetName val="RCC,Ret. Wall"/>
      <sheetName val="CORPN O"/>
      <sheetName val="SILICATE"/>
      <sheetName val="LIST OF MAKES"/>
      <sheetName val="Annex"/>
      <sheetName val="DG "/>
      <sheetName val="Civil Works"/>
      <sheetName val="GBW"/>
      <sheetName val="Fill this out first..."/>
      <sheetName val="LOAD SHEET "/>
      <sheetName val="Fee Rate Summary"/>
      <sheetName val="Name List"/>
      <sheetName val="Fin. Assumpt. - Sensitivities"/>
      <sheetName val="Labour productivity"/>
      <sheetName val="Basic"/>
      <sheetName val="BS1"/>
      <sheetName val="CORPN O_T"/>
      <sheetName val="Labour"/>
      <sheetName val="Area &amp; Cate. Master"/>
      <sheetName val="BOQ (2)"/>
      <sheetName val="TBAL9697 _grotp wise "/>
      <sheetName val="Detai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細目"/>
      <sheetName val="2004"/>
      <sheetName val="Form 6"/>
      <sheetName val="acevsSp (ABC)"/>
      <sheetName val="A.O.R."/>
      <sheetName val="Pivots"/>
      <sheetName val="DLC lookups"/>
      <sheetName val="Quote Sheet"/>
      <sheetName val="d-safe DELUXE"/>
      <sheetName val="Works - Quote Sheet"/>
      <sheetName val="BLOCK-A (MEA.SHEET)"/>
      <sheetName val="IO LIST"/>
      <sheetName val="TBAL9697 _x005f_x000d_grotp wis"/>
      <sheetName val="TBAL9697  grotp wise "/>
      <sheetName val="Config"/>
      <sheetName val="Break Dw"/>
      <sheetName val="basic-data"/>
      <sheetName val="mem-property"/>
      <sheetName val="Driveway Beams"/>
      <sheetName val="11B "/>
      <sheetName val="12A"/>
      <sheetName val="12B"/>
      <sheetName val="6B"/>
      <sheetName val="7A"/>
      <sheetName val="7B"/>
      <sheetName val="1"/>
      <sheetName val="Structure Bills Qty"/>
      <sheetName val="Detail 1A"/>
      <sheetName val="Rate"/>
      <sheetName val="Sheet2"/>
      <sheetName val="Sheet 1"/>
      <sheetName val="3BPA00132-5-3 W plan HVPNL"/>
      <sheetName val="Mix Design"/>
      <sheetName val="std-rates"/>
      <sheetName val="keyword"/>
      <sheetName val="RA-markate"/>
      <sheetName val="dBase"/>
      <sheetName val="#REF"/>
      <sheetName val="TBL9798_x005f_x005f_x005f_x0010_DPL03"/>
      <sheetName val="CORPN O_x005f_x005f_x005f_x0000_T"/>
      <sheetName val="220 11  BS "/>
      <sheetName val="TBAL9697 _x005f_x000a_grotp wise "/>
      <sheetName val="입력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FITZ MORT 94"/>
      <sheetName val="총괄표"/>
      <sheetName val="ISO.Reconcilation Statment"/>
      <sheetName val="AVG pur rate"/>
      <sheetName val="Payroll_Statement"/>
      <sheetName val="MRATES"/>
      <sheetName val="Mat.-Rates"/>
      <sheetName val="crews"/>
      <sheetName val="Capex-fixed"/>
      <sheetName val="NLD - Assum"/>
      <sheetName val="Intro."/>
      <sheetName val="Cash Flow Input Data_ISC"/>
      <sheetName val="Interface_SC"/>
      <sheetName val="Calc_ISC"/>
      <sheetName val="Calc_SC"/>
      <sheetName val="Interface_ISC"/>
      <sheetName val="GD"/>
      <sheetName val="Phasing"/>
      <sheetName val="Assumption Inputs"/>
      <sheetName val="pol-60"/>
      <sheetName val="tie beam"/>
      <sheetName val="COST"/>
      <sheetName val="SICAM"/>
      <sheetName val="A1-Continuous"/>
      <sheetName val="Legal Risk Analysis"/>
      <sheetName val="WWR"/>
      <sheetName val="Section Catalogue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3�AL9697_-group_wise__onpl"/>
      <sheetName val="Staff_Acco_1"/>
      <sheetName val="SITE_OVERHEADS1"/>
      <sheetName val="PRECAST_lightconc-II1"/>
      <sheetName val="SPT_vs_PHI"/>
      <sheetName val="Project-Material_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3�AL9697_-group_wise__onpl1"/>
      <sheetName val="Staff_Acco_2"/>
      <sheetName val="SITE_OVERHEADS2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3�AL9697_-group_wise__onpl2"/>
      <sheetName val="Boq_Block_A2"/>
      <sheetName val="Project-Material_2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Basis"/>
      <sheetName val="G_1_obpl_x005f_x005f_x005f_x005f_x005f_x005f_x000"/>
      <sheetName val="_x005f_x005f_x005f_x005f_x005f_x005f_x005f_x0003_dpl_ot"/>
      <sheetName val="TBAL9697 _x005f_x005f_x005f_x005f_x005f_x005f_x00"/>
      <sheetName val="Intro"/>
      <sheetName val="外気負荷"/>
      <sheetName val="DetEst"/>
      <sheetName val="Mat_Cost"/>
      <sheetName val="DETAILED  BOQ"/>
      <sheetName val="CABLE DATA"/>
      <sheetName val="fa-pl &amp; myy_x000b__x000b__x0002_"/>
      <sheetName val="Tender Summary"/>
      <sheetName val="BALAN1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Summary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Material"/>
      <sheetName val="Set"/>
      <sheetName val="Components"/>
      <sheetName val="INDIGINEOUS ITEMS "/>
      <sheetName val="Cost summary"/>
      <sheetName val="Parameter"/>
      <sheetName val="1_Project_Profile"/>
      <sheetName val="Excess Calc"/>
      <sheetName val="10"/>
      <sheetName val="11A"/>
      <sheetName val="6A"/>
      <sheetName val="5"/>
      <sheetName val="13"/>
      <sheetName val="14"/>
      <sheetName val="annx-1(Boq)"/>
      <sheetName val="Labels"/>
      <sheetName val="PO Payroll"/>
      <sheetName val="Deduction of assets"/>
      <sheetName val="Lead"/>
      <sheetName val="Exc"/>
      <sheetName val="Analy_7-10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s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CORPN_O_T1"/>
      <sheetName val="Area_&amp;_Cate__Master1"/>
      <sheetName val="Bill_No_51"/>
      <sheetName val="TBAL9697__grotp_wise_2"/>
      <sheetName val="Detail_1A1"/>
      <sheetName val="DG_3"/>
      <sheetName val="11B_1"/>
      <sheetName val="BOQ_(2)1"/>
      <sheetName val="DLC_lookups1"/>
      <sheetName val="Structure_Bills_Qty1"/>
      <sheetName val="Fee_Rate_Summary1"/>
      <sheetName val="Name_List1"/>
      <sheetName val="CORPN_O_x005f_x005f_x005f_x0000_T1"/>
      <sheetName val="TBAL9697__x005f_x000a_grotp_wise_1"/>
      <sheetName val="220_11__BS_1"/>
      <sheetName val="ISO_Reconcilation_Statment1"/>
      <sheetName val="AVG_pur_rate1"/>
      <sheetName val="Driveway_Beams1"/>
      <sheetName val="Cat_A_Change_Control1"/>
      <sheetName val="Break_up_Sheet1"/>
      <sheetName val="Summary_of_P_&amp;_M1"/>
      <sheetName val="Break_Dw1"/>
      <sheetName val="FITZ_MORT_941"/>
      <sheetName val="Sheet_11"/>
      <sheetName val="3BPA00132-5-3_W_plan_HVPNL1"/>
      <sheetName val="Mix_Design1"/>
      <sheetName val="BLOCK-A_(MEA_SHEET)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NLD_-_Assum1"/>
      <sheetName val="Intro_1"/>
      <sheetName val="TBAL9697__x005f_x005f_x005f_x005f_x005f_x005f_x01"/>
      <sheetName val="Form_61"/>
      <sheetName val="acevsSp_(ABC)1"/>
      <sheetName val="A_O_R_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BOQ "/>
      <sheetName val="BOQ-Part1"/>
      <sheetName val="Assumptions"/>
      <sheetName val="Detail In Door Stad"/>
      <sheetName val="TBAL9697 _x000d_grotp wis"/>
      <sheetName val="Section_Catalogue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TEXT"/>
      <sheetName val="P&amp;L-BDMC"/>
      <sheetName val="dyes"/>
      <sheetName val="UTILITY"/>
      <sheetName val="final abstract"/>
      <sheetName val="RA"/>
      <sheetName val="Report"/>
      <sheetName val="Main Gate House"/>
      <sheetName val="Reinforcement"/>
      <sheetName val="TBL9798_x005f_x005f_x005f_x005f_x005f_x005f_x0010"/>
      <sheetName val="CORPN O_x005f_x005f_x005f_x005f_x005f_x005f_x0000"/>
      <sheetName val="TBAL9697 _x005f_x005f_x005f_x000a_grotp wis"/>
      <sheetName val="sumary(3)"/>
      <sheetName val="G_1_obpl_x005f_x005f_x005f_x005f_x005f_x005f_x005"/>
      <sheetName val="_x005f_x005f_x005f_x005f_x005f_x005f_x005f_x005f_x005f_x005f_"/>
      <sheetName val="Gen Info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AutoOpen Stub Data"/>
      <sheetName val="Material "/>
      <sheetName val="Extra Item"/>
      <sheetName val="Labour &amp; Plant"/>
      <sheetName val="General input"/>
      <sheetName val="6.05"/>
      <sheetName val="Abstract Sheet"/>
      <sheetName val="Boq- Civil"/>
      <sheetName val="tie_beam"/>
      <sheetName val="Meas.-Hotel Pa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COLUMN"/>
      <sheetName val="BASIC RATES"/>
      <sheetName val="lineby line consolidation"/>
      <sheetName val="Invoice"/>
      <sheetName val="Base Assumptions"/>
      <sheetName val=" COP 100%"/>
      <sheetName val="Package-2"/>
      <sheetName val="Contract Night Staff"/>
      <sheetName val="Contract Day Staff"/>
      <sheetName val="Day Shift"/>
      <sheetName val="Night Shift"/>
      <sheetName val="Debits as on 12.04.08"/>
      <sheetName val="Lintel Beam 104.70 (GF)  "/>
      <sheetName val=" "/>
      <sheetName val="P&amp;L(F)"/>
      <sheetName val="BS(F)"/>
      <sheetName val="Labor abs-PW"/>
      <sheetName val="zone-2"/>
      <sheetName val="M40"/>
      <sheetName val="TBAL9697 -group wise sdpl"/>
      <sheetName val="Global"/>
      <sheetName val="RA_markate"/>
      <sheetName val="Columns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G_1_obpl_x005f_x005f_x000"/>
      <sheetName val="_x005f_x005f_x005f_x0003_dpl_ot"/>
      <sheetName val="TBAL9697 _x005f_x005f_x00"/>
      <sheetName val="Quotation"/>
      <sheetName val="BFS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ill 3 - Site Works"/>
      <sheetName val="Area Statement"/>
      <sheetName val="Risk Analysis"/>
      <sheetName val="appendix 2.5 final accounts"/>
      <sheetName val="Deduction_of_assets"/>
      <sheetName val="Elect_"/>
      <sheetName val="Site_Dev_BOQ"/>
      <sheetName val="RES-PLANNING"/>
      <sheetName val="Rate analysis"/>
      <sheetName val="Approved MTD Proj #'s"/>
      <sheetName val="9. Package split - Cost "/>
      <sheetName val="Project Budget Worksheet"/>
      <sheetName val="TBAL9697__x005f_x000a_grotp_wis"/>
      <sheetName val="CORPN_O_x005f_x005f_x0000"/>
      <sheetName val="TBL9798_x005f_x005f_x005f"/>
      <sheetName val="CORPN O_x005f_x005f_x005f"/>
      <sheetName val="CORPN_O_T26"/>
      <sheetName val="Safety"/>
      <sheetName val="Customize Your Purchase Order"/>
      <sheetName val="fa-pl &amp; myy_x005f_x000b__x005f_x000b__x00"/>
      <sheetName val="FitOutConfCentre"/>
      <sheetName val="office"/>
      <sheetName val="Lab"/>
      <sheetName val="P &amp; M"/>
      <sheetName val="MS Items"/>
      <sheetName val="STRUCTURAL"/>
      <sheetName val="ARCHITECTURAL"/>
      <sheetName val="SITE DEVELOPMENT"/>
      <sheetName val="L+M"/>
      <sheetName val="Material Rate"/>
      <sheetName val="DDETABLE "/>
      <sheetName val="STAFFSCHED_"/>
      <sheetName val="estimate"/>
      <sheetName val="NetBQ"/>
      <sheetName val="Sheet7"/>
      <sheetName val="Building 1"/>
      <sheetName val="Lead (Final)"/>
      <sheetName val="Abstract"/>
      <sheetName val="Detail P&amp;L"/>
      <sheetName val="Assumption Sheet"/>
      <sheetName val="gVL"/>
      <sheetName val="KP1590_E"/>
      <sheetName val="sumary"/>
      <sheetName val="Xenon(R2)"/>
      <sheetName val="Categories"/>
      <sheetName val="indices "/>
      <sheetName val="month"/>
      <sheetName val="partner"/>
      <sheetName val="year"/>
      <sheetName val="F1a-Pile"/>
      <sheetName val="Material List "/>
      <sheetName val="Section_Catalogue3"/>
      <sheetName val="tie_beam3"/>
      <sheetName val="INDIGINEOUS_ITEMS_"/>
      <sheetName val="final_abstract"/>
      <sheetName val="BASIC_RATES"/>
      <sheetName val="TBAL9697__x005f_x005f_x005f_x000a_grotp_wis"/>
      <sheetName val="CORPN_O_x005f_x005f_x005f_x005f_x005f_x005f_x0000"/>
      <sheetName val="Excess_Calc"/>
      <sheetName val="Meas_-Hotel_Part"/>
      <sheetName val="Capital_by_Years_Valuation"/>
      <sheetName val="ReportsParameters"/>
      <sheetName val="Nopat_by_Years_Valuation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std"/>
      <sheetName val="TAX INCOME"/>
      <sheetName val="Depart Budget"/>
      <sheetName val="Corporate"/>
      <sheetName val="Masters"/>
      <sheetName val="CC June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4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L_Oth_Bo33"/>
      <sheetName val="3‰AL9697_-group_wise__onpl33"/>
      <sheetName val="Civil_Boq33"/>
      <sheetName val="Project-Material_32"/>
      <sheetName val="Staff_Acco_33"/>
      <sheetName val="SITE_OVERHEADS33"/>
      <sheetName val="Boq_Block_A32"/>
      <sheetName val="PRECAST_lightconc-II33"/>
      <sheetName val="1__PayRec32"/>
      <sheetName val="Cashflow_projection32"/>
      <sheetName val="SPT_vs_PHI32"/>
      <sheetName val="key_dates32"/>
      <sheetName val="Blr_hire32"/>
      <sheetName val="ino4t_conso,-nov32"/>
      <sheetName val="(nout_co,sol_(2)32"/>
      <sheetName val="_bpl,oth_lia_32"/>
      <sheetName val="G_,and_adv_nce32"/>
      <sheetName val="I,Wip-ot__2)32"/>
      <sheetName val="det!il_WIP_(2)32"/>
      <sheetName val="de4ail_G-132"/>
      <sheetName val="sobha_mennn_ac32"/>
      <sheetName val="C_&amp;ix_asst32"/>
      <sheetName val="_x005f_x0003_dpl_oth_Lia`32"/>
      <sheetName val="TBAL9697__x005f_x000d_grotp_wise_32"/>
      <sheetName val="St_co_91_5lvl32"/>
      <sheetName val="Labor_abs-NMR32"/>
      <sheetName val="3�AL9697_-group_wise__onpl32"/>
      <sheetName val="INPUT_SHEET32"/>
      <sheetName val="Sun_E_Type32"/>
      <sheetName val="Fin_Sum32"/>
      <sheetName val="CORPN_O?T32"/>
      <sheetName val="Stress_Calculation32"/>
      <sheetName val="CORPN_O_x005f_x0000_T32"/>
      <sheetName val="SUPPLY_-Sanitary_Fixtures32"/>
      <sheetName val="ITEMS_FOR_CIVIL_TENDER32"/>
      <sheetName val="TBAL9697__x000a_grotp_wise_32"/>
      <sheetName val="CORPN_O32"/>
      <sheetName val="labour_coeff30"/>
      <sheetName val="CORPN_O_T32"/>
      <sheetName val="TBAL9697__grotp_wise_69"/>
      <sheetName val="Shuttering_Analysis30"/>
      <sheetName val="General_P+M30"/>
      <sheetName val="Curing_Analysis_30"/>
      <sheetName val="Concrete_P+M_(_RMC_)30"/>
      <sheetName val="P+M_(_SMC_)30"/>
      <sheetName val="P+M_-EW30"/>
      <sheetName val="Cat_A_Change_Control30"/>
      <sheetName val="Break_up_Sheet30"/>
      <sheetName val="Summary_of_P_&amp;_M30"/>
      <sheetName val="P&amp;L_-_AD30"/>
      <sheetName val="_x005f_x005f_x005f_x0003_dpl_oth_Lia`32"/>
      <sheetName val="TBAL9697__x005f_x005f_x005f_x000d_grotp_w32"/>
      <sheetName val="Fin__Assumpt__-_Sensitivities30"/>
      <sheetName val="LOAD_SHEET_30"/>
      <sheetName val="Fill_this_out_first___30"/>
      <sheetName val="Labour_productivity30"/>
      <sheetName val="RCC,Ret__Wall30"/>
      <sheetName val="Area_&amp;_Cate__Master30"/>
      <sheetName val="DG_32"/>
      <sheetName val="Bill_No_530"/>
      <sheetName val="Sheet_130"/>
      <sheetName val="3BPA00132-5-3_W_plan_HVPNL30"/>
      <sheetName val="Mix_Design30"/>
      <sheetName val="Fee_Rate_Summary30"/>
      <sheetName val="Name_List30"/>
      <sheetName val="BOQ_(2)30"/>
      <sheetName val="DLC_lookups30"/>
      <sheetName val="Quote_Sheet30"/>
      <sheetName val="d-safe_DELUXE30"/>
      <sheetName val="Works_-_Quote_Sheet30"/>
      <sheetName val="IO_LIST30"/>
      <sheetName val="TBAL9697__x005f_x000d_grotp_wis30"/>
      <sheetName val="TBAL9697__grotp_wise_70"/>
      <sheetName val="FITZ_MORT_9430"/>
      <sheetName val="Structure_Bills_Qty30"/>
      <sheetName val="11B_30"/>
      <sheetName val="TBAL9697__x005f_x000a_grotp_wise_30"/>
      <sheetName val="Driveway_Beams30"/>
      <sheetName val="ISO_Reconcilation_Statment30"/>
      <sheetName val="AVG_pur_rate30"/>
      <sheetName val="Detail_1A30"/>
      <sheetName val="Break_Dw30"/>
      <sheetName val="CORPN_O_x005f_x005f_x005f_x0000_T30"/>
      <sheetName val="220_11__BS_30"/>
      <sheetName val="NLD_-_Assum30"/>
      <sheetName val="Cash_Flow_Input_Data_ISC30"/>
      <sheetName val="BLOCK-A_(MEA_SHEET)30"/>
      <sheetName val="Form_630"/>
      <sheetName val="acevsSp_(ABC)30"/>
      <sheetName val="A_O_R_30"/>
      <sheetName val="LIST_OF_MAKES30"/>
      <sheetName val="Intro_30"/>
      <sheetName val="TBAL9697__x005f_x005f_x005f_x005f_x005f_x005f_x30"/>
      <sheetName val="Assumption_Inputs13"/>
      <sheetName val="Civil_Works3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2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L_Oth_Bo31"/>
      <sheetName val="3‰AL9697_-group_wise__onpl31"/>
      <sheetName val="Civil_Boq31"/>
      <sheetName val="Project-Material_30"/>
      <sheetName val="Staff_Acco_31"/>
      <sheetName val="SITE_OVERHEADS31"/>
      <sheetName val="Boq_Block_A30"/>
      <sheetName val="PRECAST_lightconc-II31"/>
      <sheetName val="1__PayRec30"/>
      <sheetName val="Cashflow_projection30"/>
      <sheetName val="SPT_vs_PHI30"/>
      <sheetName val="Blr_hire30"/>
      <sheetName val="key_dates30"/>
      <sheetName val="ino4t_conso,-nov30"/>
      <sheetName val="(nout_co,sol_(2)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Labor_abs-NMR30"/>
      <sheetName val="3�AL9697_-group_wise__onpl30"/>
      <sheetName val="INPUT_SHEET30"/>
      <sheetName val="Sun_E_Type30"/>
      <sheetName val="Fin_Sum30"/>
      <sheetName val="CORPN_O?T30"/>
      <sheetName val="Stress_Calculation30"/>
      <sheetName val="CORPN_O_x005f_x0000_T30"/>
      <sheetName val="SUPPLY_-Sanitary_Fixtures30"/>
      <sheetName val="ITEMS_FOR_CIVIL_TENDER30"/>
      <sheetName val="TBAL9697__x000a_grotp_wise_30"/>
      <sheetName val="CORPN_O30"/>
      <sheetName val="labour_coeff28"/>
      <sheetName val="CORPN_O_T30"/>
      <sheetName val="TBAL9697__grotp_wise_64"/>
      <sheetName val="Shuttering_Analysis28"/>
      <sheetName val="General_P+M28"/>
      <sheetName val="Curing_Analysis_28"/>
      <sheetName val="Concrete_P+M_(_RMC_)28"/>
      <sheetName val="P+M_(_SMC_)28"/>
      <sheetName val="P+M_-EW28"/>
      <sheetName val="Cat_A_Change_Control28"/>
      <sheetName val="Break_up_Sheet28"/>
      <sheetName val="Summary_of_P_&amp;_M28"/>
      <sheetName val="DG_30"/>
      <sheetName val="P&amp;L_-_AD28"/>
      <sheetName val="_x005f_x005f_x005f_x0003_dpl_oth_Lia`30"/>
      <sheetName val="TBAL9697__x005f_x005f_x005f_x000d_grotp_w30"/>
      <sheetName val="Fin__Assumpt__-_Sensitivities28"/>
      <sheetName val="LOAD_SHEET_28"/>
      <sheetName val="Fill_this_out_first___28"/>
      <sheetName val="Labour_productivity28"/>
      <sheetName val="RCC,Ret__Wall28"/>
      <sheetName val="Area_&amp;_Cate__Master28"/>
      <sheetName val="Bill_No_528"/>
      <sheetName val="Sheet_128"/>
      <sheetName val="3BPA00132-5-3_W_plan_HVPNL28"/>
      <sheetName val="Mix_Design28"/>
      <sheetName val="Fee_Rate_Summary28"/>
      <sheetName val="Name_List28"/>
      <sheetName val="BOQ_(2)28"/>
      <sheetName val="DLC_lookups28"/>
      <sheetName val="Quote_Sheet28"/>
      <sheetName val="d-safe_DELUXE28"/>
      <sheetName val="Works_-_Quote_Sheet28"/>
      <sheetName val="IO_LIST28"/>
      <sheetName val="TBAL9697__x005f_x000d_grotp_wis28"/>
      <sheetName val="TBAL9697__grotp_wise_65"/>
      <sheetName val="FITZ_MORT_9428"/>
      <sheetName val="Structure_Bills_Qty28"/>
      <sheetName val="11B_28"/>
      <sheetName val="TBAL9697__x005f_x000a_grotp_wise_28"/>
      <sheetName val="Driveway_Beams28"/>
      <sheetName val="ISO_Reconcilation_Statment28"/>
      <sheetName val="AVG_pur_rate28"/>
      <sheetName val="Detail_1A28"/>
      <sheetName val="Break_Dw28"/>
      <sheetName val="CORPN_O_x005f_x005f_x005f_x0000_T28"/>
      <sheetName val="220_11__BS_28"/>
      <sheetName val="NLD_-_Assum28"/>
      <sheetName val="Cash_Flow_Input_Data_ISC28"/>
      <sheetName val="BLOCK-A_(MEA_SHEET)28"/>
      <sheetName val="Form_628"/>
      <sheetName val="acevsSp_(ABC)28"/>
      <sheetName val="A_O_R_28"/>
      <sheetName val="LIST_OF_MAKES28"/>
      <sheetName val="Intro_28"/>
      <sheetName val="TBAL9697__x005f_x005f_x005f_x005f_x005f_x005f_x28"/>
      <sheetName val="Assumption_Inputs11"/>
      <sheetName val="Civil_Works28"/>
      <sheetName val="Section_Catalogue6"/>
      <sheetName val="Mat_-Rates28"/>
      <sheetName val="DETAILED__BOQ28"/>
      <sheetName val="CABLE_DATA28"/>
      <sheetName val="Tender_Summary11"/>
      <sheetName val="Legal_Risk_Analysis28"/>
      <sheetName val="tie_beam6"/>
      <sheetName val="General_input3"/>
      <sheetName val="6_053"/>
      <sheetName val="Abstract_Sheet3"/>
      <sheetName val="Boq-_Civil3"/>
      <sheetName val="TBAL9697__grotp_wise_66"/>
      <sheetName val="TBAL9697__grotp_wise_116"/>
      <sheetName val="Excess_Calc3"/>
      <sheetName val="Site_Dev_BOQ4"/>
      <sheetName val="PO_Payroll3"/>
      <sheetName val="Deduction_of_assets4"/>
      <sheetName val="CORPN_O_x005f_x005f_x005f_x005f_x005f_x005f_x0003"/>
      <sheetName val="TBAL9697__x005f_x005f_x005f_x000a_grotp_wi3"/>
      <sheetName val="BOQ_3"/>
      <sheetName val="INDIGINEOUS_ITEMS_3"/>
      <sheetName val="COP_Final3"/>
      <sheetName val="Elect_4"/>
      <sheetName val="Detail_In_Door_Stad3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L_Oth_Bo30"/>
      <sheetName val="3‰AL9697_-group_wise__onpl30"/>
      <sheetName val="Civil_Boq30"/>
      <sheetName val="Project-Material_29"/>
      <sheetName val="Staff_Acco_30"/>
      <sheetName val="SITE_OVERHEADS30"/>
      <sheetName val="Boq_Block_A29"/>
      <sheetName val="PRECAST_lightconc-II30"/>
      <sheetName val="1__PayRec29"/>
      <sheetName val="Cashflow_projection29"/>
      <sheetName val="SPT_vs_PHI29"/>
      <sheetName val="Blr_hire29"/>
      <sheetName val="key_dates29"/>
      <sheetName val="ino4t_conso,-nov29"/>
      <sheetName val="(nout_co,sol_(2)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Labor_abs-NMR29"/>
      <sheetName val="3�AL9697_-group_wise__onpl29"/>
      <sheetName val="INPUT_SHEET29"/>
      <sheetName val="Sun_E_Type29"/>
      <sheetName val="Fin_Sum29"/>
      <sheetName val="CORPN_O?T29"/>
      <sheetName val="Stress_Calculation29"/>
      <sheetName val="CORPN_O_x005f_x0000_T29"/>
      <sheetName val="SUPPLY_-Sanitary_Fixtures29"/>
      <sheetName val="ITEMS_FOR_CIVIL_TENDER29"/>
      <sheetName val="TBAL9697__x000a_grotp_wise_29"/>
      <sheetName val="CORPN_O29"/>
      <sheetName val="labour_coeff27"/>
      <sheetName val="CORPN_O_T29"/>
      <sheetName val="TBAL9697__grotp_wise_58"/>
      <sheetName val="Shuttering_Analysis27"/>
      <sheetName val="General_P+M27"/>
      <sheetName val="Curing_Analysis_27"/>
      <sheetName val="Concrete_P+M_(_RMC_)27"/>
      <sheetName val="P+M_(_SMC_)27"/>
      <sheetName val="P+M_-EW27"/>
      <sheetName val="Cat_A_Change_Control27"/>
      <sheetName val="Break_up_Sheet27"/>
      <sheetName val="Summary_of_P_&amp;_M27"/>
      <sheetName val="DG_29"/>
      <sheetName val="P&amp;L_-_AD27"/>
      <sheetName val="_x005f_x005f_x005f_x0003_dpl_oth_Lia`29"/>
      <sheetName val="TBAL9697__x005f_x005f_x005f_x000d_grotp_w29"/>
      <sheetName val="Fin__Assumpt__-_Sensitivities27"/>
      <sheetName val="LOAD_SHEET_27"/>
      <sheetName val="Fill_this_out_first___27"/>
      <sheetName val="Labour_productivity27"/>
      <sheetName val="RCC,Ret__Wall27"/>
      <sheetName val="Area_&amp;_Cate__Master27"/>
      <sheetName val="Bill_No_527"/>
      <sheetName val="Sheet_127"/>
      <sheetName val="3BPA00132-5-3_W_plan_HVPNL27"/>
      <sheetName val="Mix_Design27"/>
      <sheetName val="Fee_Rate_Summary27"/>
      <sheetName val="Name_List27"/>
      <sheetName val="BOQ_(2)27"/>
      <sheetName val="DLC_lookups27"/>
      <sheetName val="Quote_Sheet27"/>
      <sheetName val="d-safe_DELUXE27"/>
      <sheetName val="Works_-_Quote_Sheet27"/>
      <sheetName val="IO_LIST27"/>
      <sheetName val="TBAL9697__x005f_x000d_grotp_wis27"/>
      <sheetName val="TBAL9697__grotp_wise_59"/>
      <sheetName val="FITZ_MORT_9427"/>
      <sheetName val="Structure_Bills_Qty27"/>
      <sheetName val="11B_27"/>
      <sheetName val="TBAL9697__x005f_x000a_grotp_wise_27"/>
      <sheetName val="Driveway_Beams27"/>
      <sheetName val="ISO_Reconcilation_Statment27"/>
      <sheetName val="AVG_pur_rate27"/>
      <sheetName val="Detail_1A27"/>
      <sheetName val="Break_Dw27"/>
      <sheetName val="CORPN_O_x005f_x005f_x005f_x0000_T27"/>
      <sheetName val="220_11__BS_27"/>
      <sheetName val="NLD_-_Assum27"/>
      <sheetName val="Cash_Flow_Input_Data_ISC27"/>
      <sheetName val="BLOCK-A_(MEA_SHEET)27"/>
      <sheetName val="Form_627"/>
      <sheetName val="acevsSp_(ABC)27"/>
      <sheetName val="A_O_R_27"/>
      <sheetName val="LIST_OF_MAKES27"/>
      <sheetName val="Intro_27"/>
      <sheetName val="TBAL9697__x005f_x005f_x005f_x005f_x005f_x005f_x27"/>
      <sheetName val="Assumption_Inputs10"/>
      <sheetName val="Civil_Works27"/>
      <sheetName val="CORPN_O_T27"/>
      <sheetName val="Sheet_125"/>
      <sheetName val="3BPA00132-5-3_W_plan_HVPNL25"/>
      <sheetName val="Mix_Design25"/>
      <sheetName val="FITZ_MORT_9425"/>
      <sheetName val="ISO_Reconcilation_Statment25"/>
      <sheetName val="AVG_pur_rate25"/>
      <sheetName val="NLD_-_Assum25"/>
      <sheetName val="Cash_Flow_Input_Data_ISC25"/>
      <sheetName val="BLOCK-A_(MEA_SHEET)25"/>
      <sheetName val="Form_625"/>
      <sheetName val="acevsSp_(ABC)25"/>
      <sheetName val="A_O_R_25"/>
      <sheetName val="LIST_OF_MAKES25"/>
      <sheetName val="Intro_25"/>
      <sheetName val="TBAL9697__x005f_x005f_x005f_x005f_x005f_x005f_x25"/>
      <sheetName val="Assumption_Inputs8"/>
      <sheetName val="Civil_Works25"/>
      <sheetName val="Mat_-Rates25"/>
      <sheetName val="DETAILED__BOQ25"/>
      <sheetName val="CABLE_DATA25"/>
      <sheetName val="Tender_Summary8"/>
      <sheetName val="Legal_Risk_Analysis25"/>
      <sheetName val="General_input"/>
      <sheetName val="6_05"/>
      <sheetName val="Abstract_Sheet"/>
      <sheetName val="Boq-_Civil"/>
      <sheetName val="TBAL9697__grotp_wise_52"/>
      <sheetName val="TBAL9697__grotp_wise_110"/>
      <sheetName val="Site_Dev_BOQ1"/>
      <sheetName val="PO_Payroll"/>
      <sheetName val="Deduction_of_assets1"/>
      <sheetName val="BOQ_"/>
      <sheetName val="COP_Final"/>
      <sheetName val="Elect_1"/>
      <sheetName val="Detail_In_Door_Stad"/>
      <sheetName val="TBAL9697__x000a_grotp_wis"/>
      <sheetName val="SPILL_OVER"/>
      <sheetName val="Data_sheet"/>
      <sheetName val="Per_Unit"/>
      <sheetName val="Pacakges_split"/>
      <sheetName val="Main_Gate_House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Gen_Info"/>
      <sheetName val="P_&amp;_M"/>
      <sheetName val="MS_Items"/>
      <sheetName val="AutoOpen_Stub_Data"/>
      <sheetName val="Material_"/>
      <sheetName val="Extra_Item"/>
      <sheetName val="Labour_&amp;_Plant"/>
      <sheetName val="Debits_as_on_12_04_08"/>
      <sheetName val="TBAL9697__x005f_x005f_x001"/>
      <sheetName val="CORPN_O_x005f_x005f_x00001"/>
      <sheetName val="TBAL9697__x005f_x000a_grotp_wis1"/>
      <sheetName val="fa-pl_&amp;_myy_x00"/>
      <sheetName val="Labor_abs-PW"/>
      <sheetName val="Customize_Your_Purchase_Order"/>
      <sheetName val="fa-pl_&amp;_myy_x005f_x000b__x005f_x000b__x00"/>
      <sheetName val="Base_Assumptions"/>
      <sheetName val="_COP_100%"/>
      <sheetName val="TBAL9697__grotp_wise_251"/>
      <sheetName val="TBAL9697__grotp_wise_261"/>
      <sheetName val="TBAL9697_-group_wise_sdpl"/>
      <sheetName val="Lintel_Beam_104_70_(GF)__"/>
      <sheetName val="_"/>
      <sheetName val="Contract_Night_Staff"/>
      <sheetName val="Contract_Day_Staff"/>
      <sheetName val="Day_Shift"/>
      <sheetName val="Night_Shift"/>
      <sheetName val="lineby_line_consolidation"/>
      <sheetName val="Area_Statement"/>
      <sheetName val="Risk_Analysis"/>
      <sheetName val="SITE_DEVELOPMENT"/>
      <sheetName val="Material_Rate"/>
      <sheetName val="Rate_analysis"/>
      <sheetName val="Approved_MTD_Proj_#'s"/>
      <sheetName val="9__Package_split_-_Cost_"/>
      <sheetName val="Project_Budget_Worksheet"/>
      <sheetName val="CORPN_O_x005f_x005f_x005f"/>
      <sheetName val="DDETABLE_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L_Oth_Bo29"/>
      <sheetName val="3‰AL9697_-group_wise__onpl29"/>
      <sheetName val="Civil_Boq29"/>
      <sheetName val="Project-Material_28"/>
      <sheetName val="Staff_Acco_29"/>
      <sheetName val="SITE_OVERHEADS29"/>
      <sheetName val="Boq_Block_A28"/>
      <sheetName val="PRECAST_lightconc-II29"/>
      <sheetName val="1__PayRec28"/>
      <sheetName val="Cashflow_projection28"/>
      <sheetName val="SPT_vs_PHI28"/>
      <sheetName val="Blr_hire28"/>
      <sheetName val="key_dates28"/>
      <sheetName val="ino4t_conso,-nov28"/>
      <sheetName val="(nout_co,sol_(2)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Labor_abs-NMR28"/>
      <sheetName val="3�AL9697_-group_wise__onpl28"/>
      <sheetName val="INPUT_SHEET28"/>
      <sheetName val="Sun_E_Type28"/>
      <sheetName val="Fin_Sum28"/>
      <sheetName val="CORPN_O?T28"/>
      <sheetName val="Stress_Calculation28"/>
      <sheetName val="CORPN_O_x005f_x0000_T28"/>
      <sheetName val="SUPPLY_-Sanitary_Fixtures28"/>
      <sheetName val="ITEMS_FOR_CIVIL_TENDER28"/>
      <sheetName val="TBAL9697__x000a_grotp_wise_28"/>
      <sheetName val="CORPN_O28"/>
      <sheetName val="labour_coeff26"/>
      <sheetName val="CORPN_O_T28"/>
      <sheetName val="TBAL9697__grotp_wise_54"/>
      <sheetName val="Shuttering_Analysis26"/>
      <sheetName val="General_P+M26"/>
      <sheetName val="Curing_Analysis_26"/>
      <sheetName val="Concrete_P+M_(_RMC_)26"/>
      <sheetName val="P+M_(_SMC_)26"/>
      <sheetName val="P+M_-EW26"/>
      <sheetName val="Cat_A_Change_Control26"/>
      <sheetName val="Break_up_Sheet26"/>
      <sheetName val="Summary_of_P_&amp;_M26"/>
      <sheetName val="DG_28"/>
      <sheetName val="P&amp;L_-_AD26"/>
      <sheetName val="_x005f_x005f_x005f_x0003_dpl_oth_Lia`28"/>
      <sheetName val="TBAL9697__x005f_x005f_x005f_x000d_grotp_w28"/>
      <sheetName val="Fin__Assumpt__-_Sensitivities26"/>
      <sheetName val="LOAD_SHEET_26"/>
      <sheetName val="Fill_this_out_first___26"/>
      <sheetName val="Labour_productivity26"/>
      <sheetName val="RCC,Ret__Wall26"/>
      <sheetName val="Area_&amp;_Cate__Master26"/>
      <sheetName val="Bill_No_526"/>
      <sheetName val="Sheet_126"/>
      <sheetName val="3BPA00132-5-3_W_plan_HVPNL26"/>
      <sheetName val="Mix_Design26"/>
      <sheetName val="Fee_Rate_Summary26"/>
      <sheetName val="Name_List26"/>
      <sheetName val="BOQ_(2)26"/>
      <sheetName val="DLC_lookups26"/>
      <sheetName val="Quote_Sheet26"/>
      <sheetName val="d-safe_DELUXE26"/>
      <sheetName val="Works_-_Quote_Sheet26"/>
      <sheetName val="IO_LIST26"/>
      <sheetName val="TBAL9697__x005f_x000d_grotp_wis26"/>
      <sheetName val="TBAL9697__grotp_wise_55"/>
      <sheetName val="FITZ_MORT_9426"/>
      <sheetName val="Structure_Bills_Qty26"/>
      <sheetName val="11B_26"/>
      <sheetName val="TBAL9697__x005f_x000a_grotp_wise_26"/>
      <sheetName val="Driveway_Beams26"/>
      <sheetName val="ISO_Reconcilation_Statment26"/>
      <sheetName val="AVG_pur_rate26"/>
      <sheetName val="Detail_1A26"/>
      <sheetName val="Break_Dw26"/>
      <sheetName val="CORPN_O_x005f_x005f_x005f_x0000_T26"/>
      <sheetName val="220_11__BS_26"/>
      <sheetName val="NLD_-_Assum26"/>
      <sheetName val="Cash_Flow_Input_Data_ISC26"/>
      <sheetName val="BLOCK-A_(MEA_SHEET)26"/>
      <sheetName val="Form_626"/>
      <sheetName val="acevsSp_(ABC)26"/>
      <sheetName val="A_O_R_26"/>
      <sheetName val="LIST_OF_MAKES26"/>
      <sheetName val="Intro_26"/>
      <sheetName val="TBAL9697__x005f_x005f_x005f_x005f_x005f_x005f_x26"/>
      <sheetName val="Assumption_Inputs9"/>
      <sheetName val="Civil_Works26"/>
      <sheetName val="Section_Catalogue4"/>
      <sheetName val="Mat_-Rates26"/>
      <sheetName val="DETAILED__BOQ26"/>
      <sheetName val="CABLE_DATA26"/>
      <sheetName val="Tender_Summary9"/>
      <sheetName val="Legal_Risk_Analysis26"/>
      <sheetName val="tie_beam4"/>
      <sheetName val="General_input1"/>
      <sheetName val="6_051"/>
      <sheetName val="Abstract_Sheet1"/>
      <sheetName val="Boq-_Civil1"/>
      <sheetName val="TBAL9697__grotp_wise_56"/>
      <sheetName val="TBAL9697__grotp_wise_112"/>
      <sheetName val="Excess_Calc1"/>
      <sheetName val="Site_Dev_BOQ2"/>
      <sheetName val="PO_Payroll1"/>
      <sheetName val="Deduction_of_assets2"/>
      <sheetName val="CORPN_O_x005f_x005f_x005f_x005f_x005f_x005f_x0001"/>
      <sheetName val="TBAL9697__x005f_x005f_x005f_x000a_grotp_wi1"/>
      <sheetName val="BOQ_1"/>
      <sheetName val="INDIGINEOUS_ITEMS_1"/>
      <sheetName val="COP_Final1"/>
      <sheetName val="Elect_2"/>
      <sheetName val="Detail_In_Door_Stad1"/>
      <sheetName val="SPILL_OVER1"/>
      <sheetName val="Data_sheet1"/>
      <sheetName val="Per_Unit1"/>
      <sheetName val="Pacakges_split1"/>
      <sheetName val="Main_Gate_House1"/>
      <sheetName val="final_abstract1"/>
      <sheetName val="Cost_summary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Gen_Info1"/>
      <sheetName val="P_&amp;_M1"/>
      <sheetName val="MS_Items1"/>
      <sheetName val="AutoOpen_Stub_Data1"/>
      <sheetName val="Material_1"/>
      <sheetName val="Extra_Item1"/>
      <sheetName val="Labour_&amp;_Plant1"/>
      <sheetName val="Debits_as_on_12_04_081"/>
      <sheetName val="Meas_-Hotel_Part1"/>
      <sheetName val="BASIC_RATES1"/>
      <sheetName val="TBAL9697__x005f_x005f_x002"/>
      <sheetName val="CORPN_O_x005f_x005f_x00002"/>
      <sheetName val="TBAL9697__x005f_x000a_grotp_wis2"/>
      <sheetName val="Labor_abs-PW1"/>
      <sheetName val="Customize_Your_Purchase_Order1"/>
      <sheetName val="fa-pl_&amp;_myy_x005f_x000b__x005f_x000b__x01"/>
      <sheetName val="Base_Assumptions1"/>
      <sheetName val="_COP_100%1"/>
      <sheetName val="TBAL9697__grotp_wise_252"/>
      <sheetName val="TBAL9697__grotp_wise_262"/>
      <sheetName val="TBAL9697_-group_wise_sdpl1"/>
      <sheetName val="Lintel_Beam_104_70_(GF)__1"/>
      <sheetName val="_1"/>
      <sheetName val="Contract_Night_Staff1"/>
      <sheetName val="Contract_Day_Staff1"/>
      <sheetName val="Day_Shift1"/>
      <sheetName val="Night_Shift1"/>
      <sheetName val="lineby_line_consolidation1"/>
      <sheetName val="Area_Statement1"/>
      <sheetName val="Risk_Analysis1"/>
      <sheetName val="SITE_DEVELOPMENT1"/>
      <sheetName val="Material_Rate1"/>
      <sheetName val="Rate_analysis1"/>
      <sheetName val="Approved_MTD_Proj_#'s1"/>
      <sheetName val="9__Package_split_-_Cost_1"/>
      <sheetName val="Project_Budget_Worksheet1"/>
      <sheetName val="CORPN_O_x005f_x005f_x005f1"/>
      <sheetName val="DDETABLE_1"/>
      <sheetName val="Section_Catalogue5"/>
      <sheetName val="Mat_-Rates27"/>
      <sheetName val="DETAILED__BOQ27"/>
      <sheetName val="CABLE_DATA27"/>
      <sheetName val="Tender_Summary10"/>
      <sheetName val="Legal_Risk_Analysis27"/>
      <sheetName val="tie_beam5"/>
      <sheetName val="General_input2"/>
      <sheetName val="6_052"/>
      <sheetName val="Abstract_Sheet2"/>
      <sheetName val="Boq-_Civil2"/>
      <sheetName val="TBAL9697__grotp_wise_60"/>
      <sheetName val="TBAL9697__grotp_wise_114"/>
      <sheetName val="Excess_Calc2"/>
      <sheetName val="Site_Dev_BOQ3"/>
      <sheetName val="PO_Payroll2"/>
      <sheetName val="Deduction_of_assets3"/>
      <sheetName val="CORPN_O_x005f_x005f_x005f_x005f_x005f_x005f_x0002"/>
      <sheetName val="TBAL9697__x005f_x005f_x005f_x000a_grotp_wi2"/>
      <sheetName val="BOQ_2"/>
      <sheetName val="INDIGINEOUS_ITEMS_2"/>
      <sheetName val="COP_Final2"/>
      <sheetName val="Elect_3"/>
      <sheetName val="Detail_In_Door_Stad2"/>
      <sheetName val="SPILL_OVER2"/>
      <sheetName val="Data_sheet2"/>
      <sheetName val="Per_Unit2"/>
      <sheetName val="Pacakges_split2"/>
      <sheetName val="Main_Gate_House2"/>
      <sheetName val="final_abstrac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Gen_Info2"/>
      <sheetName val="P_&amp;_M2"/>
      <sheetName val="MS_Items2"/>
      <sheetName val="AutoOpen_Stub_Data2"/>
      <sheetName val="Material_2"/>
      <sheetName val="Extra_Item2"/>
      <sheetName val="Labour_&amp;_Plant2"/>
      <sheetName val="Debits_as_on_12_04_082"/>
      <sheetName val="Meas_-Hotel_Part2"/>
      <sheetName val="BASIC_RATES2"/>
      <sheetName val="TBAL9697__x005f_x005f_x003"/>
      <sheetName val="CORPN_O_x005f_x005f_x00003"/>
      <sheetName val="TBAL9697__x005f_x000a_grotp_wis3"/>
      <sheetName val="Labor_abs-PW2"/>
      <sheetName val="Customize_Your_Purchase_Order2"/>
      <sheetName val="fa-pl_&amp;_myy_x005f_x000b__x005f_x000b__x02"/>
      <sheetName val="Base_Assumptions2"/>
      <sheetName val="_COP_100%2"/>
      <sheetName val="TBAL9697__grotp_wise_253"/>
      <sheetName val="TBAL9697__grotp_wise_263"/>
      <sheetName val="TBAL9697_-group_wise_sdpl2"/>
      <sheetName val="Lintel_Beam_104_70_(GF)__2"/>
      <sheetName val="_2"/>
      <sheetName val="Contract_Night_Staff2"/>
      <sheetName val="Contract_Day_Staff2"/>
      <sheetName val="Day_Shift2"/>
      <sheetName val="Night_Shift2"/>
      <sheetName val="lineby_line_consolidation2"/>
      <sheetName val="Area_Statement2"/>
      <sheetName val="Risk_Analysis2"/>
      <sheetName val="SITE_DEVELOPMENT2"/>
      <sheetName val="Material_Rate2"/>
      <sheetName val="Rate_analysis2"/>
      <sheetName val="Approved_MTD_Proj_#'s2"/>
      <sheetName val="9__Package_split_-_Cost_2"/>
      <sheetName val="Project_Budget_Worksheet2"/>
      <sheetName val="CORPN_O_x005f_x005f_x005f2"/>
      <sheetName val="DDETABLE_2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3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L_Oth_Bo32"/>
      <sheetName val="3‰AL9697_-group_wise__onpl32"/>
      <sheetName val="Civil_Boq32"/>
      <sheetName val="Project-Material_31"/>
      <sheetName val="Staff_Acco_32"/>
      <sheetName val="SITE_OVERHEADS32"/>
      <sheetName val="Boq_Block_A31"/>
      <sheetName val="PRECAST_lightconc-II32"/>
      <sheetName val="1__PayRec31"/>
      <sheetName val="Cashflow_projection31"/>
      <sheetName val="SPT_vs_PHI31"/>
      <sheetName val="Blr_hire31"/>
      <sheetName val="key_dates31"/>
      <sheetName val="ino4t_conso,-nov31"/>
      <sheetName val="(nout_co,sol_(2)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Labor_abs-NMR31"/>
      <sheetName val="3�AL9697_-group_wise__onpl31"/>
      <sheetName val="INPUT_SHEET31"/>
      <sheetName val="Sun_E_Type31"/>
      <sheetName val="Fin_Sum31"/>
      <sheetName val="CORPN_O?T31"/>
      <sheetName val="Stress_Calculation31"/>
      <sheetName val="CORPN_O_x005f_x0000_T31"/>
      <sheetName val="SUPPLY_-Sanitary_Fixtures31"/>
      <sheetName val="ITEMS_FOR_CIVIL_TENDER31"/>
      <sheetName val="TBAL9697__x000a_grotp_wise_31"/>
      <sheetName val="CORPN_O31"/>
      <sheetName val="labour_coeff29"/>
      <sheetName val="CORPN_O_T31"/>
      <sheetName val="TBAL9697__grotp_wise_67"/>
      <sheetName val="Shuttering_Analysis29"/>
      <sheetName val="General_P+M29"/>
      <sheetName val="Curing_Analysis_29"/>
      <sheetName val="Concrete_P+M_(_RMC_)29"/>
      <sheetName val="P+M_(_SMC_)29"/>
      <sheetName val="P+M_-EW29"/>
      <sheetName val="Cat_A_Change_Control29"/>
      <sheetName val="Break_up_Sheet29"/>
      <sheetName val="Summary_of_P_&amp;_M29"/>
      <sheetName val="DG_31"/>
      <sheetName val="P&amp;L_-_AD29"/>
      <sheetName val="_x005f_x005f_x005f_x0003_dpl_oth_Lia`31"/>
      <sheetName val="TBAL9697__x005f_x005f_x005f_x000d_grotp_w31"/>
      <sheetName val="Fin__Assumpt__-_Sensitivities29"/>
      <sheetName val="LOAD_SHEET_29"/>
      <sheetName val="Fill_this_out_first___29"/>
      <sheetName val="Labour_productivity29"/>
      <sheetName val="RCC,Ret__Wall29"/>
      <sheetName val="Area_&amp;_Cate__Master29"/>
      <sheetName val="Bill_No_529"/>
      <sheetName val="Sheet_129"/>
      <sheetName val="3BPA00132-5-3_W_plan_HVPNL29"/>
      <sheetName val="Mix_Design29"/>
      <sheetName val="Fee_Rate_Summary29"/>
      <sheetName val="Name_List29"/>
      <sheetName val="BOQ_(2)29"/>
      <sheetName val="DLC_lookups29"/>
      <sheetName val="Quote_Sheet29"/>
      <sheetName val="d-safe_DELUXE29"/>
      <sheetName val="Works_-_Quote_Sheet29"/>
      <sheetName val="IO_LIST29"/>
      <sheetName val="TBAL9697__x005f_x000d_grotp_wis29"/>
      <sheetName val="TBAL9697__grotp_wise_68"/>
      <sheetName val="FITZ_MORT_9429"/>
      <sheetName val="Structure_Bills_Qty29"/>
      <sheetName val="11B_29"/>
      <sheetName val="TBAL9697__x005f_x000a_grotp_wise_29"/>
      <sheetName val="Driveway_Beams29"/>
      <sheetName val="ISO_Reconcilation_Statment29"/>
      <sheetName val="AVG_pur_rate29"/>
      <sheetName val="Detail_1A29"/>
      <sheetName val="Break_Dw29"/>
      <sheetName val="CORPN_O_x005f_x005f_x005f_x0000_T29"/>
      <sheetName val="220_11__BS_29"/>
      <sheetName val="NLD_-_Assum29"/>
      <sheetName val="Cash_Flow_Input_Data_ISC29"/>
      <sheetName val="BLOCK-A_(MEA_SHEET)29"/>
      <sheetName val="Form_629"/>
      <sheetName val="acevsSp_(ABC)29"/>
      <sheetName val="A_O_R_29"/>
      <sheetName val="LIST_OF_MAKES29"/>
      <sheetName val="Intro_29"/>
      <sheetName val="TBAL9697__x005f_x005f_x005f_x005f_x005f_x005f_x29"/>
      <sheetName val="Assumption_Inputs12"/>
      <sheetName val="Civil_Works29"/>
      <sheetName val="SCHEDULE"/>
      <sheetName val="Database"/>
      <sheetName val="schedule nos"/>
      <sheetName val="Cover"/>
      <sheetName val="CORPN O_x005f"/>
      <sheetName val="ACS(1)"/>
      <sheetName val="FAS-C(4)"/>
      <sheetName val="CCTV(old)"/>
      <sheetName val="01"/>
      <sheetName val="CFForecast detail"/>
      <sheetName val="final_abstract3"/>
      <sheetName val="Meas_-Hotel_Part3"/>
      <sheetName val="Rate Analysis 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refer"/>
      <sheetName val="Service Function"/>
      <sheetName val="Basic Rate"/>
      <sheetName val="INFLUENCES ON GM"/>
      <sheetName val="Load Details(B2)"/>
      <sheetName val="BS - L+OE"/>
      <sheetName val="소상 &quot;1&quot;"/>
      <sheetName val="Cost Basis"/>
      <sheetName val="detail'02"/>
      <sheetName val="beam-reinft-IIInd floor"/>
      <sheetName val="CORPN_O_x005f"/>
      <sheetName val="TBAL9697__x005f_x000d_grotp_wi2"/>
      <sheetName val="BLK2"/>
      <sheetName val="BLK3"/>
      <sheetName val="CPT POST UPLOAD"/>
      <sheetName val="KQ Cost Controlling"/>
      <sheetName val="KQ Appropriation"/>
      <sheetName val="COLUMN-CR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Section_Catalogue22"/>
      <sheetName val="INDIGINEOUS_ITEMS_7"/>
      <sheetName val="tie_beam7"/>
      <sheetName val="Section_Catalogue25"/>
      <sheetName val="INDIGINEOUS_ITEMS_10"/>
      <sheetName val="tie_beam10"/>
      <sheetName val="Section_Catalogue24"/>
      <sheetName val="INDIGINEOUS_ITEMS_9"/>
      <sheetName val="tie_beam9"/>
      <sheetName val="Section_Catalogue23"/>
      <sheetName val="INDIGINEOUS_ITEMS_8"/>
      <sheetName val="tie_beam8"/>
      <sheetName val="Section_Catalogue26"/>
      <sheetName val="INDIGINEOUS_ITEMS_11"/>
      <sheetName val="tie_beam11"/>
      <sheetName val="ANNEXURE-A"/>
      <sheetName val="TBAL9697__grotp_䁷ise_18"/>
      <sheetName val="TBAL9697__x005f_x000d_grotp_wi4"/>
      <sheetName val="TBAL9697__x005f_x005f_x02"/>
      <sheetName val="TBAL9697__x005f_x000d_grotp_wi3"/>
      <sheetName val="TBAL9697__x005f_x005f_x01"/>
      <sheetName val="TBAL9697__x005f_x000d_grotp_wi5"/>
      <sheetName val="TBAL9697__x005f_x005f_x03"/>
      <sheetName val="TBAL9697__x005f_x000d_grotp_wi6"/>
      <sheetName val="TBAL9697__x005f_x005f_x04"/>
      <sheetName val="TBAL9697__x005f_x000d_grotp_wi7"/>
      <sheetName val="TBAL9697__x005f_x005f_x05"/>
      <sheetName val="TBAL9697__x005f_x000d_grotp_wi8"/>
      <sheetName val="TBAL9697__x005f_x005f_x06"/>
      <sheetName val="TBAL9697__x005f_x000d_grotp_wi9"/>
      <sheetName val="TBAL9697__x005f_x005f_x07"/>
      <sheetName val="TBAL9697__x005f_x000d_grotp_w10"/>
      <sheetName val="TBAL9697__x005f_x005f_x08"/>
      <sheetName val="TBAL9697__x005f_x000d_grotp_w16"/>
      <sheetName val="TBAL9697__x005f_x005f_x14"/>
      <sheetName val="TBAL9697__x005f_x000d_grotp_w12"/>
      <sheetName val="TBAL9697__x005f_x005f_x10"/>
      <sheetName val="TBAL9697__x005f_x000d_grotp_w11"/>
      <sheetName val="TBAL9697__x005f_x005f_x09"/>
      <sheetName val="TBAL9697__x005f_x000d_grotp_w13"/>
      <sheetName val="TBAL9697__x005f_x005f_x11"/>
      <sheetName val="TBAL9697__x005f_x000d_grotp_w14"/>
      <sheetName val="TBAL9697__x005f_x005f_x12"/>
      <sheetName val="TBAL9697__x005f_x000d_grotp_w15"/>
      <sheetName val="TBAL9697__x005f_x005f_x13"/>
      <sheetName val="TBAL9697__x005f_x000d_grotp_w22"/>
      <sheetName val="TBAL9697__x005f_x005f_x20"/>
      <sheetName val="TBAL9697__x005f_x000d_grotp_w17"/>
      <sheetName val="TBAL9697__x005f_x005f_x15"/>
      <sheetName val="TBAL9697__x005f_x000d_grotp_w18"/>
      <sheetName val="TBAL9697__x005f_x005f_x16"/>
      <sheetName val="TBAL9697__x005f_x000d_grotp_w19"/>
      <sheetName val="TBAL9697__x005f_x005f_x17"/>
      <sheetName val="TBAL9697__x005f_x000d_grotp_w20"/>
      <sheetName val="TBAL9697__x005f_x005f_x18"/>
      <sheetName val="TBAL9697__x005f_x000d_grotp_w21"/>
      <sheetName val="TBAL9697__x005f_x005f_x19"/>
      <sheetName val="TBAL9697__x005f_x000d_grotp_w23"/>
      <sheetName val="TBAL9697__x005f_x005f_x21"/>
      <sheetName val="TBAL9697__x005f_x000d_grotp_w24"/>
      <sheetName val="TBAL9697__x005f_x005f_x22"/>
      <sheetName val="TBAL9697__x005f_x000d_grotp_w25"/>
      <sheetName val="TBAL9697__x005f_x005f_x23"/>
      <sheetName val="TBAL9697__x005f_x000d_grotp_w26"/>
      <sheetName val="TBAL9697__x005f_x005f_x24"/>
      <sheetName val="_x005f_x0003_dpl_ot"/>
      <sheetName val="_x005f_x005f_"/>
      <sheetName val="TBAL9697__x005f_x000d_grotp_w27"/>
      <sheetName val="TBAL9697__x005f_x005f_x25"/>
      <sheetName val="TBAL9697__x005f_x000d_grotp_w29"/>
      <sheetName val="TBAL9697__x005f_x000d_grotp_w28"/>
      <sheetName val="TBAL9697__x005f_x000d_grotp_w30"/>
      <sheetName val="NPV"/>
      <sheetName val="Concourse"/>
      <sheetName val="2gii"/>
      <sheetName val="SCHEDULE OF RATES"/>
      <sheetName val="TBAL9697_ grotp_wise_27"/>
      <sheetName val="TBAL9697_ grotp_wis"/>
      <sheetName val="class &amp; category"/>
      <sheetName val="code Control Sheet"/>
      <sheetName val="Check"/>
      <sheetName val="banilad"/>
      <sheetName val="Mactan"/>
      <sheetName val="Mandaue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Location"/>
      <sheetName val="Plant"/>
      <sheetName val="2.civil-RA"/>
      <sheetName val="Cost_any"/>
      <sheetName val="Mat.Cost"/>
      <sheetName val="DCF_VDF"/>
      <sheetName val="NOPAT_VDF"/>
      <sheetName val="Invested capital_VDF"/>
      <sheetName val="WACC_VDF"/>
      <sheetName val="PV of Op Leases_VDF"/>
      <sheetName val="BOQ Distribution"/>
      <sheetName val="col-reinft1"/>
      <sheetName val="電気設備表"/>
      <sheetName val="Boiler&amp;TG"/>
      <sheetName val="ICO_budzet_97"/>
      <sheetName val="App_6"/>
      <sheetName val="TBAL9697__x000d_grotp_wis"/>
      <sheetName val="_x0003_dpl_oth_Lia`2"/>
      <sheetName val="TBAL9697__x000d_grotp_wise_2"/>
      <sheetName val="CORPN_O_x0000_T2"/>
      <sheetName val="TBAL9697__x000d_grotp_wis1"/>
      <sheetName val="_x0003_dpl_oth_Lia`4"/>
      <sheetName val="TBAL9697__x000d_grotp_wise_4"/>
      <sheetName val="CORPN_O_x0000_T4"/>
      <sheetName val="TBAL9697__x000d_grotp_wis2"/>
      <sheetName val="_x0003_dpl_oth_Lia`3"/>
      <sheetName val="TBAL9697__x000d_grotp_wise_3"/>
      <sheetName val="CORPN_O_x0000_T3"/>
      <sheetName val="_x0003_dpl_oth_Lia`5"/>
      <sheetName val="TBAL9697__x000d_grotp_wise_5"/>
      <sheetName val="CORPN_O_x0000_T5"/>
      <sheetName val="TBAL9697__x000d_grotp_wis3"/>
      <sheetName val="_x0003_dpl_oth_Lia`6"/>
      <sheetName val="TBAL9697__x000d_grotp_wise_6"/>
      <sheetName val="CORPN_O_x0000_T6"/>
      <sheetName val="TBAL9697__x000d_grotp_wis4"/>
      <sheetName val="_x0003_dpl_oth_Lia`7"/>
      <sheetName val="TBAL9697__x000d_grotp_wise_7"/>
      <sheetName val="CORPN_O_x0000_T7"/>
      <sheetName val="TBAL9697__x000d_grotp_wis5"/>
      <sheetName val="_x0003_dpl_oth_Lia`8"/>
      <sheetName val="TBAL9697__x000d_grotp_wise_8"/>
      <sheetName val="CORPN_O_x0000_T8"/>
      <sheetName val="TBAL9697__x000d_grotp_wis6"/>
      <sheetName val="_x0003_dpl_oth_Lia`9"/>
      <sheetName val="TBAL9697__x000d_grotp_wise_9"/>
      <sheetName val="CORPN_O_x0000_T9"/>
      <sheetName val="TBAL9697__x000d_grotp_wis7"/>
      <sheetName val="_x0003_dpl_oth_Lia`10"/>
      <sheetName val="TBAL9697__x000d_grotp_wise_10"/>
      <sheetName val="CORPN_O_x0000_T10"/>
      <sheetName val="TBAL9697__x000d_grotp_wis8"/>
      <sheetName val="_x0003_dpl_oth_Lia`16"/>
      <sheetName val="TBAL9697__x000d_grotp_wise_16"/>
      <sheetName val="CORPN_O_x0000_T16"/>
      <sheetName val="TBAL9697__x000d_grotp_wis14"/>
      <sheetName val="_x0003_dpl_oth_Lia`12"/>
      <sheetName val="TBAL9697__x000d_grotp_wise_12"/>
      <sheetName val="CORPN_O_x0000_T12"/>
      <sheetName val="TBAL9697__x000d_grotp_wis10"/>
      <sheetName val="_x0003_dpl_oth_Lia`11"/>
      <sheetName val="TBAL9697__x000d_grotp_wise_11"/>
      <sheetName val="CORPN_O_x0000_T11"/>
      <sheetName val="TBAL9697__x000d_grotp_wis9"/>
      <sheetName val="_x0003_dpl_oth_Lia`13"/>
      <sheetName val="TBAL9697__x000d_grotp_wise_13"/>
      <sheetName val="CORPN_O_x0000_T13"/>
      <sheetName val="TBAL9697__x000d_grotp_wis11"/>
      <sheetName val="_x0003_dpl_oth_Lia`14"/>
      <sheetName val="TBAL9697__x000d_grotp_wise_14"/>
      <sheetName val="CORPN_O_x0000_T14"/>
      <sheetName val="TBAL9697__x000d_grotp_wis12"/>
      <sheetName val="_x0003_dpl_oth_Lia`15"/>
      <sheetName val="TBAL9697__x000d_grotp_wise_15"/>
      <sheetName val="CORPN_O_x0000_T15"/>
      <sheetName val="TBAL9697__x000d_grotp_wis13"/>
      <sheetName val="_x0003_dpl_oth_Lia`22"/>
      <sheetName val="TBAL9697__x000d_grotp_wise_22"/>
      <sheetName val="CORPN_O_x0000_T22"/>
      <sheetName val="TBAL9697__x000d_grotp_wis20"/>
      <sheetName val="_x0003_dpl_oth_Lia`17"/>
      <sheetName val="TBAL9697__x000d_grotp_wise_17"/>
      <sheetName val="CORPN_O_x0000_T17"/>
      <sheetName val="TBAL9697__x000d_grotp_wis15"/>
      <sheetName val="_x0003_dpl_oth_Lia`18"/>
      <sheetName val="TBAL9697__x000d_grotp_wise_18"/>
      <sheetName val="CORPN_O_x0000_T18"/>
      <sheetName val="TBAL9697__x000d_grotp_wis16"/>
      <sheetName val="_x0003_dpl_oth_Lia`19"/>
      <sheetName val="TBAL9697__x000d_grotp_wise_19"/>
      <sheetName val="CORPN_O_x0000_T19"/>
      <sheetName val="TBAL9697__x000d_grotp_wis17"/>
      <sheetName val="_x0003_dpl_oth_Lia`20"/>
      <sheetName val="TBAL9697__x000d_grotp_wise_20"/>
      <sheetName val="CORPN_O_x0000_T20"/>
      <sheetName val="TBAL9697__x000d_grotp_wis18"/>
      <sheetName val="_x0003_dpl_oth_Lia`21"/>
      <sheetName val="TBAL9697__x000d_grotp_wise_21"/>
      <sheetName val="CORPN_O_x0000_T21"/>
      <sheetName val="TBAL9697__x000d_grotp_wis19"/>
      <sheetName val="_x0003_dpl_oth_Lia`23"/>
      <sheetName val="TBAL9697__x000d_grotp_wise_23"/>
      <sheetName val="CORPN_O_x0000_T23"/>
      <sheetName val="TBAL9697__x000d_grotp_wis21"/>
      <sheetName val="_x0003_dpl_oth_Lia`24"/>
      <sheetName val="TBAL9697__x000d_grotp_wise_24"/>
      <sheetName val="CORPN_O_x0000_T24"/>
      <sheetName val="TBAL9697__x000d_grotp_wis22"/>
      <sheetName val="_x0003_dpl_oth_Lia`25"/>
      <sheetName val="TBAL9697__x000d_grotp_wise_25"/>
      <sheetName val="CORPN_O_x0000_T25"/>
      <sheetName val="TBAL9697__x000d_grotp_wis23"/>
      <sheetName val="_x0003_dpl_oth_Lia`26"/>
      <sheetName val="TBAL9697__x000d_grotp_wise_26"/>
      <sheetName val="CORPN_O_x0000_T26"/>
      <sheetName val="TBAL9697__x000d_grotp_wis24"/>
      <sheetName val="TBAL9697 _x000a_grotp wis"/>
      <sheetName val="_x0003_dpl_oth_Lia`27"/>
      <sheetName val="TBAL9697__x000d_grotp_wise_27"/>
      <sheetName val="CORPN_O_x0000_T27"/>
      <sheetName val="TBAL9697__x000d_grotp_wis25"/>
      <sheetName val="G_1_obpl_x000"/>
      <sheetName val="TBAL9697 _x00"/>
      <sheetName val="TBL9798_x0010"/>
      <sheetName val="CORPN O_x0000"/>
      <sheetName val="G_1_obpl_x005"/>
      <sheetName val="TBAL9697__x00"/>
      <sheetName val="GR.slab-reinft"/>
      <sheetName val="ELEC2071"/>
      <sheetName val="SUBSCRIPTION"/>
      <sheetName val="INDEX"/>
      <sheetName val="AREAS"/>
      <sheetName val="crs"/>
      <sheetName val="PIMS"/>
      <sheetName val="Indirect expenses"/>
      <sheetName val="Sheet 2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GN-ST-10"/>
      <sheetName val="AoR Finishing"/>
      <sheetName val="CABLERET"/>
      <sheetName val="fa-pl &amp; myy_x005f_x000b__"/>
      <sheetName val="Day2works"/>
      <sheetName val="ecc_res"/>
      <sheetName val="Cash2"/>
      <sheetName val="glsrpt129909e"/>
      <sheetName val="Layer Table"/>
      <sheetName val="RBFC-BS"/>
      <sheetName val="TBAL9697  grotp wis"/>
      <sheetName val="purpose&amp;input"/>
      <sheetName val="TB9798OBPL06_(2)35"/>
      <sheetName val="CORPN_OCT35"/>
      <sheetName val="inout_consol-nov35"/>
      <sheetName val="inout_consol_(2)35"/>
      <sheetName val="AS_ON_DT_EXPS_Mar35"/>
      <sheetName val="fa-pl_&amp;_mach-site35"/>
      <sheetName val="fa_off_eqp35"/>
      <sheetName val="fa_fur&amp;_fix35"/>
      <sheetName val="fa-pl_&amp;_mach-Off35"/>
      <sheetName val="B_Equity-sdpl_INC35"/>
      <sheetName val="inout_consol_wkg35"/>
      <sheetName val="inout_consol_WKNG35"/>
      <sheetName val="B_Sheet_9735"/>
      <sheetName val="P&amp;L_97_35"/>
      <sheetName val="B_Sheet_97-BEXP35"/>
      <sheetName val="P&amp;L_97_-BEXP35"/>
      <sheetName val="consol_flows35"/>
      <sheetName val="sdpl_oth_Liab35"/>
      <sheetName val="obpl-oth_liab35"/>
      <sheetName val="G_land_advance35"/>
      <sheetName val="I-Wip-ot_(2)35"/>
      <sheetName val="detail_WIP_(2)35"/>
      <sheetName val="detail_G-135"/>
      <sheetName val="sobha_menon_ac35"/>
      <sheetName val="pnc_ac35"/>
      <sheetName val="fix_-p_&amp;_M_-SCC35"/>
      <sheetName val="C_fix_asst35"/>
      <sheetName val="D_fix_asst_scdl_35"/>
      <sheetName val="creditors_tb_obpl35"/>
      <sheetName val="TBAL9697_-group_wise__sdpl44"/>
      <sheetName val="TBAL9697_-group_wise_34"/>
      <sheetName val="crs_-G-134"/>
      <sheetName val="TBAL9697_-group_wise__onpl34"/>
      <sheetName val="B_Sheet_97-OBPL34"/>
      <sheetName val="B_Sheet_97_sdpl34"/>
      <sheetName val="TBAL9697_-group_wise__sdpl234"/>
      <sheetName val="inout_consol_jan34"/>
      <sheetName val="consol_flow34"/>
      <sheetName val="D_Loan__Prom34"/>
      <sheetName val="E_Bank_Loan34"/>
      <sheetName val="G_work_Cap34"/>
      <sheetName val="H_land_adv-dec34"/>
      <sheetName val="J_Con_WIP34"/>
      <sheetName val="detail_J34"/>
      <sheetName val="L_Oth_Co34"/>
      <sheetName val="K_fix_asst__34"/>
      <sheetName val="C_fix_asst-SDPL_34"/>
      <sheetName val="TBAL9697__group_wise__sdpl34"/>
      <sheetName val="inout_consol_okg34"/>
      <sheetName val="detail_OIP_(2)34"/>
      <sheetName val="D_fix_ysst_scdl_34"/>
      <sheetName val="cre`itors_tb_obpl34"/>
      <sheetName val="3AL9697_-group_wise__onpl34"/>
      <sheetName val="L_Oth_Bo34"/>
      <sheetName val="3‰AL9697_-group_wise__onpl34"/>
      <sheetName val="Civil_Boq34"/>
      <sheetName val="Project-Material_33"/>
      <sheetName val="Staff_Acco_34"/>
      <sheetName val="SITE_OVERHEADS34"/>
      <sheetName val="Boq_Block_A33"/>
      <sheetName val="PRECAST_lightconc-II34"/>
      <sheetName val="1__PayRec33"/>
      <sheetName val="Cashflow_projection33"/>
      <sheetName val="SPT_vs_PHI33"/>
      <sheetName val="Blr_hire33"/>
      <sheetName val="key_dates33"/>
      <sheetName val="Labor_abs-NMR33"/>
      <sheetName val="CORPN_OT2"/>
      <sheetName val="ino4t_conso,-nov33"/>
      <sheetName val="(nout_co,sol_(2)33"/>
      <sheetName val="dpl_oth_Lia`2"/>
      <sheetName val="_bpl,oth_lia_33"/>
      <sheetName val="G_,and_adv_nce33"/>
      <sheetName val="I,Wip-ot__2)33"/>
      <sheetName val="det!il_WIP_(2)33"/>
      <sheetName val="de4ail_G-133"/>
      <sheetName val="sobha_mennn_ac33"/>
      <sheetName val="C_&amp;ix_asst33"/>
      <sheetName val="_x005f_x0003_dpl_oth_Lia`33"/>
      <sheetName val="TBAL9697__x005f_x000d_grotp_wise_33"/>
      <sheetName val="St_co_91_5lvl33"/>
      <sheetName val="3�AL9697_-group_wise__onpl33"/>
      <sheetName val="INPUT_SHEET33"/>
      <sheetName val="Sun_E_Type33"/>
      <sheetName val="Fin_Sum33"/>
      <sheetName val="CORPN_O?T33"/>
      <sheetName val="Stress_Calculation33"/>
      <sheetName val="CORPN_O_x005f_x0000_T33"/>
      <sheetName val="SUPPLY_-Sanitary_Fixtures33"/>
      <sheetName val="ITEMS_FOR_CIVIL_TENDER33"/>
      <sheetName val="TBAL9697__x000a_grotp_wise_33"/>
      <sheetName val="CORPN_O33"/>
      <sheetName val="labour_coeff31"/>
      <sheetName val="CORPN_O_T33"/>
      <sheetName val="TBAL9697__grotp_wise_74"/>
      <sheetName val="DG_33"/>
      <sheetName val="Shuttering_Analysis31"/>
      <sheetName val="General_P+M31"/>
      <sheetName val="Curing_Analysis_31"/>
      <sheetName val="Concrete_P+M_(_RMC_)31"/>
      <sheetName val="P+M_(_SMC_)31"/>
      <sheetName val="P+M_-EW31"/>
      <sheetName val="Cat_A_Change_Control31"/>
      <sheetName val="Break_up_Sheet31"/>
      <sheetName val="Summary_of_P_&amp;_M31"/>
      <sheetName val="P&amp;L_-_AD31"/>
      <sheetName val="_x005f_x005f_x005f_x0003_dpl_oth_Lia`33"/>
      <sheetName val="TBAL9697__x005f_x005f_x005f_x000d_grotp_w33"/>
      <sheetName val="Fin__Assumpt__-_Sensitivities31"/>
      <sheetName val="LOAD_SHEET_31"/>
      <sheetName val="Fill_this_out_first___31"/>
      <sheetName val="Labour_productivity31"/>
      <sheetName val="RCC,Ret__Wall31"/>
      <sheetName val="Area_&amp;_Cate__Master31"/>
      <sheetName val="Bill_No_531"/>
      <sheetName val="Sheet_131"/>
      <sheetName val="3BPA00132-5-3_W_plan_HVPNL31"/>
      <sheetName val="Mix_Design31"/>
      <sheetName val="Fee_Rate_Summary31"/>
      <sheetName val="Name_List31"/>
      <sheetName val="BOQ_(2)31"/>
      <sheetName val="FITZ_MORT_9431"/>
      <sheetName val="DLC_lookups31"/>
      <sheetName val="Quote_Sheet31"/>
      <sheetName val="d-safe_DELUXE31"/>
      <sheetName val="Works_-_Quote_Sheet31"/>
      <sheetName val="IO_LIST31"/>
      <sheetName val="TBAL9697__x005f_x000d_grotp_wis31"/>
      <sheetName val="TBAL9697__grotp_wise_75"/>
      <sheetName val="Structure_Bills_Qty31"/>
      <sheetName val="11B_31"/>
      <sheetName val="TBAL9697__x005f_x000a_grotp_wise_31"/>
      <sheetName val="Driveway_Beams31"/>
      <sheetName val="ISO_Reconcilation_Statment31"/>
      <sheetName val="AVG_pur_rate31"/>
      <sheetName val="Detail_1A31"/>
      <sheetName val="Break_Dw31"/>
      <sheetName val="CORPN_O_x005f_x005f_x005f_x0000_T31"/>
      <sheetName val="220_11__BS_31"/>
      <sheetName val="NLD_-_Assum31"/>
      <sheetName val="Cash_Flow_Input_Data_ISC31"/>
      <sheetName val="BLOCK-A_(MEA_SHEET)31"/>
      <sheetName val="Form_631"/>
      <sheetName val="acevsSp_(ABC)31"/>
      <sheetName val="A_O_R_31"/>
      <sheetName val="LIST_OF_MAKES31"/>
      <sheetName val="Intro_31"/>
      <sheetName val="TBAL9697__x005f_x005f_x005f_x005f_x005f_x005f_x31"/>
      <sheetName val="Assumption_Inputs14"/>
      <sheetName val="Civil_Works31"/>
      <sheetName val="Mat_-Rates29"/>
      <sheetName val="DETAILED__BOQ29"/>
      <sheetName val="CABLE_DATA29"/>
      <sheetName val="Tender_Summary12"/>
      <sheetName val="Legal_Risk_Analysis29"/>
      <sheetName val="General_input4"/>
      <sheetName val="6_054"/>
      <sheetName val="Abstract_Sheet4"/>
      <sheetName val="Boq-_Civil4"/>
      <sheetName val="TBAL9697__grotp_wise_76"/>
      <sheetName val="TBAL9697__grotp_wise_117"/>
      <sheetName val="Excess_Calc4"/>
      <sheetName val="Site_Dev_BOQ5"/>
      <sheetName val="PO_Payroll4"/>
      <sheetName val="Deduction_of_assets5"/>
      <sheetName val="CORPN_O_x005f_x005f_x005f_x005f_x005f_x005f_x0004"/>
      <sheetName val="TBAL9697__x005f_x005f_x005f_x000a_grotp_wi4"/>
      <sheetName val="BOQ_4"/>
      <sheetName val="COP_Final4"/>
      <sheetName val="Elect_5"/>
      <sheetName val="Detail_In_Door_Stad4"/>
      <sheetName val="SPILL_OVER3"/>
      <sheetName val="Data_sheet3"/>
      <sheetName val="Per_Unit3"/>
      <sheetName val="Pacakges_split3"/>
      <sheetName val="Main_Gate_House3"/>
      <sheetName val="Cost_summary3"/>
      <sheetName val="TBAL9697__grotp_wise_216"/>
      <sheetName val="TBAL9697__grotp_wise_413"/>
      <sheetName val="TBAL9697__grotp_wise_313"/>
      <sheetName val="TBAL9697__grotp_wise_511"/>
      <sheetName val="TBAL9697__grotp_wise_610"/>
      <sheetName val="TBAL9697__grotp_wise_77"/>
      <sheetName val="TBAL9697__grotp_wise_84"/>
      <sheetName val="TBAL9697__grotp_wise_94"/>
      <sheetName val="TBAL9697__grotp_wise_104"/>
      <sheetName val="TBAL9697__grotp_wise_164"/>
      <sheetName val="TBAL9697__grotp_wise_124"/>
      <sheetName val="TBAL9697__grotp_wise_118"/>
      <sheetName val="TBAL9697__grotp_wise_134"/>
      <sheetName val="TBAL9697__grotp_wise_144"/>
      <sheetName val="TBAL9697__grotp_wise_154"/>
      <sheetName val="TBAL9697__grotp_wise_224"/>
      <sheetName val="TBAL9697__grotp_wise_174"/>
      <sheetName val="TBAL9697__grotp_wise_184"/>
      <sheetName val="TBAL9697__grotp_wise_194"/>
      <sheetName val="TBAL9697__grotp_wise_204"/>
      <sheetName val="TBAL9697__grotp_wise_217"/>
      <sheetName val="TBAL9697__grotp_wise_234"/>
      <sheetName val="TBAL9697__grotp_wise_244"/>
      <sheetName val="Gen_Info3"/>
      <sheetName val="P_&amp;_M3"/>
      <sheetName val="MS_Items3"/>
      <sheetName val="AutoOpen_Stub_Data3"/>
      <sheetName val="Material_3"/>
      <sheetName val="Extra_Item3"/>
      <sheetName val="Labour_&amp;_Plant3"/>
      <sheetName val="Debits_as_on_12_04_083"/>
      <sheetName val="BASIC_RATES3"/>
      <sheetName val="TBAL9697__x005f_x005f_x004"/>
      <sheetName val="CORPN_O_x005f_x005f_x00004"/>
      <sheetName val="TBAL9697__x005f_x000a_grotp_wis4"/>
      <sheetName val="Labor_abs-PW3"/>
      <sheetName val="Customize_Your_Purchase_Order3"/>
      <sheetName val="fa-pl_&amp;_myy_x005f_x000b__x005f_x000b__x03"/>
      <sheetName val="Base_Assumptions3"/>
      <sheetName val="_COP_100%3"/>
      <sheetName val="TBAL9697__grotp_wise_254"/>
      <sheetName val="TBAL9697__grotp_wise_264"/>
      <sheetName val="TBAL9697_-group_wise_sdpl3"/>
      <sheetName val="Lintel_Beam_104_70_(GF)__3"/>
      <sheetName val="_3"/>
      <sheetName val="Contract_Night_Staff3"/>
      <sheetName val="Contract_Day_Staff3"/>
      <sheetName val="Day_Shift3"/>
      <sheetName val="Night_Shift3"/>
      <sheetName val="lineby_line_consolidation3"/>
      <sheetName val="Area_Statement3"/>
      <sheetName val="Risk_Analysis3"/>
      <sheetName val="SITE_DEVELOPMENT3"/>
      <sheetName val="Material_Rate3"/>
      <sheetName val="Rate_analysis3"/>
      <sheetName val="Approved_MTD_Proj_#'s3"/>
      <sheetName val="9__Package_split_-_Cost_3"/>
      <sheetName val="Project_Budget_Worksheet3"/>
      <sheetName val="CORPN_O_x005f_x005f_x005f3"/>
      <sheetName val="DDETABLE_3"/>
      <sheetName val="indices_"/>
      <sheetName val="Material_List_"/>
      <sheetName val="Building_1"/>
      <sheetName val="Lead_(Final)"/>
      <sheetName val="Pile_cap"/>
      <sheetName val="M_S_"/>
      <sheetName val="dpl_oth_Lia`1"/>
      <sheetName val="CORPN_OT1"/>
      <sheetName val="TAX_INCOME"/>
      <sheetName val="Depart_Budget"/>
      <sheetName val="CC_June"/>
      <sheetName val="Basic_Rate"/>
      <sheetName val="INFLUENCES_ON_GM"/>
      <sheetName val="Load_Details(B2)"/>
      <sheetName val="TOS-F"/>
      <sheetName val="구성비"/>
      <sheetName val="Financials"/>
      <sheetName val="HVAC"/>
      <sheetName val="Cost Index"/>
      <sheetName val="CABLE"/>
      <sheetName val="number"/>
      <sheetName val="Input &amp; Calculations"/>
      <sheetName val="Values"/>
      <sheetName val="PA- Consutant "/>
      <sheetName val="TBAL9697__x000d_grotp_wi1"/>
      <sheetName val="_x0003_dpl_oth_Lia`30"/>
      <sheetName val="TBAL9697__x000d_grotp_wise_30"/>
      <sheetName val="CORPN_O_x0000_T29"/>
      <sheetName val="_x0003_dpl_oth_Lia`29"/>
      <sheetName val="TBAL9697__x000d_grotp_wise_29"/>
      <sheetName val="CORPN_O_x0000_T28"/>
      <sheetName val="_x0003_dpl_oth_Lia`28"/>
      <sheetName val="TBAL9697__x000d_grotp_wise_28"/>
      <sheetName val="_x0003_dpl_oth_Lia`31"/>
      <sheetName val="TBAL9697__x000d_grotp_wise_31"/>
      <sheetName val="CORPN_O_x0000_T30"/>
      <sheetName val="TBAL9697__x000d_grotp_wis26"/>
      <sheetName val="CORPN_O_x0000"/>
      <sheetName val="TBL9798_x005f"/>
      <sheetName val="CORPN_OT28"/>
      <sheetName val="dpl_oth_Lia`28"/>
      <sheetName val="TBAL9697__x000a_grotp_wis26"/>
      <sheetName val="GR_slab-reinft"/>
      <sheetName val="Bill_3_-_Site_Works"/>
      <sheetName val="appendix_2_5_final_accounts"/>
      <sheetName val="Indirect_expenses"/>
      <sheetName val="Sheet_2"/>
      <sheetName val="Risk_Assmnt"/>
      <sheetName val="schedule_nos"/>
      <sheetName val="TBAL9697__grotp_wise_271"/>
      <sheetName val="TBAL9697__grotp_wis"/>
      <sheetName val="AoR_Finishing"/>
      <sheetName val="BS_-_L+OE"/>
      <sheetName val="Rate_Analysis_"/>
      <sheetName val="CORPN_O_x005f1"/>
      <sheetName val="BOQ_Distribution"/>
      <sheetName val="CFForecast_detail"/>
      <sheetName val="beam-reinft-IIInd_floor"/>
      <sheetName val="TBAL9697__x000a_grotp_wis1"/>
      <sheetName val="dpl_oth_Lia`4"/>
      <sheetName val="CORPN_OT4"/>
      <sheetName val="TBAL9697__x000a_grotp_wis2"/>
      <sheetName val="dpl_oth_Lia`3"/>
      <sheetName val="CORPN_OT3"/>
      <sheetName val="dpl_oth_Lia`5"/>
      <sheetName val="CORPN_OT5"/>
      <sheetName val="TBAL9697__x000a_grotp_wis3"/>
      <sheetName val="dpl_oth_Lia`6"/>
      <sheetName val="CORPN_OT6"/>
      <sheetName val="TBAL9697__x000a_grotp_wis4"/>
      <sheetName val="dpl_oth_Lia`7"/>
      <sheetName val="CORPN_OT7"/>
      <sheetName val="TBAL9697__x000a_grotp_wis5"/>
      <sheetName val="dpl_oth_Lia`8"/>
      <sheetName val="CORPN_OT8"/>
      <sheetName val="TBAL9697__x000a_grotp_wis6"/>
      <sheetName val="dpl_oth_Lia`9"/>
      <sheetName val="CORPN_OT9"/>
      <sheetName val="TBAL9697__x000a_grotp_wis7"/>
      <sheetName val="dpl_oth_Lia`10"/>
      <sheetName val="CORPN_OT10"/>
      <sheetName val="TBAL9697__x000a_grotp_wis8"/>
      <sheetName val="dpl_oth_Lia`16"/>
      <sheetName val="CORPN_OT16"/>
      <sheetName val="TBAL9697__x000a_grotp_wis14"/>
      <sheetName val="dpl_oth_Lia`12"/>
      <sheetName val="CORPN_OT12"/>
      <sheetName val="TBAL9697__x000a_grotp_wis10"/>
      <sheetName val="dpl_oth_Lia`11"/>
      <sheetName val="CORPN_OT11"/>
      <sheetName val="TBAL9697__x000a_grotp_wis9"/>
      <sheetName val="dpl_oth_Lia`13"/>
      <sheetName val="CORPN_OT13"/>
      <sheetName val="TBAL9697__x000a_grotp_wis11"/>
      <sheetName val="dpl_oth_Lia`14"/>
      <sheetName val="CORPN_OT14"/>
      <sheetName val="TBAL9697__x000a_grotp_wis12"/>
      <sheetName val="dpl_oth_Lia`15"/>
      <sheetName val="CORPN_OT15"/>
      <sheetName val="TBAL9697__x000a_grotp_wis13"/>
      <sheetName val="dpl_oth_Lia`22"/>
      <sheetName val="CORPN_OT22"/>
      <sheetName val="TBAL9697__x000a_grotp_wis20"/>
      <sheetName val="dpl_oth_Lia`17"/>
      <sheetName val="CORPN_OT17"/>
      <sheetName val="TBAL9697__x000a_grotp_wis15"/>
      <sheetName val="dpl_oth_Lia`18"/>
      <sheetName val="CORPN_OT18"/>
      <sheetName val="TBAL9697__x000a_grotp_wis16"/>
      <sheetName val="dpl_oth_Lia`19"/>
      <sheetName val="CORPN_OT19"/>
      <sheetName val="TBAL9697__x000a_grotp_wis17"/>
      <sheetName val="dpl_oth_Lia`20"/>
      <sheetName val="CORPN_OT20"/>
      <sheetName val="TBAL9697__x000a_grotp_wis18"/>
      <sheetName val="dpl_oth_Lia`21"/>
      <sheetName val="CORPN_OT21"/>
      <sheetName val="TBAL9697__x000a_grotp_wis19"/>
      <sheetName val="dpl_oth_Lia`23"/>
      <sheetName val="CORPN_OT23"/>
      <sheetName val="TBAL9697__x000a_grotp_wis21"/>
      <sheetName val="dpl_oth_Lia`24"/>
      <sheetName val="CORPN_OT24"/>
      <sheetName val="TBAL9697__x000a_grotp_wis22"/>
      <sheetName val="dpl_oth_Lia`25"/>
      <sheetName val="CORPN_OT25"/>
      <sheetName val="TBAL9697__x000a_grotp_wis23"/>
      <sheetName val="dpl_oth_Lia`26"/>
      <sheetName val="CORPN_OT26"/>
      <sheetName val="TBAL9697__x000a_grotp_wis24"/>
      <sheetName val="dpl_oth_Lia`27"/>
      <sheetName val="CORPN_OT27"/>
      <sheetName val="TBAL9697__x000a_grotp_wis25"/>
      <sheetName val="TBAL9697__x001"/>
      <sheetName val="Service_Function"/>
      <sheetName val="Material_List_1"/>
      <sheetName val="Basic_Rate1"/>
      <sheetName val="INFLUENCES_ON_GM1"/>
      <sheetName val="Building_11"/>
      <sheetName val="Lead_(Final)1"/>
      <sheetName val="GR_slab-reinft1"/>
      <sheetName val="Bill_3_-_Site_Works1"/>
      <sheetName val="Load_Details(B2)1"/>
      <sheetName val="appendix_2_5_final_accounts1"/>
      <sheetName val="Indirect_expenses1"/>
      <sheetName val="Sheet_21"/>
      <sheetName val="Risk_Assmnt1"/>
      <sheetName val="schedule_nos1"/>
      <sheetName val="TBAL9697__grotp_wise_272"/>
      <sheetName val="TBAL9697__grotp_wis1"/>
      <sheetName val="AoR_Finishing1"/>
      <sheetName val="BS_-_L+OE1"/>
      <sheetName val="Rate_Analysis_1"/>
      <sheetName val="CORPN_O_x005f2"/>
      <sheetName val="BOQ_Distribution1"/>
      <sheetName val="CFForecast_detail1"/>
      <sheetName val="beam-reinft-IIInd_floor1"/>
      <sheetName val="TBAL9697__x000a_grotp_wis27"/>
      <sheetName val="TBAL9697__x002"/>
      <sheetName val="CORPN_O_x00001"/>
      <sheetName val="Service_Function1"/>
      <sheetName val="Material_List_2"/>
      <sheetName val="Basic_Rate2"/>
      <sheetName val="INFLUENCES_ON_GM2"/>
      <sheetName val="Building_12"/>
      <sheetName val="Lead_(Final)2"/>
      <sheetName val="GR_slab-reinft2"/>
      <sheetName val="Bill_3_-_Site_Works2"/>
      <sheetName val="Load_Details(B2)2"/>
      <sheetName val="appendix_2_5_final_accounts2"/>
      <sheetName val="Indirect_expenses2"/>
      <sheetName val="Sheet_22"/>
      <sheetName val="Risk_Assmnt2"/>
      <sheetName val="schedule_nos2"/>
      <sheetName val="TBAL9697__grotp_wise_273"/>
      <sheetName val="TBAL9697__grotp_wis2"/>
      <sheetName val="AoR_Finishing2"/>
      <sheetName val="BS_-_L+OE2"/>
      <sheetName val="Rate_Analysis_2"/>
      <sheetName val="CORPN_O_x005f3"/>
      <sheetName val="BOQ_Distribution2"/>
      <sheetName val="CFForecast_detail2"/>
      <sheetName val="beam-reinft-IIInd_floor2"/>
      <sheetName val="TBAL9697__x000a_grotp_wis28"/>
      <sheetName val="TBAL9697__x003"/>
      <sheetName val="CORPN_O_x00002"/>
      <sheetName val="Service_Function2"/>
      <sheetName val="FINOLEX"/>
      <sheetName val="Beam at Ground flr lvl(Steel)"/>
      <sheetName val="Main Assump."/>
      <sheetName val="schedule1"/>
      <sheetName val="BEAM SCH"/>
      <sheetName val="SLAB  SCH "/>
      <sheetName val="R MTL"/>
      <sheetName val="capg"/>
      <sheetName val="GUT (2)"/>
      <sheetName val="ACE-OUT"/>
      <sheetName val="MB.Prod"/>
      <sheetName val="Bill 1-BOQ-Civil Works"/>
      <sheetName val="shuttering"/>
      <sheetName val="Elektrikal"/>
      <sheetName val="Bill-5.2"/>
      <sheetName val="Bill-9.1"/>
      <sheetName val="Bill-6.1.1-6.1.3"/>
      <sheetName val="5_Calculation"/>
      <sheetName val="Subhead_IV"/>
      <sheetName val="Register"/>
      <sheetName val="Status"/>
      <sheetName val="Defer"/>
      <sheetName val="BG"/>
      <sheetName val="Liability"/>
      <sheetName val="RA Bill summary til Apr19"/>
      <sheetName val="APTIDCO CV A.SCOPE"/>
      <sheetName val="MG"/>
      <sheetName val="Sch-3"/>
      <sheetName val="AA"/>
      <sheetName val="New Construction"/>
      <sheetName val="fco"/>
      <sheetName val="PRSH"/>
      <sheetName val="Overall Summary"/>
      <sheetName val="Summary_CFA total - CP1 &amp; CP2"/>
      <sheetName val="S1BOQ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5. EA"/>
      <sheetName val="BTB"/>
      <sheetName val="cf"/>
      <sheetName val="orders"/>
      <sheetName val="12-27"/>
      <sheetName val="Base"/>
      <sheetName val="Rates 7-20"/>
      <sheetName val="COA"/>
      <sheetName val="BoQ-1"/>
      <sheetName val="BoQ-2"/>
      <sheetName val="costing_ESDV"/>
      <sheetName val="costing_FE"/>
      <sheetName val="costing_Misc"/>
      <sheetName val="costing_MOV"/>
      <sheetName val="costing_Press"/>
      <sheetName val="Gujrat"/>
      <sheetName val="Basic rate summary"/>
      <sheetName val="Basic rate calculations"/>
      <sheetName val="02"/>
      <sheetName val="03"/>
      <sheetName val="04"/>
      <sheetName val="Labor Rates"/>
      <sheetName val="Capex Estimates"/>
      <sheetName val="General Assumptions"/>
      <sheetName val="rcc( sub)"/>
      <sheetName val="Footings"/>
      <sheetName val="L (4)"/>
      <sheetName val="Introduction"/>
      <sheetName val="Projects"/>
      <sheetName val="PRICE-COMP"/>
      <sheetName val="P&amp;LSum"/>
      <sheetName val="C_link"/>
      <sheetName val="P_link"/>
      <sheetName val="INPUT-DATA"/>
      <sheetName val="CI"/>
      <sheetName val="V.O.4 - PCC Qty"/>
      <sheetName val="Assumptions-Input"/>
      <sheetName val="Costs"/>
      <sheetName val="Liqplan_R1"/>
      <sheetName val="CIVIL BOQ (Final)"/>
      <sheetName val="calcul"/>
      <sheetName val="Nov-Dec-08"/>
      <sheetName val="CP"/>
      <sheetName val="TB9899"/>
      <sheetName val="Detail_P&amp;L"/>
      <sheetName val="Customize Your Invoice"/>
      <sheetName val="Loan Amortization Schedule"/>
      <sheetName val="COA-17"/>
      <sheetName val="C-18"/>
      <sheetName val="2_civil-RA"/>
      <sheetName val="organi synthesis lab"/>
      <sheetName val="S-MMS without TFA"/>
      <sheetName val="TBAL9697_ grotp_wise_29"/>
      <sheetName val="TBAL9697_ grotp_wise_28"/>
      <sheetName val="TBAL9697_ grotp_wise_30"/>
      <sheetName val="Section_Catalogue27"/>
      <sheetName val="tie_beam12"/>
      <sheetName val="INDIGINEOUS_ITEMS_12"/>
      <sheetName val="Sheet3_(2)"/>
      <sheetName val="Bill_1"/>
      <sheetName val="Bill_2"/>
      <sheetName val="Bill_3"/>
      <sheetName val="Bill_4"/>
      <sheetName val="Bill_5"/>
      <sheetName val="Bill_6"/>
      <sheetName val="Bill_7"/>
      <sheetName val="소상_&quot;1&quot;"/>
      <sheetName val="Cost_Basis"/>
      <sheetName val="CPT_POST_UPLOAD"/>
      <sheetName val="KQ_Cost_Controlling"/>
      <sheetName val="KQ_Appropriation"/>
      <sheetName val="class_&amp;_category"/>
      <sheetName val="code_Control_Sheet"/>
      <sheetName val="fa-pl_&amp;_myy_x005f_x000b__"/>
      <sheetName val="Cost_Index"/>
      <sheetName val="TBL9798_x005f_x005f_x005f_x005f_x005f_x005f_x005f"/>
      <sheetName val="CORPN O_x005f_x005f_x005f_x005f_x005f_x005f_x005f"/>
      <sheetName val="Boq (Main Building)"/>
      <sheetName val="BASIC_RATES4"/>
      <sheetName val="final_abstract4"/>
      <sheetName val="Gen_Info4"/>
      <sheetName val="Contract_Night_Staff4"/>
      <sheetName val="Contract_Day_Staff4"/>
      <sheetName val="Day_Shift4"/>
      <sheetName val="Night_Shift4"/>
      <sheetName val="SPILL_OVER4"/>
      <sheetName val="Pacakges_split4"/>
      <sheetName val="Cost_summary4"/>
      <sheetName val="TBAL9697__grotp_wise_218"/>
      <sheetName val="TBAL9697__grotp_wise_414"/>
      <sheetName val="TBAL9697__grotp_wise_314"/>
      <sheetName val="TBAL9697__grotp_wise_512"/>
      <sheetName val="TBAL9697__grotp_wise_85"/>
      <sheetName val="TBAL9697__grotp_wise_95"/>
      <sheetName val="TBAL9697__grotp_wise_105"/>
      <sheetName val="TBAL9697__grotp_wise_165"/>
      <sheetName val="TBAL9697__grotp_wise_125"/>
      <sheetName val="TBAL9697__grotp_wise_119"/>
      <sheetName val="TBAL9697__grotp_wise_135"/>
      <sheetName val="TBAL9697__grotp_wise_145"/>
      <sheetName val="TBAL9697__grotp_wise_155"/>
      <sheetName val="TBAL9697__grotp_wise_225"/>
      <sheetName val="TBAL9697__grotp_wise_175"/>
      <sheetName val="TBAL9697__grotp_wise_185"/>
      <sheetName val="TBAL9697__grotp_wise_195"/>
      <sheetName val="TBAL9697__grotp_wise_205"/>
      <sheetName val="TBAL9697__grotp_wise_219"/>
      <sheetName val="TBAL9697__grotp_wise_235"/>
      <sheetName val="TBAL9697__grotp_wise_245"/>
      <sheetName val="Meas_-Hotel_Part4"/>
      <sheetName val="Base_Assumptions4"/>
      <sheetName val="_COP_100%4"/>
      <sheetName val="Main_Gate_House4"/>
      <sheetName val="Data_sheet4"/>
      <sheetName val="Per_Unit4"/>
      <sheetName val="lineby_line_consolidation4"/>
      <sheetName val="Material_4"/>
      <sheetName val="Extra_Item4"/>
      <sheetName val="Labour_&amp;_Plant4"/>
      <sheetName val="AutoOpen_Stub_Data4"/>
      <sheetName val="Debits_as_on_12_04_084"/>
      <sheetName val="Labor_abs-PW4"/>
      <sheetName val="Area_Statement4"/>
      <sheetName val="Risk_Analysis4"/>
      <sheetName val="Lintel_Beam_104_70_(GF)__4"/>
      <sheetName val="_4"/>
      <sheetName val="TBAL9697__grotp_wise_255"/>
      <sheetName val="TBAL9697__grotp_wise_265"/>
      <sheetName val="Material_List_3"/>
      <sheetName val="Basic_Rate3"/>
      <sheetName val="INFLUENCES_ON_GM3"/>
      <sheetName val="TBAL9697__x005f_x005f_x005"/>
      <sheetName val="Building_13"/>
      <sheetName val="Lead_(Final)3"/>
      <sheetName val="GR_slab-reinft3"/>
      <sheetName val="TBAL9697_-group_wise_sdpl4"/>
      <sheetName val="Bill_3_-_Site_Works3"/>
      <sheetName val="Load_Details(B2)3"/>
      <sheetName val="appendix_2_5_final_accounts3"/>
      <sheetName val="Indirect_expenses3"/>
      <sheetName val="Sheet_23"/>
      <sheetName val="Risk_Assmnt3"/>
      <sheetName val="schedule_nos3"/>
      <sheetName val="TBAL9697__grotp_wise_274"/>
      <sheetName val="TBAL9697__grotp_wis3"/>
      <sheetName val="AoR_Finishing3"/>
      <sheetName val="BS_-_L+OE3"/>
      <sheetName val="Rate_Analysis_3"/>
      <sheetName val="CORPN_O_x005f4"/>
      <sheetName val="BOQ_Distribution3"/>
      <sheetName val="CFForecast_detail3"/>
      <sheetName val="beam-reinft-IIInd_floor3"/>
      <sheetName val="TBAL9697__x000a_grotp_wis29"/>
      <sheetName val="TBAL9697__x004"/>
      <sheetName val="CORPN_O_x00003"/>
      <sheetName val="Service_Function3"/>
      <sheetName val="Source Ref."/>
      <sheetName val="PUR"/>
      <sheetName val="Item- Compact"/>
      <sheetName val="Manpower Histogram"/>
      <sheetName val="TBAL9697_ grotp_wis1"/>
      <sheetName val="TBAL9697_ grotp_wis2"/>
      <sheetName val="TBAL9697_ grotp_wis3"/>
      <sheetName val="TBAL9697_ grotp_wis4"/>
      <sheetName val="TBAL9697_ grotp_wis5"/>
      <sheetName val="TBAL9697_ grotp_wis6"/>
      <sheetName val="TBAL9697_ grotp_wis7"/>
      <sheetName val="TBAL9697_ grotp_wis8"/>
      <sheetName val="TBAL9697_ grotp_wis14"/>
      <sheetName val="TBAL9697_ grotp_wis10"/>
      <sheetName val="TBAL9697_ grotp_wis9"/>
      <sheetName val="TBAL9697_ grotp_wis11"/>
      <sheetName val="TBAL9697_ grotp_wis12"/>
      <sheetName val="TBAL9697_ grotp_wis13"/>
      <sheetName val="TBAL9697_ grotp_wis20"/>
      <sheetName val="TBAL9697_ grotp_wis15"/>
      <sheetName val="TBAL9697_ grotp_wis16"/>
      <sheetName val="TBAL9697_ grotp_wis17"/>
      <sheetName val="TBAL9697_ grotp_wis18"/>
      <sheetName val="TBAL9697_ grotp_wis19"/>
      <sheetName val="TBAL9697_ grotp_wis21"/>
      <sheetName val="TBAL9697_ grotp_wis22"/>
      <sheetName val="TBAL9697_ grotp_wis23"/>
      <sheetName val="TBAL9697_ grotp_wis24"/>
      <sheetName val="TBAL9697_ grotp_wis25"/>
      <sheetName val="CONNECT"/>
      <sheetName val="Civil (RA) _Resi_"/>
      <sheetName val="meas-wp"/>
      <sheetName val="Assumption_Inputs26"/>
      <sheetName val="Assumption_Inputs15"/>
      <sheetName val="Assumption_Inputs16"/>
      <sheetName val="Assumption_Inputs18"/>
      <sheetName val="Assumption_Inputs17"/>
      <sheetName val="Assumption_Inputs20"/>
      <sheetName val="Assumption_Inputs19"/>
      <sheetName val="Assumption_Inputs21"/>
      <sheetName val="Assumption_Inputs22"/>
      <sheetName val="Assumption_Inputs23"/>
      <sheetName val="Assumption_Inputs24"/>
      <sheetName val="Assumption_Inputs25"/>
      <sheetName val="TB9798OBPL06_(2)42"/>
      <sheetName val="CORPN_OCT42"/>
      <sheetName val="inout_consol-nov42"/>
      <sheetName val="inout_consol_(2)42"/>
      <sheetName val="AS_ON_DT_EXPS_Mar42"/>
      <sheetName val="fa-pl_&amp;_mach-site42"/>
      <sheetName val="fa_off_eqp42"/>
      <sheetName val="fa_fur&amp;_fix42"/>
      <sheetName val="fa-pl_&amp;_mach-Off42"/>
      <sheetName val="B_Equity-sdpl_INC42"/>
      <sheetName val="inout_consol_wkg42"/>
      <sheetName val="inout_consol_WKNG42"/>
      <sheetName val="B_Sheet_9742"/>
      <sheetName val="P&amp;L_97_42"/>
      <sheetName val="B_Sheet_97-BEXP42"/>
      <sheetName val="P&amp;L_97_-BEXP42"/>
      <sheetName val="consol_flows42"/>
      <sheetName val="sdpl_oth_Liab42"/>
      <sheetName val="obpl-oth_liab42"/>
      <sheetName val="G_land_advance42"/>
      <sheetName val="I-Wip-ot_(2)42"/>
      <sheetName val="detail_WIP_(2)42"/>
      <sheetName val="detail_G-142"/>
      <sheetName val="sobha_menon_ac42"/>
      <sheetName val="pnc_ac42"/>
      <sheetName val="fix_-p_&amp;_M_-SCC42"/>
      <sheetName val="C_fix_asst42"/>
      <sheetName val="D_fix_asst_scdl_42"/>
      <sheetName val="creditors_tb_obpl42"/>
      <sheetName val="TBAL9697_-group_wise__sdpl52"/>
      <sheetName val="TBAL9697_-group_wise_42"/>
      <sheetName val="crs_-G-142"/>
      <sheetName val="TBAL9697_-group_wise__onpl42"/>
      <sheetName val="B_Sheet_97-OBPL42"/>
      <sheetName val="B_Sheet_97_sdpl42"/>
      <sheetName val="TBAL9697_-group_wise__sdpl242"/>
      <sheetName val="inout_consol_jan42"/>
      <sheetName val="consol_flow42"/>
      <sheetName val="D_Loan__Prom42"/>
      <sheetName val="E_Bank_Loan42"/>
      <sheetName val="G_work_Cap42"/>
      <sheetName val="H_land_adv-dec42"/>
      <sheetName val="J_Con_WIP42"/>
      <sheetName val="detail_J42"/>
      <sheetName val="L_Oth_Co42"/>
      <sheetName val="K_fix_asst__42"/>
      <sheetName val="C_fix_asst-SDPL_42"/>
      <sheetName val="TBAL9697__group_wise__sdpl42"/>
      <sheetName val="inout_consol_okg42"/>
      <sheetName val="detail_OIP_(2)42"/>
      <sheetName val="D_fix_ysst_scdl_42"/>
      <sheetName val="cre`itors_tb_obpl42"/>
      <sheetName val="3AL9697_-group_wise__onpl42"/>
      <sheetName val="L_Oth_Bo41"/>
      <sheetName val="3‰AL9697_-group_wise__onpl41"/>
      <sheetName val="Civil_Boq41"/>
      <sheetName val="Staff_Acco_41"/>
      <sheetName val="SITE_OVERHEADS41"/>
      <sheetName val="PRECAST_lightconc-II39"/>
      <sheetName val="1__PayRec38"/>
      <sheetName val="Boq_Block_A41"/>
      <sheetName val="Cashflow_projection38"/>
      <sheetName val="Project-Material_41"/>
      <sheetName val="SPT_vs_PHI38"/>
      <sheetName val="key_dates38"/>
      <sheetName val="ino4t_conso,-nov38"/>
      <sheetName val="(nout_co,sol_(2)38"/>
      <sheetName val="Blr_hire38"/>
      <sheetName val="_bpl,oth_lia_38"/>
      <sheetName val="G_,and_adv_nce38"/>
      <sheetName val="I,Wip-ot__2)38"/>
      <sheetName val="det!il_WIP_(2)38"/>
      <sheetName val="de4ail_G-138"/>
      <sheetName val="sobha_mennn_ac38"/>
      <sheetName val="C_&amp;ix_asst38"/>
      <sheetName val="_x005f_x0003_dpl_oth_Lia`38"/>
      <sheetName val="TBAL9697__x005f_x000d_grotp_wise_38"/>
      <sheetName val="St_co_91_5lvl38"/>
      <sheetName val="3�AL9697_-group_wise__onpl41"/>
      <sheetName val="INPUT_SHEET38"/>
      <sheetName val="Stress_Calculation38"/>
      <sheetName val="Labor_abs-NMR38"/>
      <sheetName val="Sun_E_Type38"/>
      <sheetName val="CORPN_O?T38"/>
      <sheetName val="Fin_Sum38"/>
      <sheetName val="CORPN_O_x005f_x0000_T38"/>
      <sheetName val="TBAL9697__x000a_grotp_wise_38"/>
      <sheetName val="labour_coeff36"/>
      <sheetName val="Shuttering_Analysis36"/>
      <sheetName val="General_P+M36"/>
      <sheetName val="Curing_Analysis_36"/>
      <sheetName val="Concrete_P+M_(_RMC_)36"/>
      <sheetName val="P+M_(_SMC_)36"/>
      <sheetName val="P+M_-EW36"/>
      <sheetName val="P&amp;L_-_AD36"/>
      <sheetName val="SUPPLY_-Sanitary_Fixtures38"/>
      <sheetName val="ITEMS_FOR_CIVIL_TENDER38"/>
      <sheetName val="_x005f_x005f_x005f_x0003_dpl_oth_Lia`38"/>
      <sheetName val="TBAL9697__x005f_x005f_x005f_x000d_grotp_w38"/>
      <sheetName val="Fin__Assumpt__-_Sensitivities36"/>
      <sheetName val="LOAD_SHEET_36"/>
      <sheetName val="Fill_this_out_first___36"/>
      <sheetName val="Labour_productivity36"/>
      <sheetName val="RCC,Ret__Wall36"/>
      <sheetName val="CORPN_O38"/>
      <sheetName val="CORPN_O_T36"/>
      <sheetName val="Area_&amp;_Cate__Master36"/>
      <sheetName val="Bill_No_536"/>
      <sheetName val="11B_36"/>
      <sheetName val="Structure_Bills_Qty36"/>
      <sheetName val="DG_38"/>
      <sheetName val="BOQ_(2)36"/>
      <sheetName val="Fee_Rate_Summary36"/>
      <sheetName val="Name_List36"/>
      <sheetName val="Detail_1A36"/>
      <sheetName val="Sheet_136"/>
      <sheetName val="3BPA00132-5-3_W_plan_HVPNL36"/>
      <sheetName val="Mix_Design36"/>
      <sheetName val="DLC_lookups36"/>
      <sheetName val="Driveway_Beams36"/>
      <sheetName val="TBAL9697__x005f_x000a_grotp_wise_36"/>
      <sheetName val="Quote_Sheet36"/>
      <sheetName val="d-safe_DELUXE36"/>
      <sheetName val="Works_-_Quote_Sheet36"/>
      <sheetName val="IO_LIST36"/>
      <sheetName val="TBAL9697__x005f_x000d_grotp_wis36"/>
      <sheetName val="Cat_A_Change_Control36"/>
      <sheetName val="Break_up_Sheet36"/>
      <sheetName val="Summary_of_P_&amp;_M36"/>
      <sheetName val="ISO_Reconcilation_Statment36"/>
      <sheetName val="AVG_pur_rate36"/>
      <sheetName val="Break_Dw36"/>
      <sheetName val="LIST_OF_MAKES36"/>
      <sheetName val="Assumption_Inputs36"/>
      <sheetName val="Civil_Works36"/>
      <sheetName val="Form_636"/>
      <sheetName val="acevsSp_(ABC)36"/>
      <sheetName val="A_O_R_36"/>
      <sheetName val="CORPN_O_x005f_x005f_x005f_x0000_T36"/>
      <sheetName val="220_11__BS_36"/>
      <sheetName val="FITZ_MORT_9436"/>
      <sheetName val="Intro_36"/>
      <sheetName val="BLOCK-A_(MEA_SHEET)36"/>
      <sheetName val="NLD_-_Assum36"/>
      <sheetName val="Section_Catalogue36"/>
      <sheetName val="Assumption_Inputs27"/>
      <sheetName val="Assumption_Inputs28"/>
      <sheetName val="Section_Catalogue28"/>
      <sheetName val="TBAL9697_-group_wise__sdpl45"/>
      <sheetName val="TBAL9697_-group_wise_35"/>
      <sheetName val="crs_-G-135"/>
      <sheetName val="TBAL9697_-group_wise__onpl35"/>
      <sheetName val="B_Sheet_97-OBPL35"/>
      <sheetName val="B_Sheet_97_sdpl35"/>
      <sheetName val="TBAL9697_-group_wise__sdpl235"/>
      <sheetName val="inout_consol_jan35"/>
      <sheetName val="consol_flow35"/>
      <sheetName val="D_Loan__Prom35"/>
      <sheetName val="E_Bank_Loan35"/>
      <sheetName val="G_work_Cap35"/>
      <sheetName val="H_land_adv-dec35"/>
      <sheetName val="J_Con_WIP35"/>
      <sheetName val="detail_J35"/>
      <sheetName val="L_Oth_Co35"/>
      <sheetName val="K_fix_asst__35"/>
      <sheetName val="C_fix_asst-SDPL_35"/>
      <sheetName val="TBAL9697__group_wise__sdpl35"/>
      <sheetName val="inout_consol_okg35"/>
      <sheetName val="detail_OIP_(2)35"/>
      <sheetName val="D_fix_ysst_scdl_35"/>
      <sheetName val="cre`itors_tb_obpl35"/>
      <sheetName val="3AL9697_-group_wise__onpl35"/>
      <sheetName val="Boq_Block_A34"/>
      <sheetName val="Project-Material_34"/>
      <sheetName val="3�AL9697_-group_wise__onpl34"/>
      <sheetName val="Assumption_Inputs29"/>
      <sheetName val="Section_Catalogue29"/>
      <sheetName val="TB9798OBPL06_(2)36"/>
      <sheetName val="CORPN_OCT36"/>
      <sheetName val="inout_consol-nov36"/>
      <sheetName val="inout_consol_(2)36"/>
      <sheetName val="AS_ON_DT_EXPS_Mar36"/>
      <sheetName val="fa-pl_&amp;_mach-site36"/>
      <sheetName val="fa_off_eqp36"/>
      <sheetName val="fa_fur&amp;_fix36"/>
      <sheetName val="fa-pl_&amp;_mach-Off36"/>
      <sheetName val="B_Equity-sdpl_INC36"/>
      <sheetName val="inout_consol_wkg36"/>
      <sheetName val="inout_consol_WKNG36"/>
      <sheetName val="B_Sheet_9736"/>
      <sheetName val="P&amp;L_97_36"/>
      <sheetName val="B_Sheet_97-BEXP36"/>
      <sheetName val="P&amp;L_97_-BEXP36"/>
      <sheetName val="consol_flows36"/>
      <sheetName val="sdpl_oth_Liab36"/>
      <sheetName val="obpl-oth_liab36"/>
      <sheetName val="G_land_advance36"/>
      <sheetName val="I-Wip-ot_(2)36"/>
      <sheetName val="detail_WIP_(2)36"/>
      <sheetName val="detail_G-136"/>
      <sheetName val="sobha_menon_ac36"/>
      <sheetName val="pnc_ac36"/>
      <sheetName val="fix_-p_&amp;_M_-SCC36"/>
      <sheetName val="C_fix_asst36"/>
      <sheetName val="D_fix_asst_scdl_36"/>
      <sheetName val="creditors_tb_obpl36"/>
      <sheetName val="TBAL9697_-group_wise__sdpl46"/>
      <sheetName val="TBAL9697_-group_wise_36"/>
      <sheetName val="crs_-G-136"/>
      <sheetName val="TBAL9697_-group_wise__onpl36"/>
      <sheetName val="B_Sheet_97-OBPL36"/>
      <sheetName val="B_Sheet_97_sdpl36"/>
      <sheetName val="TBAL9697_-group_wise__sdpl236"/>
      <sheetName val="inout_consol_jan36"/>
      <sheetName val="consol_flow36"/>
      <sheetName val="D_Loan__Prom36"/>
      <sheetName val="E_Bank_Loan36"/>
      <sheetName val="G_work_Cap36"/>
      <sheetName val="H_land_adv-dec36"/>
      <sheetName val="J_Con_WIP36"/>
      <sheetName val="detail_J36"/>
      <sheetName val="L_Oth_Co36"/>
      <sheetName val="K_fix_asst__36"/>
      <sheetName val="C_fix_asst-SDPL_36"/>
      <sheetName val="TBAL9697__group_wise__sdpl36"/>
      <sheetName val="inout_consol_okg36"/>
      <sheetName val="detail_OIP_(2)36"/>
      <sheetName val="D_fix_ysst_scdl_36"/>
      <sheetName val="cre`itors_tb_obpl36"/>
      <sheetName val="3AL9697_-group_wise__onpl36"/>
      <sheetName val="L_Oth_Bo35"/>
      <sheetName val="3‰AL9697_-group_wise__onpl35"/>
      <sheetName val="Civil_Boq35"/>
      <sheetName val="Staff_Acco_35"/>
      <sheetName val="SITE_OVERHEADS35"/>
      <sheetName val="Boq_Block_A35"/>
      <sheetName val="Project-Material_35"/>
      <sheetName val="3�AL9697_-group_wise__onpl35"/>
      <sheetName val="Assumption_Inputs30"/>
      <sheetName val="Section_Catalogue30"/>
      <sheetName val="TB9798OBPL06_(2)38"/>
      <sheetName val="CORPN_OCT38"/>
      <sheetName val="inout_consol-nov38"/>
      <sheetName val="inout_consol_(2)38"/>
      <sheetName val="AS_ON_DT_EXPS_Mar38"/>
      <sheetName val="fa-pl_&amp;_mach-site38"/>
      <sheetName val="fa_off_eqp38"/>
      <sheetName val="fa_fur&amp;_fix38"/>
      <sheetName val="fa-pl_&amp;_mach-Off38"/>
      <sheetName val="B_Equity-sdpl_INC38"/>
      <sheetName val="inout_consol_wkg38"/>
      <sheetName val="inout_consol_WKNG38"/>
      <sheetName val="B_Sheet_9738"/>
      <sheetName val="P&amp;L_97_38"/>
      <sheetName val="B_Sheet_97-BEXP38"/>
      <sheetName val="P&amp;L_97_-BEXP38"/>
      <sheetName val="consol_flows38"/>
      <sheetName val="sdpl_oth_Liab38"/>
      <sheetName val="obpl-oth_liab38"/>
      <sheetName val="G_land_advance38"/>
      <sheetName val="I-Wip-ot_(2)38"/>
      <sheetName val="detail_WIP_(2)38"/>
      <sheetName val="detail_G-138"/>
      <sheetName val="sobha_menon_ac38"/>
      <sheetName val="pnc_ac38"/>
      <sheetName val="fix_-p_&amp;_M_-SCC38"/>
      <sheetName val="C_fix_asst38"/>
      <sheetName val="D_fix_asst_scdl_38"/>
      <sheetName val="creditors_tb_obpl38"/>
      <sheetName val="TBAL9697_-group_wise__sdpl48"/>
      <sheetName val="TBAL9697_-group_wise_38"/>
      <sheetName val="crs_-G-138"/>
      <sheetName val="TBAL9697_-group_wise__onpl38"/>
      <sheetName val="B_Sheet_97-OBPL38"/>
      <sheetName val="B_Sheet_97_sdpl38"/>
      <sheetName val="TBAL9697_-group_wise__sdpl238"/>
      <sheetName val="inout_consol_jan38"/>
      <sheetName val="consol_flow38"/>
      <sheetName val="D_Loan__Prom38"/>
      <sheetName val="E_Bank_Loan38"/>
      <sheetName val="G_work_Cap38"/>
      <sheetName val="H_land_adv-dec38"/>
      <sheetName val="J_Con_WIP38"/>
      <sheetName val="detail_J38"/>
      <sheetName val="L_Oth_Co38"/>
      <sheetName val="K_fix_asst__38"/>
      <sheetName val="C_fix_asst-SDPL_38"/>
      <sheetName val="TBAL9697__group_wise__sdpl38"/>
      <sheetName val="inout_consol_okg38"/>
      <sheetName val="detail_OIP_(2)38"/>
      <sheetName val="D_fix_ysst_scdl_38"/>
      <sheetName val="cre`itors_tb_obpl38"/>
      <sheetName val="3AL9697_-group_wise__onpl38"/>
      <sheetName val="L_Oth_Bo37"/>
      <sheetName val="3‰AL9697_-group_wise__onpl37"/>
      <sheetName val="Civil_Boq37"/>
      <sheetName val="Staff_Acco_37"/>
      <sheetName val="SITE_OVERHEADS37"/>
      <sheetName val="PRECAST_lightconc-II35"/>
      <sheetName val="1__PayRec34"/>
      <sheetName val="Boq_Block_A37"/>
      <sheetName val="Cashflow_projection34"/>
      <sheetName val="Project-Material_37"/>
      <sheetName val="SPT_vs_PHI34"/>
      <sheetName val="key_dates34"/>
      <sheetName val="ino4t_conso,-nov34"/>
      <sheetName val="(nout_co,sol_(2)34"/>
      <sheetName val="Blr_hire34"/>
      <sheetName val="_bpl,oth_lia_34"/>
      <sheetName val="G_,and_adv_nce34"/>
      <sheetName val="I,Wip-ot__2)34"/>
      <sheetName val="det!il_WIP_(2)34"/>
      <sheetName val="de4ail_G-134"/>
      <sheetName val="sobha_mennn_ac34"/>
      <sheetName val="C_&amp;ix_asst34"/>
      <sheetName val="_x005f_x0003_dpl_oth_Lia`34"/>
      <sheetName val="TBAL9697__x005f_x000d_grotp_wise_34"/>
      <sheetName val="St_co_91_5lvl34"/>
      <sheetName val="3�AL9697_-group_wise__onpl37"/>
      <sheetName val="INPUT_SHEET34"/>
      <sheetName val="Stress_Calculation34"/>
      <sheetName val="Labor_abs-NMR34"/>
      <sheetName val="Sun_E_Type34"/>
      <sheetName val="CORPN_O?T34"/>
      <sheetName val="Fin_Sum34"/>
      <sheetName val="CORPN_O_x005f_x0000_T34"/>
      <sheetName val="TBAL9697__x000a_grotp_wise_34"/>
      <sheetName val="labour_coeff32"/>
      <sheetName val="Shuttering_Analysis32"/>
      <sheetName val="General_P+M32"/>
      <sheetName val="Curing_Analysis_32"/>
      <sheetName val="Concrete_P+M_(_RMC_)32"/>
      <sheetName val="P+M_(_SMC_)32"/>
      <sheetName val="P+M_-EW32"/>
      <sheetName val="P&amp;L_-_AD32"/>
      <sheetName val="SUPPLY_-Sanitary_Fixtures34"/>
      <sheetName val="ITEMS_FOR_CIVIL_TENDER34"/>
      <sheetName val="_x005f_x005f_x005f_x0003_dpl_oth_Lia`34"/>
      <sheetName val="TBAL9697__x005f_x005f_x005f_x000d_grotp_w34"/>
      <sheetName val="Fin__Assumpt__-_Sensitivities32"/>
      <sheetName val="LOAD_SHEET_32"/>
      <sheetName val="Fill_this_out_first___32"/>
      <sheetName val="Labour_productivity32"/>
      <sheetName val="RCC,Ret__Wall32"/>
      <sheetName val="CORPN_O34"/>
      <sheetName val="Area_&amp;_Cate__Master32"/>
      <sheetName val="Bill_No_532"/>
      <sheetName val="11B_32"/>
      <sheetName val="Structure_Bills_Qty32"/>
      <sheetName val="DG_34"/>
      <sheetName val="BOQ_(2)32"/>
      <sheetName val="Fee_Rate_Summary32"/>
      <sheetName val="Name_List32"/>
      <sheetName val="Detail_1A32"/>
      <sheetName val="Sheet_132"/>
      <sheetName val="3BPA00132-5-3_W_plan_HVPNL32"/>
      <sheetName val="Mix_Design32"/>
      <sheetName val="DLC_lookups32"/>
      <sheetName val="Driveway_Beams32"/>
      <sheetName val="TBAL9697__x005f_x000a_grotp_wise_32"/>
      <sheetName val="Quote_Sheet32"/>
      <sheetName val="d-safe_DELUXE32"/>
      <sheetName val="Works_-_Quote_Sheet32"/>
      <sheetName val="IO_LIST32"/>
      <sheetName val="TBAL9697__x005f_x000d_grotp_wis32"/>
      <sheetName val="Cat_A_Change_Control32"/>
      <sheetName val="Break_up_Sheet32"/>
      <sheetName val="Summary_of_P_&amp;_M32"/>
      <sheetName val="ISO_Reconcilation_Statment32"/>
      <sheetName val="AVG_pur_rate32"/>
      <sheetName val="Break_Dw32"/>
      <sheetName val="LIST_OF_MAKES32"/>
      <sheetName val="Assumption_Inputs32"/>
      <sheetName val="Civil_Works32"/>
      <sheetName val="Form_632"/>
      <sheetName val="acevsSp_(ABC)32"/>
      <sheetName val="A_O_R_32"/>
      <sheetName val="CORPN_O_x005f_x005f_x005f_x0000_T32"/>
      <sheetName val="220_11__BS_32"/>
      <sheetName val="FITZ_MORT_9432"/>
      <sheetName val="Intro_32"/>
      <sheetName val="BLOCK-A_(MEA_SHEET)32"/>
      <sheetName val="NLD_-_Assum32"/>
      <sheetName val="Section_Catalogue32"/>
      <sheetName val="TB9798OBPL06_(2)37"/>
      <sheetName val="CORPN_OCT37"/>
      <sheetName val="inout_consol-nov37"/>
      <sheetName val="inout_consol_(2)37"/>
      <sheetName val="AS_ON_DT_EXPS_Mar37"/>
      <sheetName val="fa-pl_&amp;_mach-site37"/>
      <sheetName val="fa_off_eqp37"/>
      <sheetName val="fa_fur&amp;_fix37"/>
      <sheetName val="fa-pl_&amp;_mach-Off37"/>
      <sheetName val="B_Equity-sdpl_INC37"/>
      <sheetName val="inout_consol_wkg37"/>
      <sheetName val="inout_consol_WKNG37"/>
      <sheetName val="B_Sheet_9737"/>
      <sheetName val="P&amp;L_97_37"/>
      <sheetName val="B_Sheet_97-BEXP37"/>
      <sheetName val="P&amp;L_97_-BEXP37"/>
      <sheetName val="consol_flows37"/>
      <sheetName val="sdpl_oth_Liab37"/>
      <sheetName val="obpl-oth_liab37"/>
      <sheetName val="G_land_advance37"/>
      <sheetName val="I-Wip-ot_(2)37"/>
      <sheetName val="detail_WIP_(2)37"/>
      <sheetName val="detail_G-137"/>
      <sheetName val="sobha_menon_ac37"/>
      <sheetName val="pnc_ac37"/>
      <sheetName val="fix_-p_&amp;_M_-SCC37"/>
      <sheetName val="C_fix_asst37"/>
      <sheetName val="D_fix_asst_scdl_37"/>
      <sheetName val="creditors_tb_obpl37"/>
      <sheetName val="TBAL9697_-group_wise__sdpl47"/>
      <sheetName val="TBAL9697_-group_wise_37"/>
      <sheetName val="crs_-G-137"/>
      <sheetName val="TBAL9697_-group_wise__onpl37"/>
      <sheetName val="B_Sheet_97-OBPL37"/>
      <sheetName val="B_Sheet_97_sdpl37"/>
      <sheetName val="TBAL9697_-group_wise__sdpl237"/>
      <sheetName val="inout_consol_jan37"/>
      <sheetName val="consol_flow37"/>
      <sheetName val="D_Loan__Prom37"/>
      <sheetName val="E_Bank_Loan37"/>
      <sheetName val="G_work_Cap37"/>
      <sheetName val="H_land_adv-dec37"/>
      <sheetName val="J_Con_WIP37"/>
      <sheetName val="detail_J37"/>
      <sheetName val="L_Oth_Co37"/>
      <sheetName val="K_fix_asst__37"/>
      <sheetName val="C_fix_asst-SDPL_37"/>
      <sheetName val="TBAL9697__group_wise__sdpl37"/>
      <sheetName val="inout_consol_okg37"/>
      <sheetName val="detail_OIP_(2)37"/>
      <sheetName val="D_fix_ysst_scdl_37"/>
      <sheetName val="cre`itors_tb_obpl37"/>
      <sheetName val="3AL9697_-group_wise__onpl37"/>
      <sheetName val="L_Oth_Bo36"/>
      <sheetName val="3‰AL9697_-group_wise__onpl36"/>
      <sheetName val="Civil_Boq36"/>
      <sheetName val="Staff_Acco_36"/>
      <sheetName val="SITE_OVERHEADS36"/>
      <sheetName val="Boq_Block_A36"/>
      <sheetName val="Project-Material_36"/>
      <sheetName val="3�AL9697_-group_wise__onpl36"/>
      <sheetName val="Assumption_Inputs31"/>
      <sheetName val="Section_Catalogue31"/>
      <sheetName val="TB9798OBPL06_(2)39"/>
      <sheetName val="CORPN_OCT39"/>
      <sheetName val="inout_consol-nov39"/>
      <sheetName val="inout_consol_(2)39"/>
      <sheetName val="AS_ON_DT_EXPS_Mar39"/>
      <sheetName val="fa-pl_&amp;_mach-site39"/>
      <sheetName val="fa_off_eqp39"/>
      <sheetName val="fa_fur&amp;_fix39"/>
      <sheetName val="fa-pl_&amp;_mach-Off39"/>
      <sheetName val="B_Equity-sdpl_INC39"/>
      <sheetName val="inout_consol_wkg39"/>
      <sheetName val="inout_consol_WKNG39"/>
      <sheetName val="B_Sheet_9739"/>
      <sheetName val="P&amp;L_97_39"/>
      <sheetName val="B_Sheet_97-BEXP39"/>
      <sheetName val="P&amp;L_97_-BEXP39"/>
      <sheetName val="consol_flows39"/>
      <sheetName val="sdpl_oth_Liab39"/>
      <sheetName val="obpl-oth_liab39"/>
      <sheetName val="G_land_advance39"/>
      <sheetName val="I-Wip-ot_(2)39"/>
      <sheetName val="detail_WIP_(2)39"/>
      <sheetName val="detail_G-139"/>
      <sheetName val="sobha_menon_ac39"/>
      <sheetName val="pnc_ac39"/>
      <sheetName val="fix_-p_&amp;_M_-SCC39"/>
      <sheetName val="C_fix_asst39"/>
      <sheetName val="D_fix_asst_scdl_39"/>
      <sheetName val="creditors_tb_obpl39"/>
      <sheetName val="TBAL9697_-group_wise__sdpl49"/>
      <sheetName val="TBAL9697_-group_wise_39"/>
      <sheetName val="crs_-G-139"/>
      <sheetName val="TBAL9697_-group_wise__onpl39"/>
      <sheetName val="B_Sheet_97-OBPL39"/>
      <sheetName val="B_Sheet_97_sdpl39"/>
      <sheetName val="TBAL9697_-group_wise__sdpl239"/>
      <sheetName val="inout_consol_jan39"/>
      <sheetName val="consol_flow39"/>
      <sheetName val="D_Loan__Prom39"/>
      <sheetName val="E_Bank_Loan39"/>
      <sheetName val="G_work_Cap39"/>
      <sheetName val="H_land_adv-dec39"/>
      <sheetName val="J_Con_WIP39"/>
      <sheetName val="detail_J39"/>
      <sheetName val="L_Oth_Co39"/>
      <sheetName val="K_fix_asst__39"/>
      <sheetName val="C_fix_asst-SDPL_39"/>
      <sheetName val="TBAL9697__group_wise__sdpl39"/>
      <sheetName val="inout_consol_okg39"/>
      <sheetName val="detail_OIP_(2)39"/>
      <sheetName val="D_fix_ysst_scdl_39"/>
      <sheetName val="cre`itors_tb_obpl39"/>
      <sheetName val="3AL9697_-group_wise__onpl39"/>
      <sheetName val="L_Oth_Bo38"/>
      <sheetName val="3‰AL9697_-group_wise__onpl38"/>
      <sheetName val="Civil_Boq38"/>
      <sheetName val="Staff_Acco_38"/>
      <sheetName val="SITE_OVERHEADS38"/>
      <sheetName val="PRECAST_lightconc-II36"/>
      <sheetName val="1__PayRec35"/>
      <sheetName val="Boq_Block_A38"/>
      <sheetName val="Cashflow_projection35"/>
      <sheetName val="Project-Material_38"/>
      <sheetName val="SPT_vs_PHI35"/>
      <sheetName val="key_dates35"/>
      <sheetName val="ino4t_conso,-nov35"/>
      <sheetName val="(nout_co,sol_(2)35"/>
      <sheetName val="Blr_hire35"/>
      <sheetName val="_bpl,oth_lia_35"/>
      <sheetName val="G_,and_adv_nce35"/>
      <sheetName val="I,Wip-ot__2)35"/>
      <sheetName val="det!il_WIP_(2)35"/>
      <sheetName val="de4ail_G-135"/>
      <sheetName val="sobha_mennn_ac35"/>
      <sheetName val="C_&amp;ix_asst35"/>
      <sheetName val="_x005f_x0003_dpl_oth_Lia`35"/>
      <sheetName val="TBAL9697__x005f_x000d_grotp_wise_35"/>
      <sheetName val="St_co_91_5lvl35"/>
      <sheetName val="3�AL9697_-group_wise__onpl38"/>
      <sheetName val="INPUT_SHEET35"/>
      <sheetName val="Stress_Calculation35"/>
      <sheetName val="Labor_abs-NMR35"/>
      <sheetName val="Sun_E_Type35"/>
      <sheetName val="CORPN_O?T35"/>
      <sheetName val="Fin_Sum35"/>
      <sheetName val="CORPN_O_x005f_x0000_T35"/>
      <sheetName val="TBAL9697__x000a_grotp_wise_35"/>
      <sheetName val="labour_coeff33"/>
      <sheetName val="Shuttering_Analysis33"/>
      <sheetName val="General_P+M33"/>
      <sheetName val="Curing_Analysis_33"/>
      <sheetName val="Concrete_P+M_(_RMC_)33"/>
      <sheetName val="P+M_(_SMC_)33"/>
      <sheetName val="P+M_-EW33"/>
      <sheetName val="P&amp;L_-_AD33"/>
      <sheetName val="SUPPLY_-Sanitary_Fixtures35"/>
      <sheetName val="ITEMS_FOR_CIVIL_TENDER35"/>
      <sheetName val="_x005f_x005f_x005f_x0003_dpl_oth_Lia`35"/>
      <sheetName val="TBAL9697__x005f_x005f_x005f_x000d_grotp_w35"/>
      <sheetName val="Fin__Assumpt__-_Sensitivities33"/>
      <sheetName val="LOAD_SHEET_33"/>
      <sheetName val="Fill_this_out_first___33"/>
      <sheetName val="Labour_productivity33"/>
      <sheetName val="RCC,Ret__Wall33"/>
      <sheetName val="CORPN_O35"/>
      <sheetName val="Area_&amp;_Cate__Master33"/>
      <sheetName val="Bill_No_533"/>
      <sheetName val="11B_33"/>
      <sheetName val="Structure_Bills_Qty33"/>
      <sheetName val="DG_35"/>
      <sheetName val="BOQ_(2)33"/>
      <sheetName val="Fee_Rate_Summary33"/>
      <sheetName val="Name_List33"/>
      <sheetName val="Detail_1A33"/>
      <sheetName val="Sheet_133"/>
      <sheetName val="3BPA00132-5-3_W_plan_HVPNL33"/>
      <sheetName val="Mix_Design33"/>
      <sheetName val="DLC_lookups33"/>
      <sheetName val="Driveway_Beams33"/>
      <sheetName val="TBAL9697__x005f_x000a_grotp_wise_33"/>
      <sheetName val="Quote_Sheet33"/>
      <sheetName val="d-safe_DELUXE33"/>
      <sheetName val="Works_-_Quote_Sheet33"/>
      <sheetName val="IO_LIST33"/>
      <sheetName val="TBAL9697__x005f_x000d_grotp_wis33"/>
      <sheetName val="Cat_A_Change_Control33"/>
      <sheetName val="Break_up_Sheet33"/>
      <sheetName val="Summary_of_P_&amp;_M33"/>
      <sheetName val="ISO_Reconcilation_Statment33"/>
      <sheetName val="AVG_pur_rate33"/>
      <sheetName val="Break_Dw33"/>
      <sheetName val="LIST_OF_MAKES33"/>
      <sheetName val="Assumption_Inputs33"/>
      <sheetName val="Civil_Works33"/>
      <sheetName val="Form_633"/>
      <sheetName val="acevsSp_(ABC)33"/>
      <sheetName val="A_O_R_33"/>
      <sheetName val="CORPN_O_x005f_x005f_x005f_x0000_T33"/>
      <sheetName val="220_11__BS_33"/>
      <sheetName val="FITZ_MORT_9433"/>
      <sheetName val="Intro_33"/>
      <sheetName val="BLOCK-A_(MEA_SHEET)33"/>
      <sheetName val="NLD_-_Assum33"/>
      <sheetName val="Section_Catalogue33"/>
      <sheetName val="TB9798OBPL06_(2)40"/>
      <sheetName val="CORPN_OCT40"/>
      <sheetName val="inout_consol-nov40"/>
      <sheetName val="inout_consol_(2)40"/>
      <sheetName val="AS_ON_DT_EXPS_Mar40"/>
      <sheetName val="fa-pl_&amp;_mach-site40"/>
      <sheetName val="fa_off_eqp40"/>
      <sheetName val="fa_fur&amp;_fix40"/>
      <sheetName val="fa-pl_&amp;_mach-Off40"/>
      <sheetName val="B_Equity-sdpl_INC40"/>
      <sheetName val="inout_consol_wkg40"/>
      <sheetName val="inout_consol_WKNG40"/>
      <sheetName val="B_Sheet_9740"/>
      <sheetName val="P&amp;L_97_40"/>
      <sheetName val="B_Sheet_97-BEXP40"/>
      <sheetName val="P&amp;L_97_-BEXP40"/>
      <sheetName val="consol_flows40"/>
      <sheetName val="sdpl_oth_Liab40"/>
      <sheetName val="obpl-oth_liab40"/>
      <sheetName val="G_land_advance40"/>
      <sheetName val="I-Wip-ot_(2)40"/>
      <sheetName val="detail_WIP_(2)40"/>
      <sheetName val="detail_G-140"/>
      <sheetName val="sobha_menon_ac40"/>
      <sheetName val="pnc_ac40"/>
      <sheetName val="fix_-p_&amp;_M_-SCC40"/>
      <sheetName val="C_fix_asst40"/>
      <sheetName val="D_fix_asst_scdl_40"/>
      <sheetName val="creditors_tb_obpl40"/>
      <sheetName val="TBAL9697_-group_wise__sdpl50"/>
      <sheetName val="TBAL9697_-group_wise_40"/>
      <sheetName val="crs_-G-140"/>
      <sheetName val="TBAL9697_-group_wise__onpl40"/>
      <sheetName val="B_Sheet_97-OBPL40"/>
      <sheetName val="B_Sheet_97_sdpl40"/>
      <sheetName val="TBAL9697_-group_wise__sdpl240"/>
      <sheetName val="inout_consol_jan40"/>
      <sheetName val="consol_flow40"/>
      <sheetName val="D_Loan__Prom40"/>
      <sheetName val="E_Bank_Loan40"/>
      <sheetName val="G_work_Cap40"/>
      <sheetName val="H_land_adv-dec40"/>
      <sheetName val="J_Con_WIP40"/>
      <sheetName val="detail_J40"/>
      <sheetName val="L_Oth_Co40"/>
      <sheetName val="K_fix_asst__40"/>
      <sheetName val="C_fix_asst-SDPL_40"/>
      <sheetName val="TBAL9697__group_wise__sdpl40"/>
      <sheetName val="inout_consol_okg40"/>
      <sheetName val="detail_OIP_(2)40"/>
      <sheetName val="D_fix_ysst_scdl_40"/>
      <sheetName val="cre`itors_tb_obpl40"/>
      <sheetName val="3AL9697_-group_wise__onpl40"/>
      <sheetName val="L_Oth_Bo39"/>
      <sheetName val="3‰AL9697_-group_wise__onpl39"/>
      <sheetName val="Civil_Boq39"/>
      <sheetName val="Staff_Acco_39"/>
      <sheetName val="SITE_OVERHEADS39"/>
      <sheetName val="PRECAST_lightconc-II37"/>
      <sheetName val="1__PayRec36"/>
      <sheetName val="Boq_Block_A39"/>
      <sheetName val="Cashflow_projection36"/>
      <sheetName val="Project-Material_39"/>
      <sheetName val="SPT_vs_PHI36"/>
      <sheetName val="key_dates36"/>
      <sheetName val="ino4t_conso,-nov36"/>
      <sheetName val="(nout_co,sol_(2)36"/>
      <sheetName val="Blr_hire36"/>
      <sheetName val="_bpl,oth_lia_36"/>
      <sheetName val="G_,and_adv_nce36"/>
      <sheetName val="I,Wip-ot__2)36"/>
      <sheetName val="det!il_WIP_(2)36"/>
      <sheetName val="de4ail_G-136"/>
      <sheetName val="sobha_mennn_ac36"/>
      <sheetName val="C_&amp;ix_asst36"/>
      <sheetName val="_x005f_x0003_dpl_oth_Lia`36"/>
      <sheetName val="TBAL9697__x005f_x000d_grotp_wise_36"/>
      <sheetName val="St_co_91_5lvl36"/>
      <sheetName val="3�AL9697_-group_wise__onpl39"/>
      <sheetName val="INPUT_SHEET36"/>
      <sheetName val="Stress_Calculation36"/>
      <sheetName val="Labor_abs-NMR36"/>
      <sheetName val="Sun_E_Type36"/>
      <sheetName val="CORPN_O?T36"/>
      <sheetName val="Fin_Sum36"/>
      <sheetName val="CORPN_O_x005f_x0000_T36"/>
      <sheetName val="TBAL9697__x000a_grotp_wise_36"/>
      <sheetName val="labour_coeff34"/>
      <sheetName val="Shuttering_Analysis34"/>
      <sheetName val="General_P+M34"/>
      <sheetName val="Curing_Analysis_34"/>
      <sheetName val="Concrete_P+M_(_RMC_)34"/>
      <sheetName val="P+M_(_SMC_)34"/>
      <sheetName val="P+M_-EW34"/>
      <sheetName val="P&amp;L_-_AD34"/>
      <sheetName val="SUPPLY_-Sanitary_Fixtures36"/>
      <sheetName val="ITEMS_FOR_CIVIL_TENDER36"/>
      <sheetName val="_x005f_x005f_x005f_x0003_dpl_oth_Lia`36"/>
      <sheetName val="TBAL9697__x005f_x005f_x005f_x000d_grotp_w36"/>
      <sheetName val="Fin__Assumpt__-_Sensitivities34"/>
      <sheetName val="LOAD_SHEET_34"/>
      <sheetName val="Fill_this_out_first___34"/>
      <sheetName val="Labour_productivity34"/>
      <sheetName val="RCC,Ret__Wall34"/>
      <sheetName val="CORPN_O36"/>
      <sheetName val="CORPN_O_T34"/>
      <sheetName val="Area_&amp;_Cate__Master34"/>
      <sheetName val="Bill_No_534"/>
      <sheetName val="11B_34"/>
      <sheetName val="Structure_Bills_Qty34"/>
      <sheetName val="DG_36"/>
      <sheetName val="BOQ_(2)34"/>
      <sheetName val="Fee_Rate_Summary34"/>
      <sheetName val="Name_List34"/>
      <sheetName val="Detail_1A34"/>
      <sheetName val="Sheet_134"/>
      <sheetName val="3BPA00132-5-3_W_plan_HVPNL34"/>
      <sheetName val="Mix_Design34"/>
      <sheetName val="DLC_lookups34"/>
      <sheetName val="Driveway_Beams34"/>
      <sheetName val="TBAL9697__x005f_x000a_grotp_wise_34"/>
      <sheetName val="Quote_Sheet34"/>
      <sheetName val="d-safe_DELUXE34"/>
      <sheetName val="Works_-_Quote_Sheet34"/>
      <sheetName val="IO_LIST34"/>
      <sheetName val="TBAL9697__x005f_x000d_grotp_wis34"/>
      <sheetName val="Cat_A_Change_Control34"/>
      <sheetName val="Break_up_Sheet34"/>
      <sheetName val="Summary_of_P_&amp;_M34"/>
      <sheetName val="ISO_Reconcilation_Statment34"/>
      <sheetName val="AVG_pur_rate34"/>
      <sheetName val="Break_Dw34"/>
      <sheetName val="LIST_OF_MAKES34"/>
      <sheetName val="Assumption_Inputs34"/>
      <sheetName val="Civil_Works34"/>
      <sheetName val="Form_634"/>
      <sheetName val="acevsSp_(ABC)34"/>
      <sheetName val="A_O_R_34"/>
      <sheetName val="CORPN_O_x005f_x005f_x005f_x0000_T34"/>
      <sheetName val="220_11__BS_34"/>
      <sheetName val="FITZ_MORT_9434"/>
      <sheetName val="Intro_34"/>
      <sheetName val="BLOCK-A_(MEA_SHEET)34"/>
      <sheetName val="NLD_-_Assum34"/>
      <sheetName val="Section_Catalogue34"/>
      <sheetName val="TB9798OBPL06_(2)41"/>
      <sheetName val="CORPN_OCT41"/>
      <sheetName val="inout_consol-nov41"/>
      <sheetName val="inout_consol_(2)41"/>
      <sheetName val="AS_ON_DT_EXPS_Mar41"/>
      <sheetName val="fa-pl_&amp;_mach-site41"/>
      <sheetName val="fa_off_eqp41"/>
      <sheetName val="fa_fur&amp;_fix41"/>
      <sheetName val="fa-pl_&amp;_mach-Off41"/>
      <sheetName val="B_Equity-sdpl_INC41"/>
      <sheetName val="inout_consol_wkg41"/>
      <sheetName val="inout_consol_WKNG41"/>
      <sheetName val="B_Sheet_9741"/>
      <sheetName val="P&amp;L_97_41"/>
      <sheetName val="B_Sheet_97-BEXP41"/>
      <sheetName val="P&amp;L_97_-BEXP41"/>
      <sheetName val="consol_flows41"/>
      <sheetName val="sdpl_oth_Liab41"/>
      <sheetName val="obpl-oth_liab41"/>
      <sheetName val="G_land_advance41"/>
      <sheetName val="I-Wip-ot_(2)41"/>
      <sheetName val="detail_WIP_(2)41"/>
      <sheetName val="detail_G-141"/>
      <sheetName val="sobha_menon_ac41"/>
      <sheetName val="pnc_ac41"/>
      <sheetName val="fix_-p_&amp;_M_-SCC41"/>
      <sheetName val="C_fix_asst41"/>
      <sheetName val="D_fix_asst_scdl_41"/>
      <sheetName val="creditors_tb_obpl41"/>
      <sheetName val="TBAL9697_-group_wise__sdpl51"/>
      <sheetName val="TBAL9697_-group_wise_41"/>
      <sheetName val="crs_-G-141"/>
      <sheetName val="TBAL9697_-group_wise__onpl41"/>
      <sheetName val="B_Sheet_97-OBPL41"/>
      <sheetName val="B_Sheet_97_sdpl41"/>
      <sheetName val="TBAL9697_-group_wise__sdpl241"/>
      <sheetName val="inout_consol_jan41"/>
      <sheetName val="consol_flow41"/>
      <sheetName val="D_Loan__Prom41"/>
      <sheetName val="E_Bank_Loan41"/>
      <sheetName val="G_work_Cap41"/>
      <sheetName val="H_land_adv-dec41"/>
      <sheetName val="J_Con_WIP41"/>
      <sheetName val="detail_J41"/>
      <sheetName val="L_Oth_Co41"/>
      <sheetName val="K_fix_asst__41"/>
      <sheetName val="C_fix_asst-SDPL_41"/>
      <sheetName val="TBAL9697__group_wise__sdpl41"/>
      <sheetName val="inout_consol_okg41"/>
      <sheetName val="detail_OIP_(2)41"/>
      <sheetName val="D_fix_ysst_scdl_41"/>
      <sheetName val="cre`itors_tb_obpl41"/>
      <sheetName val="3AL9697_-group_wise__onpl41"/>
      <sheetName val="L_Oth_Bo40"/>
      <sheetName val="3‰AL9697_-group_wise__onpl40"/>
      <sheetName val="Civil_Boq40"/>
      <sheetName val="Staff_Acco_40"/>
      <sheetName val="SITE_OVERHEADS40"/>
      <sheetName val="PRECAST_lightconc-II38"/>
      <sheetName val="1__PayRec37"/>
      <sheetName val="Boq_Block_A40"/>
      <sheetName val="Cashflow_projection37"/>
      <sheetName val="Project-Material_40"/>
      <sheetName val="SPT_vs_PHI37"/>
      <sheetName val="key_dates37"/>
      <sheetName val="ino4t_conso,-nov37"/>
      <sheetName val="(nout_co,sol_(2)37"/>
      <sheetName val="Blr_hire37"/>
      <sheetName val="_bpl,oth_lia_37"/>
      <sheetName val="G_,and_adv_nce37"/>
      <sheetName val="I,Wip-ot__2)37"/>
      <sheetName val="det!il_WIP_(2)37"/>
      <sheetName val="de4ail_G-137"/>
      <sheetName val="sobha_mennn_ac37"/>
      <sheetName val="C_&amp;ix_asst37"/>
      <sheetName val="_x005f_x0003_dpl_oth_Lia`37"/>
      <sheetName val="TBAL9697__x005f_x000d_grotp_wise_37"/>
      <sheetName val="St_co_91_5lvl37"/>
      <sheetName val="3�AL9697_-group_wise__onpl40"/>
      <sheetName val="INPUT_SHEET37"/>
      <sheetName val="Stress_Calculation37"/>
      <sheetName val="Labor_abs-NMR37"/>
      <sheetName val="Sun_E_Type37"/>
      <sheetName val="CORPN_O?T37"/>
      <sheetName val="Fin_Sum37"/>
      <sheetName val="CORPN_O_x005f_x0000_T37"/>
      <sheetName val="TBAL9697__x000a_grotp_wise_37"/>
      <sheetName val="labour_coeff35"/>
      <sheetName val="Shuttering_Analysis35"/>
      <sheetName val="General_P+M35"/>
      <sheetName val="Curing_Analysis_35"/>
      <sheetName val="Concrete_P+M_(_RMC_)35"/>
      <sheetName val="P+M_(_SMC_)35"/>
      <sheetName val="P+M_-EW35"/>
      <sheetName val="P&amp;L_-_AD35"/>
      <sheetName val="SUPPLY_-Sanitary_Fixtures37"/>
      <sheetName val="ITEMS_FOR_CIVIL_TENDER37"/>
      <sheetName val="_x005f_x005f_x005f_x0003_dpl_oth_Lia`37"/>
      <sheetName val="TBAL9697__x005f_x005f_x005f_x000d_grotp_w37"/>
      <sheetName val="Fin__Assumpt__-_Sensitivities35"/>
      <sheetName val="LOAD_SHEET_35"/>
      <sheetName val="Fill_this_out_first___35"/>
      <sheetName val="Labour_productivity35"/>
      <sheetName val="RCC,Ret__Wall35"/>
      <sheetName val="CORPN_O37"/>
      <sheetName val="CORPN_O_T35"/>
      <sheetName val="Area_&amp;_Cate__Master35"/>
      <sheetName val="Bill_No_535"/>
      <sheetName val="11B_35"/>
      <sheetName val="Structure_Bills_Qty35"/>
      <sheetName val="DG_37"/>
      <sheetName val="BOQ_(2)35"/>
      <sheetName val="Fee_Rate_Summary35"/>
      <sheetName val="Name_List35"/>
      <sheetName val="Detail_1A35"/>
      <sheetName val="Sheet_135"/>
      <sheetName val="3BPA00132-5-3_W_plan_HVPNL35"/>
      <sheetName val="Mix_Design35"/>
      <sheetName val="DLC_lookups35"/>
      <sheetName val="Driveway_Beams35"/>
      <sheetName val="TBAL9697__x005f_x000a_grotp_wise_35"/>
      <sheetName val="Quote_Sheet35"/>
      <sheetName val="d-safe_DELUXE35"/>
      <sheetName val="Works_-_Quote_Sheet35"/>
      <sheetName val="IO_LIST35"/>
      <sheetName val="TBAL9697__x005f_x000d_grotp_wis35"/>
      <sheetName val="Cat_A_Change_Control35"/>
      <sheetName val="Break_up_Sheet35"/>
      <sheetName val="Summary_of_P_&amp;_M35"/>
      <sheetName val="ISO_Reconcilation_Statment35"/>
      <sheetName val="AVG_pur_rate35"/>
      <sheetName val="Break_Dw35"/>
      <sheetName val="LIST_OF_MAKES35"/>
      <sheetName val="Assumption_Inputs35"/>
      <sheetName val="Civil_Works35"/>
      <sheetName val="Form_635"/>
      <sheetName val="acevsSp_(ABC)35"/>
      <sheetName val="A_O_R_35"/>
      <sheetName val="CORPN_O_x005f_x005f_x005f_x0000_T35"/>
      <sheetName val="220_11__BS_35"/>
      <sheetName val="FITZ_MORT_9435"/>
      <sheetName val="Intro_35"/>
      <sheetName val="BLOCK-A_(MEA_SHEET)35"/>
      <sheetName val="NLD_-_Assum35"/>
      <sheetName val="Section_Catalogue35"/>
      <sheetName val="TB9798OBPL06_(2)48"/>
      <sheetName val="CORPN_OCT48"/>
      <sheetName val="inout_consol-nov48"/>
      <sheetName val="inout_consol_(2)48"/>
      <sheetName val="AS_ON_DT_EXPS_Mar48"/>
      <sheetName val="fa-pl_&amp;_mach-site48"/>
      <sheetName val="fa_off_eqp48"/>
      <sheetName val="fa_fur&amp;_fix48"/>
      <sheetName val="fa-pl_&amp;_mach-Off48"/>
      <sheetName val="B_Equity-sdpl_INC48"/>
      <sheetName val="inout_consol_wkg48"/>
      <sheetName val="inout_consol_WKNG48"/>
      <sheetName val="B_Sheet_9748"/>
      <sheetName val="P&amp;L_97_48"/>
      <sheetName val="B_Sheet_97-BEXP48"/>
      <sheetName val="P&amp;L_97_-BEXP48"/>
      <sheetName val="consol_flows48"/>
      <sheetName val="sdpl_oth_Liab48"/>
      <sheetName val="obpl-oth_liab48"/>
      <sheetName val="G_land_advance48"/>
      <sheetName val="I-Wip-ot_(2)48"/>
      <sheetName val="detail_WIP_(2)48"/>
      <sheetName val="detail_G-148"/>
      <sheetName val="sobha_menon_ac48"/>
      <sheetName val="pnc_ac48"/>
      <sheetName val="fix_-p_&amp;_M_-SCC48"/>
      <sheetName val="C_fix_asst48"/>
      <sheetName val="D_fix_asst_scdl_48"/>
      <sheetName val="creditors_tb_obpl48"/>
      <sheetName val="TBAL9697_-group_wise__sdpl58"/>
      <sheetName val="TBAL9697_-group_wise_48"/>
      <sheetName val="crs_-G-148"/>
      <sheetName val="TBAL9697_-group_wise__onpl48"/>
      <sheetName val="B_Sheet_97-OBPL48"/>
      <sheetName val="B_Sheet_97_sdpl48"/>
      <sheetName val="TBAL9697_-group_wise__sdpl248"/>
      <sheetName val="inout_consol_jan48"/>
      <sheetName val="consol_flow48"/>
      <sheetName val="D_Loan__Prom48"/>
      <sheetName val="E_Bank_Loan48"/>
      <sheetName val="G_work_Cap48"/>
      <sheetName val="H_land_adv-dec48"/>
      <sheetName val="J_Con_WIP48"/>
      <sheetName val="detail_J48"/>
      <sheetName val="L_Oth_Co48"/>
      <sheetName val="K_fix_asst__48"/>
      <sheetName val="C_fix_asst-SDPL_48"/>
      <sheetName val="TBAL9697__group_wise__sdpl48"/>
      <sheetName val="inout_consol_okg48"/>
      <sheetName val="detail_OIP_(2)48"/>
      <sheetName val="D_fix_ysst_scdl_48"/>
      <sheetName val="cre`itors_tb_obpl48"/>
      <sheetName val="3AL9697_-group_wise__onpl48"/>
      <sheetName val="L_Oth_Bo47"/>
      <sheetName val="3‰AL9697_-group_wise__onpl47"/>
      <sheetName val="Civil_Boq47"/>
      <sheetName val="Staff_Acco_47"/>
      <sheetName val="SITE_OVERHEADS47"/>
      <sheetName val="PRECAST_lightconc-II45"/>
      <sheetName val="1__PayRec44"/>
      <sheetName val="Boq_Block_A47"/>
      <sheetName val="Cashflow_projection44"/>
      <sheetName val="Project-Material_47"/>
      <sheetName val="SPT_vs_PHI44"/>
      <sheetName val="key_dates44"/>
      <sheetName val="ino4t_conso,-nov44"/>
      <sheetName val="(nout_co,sol_(2)44"/>
      <sheetName val="Blr_hire44"/>
      <sheetName val="_bpl,oth_lia_44"/>
      <sheetName val="G_,and_adv_nce44"/>
      <sheetName val="I,Wip-ot__2)44"/>
      <sheetName val="det!il_WIP_(2)44"/>
      <sheetName val="de4ail_G-144"/>
      <sheetName val="sobha_mennn_ac44"/>
      <sheetName val="C_&amp;ix_asst44"/>
      <sheetName val="_x005f_x0003_dpl_oth_Lia`44"/>
      <sheetName val="TBAL9697__x005f_x000d_grotp_wise_44"/>
      <sheetName val="St_co_91_5lvl44"/>
      <sheetName val="3�AL9697_-group_wise__onpl47"/>
      <sheetName val="INPUT_SHEET44"/>
      <sheetName val="Stress_Calculation44"/>
      <sheetName val="Labor_abs-NMR44"/>
      <sheetName val="Sun_E_Type44"/>
      <sheetName val="CORPN_O?T44"/>
      <sheetName val="Fin_Sum44"/>
      <sheetName val="CORPN_O_x005f_x0000_T44"/>
      <sheetName val="TBAL9697__x000a_grotp_wise_44"/>
      <sheetName val="labour_coeff42"/>
      <sheetName val="Shuttering_Analysis42"/>
      <sheetName val="General_P+M42"/>
      <sheetName val="Curing_Analysis_42"/>
      <sheetName val="Concrete_P+M_(_RMC_)42"/>
      <sheetName val="P+M_(_SMC_)42"/>
      <sheetName val="P+M_-EW42"/>
      <sheetName val="P&amp;L_-_AD42"/>
      <sheetName val="SUPPLY_-Sanitary_Fixtures44"/>
      <sheetName val="ITEMS_FOR_CIVIL_TENDER44"/>
      <sheetName val="_x005f_x005f_x005f_x0003_dpl_oth_Lia`44"/>
      <sheetName val="TBAL9697__x005f_x005f_x005f_x000d_grotp_w44"/>
      <sheetName val="Fin__Assumpt__-_Sensitivities42"/>
      <sheetName val="LOAD_SHEET_42"/>
      <sheetName val="Fill_this_out_first___42"/>
      <sheetName val="Labour_productivity42"/>
      <sheetName val="RCC,Ret__Wall42"/>
      <sheetName val="CORPN_O44"/>
      <sheetName val="CORPN_O_T42"/>
      <sheetName val="Area_&amp;_Cate__Master42"/>
      <sheetName val="Bill_No_542"/>
      <sheetName val="11B_42"/>
      <sheetName val="Structure_Bills_Qty42"/>
      <sheetName val="DG_44"/>
      <sheetName val="BOQ_(2)42"/>
      <sheetName val="Fee_Rate_Summary42"/>
      <sheetName val="Name_List42"/>
      <sheetName val="Detail_1A42"/>
      <sheetName val="Sheet_142"/>
      <sheetName val="3BPA00132-5-3_W_plan_HVPNL42"/>
      <sheetName val="Mix_Design42"/>
      <sheetName val="DLC_lookups42"/>
      <sheetName val="Driveway_Beams42"/>
      <sheetName val="TBAL9697__x005f_x000a_grotp_wise_42"/>
      <sheetName val="Quote_Sheet42"/>
      <sheetName val="d-safe_DELUXE42"/>
      <sheetName val="Works_-_Quote_Sheet42"/>
      <sheetName val="IO_LIST42"/>
      <sheetName val="TBAL9697__x005f_x000d_grotp_wis42"/>
      <sheetName val="Cat_A_Change_Control42"/>
      <sheetName val="Break_up_Sheet42"/>
      <sheetName val="Summary_of_P_&amp;_M42"/>
      <sheetName val="ISO_Reconcilation_Statment42"/>
      <sheetName val="AVG_pur_rate42"/>
      <sheetName val="Break_Dw42"/>
      <sheetName val="LIST_OF_MAKES42"/>
      <sheetName val="Assumption_Inputs42"/>
      <sheetName val="Civil_Works42"/>
      <sheetName val="Form_642"/>
      <sheetName val="acevsSp_(ABC)42"/>
      <sheetName val="A_O_R_42"/>
      <sheetName val="CORPN_O_x005f_x005f_x005f_x0000_T42"/>
      <sheetName val="220_11__BS_42"/>
      <sheetName val="FITZ_MORT_9442"/>
      <sheetName val="Intro_42"/>
      <sheetName val="BLOCK-A_(MEA_SHEET)42"/>
      <sheetName val="NLD_-_Assum42"/>
      <sheetName val="Section_Catalogue42"/>
      <sheetName val="TB9798OBPL06_(2)43"/>
      <sheetName val="CORPN_OCT43"/>
      <sheetName val="inout_consol-nov43"/>
      <sheetName val="inout_consol_(2)43"/>
      <sheetName val="AS_ON_DT_EXPS_Mar43"/>
      <sheetName val="fa-pl_&amp;_mach-site43"/>
      <sheetName val="fa_off_eqp43"/>
      <sheetName val="fa_fur&amp;_fix43"/>
      <sheetName val="fa-pl_&amp;_mach-Off43"/>
      <sheetName val="B_Equity-sdpl_INC43"/>
      <sheetName val="inout_consol_wkg43"/>
      <sheetName val="inout_consol_WKNG43"/>
      <sheetName val="B_Sheet_9743"/>
      <sheetName val="P&amp;L_97_43"/>
      <sheetName val="B_Sheet_97-BEXP43"/>
      <sheetName val="P&amp;L_97_-BEXP43"/>
      <sheetName val="consol_flows43"/>
      <sheetName val="sdpl_oth_Liab43"/>
      <sheetName val="obpl-oth_liab43"/>
      <sheetName val="G_land_advance43"/>
      <sheetName val="I-Wip-ot_(2)43"/>
      <sheetName val="detail_WIP_(2)43"/>
      <sheetName val="detail_G-143"/>
      <sheetName val="sobha_menon_ac43"/>
      <sheetName val="pnc_ac43"/>
      <sheetName val="fix_-p_&amp;_M_-SCC43"/>
      <sheetName val="C_fix_asst43"/>
      <sheetName val="D_fix_asst_scdl_43"/>
      <sheetName val="creditors_tb_obpl43"/>
      <sheetName val="TBAL9697_-group_wise__sdpl53"/>
      <sheetName val="TBAL9697_-group_wise_43"/>
      <sheetName val="crs_-G-143"/>
      <sheetName val="TBAL9697_-group_wise__onpl43"/>
      <sheetName val="B_Sheet_97-OBPL43"/>
      <sheetName val="B_Sheet_97_sdpl43"/>
      <sheetName val="TBAL9697_-group_wise__sdpl243"/>
      <sheetName val="inout_consol_jan43"/>
      <sheetName val="consol_flow43"/>
      <sheetName val="D_Loan__Prom43"/>
      <sheetName val="E_Bank_Loan43"/>
      <sheetName val="G_work_Cap43"/>
      <sheetName val="H_land_adv-dec43"/>
      <sheetName val="J_Con_WIP43"/>
      <sheetName val="detail_J43"/>
      <sheetName val="L_Oth_Co43"/>
      <sheetName val="K_fix_asst__43"/>
      <sheetName val="C_fix_asst-SDPL_43"/>
      <sheetName val="TBAL9697__group_wise__sdpl43"/>
      <sheetName val="inout_consol_okg43"/>
      <sheetName val="detail_OIP_(2)43"/>
      <sheetName val="D_fix_ysst_scdl_43"/>
      <sheetName val="cre`itors_tb_obpl43"/>
      <sheetName val="3AL9697_-group_wise__onpl43"/>
      <sheetName val="L_Oth_Bo42"/>
      <sheetName val="3‰AL9697_-group_wise__onpl42"/>
      <sheetName val="Civil_Boq42"/>
      <sheetName val="Staff_Acco_42"/>
      <sheetName val="SITE_OVERHEADS42"/>
      <sheetName val="PRECAST_lightconc-II40"/>
      <sheetName val="1__PayRec39"/>
      <sheetName val="Boq_Block_A42"/>
      <sheetName val="Cashflow_projection39"/>
      <sheetName val="Project-Material_42"/>
      <sheetName val="SPT_vs_PHI39"/>
      <sheetName val="key_dates39"/>
      <sheetName val="ino4t_conso,-nov39"/>
      <sheetName val="(nout_co,sol_(2)39"/>
      <sheetName val="Blr_hire39"/>
      <sheetName val="_bpl,oth_lia_39"/>
      <sheetName val="G_,and_adv_nce39"/>
      <sheetName val="I,Wip-ot__2)39"/>
      <sheetName val="det!il_WIP_(2)39"/>
      <sheetName val="de4ail_G-139"/>
      <sheetName val="sobha_mennn_ac39"/>
      <sheetName val="C_&amp;ix_asst39"/>
      <sheetName val="_x005f_x0003_dpl_oth_Lia`39"/>
      <sheetName val="TBAL9697__x005f_x000d_grotp_wise_39"/>
      <sheetName val="St_co_91_5lvl39"/>
      <sheetName val="3�AL9697_-group_wise__onpl42"/>
      <sheetName val="INPUT_SHEET39"/>
      <sheetName val="Stress_Calculation39"/>
      <sheetName val="Labor_abs-NMR39"/>
      <sheetName val="Sun_E_Type39"/>
      <sheetName val="CORPN_O?T39"/>
      <sheetName val="Fin_Sum39"/>
      <sheetName val="CORPN_O_x005f_x0000_T39"/>
      <sheetName val="TBAL9697__x000a_grotp_wise_39"/>
      <sheetName val="labour_coeff37"/>
      <sheetName val="Shuttering_Analysis37"/>
      <sheetName val="General_P+M37"/>
      <sheetName val="Curing_Analysis_37"/>
      <sheetName val="Concrete_P+M_(_RMC_)37"/>
      <sheetName val="P+M_(_SMC_)37"/>
      <sheetName val="P+M_-EW37"/>
      <sheetName val="P&amp;L_-_AD37"/>
      <sheetName val="SUPPLY_-Sanitary_Fixtures39"/>
      <sheetName val="ITEMS_FOR_CIVIL_TENDER39"/>
      <sheetName val="_x005f_x005f_x005f_x0003_dpl_oth_Lia`39"/>
      <sheetName val="TBAL9697__x005f_x005f_x005f_x000d_grotp_w39"/>
      <sheetName val="Fin__Assumpt__-_Sensitivities37"/>
      <sheetName val="LOAD_SHEET_37"/>
      <sheetName val="Fill_this_out_first___37"/>
      <sheetName val="Labour_productivity37"/>
      <sheetName val="RCC,Ret__Wall37"/>
      <sheetName val="CORPN_O39"/>
      <sheetName val="CORPN_O_T37"/>
      <sheetName val="Area_&amp;_Cate__Master37"/>
      <sheetName val="Bill_No_537"/>
      <sheetName val="11B_37"/>
      <sheetName val="Structure_Bills_Qty37"/>
      <sheetName val="DG_39"/>
      <sheetName val="BOQ_(2)37"/>
      <sheetName val="Fee_Rate_Summary37"/>
      <sheetName val="Name_List37"/>
      <sheetName val="Detail_1A37"/>
      <sheetName val="Sheet_137"/>
      <sheetName val="3BPA00132-5-3_W_plan_HVPNL37"/>
      <sheetName val="Mix_Design37"/>
      <sheetName val="DLC_lookups37"/>
      <sheetName val="Driveway_Beams37"/>
      <sheetName val="TBAL9697__x005f_x000a_grotp_wise_37"/>
      <sheetName val="Quote_Sheet37"/>
      <sheetName val="d-safe_DELUXE37"/>
      <sheetName val="Works_-_Quote_Sheet37"/>
      <sheetName val="IO_LIST37"/>
      <sheetName val="TBAL9697__x005f_x000d_grotp_wis37"/>
      <sheetName val="Cat_A_Change_Control37"/>
      <sheetName val="Break_up_Sheet37"/>
      <sheetName val="Summary_of_P_&amp;_M37"/>
      <sheetName val="ISO_Reconcilation_Statment37"/>
      <sheetName val="AVG_pur_rate37"/>
      <sheetName val="Break_Dw37"/>
      <sheetName val="LIST_OF_MAKES37"/>
      <sheetName val="Assumption_Inputs37"/>
      <sheetName val="Civil_Works37"/>
      <sheetName val="Form_637"/>
      <sheetName val="acevsSp_(ABC)37"/>
      <sheetName val="A_O_R_37"/>
      <sheetName val="CORPN_O_x005f_x005f_x005f_x0000_T37"/>
      <sheetName val="220_11__BS_37"/>
      <sheetName val="FITZ_MORT_9437"/>
      <sheetName val="Intro_37"/>
      <sheetName val="BLOCK-A_(MEA_SHEET)37"/>
      <sheetName val="NLD_-_Assum37"/>
      <sheetName val="Section_Catalogue37"/>
      <sheetName val="TB9798OBPL06_(2)44"/>
      <sheetName val="CORPN_OCT44"/>
      <sheetName val="inout_consol-nov44"/>
      <sheetName val="inout_consol_(2)44"/>
      <sheetName val="AS_ON_DT_EXPS_Mar44"/>
      <sheetName val="fa-pl_&amp;_mach-site44"/>
      <sheetName val="fa_off_eqp44"/>
      <sheetName val="fa_fur&amp;_fix44"/>
      <sheetName val="fa-pl_&amp;_mach-Off44"/>
      <sheetName val="B_Equity-sdpl_INC44"/>
      <sheetName val="inout_consol_wkg44"/>
      <sheetName val="inout_consol_WKNG44"/>
      <sheetName val="B_Sheet_9744"/>
      <sheetName val="P&amp;L_97_44"/>
      <sheetName val="B_Sheet_97-BEXP44"/>
      <sheetName val="P&amp;L_97_-BEXP44"/>
      <sheetName val="consol_flows44"/>
      <sheetName val="sdpl_oth_Liab44"/>
      <sheetName val="obpl-oth_liab44"/>
      <sheetName val="G_land_advance44"/>
      <sheetName val="I-Wip-ot_(2)44"/>
      <sheetName val="detail_WIP_(2)44"/>
      <sheetName val="detail_G-144"/>
      <sheetName val="sobha_menon_ac44"/>
      <sheetName val="pnc_ac44"/>
      <sheetName val="fix_-p_&amp;_M_-SCC44"/>
      <sheetName val="C_fix_asst44"/>
      <sheetName val="D_fix_asst_scdl_44"/>
      <sheetName val="creditors_tb_obpl44"/>
      <sheetName val="TBAL9697_-group_wise__sdpl54"/>
      <sheetName val="TBAL9697_-group_wise_44"/>
      <sheetName val="crs_-G-144"/>
      <sheetName val="TBAL9697_-group_wise__onpl44"/>
      <sheetName val="B_Sheet_97-OBPL44"/>
      <sheetName val="B_Sheet_97_sdpl44"/>
      <sheetName val="TBAL9697_-group_wise__sdpl244"/>
      <sheetName val="inout_consol_jan44"/>
      <sheetName val="consol_flow44"/>
      <sheetName val="D_Loan__Prom44"/>
      <sheetName val="E_Bank_Loan44"/>
      <sheetName val="G_work_Cap44"/>
      <sheetName val="H_land_adv-dec44"/>
      <sheetName val="J_Con_WIP44"/>
      <sheetName val="detail_J44"/>
      <sheetName val="L_Oth_Co44"/>
      <sheetName val="K_fix_asst__44"/>
      <sheetName val="C_fix_asst-SDPL_44"/>
      <sheetName val="TBAL9697__group_wise__sdpl44"/>
      <sheetName val="inout_consol_okg44"/>
      <sheetName val="detail_OIP_(2)44"/>
      <sheetName val="D_fix_ysst_scdl_44"/>
      <sheetName val="cre`itors_tb_obpl44"/>
      <sheetName val="3AL9697_-group_wise__onpl44"/>
      <sheetName val="L_Oth_Bo43"/>
      <sheetName val="3‰AL9697_-group_wise__onpl43"/>
      <sheetName val="Civil_Boq43"/>
      <sheetName val="Staff_Acco_43"/>
      <sheetName val="SITE_OVERHEADS43"/>
      <sheetName val="PRECAST_lightconc-II41"/>
      <sheetName val="1__PayRec40"/>
      <sheetName val="Boq_Block_A43"/>
      <sheetName val="Cashflow_projection40"/>
      <sheetName val="Project-Material_43"/>
      <sheetName val="SPT_vs_PHI40"/>
      <sheetName val="key_dates40"/>
      <sheetName val="ino4t_conso,-nov40"/>
      <sheetName val="(nout_co,sol_(2)40"/>
      <sheetName val="Blr_hire40"/>
      <sheetName val="_bpl,oth_lia_40"/>
      <sheetName val="G_,and_adv_nce40"/>
      <sheetName val="I,Wip-ot__2)40"/>
      <sheetName val="det!il_WIP_(2)40"/>
      <sheetName val="de4ail_G-140"/>
      <sheetName val="sobha_mennn_ac40"/>
      <sheetName val="C_&amp;ix_asst40"/>
      <sheetName val="_x005f_x0003_dpl_oth_Lia`40"/>
      <sheetName val="TBAL9697__x005f_x000d_grotp_wise_40"/>
      <sheetName val="St_co_91_5lvl40"/>
      <sheetName val="3�AL9697_-group_wise__onpl43"/>
      <sheetName val="INPUT_SHEET40"/>
      <sheetName val="Stress_Calculation40"/>
      <sheetName val="Labor_abs-NMR40"/>
      <sheetName val="Sun_E_Type40"/>
      <sheetName val="CORPN_O?T40"/>
      <sheetName val="Fin_Sum40"/>
      <sheetName val="CORPN_O_x005f_x0000_T40"/>
      <sheetName val="TBAL9697__x000a_grotp_wise_40"/>
      <sheetName val="labour_coeff38"/>
      <sheetName val="Shuttering_Analysis38"/>
      <sheetName val="General_P+M38"/>
      <sheetName val="Curing_Analysis_38"/>
      <sheetName val="Concrete_P+M_(_RMC_)38"/>
      <sheetName val="P+M_(_SMC_)38"/>
      <sheetName val="P+M_-EW38"/>
      <sheetName val="P&amp;L_-_AD38"/>
      <sheetName val="SUPPLY_-Sanitary_Fixtures40"/>
      <sheetName val="ITEMS_FOR_CIVIL_TENDER40"/>
      <sheetName val="_x005f_x005f_x005f_x0003_dpl_oth_Lia`40"/>
      <sheetName val="TBAL9697__x005f_x005f_x005f_x000d_grotp_w40"/>
      <sheetName val="Fin__Assumpt__-_Sensitivities38"/>
      <sheetName val="LOAD_SHEET_38"/>
      <sheetName val="Fill_this_out_first___38"/>
      <sheetName val="Labour_productivity38"/>
      <sheetName val="RCC,Ret__Wall38"/>
      <sheetName val="CORPN_O40"/>
      <sheetName val="CORPN_O_T38"/>
      <sheetName val="Area_&amp;_Cate__Master38"/>
      <sheetName val="Bill_No_538"/>
      <sheetName val="11B_38"/>
      <sheetName val="Structure_Bills_Qty38"/>
      <sheetName val="DG_40"/>
      <sheetName val="BOQ_(2)38"/>
      <sheetName val="Fee_Rate_Summary38"/>
      <sheetName val="Name_List38"/>
      <sheetName val="Detail_1A38"/>
      <sheetName val="Sheet_138"/>
      <sheetName val="3BPA00132-5-3_W_plan_HVPNL38"/>
      <sheetName val="Mix_Design38"/>
      <sheetName val="DLC_lookups38"/>
      <sheetName val="Driveway_Beams38"/>
      <sheetName val="TBAL9697__x005f_x000a_grotp_wise_38"/>
      <sheetName val="Quote_Sheet38"/>
      <sheetName val="d-safe_DELUXE38"/>
      <sheetName val="Works_-_Quote_Sheet38"/>
      <sheetName val="IO_LIST38"/>
      <sheetName val="TBAL9697__x005f_x000d_grotp_wis38"/>
      <sheetName val="Cat_A_Change_Control38"/>
      <sheetName val="Break_up_Sheet38"/>
      <sheetName val="Summary_of_P_&amp;_M38"/>
      <sheetName val="ISO_Reconcilation_Statment38"/>
      <sheetName val="AVG_pur_rate38"/>
      <sheetName val="Break_Dw38"/>
      <sheetName val="LIST_OF_MAKES38"/>
      <sheetName val="Assumption_Inputs38"/>
      <sheetName val="Civil_Works38"/>
      <sheetName val="Form_638"/>
      <sheetName val="acevsSp_(ABC)38"/>
      <sheetName val="A_O_R_38"/>
      <sheetName val="CORPN_O_x005f_x005f_x005f_x0000_T38"/>
      <sheetName val="220_11__BS_38"/>
      <sheetName val="FITZ_MORT_9438"/>
      <sheetName val="Intro_38"/>
      <sheetName val="BLOCK-A_(MEA_SHEET)38"/>
      <sheetName val="NLD_-_Assum38"/>
      <sheetName val="Section_Catalogue38"/>
      <sheetName val="TB9798OBPL06_(2)46"/>
      <sheetName val="CORPN_OCT46"/>
      <sheetName val="inout_consol-nov46"/>
      <sheetName val="inout_consol_(2)46"/>
      <sheetName val="AS_ON_DT_EXPS_Mar46"/>
      <sheetName val="fa-pl_&amp;_mach-site46"/>
      <sheetName val="fa_off_eqp46"/>
      <sheetName val="fa_fur&amp;_fix46"/>
      <sheetName val="fa-pl_&amp;_mach-Off46"/>
      <sheetName val="B_Equity-sdpl_INC46"/>
      <sheetName val="inout_consol_wkg46"/>
      <sheetName val="inout_consol_WKNG46"/>
      <sheetName val="B_Sheet_9746"/>
      <sheetName val="P&amp;L_97_46"/>
      <sheetName val="B_Sheet_97-BEXP46"/>
      <sheetName val="P&amp;L_97_-BEXP46"/>
      <sheetName val="consol_flows46"/>
      <sheetName val="sdpl_oth_Liab46"/>
      <sheetName val="obpl-oth_liab46"/>
      <sheetName val="G_land_advance46"/>
      <sheetName val="I-Wip-ot_(2)46"/>
      <sheetName val="detail_WIP_(2)46"/>
      <sheetName val="detail_G-146"/>
      <sheetName val="sobha_menon_ac46"/>
      <sheetName val="pnc_ac46"/>
      <sheetName val="fix_-p_&amp;_M_-SCC46"/>
      <sheetName val="C_fix_asst46"/>
      <sheetName val="D_fix_asst_scdl_46"/>
      <sheetName val="creditors_tb_obpl46"/>
      <sheetName val="TBAL9697_-group_wise__sdpl56"/>
      <sheetName val="TBAL9697_-group_wise_46"/>
      <sheetName val="crs_-G-146"/>
      <sheetName val="TBAL9697_-group_wise__onpl46"/>
      <sheetName val="B_Sheet_97-OBPL46"/>
      <sheetName val="B_Sheet_97_sdpl46"/>
      <sheetName val="TBAL9697_-group_wise__sdpl246"/>
      <sheetName val="inout_consol_jan46"/>
      <sheetName val="consol_flow46"/>
      <sheetName val="D_Loan__Prom46"/>
      <sheetName val="E_Bank_Loan46"/>
      <sheetName val="G_work_Cap46"/>
      <sheetName val="H_land_adv-dec46"/>
      <sheetName val="J_Con_WIP46"/>
      <sheetName val="detail_J46"/>
      <sheetName val="L_Oth_Co46"/>
      <sheetName val="K_fix_asst__46"/>
      <sheetName val="C_fix_asst-SDPL_46"/>
      <sheetName val="TBAL9697__group_wise__sdpl46"/>
      <sheetName val="inout_consol_okg46"/>
      <sheetName val="detail_OIP_(2)46"/>
      <sheetName val="D_fix_ysst_scdl_46"/>
      <sheetName val="cre`itors_tb_obpl46"/>
      <sheetName val="3AL9697_-group_wise__onpl46"/>
      <sheetName val="L_Oth_Bo45"/>
      <sheetName val="3‰AL9697_-group_wise__onpl45"/>
      <sheetName val="Civil_Boq45"/>
      <sheetName val="Staff_Acco_45"/>
      <sheetName val="SITE_OVERHEADS45"/>
      <sheetName val="PRECAST_lightconc-II43"/>
      <sheetName val="1__PayRec42"/>
      <sheetName val="Boq_Block_A45"/>
      <sheetName val="Cashflow_projection42"/>
      <sheetName val="Project-Material_45"/>
      <sheetName val="SPT_vs_PHI42"/>
      <sheetName val="key_dates42"/>
      <sheetName val="ino4t_conso,-nov42"/>
      <sheetName val="(nout_co,sol_(2)42"/>
      <sheetName val="Blr_hire42"/>
      <sheetName val="_bpl,oth_lia_42"/>
      <sheetName val="G_,and_adv_nce42"/>
      <sheetName val="I,Wip-ot__2)42"/>
      <sheetName val="det!il_WIP_(2)42"/>
      <sheetName val="de4ail_G-142"/>
      <sheetName val="sobha_mennn_ac42"/>
      <sheetName val="C_&amp;ix_asst42"/>
      <sheetName val="_x005f_x0003_dpl_oth_Lia`42"/>
      <sheetName val="TBAL9697__x005f_x000d_grotp_wise_42"/>
      <sheetName val="St_co_91_5lvl42"/>
      <sheetName val="3�AL9697_-group_wise__onpl45"/>
      <sheetName val="INPUT_SHEET42"/>
      <sheetName val="Stress_Calculation42"/>
      <sheetName val="Labor_abs-NMR42"/>
      <sheetName val="Sun_E_Type42"/>
      <sheetName val="CORPN_O?T42"/>
      <sheetName val="Fin_Sum42"/>
      <sheetName val="CORPN_O_x005f_x0000_T42"/>
      <sheetName val="TBAL9697__x000a_grotp_wise_42"/>
      <sheetName val="labour_coeff40"/>
      <sheetName val="Shuttering_Analysis40"/>
      <sheetName val="General_P+M40"/>
      <sheetName val="Curing_Analysis_40"/>
      <sheetName val="Concrete_P+M_(_RMC_)40"/>
      <sheetName val="P+M_(_SMC_)40"/>
      <sheetName val="P+M_-EW40"/>
      <sheetName val="P&amp;L_-_AD40"/>
      <sheetName val="SUPPLY_-Sanitary_Fixtures42"/>
      <sheetName val="ITEMS_FOR_CIVIL_TENDER42"/>
      <sheetName val="_x005f_x005f_x005f_x0003_dpl_oth_Lia`42"/>
      <sheetName val="TBAL9697__x005f_x005f_x005f_x000d_grotp_w42"/>
      <sheetName val="Fin__Assumpt__-_Sensitivities40"/>
      <sheetName val="LOAD_SHEET_40"/>
      <sheetName val="Fill_this_out_first___40"/>
      <sheetName val="Labour_productivity40"/>
      <sheetName val="RCC,Ret__Wall40"/>
      <sheetName val="CORPN_O42"/>
      <sheetName val="CORPN_O_T40"/>
      <sheetName val="Area_&amp;_Cate__Master40"/>
      <sheetName val="Bill_No_540"/>
      <sheetName val="TBAL9697__grotp_wise_80"/>
      <sheetName val="11B_40"/>
      <sheetName val="Structure_Bills_Qty40"/>
      <sheetName val="DG_42"/>
      <sheetName val="BOQ_(2)40"/>
      <sheetName val="Fee_Rate_Summary40"/>
      <sheetName val="Name_List40"/>
      <sheetName val="Detail_1A40"/>
      <sheetName val="Sheet_140"/>
      <sheetName val="3BPA00132-5-3_W_plan_HVPNL40"/>
      <sheetName val="Mix_Design40"/>
      <sheetName val="DLC_lookups40"/>
      <sheetName val="Driveway_Beams40"/>
      <sheetName val="TBAL9697__x005f_x000a_grotp_wise_40"/>
      <sheetName val="Quote_Sheet40"/>
      <sheetName val="d-safe_DELUXE40"/>
      <sheetName val="Works_-_Quote_Sheet40"/>
      <sheetName val="IO_LIST40"/>
      <sheetName val="TBAL9697__x005f_x000d_grotp_wis40"/>
      <sheetName val="Cat_A_Change_Control40"/>
      <sheetName val="Break_up_Sheet40"/>
      <sheetName val="Summary_of_P_&amp;_M40"/>
      <sheetName val="ISO_Reconcilation_Statment40"/>
      <sheetName val="AVG_pur_rate40"/>
      <sheetName val="Break_Dw40"/>
      <sheetName val="LIST_OF_MAKES40"/>
      <sheetName val="Assumption_Inputs40"/>
      <sheetName val="Civil_Works40"/>
      <sheetName val="Form_640"/>
      <sheetName val="acevsSp_(ABC)40"/>
      <sheetName val="A_O_R_40"/>
      <sheetName val="CORPN_O_x005f_x005f_x005f_x0000_T40"/>
      <sheetName val="220_11__BS_40"/>
      <sheetName val="FITZ_MORT_9440"/>
      <sheetName val="Intro_40"/>
      <sheetName val="BLOCK-A_(MEA_SHEET)40"/>
      <sheetName val="NLD_-_Assum40"/>
      <sheetName val="Section_Catalogue40"/>
      <sheetName val="TB9798OBPL06_(2)45"/>
      <sheetName val="CORPN_OCT45"/>
      <sheetName val="inout_consol-nov45"/>
      <sheetName val="inout_consol_(2)45"/>
      <sheetName val="AS_ON_DT_EXPS_Mar45"/>
      <sheetName val="fa-pl_&amp;_mach-site45"/>
      <sheetName val="fa_off_eqp45"/>
      <sheetName val="fa_fur&amp;_fix45"/>
      <sheetName val="fa-pl_&amp;_mach-Off45"/>
      <sheetName val="B_Equity-sdpl_INC45"/>
      <sheetName val="inout_consol_wkg45"/>
      <sheetName val="inout_consol_WKNG45"/>
      <sheetName val="B_Sheet_9745"/>
      <sheetName val="P&amp;L_97_45"/>
      <sheetName val="B_Sheet_97-BEXP45"/>
      <sheetName val="P&amp;L_97_-BEXP45"/>
      <sheetName val="consol_flows45"/>
      <sheetName val="sdpl_oth_Liab45"/>
      <sheetName val="obpl-oth_liab45"/>
      <sheetName val="G_land_advance45"/>
      <sheetName val="I-Wip-ot_(2)45"/>
      <sheetName val="detail_WIP_(2)45"/>
      <sheetName val="detail_G-145"/>
      <sheetName val="sobha_menon_ac45"/>
      <sheetName val="pnc_ac45"/>
      <sheetName val="fix_-p_&amp;_M_-SCC45"/>
      <sheetName val="C_fix_asst45"/>
      <sheetName val="D_fix_asst_scdl_45"/>
      <sheetName val="creditors_tb_obpl45"/>
      <sheetName val="TBAL9697_-group_wise__sdpl55"/>
      <sheetName val="TBAL9697_-group_wise_45"/>
      <sheetName val="crs_-G-145"/>
      <sheetName val="TBAL9697_-group_wise__onpl45"/>
      <sheetName val="B_Sheet_97-OBPL45"/>
      <sheetName val="B_Sheet_97_sdpl45"/>
      <sheetName val="TBAL9697_-group_wise__sdpl245"/>
      <sheetName val="inout_consol_jan45"/>
      <sheetName val="consol_flow45"/>
      <sheetName val="D_Loan__Prom45"/>
      <sheetName val="E_Bank_Loan45"/>
      <sheetName val="G_work_Cap45"/>
      <sheetName val="H_land_adv-dec45"/>
      <sheetName val="J_Con_WIP45"/>
      <sheetName val="detail_J45"/>
      <sheetName val="L_Oth_Co45"/>
      <sheetName val="K_fix_asst__45"/>
      <sheetName val="C_fix_asst-SDPL_45"/>
      <sheetName val="TBAL9697__group_wise__sdpl45"/>
      <sheetName val="inout_consol_okg45"/>
      <sheetName val="detail_OIP_(2)45"/>
      <sheetName val="D_fix_ysst_scdl_45"/>
      <sheetName val="cre`itors_tb_obpl45"/>
      <sheetName val="3AL9697_-group_wise__onpl45"/>
      <sheetName val="L_Oth_Bo44"/>
      <sheetName val="3‰AL9697_-group_wise__onpl44"/>
      <sheetName val="Civil_Boq44"/>
      <sheetName val="Staff_Acco_44"/>
      <sheetName val="SITE_OVERHEADS44"/>
      <sheetName val="PRECAST_lightconc-II42"/>
      <sheetName val="1__PayRec41"/>
      <sheetName val="Boq_Block_A44"/>
      <sheetName val="Cashflow_projection41"/>
      <sheetName val="Project-Material_44"/>
      <sheetName val="SPT_vs_PHI41"/>
      <sheetName val="key_dates41"/>
      <sheetName val="ino4t_conso,-nov41"/>
      <sheetName val="(nout_co,sol_(2)41"/>
      <sheetName val="Blr_hire41"/>
      <sheetName val="_bpl,oth_lia_41"/>
      <sheetName val="G_,and_adv_nce41"/>
      <sheetName val="I,Wip-ot__2)41"/>
      <sheetName val="det!il_WIP_(2)41"/>
      <sheetName val="de4ail_G-141"/>
      <sheetName val="sobha_mennn_ac41"/>
      <sheetName val="C_&amp;ix_asst41"/>
      <sheetName val="_x005f_x0003_dpl_oth_Lia`41"/>
      <sheetName val="TBAL9697__x005f_x000d_grotp_wise_41"/>
      <sheetName val="St_co_91_5lvl41"/>
      <sheetName val="3�AL9697_-group_wise__onpl44"/>
      <sheetName val="INPUT_SHEET41"/>
      <sheetName val="Stress_Calculation41"/>
      <sheetName val="Labor_abs-NMR41"/>
      <sheetName val="Sun_E_Type41"/>
      <sheetName val="CORPN_O?T41"/>
      <sheetName val="Fin_Sum41"/>
      <sheetName val="CORPN_O_x005f_x0000_T41"/>
      <sheetName val="TBAL9697__x000a_grotp_wise_41"/>
      <sheetName val="labour_coeff39"/>
      <sheetName val="Shuttering_Analysis39"/>
      <sheetName val="General_P+M39"/>
      <sheetName val="Curing_Analysis_39"/>
      <sheetName val="Concrete_P+M_(_RMC_)39"/>
      <sheetName val="P+M_(_SMC_)39"/>
      <sheetName val="P+M_-EW39"/>
      <sheetName val="P&amp;L_-_AD39"/>
      <sheetName val="SUPPLY_-Sanitary_Fixtures41"/>
      <sheetName val="ITEMS_FOR_CIVIL_TENDER41"/>
      <sheetName val="_x005f_x005f_x005f_x0003_dpl_oth_Lia`41"/>
      <sheetName val="TBAL9697__x005f_x005f_x005f_x000d_grotp_w41"/>
      <sheetName val="Fin__Assumpt__-_Sensitivities39"/>
      <sheetName val="LOAD_SHEET_39"/>
      <sheetName val="Fill_this_out_first___39"/>
      <sheetName val="Labour_productivity39"/>
      <sheetName val="RCC,Ret__Wall39"/>
      <sheetName val="CORPN_O41"/>
      <sheetName val="CORPN_O_T39"/>
      <sheetName val="Area_&amp;_Cate__Master39"/>
      <sheetName val="Bill_No_539"/>
      <sheetName val="TBAL9697__grotp_wise_78"/>
      <sheetName val="11B_39"/>
      <sheetName val="Structure_Bills_Qty39"/>
      <sheetName val="DG_41"/>
      <sheetName val="BOQ_(2)39"/>
      <sheetName val="Fee_Rate_Summary39"/>
      <sheetName val="Name_List39"/>
      <sheetName val="Detail_1A39"/>
      <sheetName val="Sheet_139"/>
      <sheetName val="3BPA00132-5-3_W_plan_HVPNL39"/>
      <sheetName val="Mix_Design39"/>
      <sheetName val="DLC_lookups39"/>
      <sheetName val="Driveway_Beams39"/>
      <sheetName val="TBAL9697__x005f_x000a_grotp_wise_39"/>
      <sheetName val="Quote_Sheet39"/>
      <sheetName val="d-safe_DELUXE39"/>
      <sheetName val="Works_-_Quote_Sheet39"/>
      <sheetName val="IO_LIST39"/>
      <sheetName val="TBAL9697__x005f_x000d_grotp_wis39"/>
      <sheetName val="TBAL9697__grotp_wise_79"/>
      <sheetName val="Cat_A_Change_Control39"/>
      <sheetName val="Break_up_Sheet39"/>
      <sheetName val="Summary_of_P_&amp;_M39"/>
      <sheetName val="ISO_Reconcilation_Statment39"/>
      <sheetName val="AVG_pur_rate39"/>
      <sheetName val="Break_Dw39"/>
      <sheetName val="LIST_OF_MAKES39"/>
      <sheetName val="Assumption_Inputs39"/>
      <sheetName val="Civil_Works39"/>
      <sheetName val="Form_639"/>
      <sheetName val="acevsSp_(ABC)39"/>
      <sheetName val="A_O_R_39"/>
      <sheetName val="CORPN_O_x005f_x005f_x005f_x0000_T39"/>
      <sheetName val="220_11__BS_39"/>
      <sheetName val="FITZ_MORT_9439"/>
      <sheetName val="Intro_39"/>
      <sheetName val="BLOCK-A_(MEA_SHEET)39"/>
      <sheetName val="NLD_-_Assum39"/>
      <sheetName val="Section_Catalogue39"/>
      <sheetName val="TB9798OBPL06_(2)47"/>
      <sheetName val="CORPN_OCT47"/>
      <sheetName val="inout_consol-nov47"/>
      <sheetName val="inout_consol_(2)47"/>
      <sheetName val="AS_ON_DT_EXPS_Mar47"/>
      <sheetName val="fa-pl_&amp;_mach-site47"/>
      <sheetName val="fa_off_eqp47"/>
      <sheetName val="fa_fur&amp;_fix47"/>
      <sheetName val="fa-pl_&amp;_mach-Off47"/>
      <sheetName val="B_Equity-sdpl_INC47"/>
      <sheetName val="inout_consol_wkg47"/>
      <sheetName val="inout_consol_WKNG47"/>
      <sheetName val="B_Sheet_9747"/>
      <sheetName val="P&amp;L_97_47"/>
      <sheetName val="B_Sheet_97-BEXP47"/>
      <sheetName val="P&amp;L_97_-BEXP47"/>
      <sheetName val="consol_flows47"/>
      <sheetName val="sdpl_oth_Liab47"/>
      <sheetName val="obpl-oth_liab47"/>
      <sheetName val="G_land_advance47"/>
      <sheetName val="I-Wip-ot_(2)47"/>
      <sheetName val="detail_WIP_(2)47"/>
      <sheetName val="detail_G-147"/>
      <sheetName val="sobha_menon_ac47"/>
      <sheetName val="pnc_ac47"/>
      <sheetName val="fix_-p_&amp;_M_-SCC47"/>
      <sheetName val="C_fix_asst47"/>
      <sheetName val="D_fix_asst_scdl_47"/>
      <sheetName val="creditors_tb_obpl47"/>
      <sheetName val="TBAL9697_-group_wise__sdpl57"/>
      <sheetName val="TBAL9697_-group_wise_47"/>
      <sheetName val="crs_-G-147"/>
      <sheetName val="TBAL9697_-group_wise__onpl47"/>
      <sheetName val="B_Sheet_97-OBPL47"/>
      <sheetName val="B_Sheet_97_sdpl47"/>
      <sheetName val="TBAL9697_-group_wise__sdpl247"/>
      <sheetName val="inout_consol_jan47"/>
      <sheetName val="consol_flow47"/>
      <sheetName val="D_Loan__Prom47"/>
      <sheetName val="E_Bank_Loan47"/>
      <sheetName val="G_work_Cap47"/>
      <sheetName val="H_land_adv-dec47"/>
      <sheetName val="J_Con_WIP47"/>
      <sheetName val="detail_J47"/>
      <sheetName val="L_Oth_Co47"/>
      <sheetName val="K_fix_asst__47"/>
      <sheetName val="C_fix_asst-SDPL_47"/>
      <sheetName val="TBAL9697__group_wise__sdpl47"/>
      <sheetName val="inout_consol_okg47"/>
      <sheetName val="detail_OIP_(2)47"/>
      <sheetName val="D_fix_ysst_scdl_47"/>
      <sheetName val="cre`itors_tb_obpl47"/>
      <sheetName val="3AL9697_-group_wise__onpl47"/>
      <sheetName val="L_Oth_Bo46"/>
      <sheetName val="3‰AL9697_-group_wise__onpl46"/>
      <sheetName val="Civil_Boq46"/>
      <sheetName val="Staff_Acco_46"/>
      <sheetName val="SITE_OVERHEADS46"/>
      <sheetName val="PRECAST_lightconc-II44"/>
      <sheetName val="1__PayRec43"/>
      <sheetName val="Boq_Block_A46"/>
      <sheetName val="Cashflow_projection43"/>
      <sheetName val="Project-Material_46"/>
      <sheetName val="SPT_vs_PHI43"/>
      <sheetName val="key_dates43"/>
      <sheetName val="ino4t_conso,-nov43"/>
      <sheetName val="(nout_co,sol_(2)43"/>
      <sheetName val="Blr_hire43"/>
      <sheetName val="_bpl,oth_lia_43"/>
      <sheetName val="G_,and_adv_nce43"/>
      <sheetName val="I,Wip-ot__2)43"/>
      <sheetName val="det!il_WIP_(2)43"/>
      <sheetName val="de4ail_G-143"/>
      <sheetName val="sobha_mennn_ac43"/>
      <sheetName val="C_&amp;ix_asst43"/>
      <sheetName val="_x005f_x0003_dpl_oth_Lia`43"/>
      <sheetName val="TBAL9697__x005f_x000d_grotp_wise_43"/>
      <sheetName val="St_co_91_5lvl43"/>
      <sheetName val="3�AL9697_-group_wise__onpl46"/>
      <sheetName val="INPUT_SHEET43"/>
      <sheetName val="Stress_Calculation43"/>
      <sheetName val="Labor_abs-NMR43"/>
      <sheetName val="Sun_E_Type43"/>
      <sheetName val="CORPN_O?T43"/>
      <sheetName val="Fin_Sum43"/>
      <sheetName val="CORPN_O_x005f_x0000_T43"/>
      <sheetName val="TBAL9697__x000a_grotp_wise_43"/>
      <sheetName val="labour_coeff41"/>
      <sheetName val="Shuttering_Analysis41"/>
      <sheetName val="General_P+M41"/>
      <sheetName val="Curing_Analysis_41"/>
      <sheetName val="Concrete_P+M_(_RMC_)41"/>
      <sheetName val="P+M_(_SMC_)41"/>
      <sheetName val="P+M_-EW41"/>
      <sheetName val="P&amp;L_-_AD41"/>
      <sheetName val="SUPPLY_-Sanitary_Fixtures43"/>
      <sheetName val="ITEMS_FOR_CIVIL_TENDER43"/>
      <sheetName val="_x005f_x005f_x005f_x0003_dpl_oth_Lia`43"/>
      <sheetName val="TBAL9697__x005f_x005f_x005f_x000d_grotp_w43"/>
      <sheetName val="Fin__Assumpt__-_Sensitivities41"/>
      <sheetName val="LOAD_SHEET_41"/>
      <sheetName val="Fill_this_out_first___41"/>
      <sheetName val="Labour_productivity41"/>
      <sheetName val="RCC,Ret__Wall41"/>
      <sheetName val="CORPN_O43"/>
      <sheetName val="CORPN_O_T41"/>
      <sheetName val="Area_&amp;_Cate__Master41"/>
      <sheetName val="Bill_No_541"/>
      <sheetName val="11B_41"/>
      <sheetName val="Structure_Bills_Qty41"/>
      <sheetName val="DG_43"/>
      <sheetName val="BOQ_(2)41"/>
      <sheetName val="Fee_Rate_Summary41"/>
      <sheetName val="Name_List41"/>
      <sheetName val="Detail_1A41"/>
      <sheetName val="Sheet_141"/>
      <sheetName val="3BPA00132-5-3_W_plan_HVPNL41"/>
      <sheetName val="Mix_Design41"/>
      <sheetName val="DLC_lookups41"/>
      <sheetName val="Driveway_Beams41"/>
      <sheetName val="TBAL9697__x005f_x000a_grotp_wise_41"/>
      <sheetName val="Quote_Sheet41"/>
      <sheetName val="d-safe_DELUXE41"/>
      <sheetName val="Works_-_Quote_Sheet41"/>
      <sheetName val="IO_LIST41"/>
      <sheetName val="TBAL9697__x005f_x000d_grotp_wis41"/>
      <sheetName val="Cat_A_Change_Control41"/>
      <sheetName val="Break_up_Sheet41"/>
      <sheetName val="Summary_of_P_&amp;_M41"/>
      <sheetName val="ISO_Reconcilation_Statment41"/>
      <sheetName val="AVG_pur_rate41"/>
      <sheetName val="Break_Dw41"/>
      <sheetName val="LIST_OF_MAKES41"/>
      <sheetName val="Assumption_Inputs41"/>
      <sheetName val="Civil_Works41"/>
      <sheetName val="Form_641"/>
      <sheetName val="acevsSp_(ABC)41"/>
      <sheetName val="A_O_R_41"/>
      <sheetName val="CORPN_O_x005f_x005f_x005f_x0000_T41"/>
      <sheetName val="220_11__BS_41"/>
      <sheetName val="FITZ_MORT_9441"/>
      <sheetName val="Intro_41"/>
      <sheetName val="BLOCK-A_(MEA_SHEET)41"/>
      <sheetName val="NLD_-_Assum41"/>
      <sheetName val="Section_Catalogue41"/>
      <sheetName val="TB9798OBPL06_(2)49"/>
      <sheetName val="CORPN_OCT49"/>
      <sheetName val="inout_consol-nov49"/>
      <sheetName val="inout_consol_(2)49"/>
      <sheetName val="AS_ON_DT_EXPS_Mar49"/>
      <sheetName val="fa-pl_&amp;_mach-site49"/>
      <sheetName val="fa_off_eqp49"/>
      <sheetName val="fa_fur&amp;_fix49"/>
      <sheetName val="fa-pl_&amp;_mach-Off49"/>
      <sheetName val="B_Equity-sdpl_INC49"/>
      <sheetName val="inout_consol_wkg49"/>
      <sheetName val="inout_consol_WKNG49"/>
      <sheetName val="B_Sheet_9749"/>
      <sheetName val="P&amp;L_97_49"/>
      <sheetName val="B_Sheet_97-BEXP49"/>
      <sheetName val="P&amp;L_97_-BEXP49"/>
      <sheetName val="consol_flows49"/>
      <sheetName val="sdpl_oth_Liab49"/>
      <sheetName val="obpl-oth_liab49"/>
      <sheetName val="G_land_advance49"/>
      <sheetName val="I-Wip-ot_(2)49"/>
      <sheetName val="detail_WIP_(2)49"/>
      <sheetName val="detail_G-149"/>
      <sheetName val="sobha_menon_ac49"/>
      <sheetName val="pnc_ac49"/>
      <sheetName val="fix_-p_&amp;_M_-SCC49"/>
      <sheetName val="C_fix_asst49"/>
      <sheetName val="D_fix_asst_scdl_49"/>
      <sheetName val="creditors_tb_obpl49"/>
      <sheetName val="TBAL9697_-group_wise__sdpl59"/>
      <sheetName val="TBAL9697_-group_wise_49"/>
      <sheetName val="crs_-G-149"/>
      <sheetName val="TBAL9697_-group_wise__onpl49"/>
      <sheetName val="B_Sheet_97-OBPL49"/>
      <sheetName val="B_Sheet_97_sdpl49"/>
      <sheetName val="TBAL9697_-group_wise__sdpl249"/>
      <sheetName val="inout_consol_jan49"/>
      <sheetName val="consol_flow49"/>
      <sheetName val="D_Loan__Prom49"/>
      <sheetName val="E_Bank_Loan49"/>
      <sheetName val="G_work_Cap49"/>
      <sheetName val="H_land_adv-dec49"/>
      <sheetName val="J_Con_WIP49"/>
      <sheetName val="detail_J49"/>
      <sheetName val="L_Oth_Co49"/>
      <sheetName val="K_fix_asst__49"/>
      <sheetName val="C_fix_asst-SDPL_49"/>
      <sheetName val="TBAL9697__group_wise__sdpl49"/>
      <sheetName val="inout_consol_okg49"/>
      <sheetName val="detail_OIP_(2)49"/>
      <sheetName val="D_fix_ysst_scdl_49"/>
      <sheetName val="cre`itors_tb_obpl49"/>
      <sheetName val="3AL9697_-group_wise__onpl49"/>
      <sheetName val="L_Oth_Bo48"/>
      <sheetName val="3‰AL9697_-group_wise__onpl48"/>
      <sheetName val="Civil_Boq48"/>
      <sheetName val="Staff_Acco_48"/>
      <sheetName val="SITE_OVERHEADS48"/>
      <sheetName val="PRECAST_lightconc-II46"/>
      <sheetName val="1__PayRec45"/>
      <sheetName val="Boq_Block_A48"/>
      <sheetName val="Cashflow_projection45"/>
      <sheetName val="Project-Material_48"/>
      <sheetName val="SPT_vs_PHI45"/>
      <sheetName val="key_dates45"/>
      <sheetName val="ino4t_conso,-nov45"/>
      <sheetName val="(nout_co,sol_(2)45"/>
      <sheetName val="Blr_hire45"/>
      <sheetName val="_bpl,oth_lia_45"/>
      <sheetName val="G_,and_adv_nce45"/>
      <sheetName val="I,Wip-ot__2)45"/>
      <sheetName val="det!il_WIP_(2)45"/>
      <sheetName val="de4ail_G-145"/>
      <sheetName val="sobha_mennn_ac45"/>
      <sheetName val="C_&amp;ix_asst45"/>
      <sheetName val="_x005f_x0003_dpl_oth_Lia`45"/>
      <sheetName val="TBAL9697__x005f_x000d_grotp_wise_45"/>
      <sheetName val="St_co_91_5lvl45"/>
      <sheetName val="3�AL9697_-group_wise__onpl48"/>
      <sheetName val="INPUT_SHEET45"/>
      <sheetName val="Stress_Calculation45"/>
      <sheetName val="Labor_abs-NMR45"/>
      <sheetName val="Sun_E_Type45"/>
      <sheetName val="CORPN_O?T45"/>
      <sheetName val="Fin_Sum45"/>
      <sheetName val="CORPN_O_x005f_x0000_T45"/>
      <sheetName val="TBAL9697__x000a_grotp_wise_45"/>
      <sheetName val="labour_coeff43"/>
      <sheetName val="Shuttering_Analysis43"/>
      <sheetName val="General_P+M43"/>
      <sheetName val="Curing_Analysis_43"/>
      <sheetName val="Concrete_P+M_(_RMC_)43"/>
      <sheetName val="P+M_(_SMC_)43"/>
      <sheetName val="P+M_-EW43"/>
      <sheetName val="P&amp;L_-_AD43"/>
      <sheetName val="SUPPLY_-Sanitary_Fixtures45"/>
      <sheetName val="ITEMS_FOR_CIVIL_TENDER45"/>
      <sheetName val="_x005f_x005f_x005f_x0003_dpl_oth_Lia`45"/>
      <sheetName val="TBAL9697__x005f_x005f_x005f_x000d_grotp_w45"/>
      <sheetName val="Fin__Assumpt__-_Sensitivities43"/>
      <sheetName val="LOAD_SHEET_43"/>
      <sheetName val="Fill_this_out_first___43"/>
      <sheetName val="Labour_productivity43"/>
      <sheetName val="RCC,Ret__Wall43"/>
      <sheetName val="CORPN_O45"/>
      <sheetName val="CORPN_O_T43"/>
      <sheetName val="Area_&amp;_Cate__Master43"/>
      <sheetName val="Bill_No_543"/>
      <sheetName val="TBAL9697__grotp_wise_86"/>
      <sheetName val="11B_43"/>
      <sheetName val="Structure_Bills_Qty43"/>
      <sheetName val="DG_45"/>
      <sheetName val="BOQ_(2)43"/>
      <sheetName val="Fee_Rate_Summary43"/>
      <sheetName val="Name_List43"/>
      <sheetName val="Detail_1A43"/>
      <sheetName val="Sheet_143"/>
      <sheetName val="3BPA00132-5-3_W_plan_HVPNL43"/>
      <sheetName val="Mix_Design43"/>
      <sheetName val="DLC_lookups43"/>
      <sheetName val="Driveway_Beams43"/>
      <sheetName val="TBAL9697__x005f_x000a_grotp_wise_43"/>
      <sheetName val="Quote_Sheet43"/>
      <sheetName val="d-safe_DELUXE43"/>
      <sheetName val="Works_-_Quote_Sheet43"/>
      <sheetName val="IO_LIST43"/>
      <sheetName val="TBAL9697__x005f_x000d_grotp_wis43"/>
      <sheetName val="TBAL9697__grotp_wise_87"/>
      <sheetName val="Cat_A_Change_Control43"/>
      <sheetName val="Break_up_Sheet43"/>
      <sheetName val="Summary_of_P_&amp;_M43"/>
      <sheetName val="ISO_Reconcilation_Statment43"/>
      <sheetName val="AVG_pur_rate43"/>
      <sheetName val="Break_Dw43"/>
      <sheetName val="LIST_OF_MAKES43"/>
      <sheetName val="Assumption_Inputs43"/>
      <sheetName val="Civil_Works43"/>
      <sheetName val="Form_643"/>
      <sheetName val="acevsSp_(ABC)43"/>
      <sheetName val="A_O_R_43"/>
      <sheetName val="CORPN_O_x005f_x005f_x005f_x0000_T43"/>
      <sheetName val="220_11__BS_43"/>
      <sheetName val="FITZ_MORT_9443"/>
      <sheetName val="Intro_43"/>
      <sheetName val="BLOCK-A_(MEA_SHEET)43"/>
      <sheetName val="NLD_-_Assum43"/>
      <sheetName val="Section_Catalogue43"/>
      <sheetName val="TB9798OBPL06_(2)62"/>
      <sheetName val="CORPN_OCT62"/>
      <sheetName val="inout_consol-nov62"/>
      <sheetName val="inout_consol_(2)62"/>
      <sheetName val="AS_ON_DT_EXPS_Mar62"/>
      <sheetName val="fa-pl_&amp;_mach-site62"/>
      <sheetName val="fa_off_eqp62"/>
      <sheetName val="fa_fur&amp;_fix62"/>
      <sheetName val="fa-pl_&amp;_mach-Off62"/>
      <sheetName val="B_Equity-sdpl_INC62"/>
      <sheetName val="inout_consol_wkg62"/>
      <sheetName val="inout_consol_WKNG62"/>
      <sheetName val="B_Sheet_9762"/>
      <sheetName val="P&amp;L_97_62"/>
      <sheetName val="B_Sheet_97-BEXP62"/>
      <sheetName val="P&amp;L_97_-BEXP62"/>
      <sheetName val="consol_flows62"/>
      <sheetName val="sdpl_oth_Liab62"/>
      <sheetName val="obpl-oth_liab62"/>
      <sheetName val="G_land_advance62"/>
      <sheetName val="I-Wip-ot_(2)62"/>
      <sheetName val="detail_WIP_(2)62"/>
      <sheetName val="detail_G-162"/>
      <sheetName val="sobha_menon_ac62"/>
      <sheetName val="pnc_ac62"/>
      <sheetName val="fix_-p_&amp;_M_-SCC62"/>
      <sheetName val="C_fix_asst62"/>
      <sheetName val="D_fix_asst_scdl_62"/>
      <sheetName val="creditors_tb_obpl62"/>
      <sheetName val="TBAL9697_-group_wise__sdpl72"/>
      <sheetName val="TBAL9697_-group_wise_62"/>
      <sheetName val="crs_-G-162"/>
      <sheetName val="TBAL9697_-group_wise__onpl62"/>
      <sheetName val="B_Sheet_97-OBPL62"/>
      <sheetName val="B_Sheet_97_sdpl62"/>
      <sheetName val="TBAL9697_-group_wise__sdpl262"/>
      <sheetName val="inout_consol_jan62"/>
      <sheetName val="consol_flow62"/>
      <sheetName val="D_Loan__Prom62"/>
      <sheetName val="E_Bank_Loan62"/>
      <sheetName val="G_work_Cap62"/>
      <sheetName val="H_land_adv-dec62"/>
      <sheetName val="J_Con_WIP62"/>
      <sheetName val="detail_J62"/>
      <sheetName val="L_Oth_Co62"/>
      <sheetName val="K_fix_asst__62"/>
      <sheetName val="C_fix_asst-SDPL_62"/>
      <sheetName val="TBAL9697__group_wise__sdpl62"/>
      <sheetName val="inout_consol_okg62"/>
      <sheetName val="detail_OIP_(2)62"/>
      <sheetName val="D_fix_ysst_scdl_62"/>
      <sheetName val="cre`itors_tb_obpl62"/>
      <sheetName val="3AL9697_-group_wise__onpl62"/>
      <sheetName val="L_Oth_Bo61"/>
      <sheetName val="3‰AL9697_-group_wise__onpl61"/>
      <sheetName val="Civil_Boq61"/>
      <sheetName val="Staff_Acco_61"/>
      <sheetName val="SITE_OVERHEADS61"/>
      <sheetName val="PRECAST_lightconc-II59"/>
      <sheetName val="1__PayRec58"/>
      <sheetName val="Boq_Block_A61"/>
      <sheetName val="Cashflow_projection58"/>
      <sheetName val="Project-Material_61"/>
      <sheetName val="SPT_vs_PHI58"/>
      <sheetName val="key_dates58"/>
      <sheetName val="ino4t_conso,-nov58"/>
      <sheetName val="(nout_co,sol_(2)58"/>
      <sheetName val="Blr_hire58"/>
      <sheetName val="_bpl,oth_lia_58"/>
      <sheetName val="G_,and_adv_nce58"/>
      <sheetName val="I,Wip-ot__2)58"/>
      <sheetName val="det!il_WIP_(2)58"/>
      <sheetName val="de4ail_G-158"/>
      <sheetName val="sobha_mennn_ac58"/>
      <sheetName val="C_&amp;ix_asst58"/>
      <sheetName val="_x005f_x0003_dpl_oth_Lia`58"/>
      <sheetName val="TBAL9697__x005f_x000d_grotp_wise_58"/>
      <sheetName val="St_co_91_5lvl58"/>
      <sheetName val="3�AL9697_-group_wise__onpl61"/>
      <sheetName val="INPUT_SHEET58"/>
      <sheetName val="Stress_Calculation58"/>
      <sheetName val="Labor_abs-NMR58"/>
      <sheetName val="Sun_E_Type58"/>
      <sheetName val="CORPN_O?T58"/>
      <sheetName val="Fin_Sum58"/>
      <sheetName val="CORPN_O_x005f_x0000_T58"/>
      <sheetName val="TBAL9697__x000a_grotp_wise_58"/>
      <sheetName val="labour_coeff56"/>
      <sheetName val="Shuttering_Analysis56"/>
      <sheetName val="General_P+M56"/>
      <sheetName val="Curing_Analysis_56"/>
      <sheetName val="Concrete_P+M_(_RMC_)56"/>
      <sheetName val="P+M_(_SMC_)56"/>
      <sheetName val="P+M_-EW56"/>
      <sheetName val="P&amp;L_-_AD56"/>
      <sheetName val="SUPPLY_-Sanitary_Fixtures58"/>
      <sheetName val="ITEMS_FOR_CIVIL_TENDER58"/>
      <sheetName val="_x005f_x005f_x005f_x0003_dpl_oth_Lia`58"/>
      <sheetName val="TBAL9697__x005f_x005f_x005f_x000d_grotp_w58"/>
      <sheetName val="Fin__Assumpt__-_Sensitivities56"/>
      <sheetName val="LOAD_SHEET_56"/>
      <sheetName val="Fill_this_out_first___56"/>
      <sheetName val="Labour_productivity56"/>
      <sheetName val="RCC,Ret__Wall56"/>
      <sheetName val="CORPN_O58"/>
      <sheetName val="CORPN_O_T56"/>
      <sheetName val="Area_&amp;_Cate__Master56"/>
      <sheetName val="Bill_No_556"/>
      <sheetName val="11B_56"/>
      <sheetName val="Structure_Bills_Qty56"/>
      <sheetName val="DG_58"/>
      <sheetName val="BOQ_(2)56"/>
      <sheetName val="Fee_Rate_Summary56"/>
      <sheetName val="Name_List56"/>
      <sheetName val="Detail_1A56"/>
      <sheetName val="Sheet_156"/>
      <sheetName val="3BPA00132-5-3_W_plan_HVPNL56"/>
      <sheetName val="Mix_Design56"/>
      <sheetName val="DLC_lookups56"/>
      <sheetName val="Driveway_Beams56"/>
      <sheetName val="TBAL9697__x005f_x000a_grotp_wise_56"/>
      <sheetName val="Quote_Sheet56"/>
      <sheetName val="d-safe_DELUXE56"/>
      <sheetName val="Works_-_Quote_Sheet56"/>
      <sheetName val="IO_LIST56"/>
      <sheetName val="TBAL9697__x005f_x000d_grotp_wis56"/>
      <sheetName val="Cat_A_Change_Control56"/>
      <sheetName val="Break_up_Sheet56"/>
      <sheetName val="Summary_of_P_&amp;_M56"/>
      <sheetName val="ISO_Reconcilation_Statment56"/>
      <sheetName val="AVG_pur_rate56"/>
      <sheetName val="Break_Dw56"/>
      <sheetName val="LIST_OF_MAKES56"/>
      <sheetName val="Assumption_Inputs56"/>
      <sheetName val="Civil_Works56"/>
      <sheetName val="Form_656"/>
      <sheetName val="acevsSp_(ABC)56"/>
      <sheetName val="A_O_R_56"/>
      <sheetName val="CORPN_O_x005f_x005f_x005f_x0000_T56"/>
      <sheetName val="220_11__BS_56"/>
      <sheetName val="FITZ_MORT_9456"/>
      <sheetName val="Intro_56"/>
      <sheetName val="BLOCK-A_(MEA_SHEET)56"/>
      <sheetName val="NLD_-_Assum56"/>
      <sheetName val="Section_Catalogue56"/>
      <sheetName val="TB9798OBPL06_(2)50"/>
      <sheetName val="CORPN_OCT50"/>
      <sheetName val="inout_consol-nov50"/>
      <sheetName val="inout_consol_(2)50"/>
      <sheetName val="AS_ON_DT_EXPS_Mar50"/>
      <sheetName val="fa-pl_&amp;_mach-site50"/>
      <sheetName val="fa_off_eqp50"/>
      <sheetName val="fa_fur&amp;_fix50"/>
      <sheetName val="fa-pl_&amp;_mach-Off50"/>
      <sheetName val="B_Equity-sdpl_INC50"/>
      <sheetName val="inout_consol_wkg50"/>
      <sheetName val="inout_consol_WKNG50"/>
      <sheetName val="B_Sheet_9750"/>
      <sheetName val="P&amp;L_97_50"/>
      <sheetName val="B_Sheet_97-BEXP50"/>
      <sheetName val="P&amp;L_97_-BEXP50"/>
      <sheetName val="consol_flows50"/>
      <sheetName val="sdpl_oth_Liab50"/>
      <sheetName val="obpl-oth_liab50"/>
      <sheetName val="G_land_advance50"/>
      <sheetName val="I-Wip-ot_(2)50"/>
      <sheetName val="detail_WIP_(2)50"/>
      <sheetName val="detail_G-150"/>
      <sheetName val="sobha_menon_ac50"/>
      <sheetName val="pnc_ac50"/>
      <sheetName val="fix_-p_&amp;_M_-SCC50"/>
      <sheetName val="C_fix_asst50"/>
      <sheetName val="D_fix_asst_scdl_50"/>
      <sheetName val="creditors_tb_obpl50"/>
      <sheetName val="TBAL9697_-group_wise__sdpl60"/>
      <sheetName val="TBAL9697_-group_wise_50"/>
      <sheetName val="crs_-G-150"/>
      <sheetName val="TBAL9697_-group_wise__onpl50"/>
      <sheetName val="B_Sheet_97-OBPL50"/>
      <sheetName val="B_Sheet_97_sdpl50"/>
      <sheetName val="TBAL9697_-group_wise__sdpl250"/>
      <sheetName val="inout_consol_jan50"/>
      <sheetName val="consol_flow50"/>
      <sheetName val="D_Loan__Prom50"/>
      <sheetName val="E_Bank_Loan50"/>
      <sheetName val="G_work_Cap50"/>
      <sheetName val="H_land_adv-dec50"/>
      <sheetName val="J_Con_WIP50"/>
      <sheetName val="detail_J50"/>
      <sheetName val="L_Oth_Co50"/>
      <sheetName val="K_fix_asst__50"/>
      <sheetName val="C_fix_asst-SDPL_50"/>
      <sheetName val="TBAL9697__group_wise__sdpl50"/>
      <sheetName val="inout_consol_okg50"/>
      <sheetName val="detail_OIP_(2)50"/>
      <sheetName val="D_fix_ysst_scdl_50"/>
      <sheetName val="cre`itors_tb_obpl50"/>
      <sheetName val="3AL9697_-group_wise__onpl50"/>
      <sheetName val="L_Oth_Bo49"/>
      <sheetName val="3‰AL9697_-group_wise__onpl49"/>
      <sheetName val="Civil_Boq49"/>
      <sheetName val="Staff_Acco_49"/>
      <sheetName val="SITE_OVERHEADS49"/>
      <sheetName val="PRECAST_lightconc-II47"/>
      <sheetName val="1__PayRec46"/>
      <sheetName val="Boq_Block_A49"/>
      <sheetName val="Cashflow_projection46"/>
      <sheetName val="Project-Material_49"/>
      <sheetName val="SPT_vs_PHI46"/>
      <sheetName val="key_dates46"/>
      <sheetName val="ino4t_conso,-nov46"/>
      <sheetName val="(nout_co,sol_(2)46"/>
      <sheetName val="Blr_hire46"/>
      <sheetName val="_bpl,oth_lia_46"/>
      <sheetName val="G_,and_adv_nce46"/>
      <sheetName val="I,Wip-ot__2)46"/>
      <sheetName val="det!il_WIP_(2)46"/>
      <sheetName val="de4ail_G-146"/>
      <sheetName val="sobha_mennn_ac46"/>
      <sheetName val="C_&amp;ix_asst46"/>
      <sheetName val="_x005f_x0003_dpl_oth_Lia`46"/>
      <sheetName val="TBAL9697__x005f_x000d_grotp_wise_46"/>
      <sheetName val="St_co_91_5lvl46"/>
      <sheetName val="3�AL9697_-group_wise__onpl49"/>
      <sheetName val="INPUT_SHEET46"/>
      <sheetName val="Stress_Calculation46"/>
      <sheetName val="Labor_abs-NMR46"/>
      <sheetName val="Sun_E_Type46"/>
      <sheetName val="CORPN_O?T46"/>
      <sheetName val="Fin_Sum46"/>
      <sheetName val="CORPN_O_x005f_x0000_T46"/>
      <sheetName val="TBAL9697__x000a_grotp_wise_46"/>
      <sheetName val="labour_coeff44"/>
      <sheetName val="Shuttering_Analysis44"/>
      <sheetName val="General_P+M44"/>
      <sheetName val="Curing_Analysis_44"/>
      <sheetName val="Concrete_P+M_(_RMC_)44"/>
      <sheetName val="P+M_(_SMC_)44"/>
      <sheetName val="P+M_-EW44"/>
      <sheetName val="P&amp;L_-_AD44"/>
      <sheetName val="SUPPLY_-Sanitary_Fixtures46"/>
      <sheetName val="ITEMS_FOR_CIVIL_TENDER46"/>
      <sheetName val="_x005f_x005f_x005f_x0003_dpl_oth_Lia`46"/>
      <sheetName val="TBAL9697__x005f_x005f_x005f_x000d_grotp_w46"/>
      <sheetName val="Fin__Assumpt__-_Sensitivities44"/>
      <sheetName val="LOAD_SHEET_44"/>
      <sheetName val="Fill_this_out_first___44"/>
      <sheetName val="Labour_productivity44"/>
      <sheetName val="RCC,Ret__Wall44"/>
      <sheetName val="CORPN_O46"/>
      <sheetName val="CORPN_O_T44"/>
      <sheetName val="Area_&amp;_Cate__Master44"/>
      <sheetName val="Bill_No_544"/>
      <sheetName val="TBAL9697__grotp_wise_88"/>
      <sheetName val="11B_44"/>
      <sheetName val="Structure_Bills_Qty44"/>
      <sheetName val="DG_46"/>
      <sheetName val="BOQ_(2)44"/>
      <sheetName val="Fee_Rate_Summary44"/>
      <sheetName val="Name_List44"/>
      <sheetName val="Detail_1A44"/>
      <sheetName val="Sheet_144"/>
      <sheetName val="3BPA00132-5-3_W_plan_HVPNL44"/>
      <sheetName val="Mix_Design44"/>
      <sheetName val="DLC_lookups44"/>
      <sheetName val="Driveway_Beams44"/>
      <sheetName val="TBAL9697__x005f_x000a_grotp_wise_44"/>
      <sheetName val="Quote_Sheet44"/>
      <sheetName val="d-safe_DELUXE44"/>
      <sheetName val="Works_-_Quote_Sheet44"/>
      <sheetName val="IO_LIST44"/>
      <sheetName val="TBAL9697__x005f_x000d_grotp_wis44"/>
      <sheetName val="TBAL9697__grotp_wise_89"/>
      <sheetName val="Cat_A_Change_Control44"/>
      <sheetName val="Break_up_Sheet44"/>
      <sheetName val="Summary_of_P_&amp;_M44"/>
      <sheetName val="ISO_Reconcilation_Statment44"/>
      <sheetName val="AVG_pur_rate44"/>
      <sheetName val="Break_Dw44"/>
      <sheetName val="LIST_OF_MAKES44"/>
      <sheetName val="Assumption_Inputs44"/>
      <sheetName val="Civil_Works44"/>
      <sheetName val="Form_644"/>
      <sheetName val="acevsSp_(ABC)44"/>
      <sheetName val="A_O_R_44"/>
      <sheetName val="CORPN_O_x005f_x005f_x005f_x0000_T44"/>
      <sheetName val="220_11__BS_44"/>
      <sheetName val="FITZ_MORT_9444"/>
      <sheetName val="Intro_44"/>
      <sheetName val="BLOCK-A_(MEA_SHEET)44"/>
      <sheetName val="NLD_-_Assum44"/>
      <sheetName val="Section_Catalogue44"/>
      <sheetName val="TB9798OBPL06_(2)51"/>
      <sheetName val="CORPN_OCT51"/>
      <sheetName val="inout_consol-nov51"/>
      <sheetName val="inout_consol_(2)51"/>
      <sheetName val="AS_ON_DT_EXPS_Mar51"/>
      <sheetName val="fa-pl_&amp;_mach-site51"/>
      <sheetName val="fa_off_eqp51"/>
      <sheetName val="fa_fur&amp;_fix51"/>
      <sheetName val="fa-pl_&amp;_mach-Off51"/>
      <sheetName val="B_Equity-sdpl_INC51"/>
      <sheetName val="inout_consol_wkg51"/>
      <sheetName val="inout_consol_WKNG51"/>
      <sheetName val="B_Sheet_9751"/>
      <sheetName val="P&amp;L_97_51"/>
      <sheetName val="B_Sheet_97-BEXP51"/>
      <sheetName val="P&amp;L_97_-BEXP51"/>
      <sheetName val="consol_flows51"/>
      <sheetName val="sdpl_oth_Liab51"/>
      <sheetName val="obpl-oth_liab51"/>
      <sheetName val="G_land_advance51"/>
      <sheetName val="I-Wip-ot_(2)51"/>
      <sheetName val="detail_WIP_(2)51"/>
      <sheetName val="detail_G-151"/>
      <sheetName val="sobha_menon_ac51"/>
      <sheetName val="pnc_ac51"/>
      <sheetName val="fix_-p_&amp;_M_-SCC51"/>
      <sheetName val="C_fix_asst51"/>
      <sheetName val="D_fix_asst_scdl_51"/>
      <sheetName val="creditors_tb_obpl51"/>
      <sheetName val="TBAL9697_-group_wise__sdpl61"/>
      <sheetName val="TBAL9697_-group_wise_51"/>
      <sheetName val="crs_-G-151"/>
      <sheetName val="TBAL9697_-group_wise__onpl51"/>
      <sheetName val="B_Sheet_97-OBPL51"/>
      <sheetName val="B_Sheet_97_sdpl51"/>
      <sheetName val="TBAL9697_-group_wise__sdpl251"/>
      <sheetName val="inout_consol_jan51"/>
      <sheetName val="consol_flow51"/>
      <sheetName val="D_Loan__Prom51"/>
      <sheetName val="E_Bank_Loan51"/>
      <sheetName val="G_work_Cap51"/>
      <sheetName val="H_land_adv-dec51"/>
      <sheetName val="J_Con_WIP51"/>
      <sheetName val="detail_J51"/>
      <sheetName val="L_Oth_Co51"/>
      <sheetName val="K_fix_asst__51"/>
      <sheetName val="C_fix_asst-SDPL_51"/>
      <sheetName val="TBAL9697__group_wise__sdpl51"/>
      <sheetName val="inout_consol_okg51"/>
      <sheetName val="detail_OIP_(2)51"/>
      <sheetName val="D_fix_ysst_scdl_51"/>
      <sheetName val="cre`itors_tb_obpl51"/>
      <sheetName val="3AL9697_-group_wise__onpl51"/>
      <sheetName val="L_Oth_Bo50"/>
      <sheetName val="3‰AL9697_-group_wise__onpl50"/>
      <sheetName val="Civil_Boq50"/>
      <sheetName val="Staff_Acco_50"/>
      <sheetName val="SITE_OVERHEADS50"/>
      <sheetName val="PRECAST_lightconc-II48"/>
      <sheetName val="1__PayRec47"/>
      <sheetName val="Boq_Block_A50"/>
      <sheetName val="Cashflow_projection47"/>
      <sheetName val="Project-Material_50"/>
      <sheetName val="SPT_vs_PHI47"/>
      <sheetName val="key_dates47"/>
      <sheetName val="ino4t_conso,-nov47"/>
      <sheetName val="(nout_co,sol_(2)47"/>
      <sheetName val="Blr_hire47"/>
      <sheetName val="_bpl,oth_lia_47"/>
      <sheetName val="G_,and_adv_nce47"/>
      <sheetName val="I,Wip-ot__2)47"/>
      <sheetName val="det!il_WIP_(2)47"/>
      <sheetName val="de4ail_G-147"/>
      <sheetName val="sobha_mennn_ac47"/>
      <sheetName val="C_&amp;ix_asst47"/>
      <sheetName val="_x005f_x0003_dpl_oth_Lia`47"/>
      <sheetName val="TBAL9697__x005f_x000d_grotp_wise_47"/>
      <sheetName val="St_co_91_5lvl47"/>
      <sheetName val="3�AL9697_-group_wise__onpl50"/>
      <sheetName val="INPUT_SHEET47"/>
      <sheetName val="Stress_Calculation47"/>
      <sheetName val="Labor_abs-NMR47"/>
      <sheetName val="Sun_E_Type47"/>
      <sheetName val="CORPN_O?T47"/>
      <sheetName val="Fin_Sum47"/>
      <sheetName val="CORPN_O_x005f_x0000_T47"/>
      <sheetName val="TBAL9697__x000a_grotp_wise_47"/>
      <sheetName val="labour_coeff45"/>
      <sheetName val="Shuttering_Analysis45"/>
      <sheetName val="General_P+M45"/>
      <sheetName val="Curing_Analysis_45"/>
      <sheetName val="Concrete_P+M_(_RMC_)45"/>
      <sheetName val="P+M_(_SMC_)45"/>
      <sheetName val="P+M_-EW45"/>
      <sheetName val="P&amp;L_-_AD45"/>
      <sheetName val="SUPPLY_-Sanitary_Fixtures47"/>
      <sheetName val="ITEMS_FOR_CIVIL_TENDER47"/>
      <sheetName val="_x005f_x005f_x005f_x0003_dpl_oth_Lia`47"/>
      <sheetName val="TBAL9697__x005f_x005f_x005f_x000d_grotp_w47"/>
      <sheetName val="Fin__Assumpt__-_Sensitivities45"/>
      <sheetName val="LOAD_SHEET_45"/>
      <sheetName val="Fill_this_out_first___45"/>
      <sheetName val="Labour_productivity45"/>
      <sheetName val="RCC,Ret__Wall45"/>
      <sheetName val="CORPN_O47"/>
      <sheetName val="CORPN_O_T45"/>
      <sheetName val="Area_&amp;_Cate__Master45"/>
      <sheetName val="Bill_No_545"/>
      <sheetName val="TBAL9697__grotp_wise_90"/>
      <sheetName val="11B_45"/>
      <sheetName val="Structure_Bills_Qty45"/>
      <sheetName val="DG_47"/>
      <sheetName val="BOQ_(2)45"/>
      <sheetName val="Fee_Rate_Summary45"/>
      <sheetName val="Name_List45"/>
      <sheetName val="Detail_1A45"/>
      <sheetName val="Sheet_145"/>
      <sheetName val="3BPA00132-5-3_W_plan_HVPNL45"/>
      <sheetName val="Mix_Design45"/>
      <sheetName val="DLC_lookups45"/>
      <sheetName val="Driveway_Beams45"/>
      <sheetName val="TBAL9697__x005f_x000a_grotp_wise_45"/>
      <sheetName val="Quote_Sheet45"/>
      <sheetName val="d-safe_DELUXE45"/>
      <sheetName val="Works_-_Quote_Sheet45"/>
      <sheetName val="IO_LIST45"/>
      <sheetName val="TBAL9697__x005f_x000d_grotp_wis45"/>
      <sheetName val="Cat_A_Change_Control45"/>
      <sheetName val="Break_up_Sheet45"/>
      <sheetName val="Summary_of_P_&amp;_M45"/>
      <sheetName val="ISO_Reconcilation_Statment45"/>
      <sheetName val="AVG_pur_rate45"/>
      <sheetName val="Break_Dw45"/>
      <sheetName val="LIST_OF_MAKES45"/>
      <sheetName val="Assumption_Inputs45"/>
      <sheetName val="Civil_Works45"/>
      <sheetName val="Form_645"/>
      <sheetName val="acevsSp_(ABC)45"/>
      <sheetName val="A_O_R_45"/>
      <sheetName val="CORPN_O_x005f_x005f_x005f_x0000_T45"/>
      <sheetName val="220_11__BS_45"/>
      <sheetName val="FITZ_MORT_9445"/>
      <sheetName val="Intro_45"/>
      <sheetName val="BLOCK-A_(MEA_SHEET)45"/>
      <sheetName val="NLD_-_Assum45"/>
      <sheetName val="Section_Catalogue45"/>
      <sheetName val="TB9798OBPL06_(2)54"/>
      <sheetName val="CORPN_OCT54"/>
      <sheetName val="inout_consol-nov54"/>
      <sheetName val="inout_consol_(2)54"/>
      <sheetName val="AS_ON_DT_EXPS_Mar54"/>
      <sheetName val="fa-pl_&amp;_mach-site54"/>
      <sheetName val="fa_off_eqp54"/>
      <sheetName val="fa_fur&amp;_fix54"/>
      <sheetName val="fa-pl_&amp;_mach-Off54"/>
      <sheetName val="B_Equity-sdpl_INC54"/>
      <sheetName val="inout_consol_wkg54"/>
      <sheetName val="inout_consol_WKNG54"/>
      <sheetName val="B_Sheet_9754"/>
      <sheetName val="P&amp;L_97_54"/>
      <sheetName val="B_Sheet_97-BEXP54"/>
      <sheetName val="P&amp;L_97_-BEXP54"/>
      <sheetName val="consol_flows54"/>
      <sheetName val="sdpl_oth_Liab54"/>
      <sheetName val="obpl-oth_liab54"/>
      <sheetName val="G_land_advance54"/>
      <sheetName val="I-Wip-ot_(2)54"/>
      <sheetName val="detail_WIP_(2)54"/>
      <sheetName val="detail_G-154"/>
      <sheetName val="sobha_menon_ac54"/>
      <sheetName val="pnc_ac54"/>
      <sheetName val="fix_-p_&amp;_M_-SCC54"/>
      <sheetName val="C_fix_asst54"/>
      <sheetName val="D_fix_asst_scdl_54"/>
      <sheetName val="creditors_tb_obpl54"/>
      <sheetName val="TBAL9697_-group_wise__sdpl64"/>
      <sheetName val="TBAL9697_-group_wise_54"/>
      <sheetName val="crs_-G-154"/>
      <sheetName val="TBAL9697_-group_wise__onpl54"/>
      <sheetName val="B_Sheet_97-OBPL54"/>
      <sheetName val="B_Sheet_97_sdpl54"/>
      <sheetName val="TBAL9697_-group_wise__sdpl254"/>
      <sheetName val="inout_consol_jan54"/>
      <sheetName val="consol_flow54"/>
      <sheetName val="D_Loan__Prom54"/>
      <sheetName val="E_Bank_Loan54"/>
      <sheetName val="G_work_Cap54"/>
      <sheetName val="H_land_adv-dec54"/>
      <sheetName val="J_Con_WIP54"/>
      <sheetName val="detail_J54"/>
      <sheetName val="L_Oth_Co54"/>
      <sheetName val="K_fix_asst__54"/>
      <sheetName val="C_fix_asst-SDPL_54"/>
      <sheetName val="TBAL9697__group_wise__sdpl54"/>
      <sheetName val="inout_consol_okg54"/>
      <sheetName val="detail_OIP_(2)54"/>
      <sheetName val="D_fix_ysst_scdl_54"/>
      <sheetName val="cre`itors_tb_obpl54"/>
      <sheetName val="3AL9697_-group_wise__onpl54"/>
      <sheetName val="L_Oth_Bo53"/>
      <sheetName val="3‰AL9697_-group_wise__onpl53"/>
      <sheetName val="Civil_Boq53"/>
      <sheetName val="Staff_Acco_53"/>
      <sheetName val="SITE_OVERHEADS53"/>
      <sheetName val="PRECAST_lightconc-II51"/>
      <sheetName val="1__PayRec50"/>
      <sheetName val="Boq_Block_A53"/>
      <sheetName val="Cashflow_projection50"/>
      <sheetName val="Project-Material_53"/>
      <sheetName val="SPT_vs_PHI50"/>
      <sheetName val="key_dates50"/>
      <sheetName val="ino4t_conso,-nov50"/>
      <sheetName val="(nout_co,sol_(2)50"/>
      <sheetName val="Blr_hire50"/>
      <sheetName val="_bpl,oth_lia_50"/>
      <sheetName val="G_,and_adv_nce50"/>
      <sheetName val="I,Wip-ot__2)50"/>
      <sheetName val="det!il_WIP_(2)50"/>
      <sheetName val="de4ail_G-150"/>
      <sheetName val="sobha_mennn_ac50"/>
      <sheetName val="C_&amp;ix_asst50"/>
      <sheetName val="_x005f_x0003_dpl_oth_Lia`50"/>
      <sheetName val="TBAL9697__x005f_x000d_grotp_wise_50"/>
      <sheetName val="St_co_91_5lvl50"/>
      <sheetName val="3�AL9697_-group_wise__onpl53"/>
      <sheetName val="INPUT_SHEET50"/>
      <sheetName val="Stress_Calculation50"/>
      <sheetName val="Labor_abs-NMR50"/>
      <sheetName val="Sun_E_Type50"/>
      <sheetName val="CORPN_O?T50"/>
      <sheetName val="Fin_Sum50"/>
      <sheetName val="CORPN_O_x005f_x0000_T50"/>
      <sheetName val="TBAL9697__x000a_grotp_wise_50"/>
      <sheetName val="labour_coeff48"/>
      <sheetName val="Shuttering_Analysis48"/>
      <sheetName val="General_P+M48"/>
      <sheetName val="Curing_Analysis_48"/>
      <sheetName val="Concrete_P+M_(_RMC_)48"/>
      <sheetName val="P+M_(_SMC_)48"/>
      <sheetName val="P+M_-EW48"/>
      <sheetName val="P&amp;L_-_AD48"/>
      <sheetName val="SUPPLY_-Sanitary_Fixtures50"/>
      <sheetName val="ITEMS_FOR_CIVIL_TENDER50"/>
      <sheetName val="_x005f_x005f_x005f_x0003_dpl_oth_Lia`50"/>
      <sheetName val="TBAL9697__x005f_x005f_x005f_x000d_grotp_w50"/>
      <sheetName val="Fin__Assumpt__-_Sensitivities48"/>
      <sheetName val="LOAD_SHEET_48"/>
      <sheetName val="Fill_this_out_first___48"/>
      <sheetName val="Labour_productivity48"/>
      <sheetName val="RCC,Ret__Wall48"/>
      <sheetName val="CORPN_O50"/>
      <sheetName val="CORPN_O_T48"/>
      <sheetName val="Area_&amp;_Cate__Master48"/>
      <sheetName val="Bill_No_548"/>
      <sheetName val="TBAL9697__grotp_wise_96"/>
      <sheetName val="11B_48"/>
      <sheetName val="Structure_Bills_Qty48"/>
      <sheetName val="DG_50"/>
      <sheetName val="BOQ_(2)48"/>
      <sheetName val="Fee_Rate_Summary48"/>
      <sheetName val="Name_List48"/>
      <sheetName val="Detail_1A48"/>
      <sheetName val="Sheet_148"/>
      <sheetName val="3BPA00132-5-3_W_plan_HVPNL48"/>
      <sheetName val="Mix_Design48"/>
      <sheetName val="DLC_lookups48"/>
      <sheetName val="Driveway_Beams48"/>
      <sheetName val="TBAL9697__x005f_x000a_grotp_wise_48"/>
      <sheetName val="Quote_Sheet48"/>
      <sheetName val="d-safe_DELUXE48"/>
      <sheetName val="Works_-_Quote_Sheet48"/>
      <sheetName val="IO_LIST48"/>
      <sheetName val="TBAL9697__x005f_x000d_grotp_wis48"/>
      <sheetName val="TBAL9697__grotp_wise_97"/>
      <sheetName val="Cat_A_Change_Control48"/>
      <sheetName val="Break_up_Sheet48"/>
      <sheetName val="Summary_of_P_&amp;_M48"/>
      <sheetName val="ISO_Reconcilation_Statment48"/>
      <sheetName val="AVG_pur_rate48"/>
      <sheetName val="Break_Dw48"/>
      <sheetName val="LIST_OF_MAKES48"/>
      <sheetName val="Assumption_Inputs48"/>
      <sheetName val="Civil_Works48"/>
      <sheetName val="Form_648"/>
      <sheetName val="acevsSp_(ABC)48"/>
      <sheetName val="A_O_R_48"/>
      <sheetName val="CORPN_O_x005f_x005f_x005f_x0000_T48"/>
      <sheetName val="220_11__BS_48"/>
      <sheetName val="FITZ_MORT_9448"/>
      <sheetName val="Intro_48"/>
      <sheetName val="BLOCK-A_(MEA_SHEET)48"/>
      <sheetName val="NLD_-_Assum48"/>
      <sheetName val="Section_Catalogue48"/>
      <sheetName val="TB9798OBPL06_(2)52"/>
      <sheetName val="CORPN_OCT52"/>
      <sheetName val="inout_consol-nov52"/>
      <sheetName val="inout_consol_(2)52"/>
      <sheetName val="AS_ON_DT_EXPS_Mar52"/>
      <sheetName val="fa-pl_&amp;_mach-site52"/>
      <sheetName val="fa_off_eqp52"/>
      <sheetName val="fa_fur&amp;_fix52"/>
      <sheetName val="fa-pl_&amp;_mach-Off52"/>
      <sheetName val="B_Equity-sdpl_INC52"/>
      <sheetName val="inout_consol_wkg52"/>
      <sheetName val="inout_consol_WKNG52"/>
      <sheetName val="B_Sheet_9752"/>
      <sheetName val="P&amp;L_97_52"/>
      <sheetName val="B_Sheet_97-BEXP52"/>
      <sheetName val="P&amp;L_97_-BEXP52"/>
      <sheetName val="consol_flows52"/>
      <sheetName val="sdpl_oth_Liab52"/>
      <sheetName val="obpl-oth_liab52"/>
      <sheetName val="G_land_advance52"/>
      <sheetName val="I-Wip-ot_(2)52"/>
      <sheetName val="detail_WIP_(2)52"/>
      <sheetName val="detail_G-152"/>
      <sheetName val="sobha_menon_ac52"/>
      <sheetName val="pnc_ac52"/>
      <sheetName val="fix_-p_&amp;_M_-SCC52"/>
      <sheetName val="C_fix_asst52"/>
      <sheetName val="D_fix_asst_scdl_52"/>
      <sheetName val="creditors_tb_obpl52"/>
      <sheetName val="TBAL9697_-group_wise__sdpl62"/>
      <sheetName val="TBAL9697_-group_wise_52"/>
      <sheetName val="crs_-G-152"/>
      <sheetName val="TBAL9697_-group_wise__onpl52"/>
      <sheetName val="B_Sheet_97-OBPL52"/>
      <sheetName val="B_Sheet_97_sdpl52"/>
      <sheetName val="TBAL9697_-group_wise__sdpl252"/>
      <sheetName val="inout_consol_jan52"/>
      <sheetName val="consol_flow52"/>
      <sheetName val="D_Loan__Prom52"/>
      <sheetName val="E_Bank_Loan52"/>
      <sheetName val="G_work_Cap52"/>
      <sheetName val="H_land_adv-dec52"/>
      <sheetName val="J_Con_WIP52"/>
      <sheetName val="detail_J52"/>
      <sheetName val="L_Oth_Co52"/>
      <sheetName val="K_fix_asst__52"/>
      <sheetName val="C_fix_asst-SDPL_52"/>
      <sheetName val="TBAL9697__group_wise__sdpl52"/>
      <sheetName val="inout_consol_okg52"/>
      <sheetName val="detail_OIP_(2)52"/>
      <sheetName val="D_fix_ysst_scdl_52"/>
      <sheetName val="cre`itors_tb_obpl52"/>
      <sheetName val="3AL9697_-group_wise__onpl52"/>
      <sheetName val="L_Oth_Bo51"/>
      <sheetName val="3‰AL9697_-group_wise__onpl51"/>
      <sheetName val="Civil_Boq51"/>
      <sheetName val="Staff_Acco_51"/>
      <sheetName val="SITE_OVERHEADS51"/>
      <sheetName val="PRECAST_lightconc-II49"/>
      <sheetName val="1__PayRec48"/>
      <sheetName val="Boq_Block_A51"/>
      <sheetName val="Cashflow_projection48"/>
      <sheetName val="Project-Material_51"/>
      <sheetName val="SPT_vs_PHI48"/>
      <sheetName val="key_dates48"/>
      <sheetName val="ino4t_conso,-nov48"/>
      <sheetName val="(nout_co,sol_(2)48"/>
      <sheetName val="Blr_hire48"/>
      <sheetName val="_bpl,oth_lia_48"/>
      <sheetName val="G_,and_adv_nce48"/>
      <sheetName val="I,Wip-ot__2)48"/>
      <sheetName val="det!il_WIP_(2)48"/>
      <sheetName val="de4ail_G-148"/>
      <sheetName val="sobha_mennn_ac48"/>
      <sheetName val="C_&amp;ix_asst48"/>
      <sheetName val="_x005f_x0003_dpl_oth_Lia`48"/>
      <sheetName val="TBAL9697__x005f_x000d_grotp_wise_48"/>
      <sheetName val="St_co_91_5lvl48"/>
      <sheetName val="3�AL9697_-group_wise__onpl51"/>
      <sheetName val="INPUT_SHEET48"/>
      <sheetName val="Stress_Calculation48"/>
      <sheetName val="Labor_abs-NMR48"/>
      <sheetName val="Sun_E_Type48"/>
      <sheetName val="CORPN_O?T48"/>
      <sheetName val="Fin_Sum48"/>
      <sheetName val="CORPN_O_x005f_x0000_T48"/>
      <sheetName val="TBAL9697__x000a_grotp_wise_48"/>
      <sheetName val="labour_coeff46"/>
      <sheetName val="Shuttering_Analysis46"/>
      <sheetName val="General_P+M46"/>
      <sheetName val="Curing_Analysis_46"/>
      <sheetName val="Concrete_P+M_(_RMC_)46"/>
      <sheetName val="P+M_(_SMC_)46"/>
      <sheetName val="P+M_-EW46"/>
      <sheetName val="P&amp;L_-_AD46"/>
      <sheetName val="SUPPLY_-Sanitary_Fixtures48"/>
      <sheetName val="ITEMS_FOR_CIVIL_TENDER48"/>
      <sheetName val="_x005f_x005f_x005f_x0003_dpl_oth_Lia`48"/>
      <sheetName val="TBAL9697__x005f_x005f_x005f_x000d_grotp_w48"/>
      <sheetName val="Fin__Assumpt__-_Sensitivities46"/>
      <sheetName val="LOAD_SHEET_46"/>
      <sheetName val="Fill_this_out_first___46"/>
      <sheetName val="Labour_productivity46"/>
      <sheetName val="RCC,Ret__Wall46"/>
      <sheetName val="CORPN_O48"/>
      <sheetName val="CORPN_O_T46"/>
      <sheetName val="Area_&amp;_Cate__Master46"/>
      <sheetName val="Bill_No_546"/>
      <sheetName val="11B_46"/>
      <sheetName val="Structure_Bills_Qty46"/>
      <sheetName val="DG_48"/>
      <sheetName val="BOQ_(2)46"/>
      <sheetName val="Fee_Rate_Summary46"/>
      <sheetName val="Name_List46"/>
      <sheetName val="Detail_1A46"/>
      <sheetName val="Sheet_146"/>
      <sheetName val="3BPA00132-5-3_W_plan_HVPNL46"/>
      <sheetName val="Mix_Design46"/>
      <sheetName val="DLC_lookups46"/>
      <sheetName val="Driveway_Beams46"/>
      <sheetName val="TBAL9697__x005f_x000a_grotp_wise_46"/>
      <sheetName val="Quote_Sheet46"/>
      <sheetName val="d-safe_DELUXE46"/>
      <sheetName val="Works_-_Quote_Sheet46"/>
      <sheetName val="IO_LIST46"/>
      <sheetName val="TBAL9697__x005f_x000d_grotp_wis46"/>
      <sheetName val="Cat_A_Change_Control46"/>
      <sheetName val="Break_up_Sheet46"/>
      <sheetName val="Summary_of_P_&amp;_M46"/>
      <sheetName val="ISO_Reconcilation_Statment46"/>
      <sheetName val="AVG_pur_rate46"/>
      <sheetName val="Break_Dw46"/>
      <sheetName val="LIST_OF_MAKES46"/>
      <sheetName val="Assumption_Inputs46"/>
      <sheetName val="Civil_Works46"/>
      <sheetName val="Form_646"/>
      <sheetName val="acevsSp_(ABC)46"/>
      <sheetName val="A_O_R_46"/>
      <sheetName val="CORPN_O_x005f_x005f_x005f_x0000_T46"/>
      <sheetName val="220_11__BS_46"/>
      <sheetName val="FITZ_MORT_9446"/>
      <sheetName val="Intro_46"/>
      <sheetName val="BLOCK-A_(MEA_SHEET)46"/>
      <sheetName val="NLD_-_Assum46"/>
      <sheetName val="Section_Catalogue46"/>
      <sheetName val="TB9798OBPL06_(2)53"/>
      <sheetName val="CORPN_OCT53"/>
      <sheetName val="inout_consol-nov53"/>
      <sheetName val="inout_consol_(2)53"/>
      <sheetName val="AS_ON_DT_EXPS_Mar53"/>
      <sheetName val="fa-pl_&amp;_mach-site53"/>
      <sheetName val="fa_off_eqp53"/>
      <sheetName val="fa_fur&amp;_fix53"/>
      <sheetName val="fa-pl_&amp;_mach-Off53"/>
      <sheetName val="B_Equity-sdpl_INC53"/>
      <sheetName val="inout_consol_wkg53"/>
      <sheetName val="inout_consol_WKNG53"/>
      <sheetName val="B_Sheet_9753"/>
      <sheetName val="P&amp;L_97_53"/>
      <sheetName val="B_Sheet_97-BEXP53"/>
      <sheetName val="P&amp;L_97_-BEXP53"/>
      <sheetName val="consol_flows53"/>
      <sheetName val="sdpl_oth_Liab53"/>
      <sheetName val="obpl-oth_liab53"/>
      <sheetName val="G_land_advance53"/>
      <sheetName val="I-Wip-ot_(2)53"/>
      <sheetName val="detail_WIP_(2)53"/>
      <sheetName val="detail_G-153"/>
      <sheetName val="sobha_menon_ac53"/>
      <sheetName val="pnc_ac53"/>
      <sheetName val="fix_-p_&amp;_M_-SCC53"/>
      <sheetName val="C_fix_asst53"/>
      <sheetName val="D_fix_asst_scdl_53"/>
      <sheetName val="creditors_tb_obpl53"/>
      <sheetName val="TBAL9697_-group_wise__sdpl63"/>
      <sheetName val="TBAL9697_-group_wise_53"/>
      <sheetName val="crs_-G-153"/>
      <sheetName val="TBAL9697_-group_wise__onpl53"/>
      <sheetName val="B_Sheet_97-OBPL53"/>
      <sheetName val="B_Sheet_97_sdpl53"/>
      <sheetName val="TBAL9697_-group_wise__sdpl253"/>
      <sheetName val="inout_consol_jan53"/>
      <sheetName val="consol_flow53"/>
      <sheetName val="D_Loan__Prom53"/>
      <sheetName val="E_Bank_Loan53"/>
      <sheetName val="G_work_Cap53"/>
      <sheetName val="H_land_adv-dec53"/>
      <sheetName val="J_Con_WIP53"/>
      <sheetName val="detail_J53"/>
      <sheetName val="L_Oth_Co53"/>
      <sheetName val="K_fix_asst__53"/>
      <sheetName val="C_fix_asst-SDPL_53"/>
      <sheetName val="TBAL9697__group_wise__sdpl53"/>
      <sheetName val="inout_consol_okg53"/>
      <sheetName val="detail_OIP_(2)53"/>
      <sheetName val="D_fix_ysst_scdl_53"/>
      <sheetName val="cre`itors_tb_obpl53"/>
      <sheetName val="3AL9697_-group_wise__onpl53"/>
      <sheetName val="L_Oth_Bo52"/>
      <sheetName val="3‰AL9697_-group_wise__onpl52"/>
      <sheetName val="Civil_Boq52"/>
      <sheetName val="Staff_Acco_52"/>
      <sheetName val="SITE_OVERHEADS52"/>
      <sheetName val="PRECAST_lightconc-II50"/>
      <sheetName val="1__PayRec49"/>
      <sheetName val="Boq_Block_A52"/>
      <sheetName val="Cashflow_projection49"/>
      <sheetName val="Project-Material_52"/>
      <sheetName val="SPT_vs_PHI49"/>
      <sheetName val="key_dates49"/>
      <sheetName val="ino4t_conso,-nov49"/>
      <sheetName val="(nout_co,sol_(2)49"/>
      <sheetName val="Blr_hire49"/>
      <sheetName val="_bpl,oth_lia_49"/>
      <sheetName val="G_,and_adv_nce49"/>
      <sheetName val="I,Wip-ot__2)49"/>
      <sheetName val="det!il_WIP_(2)49"/>
      <sheetName val="de4ail_G-149"/>
      <sheetName val="sobha_mennn_ac49"/>
      <sheetName val="C_&amp;ix_asst49"/>
      <sheetName val="_x005f_x0003_dpl_oth_Lia`49"/>
      <sheetName val="TBAL9697__x005f_x000d_grotp_wise_49"/>
      <sheetName val="St_co_91_5lvl49"/>
      <sheetName val="3�AL9697_-group_wise__onpl52"/>
      <sheetName val="INPUT_SHEET49"/>
      <sheetName val="Stress_Calculation49"/>
      <sheetName val="Labor_abs-NMR49"/>
      <sheetName val="Sun_E_Type49"/>
      <sheetName val="CORPN_O?T49"/>
      <sheetName val="Fin_Sum49"/>
      <sheetName val="CORPN_O_x005f_x0000_T49"/>
      <sheetName val="TBAL9697__x000a_grotp_wise_49"/>
      <sheetName val="labour_coeff47"/>
      <sheetName val="Shuttering_Analysis47"/>
      <sheetName val="General_P+M47"/>
      <sheetName val="Curing_Analysis_47"/>
      <sheetName val="Concrete_P+M_(_RMC_)47"/>
      <sheetName val="P+M_(_SMC_)47"/>
      <sheetName val="P+M_-EW47"/>
      <sheetName val="P&amp;L_-_AD47"/>
      <sheetName val="SUPPLY_-Sanitary_Fixtures49"/>
      <sheetName val="ITEMS_FOR_CIVIL_TENDER49"/>
      <sheetName val="_x005f_x005f_x005f_x0003_dpl_oth_Lia`49"/>
      <sheetName val="TBAL9697__x005f_x005f_x005f_x000d_grotp_w49"/>
      <sheetName val="Fin__Assumpt__-_Sensitivities47"/>
      <sheetName val="LOAD_SHEET_47"/>
      <sheetName val="Fill_this_out_first___47"/>
      <sheetName val="Labour_productivity47"/>
      <sheetName val="RCC,Ret__Wall47"/>
      <sheetName val="CORPN_O49"/>
      <sheetName val="CORPN_O_T47"/>
      <sheetName val="Area_&amp;_Cate__Master47"/>
      <sheetName val="Bill_No_547"/>
      <sheetName val="11B_47"/>
      <sheetName val="Structure_Bills_Qty47"/>
      <sheetName val="DG_49"/>
      <sheetName val="BOQ_(2)47"/>
      <sheetName val="Fee_Rate_Summary47"/>
      <sheetName val="Name_List47"/>
      <sheetName val="Detail_1A47"/>
      <sheetName val="Sheet_147"/>
      <sheetName val="3BPA00132-5-3_W_plan_HVPNL47"/>
      <sheetName val="Mix_Design47"/>
      <sheetName val="DLC_lookups47"/>
      <sheetName val="Driveway_Beams47"/>
      <sheetName val="TBAL9697__x005f_x000a_grotp_wise_47"/>
      <sheetName val="Quote_Sheet47"/>
      <sheetName val="d-safe_DELUXE47"/>
      <sheetName val="Works_-_Quote_Sheet47"/>
      <sheetName val="IO_LIST47"/>
      <sheetName val="TBAL9697__x005f_x000d_grotp_wis47"/>
      <sheetName val="Cat_A_Change_Control47"/>
      <sheetName val="Break_up_Sheet47"/>
      <sheetName val="Summary_of_P_&amp;_M47"/>
      <sheetName val="ISO_Reconcilation_Statment47"/>
      <sheetName val="AVG_pur_rate47"/>
      <sheetName val="Break_Dw47"/>
      <sheetName val="LIST_OF_MAKES47"/>
      <sheetName val="Assumption_Inputs47"/>
      <sheetName val="Civil_Works47"/>
      <sheetName val="Form_647"/>
      <sheetName val="acevsSp_(ABC)47"/>
      <sheetName val="A_O_R_47"/>
      <sheetName val="CORPN_O_x005f_x005f_x005f_x0000_T47"/>
      <sheetName val="220_11__BS_47"/>
      <sheetName val="FITZ_MORT_9447"/>
      <sheetName val="Intro_47"/>
      <sheetName val="BLOCK-A_(MEA_SHEET)47"/>
      <sheetName val="NLD_-_Assum47"/>
      <sheetName val="Section_Catalogue47"/>
      <sheetName val="TB9798OBPL06_(2)55"/>
      <sheetName val="CORPN_OCT55"/>
      <sheetName val="inout_consol-nov55"/>
      <sheetName val="inout_consol_(2)55"/>
      <sheetName val="AS_ON_DT_EXPS_Mar55"/>
      <sheetName val="fa-pl_&amp;_mach-site55"/>
      <sheetName val="fa_off_eqp55"/>
      <sheetName val="fa_fur&amp;_fix55"/>
      <sheetName val="fa-pl_&amp;_mach-Off55"/>
      <sheetName val="B_Equity-sdpl_INC55"/>
      <sheetName val="inout_consol_wkg55"/>
      <sheetName val="inout_consol_WKNG55"/>
      <sheetName val="B_Sheet_9755"/>
      <sheetName val="P&amp;L_97_55"/>
      <sheetName val="B_Sheet_97-BEXP55"/>
      <sheetName val="P&amp;L_97_-BEXP55"/>
      <sheetName val="consol_flows55"/>
      <sheetName val="sdpl_oth_Liab55"/>
      <sheetName val="obpl-oth_liab55"/>
      <sheetName val="G_land_advance55"/>
      <sheetName val="I-Wip-ot_(2)55"/>
      <sheetName val="detail_WIP_(2)55"/>
      <sheetName val="detail_G-155"/>
      <sheetName val="sobha_menon_ac55"/>
      <sheetName val="pnc_ac55"/>
      <sheetName val="fix_-p_&amp;_M_-SCC55"/>
      <sheetName val="C_fix_asst55"/>
      <sheetName val="D_fix_asst_scdl_55"/>
      <sheetName val="creditors_tb_obpl55"/>
      <sheetName val="TBAL9697_-group_wise__sdpl65"/>
      <sheetName val="TBAL9697_-group_wise_55"/>
      <sheetName val="crs_-G-155"/>
      <sheetName val="TBAL9697_-group_wise__onpl55"/>
      <sheetName val="B_Sheet_97-OBPL55"/>
      <sheetName val="B_Sheet_97_sdpl55"/>
      <sheetName val="TBAL9697_-group_wise__sdpl255"/>
      <sheetName val="inout_consol_jan55"/>
      <sheetName val="consol_flow55"/>
      <sheetName val="D_Loan__Prom55"/>
      <sheetName val="E_Bank_Loan55"/>
      <sheetName val="G_work_Cap55"/>
      <sheetName val="H_land_adv-dec55"/>
      <sheetName val="J_Con_WIP55"/>
      <sheetName val="detail_J55"/>
      <sheetName val="L_Oth_Co55"/>
      <sheetName val="K_fix_asst__55"/>
      <sheetName val="C_fix_asst-SDPL_55"/>
      <sheetName val="TBAL9697__group_wise__sdpl55"/>
      <sheetName val="inout_consol_okg55"/>
      <sheetName val="detail_OIP_(2)55"/>
      <sheetName val="D_fix_ysst_scdl_55"/>
      <sheetName val="cre`itors_tb_obpl55"/>
      <sheetName val="3AL9697_-group_wise__onpl55"/>
      <sheetName val="L_Oth_Bo54"/>
      <sheetName val="3‰AL9697_-group_wise__onpl54"/>
      <sheetName val="Civil_Boq54"/>
      <sheetName val="Staff_Acco_54"/>
      <sheetName val="SITE_OVERHEADS54"/>
      <sheetName val="PRECAST_lightconc-II52"/>
      <sheetName val="1__PayRec51"/>
      <sheetName val="Boq_Block_A54"/>
      <sheetName val="Cashflow_projection51"/>
      <sheetName val="Project-Material_54"/>
      <sheetName val="SPT_vs_PHI51"/>
      <sheetName val="key_dates51"/>
      <sheetName val="ino4t_conso,-nov51"/>
      <sheetName val="(nout_co,sol_(2)51"/>
      <sheetName val="Blr_hire51"/>
      <sheetName val="_bpl,oth_lia_51"/>
      <sheetName val="G_,and_adv_nce51"/>
      <sheetName val="I,Wip-ot__2)51"/>
      <sheetName val="det!il_WIP_(2)51"/>
      <sheetName val="de4ail_G-151"/>
      <sheetName val="sobha_mennn_ac51"/>
      <sheetName val="C_&amp;ix_asst51"/>
      <sheetName val="_x005f_x0003_dpl_oth_Lia`51"/>
      <sheetName val="TBAL9697__x005f_x000d_grotp_wise_51"/>
      <sheetName val="St_co_91_5lvl51"/>
      <sheetName val="3�AL9697_-group_wise__onpl54"/>
      <sheetName val="INPUT_SHEET51"/>
      <sheetName val="Stress_Calculation51"/>
      <sheetName val="Labor_abs-NMR51"/>
      <sheetName val="Sun_E_Type51"/>
      <sheetName val="CORPN_O?T51"/>
      <sheetName val="Fin_Sum51"/>
      <sheetName val="CORPN_O_x005f_x0000_T51"/>
      <sheetName val="TBAL9697__x000a_grotp_wise_51"/>
      <sheetName val="labour_coeff49"/>
      <sheetName val="Shuttering_Analysis49"/>
      <sheetName val="General_P+M49"/>
      <sheetName val="Curing_Analysis_49"/>
      <sheetName val="Concrete_P+M_(_RMC_)49"/>
      <sheetName val="P+M_(_SMC_)49"/>
      <sheetName val="P+M_-EW49"/>
      <sheetName val="P&amp;L_-_AD49"/>
      <sheetName val="SUPPLY_-Sanitary_Fixtures51"/>
      <sheetName val="ITEMS_FOR_CIVIL_TENDER51"/>
      <sheetName val="_x005f_x005f_x005f_x0003_dpl_oth_Lia`51"/>
      <sheetName val="TBAL9697__x005f_x005f_x005f_x000d_grotp_w51"/>
      <sheetName val="Fin__Assumpt__-_Sensitivities49"/>
      <sheetName val="LOAD_SHEET_49"/>
      <sheetName val="Fill_this_out_first___49"/>
      <sheetName val="Labour_productivity49"/>
      <sheetName val="RCC,Ret__Wall49"/>
      <sheetName val="CORPN_O51"/>
      <sheetName val="CORPN_O_T49"/>
      <sheetName val="Area_&amp;_Cate__Master49"/>
      <sheetName val="Bill_No_549"/>
      <sheetName val="TBAL9697__grotp_wise_98"/>
      <sheetName val="11B_49"/>
      <sheetName val="Structure_Bills_Qty49"/>
      <sheetName val="DG_51"/>
      <sheetName val="BOQ_(2)49"/>
      <sheetName val="Fee_Rate_Summary49"/>
      <sheetName val="Name_List49"/>
      <sheetName val="Detail_1A49"/>
      <sheetName val="Sheet_149"/>
      <sheetName val="3BPA00132-5-3_W_plan_HVPNL49"/>
      <sheetName val="Mix_Design49"/>
      <sheetName val="DLC_lookups49"/>
      <sheetName val="Driveway_Beams49"/>
      <sheetName val="TBAL9697__x005f_x000a_grotp_wise_49"/>
      <sheetName val="Quote_Sheet49"/>
      <sheetName val="d-safe_DELUXE49"/>
      <sheetName val="Works_-_Quote_Sheet49"/>
      <sheetName val="IO_LIST49"/>
      <sheetName val="TBAL9697__x005f_x000d_grotp_wis49"/>
      <sheetName val="TBAL9697__grotp_wise_99"/>
      <sheetName val="Cat_A_Change_Control49"/>
      <sheetName val="Break_up_Sheet49"/>
      <sheetName val="Summary_of_P_&amp;_M49"/>
      <sheetName val="ISO_Reconcilation_Statment49"/>
      <sheetName val="AVG_pur_rate49"/>
      <sheetName val="Break_Dw49"/>
      <sheetName val="LIST_OF_MAKES49"/>
      <sheetName val="Assumption_Inputs49"/>
      <sheetName val="Civil_Works49"/>
      <sheetName val="Form_649"/>
      <sheetName val="acevsSp_(ABC)49"/>
      <sheetName val="A_O_R_49"/>
      <sheetName val="CORPN_O_x005f_x005f_x005f_x0000_T49"/>
      <sheetName val="220_11__BS_49"/>
      <sheetName val="FITZ_MORT_9449"/>
      <sheetName val="Intro_49"/>
      <sheetName val="BLOCK-A_(MEA_SHEET)49"/>
      <sheetName val="NLD_-_Assum49"/>
      <sheetName val="Section_Catalogue49"/>
      <sheetName val="TB9798OBPL06_(2)56"/>
      <sheetName val="CORPN_OCT56"/>
      <sheetName val="inout_consol-nov56"/>
      <sheetName val="inout_consol_(2)56"/>
      <sheetName val="AS_ON_DT_EXPS_Mar56"/>
      <sheetName val="fa-pl_&amp;_mach-site56"/>
      <sheetName val="fa_off_eqp56"/>
      <sheetName val="fa_fur&amp;_fix56"/>
      <sheetName val="fa-pl_&amp;_mach-Off56"/>
      <sheetName val="B_Equity-sdpl_INC56"/>
      <sheetName val="inout_consol_wkg56"/>
      <sheetName val="inout_consol_WKNG56"/>
      <sheetName val="B_Sheet_9756"/>
      <sheetName val="P&amp;L_97_56"/>
      <sheetName val="B_Sheet_97-BEXP56"/>
      <sheetName val="P&amp;L_97_-BEXP56"/>
      <sheetName val="consol_flows56"/>
      <sheetName val="sdpl_oth_Liab56"/>
      <sheetName val="obpl-oth_liab56"/>
      <sheetName val="G_land_advance56"/>
      <sheetName val="I-Wip-ot_(2)56"/>
      <sheetName val="detail_WIP_(2)56"/>
      <sheetName val="detail_G-156"/>
      <sheetName val="sobha_menon_ac56"/>
      <sheetName val="pnc_ac56"/>
      <sheetName val="fix_-p_&amp;_M_-SCC56"/>
      <sheetName val="C_fix_asst56"/>
      <sheetName val="D_fix_asst_scdl_56"/>
      <sheetName val="creditors_tb_obpl56"/>
      <sheetName val="TBAL9697_-group_wise__sdpl66"/>
      <sheetName val="TBAL9697_-group_wise_56"/>
      <sheetName val="crs_-G-156"/>
      <sheetName val="TBAL9697_-group_wise__onpl56"/>
      <sheetName val="B_Sheet_97-OBPL56"/>
      <sheetName val="B_Sheet_97_sdpl56"/>
      <sheetName val="TBAL9697_-group_wise__sdpl256"/>
      <sheetName val="inout_consol_jan56"/>
      <sheetName val="consol_flow56"/>
      <sheetName val="D_Loan__Prom56"/>
      <sheetName val="E_Bank_Loan56"/>
      <sheetName val="G_work_Cap56"/>
      <sheetName val="H_land_adv-dec56"/>
      <sheetName val="J_Con_WIP56"/>
      <sheetName val="detail_J56"/>
      <sheetName val="L_Oth_Co56"/>
      <sheetName val="K_fix_asst__56"/>
      <sheetName val="C_fix_asst-SDPL_56"/>
      <sheetName val="TBAL9697__group_wise__sdpl56"/>
      <sheetName val="inout_consol_okg56"/>
      <sheetName val="detail_OIP_(2)56"/>
      <sheetName val="D_fix_ysst_scdl_56"/>
      <sheetName val="cre`itors_tb_obpl56"/>
      <sheetName val="3AL9697_-group_wise__onpl56"/>
      <sheetName val="L_Oth_Bo55"/>
      <sheetName val="3‰AL9697_-group_wise__onpl55"/>
      <sheetName val="Civil_Boq55"/>
      <sheetName val="Staff_Acco_55"/>
      <sheetName val="SITE_OVERHEADS55"/>
      <sheetName val="PRECAST_lightconc-II53"/>
      <sheetName val="1__PayRec52"/>
      <sheetName val="Boq_Block_A55"/>
      <sheetName val="Cashflow_projection52"/>
      <sheetName val="Project-Material_55"/>
      <sheetName val="SPT_vs_PHI52"/>
      <sheetName val="key_dates52"/>
      <sheetName val="ino4t_conso,-nov52"/>
      <sheetName val="(nout_co,sol_(2)52"/>
      <sheetName val="Blr_hire52"/>
      <sheetName val="_bpl,oth_lia_52"/>
      <sheetName val="G_,and_adv_nce52"/>
      <sheetName val="I,Wip-ot__2)52"/>
      <sheetName val="det!il_WIP_(2)52"/>
      <sheetName val="de4ail_G-152"/>
      <sheetName val="sobha_mennn_ac52"/>
      <sheetName val="C_&amp;ix_asst52"/>
      <sheetName val="_x005f_x0003_dpl_oth_Lia`52"/>
      <sheetName val="TBAL9697__x005f_x000d_grotp_wise_52"/>
      <sheetName val="St_co_91_5lvl52"/>
      <sheetName val="3�AL9697_-group_wise__onpl55"/>
      <sheetName val="INPUT_SHEET52"/>
      <sheetName val="Stress_Calculation52"/>
      <sheetName val="Labor_abs-NMR52"/>
      <sheetName val="Sun_E_Type52"/>
      <sheetName val="CORPN_O?T52"/>
      <sheetName val="Fin_Sum52"/>
      <sheetName val="CORPN_O_x005f_x0000_T52"/>
      <sheetName val="TBAL9697__x000a_grotp_wise_52"/>
      <sheetName val="labour_coeff50"/>
      <sheetName val="Shuttering_Analysis50"/>
      <sheetName val="General_P+M50"/>
      <sheetName val="Curing_Analysis_50"/>
      <sheetName val="Concrete_P+M_(_RMC_)50"/>
      <sheetName val="P+M_(_SMC_)50"/>
      <sheetName val="P+M_-EW50"/>
      <sheetName val="P&amp;L_-_AD50"/>
      <sheetName val="SUPPLY_-Sanitary_Fixtures52"/>
      <sheetName val="ITEMS_FOR_CIVIL_TENDER52"/>
      <sheetName val="_x005f_x005f_x005f_x0003_dpl_oth_Lia`52"/>
      <sheetName val="TBAL9697__x005f_x005f_x005f_x000d_grotp_w52"/>
      <sheetName val="Fin__Assumpt__-_Sensitivities50"/>
      <sheetName val="LOAD_SHEET_50"/>
      <sheetName val="Fill_this_out_first___50"/>
      <sheetName val="Labour_productivity50"/>
      <sheetName val="RCC,Ret__Wall50"/>
      <sheetName val="CORPN_O52"/>
      <sheetName val="CORPN_O_T50"/>
      <sheetName val="Area_&amp;_Cate__Master50"/>
      <sheetName val="Bill_No_550"/>
      <sheetName val="TBAL9697__grotp_wise_100"/>
      <sheetName val="11B_50"/>
      <sheetName val="Structure_Bills_Qty50"/>
      <sheetName val="DG_52"/>
      <sheetName val="BOQ_(2)50"/>
      <sheetName val="Fee_Rate_Summary50"/>
      <sheetName val="Name_List50"/>
      <sheetName val="Detail_1A50"/>
      <sheetName val="Sheet_150"/>
      <sheetName val="3BPA00132-5-3_W_plan_HVPNL50"/>
      <sheetName val="Mix_Design50"/>
      <sheetName val="DLC_lookups50"/>
      <sheetName val="Driveway_Beams50"/>
      <sheetName val="TBAL9697__x005f_x000a_grotp_wise_50"/>
      <sheetName val="Quote_Sheet50"/>
      <sheetName val="d-safe_DELUXE50"/>
      <sheetName val="Works_-_Quote_Sheet50"/>
      <sheetName val="IO_LIST50"/>
      <sheetName val="TBAL9697__x005f_x000d_grotp_wis50"/>
      <sheetName val="Cat_A_Change_Control50"/>
      <sheetName val="Break_up_Sheet50"/>
      <sheetName val="Summary_of_P_&amp;_M50"/>
      <sheetName val="ISO_Reconcilation_Statment50"/>
      <sheetName val="AVG_pur_rate50"/>
      <sheetName val="Break_Dw50"/>
      <sheetName val="LIST_OF_MAKES50"/>
      <sheetName val="Assumption_Inputs50"/>
      <sheetName val="Civil_Works50"/>
      <sheetName val="Form_650"/>
      <sheetName val="acevsSp_(ABC)50"/>
      <sheetName val="A_O_R_50"/>
      <sheetName val="CORPN_O_x005f_x005f_x005f_x0000_T50"/>
      <sheetName val="220_11__BS_50"/>
      <sheetName val="FITZ_MORT_9450"/>
      <sheetName val="Intro_50"/>
      <sheetName val="BLOCK-A_(MEA_SHEET)50"/>
      <sheetName val="NLD_-_Assum50"/>
      <sheetName val="Section_Catalogue50"/>
      <sheetName val="TB9798OBPL06_(2)57"/>
      <sheetName val="CORPN_OCT57"/>
      <sheetName val="inout_consol-nov57"/>
      <sheetName val="inout_consol_(2)57"/>
      <sheetName val="AS_ON_DT_EXPS_Mar57"/>
      <sheetName val="fa-pl_&amp;_mach-site57"/>
      <sheetName val="fa_off_eqp57"/>
      <sheetName val="fa_fur&amp;_fix57"/>
      <sheetName val="fa-pl_&amp;_mach-Off57"/>
      <sheetName val="B_Equity-sdpl_INC57"/>
      <sheetName val="inout_consol_wkg57"/>
      <sheetName val="inout_consol_WKNG57"/>
      <sheetName val="B_Sheet_9757"/>
      <sheetName val="P&amp;L_97_57"/>
      <sheetName val="B_Sheet_97-BEXP57"/>
      <sheetName val="P&amp;L_97_-BEXP57"/>
      <sheetName val="consol_flows57"/>
      <sheetName val="sdpl_oth_Liab57"/>
      <sheetName val="obpl-oth_liab57"/>
      <sheetName val="G_land_advance57"/>
      <sheetName val="I-Wip-ot_(2)57"/>
      <sheetName val="detail_WIP_(2)57"/>
      <sheetName val="detail_G-157"/>
      <sheetName val="sobha_menon_ac57"/>
      <sheetName val="pnc_ac57"/>
      <sheetName val="fix_-p_&amp;_M_-SCC57"/>
      <sheetName val="C_fix_asst57"/>
      <sheetName val="D_fix_asst_scdl_57"/>
      <sheetName val="creditors_tb_obpl57"/>
      <sheetName val="TBAL9697_-group_wise__sdpl67"/>
      <sheetName val="TBAL9697_-group_wise_57"/>
      <sheetName val="crs_-G-157"/>
      <sheetName val="TBAL9697_-group_wise__onpl57"/>
      <sheetName val="B_Sheet_97-OBPL57"/>
      <sheetName val="B_Sheet_97_sdpl57"/>
      <sheetName val="TBAL9697_-group_wise__sdpl257"/>
      <sheetName val="inout_consol_jan57"/>
      <sheetName val="consol_flow57"/>
      <sheetName val="D_Loan__Prom57"/>
      <sheetName val="E_Bank_Loan57"/>
      <sheetName val="G_work_Cap57"/>
      <sheetName val="H_land_adv-dec57"/>
      <sheetName val="J_Con_WIP57"/>
      <sheetName val="detail_J57"/>
      <sheetName val="L_Oth_Co57"/>
      <sheetName val="K_fix_asst__57"/>
      <sheetName val="C_fix_asst-SDPL_57"/>
      <sheetName val="TBAL9697__group_wise__sdpl57"/>
      <sheetName val="inout_consol_okg57"/>
      <sheetName val="detail_OIP_(2)57"/>
      <sheetName val="D_fix_ysst_scdl_57"/>
      <sheetName val="cre`itors_tb_obpl57"/>
      <sheetName val="3AL9697_-group_wise__onpl57"/>
      <sheetName val="L_Oth_Bo56"/>
      <sheetName val="3‰AL9697_-group_wise__onpl56"/>
      <sheetName val="Civil_Boq56"/>
      <sheetName val="Staff_Acco_56"/>
      <sheetName val="SITE_OVERHEADS56"/>
      <sheetName val="PRECAST_lightconc-II54"/>
      <sheetName val="1__PayRec53"/>
      <sheetName val="Boq_Block_A56"/>
      <sheetName val="Cashflow_projection53"/>
      <sheetName val="Project-Material_56"/>
      <sheetName val="SPT_vs_PHI53"/>
      <sheetName val="key_dates53"/>
      <sheetName val="ino4t_conso,-nov53"/>
      <sheetName val="(nout_co,sol_(2)53"/>
      <sheetName val="Blr_hire53"/>
      <sheetName val="_bpl,oth_lia_53"/>
      <sheetName val="G_,and_adv_nce53"/>
      <sheetName val="I,Wip-ot__2)53"/>
      <sheetName val="det!il_WIP_(2)53"/>
      <sheetName val="de4ail_G-153"/>
      <sheetName val="sobha_mennn_ac53"/>
      <sheetName val="C_&amp;ix_asst53"/>
      <sheetName val="_x005f_x0003_dpl_oth_Lia`53"/>
      <sheetName val="TBAL9697__x005f_x000d_grotp_wise_53"/>
      <sheetName val="St_co_91_5lvl53"/>
      <sheetName val="3�AL9697_-group_wise__onpl56"/>
      <sheetName val="INPUT_SHEET53"/>
      <sheetName val="Stress_Calculation53"/>
      <sheetName val="Labor_abs-NMR53"/>
      <sheetName val="Sun_E_Type53"/>
      <sheetName val="CORPN_O?T53"/>
      <sheetName val="Fin_Sum53"/>
      <sheetName val="CORPN_O_x005f_x0000_T53"/>
      <sheetName val="TBAL9697__x000a_grotp_wise_53"/>
      <sheetName val="labour_coeff51"/>
      <sheetName val="Shuttering_Analysis51"/>
      <sheetName val="General_P+M51"/>
      <sheetName val="Curing_Analysis_51"/>
      <sheetName val="Concrete_P+M_(_RMC_)51"/>
      <sheetName val="P+M_(_SMC_)51"/>
      <sheetName val="P+M_-EW51"/>
      <sheetName val="P&amp;L_-_AD51"/>
      <sheetName val="SUPPLY_-Sanitary_Fixtures53"/>
      <sheetName val="ITEMS_FOR_CIVIL_TENDER53"/>
      <sheetName val="_x005f_x005f_x005f_x0003_dpl_oth_Lia`53"/>
      <sheetName val="TBAL9697__x005f_x005f_x005f_x000d_grotp_w53"/>
      <sheetName val="Fin__Assumpt__-_Sensitivities51"/>
      <sheetName val="LOAD_SHEET_51"/>
      <sheetName val="Fill_this_out_first___51"/>
      <sheetName val="Labour_productivity51"/>
      <sheetName val="RCC,Ret__Wall51"/>
      <sheetName val="CORPN_O53"/>
      <sheetName val="CORPN_O_T51"/>
      <sheetName val="Area_&amp;_Cate__Master51"/>
      <sheetName val="Bill_No_551"/>
      <sheetName val="11B_51"/>
      <sheetName val="Structure_Bills_Qty51"/>
      <sheetName val="DG_53"/>
      <sheetName val="BOQ_(2)51"/>
      <sheetName val="Fee_Rate_Summary51"/>
      <sheetName val="Name_List51"/>
      <sheetName val="Detail_1A51"/>
      <sheetName val="Sheet_151"/>
      <sheetName val="3BPA00132-5-3_W_plan_HVPNL51"/>
      <sheetName val="Mix_Design51"/>
      <sheetName val="DLC_lookups51"/>
      <sheetName val="Driveway_Beams51"/>
      <sheetName val="TBAL9697__x005f_x000a_grotp_wise_51"/>
      <sheetName val="Quote_Sheet51"/>
      <sheetName val="d-safe_DELUXE51"/>
      <sheetName val="Works_-_Quote_Sheet51"/>
      <sheetName val="IO_LIST51"/>
      <sheetName val="TBAL9697__x005f_x000d_grotp_wis51"/>
      <sheetName val="Cat_A_Change_Control51"/>
      <sheetName val="Break_up_Sheet51"/>
      <sheetName val="Summary_of_P_&amp;_M51"/>
      <sheetName val="ISO_Reconcilation_Statment51"/>
      <sheetName val="AVG_pur_rate51"/>
      <sheetName val="Break_Dw51"/>
      <sheetName val="LIST_OF_MAKES51"/>
      <sheetName val="Assumption_Inputs51"/>
      <sheetName val="Civil_Works51"/>
      <sheetName val="Form_651"/>
      <sheetName val="acevsSp_(ABC)51"/>
      <sheetName val="A_O_R_51"/>
      <sheetName val="CORPN_O_x005f_x005f_x005f_x0000_T51"/>
      <sheetName val="220_11__BS_51"/>
      <sheetName val="FITZ_MORT_9451"/>
      <sheetName val="Intro_51"/>
      <sheetName val="BLOCK-A_(MEA_SHEET)51"/>
      <sheetName val="NLD_-_Assum51"/>
      <sheetName val="Section_Catalogue51"/>
      <sheetName val="TB9798OBPL06_(2)58"/>
      <sheetName val="CORPN_OCT58"/>
      <sheetName val="inout_consol-nov58"/>
      <sheetName val="inout_consol_(2)58"/>
      <sheetName val="AS_ON_DT_EXPS_Mar58"/>
      <sheetName val="fa-pl_&amp;_mach-site58"/>
      <sheetName val="fa_off_eqp58"/>
      <sheetName val="fa_fur&amp;_fix58"/>
      <sheetName val="fa-pl_&amp;_mach-Off58"/>
      <sheetName val="B_Equity-sdpl_INC58"/>
      <sheetName val="inout_consol_wkg58"/>
      <sheetName val="inout_consol_WKNG58"/>
      <sheetName val="B_Sheet_9758"/>
      <sheetName val="P&amp;L_97_58"/>
      <sheetName val="B_Sheet_97-BEXP58"/>
      <sheetName val="P&amp;L_97_-BEXP58"/>
      <sheetName val="consol_flows58"/>
      <sheetName val="sdpl_oth_Liab58"/>
      <sheetName val="obpl-oth_liab58"/>
      <sheetName val="G_land_advance58"/>
      <sheetName val="I-Wip-ot_(2)58"/>
      <sheetName val="detail_WIP_(2)58"/>
      <sheetName val="detail_G-158"/>
      <sheetName val="sobha_menon_ac58"/>
      <sheetName val="pnc_ac58"/>
      <sheetName val="fix_-p_&amp;_M_-SCC58"/>
      <sheetName val="C_fix_asst58"/>
      <sheetName val="D_fix_asst_scdl_58"/>
      <sheetName val="creditors_tb_obpl58"/>
      <sheetName val="TBAL9697_-group_wise__sdpl68"/>
      <sheetName val="TBAL9697_-group_wise_58"/>
      <sheetName val="crs_-G-158"/>
      <sheetName val="TBAL9697_-group_wise__onpl58"/>
      <sheetName val="B_Sheet_97-OBPL58"/>
      <sheetName val="B_Sheet_97_sdpl58"/>
      <sheetName val="TBAL9697_-group_wise__sdpl258"/>
      <sheetName val="inout_consol_jan58"/>
      <sheetName val="consol_flow58"/>
      <sheetName val="D_Loan__Prom58"/>
      <sheetName val="E_Bank_Loan58"/>
      <sheetName val="G_work_Cap58"/>
      <sheetName val="H_land_adv-dec58"/>
      <sheetName val="J_Con_WIP58"/>
      <sheetName val="detail_J58"/>
      <sheetName val="L_Oth_Co58"/>
      <sheetName val="K_fix_asst__58"/>
      <sheetName val="C_fix_asst-SDPL_58"/>
      <sheetName val="TBAL9697__group_wise__sdpl58"/>
      <sheetName val="inout_consol_okg58"/>
      <sheetName val="detail_OIP_(2)58"/>
      <sheetName val="D_fix_ysst_scdl_58"/>
      <sheetName val="cre`itors_tb_obpl58"/>
      <sheetName val="3AL9697_-group_wise__onpl58"/>
      <sheetName val="L_Oth_Bo57"/>
      <sheetName val="3‰AL9697_-group_wise__onpl57"/>
      <sheetName val="Civil_Boq57"/>
      <sheetName val="Staff_Acco_57"/>
      <sheetName val="SITE_OVERHEADS57"/>
      <sheetName val="PRECAST_lightconc-II55"/>
      <sheetName val="1__PayRec54"/>
      <sheetName val="Boq_Block_A57"/>
      <sheetName val="Cashflow_projection54"/>
      <sheetName val="Project-Material_57"/>
      <sheetName val="SPT_vs_PHI54"/>
      <sheetName val="key_dates54"/>
      <sheetName val="ino4t_conso,-nov54"/>
      <sheetName val="(nout_co,sol_(2)54"/>
      <sheetName val="Blr_hire54"/>
      <sheetName val="_bpl,oth_lia_54"/>
      <sheetName val="G_,and_adv_nce54"/>
      <sheetName val="I,Wip-ot__2)54"/>
      <sheetName val="det!il_WIP_(2)54"/>
      <sheetName val="de4ail_G-154"/>
      <sheetName val="sobha_mennn_ac54"/>
      <sheetName val="C_&amp;ix_asst54"/>
      <sheetName val="_x005f_x0003_dpl_oth_Lia`54"/>
      <sheetName val="TBAL9697__x005f_x000d_grotp_wise_54"/>
      <sheetName val="St_co_91_5lvl54"/>
      <sheetName val="3�AL9697_-group_wise__onpl57"/>
      <sheetName val="INPUT_SHEET54"/>
      <sheetName val="Stress_Calculation54"/>
      <sheetName val="Labor_abs-NMR54"/>
      <sheetName val="Sun_E_Type54"/>
      <sheetName val="CORPN_O?T54"/>
      <sheetName val="Fin_Sum54"/>
      <sheetName val="CORPN_O_x005f_x0000_T54"/>
      <sheetName val="TBAL9697__x000a_grotp_wise_54"/>
      <sheetName val="labour_coeff52"/>
      <sheetName val="Shuttering_Analysis52"/>
      <sheetName val="General_P+M52"/>
      <sheetName val="Curing_Analysis_52"/>
      <sheetName val="Concrete_P+M_(_RMC_)52"/>
      <sheetName val="P+M_(_SMC_)52"/>
      <sheetName val="P+M_-EW52"/>
      <sheetName val="P&amp;L_-_AD52"/>
      <sheetName val="SUPPLY_-Sanitary_Fixtures54"/>
      <sheetName val="ITEMS_FOR_CIVIL_TENDER54"/>
      <sheetName val="_x005f_x005f_x005f_x0003_dpl_oth_Lia`54"/>
      <sheetName val="TBAL9697__x005f_x005f_x005f_x000d_grotp_w54"/>
      <sheetName val="Fin__Assumpt__-_Sensitivities52"/>
      <sheetName val="LOAD_SHEET_52"/>
      <sheetName val="Fill_this_out_first___52"/>
      <sheetName val="Labour_productivity52"/>
      <sheetName val="RCC,Ret__Wall52"/>
      <sheetName val="CORPN_O54"/>
      <sheetName val="CORPN_O_T52"/>
      <sheetName val="Area_&amp;_Cate__Master52"/>
      <sheetName val="Bill_No_552"/>
      <sheetName val="11B_52"/>
      <sheetName val="Structure_Bills_Qty52"/>
      <sheetName val="DG_54"/>
      <sheetName val="BOQ_(2)52"/>
      <sheetName val="Fee_Rate_Summary52"/>
      <sheetName val="Name_List52"/>
      <sheetName val="Detail_1A52"/>
      <sheetName val="Sheet_152"/>
      <sheetName val="3BPA00132-5-3_W_plan_HVPNL52"/>
      <sheetName val="Mix_Design52"/>
      <sheetName val="DLC_lookups52"/>
      <sheetName val="Driveway_Beams52"/>
      <sheetName val="TBAL9697__x005f_x000a_grotp_wise_52"/>
      <sheetName val="Quote_Sheet52"/>
      <sheetName val="d-safe_DELUXE52"/>
      <sheetName val="Works_-_Quote_Sheet52"/>
      <sheetName val="IO_LIST52"/>
      <sheetName val="TBAL9697__x005f_x000d_grotp_wis52"/>
      <sheetName val="Cat_A_Change_Control52"/>
      <sheetName val="Break_up_Sheet52"/>
      <sheetName val="Summary_of_P_&amp;_M52"/>
      <sheetName val="ISO_Reconcilation_Statment52"/>
      <sheetName val="AVG_pur_rate52"/>
      <sheetName val="Break_Dw52"/>
      <sheetName val="LIST_OF_MAKES52"/>
      <sheetName val="Assumption_Inputs52"/>
      <sheetName val="Civil_Works52"/>
      <sheetName val="Form_652"/>
      <sheetName val="acevsSp_(ABC)52"/>
      <sheetName val="A_O_R_52"/>
      <sheetName val="CORPN_O_x005f_x005f_x005f_x0000_T52"/>
      <sheetName val="220_11__BS_52"/>
      <sheetName val="FITZ_MORT_9452"/>
      <sheetName val="Intro_52"/>
      <sheetName val="BLOCK-A_(MEA_SHEET)52"/>
      <sheetName val="NLD_-_Assum52"/>
      <sheetName val="Section_Catalogue52"/>
      <sheetName val="TB9798OBPL06_(2)59"/>
      <sheetName val="CORPN_OCT59"/>
      <sheetName val="inout_consol-nov59"/>
      <sheetName val="inout_consol_(2)59"/>
      <sheetName val="AS_ON_DT_EXPS_Mar59"/>
      <sheetName val="fa-pl_&amp;_mach-site59"/>
      <sheetName val="fa_off_eqp59"/>
      <sheetName val="fa_fur&amp;_fix59"/>
      <sheetName val="fa-pl_&amp;_mach-Off59"/>
      <sheetName val="B_Equity-sdpl_INC59"/>
      <sheetName val="inout_consol_wkg59"/>
      <sheetName val="inout_consol_WKNG59"/>
      <sheetName val="B_Sheet_9759"/>
      <sheetName val="P&amp;L_97_59"/>
      <sheetName val="B_Sheet_97-BEXP59"/>
      <sheetName val="P&amp;L_97_-BEXP59"/>
      <sheetName val="consol_flows59"/>
      <sheetName val="sdpl_oth_Liab59"/>
      <sheetName val="obpl-oth_liab59"/>
      <sheetName val="G_land_advance59"/>
      <sheetName val="I-Wip-ot_(2)59"/>
      <sheetName val="detail_WIP_(2)59"/>
      <sheetName val="detail_G-159"/>
      <sheetName val="sobha_menon_ac59"/>
      <sheetName val="pnc_ac59"/>
      <sheetName val="fix_-p_&amp;_M_-SCC59"/>
      <sheetName val="C_fix_asst59"/>
      <sheetName val="D_fix_asst_scdl_59"/>
      <sheetName val="creditors_tb_obpl59"/>
      <sheetName val="TBAL9697_-group_wise__sdpl69"/>
      <sheetName val="TBAL9697_-group_wise_59"/>
      <sheetName val="crs_-G-159"/>
      <sheetName val="TBAL9697_-group_wise__onpl59"/>
      <sheetName val="B_Sheet_97-OBPL59"/>
      <sheetName val="B_Sheet_97_sdpl59"/>
      <sheetName val="TBAL9697_-group_wise__sdpl259"/>
      <sheetName val="inout_consol_jan59"/>
      <sheetName val="consol_flow59"/>
      <sheetName val="D_Loan__Prom59"/>
      <sheetName val="E_Bank_Loan59"/>
      <sheetName val="G_work_Cap59"/>
      <sheetName val="H_land_adv-dec59"/>
      <sheetName val="J_Con_WIP59"/>
      <sheetName val="detail_J59"/>
      <sheetName val="L_Oth_Co59"/>
      <sheetName val="K_fix_asst__59"/>
      <sheetName val="C_fix_asst-SDPL_59"/>
      <sheetName val="TBAL9697__group_wise__sdpl59"/>
      <sheetName val="inout_consol_okg59"/>
      <sheetName val="detail_OIP_(2)59"/>
      <sheetName val="D_fix_ysst_scdl_59"/>
      <sheetName val="cre`itors_tb_obpl59"/>
      <sheetName val="3AL9697_-group_wise__onpl59"/>
      <sheetName val="L_Oth_Bo58"/>
      <sheetName val="3‰AL9697_-group_wise__onpl58"/>
      <sheetName val="Civil_Boq58"/>
      <sheetName val="Staff_Acco_58"/>
      <sheetName val="SITE_OVERHEADS58"/>
      <sheetName val="PRECAST_lightconc-II56"/>
      <sheetName val="1__PayRec55"/>
      <sheetName val="Boq_Block_A58"/>
      <sheetName val="Cashflow_projection55"/>
      <sheetName val="Project-Material_58"/>
      <sheetName val="SPT_vs_PHI55"/>
      <sheetName val="key_dates55"/>
      <sheetName val="ino4t_conso,-nov55"/>
      <sheetName val="(nout_co,sol_(2)55"/>
      <sheetName val="Blr_hire55"/>
      <sheetName val="_bpl,oth_lia_55"/>
      <sheetName val="G_,and_adv_nce55"/>
      <sheetName val="I,Wip-ot__2)55"/>
      <sheetName val="det!il_WIP_(2)55"/>
      <sheetName val="de4ail_G-155"/>
      <sheetName val="sobha_mennn_ac55"/>
      <sheetName val="C_&amp;ix_asst55"/>
      <sheetName val="_x005f_x0003_dpl_oth_Lia`55"/>
      <sheetName val="TBAL9697__x005f_x000d_grotp_wise_55"/>
      <sheetName val="St_co_91_5lvl55"/>
      <sheetName val="3�AL9697_-group_wise__onpl58"/>
      <sheetName val="INPUT_SHEET55"/>
      <sheetName val="Stress_Calculation55"/>
      <sheetName val="Labor_abs-NMR55"/>
      <sheetName val="Sun_E_Type55"/>
      <sheetName val="CORPN_O?T55"/>
      <sheetName val="Fin_Sum55"/>
      <sheetName val="CORPN_O_x005f_x0000_T55"/>
      <sheetName val="TBAL9697__x000a_grotp_wise_55"/>
      <sheetName val="labour_coeff53"/>
      <sheetName val="Shuttering_Analysis53"/>
      <sheetName val="General_P+M53"/>
      <sheetName val="Curing_Analysis_53"/>
      <sheetName val="Concrete_P+M_(_RMC_)53"/>
      <sheetName val="P+M_(_SMC_)53"/>
      <sheetName val="P+M_-EW53"/>
      <sheetName val="P&amp;L_-_AD53"/>
      <sheetName val="SUPPLY_-Sanitary_Fixtures55"/>
      <sheetName val="ITEMS_FOR_CIVIL_TENDER55"/>
      <sheetName val="_x005f_x005f_x005f_x0003_dpl_oth_Lia`55"/>
      <sheetName val="TBAL9697__x005f_x005f_x005f_x000d_grotp_w55"/>
      <sheetName val="Fin__Assumpt__-_Sensitivities53"/>
      <sheetName val="LOAD_SHEET_53"/>
      <sheetName val="Fill_this_out_first___53"/>
      <sheetName val="Labour_productivity53"/>
      <sheetName val="RCC,Ret__Wall53"/>
      <sheetName val="CORPN_O55"/>
      <sheetName val="CORPN_O_T53"/>
      <sheetName val="Area_&amp;_Cate__Master53"/>
      <sheetName val="Bill_No_553"/>
      <sheetName val="TBAL9697__grotp_wise_106"/>
      <sheetName val="11B_53"/>
      <sheetName val="Structure_Bills_Qty53"/>
      <sheetName val="DG_55"/>
      <sheetName val="BOQ_(2)53"/>
      <sheetName val="Fee_Rate_Summary53"/>
      <sheetName val="Name_List53"/>
      <sheetName val="Detail_1A53"/>
      <sheetName val="Sheet_153"/>
      <sheetName val="3BPA00132-5-3_W_plan_HVPNL53"/>
      <sheetName val="Mix_Design53"/>
      <sheetName val="DLC_lookups53"/>
      <sheetName val="Driveway_Beams53"/>
      <sheetName val="TBAL9697__x005f_x000a_grotp_wise_53"/>
      <sheetName val="Quote_Sheet53"/>
      <sheetName val="d-safe_DELUXE53"/>
      <sheetName val="Works_-_Quote_Sheet53"/>
      <sheetName val="IO_LIST53"/>
      <sheetName val="TBAL9697__x005f_x000d_grotp_wis53"/>
      <sheetName val="TBAL9697__grotp_wise_107"/>
      <sheetName val="Cat_A_Change_Control53"/>
      <sheetName val="Break_up_Sheet53"/>
      <sheetName val="Summary_of_P_&amp;_M53"/>
      <sheetName val="ISO_Reconcilation_Statment53"/>
      <sheetName val="AVG_pur_rate53"/>
      <sheetName val="Break_Dw53"/>
      <sheetName val="LIST_OF_MAKES53"/>
      <sheetName val="Assumption_Inputs53"/>
      <sheetName val="Civil_Works53"/>
      <sheetName val="Form_653"/>
      <sheetName val="acevsSp_(ABC)53"/>
      <sheetName val="A_O_R_53"/>
      <sheetName val="CORPN_O_x005f_x005f_x005f_x0000_T53"/>
      <sheetName val="220_11__BS_53"/>
      <sheetName val="FITZ_MORT_9453"/>
      <sheetName val="Intro_53"/>
      <sheetName val="BLOCK-A_(MEA_SHEET)53"/>
      <sheetName val="NLD_-_Assum53"/>
      <sheetName val="Section_Catalogue53"/>
      <sheetName val="TB9798OBPL06_(2)61"/>
      <sheetName val="CORPN_OCT61"/>
      <sheetName val="inout_consol-nov61"/>
      <sheetName val="inout_consol_(2)61"/>
      <sheetName val="AS_ON_DT_EXPS_Mar61"/>
      <sheetName val="fa-pl_&amp;_mach-site61"/>
      <sheetName val="fa_off_eqp61"/>
      <sheetName val="fa_fur&amp;_fix61"/>
      <sheetName val="fa-pl_&amp;_mach-Off61"/>
      <sheetName val="B_Equity-sdpl_INC61"/>
      <sheetName val="inout_consol_wkg61"/>
      <sheetName val="inout_consol_WKNG61"/>
      <sheetName val="B_Sheet_9761"/>
      <sheetName val="P&amp;L_97_61"/>
      <sheetName val="B_Sheet_97-BEXP61"/>
      <sheetName val="P&amp;L_97_-BEXP61"/>
      <sheetName val="consol_flows61"/>
      <sheetName val="sdpl_oth_Liab61"/>
      <sheetName val="obpl-oth_liab61"/>
      <sheetName val="G_land_advance61"/>
      <sheetName val="I-Wip-ot_(2)61"/>
      <sheetName val="detail_WIP_(2)61"/>
      <sheetName val="detail_G-161"/>
      <sheetName val="sobha_menon_ac61"/>
      <sheetName val="pnc_ac61"/>
      <sheetName val="fix_-p_&amp;_M_-SCC61"/>
      <sheetName val="C_fix_asst61"/>
      <sheetName val="D_fix_asst_scdl_61"/>
      <sheetName val="creditors_tb_obpl61"/>
      <sheetName val="TBAL9697_-group_wise__sdpl71"/>
      <sheetName val="TBAL9697_-group_wise_61"/>
      <sheetName val="crs_-G-161"/>
      <sheetName val="TBAL9697_-group_wise__onpl61"/>
      <sheetName val="B_Sheet_97-OBPL61"/>
      <sheetName val="B_Sheet_97_sdpl61"/>
      <sheetName val="TBAL9697_-group_wise__sdpl261"/>
      <sheetName val="inout_consol_jan61"/>
      <sheetName val="consol_flow61"/>
      <sheetName val="D_Loan__Prom61"/>
      <sheetName val="E_Bank_Loan61"/>
      <sheetName val="G_work_Cap61"/>
      <sheetName val="H_land_adv-dec61"/>
      <sheetName val="J_Con_WIP61"/>
      <sheetName val="detail_J61"/>
      <sheetName val="L_Oth_Co61"/>
      <sheetName val="K_fix_asst__61"/>
      <sheetName val="C_fix_asst-SDPL_61"/>
      <sheetName val="TBAL9697__group_wise__sdpl61"/>
      <sheetName val="inout_consol_okg61"/>
      <sheetName val="detail_OIP_(2)61"/>
      <sheetName val="D_fix_ysst_scdl_61"/>
      <sheetName val="cre`itors_tb_obpl61"/>
      <sheetName val="3AL9697_-group_wise__onpl61"/>
      <sheetName val="L_Oth_Bo60"/>
      <sheetName val="3‰AL9697_-group_wise__onpl60"/>
      <sheetName val="Civil_Boq60"/>
      <sheetName val="Staff_Acco_60"/>
      <sheetName val="SITE_OVERHEADS60"/>
      <sheetName val="PRECAST_lightconc-II58"/>
      <sheetName val="1__PayRec57"/>
      <sheetName val="Boq_Block_A60"/>
      <sheetName val="Cashflow_projection57"/>
      <sheetName val="Project-Material_60"/>
      <sheetName val="SPT_vs_PHI57"/>
      <sheetName val="key_dates57"/>
      <sheetName val="ino4t_conso,-nov57"/>
      <sheetName val="(nout_co,sol_(2)57"/>
      <sheetName val="Blr_hire57"/>
      <sheetName val="_bpl,oth_lia_57"/>
      <sheetName val="G_,and_adv_nce57"/>
      <sheetName val="I,Wip-ot__2)57"/>
      <sheetName val="det!il_WIP_(2)57"/>
      <sheetName val="de4ail_G-157"/>
      <sheetName val="sobha_mennn_ac57"/>
      <sheetName val="C_&amp;ix_asst57"/>
      <sheetName val="_x005f_x0003_dpl_oth_Lia`57"/>
      <sheetName val="TBAL9697__x005f_x000d_grotp_wise_57"/>
      <sheetName val="St_co_91_5lvl57"/>
      <sheetName val="3�AL9697_-group_wise__onpl60"/>
      <sheetName val="INPUT_SHEET57"/>
      <sheetName val="Stress_Calculation57"/>
      <sheetName val="Labor_abs-NMR57"/>
      <sheetName val="Sun_E_Type57"/>
      <sheetName val="CORPN_O?T57"/>
      <sheetName val="Fin_Sum57"/>
      <sheetName val="CORPN_O_x005f_x0000_T57"/>
      <sheetName val="TBAL9697__x000a_grotp_wise_57"/>
      <sheetName val="labour_coeff55"/>
      <sheetName val="Shuttering_Analysis55"/>
      <sheetName val="General_P+M55"/>
      <sheetName val="Curing_Analysis_55"/>
      <sheetName val="Concrete_P+M_(_RMC_)55"/>
      <sheetName val="P+M_(_SMC_)55"/>
      <sheetName val="P+M_-EW55"/>
      <sheetName val="P&amp;L_-_AD55"/>
      <sheetName val="SUPPLY_-Sanitary_Fixtures57"/>
      <sheetName val="ITEMS_FOR_CIVIL_TENDER57"/>
      <sheetName val="_x005f_x005f_x005f_x0003_dpl_oth_Lia`57"/>
      <sheetName val="TBAL9697__x005f_x005f_x005f_x000d_grotp_w57"/>
      <sheetName val="Fin__Assumpt__-_Sensitivities55"/>
      <sheetName val="LOAD_SHEET_55"/>
      <sheetName val="Fill_this_out_first___55"/>
      <sheetName val="Labour_productivity55"/>
      <sheetName val="RCC,Ret__Wall55"/>
      <sheetName val="CORPN_O57"/>
      <sheetName val="CORPN_O_T55"/>
      <sheetName val="Area_&amp;_Cate__Master55"/>
      <sheetName val="Bill_No_555"/>
      <sheetName val="11B_55"/>
      <sheetName val="Structure_Bills_Qty55"/>
      <sheetName val="DG_57"/>
      <sheetName val="BOQ_(2)55"/>
      <sheetName val="Fee_Rate_Summary55"/>
      <sheetName val="Name_List55"/>
      <sheetName val="Detail_1A55"/>
      <sheetName val="Sheet_155"/>
      <sheetName val="3BPA00132-5-3_W_plan_HVPNL55"/>
      <sheetName val="Mix_Design55"/>
      <sheetName val="DLC_lookups55"/>
      <sheetName val="Driveway_Beams55"/>
      <sheetName val="TBAL9697__x005f_x000a_grotp_wise_55"/>
      <sheetName val="Quote_Sheet55"/>
      <sheetName val="d-safe_DELUXE55"/>
      <sheetName val="Works_-_Quote_Sheet55"/>
      <sheetName val="IO_LIST55"/>
      <sheetName val="TBAL9697__x005f_x000d_grotp_wis55"/>
      <sheetName val="Cat_A_Change_Control55"/>
      <sheetName val="Break_up_Sheet55"/>
      <sheetName val="Summary_of_P_&amp;_M55"/>
      <sheetName val="ISO_Reconcilation_Statment55"/>
      <sheetName val="AVG_pur_rate55"/>
      <sheetName val="Break_Dw55"/>
      <sheetName val="LIST_OF_MAKES55"/>
      <sheetName val="Assumption_Inputs55"/>
      <sheetName val="Civil_Works55"/>
      <sheetName val="Form_655"/>
      <sheetName val="acevsSp_(ABC)55"/>
      <sheetName val="A_O_R_55"/>
      <sheetName val="CORPN_O_x005f_x005f_x005f_x0000_T55"/>
      <sheetName val="220_11__BS_55"/>
      <sheetName val="FITZ_MORT_9455"/>
      <sheetName val="Intro_55"/>
      <sheetName val="BLOCK-A_(MEA_SHEET)55"/>
      <sheetName val="NLD_-_Assum55"/>
      <sheetName val="Section_Catalogue55"/>
      <sheetName val="TB9798OBPL06_(2)60"/>
      <sheetName val="CORPN_OCT60"/>
      <sheetName val="inout_consol-nov60"/>
      <sheetName val="inout_consol_(2)60"/>
      <sheetName val="AS_ON_DT_EXPS_Mar60"/>
      <sheetName val="fa-pl_&amp;_mach-site60"/>
      <sheetName val="fa_off_eqp60"/>
      <sheetName val="fa_fur&amp;_fix60"/>
      <sheetName val="fa-pl_&amp;_mach-Off60"/>
      <sheetName val="B_Equity-sdpl_INC60"/>
      <sheetName val="inout_consol_wkg60"/>
      <sheetName val="inout_consol_WKNG60"/>
      <sheetName val="B_Sheet_9760"/>
      <sheetName val="P&amp;L_97_60"/>
      <sheetName val="B_Sheet_97-BEXP60"/>
      <sheetName val="P&amp;L_97_-BEXP60"/>
      <sheetName val="consol_flows60"/>
      <sheetName val="sdpl_oth_Liab60"/>
      <sheetName val="obpl-oth_liab60"/>
      <sheetName val="G_land_advance60"/>
      <sheetName val="I-Wip-ot_(2)60"/>
      <sheetName val="detail_WIP_(2)60"/>
      <sheetName val="detail_G-160"/>
      <sheetName val="sobha_menon_ac60"/>
      <sheetName val="pnc_ac60"/>
      <sheetName val="fix_-p_&amp;_M_-SCC60"/>
      <sheetName val="C_fix_asst60"/>
      <sheetName val="D_fix_asst_scdl_60"/>
      <sheetName val="creditors_tb_obpl60"/>
      <sheetName val="TBAL9697_-group_wise__sdpl70"/>
      <sheetName val="TBAL9697_-group_wise_60"/>
      <sheetName val="crs_-G-160"/>
      <sheetName val="TBAL9697_-group_wise__onpl60"/>
      <sheetName val="B_Sheet_97-OBPL60"/>
      <sheetName val="B_Sheet_97_sdpl60"/>
      <sheetName val="TBAL9697_-group_wise__sdpl260"/>
      <sheetName val="inout_consol_jan60"/>
      <sheetName val="consol_flow60"/>
      <sheetName val="D_Loan__Prom60"/>
      <sheetName val="E_Bank_Loan60"/>
      <sheetName val="G_work_Cap60"/>
      <sheetName val="H_land_adv-dec60"/>
      <sheetName val="J_Con_WIP60"/>
      <sheetName val="detail_J60"/>
      <sheetName val="L_Oth_Co60"/>
      <sheetName val="K_fix_asst__60"/>
      <sheetName val="C_fix_asst-SDPL_60"/>
      <sheetName val="TBAL9697__group_wise__sdpl60"/>
      <sheetName val="inout_consol_okg60"/>
      <sheetName val="detail_OIP_(2)60"/>
      <sheetName val="D_fix_ysst_scdl_60"/>
      <sheetName val="cre`itors_tb_obpl60"/>
      <sheetName val="3AL9697_-group_wise__onpl60"/>
      <sheetName val="L_Oth_Bo59"/>
      <sheetName val="3‰AL9697_-group_wise__onpl59"/>
      <sheetName val="Civil_Boq59"/>
      <sheetName val="Staff_Acco_59"/>
      <sheetName val="SITE_OVERHEADS59"/>
      <sheetName val="PRECAST_lightconc-II57"/>
      <sheetName val="1__PayRec56"/>
      <sheetName val="Boq_Block_A59"/>
      <sheetName val="Cashflow_projection56"/>
      <sheetName val="Project-Material_59"/>
      <sheetName val="SPT_vs_PHI56"/>
      <sheetName val="key_dates56"/>
      <sheetName val="ino4t_conso,-nov56"/>
      <sheetName val="(nout_co,sol_(2)56"/>
      <sheetName val="Blr_hire56"/>
      <sheetName val="_bpl,oth_lia_56"/>
      <sheetName val="G_,and_adv_nce56"/>
      <sheetName val="I,Wip-ot__2)56"/>
      <sheetName val="det!il_WIP_(2)56"/>
      <sheetName val="de4ail_G-156"/>
      <sheetName val="sobha_mennn_ac56"/>
      <sheetName val="C_&amp;ix_asst56"/>
      <sheetName val="_x005f_x0003_dpl_oth_Lia`56"/>
      <sheetName val="TBAL9697__x005f_x000d_grotp_wise_56"/>
      <sheetName val="St_co_91_5lvl56"/>
      <sheetName val="3�AL9697_-group_wise__onpl59"/>
      <sheetName val="INPUT_SHEET56"/>
      <sheetName val="Stress_Calculation56"/>
      <sheetName val="Labor_abs-NMR56"/>
      <sheetName val="Sun_E_Type56"/>
      <sheetName val="CORPN_O?T56"/>
      <sheetName val="Fin_Sum56"/>
      <sheetName val="CORPN_O_x005f_x0000_T56"/>
      <sheetName val="TBAL9697__x000a_grotp_wise_56"/>
      <sheetName val="labour_coeff54"/>
      <sheetName val="Shuttering_Analysis54"/>
      <sheetName val="General_P+M54"/>
      <sheetName val="Curing_Analysis_54"/>
      <sheetName val="Concrete_P+M_(_RMC_)54"/>
      <sheetName val="P+M_(_SMC_)54"/>
      <sheetName val="P+M_-EW54"/>
      <sheetName val="P&amp;L_-_AD54"/>
      <sheetName val="SUPPLY_-Sanitary_Fixtures56"/>
      <sheetName val="ITEMS_FOR_CIVIL_TENDER56"/>
      <sheetName val="_x005f_x005f_x005f_x0003_dpl_oth_Lia`56"/>
      <sheetName val="TBAL9697__x005f_x005f_x005f_x000d_grotp_w56"/>
      <sheetName val="Fin__Assumpt__-_Sensitivities54"/>
      <sheetName val="LOAD_SHEET_54"/>
      <sheetName val="Fill_this_out_first___54"/>
      <sheetName val="Labour_productivity54"/>
      <sheetName val="RCC,Ret__Wall54"/>
      <sheetName val="CORPN_O56"/>
      <sheetName val="CORPN_O_T54"/>
      <sheetName val="Area_&amp;_Cate__Master54"/>
      <sheetName val="Bill_No_554"/>
      <sheetName val="TBAL9697__grotp_wise_108"/>
      <sheetName val="11B_54"/>
      <sheetName val="Structure_Bills_Qty54"/>
      <sheetName val="DG_56"/>
      <sheetName val="BOQ_(2)54"/>
      <sheetName val="Fee_Rate_Summary54"/>
      <sheetName val="Name_List54"/>
      <sheetName val="Detail_1A54"/>
      <sheetName val="Sheet_154"/>
      <sheetName val="3BPA00132-5-3_W_plan_HVPNL54"/>
      <sheetName val="Mix_Design54"/>
      <sheetName val="DLC_lookups54"/>
      <sheetName val="Driveway_Beams54"/>
      <sheetName val="TBAL9697__x005f_x000a_grotp_wise_54"/>
      <sheetName val="Quote_Sheet54"/>
      <sheetName val="d-safe_DELUXE54"/>
      <sheetName val="Works_-_Quote_Sheet54"/>
      <sheetName val="IO_LIST54"/>
      <sheetName val="TBAL9697__x005f_x000d_grotp_wis54"/>
      <sheetName val="TBAL9697__grotp_wise_109"/>
      <sheetName val="Cat_A_Change_Control54"/>
      <sheetName val="Break_up_Sheet54"/>
      <sheetName val="Summary_of_P_&amp;_M54"/>
      <sheetName val="ISO_Reconcilation_Statment54"/>
      <sheetName val="AVG_pur_rate54"/>
      <sheetName val="Break_Dw54"/>
      <sheetName val="LIST_OF_MAKES54"/>
      <sheetName val="Assumption_Inputs54"/>
      <sheetName val="Civil_Works54"/>
      <sheetName val="Form_654"/>
      <sheetName val="acevsSp_(ABC)54"/>
      <sheetName val="A_O_R_54"/>
      <sheetName val="CORPN_O_x005f_x005f_x005f_x0000_T54"/>
      <sheetName val="220_11__BS_54"/>
      <sheetName val="FITZ_MORT_9454"/>
      <sheetName val="Intro_54"/>
      <sheetName val="BLOCK-A_(MEA_SHEET)54"/>
      <sheetName val="NLD_-_Assum54"/>
      <sheetName val="Section_Catalogue54"/>
      <sheetName val="TB9798OBPL06_(2)63"/>
      <sheetName val="CORPN_OCT63"/>
      <sheetName val="inout_consol-nov63"/>
      <sheetName val="inout_consol_(2)63"/>
      <sheetName val="AS_ON_DT_EXPS_Mar63"/>
      <sheetName val="fa-pl_&amp;_mach-site63"/>
      <sheetName val="fa_off_eqp63"/>
      <sheetName val="fa_fur&amp;_fix63"/>
      <sheetName val="fa-pl_&amp;_mach-Off63"/>
      <sheetName val="B_Equity-sdpl_INC63"/>
      <sheetName val="inout_consol_wkg63"/>
      <sheetName val="inout_consol_WKNG63"/>
      <sheetName val="B_Sheet_9763"/>
      <sheetName val="P&amp;L_97_63"/>
      <sheetName val="B_Sheet_97-BEXP63"/>
      <sheetName val="P&amp;L_97_-BEXP63"/>
      <sheetName val="consol_flows63"/>
      <sheetName val="sdpl_oth_Liab63"/>
      <sheetName val="obpl-oth_liab63"/>
      <sheetName val="G_land_advance63"/>
      <sheetName val="I-Wip-ot_(2)63"/>
      <sheetName val="detail_WIP_(2)63"/>
      <sheetName val="detail_G-163"/>
      <sheetName val="sobha_menon_ac63"/>
      <sheetName val="pnc_ac63"/>
      <sheetName val="fix_-p_&amp;_M_-SCC63"/>
      <sheetName val="C_fix_asst63"/>
      <sheetName val="D_fix_asst_scdl_63"/>
      <sheetName val="creditors_tb_obpl63"/>
      <sheetName val="TBAL9697_-group_wise__sdpl73"/>
      <sheetName val="TBAL9697_-group_wise_63"/>
      <sheetName val="crs_-G-163"/>
      <sheetName val="TBAL9697_-group_wise__onpl63"/>
      <sheetName val="B_Sheet_97-OBPL63"/>
      <sheetName val="B_Sheet_97_sdpl63"/>
      <sheetName val="TBAL9697_-group_wise__sdpl263"/>
      <sheetName val="inout_consol_jan63"/>
      <sheetName val="consol_flow63"/>
      <sheetName val="D_Loan__Prom63"/>
      <sheetName val="E_Bank_Loan63"/>
      <sheetName val="G_work_Cap63"/>
      <sheetName val="H_land_adv-dec63"/>
      <sheetName val="J_Con_WIP63"/>
      <sheetName val="detail_J63"/>
      <sheetName val="L_Oth_Co63"/>
      <sheetName val="K_fix_asst__63"/>
      <sheetName val="C_fix_asst-SDPL_63"/>
      <sheetName val="TBAL9697__group_wise__sdpl63"/>
      <sheetName val="inout_consol_okg63"/>
      <sheetName val="detail_OIP_(2)63"/>
      <sheetName val="D_fix_ysst_scdl_63"/>
      <sheetName val="cre`itors_tb_obpl63"/>
      <sheetName val="3AL9697_-group_wise__onpl63"/>
      <sheetName val="L_Oth_Bo62"/>
      <sheetName val="3‰AL9697_-group_wise__onpl62"/>
      <sheetName val="Civil_Boq62"/>
      <sheetName val="Staff_Acco_62"/>
      <sheetName val="SITE_OVERHEADS62"/>
      <sheetName val="PRECAST_lightconc-II60"/>
      <sheetName val="1__PayRec59"/>
      <sheetName val="Boq_Block_A62"/>
      <sheetName val="Cashflow_projection59"/>
      <sheetName val="Project-Material_62"/>
      <sheetName val="SPT_vs_PHI59"/>
      <sheetName val="key_dates59"/>
      <sheetName val="ino4t_conso,-nov59"/>
      <sheetName val="(nout_co,sol_(2)59"/>
      <sheetName val="Blr_hire59"/>
      <sheetName val="_bpl,oth_lia_59"/>
      <sheetName val="G_,and_adv_nce59"/>
      <sheetName val="I,Wip-ot__2)59"/>
      <sheetName val="det!il_WIP_(2)59"/>
      <sheetName val="de4ail_G-159"/>
      <sheetName val="sobha_mennn_ac59"/>
      <sheetName val="C_&amp;ix_asst59"/>
      <sheetName val="_x005f_x0003_dpl_oth_Lia`59"/>
      <sheetName val="TBAL9697__x005f_x000d_grotp_wise_59"/>
      <sheetName val="St_co_91_5lvl59"/>
      <sheetName val="3�AL9697_-group_wise__onpl62"/>
      <sheetName val="INPUT_SHEET59"/>
      <sheetName val="Stress_Calculation59"/>
      <sheetName val="Labor_abs-NMR59"/>
      <sheetName val="Sun_E_Type59"/>
      <sheetName val="CORPN_O?T59"/>
      <sheetName val="Fin_Sum59"/>
      <sheetName val="CORPN_O_x005f_x0000_T59"/>
      <sheetName val="TBAL9697__x000a_grotp_wise_59"/>
      <sheetName val="labour_coeff57"/>
      <sheetName val="Shuttering_Analysis57"/>
      <sheetName val="General_P+M57"/>
      <sheetName val="Curing_Analysis_57"/>
      <sheetName val="Concrete_P+M_(_RMC_)57"/>
      <sheetName val="P+M_(_SMC_)57"/>
      <sheetName val="P+M_-EW57"/>
      <sheetName val="P&amp;L_-_AD57"/>
      <sheetName val="SUPPLY_-Sanitary_Fixtures59"/>
      <sheetName val="ITEMS_FOR_CIVIL_TENDER59"/>
      <sheetName val="_x005f_x005f_x005f_x0003_dpl_oth_Lia`59"/>
      <sheetName val="TBAL9697__x005f_x005f_x005f_x000d_grotp_w59"/>
      <sheetName val="Fin__Assumpt__-_Sensitivities57"/>
      <sheetName val="LOAD_SHEET_57"/>
      <sheetName val="Fill_this_out_first___57"/>
      <sheetName val="Labour_productivity57"/>
      <sheetName val="RCC,Ret__Wall57"/>
      <sheetName val="CORPN_O59"/>
      <sheetName val="CORPN_O_T57"/>
      <sheetName val="Area_&amp;_Cate__Master57"/>
      <sheetName val="Bill_No_557"/>
      <sheetName val="11B_57"/>
      <sheetName val="Structure_Bills_Qty57"/>
      <sheetName val="DG_59"/>
      <sheetName val="BOQ_(2)57"/>
      <sheetName val="Fee_Rate_Summary57"/>
      <sheetName val="Name_List57"/>
      <sheetName val="Detail_1A57"/>
      <sheetName val="Sheet_157"/>
      <sheetName val="3BPA00132-5-3_W_plan_HVPNL57"/>
      <sheetName val="Mix_Design57"/>
      <sheetName val="DLC_lookups57"/>
      <sheetName val="Driveway_Beams57"/>
      <sheetName val="TBAL9697__x005f_x000a_grotp_wise_57"/>
      <sheetName val="Quote_Sheet57"/>
      <sheetName val="d-safe_DELUXE57"/>
      <sheetName val="Works_-_Quote_Sheet57"/>
      <sheetName val="IO_LIST57"/>
      <sheetName val="TBAL9697__x005f_x000d_grotp_wis57"/>
      <sheetName val="Cat_A_Change_Control57"/>
      <sheetName val="Break_up_Sheet57"/>
      <sheetName val="Summary_of_P_&amp;_M57"/>
      <sheetName val="ISO_Reconcilation_Statment57"/>
      <sheetName val="AVG_pur_rate57"/>
      <sheetName val="Break_Dw57"/>
      <sheetName val="LIST_OF_MAKES57"/>
      <sheetName val="Assumption_Inputs57"/>
      <sheetName val="Civil_Works57"/>
      <sheetName val="Form_657"/>
      <sheetName val="acevsSp_(ABC)57"/>
      <sheetName val="A_O_R_57"/>
      <sheetName val="CORPN_O_x005f_x005f_x005f_x0000_T57"/>
      <sheetName val="220_11__BS_57"/>
      <sheetName val="FITZ_MORT_9457"/>
      <sheetName val="Intro_57"/>
      <sheetName val="BLOCK-A_(MEA_SHEET)57"/>
      <sheetName val="NLD_-_Assum57"/>
      <sheetName val="Section_Catalogue57"/>
      <sheetName val="TB9798OBPL06_(2)64"/>
      <sheetName val="CORPN_OCT64"/>
      <sheetName val="inout_consol-nov64"/>
      <sheetName val="inout_consol_(2)64"/>
      <sheetName val="AS_ON_DT_EXPS_Mar64"/>
      <sheetName val="fa-pl_&amp;_mach-site64"/>
      <sheetName val="fa_off_eqp64"/>
      <sheetName val="fa_fur&amp;_fix64"/>
      <sheetName val="fa-pl_&amp;_mach-Off64"/>
      <sheetName val="B_Equity-sdpl_INC64"/>
      <sheetName val="inout_consol_wkg64"/>
      <sheetName val="inout_consol_WKNG64"/>
      <sheetName val="B_Sheet_9764"/>
      <sheetName val="P&amp;L_97_64"/>
      <sheetName val="B_Sheet_97-BEXP64"/>
      <sheetName val="P&amp;L_97_-BEXP64"/>
      <sheetName val="consol_flows64"/>
      <sheetName val="sdpl_oth_Liab64"/>
      <sheetName val="obpl-oth_liab64"/>
      <sheetName val="G_land_advance64"/>
      <sheetName val="I-Wip-ot_(2)64"/>
      <sheetName val="detail_WIP_(2)64"/>
      <sheetName val="detail_G-164"/>
      <sheetName val="sobha_menon_ac64"/>
      <sheetName val="pnc_ac64"/>
      <sheetName val="fix_-p_&amp;_M_-SCC64"/>
      <sheetName val="C_fix_asst64"/>
      <sheetName val="D_fix_asst_scdl_64"/>
      <sheetName val="creditors_tb_obpl64"/>
      <sheetName val="TBAL9697_-group_wise__sdpl74"/>
      <sheetName val="TBAL9697_-group_wise_64"/>
      <sheetName val="crs_-G-164"/>
      <sheetName val="TBAL9697_-group_wise__onpl64"/>
      <sheetName val="B_Sheet_97-OBPL64"/>
      <sheetName val="B_Sheet_97_sdpl64"/>
      <sheetName val="TBAL9697_-group_wise__sdpl264"/>
      <sheetName val="inout_consol_jan64"/>
      <sheetName val="consol_flow64"/>
      <sheetName val="D_Loan__Prom64"/>
      <sheetName val="E_Bank_Loan64"/>
      <sheetName val="G_work_Cap64"/>
      <sheetName val="H_land_adv-dec64"/>
      <sheetName val="J_Con_WIP64"/>
      <sheetName val="detail_J64"/>
      <sheetName val="L_Oth_Co64"/>
      <sheetName val="K_fix_asst__64"/>
      <sheetName val="C_fix_asst-SDPL_64"/>
      <sheetName val="TBAL9697__group_wise__sdpl64"/>
      <sheetName val="inout_consol_okg64"/>
      <sheetName val="detail_OIP_(2)64"/>
      <sheetName val="D_fix_ysst_scdl_64"/>
      <sheetName val="cre`itors_tb_obpl64"/>
      <sheetName val="3AL9697_-group_wise__onpl64"/>
      <sheetName val="L_Oth_Bo63"/>
      <sheetName val="3‰AL9697_-group_wise__onpl63"/>
      <sheetName val="Civil_Boq63"/>
      <sheetName val="Staff_Acco_63"/>
      <sheetName val="SITE_OVERHEADS63"/>
      <sheetName val="PRECAST_lightconc-II61"/>
      <sheetName val="1__PayRec60"/>
      <sheetName val="Boq_Block_A63"/>
      <sheetName val="Cashflow_projection60"/>
      <sheetName val="Project-Material_63"/>
      <sheetName val="SPT_vs_PHI60"/>
      <sheetName val="key_dates60"/>
      <sheetName val="ino4t_conso,-nov60"/>
      <sheetName val="(nout_co,sol_(2)60"/>
      <sheetName val="Blr_hire60"/>
      <sheetName val="_bpl,oth_lia_60"/>
      <sheetName val="G_,and_adv_nce60"/>
      <sheetName val="I,Wip-ot__2)60"/>
      <sheetName val="det!il_WIP_(2)60"/>
      <sheetName val="de4ail_G-160"/>
      <sheetName val="sobha_mennn_ac60"/>
      <sheetName val="C_&amp;ix_asst60"/>
      <sheetName val="_x005f_x0003_dpl_oth_Lia`60"/>
      <sheetName val="TBAL9697__x005f_x000d_grotp_wise_60"/>
      <sheetName val="St_co_91_5lvl60"/>
      <sheetName val="3�AL9697_-group_wise__onpl63"/>
      <sheetName val="INPUT_SHEET60"/>
      <sheetName val="Stress_Calculation60"/>
      <sheetName val="Labor_abs-NMR60"/>
      <sheetName val="Sun_E_Type60"/>
      <sheetName val="CORPN_O?T60"/>
      <sheetName val="Fin_Sum60"/>
      <sheetName val="CORPN_O_x005f_x0000_T60"/>
      <sheetName val="TBAL9697__x000a_grotp_wise_60"/>
      <sheetName val="labour_coeff58"/>
      <sheetName val="Shuttering_Analysis58"/>
      <sheetName val="General_P+M58"/>
      <sheetName val="Curing_Analysis_58"/>
      <sheetName val="Concrete_P+M_(_RMC_)58"/>
      <sheetName val="P+M_(_SMC_)58"/>
      <sheetName val="P+M_-EW58"/>
      <sheetName val="P&amp;L_-_AD58"/>
      <sheetName val="SUPPLY_-Sanitary_Fixtures60"/>
      <sheetName val="ITEMS_FOR_CIVIL_TENDER60"/>
      <sheetName val="_x005f_x005f_x005f_x0003_dpl_oth_Lia`60"/>
      <sheetName val="TBAL9697__x005f_x005f_x005f_x000d_grotp_w60"/>
      <sheetName val="Fin__Assumpt__-_Sensitivities58"/>
      <sheetName val="LOAD_SHEET_58"/>
      <sheetName val="Fill_this_out_first___58"/>
      <sheetName val="Labour_productivity58"/>
      <sheetName val="RCC,Ret__Wall58"/>
      <sheetName val="CORPN_O60"/>
      <sheetName val="CORPN_O_T58"/>
      <sheetName val="Area_&amp;_Cate__Master58"/>
      <sheetName val="Bill_No_558"/>
      <sheetName val="11B_58"/>
      <sheetName val="Structure_Bills_Qty58"/>
      <sheetName val="DG_60"/>
      <sheetName val="BOQ_(2)58"/>
      <sheetName val="Fee_Rate_Summary58"/>
      <sheetName val="Name_List58"/>
      <sheetName val="Detail_1A58"/>
      <sheetName val="Sheet_158"/>
      <sheetName val="3BPA00132-5-3_W_plan_HVPNL58"/>
      <sheetName val="Mix_Design58"/>
      <sheetName val="DLC_lookups58"/>
      <sheetName val="Driveway_Beams58"/>
      <sheetName val="TBAL9697__x005f_x000a_grotp_wise_58"/>
      <sheetName val="Quote_Sheet58"/>
      <sheetName val="d-safe_DELUXE58"/>
      <sheetName val="Works_-_Quote_Sheet58"/>
      <sheetName val="IO_LIST58"/>
      <sheetName val="TBAL9697__x005f_x000d_grotp_wis58"/>
      <sheetName val="Cat_A_Change_Control58"/>
      <sheetName val="Break_up_Sheet58"/>
      <sheetName val="Summary_of_P_&amp;_M58"/>
      <sheetName val="ISO_Reconcilation_Statment58"/>
      <sheetName val="AVG_pur_rate58"/>
      <sheetName val="Break_Dw58"/>
      <sheetName val="LIST_OF_MAKES58"/>
      <sheetName val="Assumption_Inputs58"/>
      <sheetName val="Civil_Works58"/>
      <sheetName val="Form_658"/>
      <sheetName val="acevsSp_(ABC)58"/>
      <sheetName val="A_O_R_58"/>
      <sheetName val="CORPN_O_x005f_x005f_x005f_x0000_T58"/>
      <sheetName val="220_11__BS_58"/>
      <sheetName val="FITZ_MORT_9458"/>
      <sheetName val="Intro_58"/>
      <sheetName val="BLOCK-A_(MEA_SHEET)58"/>
      <sheetName val="NLD_-_Assum58"/>
      <sheetName val="Section_Catalogue58"/>
      <sheetName val="TB9798OBPL06_(2)65"/>
      <sheetName val="CORPN_OCT65"/>
      <sheetName val="inout_consol-nov65"/>
      <sheetName val="inout_consol_(2)65"/>
      <sheetName val="AS_ON_DT_EXPS_Mar65"/>
      <sheetName val="fa-pl_&amp;_mach-site65"/>
      <sheetName val="fa_off_eqp65"/>
      <sheetName val="fa_fur&amp;_fix65"/>
      <sheetName val="fa-pl_&amp;_mach-Off65"/>
      <sheetName val="B_Equity-sdpl_INC65"/>
      <sheetName val="inout_consol_wkg65"/>
      <sheetName val="inout_consol_WKNG65"/>
      <sheetName val="B_Sheet_9765"/>
      <sheetName val="P&amp;L_97_65"/>
      <sheetName val="B_Sheet_97-BEXP65"/>
      <sheetName val="P&amp;L_97_-BEXP65"/>
      <sheetName val="consol_flows65"/>
      <sheetName val="sdpl_oth_Liab65"/>
      <sheetName val="obpl-oth_liab65"/>
      <sheetName val="G_land_advance65"/>
      <sheetName val="I-Wip-ot_(2)65"/>
      <sheetName val="detail_WIP_(2)65"/>
      <sheetName val="detail_G-165"/>
      <sheetName val="sobha_menon_ac65"/>
      <sheetName val="pnc_ac65"/>
      <sheetName val="fix_-p_&amp;_M_-SCC65"/>
      <sheetName val="C_fix_asst65"/>
      <sheetName val="D_fix_asst_scdl_65"/>
      <sheetName val="creditors_tb_obpl65"/>
      <sheetName val="TBAL9697_-group_wise__sdpl75"/>
      <sheetName val="TBAL9697_-group_wise_65"/>
      <sheetName val="crs_-G-165"/>
      <sheetName val="TBAL9697_-group_wise__onpl65"/>
      <sheetName val="B_Sheet_97-OBPL65"/>
      <sheetName val="B_Sheet_97_sdpl65"/>
      <sheetName val="TBAL9697_-group_wise__sdpl265"/>
      <sheetName val="inout_consol_jan65"/>
      <sheetName val="consol_flow65"/>
      <sheetName val="D_Loan__Prom65"/>
      <sheetName val="E_Bank_Loan65"/>
      <sheetName val="G_work_Cap65"/>
      <sheetName val="H_land_adv-dec65"/>
      <sheetName val="J_Con_WIP65"/>
      <sheetName val="detail_J65"/>
      <sheetName val="L_Oth_Co65"/>
      <sheetName val="K_fix_asst__65"/>
      <sheetName val="C_fix_asst-SDPL_65"/>
      <sheetName val="TBAL9697__group_wise__sdpl65"/>
      <sheetName val="inout_consol_okg65"/>
      <sheetName val="detail_OIP_(2)65"/>
      <sheetName val="D_fix_ysst_scdl_65"/>
      <sheetName val="cre`itors_tb_obpl65"/>
      <sheetName val="3AL9697_-group_wise__onpl65"/>
      <sheetName val="L_Oth_Bo64"/>
      <sheetName val="3‰AL9697_-group_wise__onpl64"/>
      <sheetName val="Civil_Boq64"/>
      <sheetName val="Staff_Acco_64"/>
      <sheetName val="SITE_OVERHEADS64"/>
      <sheetName val="PRECAST_lightconc-II62"/>
      <sheetName val="1__PayRec61"/>
      <sheetName val="Boq_Block_A64"/>
      <sheetName val="Cashflow_projection61"/>
      <sheetName val="Project-Material_64"/>
      <sheetName val="SPT_vs_PHI61"/>
      <sheetName val="key_dates61"/>
      <sheetName val="ino4t_conso,-nov61"/>
      <sheetName val="(nout_co,sol_(2)61"/>
      <sheetName val="Blr_hire61"/>
      <sheetName val="_bpl,oth_lia_61"/>
      <sheetName val="G_,and_adv_nce61"/>
      <sheetName val="I,Wip-ot__2)61"/>
      <sheetName val="det!il_WIP_(2)61"/>
      <sheetName val="de4ail_G-161"/>
      <sheetName val="sobha_mennn_ac61"/>
      <sheetName val="C_&amp;ix_asst61"/>
      <sheetName val="_x005f_x0003_dpl_oth_Lia`61"/>
      <sheetName val="TBAL9697__x005f_x000d_grotp_wise_61"/>
      <sheetName val="St_co_91_5lvl61"/>
      <sheetName val="3�AL9697_-group_wise__onpl64"/>
      <sheetName val="INPUT_SHEET61"/>
      <sheetName val="Stress_Calculation61"/>
      <sheetName val="Labor_abs-NMR61"/>
      <sheetName val="Sun_E_Type61"/>
      <sheetName val="CORPN_O?T61"/>
      <sheetName val="Fin_Sum61"/>
      <sheetName val="CORPN_O_x005f_x0000_T61"/>
      <sheetName val="TBAL9697__x000a_grotp_wise_61"/>
      <sheetName val="labour_coeff59"/>
      <sheetName val="Shuttering_Analysis59"/>
      <sheetName val="General_P+M59"/>
      <sheetName val="Curing_Analysis_59"/>
      <sheetName val="Concrete_P+M_(_RMC_)59"/>
      <sheetName val="P+M_(_SMC_)59"/>
      <sheetName val="P+M_-EW59"/>
      <sheetName val="P&amp;L_-_AD59"/>
      <sheetName val="SUPPLY_-Sanitary_Fixtures61"/>
      <sheetName val="ITEMS_FOR_CIVIL_TENDER61"/>
      <sheetName val="_x005f_x005f_x005f_x0003_dpl_oth_Lia`61"/>
      <sheetName val="TBAL9697__x005f_x005f_x005f_x000d_grotp_w61"/>
      <sheetName val="Fin__Assumpt__-_Sensitivities59"/>
      <sheetName val="LOAD_SHEET_59"/>
      <sheetName val="Fill_this_out_first___59"/>
      <sheetName val="Labour_productivity59"/>
      <sheetName val="RCC,Ret__Wall59"/>
      <sheetName val="CORPN_O61"/>
      <sheetName val="CORPN_O_T59"/>
      <sheetName val="Area_&amp;_Cate__Master59"/>
      <sheetName val="Bill_No_559"/>
      <sheetName val="11B_59"/>
      <sheetName val="Structure_Bills_Qty59"/>
      <sheetName val="DG_61"/>
      <sheetName val="BOQ_(2)59"/>
      <sheetName val="Fee_Rate_Summary59"/>
      <sheetName val="Name_List59"/>
      <sheetName val="Detail_1A59"/>
      <sheetName val="Sheet_159"/>
      <sheetName val="3BPA00132-5-3_W_plan_HVPNL59"/>
      <sheetName val="Mix_Design59"/>
      <sheetName val="DLC_lookups59"/>
      <sheetName val="Driveway_Beams59"/>
      <sheetName val="TBAL9697__x005f_x000a_grotp_wise_59"/>
      <sheetName val="Quote_Sheet59"/>
      <sheetName val="d-safe_DELUXE59"/>
      <sheetName val="Works_-_Quote_Sheet59"/>
      <sheetName val="IO_LIST59"/>
      <sheetName val="TBAL9697__x005f_x000d_grotp_wis59"/>
      <sheetName val="Cat_A_Change_Control59"/>
      <sheetName val="Break_up_Sheet59"/>
      <sheetName val="Summary_of_P_&amp;_M59"/>
      <sheetName val="ISO_Reconcilation_Statment59"/>
      <sheetName val="AVG_pur_rate59"/>
      <sheetName val="Break_Dw59"/>
      <sheetName val="LIST_OF_MAKES59"/>
      <sheetName val="Assumption_Inputs59"/>
      <sheetName val="Civil_Works59"/>
      <sheetName val="Form_659"/>
      <sheetName val="acevsSp_(ABC)59"/>
      <sheetName val="A_O_R_59"/>
      <sheetName val="CORPN_O_x005f_x005f_x005f_x0000_T59"/>
      <sheetName val="220_11__BS_59"/>
      <sheetName val="FITZ_MORT_9459"/>
      <sheetName val="Intro_59"/>
      <sheetName val="BLOCK-A_(MEA_SHEET)59"/>
      <sheetName val="NLD_-_Assum59"/>
      <sheetName val="Section_Catalogue59"/>
      <sheetName val="TB9798OBPL06_(2)66"/>
      <sheetName val="CORPN_OCT66"/>
      <sheetName val="inout_consol-nov66"/>
      <sheetName val="inout_consol_(2)66"/>
      <sheetName val="AS_ON_DT_EXPS_Mar66"/>
      <sheetName val="fa-pl_&amp;_mach-site66"/>
      <sheetName val="fa_off_eqp66"/>
      <sheetName val="fa_fur&amp;_fix66"/>
      <sheetName val="fa-pl_&amp;_mach-Off66"/>
      <sheetName val="B_Equity-sdpl_INC66"/>
      <sheetName val="inout_consol_wkg66"/>
      <sheetName val="inout_consol_WKNG66"/>
      <sheetName val="B_Sheet_9766"/>
      <sheetName val="P&amp;L_97_66"/>
      <sheetName val="B_Sheet_97-BEXP66"/>
      <sheetName val="P&amp;L_97_-BEXP66"/>
      <sheetName val="consol_flows66"/>
      <sheetName val="sdpl_oth_Liab66"/>
      <sheetName val="obpl-oth_liab66"/>
      <sheetName val="G_land_advance66"/>
      <sheetName val="I-Wip-ot_(2)66"/>
      <sheetName val="detail_WIP_(2)66"/>
      <sheetName val="detail_G-166"/>
      <sheetName val="sobha_menon_ac66"/>
      <sheetName val="pnc_ac66"/>
      <sheetName val="fix_-p_&amp;_M_-SCC66"/>
      <sheetName val="C_fix_asst66"/>
      <sheetName val="D_fix_asst_scdl_66"/>
      <sheetName val="creditors_tb_obpl66"/>
      <sheetName val="TBAL9697_-group_wise__sdpl76"/>
      <sheetName val="TBAL9697_-group_wise_66"/>
      <sheetName val="crs_-G-166"/>
      <sheetName val="TBAL9697_-group_wise__onpl66"/>
      <sheetName val="B_Sheet_97-OBPL66"/>
      <sheetName val="B_Sheet_97_sdpl66"/>
      <sheetName val="TBAL9697_-group_wise__sdpl266"/>
      <sheetName val="inout_consol_jan66"/>
      <sheetName val="consol_flow66"/>
      <sheetName val="D_Loan__Prom66"/>
      <sheetName val="E_Bank_Loan66"/>
      <sheetName val="G_work_Cap66"/>
      <sheetName val="H_land_adv-dec66"/>
      <sheetName val="J_Con_WIP66"/>
      <sheetName val="detail_J66"/>
      <sheetName val="L_Oth_Co66"/>
      <sheetName val="K_fix_asst__66"/>
      <sheetName val="C_fix_asst-SDPL_66"/>
      <sheetName val="TBAL9697__group_wise__sdpl66"/>
      <sheetName val="inout_consol_okg66"/>
      <sheetName val="detail_OIP_(2)66"/>
      <sheetName val="D_fix_ysst_scdl_66"/>
      <sheetName val="cre`itors_tb_obpl66"/>
      <sheetName val="3AL9697_-group_wise__onpl66"/>
      <sheetName val="L_Oth_Bo65"/>
      <sheetName val="3‰AL9697_-group_wise__onpl65"/>
      <sheetName val="Civil_Boq65"/>
      <sheetName val="Staff_Acco_65"/>
      <sheetName val="SITE_OVERHEADS65"/>
      <sheetName val="PRECAST_lightconc-II63"/>
      <sheetName val="1__PayRec62"/>
      <sheetName val="Boq_Block_A65"/>
      <sheetName val="Cashflow_projection62"/>
      <sheetName val="Project-Material_65"/>
      <sheetName val="SPT_vs_PHI62"/>
      <sheetName val="key_dates62"/>
      <sheetName val="ino4t_conso,-nov62"/>
      <sheetName val="(nout_co,sol_(2)62"/>
      <sheetName val="Blr_hire62"/>
      <sheetName val="_bpl,oth_lia_62"/>
      <sheetName val="G_,and_adv_nce62"/>
      <sheetName val="I,Wip-ot__2)62"/>
      <sheetName val="det!il_WIP_(2)62"/>
      <sheetName val="de4ail_G-162"/>
      <sheetName val="sobha_mennn_ac62"/>
      <sheetName val="C_&amp;ix_asst62"/>
      <sheetName val="_x005f_x0003_dpl_oth_Lia`62"/>
      <sheetName val="TBAL9697__x005f_x000d_grotp_wise_62"/>
      <sheetName val="St_co_91_5lvl62"/>
      <sheetName val="3�AL9697_-group_wise__onpl65"/>
      <sheetName val="INPUT_SHEET62"/>
      <sheetName val="Stress_Calculation62"/>
      <sheetName val="Labor_abs-NMR62"/>
      <sheetName val="Sun_E_Type62"/>
      <sheetName val="CORPN_O?T62"/>
      <sheetName val="Fin_Sum62"/>
      <sheetName val="CORPN_O_x005f_x0000_T62"/>
      <sheetName val="TBAL9697__x000a_grotp_wise_62"/>
      <sheetName val="labour_coeff60"/>
      <sheetName val="Shuttering_Analysis60"/>
      <sheetName val="General_P+M60"/>
      <sheetName val="Curing_Analysis_60"/>
      <sheetName val="Concrete_P+M_(_RMC_)60"/>
      <sheetName val="P+M_(_SMC_)60"/>
      <sheetName val="P+M_-EW60"/>
      <sheetName val="P&amp;L_-_AD60"/>
      <sheetName val="SUPPLY_-Sanitary_Fixtures62"/>
      <sheetName val="ITEMS_FOR_CIVIL_TENDER62"/>
      <sheetName val="_x005f_x005f_x005f_x0003_dpl_oth_Lia`62"/>
      <sheetName val="TBAL9697__x005f_x005f_x005f_x000d_grotp_w62"/>
      <sheetName val="Fin__Assumpt__-_Sensitivities60"/>
      <sheetName val="LOAD_SHEET_60"/>
      <sheetName val="Fill_this_out_first___60"/>
      <sheetName val="Labour_productivity60"/>
      <sheetName val="RCC,Ret__Wall60"/>
      <sheetName val="CORPN_O62"/>
      <sheetName val="CORPN_O_T60"/>
      <sheetName val="Area_&amp;_Cate__Master60"/>
      <sheetName val="Bill_No_560"/>
      <sheetName val="TBAL9697__grotp_wise_120"/>
      <sheetName val="11B_60"/>
      <sheetName val="Structure_Bills_Qty60"/>
      <sheetName val="DG_62"/>
      <sheetName val="BOQ_(2)60"/>
      <sheetName val="Fee_Rate_Summary60"/>
      <sheetName val="Name_List60"/>
      <sheetName val="Detail_1A60"/>
      <sheetName val="Sheet_160"/>
      <sheetName val="3BPA00132-5-3_W_plan_HVPNL60"/>
      <sheetName val="Mix_Design60"/>
      <sheetName val="DLC_lookups60"/>
      <sheetName val="Driveway_Beams60"/>
      <sheetName val="TBAL9697__x005f_x000a_grotp_wise_60"/>
      <sheetName val="Quote_Sheet60"/>
      <sheetName val="d-safe_DELUXE60"/>
      <sheetName val="Works_-_Quote_Sheet60"/>
      <sheetName val="IO_LIST60"/>
      <sheetName val="TBAL9697__x005f_x000d_grotp_wis60"/>
      <sheetName val="Cat_A_Change_Control60"/>
      <sheetName val="Break_up_Sheet60"/>
      <sheetName val="Summary_of_P_&amp;_M60"/>
      <sheetName val="ISO_Reconcilation_Statment60"/>
      <sheetName val="AVG_pur_rate60"/>
      <sheetName val="Break_Dw60"/>
      <sheetName val="LIST_OF_MAKES60"/>
      <sheetName val="Assumption_Inputs60"/>
      <sheetName val="Civil_Works60"/>
      <sheetName val="Form_660"/>
      <sheetName val="acevsSp_(ABC)60"/>
      <sheetName val="A_O_R_60"/>
      <sheetName val="CORPN_O_x005f_x005f_x005f_x0000_T60"/>
      <sheetName val="220_11__BS_60"/>
      <sheetName val="FITZ_MORT_9460"/>
      <sheetName val="Intro_60"/>
      <sheetName val="BLOCK-A_(MEA_SHEET)60"/>
      <sheetName val="NLD_-_Assum60"/>
      <sheetName val="Section_Catalogue60"/>
      <sheetName val="Detailed Summary (4)"/>
      <sheetName val="BS"/>
      <sheetName val="bs BP 04 SA"/>
      <sheetName val="Col up to plinth"/>
      <sheetName val="Footing"/>
      <sheetName val="int. pla."/>
      <sheetName val="Break_Up (bc)"/>
      <sheetName val="Break_Up (bc1)"/>
      <sheetName val="Break_Up (bc2)"/>
      <sheetName val="A.O.R r1"/>
      <sheetName val="A.O.R r1Str"/>
      <sheetName val="HPL"/>
      <sheetName val="Order Info"/>
      <sheetName val="OHT_Abs"/>
      <sheetName val="Micro"/>
      <sheetName val="Macro"/>
      <sheetName val="Scaff-Rose"/>
      <sheetName val="Inputs"/>
      <sheetName val="1st -vpd"/>
      <sheetName val="HEAD"/>
      <sheetName val="sheeet7"/>
      <sheetName val="재1"/>
      <sheetName val="KALK"/>
      <sheetName val="Cal"/>
      <sheetName val="Voucher"/>
      <sheetName val="Sum"/>
      <sheetName val="Input Data"/>
      <sheetName val="Calculation"/>
      <sheetName val="MLCP Connection Details"/>
      <sheetName val="BBS"/>
      <sheetName val="Flooring"/>
      <sheetName val="ELEC_BOQ"/>
      <sheetName val="RCC"/>
      <sheetName val="MERGED CODES &amp; NAMES"/>
      <sheetName val="TYPES"/>
      <sheetName val="INPUT (BPL)"/>
      <sheetName val="LINKS"/>
      <sheetName val="Legend"/>
      <sheetName val="Combined Results "/>
      <sheetName val="Loan Schedule"/>
      <sheetName val="Bed Class"/>
      <sheetName val="Cd"/>
      <sheetName val="P3"/>
      <sheetName val="BS8007"/>
      <sheetName val="EA Sheet"/>
      <sheetName val="Sales"/>
      <sheetName val="Calcs"/>
      <sheetName val="macros"/>
      <sheetName val="Sch4_14"/>
      <sheetName val="Sch1_3"/>
      <sheetName val="GM 000"/>
      <sheetName val="csdim"/>
      <sheetName val="cdsload"/>
      <sheetName val="chsload"/>
      <sheetName val="CLAMP"/>
      <sheetName val="cvsload"/>
      <sheetName val="pipe"/>
      <sheetName val="GM_000"/>
      <sheetName val="Table 4"/>
      <sheetName val="Table 5"/>
      <sheetName val="Table 2"/>
      <sheetName val="Table 27"/>
      <sheetName val="M- Rate"/>
      <sheetName val="ONE TIME"/>
      <sheetName val="Site Infrastructure"/>
      <sheetName val="Transfer"/>
      <sheetName val="New C PM"/>
      <sheetName val="Controls"/>
      <sheetName val="Rates"/>
      <sheetName val="Client Addresses"/>
      <sheetName val="New May"/>
      <sheetName val="TB MAR2004"/>
      <sheetName val="Staffing Sheet"/>
      <sheetName val="Data Elements-Staffing"/>
      <sheetName val="Basement Budget"/>
      <sheetName val="Insts"/>
      <sheetName val="BHANDUP"/>
      <sheetName val="4K - (6a) Non Manual Breakdown"/>
      <sheetName val="Internet"/>
      <sheetName val="Commodity Plan Front Block"/>
      <sheetName val="Commodity Plan Rear Block"/>
      <sheetName val="WXY"/>
      <sheetName val="99 조정금액"/>
      <sheetName val="Boq_ structure "/>
      <sheetName val="Category A - No Material"/>
      <sheetName val="Category B - Major Works"/>
      <sheetName val="Category C - Minor Works"/>
      <sheetName val="zone-8"/>
      <sheetName val="MHNO_LEV"/>
      <sheetName val="girder"/>
      <sheetName val="coa_ramco_168"/>
      <sheetName val="Publicbuilding"/>
      <sheetName val="Summ"/>
      <sheetName val="Fossil_DCF"/>
      <sheetName val="Ass4"/>
      <sheetName val="DCF"/>
      <sheetName val="Key Ass"/>
      <sheetName val="Hardware"/>
      <sheetName val="TBAL9697 _grotp wis"/>
      <sheetName val="Item-_Compact"/>
      <sheetName val="Detail_P&amp;L1"/>
      <sheetName val="Assumption_Sheet"/>
      <sheetName val="Material&amp;equipment"/>
      <sheetName val="2.0 Floor Area Summary"/>
      <sheetName val="TBAL9697__x000d_grotp_wi2"/>
      <sheetName val="TBAL9697__x000d_grotp_wi4"/>
      <sheetName val="TBAL9697__x000d_grotp_wi3"/>
      <sheetName val="TBAL9697__x000d_grotp_wi5"/>
      <sheetName val="TBAL9697__x000d_grotp_wi6"/>
      <sheetName val="TBAL9697__x000d_grotp_wi7"/>
      <sheetName val="TBAL9697__x000d_grotp_wi8"/>
      <sheetName val="TBAL9697__x000d_grotp_wi9"/>
      <sheetName val="TBAL9697__x000d_grotp_w10"/>
      <sheetName val="TBAL9697__x000d_grotp_w16"/>
      <sheetName val="TBAL9697__x000d_grotp_w12"/>
      <sheetName val="TBAL9697__x000d_grotp_w11"/>
      <sheetName val="TBAL9697__x000d_grotp_w13"/>
      <sheetName val="TBAL9697__x000d_grotp_w14"/>
      <sheetName val="TBAL9697__x000d_grotp_w15"/>
      <sheetName val="TBAL9697__x000d_grotp_w22"/>
      <sheetName val="TBAL9697__x000d_grotp_w17"/>
      <sheetName val="TBAL9697__x000d_grotp_w18"/>
      <sheetName val="TBAL9697__x000d_grotp_w19"/>
      <sheetName val="TBAL9697__x000d_grotp_w20"/>
      <sheetName val="TBAL9697__x000d_grotp_w21"/>
      <sheetName val="TBAL9697__x000d_grotp_w23"/>
      <sheetName val="TBAL9697__x000d_grotp_w24"/>
      <sheetName val="TBAL9697__x000d_grotp_w25"/>
      <sheetName val="TBAL9697__x000d_grotp_w26"/>
      <sheetName val="_x0003_dpl_ot"/>
      <sheetName val="TBAL9697__x02"/>
      <sheetName val="TBAL9697__x01"/>
      <sheetName val="TBAL9697__x03"/>
      <sheetName val="TBAL9697__x04"/>
      <sheetName val="TBAL9697__x05"/>
      <sheetName val="TBAL9697__x06"/>
      <sheetName val="TBAL9697__x07"/>
      <sheetName val="TBAL9697__x08"/>
      <sheetName val="TBAL9697__x14"/>
      <sheetName val="TBAL9697__x10"/>
      <sheetName val="TBAL9697__x09"/>
      <sheetName val="TBAL9697__x11"/>
      <sheetName val="TBAL9697__x12"/>
      <sheetName val="TBAL9697__x13"/>
      <sheetName val="TBAL9697__x20"/>
      <sheetName val="TBAL9697__x15"/>
      <sheetName val="TBAL9697__x16"/>
      <sheetName val="TBAL9697__x17"/>
      <sheetName val="TBAL9697__x18"/>
      <sheetName val="TBAL9697__x19"/>
      <sheetName val="TBAL9697__x21"/>
      <sheetName val="TBAL9697__x22"/>
      <sheetName val="TBAL9697__x23"/>
      <sheetName val="TBAL9697__x24"/>
      <sheetName val="Annexue B"/>
      <sheetName val="Lowside"/>
      <sheetName val="IT-Fri Base"/>
      <sheetName val="CMISFA"/>
      <sheetName val="00acttbl"/>
      <sheetName val="PSrpt25"/>
      <sheetName val="00budtbl"/>
      <sheetName val="Table"/>
      <sheetName val="Q3"/>
      <sheetName val="Capital Structure"/>
      <sheetName val="BASIC MATERIALS"/>
      <sheetName val="TBAL9697__x005f_x000a_grotp_wi1"/>
      <sheetName val="CORPN_O_x005f_x005f_x0001"/>
      <sheetName val="foot-slab reinft"/>
      <sheetName val="G_1_obpl_x005f_x005f_x005f_x005f_x000"/>
      <sheetName val="TBAL9697 _x005f_x005f_x005f_x005f_x00"/>
      <sheetName val="TBL9798_x005f_x005f_x005f_x005f_x0010"/>
      <sheetName val="CORPN O_x005f_x005f_x005f_x005f_x0000"/>
      <sheetName val="G_1_obpl_x005f_x005f_x005f_x005f_x005"/>
      <sheetName val="_x005f_x005f_x005f_x005f_x005f_x005f_x005f_x005f_"/>
      <sheetName val="TBAL9697__x005f_x005f_x005f_x005f_x00"/>
      <sheetName val="CORPN_O_x005f_x005f_x005f_x005f_x0000"/>
      <sheetName val="TBL9798_x005f_x005f_x005f_x005f_x005f"/>
      <sheetName val="CORPN O_x005f_x005f_x005f_x005f_x005f"/>
      <sheetName val="TBAL9697__x005f_x005f_x005f_x005f_x02"/>
      <sheetName val="TBAL9697__x005f_x005f_x005f_x005f_x01"/>
      <sheetName val="TBAL9697__x005f_x005f_x005f_x005f_x03"/>
      <sheetName val="TBAL9697__x005f_x005f_x005f_x005f_x04"/>
      <sheetName val="TBAL9697__x005f_x005f_x005f_x005f_x05"/>
      <sheetName val="TBAL9697__x005f_x005f_x005f_x005f_x06"/>
      <sheetName val="TBAL9697__x005f_x005f_x005f_x005f_x07"/>
      <sheetName val="TBAL9697__x005f_x005f_x005f_x005f_x08"/>
      <sheetName val="TBAL9697__x005f_x005f_x005f_x005f_x14"/>
      <sheetName val="TBAL9697__x005f_x005f_x005f_x005f_x10"/>
      <sheetName val="TBAL9697__x005f_x005f_x005f_x005f_x09"/>
      <sheetName val="TBAL9697__x005f_x005f_x005f_x005f_x11"/>
      <sheetName val="TBAL9697__x005f_x005f_x005f_x005f_x12"/>
      <sheetName val="TBAL9697__x005f_x005f_x005f_x005f_x13"/>
      <sheetName val="TBAL9697__x005f_x005f_x005f_x005f_x20"/>
      <sheetName val="TBAL9697__x005f_x005f_x005f_x005f_x15"/>
      <sheetName val="TBAL9697__x005f_x005f_x005f_x005f_x16"/>
      <sheetName val="TBAL9697__x005f_x005f_x005f_x005f_x17"/>
      <sheetName val="TBAL9697__x005f_x005f_x005f_x005f_x18"/>
      <sheetName val="TBAL9697__x005f_x005f_x005f_x005f_x19"/>
      <sheetName val="TBAL9697__x005f_x005f_x005f_x005f_x21"/>
      <sheetName val="TBAL9697__x005f_x005f_x005f_x005f_x22"/>
      <sheetName val="TBAL9697__x005f_x005f_x005f_x005f_x23"/>
      <sheetName val="TBAL9697__x005f_x005f_x005f_x005f_x24"/>
      <sheetName val="CORPN_O_x005f_x005f_x005f_x005f_x005f_x005f_x005f"/>
      <sheetName val="fa-pl &amp; myy_x005f_x005f_x005f_x000b__x005f_x005f_"/>
      <sheetName val="TBAL9697__x005f_x005f_x005f_x005f_x001"/>
      <sheetName val="Beam-Schedule-1"/>
      <sheetName val="Final"/>
      <sheetName val="water prop."/>
      <sheetName val="beam"/>
      <sheetName val="cALC"/>
      <sheetName val="UK"/>
      <sheetName val="CASH-FLOW"/>
      <sheetName val="Tie Beam Steel-R0-1"/>
      <sheetName val="Hypothèses"/>
      <sheetName val="switch"/>
      <sheetName val="Staff Acco_"/>
      <sheetName val="PB WORK"/>
      <sheetName val="TB9798OBPL06_(2)67"/>
      <sheetName val="CORPN_OCT67"/>
      <sheetName val="inout_consol-nov67"/>
      <sheetName val="inout_consol_(2)67"/>
      <sheetName val="AS_ON_DT_EXPS_Mar67"/>
      <sheetName val="fa-pl_&amp;_mach-site67"/>
      <sheetName val="fa_off_eqp67"/>
      <sheetName val="fa_fur&amp;_fix67"/>
      <sheetName val="fa-pl_&amp;_mach-Off67"/>
      <sheetName val="B_Equity-sdpl_INC67"/>
      <sheetName val="inout_consol_wkg67"/>
      <sheetName val="inout_consol_WKNG67"/>
      <sheetName val="B_Sheet_9767"/>
      <sheetName val="P&amp;L_97_67"/>
      <sheetName val="B_Sheet_97-BEXP67"/>
      <sheetName val="P&amp;L_97_-BEXP67"/>
      <sheetName val="consol_flows67"/>
      <sheetName val="sdpl_oth_Liab67"/>
      <sheetName val="obpl-oth_liab67"/>
      <sheetName val="G_land_advance67"/>
      <sheetName val="I-Wip-ot_(2)67"/>
      <sheetName val="detail_WIP_(2)67"/>
      <sheetName val="detail_G-167"/>
      <sheetName val="sobha_menon_ac67"/>
      <sheetName val="pnc_ac67"/>
      <sheetName val="fix_-p_&amp;_M_-SCC67"/>
      <sheetName val="C_fix_asst67"/>
      <sheetName val="D_fix_asst_scdl_67"/>
      <sheetName val="creditors_tb_obpl67"/>
      <sheetName val="TBAL9697_-group_wise__sdpl77"/>
      <sheetName val="TBAL9697_-group_wise_67"/>
      <sheetName val="crs_-G-167"/>
      <sheetName val="TBAL9697_-group_wise__onpl67"/>
      <sheetName val="B_Sheet_97-OBPL67"/>
      <sheetName val="B_Sheet_97_sdpl67"/>
      <sheetName val="TBAL9697_-group_wise__sdpl267"/>
      <sheetName val="inout_consol_jan67"/>
      <sheetName val="consol_flow67"/>
      <sheetName val="D_Loan__Prom67"/>
      <sheetName val="E_Bank_Loan67"/>
      <sheetName val="G_work_Cap67"/>
      <sheetName val="H_land_adv-dec67"/>
      <sheetName val="J_Con_WIP67"/>
      <sheetName val="detail_J67"/>
      <sheetName val="L_Oth_Co67"/>
      <sheetName val="K_fix_asst__67"/>
      <sheetName val="C_fix_asst-SDPL_67"/>
      <sheetName val="TBAL9697__group_wise__sdpl67"/>
      <sheetName val="inout_consol_okg67"/>
      <sheetName val="detail_OIP_(2)67"/>
      <sheetName val="D_fix_ysst_scdl_67"/>
      <sheetName val="cre`itors_tb_obpl67"/>
      <sheetName val="3AL9697_-group_wise__onpl67"/>
      <sheetName val="3‰AL9697_-group_wise__onpl66"/>
      <sheetName val="L_Oth_Bo66"/>
      <sheetName val="Civil_Boq66"/>
      <sheetName val="Staff_Acco_66"/>
      <sheetName val="SITE_OVERHEADS66"/>
      <sheetName val="PRECAST_lightconc-II64"/>
      <sheetName val="3�AL9697_-group_wise__onpl66"/>
      <sheetName val="Cashflow_projection63"/>
      <sheetName val="Boq_Block_A66"/>
      <sheetName val="1__PayRec63"/>
      <sheetName val="Project-Material_66"/>
      <sheetName val="SPT_vs_PHI63"/>
      <sheetName val="key_dates63"/>
      <sheetName val="dpl_oth_Lia`32"/>
      <sheetName val="_bpl,oth_lia_63"/>
      <sheetName val="G_,and_adv_nce63"/>
      <sheetName val="I,Wip-ot__2)63"/>
      <sheetName val="det!il_WIP_(2)63"/>
      <sheetName val="de4ail_G-163"/>
      <sheetName val="sobha_mennn_ac63"/>
      <sheetName val="C_&amp;ix_asst63"/>
      <sheetName val="_x005f_x0003_dpl_oth_Lia`63"/>
      <sheetName val="TBAL9697__x005f_x000d_grotp_wise_63"/>
      <sheetName val="St_co_91_5lvl63"/>
      <sheetName val="CORPN_OT31"/>
      <sheetName val="ino4t_conso,-nov63"/>
      <sheetName val="(nout_co,sol_(2)63"/>
      <sheetName val="Blr_hire63"/>
      <sheetName val="INPUT_SHEET63"/>
      <sheetName val="Stress_Calculation63"/>
      <sheetName val="CORPN_O63"/>
      <sheetName val="CORPN_O_T61"/>
      <sheetName val="DG_63"/>
      <sheetName val="CORPN_O?T63"/>
      <sheetName val="TBAL9697__x000a_grotp_wise_63"/>
      <sheetName val="Labor_abs-NMR63"/>
      <sheetName val="Sun_E_Type63"/>
      <sheetName val="Fin_Sum63"/>
      <sheetName val="CORPN_O_x005f_x0000_T63"/>
      <sheetName val="SUPPLY_-Sanitary_Fixtures63"/>
      <sheetName val="ITEMS_FOR_CIVIL_TENDER63"/>
      <sheetName val="labour_coeff61"/>
      <sheetName val="Shuttering_Analysis61"/>
      <sheetName val="General_P+M61"/>
      <sheetName val="Curing_Analysis_61"/>
      <sheetName val="Concrete_P+M_(_RMC_)61"/>
      <sheetName val="P+M_(_SMC_)61"/>
      <sheetName val="P+M_-EW61"/>
      <sheetName val="Quote_Sheet61"/>
      <sheetName val="d-safe_DELUXE61"/>
      <sheetName val="DLC_lookups61"/>
      <sheetName val="Works_-_Quote_Sheet61"/>
      <sheetName val="IO_LIST61"/>
      <sheetName val="_x005f_x005f_x005f_x0003_dpl_oth_Lia`63"/>
      <sheetName val="TBAL9697__x005f_x005f_x005f_x000d_grotp_w63"/>
      <sheetName val="TBAL9697__x005f_x000d_grotp_wis61"/>
      <sheetName val="TBAL9697__grotp_wise_130"/>
      <sheetName val="P&amp;L_-_AD61"/>
      <sheetName val="Fin__Assumpt__-_Sensitivities61"/>
      <sheetName val="LOAD_SHEET_61"/>
      <sheetName val="Fill_this_out_first___61"/>
      <sheetName val="Labour_productivity61"/>
      <sheetName val="RCC,Ret__Wall61"/>
      <sheetName val="Area_&amp;_Cate__Master61"/>
      <sheetName val="TBAL9697__x005f_x000a_grotp_wise_61"/>
      <sheetName val="TBAL9697__grotp_wise_137"/>
      <sheetName val="Bill_No_561"/>
      <sheetName val="11B_61"/>
      <sheetName val="BOQ_(2)61"/>
      <sheetName val="Driveway_Beams61"/>
      <sheetName val="Detail_1A61"/>
      <sheetName val="Fee_Rate_Summary61"/>
      <sheetName val="Name_List61"/>
      <sheetName val="Structure_Bills_Qty61"/>
      <sheetName val="Break_Dw61"/>
      <sheetName val="Sheet_161"/>
      <sheetName val="3BPA00132-5-3_W_plan_HVPNL61"/>
      <sheetName val="Mix_Design61"/>
      <sheetName val="CORPN_O_x005f_x005f_x005f_x0000_T61"/>
      <sheetName val="220_11__BS_61"/>
      <sheetName val="Cat_A_Change_Control61"/>
      <sheetName val="Break_up_Sheet61"/>
      <sheetName val="Summary_of_P_&amp;_M61"/>
      <sheetName val="FITZ_MORT_9461"/>
      <sheetName val="ISO_Reconcilation_Statment61"/>
      <sheetName val="AVG_pur_rate61"/>
      <sheetName val="tie_beam14"/>
      <sheetName val="LIST_OF_MAKES61"/>
      <sheetName val="Civil_Works61"/>
      <sheetName val="BLOCK-A_(MEA_SHEET)61"/>
      <sheetName val="Form_661"/>
      <sheetName val="acevsSp_(ABC)61"/>
      <sheetName val="A_O_R_61"/>
      <sheetName val="Intro_61"/>
      <sheetName val="NLD_-_Assum61"/>
      <sheetName val="Cash_Flow_Input_Data_ISC33"/>
      <sheetName val="DETAILED__BOQ31"/>
      <sheetName val="TBAL9697__x005f_x005f_x005f_x005f_x005f_x005f_x33"/>
      <sheetName val="CABLE_DATA31"/>
      <sheetName val="Assumption_Inputs61"/>
      <sheetName val="Section_Catalogue61"/>
      <sheetName val="Mat_-Rates31"/>
      <sheetName val="Legal_Risk_Analysis31"/>
      <sheetName val="Tender_Summary14"/>
      <sheetName val="Site_Dev_BOQ7"/>
      <sheetName val="Cost_summary6"/>
      <sheetName val="TBAL9697__grotp_wise_138"/>
      <sheetName val="TBAL9697__grotp_wise_139"/>
      <sheetName val="INDIGINEOUS_ITEMS_14"/>
      <sheetName val="Deduction_of_assets10"/>
      <sheetName val="Excess_Calc6"/>
      <sheetName val="PO_Payroll6"/>
      <sheetName val="BOQ_6"/>
      <sheetName val="Detail_In_Door_Stad6"/>
      <sheetName val="TBAL9697__x005f_x005f_x005f_x000a_grotp_wi6"/>
      <sheetName val="CORPN_O_x005f_x005f_x005f_x005f_x005f_x005f_x0006"/>
      <sheetName val="final_abstract6"/>
      <sheetName val="COP_Final6"/>
      <sheetName val="Elect_7"/>
      <sheetName val="TBAL9697__grotp_wise_227"/>
      <sheetName val="TBAL9697__grotp_wise_416"/>
      <sheetName val="TBAL9697__grotp_wise_316"/>
      <sheetName val="TBAL9697__grotp_wise_514"/>
      <sheetName val="TBAL9697__grotp_wise_612"/>
      <sheetName val="TBAL9697__grotp_wise_711"/>
      <sheetName val="TBAL9697__grotp_wise_811"/>
      <sheetName val="TBAL9697__grotp_wise_911"/>
      <sheetName val="TBAL9697__grotp_wise_1011"/>
      <sheetName val="TBAL9697__grotp_wise_167"/>
      <sheetName val="TBAL9697__grotp_wise_1210"/>
      <sheetName val="TBAL9697__grotp_wise_1111"/>
      <sheetName val="TBAL9697__grotp_wise_1310"/>
      <sheetName val="TBAL9697__grotp_wise_147"/>
      <sheetName val="TBAL9697__grotp_wise_157"/>
      <sheetName val="TBAL9697__grotp_wise_228"/>
      <sheetName val="TBAL9697__grotp_wise_177"/>
      <sheetName val="TBAL9697__grotp_wise_187"/>
      <sheetName val="TBAL9697__grotp_wise_197"/>
      <sheetName val="TBAL9697__grotp_wise_207"/>
      <sheetName val="TBAL9697__grotp_wise_2111"/>
      <sheetName val="TBAL9697__grotp_wise_237"/>
      <sheetName val="TBAL9697__grotp_wise_247"/>
      <sheetName val="Gen_Info6"/>
      <sheetName val="Main_Gate_House6"/>
      <sheetName val="AutoOpen_Stub_Data6"/>
      <sheetName val="SPILL_OVER6"/>
      <sheetName val="Pacakges_split6"/>
      <sheetName val="Debits_as_on_12_04_086"/>
      <sheetName val="Meas_-Hotel_Part6"/>
      <sheetName val="Data_sheet6"/>
      <sheetName val="Per_Unit6"/>
      <sheetName val="Material_6"/>
      <sheetName val="Extra_Item6"/>
      <sheetName val="Labour_&amp;_Plant6"/>
      <sheetName val="Labor_abs-PW6"/>
      <sheetName val="General_input6"/>
      <sheetName val="6_056"/>
      <sheetName val="Abstract_Sheet6"/>
      <sheetName val="Boq-_Civil6"/>
      <sheetName val="BASIC_RATES6"/>
      <sheetName val="lineby_line_consolidation6"/>
      <sheetName val="Lintel_Beam_104_70_(GF)__6"/>
      <sheetName val="TBAL9697__x005f_x005f_x007"/>
      <sheetName val="Contract_Night_Staff6"/>
      <sheetName val="Contract_Day_Staff6"/>
      <sheetName val="Day_Shift6"/>
      <sheetName val="Night_Shift6"/>
      <sheetName val="Base_Assumptions6"/>
      <sheetName val="_COP_100%6"/>
      <sheetName val="_6"/>
      <sheetName val="CORPN_O_x005f_x005f_x00006"/>
      <sheetName val="TBAL9697__x005f_x000a_grotp_wis6"/>
      <sheetName val="TBAL9697__grotp_wise_257"/>
      <sheetName val="TBAL9697__grotp_wise_267"/>
      <sheetName val="TBAL9697_-group_wise_sdpl6"/>
      <sheetName val="Rate_analysis5"/>
      <sheetName val="Approved_MTD_Proj_#'s5"/>
      <sheetName val="9__Package_split_-_Cost_5"/>
      <sheetName val="Project_Budget_Worksheet5"/>
      <sheetName val="CORPN_O_x005f_x005f_x005f5"/>
      <sheetName val="Area_Statement6"/>
      <sheetName val="Risk_Analysis6"/>
      <sheetName val="Rate_Analysis_5"/>
      <sheetName val="CORPN_O_x005f6"/>
      <sheetName val="Material_Rate5"/>
      <sheetName val="Bill_3_-_Site_Works5"/>
      <sheetName val="appendix_2_5_final_accounts5"/>
      <sheetName val="indices_2"/>
      <sheetName val="Material_List_5"/>
      <sheetName val="SITE_DEVELOPMENT5"/>
      <sheetName val="Building_15"/>
      <sheetName val="Lead_(Final)5"/>
      <sheetName val="Pile_cap2"/>
      <sheetName val="M_S_2"/>
      <sheetName val="schedule_nos5"/>
      <sheetName val="Customize_Your_Purchase_Order5"/>
      <sheetName val="fa-pl_&amp;_myy_x005f_x000b__x005f_x000b__x05"/>
      <sheetName val="CFForecast_detail5"/>
      <sheetName val="Service_Function5"/>
      <sheetName val="Basic_Rate5"/>
      <sheetName val="INFLUENCES_ON_GM5"/>
      <sheetName val="Load_Details(B2)5"/>
      <sheetName val="BS_-_L+OE5"/>
      <sheetName val="Sheet3_(2)2"/>
      <sheetName val="Bill_12"/>
      <sheetName val="Bill_22"/>
      <sheetName val="Bill_32"/>
      <sheetName val="Bill_42"/>
      <sheetName val="Bill_52"/>
      <sheetName val="Bill_62"/>
      <sheetName val="Bill_72"/>
      <sheetName val="소상_&quot;1&quot;2"/>
      <sheetName val="Cost_Basis2"/>
      <sheetName val="beam-reinft-IIInd_floor5"/>
      <sheetName val="CPT_POST_UPLOAD2"/>
      <sheetName val="KQ_Cost_Controlling2"/>
      <sheetName val="KQ_Appropriation2"/>
      <sheetName val="TBAL9697__grotp_wise_276"/>
      <sheetName val="TBAL9697__grotp_wis27"/>
      <sheetName val="class_&amp;_category2"/>
      <sheetName val="code_Control_Sheet2"/>
      <sheetName val="2_civil-RA2"/>
      <sheetName val="fa-pl_&amp;_myy_x005f_x000b__2"/>
      <sheetName val="SCHEDULE_OF_RATES1"/>
      <sheetName val="Mat_Cost2"/>
      <sheetName val="Invested_capital_VDF1"/>
      <sheetName val="PV_of_Op_Leases_VDF1"/>
      <sheetName val="BOQ_Distribution5"/>
      <sheetName val="TBAL9697__x000a_grotp_wis31"/>
      <sheetName val="TBAL9697__x006"/>
      <sheetName val="CORPN_O_x00005"/>
      <sheetName val="GR_slab-reinft5"/>
      <sheetName val="Indirect_expenses5"/>
      <sheetName val="Sheet_25"/>
      <sheetName val="Risk_Assmnt5"/>
      <sheetName val="AoR_Finishing5"/>
      <sheetName val="Cost_Index2"/>
      <sheetName val="BEAM_SCH1"/>
      <sheetName val="SLAB__SCH_1"/>
      <sheetName val="Beam_at_Ground_flr_lvl(Steel)1"/>
      <sheetName val="Main_Assump_1"/>
      <sheetName val="P_&amp;_M5"/>
      <sheetName val="MS_Items5"/>
      <sheetName val="Input_&amp;_Calculations1"/>
      <sheetName val="PA-_Consutant_1"/>
      <sheetName val="TBAL9697__grotp_wis28"/>
      <sheetName val="DDETABLE_5"/>
      <sheetName val="TAX_INCOME2"/>
      <sheetName val="Depart_Budget2"/>
      <sheetName val="CC_June2"/>
      <sheetName val="Detail_P&amp;L2"/>
      <sheetName val="Assumption_Sheet1"/>
      <sheetName val="New_Construction1"/>
      <sheetName val="Layer_Table1"/>
      <sheetName val="Bill_1-BOQ-Civil_Works1"/>
      <sheetName val="Customize_Your_Invoice1"/>
      <sheetName val="CIVIL_BOQ_(Final)1"/>
      <sheetName val="Loan_Amortization_Schedule1"/>
      <sheetName val="Bill-5_21"/>
      <sheetName val="Bill-9_11"/>
      <sheetName val="Bill-6_1_1-6_1_31"/>
      <sheetName val="Basic_rate_summary1"/>
      <sheetName val="Basic_rate_calculations1"/>
      <sheetName val="organi_synthesis_lab1"/>
      <sheetName val="Rates_7-201"/>
      <sheetName val="Boq_(Main_Building)1"/>
      <sheetName val="CORPN_O_x005f_x005f_x005f_x005f_x005f_x005f_x0051"/>
      <sheetName val="Overall_Summary1"/>
      <sheetName val="Summary_CFA_total_-_CP1_&amp;_CP21"/>
      <sheetName val="TBAL9697__grotp_wise_292"/>
      <sheetName val="TBAL9697__grotp_wise_282"/>
      <sheetName val="TBAL9697__grotp_wise_302"/>
      <sheetName val="S-MMS_without_TFA1"/>
      <sheetName val="TBAL9697__x000a_grotp_wi1"/>
      <sheetName val="dpl_oth_Lia`30"/>
      <sheetName val="CORPN_OT29"/>
      <sheetName val="dpl_oth_Lia`29"/>
      <sheetName val="dpl_oth_Lia`31"/>
      <sheetName val="CORPN_OT30"/>
      <sheetName val="Labor_Rates1"/>
      <sheetName val="Capex_Estimates1"/>
      <sheetName val="General_Assumptions1"/>
      <sheetName val="Sqn-Abs(G+6)_1"/>
      <sheetName val="WO-Abs_(G+2)_6_DUs1"/>
      <sheetName val="Air-Abs(G+6)_23_DUs1"/>
      <sheetName val="5__EA1"/>
      <sheetName val="GUT_(2)1"/>
      <sheetName val="MB_Prod1"/>
      <sheetName val="Key_Ass1"/>
      <sheetName val="bs_BP_04_SA1"/>
      <sheetName val="Col_up_to_plinth1"/>
      <sheetName val="int__pla_1"/>
      <sheetName val="R_MTL1"/>
      <sheetName val="RA_Bill_summary_til_Apr191"/>
      <sheetName val="APTIDCO_CV_A_SCOPE1"/>
      <sheetName val="Manpower_Histogram1"/>
      <sheetName val="TBAL9697__grotp_wis110"/>
      <sheetName val="TBAL9697__grotp_wis29"/>
      <sheetName val="TBAL9697__grotp_wis32"/>
      <sheetName val="TBAL9697__grotp_wis42"/>
      <sheetName val="TBAL9697__grotp_wis52"/>
      <sheetName val="TBAL9697__grotp_wis61"/>
      <sheetName val="TBAL9697__grotp_wis71"/>
      <sheetName val="TBAL9697__grotp_wis81"/>
      <sheetName val="TBAL9697__grotp_wis141"/>
      <sheetName val="TBAL9697__grotp_wis101"/>
      <sheetName val="TBAL9697__grotp_wis91"/>
      <sheetName val="TBAL9697__grotp_wis112"/>
      <sheetName val="TBAL9697__grotp_wis121"/>
      <sheetName val="TBAL9697__grotp_wis131"/>
      <sheetName val="TBAL9697__grotp_wis201"/>
      <sheetName val="TBAL9697__grotp_wis151"/>
      <sheetName val="TBAL9697__grotp_wis161"/>
      <sheetName val="TBAL9697__grotp_wis171"/>
      <sheetName val="TBAL9697__grotp_wis181"/>
      <sheetName val="TBAL9697__grotp_wis191"/>
      <sheetName val="TBAL9697__grotp_wis212"/>
      <sheetName val="TBAL9697__grotp_wis221"/>
      <sheetName val="TBAL9697__grotp_wis231"/>
      <sheetName val="TBAL9697__grotp_wis241"/>
      <sheetName val="TBAL9697__grotp_wis251"/>
      <sheetName val="Item-_Compact1"/>
      <sheetName val="PB_WORK1"/>
      <sheetName val="Detailed_Summary_(4)1"/>
      <sheetName val="Basement_Budget1"/>
      <sheetName val="TBAL9697__x000a_grotp_wi2"/>
      <sheetName val="TBAL9697__x000a_grotp_wi4"/>
      <sheetName val="TBAL9697__x000a_grotp_wi3"/>
      <sheetName val="TBAL9697__x000a_grotp_wi5"/>
      <sheetName val="TBAL9697__x000a_grotp_wi6"/>
      <sheetName val="TBAL9697__x000a_grotp_wi7"/>
      <sheetName val="TBAL9697__x000a_grotp_wi8"/>
      <sheetName val="TBAL9697__x000a_grotp_wi9"/>
      <sheetName val="TBAL9697__x000a_grotp_w10"/>
      <sheetName val="TBAL9697__x000a_grotp_w16"/>
      <sheetName val="TBAL9697__x000a_grotp_w12"/>
      <sheetName val="TBAL9697__x000a_grotp_w11"/>
      <sheetName val="TBAL9697__x000a_grotp_w13"/>
      <sheetName val="TBAL9697__x000a_grotp_w14"/>
      <sheetName val="TBAL9697__x000a_grotp_w15"/>
      <sheetName val="TBAL9697__x000a_grotp_w22"/>
      <sheetName val="TBAL9697__x000a_grotp_w17"/>
      <sheetName val="TBAL9697__x000a_grotp_w18"/>
      <sheetName val="TBAL9697__x000a_grotp_w19"/>
      <sheetName val="TBAL9697__x000a_grotp_w20"/>
      <sheetName val="TBAL9697__x000a_grotp_w21"/>
      <sheetName val="TBAL9697__x000a_grotp_w23"/>
      <sheetName val="TBAL9697__x000a_grotp_w24"/>
      <sheetName val="TBAL9697__x000a_grotp_w25"/>
      <sheetName val="TBAL9697__x000a_grotp_w26"/>
      <sheetName val="dpl_ot"/>
      <sheetName val="TBAL9697__grotp_wis30"/>
      <sheetName val="TBAL9697__grotp_wise_126"/>
      <sheetName val="tie_beam13"/>
      <sheetName val="Cash_Flow_Input_Data_ISC32"/>
      <sheetName val="DETAILED__BOQ30"/>
      <sheetName val="TBAL9697__x005f_x005f_x005f_x005f_x005f_x005f_x32"/>
      <sheetName val="CABLE_DATA30"/>
      <sheetName val="Mat_-Rates30"/>
      <sheetName val="Legal_Risk_Analysis30"/>
      <sheetName val="Tender_Summary13"/>
      <sheetName val="Site_Dev_BOQ6"/>
      <sheetName val="Cost_summary5"/>
      <sheetName val="TBAL9697__grotp_wise_127"/>
      <sheetName val="TBAL9697__grotp_wise_128"/>
      <sheetName val="INDIGINEOUS_ITEMS_13"/>
      <sheetName val="Deduction_of_assets9"/>
      <sheetName val="Excess_Calc5"/>
      <sheetName val="PO_Payroll5"/>
      <sheetName val="BOQ_5"/>
      <sheetName val="Detail_In_Door_Stad5"/>
      <sheetName val="TBAL9697__x005f_x005f_x005f_x000a_grotp_wi5"/>
      <sheetName val="CORPN_O_x005f_x005f_x005f_x005f_x005f_x005f_x0005"/>
      <sheetName val="final_abstract5"/>
      <sheetName val="COP_Final5"/>
      <sheetName val="Elect_6"/>
      <sheetName val="TBAL9697__grotp_wise_220"/>
      <sheetName val="TBAL9697__grotp_wise_415"/>
      <sheetName val="TBAL9697__grotp_wise_315"/>
      <sheetName val="TBAL9697__grotp_wise_513"/>
      <sheetName val="TBAL9697__grotp_wise_611"/>
      <sheetName val="TBAL9697__grotp_wise_710"/>
      <sheetName val="TBAL9697__grotp_wise_810"/>
      <sheetName val="TBAL9697__grotp_wise_910"/>
      <sheetName val="TBAL9697__grotp_wise_1010"/>
      <sheetName val="TBAL9697__grotp_wise_166"/>
      <sheetName val="TBAL9697__grotp_wise_129"/>
      <sheetName val="TBAL9697__grotp_wise_1110"/>
      <sheetName val="TBAL9697__grotp_wise_136"/>
      <sheetName val="TBAL9697__grotp_wise_146"/>
      <sheetName val="TBAL9697__grotp_wise_156"/>
      <sheetName val="TBAL9697__grotp_wise_226"/>
      <sheetName val="TBAL9697__grotp_wise_176"/>
      <sheetName val="TBAL9697__grotp_wise_186"/>
      <sheetName val="TBAL9697__grotp_wise_196"/>
      <sheetName val="TBAL9697__grotp_wise_206"/>
      <sheetName val="TBAL9697__grotp_wise_2110"/>
      <sheetName val="TBAL9697__grotp_wise_236"/>
      <sheetName val="TBAL9697__grotp_wise_246"/>
      <sheetName val="Gen_Info5"/>
      <sheetName val="Main_Gate_House5"/>
      <sheetName val="AutoOpen_Stub_Data5"/>
      <sheetName val="SPILL_OVER5"/>
      <sheetName val="Pacakges_split5"/>
      <sheetName val="Debits_as_on_12_04_085"/>
      <sheetName val="Meas_-Hotel_Part5"/>
      <sheetName val="Data_sheet5"/>
      <sheetName val="Per_Unit5"/>
      <sheetName val="Material_5"/>
      <sheetName val="Extra_Item5"/>
      <sheetName val="Labour_&amp;_Plant5"/>
      <sheetName val="Labor_abs-PW5"/>
      <sheetName val="General_input5"/>
      <sheetName val="6_055"/>
      <sheetName val="Abstract_Sheet5"/>
      <sheetName val="Boq-_Civil5"/>
      <sheetName val="BASIC_RATES5"/>
      <sheetName val="lineby_line_consolidation5"/>
      <sheetName val="Lintel_Beam_104_70_(GF)__5"/>
      <sheetName val="TBAL9697__x005f_x005f_x006"/>
      <sheetName val="Contract_Night_Staff5"/>
      <sheetName val="Contract_Day_Staff5"/>
      <sheetName val="Day_Shift5"/>
      <sheetName val="Night_Shift5"/>
      <sheetName val="Base_Assumptions5"/>
      <sheetName val="_COP_100%5"/>
      <sheetName val="_5"/>
      <sheetName val="CORPN_O_x005f_x005f_x00005"/>
      <sheetName val="TBAL9697__x005f_x000a_grotp_wis5"/>
      <sheetName val="TBAL9697__grotp_wise_256"/>
      <sheetName val="TBAL9697__grotp_wise_266"/>
      <sheetName val="TBAL9697_-group_wise_sdpl5"/>
      <sheetName val="Rate_analysis4"/>
      <sheetName val="Approved_MTD_Proj_#'s4"/>
      <sheetName val="9__Package_split_-_Cost_4"/>
      <sheetName val="Project_Budget_Worksheet4"/>
      <sheetName val="CORPN_O_x005f_x005f_x005f4"/>
      <sheetName val="Area_Statement5"/>
      <sheetName val="Risk_Analysis5"/>
      <sheetName val="Rate_Analysis_4"/>
      <sheetName val="CORPN_O_x005f5"/>
      <sheetName val="Material_Rate4"/>
      <sheetName val="Bill_3_-_Site_Works4"/>
      <sheetName val="appendix_2_5_final_accounts4"/>
      <sheetName val="indices_1"/>
      <sheetName val="Material_List_4"/>
      <sheetName val="SITE_DEVELOPMENT4"/>
      <sheetName val="Building_14"/>
      <sheetName val="Lead_(Final)4"/>
      <sheetName val="Pile_cap1"/>
      <sheetName val="M_S_1"/>
      <sheetName val="schedule_nos4"/>
      <sheetName val="Customize_Your_Purchase_Order4"/>
      <sheetName val="fa-pl_&amp;_myy_x005f_x000b__x005f_x000b__x04"/>
      <sheetName val="CFForecast_detail4"/>
      <sheetName val="Service_Function4"/>
      <sheetName val="Basic_Rate4"/>
      <sheetName val="INFLUENCES_ON_GM4"/>
      <sheetName val="Load_Details(B2)4"/>
      <sheetName val="BS_-_L+OE4"/>
      <sheetName val="Sheet3_(2)1"/>
      <sheetName val="Bill_11"/>
      <sheetName val="Bill_21"/>
      <sheetName val="Bill_31"/>
      <sheetName val="Bill_41"/>
      <sheetName val="Bill_51"/>
      <sheetName val="Bill_61"/>
      <sheetName val="Bill_71"/>
      <sheetName val="소상_&quot;1&quot;1"/>
      <sheetName val="Cost_Basis1"/>
      <sheetName val="beam-reinft-IIInd_floor4"/>
      <sheetName val="CPT_POST_UPLOAD1"/>
      <sheetName val="KQ_Cost_Controlling1"/>
      <sheetName val="KQ_Appropriation1"/>
      <sheetName val="TBAL9697__grotp_wise_275"/>
      <sheetName val="TBAL9697__grotp_wis4"/>
      <sheetName val="class_&amp;_category1"/>
      <sheetName val="code_Control_Sheet1"/>
      <sheetName val="2_civil-RA1"/>
      <sheetName val="fa-pl_&amp;_myy_x005f_x000b__1"/>
      <sheetName val="SCHEDULE_OF_RATES"/>
      <sheetName val="Mat_Cost1"/>
      <sheetName val="Invested_capital_VDF"/>
      <sheetName val="PV_of_Op_Leases_VDF"/>
      <sheetName val="BOQ_Distribution4"/>
      <sheetName val="TBAL9697__x000a_grotp_wis30"/>
      <sheetName val="TBAL9697__x005"/>
      <sheetName val="CORPN_O_x00004"/>
      <sheetName val="GR_slab-reinft4"/>
      <sheetName val="Indirect_expenses4"/>
      <sheetName val="Sheet_24"/>
      <sheetName val="Risk_Assmnt4"/>
      <sheetName val="AoR_Finishing4"/>
      <sheetName val="Cost_Index1"/>
      <sheetName val="BEAM_SCH"/>
      <sheetName val="SLAB__SCH_"/>
      <sheetName val="Beam_at_Ground_flr_lvl(Steel)"/>
      <sheetName val="Main_Assump_"/>
      <sheetName val="P_&amp;_M4"/>
      <sheetName val="MS_Items4"/>
      <sheetName val="Input_&amp;_Calculations"/>
      <sheetName val="PA-_Consutant_"/>
      <sheetName val="TBAL9697__grotp_wis5"/>
      <sheetName val="DDETABLE_4"/>
      <sheetName val="TAX_INCOME1"/>
      <sheetName val="Depart_Budget1"/>
      <sheetName val="CC_June1"/>
      <sheetName val="New_Construction"/>
      <sheetName val="Layer_Table"/>
      <sheetName val="Bill_1-BOQ-Civil_Works"/>
      <sheetName val="Customize_Your_Invoice"/>
      <sheetName val="CIVIL_BOQ_(Final)"/>
      <sheetName val="Loan_Amortization_Schedule"/>
      <sheetName val="Bill-5_2"/>
      <sheetName val="Bill-9_1"/>
      <sheetName val="Bill-6_1_1-6_1_3"/>
      <sheetName val="Basic_rate_summary"/>
      <sheetName val="Basic_rate_calculations"/>
      <sheetName val="organi_synthesis_lab"/>
      <sheetName val="Rates_7-20"/>
      <sheetName val="Boq_(Main_Building)"/>
      <sheetName val="Overall_Summary"/>
      <sheetName val="Summary_CFA_total_-_CP1_&amp;_CP2"/>
      <sheetName val="TBAL9697__grotp_wise_291"/>
      <sheetName val="TBAL9697__grotp_wise_281"/>
      <sheetName val="TBAL9697__grotp_wise_301"/>
      <sheetName val="S-MMS_without_TFA"/>
      <sheetName val="Labor_Rates"/>
      <sheetName val="Capex_Estimates"/>
      <sheetName val="General_Assumptions"/>
      <sheetName val="Sqn-Abs(G+6)_"/>
      <sheetName val="WO-Abs_(G+2)_6_DUs"/>
      <sheetName val="Air-Abs(G+6)_23_DUs"/>
      <sheetName val="5__EA"/>
      <sheetName val="GUT_(2)"/>
      <sheetName val="MB_Prod"/>
      <sheetName val="Key_Ass"/>
      <sheetName val="bs_BP_04_SA"/>
      <sheetName val="Col_up_to_plinth"/>
      <sheetName val="int__pla_"/>
      <sheetName val="R_MTL"/>
      <sheetName val="RA_Bill_summary_til_Apr19"/>
      <sheetName val="APTIDCO_CV_A_SCOPE"/>
      <sheetName val="Manpower_Histogram"/>
      <sheetName val="TBAL9697__grotp_wis11"/>
      <sheetName val="TBAL9697__grotp_wis21"/>
      <sheetName val="TBAL9697__grotp_wis31"/>
      <sheetName val="TBAL9697__grotp_wis41"/>
      <sheetName val="TBAL9697__grotp_wis51"/>
      <sheetName val="TBAL9697__grotp_wis6"/>
      <sheetName val="TBAL9697__grotp_wis7"/>
      <sheetName val="TBAL9697__grotp_wis8"/>
      <sheetName val="TBAL9697__grotp_wis14"/>
      <sheetName val="TBAL9697__grotp_wis10"/>
      <sheetName val="TBAL9697__grotp_wis9"/>
      <sheetName val="TBAL9697__grotp_wis111"/>
      <sheetName val="TBAL9697__grotp_wis12"/>
      <sheetName val="TBAL9697__grotp_wis13"/>
      <sheetName val="TBAL9697__grotp_wis20"/>
      <sheetName val="TBAL9697__grotp_wis15"/>
      <sheetName val="TBAL9697__grotp_wis16"/>
      <sheetName val="TBAL9697__grotp_wis17"/>
      <sheetName val="TBAL9697__grotp_wis18"/>
      <sheetName val="TBAL9697__grotp_wis19"/>
      <sheetName val="TBAL9697__grotp_wis211"/>
      <sheetName val="TBAL9697__grotp_wis22"/>
      <sheetName val="TBAL9697__grotp_wis23"/>
      <sheetName val="TBAL9697__grotp_wis24"/>
      <sheetName val="TBAL9697__grotp_wis25"/>
      <sheetName val="PB_WORK"/>
      <sheetName val="Detailed_Summary_(4)"/>
      <sheetName val="Basement_Budget"/>
      <sheetName val="TBAL9697__grotp_wis26"/>
      <sheetName val="TB9798OBPL06_(2)68"/>
      <sheetName val="CORPN_OCT68"/>
      <sheetName val="inout_consol-nov68"/>
      <sheetName val="inout_consol_(2)68"/>
      <sheetName val="AS_ON_DT_EXPS_Mar68"/>
      <sheetName val="fa-pl_&amp;_mach-site68"/>
      <sheetName val="fa_off_eqp68"/>
      <sheetName val="fa_fur&amp;_fix68"/>
      <sheetName val="fa-pl_&amp;_mach-Off68"/>
      <sheetName val="B_Equity-sdpl_INC68"/>
      <sheetName val="inout_consol_wkg68"/>
      <sheetName val="inout_consol_WKNG68"/>
      <sheetName val="B_Sheet_9768"/>
      <sheetName val="P&amp;L_97_68"/>
      <sheetName val="B_Sheet_97-BEXP68"/>
      <sheetName val="P&amp;L_97_-BEXP68"/>
      <sheetName val="consol_flows68"/>
      <sheetName val="sdpl_oth_Liab68"/>
      <sheetName val="obpl-oth_liab68"/>
      <sheetName val="G_land_advance68"/>
      <sheetName val="I-Wip-ot_(2)68"/>
      <sheetName val="detail_WIP_(2)68"/>
      <sheetName val="detail_G-168"/>
      <sheetName val="sobha_menon_ac68"/>
      <sheetName val="pnc_ac68"/>
      <sheetName val="fix_-p_&amp;_M_-SCC68"/>
      <sheetName val="C_fix_asst68"/>
      <sheetName val="D_fix_asst_scdl_68"/>
      <sheetName val="creditors_tb_obpl68"/>
      <sheetName val="TBAL9697_-group_wise__sdpl78"/>
      <sheetName val="TBAL9697_-group_wise_68"/>
      <sheetName val="crs_-G-168"/>
      <sheetName val="TBAL9697_-group_wise__onpl68"/>
      <sheetName val="B_Sheet_97-OBPL68"/>
      <sheetName val="B_Sheet_97_sdpl68"/>
      <sheetName val="TBAL9697_-group_wise__sdpl268"/>
      <sheetName val="inout_consol_jan68"/>
      <sheetName val="consol_flow68"/>
      <sheetName val="D_Loan__Prom68"/>
      <sheetName val="E_Bank_Loan68"/>
      <sheetName val="G_work_Cap68"/>
      <sheetName val="H_land_adv-dec68"/>
      <sheetName val="J_Con_WIP68"/>
      <sheetName val="detail_J68"/>
      <sheetName val="L_Oth_Co68"/>
      <sheetName val="K_fix_asst__68"/>
      <sheetName val="C_fix_asst-SDPL_68"/>
      <sheetName val="TBAL9697__group_wise__sdpl68"/>
      <sheetName val="inout_consol_okg68"/>
      <sheetName val="detail_OIP_(2)68"/>
      <sheetName val="D_fix_ysst_scdl_68"/>
      <sheetName val="cre`itors_tb_obpl68"/>
      <sheetName val="3AL9697_-group_wise__onpl68"/>
      <sheetName val="3‰AL9697_-group_wise__onpl67"/>
      <sheetName val="L_Oth_Bo67"/>
      <sheetName val="Civil_Boq67"/>
      <sheetName val="Staff_Acco_67"/>
      <sheetName val="SITE_OVERHEADS67"/>
      <sheetName val="PRECAST_lightconc-II65"/>
      <sheetName val="3�AL9697_-group_wise__onpl67"/>
      <sheetName val="Cashflow_projection64"/>
      <sheetName val="Boq_Block_A67"/>
      <sheetName val="1__PayRec64"/>
      <sheetName val="Project-Material_67"/>
      <sheetName val="SPT_vs_PHI64"/>
      <sheetName val="key_dates64"/>
      <sheetName val="_bpl,oth_lia_64"/>
      <sheetName val="G_,and_adv_nce64"/>
      <sheetName val="I,Wip-ot__2)64"/>
      <sheetName val="det!il_WIP_(2)64"/>
      <sheetName val="de4ail_G-164"/>
      <sheetName val="sobha_mennn_ac64"/>
      <sheetName val="C_&amp;ix_asst64"/>
      <sheetName val="_x005f_x0003_dpl_oth_Lia`64"/>
      <sheetName val="TBAL9697__x005f_x000d_grotp_wise_64"/>
      <sheetName val="St_co_91_5lvl64"/>
      <sheetName val="ino4t_conso,-nov64"/>
      <sheetName val="(nout_co,sol_(2)64"/>
      <sheetName val="Blr_hire64"/>
      <sheetName val="INPUT_SHEET64"/>
      <sheetName val="Stress_Calculation64"/>
      <sheetName val="CORPN_O64"/>
      <sheetName val="CORPN_O_T62"/>
      <sheetName val="DG_64"/>
      <sheetName val="CORPN_O?T64"/>
      <sheetName val="TBAL9697__x000a_grotp_wise_64"/>
      <sheetName val="Labor_abs-NMR64"/>
      <sheetName val="Sun_E_Type64"/>
      <sheetName val="Fin_Sum64"/>
      <sheetName val="CORPN_O_x005f_x0000_T64"/>
      <sheetName val="SUPPLY_-Sanitary_Fixtures64"/>
      <sheetName val="ITEMS_FOR_CIVIL_TENDER64"/>
      <sheetName val="labour_coeff62"/>
      <sheetName val="Shuttering_Analysis62"/>
      <sheetName val="General_P+M62"/>
      <sheetName val="Curing_Analysis_62"/>
      <sheetName val="Concrete_P+M_(_RMC_)62"/>
      <sheetName val="P+M_(_SMC_)62"/>
      <sheetName val="P+M_-EW62"/>
      <sheetName val="Quote_Sheet62"/>
      <sheetName val="d-safe_DELUXE62"/>
      <sheetName val="DLC_lookups62"/>
      <sheetName val="Works_-_Quote_Sheet62"/>
      <sheetName val="IO_LIST62"/>
      <sheetName val="_x005f_x005f_x005f_x0003_dpl_oth_Lia`64"/>
      <sheetName val="TBAL9697__x005f_x005f_x005f_x000d_grotp_w64"/>
      <sheetName val="TBAL9697__x005f_x000d_grotp_wis62"/>
      <sheetName val="TBAL9697__grotp_wise_140"/>
      <sheetName val="P&amp;L_-_AD62"/>
      <sheetName val="Fin__Assumpt__-_Sensitivities62"/>
      <sheetName val="LOAD_SHEET_62"/>
      <sheetName val="Fill_this_out_first___62"/>
      <sheetName val="Labour_productivity62"/>
      <sheetName val="RCC,Ret__Wall62"/>
      <sheetName val="Area_&amp;_Cate__Master62"/>
      <sheetName val="TBAL9697__x005f_x000a_grotp_wise_62"/>
      <sheetName val="TBAL9697__grotp_wise_148"/>
      <sheetName val="Bill_No_562"/>
      <sheetName val="11B_62"/>
      <sheetName val="BOQ_(2)62"/>
      <sheetName val="Driveway_Beams62"/>
      <sheetName val="Detail_1A62"/>
      <sheetName val="Fee_Rate_Summary62"/>
      <sheetName val="Name_List62"/>
      <sheetName val="Structure_Bills_Qty62"/>
      <sheetName val="Break_Dw62"/>
      <sheetName val="Sheet_162"/>
      <sheetName val="3BPA00132-5-3_W_plan_HVPNL62"/>
      <sheetName val="Mix_Design62"/>
      <sheetName val="CORPN_O_x005f_x005f_x005f_x0000_T62"/>
      <sheetName val="220_11__BS_62"/>
      <sheetName val="Cat_A_Change_Control62"/>
      <sheetName val="Break_up_Sheet62"/>
      <sheetName val="Summary_of_P_&amp;_M62"/>
      <sheetName val="FITZ_MORT_9462"/>
      <sheetName val="ISO_Reconcilation_Statment62"/>
      <sheetName val="AVG_pur_rate62"/>
      <sheetName val="tie_beam15"/>
      <sheetName val="LIST_OF_MAKES62"/>
      <sheetName val="Civil_Works62"/>
      <sheetName val="BLOCK-A_(MEA_SHEET)62"/>
      <sheetName val="Form_662"/>
      <sheetName val="acevsSp_(ABC)62"/>
      <sheetName val="A_O_R_62"/>
      <sheetName val="Intro_62"/>
      <sheetName val="NLD_-_Assum62"/>
      <sheetName val="Cash_Flow_Input_Data_ISC34"/>
      <sheetName val="DETAILED__BOQ32"/>
      <sheetName val="TBAL9697__x005f_x005f_x005f_x005f_x005f_x005f_x34"/>
      <sheetName val="CABLE_DATA32"/>
      <sheetName val="Assumption_Inputs62"/>
      <sheetName val="Section_Catalogue62"/>
      <sheetName val="Mat_-Rates32"/>
      <sheetName val="Legal_Risk_Analysis32"/>
      <sheetName val="Tender_Summary15"/>
      <sheetName val="Site_Dev_BOQ8"/>
      <sheetName val="Cost_summary7"/>
      <sheetName val="TBAL9697__grotp_wise_149"/>
      <sheetName val="TBAL9697__grotp_wise_150"/>
      <sheetName val="INDIGINEOUS_ITEMS_15"/>
      <sheetName val="Deduction_of_assets11"/>
      <sheetName val="Excess_Calc7"/>
      <sheetName val="PO_Payroll7"/>
      <sheetName val="BOQ_7"/>
      <sheetName val="Detail_In_Door_Stad7"/>
      <sheetName val="TBAL9697__x005f_x005f_x005f_x000a_grotp_wi7"/>
      <sheetName val="CORPN_O_x005f_x005f_x005f_x005f_x005f_x005f_x0007"/>
      <sheetName val="final_abstract7"/>
      <sheetName val="COP_Final7"/>
      <sheetName val="Elect_8"/>
      <sheetName val="TBAL9697__grotp_wise_229"/>
      <sheetName val="TBAL9697__grotp_wise_417"/>
      <sheetName val="TBAL9697__grotp_wise_317"/>
      <sheetName val="TBAL9697__grotp_wise_515"/>
      <sheetName val="TBAL9697__grotp_wise_613"/>
      <sheetName val="TBAL9697__grotp_wise_712"/>
      <sheetName val="TBAL9697__grotp_wise_812"/>
      <sheetName val="TBAL9697__grotp_wise_912"/>
      <sheetName val="TBAL9697__grotp_wise_1012"/>
      <sheetName val="TBAL9697__grotp_wise_168"/>
      <sheetName val="TBAL9697__grotp_wise_1211"/>
      <sheetName val="TBAL9697__grotp_wise_1112"/>
      <sheetName val="TBAL9697__grotp_wise_1311"/>
      <sheetName val="TBAL9697__grotp_wise_1410"/>
      <sheetName val="TBAL9697__grotp_wise_158"/>
      <sheetName val="TBAL9697__grotp_wise_2210"/>
      <sheetName val="TBAL9697__grotp_wise_178"/>
      <sheetName val="TBAL9697__grotp_wise_188"/>
      <sheetName val="TBAL9697__grotp_wise_198"/>
      <sheetName val="TBAL9697__grotp_wise_208"/>
      <sheetName val="TBAL9697__grotp_wise_2112"/>
      <sheetName val="TBAL9697__grotp_wise_238"/>
      <sheetName val="TBAL9697__grotp_wise_248"/>
      <sheetName val="Gen_Info7"/>
      <sheetName val="Main_Gate_House7"/>
      <sheetName val="AutoOpen_Stub_Data7"/>
      <sheetName val="SPILL_OVER7"/>
      <sheetName val="Pacakges_split7"/>
      <sheetName val="Debits_as_on_12_04_087"/>
      <sheetName val="Meas_-Hotel_Part7"/>
      <sheetName val="Data_sheet7"/>
      <sheetName val="Per_Unit7"/>
      <sheetName val="Material_7"/>
      <sheetName val="Extra_Item7"/>
      <sheetName val="Labour_&amp;_Plant7"/>
      <sheetName val="Labor_abs-PW7"/>
      <sheetName val="General_input7"/>
      <sheetName val="6_057"/>
      <sheetName val="Abstract_Sheet7"/>
      <sheetName val="Boq-_Civil7"/>
      <sheetName val="BASIC_RATES7"/>
      <sheetName val="lineby_line_consolidation7"/>
      <sheetName val="Lintel_Beam_104_70_(GF)__7"/>
      <sheetName val="TBAL9697__x005f_x005f_x008"/>
      <sheetName val="Contract_Night_Staff7"/>
      <sheetName val="Contract_Day_Staff7"/>
      <sheetName val="Day_Shift7"/>
      <sheetName val="Night_Shift7"/>
      <sheetName val="Base_Assumptions7"/>
      <sheetName val="_COP_100%7"/>
      <sheetName val="_7"/>
      <sheetName val="CORPN_O_x005f_x005f_x00007"/>
      <sheetName val="TBAL9697__x005f_x000a_grotp_wis7"/>
      <sheetName val="TBAL9697__grotp_wise_258"/>
      <sheetName val="TBAL9697__grotp_wise_268"/>
      <sheetName val="TBAL9697_-group_wise_sdpl7"/>
      <sheetName val="Rate_analysis6"/>
      <sheetName val="Approved_MTD_Proj_#'s6"/>
      <sheetName val="9__Package_split_-_Cost_6"/>
      <sheetName val="Project_Budget_Worksheet6"/>
      <sheetName val="CORPN_O_x005f_x005f_x005f6"/>
      <sheetName val="Area_Statement7"/>
      <sheetName val="Risk_Analysis7"/>
      <sheetName val="Rate_Analysis_6"/>
      <sheetName val="CORPN_O_x005f7"/>
      <sheetName val="Material_Rate6"/>
      <sheetName val="Bill_3_-_Site_Works6"/>
      <sheetName val="appendix_2_5_final_accounts6"/>
      <sheetName val="indices_3"/>
      <sheetName val="Material_List_6"/>
      <sheetName val="SITE_DEVELOPMENT6"/>
      <sheetName val="Building_16"/>
      <sheetName val="Lead_(Final)6"/>
      <sheetName val="Pile_cap3"/>
      <sheetName val="M_S_3"/>
      <sheetName val="schedule_nos6"/>
      <sheetName val="Customize_Your_Purchase_Order6"/>
      <sheetName val="fa-pl_&amp;_myy_x005f_x000b__x005f_x000b__x06"/>
      <sheetName val="CFForecast_detail6"/>
      <sheetName val="Service_Function6"/>
      <sheetName val="Basic_Rate6"/>
      <sheetName val="INFLUENCES_ON_GM6"/>
      <sheetName val="Load_Details(B2)6"/>
      <sheetName val="BS_-_L+OE6"/>
      <sheetName val="Sheet3_(2)3"/>
      <sheetName val="Bill_13"/>
      <sheetName val="Bill_23"/>
      <sheetName val="Bill_33"/>
      <sheetName val="Bill_43"/>
      <sheetName val="Bill_53"/>
      <sheetName val="Bill_63"/>
      <sheetName val="Bill_73"/>
      <sheetName val="소상_&quot;1&quot;3"/>
      <sheetName val="Cost_Basis3"/>
      <sheetName val="beam-reinft-IIInd_floor6"/>
      <sheetName val="CPT_POST_UPLOAD3"/>
      <sheetName val="KQ_Cost_Controlling3"/>
      <sheetName val="KQ_Appropriation3"/>
      <sheetName val="TBAL9697__grotp_wise_277"/>
      <sheetName val="TBAL9697__grotp_wis33"/>
      <sheetName val="class_&amp;_category3"/>
      <sheetName val="code_Control_Sheet3"/>
      <sheetName val="2_civil-RA3"/>
      <sheetName val="fa-pl_&amp;_myy_x005f_x000b__3"/>
      <sheetName val="SCHEDULE_OF_RATES2"/>
      <sheetName val="Mat_Cost3"/>
      <sheetName val="Invested_capital_VDF2"/>
      <sheetName val="PV_of_Op_Leases_VDF2"/>
      <sheetName val="BOQ_Distribution6"/>
      <sheetName val="TBAL9697__x000a_grotp_wis32"/>
      <sheetName val="TBAL9697__x007"/>
      <sheetName val="CORPN_O_x00006"/>
      <sheetName val="GR_slab-reinft6"/>
      <sheetName val="Indirect_expenses6"/>
      <sheetName val="Sheet_26"/>
      <sheetName val="Risk_Assmnt6"/>
      <sheetName val="AoR_Finishing6"/>
      <sheetName val="Cost_Index3"/>
      <sheetName val="BEAM_SCH2"/>
      <sheetName val="SLAB__SCH_2"/>
      <sheetName val="Beam_at_Ground_flr_lvl(Steel)2"/>
      <sheetName val="Main_Assump_2"/>
      <sheetName val="P_&amp;_M6"/>
      <sheetName val="MS_Items6"/>
      <sheetName val="Input_&amp;_Calculations2"/>
      <sheetName val="PA-_Consutant_2"/>
      <sheetName val="TBAL9697__grotp_wis34"/>
      <sheetName val="DDETABLE_6"/>
      <sheetName val="TAX_INCOME3"/>
      <sheetName val="Depart_Budget3"/>
      <sheetName val="CC_June3"/>
      <sheetName val="Detail_P&amp;L3"/>
      <sheetName val="Assumption_Sheet2"/>
      <sheetName val="New_Construction2"/>
      <sheetName val="Layer_Table2"/>
      <sheetName val="Bill_1-BOQ-Civil_Works2"/>
      <sheetName val="Customize_Your_Invoice2"/>
      <sheetName val="CIVIL_BOQ_(Final)2"/>
      <sheetName val="Loan_Amortization_Schedule2"/>
      <sheetName val="Bill-5_22"/>
      <sheetName val="Bill-9_12"/>
      <sheetName val="Bill-6_1_1-6_1_32"/>
      <sheetName val="Basic_rate_summary2"/>
      <sheetName val="Basic_rate_calculations2"/>
      <sheetName val="organi_synthesis_lab2"/>
      <sheetName val="Rates_7-202"/>
      <sheetName val="Boq_(Main_Building)2"/>
      <sheetName val="CORPN_O_x005f_x005f_x005f_x005f_x005f_x005f_x0052"/>
      <sheetName val="Overall_Summary2"/>
      <sheetName val="Summary_CFA_total_-_CP1_&amp;_CP22"/>
      <sheetName val="TBAL9697__grotp_wise_293"/>
      <sheetName val="TBAL9697__grotp_wise_283"/>
      <sheetName val="TBAL9697__grotp_wise_303"/>
      <sheetName val="S-MMS_without_TFA2"/>
      <sheetName val="Labor_Rates2"/>
      <sheetName val="Capex_Estimates2"/>
      <sheetName val="General_Assumptions2"/>
      <sheetName val="Sqn-Abs(G+6)_2"/>
      <sheetName val="WO-Abs_(G+2)_6_DUs2"/>
      <sheetName val="Air-Abs(G+6)_23_DUs2"/>
      <sheetName val="5__EA2"/>
      <sheetName val="GUT_(2)2"/>
      <sheetName val="MB_Prod2"/>
      <sheetName val="Key_Ass2"/>
      <sheetName val="bs_BP_04_SA2"/>
      <sheetName val="Col_up_to_plinth2"/>
      <sheetName val="int__pla_2"/>
      <sheetName val="R_MTL2"/>
      <sheetName val="RA_Bill_summary_til_Apr192"/>
      <sheetName val="APTIDCO_CV_A_SCOPE2"/>
      <sheetName val="Manpower_Histogram2"/>
      <sheetName val="TBAL9697__grotp_wis113"/>
      <sheetName val="TBAL9697__grotp_wis210"/>
      <sheetName val="TBAL9697__grotp_wis35"/>
      <sheetName val="TBAL9697__grotp_wis43"/>
      <sheetName val="TBAL9697__grotp_wis53"/>
      <sheetName val="TBAL9697__grotp_wis62"/>
      <sheetName val="TBAL9697__grotp_wis72"/>
      <sheetName val="TBAL9697__grotp_wis82"/>
      <sheetName val="TBAL9697__grotp_wis142"/>
      <sheetName val="TBAL9697__grotp_wis102"/>
      <sheetName val="TBAL9697__grotp_wis92"/>
      <sheetName val="TBAL9697__grotp_wis114"/>
      <sheetName val="TBAL9697__grotp_wis122"/>
      <sheetName val="TBAL9697__grotp_wis132"/>
      <sheetName val="TBAL9697__grotp_wis202"/>
      <sheetName val="TBAL9697__grotp_wis152"/>
      <sheetName val="TBAL9697__grotp_wis162"/>
      <sheetName val="TBAL9697__grotp_wis172"/>
      <sheetName val="TBAL9697__grotp_wis182"/>
      <sheetName val="TBAL9697__grotp_wis192"/>
      <sheetName val="TBAL9697__grotp_wis213"/>
      <sheetName val="TBAL9697__grotp_wis222"/>
      <sheetName val="TBAL9697__grotp_wis232"/>
      <sheetName val="TBAL9697__grotp_wis242"/>
      <sheetName val="TBAL9697__grotp_wis252"/>
      <sheetName val="Item-_Compact2"/>
      <sheetName val="PB_WORK2"/>
      <sheetName val="Detailed_Summary_(4)2"/>
      <sheetName val="Basement_Budget2"/>
      <sheetName val="TBAL9697__grotp_wis36"/>
      <sheetName val="TB9798OBPL06_(2)69"/>
      <sheetName val="CORPN_OCT69"/>
      <sheetName val="inout_consol-nov69"/>
      <sheetName val="inout_consol_(2)69"/>
      <sheetName val="AS_ON_DT_EXPS_Mar69"/>
      <sheetName val="fa-pl_&amp;_mach-site69"/>
      <sheetName val="fa_off_eqp69"/>
      <sheetName val="fa_fur&amp;_fix69"/>
      <sheetName val="fa-pl_&amp;_mach-Off69"/>
      <sheetName val="B_Equity-sdpl_INC69"/>
      <sheetName val="inout_consol_wkg69"/>
      <sheetName val="inout_consol_WKNG69"/>
      <sheetName val="B_Sheet_9769"/>
      <sheetName val="P&amp;L_97_69"/>
      <sheetName val="B_Sheet_97-BEXP69"/>
      <sheetName val="P&amp;L_97_-BEXP69"/>
      <sheetName val="consol_flows69"/>
      <sheetName val="sdpl_oth_Liab69"/>
      <sheetName val="obpl-oth_liab69"/>
      <sheetName val="G_land_advance69"/>
      <sheetName val="I-Wip-ot_(2)69"/>
      <sheetName val="detail_WIP_(2)69"/>
      <sheetName val="detail_G-169"/>
      <sheetName val="sobha_menon_ac69"/>
      <sheetName val="pnc_ac69"/>
      <sheetName val="fix_-p_&amp;_M_-SCC69"/>
      <sheetName val="C_fix_asst69"/>
      <sheetName val="D_fix_asst_scdl_69"/>
      <sheetName val="creditors_tb_obpl69"/>
      <sheetName val="TBAL9697_-group_wise__sdpl79"/>
      <sheetName val="TBAL9697_-group_wise_69"/>
      <sheetName val="crs_-G-169"/>
      <sheetName val="TBAL9697_-group_wise__onpl69"/>
      <sheetName val="B_Sheet_97-OBPL69"/>
      <sheetName val="B_Sheet_97_sdpl69"/>
      <sheetName val="TBAL9697_-group_wise__sdpl269"/>
      <sheetName val="inout_consol_jan69"/>
      <sheetName val="consol_flow69"/>
      <sheetName val="D_Loan__Prom69"/>
      <sheetName val="E_Bank_Loan69"/>
      <sheetName val="G_work_Cap69"/>
      <sheetName val="H_land_adv-dec69"/>
      <sheetName val="J_Con_WIP69"/>
      <sheetName val="detail_J69"/>
      <sheetName val="L_Oth_Co69"/>
      <sheetName val="K_fix_asst__69"/>
      <sheetName val="C_fix_asst-SDPL_69"/>
      <sheetName val="TBAL9697__group_wise__sdpl69"/>
      <sheetName val="inout_consol_okg69"/>
      <sheetName val="detail_OIP_(2)69"/>
      <sheetName val="D_fix_ysst_scdl_69"/>
      <sheetName val="cre`itors_tb_obpl69"/>
      <sheetName val="3AL9697_-group_wise__onpl69"/>
      <sheetName val="3‰AL9697_-group_wise__onpl68"/>
      <sheetName val="L_Oth_Bo68"/>
      <sheetName val="Civil_Boq68"/>
      <sheetName val="Staff_Acco_68"/>
      <sheetName val="SITE_OVERHEADS68"/>
      <sheetName val="PRECAST_lightconc-II66"/>
      <sheetName val="3�AL9697_-group_wise__onpl68"/>
      <sheetName val="Cashflow_projection65"/>
      <sheetName val="Boq_Block_A68"/>
      <sheetName val="1__PayRec65"/>
      <sheetName val="Project-Material_68"/>
      <sheetName val="SPT_vs_PHI65"/>
      <sheetName val="key_dates65"/>
      <sheetName val="_bpl,oth_lia_65"/>
      <sheetName val="G_,and_adv_nce65"/>
      <sheetName val="I,Wip-ot__2)65"/>
      <sheetName val="det!il_WIP_(2)65"/>
      <sheetName val="de4ail_G-165"/>
      <sheetName val="sobha_mennn_ac65"/>
      <sheetName val="C_&amp;ix_asst65"/>
      <sheetName val="_x005f_x0003_dpl_oth_Lia`65"/>
      <sheetName val="TBAL9697__x005f_x000d_grotp_wise_65"/>
      <sheetName val="St_co_91_5lvl65"/>
      <sheetName val="ino4t_conso,-nov65"/>
      <sheetName val="(nout_co,sol_(2)65"/>
      <sheetName val="Blr_hire65"/>
      <sheetName val="INPUT_SHEET65"/>
      <sheetName val="Stress_Calculation65"/>
      <sheetName val="CORPN_O65"/>
      <sheetName val="CORPN_O_T63"/>
      <sheetName val="DG_65"/>
      <sheetName val="CORPN_O?T65"/>
      <sheetName val="TBAL9697__x000a_grotp_wise_65"/>
      <sheetName val="Labor_abs-NMR65"/>
      <sheetName val="Sun_E_Type65"/>
      <sheetName val="Fin_Sum65"/>
      <sheetName val="CORPN_O_x005f_x0000_T65"/>
      <sheetName val="SUPPLY_-Sanitary_Fixtures65"/>
      <sheetName val="ITEMS_FOR_CIVIL_TENDER65"/>
      <sheetName val="labour_coeff63"/>
      <sheetName val="Shuttering_Analysis63"/>
      <sheetName val="General_P+M63"/>
      <sheetName val="Curing_Analysis_63"/>
      <sheetName val="Concrete_P+M_(_RMC_)63"/>
      <sheetName val="P+M_(_SMC_)63"/>
      <sheetName val="P+M_-EW63"/>
      <sheetName val="Quote_Sheet63"/>
      <sheetName val="d-safe_DELUXE63"/>
      <sheetName val="DLC_lookups63"/>
      <sheetName val="Works_-_Quote_Sheet63"/>
      <sheetName val="IO_LIST63"/>
      <sheetName val="_x005f_x005f_x005f_x0003_dpl_oth_Lia`65"/>
      <sheetName val="TBAL9697__x005f_x005f_x005f_x000d_grotp_w65"/>
      <sheetName val="TBAL9697__x005f_x000d_grotp_wis63"/>
      <sheetName val="TBAL9697__grotp_wise_159"/>
      <sheetName val="P&amp;L_-_AD63"/>
      <sheetName val="Fin__Assumpt__-_Sensitivities63"/>
      <sheetName val="LOAD_SHEET_63"/>
      <sheetName val="Fill_this_out_first___63"/>
      <sheetName val="Labour_productivity63"/>
      <sheetName val="RCC,Ret__Wall63"/>
      <sheetName val="Area_&amp;_Cate__Master63"/>
      <sheetName val="TBAL9697__x005f_x000a_grotp_wise_63"/>
      <sheetName val="TBAL9697__grotp_wise_160"/>
      <sheetName val="Bill_No_563"/>
      <sheetName val="11B_63"/>
      <sheetName val="BOQ_(2)63"/>
      <sheetName val="Driveway_Beams63"/>
      <sheetName val="Detail_1A63"/>
      <sheetName val="Fee_Rate_Summary63"/>
      <sheetName val="Name_List63"/>
      <sheetName val="Structure_Bills_Qty63"/>
      <sheetName val="Break_Dw63"/>
      <sheetName val="Sheet_163"/>
      <sheetName val="3BPA00132-5-3_W_plan_HVPNL63"/>
      <sheetName val="Mix_Design63"/>
      <sheetName val="CORPN_O_x005f_x005f_x005f_x0000_T63"/>
      <sheetName val="220_11__BS_63"/>
      <sheetName val="Cat_A_Change_Control63"/>
      <sheetName val="Break_up_Sheet63"/>
      <sheetName val="Summary_of_P_&amp;_M63"/>
      <sheetName val="FITZ_MORT_9463"/>
      <sheetName val="ISO_Reconcilation_Statment63"/>
      <sheetName val="AVG_pur_rate63"/>
      <sheetName val="tie_beam16"/>
      <sheetName val="LIST_OF_MAKES63"/>
      <sheetName val="Civil_Works63"/>
      <sheetName val="BLOCK-A_(MEA_SHEET)63"/>
      <sheetName val="Form_663"/>
      <sheetName val="acevsSp_(ABC)63"/>
      <sheetName val="A_O_R_63"/>
      <sheetName val="NLD_-_Assum63"/>
      <sheetName val="Section_Catalogue63"/>
      <sheetName val="Cash_Flow_Input_Data_ISC35"/>
      <sheetName val="Legal_Risk_Analysis33"/>
      <sheetName val="Intro_63"/>
      <sheetName val="TBAL9697__x005f_x005f_x005f_x005f_x005f_x005f_x35"/>
      <sheetName val="DETAILED__BOQ33"/>
      <sheetName val="Assumption_Inputs63"/>
      <sheetName val="CABLE_DATA33"/>
      <sheetName val="Tender_Summary16"/>
      <sheetName val="Excess_Calc8"/>
      <sheetName val="Site_Dev_BOQ9"/>
      <sheetName val="PO_Payroll8"/>
      <sheetName val="Mat_-Rates33"/>
      <sheetName val="Deduction_of_assets12"/>
      <sheetName val="TBAL9697__grotp_wise_169"/>
      <sheetName val="TBAL9697__grotp_wise_170"/>
      <sheetName val="BOQ_8"/>
      <sheetName val="Detail_In_Door_Stad8"/>
      <sheetName val="INDIGINEOUS_ITEMS_16"/>
      <sheetName val="COP_Final8"/>
      <sheetName val="Elect_9"/>
      <sheetName val="TBAL9697__grotp_wise_230"/>
      <sheetName val="TBAL9697__grotp_wise_418"/>
      <sheetName val="TBAL9697__grotp_wise_318"/>
      <sheetName val="TBAL9697__grotp_wise_516"/>
      <sheetName val="TBAL9697__grotp_wise_614"/>
      <sheetName val="TBAL9697__grotp_wise_713"/>
      <sheetName val="TBAL9697__grotp_wise_813"/>
      <sheetName val="TBAL9697__grotp_wise_913"/>
      <sheetName val="TBAL9697__grotp_wise_1013"/>
      <sheetName val="TBAL9697__grotp_wise_1610"/>
      <sheetName val="TBAL9697__grotp_wise_1212"/>
      <sheetName val="TBAL9697__grotp_wise_1113"/>
      <sheetName val="TBAL9697__grotp_wise_1312"/>
      <sheetName val="TBAL9697__grotp_wise_1411"/>
      <sheetName val="TBAL9697__grotp_wise_1510"/>
      <sheetName val="TBAL9697__grotp_wise_2211"/>
      <sheetName val="TBAL9697__grotp_wise_179"/>
      <sheetName val="TBAL9697__grotp_wise_189"/>
      <sheetName val="TBAL9697__grotp_wise_199"/>
      <sheetName val="TBAL9697__grotp_wise_209"/>
      <sheetName val="TBAL9697__grotp_wise_2113"/>
      <sheetName val="TBAL9697__grotp_wise_239"/>
      <sheetName val="TBAL9697__grotp_wise_249"/>
      <sheetName val="CORPN_O_x005f_x005f_x005f_x005f_x005f_x005f_x0008"/>
      <sheetName val="TBAL9697__x005f_x005f_x005f_x000a_grotp_wi8"/>
      <sheetName val="Cost_summary8"/>
      <sheetName val="final_abstract8"/>
      <sheetName val="SPILL_OVER8"/>
      <sheetName val="Pacakges_split8"/>
      <sheetName val="Data_sheet8"/>
      <sheetName val="Per_Unit8"/>
      <sheetName val="Gen_Info8"/>
      <sheetName val="Meas_-Hotel_Part8"/>
      <sheetName val="Main_Gate_House8"/>
      <sheetName val="General_input8"/>
      <sheetName val="6_058"/>
      <sheetName val="Abstract_Sheet8"/>
      <sheetName val="Boq-_Civil8"/>
      <sheetName val="AutoOpen_Stub_Data8"/>
      <sheetName val="BASIC_RATES8"/>
      <sheetName val="TBAL9697__x005f_x005f_x009"/>
      <sheetName val="Lintel_Beam_104_70_(GF)__8"/>
      <sheetName val="Debits_as_on_12_04_088"/>
      <sheetName val="Labor_abs-PW8"/>
      <sheetName val="Material_8"/>
      <sheetName val="Extra_Item8"/>
      <sheetName val="Labour_&amp;_Plant8"/>
      <sheetName val="CORPN_O_x005f_x005f_x00008"/>
      <sheetName val="TBAL9697__x005f_x000a_grotp_wis8"/>
      <sheetName val="Contract_Night_Staff8"/>
      <sheetName val="Contract_Day_Staff8"/>
      <sheetName val="Day_Shift8"/>
      <sheetName val="Night_Shift8"/>
      <sheetName val="TBAL9697__grotp_wise_259"/>
      <sheetName val="TBAL9697__grotp_wise_269"/>
      <sheetName val="Base_Assumptions8"/>
      <sheetName val="_COP_100%8"/>
      <sheetName val="_8"/>
      <sheetName val="lineby_line_consolidation8"/>
      <sheetName val="TBAL9697_-group_wise_sdpl8"/>
      <sheetName val="Bill_3_-_Site_Works7"/>
      <sheetName val="Rate_analysis7"/>
      <sheetName val="Approved_MTD_Proj_#'s7"/>
      <sheetName val="9__Package_split_-_Cost_7"/>
      <sheetName val="Project_Budget_Worksheet7"/>
      <sheetName val="CORPN_O_x005f_x005f_x005f7"/>
      <sheetName val="Area_Statement8"/>
      <sheetName val="Risk_Analysis8"/>
      <sheetName val="CORPN_O_x005f8"/>
      <sheetName val="Material_Rate7"/>
      <sheetName val="Rate_Analysis_7"/>
      <sheetName val="appendix_2_5_final_accounts7"/>
      <sheetName val="CFForecast_detail7"/>
      <sheetName val="소상_&quot;1&quot;4"/>
      <sheetName val="Material_List_7"/>
      <sheetName val="Basic_Rate7"/>
      <sheetName val="INFLUENCES_ON_GM7"/>
      <sheetName val="Load_Details(B2)7"/>
      <sheetName val="KQ_Cost_Controlling4"/>
      <sheetName val="KQ_Appropriation4"/>
      <sheetName val="CPT_POST_UPLOAD4"/>
      <sheetName val="indices_4"/>
      <sheetName val="Cost_Basis4"/>
      <sheetName val="BS_-_L+OE7"/>
      <sheetName val="beam-reinft-IIInd_floor7"/>
      <sheetName val="SITE_DEVELOPMENT7"/>
      <sheetName val="Building_17"/>
      <sheetName val="Lead_(Final)7"/>
      <sheetName val="PB_WORK3"/>
      <sheetName val="TBAL9697__x008"/>
      <sheetName val="CORPN_O_x00007"/>
      <sheetName val="TBAL9697__x000a_grotp_wis33"/>
      <sheetName val="2_civil-RA4"/>
      <sheetName val="schedule_nos7"/>
      <sheetName val="TBAL9697__grotp_wise_294"/>
      <sheetName val="TBAL9697__grotp_wise_284"/>
      <sheetName val="TBAL9697__grotp_wise_278"/>
      <sheetName val="TBAL9697__grotp_wise_304"/>
      <sheetName val="TBAL9697__grotp_wis37"/>
      <sheetName val="TBAL9697__grotp_wis38"/>
      <sheetName val="Customize_Your_Purchase_Order7"/>
      <sheetName val="fa-pl_&amp;_myy_x005f_x000b__x005f_x000b__x07"/>
      <sheetName val="P_&amp;_M7"/>
      <sheetName val="MS_Items7"/>
      <sheetName val="DDETABLE_7"/>
      <sheetName val="Detail_P&amp;L4"/>
      <sheetName val="Assumption_Sheet3"/>
      <sheetName val="Pile_cap4"/>
      <sheetName val="M_S_4"/>
      <sheetName val="TAX_INCOME4"/>
      <sheetName val="Depart_Budget4"/>
      <sheetName val="CC_June4"/>
      <sheetName val="Sheet3_(2)4"/>
      <sheetName val="Bill_14"/>
      <sheetName val="Bill_24"/>
      <sheetName val="Bill_34"/>
      <sheetName val="Bill_44"/>
      <sheetName val="Bill_54"/>
      <sheetName val="Bill_64"/>
      <sheetName val="Bill_74"/>
      <sheetName val="Service_Function7"/>
      <sheetName val="SCHEDULE_OF_RATES3"/>
      <sheetName val="class_&amp;_category4"/>
      <sheetName val="code_Control_Sheet4"/>
      <sheetName val="Mat_Cost4"/>
      <sheetName val="Invested_capital_VDF3"/>
      <sheetName val="PV_of_Op_Leases_VDF3"/>
      <sheetName val="BOQ_Distribution7"/>
      <sheetName val="GR_slab-reinft7"/>
      <sheetName val="Indirect_expenses7"/>
      <sheetName val="Sheet_27"/>
      <sheetName val="Risk_Assmnt7"/>
      <sheetName val="AoR_Finishing7"/>
      <sheetName val="fa-pl_&amp;_myy_x005f_x000b__4"/>
      <sheetName val="Layer_Table3"/>
      <sheetName val="New_Construction3"/>
      <sheetName val="Cost_Index4"/>
      <sheetName val="BEAM_SCH3"/>
      <sheetName val="SLAB__SCH_3"/>
      <sheetName val="Beam_at_Ground_flr_lvl(Steel)3"/>
      <sheetName val="Main_Assump_3"/>
      <sheetName val="Input_&amp;_Calculations3"/>
      <sheetName val="PA-_Consutant_3"/>
      <sheetName val="Bill_1-BOQ-Civil_Works3"/>
      <sheetName val="Customize_Your_Invoice3"/>
      <sheetName val="CIVIL_BOQ_(Final)3"/>
      <sheetName val="Loan_Amortization_Schedule3"/>
      <sheetName val="Bill-5_23"/>
      <sheetName val="Bill-9_13"/>
      <sheetName val="Bill-6_1_1-6_1_33"/>
      <sheetName val="Basic_rate_summary3"/>
      <sheetName val="Basic_rate_calculations3"/>
      <sheetName val="organi_synthesis_lab3"/>
      <sheetName val="Rates_7-203"/>
      <sheetName val="Boq_(Main_Building)3"/>
      <sheetName val="CORPN_O_x005f_x005f_x005f_x005f_x005f_x005f_x0053"/>
      <sheetName val="Overall_Summary3"/>
      <sheetName val="Summary_CFA_total_-_CP1_&amp;_CP23"/>
      <sheetName val="S-MMS_without_TFA3"/>
      <sheetName val="Labor_Rates3"/>
      <sheetName val="Capex_Estimates3"/>
      <sheetName val="General_Assumptions3"/>
      <sheetName val="Sqn-Abs(G+6)_3"/>
      <sheetName val="WO-Abs_(G+2)_6_DUs3"/>
      <sheetName val="Air-Abs(G+6)_23_DUs3"/>
      <sheetName val="5__EA3"/>
      <sheetName val="GUT_(2)3"/>
      <sheetName val="MB_Prod3"/>
      <sheetName val="Key_Ass3"/>
      <sheetName val="bs_BP_04_SA3"/>
      <sheetName val="Col_up_to_plinth3"/>
      <sheetName val="int__pla_3"/>
      <sheetName val="R_MTL3"/>
      <sheetName val="RA_Bill_summary_til_Apr193"/>
      <sheetName val="APTIDCO_CV_A_SCOPE3"/>
      <sheetName val="Manpower_Histogram3"/>
      <sheetName val="TBAL9697__grotp_wis115"/>
      <sheetName val="TBAL9697__grotp_wis214"/>
      <sheetName val="TBAL9697__grotp_wis39"/>
      <sheetName val="TBAL9697__grotp_wis44"/>
      <sheetName val="TBAL9697__grotp_wis54"/>
      <sheetName val="TBAL9697__grotp_wis63"/>
      <sheetName val="TBAL9697__grotp_wis73"/>
      <sheetName val="TBAL9697__grotp_wis83"/>
      <sheetName val="TBAL9697__grotp_wis143"/>
      <sheetName val="TBAL9697__grotp_wis103"/>
      <sheetName val="TBAL9697__grotp_wis93"/>
      <sheetName val="TBAL9697__grotp_wis116"/>
      <sheetName val="TBAL9697__grotp_wis123"/>
      <sheetName val="TBAL9697__grotp_wis133"/>
      <sheetName val="TBAL9697__grotp_wis203"/>
      <sheetName val="TBAL9697__grotp_wis153"/>
      <sheetName val="TBAL9697__grotp_wis163"/>
      <sheetName val="TBAL9697__grotp_wis173"/>
      <sheetName val="TBAL9697__grotp_wis183"/>
      <sheetName val="TBAL9697__grotp_wis193"/>
      <sheetName val="TBAL9697__grotp_wis215"/>
      <sheetName val="TBAL9697__grotp_wis223"/>
      <sheetName val="TBAL9697__grotp_wis233"/>
      <sheetName val="TBAL9697__grotp_wis243"/>
      <sheetName val="TBAL9697__grotp_wis253"/>
      <sheetName val="Item-_Compact3"/>
      <sheetName val="Detailed_Summary_(4)3"/>
      <sheetName val="Basement_Budget3"/>
      <sheetName val="TBAL9697__grotp_wis40"/>
      <sheetName val="Dropdown list"/>
      <sheetName val="Tower1"/>
      <sheetName val="Measurment"/>
      <sheetName val="labour rates"/>
      <sheetName val="Civil_(RA)__Resi_"/>
      <sheetName val="Bed_Class"/>
      <sheetName val="GM_0001"/>
      <sheetName val="Table_4"/>
      <sheetName val="Table_5"/>
      <sheetName val="Table_2"/>
      <sheetName val="Table_27"/>
      <sheetName val="labour_rates"/>
      <sheetName val="A_O_R_r1"/>
      <sheetName val="A_O_R_r1Str"/>
      <sheetName val="Order_Info"/>
      <sheetName val="1st_-vpd"/>
      <sheetName val="Input_Data"/>
      <sheetName val="MLCP_Connection_Details"/>
      <sheetName val="MERGED_CODES_&amp;_NAMES"/>
      <sheetName val="INPUT_(BPL)"/>
      <sheetName val="Break_Up_(bc)"/>
      <sheetName val="Break_Up_(bc1)"/>
      <sheetName val="Break_Up_(bc2)"/>
      <sheetName val="Combined_Results_"/>
      <sheetName val="Loan_Schedule"/>
      <sheetName val="Story Drift-Part 2"/>
      <sheetName val="Ring Details"/>
      <sheetName val="Reference Data"/>
      <sheetName val="DWTable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Design sheet"/>
      <sheetName val="TBAL9697__x005f_x005f_x26"/>
      <sheetName val="TBAL9697__x005f_x005f_x27"/>
      <sheetName val="TBAL9697__x005f_x000a_grotp_wi2"/>
      <sheetName val="CORPN_O_x005f_x005f_x0002"/>
      <sheetName val="LB020A(月)"/>
      <sheetName val="Chennai"/>
      <sheetName val="Intake"/>
      <sheetName val="N-Amritsar 135"/>
      <sheetName val="M.R.List (2)"/>
      <sheetName val="Old"/>
      <sheetName val="Operating Statistics"/>
      <sheetName val="REL"/>
      <sheetName val="Code"/>
      <sheetName val="Opening"/>
      <sheetName val="bending stress"/>
      <sheetName val="DP"/>
      <sheetName val="Cash Flow Working"/>
      <sheetName val="SOA"/>
      <sheetName val="Podium Areas"/>
      <sheetName val="L4-L15"/>
      <sheetName val="8. Cover"/>
      <sheetName val="TBAL9697__x000d_grotp_w29"/>
      <sheetName val="TBAL9697__x000d_grotp_w28"/>
      <sheetName val="TBAL9697__x000d_grotp_w27"/>
      <sheetName val="TBAL9697__x000d_grotp_w30"/>
      <sheetName val="fa-pl &amp; myy_x000b__"/>
      <sheetName val="BM-HOOP"/>
      <sheetName val=" Tank"/>
      <sheetName val="spare parts"/>
      <sheetName val="CLEAN SHEET COST FOR cPVC PIPE"/>
      <sheetName val="Data 1"/>
      <sheetName val="Rates Basic"/>
      <sheetName val="BWSCPlt"/>
      <sheetName val="DI"/>
      <sheetName val="G.R.P"/>
      <sheetName val="HDPE"/>
      <sheetName val="PSC REVISED"/>
      <sheetName val="pvc"/>
      <sheetName val="beam-reinft-machine rm"/>
      <sheetName val="F4.13"/>
      <sheetName val="Beam-design exp"/>
      <sheetName val="WORK TABLE"/>
      <sheetName val="pri-com"/>
      <sheetName val="BOQELECT"/>
      <sheetName val="starter"/>
      <sheetName val="Materials Cost(PCC)"/>
      <sheetName val="Casecompannual"/>
      <sheetName val="PROG_DATA"/>
      <sheetName val="PANEL ANNEXURE"/>
      <sheetName val="WBS"/>
      <sheetName val="PLAN_FEB97"/>
      <sheetName val="activit-graph  "/>
      <sheetName val="Table-2 (Rate Comparison)"/>
      <sheetName val="RCC Rates"/>
      <sheetName val="Column all floor R1"/>
      <sheetName val="Reference"/>
      <sheetName val="Triggers"/>
      <sheetName val="Cabinet details"/>
      <sheetName val="Tools Rev"/>
      <sheetName val="TBAL9697__x000d_grotp_wis27"/>
      <sheetName val="TBAL9697__x000d_grotp_wis28"/>
      <sheetName val="TBAL9697__x005f_x005f_x28"/>
      <sheetName val="TBAL9697__x005f_x000a_grotp_wi3"/>
      <sheetName val="CORPN_O_x005f_x005f_x0003"/>
      <sheetName val="CORPN_O_x0000_T31"/>
      <sheetName val="TBAL9697__x005f_x000d_grotp_w31"/>
      <sheetName val="TBAL9697__x000d_grotp_wis29"/>
      <sheetName val="TBAL9697__x005f_x005f_x29"/>
      <sheetName val="TBAL9697__x005f_x000a_grotp_wi4"/>
      <sheetName val="CORPN_O_x005f_x005f_x0004"/>
      <sheetName val="Balance Sheet "/>
      <sheetName val="cost centre"/>
      <sheetName val="CC_flatfile"/>
      <sheetName val="INPUT_SHEET_-_A2"/>
      <sheetName val="INPUT SHEET - A"/>
      <sheetName val="Default Values"/>
      <sheetName val="CASH CONTRACTS"/>
      <sheetName val="Qty SR"/>
      <sheetName val=" IO List"/>
      <sheetName val="Sensitivity"/>
      <sheetName val="PARAMETRES"/>
      <sheetName val="Parel"/>
      <sheetName val="TB9798OBPL06_(2)70"/>
      <sheetName val="CORPN_OCT70"/>
      <sheetName val="inout_consol-nov70"/>
      <sheetName val="inout_consol_(2)70"/>
      <sheetName val="AS_ON_DT_EXPS_Mar70"/>
      <sheetName val="fa-pl_&amp;_mach-site70"/>
      <sheetName val="fa_off_eqp70"/>
      <sheetName val="fa_fur&amp;_fix70"/>
      <sheetName val="fa-pl_&amp;_mach-Off70"/>
      <sheetName val="B_Equity-sdpl_INC70"/>
      <sheetName val="inout_consol_wkg70"/>
      <sheetName val="inout_consol_WKNG70"/>
      <sheetName val="B_Sheet_9770"/>
      <sheetName val="P&amp;L_97_70"/>
      <sheetName val="B_Sheet_97-BEXP70"/>
      <sheetName val="P&amp;L_97_-BEXP70"/>
      <sheetName val="consol_flows70"/>
      <sheetName val="sdpl_oth_Liab70"/>
      <sheetName val="obpl-oth_liab70"/>
      <sheetName val="G_land_advance70"/>
      <sheetName val="I-Wip-ot_(2)70"/>
      <sheetName val="detail_WIP_(2)70"/>
      <sheetName val="detail_G-170"/>
      <sheetName val="sobha_menon_ac70"/>
      <sheetName val="pnc_ac70"/>
      <sheetName val="fix_-p_&amp;_M_-SCC70"/>
      <sheetName val="C_fix_asst70"/>
      <sheetName val="D_fix_asst_scdl_70"/>
      <sheetName val="creditors_tb_obpl70"/>
      <sheetName val="TBAL9697_-group_wise__sdpl80"/>
      <sheetName val="TBAL9697_-group_wise_70"/>
      <sheetName val="crs_-G-170"/>
      <sheetName val="TBAL9697_-group_wise__onpl70"/>
      <sheetName val="B_Sheet_97-OBPL70"/>
      <sheetName val="B_Sheet_97_sdpl70"/>
      <sheetName val="TBAL9697_-group_wise__sdpl270"/>
      <sheetName val="inout_consol_jan70"/>
      <sheetName val="consol_flow70"/>
      <sheetName val="D_Loan__Prom70"/>
      <sheetName val="E_Bank_Loan70"/>
      <sheetName val="G_work_Cap70"/>
      <sheetName val="H_land_adv-dec70"/>
      <sheetName val="J_Con_WIP70"/>
      <sheetName val="detail_J70"/>
      <sheetName val="L_Oth_Co70"/>
      <sheetName val="K_fix_asst__70"/>
      <sheetName val="C_fix_asst-SDPL_70"/>
      <sheetName val="TBAL9697__group_wise__sdpl70"/>
      <sheetName val="inout_consol_okg70"/>
      <sheetName val="detail_OIP_(2)70"/>
      <sheetName val="D_fix_ysst_scdl_70"/>
      <sheetName val="cre`itors_tb_obpl70"/>
      <sheetName val="3AL9697_-group_wise__onpl70"/>
      <sheetName val="3‰AL9697_-group_wise__onpl69"/>
      <sheetName val="L_Oth_Bo69"/>
      <sheetName val="Civil_Boq69"/>
      <sheetName val="Staff_Acco_69"/>
      <sheetName val="SITE_OVERHEADS69"/>
      <sheetName val="PRECAST_lightconc-II67"/>
      <sheetName val="3�AL9697_-group_wise__onpl69"/>
      <sheetName val="Cashflow_projection66"/>
      <sheetName val="Boq_Block_A69"/>
      <sheetName val="1__PayRec66"/>
      <sheetName val="Project-Material_69"/>
      <sheetName val="SPT_vs_PHI66"/>
      <sheetName val="key_dates66"/>
      <sheetName val="_bpl,oth_lia_66"/>
      <sheetName val="G_,and_adv_nce66"/>
      <sheetName val="I,Wip-ot__2)66"/>
      <sheetName val="det!il_WIP_(2)66"/>
      <sheetName val="de4ail_G-166"/>
      <sheetName val="sobha_mennn_ac66"/>
      <sheetName val="C_&amp;ix_asst66"/>
      <sheetName val="_x005f_x0003_dpl_oth_Lia`66"/>
      <sheetName val="TBAL9697__x005f_x000d_grotp_wise_66"/>
      <sheetName val="St_co_91_5lvl66"/>
      <sheetName val="ino4t_conso,-nov66"/>
      <sheetName val="(nout_co,sol_(2)66"/>
      <sheetName val="Blr_hire66"/>
      <sheetName val="INPUT_SHEET66"/>
      <sheetName val="Stress_Calculation66"/>
      <sheetName val="CORPN_O66"/>
      <sheetName val="CORPN_O_T64"/>
      <sheetName val="DG_66"/>
      <sheetName val="CORPN_O?T66"/>
      <sheetName val="TBAL9697__x000a_grotp_wise_66"/>
      <sheetName val="Labor_abs-NMR66"/>
      <sheetName val="Sun_E_Type66"/>
      <sheetName val="Fin_Sum66"/>
      <sheetName val="CORPN_O_x005f_x0000_T66"/>
      <sheetName val="SUPPLY_-Sanitary_Fixtures66"/>
      <sheetName val="ITEMS_FOR_CIVIL_TENDER66"/>
      <sheetName val="labour_coeff64"/>
      <sheetName val="Shuttering_Analysis64"/>
      <sheetName val="General_P+M64"/>
      <sheetName val="Curing_Analysis_64"/>
      <sheetName val="Concrete_P+M_(_RMC_)64"/>
      <sheetName val="P+M_(_SMC_)64"/>
      <sheetName val="P+M_-EW64"/>
      <sheetName val="Quote_Sheet64"/>
      <sheetName val="d-safe_DELUXE64"/>
      <sheetName val="DLC_lookups64"/>
      <sheetName val="Works_-_Quote_Sheet64"/>
      <sheetName val="IO_LIST64"/>
      <sheetName val="_x005f_x005f_x005f_x0003_dpl_oth_Lia`66"/>
      <sheetName val="TBAL9697__x005f_x005f_x005f_x000d_grotp_w66"/>
      <sheetName val="TBAL9697__x005f_x000d_grotp_wis64"/>
      <sheetName val="TBAL9697__grotp_wise_180"/>
      <sheetName val="P&amp;L_-_AD64"/>
      <sheetName val="Fin__Assumpt__-_Sensitivities64"/>
      <sheetName val="LOAD_SHEET_64"/>
      <sheetName val="Fill_this_out_first___64"/>
      <sheetName val="Labour_productivity64"/>
      <sheetName val="RCC,Ret__Wall64"/>
      <sheetName val="Area_&amp;_Cate__Master64"/>
      <sheetName val="TBAL9697__x005f_x000a_grotp_wise_64"/>
      <sheetName val="TBAL9697__grotp_wise_190"/>
      <sheetName val="Bill_No_564"/>
      <sheetName val="11B_64"/>
      <sheetName val="BOQ_(2)64"/>
      <sheetName val="Driveway_Beams64"/>
      <sheetName val="Detail_1A64"/>
      <sheetName val="Fee_Rate_Summary64"/>
      <sheetName val="Name_List64"/>
      <sheetName val="Structure_Bills_Qty64"/>
      <sheetName val="Break_Dw64"/>
      <sheetName val="Sheet_164"/>
      <sheetName val="3BPA00132-5-3_W_plan_HVPNL64"/>
      <sheetName val="Mix_Design64"/>
      <sheetName val="CORPN_O_x005f_x005f_x005f_x0000_T64"/>
      <sheetName val="220_11__BS_64"/>
      <sheetName val="Cat_A_Change_Control64"/>
      <sheetName val="Break_up_Sheet64"/>
      <sheetName val="Summary_of_P_&amp;_M64"/>
      <sheetName val="FITZ_MORT_9464"/>
      <sheetName val="ISO_Reconcilation_Statment64"/>
      <sheetName val="AVG_pur_rate64"/>
      <sheetName val="tie_beam17"/>
      <sheetName val="LIST_OF_MAKES64"/>
      <sheetName val="Civil_Works64"/>
      <sheetName val="BLOCK-A_(MEA_SHEET)64"/>
      <sheetName val="Form_664"/>
      <sheetName val="acevsSp_(ABC)64"/>
      <sheetName val="A_O_R_64"/>
      <sheetName val="NLD_-_Assum64"/>
      <sheetName val="Section_Catalogue64"/>
      <sheetName val="Cash_Flow_Input_Data_ISC36"/>
      <sheetName val="Legal_Risk_Analysis34"/>
      <sheetName val="Intro_64"/>
      <sheetName val="TBAL9697__x005f_x005f_x005f_x005f_x005f_x005f_x36"/>
      <sheetName val="DETAILED__BOQ34"/>
      <sheetName val="Assumption_Inputs64"/>
      <sheetName val="CABLE_DATA34"/>
      <sheetName val="Tender_Summary17"/>
      <sheetName val="Excess_Calc9"/>
      <sheetName val="Site_Dev_BOQ10"/>
      <sheetName val="PO_Payroll9"/>
      <sheetName val="Mat_-Rates34"/>
      <sheetName val="Deduction_of_assets13"/>
      <sheetName val="TBAL9697__grotp_wise_200"/>
      <sheetName val="TBAL9697__grotp_wise_1100"/>
      <sheetName val="BOQ_9"/>
      <sheetName val="Detail_In_Door_Stad9"/>
      <sheetName val="INDIGINEOUS_ITEMS_17"/>
      <sheetName val="COP_Final9"/>
      <sheetName val="Elect_10"/>
      <sheetName val="TBAL9697__grotp_wise_240"/>
      <sheetName val="TBAL9697__grotp_wise_419"/>
      <sheetName val="TBAL9697__grotp_wise_319"/>
      <sheetName val="TBAL9697__grotp_wise_517"/>
      <sheetName val="TBAL9697__grotp_wise_615"/>
      <sheetName val="TBAL9697__grotp_wise_714"/>
      <sheetName val="TBAL9697__grotp_wise_814"/>
      <sheetName val="TBAL9697__grotp_wise_914"/>
      <sheetName val="TBAL9697__grotp_wise_1014"/>
      <sheetName val="TBAL9697__grotp_wise_1611"/>
      <sheetName val="TBAL9697__grotp_wise_1213"/>
      <sheetName val="TBAL9697__grotp_wise_1114"/>
      <sheetName val="TBAL9697__grotp_wise_1313"/>
      <sheetName val="TBAL9697__grotp_wise_1412"/>
      <sheetName val="TBAL9697__grotp_wise_1511"/>
      <sheetName val="TBAL9697__grotp_wise_2212"/>
      <sheetName val="TBAL9697__grotp_wise_1710"/>
      <sheetName val="TBAL9697__grotp_wise_1810"/>
      <sheetName val="TBAL9697__grotp_wise_1910"/>
      <sheetName val="TBAL9697__grotp_wise_2010"/>
      <sheetName val="TBAL9697__grotp_wise_2114"/>
      <sheetName val="TBAL9697__grotp_wise_2310"/>
      <sheetName val="TBAL9697__grotp_wise_2410"/>
      <sheetName val="CORPN_O_x005f_x005f_x005f_x005f_x005f_x005f_x0009"/>
      <sheetName val="TBAL9697__x005f_x005f_x005f_x000a_grotp_wi9"/>
      <sheetName val="Cost_summary9"/>
      <sheetName val="final_abstract9"/>
      <sheetName val="SPILL_OVER9"/>
      <sheetName val="Pacakges_split9"/>
      <sheetName val="Data_sheet9"/>
      <sheetName val="Per_Unit9"/>
      <sheetName val="Gen_Info9"/>
      <sheetName val="Meas_-Hotel_Part9"/>
      <sheetName val="Main_Gate_House9"/>
      <sheetName val="General_input9"/>
      <sheetName val="6_059"/>
      <sheetName val="Abstract_Sheet9"/>
      <sheetName val="Boq-_Civil9"/>
      <sheetName val="AutoOpen_Stub_Data9"/>
      <sheetName val="BASIC_RATES9"/>
      <sheetName val="TBAL9697__x005f_x005f_x0010"/>
      <sheetName val="Lintel_Beam_104_70_(GF)__9"/>
      <sheetName val="Debits_as_on_12_04_089"/>
      <sheetName val="Labor_abs-PW9"/>
      <sheetName val="Material_9"/>
      <sheetName val="Extra_Item9"/>
      <sheetName val="Labour_&amp;_Plant9"/>
      <sheetName val="CORPN_O_x005f_x005f_x00009"/>
      <sheetName val="TBAL9697__x005f_x000a_grotp_wis9"/>
      <sheetName val="Contract_Night_Staff9"/>
      <sheetName val="Contract_Day_Staff9"/>
      <sheetName val="Day_Shift9"/>
      <sheetName val="Night_Shift9"/>
      <sheetName val="TBAL9697__grotp_wise_2510"/>
      <sheetName val="TBAL9697__grotp_wise_2610"/>
      <sheetName val="Base_Assumptions9"/>
      <sheetName val="_COP_100%9"/>
      <sheetName val="_9"/>
      <sheetName val="lineby_line_consolidation9"/>
      <sheetName val="TBAL9697_-group_wise_sdpl9"/>
      <sheetName val="Bill_3_-_Site_Works8"/>
      <sheetName val="Rate_analysis8"/>
      <sheetName val="Approved_MTD_Proj_#'s8"/>
      <sheetName val="9__Package_split_-_Cost_8"/>
      <sheetName val="Project_Budget_Worksheet8"/>
      <sheetName val="CORPN_O_x005f_x005f_x005f8"/>
      <sheetName val="Area_Statement9"/>
      <sheetName val="Risk_Analysis9"/>
      <sheetName val="CORPN_O_x005f9"/>
      <sheetName val="Material_Rate8"/>
      <sheetName val="Rate_Analysis_8"/>
      <sheetName val="appendix_2_5_final_accounts8"/>
      <sheetName val="CFForecast_detail8"/>
      <sheetName val="소상_&quot;1&quot;5"/>
      <sheetName val="Material_List_8"/>
      <sheetName val="Basic_Rate8"/>
      <sheetName val="INFLUENCES_ON_GM8"/>
      <sheetName val="Load_Details(B2)8"/>
      <sheetName val="KQ_Cost_Controlling5"/>
      <sheetName val="KQ_Appropriation5"/>
      <sheetName val="CPT_POST_UPLOAD5"/>
      <sheetName val="indices_5"/>
      <sheetName val="Cost_Basis5"/>
      <sheetName val="BS_-_L+OE8"/>
      <sheetName val="beam-reinft-IIInd_floor8"/>
      <sheetName val="SITE_DEVELOPMENT8"/>
      <sheetName val="Building_18"/>
      <sheetName val="Lead_(Final)8"/>
      <sheetName val="PB_WORK4"/>
      <sheetName val="TBAL9697__x009"/>
      <sheetName val="CORPN_O_x00008"/>
      <sheetName val="TBAL9697__x000a_grotp_wis34"/>
      <sheetName val="2_civil-RA5"/>
      <sheetName val="schedule_nos8"/>
      <sheetName val="TBAL9697__grotp_wise_295"/>
      <sheetName val="TBAL9697__grotp_wise_285"/>
      <sheetName val="TBAL9697__grotp_wise_279"/>
      <sheetName val="TBAL9697__grotp_wise_305"/>
      <sheetName val="TBAL9697__grotp_wis45"/>
      <sheetName val="TBAL9697__grotp_wis46"/>
      <sheetName val="Customize_Your_Purchase_Order8"/>
      <sheetName val="fa-pl_&amp;_myy_x005f_x000b__x005f_x000b__x08"/>
      <sheetName val="P_&amp;_M8"/>
      <sheetName val="MS_Items8"/>
      <sheetName val="DDETABLE_8"/>
      <sheetName val="Detail_P&amp;L5"/>
      <sheetName val="Assumption_Sheet4"/>
      <sheetName val="Pile_cap5"/>
      <sheetName val="M_S_5"/>
      <sheetName val="TAX_INCOME5"/>
      <sheetName val="Depart_Budget5"/>
      <sheetName val="CC_June5"/>
      <sheetName val="Sheet3_(2)5"/>
      <sheetName val="Bill_15"/>
      <sheetName val="Bill_25"/>
      <sheetName val="Bill_35"/>
      <sheetName val="Bill_45"/>
      <sheetName val="Bill_55"/>
      <sheetName val="Bill_65"/>
      <sheetName val="Bill_75"/>
      <sheetName val="Service_Function8"/>
      <sheetName val="SCHEDULE_OF_RATES4"/>
      <sheetName val="class_&amp;_category5"/>
      <sheetName val="code_Control_Sheet5"/>
      <sheetName val="Mat_Cost5"/>
      <sheetName val="Invested_capital_VDF4"/>
      <sheetName val="PV_of_Op_Leases_VDF4"/>
      <sheetName val="BOQ_Distribution8"/>
      <sheetName val="GR_slab-reinft8"/>
      <sheetName val="Indirect_expenses8"/>
      <sheetName val="Sheet_28"/>
      <sheetName val="Risk_Assmnt8"/>
      <sheetName val="AoR_Finishing8"/>
      <sheetName val="fa-pl_&amp;_myy_x005f_x000b__5"/>
      <sheetName val="Layer_Table4"/>
      <sheetName val="New_Construction4"/>
      <sheetName val="Cost_Index5"/>
      <sheetName val="BEAM_SCH4"/>
      <sheetName val="SLAB__SCH_4"/>
      <sheetName val="Beam_at_Ground_flr_lvl(Steel)4"/>
      <sheetName val="Main_Assump_4"/>
      <sheetName val="Input_&amp;_Calculations4"/>
      <sheetName val="PA-_Consutant_4"/>
      <sheetName val="Bill_1-BOQ-Civil_Works4"/>
      <sheetName val="Customize_Your_Invoice4"/>
      <sheetName val="CIVIL_BOQ_(Final)4"/>
      <sheetName val="Loan_Amortization_Schedule4"/>
      <sheetName val="Bill-5_24"/>
      <sheetName val="Bill-9_14"/>
      <sheetName val="Bill-6_1_1-6_1_34"/>
      <sheetName val="Basic_rate_summary4"/>
      <sheetName val="Basic_rate_calculations4"/>
      <sheetName val="organi_synthesis_lab4"/>
      <sheetName val="Rates_7-204"/>
      <sheetName val="Boq_(Main_Building)4"/>
      <sheetName val="CORPN_O_x005f_x005f_x005f_x005f_x005f_x005f_x0054"/>
      <sheetName val="Overall_Summary4"/>
      <sheetName val="Summary_CFA_total_-_CP1_&amp;_CP24"/>
      <sheetName val="S-MMS_without_TFA4"/>
      <sheetName val="Labor_Rates4"/>
      <sheetName val="Capex_Estimates4"/>
      <sheetName val="General_Assumptions4"/>
      <sheetName val="Sqn-Abs(G+6)_4"/>
      <sheetName val="WO-Abs_(G+2)_6_DUs4"/>
      <sheetName val="Air-Abs(G+6)_23_DUs4"/>
      <sheetName val="5__EA4"/>
      <sheetName val="GUT_(2)4"/>
      <sheetName val="MB_Prod4"/>
      <sheetName val="Key_Ass4"/>
      <sheetName val="bs_BP_04_SA4"/>
      <sheetName val="Col_up_to_plinth4"/>
      <sheetName val="int__pla_4"/>
      <sheetName val="R_MTL4"/>
      <sheetName val="RA_Bill_summary_til_Apr194"/>
      <sheetName val="APTIDCO_CV_A_SCOPE4"/>
      <sheetName val="Manpower_Histogram4"/>
      <sheetName val="TBAL9697__grotp_wis117"/>
      <sheetName val="TBAL9697__grotp_wis216"/>
      <sheetName val="TBAL9697__grotp_wis310"/>
      <sheetName val="TBAL9697__grotp_wis47"/>
      <sheetName val="TBAL9697__grotp_wis55"/>
      <sheetName val="TBAL9697__grotp_wis64"/>
      <sheetName val="TBAL9697__grotp_wis74"/>
      <sheetName val="TBAL9697__grotp_wis84"/>
      <sheetName val="TBAL9697__grotp_wis144"/>
      <sheetName val="TBAL9697__grotp_wis104"/>
      <sheetName val="TBAL9697__grotp_wis94"/>
      <sheetName val="TBAL9697__grotp_wis118"/>
      <sheetName val="TBAL9697__grotp_wis124"/>
      <sheetName val="TBAL9697__grotp_wis134"/>
      <sheetName val="TBAL9697__grotp_wis204"/>
      <sheetName val="TBAL9697__grotp_wis154"/>
      <sheetName val="TBAL9697__grotp_wis164"/>
      <sheetName val="TBAL9697__grotp_wis174"/>
      <sheetName val="TBAL9697__grotp_wis184"/>
      <sheetName val="TBAL9697__grotp_wis194"/>
      <sheetName val="TBAL9697__grotp_wis217"/>
      <sheetName val="TBAL9697__grotp_wis224"/>
      <sheetName val="TBAL9697__grotp_wis234"/>
      <sheetName val="TBAL9697__grotp_wis244"/>
      <sheetName val="TBAL9697__grotp_wis254"/>
      <sheetName val="Item-_Compact4"/>
      <sheetName val="Detailed_Summary_(4)4"/>
      <sheetName val="Basement_Budget4"/>
      <sheetName val="TBAL9697__grotp_wis48"/>
      <sheetName val="TB9798OBPL06_(2)71"/>
      <sheetName val="CORPN_OCT71"/>
      <sheetName val="inout_consol-nov71"/>
      <sheetName val="inout_consol_(2)71"/>
      <sheetName val="AS_ON_DT_EXPS_Mar71"/>
      <sheetName val="fa-pl_&amp;_mach-site71"/>
      <sheetName val="fa_off_eqp71"/>
      <sheetName val="fa_fur&amp;_fix71"/>
      <sheetName val="fa-pl_&amp;_mach-Off71"/>
      <sheetName val="B_Equity-sdpl_INC71"/>
      <sheetName val="inout_consol_wkg71"/>
      <sheetName val="inout_consol_WKNG71"/>
      <sheetName val="B_Sheet_9771"/>
      <sheetName val="P&amp;L_97_71"/>
      <sheetName val="B_Sheet_97-BEXP71"/>
      <sheetName val="P&amp;L_97_-BEXP71"/>
      <sheetName val="consol_flows71"/>
      <sheetName val="sdpl_oth_Liab71"/>
      <sheetName val="obpl-oth_liab71"/>
      <sheetName val="G_land_advance71"/>
      <sheetName val="I-Wip-ot_(2)71"/>
      <sheetName val="detail_WIP_(2)71"/>
      <sheetName val="detail_G-171"/>
      <sheetName val="sobha_menon_ac71"/>
      <sheetName val="pnc_ac71"/>
      <sheetName val="fix_-p_&amp;_M_-SCC71"/>
      <sheetName val="C_fix_asst71"/>
      <sheetName val="D_fix_asst_scdl_71"/>
      <sheetName val="creditors_tb_obpl71"/>
      <sheetName val="TBAL9697_-group_wise__sdpl81"/>
      <sheetName val="TBAL9697_-group_wise_71"/>
      <sheetName val="crs_-G-171"/>
      <sheetName val="TBAL9697_-group_wise__onpl71"/>
      <sheetName val="B_Sheet_97-OBPL71"/>
      <sheetName val="B_Sheet_97_sdpl71"/>
      <sheetName val="TBAL9697_-group_wise__sdpl271"/>
      <sheetName val="inout_consol_jan71"/>
      <sheetName val="consol_flow71"/>
      <sheetName val="D_Loan__Prom71"/>
      <sheetName val="E_Bank_Loan71"/>
      <sheetName val="G_work_Cap71"/>
      <sheetName val="H_land_adv-dec71"/>
      <sheetName val="J_Con_WIP71"/>
      <sheetName val="detail_J71"/>
      <sheetName val="L_Oth_Co71"/>
      <sheetName val="K_fix_asst__71"/>
      <sheetName val="C_fix_asst-SDPL_71"/>
      <sheetName val="TBAL9697__group_wise__sdpl71"/>
      <sheetName val="inout_consol_okg71"/>
      <sheetName val="detail_OIP_(2)71"/>
      <sheetName val="D_fix_ysst_scdl_71"/>
      <sheetName val="cre`itors_tb_obpl71"/>
      <sheetName val="3AL9697_-group_wise__onpl71"/>
      <sheetName val="3‰AL9697_-group_wise__onpl70"/>
      <sheetName val="L_Oth_Bo70"/>
      <sheetName val="Civil_Boq70"/>
      <sheetName val="Staff_Acco_70"/>
      <sheetName val="SITE_OVERHEADS70"/>
      <sheetName val="PRECAST_lightconc-II68"/>
      <sheetName val="Cashflow_projection67"/>
      <sheetName val="SPT_vs_PHI67"/>
      <sheetName val="1__PayRec67"/>
      <sheetName val="Boq_Block_A70"/>
      <sheetName val="Project-Material_70"/>
      <sheetName val="_bpl,oth_lia_67"/>
      <sheetName val="G_,and_adv_nce67"/>
      <sheetName val="I,Wip-ot__2)67"/>
      <sheetName val="det!il_WIP_(2)67"/>
      <sheetName val="de4ail_G-167"/>
      <sheetName val="sobha_mennn_ac67"/>
      <sheetName val="C_&amp;ix_asst67"/>
      <sheetName val="INPUT_SHEET67"/>
      <sheetName val="3�AL9697_-group_wise__onpl70"/>
      <sheetName val="key_dates67"/>
      <sheetName val="CORPN_O67"/>
      <sheetName val="ino4t_conso,-nov67"/>
      <sheetName val="(nout_co,sol_(2)67"/>
      <sheetName val="Blr_hire67"/>
      <sheetName val="_x005f_x0003_dpl_oth_Lia`67"/>
      <sheetName val="TBAL9697__x005f_x000d_grotp_wise_67"/>
      <sheetName val="St_co_91_5lvl67"/>
      <sheetName val="Stress_Calculation67"/>
      <sheetName val="labour_coeff65"/>
      <sheetName val="Fill_this_out_first___65"/>
      <sheetName val="Labour_productivity65"/>
      <sheetName val="RCC,Ret__Wall65"/>
      <sheetName val="Sun_E_Type67"/>
      <sheetName val="Fin_Sum67"/>
      <sheetName val="Labor_abs-NMR67"/>
      <sheetName val="CORPN_O_T65"/>
      <sheetName val="Fin__Assumpt__-_Sensitivities65"/>
      <sheetName val="LOAD_SHEET_65"/>
      <sheetName val="TBAL9697__grotp_wise_250"/>
      <sheetName val="Shuttering_Analysis65"/>
      <sheetName val="General_P+M65"/>
      <sheetName val="Curing_Analysis_65"/>
      <sheetName val="Concrete_P+M_(_RMC_)65"/>
      <sheetName val="P+M_(_SMC_)65"/>
      <sheetName val="P+M_-EW65"/>
      <sheetName val="P&amp;L_-_AD65"/>
      <sheetName val="DG_67"/>
      <sheetName val="CORPN_O_x005f_x0000_T67"/>
      <sheetName val="SUPPLY_-Sanitary_Fixtures67"/>
      <sheetName val="ITEMS_FOR_CIVIL_TENDER67"/>
      <sheetName val="_x005f_x005f_x005f_x0003_dpl_oth_Lia`67"/>
      <sheetName val="TBAL9697__x005f_x005f_x005f_x000d_grotp_w67"/>
      <sheetName val="Area_&amp;_Cate__Master65"/>
      <sheetName val="Quote_Sheet65"/>
      <sheetName val="d-safe_DELUXE65"/>
      <sheetName val="DLC_lookups65"/>
      <sheetName val="Works_-_Quote_Sheet65"/>
      <sheetName val="IO_LIST65"/>
      <sheetName val="TBAL9697__x005f_x000d_grotp_wis65"/>
      <sheetName val="TBAL9697__grotp_wise_260"/>
      <sheetName val="Driveway_Beams65"/>
      <sheetName val="CORPN_O?T67"/>
      <sheetName val="TBAL9697__x000a_grotp_wise_67"/>
      <sheetName val="Fee_Rate_Summary65"/>
      <sheetName val="Name_List65"/>
      <sheetName val="Bill_No_565"/>
      <sheetName val="Sheet_165"/>
      <sheetName val="3BPA00132-5-3_W_plan_HVPNL65"/>
      <sheetName val="Mix_Design65"/>
      <sheetName val="TBAL9697__x005f_x000a_grotp_wise_65"/>
      <sheetName val="11B_65"/>
      <sheetName val="BOQ_(2)65"/>
      <sheetName val="Cat_A_Change_Control65"/>
      <sheetName val="Break_up_Sheet65"/>
      <sheetName val="Summary_of_P_&amp;_M65"/>
      <sheetName val="ISO_Reconcilation_Statment65"/>
      <sheetName val="AVG_pur_rate65"/>
      <sheetName val="FITZ_MORT_9465"/>
      <sheetName val="Break_Dw65"/>
      <sheetName val="Structure_Bills_Qty65"/>
      <sheetName val="Detail_1A65"/>
      <sheetName val="LIST_OF_MAKES65"/>
      <sheetName val="Assumption_Inputs65"/>
      <sheetName val="Civil_Works65"/>
      <sheetName val="Form_665"/>
      <sheetName val="acevsSp_(ABC)65"/>
      <sheetName val="A_O_R_65"/>
      <sheetName val="CORPN_O_x005f_x005f_x005f_x0000_T65"/>
      <sheetName val="220_11__BS_65"/>
      <sheetName val="Intro_65"/>
      <sheetName val="Cash_Flow_Input_Data_ISC37"/>
      <sheetName val="BLOCK-A_(MEA_SHEET)65"/>
      <sheetName val="NLD_-_Assum65"/>
      <sheetName val="Tender_Summary18"/>
      <sheetName val="Section_Catalogue65"/>
      <sheetName val="Mat_-Rates35"/>
      <sheetName val="tie_beam18"/>
      <sheetName val="INDIGINEOUS_ITEMS_18"/>
      <sheetName val="Legal_Risk_Analysis35"/>
      <sheetName val="TBAL9697__x005f_x005f_x005f_x005f_x005f_x005f_x37"/>
      <sheetName val="DETAILED__BOQ35"/>
      <sheetName val="CABLE_DATA35"/>
      <sheetName val="Excess_Calc10"/>
      <sheetName val="Site_Dev_BOQ11"/>
      <sheetName val="PO_Payroll10"/>
      <sheetName val="Deduction_of_assets14"/>
      <sheetName val="TBAL9697__grotp_wise_270"/>
      <sheetName val="TBAL9697__grotp_wise_1101"/>
      <sheetName val="BOQ_10"/>
      <sheetName val="Detail_In_Door_Stad10"/>
      <sheetName val="COP_Final10"/>
      <sheetName val="Elect_11"/>
      <sheetName val="TBAL9697__x005f_x005f_x005f_x000a_grotp_w10"/>
      <sheetName val="CORPN_O_x005f_x005f_x005f_x005f_x005f_x005f_x0010"/>
      <sheetName val="TBAL9697__grotp_wise_280"/>
      <sheetName val="TBAL9697__grotp_wise_420"/>
      <sheetName val="TBAL9697__grotp_wise_320"/>
      <sheetName val="TBAL9697__grotp_wise_518"/>
      <sheetName val="TBAL9697__grotp_wise_616"/>
      <sheetName val="TBAL9697__grotp_wise_715"/>
      <sheetName val="TBAL9697__grotp_wise_815"/>
      <sheetName val="TBAL9697__grotp_wise_915"/>
      <sheetName val="TBAL9697__grotp_wise_1015"/>
      <sheetName val="TBAL9697__grotp_wise_1612"/>
      <sheetName val="TBAL9697__grotp_wise_1214"/>
      <sheetName val="TBAL9697__grotp_wise_1115"/>
      <sheetName val="TBAL9697__grotp_wise_1314"/>
      <sheetName val="TBAL9697__grotp_wise_1413"/>
      <sheetName val="TBAL9697__grotp_wise_1512"/>
      <sheetName val="TBAL9697__grotp_wise_2213"/>
      <sheetName val="TBAL9697__grotp_wise_1711"/>
      <sheetName val="TBAL9697__grotp_wise_1811"/>
      <sheetName val="TBAL9697__grotp_wise_1911"/>
      <sheetName val="TBAL9697__grotp_wise_2011"/>
      <sheetName val="TBAL9697__grotp_wise_2115"/>
      <sheetName val="TBAL9697__grotp_wise_2311"/>
      <sheetName val="TBAL9697__grotp_wise_2411"/>
      <sheetName val="Cost_summary10"/>
      <sheetName val="final_abstract10"/>
      <sheetName val="SPILL_OVER10"/>
      <sheetName val="Pacakges_split10"/>
      <sheetName val="Data_sheet10"/>
      <sheetName val="Per_Unit10"/>
      <sheetName val="Gen_Info10"/>
      <sheetName val="Main_Gate_House10"/>
      <sheetName val="General_input10"/>
      <sheetName val="6_0510"/>
      <sheetName val="Abstract_Sheet10"/>
      <sheetName val="Boq-_Civil10"/>
      <sheetName val="Debits_as_on_12_04_0810"/>
      <sheetName val="Labor_abs-PW10"/>
      <sheetName val="AutoOpen_Stub_Data10"/>
      <sheetName val="Material_10"/>
      <sheetName val="Extra_Item10"/>
      <sheetName val="Labour_&amp;_Plant10"/>
      <sheetName val="Meas_-Hotel_Part10"/>
      <sheetName val="BASIC_RATES10"/>
      <sheetName val="lineby_line_consolidation10"/>
      <sheetName val="Base_Assumptions10"/>
      <sheetName val="_COP_100%10"/>
      <sheetName val="TBAL9697__grotp_wise_2511"/>
      <sheetName val="TBAL9697__grotp_wise_2611"/>
      <sheetName val="Contract_Night_Staff10"/>
      <sheetName val="Contract_Day_Staff10"/>
      <sheetName val="Day_Shift10"/>
      <sheetName val="Night_Shift10"/>
      <sheetName val="Lintel_Beam_104_70_(GF)__10"/>
      <sheetName val="TBAL9697__x005f_x005f_x0011"/>
      <sheetName val="CORPN_O_x005f_x005f_x000010"/>
      <sheetName val="TBAL9697__x005f_x000a_grotp_wis10"/>
      <sheetName val="TBAL9697_-group_wise_sdpl10"/>
      <sheetName val="_10"/>
      <sheetName val="appendix_2_5_final_accounts9"/>
      <sheetName val="Area_Statement10"/>
      <sheetName val="Risk_Analysis10"/>
      <sheetName val="CORPN_O_x005f10"/>
      <sheetName val="Bill_3_-_Site_Works9"/>
      <sheetName val="Material_List_9"/>
      <sheetName val="Basic_Rate9"/>
      <sheetName val="INFLUENCES_ON_GM9"/>
      <sheetName val="Load_Details(B2)9"/>
      <sheetName val="Material_Rate9"/>
      <sheetName val="Rate_analysis9"/>
      <sheetName val="Approved_MTD_Proj_#'s9"/>
      <sheetName val="9__Package_split_-_Cost_9"/>
      <sheetName val="Project_Budget_Worksheet9"/>
      <sheetName val="CORPN_O_x005f_x005f_x005f9"/>
      <sheetName val="CFForecast_detail9"/>
      <sheetName val="소상_&quot;1&quot;6"/>
      <sheetName val="KQ_Cost_Controlling6"/>
      <sheetName val="KQ_Appropriation6"/>
      <sheetName val="indices_6"/>
      <sheetName val="SITE_DEVELOPMENT9"/>
      <sheetName val="Building_19"/>
      <sheetName val="Lead_(Final)9"/>
      <sheetName val="Pile_cap6"/>
      <sheetName val="M_S_6"/>
      <sheetName val="BS_-_L+OE9"/>
      <sheetName val="Rate_Analysis_9"/>
      <sheetName val="CPT_POST_UPLOAD6"/>
      <sheetName val="beam-reinft-IIInd_floor9"/>
      <sheetName val="Cost_Basis6"/>
      <sheetName val="schedule_nos9"/>
      <sheetName val="Customize_Your_Purchase_Order9"/>
      <sheetName val="fa-pl_&amp;_myy_x005f_x000b__x005f_x000b__x09"/>
      <sheetName val="Service_Function9"/>
      <sheetName val="Sheet3_(2)6"/>
      <sheetName val="Bill_16"/>
      <sheetName val="Bill_26"/>
      <sheetName val="Bill_36"/>
      <sheetName val="Bill_46"/>
      <sheetName val="Bill_56"/>
      <sheetName val="Bill_66"/>
      <sheetName val="Bill_76"/>
      <sheetName val="class_&amp;_category6"/>
      <sheetName val="code_Control_Sheet6"/>
      <sheetName val="Cost_Index6"/>
      <sheetName val="TBAL9697__grotp_wise_2710"/>
      <sheetName val="TBAL9697__grotp_wis49"/>
      <sheetName val="TBAL9697__grotp_wis50"/>
      <sheetName val="2_civil-RA6"/>
      <sheetName val="fa-pl_&amp;_myy_x005f_x000b__6"/>
      <sheetName val="BOQ_Distribution9"/>
      <sheetName val="SCHEDULE_OF_RATES5"/>
      <sheetName val="Mat_Cost6"/>
      <sheetName val="Invested_capital_VDF5"/>
      <sheetName val="PV_of_Op_Leases_VDF5"/>
      <sheetName val="TBAL9697__x000a_grotp_wis35"/>
      <sheetName val="TBAL9697__x0010"/>
      <sheetName val="CORPN_O_x00009"/>
      <sheetName val="GR_slab-reinft9"/>
      <sheetName val="Indirect_expenses9"/>
      <sheetName val="Sheet_29"/>
      <sheetName val="Risk_Assmnt9"/>
      <sheetName val="AoR_Finishing9"/>
      <sheetName val="P_&amp;_M9"/>
      <sheetName val="MS_Items9"/>
      <sheetName val="DDETABLE_9"/>
      <sheetName val="Detail_P&amp;L6"/>
      <sheetName val="Assumption_Sheet5"/>
      <sheetName val="New_Construction5"/>
      <sheetName val="TAX_INCOME6"/>
      <sheetName val="Depart_Budget6"/>
      <sheetName val="CC_June6"/>
      <sheetName val="BEAM_SCH5"/>
      <sheetName val="SLAB__SCH_5"/>
      <sheetName val="Beam_at_Ground_flr_lvl(Steel)5"/>
      <sheetName val="Main_Assump_5"/>
      <sheetName val="Input_&amp;_Calculations5"/>
      <sheetName val="PA-_Consutant_5"/>
      <sheetName val="Layer_Table5"/>
      <sheetName val="Bill_1-BOQ-Civil_Works5"/>
      <sheetName val="Customize_Your_Invoice5"/>
      <sheetName val="CIVIL_BOQ_(Final)5"/>
      <sheetName val="Loan_Amortization_Schedule5"/>
      <sheetName val="PB_WORK5"/>
      <sheetName val="TBAL9697__grotp_wise_296"/>
      <sheetName val="TBAL9697__grotp_wise_286"/>
      <sheetName val="TBAL9697__grotp_wise_306"/>
      <sheetName val="GUT_(2)5"/>
      <sheetName val="MB_Prod5"/>
      <sheetName val="Bill-5_25"/>
      <sheetName val="Bill-9_15"/>
      <sheetName val="Bill-6_1_1-6_1_35"/>
      <sheetName val="Key_Ass5"/>
      <sheetName val="bs_BP_04_SA5"/>
      <sheetName val="Col_up_to_plinth5"/>
      <sheetName val="int__pla_5"/>
      <sheetName val="Basic_rate_summary5"/>
      <sheetName val="Basic_rate_calculations5"/>
      <sheetName val="Overall_Summary5"/>
      <sheetName val="Summary_CFA_total_-_CP1_&amp;_CP25"/>
      <sheetName val="organi_synthesis_lab5"/>
      <sheetName val="Rates_7-205"/>
      <sheetName val="Boq_(Main_Building)5"/>
      <sheetName val="CORPN_O_x005f_x005f_x005f_x005f_x005f_x005f_x0055"/>
      <sheetName val="S-MMS_without_TFA5"/>
      <sheetName val="Labor_Rates5"/>
      <sheetName val="Capex_Estimates5"/>
      <sheetName val="General_Assumptions5"/>
      <sheetName val="Sqn-Abs(G+6)_5"/>
      <sheetName val="WO-Abs_(G+2)_6_DUs5"/>
      <sheetName val="Air-Abs(G+6)_23_DUs5"/>
      <sheetName val="5__EA5"/>
      <sheetName val="R_MTL5"/>
      <sheetName val="RA_Bill_summary_til_Apr195"/>
      <sheetName val="APTIDCO_CV_A_SCOPE5"/>
      <sheetName val="Manpower_Histogram5"/>
      <sheetName val="TBAL9697__grotp_wis119"/>
      <sheetName val="TBAL9697__grotp_wis218"/>
      <sheetName val="TBAL9697__grotp_wis311"/>
      <sheetName val="TBAL9697__grotp_wis410"/>
      <sheetName val="TBAL9697__grotp_wis56"/>
      <sheetName val="TBAL9697__grotp_wis65"/>
      <sheetName val="TBAL9697__grotp_wis75"/>
      <sheetName val="TBAL9697__grotp_wis85"/>
      <sheetName val="TBAL9697__grotp_wis145"/>
      <sheetName val="TBAL9697__grotp_wis105"/>
      <sheetName val="TBAL9697__grotp_wis95"/>
      <sheetName val="TBAL9697__grotp_wis1110"/>
      <sheetName val="TBAL9697__grotp_wis125"/>
      <sheetName val="TBAL9697__grotp_wis135"/>
      <sheetName val="TBAL9697__grotp_wis205"/>
      <sheetName val="TBAL9697__grotp_wis155"/>
      <sheetName val="TBAL9697__grotp_wis165"/>
      <sheetName val="TBAL9697__grotp_wis175"/>
      <sheetName val="TBAL9697__grotp_wis185"/>
      <sheetName val="TBAL9697__grotp_wis195"/>
      <sheetName val="TBAL9697__grotp_wis219"/>
      <sheetName val="TBAL9697__grotp_wis225"/>
      <sheetName val="TBAL9697__grotp_wis235"/>
      <sheetName val="TBAL9697__grotp_wis245"/>
      <sheetName val="TBAL9697__grotp_wis255"/>
      <sheetName val="Item-_Compact5"/>
      <sheetName val="Detailed_Summary_(4)5"/>
      <sheetName val="Basement_Budget5"/>
      <sheetName val="TBAL9697__grotp_wis57"/>
      <sheetName val="DOOR-WINDOW SCHEDULE"/>
      <sheetName val="Schedule v1"/>
      <sheetName val="FORM-16"/>
      <sheetName val="factor "/>
      <sheetName val="E &amp; R"/>
      <sheetName val="radar"/>
      <sheetName val="UG"/>
      <sheetName val="7 Steel Rein."/>
      <sheetName val="TBAL9697_ grotp_wis26"/>
      <sheetName val="TBAL9697_ grotp_wis27"/>
      <sheetName val="TBAL9697_ grotp_wis28"/>
      <sheetName val="TBAL9697_ grotp_wise_31"/>
      <sheetName val="TBAL9697_ grotp_wis29"/>
      <sheetName val="TBAL9697_ grotp_wise_32"/>
      <sheetName val="TBAL9697_ grotp_wise_33"/>
      <sheetName val="TBAL9697_ grotp_wise_34"/>
      <sheetName val="TBAL9697_ grotp_wise_35"/>
      <sheetName val="TBAL9697_ grotp_wise_36"/>
      <sheetName val="TBAL9697_ grotp_wise_37"/>
      <sheetName val="TBAL9697_ grotp_wise_39"/>
      <sheetName val="TBAL9697_ grotp_wise_38"/>
      <sheetName val="TBAL9697_ grotp_wise_40"/>
      <sheetName val="TBAL9697_ grotp_wise_42"/>
      <sheetName val="TBAL9697_ grotp_wise_41"/>
      <sheetName val="TBAL9697_ grotp_wise_43"/>
      <sheetName val="TBAL9697_ grotp_wise_44"/>
      <sheetName val="TBAL9697_ grotp_wise_45"/>
      <sheetName val="TBAL9697_ grotp_wise_46"/>
      <sheetName val="TBAL9697_ grotp_wise_47"/>
      <sheetName val="TBAL9697_ grotp_wise_48"/>
      <sheetName val="TBAL9697_ grotp_wise_49"/>
      <sheetName val="TBAL9697_ grotp_wise_50"/>
      <sheetName val="TBAL9697_ grotp_wise_51"/>
      <sheetName val="TBAL9697_ grotp_wise_52"/>
      <sheetName val="TBAL9697_ grotp_wise_58"/>
      <sheetName val="TBAL9697_ grotp_wise_53"/>
      <sheetName val="TBAL9697_ grotp_wise_54"/>
      <sheetName val="TBAL9697_ grotp_wise_55"/>
      <sheetName val="TBAL9697_ grotp_wise_57"/>
      <sheetName val="TBAL9697_ grotp_wise_56"/>
      <sheetName val="TBAL9697_ grotp_wise_59"/>
      <sheetName val="TBAL9697_ grotp_wise_60"/>
      <sheetName val="TBAL9697_ grotp_wise_61"/>
      <sheetName val="TBAL9697_ grotp_wise_63"/>
      <sheetName val="TBAL9697_ grotp_wise_62"/>
      <sheetName val="TBAL9697_ grotp_wise_64"/>
      <sheetName val="1.01.1 to 1.01.5"/>
      <sheetName val="1.01.6"/>
      <sheetName val="1.01.7"/>
      <sheetName val="1.02.1"/>
      <sheetName val="1.03.1"/>
      <sheetName val="1.03.2"/>
      <sheetName val="1.03.3"/>
      <sheetName val="1.04.1"/>
      <sheetName val="1.05.1"/>
      <sheetName val="1.06.1"/>
      <sheetName val="1.06.2"/>
      <sheetName val="2.01.1 to 2.01.5-"/>
      <sheetName val="2.01.6"/>
      <sheetName val="2.01.7"/>
      <sheetName val="2.01.8"/>
      <sheetName val="2.02.1"/>
      <sheetName val="2.03.1"/>
      <sheetName val="2.03.2"/>
      <sheetName val="2.03.3"/>
      <sheetName val="2.04.1"/>
      <sheetName val="2.05.1"/>
      <sheetName val="2.06.1"/>
      <sheetName val="2.06.2"/>
      <sheetName val="2.07.1"/>
      <sheetName val="2.07.2"/>
      <sheetName val="2.07.3"/>
      <sheetName val="2.07.4"/>
      <sheetName val="2.07.5"/>
      <sheetName val="2.07.6"/>
      <sheetName val="2.07.7"/>
      <sheetName val="2.07.8"/>
      <sheetName val="2.07.9"/>
      <sheetName val="2.07.10"/>
      <sheetName val="2.07.11"/>
      <sheetName val="2.07.12"/>
      <sheetName val="2.07.13"/>
      <sheetName val="2.07.14"/>
      <sheetName val="2.07.15"/>
      <sheetName val="2.07.16"/>
      <sheetName val="3.01.1 to 3.01.5"/>
      <sheetName val="3.01.6"/>
      <sheetName val="3.01.7"/>
      <sheetName val="3.03.1"/>
      <sheetName val="3.03.2"/>
      <sheetName val="3.04.1"/>
      <sheetName val="3.05.1"/>
      <sheetName val="4.01.1 to 4.01.5"/>
      <sheetName val="4.01.6"/>
      <sheetName val="4.01.7"/>
      <sheetName val="4.01.8"/>
      <sheetName val="4.03.1"/>
      <sheetName val="4.03.2"/>
      <sheetName val="4.04.1"/>
      <sheetName val="4.05.1"/>
      <sheetName val="4.07.1"/>
      <sheetName val="4.07.2"/>
      <sheetName val="4.07.3"/>
      <sheetName val="4.07.4"/>
      <sheetName val="4.07.5"/>
      <sheetName val="4.07.6"/>
      <sheetName val="4.07.7"/>
      <sheetName val="4.07.8"/>
      <sheetName val="4.07.9"/>
      <sheetName val="4.07.10"/>
      <sheetName val="4.07.11"/>
      <sheetName val="4.07.12"/>
      <sheetName val="4.07.13"/>
      <sheetName val="4.07.14"/>
      <sheetName val="4.07.15"/>
      <sheetName val="4.07.16"/>
      <sheetName val="5.01.1"/>
      <sheetName val="5.01.2"/>
      <sheetName val="5.01.3"/>
      <sheetName val="5.01.4"/>
      <sheetName val="5.02.1"/>
      <sheetName val="5.02.2"/>
      <sheetName val="5.02.3"/>
      <sheetName val="5.02.4"/>
      <sheetName val="6.01.1 to 6.01.5"/>
      <sheetName val="6.01.6"/>
      <sheetName val="6.02.1 to 6.02.5"/>
      <sheetName val="6.02.6"/>
      <sheetName val="7.01.1"/>
      <sheetName val="7.01.2"/>
      <sheetName val="7.02.1"/>
      <sheetName val="7.02.2"/>
      <sheetName val="7.03.1"/>
      <sheetName val="7.03.2"/>
      <sheetName val="Canceled"/>
      <sheetName val="8.01.1"/>
      <sheetName val="8.01.2"/>
      <sheetName val="8.01.3"/>
      <sheetName val="8.01.4"/>
      <sheetName val="Canceled-1"/>
      <sheetName val="Cancled-2"/>
      <sheetName val="Abstract-1"/>
      <sheetName val="BOQ in CRN Formate"/>
      <sheetName val="Cumul."/>
      <sheetName val="GST. Inv.."/>
      <sheetName val="Ill. Imm. Cert."/>
      <sheetName val="Work Compl. Cert."/>
      <sheetName val="cus_image"/>
      <sheetName val="GrossMgn 98"/>
      <sheetName val="Plant &amp;  Machinery"/>
      <sheetName val="EST-CIVIL"/>
      <sheetName val="Staff Forecast spread"/>
      <sheetName val="APPENDIX 4.1a"/>
      <sheetName val="RECAPITULATION"/>
      <sheetName val="A.O.R (2)"/>
      <sheetName val="V_O_4_-_PCC_Qty"/>
      <sheetName val="Source_Ref_"/>
      <sheetName val="EA_Sheet"/>
      <sheetName val="M-_Rate"/>
      <sheetName val="ONE_TIME"/>
      <sheetName val="4K_-_(6a)_Non_Manual_Breakdown"/>
      <sheetName val="Commodity_Plan_Front_Block"/>
      <sheetName val="Commodity_Plan_Rear_Block"/>
      <sheetName val="99_조정금액"/>
      <sheetName val="Boq__structure_"/>
      <sheetName val="Category_A_-_No_Material"/>
      <sheetName val="Category_B_-_Major_Works"/>
      <sheetName val="Category_C_-_Minor_Works"/>
      <sheetName val="V_O_4_-_PCC_Qty1"/>
      <sheetName val="Source_Ref_1"/>
      <sheetName val="Civil_(RA)__Resi_1"/>
      <sheetName val="Break_Up_(bc)1"/>
      <sheetName val="Break_Up_(bc1)1"/>
      <sheetName val="Break_Up_(bc2)1"/>
      <sheetName val="A_O_R_r11"/>
      <sheetName val="A_O_R_r1Str1"/>
      <sheetName val="Order_Info1"/>
      <sheetName val="1st_-vpd1"/>
      <sheetName val="Input_Data1"/>
      <sheetName val="MLCP_Connection_Details1"/>
      <sheetName val="MERGED_CODES_&amp;_NAMES1"/>
      <sheetName val="INPUT_(BPL)1"/>
      <sheetName val="Combined_Results_1"/>
      <sheetName val="Loan_Schedule1"/>
      <sheetName val="Bed_Class1"/>
      <sheetName val="EA_Sheet1"/>
      <sheetName val="GM_0002"/>
      <sheetName val="Table_41"/>
      <sheetName val="Table_51"/>
      <sheetName val="Table_21"/>
      <sheetName val="Table_271"/>
      <sheetName val="M-_Rate1"/>
      <sheetName val="ONE_TIME1"/>
      <sheetName val="4K_-_(6a)_Non_Manual_Breakdown1"/>
      <sheetName val="Commodity_Plan_Front_Block1"/>
      <sheetName val="Commodity_Plan_Rear_Block1"/>
      <sheetName val="99_조정금액1"/>
      <sheetName val="Boq__structure_1"/>
      <sheetName val="Category_A_-_No_Material1"/>
      <sheetName val="Category_B_-_Major_Works1"/>
      <sheetName val="Category_C_-_Minor_Works1"/>
      <sheetName val="Sch-1a"/>
      <sheetName val="Purlin(7m)"/>
      <sheetName val="IS  875"/>
      <sheetName val="Boq- Zero"/>
      <sheetName val="SB_SCH_A3"/>
      <sheetName val="SB SCH_A7"/>
      <sheetName val="TBEAM"/>
      <sheetName val="Dtype-Civil"/>
      <sheetName val="11 kV SWGR"/>
      <sheetName val="exp-ded-jan' 06"/>
      <sheetName val="_x005f_x005f_x005f_x005F_x005f_x0003_dpl_ot"/>
      <sheetName val="TBAL9697__x005f_x005f_x005f_x005F_x25"/>
      <sheetName val="CORPN_O_x005f_x005f_x005f_x005F_x00001"/>
      <sheetName val="_x005f_x005f_x005f_x005F_x005f_x005f_"/>
      <sheetName val="TBAL9697__x005f_x005f_x005f_x005F_x26"/>
      <sheetName val="CORPN_O_x005f_x005f_x005f_x005F_x0001"/>
      <sheetName val="TBAL9697__x005f_x005f_x005f_x005F_x27"/>
      <sheetName val="CORPN_O_x005f_x005f_x005f_x005F_x0002"/>
      <sheetName val="TBAL9697__x005f_x000d_grotp_w32"/>
      <sheetName val="TBAL9697__x005f_x005f_x005f_x005F_x30"/>
      <sheetName val="TBAL9697__x005f_x005f_x005f_x005F_x28"/>
      <sheetName val="CORPN_O_x005f_x005f_x005f_x005F_x0003"/>
      <sheetName val="TBAL9697__x005f_x005f_x005f_x005F_x29"/>
      <sheetName val="TBAL9697__x005f_x000d_grotp_w33"/>
      <sheetName val="TBAL9697__x005f_x005f_x005f_x005F_x31"/>
      <sheetName val="CORPN_O_x005f_x005f_x005f_x005F_x0004"/>
      <sheetName val="AOR"/>
      <sheetName val="Costcal"/>
      <sheetName val="MB FOR SUPERSTRUCTURE"/>
      <sheetName val="MASONARY "/>
      <sheetName val="para"/>
      <sheetName val="BOB DETAILS"/>
      <sheetName val="SCEL Funding"/>
      <sheetName val="boq_E"/>
      <sheetName val="boq_M"/>
      <sheetName val="boq_Ms"/>
      <sheetName val="boq_P"/>
      <sheetName val="boq_C"/>
      <sheetName val="(31)"/>
      <sheetName val="DBM"/>
      <sheetName val="Sum1"/>
      <sheetName val="SUMMARY-client"/>
      <sheetName val="BOM系"/>
      <sheetName val="ivory"/>
      <sheetName val="Maturity Assessmen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FTE Information and costs"/>
      <sheetName val="Strategic Planning"/>
      <sheetName val="Calendar year Summary Plan"/>
      <sheetName val="Challan"/>
      <sheetName val="97-98"/>
      <sheetName val="_x0003_dpl_oth_Lia`32"/>
      <sheetName val="TBAL9697__x000d_grotp_wise_32"/>
      <sheetName val="CORPN_O_x0000_T32"/>
      <sheetName val="TBAL9697__x000d_grotp_wis30"/>
      <sheetName val="TBAL9697__x005f_x005f_x30"/>
      <sheetName val="fa-pl_&amp;_myy_x000b__x000b__x00"/>
      <sheetName val="fa-pl_&amp;_myy_x000b__x000b__x01"/>
      <sheetName val="fa-pl_&amp;_myy_x000b__x000b__x02"/>
      <sheetName val="_x0003_dpl_oth_Lia`33"/>
      <sheetName val="TBAL9697__x000d_grotp_wise_33"/>
      <sheetName val="CORPN_O_x0000_T33"/>
      <sheetName val="TBAL9697__x000d_grotp_wis31"/>
      <sheetName val="TBAL9697__x005f_x005f_x31"/>
      <sheetName val="fa-pl_&amp;_myy_x000b__x000b__x03"/>
      <sheetName val="TBAL9697__x25"/>
      <sheetName val="TBAL9697_ grotp_wi1"/>
      <sheetName val="fa-pl_&amp;_myy_x000b__"/>
      <sheetName val="_x0003_dpl_oth_Lia`38"/>
      <sheetName val="TBAL9697__x000d_grotp_wise_38"/>
      <sheetName val="CORPN_O_x0000_T38"/>
      <sheetName val="TBAL9697__x005f_x000d_grotp_w38"/>
      <sheetName val="TBAL9697__x000d_grotp_wis36"/>
      <sheetName val="_x0003_dpl_oth_Lia`34"/>
      <sheetName val="TBAL9697__x000d_grotp_wise_34"/>
      <sheetName val="CORPN_O_x0000_T34"/>
      <sheetName val="TBAL9697__x005f_x000d_grotp_w34"/>
      <sheetName val="TBAL9697__x000d_grotp_wis32"/>
      <sheetName val="_x0003_dpl_oth_Lia`35"/>
      <sheetName val="TBAL9697__x000d_grotp_wise_35"/>
      <sheetName val="CORPN_O_x0000_T35"/>
      <sheetName val="TBAL9697__x005f_x000d_grotp_w35"/>
      <sheetName val="TBAL9697__x000d_grotp_wis33"/>
      <sheetName val="_x0003_dpl_oth_Lia`36"/>
      <sheetName val="TBAL9697__x000d_grotp_wise_36"/>
      <sheetName val="CORPN_O_x0000_T36"/>
      <sheetName val="TBAL9697__x005f_x000d_grotp_w36"/>
      <sheetName val="TBAL9697__x000d_grotp_wis34"/>
      <sheetName val="_x0003_dpl_oth_Lia`37"/>
      <sheetName val="TBAL9697__x000d_grotp_wise_37"/>
      <sheetName val="CORPN_O_x0000_T37"/>
      <sheetName val="TBAL9697__x005f_x000d_grotp_w37"/>
      <sheetName val="TBAL9697__x000d_grotp_wis35"/>
      <sheetName val="_x0003_dpl_oth_Lia`44"/>
      <sheetName val="TBAL9697__x000d_grotp_wise_44"/>
      <sheetName val="CORPN_O_x0000_T44"/>
      <sheetName val="TBAL9697__x005f_x000d_grotp_w44"/>
      <sheetName val="TBAL9697__x000d_grotp_wis42"/>
      <sheetName val="_x0003_dpl_oth_Lia`39"/>
      <sheetName val="TBAL9697__x000d_grotp_wise_39"/>
      <sheetName val="CORPN_O_x0000_T39"/>
      <sheetName val="TBAL9697__x005f_x000d_grotp_w39"/>
      <sheetName val="TBAL9697__x000d_grotp_wis37"/>
      <sheetName val="_x0003_dpl_oth_Lia`40"/>
      <sheetName val="TBAL9697__x000d_grotp_wise_40"/>
      <sheetName val="CORPN_O_x0000_T40"/>
      <sheetName val="TBAL9697__x005f_x000d_grotp_w40"/>
      <sheetName val="TBAL9697__x000d_grotp_wis38"/>
      <sheetName val="_x0003_dpl_oth_Lia`42"/>
      <sheetName val="TBAL9697__x000d_grotp_wise_42"/>
      <sheetName val="CORPN_O_x0000_T42"/>
      <sheetName val="TBAL9697__x005f_x000d_grotp_w42"/>
      <sheetName val="TBAL9697__x000d_grotp_wis40"/>
      <sheetName val="_x0003_dpl_oth_Lia`41"/>
      <sheetName val="TBAL9697__x000d_grotp_wise_41"/>
      <sheetName val="CORPN_O_x0000_T41"/>
      <sheetName val="TBAL9697__x005f_x000d_grotp_w41"/>
      <sheetName val="TBAL9697__x000d_grotp_wis39"/>
      <sheetName val="_x0003_dpl_oth_Lia`43"/>
      <sheetName val="TBAL9697__x000d_grotp_wise_43"/>
      <sheetName val="CORPN_O_x0000_T43"/>
      <sheetName val="TBAL9697__x005f_x000d_grotp_w43"/>
      <sheetName val="TBAL9697__x000d_grotp_wis41"/>
      <sheetName val="_x0003_dpl_oth_Lia`45"/>
      <sheetName val="TBAL9697__x000d_grotp_wise_45"/>
      <sheetName val="CORPN_O_x0000_T45"/>
      <sheetName val="TBAL9697__x005f_x000d_grotp_w45"/>
      <sheetName val="TBAL9697__x000d_grotp_wis43"/>
      <sheetName val="_x0003_dpl_oth_Lia`58"/>
      <sheetName val="TBAL9697__x000d_grotp_wise_58"/>
      <sheetName val="CORPN_O_x0000_T58"/>
      <sheetName val="TBAL9697__x005f_x000d_grotp_w58"/>
      <sheetName val="TBAL9697__x000d_grotp_wis56"/>
      <sheetName val="_x0003_dpl_oth_Lia`46"/>
      <sheetName val="TBAL9697__x000d_grotp_wise_46"/>
      <sheetName val="CORPN_O_x0000_T46"/>
      <sheetName val="TBAL9697__x005f_x000d_grotp_w46"/>
      <sheetName val="TBAL9697__x000d_grotp_wis44"/>
      <sheetName val="_x0003_dpl_oth_Lia`47"/>
      <sheetName val="TBAL9697__x000d_grotp_wise_47"/>
      <sheetName val="CORPN_O_x0000_T47"/>
      <sheetName val="TBAL9697__x005f_x000d_grotp_w47"/>
      <sheetName val="TBAL9697__x000d_grotp_wis45"/>
      <sheetName val="_x0003_dpl_oth_Lia`50"/>
      <sheetName val="TBAL9697__x000d_grotp_wise_50"/>
      <sheetName val="CORPN_O_x0000_T50"/>
      <sheetName val="TBAL9697__x005f_x000d_grotp_w50"/>
      <sheetName val="TBAL9697__x000d_grotp_wis48"/>
      <sheetName val="_x0003_dpl_oth_Lia`48"/>
      <sheetName val="TBAL9697__x000d_grotp_wise_48"/>
      <sheetName val="CORPN_O_x0000_T48"/>
      <sheetName val="TBAL9697__x005f_x000d_grotp_w48"/>
      <sheetName val="TBAL9697__x000d_grotp_wis46"/>
      <sheetName val="_x0003_dpl_oth_Lia`49"/>
      <sheetName val="TBAL9697__x000d_grotp_wise_49"/>
      <sheetName val="CORPN_O_x0000_T49"/>
      <sheetName val="TBAL9697__x005f_x000d_grotp_w49"/>
      <sheetName val="TBAL9697__x000d_grotp_wis47"/>
      <sheetName val="_x0003_dpl_oth_Lia`51"/>
      <sheetName val="TBAL9697__x000d_grotp_wise_51"/>
      <sheetName val="CORPN_O_x0000_T51"/>
      <sheetName val="TBAL9697__x005f_x000d_grotp_w51"/>
      <sheetName val="TBAL9697__x000d_grotp_wis49"/>
      <sheetName val="_x0003_dpl_oth_Lia`52"/>
      <sheetName val="TBAL9697__x000d_grotp_wise_52"/>
      <sheetName val="CORPN_O_x0000_T52"/>
      <sheetName val="TBAL9697__x005f_x000d_grotp_w52"/>
      <sheetName val="TBAL9697__x000d_grotp_wis50"/>
      <sheetName val="_x0003_dpl_oth_Lia`53"/>
      <sheetName val="TBAL9697__x000d_grotp_wise_53"/>
      <sheetName val="CORPN_O_x0000_T53"/>
      <sheetName val="TBAL9697__x005f_x000d_grotp_w53"/>
      <sheetName val="TBAL9697__x000d_grotp_wis51"/>
      <sheetName val="_x0003_dpl_oth_Lia`54"/>
      <sheetName val="TBAL9697__x000d_grotp_wise_54"/>
      <sheetName val="CORPN_O_x0000_T54"/>
      <sheetName val="TBAL9697__x005f_x000d_grotp_w54"/>
      <sheetName val="TBAL9697__x000d_grotp_wis52"/>
      <sheetName val="_x0003_dpl_oth_Lia`55"/>
      <sheetName val="TBAL9697__x000d_grotp_wise_55"/>
      <sheetName val="CORPN_O_x0000_T55"/>
      <sheetName val="TBAL9697__x005f_x000d_grotp_w55"/>
      <sheetName val="TBAL9697__x000d_grotp_wis53"/>
      <sheetName val="_x0003_dpl_oth_Lia`57"/>
      <sheetName val="TBAL9697__x000d_grotp_wise_57"/>
      <sheetName val="CORPN_O_x0000_T57"/>
      <sheetName val="TBAL9697__x005f_x000d_grotp_w57"/>
      <sheetName val="TBAL9697__x000d_grotp_wis55"/>
      <sheetName val="_x0003_dpl_oth_Lia`56"/>
      <sheetName val="TBAL9697__x000d_grotp_wise_56"/>
      <sheetName val="CORPN_O_x0000_T56"/>
      <sheetName val="TBAL9697__x005f_x000d_grotp_w56"/>
      <sheetName val="TBAL9697__x000d_grotp_wis54"/>
      <sheetName val="_x0003_dpl_oth_Lia`59"/>
      <sheetName val="TBAL9697__x000d_grotp_wise_59"/>
      <sheetName val="CORPN_O_x0000_T59"/>
      <sheetName val="TBAL9697__x005f_x000d_grotp_w59"/>
      <sheetName val="TBAL9697__x000d_grotp_wis57"/>
      <sheetName val="_x0003_dpl_oth_Lia`60"/>
      <sheetName val="TBAL9697__x000d_grotp_wise_60"/>
      <sheetName val="CORPN_O_x0000_T60"/>
      <sheetName val="TBAL9697__x005f_x000d_grotp_w60"/>
      <sheetName val="TBAL9697__x000d_grotp_wis58"/>
      <sheetName val="_x0003_dpl_oth_Lia`61"/>
      <sheetName val="TBAL9697__x000d_grotp_wise_61"/>
      <sheetName val="CORPN_O_x0000_T61"/>
      <sheetName val="TBAL9697__x005f_x000d_grotp_w61"/>
      <sheetName val="TBAL9697__x000d_grotp_wis59"/>
      <sheetName val="_x0003_dpl_oth_Lia`62"/>
      <sheetName val="TBAL9697__x000d_grotp_wise_62"/>
      <sheetName val="CORPN_O_x0000_T62"/>
      <sheetName val="TBAL9697__x005f_x000d_grotp_w62"/>
      <sheetName val="TBAL9697__x000d_grotp_wis60"/>
      <sheetName val="TBAL9697_ grotp_wi2"/>
      <sheetName val="TBAL9697_ grotp_wi4"/>
      <sheetName val="TBAL9697_ grotp_wi3"/>
      <sheetName val="TBAL9697_ grotp_wi5"/>
      <sheetName val="TBAL9697_ grotp_wi6"/>
      <sheetName val="TBAL9697_ grotp_wi7"/>
      <sheetName val="TBAL9697_ grotp_wi8"/>
      <sheetName val="TBAL9697_ grotp_wi9"/>
      <sheetName val="TBAL9697_ grotp_w10"/>
      <sheetName val="TBAL9697_ grotp_w16"/>
      <sheetName val="TBAL9697_ grotp_w12"/>
      <sheetName val="TBAL9697_ grotp_w11"/>
      <sheetName val="TBAL9697_ grotp_w13"/>
      <sheetName val="TBAL9697_ grotp_w14"/>
      <sheetName val="TBAL9697_ grotp_w15"/>
      <sheetName val="TBAL9697_ grotp_w22"/>
      <sheetName val="TBAL9697_ grotp_w17"/>
      <sheetName val="TBAL9697_ grotp_w18"/>
      <sheetName val="TBAL9697_ grotp_w19"/>
      <sheetName val="TBAL9697_ grotp_w20"/>
      <sheetName val="TBAL9697_ grotp_w21"/>
      <sheetName val="TBAL9697_ grotp_w23"/>
      <sheetName val="TBAL9697_ grotp_w24"/>
      <sheetName val="TBAL9697_ grotp_w25"/>
      <sheetName val="TBAL9697_ grotp_w26"/>
      <sheetName val="CORPN_O_x0001"/>
      <sheetName val="_x0003_dpl_oth_Lia`63"/>
      <sheetName val="TBAL9697__x000d_grotp_wise_63"/>
      <sheetName val="CORPN_O_x0000_T63"/>
      <sheetName val="TBAL9697__x005f_x000d_grotp_w63"/>
      <sheetName val="TBAL9697__x000d_grotp_wis61"/>
      <sheetName val="TBAL9697__x005f_x005f_x33"/>
      <sheetName val="TBAL9697__x005f_x000a_grotp_wi6"/>
      <sheetName val="CORPN_O_x005f_x005f_x0006"/>
      <sheetName val="fa-pl_&amp;_myy_x000b__x000b__x05"/>
      <sheetName val="fa-pl_&amp;_myy_x000b__2"/>
      <sheetName val="CORPN_O_x005f_x005f_x0051"/>
      <sheetName val="TBAL9697__x005f_x005f_x32"/>
      <sheetName val="TBAL9697__x005f_x000a_grotp_wi5"/>
      <sheetName val="CORPN_O_x005f_x005f_x0005"/>
      <sheetName val="fa-pl_&amp;_myy_x000b__x000b__x04"/>
      <sheetName val="fa-pl_&amp;_myy_x000b__1"/>
      <sheetName val="_x0003_dpl_oth_Lia`64"/>
      <sheetName val="TBAL9697__x000d_grotp_wise_64"/>
      <sheetName val="CORPN_O_x0000_T64"/>
      <sheetName val="TBAL9697__x005f_x000d_grotp_w64"/>
      <sheetName val="TBAL9697__x000d_grotp_wis62"/>
      <sheetName val="TBAL9697__x005f_x005f_x34"/>
      <sheetName val="TBAL9697__x005f_x000a_grotp_wi7"/>
      <sheetName val="CORPN_O_x005f_x005f_x0007"/>
      <sheetName val="fa-pl_&amp;_myy_x000b__x000b__x06"/>
      <sheetName val="fa-pl_&amp;_myy_x000b__3"/>
      <sheetName val="CORPN_O_x005f_x005f_x0052"/>
      <sheetName val="_x0003_dpl_oth_Lia`65"/>
      <sheetName val="TBAL9697__x000d_grotp_wise_65"/>
      <sheetName val="CORPN_O_x0000_T65"/>
      <sheetName val="TBAL9697__x005f_x000d_grotp_w65"/>
      <sheetName val="TBAL9697__x000d_grotp_wis63"/>
      <sheetName val="TBAL9697__x005f_x005f_x35"/>
      <sheetName val="CORPN_O_x005f_x005f_x0008"/>
      <sheetName val="TBAL9697__x005f_x000a_grotp_wi8"/>
      <sheetName val="fa-pl_&amp;_myy_x000b__x000b__x07"/>
      <sheetName val="fa-pl_&amp;_myy_x000b__4"/>
      <sheetName val="CORPN_O_x005f_x005f_x0053"/>
      <sheetName val="TBAL9697__x26"/>
      <sheetName val="TBAL9697__x27"/>
      <sheetName val="CORPN_O_x0002"/>
      <sheetName val="TBAL9697_ grotp_w29"/>
      <sheetName val="TBAL9697_ grotp_w28"/>
      <sheetName val="TBAL9697_ grotp_w27"/>
      <sheetName val="TBAL9697_ grotp_w30"/>
      <sheetName val="compare"/>
      <sheetName val="CORPN OT"/>
      <sheetName val="CORPN_OT32"/>
      <sheetName val="CORPN_OT33"/>
      <sheetName val="CORPN_OT38"/>
      <sheetName val="CORPN_OT34"/>
      <sheetName val="CORPN_OT35"/>
      <sheetName val="CORPN_OT36"/>
      <sheetName val="CORPN_OT37"/>
      <sheetName val="CORPN_OT44"/>
      <sheetName val="CORPN_OT39"/>
      <sheetName val="CORPN_OT40"/>
      <sheetName val="CORPN_OT42"/>
      <sheetName val="CORPN_OT41"/>
      <sheetName val="CORPN_OT43"/>
      <sheetName val="CORPN_OT45"/>
      <sheetName val="CORPN_OT58"/>
      <sheetName val="CORPN_OT46"/>
      <sheetName val="CORPN_OT47"/>
      <sheetName val="CORPN_OT50"/>
      <sheetName val="CORPN_OT48"/>
      <sheetName val="CORPN_OT49"/>
      <sheetName val="CORPN_OT51"/>
      <sheetName val="CORPN_OT52"/>
      <sheetName val="CORPN_OT53"/>
      <sheetName val="CORPN_OT54"/>
      <sheetName val="CORPN_OT55"/>
      <sheetName val="CORPN_OT57"/>
      <sheetName val="CORPN_OT56"/>
      <sheetName val="CORPN_OT59"/>
      <sheetName val="CORPN_OT60"/>
      <sheetName val="CORPN_OT61"/>
      <sheetName val="CORPN_OT62"/>
      <sheetName val="CORPN_OT63"/>
      <sheetName val="CORPN_OT64"/>
      <sheetName val="CORPN_OT65"/>
      <sheetName val="Calculation Sheet"/>
      <sheetName val="Budget-Breakup"/>
      <sheetName val="CIP Summary 0012"/>
      <sheetName val="CIP Detail 0011"/>
      <sheetName val="VLOOK"/>
      <sheetName val="99 to 00 blns"/>
      <sheetName val="MOP"/>
      <sheetName val="MN T.B."/>
      <sheetName val="BOQ LT"/>
      <sheetName val="Abt Foundation "/>
      <sheetName val="pier Foundation"/>
      <sheetName val="Master Rates"/>
      <sheetName val="RATES (2)"/>
      <sheetName val="Cencrete"/>
      <sheetName val="New_C_PM"/>
      <sheetName val="Client_Addresses"/>
      <sheetName val="New_May"/>
      <sheetName val="TB_MAR2004"/>
      <sheetName val="Staffing_Sheet"/>
      <sheetName val="Data_Elements-Staffing"/>
      <sheetName val="rcc(_sub)"/>
      <sheetName val="M_R_List_(2)"/>
      <sheetName val="N-Amritsar_135"/>
      <sheetName val="PANEL_ANNEXURE"/>
      <sheetName val="Annexue_B"/>
      <sheetName val="TBAL9697__x000a_grotp_w27"/>
      <sheetName val="fa-pl_&amp;_myy_"/>
      <sheetName val="TBAL9697__x000a_grotp_w29"/>
      <sheetName val="TBAL9697__x000a_grotp_w28"/>
      <sheetName val="TBAL9697__x000a_grotp_w30"/>
      <sheetName val="Site_Infrastructure"/>
      <sheetName val="Balance_Sheet_"/>
      <sheetName val="cost_centre"/>
      <sheetName val="INPUT_SHEET_-_A"/>
      <sheetName val="Default_Values"/>
      <sheetName val="Story_Drift-Part_2"/>
      <sheetName val="TBAL9697__x005f_x005f_x005f_x005f_x002"/>
      <sheetName val="CORPN_O_x005f_x005f_x005f_x005f_x005f"/>
      <sheetName val="fa-pl_&amp;_myy_x005f_x005f_x005f_x000b__x005f_x005f_"/>
      <sheetName val="Process"/>
      <sheetName val="ABB"/>
      <sheetName val="old boq"/>
      <sheetName val="Background"/>
      <sheetName val="MAR.02"/>
      <sheetName val="Calendar"/>
      <sheetName val="HYDRAULICS"/>
      <sheetName val="Z1_DATA"/>
      <sheetName val="D2_CO"/>
      <sheetName val="det_est"/>
      <sheetName val="Steel-Circular"/>
      <sheetName val="CPA_EQP"/>
      <sheetName val="Ave.wtd.rates"/>
      <sheetName val="Column BBS-Block9"/>
      <sheetName val="july (2)"/>
      <sheetName val="OLD IC"/>
      <sheetName val="M-BOQ"/>
      <sheetName val="TENDER STUDY"/>
      <sheetName val="DRG.STUDY"/>
      <sheetName val="BOM"/>
      <sheetName val="INQUIRY"/>
      <sheetName val="BOUGHT OUT"/>
      <sheetName val="RA "/>
      <sheetName val="STAFFSCHED "/>
      <sheetName val="M_R_List_(2)1"/>
      <sheetName val="Column Detail"/>
      <sheetName val="CivilOld"/>
      <sheetName val="______________________________2"/>
      <sheetName val="Codes"/>
      <sheetName val="Input Rates"/>
      <sheetName val="BOQ-Civil"/>
      <sheetName val="갑지1"/>
      <sheetName val="TBAL9697__grotp_wi1"/>
      <sheetName val="TBAL9697__grotp_wi2"/>
      <sheetName val="TBAL9697__grotp_wi4"/>
      <sheetName val="TBAL9697__grotp_wi3"/>
      <sheetName val="TBAL9697__grotp_wi5"/>
      <sheetName val="TBAL9697__grotp_wi6"/>
      <sheetName val="TBAL9697__grotp_wi7"/>
      <sheetName val="TBAL9697__grotp_wi8"/>
      <sheetName val="TBAL9697__grotp_wi9"/>
      <sheetName val="TBAL9697__grotp_w10"/>
      <sheetName val="TBAL9697__grotp_w16"/>
      <sheetName val="TBAL9697__grotp_w12"/>
      <sheetName val="TBAL9697__grotp_w11"/>
      <sheetName val="TBAL9697__grotp_w13"/>
      <sheetName val="TBAL9697__grotp_w14"/>
      <sheetName val="TBAL9697__grotp_w15"/>
      <sheetName val="TBAL9697__grotp_w22"/>
      <sheetName val="TBAL9697__grotp_w17"/>
      <sheetName val="TBAL9697__grotp_w18"/>
      <sheetName val="TBAL9697__grotp_w19"/>
      <sheetName val="TBAL9697__grotp_w20"/>
      <sheetName val="TBAL9697__grotp_w21"/>
      <sheetName val="TBAL9697__grotp_w23"/>
      <sheetName val="TBAL9697__grotp_w24"/>
      <sheetName val="TBAL9697__grotp_w25"/>
      <sheetName val="TBAL9697__grotp_w26"/>
      <sheetName val="fa-pl &amp; myy_x005f_x000b__x005f_x005f_"/>
      <sheetName val="3�AL9697_-group_wise__︀㧕ԯ_x0000_缀"/>
      <sheetName val="3�AL9697_-group_wise__ԯ_x0000_缀_x0000__x0000_"/>
      <sheetName val="3�AL9697_-group_wise__︀㧕ԯ"/>
      <sheetName val="3�AL9697_-group_wise__ԯ"/>
      <sheetName val="3�AL9697_-group_wise__ԉ쩭〯B_x0000_"/>
      <sheetName val="3�AL9697_-group_wise__ԉ쩭䠯C_x0000_"/>
      <sheetName val="ELE "/>
      <sheetName val="CC Road"/>
      <sheetName val="Measurements"/>
      <sheetName val="ACAD Finishes"/>
      <sheetName val="Tables"/>
      <sheetName val="Rate analysis civil"/>
      <sheetName val="column details"/>
      <sheetName val="17"/>
      <sheetName val="Machinery"/>
      <sheetName val="strain"/>
      <sheetName val="Commercial"/>
      <sheetName val="Wordsdata"/>
      <sheetName val="2000"/>
      <sheetName val="3�AL9697_-group_wise__ԉ쩭〯B"/>
      <sheetName val="3�AL9697_-group_wise__ԉ쩭䠯C"/>
      <sheetName val="TBAL9697_ grotp_wis31"/>
      <sheetName val="TBAL9697_ grotp_wis30"/>
      <sheetName val="TBAL9697_ grotp_wis32"/>
      <sheetName val="TBAL9697_ grotp_wise_65"/>
      <sheetName val="TBAL9697_ grotp_wis33"/>
      <sheetName val="TBAL9697_ grotp_wise_66"/>
      <sheetName val="TBAL9697_ grotp_wis34"/>
      <sheetName val="TBAL9697_ grotp_wise_67"/>
      <sheetName val="TBAL9697_ grotp_wis35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T_5"/>
      <sheetName val="Mechanical"/>
      <sheetName val="Indirects "/>
      <sheetName val="I&amp;C"/>
      <sheetName val="LSS"/>
      <sheetName val="LABOUR RATE"/>
      <sheetName val=" AnalysisPCC"/>
      <sheetName val="Analysis-NH-Culverts"/>
      <sheetName val="Lintel"/>
      <sheetName val="EAW Final Accounts - 99"/>
      <sheetName val="Jan04-Mar04"/>
      <sheetName val="Apr04-Jun04"/>
      <sheetName val="Jul04-Sep04"/>
      <sheetName val="Oct04-Dec04"/>
      <sheetName val="Jan05-Mar05"/>
      <sheetName val="Beams-Basement Roof T-22"/>
      <sheetName val="Phase-1stirrups"/>
      <sheetName val="PMS"/>
      <sheetName val="DISTRIBUTION"/>
      <sheetName val="Risk Lookup"/>
      <sheetName val="Lists"/>
      <sheetName val="MASTER_RATE ANALYSIS"/>
      <sheetName val="SP Break Up"/>
      <sheetName val="Co1Input"/>
      <sheetName val="Macro1"/>
      <sheetName val="General Shedule of rates"/>
      <sheetName val="TB9798OBPL06_(2)74"/>
      <sheetName val="CORPN_OCT74"/>
      <sheetName val="inout_consol-nov74"/>
      <sheetName val="inout_consol_(2)74"/>
      <sheetName val="AS_ON_DT_EXPS_Mar74"/>
      <sheetName val="fa-pl_&amp;_mach-site74"/>
      <sheetName val="fa_off_eqp74"/>
      <sheetName val="fa_fur&amp;_fix74"/>
      <sheetName val="fa-pl_&amp;_mach-Off74"/>
      <sheetName val="B_Equity-sdpl_INC74"/>
      <sheetName val="inout_consol_wkg74"/>
      <sheetName val="inout_consol_WKNG74"/>
      <sheetName val="B_Sheet_9774"/>
      <sheetName val="P&amp;L_97_74"/>
      <sheetName val="B_Sheet_97-BEXP74"/>
      <sheetName val="P&amp;L_97_-BEXP74"/>
      <sheetName val="consol_flows74"/>
      <sheetName val="sdpl_oth_Liab74"/>
      <sheetName val="obpl-oth_liab74"/>
      <sheetName val="G_land_advance74"/>
      <sheetName val="I-Wip-ot_(2)74"/>
      <sheetName val="detail_WIP_(2)74"/>
      <sheetName val="detail_G-174"/>
      <sheetName val="sobha_menon_ac74"/>
      <sheetName val="pnc_ac74"/>
      <sheetName val="fix_-p_&amp;_M_-SCC74"/>
      <sheetName val="C_fix_asst74"/>
      <sheetName val="D_fix_asst_scdl_74"/>
      <sheetName val="creditors_tb_obpl74"/>
      <sheetName val="TBAL9697_-group_wise__sdpl84"/>
      <sheetName val="TBAL9697_-group_wise_74"/>
      <sheetName val="crs_-G-174"/>
      <sheetName val="TBAL9697_-group_wise__onpl74"/>
      <sheetName val="B_Sheet_97-OBPL74"/>
      <sheetName val="B_Sheet_97_sdpl74"/>
      <sheetName val="TBAL9697_-group_wise__sdpl274"/>
      <sheetName val="inout_consol_jan74"/>
      <sheetName val="consol_flow74"/>
      <sheetName val="D_Loan__Prom74"/>
      <sheetName val="E_Bank_Loan74"/>
      <sheetName val="G_work_Cap74"/>
      <sheetName val="H_land_adv-dec74"/>
      <sheetName val="J_Con_WIP74"/>
      <sheetName val="detail_J74"/>
      <sheetName val="L_Oth_Co74"/>
      <sheetName val="K_fix_asst__74"/>
      <sheetName val="C_fix_asst-SDPL_74"/>
      <sheetName val="TBAL9697__group_wise__sdpl74"/>
      <sheetName val="inout_consol_okg74"/>
      <sheetName val="detail_OIP_(2)74"/>
      <sheetName val="D_fix_ysst_scdl_74"/>
      <sheetName val="cre`itors_tb_obpl74"/>
      <sheetName val="3AL9697_-group_wise__onpl74"/>
      <sheetName val="L_Oth_Bo73"/>
      <sheetName val="3‰AL9697_-group_wise__onpl73"/>
      <sheetName val="Civil_Boq73"/>
      <sheetName val="Staff_Acco_75"/>
      <sheetName val="SITE_OVERHEADS73"/>
      <sheetName val="Project-Material_73"/>
      <sheetName val="Boq_Block_A73"/>
      <sheetName val="PRECAST_lightconc-II71"/>
      <sheetName val="1__PayRec70"/>
      <sheetName val="Cashflow_projection70"/>
      <sheetName val="SPT_vs_PHI70"/>
      <sheetName val="key_dates70"/>
      <sheetName val="Blr_hire70"/>
      <sheetName val="Labor_abs-NMR70"/>
      <sheetName val="3�AL9697_-group_wise__onpl73"/>
      <sheetName val="INPUT_SHEET70"/>
      <sheetName val="CORPN_OT66"/>
      <sheetName val="ino4t_conso,-nov70"/>
      <sheetName val="(nout_co,sol_(2)70"/>
      <sheetName val="dpl_oth_Lia`66"/>
      <sheetName val="_bpl,oth_lia_70"/>
      <sheetName val="G_,and_adv_nce70"/>
      <sheetName val="I,Wip-ot__2)70"/>
      <sheetName val="det!il_WIP_(2)70"/>
      <sheetName val="de4ail_G-170"/>
      <sheetName val="sobha_mennn_ac70"/>
      <sheetName val="C_&amp;ix_asst70"/>
      <sheetName val="_x005f_x0003_dpl_oth_Lia`70"/>
      <sheetName val="TBAL9697__x005f_x000d_grotp_wise_70"/>
      <sheetName val="St_co_91_5lvl70"/>
      <sheetName val="Sun_E_Type70"/>
      <sheetName val="Fin_Sum70"/>
      <sheetName val="CORPN_O?T70"/>
      <sheetName val="TBAL9697__x000a_grotp_wise_70"/>
      <sheetName val="Stress_Calculation70"/>
      <sheetName val="labour_coeff68"/>
      <sheetName val="Shuttering_Analysis68"/>
      <sheetName val="General_P+M68"/>
      <sheetName val="Curing_Analysis_68"/>
      <sheetName val="Concrete_P+M_(_RMC_)68"/>
      <sheetName val="P+M_(_SMC_)68"/>
      <sheetName val="P+M_-EW68"/>
      <sheetName val="P&amp;L_-_AD68"/>
      <sheetName val="CORPN_O_x005f_x0000_T70"/>
      <sheetName val="SUPPLY_-Sanitary_Fixtures70"/>
      <sheetName val="ITEMS_FOR_CIVIL_TENDER70"/>
      <sheetName val="_x005f_x005f_x005f_x0003_dpl_oth_Lia`70"/>
      <sheetName val="TBAL9697__x005f_x005f_x005f_x000d_grotp_w70"/>
      <sheetName val="CORPN_O70"/>
      <sheetName val="Fin__Assumpt__-_Sensitivities68"/>
      <sheetName val="LOAD_SHEET_68"/>
      <sheetName val="Fill_this_out_first___68"/>
      <sheetName val="Labour_productivity68"/>
      <sheetName val="RCC,Ret__Wall68"/>
      <sheetName val="CORPN_O_T68"/>
      <sheetName val="Area_&amp;_Cate__Master68"/>
      <sheetName val="DLC_lookups68"/>
      <sheetName val="DG_70"/>
      <sheetName val="TBAL9697__grotp_wise_309"/>
      <sheetName val="Bill_No_568"/>
      <sheetName val="11B_68"/>
      <sheetName val="BOQ_(2)68"/>
      <sheetName val="Driveway_Beams68"/>
      <sheetName val="Fee_Rate_Summary68"/>
      <sheetName val="Name_List68"/>
      <sheetName val="Detail_1A68"/>
      <sheetName val="Structure_Bills_Qty68"/>
      <sheetName val="Break_Dw68"/>
      <sheetName val="TBAL9697__x005f_x000a_grotp_wise_68"/>
      <sheetName val="Quote_Sheet68"/>
      <sheetName val="d-safe_DELUXE68"/>
      <sheetName val="Works_-_Quote_Sheet68"/>
      <sheetName val="IO_LIST68"/>
      <sheetName val="TBAL9697__x005f_x000d_grotp_wis68"/>
      <sheetName val="TBAL9697__grotp_wise_325"/>
      <sheetName val="CORPN_O_x005f_x005f_x005f_x0000_T68"/>
      <sheetName val="220_11__BS_68"/>
      <sheetName val="Cat_A_Change_Control68"/>
      <sheetName val="Break_up_Sheet68"/>
      <sheetName val="Summary_of_P_&amp;_M68"/>
      <sheetName val="FITZ_MORT_9468"/>
      <sheetName val="ISO_Reconcilation_Statment68"/>
      <sheetName val="AVG_pur_rate68"/>
      <sheetName val="BLOCK-A_(MEA_SHEET)68"/>
      <sheetName val="Sheet_168"/>
      <sheetName val="3BPA00132-5-3_W_plan_HVPNL68"/>
      <sheetName val="Mix_Design68"/>
      <sheetName val="NLD_-_Assum68"/>
      <sheetName val="LIST_OF_MAKES68"/>
      <sheetName val="Civil_Works68"/>
      <sheetName val="Form_668"/>
      <sheetName val="acevsSp_(ABC)68"/>
      <sheetName val="A_O_R_68"/>
      <sheetName val="Intro_68"/>
      <sheetName val="INDIGINEOUS_ITEMS_21"/>
      <sheetName val="Cash_Flow_Input_Data_ISC40"/>
      <sheetName val="TBAL9697__x005f_x005f_x005f_x005f_x005f_x005f_x40"/>
      <sheetName val="Assumption_Inputs68"/>
      <sheetName val="DETAILED__BOQ38"/>
      <sheetName val="CABLE_DATA38"/>
      <sheetName val="Mat_-Rates38"/>
      <sheetName val="Tender_Summary21"/>
      <sheetName val="Legal_Risk_Analysis38"/>
      <sheetName val="tie_beam21"/>
      <sheetName val="Section_Catalogue68"/>
      <sheetName val="BOQ_13"/>
      <sheetName val="Site_Dev_BOQ14"/>
      <sheetName val="Elect_14"/>
      <sheetName val="TBAL9697__x005f_x005f_x005f_x000a_grotp_w13"/>
      <sheetName val="Deduction_of_assets17"/>
      <sheetName val="Excess_Calc13"/>
      <sheetName val="PO_Payroll13"/>
      <sheetName val="COP_Final13"/>
      <sheetName val="SPILL_OVER13"/>
      <sheetName val="Pacakges_split13"/>
      <sheetName val="TBAL9697__grotp_wise_326"/>
      <sheetName val="TBAL9697__grotp_wise_1104"/>
      <sheetName val="Detail_In_Door_Stad13"/>
      <sheetName val="TBAL9697__x000a_grotp_wis64"/>
      <sheetName val="Debits_as_on_12_04_0813"/>
      <sheetName val="CORPN_O_x005f_x005f_x005f_x005f_x005f_x005f_x0013"/>
      <sheetName val="Data_sheet13"/>
      <sheetName val="Per_Unit13"/>
      <sheetName val="Labor_abs-PW13"/>
      <sheetName val="AutoOpen_Stub_Data13"/>
      <sheetName val="Material_13"/>
      <sheetName val="Extra_Item13"/>
      <sheetName val="Labour_&amp;_Plant13"/>
      <sheetName val="Gen_Info13"/>
      <sheetName val="final_abstract13"/>
      <sheetName val="Meas_-Hotel_Part13"/>
      <sheetName val="Cost_summary13"/>
      <sheetName val="TBAL9697__grotp_wise_2101"/>
      <sheetName val="TBAL9697__grotp_wise_425"/>
      <sheetName val="TBAL9697__grotp_wise_327"/>
      <sheetName val="TBAL9697__grotp_wise_523"/>
      <sheetName val="TBAL9697__grotp_wise_620"/>
      <sheetName val="TBAL9697__grotp_wise_718"/>
      <sheetName val="TBAL9697__grotp_wise_818"/>
      <sheetName val="TBAL9697__grotp_wise_918"/>
      <sheetName val="TBAL9697__grotp_wise_1018"/>
      <sheetName val="TBAL9697__grotp_wise_1615"/>
      <sheetName val="TBAL9697__grotp_wise_1217"/>
      <sheetName val="TBAL9697__grotp_wise_1118"/>
      <sheetName val="TBAL9697__grotp_wise_1317"/>
      <sheetName val="TBAL9697__grotp_wise_1416"/>
      <sheetName val="TBAL9697__grotp_wise_1515"/>
      <sheetName val="TBAL9697__grotp_wise_2216"/>
      <sheetName val="TBAL9697__grotp_wise_1714"/>
      <sheetName val="TBAL9697__grotp_wise_1814"/>
      <sheetName val="TBAL9697__grotp_wise_1914"/>
      <sheetName val="TBAL9697__grotp_wise_2014"/>
      <sheetName val="TBAL9697__grotp_wise_2118"/>
      <sheetName val="TBAL9697__grotp_wise_2314"/>
      <sheetName val="TBAL9697__grotp_wise_2414"/>
      <sheetName val="General_input13"/>
      <sheetName val="6_0513"/>
      <sheetName val="Abstract_Sheet13"/>
      <sheetName val="Boq-_Civil13"/>
      <sheetName val="BASIC_RATES13"/>
      <sheetName val="Contract_Night_Staff13"/>
      <sheetName val="Contract_Day_Staff13"/>
      <sheetName val="Day_Shift13"/>
      <sheetName val="Night_Shift13"/>
      <sheetName val="Main_Gate_House13"/>
      <sheetName val="lineby_line_consolidation13"/>
      <sheetName val="Base_Assumptions13"/>
      <sheetName val="_COP_100%13"/>
      <sheetName val="Lintel_Beam_104_70_(GF)__13"/>
      <sheetName val="TBAL9697__x005f_x005f_x0014"/>
      <sheetName val="CORPN_O_x005f_x005f_x000013"/>
      <sheetName val="TBAL9697__x005f_x000a_grotp_wis13"/>
      <sheetName val="fa-pl_&amp;_myy_x001"/>
      <sheetName val="TBAL9697_-group_wise_sdpl13"/>
      <sheetName val="_13"/>
      <sheetName val="TBAL9697__grotp_wise_2514"/>
      <sheetName val="TBAL9697__grotp_wise_2614"/>
      <sheetName val="Area_Statement13"/>
      <sheetName val="Risk_Analysis13"/>
      <sheetName val="BOQ_Distribution12"/>
      <sheetName val="CFForecast_detail12"/>
      <sheetName val="beam-reinft-IIInd_floor12"/>
      <sheetName val="BS_-_L+OE12"/>
      <sheetName val="Approved_MTD_Proj_#'s12"/>
      <sheetName val="9__Package_split_-_Cost_12"/>
      <sheetName val="Project_Budget_Worksheet12"/>
      <sheetName val="CORPN_O_x005f_x005f_x005f12"/>
      <sheetName val="indices_9"/>
      <sheetName val="Material_List_12"/>
      <sheetName val="SITE_DEVELOPMENT12"/>
      <sheetName val="Building_112"/>
      <sheetName val="Lead_(Final)12"/>
      <sheetName val="Pile_cap9"/>
      <sheetName val="M_S_9"/>
      <sheetName val="schedule_nos12"/>
      <sheetName val="Material_Rate12"/>
      <sheetName val="Customize_Your_Purchase_Order12"/>
      <sheetName val="fa-pl_&amp;_myy_x005f_x000b__x005f_x000b__x12"/>
      <sheetName val="TBAL9697__x000a_grotp_wis66"/>
      <sheetName val="TBAL9697__x0013"/>
      <sheetName val="CORPN_O_x000012"/>
      <sheetName val="Rate_Analysis_12"/>
      <sheetName val="Service_Function12"/>
      <sheetName val="appendix_2_5_final_accounts12"/>
      <sheetName val="Risk_Assmnt12"/>
      <sheetName val="CORPN_O_x005f13"/>
      <sheetName val="Bill_3_-_Site_Works12"/>
      <sheetName val="Basic_Rate12"/>
      <sheetName val="INFLUENCES_ON_GM12"/>
      <sheetName val="Mat_Cost9"/>
      <sheetName val="Invested_capital_VDF8"/>
      <sheetName val="PV_of_Op_Leases_VDF8"/>
      <sheetName val="Load_Details(B2)12"/>
      <sheetName val="TBAL9697__grotp_wise_2713"/>
      <sheetName val="TBAL9697__grotp_wis78"/>
      <sheetName val="Cost_Index9"/>
      <sheetName val="Labor_Rates8"/>
      <sheetName val="Capex_Estimates8"/>
      <sheetName val="General_Assumptions8"/>
      <sheetName val="GR_slab-reinft12"/>
      <sheetName val="Indirect_expenses12"/>
      <sheetName val="Sheet_212"/>
      <sheetName val="AoR_Finishing12"/>
      <sheetName val="Input_&amp;_Calculations8"/>
      <sheetName val="Cost_Basis9"/>
      <sheetName val="소상_&quot;1&quot;9"/>
      <sheetName val="CPT_POST_UPLOAD9"/>
      <sheetName val="KQ_Cost_Controlling9"/>
      <sheetName val="KQ_Appropriation9"/>
      <sheetName val="class_&amp;_category9"/>
      <sheetName val="code_Control_Sheet9"/>
      <sheetName val="P_&amp;_M12"/>
      <sheetName val="MS_Items12"/>
      <sheetName val="PA-_Consutant_8"/>
      <sheetName val="DDETABLE_12"/>
      <sheetName val="2_civil-RA9"/>
      <sheetName val="TBAL9697__grotp_wis79"/>
      <sheetName val="Sheet3_(2)9"/>
      <sheetName val="Bill_19"/>
      <sheetName val="Bill_29"/>
      <sheetName val="Bill_39"/>
      <sheetName val="Bill_49"/>
      <sheetName val="Bill_59"/>
      <sheetName val="Bill_69"/>
      <sheetName val="Bill_79"/>
      <sheetName val="fa-pl_&amp;_myy_x005f_x000b__9"/>
      <sheetName val="Detail_P&amp;L9"/>
      <sheetName val="Assumption_Sheet8"/>
      <sheetName val="Overall_Summary8"/>
      <sheetName val="Summary_CFA_total_-_CP1_&amp;_CP28"/>
      <sheetName val="TBAL9697__grotp_wis80"/>
      <sheetName val="SCHEDULE_OF_RATES8"/>
      <sheetName val="Layer_Table8"/>
      <sheetName val="Annexue_B3"/>
      <sheetName val="Basic_rate_summary8"/>
      <sheetName val="Basic_rate_calculations8"/>
      <sheetName val="rcc(_sub)3"/>
      <sheetName val="New_Construction8"/>
      <sheetName val="Beam_at_Ground_flr_lvl(Steel)8"/>
      <sheetName val="Main_Assump_8"/>
      <sheetName val="BEAM_SCH8"/>
      <sheetName val="SLAB__SCH_8"/>
      <sheetName val="R_MTL8"/>
      <sheetName val="GUT_(2)8"/>
      <sheetName val="MB_Prod8"/>
      <sheetName val="TAX_INCOME9"/>
      <sheetName val="Depart_Budget9"/>
      <sheetName val="Bill_1-BOQ-Civil_Works8"/>
      <sheetName val="Bill-5_28"/>
      <sheetName val="Bill-9_18"/>
      <sheetName val="Bill-6_1_1-6_1_38"/>
      <sheetName val="RA_Bill_summary_til_Apr198"/>
      <sheetName val="APTIDCO_CV_A_SCOPE8"/>
      <sheetName val="Rates_7-208"/>
      <sheetName val="organi_synthesis_lab8"/>
      <sheetName val="Civil_(RA)__Resi_4"/>
      <sheetName val="EA_Sheet4"/>
      <sheetName val="Boq_(Main_Building)8"/>
      <sheetName val="CORPN_O_x005f_x005f_x005f_x005f_x005f_x005f_x0058"/>
      <sheetName val="Customize_Your_Invoice8"/>
      <sheetName val="Sqn-Abs(G+6)_8"/>
      <sheetName val="WO-Abs_(G+2)_6_DUs8"/>
      <sheetName val="Air-Abs(G+6)_23_DUs8"/>
      <sheetName val="5__EA8"/>
      <sheetName val="Item-_Compact8"/>
      <sheetName val="CIVIL_BOQ_(Final)8"/>
      <sheetName val="Loan_Amortization_Schedule8"/>
      <sheetName val="S-MMS_without_TFA8"/>
      <sheetName val="TBAL9697__grotp_wise_2911"/>
      <sheetName val="TBAL9697__grotp_wise_2812"/>
      <sheetName val="TBAL9697__grotp_wise_3010"/>
      <sheetName val="ONE_TIME4"/>
      <sheetName val="CC_June9"/>
      <sheetName val="Key_Ass8"/>
      <sheetName val="bs_BP_04_SA8"/>
      <sheetName val="Col_up_to_plinth8"/>
      <sheetName val="int__pla_8"/>
      <sheetName val="Manpower_Histogram8"/>
      <sheetName val="TBAL9697__grotp_wis129"/>
      <sheetName val="TBAL9697__grotp_wis229"/>
      <sheetName val="TBAL9697__grotp_wis314"/>
      <sheetName val="TBAL9697__grotp_wis413"/>
      <sheetName val="TBAL9697__grotp_wis512"/>
      <sheetName val="TBAL9697__grotp_wis610"/>
      <sheetName val="TBAL9697__grotp_wis710"/>
      <sheetName val="TBAL9697__grotp_wis88"/>
      <sheetName val="TBAL9697__grotp_wis148"/>
      <sheetName val="TBAL9697__grotp_wis108"/>
      <sheetName val="TBAL9697__grotp_wis98"/>
      <sheetName val="TBAL9697__grotp_wis1113"/>
      <sheetName val="TBAL9697__grotp_wis1210"/>
      <sheetName val="TBAL9697__grotp_wis138"/>
      <sheetName val="TBAL9697__grotp_wis208"/>
      <sheetName val="TBAL9697__grotp_wis158"/>
      <sheetName val="TBAL9697__grotp_wis168"/>
      <sheetName val="TBAL9697__grotp_wis178"/>
      <sheetName val="TBAL9697__grotp_wis188"/>
      <sheetName val="TBAL9697__grotp_wis198"/>
      <sheetName val="TBAL9697__grotp_wis2112"/>
      <sheetName val="TBAL9697__grotp_wis2210"/>
      <sheetName val="TBAL9697__grotp_wis238"/>
      <sheetName val="TBAL9697__grotp_wis248"/>
      <sheetName val="TBAL9697__grotp_wis258"/>
      <sheetName val="Staff_Acco_76"/>
      <sheetName val="Basement_Budget8"/>
      <sheetName val="PB_WORK8"/>
      <sheetName val="V_O_4_-_PCC_Qty4"/>
      <sheetName val="A_O_R_r14"/>
      <sheetName val="A_O_R_r1Str4"/>
      <sheetName val="Order_Info4"/>
      <sheetName val="1st_-vpd4"/>
      <sheetName val="Input_Data4"/>
      <sheetName val="MLCP_Connection_Details4"/>
      <sheetName val="MERGED_CODES_&amp;_NAMES4"/>
      <sheetName val="INPUT_(BPL)4"/>
      <sheetName val="Break_Up_(bc)4"/>
      <sheetName val="Break_Up_(bc1)4"/>
      <sheetName val="Break_Up_(bc2)4"/>
      <sheetName val="old_boq2"/>
      <sheetName val="Loan_Schedule4"/>
      <sheetName val="L_(4)2"/>
      <sheetName val="Commodity_Plan_Front_Block4"/>
      <sheetName val="Commodity_Plan_Rear_Block4"/>
      <sheetName val="99_조정금액4"/>
      <sheetName val="Boq__structure_4"/>
      <sheetName val="Category_A_-_No_Material4"/>
      <sheetName val="Category_B_-_Major_Works4"/>
      <sheetName val="Category_C_-_Minor_Works4"/>
      <sheetName val="Default_Values3"/>
      <sheetName val="fa-pl_&amp;_myy_5"/>
      <sheetName val="Site_Infrastructure3"/>
      <sheetName val="New_C_PM3"/>
      <sheetName val="Client_Addresses3"/>
      <sheetName val="New_May3"/>
      <sheetName val="TB_MAR20043"/>
      <sheetName val="Staffing_Sheet3"/>
      <sheetName val="Data_Elements-Staffing3"/>
      <sheetName val="Detailed_Summary_(4)8"/>
      <sheetName val="GM_0005"/>
      <sheetName val="Table_44"/>
      <sheetName val="Table_54"/>
      <sheetName val="Table_24"/>
      <sheetName val="Table_274"/>
      <sheetName val="Story_Drift-Part_23"/>
      <sheetName val="TPL_RECEIPTS_MB512"/>
      <sheetName val="ROW_Orders_for_March_052"/>
      <sheetName val="PKG_PO2"/>
      <sheetName val="LLM_DPRECEIPTS_MB512"/>
      <sheetName val="ZSEM_stock_(ympc038)2"/>
      <sheetName val="MFG_PO2"/>
      <sheetName val="Design_sheet2"/>
      <sheetName val="4K_-_(6a)_Non_Manual_Breakdown4"/>
      <sheetName val="2_0_Floor_Area_Summary2"/>
      <sheetName val="Combined_Results_4"/>
      <sheetName val="M_R_List_(2)4"/>
      <sheetName val="N-Amritsar_1353"/>
      <sheetName val="IT-Fri_Base2"/>
      <sheetName val="Capital_Structure2"/>
      <sheetName val="BASIC_MATERIALS2"/>
      <sheetName val="Plant_&amp;__Machinery2"/>
      <sheetName val="Bed_Class4"/>
      <sheetName val="water_prop_2"/>
      <sheetName val="Tie_Beam_Steel-R0-12"/>
      <sheetName val="Balance_Sheet_3"/>
      <sheetName val="cost_centre3"/>
      <sheetName val="INPUT_SHEET_-_A4"/>
      <sheetName val="PANEL_ANNEXURE3"/>
      <sheetName val="_IO_List2"/>
      <sheetName val="Dropdown_list2"/>
      <sheetName val="TBAL9697__x005f_x005f_x005f_x005f_x005"/>
      <sheetName val="CORPN_O_x005f_x005f_x005f_x005f_x00004"/>
      <sheetName val="CORPN_O_x005f_x005f_x005f_x005f_x005f3"/>
      <sheetName val="fa-pl_&amp;_myy_x005f_x005f_x005f_x000b__x005f3"/>
      <sheetName val="Reference_Data2"/>
      <sheetName val="CIP_Summary_00122"/>
      <sheetName val="CIP_Detail_00112"/>
      <sheetName val="99_to_00_blns2"/>
      <sheetName val="Ring_Details2"/>
      <sheetName val="TBAL9697__grotp_wise_3112"/>
      <sheetName val="TBAL9697__grotp_wise_328"/>
      <sheetName val="labour_rates3"/>
      <sheetName val="foot-slab_reinft2"/>
      <sheetName val="Operating_Statistics2"/>
      <sheetName val="Ave_wtd_rates2"/>
      <sheetName val="Column_BBS-Block92"/>
      <sheetName val="CASH_CONTRACTS2"/>
      <sheetName val="Qty_SR2"/>
      <sheetName val="factor_2"/>
      <sheetName val="Abt_Foundation_2"/>
      <sheetName val="pier_Foundation2"/>
      <sheetName val="Master_Rates2"/>
      <sheetName val="RATES_(2)2"/>
      <sheetName val="GrossMgn_982"/>
      <sheetName val="MAR_022"/>
      <sheetName val="RCC_Rates2"/>
      <sheetName val="Column_all_floor_R12"/>
      <sheetName val="activit-graph__2"/>
      <sheetName val="Table-2_(Rate_Comparison)2"/>
      <sheetName val="7_Steel_Rein_2"/>
      <sheetName val="M-_Rate4"/>
      <sheetName val="MB_FOR_SUPERSTRUCTURE2"/>
      <sheetName val="A_O_R_(2)2"/>
      <sheetName val="TBAL9697__grotp_wis263"/>
      <sheetName val="TBAL9697__grotp_wis273"/>
      <sheetName val="TBAL9697__grotp_wis283"/>
      <sheetName val="TBAL9697__grotp_wis293"/>
      <sheetName val="TBAL9697__grotp_wise_333"/>
      <sheetName val="TBAL9697__grotp_wise_343"/>
      <sheetName val="TBAL9697__grotp_wise_353"/>
      <sheetName val="TBAL9697__grotp_wise_363"/>
      <sheetName val="TBAL9697__grotp_wise_373"/>
      <sheetName val="TBAL9697__grotp_wise_393"/>
      <sheetName val="TBAL9697__grotp_wise_383"/>
      <sheetName val="TBAL9697__grotp_wise_403"/>
      <sheetName val="TBAL9697__grotp_wise_426"/>
      <sheetName val="TBAL9697__grotp_wise_4112"/>
      <sheetName val="TBAL9697__grotp_wise_433"/>
      <sheetName val="TBAL9697__grotp_wise_443"/>
      <sheetName val="TBAL9697__grotp_wise_453"/>
      <sheetName val="TBAL9697__grotp_wise_463"/>
      <sheetName val="TBAL9697__grotp_wise_473"/>
      <sheetName val="TBAL9697__grotp_wise_483"/>
      <sheetName val="TBAL9697__grotp_wise_493"/>
      <sheetName val="TBAL9697__grotp_wise_503"/>
      <sheetName val="TBAL9697__grotp_wise_5112"/>
      <sheetName val="TBAL9697__grotp_wise_524"/>
      <sheetName val="TBAL9697__grotp_wise_583"/>
      <sheetName val="TBAL9697__grotp_wise_533"/>
      <sheetName val="TBAL9697__grotp_wise_543"/>
      <sheetName val="TBAL9697__grotp_wise_553"/>
      <sheetName val="TBAL9697__grotp_wise_573"/>
      <sheetName val="TBAL9697__grotp_wise_563"/>
      <sheetName val="TBAL9697__grotp_wise_593"/>
      <sheetName val="TBAL9697__grotp_wise_603"/>
      <sheetName val="TBAL9697__grotp_wise_6111"/>
      <sheetName val="TBAL9697__grotp_wise_633"/>
      <sheetName val="TBAL9697__grotp_wise_623"/>
      <sheetName val="TBAL9697__grotp_wise_643"/>
      <sheetName val="TBAL9697__grotp_wi13"/>
      <sheetName val="july_(2)2"/>
      <sheetName val="bending_stress2"/>
      <sheetName val="OLD_IC2"/>
      <sheetName val="TENDER_STUDY2"/>
      <sheetName val="DRG_STUDY2"/>
      <sheetName val="BOUGHT_OUT2"/>
      <sheetName val="RA_2"/>
      <sheetName val="STAFFSCHED_3"/>
      <sheetName val="fa-pl_&amp;_myy_x01"/>
      <sheetName val="fa-pl_&amp;_myy_x02"/>
      <sheetName val="dpl_oth_Lia`38"/>
      <sheetName val="TBAL9697__x000a_grotp_wis36"/>
      <sheetName val="dpl_oth_Lia`34"/>
      <sheetName val="dpl_oth_Lia`33"/>
      <sheetName val="dpl_oth_Lia`35"/>
      <sheetName val="dpl_oth_Lia`36"/>
      <sheetName val="dpl_oth_Lia`37"/>
      <sheetName val="dpl_oth_Lia`44"/>
      <sheetName val="TBAL9697__x000a_grotp_wis42"/>
      <sheetName val="dpl_oth_Lia`39"/>
      <sheetName val="TBAL9697__x000a_grotp_wis37"/>
      <sheetName val="dpl_oth_Lia`40"/>
      <sheetName val="TBAL9697__x000a_grotp_wis38"/>
      <sheetName val="dpl_oth_Lia`42"/>
      <sheetName val="TBAL9697__x000a_grotp_wis40"/>
      <sheetName val="dpl_oth_Lia`41"/>
      <sheetName val="TBAL9697__x000a_grotp_wis39"/>
      <sheetName val="dpl_oth_Lia`43"/>
      <sheetName val="TBAL9697__x000a_grotp_wis41"/>
      <sheetName val="dpl_oth_Lia`45"/>
      <sheetName val="TBAL9697__x000a_grotp_wis43"/>
      <sheetName val="dpl_oth_Lia`58"/>
      <sheetName val="TBAL9697__x000a_grotp_wis56"/>
      <sheetName val="dpl_oth_Lia`46"/>
      <sheetName val="TBAL9697__x000a_grotp_wis44"/>
      <sheetName val="dpl_oth_Lia`47"/>
      <sheetName val="TBAL9697__x000a_grotp_wis45"/>
      <sheetName val="dpl_oth_Lia`50"/>
      <sheetName val="TBAL9697__x000a_grotp_wis48"/>
      <sheetName val="dpl_oth_Lia`48"/>
      <sheetName val="TBAL9697__x000a_grotp_wis46"/>
      <sheetName val="dpl_oth_Lia`49"/>
      <sheetName val="TBAL9697__x000a_grotp_wis47"/>
      <sheetName val="dpl_oth_Lia`51"/>
      <sheetName val="TBAL9697__x000a_grotp_wis49"/>
      <sheetName val="dpl_oth_Lia`52"/>
      <sheetName val="TBAL9697__x000a_grotp_wis50"/>
      <sheetName val="dpl_oth_Lia`53"/>
      <sheetName val="TBAL9697__x000a_grotp_wis51"/>
      <sheetName val="dpl_oth_Lia`54"/>
      <sheetName val="TBAL9697__x000a_grotp_wis52"/>
      <sheetName val="dpl_oth_Lia`55"/>
      <sheetName val="TBAL9697__x000a_grotp_wis53"/>
      <sheetName val="dpl_oth_Lia`57"/>
      <sheetName val="TBAL9697__x000a_grotp_wis55"/>
      <sheetName val="dpl_oth_Lia`56"/>
      <sheetName val="TBAL9697__x000a_grotp_wis54"/>
      <sheetName val="dpl_oth_Lia`59"/>
      <sheetName val="TBAL9697__x000a_grotp_wis57"/>
      <sheetName val="dpl_oth_Lia`60"/>
      <sheetName val="TBAL9697__x000a_grotp_wis58"/>
      <sheetName val="dpl_oth_Lia`61"/>
      <sheetName val="TBAL9697__x000a_grotp_wis59"/>
      <sheetName val="MASONARY_2"/>
      <sheetName val="E_&amp;_R2"/>
      <sheetName val="Input_Rates2"/>
      <sheetName val="Source_Ref_4"/>
      <sheetName val="1_01_1_to_1_01_52"/>
      <sheetName val="1_01_62"/>
      <sheetName val="1_01_72"/>
      <sheetName val="1_02_12"/>
      <sheetName val="1_03_12"/>
      <sheetName val="1_03_22"/>
      <sheetName val="1_03_32"/>
      <sheetName val="1_04_12"/>
      <sheetName val="1_05_12"/>
      <sheetName val="1_06_12"/>
      <sheetName val="1_06_22"/>
      <sheetName val="2_01_1_to_2_01_5-2"/>
      <sheetName val="2_01_62"/>
      <sheetName val="2_01_72"/>
      <sheetName val="2_01_82"/>
      <sheetName val="2_02_12"/>
      <sheetName val="2_03_12"/>
      <sheetName val="2_03_22"/>
      <sheetName val="2_03_32"/>
      <sheetName val="2_04_12"/>
      <sheetName val="2_05_12"/>
      <sheetName val="2_06_12"/>
      <sheetName val="2_06_22"/>
      <sheetName val="2_07_18"/>
      <sheetName val="2_07_22"/>
      <sheetName val="2_07_32"/>
      <sheetName val="2_07_42"/>
      <sheetName val="2_07_52"/>
      <sheetName val="2_07_62"/>
      <sheetName val="2_07_72"/>
      <sheetName val="2_07_82"/>
      <sheetName val="2_07_92"/>
      <sheetName val="2_07_102"/>
      <sheetName val="2_07_112"/>
      <sheetName val="2_07_122"/>
      <sheetName val="2_07_132"/>
      <sheetName val="2_07_142"/>
      <sheetName val="2_07_152"/>
      <sheetName val="2_07_162"/>
      <sheetName val="3_01_1_to_3_01_52"/>
      <sheetName val="3_01_62"/>
      <sheetName val="3_01_72"/>
      <sheetName val="3_03_12"/>
      <sheetName val="3_03_22"/>
      <sheetName val="3_04_12"/>
      <sheetName val="3_05_12"/>
      <sheetName val="4_01_1_to_4_01_52"/>
      <sheetName val="4_01_62"/>
      <sheetName val="4_01_72"/>
      <sheetName val="4_01_82"/>
      <sheetName val="4_03_12"/>
      <sheetName val="4_03_22"/>
      <sheetName val="4_04_12"/>
      <sheetName val="4_05_12"/>
      <sheetName val="4_07_18"/>
      <sheetName val="4_07_22"/>
      <sheetName val="4_07_32"/>
      <sheetName val="4_07_42"/>
      <sheetName val="4_07_52"/>
      <sheetName val="4_07_62"/>
      <sheetName val="4_07_72"/>
      <sheetName val="4_07_82"/>
      <sheetName val="4_07_92"/>
      <sheetName val="4_07_102"/>
      <sheetName val="4_07_112"/>
      <sheetName val="4_07_122"/>
      <sheetName val="4_07_132"/>
      <sheetName val="4_07_142"/>
      <sheetName val="4_07_152"/>
      <sheetName val="4_07_162"/>
      <sheetName val="5_01_12"/>
      <sheetName val="5_01_22"/>
      <sheetName val="5_01_32"/>
      <sheetName val="5_01_42"/>
      <sheetName val="5_02_12"/>
      <sheetName val="5_02_22"/>
      <sheetName val="5_02_32"/>
      <sheetName val="5_02_42"/>
      <sheetName val="6_01_1_to_6_01_52"/>
      <sheetName val="6_01_62"/>
      <sheetName val="6_02_1_to_6_02_52"/>
      <sheetName val="6_02_62"/>
      <sheetName val="7_01_12"/>
      <sheetName val="7_01_22"/>
      <sheetName val="7_02_12"/>
      <sheetName val="7_02_22"/>
      <sheetName val="7_03_12"/>
      <sheetName val="7_03_22"/>
      <sheetName val="8_01_12"/>
      <sheetName val="8_01_22"/>
      <sheetName val="8_01_32"/>
      <sheetName val="8_01_42"/>
      <sheetName val="BOQ_in_CRN_Formate2"/>
      <sheetName val="Cumul_2"/>
      <sheetName val="GST__Inv__2"/>
      <sheetName val="Ill__Imm__Cert_2"/>
      <sheetName val="Work_Compl__Cert_2"/>
      <sheetName val="Staff_Forecast_spread2"/>
      <sheetName val="APPENDIX_4_1a2"/>
      <sheetName val="IS__8752"/>
      <sheetName val="Boq-_Zero2"/>
      <sheetName val="SB_SCH_A72"/>
      <sheetName val="11_kV_SWGR2"/>
      <sheetName val="exp-ded-jan'_062"/>
      <sheetName val="DOOR-WINDOW_SCHEDULE2"/>
      <sheetName val="BOB_DETAILS2"/>
      <sheetName val="Podium_Areas2"/>
      <sheetName val="F4_132"/>
      <sheetName val="Cash_Flow_Working2"/>
      <sheetName val="8__Cover2"/>
      <sheetName val="_Tank2"/>
      <sheetName val="spare_parts2"/>
      <sheetName val="CLEAN_SHEET_COST_FOR_cPVC_PIPE2"/>
      <sheetName val="Data_12"/>
      <sheetName val="Rates_Basic2"/>
      <sheetName val="G_R_P2"/>
      <sheetName val="PSC_REVISED2"/>
      <sheetName val="beam-reinft-machine_rm2"/>
      <sheetName val="Beam-design_exp2"/>
      <sheetName val="WORK_TABLE2"/>
      <sheetName val="Materials_Cost(PCC)2"/>
      <sheetName val="fa-pl_&amp;_myy_x03"/>
      <sheetName val="dpl_oth_Lia`62"/>
      <sheetName val="TBAL9697__x000a_grotp_wis60"/>
      <sheetName val="TBAL9697__grotp_wi23"/>
      <sheetName val="TBAL9697__grotp_wi43"/>
      <sheetName val="TBAL9697__grotp_wi33"/>
      <sheetName val="TBAL9697__grotp_wi53"/>
      <sheetName val="TBAL9697__grotp_wi63"/>
      <sheetName val="TBAL9697__grotp_wi73"/>
      <sheetName val="TBAL9697__grotp_wi83"/>
      <sheetName val="TBAL9697__grotp_wi93"/>
      <sheetName val="TBAL9697__grotp_w103"/>
      <sheetName val="TBAL9697__grotp_w163"/>
      <sheetName val="TBAL9697__grotp_w123"/>
      <sheetName val="TBAL9697__grotp_w113"/>
      <sheetName val="TBAL9697__grotp_w133"/>
      <sheetName val="TBAL9697__grotp_w143"/>
      <sheetName val="TBAL9697__grotp_w153"/>
      <sheetName val="TBAL9697__grotp_w223"/>
      <sheetName val="TBAL9697__grotp_w173"/>
      <sheetName val="TBAL9697__grotp_w183"/>
      <sheetName val="TBAL9697__grotp_w193"/>
      <sheetName val="TBAL9697__grotp_w203"/>
      <sheetName val="TBAL9697__grotp_w213"/>
      <sheetName val="TBAL9697__grotp_w233"/>
      <sheetName val="TBAL9697__grotp_w243"/>
      <sheetName val="TBAL9697__grotp_w253"/>
      <sheetName val="TBAL9697__grotp_w263"/>
      <sheetName val="dpl_oth_Lia`63"/>
      <sheetName val="TBAL9697__x000a_grotp_wis61"/>
      <sheetName val="fa-pl_&amp;_myy_x05"/>
      <sheetName val="fa-pl_&amp;_myy_2"/>
      <sheetName val="fa-pl_&amp;_myy_x04"/>
      <sheetName val="fa-pl_&amp;_myy_1"/>
      <sheetName val="dpl_oth_Lia`64"/>
      <sheetName val="TBAL9697__x000a_grotp_wis62"/>
      <sheetName val="fa-pl_&amp;_myy_x06"/>
      <sheetName val="fa-pl_&amp;_myy_3"/>
      <sheetName val="dpl_oth_Lia`65"/>
      <sheetName val="TBAL9697__x000a_grotp_wis63"/>
      <sheetName val="fa-pl_&amp;_myy_x07"/>
      <sheetName val="fa-pl_&amp;_myy_4"/>
      <sheetName val="TBAL9697__grotp_w292"/>
      <sheetName val="TBAL9697__grotp_w282"/>
      <sheetName val="TBAL9697__grotp_w272"/>
      <sheetName val="TBAL9697__grotp_w302"/>
      <sheetName val="Cabinet_details2"/>
      <sheetName val="Tools_Rev2"/>
      <sheetName val="Schedule_v12"/>
      <sheetName val="Maturity_Assessment2"/>
      <sheetName val="Head_Office-Bud2"/>
      <sheetName val="FTE_Information_and_costs2"/>
      <sheetName val="Strategic_Planning2"/>
      <sheetName val="Calendar_year_Summary_Plan2"/>
      <sheetName val="SCEL_Funding2"/>
      <sheetName val="BOQ_LT2"/>
      <sheetName val="MN_T_B_2"/>
      <sheetName val="Calculation_Sheet2"/>
      <sheetName val="Column_Detail2"/>
      <sheetName val="CORPN_OT68"/>
      <sheetName val="TB9798OBPL06_(2)73"/>
      <sheetName val="CORPN_OCT73"/>
      <sheetName val="inout_consol-nov73"/>
      <sheetName val="inout_consol_(2)73"/>
      <sheetName val="AS_ON_DT_EXPS_Mar73"/>
      <sheetName val="fa-pl_&amp;_mach-site73"/>
      <sheetName val="fa_off_eqp73"/>
      <sheetName val="fa_fur&amp;_fix73"/>
      <sheetName val="fa-pl_&amp;_mach-Off73"/>
      <sheetName val="B_Equity-sdpl_INC73"/>
      <sheetName val="inout_consol_wkg73"/>
      <sheetName val="inout_consol_WKNG73"/>
      <sheetName val="B_Sheet_9773"/>
      <sheetName val="P&amp;L_97_73"/>
      <sheetName val="B_Sheet_97-BEXP73"/>
      <sheetName val="P&amp;L_97_-BEXP73"/>
      <sheetName val="consol_flows73"/>
      <sheetName val="sdpl_oth_Liab73"/>
      <sheetName val="obpl-oth_liab73"/>
      <sheetName val="G_land_advance73"/>
      <sheetName val="I-Wip-ot_(2)73"/>
      <sheetName val="detail_WIP_(2)73"/>
      <sheetName val="detail_G-173"/>
      <sheetName val="sobha_menon_ac73"/>
      <sheetName val="pnc_ac73"/>
      <sheetName val="fix_-p_&amp;_M_-SCC73"/>
      <sheetName val="C_fix_asst73"/>
      <sheetName val="D_fix_asst_scdl_73"/>
      <sheetName val="creditors_tb_obpl73"/>
      <sheetName val="TBAL9697_-group_wise__sdpl83"/>
      <sheetName val="TBAL9697_-group_wise_73"/>
      <sheetName val="crs_-G-173"/>
      <sheetName val="TBAL9697_-group_wise__onpl73"/>
      <sheetName val="B_Sheet_97-OBPL73"/>
      <sheetName val="B_Sheet_97_sdpl73"/>
      <sheetName val="TBAL9697_-group_wise__sdpl273"/>
      <sheetName val="inout_consol_jan73"/>
      <sheetName val="consol_flow73"/>
      <sheetName val="D_Loan__Prom73"/>
      <sheetName val="E_Bank_Loan73"/>
      <sheetName val="G_work_Cap73"/>
      <sheetName val="H_land_adv-dec73"/>
      <sheetName val="J_Con_WIP73"/>
      <sheetName val="detail_J73"/>
      <sheetName val="L_Oth_Co73"/>
      <sheetName val="K_fix_asst__73"/>
      <sheetName val="C_fix_asst-SDPL_73"/>
      <sheetName val="TBAL9697__group_wise__sdpl73"/>
      <sheetName val="inout_consol_okg73"/>
      <sheetName val="detail_OIP_(2)73"/>
      <sheetName val="D_fix_ysst_scdl_73"/>
      <sheetName val="cre`itors_tb_obpl73"/>
      <sheetName val="3AL9697_-group_wise__onpl73"/>
      <sheetName val="L_Oth_Bo72"/>
      <sheetName val="3‰AL9697_-group_wise__onpl72"/>
      <sheetName val="Civil_Boq72"/>
      <sheetName val="Project-Material_72"/>
      <sheetName val="Staff_Acco_73"/>
      <sheetName val="SITE_OVERHEADS72"/>
      <sheetName val="Boq_Block_A72"/>
      <sheetName val="PRECAST_lightconc-II70"/>
      <sheetName val="1__PayRec69"/>
      <sheetName val="Cashflow_projection69"/>
      <sheetName val="SPT_vs_PHI69"/>
      <sheetName val="key_dates69"/>
      <sheetName val="Blr_hire69"/>
      <sheetName val="Labor_abs-NMR69"/>
      <sheetName val="3�AL9697_-group_wise__onpl72"/>
      <sheetName val="INPUT_SHEET69"/>
      <sheetName val="ino4t_conso,-nov69"/>
      <sheetName val="(nout_co,sol_(2)69"/>
      <sheetName val="_bpl,oth_lia_69"/>
      <sheetName val="G_,and_adv_nce69"/>
      <sheetName val="I,Wip-ot__2)69"/>
      <sheetName val="det!il_WIP_(2)69"/>
      <sheetName val="de4ail_G-169"/>
      <sheetName val="sobha_mennn_ac69"/>
      <sheetName val="C_&amp;ix_asst69"/>
      <sheetName val="_x005f_x0003_dpl_oth_Lia`69"/>
      <sheetName val="TBAL9697__x005f_x000d_grotp_wise_69"/>
      <sheetName val="St_co_91_5lvl69"/>
      <sheetName val="Sun_E_Type69"/>
      <sheetName val="Fin_Sum69"/>
      <sheetName val="CORPN_O_x005f_x0000_T69"/>
      <sheetName val="SUPPLY_-Sanitary_Fixtures69"/>
      <sheetName val="ITEMS_FOR_CIVIL_TENDER69"/>
      <sheetName val="CORPN_O?T69"/>
      <sheetName val="Stress_Calculation69"/>
      <sheetName val="TBAL9697__x000a_grotp_wise_69"/>
      <sheetName val="CORPN_O69"/>
      <sheetName val="labour_coeff67"/>
      <sheetName val="CORPN_O_T67"/>
      <sheetName val="TBAL9697__grotp_wise_298"/>
      <sheetName val="Shuttering_Analysis67"/>
      <sheetName val="General_P+M67"/>
      <sheetName val="Curing_Analysis_67"/>
      <sheetName val="Concrete_P+M_(_RMC_)67"/>
      <sheetName val="P+M_(_SMC_)67"/>
      <sheetName val="P+M_-EW67"/>
      <sheetName val="P&amp;L_-_AD67"/>
      <sheetName val="_x005f_x005f_x005f_x0003_dpl_oth_Lia`69"/>
      <sheetName val="TBAL9697__x005f_x005f_x005f_x000d_grotp_w69"/>
      <sheetName val="Fin__Assumpt__-_Sensitivities67"/>
      <sheetName val="LOAD_SHEET_67"/>
      <sheetName val="Fill_this_out_first___67"/>
      <sheetName val="Labour_productivity67"/>
      <sheetName val="RCC,Ret__Wall67"/>
      <sheetName val="Area_&amp;_Cate__Master67"/>
      <sheetName val="Cat_A_Change_Control67"/>
      <sheetName val="Break_up_Sheet67"/>
      <sheetName val="Summary_of_P_&amp;_M67"/>
      <sheetName val="DG_69"/>
      <sheetName val="Bill_No_567"/>
      <sheetName val="Sheet_167"/>
      <sheetName val="3BPA00132-5-3_W_plan_HVPNL67"/>
      <sheetName val="Mix_Design67"/>
      <sheetName val="Fee_Rate_Summary67"/>
      <sheetName val="Name_List67"/>
      <sheetName val="BOQ_(2)67"/>
      <sheetName val="FITZ_MORT_9467"/>
      <sheetName val="DLC_lookups67"/>
      <sheetName val="Quote_Sheet67"/>
      <sheetName val="d-safe_DELUXE67"/>
      <sheetName val="Works_-_Quote_Sheet67"/>
      <sheetName val="IO_LIST67"/>
      <sheetName val="TBAL9697__x005f_x000d_grotp_wis67"/>
      <sheetName val="TBAL9697__grotp_wise_299"/>
      <sheetName val="Break_Dw67"/>
      <sheetName val="Structure_Bills_Qty67"/>
      <sheetName val="11B_67"/>
      <sheetName val="TBAL9697__x005f_x000a_grotp_wise_67"/>
      <sheetName val="Driveway_Beams67"/>
      <sheetName val="ISO_Reconcilation_Statment67"/>
      <sheetName val="AVG_pur_rate67"/>
      <sheetName val="Detail_1A67"/>
      <sheetName val="CORPN_O_x005f_x005f_x005f_x0000_T67"/>
      <sheetName val="220_11__BS_67"/>
      <sheetName val="NLD_-_Assum67"/>
      <sheetName val="Cash_Flow_Input_Data_ISC39"/>
      <sheetName val="BLOCK-A_(MEA_SHEET)67"/>
      <sheetName val="Form_667"/>
      <sheetName val="acevsSp_(ABC)67"/>
      <sheetName val="A_O_R_67"/>
      <sheetName val="LIST_OF_MAKES67"/>
      <sheetName val="Intro_67"/>
      <sheetName val="Assumption_Inputs67"/>
      <sheetName val="Civil_Works67"/>
      <sheetName val="TBAL9697__x005f_x005f_x005f_x005f_x005f_x005f_x39"/>
      <sheetName val="General_input12"/>
      <sheetName val="6_0512"/>
      <sheetName val="Abstract_Sheet12"/>
      <sheetName val="Section_Catalogue67"/>
      <sheetName val="Mat_-Rates37"/>
      <sheetName val="DETAILED__BOQ37"/>
      <sheetName val="CABLE_DATA37"/>
      <sheetName val="Tender_Summary20"/>
      <sheetName val="Legal_Risk_Analysis37"/>
      <sheetName val="Boq-_Civil12"/>
      <sheetName val="Site_Dev_BOQ13"/>
      <sheetName val="tie_beam20"/>
      <sheetName val="CORPN_O_x005f_x005f_x005f_x005f_x005f_x005f_x0012"/>
      <sheetName val="INDIGINEOUS_ITEMS_20"/>
      <sheetName val="Excess_Calc12"/>
      <sheetName val="PO_Payroll12"/>
      <sheetName val="Deduction_of_assets16"/>
      <sheetName val="TBAL9697__grotp_wise_300"/>
      <sheetName val="TBAL9697__grotp_wise_1103"/>
      <sheetName val="COP_Final12"/>
      <sheetName val="BOQ_12"/>
      <sheetName val="Elect_13"/>
      <sheetName val="Detail_In_Door_Stad12"/>
      <sheetName val="Gen_Info12"/>
      <sheetName val="TBAL9697__x005f_x005f_x005f_x000a_grotp_w12"/>
      <sheetName val="SPILL_OVER12"/>
      <sheetName val="Data_sheet12"/>
      <sheetName val="Per_Unit12"/>
      <sheetName val="Pacakges_split12"/>
      <sheetName val="Main_Gate_House12"/>
      <sheetName val="final_abstract12"/>
      <sheetName val="Cost_summary12"/>
      <sheetName val="TBAL9697__grotp_wise_2100"/>
      <sheetName val="TBAL9697__grotp_wise_423"/>
      <sheetName val="TBAL9697__grotp_wise_323"/>
      <sheetName val="TBAL9697__grotp_wise_520"/>
      <sheetName val="TBAL9697__grotp_wise_619"/>
      <sheetName val="TBAL9697__grotp_wise_717"/>
      <sheetName val="TBAL9697__grotp_wise_817"/>
      <sheetName val="TBAL9697__grotp_wise_917"/>
      <sheetName val="TBAL9697__grotp_wise_1017"/>
      <sheetName val="TBAL9697__grotp_wise_1614"/>
      <sheetName val="TBAL9697__grotp_wise_1216"/>
      <sheetName val="TBAL9697__grotp_wise_1117"/>
      <sheetName val="TBAL9697__grotp_wise_1316"/>
      <sheetName val="TBAL9697__grotp_wise_1415"/>
      <sheetName val="TBAL9697__grotp_wise_1514"/>
      <sheetName val="TBAL9697__grotp_wise_2215"/>
      <sheetName val="TBAL9697__grotp_wise_1713"/>
      <sheetName val="TBAL9697__grotp_wise_1813"/>
      <sheetName val="TBAL9697__grotp_wise_1913"/>
      <sheetName val="TBAL9697__grotp_wise_2013"/>
      <sheetName val="TBAL9697__grotp_wise_2117"/>
      <sheetName val="TBAL9697__grotp_wise_2313"/>
      <sheetName val="TBAL9697__grotp_wise_2413"/>
      <sheetName val="P_&amp;_M11"/>
      <sheetName val="MS_Items11"/>
      <sheetName val="Debits_as_on_12_04_0812"/>
      <sheetName val="Labor_abs-PW12"/>
      <sheetName val="AutoOpen_Stub_Data12"/>
      <sheetName val="Material_12"/>
      <sheetName val="Extra_Item12"/>
      <sheetName val="Labour_&amp;_Plant12"/>
      <sheetName val="Meas_-Hotel_Part12"/>
      <sheetName val="BASIC_RATES12"/>
      <sheetName val="TBAL9697__x005f_x005f_x0013"/>
      <sheetName val="CORPN_O_x005f_x005f_x000012"/>
      <sheetName val="TBAL9697__x005f_x000a_grotp_wis12"/>
      <sheetName val="TBAL9697_-group_wise_sdpl12"/>
      <sheetName val="Lintel_Beam_104_70_(GF)__12"/>
      <sheetName val="_12"/>
      <sheetName val="Contract_Night_Staff12"/>
      <sheetName val="Contract_Day_Staff12"/>
      <sheetName val="Day_Shift12"/>
      <sheetName val="Night_Shift12"/>
      <sheetName val="Base_Assumptions12"/>
      <sheetName val="_COP_100%12"/>
      <sheetName val="lineby_line_consolidation12"/>
      <sheetName val="TBAL9697__grotp_wise_2513"/>
      <sheetName val="TBAL9697__grotp_wise_2613"/>
      <sheetName val="Material_Rate11"/>
      <sheetName val="Rate_analysis11"/>
      <sheetName val="Approved_MTD_Proj_#'s11"/>
      <sheetName val="9__Package_split_-_Cost_11"/>
      <sheetName val="Project_Budget_Worksheet11"/>
      <sheetName val="CORPN_O_x005f_x005f_x005f11"/>
      <sheetName val="Customize_Your_Purchase_Order11"/>
      <sheetName val="fa-pl_&amp;_myy_x005f_x000b__x005f_x000b__x11"/>
      <sheetName val="Area_Statement12"/>
      <sheetName val="Risk_Analysis12"/>
      <sheetName val="SITE_DEVELOPMENT11"/>
      <sheetName val="DDETABLE_11"/>
      <sheetName val="Building_111"/>
      <sheetName val="Lead_(Final)11"/>
      <sheetName val="indices_8"/>
      <sheetName val="Material_List_11"/>
      <sheetName val="Pile_cap8"/>
      <sheetName val="M_S_8"/>
      <sheetName val="TAX_INCOME8"/>
      <sheetName val="Depart_Budget8"/>
      <sheetName val="CC_June8"/>
      <sheetName val="Layer_Table7"/>
      <sheetName val="Basic_Rate11"/>
      <sheetName val="INFLUENCES_ON_GM11"/>
      <sheetName val="Load_Details(B2)11"/>
      <sheetName val="TBAL9697__grotp_wis67"/>
      <sheetName val="CORPN_O_x005f12"/>
      <sheetName val="Detail_P&amp;L8"/>
      <sheetName val="Assumption_Sheet7"/>
      <sheetName val="Bill_3_-_Site_Works11"/>
      <sheetName val="appendix_2_5_final_accounts11"/>
      <sheetName val="Service_Function11"/>
      <sheetName val="SCHEDULE_OF_RATES7"/>
      <sheetName val="schedule_nos11"/>
      <sheetName val="CFForecast_detail11"/>
      <sheetName val="Rate_Analysis_11"/>
      <sheetName val="Sheet3_(2)8"/>
      <sheetName val="Bill_18"/>
      <sheetName val="Bill_28"/>
      <sheetName val="Bill_38"/>
      <sheetName val="Bill_48"/>
      <sheetName val="Bill_58"/>
      <sheetName val="Bill_68"/>
      <sheetName val="Bill_78"/>
      <sheetName val="BS_-_L+OE11"/>
      <sheetName val="소상_&quot;1&quot;8"/>
      <sheetName val="Cost_Basis8"/>
      <sheetName val="beam-reinft-IIInd_floor11"/>
      <sheetName val="CPT_POST_UPLOAD8"/>
      <sheetName val="KQ_Cost_Controlling8"/>
      <sheetName val="KQ_Appropriation8"/>
      <sheetName val="TBAL9697__grotp_wise_2712"/>
      <sheetName val="TBAL9697__grotp_wis68"/>
      <sheetName val="class_&amp;_category8"/>
      <sheetName val="code_Control_Sheet8"/>
      <sheetName val="2_civil-RA8"/>
      <sheetName val="Mat_Cost8"/>
      <sheetName val="Invested_capital_VDF7"/>
      <sheetName val="PV_of_Op_Leases_VDF7"/>
      <sheetName val="BOQ_Distribution11"/>
      <sheetName val="TBAL9697__x000a_grotp_wis65"/>
      <sheetName val="TBAL9697__x0012"/>
      <sheetName val="CORPN_O_x000011"/>
      <sheetName val="GR_slab-reinft11"/>
      <sheetName val="Indirect_expenses11"/>
      <sheetName val="Sheet_211"/>
      <sheetName val="Risk_Assmnt11"/>
      <sheetName val="AoR_Finishing11"/>
      <sheetName val="fa-pl_&amp;_myy_x005f_x000b__8"/>
      <sheetName val="Input_&amp;_Calculations7"/>
      <sheetName val="Cost_Index8"/>
      <sheetName val="New_Construction7"/>
      <sheetName val="Overall_Summary7"/>
      <sheetName val="Summary_CFA_total_-_CP1_&amp;_CP27"/>
      <sheetName val="Sqn-Abs(G+6)_7"/>
      <sheetName val="WO-Abs_(G+2)_6_DUs7"/>
      <sheetName val="Air-Abs(G+6)_23_DUs7"/>
      <sheetName val="5__EA7"/>
      <sheetName val="PA-_Consutant_7"/>
      <sheetName val="Beam_at_Ground_flr_lvl(Steel)7"/>
      <sheetName val="Main_Assump_7"/>
      <sheetName val="BEAM_SCH7"/>
      <sheetName val="SLAB__SCH_7"/>
      <sheetName val="R_MTL7"/>
      <sheetName val="GUT_(2)7"/>
      <sheetName val="MB_Prod7"/>
      <sheetName val="Bill_1-BOQ-Civil_Works7"/>
      <sheetName val="Bill-5_27"/>
      <sheetName val="Bill-9_17"/>
      <sheetName val="Bill-6_1_1-6_1_37"/>
      <sheetName val="RA_Bill_summary_til_Apr197"/>
      <sheetName val="APTIDCO_CV_A_SCOPE7"/>
      <sheetName val="Basic_rate_summary7"/>
      <sheetName val="Basic_rate_calculations7"/>
      <sheetName val="Labor_Rates7"/>
      <sheetName val="Capex_Estimates7"/>
      <sheetName val="General_Assumptions7"/>
      <sheetName val="Rates_7-207"/>
      <sheetName val="rcc(_sub)2"/>
      <sheetName val="L_(4)1"/>
      <sheetName val="V_O_4_-_PCC_Qty3"/>
      <sheetName val="CIVIL_BOQ_(Final)7"/>
      <sheetName val="Customize_Your_Invoice7"/>
      <sheetName val="Loan_Amortization_Schedule7"/>
      <sheetName val="organi_synthesis_lab7"/>
      <sheetName val="S-MMS_without_TFA7"/>
      <sheetName val="TBAL9697__grotp_wise_2910"/>
      <sheetName val="TBAL9697__grotp_wise_2811"/>
      <sheetName val="TBAL9697__grotp_wise_308"/>
      <sheetName val="CORPN_O_x005f_x005f_x005f_x005f_x005f_x005f_x0057"/>
      <sheetName val="Boq_(Main_Building)7"/>
      <sheetName val="Source_Ref_3"/>
      <sheetName val="Item-_Compact7"/>
      <sheetName val="Manpower_Histogram7"/>
      <sheetName val="TBAL9697__grotp_wis127"/>
      <sheetName val="TBAL9697__grotp_wis227"/>
      <sheetName val="TBAL9697__grotp_wis313"/>
      <sheetName val="TBAL9697__grotp_wis412"/>
      <sheetName val="TBAL9697__grotp_wis511"/>
      <sheetName val="TBAL9697__grotp_wis69"/>
      <sheetName val="TBAL9697__grotp_wis77"/>
      <sheetName val="TBAL9697__grotp_wis87"/>
      <sheetName val="TBAL9697__grotp_wis147"/>
      <sheetName val="TBAL9697__grotp_wis107"/>
      <sheetName val="TBAL9697__grotp_wis97"/>
      <sheetName val="TBAL9697__grotp_wis1112"/>
      <sheetName val="TBAL9697__grotp_wis128"/>
      <sheetName val="TBAL9697__grotp_wis137"/>
      <sheetName val="TBAL9697__grotp_wis207"/>
      <sheetName val="TBAL9697__grotp_wis157"/>
      <sheetName val="TBAL9697__grotp_wis167"/>
      <sheetName val="TBAL9697__grotp_wis177"/>
      <sheetName val="TBAL9697__grotp_wis187"/>
      <sheetName val="TBAL9697__grotp_wis197"/>
      <sheetName val="TBAL9697__grotp_wis2111"/>
      <sheetName val="TBAL9697__grotp_wis228"/>
      <sheetName val="TBAL9697__grotp_wis237"/>
      <sheetName val="TBAL9697__grotp_wis247"/>
      <sheetName val="TBAL9697__grotp_wis257"/>
      <sheetName val="Civil_(RA)__Resi_3"/>
      <sheetName val="Detailed_Summary_(4)7"/>
      <sheetName val="bs_BP_04_SA7"/>
      <sheetName val="Col_up_to_plinth7"/>
      <sheetName val="int__pla_7"/>
      <sheetName val="Break_Up_(bc)3"/>
      <sheetName val="Break_Up_(bc1)3"/>
      <sheetName val="Break_Up_(bc2)3"/>
      <sheetName val="A_O_R_r13"/>
      <sheetName val="A_O_R_r1Str3"/>
      <sheetName val="Order_Info3"/>
      <sheetName val="1st_-vpd3"/>
      <sheetName val="Input_Data3"/>
      <sheetName val="MLCP_Connection_Details3"/>
      <sheetName val="MERGED_CODES_&amp;_NAMES3"/>
      <sheetName val="INPUT_(BPL)3"/>
      <sheetName val="Combined_Results_3"/>
      <sheetName val="Loan_Schedule3"/>
      <sheetName val="Bed_Class3"/>
      <sheetName val="EA_Sheet3"/>
      <sheetName val="GM_0004"/>
      <sheetName val="Table_43"/>
      <sheetName val="Table_53"/>
      <sheetName val="Table_23"/>
      <sheetName val="Table_273"/>
      <sheetName val="M-_Rate3"/>
      <sheetName val="ONE_TIME3"/>
      <sheetName val="Site_Infrastructure2"/>
      <sheetName val="New_C_PM2"/>
      <sheetName val="Client_Addresses2"/>
      <sheetName val="New_May2"/>
      <sheetName val="TB_MAR20042"/>
      <sheetName val="Staffing_Sheet2"/>
      <sheetName val="Data_Elements-Staffing2"/>
      <sheetName val="Basement_Budget7"/>
      <sheetName val="4K_-_(6a)_Non_Manual_Breakdown3"/>
      <sheetName val="Commodity_Plan_Front_Block3"/>
      <sheetName val="Commodity_Plan_Rear_Block3"/>
      <sheetName val="99_조정금액3"/>
      <sheetName val="Boq__structure_3"/>
      <sheetName val="Category_A_-_No_Material3"/>
      <sheetName val="Category_B_-_Major_Works3"/>
      <sheetName val="Category_C_-_Minor_Works3"/>
      <sheetName val="Key_Ass7"/>
      <sheetName val="TBAL9697__grotp_wis70"/>
      <sheetName val="2_0_Floor_Area_Summary1"/>
      <sheetName val="Annexue_B2"/>
      <sheetName val="IT-Fri_Base1"/>
      <sheetName val="Capital_Structure1"/>
      <sheetName val="BASIC_MATERIALS1"/>
      <sheetName val="foot-slab_reinft1"/>
      <sheetName val="TBAL9697__x005f_x005f_x005f_x005f_x004"/>
      <sheetName val="CORPN_O_x005f_x005f_x005f_x005f_x00003"/>
      <sheetName val="CORPN_O_x005f_x005f_x005f_x005f_x005f2"/>
      <sheetName val="fa-pl_&amp;_myy_x005f_x005f_x005f_x000b__x005f2"/>
      <sheetName val="water_prop_1"/>
      <sheetName val="Tie_Beam_Steel-R0-11"/>
      <sheetName val="Staff_Acco_74"/>
      <sheetName val="PB_WORK7"/>
      <sheetName val="Dropdown_list1"/>
      <sheetName val="labour_rates2"/>
      <sheetName val="Story_Drift-Part_22"/>
      <sheetName val="Ring_Details1"/>
      <sheetName val="Reference_Data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Design_sheet1"/>
      <sheetName val="N-Amritsar_1352"/>
      <sheetName val="M_R_List_(2)3"/>
      <sheetName val="Operating_Statistics1"/>
      <sheetName val="bending_stress1"/>
      <sheetName val="Cash_Flow_Working1"/>
      <sheetName val="Podium_Areas1"/>
      <sheetName val="8__Cover1"/>
      <sheetName val="_Tank1"/>
      <sheetName val="spare_parts1"/>
      <sheetName val="CLEAN_SHEET_COST_FOR_cPVC_PIPE1"/>
      <sheetName val="Data_11"/>
      <sheetName val="Rates_Basic1"/>
      <sheetName val="G_R_P1"/>
      <sheetName val="PSC_REVISED1"/>
      <sheetName val="beam-reinft-machine_rm1"/>
      <sheetName val="F4_131"/>
      <sheetName val="Beam-design_exp1"/>
      <sheetName val="WORK_TABLE1"/>
      <sheetName val="Materials_Cost(PCC)1"/>
      <sheetName val="PANEL_ANNEXURE2"/>
      <sheetName val="activit-graph__1"/>
      <sheetName val="Table-2_(Rate_Comparison)1"/>
      <sheetName val="RCC_Rates1"/>
      <sheetName val="Column_all_floor_R11"/>
      <sheetName val="Cabinet_details1"/>
      <sheetName val="Tools_Rev1"/>
      <sheetName val="Balance_Sheet_2"/>
      <sheetName val="cost_centre2"/>
      <sheetName val="INPUT_SHEET_-_A3"/>
      <sheetName val="Default_Values2"/>
      <sheetName val="CASH_CONTRACTS1"/>
      <sheetName val="Qty_SR1"/>
      <sheetName val="_IO_List1"/>
      <sheetName val="DOOR-WINDOW_SCHEDULE1"/>
      <sheetName val="Schedule_v11"/>
      <sheetName val="Maturity_Assessment1"/>
      <sheetName val="Head_Office-Bud1"/>
      <sheetName val="FTE_Information_and_costs1"/>
      <sheetName val="Strategic_Planning1"/>
      <sheetName val="Calendar_year_Summary_Plan1"/>
      <sheetName val="GrossMgn_981"/>
      <sheetName val="SCEL_Funding1"/>
      <sheetName val="TBAL9697__grotp_wi12"/>
      <sheetName val="TBAL9697__grotp_wise_3111"/>
      <sheetName val="TBAL9697__grotp_wis262"/>
      <sheetName val="TBAL9697__grotp_wi22"/>
      <sheetName val="TBAL9697__grotp_wi42"/>
      <sheetName val="TBAL9697__grotp_wi32"/>
      <sheetName val="TBAL9697__grotp_wi52"/>
      <sheetName val="TBAL9697__grotp_wi62"/>
      <sheetName val="TBAL9697__grotp_wi72"/>
      <sheetName val="TBAL9697__grotp_wi82"/>
      <sheetName val="TBAL9697__grotp_wi92"/>
      <sheetName val="TBAL9697__grotp_w102"/>
      <sheetName val="TBAL9697__grotp_w162"/>
      <sheetName val="TBAL9697__grotp_w122"/>
      <sheetName val="TBAL9697__grotp_w112"/>
      <sheetName val="TBAL9697__grotp_w132"/>
      <sheetName val="TBAL9697__grotp_w142"/>
      <sheetName val="TBAL9697__grotp_w152"/>
      <sheetName val="TBAL9697__grotp_w222"/>
      <sheetName val="TBAL9697__grotp_w172"/>
      <sheetName val="TBAL9697__grotp_w182"/>
      <sheetName val="TBAL9697__grotp_w192"/>
      <sheetName val="TBAL9697__grotp_w202"/>
      <sheetName val="TBAL9697__grotp_w212"/>
      <sheetName val="TBAL9697__grotp_w232"/>
      <sheetName val="TBAL9697__grotp_w242"/>
      <sheetName val="TBAL9697__grotp_w252"/>
      <sheetName val="TBAL9697__grotp_w262"/>
      <sheetName val="TBAL9697__grotp_w291"/>
      <sheetName val="TBAL9697__grotp_w281"/>
      <sheetName val="TBAL9697__grotp_w271"/>
      <sheetName val="TBAL9697__grotp_w301"/>
      <sheetName val="MASONARY_1"/>
      <sheetName val="old_boq1"/>
      <sheetName val="Plant_&amp;__Machinery1"/>
      <sheetName val="CIP_Summary_00121"/>
      <sheetName val="CIP_Detail_00111"/>
      <sheetName val="99_to_00_blns1"/>
      <sheetName val="TBAL9697__grotp_wise_324"/>
      <sheetName val="Ave_wtd_rates1"/>
      <sheetName val="Column_BBS-Block91"/>
      <sheetName val="factor_1"/>
      <sheetName val="Abt_Foundation_1"/>
      <sheetName val="pier_Foundation1"/>
      <sheetName val="Master_Rates1"/>
      <sheetName val="RATES_(2)1"/>
      <sheetName val="MAR_021"/>
      <sheetName val="7_Steel_Rein_1"/>
      <sheetName val="MB_FOR_SUPERSTRUCTURE1"/>
      <sheetName val="A_O_R_(2)1"/>
      <sheetName val="TBAL9697__grotp_wis272"/>
      <sheetName val="TBAL9697__grotp_wis282"/>
      <sheetName val="TBAL9697__grotp_wis292"/>
      <sheetName val="TBAL9697__grotp_wise_332"/>
      <sheetName val="TBAL9697__grotp_wise_342"/>
      <sheetName val="TBAL9697__grotp_wise_352"/>
      <sheetName val="TBAL9697__grotp_wise_362"/>
      <sheetName val="TBAL9697__grotp_wise_372"/>
      <sheetName val="TBAL9697__grotp_wise_392"/>
      <sheetName val="TBAL9697__grotp_wise_382"/>
      <sheetName val="TBAL9697__grotp_wise_402"/>
      <sheetName val="TBAL9697__grotp_wise_424"/>
      <sheetName val="TBAL9697__grotp_wise_4111"/>
      <sheetName val="TBAL9697__grotp_wise_432"/>
      <sheetName val="TBAL9697__grotp_wise_442"/>
      <sheetName val="TBAL9697__grotp_wise_452"/>
      <sheetName val="TBAL9697__grotp_wise_462"/>
      <sheetName val="TBAL9697__grotp_wise_472"/>
      <sheetName val="TBAL9697__grotp_wise_482"/>
      <sheetName val="TBAL9697__grotp_wise_492"/>
      <sheetName val="TBAL9697__grotp_wise_502"/>
      <sheetName val="TBAL9697__grotp_wise_5111"/>
      <sheetName val="TBAL9697__grotp_wise_522"/>
      <sheetName val="TBAL9697__grotp_wise_582"/>
      <sheetName val="TBAL9697__grotp_wise_532"/>
      <sheetName val="TBAL9697__grotp_wise_542"/>
      <sheetName val="TBAL9697__grotp_wise_552"/>
      <sheetName val="TBAL9697__grotp_wise_572"/>
      <sheetName val="TBAL9697__grotp_wise_562"/>
      <sheetName val="TBAL9697__grotp_wise_592"/>
      <sheetName val="TBAL9697__grotp_wise_602"/>
      <sheetName val="TBAL9697__grotp_wise_6110"/>
      <sheetName val="TBAL9697__grotp_wise_632"/>
      <sheetName val="TBAL9697__grotp_wise_622"/>
      <sheetName val="TBAL9697__grotp_wise_642"/>
      <sheetName val="july_(2)1"/>
      <sheetName val="OLD_IC1"/>
      <sheetName val="TENDER_STUDY1"/>
      <sheetName val="DRG_STUDY1"/>
      <sheetName val="BOUGHT_OUT1"/>
      <sheetName val="RA_1"/>
      <sheetName val="STAFFSCHED_2"/>
      <sheetName val="E_&amp;_R1"/>
      <sheetName val="Input_Rates1"/>
      <sheetName val="1_01_1_to_1_01_51"/>
      <sheetName val="1_01_61"/>
      <sheetName val="1_01_71"/>
      <sheetName val="1_02_11"/>
      <sheetName val="1_03_11"/>
      <sheetName val="1_03_21"/>
      <sheetName val="1_03_31"/>
      <sheetName val="1_04_11"/>
      <sheetName val="1_05_11"/>
      <sheetName val="1_06_11"/>
      <sheetName val="1_06_21"/>
      <sheetName val="2_01_1_to_2_01_5-1"/>
      <sheetName val="2_01_61"/>
      <sheetName val="2_01_71"/>
      <sheetName val="2_01_81"/>
      <sheetName val="2_02_11"/>
      <sheetName val="2_03_11"/>
      <sheetName val="2_03_21"/>
      <sheetName val="2_03_31"/>
      <sheetName val="2_04_11"/>
      <sheetName val="2_05_11"/>
      <sheetName val="2_06_11"/>
      <sheetName val="2_06_21"/>
      <sheetName val="2_07_17"/>
      <sheetName val="2_07_21"/>
      <sheetName val="2_07_31"/>
      <sheetName val="2_07_41"/>
      <sheetName val="2_07_51"/>
      <sheetName val="2_07_61"/>
      <sheetName val="2_07_71"/>
      <sheetName val="2_07_81"/>
      <sheetName val="2_07_91"/>
      <sheetName val="2_07_101"/>
      <sheetName val="2_07_111"/>
      <sheetName val="2_07_121"/>
      <sheetName val="2_07_131"/>
      <sheetName val="2_07_141"/>
      <sheetName val="2_07_151"/>
      <sheetName val="2_07_161"/>
      <sheetName val="3_01_1_to_3_01_51"/>
      <sheetName val="3_01_61"/>
      <sheetName val="3_01_71"/>
      <sheetName val="3_03_11"/>
      <sheetName val="3_03_21"/>
      <sheetName val="3_04_11"/>
      <sheetName val="3_05_11"/>
      <sheetName val="4_01_1_to_4_01_51"/>
      <sheetName val="4_01_61"/>
      <sheetName val="4_01_71"/>
      <sheetName val="4_01_81"/>
      <sheetName val="4_03_11"/>
      <sheetName val="4_03_21"/>
      <sheetName val="4_04_11"/>
      <sheetName val="4_05_11"/>
      <sheetName val="4_07_17"/>
      <sheetName val="4_07_21"/>
      <sheetName val="4_07_31"/>
      <sheetName val="4_07_41"/>
      <sheetName val="4_07_51"/>
      <sheetName val="4_07_61"/>
      <sheetName val="4_07_71"/>
      <sheetName val="4_07_81"/>
      <sheetName val="4_07_91"/>
      <sheetName val="4_07_101"/>
      <sheetName val="4_07_111"/>
      <sheetName val="4_07_121"/>
      <sheetName val="4_07_131"/>
      <sheetName val="4_07_141"/>
      <sheetName val="4_07_151"/>
      <sheetName val="4_07_161"/>
      <sheetName val="5_01_11"/>
      <sheetName val="5_01_21"/>
      <sheetName val="5_01_31"/>
      <sheetName val="5_01_41"/>
      <sheetName val="5_02_11"/>
      <sheetName val="5_02_21"/>
      <sheetName val="5_02_31"/>
      <sheetName val="5_02_41"/>
      <sheetName val="6_01_1_to_6_01_51"/>
      <sheetName val="6_01_61"/>
      <sheetName val="6_02_1_to_6_02_51"/>
      <sheetName val="6_02_61"/>
      <sheetName val="7_01_11"/>
      <sheetName val="7_01_21"/>
      <sheetName val="7_02_11"/>
      <sheetName val="7_02_21"/>
      <sheetName val="7_03_11"/>
      <sheetName val="7_03_21"/>
      <sheetName val="8_01_11"/>
      <sheetName val="8_01_21"/>
      <sheetName val="8_01_31"/>
      <sheetName val="8_01_41"/>
      <sheetName val="BOQ_in_CRN_Formate1"/>
      <sheetName val="Cumul_1"/>
      <sheetName val="GST__Inv__1"/>
      <sheetName val="Ill__Imm__Cert_1"/>
      <sheetName val="Work_Compl__Cert_1"/>
      <sheetName val="Staff_Forecast_spread1"/>
      <sheetName val="APPENDIX_4_1a1"/>
      <sheetName val="IS__8751"/>
      <sheetName val="Boq-_Zero1"/>
      <sheetName val="SB_SCH_A71"/>
      <sheetName val="11_kV_SWGR1"/>
      <sheetName val="exp-ded-jan'_061"/>
      <sheetName val="BOB_DETAILS1"/>
      <sheetName val="BOQ_LT1"/>
      <sheetName val="MN_T_B_1"/>
      <sheetName val="Calculation_Sheet1"/>
      <sheetName val="Column_Detail1"/>
      <sheetName val="CORPN_OT67"/>
      <sheetName val="fa-pl_&amp;_myy_x005f_x000b__x005f_x005f_1"/>
      <sheetName val="ELE_1"/>
      <sheetName val="CC_Road1"/>
      <sheetName val="ACAD_Finishes1"/>
      <sheetName val="Rate_analysis_civil1"/>
      <sheetName val="column_details1"/>
      <sheetName val="General_Shedule_of_rates1"/>
      <sheetName val="TB9798OBPL06_(2)72"/>
      <sheetName val="CORPN_OCT72"/>
      <sheetName val="inout_consol-nov72"/>
      <sheetName val="inout_consol_(2)72"/>
      <sheetName val="AS_ON_DT_EXPS_Mar72"/>
      <sheetName val="fa-pl_&amp;_mach-site72"/>
      <sheetName val="fa_off_eqp72"/>
      <sheetName val="fa_fur&amp;_fix72"/>
      <sheetName val="fa-pl_&amp;_mach-Off72"/>
      <sheetName val="B_Equity-sdpl_INC72"/>
      <sheetName val="inout_consol_wkg72"/>
      <sheetName val="inout_consol_WKNG72"/>
      <sheetName val="B_Sheet_9772"/>
      <sheetName val="P&amp;L_97_72"/>
      <sheetName val="B_Sheet_97-BEXP72"/>
      <sheetName val="P&amp;L_97_-BEXP72"/>
      <sheetName val="consol_flows72"/>
      <sheetName val="sdpl_oth_Liab72"/>
      <sheetName val="obpl-oth_liab72"/>
      <sheetName val="G_land_advance72"/>
      <sheetName val="I-Wip-ot_(2)72"/>
      <sheetName val="detail_WIP_(2)72"/>
      <sheetName val="detail_G-172"/>
      <sheetName val="sobha_menon_ac72"/>
      <sheetName val="pnc_ac72"/>
      <sheetName val="fix_-p_&amp;_M_-SCC72"/>
      <sheetName val="C_fix_asst72"/>
      <sheetName val="D_fix_asst_scdl_72"/>
      <sheetName val="creditors_tb_obpl72"/>
      <sheetName val="TBAL9697_-group_wise__sdpl82"/>
      <sheetName val="TBAL9697_-group_wise_72"/>
      <sheetName val="crs_-G-172"/>
      <sheetName val="TBAL9697_-group_wise__onpl72"/>
      <sheetName val="B_Sheet_97-OBPL72"/>
      <sheetName val="B_Sheet_97_sdpl72"/>
      <sheetName val="TBAL9697_-group_wise__sdpl272"/>
      <sheetName val="inout_consol_jan72"/>
      <sheetName val="consol_flow72"/>
      <sheetName val="D_Loan__Prom72"/>
      <sheetName val="E_Bank_Loan72"/>
      <sheetName val="G_work_Cap72"/>
      <sheetName val="H_land_adv-dec72"/>
      <sheetName val="J_Con_WIP72"/>
      <sheetName val="detail_J72"/>
      <sheetName val="L_Oth_Co72"/>
      <sheetName val="K_fix_asst__72"/>
      <sheetName val="C_fix_asst-SDPL_72"/>
      <sheetName val="TBAL9697__group_wise__sdpl72"/>
      <sheetName val="inout_consol_okg72"/>
      <sheetName val="detail_OIP_(2)72"/>
      <sheetName val="D_fix_ysst_scdl_72"/>
      <sheetName val="cre`itors_tb_obpl72"/>
      <sheetName val="3AL9697_-group_wise__onpl72"/>
      <sheetName val="L_Oth_Bo71"/>
      <sheetName val="3‰AL9697_-group_wise__onpl71"/>
      <sheetName val="Civil_Boq71"/>
      <sheetName val="Project-Material_71"/>
      <sheetName val="Staff_Acco_71"/>
      <sheetName val="SITE_OVERHEADS71"/>
      <sheetName val="Boq_Block_A71"/>
      <sheetName val="PRECAST_lightconc-II69"/>
      <sheetName val="1__PayRec68"/>
      <sheetName val="Cashflow_projection68"/>
      <sheetName val="SPT_vs_PHI68"/>
      <sheetName val="key_dates68"/>
      <sheetName val="Blr_hire68"/>
      <sheetName val="Labor_abs-NMR68"/>
      <sheetName val="3�AL9697_-group_wise__onpl71"/>
      <sheetName val="INPUT_SHEET68"/>
      <sheetName val="ino4t_conso,-nov68"/>
      <sheetName val="(nout_co,sol_(2)68"/>
      <sheetName val="_bpl,oth_lia_68"/>
      <sheetName val="G_,and_adv_nce68"/>
      <sheetName val="I,Wip-ot__2)68"/>
      <sheetName val="det!il_WIP_(2)68"/>
      <sheetName val="de4ail_G-168"/>
      <sheetName val="sobha_mennn_ac68"/>
      <sheetName val="C_&amp;ix_asst68"/>
      <sheetName val="_x005f_x0003_dpl_oth_Lia`68"/>
      <sheetName val="TBAL9697__x005f_x000d_grotp_wise_68"/>
      <sheetName val="St_co_91_5lvl68"/>
      <sheetName val="Sun_E_Type68"/>
      <sheetName val="Fin_Sum68"/>
      <sheetName val="CORPN_O_x005f_x0000_T68"/>
      <sheetName val="SUPPLY_-Sanitary_Fixtures68"/>
      <sheetName val="ITEMS_FOR_CIVIL_TENDER68"/>
      <sheetName val="CORPN_O?T68"/>
      <sheetName val="Stress_Calculation68"/>
      <sheetName val="TBAL9697__x000a_grotp_wise_68"/>
      <sheetName val="CORPN_O68"/>
      <sheetName val="labour_coeff66"/>
      <sheetName val="CORPN_O_T66"/>
      <sheetName val="TBAL9697__grotp_wise_287"/>
      <sheetName val="Shuttering_Analysis66"/>
      <sheetName val="General_P+M66"/>
      <sheetName val="Curing_Analysis_66"/>
      <sheetName val="Concrete_P+M_(_RMC_)66"/>
      <sheetName val="P+M_(_SMC_)66"/>
      <sheetName val="P+M_-EW66"/>
      <sheetName val="P&amp;L_-_AD66"/>
      <sheetName val="_x005f_x005f_x005f_x0003_dpl_oth_Lia`68"/>
      <sheetName val="TBAL9697__x005f_x005f_x005f_x000d_grotp_w68"/>
      <sheetName val="Fin__Assumpt__-_Sensitivities66"/>
      <sheetName val="LOAD_SHEET_66"/>
      <sheetName val="Fill_this_out_first___66"/>
      <sheetName val="Labour_productivity66"/>
      <sheetName val="RCC,Ret__Wall66"/>
      <sheetName val="Area_&amp;_Cate__Master66"/>
      <sheetName val="Cat_A_Change_Control66"/>
      <sheetName val="Break_up_Sheet66"/>
      <sheetName val="Summary_of_P_&amp;_M66"/>
      <sheetName val="DG_68"/>
      <sheetName val="Bill_No_566"/>
      <sheetName val="Sheet_166"/>
      <sheetName val="3BPA00132-5-3_W_plan_HVPNL66"/>
      <sheetName val="Mix_Design66"/>
      <sheetName val="Fee_Rate_Summary66"/>
      <sheetName val="Name_List66"/>
      <sheetName val="BOQ_(2)66"/>
      <sheetName val="FITZ_MORT_9466"/>
      <sheetName val="DLC_lookups66"/>
      <sheetName val="Quote_Sheet66"/>
      <sheetName val="d-safe_DELUXE66"/>
      <sheetName val="Works_-_Quote_Sheet66"/>
      <sheetName val="IO_LIST66"/>
      <sheetName val="TBAL9697__x005f_x000d_grotp_wis66"/>
      <sheetName val="TBAL9697__grotp_wise_288"/>
      <sheetName val="Break_Dw66"/>
      <sheetName val="Structure_Bills_Qty66"/>
      <sheetName val="11B_66"/>
      <sheetName val="TBAL9697__x005f_x000a_grotp_wise_66"/>
      <sheetName val="Driveway_Beams66"/>
      <sheetName val="ISO_Reconcilation_Statment66"/>
      <sheetName val="AVG_pur_rate66"/>
      <sheetName val="Detail_1A66"/>
      <sheetName val="CORPN_O_x005f_x005f_x005f_x0000_T66"/>
      <sheetName val="220_11__BS_66"/>
      <sheetName val="NLD_-_Assum66"/>
      <sheetName val="Cash_Flow_Input_Data_ISC38"/>
      <sheetName val="BLOCK-A_(MEA_SHEET)66"/>
      <sheetName val="Form_666"/>
      <sheetName val="acevsSp_(ABC)66"/>
      <sheetName val="A_O_R_66"/>
      <sheetName val="LIST_OF_MAKES66"/>
      <sheetName val="Intro_66"/>
      <sheetName val="Assumption_Inputs66"/>
      <sheetName val="Civil_Works66"/>
      <sheetName val="TBAL9697__x005f_x005f_x005f_x005f_x005f_x005f_x38"/>
      <sheetName val="General_input11"/>
      <sheetName val="6_0511"/>
      <sheetName val="Abstract_Sheet11"/>
      <sheetName val="Section_Catalogue66"/>
      <sheetName val="Mat_-Rates36"/>
      <sheetName val="DETAILED__BOQ36"/>
      <sheetName val="CABLE_DATA36"/>
      <sheetName val="Tender_Summary19"/>
      <sheetName val="Legal_Risk_Analysis36"/>
      <sheetName val="Boq-_Civil11"/>
      <sheetName val="Site_Dev_BOQ12"/>
      <sheetName val="tie_beam19"/>
      <sheetName val="CORPN_O_x005f_x005f_x005f_x005f_x005f_x005f_x0011"/>
      <sheetName val="INDIGINEOUS_ITEMS_19"/>
      <sheetName val="Excess_Calc11"/>
      <sheetName val="PO_Payroll11"/>
      <sheetName val="Deduction_of_assets15"/>
      <sheetName val="TBAL9697__grotp_wise_289"/>
      <sheetName val="TBAL9697__grotp_wise_1102"/>
      <sheetName val="COP_Final11"/>
      <sheetName val="BOQ_11"/>
      <sheetName val="Elect_12"/>
      <sheetName val="Detail_In_Door_Stad11"/>
      <sheetName val="Gen_Info11"/>
      <sheetName val="TBAL9697__x005f_x005f_x005f_x000a_grotp_w11"/>
      <sheetName val="SPILL_OVER11"/>
      <sheetName val="Data_sheet11"/>
      <sheetName val="Per_Unit11"/>
      <sheetName val="Pacakges_split11"/>
      <sheetName val="Main_Gate_House11"/>
      <sheetName val="final_abstract11"/>
      <sheetName val="Cost_summary11"/>
      <sheetName val="TBAL9697__grotp_wise_290"/>
      <sheetName val="TBAL9697__grotp_wise_421"/>
      <sheetName val="TBAL9697__grotp_wise_321"/>
      <sheetName val="TBAL9697__grotp_wise_519"/>
      <sheetName val="TBAL9697__grotp_wise_617"/>
      <sheetName val="TBAL9697__grotp_wise_716"/>
      <sheetName val="TBAL9697__grotp_wise_816"/>
      <sheetName val="TBAL9697__grotp_wise_916"/>
      <sheetName val="TBAL9697__grotp_wise_1016"/>
      <sheetName val="TBAL9697__grotp_wise_1613"/>
      <sheetName val="TBAL9697__grotp_wise_1215"/>
      <sheetName val="TBAL9697__grotp_wise_1116"/>
      <sheetName val="TBAL9697__grotp_wise_1315"/>
      <sheetName val="TBAL9697__grotp_wise_1414"/>
      <sheetName val="TBAL9697__grotp_wise_1513"/>
      <sheetName val="TBAL9697__grotp_wise_2214"/>
      <sheetName val="TBAL9697__grotp_wise_1712"/>
      <sheetName val="TBAL9697__grotp_wise_1812"/>
      <sheetName val="TBAL9697__grotp_wise_1912"/>
      <sheetName val="TBAL9697__grotp_wise_2012"/>
      <sheetName val="TBAL9697__grotp_wise_2116"/>
      <sheetName val="TBAL9697__grotp_wise_2312"/>
      <sheetName val="TBAL9697__grotp_wise_2412"/>
      <sheetName val="P_&amp;_M10"/>
      <sheetName val="MS_Items10"/>
      <sheetName val="Debits_as_on_12_04_0811"/>
      <sheetName val="Labor_abs-PW11"/>
      <sheetName val="AutoOpen_Stub_Data11"/>
      <sheetName val="Material_11"/>
      <sheetName val="Extra_Item11"/>
      <sheetName val="Labour_&amp;_Plant11"/>
      <sheetName val="Meas_-Hotel_Part11"/>
      <sheetName val="BASIC_RATES11"/>
      <sheetName val="TBAL9697__x005f_x005f_x0012"/>
      <sheetName val="CORPN_O_x005f_x005f_x000011"/>
      <sheetName val="TBAL9697__x005f_x000a_grotp_wis11"/>
      <sheetName val="TBAL9697_-group_wise_sdpl11"/>
      <sheetName val="Lintel_Beam_104_70_(GF)__11"/>
      <sheetName val="_11"/>
      <sheetName val="Contract_Night_Staff11"/>
      <sheetName val="Contract_Day_Staff11"/>
      <sheetName val="Day_Shift11"/>
      <sheetName val="Night_Shift11"/>
      <sheetName val="Base_Assumptions11"/>
      <sheetName val="_COP_100%11"/>
      <sheetName val="lineby_line_consolidation11"/>
      <sheetName val="TBAL9697__grotp_wise_2512"/>
      <sheetName val="TBAL9697__grotp_wise_2612"/>
      <sheetName val="Material_Rate10"/>
      <sheetName val="Rate_analysis10"/>
      <sheetName val="Approved_MTD_Proj_#'s10"/>
      <sheetName val="9__Package_split_-_Cost_10"/>
      <sheetName val="Project_Budget_Worksheet10"/>
      <sheetName val="CORPN_O_x005f_x005f_x005f10"/>
      <sheetName val="Customize_Your_Purchase_Order10"/>
      <sheetName val="fa-pl_&amp;_myy_x005f_x000b__x005f_x000b__x10"/>
      <sheetName val="Area_Statement11"/>
      <sheetName val="Risk_Analysis11"/>
      <sheetName val="SITE_DEVELOPMENT10"/>
      <sheetName val="DDETABLE_10"/>
      <sheetName val="Building_110"/>
      <sheetName val="Lead_(Final)10"/>
      <sheetName val="indices_7"/>
      <sheetName val="Material_List_10"/>
      <sheetName val="Pile_cap7"/>
      <sheetName val="M_S_7"/>
      <sheetName val="TAX_INCOME7"/>
      <sheetName val="Depart_Budget7"/>
      <sheetName val="CC_June7"/>
      <sheetName val="Layer_Table6"/>
      <sheetName val="Basic_Rate10"/>
      <sheetName val="INFLUENCES_ON_GM10"/>
      <sheetName val="Load_Details(B2)10"/>
      <sheetName val="TBAL9697__grotp_wis58"/>
      <sheetName val="CORPN_O_x005f11"/>
      <sheetName val="Detail_P&amp;L7"/>
      <sheetName val="Assumption_Sheet6"/>
      <sheetName val="Bill_3_-_Site_Works10"/>
      <sheetName val="appendix_2_5_final_accounts10"/>
      <sheetName val="Service_Function10"/>
      <sheetName val="SCHEDULE_OF_RATES6"/>
      <sheetName val="schedule_nos10"/>
      <sheetName val="CFForecast_detail10"/>
      <sheetName val="Rate_Analysis_10"/>
      <sheetName val="Sheet3_(2)7"/>
      <sheetName val="Bill_17"/>
      <sheetName val="Bill_27"/>
      <sheetName val="Bill_37"/>
      <sheetName val="Bill_47"/>
      <sheetName val="Bill_57"/>
      <sheetName val="Bill_67"/>
      <sheetName val="Bill_77"/>
      <sheetName val="BS_-_L+OE10"/>
      <sheetName val="소상_&quot;1&quot;7"/>
      <sheetName val="Cost_Basis7"/>
      <sheetName val="beam-reinft-IIInd_floor10"/>
      <sheetName val="CPT_POST_UPLOAD7"/>
      <sheetName val="KQ_Cost_Controlling7"/>
      <sheetName val="KQ_Appropriation7"/>
      <sheetName val="TBAL9697__grotp_wise_2711"/>
      <sheetName val="TBAL9697__grotp_wis59"/>
      <sheetName val="class_&amp;_category7"/>
      <sheetName val="code_Control_Sheet7"/>
      <sheetName val="2_civil-RA7"/>
      <sheetName val="Mat_Cost7"/>
      <sheetName val="Invested_capital_VDF6"/>
      <sheetName val="PV_of_Op_Leases_VDF6"/>
      <sheetName val="BOQ_Distribution10"/>
      <sheetName val="TBAL9697__x0011"/>
      <sheetName val="CORPN_O_x000010"/>
      <sheetName val="GR_slab-reinft10"/>
      <sheetName val="Indirect_expenses10"/>
      <sheetName val="Sheet_210"/>
      <sheetName val="Risk_Assmnt10"/>
      <sheetName val="AoR_Finishing10"/>
      <sheetName val="fa-pl_&amp;_myy_x005f_x000b__7"/>
      <sheetName val="Input_&amp;_Calculations6"/>
      <sheetName val="Cost_Index7"/>
      <sheetName val="New_Construction6"/>
      <sheetName val="Overall_Summary6"/>
      <sheetName val="Summary_CFA_total_-_CP1_&amp;_CP26"/>
      <sheetName val="Sqn-Abs(G+6)_6"/>
      <sheetName val="WO-Abs_(G+2)_6_DUs6"/>
      <sheetName val="Air-Abs(G+6)_23_DUs6"/>
      <sheetName val="5__EA6"/>
      <sheetName val="PA-_Consutant_6"/>
      <sheetName val="Beam_at_Ground_flr_lvl(Steel)6"/>
      <sheetName val="Main_Assump_6"/>
      <sheetName val="BEAM_SCH6"/>
      <sheetName val="SLAB__SCH_6"/>
      <sheetName val="R_MTL6"/>
      <sheetName val="GUT_(2)6"/>
      <sheetName val="MB_Prod6"/>
      <sheetName val="Bill_1-BOQ-Civil_Works6"/>
      <sheetName val="Bill-5_26"/>
      <sheetName val="Bill-9_16"/>
      <sheetName val="Bill-6_1_1-6_1_36"/>
      <sheetName val="RA_Bill_summary_til_Apr196"/>
      <sheetName val="APTIDCO_CV_A_SCOPE6"/>
      <sheetName val="Basic_rate_summary6"/>
      <sheetName val="Basic_rate_calculations6"/>
      <sheetName val="Labor_Rates6"/>
      <sheetName val="Capex_Estimates6"/>
      <sheetName val="General_Assumptions6"/>
      <sheetName val="Rates_7-206"/>
      <sheetName val="rcc(_sub)1"/>
      <sheetName val="L_(4)"/>
      <sheetName val="V_O_4_-_PCC_Qty2"/>
      <sheetName val="CIVIL_BOQ_(Final)6"/>
      <sheetName val="Customize_Your_Invoice6"/>
      <sheetName val="Loan_Amortization_Schedule6"/>
      <sheetName val="organi_synthesis_lab6"/>
      <sheetName val="S-MMS_without_TFA6"/>
      <sheetName val="TBAL9697__grotp_wise_297"/>
      <sheetName val="TBAL9697__grotp_wise_2810"/>
      <sheetName val="TBAL9697__grotp_wise_307"/>
      <sheetName val="CORPN_O_x005f_x005f_x005f_x005f_x005f_x005f_x0056"/>
      <sheetName val="Boq_(Main_Building)6"/>
      <sheetName val="Source_Ref_2"/>
      <sheetName val="Item-_Compact6"/>
      <sheetName val="Manpower_Histogram6"/>
      <sheetName val="TBAL9697__grotp_wis120"/>
      <sheetName val="TBAL9697__grotp_wis220"/>
      <sheetName val="TBAL9697__grotp_wis312"/>
      <sheetName val="TBAL9697__grotp_wis411"/>
      <sheetName val="TBAL9697__grotp_wis510"/>
      <sheetName val="TBAL9697__grotp_wis66"/>
      <sheetName val="TBAL9697__grotp_wis76"/>
      <sheetName val="TBAL9697__grotp_wis86"/>
      <sheetName val="TBAL9697__grotp_wis146"/>
      <sheetName val="TBAL9697__grotp_wis106"/>
      <sheetName val="TBAL9697__grotp_wis96"/>
      <sheetName val="TBAL9697__grotp_wis1111"/>
      <sheetName val="TBAL9697__grotp_wis126"/>
      <sheetName val="TBAL9697__grotp_wis136"/>
      <sheetName val="TBAL9697__grotp_wis206"/>
      <sheetName val="TBAL9697__grotp_wis156"/>
      <sheetName val="TBAL9697__grotp_wis166"/>
      <sheetName val="TBAL9697__grotp_wis176"/>
      <sheetName val="TBAL9697__grotp_wis186"/>
      <sheetName val="TBAL9697__grotp_wis196"/>
      <sheetName val="TBAL9697__grotp_wis2110"/>
      <sheetName val="TBAL9697__grotp_wis226"/>
      <sheetName val="TBAL9697__grotp_wis236"/>
      <sheetName val="TBAL9697__grotp_wis246"/>
      <sheetName val="TBAL9697__grotp_wis256"/>
      <sheetName val="Civil_(RA)__Resi_2"/>
      <sheetName val="Detailed_Summary_(4)6"/>
      <sheetName val="bs_BP_04_SA6"/>
      <sheetName val="Col_up_to_plinth6"/>
      <sheetName val="int__pla_6"/>
      <sheetName val="Break_Up_(bc)2"/>
      <sheetName val="Break_Up_(bc1)2"/>
      <sheetName val="Break_Up_(bc2)2"/>
      <sheetName val="A_O_R_r12"/>
      <sheetName val="A_O_R_r1Str2"/>
      <sheetName val="Order_Info2"/>
      <sheetName val="1st_-vpd2"/>
      <sheetName val="Input_Data2"/>
      <sheetName val="MLCP_Connection_Details2"/>
      <sheetName val="MERGED_CODES_&amp;_NAMES2"/>
      <sheetName val="INPUT_(BPL)2"/>
      <sheetName val="Combined_Results_2"/>
      <sheetName val="Loan_Schedule2"/>
      <sheetName val="Bed_Class2"/>
      <sheetName val="EA_Sheet2"/>
      <sheetName val="GM_0003"/>
      <sheetName val="Table_42"/>
      <sheetName val="Table_52"/>
      <sheetName val="Table_22"/>
      <sheetName val="Table_272"/>
      <sheetName val="M-_Rate2"/>
      <sheetName val="ONE_TIME2"/>
      <sheetName val="Site_Infrastructure1"/>
      <sheetName val="New_C_PM1"/>
      <sheetName val="Client_Addresses1"/>
      <sheetName val="New_May1"/>
      <sheetName val="TB_MAR20041"/>
      <sheetName val="Staffing_Sheet1"/>
      <sheetName val="Data_Elements-Staffing1"/>
      <sheetName val="Basement_Budget6"/>
      <sheetName val="4K_-_(6a)_Non_Manual_Breakdown2"/>
      <sheetName val="Commodity_Plan_Front_Block2"/>
      <sheetName val="Commodity_Plan_Rear_Block2"/>
      <sheetName val="99_조정금액2"/>
      <sheetName val="Boq__structure_2"/>
      <sheetName val="Category_A_-_No_Material2"/>
      <sheetName val="Category_B_-_Major_Works2"/>
      <sheetName val="Category_C_-_Minor_Works2"/>
      <sheetName val="Key_Ass6"/>
      <sheetName val="TBAL9697__grotp_wis60"/>
      <sheetName val="2_0_Floor_Area_Summary"/>
      <sheetName val="Annexue_B1"/>
      <sheetName val="IT-Fri_Base"/>
      <sheetName val="Capital_Structure"/>
      <sheetName val="BASIC_MATERIALS"/>
      <sheetName val="foot-slab_reinft"/>
      <sheetName val="TBAL9697__x005f_x005f_x005f_x005f_x003"/>
      <sheetName val="CORPN_O_x005f_x005f_x005f_x005f_x00002"/>
      <sheetName val="CORPN_O_x005f_x005f_x005f_x005f_x005f1"/>
      <sheetName val="fa-pl_&amp;_myy_x005f_x005f_x005f_x000b__x005f1"/>
      <sheetName val="water_prop_"/>
      <sheetName val="Tie_Beam_Steel-R0-1"/>
      <sheetName val="Staff_Acco_72"/>
      <sheetName val="PB_WORK6"/>
      <sheetName val="Dropdown_list"/>
      <sheetName val="labour_rates1"/>
      <sheetName val="Story_Drift-Part_21"/>
      <sheetName val="Ring_Details"/>
      <sheetName val="Reference_Data"/>
      <sheetName val="TPL_RECEIPTS_MB51"/>
      <sheetName val="ROW_Orders_for_March_05"/>
      <sheetName val="PKG_PO"/>
      <sheetName val="LLM_DPRECEIPTS_MB51"/>
      <sheetName val="ZSEM_stock_(ympc038)"/>
      <sheetName val="MFG_PO"/>
      <sheetName val="Design_sheet"/>
      <sheetName val="N-Amritsar_1351"/>
      <sheetName val="M_R_List_(2)2"/>
      <sheetName val="Operating_Statistics"/>
      <sheetName val="bending_stress"/>
      <sheetName val="Cash_Flow_Working"/>
      <sheetName val="Podium_Areas"/>
      <sheetName val="8__Cover"/>
      <sheetName val="_Tank"/>
      <sheetName val="spare_parts"/>
      <sheetName val="CLEAN_SHEET_COST_FOR_cPVC_PIPE"/>
      <sheetName val="Data_1"/>
      <sheetName val="Rates_Basic"/>
      <sheetName val="G_R_P"/>
      <sheetName val="PSC_REVISED"/>
      <sheetName val="beam-reinft-machine_rm"/>
      <sheetName val="F4_13"/>
      <sheetName val="Beam-design_exp"/>
      <sheetName val="WORK_TABLE"/>
      <sheetName val="Materials_Cost(PCC)"/>
      <sheetName val="PANEL_ANNEXURE1"/>
      <sheetName val="activit-graph__"/>
      <sheetName val="Table-2_(Rate_Comparison)"/>
      <sheetName val="RCC_Rates"/>
      <sheetName val="Column_all_floor_R1"/>
      <sheetName val="Cabinet_details"/>
      <sheetName val="Tools_Rev"/>
      <sheetName val="Balance_Sheet_1"/>
      <sheetName val="cost_centre1"/>
      <sheetName val="INPUT_SHEET_-_A1"/>
      <sheetName val="Default_Values1"/>
      <sheetName val="CASH_CONTRACTS"/>
      <sheetName val="Qty_SR"/>
      <sheetName val="_IO_List"/>
      <sheetName val="DOOR-WINDOW_SCHEDULE"/>
      <sheetName val="Schedule_v1"/>
      <sheetName val="Maturity_Assessment"/>
      <sheetName val="Head_Office-Bud"/>
      <sheetName val="FTE_Information_and_costs"/>
      <sheetName val="Strategic_Planning"/>
      <sheetName val="Calendar_year_Summary_Plan"/>
      <sheetName val="GrossMgn_98"/>
      <sheetName val="SCEL_Funding"/>
      <sheetName val="TBAL9697__grotp_wi11"/>
      <sheetName val="TBAL9697__grotp_wise_3110"/>
      <sheetName val="TBAL9697__grotp_wis261"/>
      <sheetName val="TBAL9697__grotp_wi21"/>
      <sheetName val="TBAL9697__grotp_wi41"/>
      <sheetName val="TBAL9697__grotp_wi31"/>
      <sheetName val="TBAL9697__grotp_wi51"/>
      <sheetName val="TBAL9697__grotp_wi61"/>
      <sheetName val="TBAL9697__grotp_wi71"/>
      <sheetName val="TBAL9697__grotp_wi81"/>
      <sheetName val="TBAL9697__grotp_wi91"/>
      <sheetName val="TBAL9697__grotp_w101"/>
      <sheetName val="TBAL9697__grotp_w161"/>
      <sheetName val="TBAL9697__grotp_w121"/>
      <sheetName val="TBAL9697__grotp_w111"/>
      <sheetName val="TBAL9697__grotp_w131"/>
      <sheetName val="TBAL9697__grotp_w141"/>
      <sheetName val="TBAL9697__grotp_w151"/>
      <sheetName val="TBAL9697__grotp_w221"/>
      <sheetName val="TBAL9697__grotp_w171"/>
      <sheetName val="TBAL9697__grotp_w181"/>
      <sheetName val="TBAL9697__grotp_w191"/>
      <sheetName val="TBAL9697__grotp_w201"/>
      <sheetName val="TBAL9697__grotp_w211"/>
      <sheetName val="TBAL9697__grotp_w231"/>
      <sheetName val="TBAL9697__grotp_w241"/>
      <sheetName val="TBAL9697__grotp_w251"/>
      <sheetName val="TBAL9697__grotp_w261"/>
      <sheetName val="TBAL9697__grotp_w29"/>
      <sheetName val="TBAL9697__grotp_w28"/>
      <sheetName val="TBAL9697__grotp_w27"/>
      <sheetName val="TBAL9697__grotp_w30"/>
      <sheetName val="MASONARY_"/>
      <sheetName val="old_boq"/>
      <sheetName val="Plant_&amp;__Machinery"/>
      <sheetName val="CIP_Summary_0012"/>
      <sheetName val="CIP_Detail_0011"/>
      <sheetName val="99_to_00_blns"/>
      <sheetName val="TBAL9697__grotp_wise_322"/>
      <sheetName val="Ave_wtd_rates"/>
      <sheetName val="Column_BBS-Block9"/>
      <sheetName val="factor_"/>
      <sheetName val="Abt_Foundation_"/>
      <sheetName val="pier_Foundation"/>
      <sheetName val="Master_Rates"/>
      <sheetName val="RATES_(2)"/>
      <sheetName val="MAR_02"/>
      <sheetName val="7_Steel_Rein_"/>
      <sheetName val="MB_FOR_SUPERSTRUCTURE"/>
      <sheetName val="A_O_R_(2)"/>
      <sheetName val="TBAL9697__grotp_wis271"/>
      <sheetName val="TBAL9697__grotp_wis281"/>
      <sheetName val="TBAL9697__grotp_wis291"/>
      <sheetName val="TBAL9697__grotp_wise_331"/>
      <sheetName val="TBAL9697__grotp_wise_341"/>
      <sheetName val="TBAL9697__grotp_wise_351"/>
      <sheetName val="TBAL9697__grotp_wise_361"/>
      <sheetName val="TBAL9697__grotp_wise_371"/>
      <sheetName val="TBAL9697__grotp_wise_391"/>
      <sheetName val="TBAL9697__grotp_wise_381"/>
      <sheetName val="TBAL9697__grotp_wise_401"/>
      <sheetName val="TBAL9697__grotp_wise_422"/>
      <sheetName val="TBAL9697__grotp_wise_4110"/>
      <sheetName val="TBAL9697__grotp_wise_431"/>
      <sheetName val="TBAL9697__grotp_wise_441"/>
      <sheetName val="TBAL9697__grotp_wise_451"/>
      <sheetName val="TBAL9697__grotp_wise_461"/>
      <sheetName val="TBAL9697__grotp_wise_471"/>
      <sheetName val="TBAL9697__grotp_wise_481"/>
      <sheetName val="TBAL9697__grotp_wise_491"/>
      <sheetName val="TBAL9697__grotp_wise_501"/>
      <sheetName val="TBAL9697__grotp_wise_5110"/>
      <sheetName val="TBAL9697__grotp_wise_521"/>
      <sheetName val="TBAL9697__grotp_wise_581"/>
      <sheetName val="TBAL9697__grotp_wise_531"/>
      <sheetName val="TBAL9697__grotp_wise_541"/>
      <sheetName val="TBAL9697__grotp_wise_551"/>
      <sheetName val="TBAL9697__grotp_wise_571"/>
      <sheetName val="TBAL9697__grotp_wise_561"/>
      <sheetName val="TBAL9697__grotp_wise_591"/>
      <sheetName val="TBAL9697__grotp_wise_601"/>
      <sheetName val="TBAL9697__grotp_wise_618"/>
      <sheetName val="TBAL9697__grotp_wise_631"/>
      <sheetName val="TBAL9697__grotp_wise_621"/>
      <sheetName val="TBAL9697__grotp_wise_641"/>
      <sheetName val="july_(2)"/>
      <sheetName val="OLD_IC"/>
      <sheetName val="TENDER_STUDY"/>
      <sheetName val="DRG_STUDY"/>
      <sheetName val="BOUGHT_OUT"/>
      <sheetName val="RA_"/>
      <sheetName val="STAFFSCHED_1"/>
      <sheetName val="E_&amp;_R"/>
      <sheetName val="Input_Rates"/>
      <sheetName val="1_01_1_to_1_01_5"/>
      <sheetName val="1_01_6"/>
      <sheetName val="1_01_7"/>
      <sheetName val="1_02_1"/>
      <sheetName val="1_03_1"/>
      <sheetName val="1_03_2"/>
      <sheetName val="1_03_3"/>
      <sheetName val="1_04_1"/>
      <sheetName val="1_05_1"/>
      <sheetName val="1_06_1"/>
      <sheetName val="1_06_2"/>
      <sheetName val="2_01_1_to_2_01_5-"/>
      <sheetName val="2_01_6"/>
      <sheetName val="2_01_7"/>
      <sheetName val="2_01_8"/>
      <sheetName val="2_02_1"/>
      <sheetName val="2_03_1"/>
      <sheetName val="2_03_2"/>
      <sheetName val="2_03_3"/>
      <sheetName val="2_04_1"/>
      <sheetName val="2_05_1"/>
      <sheetName val="2_06_1"/>
      <sheetName val="2_06_2"/>
      <sheetName val="2_07_1"/>
      <sheetName val="2_07_2"/>
      <sheetName val="2_07_3"/>
      <sheetName val="2_07_4"/>
      <sheetName val="2_07_5"/>
      <sheetName val="2_07_6"/>
      <sheetName val="2_07_7"/>
      <sheetName val="2_07_8"/>
      <sheetName val="2_07_9"/>
      <sheetName val="2_07_10"/>
      <sheetName val="2_07_11"/>
      <sheetName val="2_07_12"/>
      <sheetName val="2_07_13"/>
      <sheetName val="2_07_14"/>
      <sheetName val="2_07_15"/>
      <sheetName val="2_07_16"/>
      <sheetName val="3_01_1_to_3_01_5"/>
      <sheetName val="3_01_6"/>
      <sheetName val="3_01_7"/>
      <sheetName val="3_03_1"/>
      <sheetName val="3_03_2"/>
      <sheetName val="3_04_1"/>
      <sheetName val="3_05_1"/>
      <sheetName val="4_01_1_to_4_01_5"/>
      <sheetName val="4_01_6"/>
      <sheetName val="4_01_7"/>
      <sheetName val="4_01_8"/>
      <sheetName val="4_03_1"/>
      <sheetName val="4_03_2"/>
      <sheetName val="4_04_1"/>
      <sheetName val="4_05_1"/>
      <sheetName val="4_07_1"/>
      <sheetName val="4_07_2"/>
      <sheetName val="4_07_3"/>
      <sheetName val="4_07_4"/>
      <sheetName val="4_07_5"/>
      <sheetName val="4_07_6"/>
      <sheetName val="4_07_7"/>
      <sheetName val="4_07_8"/>
      <sheetName val="4_07_9"/>
      <sheetName val="4_07_10"/>
      <sheetName val="4_07_11"/>
      <sheetName val="4_07_12"/>
      <sheetName val="4_07_13"/>
      <sheetName val="4_07_14"/>
      <sheetName val="4_07_15"/>
      <sheetName val="4_07_16"/>
      <sheetName val="5_01_1"/>
      <sheetName val="5_01_2"/>
      <sheetName val="5_01_3"/>
      <sheetName val="5_01_4"/>
      <sheetName val="5_02_1"/>
      <sheetName val="5_02_2"/>
      <sheetName val="5_02_3"/>
      <sheetName val="5_02_4"/>
      <sheetName val="6_01_1_to_6_01_5"/>
      <sheetName val="6_01_6"/>
      <sheetName val="6_02_1_to_6_02_5"/>
      <sheetName val="6_02_6"/>
      <sheetName val="7_01_1"/>
      <sheetName val="7_01_2"/>
      <sheetName val="7_02_1"/>
      <sheetName val="7_02_2"/>
      <sheetName val="7_03_1"/>
      <sheetName val="7_03_2"/>
      <sheetName val="8_01_1"/>
      <sheetName val="8_01_2"/>
      <sheetName val="8_01_3"/>
      <sheetName val="8_01_4"/>
      <sheetName val="BOQ_in_CRN_Formate"/>
      <sheetName val="Cumul_"/>
      <sheetName val="GST__Inv__"/>
      <sheetName val="Ill__Imm__Cert_"/>
      <sheetName val="Work_Compl__Cert_"/>
      <sheetName val="Staff_Forecast_spread"/>
      <sheetName val="APPENDIX_4_1a"/>
      <sheetName val="IS__875"/>
      <sheetName val="Boq-_Zero"/>
      <sheetName val="SB_SCH_A7"/>
      <sheetName val="11_kV_SWGR"/>
      <sheetName val="exp-ded-jan'_06"/>
      <sheetName val="BOB_DETAILS"/>
      <sheetName val="BOQ_LT"/>
      <sheetName val="MN_T_B_"/>
      <sheetName val="Calculation_Sheet"/>
      <sheetName val="Column_Detail"/>
      <sheetName val="fa-pl_&amp;_myy_x005f_x000b__x005f_x005f_"/>
      <sheetName val="ELE_"/>
      <sheetName val="CC_Road"/>
      <sheetName val="ACAD_Finishes"/>
      <sheetName val="Rate_analysis_civil"/>
      <sheetName val="column_details"/>
      <sheetName val="General_Shedule_of_rates"/>
      <sheetName val="Rate analysis- BOQ 1 "/>
      <sheetName val="co_5"/>
      <sheetName val="B1"/>
      <sheetName val="grid"/>
      <sheetName val="Desgn(zone I)"/>
      <sheetName val="PRELIM5"/>
      <sheetName val="procurement"/>
      <sheetName val="TBAL9697O_x000a_grotp_wis19"/>
      <sheetName val="Guidelines"/>
      <sheetName val="工程量"/>
      <sheetName val="XLR_NoRangeShee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DATI_CONS"/>
      <sheetName val="rc01"/>
      <sheetName val="% prog figs -u5 and total"/>
      <sheetName val="GM &amp; TA"/>
      <sheetName val=" G,O A"/>
      <sheetName val="21"/>
      <sheetName val="Summary Transformers"/>
      <sheetName val="RELAYS"/>
      <sheetName val="Gravel in pond"/>
      <sheetName val="SPILL OVER PROJECTIONS"/>
      <sheetName val="dlvoid"/>
      <sheetName val="horizontal"/>
      <sheetName val="Output"/>
      <sheetName val="cul-invSUBMITTED"/>
      <sheetName val="dev stmt -sde"/>
      <sheetName val="Sump_cal"/>
      <sheetName val="3"/>
      <sheetName val="Bill No 2 to 8 (Rev)"/>
      <sheetName val="Actuals_by_Job"/>
      <sheetName val="Outlook"/>
      <sheetName val="DOOR-WIND"/>
      <sheetName val="Hotel rollout plan- Toggle"/>
      <sheetName val="TRIAL BALANCE"/>
      <sheetName val="T&amp;M"/>
      <sheetName val="Vehicles"/>
      <sheetName val="TBAL9697__x000d_grotp_w31"/>
      <sheetName val="TBAL9697__x000d_grotp_w32"/>
      <sheetName val="TBAL9697__x000d_grotp_w33"/>
      <sheetName val="_x0003_dpl_oth_Lia`66"/>
      <sheetName val="TBAL9697__x000d_grotp_wise_66"/>
      <sheetName val="CORPN_O_x0000_T66"/>
      <sheetName val="TBAL9697__x005f_x000d_grotp_w66"/>
      <sheetName val="TBAL9697__x000d_grotp_wis64"/>
      <sheetName val="TBAL9697__x005f_x005f_x36"/>
      <sheetName val="CORPN_O_x005f_x005f_x0009"/>
      <sheetName val="TBAL9697__x005f_x000a_grotp_wi9"/>
      <sheetName val="fa-pl_&amp;_myy_x000b__x000b__x08"/>
      <sheetName val="fa-pl_&amp;_myy_x000b__5"/>
      <sheetName val="CORPN_O_x005f_x005f_x0054"/>
      <sheetName val="_x0003_dpl_oth_Lia`67"/>
      <sheetName val="TBAL9697__x000d_grotp_wise_67"/>
      <sheetName val="CORPN_O_x0000_T67"/>
      <sheetName val="TBAL9697__x005f_x000d_grotp_w67"/>
      <sheetName val="TBAL9697__x000d_grotp_wis65"/>
      <sheetName val="TBAL9697__x005f_x005f_x37"/>
      <sheetName val="TBAL9697__x005f_x000a_grotp_w10"/>
      <sheetName val="CORPN_O_x005f_x005f_x0010"/>
      <sheetName val="fa-pl_&amp;_myy_x000b__x000b__x09"/>
      <sheetName val="fa-pl_&amp;_myy_x000b__6"/>
      <sheetName val="CORPN_O_x005f_x005f_x0055"/>
      <sheetName val="TBAL9697__x000d_grotp_w38"/>
      <sheetName val="TBAL9697_ grotp_wis36"/>
      <sheetName val="TBAL9697__x000d_grotp_w34"/>
      <sheetName val="TBAL9697__x000d_grotp_w35"/>
      <sheetName val="TBAL9697__x000d_grotp_w36"/>
      <sheetName val="TBAL9697__x000d_grotp_w37"/>
      <sheetName val="TBAL9697__x000d_grotp_w44"/>
      <sheetName val="TBAL9697_ grotp_wis42"/>
      <sheetName val="TBAL9697__x000d_grotp_w39"/>
      <sheetName val="TBAL9697_ grotp_wis37"/>
      <sheetName val="TBAL9697__x000d_grotp_w40"/>
      <sheetName val="TBAL9697_ grotp_wis38"/>
      <sheetName val="TBAL9697__x000d_grotp_w42"/>
      <sheetName val="TBAL9697_ grotp_wis40"/>
      <sheetName val="TBAL9697__x000d_grotp_w41"/>
      <sheetName val="TBAL9697_ grotp_wis39"/>
      <sheetName val="TBAL9697__x000d_grotp_w43"/>
      <sheetName val="TBAL9697_ grotp_wis41"/>
      <sheetName val="TBAL9697__x000d_grotp_w45"/>
      <sheetName val="TBAL9697_ grotp_wis43"/>
      <sheetName val="TBAL9697__x000d_grotp_w58"/>
      <sheetName val="TBAL9697_ grotp_wis56"/>
      <sheetName val="TBAL9697__x000d_grotp_w46"/>
      <sheetName val="TBAL9697_ grotp_wis44"/>
      <sheetName val="TBAL9697__x000d_grotp_w47"/>
      <sheetName val="TBAL9697_ grotp_wis45"/>
      <sheetName val="TBAL9697__x000d_grotp_w50"/>
      <sheetName val="TBAL9697_ grotp_wis48"/>
      <sheetName val="TBAL9697__x000d_grotp_w48"/>
      <sheetName val="TBAL9697_ grotp_wis46"/>
      <sheetName val="TBAL9697__x000d_grotp_w49"/>
      <sheetName val="TBAL9697_ grotp_wis47"/>
      <sheetName val="TBAL9697__x000d_grotp_w51"/>
      <sheetName val="TBAL9697_ grotp_wis49"/>
      <sheetName val="TBAL9697__x000d_grotp_w52"/>
      <sheetName val="TBAL9697_ grotp_wis50"/>
      <sheetName val="TBAL9697__x000d_grotp_w53"/>
      <sheetName val="TBAL9697_ grotp_wis51"/>
      <sheetName val="TBAL9697__x000d_grotp_w54"/>
      <sheetName val="TBAL9697_ grotp_wis52"/>
      <sheetName val="TBAL9697__x000d_grotp_w55"/>
      <sheetName val="TBAL9697_ grotp_wis53"/>
      <sheetName val="TBAL9697__x000d_grotp_w57"/>
      <sheetName val="TBAL9697_ grotp_wis55"/>
      <sheetName val="TBAL9697__x000d_grotp_w56"/>
      <sheetName val="TBAL9697_ grotp_wis54"/>
      <sheetName val="TBAL9697__x000d_grotp_w59"/>
      <sheetName val="TBAL9697_ grotp_wis57"/>
      <sheetName val="TBAL9697__x000d_grotp_w60"/>
      <sheetName val="TBAL9697_ grotp_wis58"/>
      <sheetName val="TBAL9697__x000d_grotp_w61"/>
      <sheetName val="TBAL9697_ grotp_wis59"/>
      <sheetName val="NC"/>
      <sheetName val="DSLP"/>
      <sheetName val="LTG-STG"/>
      <sheetName val="SC Cost FEB 03"/>
      <sheetName val="Builtup Area"/>
      <sheetName val="Roof  PT beams "/>
      <sheetName val="Rocker"/>
      <sheetName val="Misc. Data"/>
      <sheetName val="2nd "/>
      <sheetName val="Options"/>
      <sheetName val="PriceCalculation"/>
      <sheetName val="Area St"/>
      <sheetName val="GF Columns"/>
      <sheetName val="PRECAST lightconc_II"/>
      <sheetName val="FA BOQ"/>
      <sheetName val="Page 2"/>
      <sheetName val="BOQ_Direct_selling cost"/>
      <sheetName val="방배동내역(리라)"/>
      <sheetName val="Summary Part 1"/>
      <sheetName val="TBAL9697__x005f_x005f_x005f_x005f_x008"/>
      <sheetName val="CORPN_O_x005f_x005f_x005f_x005f_x00007"/>
      <sheetName val="CORPN_O_x005f_x005f_x005f_x005f_x005f6"/>
      <sheetName val="fa-pl_&amp;_myy_x005f_x005f_x005f_x000b__x005f6"/>
      <sheetName val="V_O_4_-_PCC_Qty6"/>
      <sheetName val="Commodity_Plan_Front_Block6"/>
      <sheetName val="Commodity_Plan_Rear_Block6"/>
      <sheetName val="99_조정금액6"/>
      <sheetName val="Boq__structure_6"/>
      <sheetName val="Category_A_-_No_Material6"/>
      <sheetName val="Category_B_-_Major_Works6"/>
      <sheetName val="Category_C_-_Minor_Works6"/>
      <sheetName val="L_(4)3"/>
      <sheetName val="Operating_Statistics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Design_sheet3"/>
      <sheetName val="TBAL9697__x005f_x005f_x005f_x005f_x006"/>
      <sheetName val="CORPN_O_x005f_x005f_x005f_x005f_x00005"/>
      <sheetName val="CORPN_O_x005f_x005f_x005f_x005f_x005f4"/>
      <sheetName val="fa-pl_&amp;_myy_x005f_x005f_x005f_x000b__x005f4"/>
      <sheetName val="TBAL9697__x005f_x005f_x005f_x005f_x007"/>
      <sheetName val="CORPN_O_x005f_x005f_x005f_x005f_x00006"/>
      <sheetName val="CORPN_O_x005f_x005f_x005f_x005f_x005f5"/>
      <sheetName val="fa-pl_&amp;_myy_x005f_x005f_x005f_x000b__x005f5"/>
      <sheetName val="V_O_4_-_PCC_Qty5"/>
      <sheetName val="Commodity_Plan_Front_Block5"/>
      <sheetName val="Commodity_Plan_Rear_Block5"/>
      <sheetName val="99_조정금액5"/>
      <sheetName val="Boq__structure_5"/>
      <sheetName val="Category_A_-_No_Material5"/>
      <sheetName val="Category_B_-_Major_Works5"/>
      <sheetName val="Category_C_-_Minor_Works5"/>
      <sheetName val="JACKWELL"/>
      <sheetName val="Grouped TB_2004_05"/>
      <sheetName val="Variables_x"/>
      <sheetName val="Cost Rates"/>
      <sheetName val="LOOKUP(MM)"/>
      <sheetName val="water_prop_3"/>
      <sheetName val="Tie_Beam_Steel-R0-13"/>
      <sheetName val="Dropdown_list3"/>
      <sheetName val="Ring_Details3"/>
      <sheetName val="Reference_Data3"/>
      <sheetName val="TBAL9697__grotp_wise_3113"/>
      <sheetName val="IT-Fri_Base3"/>
      <sheetName val="Capital_Structure3"/>
      <sheetName val="BASIC_MATERIALS3"/>
      <sheetName val="Plant_&amp;__Machinery3"/>
      <sheetName val="Staff_Acco_77"/>
      <sheetName val="TBAL9697__grotp_wise_329"/>
      <sheetName val="water_prop_4"/>
      <sheetName val="Tie_Beam_Steel-R0-14"/>
      <sheetName val="Staff_Acco_78"/>
      <sheetName val="Dropdown_list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Design_sheet4"/>
      <sheetName val="Story_Drift-Part_24"/>
      <sheetName val="Ring_Details4"/>
      <sheetName val="Reference_Data4"/>
      <sheetName val="Site_Infrastructure4"/>
      <sheetName val="INPUT_SHEET_-_A5"/>
      <sheetName val="TBAL9697__grotp_wise_3114"/>
      <sheetName val="TBAL9697__grotp_wise_3210"/>
      <sheetName val="labour_rates4"/>
      <sheetName val="Annexue_B4"/>
      <sheetName val="rcc(_sub)4"/>
      <sheetName val="L_(4)4"/>
      <sheetName val="IT-Fri_Base4"/>
      <sheetName val="Capital_Structure4"/>
      <sheetName val="BASIC_MATERIALS4"/>
      <sheetName val="Plant_&amp;__Machinery4"/>
      <sheetName val="(Do not delete)"/>
      <sheetName val="p_m"/>
      <sheetName val="Title"/>
      <sheetName val="BULook"/>
      <sheetName val="wksht"/>
      <sheetName val="Sheet10T016 Site Facilities"/>
      <sheetName val="Sheet10T016_Site_Facilities"/>
      <sheetName val="Field Values"/>
      <sheetName val="tank"/>
      <sheetName val="slap"/>
      <sheetName val="PRL"/>
      <sheetName val="SUBST1NW"/>
      <sheetName val="Feuil2"/>
      <sheetName val="Tools_Rev3"/>
      <sheetName val="Tools_Rev4"/>
      <sheetName val="TAX_INCOME10"/>
      <sheetName val="Depart_Budget10"/>
      <sheetName val="INPUT_SHEET_-_A6"/>
      <sheetName val="Tools_Rev5"/>
      <sheetName val="current year dep."/>
      <sheetName val="currency (2)"/>
      <sheetName val="aimdetail"/>
      <sheetName val="AIMEstFact"/>
      <sheetName val="AIMsum"/>
      <sheetName val="Sheet4"/>
      <sheetName val="Site wise NADs"/>
      <sheetName val="Lookups"/>
      <sheetName val="GrossMgn_983"/>
      <sheetName val="Staffing_Sheet4"/>
      <sheetName val="Data_Elements-Staffing4"/>
      <sheetName val="GrossMgn_984"/>
      <sheetName val="cost_centre4"/>
      <sheetName val="Client_Addresses4"/>
      <sheetName val="New_May4"/>
      <sheetName val="Staffing_Sheet5"/>
      <sheetName val="Data_Elements-Staffing5"/>
      <sheetName val="GrossMgn_985"/>
      <sheetName val="cost_centre5"/>
      <sheetName val="Client_Addresses5"/>
      <sheetName val="New_May5"/>
      <sheetName val="TAX_INCOME11"/>
      <sheetName val="Depart_Budget11"/>
      <sheetName val="Customize_Your_Invoice9"/>
      <sheetName val="INPUT_SHEET_-_A7"/>
      <sheetName val="Tools_Rev6"/>
      <sheetName val="Staffing_Sheet6"/>
      <sheetName val="Data_Elements-Staffing6"/>
      <sheetName val="GrossMgn_986"/>
      <sheetName val="cost_centre6"/>
      <sheetName val="Client_Addresses6"/>
      <sheetName val="New_May6"/>
      <sheetName val="TAX_INCOME12"/>
      <sheetName val="Depart_Budget12"/>
      <sheetName val="Customize_Your_Invoice10"/>
      <sheetName val="INPUT_SHEET_-_A8"/>
      <sheetName val="Tools_Rev7"/>
      <sheetName val="Staffing_Sheet7"/>
      <sheetName val="Data_Elements-Staffing7"/>
      <sheetName val="GrossMgn_987"/>
      <sheetName val="cost_centre7"/>
      <sheetName val="Client_Addresses7"/>
      <sheetName val="New_May7"/>
      <sheetName val="TAX_INCOME13"/>
      <sheetName val="Depart_Budget13"/>
      <sheetName val="Customize_Your_Invoice11"/>
      <sheetName val="INPUT_SHEET_-_A9"/>
      <sheetName val="Tools_Rev8"/>
      <sheetName val="Cash_Flow_Input_Data_ISC42"/>
      <sheetName val="Mat_-Rates42"/>
      <sheetName val="TBAL9697__x005f_x005f_x005f_x005f_x005f_x005f_x42"/>
      <sheetName val="Legal_Risk_Analysis42"/>
      <sheetName val="DETAILED__BOQ42"/>
      <sheetName val="CABLE_DATA42"/>
      <sheetName val="Tender_Summary25"/>
      <sheetName val="Elect_17"/>
      <sheetName val="Site_Dev_BOQ17"/>
      <sheetName val="TAX_INCOME17"/>
      <sheetName val="Depart_Budget17"/>
      <sheetName val="final_abstract17"/>
      <sheetName val="TBAL9697__grotp_wise_1107"/>
      <sheetName val="BASIC_RATES17"/>
      <sheetName val="Meas_-Hotel_Part17"/>
      <sheetName val="TBAL9697__x005f_x005f_x005f_x000a_grotp_w17"/>
      <sheetName val="CORPN_O_x005f_x005f_x005f_x005f_x005f_x005f_x0017"/>
      <sheetName val="Excess_Calc17"/>
      <sheetName val="COP_Final17"/>
      <sheetName val="General_input17"/>
      <sheetName val="6_0517"/>
      <sheetName val="Abstract_Sheet17"/>
      <sheetName val="Boq-_Civil17"/>
      <sheetName val="BOQ_17"/>
      <sheetName val="Detail_In_Door_Stad17"/>
      <sheetName val="PO_Payroll17"/>
      <sheetName val="Cost_summary17"/>
      <sheetName val="TBAL9697__grotp_wise_427"/>
      <sheetName val="TBAL9697__grotp_wise_525"/>
      <sheetName val="TBAL9697__grotp_wise_721"/>
      <sheetName val="TBAL9697__grotp_wise_820"/>
      <sheetName val="TBAL9697__grotp_wise_920"/>
      <sheetName val="TBAL9697__grotp_wise_1019"/>
      <sheetName val="TBAL9697__grotp_wise_1618"/>
      <sheetName val="TBAL9697__grotp_wise_1220"/>
      <sheetName val="TBAL9697__grotp_wise_1122"/>
      <sheetName val="TBAL9697__grotp_wise_1319"/>
      <sheetName val="TBAL9697__grotp_wise_1418"/>
      <sheetName val="TBAL9697__grotp_wise_1518"/>
      <sheetName val="TBAL9697__grotp_wise_2220"/>
      <sheetName val="TBAL9697__grotp_wise_1718"/>
      <sheetName val="TBAL9697__grotp_wise_1818"/>
      <sheetName val="TBAL9697__grotp_wise_1918"/>
      <sheetName val="TBAL9697__grotp_wise_2018"/>
      <sheetName val="TBAL9697__grotp_wise_2122"/>
      <sheetName val="TBAL9697__grotp_wise_2318"/>
      <sheetName val="TBAL9697__grotp_wise_2418"/>
      <sheetName val="SPILL_OVER17"/>
      <sheetName val="Pacakges_split17"/>
      <sheetName val="Data_sheet17"/>
      <sheetName val="Per_Unit17"/>
      <sheetName val="Main_Gate_House17"/>
      <sheetName val="Gen_Info17"/>
      <sheetName val="Contract_Night_Staff15"/>
      <sheetName val="Contract_Day_Staff15"/>
      <sheetName val="Day_Shift15"/>
      <sheetName val="Night_Shift15"/>
      <sheetName val="Material_15"/>
      <sheetName val="Extra_Item15"/>
      <sheetName val="Labour_&amp;_Plant15"/>
      <sheetName val="AutoOpen_Stub_Data15"/>
      <sheetName val="Debits_as_on_12_04_0815"/>
      <sheetName val="Customize_Your_Invoice15"/>
      <sheetName val="CC_June12"/>
      <sheetName val="INPUT_SHEET_-_A13"/>
      <sheetName val="Tools_Rev12"/>
      <sheetName val="TBAL9697__grotp_wise_2516"/>
      <sheetName val="TBAL9697__grotp_wise_2615"/>
      <sheetName val="Staffing_Sheet11"/>
      <sheetName val="Data_Elements-Staffing11"/>
      <sheetName val="GrossMgn_9811"/>
      <sheetName val="New_Construction11"/>
      <sheetName val="cost_centre11"/>
      <sheetName val="Client_Addresses11"/>
      <sheetName val="New_May11"/>
      <sheetName val="Cash_Flow_Input_Data_ISC41"/>
      <sheetName val="Mat_-Rates41"/>
      <sheetName val="TBAL9697__x005f_x005f_x005f_x005f_x005f_x005f_x41"/>
      <sheetName val="Legal_Risk_Analysis41"/>
      <sheetName val="DETAILED__BOQ41"/>
      <sheetName val="CABLE_DATA41"/>
      <sheetName val="Tender_Summary24"/>
      <sheetName val="Elect_16"/>
      <sheetName val="Site_Dev_BOQ16"/>
      <sheetName val="TAX_INCOME16"/>
      <sheetName val="Depart_Budget16"/>
      <sheetName val="final_abstract16"/>
      <sheetName val="TBAL9697__grotp_wise_1106"/>
      <sheetName val="BASIC_RATES16"/>
      <sheetName val="Meas_-Hotel_Part16"/>
      <sheetName val="TBAL9697__x005f_x005f_x005f_x000a_grotp_w16"/>
      <sheetName val="CORPN_O_x005f_x005f_x005f_x005f_x005f_x005f_x0016"/>
      <sheetName val="Excess_Calc16"/>
      <sheetName val="COP_Final16"/>
      <sheetName val="General_input16"/>
      <sheetName val="6_0516"/>
      <sheetName val="Abstract_Sheet16"/>
      <sheetName val="Boq-_Civil16"/>
      <sheetName val="BOQ_16"/>
      <sheetName val="Detail_In_Door_Stad16"/>
      <sheetName val="PO_Payroll16"/>
      <sheetName val="Cost_summary16"/>
      <sheetName val="TBAL9697__grotp_wise_720"/>
      <sheetName val="TBAL9697__grotp_wise_819"/>
      <sheetName val="TBAL9697__grotp_wise_919"/>
      <sheetName val="TBAL9697__grotp_wise_1617"/>
      <sheetName val="TBAL9697__grotp_wise_1219"/>
      <sheetName val="TBAL9697__grotp_wise_1121"/>
      <sheetName val="TBAL9697__grotp_wise_1318"/>
      <sheetName val="TBAL9697__grotp_wise_1417"/>
      <sheetName val="TBAL9697__grotp_wise_1517"/>
      <sheetName val="TBAL9697__grotp_wise_2219"/>
      <sheetName val="TBAL9697__grotp_wise_1717"/>
      <sheetName val="TBAL9697__grotp_wise_1817"/>
      <sheetName val="TBAL9697__grotp_wise_1917"/>
      <sheetName val="TBAL9697__grotp_wise_2017"/>
      <sheetName val="TBAL9697__grotp_wise_2121"/>
      <sheetName val="TBAL9697__grotp_wise_2317"/>
      <sheetName val="TBAL9697__grotp_wise_2417"/>
      <sheetName val="SPILL_OVER16"/>
      <sheetName val="Pacakges_split16"/>
      <sheetName val="Data_sheet16"/>
      <sheetName val="Per_Unit16"/>
      <sheetName val="Main_Gate_House16"/>
      <sheetName val="Gen_Info16"/>
      <sheetName val="Contract_Night_Staff14"/>
      <sheetName val="Contract_Day_Staff14"/>
      <sheetName val="Day_Shift14"/>
      <sheetName val="Night_Shift14"/>
      <sheetName val="Material_14"/>
      <sheetName val="Extra_Item14"/>
      <sheetName val="Labour_&amp;_Plant14"/>
      <sheetName val="AutoOpen_Stub_Data14"/>
      <sheetName val="Debits_as_on_12_04_0814"/>
      <sheetName val="Customize_Your_Invoice14"/>
      <sheetName val="CC_June11"/>
      <sheetName val="INPUT_SHEET_-_A12"/>
      <sheetName val="Tools_Rev11"/>
      <sheetName val="TBAL9697__grotp_wise_2515"/>
      <sheetName val="Staffing_Sheet10"/>
      <sheetName val="Data_Elements-Staffing10"/>
      <sheetName val="GrossMgn_9810"/>
      <sheetName val="New_Construction10"/>
      <sheetName val="cost_centre10"/>
      <sheetName val="Client_Addresses10"/>
      <sheetName val="New_May10"/>
      <sheetName val="Mat_-Rates39"/>
      <sheetName val="Legal_Risk_Analysis39"/>
      <sheetName val="DETAILED__BOQ39"/>
      <sheetName val="CABLE_DATA39"/>
      <sheetName val="Tender_Summary22"/>
      <sheetName val="TAX_INCOME14"/>
      <sheetName val="Depart_Budget14"/>
      <sheetName val="final_abstract14"/>
      <sheetName val="BASIC_RATES14"/>
      <sheetName val="Meas_-Hotel_Part14"/>
      <sheetName val="TBAL9697__x005f_x005f_x005f_x000a_grotp_w14"/>
      <sheetName val="CORPN_O_x005f_x005f_x005f_x005f_x005f_x005f_x0014"/>
      <sheetName val="Excess_Calc14"/>
      <sheetName val="COP_Final14"/>
      <sheetName val="General_input14"/>
      <sheetName val="6_0514"/>
      <sheetName val="Abstract_Sheet14"/>
      <sheetName val="Boq-_Civil14"/>
      <sheetName val="BOQ_14"/>
      <sheetName val="Detail_In_Door_Stad14"/>
      <sheetName val="PO_Payroll14"/>
      <sheetName val="Cost_summary14"/>
      <sheetName val="TBAL9697__grotp_wise_1119"/>
      <sheetName val="TBAL9697__grotp_wise_2217"/>
      <sheetName val="TBAL9697__grotp_wise_1715"/>
      <sheetName val="TBAL9697__grotp_wise_1815"/>
      <sheetName val="TBAL9697__grotp_wise_1915"/>
      <sheetName val="TBAL9697__grotp_wise_2015"/>
      <sheetName val="TBAL9697__grotp_wise_2119"/>
      <sheetName val="TBAL9697__grotp_wise_2315"/>
      <sheetName val="TBAL9697__grotp_wise_2415"/>
      <sheetName val="SPILL_OVER14"/>
      <sheetName val="Pacakges_split14"/>
      <sheetName val="Data_sheet14"/>
      <sheetName val="Per_Unit14"/>
      <sheetName val="Main_Gate_House14"/>
      <sheetName val="Gen_Info14"/>
      <sheetName val="Customize_Your_Invoice12"/>
      <sheetName val="INPUT_SHEET_-_A10"/>
      <sheetName val="Tools_Rev9"/>
      <sheetName val="Staffing_Sheet8"/>
      <sheetName val="Data_Elements-Staffing8"/>
      <sheetName val="GrossMgn_988"/>
      <sheetName val="cost_centre8"/>
      <sheetName val="Client_Addresses8"/>
      <sheetName val="New_May8"/>
      <sheetName val="Mat_-Rates40"/>
      <sheetName val="Legal_Risk_Analysis40"/>
      <sheetName val="DETAILED__BOQ40"/>
      <sheetName val="CABLE_DATA40"/>
      <sheetName val="Tender_Summary23"/>
      <sheetName val="Elect_15"/>
      <sheetName val="Site_Dev_BOQ15"/>
      <sheetName val="TAX_INCOME15"/>
      <sheetName val="Depart_Budget15"/>
      <sheetName val="final_abstract15"/>
      <sheetName val="TBAL9697__grotp_wise_1105"/>
      <sheetName val="BASIC_RATES15"/>
      <sheetName val="Meas_-Hotel_Part15"/>
      <sheetName val="TBAL9697__x005f_x005f_x005f_x000a_grotp_w15"/>
      <sheetName val="CORPN_O_x005f_x005f_x005f_x005f_x005f_x005f_x0015"/>
      <sheetName val="Excess_Calc15"/>
      <sheetName val="COP_Final15"/>
      <sheetName val="General_input15"/>
      <sheetName val="6_0515"/>
      <sheetName val="Abstract_Sheet15"/>
      <sheetName val="Boq-_Civil15"/>
      <sheetName val="BOQ_15"/>
      <sheetName val="Detail_In_Door_Stad15"/>
      <sheetName val="PO_Payroll15"/>
      <sheetName val="Cost_summary15"/>
      <sheetName val="TBAL9697__grotp_wise_719"/>
      <sheetName val="TBAL9697__grotp_wise_1616"/>
      <sheetName val="TBAL9697__grotp_wise_1218"/>
      <sheetName val="TBAL9697__grotp_wise_1120"/>
      <sheetName val="TBAL9697__grotp_wise_1516"/>
      <sheetName val="TBAL9697__grotp_wise_2218"/>
      <sheetName val="TBAL9697__grotp_wise_1716"/>
      <sheetName val="TBAL9697__grotp_wise_1816"/>
      <sheetName val="TBAL9697__grotp_wise_1916"/>
      <sheetName val="TBAL9697__grotp_wise_2016"/>
      <sheetName val="TBAL9697__grotp_wise_2120"/>
      <sheetName val="TBAL9697__grotp_wise_2316"/>
      <sheetName val="TBAL9697__grotp_wise_2416"/>
      <sheetName val="SPILL_OVER15"/>
      <sheetName val="Pacakges_split15"/>
      <sheetName val="Data_sheet15"/>
      <sheetName val="Per_Unit15"/>
      <sheetName val="Main_Gate_House15"/>
      <sheetName val="Gen_Info15"/>
      <sheetName val="Customize_Your_Invoice13"/>
      <sheetName val="CC_June10"/>
      <sheetName val="INPUT_SHEET_-_A11"/>
      <sheetName val="Tools_Rev10"/>
      <sheetName val="Staffing_Sheet9"/>
      <sheetName val="Data_Elements-Staffing9"/>
      <sheetName val="GrossMgn_989"/>
      <sheetName val="New_Construction9"/>
      <sheetName val="cost_centre9"/>
      <sheetName val="Client_Addresses9"/>
      <sheetName val="New_May9"/>
      <sheetName val="Cash_Flow_Input_Data_ISC43"/>
      <sheetName val="Mat_-Rates43"/>
      <sheetName val="TBAL9697__x005f_x005f_x005f_x005f_x005f_x005f_x43"/>
      <sheetName val="Legal_Risk_Analysis43"/>
      <sheetName val="DETAILED__BOQ43"/>
      <sheetName val="CABLE_DATA43"/>
      <sheetName val="Tender_Summary26"/>
      <sheetName val="Elect_18"/>
      <sheetName val="Site_Dev_BOQ18"/>
      <sheetName val="TAX_INCOME18"/>
      <sheetName val="Depart_Budget18"/>
      <sheetName val="final_abstract18"/>
      <sheetName val="TBAL9697__grotp_wise_1108"/>
      <sheetName val="BASIC_RATES18"/>
      <sheetName val="Meas_-Hotel_Part18"/>
      <sheetName val="TBAL9697__x005f_x005f_x005f_x000a_grotp_w18"/>
      <sheetName val="CORPN_O_x005f_x005f_x005f_x005f_x005f_x005f_x0018"/>
      <sheetName val="Deduction_of_assets18"/>
      <sheetName val="Excess_Calc18"/>
      <sheetName val="COP_Final18"/>
      <sheetName val="General_input18"/>
      <sheetName val="6_0518"/>
      <sheetName val="Abstract_Sheet18"/>
      <sheetName val="Boq-_Civil18"/>
      <sheetName val="BOQ_18"/>
      <sheetName val="Detail_In_Door_Stad18"/>
      <sheetName val="PO_Payroll18"/>
      <sheetName val="Cost_summary18"/>
      <sheetName val="TBAL9697__grotp_wise_428"/>
      <sheetName val="TBAL9697__grotp_wise_526"/>
      <sheetName val="TBAL9697__grotp_wise_624"/>
      <sheetName val="TBAL9697__grotp_wise_722"/>
      <sheetName val="TBAL9697__grotp_wise_821"/>
      <sheetName val="TBAL9697__grotp_wise_921"/>
      <sheetName val="TBAL9697__grotp_wise_1020"/>
      <sheetName val="TBAL9697__grotp_wise_1619"/>
      <sheetName val="TBAL9697__grotp_wise_1221"/>
      <sheetName val="TBAL9697__grotp_wise_1123"/>
      <sheetName val="TBAL9697__grotp_wise_1320"/>
      <sheetName val="TBAL9697__grotp_wise_1419"/>
      <sheetName val="TBAL9697__grotp_wise_1519"/>
      <sheetName val="TBAL9697__grotp_wise_2221"/>
      <sheetName val="TBAL9697__grotp_wise_1719"/>
      <sheetName val="TBAL9697__grotp_wise_1819"/>
      <sheetName val="TBAL9697__grotp_wise_1919"/>
      <sheetName val="TBAL9697__grotp_wise_2019"/>
      <sheetName val="TBAL9697__grotp_wise_2123"/>
      <sheetName val="TBAL9697__grotp_wise_2319"/>
      <sheetName val="TBAL9697__grotp_wise_2419"/>
      <sheetName val="SPILL_OVER18"/>
      <sheetName val="Pacakges_split18"/>
      <sheetName val="Data_sheet18"/>
      <sheetName val="Per_Unit18"/>
      <sheetName val="Main_Gate_House18"/>
      <sheetName val="Gen_Info18"/>
      <sheetName val="Contract_Night_Staff16"/>
      <sheetName val="Contract_Day_Staff16"/>
      <sheetName val="Day_Shift16"/>
      <sheetName val="Night_Shift16"/>
      <sheetName val="Material_16"/>
      <sheetName val="Extra_Item16"/>
      <sheetName val="Labour_&amp;_Plant16"/>
      <sheetName val="AutoOpen_Stub_Data16"/>
      <sheetName val="Debits_as_on_12_04_0816"/>
      <sheetName val="Customize_Your_Invoice16"/>
      <sheetName val="CC_June13"/>
      <sheetName val="INPUT_SHEET_-_A14"/>
      <sheetName val="Tools_Rev13"/>
      <sheetName val="Labor_abs-PW14"/>
      <sheetName val="fa-pl_&amp;_myy_x005f_x000b__x005f_x000b__x13"/>
      <sheetName val="lineby_line_consolidation14"/>
      <sheetName val="Base_Assumptions14"/>
      <sheetName val="_COP_100%14"/>
      <sheetName val="TBAL9697__grotp_wise_2517"/>
      <sheetName val="TBAL9697__grotp_wise_2616"/>
      <sheetName val="Staffing_Sheet12"/>
      <sheetName val="Data_Elements-Staffing12"/>
      <sheetName val="GrossMgn_9812"/>
      <sheetName val="New_Construction12"/>
      <sheetName val="cost_centre12"/>
      <sheetName val="Client_Addresses12"/>
      <sheetName val="New_May12"/>
      <sheetName val="tie_beam22"/>
      <sheetName val="Cash_Flow_Input_Data_ISC44"/>
      <sheetName val="Mat_-Rates44"/>
      <sheetName val="TBAL9697__x005f_x005f_x005f_x005f_x005f_x005f_x44"/>
      <sheetName val="Legal_Risk_Analysis44"/>
      <sheetName val="DETAILED__BOQ44"/>
      <sheetName val="CABLE_DATA44"/>
      <sheetName val="Tender_Summary27"/>
      <sheetName val="Elect_19"/>
      <sheetName val="Site_Dev_BOQ19"/>
      <sheetName val="TAX_INCOME19"/>
      <sheetName val="Depart_Budget19"/>
      <sheetName val="final_abstract19"/>
      <sheetName val="TBAL9697__grotp_wise_1109"/>
      <sheetName val="BASIC_RATES19"/>
      <sheetName val="Meas_-Hotel_Part19"/>
      <sheetName val="TBAL9697__x005f_x005f_x005f_x000a_grotp_w19"/>
      <sheetName val="CORPN_O_x005f_x005f_x005f_x005f_x005f_x005f_x0019"/>
      <sheetName val="Deduction_of_assets19"/>
      <sheetName val="Excess_Calc19"/>
      <sheetName val="COP_Final19"/>
      <sheetName val="General_input19"/>
      <sheetName val="6_0519"/>
      <sheetName val="Abstract_Sheet19"/>
      <sheetName val="Boq-_Civil19"/>
      <sheetName val="BOQ_19"/>
      <sheetName val="Detail_In_Door_Stad19"/>
      <sheetName val="PO_Payroll19"/>
      <sheetName val="Cost_summary19"/>
      <sheetName val="TBAL9697__grotp_wise_429"/>
      <sheetName val="TBAL9697__grotp_wise_527"/>
      <sheetName val="TBAL9697__grotp_wise_625"/>
      <sheetName val="TBAL9697__grotp_wise_723"/>
      <sheetName val="TBAL9697__grotp_wise_822"/>
      <sheetName val="TBAL9697__grotp_wise_922"/>
      <sheetName val="TBAL9697__grotp_wise_1021"/>
      <sheetName val="TBAL9697__grotp_wise_1620"/>
      <sheetName val="TBAL9697__grotp_wise_1222"/>
      <sheetName val="TBAL9697__grotp_wise_1124"/>
      <sheetName val="TBAL9697__grotp_wise_1321"/>
      <sheetName val="TBAL9697__grotp_wise_1420"/>
      <sheetName val="TBAL9697__grotp_wise_1520"/>
      <sheetName val="TBAL9697__grotp_wise_2222"/>
      <sheetName val="TBAL9697__grotp_wise_1720"/>
      <sheetName val="TBAL9697__grotp_wise_1820"/>
      <sheetName val="TBAL9697__grotp_wise_1920"/>
      <sheetName val="TBAL9697__grotp_wise_2020"/>
      <sheetName val="TBAL9697__grotp_wise_2124"/>
      <sheetName val="TBAL9697__grotp_wise_2320"/>
      <sheetName val="TBAL9697__grotp_wise_2420"/>
      <sheetName val="SPILL_OVER19"/>
      <sheetName val="Pacakges_split19"/>
      <sheetName val="Data_sheet19"/>
      <sheetName val="Per_Unit19"/>
      <sheetName val="Main_Gate_House19"/>
      <sheetName val="Gen_Info19"/>
      <sheetName val="Contract_Night_Staff17"/>
      <sheetName val="Contract_Day_Staff17"/>
      <sheetName val="Day_Shift17"/>
      <sheetName val="Night_Shift17"/>
      <sheetName val="Material_17"/>
      <sheetName val="Extra_Item17"/>
      <sheetName val="Labour_&amp;_Plant17"/>
      <sheetName val="AutoOpen_Stub_Data17"/>
      <sheetName val="Debits_as_on_12_04_0817"/>
      <sheetName val="Customize_Your_Invoice17"/>
      <sheetName val="CC_June14"/>
      <sheetName val="INPUT_SHEET_-_A15"/>
      <sheetName val="Tools_Rev14"/>
      <sheetName val="Labor_abs-PW15"/>
      <sheetName val="fa-pl_&amp;_myy_x005f_x000b__x005f_x000b__x14"/>
      <sheetName val="lineby_line_consolidation15"/>
      <sheetName val="Base_Assumptions15"/>
      <sheetName val="_COP_100%15"/>
      <sheetName val="TBAL9697__x005f_x005f_x0015"/>
      <sheetName val="CORPN_O_x005f_x005f_x000014"/>
      <sheetName val="TBAL9697__x005f_x000a_grotp_wis14"/>
      <sheetName val="TBAL9697__grotp_wise_2518"/>
      <sheetName val="TBAL9697__grotp_wise_2617"/>
      <sheetName val="TBAL9697_-group_wise_sdpl14"/>
      <sheetName val="Lintel_Beam_104_70_(GF)__14"/>
      <sheetName val="_14"/>
      <sheetName val="Area_Statement14"/>
      <sheetName val="Risk_Analysis14"/>
      <sheetName val="Basic_Rate13"/>
      <sheetName val="INFLUENCES_ON_GM13"/>
      <sheetName val="Staffing_Sheet13"/>
      <sheetName val="Data_Elements-Staffing13"/>
      <sheetName val="Material_List_13"/>
      <sheetName val="Load_Details(B2)13"/>
      <sheetName val="GrossMgn_9813"/>
      <sheetName val="DDETABLE_13"/>
      <sheetName val="New_Construction13"/>
      <sheetName val="GR_slab-reinft13"/>
      <sheetName val="cost_centre13"/>
      <sheetName val="Client_Addresses13"/>
      <sheetName val="New_May13"/>
      <sheetName val="tie_beam24"/>
      <sheetName val="Cash_Flow_Input_Data_ISC46"/>
      <sheetName val="Mat_-Rates46"/>
      <sheetName val="TBAL9697__x005f_x005f_x005f_x005f_x005f_x005f_x46"/>
      <sheetName val="Legal_Risk_Analysis46"/>
      <sheetName val="DETAILED__BOQ46"/>
      <sheetName val="CABLE_DATA46"/>
      <sheetName val="Tender_Summary29"/>
      <sheetName val="Elect_21"/>
      <sheetName val="Site_Dev_BOQ21"/>
      <sheetName val="TAX_INCOME21"/>
      <sheetName val="Depart_Budget21"/>
      <sheetName val="final_abstract21"/>
      <sheetName val="TBAL9697__grotp_wise_1127"/>
      <sheetName val="BASIC_RATES21"/>
      <sheetName val="Meas_-Hotel_Part21"/>
      <sheetName val="TBAL9697__x005f_x005f_x005f_x000a_grotp_w21"/>
      <sheetName val="CORPN_O_x005f_x005f_x005f_x005f_x005f_x005f_x0021"/>
      <sheetName val="Deduction_of_assets21"/>
      <sheetName val="Excess_Calc21"/>
      <sheetName val="COP_Final21"/>
      <sheetName val="General_input21"/>
      <sheetName val="6_0521"/>
      <sheetName val="Abstract_Sheet21"/>
      <sheetName val="Boq-_Civil21"/>
      <sheetName val="BOQ_21"/>
      <sheetName val="Detail_In_Door_Stad21"/>
      <sheetName val="PO_Payroll21"/>
      <sheetName val="Cost_summary21"/>
      <sheetName val="TBAL9697__grotp_wise_529"/>
      <sheetName val="TBAL9697__grotp_wise_627"/>
      <sheetName val="TBAL9697__grotp_wise_725"/>
      <sheetName val="TBAL9697__grotp_wise_824"/>
      <sheetName val="TBAL9697__grotp_wise_924"/>
      <sheetName val="TBAL9697__grotp_wise_1023"/>
      <sheetName val="TBAL9697__grotp_wise_1622"/>
      <sheetName val="TBAL9697__grotp_wise_1224"/>
      <sheetName val="TBAL9697__grotp_wise_1128"/>
      <sheetName val="TBAL9697__grotp_wise_1323"/>
      <sheetName val="TBAL9697__grotp_wise_1422"/>
      <sheetName val="TBAL9697__grotp_wise_1522"/>
      <sheetName val="TBAL9697__grotp_wise_2224"/>
      <sheetName val="TBAL9697__grotp_wise_1722"/>
      <sheetName val="TBAL9697__grotp_wise_1822"/>
      <sheetName val="TBAL9697__grotp_wise_1922"/>
      <sheetName val="TBAL9697__grotp_wise_2022"/>
      <sheetName val="TBAL9697__grotp_wise_2126"/>
      <sheetName val="TBAL9697__grotp_wise_2322"/>
      <sheetName val="TBAL9697__grotp_wise_2422"/>
      <sheetName val="SPILL_OVER21"/>
      <sheetName val="Pacakges_split21"/>
      <sheetName val="Data_sheet21"/>
      <sheetName val="Per_Unit21"/>
      <sheetName val="Main_Gate_House21"/>
      <sheetName val="Gen_Info21"/>
      <sheetName val="Contract_Night_Staff19"/>
      <sheetName val="Contract_Day_Staff19"/>
      <sheetName val="Day_Shift19"/>
      <sheetName val="Night_Shift19"/>
      <sheetName val="Material_19"/>
      <sheetName val="Extra_Item19"/>
      <sheetName val="Labour_&amp;_Plant19"/>
      <sheetName val="AutoOpen_Stub_Data19"/>
      <sheetName val="Debits_as_on_12_04_0819"/>
      <sheetName val="Customize_Your_Invoice19"/>
      <sheetName val="CC_June16"/>
      <sheetName val="INPUT_SHEET_-_A17"/>
      <sheetName val="Tools_Rev16"/>
      <sheetName val="Labor_abs-PW17"/>
      <sheetName val="fa-pl_&amp;_myy_x005f_x000b__x005f_x000b__x16"/>
      <sheetName val="lineby_line_consolidation17"/>
      <sheetName val="Base_Assumptions17"/>
      <sheetName val="_COP_100%17"/>
      <sheetName val="TBAL9697__x005f_x005f_x0017"/>
      <sheetName val="CORPN_O_x005f_x005f_x000016"/>
      <sheetName val="TBAL9697__x005f_x000a_grotp_wis16"/>
      <sheetName val="TBAL9697__grotp_wise_2520"/>
      <sheetName val="TBAL9697__grotp_wise_2619"/>
      <sheetName val="TBAL9697_-group_wise_sdpl16"/>
      <sheetName val="Lintel_Beam_104_70_(GF)__16"/>
      <sheetName val="_16"/>
      <sheetName val="Area_Statement16"/>
      <sheetName val="Risk_Analysis16"/>
      <sheetName val="Basic_Rate15"/>
      <sheetName val="INFLUENCES_ON_GM15"/>
      <sheetName val="Staffing_Sheet15"/>
      <sheetName val="Data_Elements-Staffing15"/>
      <sheetName val="Material_List_15"/>
      <sheetName val="Load_Details(B2)15"/>
      <sheetName val="GrossMgn_9815"/>
      <sheetName val="DDETABLE_15"/>
      <sheetName val="New_Construction15"/>
      <sheetName val="GR_slab-reinft15"/>
      <sheetName val="cost_centre15"/>
      <sheetName val="Client_Addresses15"/>
      <sheetName val="New_May15"/>
      <sheetName val="tie_beam23"/>
      <sheetName val="Cash_Flow_Input_Data_ISC45"/>
      <sheetName val="Mat_-Rates45"/>
      <sheetName val="TBAL9697__x005f_x005f_x005f_x005f_x005f_x005f_x45"/>
      <sheetName val="Legal_Risk_Analysis45"/>
      <sheetName val="DETAILED__BOQ45"/>
      <sheetName val="CABLE_DATA45"/>
      <sheetName val="Tender_Summary28"/>
      <sheetName val="Elect_20"/>
      <sheetName val="Site_Dev_BOQ20"/>
      <sheetName val="TAX_INCOME20"/>
      <sheetName val="Depart_Budget20"/>
      <sheetName val="final_abstract20"/>
      <sheetName val="TBAL9697__grotp_wise_1125"/>
      <sheetName val="BASIC_RATES20"/>
      <sheetName val="Meas_-Hotel_Part20"/>
      <sheetName val="TBAL9697__x005f_x005f_x005f_x000a_grotp_w20"/>
      <sheetName val="CORPN_O_x005f_x005f_x005f_x005f_x005f_x005f_x0020"/>
      <sheetName val="Deduction_of_assets20"/>
      <sheetName val="Excess_Calc20"/>
      <sheetName val="COP_Final20"/>
      <sheetName val="General_input20"/>
      <sheetName val="6_0520"/>
      <sheetName val="Abstract_Sheet20"/>
      <sheetName val="Boq-_Civil20"/>
      <sheetName val="BOQ_20"/>
      <sheetName val="Detail_In_Door_Stad20"/>
      <sheetName val="PO_Payroll20"/>
      <sheetName val="Cost_summary20"/>
      <sheetName val="TBAL9697__grotp_wise_430"/>
      <sheetName val="TBAL9697__grotp_wise_330"/>
      <sheetName val="TBAL9697__grotp_wise_528"/>
      <sheetName val="TBAL9697__grotp_wise_626"/>
      <sheetName val="TBAL9697__grotp_wise_724"/>
      <sheetName val="TBAL9697__grotp_wise_823"/>
      <sheetName val="TBAL9697__grotp_wise_923"/>
      <sheetName val="TBAL9697__grotp_wise_1022"/>
      <sheetName val="TBAL9697__grotp_wise_1621"/>
      <sheetName val="TBAL9697__grotp_wise_1223"/>
      <sheetName val="TBAL9697__grotp_wise_1126"/>
      <sheetName val="TBAL9697__grotp_wise_1322"/>
      <sheetName val="TBAL9697__grotp_wise_1421"/>
      <sheetName val="TBAL9697__grotp_wise_1521"/>
      <sheetName val="TBAL9697__grotp_wise_2223"/>
      <sheetName val="TBAL9697__grotp_wise_1721"/>
      <sheetName val="TBAL9697__grotp_wise_1821"/>
      <sheetName val="TBAL9697__grotp_wise_1921"/>
      <sheetName val="TBAL9697__grotp_wise_2021"/>
      <sheetName val="TBAL9697__grotp_wise_2125"/>
      <sheetName val="TBAL9697__grotp_wise_2321"/>
      <sheetName val="TBAL9697__grotp_wise_2421"/>
      <sheetName val="SPILL_OVER20"/>
      <sheetName val="Pacakges_split20"/>
      <sheetName val="Data_sheet20"/>
      <sheetName val="Per_Unit20"/>
      <sheetName val="Main_Gate_House20"/>
      <sheetName val="Gen_Info20"/>
      <sheetName val="Contract_Night_Staff18"/>
      <sheetName val="Contract_Day_Staff18"/>
      <sheetName val="Day_Shift18"/>
      <sheetName val="Night_Shift18"/>
      <sheetName val="Material_18"/>
      <sheetName val="Extra_Item18"/>
      <sheetName val="Labour_&amp;_Plant18"/>
      <sheetName val="AutoOpen_Stub_Data18"/>
      <sheetName val="Debits_as_on_12_04_0818"/>
      <sheetName val="Customize_Your_Invoice18"/>
      <sheetName val="CC_June15"/>
      <sheetName val="INPUT_SHEET_-_A16"/>
      <sheetName val="Tools_Rev15"/>
      <sheetName val="Labor_abs-PW16"/>
      <sheetName val="fa-pl_&amp;_myy_x005f_x000b__x005f_x000b__x15"/>
      <sheetName val="lineby_line_consolidation16"/>
      <sheetName val="Base_Assumptions16"/>
      <sheetName val="_COP_100%16"/>
      <sheetName val="TBAL9697__x005f_x005f_x0016"/>
      <sheetName val="CORPN_O_x005f_x005f_x000015"/>
      <sheetName val="TBAL9697__x005f_x000a_grotp_wis15"/>
      <sheetName val="TBAL9697__grotp_wise_2519"/>
      <sheetName val="TBAL9697__grotp_wise_2618"/>
      <sheetName val="TBAL9697_-group_wise_sdpl15"/>
      <sheetName val="Lintel_Beam_104_70_(GF)__15"/>
      <sheetName val="_15"/>
      <sheetName val="Area_Statement15"/>
      <sheetName val="Risk_Analysis15"/>
      <sheetName val="Basic_Rate14"/>
      <sheetName val="INFLUENCES_ON_GM14"/>
      <sheetName val="Staffing_Sheet14"/>
      <sheetName val="Data_Elements-Staffing14"/>
      <sheetName val="Material_List_14"/>
      <sheetName val="Load_Details(B2)14"/>
      <sheetName val="GrossMgn_9814"/>
      <sheetName val="DDETABLE_14"/>
      <sheetName val="New_Construction14"/>
      <sheetName val="GR_slab-reinft14"/>
      <sheetName val="cost_centre14"/>
      <sheetName val="Client_Addresses14"/>
      <sheetName val="New_May14"/>
      <sheetName val="tie_beam25"/>
      <sheetName val="Cash_Flow_Input_Data_ISC47"/>
      <sheetName val="Mat_-Rates47"/>
      <sheetName val="TBAL9697__x005f_x005f_x005f_x005f_x005f_x005f_x47"/>
      <sheetName val="Legal_Risk_Analysis47"/>
      <sheetName val="DETAILED__BOQ47"/>
      <sheetName val="CABLE_DATA47"/>
      <sheetName val="Tender_Summary30"/>
      <sheetName val="Elect_22"/>
      <sheetName val="Site_Dev_BOQ22"/>
      <sheetName val="TAX_INCOME22"/>
      <sheetName val="Depart_Budget22"/>
      <sheetName val="INDIGINEOUS_ITEMS_22"/>
      <sheetName val="final_abstract22"/>
      <sheetName val="TBAL9697__grotp_wise_1129"/>
      <sheetName val="BASIC_RATES22"/>
      <sheetName val="Meas_-Hotel_Part22"/>
      <sheetName val="TBAL9697__x005f_x005f_x005f_x000a_grotp_w22"/>
      <sheetName val="CORPN_O_x005f_x005f_x005f_x005f_x005f_x005f_x0022"/>
      <sheetName val="Deduction_of_assets22"/>
      <sheetName val="Excess_Calc22"/>
      <sheetName val="COP_Final22"/>
      <sheetName val="General_input22"/>
      <sheetName val="6_0522"/>
      <sheetName val="Abstract_Sheet22"/>
      <sheetName val="Boq-_Civil22"/>
      <sheetName val="BOQ_22"/>
      <sheetName val="Detail_In_Door_Stad22"/>
      <sheetName val="PO_Payroll22"/>
      <sheetName val="Cost_summary22"/>
      <sheetName val="TBAL9697__grotp_wise_2102"/>
      <sheetName val="TBAL9697__grotp_wise_530"/>
      <sheetName val="TBAL9697__grotp_wise_628"/>
      <sheetName val="TBAL9697__grotp_wise_726"/>
      <sheetName val="TBAL9697__grotp_wise_825"/>
      <sheetName val="TBAL9697__grotp_wise_925"/>
      <sheetName val="TBAL9697__grotp_wise_1024"/>
      <sheetName val="TBAL9697__grotp_wise_1623"/>
      <sheetName val="TBAL9697__grotp_wise_1225"/>
      <sheetName val="TBAL9697__grotp_wise_1130"/>
      <sheetName val="TBAL9697__grotp_wise_1324"/>
      <sheetName val="TBAL9697__grotp_wise_1423"/>
      <sheetName val="TBAL9697__grotp_wise_1523"/>
      <sheetName val="TBAL9697__grotp_wise_2225"/>
      <sheetName val="TBAL9697__grotp_wise_1723"/>
      <sheetName val="TBAL9697__grotp_wise_1823"/>
      <sheetName val="TBAL9697__grotp_wise_1923"/>
      <sheetName val="TBAL9697__grotp_wise_2023"/>
      <sheetName val="TBAL9697__grotp_wise_2127"/>
      <sheetName val="TBAL9697__grotp_wise_2323"/>
      <sheetName val="TBAL9697__grotp_wise_2423"/>
      <sheetName val="SPILL_OVER22"/>
      <sheetName val="Pacakges_split22"/>
      <sheetName val="Data_sheet22"/>
      <sheetName val="Per_Unit22"/>
      <sheetName val="Main_Gate_House22"/>
      <sheetName val="Gen_Info22"/>
      <sheetName val="Contract_Night_Staff20"/>
      <sheetName val="Contract_Day_Staff20"/>
      <sheetName val="Day_Shift20"/>
      <sheetName val="Night_Shift20"/>
      <sheetName val="Material_20"/>
      <sheetName val="Extra_Item20"/>
      <sheetName val="Labour_&amp;_Plant20"/>
      <sheetName val="AutoOpen_Stub_Data20"/>
      <sheetName val="Debits_as_on_12_04_0820"/>
      <sheetName val="Customize_Your_Invoice20"/>
      <sheetName val="CC_June17"/>
      <sheetName val="INPUT_SHEET_-_A18"/>
      <sheetName val="Tools_Rev17"/>
      <sheetName val="Labor_abs-PW18"/>
      <sheetName val="fa-pl_&amp;_myy_x005f_x000b__x005f_x000b__x17"/>
      <sheetName val="lineby_line_consolidation18"/>
      <sheetName val="Base_Assumptions18"/>
      <sheetName val="_COP_100%18"/>
      <sheetName val="TBAL9697__x005f_x005f_x0018"/>
      <sheetName val="CORPN_O_x005f_x005f_x000017"/>
      <sheetName val="TBAL9697__x005f_x000a_grotp_wis17"/>
      <sheetName val="TBAL9697__grotp_wise_2521"/>
      <sheetName val="TBAL9697__grotp_wise_2620"/>
      <sheetName val="TBAL9697_-group_wise_sdpl17"/>
      <sheetName val="Lintel_Beam_104_70_(GF)__17"/>
      <sheetName val="_17"/>
      <sheetName val="Area_Statement17"/>
      <sheetName val="Risk_Analysis17"/>
      <sheetName val="Basic_Rate16"/>
      <sheetName val="INFLUENCES_ON_GM16"/>
      <sheetName val="Staffing_Sheet16"/>
      <sheetName val="Data_Elements-Staffing16"/>
      <sheetName val="Material_List_16"/>
      <sheetName val="Load_Details(B2)16"/>
      <sheetName val="GrossMgn_9816"/>
      <sheetName val="DDETABLE_16"/>
      <sheetName val="New_Construction16"/>
      <sheetName val="GR_slab-reinft16"/>
      <sheetName val="cost_centre16"/>
      <sheetName val="Client_Addresses16"/>
      <sheetName val="New_May16"/>
      <sheetName val="tie_beam26"/>
      <sheetName val="Cash_Flow_Input_Data_ISC48"/>
      <sheetName val="Mat_-Rates48"/>
      <sheetName val="TBAL9697__x005f_x005f_x005f_x005f_x005f_x005f_x48"/>
      <sheetName val="Legal_Risk_Analysis48"/>
      <sheetName val="DETAILED__BOQ48"/>
      <sheetName val="CABLE_DATA48"/>
      <sheetName val="Tender_Summary31"/>
      <sheetName val="Elect_23"/>
      <sheetName val="Site_Dev_BOQ23"/>
      <sheetName val="TAX_INCOME23"/>
      <sheetName val="Depart_Budget23"/>
      <sheetName val="INDIGINEOUS_ITEMS_23"/>
      <sheetName val="final_abstract23"/>
      <sheetName val="TBAL9697__grotp_wise_334"/>
      <sheetName val="TBAL9697__grotp_wise_1131"/>
      <sheetName val="BASIC_RATES23"/>
      <sheetName val="Meas_-Hotel_Part23"/>
      <sheetName val="TBAL9697__x005f_x005f_x005f_x000a_grotp_w23"/>
      <sheetName val="CORPN_O_x005f_x005f_x005f_x005f_x005f_x005f_x0023"/>
      <sheetName val="Deduction_of_assets23"/>
      <sheetName val="Excess_Calc23"/>
      <sheetName val="COP_Final23"/>
      <sheetName val="General_input23"/>
      <sheetName val="6_0523"/>
      <sheetName val="Abstract_Sheet23"/>
      <sheetName val="Boq-_Civil23"/>
      <sheetName val="BOQ_23"/>
      <sheetName val="Detail_In_Door_Stad23"/>
      <sheetName val="PO_Payroll23"/>
      <sheetName val="Cost_summary23"/>
      <sheetName val="TBAL9697__grotp_wise_2103"/>
      <sheetName val="TBAL9697__grotp_wise_335"/>
      <sheetName val="TBAL9697__grotp_wise_629"/>
      <sheetName val="TBAL9697__grotp_wise_727"/>
      <sheetName val="TBAL9697__grotp_wise_826"/>
      <sheetName val="TBAL9697__grotp_wise_926"/>
      <sheetName val="TBAL9697__grotp_wise_1025"/>
      <sheetName val="TBAL9697__grotp_wise_1624"/>
      <sheetName val="TBAL9697__grotp_wise_1226"/>
      <sheetName val="TBAL9697__grotp_wise_1132"/>
      <sheetName val="TBAL9697__grotp_wise_1325"/>
      <sheetName val="TBAL9697__grotp_wise_1424"/>
      <sheetName val="TBAL9697__grotp_wise_1524"/>
      <sheetName val="TBAL9697__grotp_wise_2226"/>
      <sheetName val="TBAL9697__grotp_wise_1724"/>
      <sheetName val="TBAL9697__grotp_wise_1824"/>
      <sheetName val="TBAL9697__grotp_wise_1924"/>
      <sheetName val="TBAL9697__grotp_wise_2024"/>
      <sheetName val="TBAL9697__grotp_wise_2128"/>
      <sheetName val="TBAL9697__grotp_wise_2324"/>
      <sheetName val="TBAL9697__grotp_wise_2424"/>
      <sheetName val="SPILL_OVER23"/>
      <sheetName val="Pacakges_split23"/>
      <sheetName val="Data_sheet23"/>
      <sheetName val="Per_Unit23"/>
      <sheetName val="Main_Gate_House23"/>
      <sheetName val="Gen_Info23"/>
      <sheetName val="Contract_Night_Staff21"/>
      <sheetName val="Contract_Day_Staff21"/>
      <sheetName val="Day_Shift21"/>
      <sheetName val="Night_Shift21"/>
      <sheetName val="Material_21"/>
      <sheetName val="Extra_Item21"/>
      <sheetName val="Labour_&amp;_Plant21"/>
      <sheetName val="AutoOpen_Stub_Data21"/>
      <sheetName val="Debits_as_on_12_04_0821"/>
      <sheetName val="Customize_Your_Invoice21"/>
      <sheetName val="CC_June18"/>
      <sheetName val="INPUT_SHEET_-_A19"/>
      <sheetName val="Tools_Rev18"/>
      <sheetName val="Labor_abs-PW19"/>
      <sheetName val="fa-pl_&amp;_myy_x005f_x000b__x005f_x000b__x18"/>
      <sheetName val="lineby_line_consolidation19"/>
      <sheetName val="Base_Assumptions19"/>
      <sheetName val="_COP_100%19"/>
      <sheetName val="TBAL9697__x005f_x005f_x0019"/>
      <sheetName val="CORPN_O_x005f_x005f_x000018"/>
      <sheetName val="TBAL9697__x005f_x000a_grotp_wis18"/>
      <sheetName val="TBAL9697__grotp_wise_2522"/>
      <sheetName val="TBAL9697__grotp_wise_2621"/>
      <sheetName val="TBAL9697_-group_wise_sdpl18"/>
      <sheetName val="Lintel_Beam_104_70_(GF)__18"/>
      <sheetName val="_18"/>
      <sheetName val="Area_Statement18"/>
      <sheetName val="Risk_Analysis18"/>
      <sheetName val="Basic_Rate17"/>
      <sheetName val="INFLUENCES_ON_GM17"/>
      <sheetName val="Staffing_Sheet17"/>
      <sheetName val="Data_Elements-Staffing17"/>
      <sheetName val="Material_List_17"/>
      <sheetName val="Load_Details(B2)17"/>
      <sheetName val="GrossMgn_9817"/>
      <sheetName val="DDETABLE_17"/>
      <sheetName val="New_Construction17"/>
      <sheetName val="GR_slab-reinft17"/>
      <sheetName val="cost_centre17"/>
      <sheetName val="Client_Addresses17"/>
      <sheetName val="New_May17"/>
      <sheetName val="TBAL9697__grotp_wise_348"/>
      <sheetName val="TBAL9697__grotp_wise_349"/>
      <sheetName val="tie_beam30"/>
      <sheetName val="Cash_Flow_Input_Data_ISC52"/>
      <sheetName val="Mat_-Rates52"/>
      <sheetName val="TBAL9697__x005f_x005f_x005f_x005f_x005f_x005f_x52"/>
      <sheetName val="Legal_Risk_Analysis52"/>
      <sheetName val="DETAILED__BOQ52"/>
      <sheetName val="CABLE_DATA52"/>
      <sheetName val="Tender_Summary35"/>
      <sheetName val="Elect_27"/>
      <sheetName val="Site_Dev_BOQ27"/>
      <sheetName val="TAX_INCOME27"/>
      <sheetName val="Depart_Budget27"/>
      <sheetName val="INDIGINEOUS_ITEMS_27"/>
      <sheetName val="final_abstract27"/>
      <sheetName val="TBAL9697__grotp_wise_350"/>
      <sheetName val="TBAL9697__grotp_wise_1139"/>
      <sheetName val="BASIC_RATES27"/>
      <sheetName val="Meas_-Hotel_Part27"/>
      <sheetName val="TBAL9697__x005f_x005f_x005f_x000a_grotp_w27"/>
      <sheetName val="CORPN_O_x005f_x005f_x005f_x005f_x005f_x005f_x0027"/>
      <sheetName val="Deduction_of_assets27"/>
      <sheetName val="Excess_Calc27"/>
      <sheetName val="COP_Final27"/>
      <sheetName val="General_input27"/>
      <sheetName val="6_0527"/>
      <sheetName val="Abstract_Sheet27"/>
      <sheetName val="Boq-_Civil27"/>
      <sheetName val="BOQ_27"/>
      <sheetName val="Detail_In_Door_Stad27"/>
      <sheetName val="PO_Payroll27"/>
      <sheetName val="Cost_summary27"/>
      <sheetName val="TBAL9697__grotp_wise_2107"/>
      <sheetName val="TBAL9697__grotp_wise_437"/>
      <sheetName val="TBAL9697__grotp_wise_535"/>
      <sheetName val="TBAL9697__grotp_wise_731"/>
      <sheetName val="TBAL9697__grotp_wise_830"/>
      <sheetName val="TBAL9697__grotp_wise_930"/>
      <sheetName val="TBAL9697__grotp_wise_1029"/>
      <sheetName val="TBAL9697__grotp_wise_1628"/>
      <sheetName val="TBAL9697__grotp_wise_1230"/>
      <sheetName val="TBAL9697__grotp_wise_1140"/>
      <sheetName val="TBAL9697__grotp_wise_1329"/>
      <sheetName val="TBAL9697__grotp_wise_1428"/>
      <sheetName val="TBAL9697__grotp_wise_1528"/>
      <sheetName val="TBAL9697__grotp_wise_2230"/>
      <sheetName val="TBAL9697__grotp_wise_1728"/>
      <sheetName val="TBAL9697__grotp_wise_1828"/>
      <sheetName val="TBAL9697__grotp_wise_1928"/>
      <sheetName val="TBAL9697__grotp_wise_2028"/>
      <sheetName val="TBAL9697__grotp_wise_2132"/>
      <sheetName val="TBAL9697__grotp_wise_2328"/>
      <sheetName val="TBAL9697__grotp_wise_2428"/>
      <sheetName val="SPILL_OVER27"/>
      <sheetName val="Pacakges_split27"/>
      <sheetName val="Data_sheet27"/>
      <sheetName val="Per_Unit27"/>
      <sheetName val="Main_Gate_House27"/>
      <sheetName val="Gen_Info27"/>
      <sheetName val="Contract_Night_Staff25"/>
      <sheetName val="Contract_Day_Staff25"/>
      <sheetName val="Day_Shift25"/>
      <sheetName val="Night_Shift25"/>
      <sheetName val="Material_25"/>
      <sheetName val="Extra_Item25"/>
      <sheetName val="Labour_&amp;_Plant25"/>
      <sheetName val="AutoOpen_Stub_Data25"/>
      <sheetName val="Debits_as_on_12_04_0825"/>
      <sheetName val="Customize_Your_Invoice25"/>
      <sheetName val="CC_June22"/>
      <sheetName val="INPUT_SHEET_-_A23"/>
      <sheetName val="Tools_Rev22"/>
      <sheetName val="Labor_abs-PW23"/>
      <sheetName val="fa-pl_&amp;_myy_x005f_x000b__x005f_x000b__x22"/>
      <sheetName val="lineby_line_consolidation23"/>
      <sheetName val="Base_Assumptions23"/>
      <sheetName val="_COP_100%23"/>
      <sheetName val="TBAL9697__x005f_x005f_x0023"/>
      <sheetName val="CORPN_O_x005f_x005f_x000022"/>
      <sheetName val="TBAL9697__x005f_x000a_grotp_wis22"/>
      <sheetName val="TBAL9697__grotp_wise_2526"/>
      <sheetName val="TBAL9697__grotp_wise_2625"/>
      <sheetName val="TBAL9697_-group_wise_sdpl22"/>
      <sheetName val="Lintel_Beam_104_70_(GF)__22"/>
      <sheetName val="_22"/>
      <sheetName val="Area_Statement22"/>
      <sheetName val="Risk_Analysis22"/>
      <sheetName val="Basic_Rate21"/>
      <sheetName val="INFLUENCES_ON_GM21"/>
      <sheetName val="Staffing_Sheet21"/>
      <sheetName val="Data_Elements-Staffing21"/>
      <sheetName val="Material_List_21"/>
      <sheetName val="Load_Details(B2)21"/>
      <sheetName val="GrossMgn_9821"/>
      <sheetName val="DDETABLE_21"/>
      <sheetName val="New_Construction21"/>
      <sheetName val="GR_slab-reinft21"/>
      <sheetName val="cost_centre21"/>
      <sheetName val="Client_Addresses21"/>
      <sheetName val="New_May21"/>
      <sheetName val="New_C_PM7"/>
      <sheetName val="TB_MAR20047"/>
      <sheetName val="TBAL9697__grotp_wise_340"/>
      <sheetName val="tie_beam28"/>
      <sheetName val="Cash_Flow_Input_Data_ISC50"/>
      <sheetName val="Mat_-Rates50"/>
      <sheetName val="TBAL9697__x005f_x005f_x005f_x005f_x005f_x005f_x50"/>
      <sheetName val="Legal_Risk_Analysis50"/>
      <sheetName val="DETAILED__BOQ50"/>
      <sheetName val="CABLE_DATA50"/>
      <sheetName val="Tender_Summary33"/>
      <sheetName val="Elect_25"/>
      <sheetName val="Site_Dev_BOQ25"/>
      <sheetName val="TAX_INCOME25"/>
      <sheetName val="Depart_Budget25"/>
      <sheetName val="INDIGINEOUS_ITEMS_25"/>
      <sheetName val="final_abstract25"/>
      <sheetName val="TBAL9697__grotp_wise_1135"/>
      <sheetName val="BASIC_RATES25"/>
      <sheetName val="Meas_-Hotel_Part25"/>
      <sheetName val="TBAL9697__x005f_x005f_x005f_x000a_grotp_w25"/>
      <sheetName val="CORPN_O_x005f_x005f_x005f_x005f_x005f_x005f_x0025"/>
      <sheetName val="Deduction_of_assets25"/>
      <sheetName val="Excess_Calc25"/>
      <sheetName val="COP_Final25"/>
      <sheetName val="General_input25"/>
      <sheetName val="6_0525"/>
      <sheetName val="Abstract_Sheet25"/>
      <sheetName val="Boq-_Civil25"/>
      <sheetName val="BOQ_25"/>
      <sheetName val="Detail_In_Door_Stad25"/>
      <sheetName val="PO_Payroll25"/>
      <sheetName val="Cost_summary25"/>
      <sheetName val="TBAL9697__grotp_wise_2105"/>
      <sheetName val="TBAL9697__grotp_wise_435"/>
      <sheetName val="TBAL9697__grotp_wise_729"/>
      <sheetName val="TBAL9697__grotp_wise_828"/>
      <sheetName val="TBAL9697__grotp_wise_928"/>
      <sheetName val="TBAL9697__grotp_wise_1027"/>
      <sheetName val="TBAL9697__grotp_wise_1626"/>
      <sheetName val="TBAL9697__grotp_wise_1228"/>
      <sheetName val="TBAL9697__grotp_wise_1136"/>
      <sheetName val="TBAL9697__grotp_wise_1327"/>
      <sheetName val="TBAL9697__grotp_wise_1426"/>
      <sheetName val="TBAL9697__grotp_wise_1526"/>
      <sheetName val="TBAL9697__grotp_wise_2228"/>
      <sheetName val="TBAL9697__grotp_wise_1726"/>
      <sheetName val="TBAL9697__grotp_wise_1826"/>
      <sheetName val="TBAL9697__grotp_wise_1926"/>
      <sheetName val="TBAL9697__grotp_wise_2026"/>
      <sheetName val="TBAL9697__grotp_wise_2130"/>
      <sheetName val="TBAL9697__grotp_wise_2326"/>
      <sheetName val="TBAL9697__grotp_wise_2426"/>
      <sheetName val="SPILL_OVER25"/>
      <sheetName val="Pacakges_split25"/>
      <sheetName val="Data_sheet25"/>
      <sheetName val="Per_Unit25"/>
      <sheetName val="Main_Gate_House25"/>
      <sheetName val="Gen_Info25"/>
      <sheetName val="Contract_Night_Staff23"/>
      <sheetName val="Contract_Day_Staff23"/>
      <sheetName val="Day_Shift23"/>
      <sheetName val="Night_Shift23"/>
      <sheetName val="Material_23"/>
      <sheetName val="Extra_Item23"/>
      <sheetName val="Labour_&amp;_Plant23"/>
      <sheetName val="AutoOpen_Stub_Data23"/>
      <sheetName val="Debits_as_on_12_04_0823"/>
      <sheetName val="Customize_Your_Invoice23"/>
      <sheetName val="CC_June20"/>
      <sheetName val="INPUT_SHEET_-_A21"/>
      <sheetName val="Tools_Rev20"/>
      <sheetName val="Labor_abs-PW21"/>
      <sheetName val="fa-pl_&amp;_myy_x005f_x000b__x005f_x000b__x20"/>
      <sheetName val="lineby_line_consolidation21"/>
      <sheetName val="Base_Assumptions21"/>
      <sheetName val="_COP_100%21"/>
      <sheetName val="TBAL9697__x005f_x005f_x0021"/>
      <sheetName val="CORPN_O_x005f_x005f_x000020"/>
      <sheetName val="TBAL9697__x005f_x000a_grotp_wis20"/>
      <sheetName val="TBAL9697__grotp_wise_2524"/>
      <sheetName val="TBAL9697__grotp_wise_2623"/>
      <sheetName val="TBAL9697_-group_wise_sdpl20"/>
      <sheetName val="Lintel_Beam_104_70_(GF)__20"/>
      <sheetName val="_20"/>
      <sheetName val="Area_Statement20"/>
      <sheetName val="Risk_Analysis20"/>
      <sheetName val="Basic_Rate19"/>
      <sheetName val="INFLUENCES_ON_GM19"/>
      <sheetName val="Staffing_Sheet19"/>
      <sheetName val="Data_Elements-Staffing19"/>
      <sheetName val="Material_List_19"/>
      <sheetName val="Load_Details(B2)19"/>
      <sheetName val="GrossMgn_9819"/>
      <sheetName val="DDETABLE_19"/>
      <sheetName val="New_Construction19"/>
      <sheetName val="GR_slab-reinft19"/>
      <sheetName val="cost_centre19"/>
      <sheetName val="Client_Addresses19"/>
      <sheetName val="New_May19"/>
      <sheetName val="New_C_PM5"/>
      <sheetName val="TB_MAR20045"/>
      <sheetName val="TBAL9697__grotp_wise_336"/>
      <sheetName val="TBAL9697__grotp_wise_337"/>
      <sheetName val="tie_beam27"/>
      <sheetName val="Cash_Flow_Input_Data_ISC49"/>
      <sheetName val="Mat_-Rates49"/>
      <sheetName val="TBAL9697__x005f_x005f_x005f_x005f_x005f_x005f_x49"/>
      <sheetName val="Legal_Risk_Analysis49"/>
      <sheetName val="DETAILED__BOQ49"/>
      <sheetName val="CABLE_DATA49"/>
      <sheetName val="Tender_Summary32"/>
      <sheetName val="Elect_24"/>
      <sheetName val="Site_Dev_BOQ24"/>
      <sheetName val="TAX_INCOME24"/>
      <sheetName val="Depart_Budget24"/>
      <sheetName val="INDIGINEOUS_ITEMS_24"/>
      <sheetName val="final_abstract24"/>
      <sheetName val="TBAL9697__grotp_wise_338"/>
      <sheetName val="TBAL9697__grotp_wise_1133"/>
      <sheetName val="BASIC_RATES24"/>
      <sheetName val="Meas_-Hotel_Part24"/>
      <sheetName val="TBAL9697__x005f_x005f_x005f_x000a_grotp_w24"/>
      <sheetName val="CORPN_O_x005f_x005f_x005f_x005f_x005f_x005f_x0024"/>
      <sheetName val="Deduction_of_assets24"/>
      <sheetName val="Excess_Calc24"/>
      <sheetName val="COP_Final24"/>
      <sheetName val="General_input24"/>
      <sheetName val="6_0524"/>
      <sheetName val="Abstract_Sheet24"/>
      <sheetName val="Boq-_Civil24"/>
      <sheetName val="BOQ_24"/>
      <sheetName val="Detail_In_Door_Stad24"/>
      <sheetName val="PO_Payroll24"/>
      <sheetName val="Cost_summary24"/>
      <sheetName val="TBAL9697__grotp_wise_2104"/>
      <sheetName val="TBAL9697__grotp_wise_434"/>
      <sheetName val="TBAL9697__grotp_wise_339"/>
      <sheetName val="TBAL9697__grotp_wise_630"/>
      <sheetName val="TBAL9697__grotp_wise_728"/>
      <sheetName val="TBAL9697__grotp_wise_827"/>
      <sheetName val="TBAL9697__grotp_wise_927"/>
      <sheetName val="TBAL9697__grotp_wise_1026"/>
      <sheetName val="TBAL9697__grotp_wise_1625"/>
      <sheetName val="TBAL9697__grotp_wise_1227"/>
      <sheetName val="TBAL9697__grotp_wise_1134"/>
      <sheetName val="TBAL9697__grotp_wise_1326"/>
      <sheetName val="TBAL9697__grotp_wise_1425"/>
      <sheetName val="TBAL9697__grotp_wise_1525"/>
      <sheetName val="TBAL9697__grotp_wise_2227"/>
      <sheetName val="TBAL9697__grotp_wise_1725"/>
      <sheetName val="TBAL9697__grotp_wise_1825"/>
      <sheetName val="TBAL9697__grotp_wise_1925"/>
      <sheetName val="TBAL9697__grotp_wise_2025"/>
      <sheetName val="TBAL9697__grotp_wise_2129"/>
      <sheetName val="TBAL9697__grotp_wise_2325"/>
      <sheetName val="TBAL9697__grotp_wise_2425"/>
      <sheetName val="SPILL_OVER24"/>
      <sheetName val="Pacakges_split24"/>
      <sheetName val="Data_sheet24"/>
      <sheetName val="Per_Unit24"/>
      <sheetName val="Main_Gate_House24"/>
      <sheetName val="Gen_Info24"/>
      <sheetName val="Contract_Night_Staff22"/>
      <sheetName val="Contract_Day_Staff22"/>
      <sheetName val="Day_Shift22"/>
      <sheetName val="Night_Shift22"/>
      <sheetName val="Material_22"/>
      <sheetName val="Extra_Item22"/>
      <sheetName val="Labour_&amp;_Plant22"/>
      <sheetName val="AutoOpen_Stub_Data22"/>
      <sheetName val="Debits_as_on_12_04_0822"/>
      <sheetName val="Customize_Your_Invoice22"/>
      <sheetName val="CC_June19"/>
      <sheetName val="INPUT_SHEET_-_A20"/>
      <sheetName val="Tools_Rev19"/>
      <sheetName val="Labor_abs-PW20"/>
      <sheetName val="fa-pl_&amp;_myy_x005f_x000b__x005f_x000b__x19"/>
      <sheetName val="lineby_line_consolidation20"/>
      <sheetName val="Base_Assumptions20"/>
      <sheetName val="_COP_100%20"/>
      <sheetName val="TBAL9697__x005f_x005f_x0020"/>
      <sheetName val="CORPN_O_x005f_x005f_x000019"/>
      <sheetName val="TBAL9697__x005f_x000a_grotp_wis19"/>
      <sheetName val="TBAL9697__grotp_wise_2523"/>
      <sheetName val="TBAL9697__grotp_wise_2622"/>
      <sheetName val="TBAL9697_-group_wise_sdpl19"/>
      <sheetName val="Lintel_Beam_104_70_(GF)__19"/>
      <sheetName val="_19"/>
      <sheetName val="Area_Statement19"/>
      <sheetName val="Risk_Analysis19"/>
      <sheetName val="Basic_Rate18"/>
      <sheetName val="INFLUENCES_ON_GM18"/>
      <sheetName val="Staffing_Sheet18"/>
      <sheetName val="Data_Elements-Staffing18"/>
      <sheetName val="Material_List_18"/>
      <sheetName val="Load_Details(B2)18"/>
      <sheetName val="GrossMgn_9818"/>
      <sheetName val="DDETABLE_18"/>
      <sheetName val="New_Construction18"/>
      <sheetName val="GR_slab-reinft18"/>
      <sheetName val="cost_centre18"/>
      <sheetName val="Client_Addresses18"/>
      <sheetName val="New_May18"/>
      <sheetName val="New_C_PM4"/>
      <sheetName val="TB_MAR20044"/>
      <sheetName val="TBAL9697__grotp_wise_344"/>
      <sheetName val="TBAL9697__grotp_wise_345"/>
      <sheetName val="tie_beam29"/>
      <sheetName val="Cash_Flow_Input_Data_ISC51"/>
      <sheetName val="Mat_-Rates51"/>
      <sheetName val="TBAL9697__x005f_x005f_x005f_x005f_x005f_x005f_x51"/>
      <sheetName val="Legal_Risk_Analysis51"/>
      <sheetName val="DETAILED__BOQ51"/>
      <sheetName val="CABLE_DATA51"/>
      <sheetName val="Tender_Summary34"/>
      <sheetName val="Elect_26"/>
      <sheetName val="Site_Dev_BOQ26"/>
      <sheetName val="TAX_INCOME26"/>
      <sheetName val="Depart_Budget26"/>
      <sheetName val="INDIGINEOUS_ITEMS_26"/>
      <sheetName val="final_abstract26"/>
      <sheetName val="TBAL9697__grotp_wise_346"/>
      <sheetName val="TBAL9697__grotp_wise_1137"/>
      <sheetName val="BASIC_RATES26"/>
      <sheetName val="Meas_-Hotel_Part26"/>
      <sheetName val="TBAL9697__x005f_x005f_x005f_x000a_grotp_w26"/>
      <sheetName val="CORPN_O_x005f_x005f_x005f_x005f_x005f_x005f_x0026"/>
      <sheetName val="Deduction_of_assets26"/>
      <sheetName val="Excess_Calc26"/>
      <sheetName val="COP_Final26"/>
      <sheetName val="General_input26"/>
      <sheetName val="6_0526"/>
      <sheetName val="Abstract_Sheet26"/>
      <sheetName val="Boq-_Civil26"/>
      <sheetName val="BOQ_26"/>
      <sheetName val="Detail_In_Door_Stad26"/>
      <sheetName val="PO_Payroll26"/>
      <sheetName val="Cost_summary26"/>
      <sheetName val="TBAL9697__grotp_wise_2106"/>
      <sheetName val="TBAL9697__grotp_wise_436"/>
      <sheetName val="TBAL9697__grotp_wise_347"/>
      <sheetName val="TBAL9697__grotp_wise_534"/>
      <sheetName val="TBAL9697__grotp_wise_730"/>
      <sheetName val="TBAL9697__grotp_wise_829"/>
      <sheetName val="TBAL9697__grotp_wise_929"/>
      <sheetName val="TBAL9697__grotp_wise_1028"/>
      <sheetName val="TBAL9697__grotp_wise_1627"/>
      <sheetName val="TBAL9697__grotp_wise_1229"/>
      <sheetName val="TBAL9697__grotp_wise_1138"/>
      <sheetName val="TBAL9697__grotp_wise_1328"/>
      <sheetName val="TBAL9697__grotp_wise_1427"/>
      <sheetName val="TBAL9697__grotp_wise_1527"/>
      <sheetName val="TBAL9697__grotp_wise_2229"/>
      <sheetName val="TBAL9697__grotp_wise_1727"/>
      <sheetName val="TBAL9697__grotp_wise_1827"/>
      <sheetName val="TBAL9697__grotp_wise_1927"/>
      <sheetName val="TBAL9697__grotp_wise_2027"/>
      <sheetName val="TBAL9697__grotp_wise_2131"/>
      <sheetName val="TBAL9697__grotp_wise_2327"/>
      <sheetName val="TBAL9697__grotp_wise_2427"/>
      <sheetName val="SPILL_OVER26"/>
      <sheetName val="Pacakges_split26"/>
      <sheetName val="Data_sheet26"/>
      <sheetName val="Per_Unit26"/>
      <sheetName val="Main_Gate_House26"/>
      <sheetName val="Gen_Info26"/>
      <sheetName val="Contract_Night_Staff24"/>
      <sheetName val="Contract_Day_Staff24"/>
      <sheetName val="Day_Shift24"/>
      <sheetName val="Night_Shift24"/>
      <sheetName val="Material_24"/>
      <sheetName val="Extra_Item24"/>
      <sheetName val="Labour_&amp;_Plant24"/>
      <sheetName val="AutoOpen_Stub_Data24"/>
      <sheetName val="Debits_as_on_12_04_0824"/>
      <sheetName val="Customize_Your_Invoice24"/>
      <sheetName val="CC_June21"/>
      <sheetName val="INPUT_SHEET_-_A22"/>
      <sheetName val="Tools_Rev21"/>
      <sheetName val="Labor_abs-PW22"/>
      <sheetName val="fa-pl_&amp;_myy_x005f_x000b__x005f_x000b__x21"/>
      <sheetName val="lineby_line_consolidation22"/>
      <sheetName val="Base_Assumptions22"/>
      <sheetName val="_COP_100%22"/>
      <sheetName val="TBAL9697__x005f_x005f_x0022"/>
      <sheetName val="CORPN_O_x005f_x005f_x000021"/>
      <sheetName val="TBAL9697__x005f_x000a_grotp_wis21"/>
      <sheetName val="TBAL9697__grotp_wise_2525"/>
      <sheetName val="TBAL9697__grotp_wise_2624"/>
      <sheetName val="TBAL9697_-group_wise_sdpl21"/>
      <sheetName val="Lintel_Beam_104_70_(GF)__21"/>
      <sheetName val="_21"/>
      <sheetName val="Area_Statement21"/>
      <sheetName val="Risk_Analysis21"/>
      <sheetName val="Basic_Rate20"/>
      <sheetName val="INFLUENCES_ON_GM20"/>
      <sheetName val="Staffing_Sheet20"/>
      <sheetName val="Data_Elements-Staffing20"/>
      <sheetName val="Material_List_20"/>
      <sheetName val="Load_Details(B2)20"/>
      <sheetName val="GrossMgn_9820"/>
      <sheetName val="DDETABLE_20"/>
      <sheetName val="New_Construction20"/>
      <sheetName val="GR_slab-reinft20"/>
      <sheetName val="cost_centre20"/>
      <sheetName val="Client_Addresses20"/>
      <sheetName val="New_May20"/>
      <sheetName val="New_C_PM6"/>
      <sheetName val="TB_MAR20046"/>
      <sheetName val="tie_beam31"/>
      <sheetName val="Cash_Flow_Input_Data_ISC53"/>
      <sheetName val="Mat_-Rates53"/>
      <sheetName val="TBAL9697__x005f_x005f_x005f_x005f_x005f_x005f_x53"/>
      <sheetName val="Legal_Risk_Analysis53"/>
      <sheetName val="DETAILED__BOQ53"/>
      <sheetName val="CABLE_DATA53"/>
      <sheetName val="Tender_Summary36"/>
      <sheetName val="Elect_28"/>
      <sheetName val="Site_Dev_BOQ28"/>
      <sheetName val="TAX_INCOME28"/>
      <sheetName val="Depart_Budget28"/>
      <sheetName val="INDIGINEOUS_ITEMS_28"/>
      <sheetName val="final_abstract28"/>
      <sheetName val="TBAL9697__grotp_wise_354"/>
      <sheetName val="TBAL9697__grotp_wise_1141"/>
      <sheetName val="BASIC_RATES28"/>
      <sheetName val="Meas_-Hotel_Part28"/>
      <sheetName val="TBAL9697__x005f_x005f_x005f_x000a_grotp_w28"/>
      <sheetName val="CORPN_O_x005f_x005f_x005f_x005f_x005f_x005f_x0028"/>
      <sheetName val="Deduction_of_assets28"/>
      <sheetName val="Excess_Calc28"/>
      <sheetName val="COP_Final28"/>
      <sheetName val="General_input28"/>
      <sheetName val="6_0528"/>
      <sheetName val="Abstract_Sheet28"/>
      <sheetName val="Boq-_Civil28"/>
      <sheetName val="BOQ_28"/>
      <sheetName val="Detail_In_Door_Stad28"/>
      <sheetName val="PO_Payroll28"/>
      <sheetName val="Cost_summary28"/>
      <sheetName val="TBAL9697__grotp_wise_2108"/>
      <sheetName val="TBAL9697__grotp_wise_438"/>
      <sheetName val="TBAL9697__grotp_wise_355"/>
      <sheetName val="TBAL9697__grotp_wise_536"/>
      <sheetName val="TBAL9697__grotp_wise_634"/>
      <sheetName val="TBAL9697__grotp_wise_732"/>
      <sheetName val="TBAL9697__grotp_wise_831"/>
      <sheetName val="TBAL9697__grotp_wise_931"/>
      <sheetName val="TBAL9697__grotp_wise_1030"/>
      <sheetName val="TBAL9697__grotp_wise_1629"/>
      <sheetName val="TBAL9697__grotp_wise_1231"/>
      <sheetName val="TBAL9697__grotp_wise_1142"/>
      <sheetName val="TBAL9697__grotp_wise_1330"/>
      <sheetName val="TBAL9697__grotp_wise_1429"/>
      <sheetName val="TBAL9697__grotp_wise_1529"/>
      <sheetName val="TBAL9697__grotp_wise_2231"/>
      <sheetName val="TBAL9697__grotp_wise_1729"/>
      <sheetName val="TBAL9697__grotp_wise_1829"/>
      <sheetName val="TBAL9697__grotp_wise_1929"/>
      <sheetName val="TBAL9697__grotp_wise_2029"/>
      <sheetName val="TBAL9697__grotp_wise_2133"/>
      <sheetName val="TBAL9697__grotp_wise_2329"/>
      <sheetName val="TBAL9697__grotp_wise_2429"/>
      <sheetName val="SPILL_OVER28"/>
      <sheetName val="Pacakges_split28"/>
      <sheetName val="Data_sheet28"/>
      <sheetName val="Per_Unit28"/>
      <sheetName val="Main_Gate_House28"/>
      <sheetName val="Gen_Info28"/>
      <sheetName val="Contract_Night_Staff26"/>
      <sheetName val="Contract_Day_Staff26"/>
      <sheetName val="Day_Shift26"/>
      <sheetName val="Night_Shift26"/>
      <sheetName val="Material_26"/>
      <sheetName val="Extra_Item26"/>
      <sheetName val="Labour_&amp;_Plant26"/>
      <sheetName val="AutoOpen_Stub_Data26"/>
      <sheetName val="Debits_as_on_12_04_0826"/>
      <sheetName val="Customize_Your_Invoice26"/>
      <sheetName val="CC_June23"/>
      <sheetName val="INPUT_SHEET_-_A24"/>
      <sheetName val="Tools_Rev23"/>
      <sheetName val="Labor_abs-PW24"/>
      <sheetName val="fa-pl_&amp;_myy_x005f_x000b__x005f_x000b__x23"/>
      <sheetName val="lineby_line_consolidation24"/>
      <sheetName val="Base_Assumptions24"/>
      <sheetName val="_COP_100%24"/>
      <sheetName val="TBAL9697__x005f_x005f_x0024"/>
      <sheetName val="CORPN_O_x005f_x005f_x000023"/>
      <sheetName val="TBAL9697__x005f_x000a_grotp_wis23"/>
      <sheetName val="TBAL9697__grotp_wise_2527"/>
      <sheetName val="TBAL9697__grotp_wise_2626"/>
      <sheetName val="TBAL9697_-group_wise_sdpl23"/>
      <sheetName val="Lintel_Beam_104_70_(GF)__23"/>
      <sheetName val="_23"/>
      <sheetName val="Area_Statement23"/>
      <sheetName val="Risk_Analysis23"/>
      <sheetName val="Basic_Rate22"/>
      <sheetName val="INFLUENCES_ON_GM22"/>
      <sheetName val="Staffing_Sheet22"/>
      <sheetName val="Data_Elements-Staffing22"/>
      <sheetName val="Material_List_22"/>
      <sheetName val="Load_Details(B2)22"/>
      <sheetName val="GrossMgn_9822"/>
      <sheetName val="DDETABLE_22"/>
      <sheetName val="New_Construction22"/>
      <sheetName val="GR_slab-reinft22"/>
      <sheetName val="cost_centre22"/>
      <sheetName val="Client_Addresses22"/>
      <sheetName val="New_May22"/>
      <sheetName val="New_C_PM8"/>
      <sheetName val="TB_MAR20048"/>
      <sheetName val="2.3.1 - CFR MAIN"/>
      <sheetName val="Enquire"/>
      <sheetName val="Reference Information"/>
      <sheetName val="Employee List"/>
      <sheetName val="Sales Office"/>
      <sheetName val="ASS"/>
      <sheetName val="IDCCALHYD-GOO"/>
      <sheetName val="Cases"/>
      <sheetName val="Sec-I"/>
      <sheetName val="Angebot18.7."/>
      <sheetName val="MISBS"/>
      <sheetName val="BOD PL NEW"/>
      <sheetName val="AcqIS"/>
      <sheetName val="AcqBSCF"/>
      <sheetName val="PNM Justi"/>
      <sheetName val="CC_Road3"/>
      <sheetName val="2_0_Floor_Area_Summary3"/>
      <sheetName val="foot-slab_reinft3"/>
      <sheetName val="bending_stress3"/>
      <sheetName val="Cash_Flow_Working3"/>
      <sheetName val="Podium_Areas3"/>
      <sheetName val="8__Cover3"/>
      <sheetName val="CC_Road2"/>
      <sheetName val="Heads_Equiv_QI"/>
      <sheetName val="PT_Heads_SD"/>
      <sheetName val="Rein. Steel"/>
      <sheetName val="Blockwork"/>
      <sheetName val="IDC-Pl Pro PCC"/>
      <sheetName val="IDC-Brick Bat"/>
      <sheetName val="IDC-Roofing"/>
      <sheetName val="CMB-Roof Wall Col"/>
      <sheetName val="CMB-RF Beam"/>
      <sheetName val="CMB-Brick Bat"/>
      <sheetName val="PP-Brick Bat"/>
      <sheetName val="HVAC Pl Pro"/>
      <sheetName val="Exc. Deduction"/>
      <sheetName val="IDC-Pl Pro-ATT"/>
      <sheetName val="공장별판관비배부"/>
      <sheetName val="precast RC element"/>
      <sheetName val="Auswahl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Version"/>
      <sheetName val="unit.cost."/>
      <sheetName val="OC 17-04-06"/>
      <sheetName val="FT-05-02IsoBOM"/>
      <sheetName val="A_O_R r1"/>
      <sheetName val="A_O_R r1Str"/>
      <sheetName val="keydates"/>
      <sheetName val="Final VA"/>
      <sheetName val="9"/>
      <sheetName val="RateAnalysis"/>
      <sheetName val="8 consume"/>
      <sheetName val="Breakdown"/>
      <sheetName val="1 Labour"/>
      <sheetName val="6 - Track EP"/>
      <sheetName val="Dayworks Bill"/>
      <sheetName val="Bills of Quantities"/>
      <sheetName val="LOCAL RATES"/>
      <sheetName val="RSM and Distributors"/>
      <sheetName val="Global Assm."/>
      <sheetName val="7 Other Costs"/>
      <sheetName val="D.UT-MECH"/>
      <sheetName val="PIP&amp;EQPT"/>
      <sheetName val="Cem_Recon"/>
      <sheetName val="Pivot"/>
      <sheetName val="tb"/>
      <sheetName val="Detail Top Sheet"/>
      <sheetName val="Detail_Top_Sheet"/>
      <sheetName val="Detail_Top_Sheet1"/>
      <sheetName val="Detail_Top_Sheet2"/>
      <sheetName val="Detail_Top_Sheet3"/>
      <sheetName val="DOOR WINDOW SHEDULE"/>
      <sheetName val="BASEMENT"/>
      <sheetName val="SubAnlysis"/>
      <sheetName val="foundation(V)"/>
      <sheetName val="RAFT"/>
      <sheetName val="No-5"/>
      <sheetName val="TBAL9697__x000d_grotp_w63"/>
      <sheetName val="TBAL9697__x000d_grotp_w62"/>
      <sheetName val="TBAL9697__x000d_grotp_w64"/>
      <sheetName val="INTSHEET"/>
      <sheetName val="INTSHEET3"/>
      <sheetName val="GE"/>
      <sheetName val="Flooring Chart"/>
      <sheetName val="Filtration1"/>
      <sheetName val="VARIABLE"/>
      <sheetName val="M-Book for Conc"/>
      <sheetName val="M-Book for FW"/>
      <sheetName val="NDOCBT"/>
      <sheetName val="1st Slab"/>
      <sheetName val="Canteen"/>
      <sheetName val="Formula"/>
      <sheetName val="E150-4"/>
      <sheetName val="X rate"/>
      <sheetName val="Gazebo"/>
      <sheetName val="Power req_High side"/>
      <sheetName val="column(T) Gr. to Upp. Gr."/>
      <sheetName val="Weightage-Sub Sht"/>
      <sheetName val="MATMC"/>
      <sheetName val="INDIG.PLAN"/>
      <sheetName val="Currency"/>
      <sheetName val="PCC 1;4;8 (B-1)"/>
      <sheetName val="Civil_(RA)__Resi_5"/>
      <sheetName val="A_O_R_r15"/>
      <sheetName val="A_O_R_r1Str5"/>
      <sheetName val="Order_Info5"/>
      <sheetName val="1st_-vpd5"/>
      <sheetName val="Input_Data5"/>
      <sheetName val="MLCP_Connection_Details5"/>
      <sheetName val="MERGED_CODES_&amp;_NAMES5"/>
      <sheetName val="INPUT_(BPL)5"/>
      <sheetName val="Break_Up_(bc)5"/>
      <sheetName val="Break_Up_(bc1)5"/>
      <sheetName val="Break_Up_(bc2)5"/>
      <sheetName val="Loan_Schedule5"/>
      <sheetName val="Combined_Results_5"/>
      <sheetName val="GM_0006"/>
      <sheetName val="Table_45"/>
      <sheetName val="Table_55"/>
      <sheetName val="Table_25"/>
      <sheetName val="Table_275"/>
      <sheetName val="N-Amritsar_1354"/>
      <sheetName val="Bed_Class5"/>
      <sheetName val="PANEL_ANNEXURE4"/>
      <sheetName val="labour_rates5"/>
      <sheetName val="Operating_Statistics4"/>
      <sheetName val="2_0_Floor_Area_Summary4"/>
      <sheetName val="foot-slab_reinft4"/>
      <sheetName val="Podium_Areas4"/>
      <sheetName val="8__Cover4"/>
      <sheetName val="Bill_No_2_to_8_(Rev)"/>
      <sheetName val="bending_stress4"/>
      <sheetName val="GF_Columns"/>
      <sheetName val="Rein__Steel"/>
      <sheetName val="IDC-Pl_Pro_PCC"/>
      <sheetName val="IDC-Brick_Bat"/>
      <sheetName val="CMB-Roof_Wall_Col"/>
      <sheetName val="CMB-RF_Beam"/>
      <sheetName val="CMB-Brick_Bat"/>
      <sheetName val="PP-Brick_Bat"/>
      <sheetName val="HVAC_Pl_Pro"/>
      <sheetName val="Exc__Deduction"/>
      <sheetName val="IDC-Pl_Pro-ATT"/>
      <sheetName val="Concrete_26"/>
      <sheetName val="Concrete_30"/>
      <sheetName val="Road_work"/>
      <sheetName val="Filling_final_"/>
      <sheetName val="Additional_Items"/>
      <sheetName val="Storm_water"/>
      <sheetName val="Page_2"/>
      <sheetName val="Cash_Flow_Working4"/>
      <sheetName val="SPILL_OVER_PROJECTIONS"/>
      <sheetName val="dev_stmt_-sd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directs_"/>
      <sheetName val="LABOUR_RATE"/>
      <sheetName val="_AnalysisPCC"/>
      <sheetName val="EAW_Final_Accounts_-_99"/>
      <sheetName val="MASTER_RATE_ANALYSIS"/>
      <sheetName val="CC_Road4"/>
      <sheetName val="TB9798OBPL06_(2)75"/>
      <sheetName val="CORPN_OCT75"/>
      <sheetName val="inout_consol-nov75"/>
      <sheetName val="inout_consol_(2)75"/>
      <sheetName val="AS_ON_DT_EXPS_Mar75"/>
      <sheetName val="fa-pl_&amp;_mach-site75"/>
      <sheetName val="fa_off_eqp75"/>
      <sheetName val="fa_fur&amp;_fix75"/>
      <sheetName val="fa-pl_&amp;_mach-Off75"/>
      <sheetName val="B_Equity-sdpl_INC75"/>
      <sheetName val="inout_consol_wkg75"/>
      <sheetName val="inout_consol_WKNG75"/>
      <sheetName val="B_Sheet_9775"/>
      <sheetName val="P&amp;L_97_75"/>
      <sheetName val="B_Sheet_97-BEXP75"/>
      <sheetName val="P&amp;L_97_-BEXP75"/>
      <sheetName val="consol_flows75"/>
      <sheetName val="sdpl_oth_Liab75"/>
      <sheetName val="obpl-oth_liab75"/>
      <sheetName val="G_land_advance75"/>
      <sheetName val="I-Wip-ot_(2)75"/>
      <sheetName val="detail_WIP_(2)75"/>
      <sheetName val="detail_G-175"/>
      <sheetName val="sobha_menon_ac75"/>
      <sheetName val="pnc_ac75"/>
      <sheetName val="fix_-p_&amp;_M_-SCC75"/>
      <sheetName val="C_fix_asst75"/>
      <sheetName val="D_fix_asst_scdl_75"/>
      <sheetName val="creditors_tb_obpl75"/>
      <sheetName val="TBAL9697_-group_wise__sdpl85"/>
      <sheetName val="TBAL9697_-group_wise_75"/>
      <sheetName val="crs_-G-175"/>
      <sheetName val="TBAL9697_-group_wise__onpl75"/>
      <sheetName val="B_Sheet_97-OBPL75"/>
      <sheetName val="B_Sheet_97_sdpl75"/>
      <sheetName val="TBAL9697_-group_wise__sdpl275"/>
      <sheetName val="inout_consol_jan75"/>
      <sheetName val="consol_flow75"/>
      <sheetName val="D_Loan__Prom75"/>
      <sheetName val="E_Bank_Loan75"/>
      <sheetName val="G_work_Cap75"/>
      <sheetName val="H_land_adv-dec75"/>
      <sheetName val="J_Con_WIP75"/>
      <sheetName val="detail_J75"/>
      <sheetName val="L_Oth_Co75"/>
      <sheetName val="K_fix_asst__75"/>
      <sheetName val="C_fix_asst-SDPL_75"/>
      <sheetName val="TBAL9697__group_wise__sdpl75"/>
      <sheetName val="inout_consol_okg75"/>
      <sheetName val="detail_OIP_(2)75"/>
      <sheetName val="D_fix_ysst_scdl_75"/>
      <sheetName val="cre`itors_tb_obpl75"/>
      <sheetName val="3AL9697_-group_wise__onpl75"/>
      <sheetName val="L_Oth_Bo74"/>
      <sheetName val="3‰AL9697_-group_wise__onpl74"/>
      <sheetName val="Civil_Boq74"/>
      <sheetName val="Staff_Acco_79"/>
      <sheetName val="SITE_OVERHEADS74"/>
      <sheetName val="PRECAST_lightconc-II72"/>
      <sheetName val="Cashflow_projection71"/>
      <sheetName val="1__PayRec71"/>
      <sheetName val="Boq_Block_A74"/>
      <sheetName val="Project-Material_74"/>
      <sheetName val="SPT_vs_PHI71"/>
      <sheetName val="key_dates71"/>
      <sheetName val="INPUT_SHEET71"/>
      <sheetName val="3�AL9697_-group_wise__onpl74"/>
      <sheetName val="ino4t_conso,-nov71"/>
      <sheetName val="(nout_co,sol_(2)71"/>
      <sheetName val="Blr_hire71"/>
      <sheetName val="Sun_E_Type71"/>
      <sheetName val="_bpl,oth_lia_71"/>
      <sheetName val="G_,and_adv_nce71"/>
      <sheetName val="I,Wip-ot__2)71"/>
      <sheetName val="det!il_WIP_(2)71"/>
      <sheetName val="de4ail_G-171"/>
      <sheetName val="sobha_mennn_ac71"/>
      <sheetName val="C_&amp;ix_asst71"/>
      <sheetName val="Fin_Sum71"/>
      <sheetName val="_x005f_x0003_dpl_oth_Lia`71"/>
      <sheetName val="TBAL9697__x005f_x000d_grotp_wise_71"/>
      <sheetName val="St_co_91_5lvl71"/>
      <sheetName val="CORPN_O?T71"/>
      <sheetName val="Labor_abs-NMR71"/>
      <sheetName val="Stress_Calculation71"/>
      <sheetName val="TBAL9697__x000a_grotp_wise_71"/>
      <sheetName val="labour_coeff69"/>
      <sheetName val="Shuttering_Analysis69"/>
      <sheetName val="General_P+M69"/>
      <sheetName val="Curing_Analysis_69"/>
      <sheetName val="Concrete_P+M_(_RMC_)69"/>
      <sheetName val="P+M_(_SMC_)69"/>
      <sheetName val="P+M_-EW69"/>
      <sheetName val="P&amp;L_-_AD69"/>
      <sheetName val="CORPN_O_x005f_x0000_T71"/>
      <sheetName val="SUPPLY_-Sanitary_Fixtures71"/>
      <sheetName val="ITEMS_FOR_CIVIL_TENDER71"/>
      <sheetName val="_x005f_x005f_x005f_x0003_dpl_oth_Lia`71"/>
      <sheetName val="TBAL9697__x005f_x005f_x005f_x000d_grotp_w71"/>
      <sheetName val="CORPN_O71"/>
      <sheetName val="CORPN_O_T69"/>
      <sheetName val="Fin__Assumpt__-_Sensitivities69"/>
      <sheetName val="LOAD_SHEET_69"/>
      <sheetName val="Fill_this_out_first___69"/>
      <sheetName val="Labour_productivity69"/>
      <sheetName val="RCC,Ret__Wall69"/>
      <sheetName val="Area_&amp;_Cate__Master69"/>
      <sheetName val="Bill_No_569"/>
      <sheetName val="DG_71"/>
      <sheetName val="Quote_Sheet69"/>
      <sheetName val="d-safe_DELUXE69"/>
      <sheetName val="DLC_lookups69"/>
      <sheetName val="LIST_OF_MAKES69"/>
      <sheetName val="Break_Dw69"/>
      <sheetName val="BLOCK-A_(MEA_SHEET)69"/>
      <sheetName val="Cat_A_Change_Control69"/>
      <sheetName val="Break_up_Sheet69"/>
      <sheetName val="Summary_of_P_&amp;_M69"/>
      <sheetName val="Works_-_Quote_Sheet69"/>
      <sheetName val="IO_LIST69"/>
      <sheetName val="TBAL9697__x005f_x000d_grotp_wis69"/>
      <sheetName val="Sheet_169"/>
      <sheetName val="3BPA00132-5-3_W_plan_HVPNL69"/>
      <sheetName val="Mix_Design69"/>
      <sheetName val="Detail_1A69"/>
      <sheetName val="11B_69"/>
      <sheetName val="BOQ_(2)69"/>
      <sheetName val="Fee_Rate_Summary69"/>
      <sheetName val="Name_List69"/>
      <sheetName val="Driveway_Beams69"/>
      <sheetName val="CORPN_O_x005f_x005f_x005f_x0000_T69"/>
      <sheetName val="Structure_Bills_Qty69"/>
      <sheetName val="TBAL9697__x005f_x000a_grotp_wise_69"/>
      <sheetName val="220_11__BS_69"/>
      <sheetName val="ISO_Reconcilation_Statment69"/>
      <sheetName val="AVG_pur_rate69"/>
      <sheetName val="FITZ_MORT_9469"/>
      <sheetName val="Intro_69"/>
      <sheetName val="Form_669"/>
      <sheetName val="acevsSp_(ABC)69"/>
      <sheetName val="A_O_R_69"/>
      <sheetName val="NLD_-_Assum69"/>
      <sheetName val="Civil_Works69"/>
      <sheetName val="Section_Catalogue69"/>
      <sheetName val="Assumption_Inputs69"/>
      <sheetName val="Material_Rate13"/>
      <sheetName val="Building_113"/>
      <sheetName val="Lead_(Final)13"/>
      <sheetName val="Approved_MTD_Proj_#'s13"/>
      <sheetName val="9__Package_split_-_Cost_13"/>
      <sheetName val="Project_Budget_Worksheet13"/>
      <sheetName val="CORPN_O_x005f_x005f_x005f13"/>
      <sheetName val="appendix_2_5_final_accounts13"/>
      <sheetName val="Indirect_expenses13"/>
      <sheetName val="Sheet_213"/>
      <sheetName val="TBAL9697__grotp_wise_2714"/>
      <sheetName val="TBAL9697__grotp_wis89"/>
      <sheetName val="AoR_Finishing13"/>
      <sheetName val="schedule_nos13"/>
      <sheetName val="Bill_3_-_Site_Works13"/>
      <sheetName val="BS_-_L+OE13"/>
      <sheetName val="Rate_Analysis_13"/>
      <sheetName val="CORPN_O_x005f14"/>
      <sheetName val="Risk_Assmnt13"/>
      <sheetName val="P_&amp;_M13"/>
      <sheetName val="MS_Items13"/>
      <sheetName val="BOQ_Distribution13"/>
      <sheetName val="CFForecast_detail13"/>
      <sheetName val="beam-reinft-IIInd_floor13"/>
      <sheetName val="TBAL9697__x0014"/>
      <sheetName val="CORPN_O_x000013"/>
      <sheetName val="Service_Function13"/>
      <sheetName val="Invested_capital_VDF9"/>
      <sheetName val="PV_of_Op_Leases_VDF9"/>
      <sheetName val="Mat_Cost10"/>
      <sheetName val="SITE_DEVELOPMENT13"/>
      <sheetName val="Customize_Your_Purchase_Order13"/>
      <sheetName val="Layer_Table9"/>
      <sheetName val="SCHEDULE_OF_RATES9"/>
      <sheetName val="indices_10"/>
      <sheetName val="M_S_10"/>
      <sheetName val="Pile_cap10"/>
      <sheetName val="Cost_Index10"/>
      <sheetName val="Input_&amp;_Calculations9"/>
      <sheetName val="PA-_Consutant_9"/>
      <sheetName val="Detail_P&amp;L10"/>
      <sheetName val="Assumption_Sheet9"/>
      <sheetName val="KQ_Cost_Controlling10"/>
      <sheetName val="KQ_Appropriation10"/>
      <sheetName val="Beam_at_Ground_flr_lvl(Steel)9"/>
      <sheetName val="Main_Assump_9"/>
      <sheetName val="BEAM_SCH9"/>
      <sheetName val="SLAB__SCH_9"/>
      <sheetName val="class_&amp;_category10"/>
      <sheetName val="code_Control_Sheet10"/>
      <sheetName val="Cost_Basis10"/>
      <sheetName val="R_MTL9"/>
      <sheetName val="GUT_(2)9"/>
      <sheetName val="MB_Prod9"/>
      <sheetName val="2_civil-RA10"/>
      <sheetName val="Bill_1-BOQ-Civil_Works9"/>
      <sheetName val="Bill-5_29"/>
      <sheetName val="Bill-9_19"/>
      <sheetName val="Bill-6_1_1-6_1_39"/>
      <sheetName val="TBAL9697__grotp_wis90"/>
      <sheetName val="RA_Bill_summary_til_Apr199"/>
      <sheetName val="APTIDCO_CV_A_SCOPE9"/>
      <sheetName val="Civil_(RA)__Resi_6"/>
      <sheetName val="CIVIL_BOQ_(Final)9"/>
      <sheetName val="A_O_R_r16"/>
      <sheetName val="A_O_R_r1Str6"/>
      <sheetName val="Order_Info6"/>
      <sheetName val="1st_-vpd6"/>
      <sheetName val="Input_Data6"/>
      <sheetName val="MLCP_Connection_Details6"/>
      <sheetName val="MERGED_CODES_&amp;_NAMES6"/>
      <sheetName val="INPUT_(BPL)6"/>
      <sheetName val="Basic_rate_summary9"/>
      <sheetName val="Basic_rate_calculations9"/>
      <sheetName val="소상_&quot;1&quot;10"/>
      <sheetName val="CPT_POST_UPLOAD10"/>
      <sheetName val="Sheet3_(2)10"/>
      <sheetName val="Bill_110"/>
      <sheetName val="Bill_210"/>
      <sheetName val="Bill_310"/>
      <sheetName val="Bill_410"/>
      <sheetName val="Bill_510"/>
      <sheetName val="Bill_610"/>
      <sheetName val="Bill_710"/>
      <sheetName val="Manpower_Histogram9"/>
      <sheetName val="Break_Up_(bc)6"/>
      <sheetName val="Break_Up_(bc1)6"/>
      <sheetName val="Break_Up_(bc2)6"/>
      <sheetName val="Loan_Schedule6"/>
      <sheetName val="fa-pl_&amp;_myy_x005f_x000b__10"/>
      <sheetName val="Item-_Compact9"/>
      <sheetName val="Overall_Summary9"/>
      <sheetName val="Summary_CFA_total_-_CP1_&amp;_CP29"/>
      <sheetName val="Labor_Rates9"/>
      <sheetName val="Capex_Estimates9"/>
      <sheetName val="General_Assumptions9"/>
      <sheetName val="Sqn-Abs(G+6)_9"/>
      <sheetName val="WO-Abs_(G+2)_6_DUs9"/>
      <sheetName val="Air-Abs(G+6)_23_DUs9"/>
      <sheetName val="organi_synthesis_lab9"/>
      <sheetName val="Rates_7-209"/>
      <sheetName val="S-MMS_without_TFA9"/>
      <sheetName val="TBAL9697__grotp_wise_2912"/>
      <sheetName val="TBAL9697__grotp_wise_2813"/>
      <sheetName val="TBAL9697__grotp_wise_3011"/>
      <sheetName val="Loan_Amortization_Schedule9"/>
      <sheetName val="Boq_(Main_Building)9"/>
      <sheetName val="CORPN_O_x005f_x005f_x005f_x005f_x005f_x005f_x0059"/>
      <sheetName val="5__EA9"/>
      <sheetName val="TBAL9697__grotp_wis130"/>
      <sheetName val="TBAL9697__grotp_wis230"/>
      <sheetName val="TBAL9697__grotp_wis315"/>
      <sheetName val="TBAL9697__grotp_wis414"/>
      <sheetName val="TBAL9697__grotp_wis513"/>
      <sheetName val="TBAL9697__grotp_wis611"/>
      <sheetName val="TBAL9697__grotp_wis711"/>
      <sheetName val="TBAL9697__grotp_wis810"/>
      <sheetName val="TBAL9697__grotp_wis149"/>
      <sheetName val="TBAL9697__grotp_wis109"/>
      <sheetName val="TBAL9697__grotp_wis99"/>
      <sheetName val="TBAL9697__grotp_wis1114"/>
      <sheetName val="TBAL9697__grotp_wis1211"/>
      <sheetName val="TBAL9697__grotp_wis139"/>
      <sheetName val="TBAL9697__grotp_wis209"/>
      <sheetName val="TBAL9697__grotp_wis159"/>
      <sheetName val="TBAL9697__grotp_wis169"/>
      <sheetName val="TBAL9697__grotp_wis179"/>
      <sheetName val="TBAL9697__grotp_wis189"/>
      <sheetName val="TBAL9697__grotp_wis199"/>
      <sheetName val="TBAL9697__grotp_wis2113"/>
      <sheetName val="TBAL9697__grotp_wis2211"/>
      <sheetName val="TBAL9697__grotp_wis239"/>
      <sheetName val="TBAL9697__grotp_wis249"/>
      <sheetName val="TBAL9697__grotp_wis259"/>
      <sheetName val="rcc(_sub)5"/>
      <sheetName val="ONE_TIME5"/>
      <sheetName val="EA_Sheet5"/>
      <sheetName val="bs_BP_04_SA9"/>
      <sheetName val="Col_up_to_plinth9"/>
      <sheetName val="int__pla_9"/>
      <sheetName val="Key_Ass9"/>
      <sheetName val="TBAL9697__grotp_wis100"/>
      <sheetName val="Annexue_B5"/>
      <sheetName val="Detailed_Summary_(4)9"/>
      <sheetName val="Basement_Budget9"/>
      <sheetName val="Staff_Acco_80"/>
      <sheetName val="IT-Fri_Base5"/>
      <sheetName val="Capital_Structure5"/>
      <sheetName val="BASIC_MATERIALS5"/>
      <sheetName val="Site_Infrastructure5"/>
      <sheetName val="Combined_Results_6"/>
      <sheetName val="GM_0007"/>
      <sheetName val="L_(4)5"/>
      <sheetName val="Dropdown_list5"/>
      <sheetName val="Story_Drift-Part_25"/>
      <sheetName val="water_prop_5"/>
      <sheetName val="Tie_Beam_Steel-R0-15"/>
      <sheetName val="Table_46"/>
      <sheetName val="Table_56"/>
      <sheetName val="Table_26"/>
      <sheetName val="Table_276"/>
      <sheetName val="PB_WORK9"/>
      <sheetName val="Reference_Data5"/>
      <sheetName val="M_R_List_(2)5"/>
      <sheetName val="N-Amritsar_1355"/>
      <sheetName val="Bed_Class6"/>
      <sheetName val="PANEL_ANNEXURE5"/>
      <sheetName val="4K_-_(6a)_Non_Manual_Breakdown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Design_sheet5"/>
      <sheetName val="Ring_Details5"/>
      <sheetName val="labour_rates6"/>
      <sheetName val="Operating_Statistics5"/>
      <sheetName val="2_0_Floor_Area_Summary5"/>
      <sheetName val="foot-slab_reinft5"/>
      <sheetName val="M-_Rate5"/>
      <sheetName val="Source_Ref_5"/>
      <sheetName val="Podium_Areas5"/>
      <sheetName val="8__Cover5"/>
      <sheetName val="Bill_No_2_to_8_(Rev)1"/>
      <sheetName val="bending_stress5"/>
      <sheetName val="GF_Columns1"/>
      <sheetName val="Rein__Steel1"/>
      <sheetName val="IDC-Pl_Pro_PCC1"/>
      <sheetName val="IDC-Brick_Bat1"/>
      <sheetName val="CMB-Roof_Wall_Col1"/>
      <sheetName val="CMB-RF_Beam1"/>
      <sheetName val="CMB-Brick_Bat1"/>
      <sheetName val="PP-Brick_Bat1"/>
      <sheetName val="HVAC_Pl_Pro1"/>
      <sheetName val="Exc__Deduction1"/>
      <sheetName val="IDC-Pl_Pro-ATT1"/>
      <sheetName val="Concrete_261"/>
      <sheetName val="Concrete_301"/>
      <sheetName val="Road_work1"/>
      <sheetName val="Filling_final_1"/>
      <sheetName val="Additional_Items1"/>
      <sheetName val="Storm_water1"/>
      <sheetName val="Page_21"/>
      <sheetName val="Cash_Flow_Working5"/>
      <sheetName val="SPILL_OVER_PROJECTIONS1"/>
      <sheetName val="dev_stmt_-sde1"/>
      <sheetName val="Results"/>
      <sheetName val="PLGroupings"/>
      <sheetName val="MPR_PA_1"/>
      <sheetName val="IDC macro"/>
      <sheetName val="SGS ACQ"/>
    </sheetNames>
    <sheetDataSet>
      <sheetData sheetId="0">
        <row r="34">
          <cell r="A34" t="str">
            <v>Investments Govt Securities</v>
          </cell>
        </row>
      </sheetData>
      <sheetData sheetId="1">
        <row r="34">
          <cell r="A34" t="str">
            <v>Investments Govt Securities</v>
          </cell>
        </row>
      </sheetData>
      <sheetData sheetId="2">
        <row r="34">
          <cell r="A34" t="str">
            <v>Investments Govt Securities</v>
          </cell>
        </row>
      </sheetData>
      <sheetData sheetId="3">
        <row r="34">
          <cell r="A34" t="str">
            <v>Investments Govt Securities</v>
          </cell>
        </row>
      </sheetData>
      <sheetData sheetId="4">
        <row r="34">
          <cell r="A34" t="str">
            <v>Investments Govt Securities</v>
          </cell>
        </row>
      </sheetData>
      <sheetData sheetId="5">
        <row r="34">
          <cell r="A34" t="str">
            <v>Investments Govt Securities</v>
          </cell>
        </row>
      </sheetData>
      <sheetData sheetId="6">
        <row r="34">
          <cell r="A34" t="str">
            <v>Investments Govt Securities</v>
          </cell>
        </row>
      </sheetData>
      <sheetData sheetId="7">
        <row r="34">
          <cell r="A34" t="str">
            <v>Investments Govt Securities</v>
          </cell>
        </row>
      </sheetData>
      <sheetData sheetId="8">
        <row r="34">
          <cell r="A34" t="str">
            <v>Investments Govt Securities</v>
          </cell>
        </row>
      </sheetData>
      <sheetData sheetId="9">
        <row r="34">
          <cell r="A34" t="str">
            <v>Investments Govt Securities</v>
          </cell>
        </row>
      </sheetData>
      <sheetData sheetId="10">
        <row r="34">
          <cell r="A34" t="str">
            <v>Investments Govt Securities</v>
          </cell>
        </row>
      </sheetData>
      <sheetData sheetId="11">
        <row r="34">
          <cell r="A34" t="str">
            <v>Investments Govt Securities</v>
          </cell>
        </row>
      </sheetData>
      <sheetData sheetId="12">
        <row r="34">
          <cell r="A34" t="str">
            <v>Investments Govt Securities</v>
          </cell>
        </row>
      </sheetData>
      <sheetData sheetId="13">
        <row r="34">
          <cell r="A34" t="str">
            <v>Investments Govt Securities</v>
          </cell>
        </row>
      </sheetData>
      <sheetData sheetId="14">
        <row r="34">
          <cell r="A34" t="str">
            <v>Investments Govt Securities</v>
          </cell>
        </row>
      </sheetData>
      <sheetData sheetId="15">
        <row r="34">
          <cell r="A34" t="str">
            <v>Investments Govt Securities</v>
          </cell>
        </row>
      </sheetData>
      <sheetData sheetId="16">
        <row r="34">
          <cell r="A34" t="str">
            <v>Investments Govt Securities</v>
          </cell>
        </row>
      </sheetData>
      <sheetData sheetId="17">
        <row r="34">
          <cell r="A34" t="str">
            <v>Investments Govt Securities</v>
          </cell>
        </row>
      </sheetData>
      <sheetData sheetId="18">
        <row r="34">
          <cell r="A34" t="str">
            <v>Investments Govt Securities</v>
          </cell>
        </row>
      </sheetData>
      <sheetData sheetId="19">
        <row r="34">
          <cell r="A34" t="str">
            <v>Investments Govt Securities</v>
          </cell>
        </row>
      </sheetData>
      <sheetData sheetId="20">
        <row r="34">
          <cell r="A34" t="str">
            <v>Investments Govt Securities</v>
          </cell>
        </row>
      </sheetData>
      <sheetData sheetId="21">
        <row r="34">
          <cell r="A34" t="str">
            <v>Investments Govt Securities</v>
          </cell>
        </row>
      </sheetData>
      <sheetData sheetId="22">
        <row r="34">
          <cell r="A34" t="str">
            <v>Investments Govt Securities</v>
          </cell>
        </row>
      </sheetData>
      <sheetData sheetId="23">
        <row r="34">
          <cell r="A34" t="str">
            <v>Investments Govt Securities</v>
          </cell>
        </row>
      </sheetData>
      <sheetData sheetId="24">
        <row r="34">
          <cell r="A34" t="str">
            <v>Investments Govt Securities</v>
          </cell>
        </row>
      </sheetData>
      <sheetData sheetId="25">
        <row r="34">
          <cell r="A34" t="str">
            <v>Investments Govt Securities</v>
          </cell>
        </row>
      </sheetData>
      <sheetData sheetId="26">
        <row r="34">
          <cell r="A34" t="str">
            <v>Investments Govt Securities</v>
          </cell>
        </row>
      </sheetData>
      <sheetData sheetId="27">
        <row r="34">
          <cell r="A34" t="str">
            <v>Investments Govt Securities</v>
          </cell>
        </row>
      </sheetData>
      <sheetData sheetId="28">
        <row r="34">
          <cell r="A34" t="str">
            <v>Investments Govt Securities</v>
          </cell>
        </row>
      </sheetData>
      <sheetData sheetId="29">
        <row r="34">
          <cell r="A34" t="str">
            <v>Investments Govt Securities</v>
          </cell>
        </row>
      </sheetData>
      <sheetData sheetId="30">
        <row r="34">
          <cell r="A34" t="str">
            <v>Investments Govt Securities</v>
          </cell>
        </row>
      </sheetData>
      <sheetData sheetId="31">
        <row r="34">
          <cell r="A34" t="str">
            <v>Investments Govt Securities</v>
          </cell>
        </row>
      </sheetData>
      <sheetData sheetId="32">
        <row r="34">
          <cell r="A34" t="str">
            <v>Investments Govt Securities</v>
          </cell>
        </row>
      </sheetData>
      <sheetData sheetId="33">
        <row r="34">
          <cell r="A34" t="str">
            <v>Investments Govt Securities</v>
          </cell>
        </row>
      </sheetData>
      <sheetData sheetId="34">
        <row r="34">
          <cell r="A34" t="str">
            <v>Investments Govt Securities</v>
          </cell>
        </row>
      </sheetData>
      <sheetData sheetId="35">
        <row r="34">
          <cell r="A34" t="str">
            <v>Investments Govt Securities</v>
          </cell>
        </row>
      </sheetData>
      <sheetData sheetId="36">
        <row r="34">
          <cell r="A34" t="str">
            <v>Investments Govt Securities</v>
          </cell>
        </row>
      </sheetData>
      <sheetData sheetId="37">
        <row r="34">
          <cell r="A34" t="str">
            <v>Investments Govt Securities</v>
          </cell>
        </row>
      </sheetData>
      <sheetData sheetId="38">
        <row r="34">
          <cell r="A34" t="str">
            <v>Investments Govt Securities</v>
          </cell>
        </row>
      </sheetData>
      <sheetData sheetId="39">
        <row r="34">
          <cell r="A34" t="str">
            <v>Investments Govt Securities</v>
          </cell>
        </row>
      </sheetData>
      <sheetData sheetId="40">
        <row r="34">
          <cell r="A34" t="str">
            <v>Investments Govt Securities</v>
          </cell>
        </row>
      </sheetData>
      <sheetData sheetId="41">
        <row r="34">
          <cell r="A34" t="str">
            <v>Investments Govt Securities</v>
          </cell>
        </row>
      </sheetData>
      <sheetData sheetId="42">
        <row r="34">
          <cell r="A34" t="str">
            <v>Investments Govt Securities</v>
          </cell>
        </row>
      </sheetData>
      <sheetData sheetId="43">
        <row r="34">
          <cell r="A34" t="str">
            <v>Investments Govt Securities</v>
          </cell>
        </row>
      </sheetData>
      <sheetData sheetId="44" refreshError="1"/>
      <sheetData sheetId="45">
        <row r="34">
          <cell r="A34" t="str">
            <v>Investments Govt Securities</v>
          </cell>
        </row>
      </sheetData>
      <sheetData sheetId="46">
        <row r="34">
          <cell r="A34" t="str">
            <v>Investments Govt Securities</v>
          </cell>
        </row>
      </sheetData>
      <sheetData sheetId="47">
        <row r="34">
          <cell r="A34" t="str">
            <v>Investments Govt Securities</v>
          </cell>
        </row>
      </sheetData>
      <sheetData sheetId="48">
        <row r="34">
          <cell r="A34" t="str">
            <v>Investments Govt Securities</v>
          </cell>
        </row>
      </sheetData>
      <sheetData sheetId="49">
        <row r="34">
          <cell r="A34" t="str">
            <v>Investments Govt Securities</v>
          </cell>
        </row>
      </sheetData>
      <sheetData sheetId="50">
        <row r="34">
          <cell r="A34" t="str">
            <v>Investments Govt Securities</v>
          </cell>
        </row>
      </sheetData>
      <sheetData sheetId="51">
        <row r="34">
          <cell r="A34" t="str">
            <v>Investments Govt Securities</v>
          </cell>
        </row>
      </sheetData>
      <sheetData sheetId="52">
        <row r="34">
          <cell r="A34" t="str">
            <v>Investments Govt Securities</v>
          </cell>
        </row>
      </sheetData>
      <sheetData sheetId="53">
        <row r="34">
          <cell r="A34" t="str">
            <v>Investments Govt Securities</v>
          </cell>
        </row>
      </sheetData>
      <sheetData sheetId="54">
        <row r="34">
          <cell r="A34" t="str">
            <v>Investments Govt Securities</v>
          </cell>
        </row>
      </sheetData>
      <sheetData sheetId="55">
        <row r="34">
          <cell r="A34" t="str">
            <v>Investments Govt Securities</v>
          </cell>
        </row>
      </sheetData>
      <sheetData sheetId="56">
        <row r="34">
          <cell r="A34" t="str">
            <v>Investments Govt Securities</v>
          </cell>
        </row>
      </sheetData>
      <sheetData sheetId="57">
        <row r="34">
          <cell r="A34" t="str">
            <v>Investments Govt Securities</v>
          </cell>
        </row>
      </sheetData>
      <sheetData sheetId="58">
        <row r="34">
          <cell r="A34" t="str">
            <v>Investments Govt Securities</v>
          </cell>
        </row>
      </sheetData>
      <sheetData sheetId="59">
        <row r="34">
          <cell r="A34" t="str">
            <v>Investments Govt Securities</v>
          </cell>
        </row>
      </sheetData>
      <sheetData sheetId="60">
        <row r="34">
          <cell r="A34" t="str">
            <v>Investments Govt Securities</v>
          </cell>
        </row>
      </sheetData>
      <sheetData sheetId="61">
        <row r="34">
          <cell r="A34" t="str">
            <v>Investments Govt Securities</v>
          </cell>
        </row>
      </sheetData>
      <sheetData sheetId="62">
        <row r="34">
          <cell r="A34" t="str">
            <v>Investments Govt Securities</v>
          </cell>
        </row>
      </sheetData>
      <sheetData sheetId="63">
        <row r="34">
          <cell r="A34" t="str">
            <v>Investments Govt Securities</v>
          </cell>
        </row>
      </sheetData>
      <sheetData sheetId="64">
        <row r="34">
          <cell r="A34" t="str">
            <v>Investments Govt Securities</v>
          </cell>
        </row>
      </sheetData>
      <sheetData sheetId="65">
        <row r="34">
          <cell r="A34" t="str">
            <v>Investments Govt Securities</v>
          </cell>
        </row>
      </sheetData>
      <sheetData sheetId="66">
        <row r="34">
          <cell r="A34" t="str">
            <v>Investments Govt Securities</v>
          </cell>
        </row>
      </sheetData>
      <sheetData sheetId="67">
        <row r="34">
          <cell r="A34" t="str">
            <v>Investments Govt Securities</v>
          </cell>
        </row>
      </sheetData>
      <sheetData sheetId="68">
        <row r="34">
          <cell r="A34" t="str">
            <v>Investments Govt Securities</v>
          </cell>
        </row>
      </sheetData>
      <sheetData sheetId="69">
        <row r="34">
          <cell r="A34" t="str">
            <v>Investments Govt Securities</v>
          </cell>
        </row>
      </sheetData>
      <sheetData sheetId="70">
        <row r="34">
          <cell r="A34" t="str">
            <v>Investments Govt Securities</v>
          </cell>
        </row>
      </sheetData>
      <sheetData sheetId="71">
        <row r="34">
          <cell r="A34" t="str">
            <v>Investments Govt Securities</v>
          </cell>
        </row>
      </sheetData>
      <sheetData sheetId="72">
        <row r="34">
          <cell r="A34" t="str">
            <v>Investments Govt Securities</v>
          </cell>
        </row>
      </sheetData>
      <sheetData sheetId="73" refreshError="1"/>
      <sheetData sheetId="74">
        <row r="34">
          <cell r="A34" t="str">
            <v>Investments Govt Securities</v>
          </cell>
        </row>
      </sheetData>
      <sheetData sheetId="75" refreshError="1"/>
      <sheetData sheetId="76">
        <row r="34">
          <cell r="A34" t="str">
            <v>Investments Govt Securities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34">
          <cell r="A34" t="str">
            <v>Investments Govt Securities</v>
          </cell>
        </row>
      </sheetData>
      <sheetData sheetId="361">
        <row r="34">
          <cell r="A34" t="str">
            <v>Investments Govt Securities</v>
          </cell>
        </row>
      </sheetData>
      <sheetData sheetId="362">
        <row r="34">
          <cell r="A34" t="str">
            <v>Investments Govt Securities</v>
          </cell>
        </row>
      </sheetData>
      <sheetData sheetId="363">
        <row r="34">
          <cell r="A34" t="str">
            <v>Investments Govt Securities</v>
          </cell>
        </row>
      </sheetData>
      <sheetData sheetId="364">
        <row r="34">
          <cell r="A34" t="str">
            <v>Investments Govt Securities</v>
          </cell>
        </row>
      </sheetData>
      <sheetData sheetId="365">
        <row r="34">
          <cell r="A34" t="str">
            <v>Investments Govt Securities</v>
          </cell>
        </row>
      </sheetData>
      <sheetData sheetId="366">
        <row r="34">
          <cell r="A34" t="str">
            <v>Investments Govt Securities</v>
          </cell>
        </row>
      </sheetData>
      <sheetData sheetId="367">
        <row r="34">
          <cell r="A34" t="str">
            <v>Investments Govt Securities</v>
          </cell>
        </row>
      </sheetData>
      <sheetData sheetId="368">
        <row r="34">
          <cell r="A34" t="str">
            <v>Investments Govt Securities</v>
          </cell>
        </row>
      </sheetData>
      <sheetData sheetId="369">
        <row r="34">
          <cell r="A34" t="str">
            <v>Investments Govt Securities</v>
          </cell>
        </row>
      </sheetData>
      <sheetData sheetId="370">
        <row r="34">
          <cell r="A34" t="str">
            <v>Investments Govt Securities</v>
          </cell>
        </row>
      </sheetData>
      <sheetData sheetId="371">
        <row r="34">
          <cell r="A34" t="str">
            <v>Investments Govt Securities</v>
          </cell>
        </row>
      </sheetData>
      <sheetData sheetId="372">
        <row r="34">
          <cell r="A34" t="str">
            <v>Investments Govt Securities</v>
          </cell>
        </row>
      </sheetData>
      <sheetData sheetId="373">
        <row r="34">
          <cell r="A34" t="str">
            <v>Investments Govt Securities</v>
          </cell>
        </row>
      </sheetData>
      <sheetData sheetId="374">
        <row r="34">
          <cell r="A34" t="str">
            <v>Investments Govt Securities</v>
          </cell>
        </row>
      </sheetData>
      <sheetData sheetId="375">
        <row r="34">
          <cell r="A34" t="str">
            <v>Investments Govt Securities</v>
          </cell>
        </row>
      </sheetData>
      <sheetData sheetId="376">
        <row r="34">
          <cell r="A34" t="str">
            <v>Investments Govt Securities</v>
          </cell>
        </row>
      </sheetData>
      <sheetData sheetId="377">
        <row r="34">
          <cell r="A34" t="str">
            <v>Investments Govt Securities</v>
          </cell>
        </row>
      </sheetData>
      <sheetData sheetId="378">
        <row r="34">
          <cell r="A34" t="str">
            <v>Investments Govt Securities</v>
          </cell>
        </row>
      </sheetData>
      <sheetData sheetId="379">
        <row r="34">
          <cell r="A34" t="str">
            <v>Investments Govt Securities</v>
          </cell>
        </row>
      </sheetData>
      <sheetData sheetId="380">
        <row r="34">
          <cell r="A34" t="str">
            <v>Investments Govt Securities</v>
          </cell>
        </row>
      </sheetData>
      <sheetData sheetId="381">
        <row r="34">
          <cell r="A34" t="str">
            <v>Investments Govt Securities</v>
          </cell>
        </row>
      </sheetData>
      <sheetData sheetId="382">
        <row r="34">
          <cell r="A34" t="str">
            <v>Investments Govt Securities</v>
          </cell>
        </row>
      </sheetData>
      <sheetData sheetId="383">
        <row r="34">
          <cell r="A34" t="str">
            <v>Investments Govt Securities</v>
          </cell>
        </row>
      </sheetData>
      <sheetData sheetId="384">
        <row r="34">
          <cell r="A34" t="str">
            <v>Investments Govt Securities</v>
          </cell>
        </row>
      </sheetData>
      <sheetData sheetId="385">
        <row r="34">
          <cell r="A34" t="str">
            <v>Investments Govt Securities</v>
          </cell>
        </row>
      </sheetData>
      <sheetData sheetId="386">
        <row r="34">
          <cell r="A34" t="str">
            <v>Investments Govt Securities</v>
          </cell>
        </row>
      </sheetData>
      <sheetData sheetId="387">
        <row r="34">
          <cell r="A34" t="str">
            <v>Investments Govt Securities</v>
          </cell>
        </row>
      </sheetData>
      <sheetData sheetId="388">
        <row r="34">
          <cell r="A34" t="str">
            <v>Investments Govt Securities</v>
          </cell>
        </row>
      </sheetData>
      <sheetData sheetId="389">
        <row r="34">
          <cell r="A34" t="str">
            <v>Investments Govt Securities</v>
          </cell>
        </row>
      </sheetData>
      <sheetData sheetId="390">
        <row r="34">
          <cell r="A34" t="str">
            <v>Investments Govt Securities</v>
          </cell>
        </row>
      </sheetData>
      <sheetData sheetId="391">
        <row r="34">
          <cell r="A34" t="str">
            <v>Investments Govt Securities</v>
          </cell>
        </row>
      </sheetData>
      <sheetData sheetId="392">
        <row r="34">
          <cell r="A34" t="str">
            <v>Investments Govt Securities</v>
          </cell>
        </row>
      </sheetData>
      <sheetData sheetId="393">
        <row r="34">
          <cell r="A34" t="str">
            <v>Investments Govt Securities</v>
          </cell>
        </row>
      </sheetData>
      <sheetData sheetId="394">
        <row r="34">
          <cell r="A34" t="str">
            <v>Investments Govt Securities</v>
          </cell>
        </row>
      </sheetData>
      <sheetData sheetId="395">
        <row r="34">
          <cell r="A34" t="str">
            <v>Investments Govt Securities</v>
          </cell>
        </row>
      </sheetData>
      <sheetData sheetId="396">
        <row r="34">
          <cell r="A34" t="str">
            <v>Investments Govt Securities</v>
          </cell>
        </row>
      </sheetData>
      <sheetData sheetId="397">
        <row r="34">
          <cell r="A34" t="str">
            <v>Investments Govt Securities</v>
          </cell>
        </row>
      </sheetData>
      <sheetData sheetId="398">
        <row r="34">
          <cell r="A34" t="str">
            <v>Investments Govt Securities</v>
          </cell>
        </row>
      </sheetData>
      <sheetData sheetId="399">
        <row r="34">
          <cell r="A34" t="str">
            <v>Investments Govt Securities</v>
          </cell>
        </row>
      </sheetData>
      <sheetData sheetId="400">
        <row r="34">
          <cell r="A34" t="str">
            <v>Investments Govt Securities</v>
          </cell>
        </row>
      </sheetData>
      <sheetData sheetId="401">
        <row r="34">
          <cell r="A34" t="str">
            <v>Investments Govt Securities</v>
          </cell>
        </row>
      </sheetData>
      <sheetData sheetId="402">
        <row r="34">
          <cell r="A34" t="str">
            <v>Investments Govt Securities</v>
          </cell>
        </row>
      </sheetData>
      <sheetData sheetId="403">
        <row r="34">
          <cell r="A34" t="str">
            <v>Investments Govt Securities</v>
          </cell>
        </row>
      </sheetData>
      <sheetData sheetId="404">
        <row r="34">
          <cell r="A34" t="str">
            <v>Investments Govt Securities</v>
          </cell>
        </row>
      </sheetData>
      <sheetData sheetId="405">
        <row r="34">
          <cell r="A34" t="str">
            <v>Investments Govt Securities</v>
          </cell>
        </row>
      </sheetData>
      <sheetData sheetId="406">
        <row r="34">
          <cell r="A34" t="str">
            <v>Investments Govt Securities</v>
          </cell>
        </row>
      </sheetData>
      <sheetData sheetId="407">
        <row r="34">
          <cell r="A34" t="str">
            <v>Investments Govt Securities</v>
          </cell>
        </row>
      </sheetData>
      <sheetData sheetId="408">
        <row r="34">
          <cell r="A34" t="str">
            <v>Investments Govt Securities</v>
          </cell>
        </row>
      </sheetData>
      <sheetData sheetId="409">
        <row r="34">
          <cell r="A34" t="str">
            <v>Investments Govt Securities</v>
          </cell>
        </row>
      </sheetData>
      <sheetData sheetId="410">
        <row r="34">
          <cell r="A34" t="str">
            <v>Investments Govt Securities</v>
          </cell>
        </row>
      </sheetData>
      <sheetData sheetId="411">
        <row r="34">
          <cell r="A34" t="str">
            <v>Investments Govt Securities</v>
          </cell>
        </row>
      </sheetData>
      <sheetData sheetId="412">
        <row r="34">
          <cell r="A34" t="str">
            <v>Investments Govt Securities</v>
          </cell>
        </row>
      </sheetData>
      <sheetData sheetId="413">
        <row r="34">
          <cell r="A34" t="str">
            <v>Investments Govt Securities</v>
          </cell>
        </row>
      </sheetData>
      <sheetData sheetId="414">
        <row r="34">
          <cell r="A34" t="str">
            <v>Investments Govt Securities</v>
          </cell>
        </row>
      </sheetData>
      <sheetData sheetId="415">
        <row r="34">
          <cell r="A34" t="str">
            <v>Investments Govt Securities</v>
          </cell>
        </row>
      </sheetData>
      <sheetData sheetId="416" refreshError="1"/>
      <sheetData sheetId="417">
        <row r="34">
          <cell r="A34" t="str">
            <v>Investments Govt Securities</v>
          </cell>
        </row>
      </sheetData>
      <sheetData sheetId="418">
        <row r="34">
          <cell r="A34" t="str">
            <v>Investments Govt Securities</v>
          </cell>
        </row>
      </sheetData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34">
          <cell r="A34" t="str">
            <v>Investments Govt Securities</v>
          </cell>
        </row>
      </sheetData>
      <sheetData sheetId="455">
        <row r="34">
          <cell r="A34" t="str">
            <v>Investments Govt Securities</v>
          </cell>
        </row>
      </sheetData>
      <sheetData sheetId="456">
        <row r="34">
          <cell r="A34" t="str">
            <v>Investments Govt Securities</v>
          </cell>
        </row>
      </sheetData>
      <sheetData sheetId="457">
        <row r="34">
          <cell r="A34" t="str">
            <v>Investments Govt Securities</v>
          </cell>
        </row>
      </sheetData>
      <sheetData sheetId="458">
        <row r="34">
          <cell r="A34" t="str">
            <v>Investments Govt Securities</v>
          </cell>
        </row>
      </sheetData>
      <sheetData sheetId="459">
        <row r="34">
          <cell r="A34" t="str">
            <v>Investments Govt Securities</v>
          </cell>
        </row>
      </sheetData>
      <sheetData sheetId="460">
        <row r="34">
          <cell r="A34" t="str">
            <v>Investments Govt Securities</v>
          </cell>
        </row>
      </sheetData>
      <sheetData sheetId="461">
        <row r="34">
          <cell r="A34" t="str">
            <v>Investments Govt Securities</v>
          </cell>
        </row>
      </sheetData>
      <sheetData sheetId="462">
        <row r="34">
          <cell r="A34" t="str">
            <v>Investments Govt Securities</v>
          </cell>
        </row>
      </sheetData>
      <sheetData sheetId="463">
        <row r="34">
          <cell r="A34" t="str">
            <v>Investments Govt Securities</v>
          </cell>
        </row>
      </sheetData>
      <sheetData sheetId="464">
        <row r="34">
          <cell r="A34" t="str">
            <v>Investments Govt Securities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>
        <row r="34">
          <cell r="A34" t="str">
            <v>Investments Govt Securities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34">
          <cell r="A34" t="str">
            <v>Investments Govt Securities</v>
          </cell>
        </row>
      </sheetData>
      <sheetData sheetId="655">
        <row r="34">
          <cell r="A34" t="str">
            <v>Investments Govt Securities</v>
          </cell>
        </row>
      </sheetData>
      <sheetData sheetId="656">
        <row r="34">
          <cell r="A34" t="str">
            <v>Investments Govt Securities</v>
          </cell>
        </row>
      </sheetData>
      <sheetData sheetId="657">
        <row r="34">
          <cell r="A34" t="str">
            <v>Investments Govt Securities</v>
          </cell>
        </row>
      </sheetData>
      <sheetData sheetId="658">
        <row r="34">
          <cell r="A34" t="str">
            <v>Investments Govt Securities</v>
          </cell>
        </row>
      </sheetData>
      <sheetData sheetId="659">
        <row r="34">
          <cell r="A34" t="str">
            <v>Investments Govt Securities</v>
          </cell>
        </row>
      </sheetData>
      <sheetData sheetId="660">
        <row r="34">
          <cell r="A34" t="str">
            <v>Investments Govt Securities</v>
          </cell>
        </row>
      </sheetData>
      <sheetData sheetId="661">
        <row r="34">
          <cell r="A34" t="str">
            <v>Investments Govt Securities</v>
          </cell>
        </row>
      </sheetData>
      <sheetData sheetId="662">
        <row r="34">
          <cell r="A34" t="str">
            <v>Investments Govt Securities</v>
          </cell>
        </row>
      </sheetData>
      <sheetData sheetId="663">
        <row r="34">
          <cell r="A34" t="str">
            <v>Investments Govt Securities</v>
          </cell>
        </row>
      </sheetData>
      <sheetData sheetId="664">
        <row r="34">
          <cell r="A34" t="str">
            <v>Investments Govt Securities</v>
          </cell>
        </row>
      </sheetData>
      <sheetData sheetId="665">
        <row r="34">
          <cell r="A34" t="str">
            <v>Investments Govt Securities</v>
          </cell>
        </row>
      </sheetData>
      <sheetData sheetId="666">
        <row r="34">
          <cell r="A34" t="str">
            <v>Investments Govt Securities</v>
          </cell>
        </row>
      </sheetData>
      <sheetData sheetId="667">
        <row r="34">
          <cell r="A34" t="str">
            <v>Investments Govt Securities</v>
          </cell>
        </row>
      </sheetData>
      <sheetData sheetId="668">
        <row r="34">
          <cell r="A34" t="str">
            <v>Investments Govt Securities</v>
          </cell>
        </row>
      </sheetData>
      <sheetData sheetId="669">
        <row r="34">
          <cell r="A34" t="str">
            <v>Investments Govt Securities</v>
          </cell>
        </row>
      </sheetData>
      <sheetData sheetId="670">
        <row r="34">
          <cell r="A34" t="str">
            <v>Investments Govt Securities</v>
          </cell>
        </row>
      </sheetData>
      <sheetData sheetId="671">
        <row r="34">
          <cell r="A34" t="str">
            <v>Investments Govt Securities</v>
          </cell>
        </row>
      </sheetData>
      <sheetData sheetId="672">
        <row r="34">
          <cell r="A34" t="str">
            <v>Investments Govt Securities</v>
          </cell>
        </row>
      </sheetData>
      <sheetData sheetId="673">
        <row r="34">
          <cell r="A34" t="str">
            <v>Investments Govt Securities</v>
          </cell>
        </row>
      </sheetData>
      <sheetData sheetId="674">
        <row r="34">
          <cell r="A34" t="str">
            <v>Investments Govt Securities</v>
          </cell>
        </row>
      </sheetData>
      <sheetData sheetId="675">
        <row r="34">
          <cell r="A34" t="str">
            <v>Investments Govt Securities</v>
          </cell>
        </row>
      </sheetData>
      <sheetData sheetId="676">
        <row r="34">
          <cell r="A34" t="str">
            <v>Investments Govt Securities</v>
          </cell>
        </row>
      </sheetData>
      <sheetData sheetId="677">
        <row r="34">
          <cell r="A34" t="str">
            <v>Investments Govt Securities</v>
          </cell>
        </row>
      </sheetData>
      <sheetData sheetId="678">
        <row r="34">
          <cell r="A34" t="str">
            <v>Investments Govt Securities</v>
          </cell>
        </row>
      </sheetData>
      <sheetData sheetId="679">
        <row r="34">
          <cell r="A34" t="str">
            <v>Investments Govt Securities</v>
          </cell>
        </row>
      </sheetData>
      <sheetData sheetId="680">
        <row r="34">
          <cell r="A34" t="str">
            <v>Investments Govt Securities</v>
          </cell>
        </row>
      </sheetData>
      <sheetData sheetId="681">
        <row r="34">
          <cell r="A34" t="str">
            <v>Investments Govt Securities</v>
          </cell>
        </row>
      </sheetData>
      <sheetData sheetId="682">
        <row r="34">
          <cell r="A34" t="str">
            <v>Investments Govt Securities</v>
          </cell>
        </row>
      </sheetData>
      <sheetData sheetId="683">
        <row r="34">
          <cell r="A34" t="str">
            <v>Investments Govt Securities</v>
          </cell>
        </row>
      </sheetData>
      <sheetData sheetId="684">
        <row r="34">
          <cell r="A34" t="str">
            <v>Investments Govt Securities</v>
          </cell>
        </row>
      </sheetData>
      <sheetData sheetId="685">
        <row r="34">
          <cell r="A34" t="str">
            <v>Investments Govt Securities</v>
          </cell>
        </row>
      </sheetData>
      <sheetData sheetId="686">
        <row r="34">
          <cell r="A34" t="str">
            <v>Investments Govt Securities</v>
          </cell>
        </row>
      </sheetData>
      <sheetData sheetId="687">
        <row r="34">
          <cell r="A34" t="str">
            <v>Investments Govt Securities</v>
          </cell>
        </row>
      </sheetData>
      <sheetData sheetId="688">
        <row r="34">
          <cell r="A34" t="str">
            <v>Investments Govt Securities</v>
          </cell>
        </row>
      </sheetData>
      <sheetData sheetId="689">
        <row r="34">
          <cell r="A34" t="str">
            <v>Investments Govt Securities</v>
          </cell>
        </row>
      </sheetData>
      <sheetData sheetId="690">
        <row r="34">
          <cell r="A34" t="str">
            <v>Investments Govt Securities</v>
          </cell>
        </row>
      </sheetData>
      <sheetData sheetId="691">
        <row r="34">
          <cell r="A34" t="str">
            <v>Investments Govt Securities</v>
          </cell>
        </row>
      </sheetData>
      <sheetData sheetId="692">
        <row r="34">
          <cell r="A34" t="str">
            <v>Investments Govt Securities</v>
          </cell>
        </row>
      </sheetData>
      <sheetData sheetId="693">
        <row r="34">
          <cell r="A34" t="str">
            <v>Investments Govt Securities</v>
          </cell>
        </row>
      </sheetData>
      <sheetData sheetId="694">
        <row r="34">
          <cell r="A34" t="str">
            <v>Investments Govt Securities</v>
          </cell>
        </row>
      </sheetData>
      <sheetData sheetId="695">
        <row r="34">
          <cell r="A34" t="str">
            <v>Investments Govt Securities</v>
          </cell>
        </row>
      </sheetData>
      <sheetData sheetId="696">
        <row r="34">
          <cell r="A34" t="str">
            <v>Investments Govt Securities</v>
          </cell>
        </row>
      </sheetData>
      <sheetData sheetId="697">
        <row r="34">
          <cell r="A34" t="str">
            <v>Investments Govt Securities</v>
          </cell>
        </row>
      </sheetData>
      <sheetData sheetId="698">
        <row r="34">
          <cell r="A34" t="str">
            <v>Investments Govt Securities</v>
          </cell>
        </row>
      </sheetData>
      <sheetData sheetId="699">
        <row r="34">
          <cell r="A34" t="str">
            <v>Investments Govt Securities</v>
          </cell>
        </row>
      </sheetData>
      <sheetData sheetId="700">
        <row r="34">
          <cell r="A34" t="str">
            <v>Investments Govt Securities</v>
          </cell>
        </row>
      </sheetData>
      <sheetData sheetId="701">
        <row r="34">
          <cell r="A34" t="str">
            <v>Investments Govt Securities</v>
          </cell>
        </row>
      </sheetData>
      <sheetData sheetId="702">
        <row r="34">
          <cell r="A34" t="str">
            <v>Investments Govt Securities</v>
          </cell>
        </row>
      </sheetData>
      <sheetData sheetId="703">
        <row r="34">
          <cell r="A34" t="str">
            <v>Investments Govt Securities</v>
          </cell>
        </row>
      </sheetData>
      <sheetData sheetId="704">
        <row r="34">
          <cell r="A34" t="str">
            <v>Investments Govt Securities</v>
          </cell>
        </row>
      </sheetData>
      <sheetData sheetId="705">
        <row r="34">
          <cell r="A34" t="str">
            <v>Investments Govt Securities</v>
          </cell>
        </row>
      </sheetData>
      <sheetData sheetId="706">
        <row r="34">
          <cell r="A34" t="str">
            <v>Investments Govt Securities</v>
          </cell>
        </row>
      </sheetData>
      <sheetData sheetId="707">
        <row r="34">
          <cell r="A34" t="str">
            <v>Investments Govt Securities</v>
          </cell>
        </row>
      </sheetData>
      <sheetData sheetId="708">
        <row r="34">
          <cell r="A34" t="str">
            <v>Investments Govt Securities</v>
          </cell>
        </row>
      </sheetData>
      <sheetData sheetId="709">
        <row r="34">
          <cell r="A34" t="str">
            <v>Investments Govt Securities</v>
          </cell>
        </row>
      </sheetData>
      <sheetData sheetId="710">
        <row r="34">
          <cell r="A34" t="str">
            <v>Investments Govt Securities</v>
          </cell>
        </row>
      </sheetData>
      <sheetData sheetId="711">
        <row r="34">
          <cell r="A34" t="str">
            <v>Investments Govt Securities</v>
          </cell>
        </row>
      </sheetData>
      <sheetData sheetId="712">
        <row r="34">
          <cell r="A34" t="str">
            <v>Investments Govt Securities</v>
          </cell>
        </row>
      </sheetData>
      <sheetData sheetId="713">
        <row r="34">
          <cell r="A34" t="str">
            <v>Investments Govt Securities</v>
          </cell>
        </row>
      </sheetData>
      <sheetData sheetId="714">
        <row r="34">
          <cell r="A34" t="str">
            <v>Investments Govt Securities</v>
          </cell>
        </row>
      </sheetData>
      <sheetData sheetId="715">
        <row r="34">
          <cell r="A34" t="str">
            <v>Investments Govt Securities</v>
          </cell>
        </row>
      </sheetData>
      <sheetData sheetId="716">
        <row r="34">
          <cell r="A34" t="str">
            <v>Investments Govt Securities</v>
          </cell>
        </row>
      </sheetData>
      <sheetData sheetId="717">
        <row r="34">
          <cell r="A34" t="str">
            <v>Investments Govt Securities</v>
          </cell>
        </row>
      </sheetData>
      <sheetData sheetId="718">
        <row r="34">
          <cell r="A34" t="str">
            <v>Investments Govt Securities</v>
          </cell>
        </row>
      </sheetData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4">
          <cell r="A34" t="str">
            <v>Investments Govt Securities</v>
          </cell>
        </row>
      </sheetData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 refreshError="1"/>
      <sheetData sheetId="786" refreshError="1"/>
      <sheetData sheetId="787" refreshError="1"/>
      <sheetData sheetId="788">
        <row r="34">
          <cell r="A34" t="str">
            <v>Investments Govt Securities</v>
          </cell>
        </row>
      </sheetData>
      <sheetData sheetId="789">
        <row r="34">
          <cell r="A34" t="str">
            <v>Investments Govt Securities</v>
          </cell>
        </row>
      </sheetData>
      <sheetData sheetId="790">
        <row r="34">
          <cell r="A34" t="str">
            <v>Investments Govt Securities</v>
          </cell>
        </row>
      </sheetData>
      <sheetData sheetId="791">
        <row r="34">
          <cell r="A34" t="str">
            <v>Investments Govt Securities</v>
          </cell>
        </row>
      </sheetData>
      <sheetData sheetId="792">
        <row r="34">
          <cell r="A34" t="str">
            <v>Investments Govt Securities</v>
          </cell>
        </row>
      </sheetData>
      <sheetData sheetId="793">
        <row r="34">
          <cell r="A34" t="str">
            <v>Investments Govt Securities</v>
          </cell>
        </row>
      </sheetData>
      <sheetData sheetId="794">
        <row r="34">
          <cell r="A34" t="str">
            <v>Investments Govt Securities</v>
          </cell>
        </row>
      </sheetData>
      <sheetData sheetId="795">
        <row r="34">
          <cell r="A34" t="str">
            <v>Investments Govt Securities</v>
          </cell>
        </row>
      </sheetData>
      <sheetData sheetId="796">
        <row r="34">
          <cell r="A34" t="str">
            <v>Investments Govt Securities</v>
          </cell>
        </row>
      </sheetData>
      <sheetData sheetId="797">
        <row r="34">
          <cell r="A34" t="str">
            <v>Investments Govt Securities</v>
          </cell>
        </row>
      </sheetData>
      <sheetData sheetId="798">
        <row r="34">
          <cell r="A34" t="str">
            <v>Investments Govt Securities</v>
          </cell>
        </row>
      </sheetData>
      <sheetData sheetId="799">
        <row r="34">
          <cell r="A34" t="str">
            <v>Investments Govt Securities</v>
          </cell>
        </row>
      </sheetData>
      <sheetData sheetId="800">
        <row r="34">
          <cell r="A34" t="str">
            <v>Investments Govt Securities</v>
          </cell>
        </row>
      </sheetData>
      <sheetData sheetId="801">
        <row r="34">
          <cell r="A34" t="str">
            <v>Investments Govt Securities</v>
          </cell>
        </row>
      </sheetData>
      <sheetData sheetId="802">
        <row r="34">
          <cell r="A34" t="str">
            <v>Investments Govt Securities</v>
          </cell>
        </row>
      </sheetData>
      <sheetData sheetId="803">
        <row r="34">
          <cell r="A34" t="str">
            <v>Investments Govt Securities</v>
          </cell>
        </row>
      </sheetData>
      <sheetData sheetId="804">
        <row r="34">
          <cell r="A34" t="str">
            <v>Investments Govt Securities</v>
          </cell>
        </row>
      </sheetData>
      <sheetData sheetId="805">
        <row r="34">
          <cell r="A34" t="str">
            <v>Investments Govt Securities</v>
          </cell>
        </row>
      </sheetData>
      <sheetData sheetId="806">
        <row r="34">
          <cell r="A34" t="str">
            <v>Investments Govt Securities</v>
          </cell>
        </row>
      </sheetData>
      <sheetData sheetId="807">
        <row r="34">
          <cell r="A34" t="str">
            <v>Investments Govt Securities</v>
          </cell>
        </row>
      </sheetData>
      <sheetData sheetId="808">
        <row r="34">
          <cell r="A34" t="str">
            <v>Investments Govt Securities</v>
          </cell>
        </row>
      </sheetData>
      <sheetData sheetId="809">
        <row r="34">
          <cell r="A34" t="str">
            <v>Investments Govt Securities</v>
          </cell>
        </row>
      </sheetData>
      <sheetData sheetId="810">
        <row r="34">
          <cell r="A34" t="str">
            <v>Investments Govt Securities</v>
          </cell>
        </row>
      </sheetData>
      <sheetData sheetId="811">
        <row r="34">
          <cell r="A34" t="str">
            <v>Investments Govt Securities</v>
          </cell>
        </row>
      </sheetData>
      <sheetData sheetId="812">
        <row r="34">
          <cell r="A34" t="str">
            <v>Investments Govt Securities</v>
          </cell>
        </row>
      </sheetData>
      <sheetData sheetId="813">
        <row r="34">
          <cell r="A34" t="str">
            <v>Investments Govt Securities</v>
          </cell>
        </row>
      </sheetData>
      <sheetData sheetId="814">
        <row r="34">
          <cell r="A34" t="str">
            <v>Investments Govt Securities</v>
          </cell>
        </row>
      </sheetData>
      <sheetData sheetId="815">
        <row r="34">
          <cell r="A34" t="str">
            <v>Investments Govt Securities</v>
          </cell>
        </row>
      </sheetData>
      <sheetData sheetId="816">
        <row r="34">
          <cell r="A34" t="str">
            <v>Investments Govt Securities</v>
          </cell>
        </row>
      </sheetData>
      <sheetData sheetId="817">
        <row r="34">
          <cell r="A34" t="str">
            <v>Investments Govt Securities</v>
          </cell>
        </row>
      </sheetData>
      <sheetData sheetId="818">
        <row r="34">
          <cell r="A34" t="str">
            <v>Investments Govt Securities</v>
          </cell>
        </row>
      </sheetData>
      <sheetData sheetId="819">
        <row r="34">
          <cell r="A34" t="str">
            <v>Investments Govt Securities</v>
          </cell>
        </row>
      </sheetData>
      <sheetData sheetId="820">
        <row r="34">
          <cell r="A34" t="str">
            <v>Investments Govt Securities</v>
          </cell>
        </row>
      </sheetData>
      <sheetData sheetId="821">
        <row r="34">
          <cell r="A34" t="str">
            <v>Investments Govt Securities</v>
          </cell>
        </row>
      </sheetData>
      <sheetData sheetId="822">
        <row r="34">
          <cell r="A34" t="str">
            <v>Investments Govt Securities</v>
          </cell>
        </row>
      </sheetData>
      <sheetData sheetId="823">
        <row r="34">
          <cell r="A34" t="str">
            <v>Investments Govt Securities</v>
          </cell>
        </row>
      </sheetData>
      <sheetData sheetId="824">
        <row r="34">
          <cell r="A34" t="str">
            <v>Investments Govt Securities</v>
          </cell>
        </row>
      </sheetData>
      <sheetData sheetId="825">
        <row r="34">
          <cell r="A34" t="str">
            <v>Investments Govt Securities</v>
          </cell>
        </row>
      </sheetData>
      <sheetData sheetId="826">
        <row r="34">
          <cell r="A34" t="str">
            <v>Investments Govt Securities</v>
          </cell>
        </row>
      </sheetData>
      <sheetData sheetId="827">
        <row r="34">
          <cell r="A34" t="str">
            <v>Investments Govt Securities</v>
          </cell>
        </row>
      </sheetData>
      <sheetData sheetId="828">
        <row r="34">
          <cell r="A34" t="str">
            <v>Investments Govt Securities</v>
          </cell>
        </row>
      </sheetData>
      <sheetData sheetId="829">
        <row r="34">
          <cell r="A34" t="str">
            <v>Investments Govt Securities</v>
          </cell>
        </row>
      </sheetData>
      <sheetData sheetId="830">
        <row r="34">
          <cell r="A34" t="str">
            <v>Investments Govt Securities</v>
          </cell>
        </row>
      </sheetData>
      <sheetData sheetId="831">
        <row r="34">
          <cell r="A34" t="str">
            <v>Investments Govt Securities</v>
          </cell>
        </row>
      </sheetData>
      <sheetData sheetId="832">
        <row r="34">
          <cell r="A34" t="str">
            <v>Investments Govt Securities</v>
          </cell>
        </row>
      </sheetData>
      <sheetData sheetId="833">
        <row r="34">
          <cell r="A34" t="str">
            <v>Investments Govt Securities</v>
          </cell>
        </row>
      </sheetData>
      <sheetData sheetId="834">
        <row r="34">
          <cell r="A34" t="str">
            <v>Investments Govt Securities</v>
          </cell>
        </row>
      </sheetData>
      <sheetData sheetId="835">
        <row r="34">
          <cell r="A34" t="str">
            <v>Investments Govt Securities</v>
          </cell>
        </row>
      </sheetData>
      <sheetData sheetId="836">
        <row r="34">
          <cell r="A34" t="str">
            <v>Investments Govt Securities</v>
          </cell>
        </row>
      </sheetData>
      <sheetData sheetId="837">
        <row r="34">
          <cell r="A34" t="str">
            <v>Investments Govt Securities</v>
          </cell>
        </row>
      </sheetData>
      <sheetData sheetId="838">
        <row r="34">
          <cell r="A34" t="str">
            <v>Investments Govt Securities</v>
          </cell>
        </row>
      </sheetData>
      <sheetData sheetId="839">
        <row r="34">
          <cell r="A34" t="str">
            <v>Investments Govt Securities</v>
          </cell>
        </row>
      </sheetData>
      <sheetData sheetId="840">
        <row r="34">
          <cell r="A34" t="str">
            <v>Investments Govt Securities</v>
          </cell>
        </row>
      </sheetData>
      <sheetData sheetId="841">
        <row r="34">
          <cell r="A34" t="str">
            <v>Investments Govt Securities</v>
          </cell>
        </row>
      </sheetData>
      <sheetData sheetId="842">
        <row r="34">
          <cell r="A34" t="str">
            <v>Investments Govt Securities</v>
          </cell>
        </row>
      </sheetData>
      <sheetData sheetId="843">
        <row r="34">
          <cell r="A34" t="str">
            <v>Investments Govt Securities</v>
          </cell>
        </row>
      </sheetData>
      <sheetData sheetId="844">
        <row r="34">
          <cell r="A34" t="str">
            <v>Investments Govt Securities</v>
          </cell>
        </row>
      </sheetData>
      <sheetData sheetId="845">
        <row r="34">
          <cell r="A34" t="str">
            <v>Investments Govt Securities</v>
          </cell>
        </row>
      </sheetData>
      <sheetData sheetId="846">
        <row r="34">
          <cell r="A34" t="str">
            <v>Investments Govt Securities</v>
          </cell>
        </row>
      </sheetData>
      <sheetData sheetId="847">
        <row r="34">
          <cell r="A34" t="str">
            <v>Investments Govt Securities</v>
          </cell>
        </row>
      </sheetData>
      <sheetData sheetId="848">
        <row r="34">
          <cell r="A34" t="str">
            <v>Investments Govt Securities</v>
          </cell>
        </row>
      </sheetData>
      <sheetData sheetId="849">
        <row r="34">
          <cell r="A34" t="str">
            <v>Investments Govt Securities</v>
          </cell>
        </row>
      </sheetData>
      <sheetData sheetId="850">
        <row r="34">
          <cell r="A34" t="str">
            <v>Investments Govt Securities</v>
          </cell>
        </row>
      </sheetData>
      <sheetData sheetId="851">
        <row r="34">
          <cell r="A34" t="str">
            <v>Investments Govt Securities</v>
          </cell>
        </row>
      </sheetData>
      <sheetData sheetId="852">
        <row r="34">
          <cell r="A34" t="str">
            <v>Investments Govt Securities</v>
          </cell>
        </row>
      </sheetData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>
        <row r="34">
          <cell r="A34" t="str">
            <v>Investments Govt Securities</v>
          </cell>
        </row>
      </sheetData>
      <sheetData sheetId="874">
        <row r="34">
          <cell r="A34" t="str">
            <v>Investments Govt Securities</v>
          </cell>
        </row>
      </sheetData>
      <sheetData sheetId="875">
        <row r="34">
          <cell r="A34" t="str">
            <v>Investments Govt Securities</v>
          </cell>
        </row>
      </sheetData>
      <sheetData sheetId="876">
        <row r="34">
          <cell r="A34" t="str">
            <v>Investments Govt Securities</v>
          </cell>
        </row>
      </sheetData>
      <sheetData sheetId="877">
        <row r="34">
          <cell r="A34" t="str">
            <v>Investments Govt Securities</v>
          </cell>
        </row>
      </sheetData>
      <sheetData sheetId="878">
        <row r="34">
          <cell r="A34" t="str">
            <v>Investments Govt Securities</v>
          </cell>
        </row>
      </sheetData>
      <sheetData sheetId="879">
        <row r="34">
          <cell r="A34" t="str">
            <v>Investments Govt Securities</v>
          </cell>
        </row>
      </sheetData>
      <sheetData sheetId="880">
        <row r="34">
          <cell r="A34" t="str">
            <v>Investments Govt Securities</v>
          </cell>
        </row>
      </sheetData>
      <sheetData sheetId="881">
        <row r="34">
          <cell r="A34" t="str">
            <v>Investments Govt Securities</v>
          </cell>
        </row>
      </sheetData>
      <sheetData sheetId="882">
        <row r="34">
          <cell r="A34" t="str">
            <v>Investments Govt Securities</v>
          </cell>
        </row>
      </sheetData>
      <sheetData sheetId="883">
        <row r="34">
          <cell r="A34" t="str">
            <v>Investments Govt Securities</v>
          </cell>
        </row>
      </sheetData>
      <sheetData sheetId="884">
        <row r="34">
          <cell r="A34" t="str">
            <v>Investments Govt Securities</v>
          </cell>
        </row>
      </sheetData>
      <sheetData sheetId="885">
        <row r="34">
          <cell r="A34" t="str">
            <v>Investments Govt Securities</v>
          </cell>
        </row>
      </sheetData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>
        <row r="34">
          <cell r="A34" t="str">
            <v>Investments Govt Securities</v>
          </cell>
        </row>
      </sheetData>
      <sheetData sheetId="909">
        <row r="34">
          <cell r="A34" t="str">
            <v>Investments Govt Securities</v>
          </cell>
        </row>
      </sheetData>
      <sheetData sheetId="910">
        <row r="34">
          <cell r="A34" t="str">
            <v>Investments Govt Securities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 refreshError="1"/>
      <sheetData sheetId="1027"/>
      <sheetData sheetId="1028" refreshError="1"/>
      <sheetData sheetId="1029" refreshError="1"/>
      <sheetData sheetId="1030" refreshError="1"/>
      <sheetData sheetId="1031">
        <row r="34">
          <cell r="A34" t="str">
            <v>Investments Govt Securities</v>
          </cell>
        </row>
      </sheetData>
      <sheetData sheetId="1032">
        <row r="34">
          <cell r="A34" t="str">
            <v>Investments Govt Securities</v>
          </cell>
        </row>
      </sheetData>
      <sheetData sheetId="1033">
        <row r="34">
          <cell r="A34" t="str">
            <v>Investments Govt Securities</v>
          </cell>
        </row>
      </sheetData>
      <sheetData sheetId="1034">
        <row r="34">
          <cell r="A34" t="str">
            <v>Investments Govt Securities</v>
          </cell>
        </row>
      </sheetData>
      <sheetData sheetId="1035">
        <row r="34">
          <cell r="A34" t="str">
            <v>Investments Govt Securities</v>
          </cell>
        </row>
      </sheetData>
      <sheetData sheetId="1036">
        <row r="34">
          <cell r="A34" t="str">
            <v>Investments Govt Securities</v>
          </cell>
        </row>
      </sheetData>
      <sheetData sheetId="1037">
        <row r="34">
          <cell r="A34" t="str">
            <v>Investments Govt Securities</v>
          </cell>
        </row>
      </sheetData>
      <sheetData sheetId="1038">
        <row r="34">
          <cell r="A34" t="str">
            <v>Investments Govt Securities</v>
          </cell>
        </row>
      </sheetData>
      <sheetData sheetId="1039">
        <row r="34">
          <cell r="A34" t="str">
            <v>Investments Govt Securities</v>
          </cell>
        </row>
      </sheetData>
      <sheetData sheetId="1040">
        <row r="34">
          <cell r="A34" t="str">
            <v>Investments Govt Securities</v>
          </cell>
        </row>
      </sheetData>
      <sheetData sheetId="1041">
        <row r="34">
          <cell r="A34" t="str">
            <v>Investments Govt Securities</v>
          </cell>
        </row>
      </sheetData>
      <sheetData sheetId="1042">
        <row r="34">
          <cell r="A34" t="str">
            <v>Investments Govt Securities</v>
          </cell>
        </row>
      </sheetData>
      <sheetData sheetId="1043">
        <row r="34">
          <cell r="A34" t="str">
            <v>Investments Govt Securities</v>
          </cell>
        </row>
      </sheetData>
      <sheetData sheetId="1044">
        <row r="34">
          <cell r="A34" t="str">
            <v>Investments Govt Securities</v>
          </cell>
        </row>
      </sheetData>
      <sheetData sheetId="1045">
        <row r="34">
          <cell r="A34" t="str">
            <v>Investments Govt Securities</v>
          </cell>
        </row>
      </sheetData>
      <sheetData sheetId="1046">
        <row r="34">
          <cell r="A34" t="str">
            <v>Investments Govt Securities</v>
          </cell>
        </row>
      </sheetData>
      <sheetData sheetId="1047">
        <row r="34">
          <cell r="A34" t="str">
            <v>Investments Govt Securities</v>
          </cell>
        </row>
      </sheetData>
      <sheetData sheetId="1048">
        <row r="34">
          <cell r="A34" t="str">
            <v>Investments Govt Securities</v>
          </cell>
        </row>
      </sheetData>
      <sheetData sheetId="1049">
        <row r="34">
          <cell r="A34" t="str">
            <v>Investments Govt Securities</v>
          </cell>
        </row>
      </sheetData>
      <sheetData sheetId="1050">
        <row r="34">
          <cell r="A34" t="str">
            <v>Investments Govt Securities</v>
          </cell>
        </row>
      </sheetData>
      <sheetData sheetId="1051">
        <row r="34">
          <cell r="A34" t="str">
            <v>Investments Govt Securities</v>
          </cell>
        </row>
      </sheetData>
      <sheetData sheetId="1052">
        <row r="34">
          <cell r="A34" t="str">
            <v>Investments Govt Securities</v>
          </cell>
        </row>
      </sheetData>
      <sheetData sheetId="1053">
        <row r="34">
          <cell r="A34" t="str">
            <v>Investments Govt Securities</v>
          </cell>
        </row>
      </sheetData>
      <sheetData sheetId="1054">
        <row r="34">
          <cell r="A34" t="str">
            <v>Investments Govt Securities</v>
          </cell>
        </row>
      </sheetData>
      <sheetData sheetId="1055">
        <row r="34">
          <cell r="A34" t="str">
            <v>Investments Govt Securities</v>
          </cell>
        </row>
      </sheetData>
      <sheetData sheetId="1056">
        <row r="34">
          <cell r="A34" t="str">
            <v>Investments Govt Securities</v>
          </cell>
        </row>
      </sheetData>
      <sheetData sheetId="1057">
        <row r="34">
          <cell r="A34" t="str">
            <v>Investments Govt Securities</v>
          </cell>
        </row>
      </sheetData>
      <sheetData sheetId="1058">
        <row r="34">
          <cell r="A34" t="str">
            <v>Investments Govt Securities</v>
          </cell>
        </row>
      </sheetData>
      <sheetData sheetId="1059">
        <row r="34">
          <cell r="A34" t="str">
            <v>Investments Govt Securities</v>
          </cell>
        </row>
      </sheetData>
      <sheetData sheetId="1060">
        <row r="34">
          <cell r="A34" t="str">
            <v>Investments Govt Securities</v>
          </cell>
        </row>
      </sheetData>
      <sheetData sheetId="1061">
        <row r="34">
          <cell r="A34" t="str">
            <v>Investments Govt Securities</v>
          </cell>
        </row>
      </sheetData>
      <sheetData sheetId="1062">
        <row r="34">
          <cell r="A34" t="str">
            <v>Investments Govt Securities</v>
          </cell>
        </row>
      </sheetData>
      <sheetData sheetId="1063">
        <row r="34">
          <cell r="A34" t="str">
            <v>Investments Govt Securities</v>
          </cell>
        </row>
      </sheetData>
      <sheetData sheetId="1064">
        <row r="34">
          <cell r="A34" t="str">
            <v>Investments Govt Securities</v>
          </cell>
        </row>
      </sheetData>
      <sheetData sheetId="1065">
        <row r="34">
          <cell r="A34" t="str">
            <v>Investments Govt Securities</v>
          </cell>
        </row>
      </sheetData>
      <sheetData sheetId="1066">
        <row r="34">
          <cell r="A34" t="str">
            <v>Investments Govt Securities</v>
          </cell>
        </row>
      </sheetData>
      <sheetData sheetId="1067">
        <row r="34">
          <cell r="A34" t="str">
            <v>Investments Govt Securities</v>
          </cell>
        </row>
      </sheetData>
      <sheetData sheetId="1068">
        <row r="34">
          <cell r="A34" t="str">
            <v>Investments Govt Securities</v>
          </cell>
        </row>
      </sheetData>
      <sheetData sheetId="1069" refreshError="1"/>
      <sheetData sheetId="1070" refreshError="1"/>
      <sheetData sheetId="1071" refreshError="1"/>
      <sheetData sheetId="1072">
        <row r="34">
          <cell r="A34" t="str">
            <v>Investments Govt Securities</v>
          </cell>
        </row>
      </sheetData>
      <sheetData sheetId="1073" refreshError="1"/>
      <sheetData sheetId="1074" refreshError="1"/>
      <sheetData sheetId="1075">
        <row r="34">
          <cell r="A34" t="str">
            <v>Investments Govt Securities</v>
          </cell>
        </row>
      </sheetData>
      <sheetData sheetId="1076">
        <row r="34">
          <cell r="A34" t="str">
            <v>Investments Govt Securities</v>
          </cell>
        </row>
      </sheetData>
      <sheetData sheetId="1077">
        <row r="34">
          <cell r="A34" t="str">
            <v>Investments Govt Securities</v>
          </cell>
        </row>
      </sheetData>
      <sheetData sheetId="1078">
        <row r="34">
          <cell r="A34" t="str">
            <v>Investments Govt Securities</v>
          </cell>
        </row>
      </sheetData>
      <sheetData sheetId="1079">
        <row r="34">
          <cell r="A34" t="str">
            <v>Investments Govt Securities</v>
          </cell>
        </row>
      </sheetData>
      <sheetData sheetId="1080">
        <row r="34">
          <cell r="A34" t="str">
            <v>Investments Govt Securities</v>
          </cell>
        </row>
      </sheetData>
      <sheetData sheetId="1081">
        <row r="34">
          <cell r="A34" t="str">
            <v>Investments Govt Securities</v>
          </cell>
        </row>
      </sheetData>
      <sheetData sheetId="1082">
        <row r="34">
          <cell r="A34" t="str">
            <v>Investments Govt Securities</v>
          </cell>
        </row>
      </sheetData>
      <sheetData sheetId="1083">
        <row r="34">
          <cell r="A34" t="str">
            <v>Investments Govt Securities</v>
          </cell>
        </row>
      </sheetData>
      <sheetData sheetId="1084">
        <row r="34">
          <cell r="A34" t="str">
            <v>Investments Govt Securities</v>
          </cell>
        </row>
      </sheetData>
      <sheetData sheetId="1085">
        <row r="34">
          <cell r="A34" t="str">
            <v>Investments Govt Securities</v>
          </cell>
        </row>
      </sheetData>
      <sheetData sheetId="1086">
        <row r="34">
          <cell r="A34" t="str">
            <v>Investments Govt Securities</v>
          </cell>
        </row>
      </sheetData>
      <sheetData sheetId="1087">
        <row r="34">
          <cell r="A34" t="str">
            <v>Investments Govt Securities</v>
          </cell>
        </row>
      </sheetData>
      <sheetData sheetId="1088">
        <row r="34">
          <cell r="A34" t="str">
            <v>Investments Govt Securities</v>
          </cell>
        </row>
      </sheetData>
      <sheetData sheetId="1089">
        <row r="34">
          <cell r="A34" t="str">
            <v>Investments Govt Securities</v>
          </cell>
        </row>
      </sheetData>
      <sheetData sheetId="1090">
        <row r="34">
          <cell r="A34" t="str">
            <v>Investments Govt Securities</v>
          </cell>
        </row>
      </sheetData>
      <sheetData sheetId="1091">
        <row r="34">
          <cell r="A34" t="str">
            <v>Investments Govt Securities</v>
          </cell>
        </row>
      </sheetData>
      <sheetData sheetId="1092">
        <row r="34">
          <cell r="A34" t="str">
            <v>Investments Govt Securities</v>
          </cell>
        </row>
      </sheetData>
      <sheetData sheetId="1093">
        <row r="34">
          <cell r="A34" t="str">
            <v>Investments Govt Securities</v>
          </cell>
        </row>
      </sheetData>
      <sheetData sheetId="1094">
        <row r="34">
          <cell r="A34" t="str">
            <v>Investments Govt Securities</v>
          </cell>
        </row>
      </sheetData>
      <sheetData sheetId="1095">
        <row r="34">
          <cell r="A34" t="str">
            <v>Investments Govt Securities</v>
          </cell>
        </row>
      </sheetData>
      <sheetData sheetId="1096">
        <row r="34">
          <cell r="A34" t="str">
            <v>Investments Govt Securities</v>
          </cell>
        </row>
      </sheetData>
      <sheetData sheetId="1097">
        <row r="34">
          <cell r="A34" t="str">
            <v>Investments Govt Securities</v>
          </cell>
        </row>
      </sheetData>
      <sheetData sheetId="1098">
        <row r="34">
          <cell r="A34" t="str">
            <v>Investments Govt Securities</v>
          </cell>
        </row>
      </sheetData>
      <sheetData sheetId="1099">
        <row r="34">
          <cell r="A34" t="str">
            <v>Investments Govt Securities</v>
          </cell>
        </row>
      </sheetData>
      <sheetData sheetId="1100">
        <row r="34">
          <cell r="A34" t="str">
            <v>Investments Govt Securities</v>
          </cell>
        </row>
      </sheetData>
      <sheetData sheetId="1101">
        <row r="34">
          <cell r="A34" t="str">
            <v>Investments Govt Securities</v>
          </cell>
        </row>
      </sheetData>
      <sheetData sheetId="1102">
        <row r="34">
          <cell r="A34" t="str">
            <v>Investments Govt Securities</v>
          </cell>
        </row>
      </sheetData>
      <sheetData sheetId="1103">
        <row r="34">
          <cell r="A34" t="str">
            <v>Investments Govt Securities</v>
          </cell>
        </row>
      </sheetData>
      <sheetData sheetId="1104">
        <row r="34">
          <cell r="A34" t="str">
            <v>Investments Govt Securities</v>
          </cell>
        </row>
      </sheetData>
      <sheetData sheetId="1105">
        <row r="34">
          <cell r="A34" t="str">
            <v>Investments Govt Securities</v>
          </cell>
        </row>
      </sheetData>
      <sheetData sheetId="1106">
        <row r="34">
          <cell r="A34" t="str">
            <v>Investments Govt Securities</v>
          </cell>
        </row>
      </sheetData>
      <sheetData sheetId="1107">
        <row r="34">
          <cell r="A34" t="str">
            <v>Investments Govt Securities</v>
          </cell>
        </row>
      </sheetData>
      <sheetData sheetId="1108">
        <row r="34">
          <cell r="A34" t="str">
            <v>Investments Govt Securities</v>
          </cell>
        </row>
      </sheetData>
      <sheetData sheetId="1109">
        <row r="34">
          <cell r="A34" t="str">
            <v>Investments Govt Securities</v>
          </cell>
        </row>
      </sheetData>
      <sheetData sheetId="1110">
        <row r="34">
          <cell r="A34" t="str">
            <v>Investments Govt Securities</v>
          </cell>
        </row>
      </sheetData>
      <sheetData sheetId="1111">
        <row r="34">
          <cell r="A34" t="str">
            <v>Investments Govt Securities</v>
          </cell>
        </row>
      </sheetData>
      <sheetData sheetId="1112">
        <row r="34">
          <cell r="A34" t="str">
            <v>Investments Govt Securities</v>
          </cell>
        </row>
      </sheetData>
      <sheetData sheetId="1113">
        <row r="34">
          <cell r="A34" t="str">
            <v>Investments Govt Securities</v>
          </cell>
        </row>
      </sheetData>
      <sheetData sheetId="1114">
        <row r="34">
          <cell r="A34" t="str">
            <v>Investments Govt Securities</v>
          </cell>
        </row>
      </sheetData>
      <sheetData sheetId="1115">
        <row r="34">
          <cell r="A34" t="str">
            <v>Investments Govt Securities</v>
          </cell>
        </row>
      </sheetData>
      <sheetData sheetId="1116">
        <row r="34">
          <cell r="A34" t="str">
            <v>Investments Govt Securities</v>
          </cell>
        </row>
      </sheetData>
      <sheetData sheetId="1117">
        <row r="34">
          <cell r="A34" t="str">
            <v>Investments Govt Securities</v>
          </cell>
        </row>
      </sheetData>
      <sheetData sheetId="1118">
        <row r="34">
          <cell r="A34" t="str">
            <v>Investments Govt Securities</v>
          </cell>
        </row>
      </sheetData>
      <sheetData sheetId="1119">
        <row r="34">
          <cell r="A34" t="str">
            <v>Investments Govt Securities</v>
          </cell>
        </row>
      </sheetData>
      <sheetData sheetId="1120">
        <row r="34">
          <cell r="A34" t="str">
            <v>Investments Govt Securities</v>
          </cell>
        </row>
      </sheetData>
      <sheetData sheetId="1121">
        <row r="34">
          <cell r="A34" t="str">
            <v>Investments Govt Securities</v>
          </cell>
        </row>
      </sheetData>
      <sheetData sheetId="1122">
        <row r="34">
          <cell r="A34" t="str">
            <v>Investments Govt Securities</v>
          </cell>
        </row>
      </sheetData>
      <sheetData sheetId="1123">
        <row r="34">
          <cell r="A34" t="str">
            <v>Investments Govt Securities</v>
          </cell>
        </row>
      </sheetData>
      <sheetData sheetId="1124">
        <row r="34">
          <cell r="A34" t="str">
            <v>Investments Govt Securities</v>
          </cell>
        </row>
      </sheetData>
      <sheetData sheetId="1125">
        <row r="34">
          <cell r="A34" t="str">
            <v>Investments Govt Securities</v>
          </cell>
        </row>
      </sheetData>
      <sheetData sheetId="1126">
        <row r="34">
          <cell r="A34" t="str">
            <v>Investments Govt Securities</v>
          </cell>
        </row>
      </sheetData>
      <sheetData sheetId="1127">
        <row r="34">
          <cell r="A34" t="str">
            <v>Investments Govt Securities</v>
          </cell>
        </row>
      </sheetData>
      <sheetData sheetId="1128">
        <row r="34">
          <cell r="A34" t="str">
            <v>Investments Govt Securities</v>
          </cell>
        </row>
      </sheetData>
      <sheetData sheetId="1129">
        <row r="34">
          <cell r="A34" t="str">
            <v>Investments Govt Securities</v>
          </cell>
        </row>
      </sheetData>
      <sheetData sheetId="1130">
        <row r="34">
          <cell r="A34" t="str">
            <v>Investments Govt Securities</v>
          </cell>
        </row>
      </sheetData>
      <sheetData sheetId="1131">
        <row r="34">
          <cell r="A34" t="str">
            <v>Investments Govt Securities</v>
          </cell>
        </row>
      </sheetData>
      <sheetData sheetId="1132">
        <row r="34">
          <cell r="A34" t="str">
            <v>Investments Govt Securities</v>
          </cell>
        </row>
      </sheetData>
      <sheetData sheetId="1133">
        <row r="34">
          <cell r="A34" t="str">
            <v>Investments Govt Securities</v>
          </cell>
        </row>
      </sheetData>
      <sheetData sheetId="1134">
        <row r="34">
          <cell r="A34" t="str">
            <v>Investments Govt Securities</v>
          </cell>
        </row>
      </sheetData>
      <sheetData sheetId="1135">
        <row r="34">
          <cell r="A34" t="str">
            <v>Investments Govt Securities</v>
          </cell>
        </row>
      </sheetData>
      <sheetData sheetId="1136">
        <row r="34">
          <cell r="A34" t="str">
            <v>Investments Govt Securities</v>
          </cell>
        </row>
      </sheetData>
      <sheetData sheetId="1137">
        <row r="34">
          <cell r="A34" t="str">
            <v>Investments Govt Securities</v>
          </cell>
        </row>
      </sheetData>
      <sheetData sheetId="1138">
        <row r="34">
          <cell r="A34" t="str">
            <v>Investments Govt Securities</v>
          </cell>
        </row>
      </sheetData>
      <sheetData sheetId="1139">
        <row r="34">
          <cell r="A34" t="str">
            <v>Investments Govt Securities</v>
          </cell>
        </row>
      </sheetData>
      <sheetData sheetId="1140">
        <row r="34">
          <cell r="A34" t="str">
            <v>Investments Govt Securities</v>
          </cell>
        </row>
      </sheetData>
      <sheetData sheetId="1141">
        <row r="34">
          <cell r="A34" t="str">
            <v>Investments Govt Securities</v>
          </cell>
        </row>
      </sheetData>
      <sheetData sheetId="1142">
        <row r="34">
          <cell r="A34" t="str">
            <v>Investments Govt Securities</v>
          </cell>
        </row>
      </sheetData>
      <sheetData sheetId="1143">
        <row r="34">
          <cell r="A34" t="str">
            <v>Investments Govt Securities</v>
          </cell>
        </row>
      </sheetData>
      <sheetData sheetId="1144">
        <row r="34">
          <cell r="A34" t="str">
            <v>Investments Govt Securities</v>
          </cell>
        </row>
      </sheetData>
      <sheetData sheetId="1145">
        <row r="34">
          <cell r="A34" t="str">
            <v>Investments Govt Securities</v>
          </cell>
        </row>
      </sheetData>
      <sheetData sheetId="1146">
        <row r="34">
          <cell r="A34" t="str">
            <v>Investments Govt Securities</v>
          </cell>
        </row>
      </sheetData>
      <sheetData sheetId="1147">
        <row r="34">
          <cell r="A34" t="str">
            <v>Investments Govt Securities</v>
          </cell>
        </row>
      </sheetData>
      <sheetData sheetId="1148">
        <row r="34">
          <cell r="A34" t="str">
            <v>Investments Govt Securities</v>
          </cell>
        </row>
      </sheetData>
      <sheetData sheetId="1149">
        <row r="34">
          <cell r="A34" t="str">
            <v>Investments Govt Securities</v>
          </cell>
        </row>
      </sheetData>
      <sheetData sheetId="1150">
        <row r="34">
          <cell r="A34" t="str">
            <v>Investments Govt Securities</v>
          </cell>
        </row>
      </sheetData>
      <sheetData sheetId="1151">
        <row r="34">
          <cell r="A34" t="str">
            <v>Investments Govt Securities</v>
          </cell>
        </row>
      </sheetData>
      <sheetData sheetId="1152">
        <row r="34">
          <cell r="A34" t="str">
            <v>Investments Govt Securities</v>
          </cell>
        </row>
      </sheetData>
      <sheetData sheetId="1153">
        <row r="34">
          <cell r="A34" t="str">
            <v>Investments Govt Securities</v>
          </cell>
        </row>
      </sheetData>
      <sheetData sheetId="1154">
        <row r="34">
          <cell r="A34" t="str">
            <v>Investments Govt Securities</v>
          </cell>
        </row>
      </sheetData>
      <sheetData sheetId="1155">
        <row r="34">
          <cell r="A34" t="str">
            <v>Investments Govt Securities</v>
          </cell>
        </row>
      </sheetData>
      <sheetData sheetId="1156">
        <row r="34">
          <cell r="A34" t="str">
            <v>Investments Govt Securities</v>
          </cell>
        </row>
      </sheetData>
      <sheetData sheetId="1157">
        <row r="34">
          <cell r="A34" t="str">
            <v>Investments Govt Securities</v>
          </cell>
        </row>
      </sheetData>
      <sheetData sheetId="1158">
        <row r="34">
          <cell r="A34" t="str">
            <v>Investments Govt Securities</v>
          </cell>
        </row>
      </sheetData>
      <sheetData sheetId="1159">
        <row r="34">
          <cell r="A34" t="str">
            <v>Investments Govt Securities</v>
          </cell>
        </row>
      </sheetData>
      <sheetData sheetId="1160">
        <row r="34">
          <cell r="A34" t="str">
            <v>Investments Govt Securities</v>
          </cell>
        </row>
      </sheetData>
      <sheetData sheetId="1161">
        <row r="34">
          <cell r="A34" t="str">
            <v>Investments Govt Securities</v>
          </cell>
        </row>
      </sheetData>
      <sheetData sheetId="1162">
        <row r="34">
          <cell r="A34" t="str">
            <v>Investments Govt Securities</v>
          </cell>
        </row>
      </sheetData>
      <sheetData sheetId="1163">
        <row r="34">
          <cell r="A34" t="str">
            <v>Investments Govt Securities</v>
          </cell>
        </row>
      </sheetData>
      <sheetData sheetId="1164">
        <row r="34">
          <cell r="A34" t="str">
            <v>Investments Govt Securities</v>
          </cell>
        </row>
      </sheetData>
      <sheetData sheetId="1165">
        <row r="34">
          <cell r="A34" t="str">
            <v>Investments Govt Securities</v>
          </cell>
        </row>
      </sheetData>
      <sheetData sheetId="1166">
        <row r="34">
          <cell r="A34" t="str">
            <v>Investments Govt Securities</v>
          </cell>
        </row>
      </sheetData>
      <sheetData sheetId="1167">
        <row r="34">
          <cell r="A34" t="str">
            <v>Investments Govt Securities</v>
          </cell>
        </row>
      </sheetData>
      <sheetData sheetId="1168">
        <row r="34">
          <cell r="A34" t="str">
            <v>Investments Govt Securities</v>
          </cell>
        </row>
      </sheetData>
      <sheetData sheetId="1169">
        <row r="34">
          <cell r="A34" t="str">
            <v>Investments Govt Securities</v>
          </cell>
        </row>
      </sheetData>
      <sheetData sheetId="1170">
        <row r="34">
          <cell r="A34" t="str">
            <v>Investments Govt Securities</v>
          </cell>
        </row>
      </sheetData>
      <sheetData sheetId="1171">
        <row r="34">
          <cell r="A34" t="str">
            <v>Investments Govt Securities</v>
          </cell>
        </row>
      </sheetData>
      <sheetData sheetId="1172">
        <row r="34">
          <cell r="A34" t="str">
            <v>Investments Govt Securities</v>
          </cell>
        </row>
      </sheetData>
      <sheetData sheetId="1173">
        <row r="34">
          <cell r="A34" t="str">
            <v>Investments Govt Securities</v>
          </cell>
        </row>
      </sheetData>
      <sheetData sheetId="1174">
        <row r="34">
          <cell r="A34" t="str">
            <v>Investments Govt Securities</v>
          </cell>
        </row>
      </sheetData>
      <sheetData sheetId="1175">
        <row r="34">
          <cell r="A34" t="str">
            <v>Investments Govt Securities</v>
          </cell>
        </row>
      </sheetData>
      <sheetData sheetId="1176">
        <row r="34">
          <cell r="A34" t="str">
            <v>Investments Govt Securities</v>
          </cell>
        </row>
      </sheetData>
      <sheetData sheetId="1177">
        <row r="34">
          <cell r="A34" t="str">
            <v>Investments Govt Securities</v>
          </cell>
        </row>
      </sheetData>
      <sheetData sheetId="1178">
        <row r="34">
          <cell r="A34" t="str">
            <v>Investments Govt Securities</v>
          </cell>
        </row>
      </sheetData>
      <sheetData sheetId="1179">
        <row r="34">
          <cell r="A34" t="str">
            <v>Investments Govt Securities</v>
          </cell>
        </row>
      </sheetData>
      <sheetData sheetId="1180">
        <row r="34">
          <cell r="A34" t="str">
            <v>Investments Govt Securities</v>
          </cell>
        </row>
      </sheetData>
      <sheetData sheetId="1181">
        <row r="34">
          <cell r="A34" t="str">
            <v>Investments Govt Securities</v>
          </cell>
        </row>
      </sheetData>
      <sheetData sheetId="1182">
        <row r="34">
          <cell r="A34" t="str">
            <v>Investments Govt Securities</v>
          </cell>
        </row>
      </sheetData>
      <sheetData sheetId="1183">
        <row r="34">
          <cell r="A34" t="str">
            <v>Investments Govt Securities</v>
          </cell>
        </row>
      </sheetData>
      <sheetData sheetId="1184">
        <row r="34">
          <cell r="A34" t="str">
            <v>Investments Govt Securities</v>
          </cell>
        </row>
      </sheetData>
      <sheetData sheetId="1185">
        <row r="34">
          <cell r="A34" t="str">
            <v>Investments Govt Securities</v>
          </cell>
        </row>
      </sheetData>
      <sheetData sheetId="1186">
        <row r="34">
          <cell r="A34" t="str">
            <v>Investments Govt Securities</v>
          </cell>
        </row>
      </sheetData>
      <sheetData sheetId="1187">
        <row r="34">
          <cell r="A34" t="str">
            <v>Investments Govt Securities</v>
          </cell>
        </row>
      </sheetData>
      <sheetData sheetId="1188">
        <row r="34">
          <cell r="A34" t="str">
            <v>Investments Govt Securities</v>
          </cell>
        </row>
      </sheetData>
      <sheetData sheetId="1189">
        <row r="34">
          <cell r="A34" t="str">
            <v>Investments Govt Securities</v>
          </cell>
        </row>
      </sheetData>
      <sheetData sheetId="1190">
        <row r="34">
          <cell r="A34" t="str">
            <v>Investments Govt Securities</v>
          </cell>
        </row>
      </sheetData>
      <sheetData sheetId="1191">
        <row r="34">
          <cell r="A34" t="str">
            <v>Investments Govt Securities</v>
          </cell>
        </row>
      </sheetData>
      <sheetData sheetId="1192">
        <row r="34">
          <cell r="A34" t="str">
            <v>Investments Govt Securities</v>
          </cell>
        </row>
      </sheetData>
      <sheetData sheetId="1193">
        <row r="34">
          <cell r="A34" t="str">
            <v>Investments Govt Securities</v>
          </cell>
        </row>
      </sheetData>
      <sheetData sheetId="1194">
        <row r="34">
          <cell r="A34" t="str">
            <v>Investments Govt Securities</v>
          </cell>
        </row>
      </sheetData>
      <sheetData sheetId="1195">
        <row r="34">
          <cell r="A34" t="str">
            <v>Investments Govt Securities</v>
          </cell>
        </row>
      </sheetData>
      <sheetData sheetId="1196">
        <row r="34">
          <cell r="A34" t="str">
            <v>Investments Govt Securities</v>
          </cell>
        </row>
      </sheetData>
      <sheetData sheetId="1197">
        <row r="34">
          <cell r="A34" t="str">
            <v>Investments Govt Securities</v>
          </cell>
        </row>
      </sheetData>
      <sheetData sheetId="1198">
        <row r="34">
          <cell r="A34" t="str">
            <v>Investments Govt Securities</v>
          </cell>
        </row>
      </sheetData>
      <sheetData sheetId="1199">
        <row r="34">
          <cell r="A34" t="str">
            <v>Investments Govt Securities</v>
          </cell>
        </row>
      </sheetData>
      <sheetData sheetId="1200">
        <row r="34">
          <cell r="A34" t="str">
            <v>Investments Govt Securities</v>
          </cell>
        </row>
      </sheetData>
      <sheetData sheetId="1201">
        <row r="34">
          <cell r="A34" t="str">
            <v>Investments Govt Securities</v>
          </cell>
        </row>
      </sheetData>
      <sheetData sheetId="1202">
        <row r="34">
          <cell r="A34" t="str">
            <v>Investments Govt Securities</v>
          </cell>
        </row>
      </sheetData>
      <sheetData sheetId="1203">
        <row r="34">
          <cell r="A34" t="str">
            <v>Investments Govt Securities</v>
          </cell>
        </row>
      </sheetData>
      <sheetData sheetId="1204">
        <row r="34">
          <cell r="A34" t="str">
            <v>Investments Govt Securities</v>
          </cell>
        </row>
      </sheetData>
      <sheetData sheetId="1205">
        <row r="34">
          <cell r="A34" t="str">
            <v>Investments Govt Securities</v>
          </cell>
        </row>
      </sheetData>
      <sheetData sheetId="1206">
        <row r="34">
          <cell r="A34" t="str">
            <v>Investments Govt Securities</v>
          </cell>
        </row>
      </sheetData>
      <sheetData sheetId="1207">
        <row r="34">
          <cell r="A34" t="str">
            <v>Investments Govt Securities</v>
          </cell>
        </row>
      </sheetData>
      <sheetData sheetId="1208">
        <row r="34">
          <cell r="A34" t="str">
            <v>Investments Govt Securities</v>
          </cell>
        </row>
      </sheetData>
      <sheetData sheetId="1209">
        <row r="34">
          <cell r="A34" t="str">
            <v>Investments Govt Securities</v>
          </cell>
        </row>
      </sheetData>
      <sheetData sheetId="1210">
        <row r="34">
          <cell r="A34" t="str">
            <v>Investments Govt Securities</v>
          </cell>
        </row>
      </sheetData>
      <sheetData sheetId="1211">
        <row r="34">
          <cell r="A34" t="str">
            <v>Investments Govt Securities</v>
          </cell>
        </row>
      </sheetData>
      <sheetData sheetId="1212">
        <row r="34">
          <cell r="A34" t="str">
            <v>Investments Govt Securities</v>
          </cell>
        </row>
      </sheetData>
      <sheetData sheetId="1213">
        <row r="34">
          <cell r="A34" t="str">
            <v>Investments Govt Securities</v>
          </cell>
        </row>
      </sheetData>
      <sheetData sheetId="1214">
        <row r="34">
          <cell r="A34" t="str">
            <v>Investments Govt Securities</v>
          </cell>
        </row>
      </sheetData>
      <sheetData sheetId="1215">
        <row r="34">
          <cell r="A34" t="str">
            <v>Investments Govt Securities</v>
          </cell>
        </row>
      </sheetData>
      <sheetData sheetId="1216">
        <row r="34">
          <cell r="A34" t="str">
            <v>Investments Govt Securities</v>
          </cell>
        </row>
      </sheetData>
      <sheetData sheetId="1217">
        <row r="34">
          <cell r="A34" t="str">
            <v>Investments Govt Securities</v>
          </cell>
        </row>
      </sheetData>
      <sheetData sheetId="1218">
        <row r="34">
          <cell r="A34" t="str">
            <v>Investments Govt Securities</v>
          </cell>
        </row>
      </sheetData>
      <sheetData sheetId="1219">
        <row r="34">
          <cell r="A34" t="str">
            <v>Investments Govt Securities</v>
          </cell>
        </row>
      </sheetData>
      <sheetData sheetId="1220">
        <row r="34">
          <cell r="A34" t="str">
            <v>Investments Govt Securities</v>
          </cell>
        </row>
      </sheetData>
      <sheetData sheetId="1221">
        <row r="34">
          <cell r="A34" t="str">
            <v>Investments Govt Securities</v>
          </cell>
        </row>
      </sheetData>
      <sheetData sheetId="1222">
        <row r="34">
          <cell r="A34" t="str">
            <v>Investments Govt Securities</v>
          </cell>
        </row>
      </sheetData>
      <sheetData sheetId="1223">
        <row r="34">
          <cell r="A34" t="str">
            <v>Investments Govt Securities</v>
          </cell>
        </row>
      </sheetData>
      <sheetData sheetId="1224">
        <row r="34">
          <cell r="A34" t="str">
            <v>Investments Govt Securities</v>
          </cell>
        </row>
      </sheetData>
      <sheetData sheetId="1225">
        <row r="34">
          <cell r="A34" t="str">
            <v>Investments Govt Securities</v>
          </cell>
        </row>
      </sheetData>
      <sheetData sheetId="1226">
        <row r="34">
          <cell r="A34" t="str">
            <v>Investments Govt Securities</v>
          </cell>
        </row>
      </sheetData>
      <sheetData sheetId="1227">
        <row r="34">
          <cell r="A34" t="str">
            <v>Investments Govt Securities</v>
          </cell>
        </row>
      </sheetData>
      <sheetData sheetId="1228">
        <row r="34">
          <cell r="A34" t="str">
            <v>Investments Govt Securities</v>
          </cell>
        </row>
      </sheetData>
      <sheetData sheetId="1229">
        <row r="34">
          <cell r="A34" t="str">
            <v>Investments Govt Securities</v>
          </cell>
        </row>
      </sheetData>
      <sheetData sheetId="1230">
        <row r="34">
          <cell r="A34" t="str">
            <v>Investments Govt Securities</v>
          </cell>
        </row>
      </sheetData>
      <sheetData sheetId="1231">
        <row r="34">
          <cell r="A34" t="str">
            <v>Investments Govt Securities</v>
          </cell>
        </row>
      </sheetData>
      <sheetData sheetId="1232">
        <row r="34">
          <cell r="A34" t="str">
            <v>Investments Govt Securities</v>
          </cell>
        </row>
      </sheetData>
      <sheetData sheetId="1233">
        <row r="34">
          <cell r="A34" t="str">
            <v>Investments Govt Securities</v>
          </cell>
        </row>
      </sheetData>
      <sheetData sheetId="1234">
        <row r="34">
          <cell r="A34" t="str">
            <v>Investments Govt Securities</v>
          </cell>
        </row>
      </sheetData>
      <sheetData sheetId="1235">
        <row r="34">
          <cell r="A34" t="str">
            <v>Investments Govt Securities</v>
          </cell>
        </row>
      </sheetData>
      <sheetData sheetId="1236">
        <row r="34">
          <cell r="A34" t="str">
            <v>Investments Govt Securities</v>
          </cell>
        </row>
      </sheetData>
      <sheetData sheetId="1237">
        <row r="34">
          <cell r="A34" t="str">
            <v>Investments Govt Securities</v>
          </cell>
        </row>
      </sheetData>
      <sheetData sheetId="1238">
        <row r="34">
          <cell r="A34" t="str">
            <v>Investments Govt Securities</v>
          </cell>
        </row>
      </sheetData>
      <sheetData sheetId="1239">
        <row r="34">
          <cell r="A34" t="str">
            <v>Investments Govt Securities</v>
          </cell>
        </row>
      </sheetData>
      <sheetData sheetId="1240">
        <row r="34">
          <cell r="A34" t="str">
            <v>Investments Govt Securities</v>
          </cell>
        </row>
      </sheetData>
      <sheetData sheetId="1241">
        <row r="34">
          <cell r="A34" t="str">
            <v>Investments Govt Securities</v>
          </cell>
        </row>
      </sheetData>
      <sheetData sheetId="1242">
        <row r="34">
          <cell r="A34" t="str">
            <v>Investments Govt Securities</v>
          </cell>
        </row>
      </sheetData>
      <sheetData sheetId="1243">
        <row r="34">
          <cell r="A34" t="str">
            <v>Investments Govt Securities</v>
          </cell>
        </row>
      </sheetData>
      <sheetData sheetId="1244">
        <row r="34">
          <cell r="A34" t="str">
            <v>Investments Govt Securities</v>
          </cell>
        </row>
      </sheetData>
      <sheetData sheetId="1245">
        <row r="34">
          <cell r="A34" t="str">
            <v>Investments Govt Securities</v>
          </cell>
        </row>
      </sheetData>
      <sheetData sheetId="1246">
        <row r="34">
          <cell r="A34" t="str">
            <v>Investments Govt Securities</v>
          </cell>
        </row>
      </sheetData>
      <sheetData sheetId="1247">
        <row r="34">
          <cell r="A34" t="str">
            <v>Investments Govt Securities</v>
          </cell>
        </row>
      </sheetData>
      <sheetData sheetId="1248">
        <row r="34">
          <cell r="A34" t="str">
            <v>Investments Govt Securities</v>
          </cell>
        </row>
      </sheetData>
      <sheetData sheetId="1249">
        <row r="34">
          <cell r="A34" t="str">
            <v>Investments Govt Securities</v>
          </cell>
        </row>
      </sheetData>
      <sheetData sheetId="1250">
        <row r="34">
          <cell r="A34" t="str">
            <v>Investments Govt Securities</v>
          </cell>
        </row>
      </sheetData>
      <sheetData sheetId="1251">
        <row r="34">
          <cell r="A34" t="str">
            <v>Investments Govt Securities</v>
          </cell>
        </row>
      </sheetData>
      <sheetData sheetId="1252">
        <row r="34">
          <cell r="A34" t="str">
            <v>Investments Govt Securities</v>
          </cell>
        </row>
      </sheetData>
      <sheetData sheetId="1253">
        <row r="34">
          <cell r="A34" t="str">
            <v>Investments Govt Securities</v>
          </cell>
        </row>
      </sheetData>
      <sheetData sheetId="1254">
        <row r="34">
          <cell r="A34" t="str">
            <v>Investments Govt Securities</v>
          </cell>
        </row>
      </sheetData>
      <sheetData sheetId="1255">
        <row r="34">
          <cell r="A34" t="str">
            <v>Investments Govt Securities</v>
          </cell>
        </row>
      </sheetData>
      <sheetData sheetId="1256">
        <row r="34">
          <cell r="A34" t="str">
            <v>Investments Govt Securities</v>
          </cell>
        </row>
      </sheetData>
      <sheetData sheetId="1257">
        <row r="34">
          <cell r="A34" t="str">
            <v>Investments Govt Securities</v>
          </cell>
        </row>
      </sheetData>
      <sheetData sheetId="1258">
        <row r="34">
          <cell r="A34" t="str">
            <v>Investments Govt Securities</v>
          </cell>
        </row>
      </sheetData>
      <sheetData sheetId="1259">
        <row r="34">
          <cell r="A34" t="str">
            <v>Investments Govt Securities</v>
          </cell>
        </row>
      </sheetData>
      <sheetData sheetId="1260">
        <row r="34">
          <cell r="A34" t="str">
            <v>Investments Govt Securities</v>
          </cell>
        </row>
      </sheetData>
      <sheetData sheetId="1261">
        <row r="34">
          <cell r="A34" t="str">
            <v>Investments Govt Securities</v>
          </cell>
        </row>
      </sheetData>
      <sheetData sheetId="1262">
        <row r="34">
          <cell r="A34" t="str">
            <v>Investments Govt Securities</v>
          </cell>
        </row>
      </sheetData>
      <sheetData sheetId="1263">
        <row r="34">
          <cell r="A34" t="str">
            <v>Investments Govt Securities</v>
          </cell>
        </row>
      </sheetData>
      <sheetData sheetId="1264">
        <row r="34">
          <cell r="A34" t="str">
            <v>Investments Govt Securities</v>
          </cell>
        </row>
      </sheetData>
      <sheetData sheetId="1265">
        <row r="34">
          <cell r="A34" t="str">
            <v>Investments Govt Securities</v>
          </cell>
        </row>
      </sheetData>
      <sheetData sheetId="1266">
        <row r="34">
          <cell r="A34" t="str">
            <v>Investments Govt Securities</v>
          </cell>
        </row>
      </sheetData>
      <sheetData sheetId="1267">
        <row r="34">
          <cell r="A34" t="str">
            <v>Investments Govt Securities</v>
          </cell>
        </row>
      </sheetData>
      <sheetData sheetId="1268">
        <row r="34">
          <cell r="A34" t="str">
            <v>Investments Govt Securities</v>
          </cell>
        </row>
      </sheetData>
      <sheetData sheetId="1269">
        <row r="34">
          <cell r="A34" t="str">
            <v>Investments Govt Securities</v>
          </cell>
        </row>
      </sheetData>
      <sheetData sheetId="1270">
        <row r="34">
          <cell r="A34" t="str">
            <v>Investments Govt Securities</v>
          </cell>
        </row>
      </sheetData>
      <sheetData sheetId="1271">
        <row r="34">
          <cell r="A34" t="str">
            <v>Investments Govt Securities</v>
          </cell>
        </row>
      </sheetData>
      <sheetData sheetId="1272">
        <row r="34">
          <cell r="A34" t="str">
            <v>Investments Govt Securities</v>
          </cell>
        </row>
      </sheetData>
      <sheetData sheetId="1273">
        <row r="34">
          <cell r="A34" t="str">
            <v>Investments Govt Securities</v>
          </cell>
        </row>
      </sheetData>
      <sheetData sheetId="1274">
        <row r="34">
          <cell r="A34" t="str">
            <v>Investments Govt Securities</v>
          </cell>
        </row>
      </sheetData>
      <sheetData sheetId="1275">
        <row r="34">
          <cell r="A34" t="str">
            <v>Investments Govt Securities</v>
          </cell>
        </row>
      </sheetData>
      <sheetData sheetId="1276">
        <row r="34">
          <cell r="A34" t="str">
            <v>Investments Govt Securities</v>
          </cell>
        </row>
      </sheetData>
      <sheetData sheetId="1277">
        <row r="34">
          <cell r="A34" t="str">
            <v>Investments Govt Securities</v>
          </cell>
        </row>
      </sheetData>
      <sheetData sheetId="1278">
        <row r="34">
          <cell r="A34" t="str">
            <v>Investments Govt Securities</v>
          </cell>
        </row>
      </sheetData>
      <sheetData sheetId="1279">
        <row r="34">
          <cell r="A34" t="str">
            <v>Investments Govt Securities</v>
          </cell>
        </row>
      </sheetData>
      <sheetData sheetId="1280">
        <row r="34">
          <cell r="A34" t="str">
            <v>Investments Govt Securities</v>
          </cell>
        </row>
      </sheetData>
      <sheetData sheetId="1281">
        <row r="34">
          <cell r="A34" t="str">
            <v>Investments Govt Securities</v>
          </cell>
        </row>
      </sheetData>
      <sheetData sheetId="1282">
        <row r="34">
          <cell r="A34" t="str">
            <v>Investments Govt Securities</v>
          </cell>
        </row>
      </sheetData>
      <sheetData sheetId="1283">
        <row r="34">
          <cell r="A34" t="str">
            <v>Investments Govt Securities</v>
          </cell>
        </row>
      </sheetData>
      <sheetData sheetId="1284">
        <row r="34">
          <cell r="A34" t="str">
            <v>Investments Govt Securities</v>
          </cell>
        </row>
      </sheetData>
      <sheetData sheetId="1285">
        <row r="34">
          <cell r="A34" t="str">
            <v>Investments Govt Securities</v>
          </cell>
        </row>
      </sheetData>
      <sheetData sheetId="1286">
        <row r="34">
          <cell r="A34" t="str">
            <v>Investments Govt Securities</v>
          </cell>
        </row>
      </sheetData>
      <sheetData sheetId="1287">
        <row r="34">
          <cell r="A34" t="str">
            <v>Investments Govt Securities</v>
          </cell>
        </row>
      </sheetData>
      <sheetData sheetId="1288">
        <row r="34">
          <cell r="A34" t="str">
            <v>Investments Govt Securities</v>
          </cell>
        </row>
      </sheetData>
      <sheetData sheetId="1289">
        <row r="34">
          <cell r="A34" t="str">
            <v>Investments Govt Securities</v>
          </cell>
        </row>
      </sheetData>
      <sheetData sheetId="1290">
        <row r="34">
          <cell r="A34" t="str">
            <v>Investments Govt Securities</v>
          </cell>
        </row>
      </sheetData>
      <sheetData sheetId="1291">
        <row r="34">
          <cell r="A34" t="str">
            <v>Investments Govt Securities</v>
          </cell>
        </row>
      </sheetData>
      <sheetData sheetId="1292">
        <row r="34">
          <cell r="A34" t="str">
            <v>Investments Govt Securities</v>
          </cell>
        </row>
      </sheetData>
      <sheetData sheetId="1293">
        <row r="34">
          <cell r="A34" t="str">
            <v>Investments Govt Securities</v>
          </cell>
        </row>
      </sheetData>
      <sheetData sheetId="1294">
        <row r="34">
          <cell r="A34" t="str">
            <v>Investments Govt Securities</v>
          </cell>
        </row>
      </sheetData>
      <sheetData sheetId="1295">
        <row r="34">
          <cell r="A34" t="str">
            <v>Investments Govt Securities</v>
          </cell>
        </row>
      </sheetData>
      <sheetData sheetId="1296">
        <row r="34">
          <cell r="A34" t="str">
            <v>Investments Govt Securities</v>
          </cell>
        </row>
      </sheetData>
      <sheetData sheetId="1297">
        <row r="34">
          <cell r="A34" t="str">
            <v>Investments Govt Securities</v>
          </cell>
        </row>
      </sheetData>
      <sheetData sheetId="1298">
        <row r="34">
          <cell r="A34" t="str">
            <v>Investments Govt Securities</v>
          </cell>
        </row>
      </sheetData>
      <sheetData sheetId="1299">
        <row r="34">
          <cell r="A34" t="str">
            <v>Investments Govt Securities</v>
          </cell>
        </row>
      </sheetData>
      <sheetData sheetId="1300">
        <row r="34">
          <cell r="A34" t="str">
            <v>Investments Govt Securities</v>
          </cell>
        </row>
      </sheetData>
      <sheetData sheetId="1301">
        <row r="34">
          <cell r="A34" t="str">
            <v>Investments Govt Securities</v>
          </cell>
        </row>
      </sheetData>
      <sheetData sheetId="1302">
        <row r="34">
          <cell r="A34" t="str">
            <v>Investments Govt Securities</v>
          </cell>
        </row>
      </sheetData>
      <sheetData sheetId="1303">
        <row r="34">
          <cell r="A34" t="str">
            <v>Investments Govt Securities</v>
          </cell>
        </row>
      </sheetData>
      <sheetData sheetId="1304">
        <row r="34">
          <cell r="A34" t="str">
            <v>Investments Govt Securities</v>
          </cell>
        </row>
      </sheetData>
      <sheetData sheetId="1305">
        <row r="34">
          <cell r="A34" t="str">
            <v>Investments Govt Securities</v>
          </cell>
        </row>
      </sheetData>
      <sheetData sheetId="1306">
        <row r="34">
          <cell r="A34" t="str">
            <v>Investments Govt Securities</v>
          </cell>
        </row>
      </sheetData>
      <sheetData sheetId="1307">
        <row r="34">
          <cell r="A34" t="str">
            <v>Investments Govt Securities</v>
          </cell>
        </row>
      </sheetData>
      <sheetData sheetId="1308">
        <row r="34">
          <cell r="A34" t="str">
            <v>Investments Govt Securities</v>
          </cell>
        </row>
      </sheetData>
      <sheetData sheetId="1309">
        <row r="34">
          <cell r="A34" t="str">
            <v>Investments Govt Securities</v>
          </cell>
        </row>
      </sheetData>
      <sheetData sheetId="1310">
        <row r="34">
          <cell r="A34" t="str">
            <v>Investments Govt Securities</v>
          </cell>
        </row>
      </sheetData>
      <sheetData sheetId="1311">
        <row r="34">
          <cell r="A34" t="str">
            <v>Investments Govt Securities</v>
          </cell>
        </row>
      </sheetData>
      <sheetData sheetId="1312">
        <row r="34">
          <cell r="A34" t="str">
            <v>Investments Govt Securities</v>
          </cell>
        </row>
      </sheetData>
      <sheetData sheetId="1313">
        <row r="34">
          <cell r="A34" t="str">
            <v>Investments Govt Securities</v>
          </cell>
        </row>
      </sheetData>
      <sheetData sheetId="1314">
        <row r="34">
          <cell r="A34" t="str">
            <v>Investments Govt Securities</v>
          </cell>
        </row>
      </sheetData>
      <sheetData sheetId="1315">
        <row r="34">
          <cell r="A34" t="str">
            <v>Investments Govt Securities</v>
          </cell>
        </row>
      </sheetData>
      <sheetData sheetId="1316">
        <row r="34">
          <cell r="A34" t="str">
            <v>Investments Govt Securities</v>
          </cell>
        </row>
      </sheetData>
      <sheetData sheetId="1317">
        <row r="34">
          <cell r="A34" t="str">
            <v>Investments Govt Securities</v>
          </cell>
        </row>
      </sheetData>
      <sheetData sheetId="1318">
        <row r="34">
          <cell r="A34" t="str">
            <v>Investments Govt Securities</v>
          </cell>
        </row>
      </sheetData>
      <sheetData sheetId="1319">
        <row r="34">
          <cell r="A34" t="str">
            <v>Investments Govt Securities</v>
          </cell>
        </row>
      </sheetData>
      <sheetData sheetId="1320">
        <row r="34">
          <cell r="A34" t="str">
            <v>Investments Govt Securities</v>
          </cell>
        </row>
      </sheetData>
      <sheetData sheetId="1321">
        <row r="34">
          <cell r="A34" t="str">
            <v>Investments Govt Securities</v>
          </cell>
        </row>
      </sheetData>
      <sheetData sheetId="1322">
        <row r="34">
          <cell r="A34" t="str">
            <v>Investments Govt Securities</v>
          </cell>
        </row>
      </sheetData>
      <sheetData sheetId="1323">
        <row r="34">
          <cell r="A34" t="str">
            <v>Investments Govt Securities</v>
          </cell>
        </row>
      </sheetData>
      <sheetData sheetId="1324">
        <row r="34">
          <cell r="A34" t="str">
            <v>Investments Govt Securities</v>
          </cell>
        </row>
      </sheetData>
      <sheetData sheetId="1325">
        <row r="34">
          <cell r="A34" t="str">
            <v>Investments Govt Securities</v>
          </cell>
        </row>
      </sheetData>
      <sheetData sheetId="1326">
        <row r="34">
          <cell r="A34" t="str">
            <v>Investments Govt Securities</v>
          </cell>
        </row>
      </sheetData>
      <sheetData sheetId="1327">
        <row r="34">
          <cell r="A34" t="str">
            <v>Investments Govt Securities</v>
          </cell>
        </row>
      </sheetData>
      <sheetData sheetId="1328">
        <row r="34">
          <cell r="A34" t="str">
            <v>Investments Govt Securities</v>
          </cell>
        </row>
      </sheetData>
      <sheetData sheetId="1329">
        <row r="34">
          <cell r="A34" t="str">
            <v>Investments Govt Securities</v>
          </cell>
        </row>
      </sheetData>
      <sheetData sheetId="1330">
        <row r="34">
          <cell r="A34" t="str">
            <v>Investments Govt Securities</v>
          </cell>
        </row>
      </sheetData>
      <sheetData sheetId="1331">
        <row r="34">
          <cell r="A34" t="str">
            <v>Investments Govt Securities</v>
          </cell>
        </row>
      </sheetData>
      <sheetData sheetId="1332">
        <row r="34">
          <cell r="A34" t="str">
            <v>Investments Govt Securities</v>
          </cell>
        </row>
      </sheetData>
      <sheetData sheetId="1333">
        <row r="34">
          <cell r="A34" t="str">
            <v>Investments Govt Securities</v>
          </cell>
        </row>
      </sheetData>
      <sheetData sheetId="1334">
        <row r="34">
          <cell r="A34" t="str">
            <v>Investments Govt Securities</v>
          </cell>
        </row>
      </sheetData>
      <sheetData sheetId="1335">
        <row r="34">
          <cell r="A34" t="str">
            <v>Investments Govt Securities</v>
          </cell>
        </row>
      </sheetData>
      <sheetData sheetId="1336">
        <row r="34">
          <cell r="A34" t="str">
            <v>Investments Govt Securities</v>
          </cell>
        </row>
      </sheetData>
      <sheetData sheetId="1337">
        <row r="34">
          <cell r="A34" t="str">
            <v>Investments Govt Securities</v>
          </cell>
        </row>
      </sheetData>
      <sheetData sheetId="1338">
        <row r="34">
          <cell r="A34" t="str">
            <v>Investments Govt Securities</v>
          </cell>
        </row>
      </sheetData>
      <sheetData sheetId="1339">
        <row r="34">
          <cell r="A34" t="str">
            <v>Investments Govt Securities</v>
          </cell>
        </row>
      </sheetData>
      <sheetData sheetId="1340">
        <row r="34">
          <cell r="A34" t="str">
            <v>Investments Govt Securities</v>
          </cell>
        </row>
      </sheetData>
      <sheetData sheetId="1341">
        <row r="34">
          <cell r="A34" t="str">
            <v>Investments Govt Securities</v>
          </cell>
        </row>
      </sheetData>
      <sheetData sheetId="1342">
        <row r="34">
          <cell r="A34" t="str">
            <v>Investments Govt Securities</v>
          </cell>
        </row>
      </sheetData>
      <sheetData sheetId="1343">
        <row r="34">
          <cell r="A34" t="str">
            <v>Investments Govt Securities</v>
          </cell>
        </row>
      </sheetData>
      <sheetData sheetId="1344">
        <row r="34">
          <cell r="A34" t="str">
            <v>Investments Govt Securities</v>
          </cell>
        </row>
      </sheetData>
      <sheetData sheetId="1345">
        <row r="34">
          <cell r="A34" t="str">
            <v>Investments Govt Securities</v>
          </cell>
        </row>
      </sheetData>
      <sheetData sheetId="1346">
        <row r="34">
          <cell r="A34" t="str">
            <v>Investments Govt Securities</v>
          </cell>
        </row>
      </sheetData>
      <sheetData sheetId="1347">
        <row r="34">
          <cell r="A34" t="str">
            <v>Investments Govt Securities</v>
          </cell>
        </row>
      </sheetData>
      <sheetData sheetId="1348">
        <row r="34">
          <cell r="A34" t="str">
            <v>Investments Govt Securities</v>
          </cell>
        </row>
      </sheetData>
      <sheetData sheetId="1349">
        <row r="34">
          <cell r="A34" t="str">
            <v>Investments Govt Securities</v>
          </cell>
        </row>
      </sheetData>
      <sheetData sheetId="1350">
        <row r="34">
          <cell r="A34" t="str">
            <v>Investments Govt Securities</v>
          </cell>
        </row>
      </sheetData>
      <sheetData sheetId="1351">
        <row r="34">
          <cell r="A34" t="str">
            <v>Investments Govt Securities</v>
          </cell>
        </row>
      </sheetData>
      <sheetData sheetId="1352">
        <row r="34">
          <cell r="A34" t="str">
            <v>Investments Govt Securities</v>
          </cell>
        </row>
      </sheetData>
      <sheetData sheetId="1353">
        <row r="34">
          <cell r="A34" t="str">
            <v>Investments Govt Securities</v>
          </cell>
        </row>
      </sheetData>
      <sheetData sheetId="1354">
        <row r="34">
          <cell r="A34" t="str">
            <v>Investments Govt Securities</v>
          </cell>
        </row>
      </sheetData>
      <sheetData sheetId="1355">
        <row r="34">
          <cell r="A34" t="str">
            <v>Investments Govt Securities</v>
          </cell>
        </row>
      </sheetData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>
        <row r="34">
          <cell r="A34" t="str">
            <v>Investments Govt Securities</v>
          </cell>
        </row>
      </sheetData>
      <sheetData sheetId="1386">
        <row r="34">
          <cell r="A34" t="str">
            <v>Investments Govt Securities</v>
          </cell>
        </row>
      </sheetData>
      <sheetData sheetId="1387">
        <row r="34">
          <cell r="A34" t="str">
            <v>Investments Govt Securities</v>
          </cell>
        </row>
      </sheetData>
      <sheetData sheetId="1388">
        <row r="34">
          <cell r="A34" t="str">
            <v>Investments Govt Securities</v>
          </cell>
        </row>
      </sheetData>
      <sheetData sheetId="1389">
        <row r="34">
          <cell r="A34" t="str">
            <v>Investments Govt Securities</v>
          </cell>
        </row>
      </sheetData>
      <sheetData sheetId="1390">
        <row r="34">
          <cell r="A34" t="str">
            <v>Investments Govt Securities</v>
          </cell>
        </row>
      </sheetData>
      <sheetData sheetId="1391">
        <row r="34">
          <cell r="A34" t="str">
            <v>Investments Govt Securities</v>
          </cell>
        </row>
      </sheetData>
      <sheetData sheetId="1392">
        <row r="34">
          <cell r="A34" t="str">
            <v>Investments Govt Securities</v>
          </cell>
        </row>
      </sheetData>
      <sheetData sheetId="1393">
        <row r="34">
          <cell r="A34" t="str">
            <v>Investments Govt Securities</v>
          </cell>
        </row>
      </sheetData>
      <sheetData sheetId="1394">
        <row r="34">
          <cell r="A34" t="str">
            <v>Investments Govt Securities</v>
          </cell>
        </row>
      </sheetData>
      <sheetData sheetId="1395">
        <row r="34">
          <cell r="A34" t="str">
            <v>Investments Govt Securities</v>
          </cell>
        </row>
      </sheetData>
      <sheetData sheetId="1396">
        <row r="34">
          <cell r="A34" t="str">
            <v>Investments Govt Securities</v>
          </cell>
        </row>
      </sheetData>
      <sheetData sheetId="1397">
        <row r="34">
          <cell r="A34" t="str">
            <v>Investments Govt Securities</v>
          </cell>
        </row>
      </sheetData>
      <sheetData sheetId="1398">
        <row r="34">
          <cell r="A34" t="str">
            <v>Investments Govt Securities</v>
          </cell>
        </row>
      </sheetData>
      <sheetData sheetId="1399">
        <row r="34">
          <cell r="A34" t="str">
            <v>Investments Govt Securities</v>
          </cell>
        </row>
      </sheetData>
      <sheetData sheetId="1400">
        <row r="34">
          <cell r="A34" t="str">
            <v>Investments Govt Securities</v>
          </cell>
        </row>
      </sheetData>
      <sheetData sheetId="1401">
        <row r="34">
          <cell r="A34" t="str">
            <v>Investments Govt Securities</v>
          </cell>
        </row>
      </sheetData>
      <sheetData sheetId="1402">
        <row r="34">
          <cell r="A34" t="str">
            <v>Investments Govt Securities</v>
          </cell>
        </row>
      </sheetData>
      <sheetData sheetId="1403">
        <row r="34">
          <cell r="A34" t="str">
            <v>Investments Govt Securities</v>
          </cell>
        </row>
      </sheetData>
      <sheetData sheetId="1404">
        <row r="34">
          <cell r="A34" t="str">
            <v>Investments Govt Securities</v>
          </cell>
        </row>
      </sheetData>
      <sheetData sheetId="1405">
        <row r="34">
          <cell r="A34" t="str">
            <v>Investments Govt Securities</v>
          </cell>
        </row>
      </sheetData>
      <sheetData sheetId="1406">
        <row r="34">
          <cell r="A34" t="str">
            <v>Investments Govt Securities</v>
          </cell>
        </row>
      </sheetData>
      <sheetData sheetId="1407">
        <row r="34">
          <cell r="A34" t="str">
            <v>Investments Govt Securities</v>
          </cell>
        </row>
      </sheetData>
      <sheetData sheetId="1408">
        <row r="34">
          <cell r="A34" t="str">
            <v>Investments Govt Securities</v>
          </cell>
        </row>
      </sheetData>
      <sheetData sheetId="1409">
        <row r="34">
          <cell r="A34" t="str">
            <v>Investments Govt Securities</v>
          </cell>
        </row>
      </sheetData>
      <sheetData sheetId="1410">
        <row r="34">
          <cell r="A34" t="str">
            <v>Investments Govt Securities</v>
          </cell>
        </row>
      </sheetData>
      <sheetData sheetId="1411">
        <row r="34">
          <cell r="A34" t="str">
            <v>Investments Govt Securities</v>
          </cell>
        </row>
      </sheetData>
      <sheetData sheetId="1412">
        <row r="34">
          <cell r="A34" t="str">
            <v>Investments Govt Securities</v>
          </cell>
        </row>
      </sheetData>
      <sheetData sheetId="1413">
        <row r="34">
          <cell r="A34" t="str">
            <v>Investments Govt Securities</v>
          </cell>
        </row>
      </sheetData>
      <sheetData sheetId="1414">
        <row r="34">
          <cell r="A34" t="str">
            <v>Investments Govt Securities</v>
          </cell>
        </row>
      </sheetData>
      <sheetData sheetId="1415">
        <row r="34">
          <cell r="A34" t="str">
            <v>Investments Govt Securities</v>
          </cell>
        </row>
      </sheetData>
      <sheetData sheetId="1416">
        <row r="34">
          <cell r="A34" t="str">
            <v>Investments Govt Securities</v>
          </cell>
        </row>
      </sheetData>
      <sheetData sheetId="1417">
        <row r="34">
          <cell r="A34" t="str">
            <v>Investments Govt Securities</v>
          </cell>
        </row>
      </sheetData>
      <sheetData sheetId="1418">
        <row r="34">
          <cell r="A34" t="str">
            <v>Investments Govt Securities</v>
          </cell>
        </row>
      </sheetData>
      <sheetData sheetId="1419">
        <row r="34">
          <cell r="A34" t="str">
            <v>Investments Govt Securities</v>
          </cell>
        </row>
      </sheetData>
      <sheetData sheetId="1420">
        <row r="34">
          <cell r="A34" t="str">
            <v>Investments Govt Securities</v>
          </cell>
        </row>
      </sheetData>
      <sheetData sheetId="1421">
        <row r="34">
          <cell r="A34" t="str">
            <v>Investments Govt Securities</v>
          </cell>
        </row>
      </sheetData>
      <sheetData sheetId="1422">
        <row r="34">
          <cell r="A34" t="str">
            <v>Investments Govt Securities</v>
          </cell>
        </row>
      </sheetData>
      <sheetData sheetId="1423">
        <row r="34">
          <cell r="A34" t="str">
            <v>Investments Govt Securities</v>
          </cell>
        </row>
      </sheetData>
      <sheetData sheetId="1424">
        <row r="34">
          <cell r="A34" t="str">
            <v>Investments Govt Securities</v>
          </cell>
        </row>
      </sheetData>
      <sheetData sheetId="1425">
        <row r="34">
          <cell r="A34" t="str">
            <v>Investments Govt Securities</v>
          </cell>
        </row>
      </sheetData>
      <sheetData sheetId="1426">
        <row r="34">
          <cell r="A34" t="str">
            <v>Investments Govt Securities</v>
          </cell>
        </row>
      </sheetData>
      <sheetData sheetId="1427">
        <row r="34">
          <cell r="A34" t="str">
            <v>Investments Govt Securities</v>
          </cell>
        </row>
      </sheetData>
      <sheetData sheetId="1428">
        <row r="34">
          <cell r="A34" t="str">
            <v>Investments Govt Securities</v>
          </cell>
        </row>
      </sheetData>
      <sheetData sheetId="1429">
        <row r="34">
          <cell r="A34" t="str">
            <v>Investments Govt Securities</v>
          </cell>
        </row>
      </sheetData>
      <sheetData sheetId="1430">
        <row r="34">
          <cell r="A34" t="str">
            <v>Investments Govt Securities</v>
          </cell>
        </row>
      </sheetData>
      <sheetData sheetId="1431">
        <row r="34">
          <cell r="A34" t="str">
            <v>Investments Govt Securities</v>
          </cell>
        </row>
      </sheetData>
      <sheetData sheetId="1432">
        <row r="34">
          <cell r="A34" t="str">
            <v>Investments Govt Securities</v>
          </cell>
        </row>
      </sheetData>
      <sheetData sheetId="1433">
        <row r="34">
          <cell r="A34" t="str">
            <v>Investments Govt Securities</v>
          </cell>
        </row>
      </sheetData>
      <sheetData sheetId="1434">
        <row r="34">
          <cell r="A34" t="str">
            <v>Investments Govt Securities</v>
          </cell>
        </row>
      </sheetData>
      <sheetData sheetId="1435">
        <row r="34">
          <cell r="A34" t="str">
            <v>Investments Govt Securities</v>
          </cell>
        </row>
      </sheetData>
      <sheetData sheetId="1436">
        <row r="34">
          <cell r="A34" t="str">
            <v>Investments Govt Securities</v>
          </cell>
        </row>
      </sheetData>
      <sheetData sheetId="1437">
        <row r="34">
          <cell r="A34" t="str">
            <v>Investments Govt Securities</v>
          </cell>
        </row>
      </sheetData>
      <sheetData sheetId="1438">
        <row r="34">
          <cell r="A34" t="str">
            <v>Investments Govt Securities</v>
          </cell>
        </row>
      </sheetData>
      <sheetData sheetId="1439">
        <row r="34">
          <cell r="A34" t="str">
            <v>Investments Govt Securities</v>
          </cell>
        </row>
      </sheetData>
      <sheetData sheetId="1440">
        <row r="34">
          <cell r="A34" t="str">
            <v>Investments Govt Securities</v>
          </cell>
        </row>
      </sheetData>
      <sheetData sheetId="1441">
        <row r="34">
          <cell r="A34" t="str">
            <v>Investments Govt Securities</v>
          </cell>
        </row>
      </sheetData>
      <sheetData sheetId="1442">
        <row r="34">
          <cell r="A34" t="str">
            <v>Investments Govt Securities</v>
          </cell>
        </row>
      </sheetData>
      <sheetData sheetId="1443">
        <row r="34">
          <cell r="A34" t="str">
            <v>Investments Govt Securities</v>
          </cell>
        </row>
      </sheetData>
      <sheetData sheetId="1444">
        <row r="34">
          <cell r="A34" t="str">
            <v>Investments Govt Securities</v>
          </cell>
        </row>
      </sheetData>
      <sheetData sheetId="1445">
        <row r="34">
          <cell r="A34" t="str">
            <v>Investments Govt Securities</v>
          </cell>
        </row>
      </sheetData>
      <sheetData sheetId="1446">
        <row r="34">
          <cell r="A34" t="str">
            <v>Investments Govt Securities</v>
          </cell>
        </row>
      </sheetData>
      <sheetData sheetId="1447">
        <row r="34">
          <cell r="A34" t="str">
            <v>Investments Govt Securities</v>
          </cell>
        </row>
      </sheetData>
      <sheetData sheetId="1448">
        <row r="34">
          <cell r="A34" t="str">
            <v>Investments Govt Securities</v>
          </cell>
        </row>
      </sheetData>
      <sheetData sheetId="1449">
        <row r="34">
          <cell r="A34" t="str">
            <v>Investments Govt Securities</v>
          </cell>
        </row>
      </sheetData>
      <sheetData sheetId="1450">
        <row r="34">
          <cell r="A34" t="str">
            <v>Investments Govt Securities</v>
          </cell>
        </row>
      </sheetData>
      <sheetData sheetId="1451">
        <row r="34">
          <cell r="A34" t="str">
            <v>Investments Govt Securities</v>
          </cell>
        </row>
      </sheetData>
      <sheetData sheetId="1452">
        <row r="34">
          <cell r="A34" t="str">
            <v>Investments Govt Securities</v>
          </cell>
        </row>
      </sheetData>
      <sheetData sheetId="1453">
        <row r="34">
          <cell r="A34" t="str">
            <v>Investments Govt Securities</v>
          </cell>
        </row>
      </sheetData>
      <sheetData sheetId="1454">
        <row r="34">
          <cell r="A34" t="str">
            <v>Investments Govt Securities</v>
          </cell>
        </row>
      </sheetData>
      <sheetData sheetId="1455">
        <row r="34">
          <cell r="A34" t="str">
            <v>Investments Govt Securities</v>
          </cell>
        </row>
      </sheetData>
      <sheetData sheetId="1456">
        <row r="34">
          <cell r="A34" t="str">
            <v>Investments Govt Securities</v>
          </cell>
        </row>
      </sheetData>
      <sheetData sheetId="1457">
        <row r="34">
          <cell r="A34" t="str">
            <v>Investments Govt Securities</v>
          </cell>
        </row>
      </sheetData>
      <sheetData sheetId="1458">
        <row r="34">
          <cell r="A34" t="str">
            <v>Investments Govt Securities</v>
          </cell>
        </row>
      </sheetData>
      <sheetData sheetId="1459">
        <row r="34">
          <cell r="A34" t="str">
            <v>Investments Govt Securities</v>
          </cell>
        </row>
      </sheetData>
      <sheetData sheetId="1460">
        <row r="34">
          <cell r="A34" t="str">
            <v>Investments Govt Securities</v>
          </cell>
        </row>
      </sheetData>
      <sheetData sheetId="1461">
        <row r="34">
          <cell r="A34" t="str">
            <v>Investments Govt Securities</v>
          </cell>
        </row>
      </sheetData>
      <sheetData sheetId="1462">
        <row r="34">
          <cell r="A34" t="str">
            <v>Investments Govt Securities</v>
          </cell>
        </row>
      </sheetData>
      <sheetData sheetId="1463">
        <row r="34">
          <cell r="A34" t="str">
            <v>Investments Govt Securities</v>
          </cell>
        </row>
      </sheetData>
      <sheetData sheetId="1464">
        <row r="34">
          <cell r="A34" t="str">
            <v>Investments Govt Securities</v>
          </cell>
        </row>
      </sheetData>
      <sheetData sheetId="1465">
        <row r="34">
          <cell r="A34" t="str">
            <v>Investments Govt Securities</v>
          </cell>
        </row>
      </sheetData>
      <sheetData sheetId="1466">
        <row r="34">
          <cell r="A34" t="str">
            <v>Investments Govt Securities</v>
          </cell>
        </row>
      </sheetData>
      <sheetData sheetId="1467">
        <row r="34">
          <cell r="A34" t="str">
            <v>Investments Govt Securities</v>
          </cell>
        </row>
      </sheetData>
      <sheetData sheetId="1468">
        <row r="34">
          <cell r="A34" t="str">
            <v>Investments Govt Securities</v>
          </cell>
        </row>
      </sheetData>
      <sheetData sheetId="1469">
        <row r="34">
          <cell r="A34" t="str">
            <v>Investments Govt Securities</v>
          </cell>
        </row>
      </sheetData>
      <sheetData sheetId="1470">
        <row r="34">
          <cell r="A34" t="str">
            <v>Investments Govt Securities</v>
          </cell>
        </row>
      </sheetData>
      <sheetData sheetId="1471">
        <row r="34">
          <cell r="A34" t="str">
            <v>Investments Govt Securities</v>
          </cell>
        </row>
      </sheetData>
      <sheetData sheetId="1472">
        <row r="34">
          <cell r="A34" t="str">
            <v>Investments Govt Securities</v>
          </cell>
        </row>
      </sheetData>
      <sheetData sheetId="1473">
        <row r="34">
          <cell r="A34" t="str">
            <v>Investments Govt Securities</v>
          </cell>
        </row>
      </sheetData>
      <sheetData sheetId="1474">
        <row r="34">
          <cell r="A34" t="str">
            <v>Investments Govt Securities</v>
          </cell>
        </row>
      </sheetData>
      <sheetData sheetId="1475">
        <row r="34">
          <cell r="A34" t="str">
            <v>Investments Govt Securities</v>
          </cell>
        </row>
      </sheetData>
      <sheetData sheetId="1476">
        <row r="34">
          <cell r="A34" t="str">
            <v>Investments Govt Securities</v>
          </cell>
        </row>
      </sheetData>
      <sheetData sheetId="1477">
        <row r="34">
          <cell r="A34" t="str">
            <v>Investments Govt Securities</v>
          </cell>
        </row>
      </sheetData>
      <sheetData sheetId="1478">
        <row r="34">
          <cell r="A34" t="str">
            <v>Investments Govt Securities</v>
          </cell>
        </row>
      </sheetData>
      <sheetData sheetId="1479">
        <row r="34">
          <cell r="A34" t="str">
            <v>Investments Govt Securities</v>
          </cell>
        </row>
      </sheetData>
      <sheetData sheetId="1480">
        <row r="34">
          <cell r="A34" t="str">
            <v>Investments Govt Securities</v>
          </cell>
        </row>
      </sheetData>
      <sheetData sheetId="1481">
        <row r="34">
          <cell r="A34" t="str">
            <v>Investments Govt Securities</v>
          </cell>
        </row>
      </sheetData>
      <sheetData sheetId="1482">
        <row r="34">
          <cell r="A34" t="str">
            <v>Investments Govt Securities</v>
          </cell>
        </row>
      </sheetData>
      <sheetData sheetId="1483">
        <row r="34">
          <cell r="A34" t="str">
            <v>Investments Govt Securities</v>
          </cell>
        </row>
      </sheetData>
      <sheetData sheetId="1484">
        <row r="34">
          <cell r="A34" t="str">
            <v>Investments Govt Securities</v>
          </cell>
        </row>
      </sheetData>
      <sheetData sheetId="1485">
        <row r="34">
          <cell r="A34" t="str">
            <v>Investments Govt Securities</v>
          </cell>
        </row>
      </sheetData>
      <sheetData sheetId="1486">
        <row r="34">
          <cell r="A34" t="str">
            <v>Investments Govt Securities</v>
          </cell>
        </row>
      </sheetData>
      <sheetData sheetId="1487">
        <row r="34">
          <cell r="A34" t="str">
            <v>Investments Govt Securities</v>
          </cell>
        </row>
      </sheetData>
      <sheetData sheetId="1488">
        <row r="34">
          <cell r="A34" t="str">
            <v>Investments Govt Securities</v>
          </cell>
        </row>
      </sheetData>
      <sheetData sheetId="1489">
        <row r="34">
          <cell r="A34" t="str">
            <v>Investments Govt Securities</v>
          </cell>
        </row>
      </sheetData>
      <sheetData sheetId="1490">
        <row r="34">
          <cell r="A34" t="str">
            <v>Investments Govt Securities</v>
          </cell>
        </row>
      </sheetData>
      <sheetData sheetId="1491">
        <row r="34">
          <cell r="A34" t="str">
            <v>Investments Govt Securities</v>
          </cell>
        </row>
      </sheetData>
      <sheetData sheetId="1492">
        <row r="34">
          <cell r="A34" t="str">
            <v>Investments Govt Securities</v>
          </cell>
        </row>
      </sheetData>
      <sheetData sheetId="1493">
        <row r="34">
          <cell r="A34" t="str">
            <v>Investments Govt Securities</v>
          </cell>
        </row>
      </sheetData>
      <sheetData sheetId="1494">
        <row r="34">
          <cell r="A34" t="str">
            <v>Investments Govt Securities</v>
          </cell>
        </row>
      </sheetData>
      <sheetData sheetId="1495">
        <row r="34">
          <cell r="A34" t="str">
            <v>Investments Govt Securities</v>
          </cell>
        </row>
      </sheetData>
      <sheetData sheetId="1496">
        <row r="34">
          <cell r="A34" t="str">
            <v>Investments Govt Securities</v>
          </cell>
        </row>
      </sheetData>
      <sheetData sheetId="1497">
        <row r="34">
          <cell r="A34" t="str">
            <v>Investments Govt Securities</v>
          </cell>
        </row>
      </sheetData>
      <sheetData sheetId="1498">
        <row r="34">
          <cell r="A34" t="str">
            <v>Investments Govt Securities</v>
          </cell>
        </row>
      </sheetData>
      <sheetData sheetId="1499">
        <row r="34">
          <cell r="A34" t="str">
            <v>Investments Govt Securities</v>
          </cell>
        </row>
      </sheetData>
      <sheetData sheetId="1500">
        <row r="34">
          <cell r="A34" t="str">
            <v>Investments Govt Securities</v>
          </cell>
        </row>
      </sheetData>
      <sheetData sheetId="1501">
        <row r="34">
          <cell r="A34" t="str">
            <v>Investments Govt Securities</v>
          </cell>
        </row>
      </sheetData>
      <sheetData sheetId="1502">
        <row r="34">
          <cell r="A34" t="str">
            <v>Investments Govt Securities</v>
          </cell>
        </row>
      </sheetData>
      <sheetData sheetId="1503">
        <row r="34">
          <cell r="A34" t="str">
            <v>Investments Govt Securities</v>
          </cell>
        </row>
      </sheetData>
      <sheetData sheetId="1504">
        <row r="34">
          <cell r="A34" t="str">
            <v>Investments Govt Securities</v>
          </cell>
        </row>
      </sheetData>
      <sheetData sheetId="1505">
        <row r="34">
          <cell r="A34" t="str">
            <v>Investments Govt Securities</v>
          </cell>
        </row>
      </sheetData>
      <sheetData sheetId="1506">
        <row r="34">
          <cell r="A34" t="str">
            <v>Investments Govt Securities</v>
          </cell>
        </row>
      </sheetData>
      <sheetData sheetId="1507">
        <row r="34">
          <cell r="A34" t="str">
            <v>Investments Govt Securities</v>
          </cell>
        </row>
      </sheetData>
      <sheetData sheetId="1508">
        <row r="34">
          <cell r="A34" t="str">
            <v>Investments Govt Securities</v>
          </cell>
        </row>
      </sheetData>
      <sheetData sheetId="1509">
        <row r="34">
          <cell r="A34" t="str">
            <v>Investments Govt Securities</v>
          </cell>
        </row>
      </sheetData>
      <sheetData sheetId="1510">
        <row r="34">
          <cell r="A34" t="str">
            <v>Investments Govt Securities</v>
          </cell>
        </row>
      </sheetData>
      <sheetData sheetId="1511">
        <row r="34">
          <cell r="A34" t="str">
            <v>Investments Govt Securities</v>
          </cell>
        </row>
      </sheetData>
      <sheetData sheetId="1512">
        <row r="34">
          <cell r="A34" t="str">
            <v>Investments Govt Securities</v>
          </cell>
        </row>
      </sheetData>
      <sheetData sheetId="1513">
        <row r="34">
          <cell r="A34" t="str">
            <v>Investments Govt Securities</v>
          </cell>
        </row>
      </sheetData>
      <sheetData sheetId="1514">
        <row r="34">
          <cell r="A34" t="str">
            <v>Investments Govt Securities</v>
          </cell>
        </row>
      </sheetData>
      <sheetData sheetId="1515">
        <row r="34">
          <cell r="A34" t="str">
            <v>Investments Govt Securities</v>
          </cell>
        </row>
      </sheetData>
      <sheetData sheetId="1516">
        <row r="34">
          <cell r="A34" t="str">
            <v>Investments Govt Securities</v>
          </cell>
        </row>
      </sheetData>
      <sheetData sheetId="1517">
        <row r="34">
          <cell r="A34" t="str">
            <v>Investments Govt Securities</v>
          </cell>
        </row>
      </sheetData>
      <sheetData sheetId="1518">
        <row r="34">
          <cell r="A34" t="str">
            <v>Investments Govt Securities</v>
          </cell>
        </row>
      </sheetData>
      <sheetData sheetId="1519">
        <row r="34">
          <cell r="A34" t="str">
            <v>Investments Govt Securities</v>
          </cell>
        </row>
      </sheetData>
      <sheetData sheetId="1520">
        <row r="34">
          <cell r="A34" t="str">
            <v>Investments Govt Securities</v>
          </cell>
        </row>
      </sheetData>
      <sheetData sheetId="1521">
        <row r="34">
          <cell r="A34" t="str">
            <v>Investments Govt Securities</v>
          </cell>
        </row>
      </sheetData>
      <sheetData sheetId="1522">
        <row r="34">
          <cell r="A34" t="str">
            <v>Investments Govt Securities</v>
          </cell>
        </row>
      </sheetData>
      <sheetData sheetId="1523">
        <row r="34">
          <cell r="A34" t="str">
            <v>Investments Govt Securities</v>
          </cell>
        </row>
      </sheetData>
      <sheetData sheetId="1524">
        <row r="34">
          <cell r="A34" t="str">
            <v>Investments Govt Securities</v>
          </cell>
        </row>
      </sheetData>
      <sheetData sheetId="1525">
        <row r="34">
          <cell r="A34" t="str">
            <v>Investments Govt Securities</v>
          </cell>
        </row>
      </sheetData>
      <sheetData sheetId="1526">
        <row r="34">
          <cell r="A34" t="str">
            <v>Investments Govt Securities</v>
          </cell>
        </row>
      </sheetData>
      <sheetData sheetId="1527">
        <row r="34">
          <cell r="A34" t="str">
            <v>Investments Govt Securities</v>
          </cell>
        </row>
      </sheetData>
      <sheetData sheetId="1528">
        <row r="34">
          <cell r="A34" t="str">
            <v>Investments Govt Securities</v>
          </cell>
        </row>
      </sheetData>
      <sheetData sheetId="1529">
        <row r="34">
          <cell r="A34" t="str">
            <v>Investments Govt Securities</v>
          </cell>
        </row>
      </sheetData>
      <sheetData sheetId="1530">
        <row r="34">
          <cell r="A34" t="str">
            <v>Investments Govt Securities</v>
          </cell>
        </row>
      </sheetData>
      <sheetData sheetId="1531">
        <row r="34">
          <cell r="A34" t="str">
            <v>Investments Govt Securities</v>
          </cell>
        </row>
      </sheetData>
      <sheetData sheetId="1532">
        <row r="34">
          <cell r="A34" t="str">
            <v>Investments Govt Securities</v>
          </cell>
        </row>
      </sheetData>
      <sheetData sheetId="1533">
        <row r="34">
          <cell r="A34" t="str">
            <v>Investments Govt Securities</v>
          </cell>
        </row>
      </sheetData>
      <sheetData sheetId="1534">
        <row r="34">
          <cell r="A34" t="str">
            <v>Investments Govt Securities</v>
          </cell>
        </row>
      </sheetData>
      <sheetData sheetId="1535">
        <row r="34">
          <cell r="A34" t="str">
            <v>Investments Govt Securities</v>
          </cell>
        </row>
      </sheetData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34">
          <cell r="A34" t="str">
            <v>Investments Govt Securities</v>
          </cell>
        </row>
      </sheetData>
      <sheetData sheetId="1564" refreshError="1"/>
      <sheetData sheetId="1565" refreshError="1"/>
      <sheetData sheetId="1566">
        <row r="34">
          <cell r="A34" t="str">
            <v>Investments Govt Securities</v>
          </cell>
        </row>
      </sheetData>
      <sheetData sheetId="1567">
        <row r="34">
          <cell r="A34" t="str">
            <v>Investments Govt Securities</v>
          </cell>
        </row>
      </sheetData>
      <sheetData sheetId="1568">
        <row r="34">
          <cell r="A34" t="str">
            <v>Investments Govt Securities</v>
          </cell>
        </row>
      </sheetData>
      <sheetData sheetId="1569">
        <row r="34">
          <cell r="A34" t="str">
            <v>Investments Govt Securities</v>
          </cell>
        </row>
      </sheetData>
      <sheetData sheetId="1570">
        <row r="34">
          <cell r="A34" t="str">
            <v>Investments Govt Securities</v>
          </cell>
        </row>
      </sheetData>
      <sheetData sheetId="1571">
        <row r="34">
          <cell r="A34" t="str">
            <v>Investments Govt Securities</v>
          </cell>
        </row>
      </sheetData>
      <sheetData sheetId="1572">
        <row r="34">
          <cell r="A34" t="str">
            <v>Investments Govt Securities</v>
          </cell>
        </row>
      </sheetData>
      <sheetData sheetId="1573">
        <row r="34">
          <cell r="A34" t="str">
            <v>Investments Govt Securities</v>
          </cell>
        </row>
      </sheetData>
      <sheetData sheetId="1574">
        <row r="34">
          <cell r="A34" t="str">
            <v>Investments Govt Securities</v>
          </cell>
        </row>
      </sheetData>
      <sheetData sheetId="1575">
        <row r="34">
          <cell r="A34" t="str">
            <v>Investments Govt Securities</v>
          </cell>
        </row>
      </sheetData>
      <sheetData sheetId="1576">
        <row r="34">
          <cell r="A34" t="str">
            <v>Investments Govt Securities</v>
          </cell>
        </row>
      </sheetData>
      <sheetData sheetId="1577">
        <row r="34">
          <cell r="A34" t="str">
            <v>Investments Govt Securities</v>
          </cell>
        </row>
      </sheetData>
      <sheetData sheetId="1578">
        <row r="34">
          <cell r="A34" t="str">
            <v>Investments Govt Securities</v>
          </cell>
        </row>
      </sheetData>
      <sheetData sheetId="1579">
        <row r="34">
          <cell r="A34" t="str">
            <v>Investments Govt Securities</v>
          </cell>
        </row>
      </sheetData>
      <sheetData sheetId="1580">
        <row r="34">
          <cell r="A34" t="str">
            <v>Investments Govt Securities</v>
          </cell>
        </row>
      </sheetData>
      <sheetData sheetId="1581">
        <row r="34">
          <cell r="A34" t="str">
            <v>Investments Govt Securities</v>
          </cell>
        </row>
      </sheetData>
      <sheetData sheetId="1582">
        <row r="34">
          <cell r="A34" t="str">
            <v>Investments Govt Securities</v>
          </cell>
        </row>
      </sheetData>
      <sheetData sheetId="1583">
        <row r="34">
          <cell r="A34" t="str">
            <v>Investments Govt Securities</v>
          </cell>
        </row>
      </sheetData>
      <sheetData sheetId="1584">
        <row r="34">
          <cell r="A34" t="str">
            <v>Investments Govt Securities</v>
          </cell>
        </row>
      </sheetData>
      <sheetData sheetId="1585">
        <row r="34">
          <cell r="A34" t="str">
            <v>Investments Govt Securities</v>
          </cell>
        </row>
      </sheetData>
      <sheetData sheetId="1586">
        <row r="34">
          <cell r="A34" t="str">
            <v>Investments Govt Securities</v>
          </cell>
        </row>
      </sheetData>
      <sheetData sheetId="1587">
        <row r="34">
          <cell r="A34" t="str">
            <v>Investments Govt Securities</v>
          </cell>
        </row>
      </sheetData>
      <sheetData sheetId="1588">
        <row r="34">
          <cell r="A34" t="str">
            <v>Investments Govt Securities</v>
          </cell>
        </row>
      </sheetData>
      <sheetData sheetId="1589">
        <row r="34">
          <cell r="A34" t="str">
            <v>Investments Govt Securities</v>
          </cell>
        </row>
      </sheetData>
      <sheetData sheetId="1590">
        <row r="34">
          <cell r="A34" t="str">
            <v>Investments Govt Securities</v>
          </cell>
        </row>
      </sheetData>
      <sheetData sheetId="1591">
        <row r="34">
          <cell r="A34" t="str">
            <v>Investments Govt Securities</v>
          </cell>
        </row>
      </sheetData>
      <sheetData sheetId="1592">
        <row r="34">
          <cell r="A34" t="str">
            <v>Investments Govt Securities</v>
          </cell>
        </row>
      </sheetData>
      <sheetData sheetId="1593">
        <row r="34">
          <cell r="A34" t="str">
            <v>Investments Govt Securities</v>
          </cell>
        </row>
      </sheetData>
      <sheetData sheetId="1594">
        <row r="34">
          <cell r="A34" t="str">
            <v>Investments Govt Securities</v>
          </cell>
        </row>
      </sheetData>
      <sheetData sheetId="1595">
        <row r="34">
          <cell r="A34" t="str">
            <v>Investments Govt Securities</v>
          </cell>
        </row>
      </sheetData>
      <sheetData sheetId="1596">
        <row r="34">
          <cell r="A34" t="str">
            <v>Investments Govt Securities</v>
          </cell>
        </row>
      </sheetData>
      <sheetData sheetId="1597">
        <row r="34">
          <cell r="A34" t="str">
            <v>Investments Govt Securities</v>
          </cell>
        </row>
      </sheetData>
      <sheetData sheetId="1598">
        <row r="34">
          <cell r="A34" t="str">
            <v>Investments Govt Securities</v>
          </cell>
        </row>
      </sheetData>
      <sheetData sheetId="1599">
        <row r="34">
          <cell r="A34" t="str">
            <v>Investments Govt Securities</v>
          </cell>
        </row>
      </sheetData>
      <sheetData sheetId="1600">
        <row r="34">
          <cell r="A34" t="str">
            <v>Investments Govt Securities</v>
          </cell>
        </row>
      </sheetData>
      <sheetData sheetId="1601">
        <row r="34">
          <cell r="A34" t="str">
            <v>Investments Govt Securities</v>
          </cell>
        </row>
      </sheetData>
      <sheetData sheetId="1602">
        <row r="34">
          <cell r="A34" t="str">
            <v>Investments Govt Securities</v>
          </cell>
        </row>
      </sheetData>
      <sheetData sheetId="1603">
        <row r="34">
          <cell r="A34" t="str">
            <v>Investments Govt Securities</v>
          </cell>
        </row>
      </sheetData>
      <sheetData sheetId="1604">
        <row r="34">
          <cell r="A34" t="str">
            <v>Investments Govt Securities</v>
          </cell>
        </row>
      </sheetData>
      <sheetData sheetId="1605">
        <row r="34">
          <cell r="A34" t="str">
            <v>Investments Govt Securities</v>
          </cell>
        </row>
      </sheetData>
      <sheetData sheetId="1606">
        <row r="34">
          <cell r="A34" t="str">
            <v>Investments Govt Securities</v>
          </cell>
        </row>
      </sheetData>
      <sheetData sheetId="1607">
        <row r="34">
          <cell r="A34" t="str">
            <v>Investments Govt Securities</v>
          </cell>
        </row>
      </sheetData>
      <sheetData sheetId="1608">
        <row r="34">
          <cell r="A34" t="str">
            <v>Investments Govt Securities</v>
          </cell>
        </row>
      </sheetData>
      <sheetData sheetId="1609">
        <row r="34">
          <cell r="A34" t="str">
            <v>Investments Govt Securities</v>
          </cell>
        </row>
      </sheetData>
      <sheetData sheetId="1610">
        <row r="34">
          <cell r="A34" t="str">
            <v>Investments Govt Securities</v>
          </cell>
        </row>
      </sheetData>
      <sheetData sheetId="1611">
        <row r="34">
          <cell r="A34" t="str">
            <v>Investments Govt Securities</v>
          </cell>
        </row>
      </sheetData>
      <sheetData sheetId="1612">
        <row r="34">
          <cell r="A34" t="str">
            <v>Investments Govt Securities</v>
          </cell>
        </row>
      </sheetData>
      <sheetData sheetId="1613">
        <row r="34">
          <cell r="A34" t="str">
            <v>Investments Govt Securities</v>
          </cell>
        </row>
      </sheetData>
      <sheetData sheetId="1614">
        <row r="34">
          <cell r="A34" t="str">
            <v>Investments Govt Securities</v>
          </cell>
        </row>
      </sheetData>
      <sheetData sheetId="1615">
        <row r="34">
          <cell r="A34" t="str">
            <v>Investments Govt Securities</v>
          </cell>
        </row>
      </sheetData>
      <sheetData sheetId="1616">
        <row r="34">
          <cell r="A34" t="str">
            <v>Investments Govt Securities</v>
          </cell>
        </row>
      </sheetData>
      <sheetData sheetId="1617">
        <row r="34">
          <cell r="A34" t="str">
            <v>Investments Govt Securities</v>
          </cell>
        </row>
      </sheetData>
      <sheetData sheetId="1618">
        <row r="34">
          <cell r="A34" t="str">
            <v>Investments Govt Securities</v>
          </cell>
        </row>
      </sheetData>
      <sheetData sheetId="1619">
        <row r="34">
          <cell r="A34" t="str">
            <v>Investments Govt Securities</v>
          </cell>
        </row>
      </sheetData>
      <sheetData sheetId="1620">
        <row r="34">
          <cell r="A34" t="str">
            <v>Investments Govt Securities</v>
          </cell>
        </row>
      </sheetData>
      <sheetData sheetId="1621">
        <row r="34">
          <cell r="A34" t="str">
            <v>Investments Govt Securities</v>
          </cell>
        </row>
      </sheetData>
      <sheetData sheetId="1622">
        <row r="34">
          <cell r="A34" t="str">
            <v>Investments Govt Securities</v>
          </cell>
        </row>
      </sheetData>
      <sheetData sheetId="1623">
        <row r="34">
          <cell r="A34" t="str">
            <v>Investments Govt Securities</v>
          </cell>
        </row>
      </sheetData>
      <sheetData sheetId="1624">
        <row r="34">
          <cell r="A34" t="str">
            <v>Investments Govt Securities</v>
          </cell>
        </row>
      </sheetData>
      <sheetData sheetId="1625">
        <row r="34">
          <cell r="A34" t="str">
            <v>Investments Govt Securities</v>
          </cell>
        </row>
      </sheetData>
      <sheetData sheetId="1626">
        <row r="34">
          <cell r="A34" t="str">
            <v>Investments Govt Securities</v>
          </cell>
        </row>
      </sheetData>
      <sheetData sheetId="1627">
        <row r="34">
          <cell r="A34" t="str">
            <v>Investments Govt Securities</v>
          </cell>
        </row>
      </sheetData>
      <sheetData sheetId="1628">
        <row r="34">
          <cell r="A34" t="str">
            <v>Investments Govt Securities</v>
          </cell>
        </row>
      </sheetData>
      <sheetData sheetId="1629">
        <row r="34">
          <cell r="A34" t="str">
            <v>Investments Govt Securities</v>
          </cell>
        </row>
      </sheetData>
      <sheetData sheetId="1630">
        <row r="34">
          <cell r="A34" t="str">
            <v>Investments Govt Securities</v>
          </cell>
        </row>
      </sheetData>
      <sheetData sheetId="1631">
        <row r="34">
          <cell r="A34" t="str">
            <v>Investments Govt Securities</v>
          </cell>
        </row>
      </sheetData>
      <sheetData sheetId="1632">
        <row r="34">
          <cell r="A34" t="str">
            <v>Investments Govt Securities</v>
          </cell>
        </row>
      </sheetData>
      <sheetData sheetId="1633">
        <row r="34">
          <cell r="A34" t="str">
            <v>Investments Govt Securities</v>
          </cell>
        </row>
      </sheetData>
      <sheetData sheetId="1634">
        <row r="34">
          <cell r="A34" t="str">
            <v>Investments Govt Securities</v>
          </cell>
        </row>
      </sheetData>
      <sheetData sheetId="1635">
        <row r="34">
          <cell r="A34" t="str">
            <v>Investments Govt Securities</v>
          </cell>
        </row>
      </sheetData>
      <sheetData sheetId="1636">
        <row r="34">
          <cell r="A34" t="str">
            <v>Investments Govt Securities</v>
          </cell>
        </row>
      </sheetData>
      <sheetData sheetId="1637">
        <row r="34">
          <cell r="A34" t="str">
            <v>Investments Govt Securities</v>
          </cell>
        </row>
      </sheetData>
      <sheetData sheetId="1638">
        <row r="34">
          <cell r="A34" t="str">
            <v>Investments Govt Securities</v>
          </cell>
        </row>
      </sheetData>
      <sheetData sheetId="1639">
        <row r="34">
          <cell r="A34" t="str">
            <v>Investments Govt Securities</v>
          </cell>
        </row>
      </sheetData>
      <sheetData sheetId="1640">
        <row r="34">
          <cell r="A34" t="str">
            <v>Investments Govt Securities</v>
          </cell>
        </row>
      </sheetData>
      <sheetData sheetId="1641">
        <row r="34">
          <cell r="A34" t="str">
            <v>Investments Govt Securities</v>
          </cell>
        </row>
      </sheetData>
      <sheetData sheetId="1642">
        <row r="34">
          <cell r="A34" t="str">
            <v>Investments Govt Securities</v>
          </cell>
        </row>
      </sheetData>
      <sheetData sheetId="1643">
        <row r="34">
          <cell r="A34" t="str">
            <v>Investments Govt Securities</v>
          </cell>
        </row>
      </sheetData>
      <sheetData sheetId="1644">
        <row r="34">
          <cell r="A34" t="str">
            <v>Investments Govt Securities</v>
          </cell>
        </row>
      </sheetData>
      <sheetData sheetId="1645">
        <row r="34">
          <cell r="A34" t="str">
            <v>Investments Govt Securities</v>
          </cell>
        </row>
      </sheetData>
      <sheetData sheetId="1646">
        <row r="34">
          <cell r="A34" t="str">
            <v>Investments Govt Securities</v>
          </cell>
        </row>
      </sheetData>
      <sheetData sheetId="1647">
        <row r="34">
          <cell r="A34" t="str">
            <v>Investments Govt Securities</v>
          </cell>
        </row>
      </sheetData>
      <sheetData sheetId="1648">
        <row r="34">
          <cell r="A34" t="str">
            <v>Investments Govt Securities</v>
          </cell>
        </row>
      </sheetData>
      <sheetData sheetId="1649">
        <row r="34">
          <cell r="A34" t="str">
            <v>Investments Govt Securities</v>
          </cell>
        </row>
      </sheetData>
      <sheetData sheetId="1650">
        <row r="34">
          <cell r="A34" t="str">
            <v>Investments Govt Securities</v>
          </cell>
        </row>
      </sheetData>
      <sheetData sheetId="1651">
        <row r="34">
          <cell r="A34" t="str">
            <v>Investments Govt Securities</v>
          </cell>
        </row>
      </sheetData>
      <sheetData sheetId="1652">
        <row r="34">
          <cell r="A34" t="str">
            <v>Investments Govt Securities</v>
          </cell>
        </row>
      </sheetData>
      <sheetData sheetId="1653">
        <row r="34">
          <cell r="A34" t="str">
            <v>Investments Govt Securities</v>
          </cell>
        </row>
      </sheetData>
      <sheetData sheetId="1654">
        <row r="34">
          <cell r="A34" t="str">
            <v>Investments Govt Securities</v>
          </cell>
        </row>
      </sheetData>
      <sheetData sheetId="1655">
        <row r="34">
          <cell r="A34" t="str">
            <v>Investments Govt Securities</v>
          </cell>
        </row>
      </sheetData>
      <sheetData sheetId="1656">
        <row r="34">
          <cell r="A34" t="str">
            <v>Investments Govt Securities</v>
          </cell>
        </row>
      </sheetData>
      <sheetData sheetId="1657">
        <row r="34">
          <cell r="A34" t="str">
            <v>Investments Govt Securities</v>
          </cell>
        </row>
      </sheetData>
      <sheetData sheetId="1658">
        <row r="34">
          <cell r="A34" t="str">
            <v>Investments Govt Securities</v>
          </cell>
        </row>
      </sheetData>
      <sheetData sheetId="1659">
        <row r="34">
          <cell r="A34" t="str">
            <v>Investments Govt Securities</v>
          </cell>
        </row>
      </sheetData>
      <sheetData sheetId="1660">
        <row r="34">
          <cell r="A34" t="str">
            <v>Investments Govt Securities</v>
          </cell>
        </row>
      </sheetData>
      <sheetData sheetId="1661">
        <row r="34">
          <cell r="A34" t="str">
            <v>Investments Govt Securities</v>
          </cell>
        </row>
      </sheetData>
      <sheetData sheetId="1662">
        <row r="34">
          <cell r="A34" t="str">
            <v>Investments Govt Securities</v>
          </cell>
        </row>
      </sheetData>
      <sheetData sheetId="1663">
        <row r="34">
          <cell r="A34" t="str">
            <v>Investments Govt Securities</v>
          </cell>
        </row>
      </sheetData>
      <sheetData sheetId="1664">
        <row r="34">
          <cell r="A34" t="str">
            <v>Investments Govt Securities</v>
          </cell>
        </row>
      </sheetData>
      <sheetData sheetId="1665">
        <row r="34">
          <cell r="A34" t="str">
            <v>Investments Govt Securities</v>
          </cell>
        </row>
      </sheetData>
      <sheetData sheetId="1666">
        <row r="34">
          <cell r="A34" t="str">
            <v>Investments Govt Securities</v>
          </cell>
        </row>
      </sheetData>
      <sheetData sheetId="1667">
        <row r="34">
          <cell r="A34" t="str">
            <v>Investments Govt Securities</v>
          </cell>
        </row>
      </sheetData>
      <sheetData sheetId="1668">
        <row r="34">
          <cell r="A34" t="str">
            <v>Investments Govt Securities</v>
          </cell>
        </row>
      </sheetData>
      <sheetData sheetId="1669">
        <row r="34">
          <cell r="A34" t="str">
            <v>Investments Govt Securities</v>
          </cell>
        </row>
      </sheetData>
      <sheetData sheetId="1670">
        <row r="34">
          <cell r="A34" t="str">
            <v>Investments Govt Securities</v>
          </cell>
        </row>
      </sheetData>
      <sheetData sheetId="1671">
        <row r="34">
          <cell r="A34" t="str">
            <v>Investments Govt Securities</v>
          </cell>
        </row>
      </sheetData>
      <sheetData sheetId="1672">
        <row r="34">
          <cell r="A34" t="str">
            <v>Investments Govt Securities</v>
          </cell>
        </row>
      </sheetData>
      <sheetData sheetId="1673">
        <row r="34">
          <cell r="A34" t="str">
            <v>Investments Govt Securities</v>
          </cell>
        </row>
      </sheetData>
      <sheetData sheetId="1674">
        <row r="34">
          <cell r="A34" t="str">
            <v>Investments Govt Securities</v>
          </cell>
        </row>
      </sheetData>
      <sheetData sheetId="1675">
        <row r="34">
          <cell r="A34" t="str">
            <v>Investments Govt Securities</v>
          </cell>
        </row>
      </sheetData>
      <sheetData sheetId="1676">
        <row r="34">
          <cell r="A34" t="str">
            <v>Investments Govt Securities</v>
          </cell>
        </row>
      </sheetData>
      <sheetData sheetId="1677">
        <row r="34">
          <cell r="A34" t="str">
            <v>Investments Govt Securities</v>
          </cell>
        </row>
      </sheetData>
      <sheetData sheetId="1678">
        <row r="34">
          <cell r="A34" t="str">
            <v>Investments Govt Securities</v>
          </cell>
        </row>
      </sheetData>
      <sheetData sheetId="1679">
        <row r="34">
          <cell r="A34" t="str">
            <v>Investments Govt Securities</v>
          </cell>
        </row>
      </sheetData>
      <sheetData sheetId="1680">
        <row r="34">
          <cell r="A34" t="str">
            <v>Investments Govt Securities</v>
          </cell>
        </row>
      </sheetData>
      <sheetData sheetId="1681">
        <row r="34">
          <cell r="A34" t="str">
            <v>Investments Govt Securities</v>
          </cell>
        </row>
      </sheetData>
      <sheetData sheetId="1682">
        <row r="34">
          <cell r="A34" t="str">
            <v>Investments Govt Securities</v>
          </cell>
        </row>
      </sheetData>
      <sheetData sheetId="1683">
        <row r="34">
          <cell r="A34" t="str">
            <v>Investments Govt Securities</v>
          </cell>
        </row>
      </sheetData>
      <sheetData sheetId="1684">
        <row r="34">
          <cell r="A34" t="str">
            <v>Investments Govt Securities</v>
          </cell>
        </row>
      </sheetData>
      <sheetData sheetId="1685">
        <row r="34">
          <cell r="A34" t="str">
            <v>Investments Govt Securities</v>
          </cell>
        </row>
      </sheetData>
      <sheetData sheetId="1686">
        <row r="34">
          <cell r="A34" t="str">
            <v>Investments Govt Securities</v>
          </cell>
        </row>
      </sheetData>
      <sheetData sheetId="1687">
        <row r="34">
          <cell r="A34" t="str">
            <v>Investments Govt Securities</v>
          </cell>
        </row>
      </sheetData>
      <sheetData sheetId="1688">
        <row r="34">
          <cell r="A34" t="str">
            <v>Investments Govt Securities</v>
          </cell>
        </row>
      </sheetData>
      <sheetData sheetId="1689">
        <row r="34">
          <cell r="A34" t="str">
            <v>Investments Govt Securities</v>
          </cell>
        </row>
      </sheetData>
      <sheetData sheetId="1690">
        <row r="34">
          <cell r="A34" t="str">
            <v>Investments Govt Securities</v>
          </cell>
        </row>
      </sheetData>
      <sheetData sheetId="1691">
        <row r="34">
          <cell r="A34" t="str">
            <v>Investments Govt Securities</v>
          </cell>
        </row>
      </sheetData>
      <sheetData sheetId="1692">
        <row r="34">
          <cell r="A34" t="str">
            <v>Investments Govt Securities</v>
          </cell>
        </row>
      </sheetData>
      <sheetData sheetId="1693">
        <row r="34">
          <cell r="A34" t="str">
            <v>Investments Govt Securities</v>
          </cell>
        </row>
      </sheetData>
      <sheetData sheetId="1694">
        <row r="34">
          <cell r="A34" t="str">
            <v>Investments Govt Securities</v>
          </cell>
        </row>
      </sheetData>
      <sheetData sheetId="1695">
        <row r="34">
          <cell r="A34" t="str">
            <v>Investments Govt Securities</v>
          </cell>
        </row>
      </sheetData>
      <sheetData sheetId="1696">
        <row r="34">
          <cell r="A34" t="str">
            <v>Investments Govt Securities</v>
          </cell>
        </row>
      </sheetData>
      <sheetData sheetId="1697">
        <row r="34">
          <cell r="A34" t="str">
            <v>Investments Govt Securities</v>
          </cell>
        </row>
      </sheetData>
      <sheetData sheetId="1698">
        <row r="34">
          <cell r="A34" t="str">
            <v>Investments Govt Securities</v>
          </cell>
        </row>
      </sheetData>
      <sheetData sheetId="1699">
        <row r="34">
          <cell r="A34" t="str">
            <v>Investments Govt Securities</v>
          </cell>
        </row>
      </sheetData>
      <sheetData sheetId="1700">
        <row r="34">
          <cell r="A34" t="str">
            <v>Investments Govt Securities</v>
          </cell>
        </row>
      </sheetData>
      <sheetData sheetId="1701">
        <row r="34">
          <cell r="A34" t="str">
            <v>Investments Govt Securities</v>
          </cell>
        </row>
      </sheetData>
      <sheetData sheetId="1702">
        <row r="34">
          <cell r="A34" t="str">
            <v>Investments Govt Securities</v>
          </cell>
        </row>
      </sheetData>
      <sheetData sheetId="1703">
        <row r="34">
          <cell r="A34" t="str">
            <v>Investments Govt Securities</v>
          </cell>
        </row>
      </sheetData>
      <sheetData sheetId="1704">
        <row r="34">
          <cell r="A34" t="str">
            <v>Investments Govt Securities</v>
          </cell>
        </row>
      </sheetData>
      <sheetData sheetId="1705">
        <row r="34">
          <cell r="A34" t="str">
            <v>Investments Govt Securities</v>
          </cell>
        </row>
      </sheetData>
      <sheetData sheetId="1706">
        <row r="34">
          <cell r="A34" t="str">
            <v>Investments Govt Securities</v>
          </cell>
        </row>
      </sheetData>
      <sheetData sheetId="1707">
        <row r="34">
          <cell r="A34" t="str">
            <v>Investments Govt Securities</v>
          </cell>
        </row>
      </sheetData>
      <sheetData sheetId="1708">
        <row r="34">
          <cell r="A34" t="str">
            <v>Investments Govt Securities</v>
          </cell>
        </row>
      </sheetData>
      <sheetData sheetId="1709">
        <row r="34">
          <cell r="A34" t="str">
            <v>Investments Govt Securities</v>
          </cell>
        </row>
      </sheetData>
      <sheetData sheetId="1710">
        <row r="34">
          <cell r="A34" t="str">
            <v>Investments Govt Securities</v>
          </cell>
        </row>
      </sheetData>
      <sheetData sheetId="1711">
        <row r="34">
          <cell r="A34" t="str">
            <v>Investments Govt Securities</v>
          </cell>
        </row>
      </sheetData>
      <sheetData sheetId="1712">
        <row r="34">
          <cell r="A34" t="str">
            <v>Investments Govt Securities</v>
          </cell>
        </row>
      </sheetData>
      <sheetData sheetId="1713">
        <row r="34">
          <cell r="A34" t="str">
            <v>Investments Govt Securities</v>
          </cell>
        </row>
      </sheetData>
      <sheetData sheetId="1714" refreshError="1"/>
      <sheetData sheetId="1715">
        <row r="34">
          <cell r="A34" t="str">
            <v>Investments Govt Securities</v>
          </cell>
        </row>
      </sheetData>
      <sheetData sheetId="1716">
        <row r="34">
          <cell r="A34" t="str">
            <v>Investments Govt Securities</v>
          </cell>
        </row>
      </sheetData>
      <sheetData sheetId="1717" refreshError="1"/>
      <sheetData sheetId="1718">
        <row r="34">
          <cell r="A34" t="str">
            <v>Investments Govt Securities</v>
          </cell>
        </row>
      </sheetData>
      <sheetData sheetId="1719">
        <row r="34">
          <cell r="A34" t="str">
            <v>Investments Govt Securities</v>
          </cell>
        </row>
      </sheetData>
      <sheetData sheetId="1720">
        <row r="34">
          <cell r="A34" t="str">
            <v>Investments Govt Securities</v>
          </cell>
        </row>
      </sheetData>
      <sheetData sheetId="1721">
        <row r="34">
          <cell r="A34" t="str">
            <v>Investments Govt Securities</v>
          </cell>
        </row>
      </sheetData>
      <sheetData sheetId="1722">
        <row r="34">
          <cell r="A34" t="str">
            <v>Investments Govt Securities</v>
          </cell>
        </row>
      </sheetData>
      <sheetData sheetId="1723">
        <row r="34">
          <cell r="A34" t="str">
            <v>Investments Govt Securities</v>
          </cell>
        </row>
      </sheetData>
      <sheetData sheetId="1724">
        <row r="34">
          <cell r="A34" t="str">
            <v>Investments Govt Securities</v>
          </cell>
        </row>
      </sheetData>
      <sheetData sheetId="1725">
        <row r="34">
          <cell r="A34" t="str">
            <v>Investments Govt Securities</v>
          </cell>
        </row>
      </sheetData>
      <sheetData sheetId="1726">
        <row r="34">
          <cell r="A34" t="str">
            <v>Investments Govt Securities</v>
          </cell>
        </row>
      </sheetData>
      <sheetData sheetId="1727">
        <row r="34">
          <cell r="A34" t="str">
            <v>Investments Govt Securities</v>
          </cell>
        </row>
      </sheetData>
      <sheetData sheetId="1728">
        <row r="34">
          <cell r="A34" t="str">
            <v>Investments Govt Securities</v>
          </cell>
        </row>
      </sheetData>
      <sheetData sheetId="1729">
        <row r="34">
          <cell r="A34" t="str">
            <v>Investments Govt Securities</v>
          </cell>
        </row>
      </sheetData>
      <sheetData sheetId="1730">
        <row r="34">
          <cell r="A34" t="str">
            <v>Investments Govt Securities</v>
          </cell>
        </row>
      </sheetData>
      <sheetData sheetId="1731">
        <row r="34">
          <cell r="A34" t="str">
            <v>Investments Govt Securities</v>
          </cell>
        </row>
      </sheetData>
      <sheetData sheetId="1732">
        <row r="34">
          <cell r="A34" t="str">
            <v>Investments Govt Securities</v>
          </cell>
        </row>
      </sheetData>
      <sheetData sheetId="1733">
        <row r="34">
          <cell r="A34" t="str">
            <v>Investments Govt Securities</v>
          </cell>
        </row>
      </sheetData>
      <sheetData sheetId="1734" refreshError="1"/>
      <sheetData sheetId="1735">
        <row r="34">
          <cell r="A34" t="str">
            <v>Investments Govt Securities</v>
          </cell>
        </row>
      </sheetData>
      <sheetData sheetId="1736">
        <row r="34">
          <cell r="A34" t="str">
            <v>Investments Govt Securities</v>
          </cell>
        </row>
      </sheetData>
      <sheetData sheetId="1737">
        <row r="34">
          <cell r="A34" t="str">
            <v>Investments Govt Securities</v>
          </cell>
        </row>
      </sheetData>
      <sheetData sheetId="1738">
        <row r="34">
          <cell r="A34" t="str">
            <v>Investments Govt Securities</v>
          </cell>
        </row>
      </sheetData>
      <sheetData sheetId="1739">
        <row r="34">
          <cell r="A34" t="str">
            <v>Investments Govt Securities</v>
          </cell>
        </row>
      </sheetData>
      <sheetData sheetId="1740">
        <row r="34">
          <cell r="A34" t="str">
            <v>Investments Govt Securities</v>
          </cell>
        </row>
      </sheetData>
      <sheetData sheetId="1741">
        <row r="34">
          <cell r="A34" t="str">
            <v>Investments Govt Securities</v>
          </cell>
        </row>
      </sheetData>
      <sheetData sheetId="1742">
        <row r="34">
          <cell r="A34" t="str">
            <v>Investments Govt Securities</v>
          </cell>
        </row>
      </sheetData>
      <sheetData sheetId="1743">
        <row r="34">
          <cell r="A34" t="str">
            <v>Investments Govt Securities</v>
          </cell>
        </row>
      </sheetData>
      <sheetData sheetId="1744">
        <row r="34">
          <cell r="A34" t="str">
            <v>Investments Govt Securities</v>
          </cell>
        </row>
      </sheetData>
      <sheetData sheetId="1745">
        <row r="34">
          <cell r="A34" t="str">
            <v>Investments Govt Securities</v>
          </cell>
        </row>
      </sheetData>
      <sheetData sheetId="1746">
        <row r="34">
          <cell r="A34" t="str">
            <v>Investments Govt Securities</v>
          </cell>
        </row>
      </sheetData>
      <sheetData sheetId="1747">
        <row r="34">
          <cell r="A34" t="str">
            <v>Investments Govt Securities</v>
          </cell>
        </row>
      </sheetData>
      <sheetData sheetId="1748">
        <row r="34">
          <cell r="A34" t="str">
            <v>Investments Govt Securities</v>
          </cell>
        </row>
      </sheetData>
      <sheetData sheetId="1749">
        <row r="34">
          <cell r="A34" t="str">
            <v>Investments Govt Securities</v>
          </cell>
        </row>
      </sheetData>
      <sheetData sheetId="1750">
        <row r="34">
          <cell r="A34" t="str">
            <v>Investments Govt Securities</v>
          </cell>
        </row>
      </sheetData>
      <sheetData sheetId="1751">
        <row r="34">
          <cell r="A34" t="str">
            <v>Investments Govt Securities</v>
          </cell>
        </row>
      </sheetData>
      <sheetData sheetId="1752">
        <row r="34">
          <cell r="A34" t="str">
            <v>Investments Govt Securities</v>
          </cell>
        </row>
      </sheetData>
      <sheetData sheetId="1753">
        <row r="34">
          <cell r="A34" t="str">
            <v>Investments Govt Securities</v>
          </cell>
        </row>
      </sheetData>
      <sheetData sheetId="1754">
        <row r="34">
          <cell r="A34" t="str">
            <v>Investments Govt Securities</v>
          </cell>
        </row>
      </sheetData>
      <sheetData sheetId="1755">
        <row r="34">
          <cell r="A34" t="str">
            <v>Investments Govt Securities</v>
          </cell>
        </row>
      </sheetData>
      <sheetData sheetId="1756">
        <row r="34">
          <cell r="A34" t="str">
            <v>Investments Govt Securities</v>
          </cell>
        </row>
      </sheetData>
      <sheetData sheetId="1757">
        <row r="34">
          <cell r="A34" t="str">
            <v>Investments Govt Securities</v>
          </cell>
        </row>
      </sheetData>
      <sheetData sheetId="1758">
        <row r="34">
          <cell r="A34" t="str">
            <v>Investments Govt Securities</v>
          </cell>
        </row>
      </sheetData>
      <sheetData sheetId="1759">
        <row r="34">
          <cell r="A34" t="str">
            <v>Investments Govt Securities</v>
          </cell>
        </row>
      </sheetData>
      <sheetData sheetId="1760">
        <row r="34">
          <cell r="A34" t="str">
            <v>Investments Govt Securities</v>
          </cell>
        </row>
      </sheetData>
      <sheetData sheetId="1761">
        <row r="34">
          <cell r="A34" t="str">
            <v>Investments Govt Securities</v>
          </cell>
        </row>
      </sheetData>
      <sheetData sheetId="1762">
        <row r="34">
          <cell r="A34" t="str">
            <v>Investments Govt Securities</v>
          </cell>
        </row>
      </sheetData>
      <sheetData sheetId="1763">
        <row r="34">
          <cell r="A34" t="str">
            <v>Investments Govt Securities</v>
          </cell>
        </row>
      </sheetData>
      <sheetData sheetId="1764">
        <row r="34">
          <cell r="A34" t="str">
            <v>Investments Govt Securities</v>
          </cell>
        </row>
      </sheetData>
      <sheetData sheetId="1765">
        <row r="34">
          <cell r="A34" t="str">
            <v>Investments Govt Securities</v>
          </cell>
        </row>
      </sheetData>
      <sheetData sheetId="1766">
        <row r="34">
          <cell r="A34" t="str">
            <v>Investments Govt Securities</v>
          </cell>
        </row>
      </sheetData>
      <sheetData sheetId="1767">
        <row r="34">
          <cell r="A34" t="str">
            <v>Investments Govt Securities</v>
          </cell>
        </row>
      </sheetData>
      <sheetData sheetId="1768">
        <row r="34">
          <cell r="A34" t="str">
            <v>Investments Govt Securities</v>
          </cell>
        </row>
      </sheetData>
      <sheetData sheetId="1769">
        <row r="34">
          <cell r="A34" t="str">
            <v>Investments Govt Securities</v>
          </cell>
        </row>
      </sheetData>
      <sheetData sheetId="1770">
        <row r="34">
          <cell r="A34" t="str">
            <v>Investments Govt Securities</v>
          </cell>
        </row>
      </sheetData>
      <sheetData sheetId="1771">
        <row r="34">
          <cell r="A34" t="str">
            <v>Investments Govt Securities</v>
          </cell>
        </row>
      </sheetData>
      <sheetData sheetId="1772">
        <row r="34">
          <cell r="A34" t="str">
            <v>Investments Govt Securities</v>
          </cell>
        </row>
      </sheetData>
      <sheetData sheetId="1773">
        <row r="34">
          <cell r="A34" t="str">
            <v>Investments Govt Securities</v>
          </cell>
        </row>
      </sheetData>
      <sheetData sheetId="1774">
        <row r="34">
          <cell r="A34" t="str">
            <v>Investments Govt Securities</v>
          </cell>
        </row>
      </sheetData>
      <sheetData sheetId="1775">
        <row r="34">
          <cell r="A34" t="str">
            <v>Investments Govt Securities</v>
          </cell>
        </row>
      </sheetData>
      <sheetData sheetId="1776">
        <row r="34">
          <cell r="A34" t="str">
            <v>Investments Govt Securities</v>
          </cell>
        </row>
      </sheetData>
      <sheetData sheetId="1777">
        <row r="34">
          <cell r="A34" t="str">
            <v>Investments Govt Securities</v>
          </cell>
        </row>
      </sheetData>
      <sheetData sheetId="1778">
        <row r="34">
          <cell r="A34" t="str">
            <v>Investments Govt Securities</v>
          </cell>
        </row>
      </sheetData>
      <sheetData sheetId="1779">
        <row r="34">
          <cell r="A34" t="str">
            <v>Investments Govt Securities</v>
          </cell>
        </row>
      </sheetData>
      <sheetData sheetId="1780">
        <row r="34">
          <cell r="A34" t="str">
            <v>Investments Govt Securities</v>
          </cell>
        </row>
      </sheetData>
      <sheetData sheetId="1781">
        <row r="34">
          <cell r="A34" t="str">
            <v>Investments Govt Securities</v>
          </cell>
        </row>
      </sheetData>
      <sheetData sheetId="1782">
        <row r="34">
          <cell r="A34" t="str">
            <v>Investments Govt Securities</v>
          </cell>
        </row>
      </sheetData>
      <sheetData sheetId="1783">
        <row r="34">
          <cell r="A34" t="str">
            <v>Investments Govt Securities</v>
          </cell>
        </row>
      </sheetData>
      <sheetData sheetId="1784">
        <row r="34">
          <cell r="A34" t="str">
            <v>Investments Govt Securities</v>
          </cell>
        </row>
      </sheetData>
      <sheetData sheetId="1785">
        <row r="34">
          <cell r="A34" t="str">
            <v>Investments Govt Securities</v>
          </cell>
        </row>
      </sheetData>
      <sheetData sheetId="1786">
        <row r="34">
          <cell r="A34" t="str">
            <v>Investments Govt Securities</v>
          </cell>
        </row>
      </sheetData>
      <sheetData sheetId="1787">
        <row r="34">
          <cell r="A34" t="str">
            <v>Investments Govt Securities</v>
          </cell>
        </row>
      </sheetData>
      <sheetData sheetId="1788">
        <row r="34">
          <cell r="A34" t="str">
            <v>Investments Govt Securities</v>
          </cell>
        </row>
      </sheetData>
      <sheetData sheetId="1789">
        <row r="34">
          <cell r="A34" t="str">
            <v>Investments Govt Securities</v>
          </cell>
        </row>
      </sheetData>
      <sheetData sheetId="1790">
        <row r="34">
          <cell r="A34" t="str">
            <v>Investments Govt Securities</v>
          </cell>
        </row>
      </sheetData>
      <sheetData sheetId="1791">
        <row r="34">
          <cell r="A34" t="str">
            <v>Investments Govt Securities</v>
          </cell>
        </row>
      </sheetData>
      <sheetData sheetId="1792">
        <row r="34">
          <cell r="A34" t="str">
            <v>Investments Govt Securities</v>
          </cell>
        </row>
      </sheetData>
      <sheetData sheetId="1793">
        <row r="34">
          <cell r="A34" t="str">
            <v>Investments Govt Securities</v>
          </cell>
        </row>
      </sheetData>
      <sheetData sheetId="1794">
        <row r="34">
          <cell r="A34" t="str">
            <v>Investments Govt Securities</v>
          </cell>
        </row>
      </sheetData>
      <sheetData sheetId="1795">
        <row r="34">
          <cell r="A34" t="str">
            <v>Investments Govt Securities</v>
          </cell>
        </row>
      </sheetData>
      <sheetData sheetId="1796">
        <row r="34">
          <cell r="A34" t="str">
            <v>Investments Govt Securities</v>
          </cell>
        </row>
      </sheetData>
      <sheetData sheetId="1797">
        <row r="34">
          <cell r="A34" t="str">
            <v>Investments Govt Securities</v>
          </cell>
        </row>
      </sheetData>
      <sheetData sheetId="1798">
        <row r="34">
          <cell r="A34" t="str">
            <v>Investments Govt Securities</v>
          </cell>
        </row>
      </sheetData>
      <sheetData sheetId="1799">
        <row r="34">
          <cell r="A34" t="str">
            <v>Investments Govt Securities</v>
          </cell>
        </row>
      </sheetData>
      <sheetData sheetId="1800">
        <row r="34">
          <cell r="A34" t="str">
            <v>Investments Govt Securities</v>
          </cell>
        </row>
      </sheetData>
      <sheetData sheetId="1801">
        <row r="34">
          <cell r="A34" t="str">
            <v>Investments Govt Securities</v>
          </cell>
        </row>
      </sheetData>
      <sheetData sheetId="1802">
        <row r="34">
          <cell r="A34" t="str">
            <v>Investments Govt Securities</v>
          </cell>
        </row>
      </sheetData>
      <sheetData sheetId="1803">
        <row r="34">
          <cell r="A34" t="str">
            <v>Investments Govt Securities</v>
          </cell>
        </row>
      </sheetData>
      <sheetData sheetId="1804">
        <row r="34">
          <cell r="A34" t="str">
            <v>Investments Govt Securities</v>
          </cell>
        </row>
      </sheetData>
      <sheetData sheetId="1805">
        <row r="34">
          <cell r="A34" t="str">
            <v>Investments Govt Securities</v>
          </cell>
        </row>
      </sheetData>
      <sheetData sheetId="1806">
        <row r="34">
          <cell r="A34" t="str">
            <v>Investments Govt Securities</v>
          </cell>
        </row>
      </sheetData>
      <sheetData sheetId="1807">
        <row r="34">
          <cell r="A34" t="str">
            <v>Investments Govt Securities</v>
          </cell>
        </row>
      </sheetData>
      <sheetData sheetId="1808">
        <row r="34">
          <cell r="A34" t="str">
            <v>Investments Govt Securities</v>
          </cell>
        </row>
      </sheetData>
      <sheetData sheetId="1809">
        <row r="34">
          <cell r="A34" t="str">
            <v>Investments Govt Securities</v>
          </cell>
        </row>
      </sheetData>
      <sheetData sheetId="1810">
        <row r="34">
          <cell r="A34" t="str">
            <v>Investments Govt Securities</v>
          </cell>
        </row>
      </sheetData>
      <sheetData sheetId="1811">
        <row r="34">
          <cell r="A34" t="str">
            <v>Investments Govt Securities</v>
          </cell>
        </row>
      </sheetData>
      <sheetData sheetId="1812">
        <row r="34">
          <cell r="A34" t="str">
            <v>Investments Govt Securities</v>
          </cell>
        </row>
      </sheetData>
      <sheetData sheetId="1813">
        <row r="34">
          <cell r="A34" t="str">
            <v>Investments Govt Securities</v>
          </cell>
        </row>
      </sheetData>
      <sheetData sheetId="1814">
        <row r="34">
          <cell r="A34" t="str">
            <v>Investments Govt Securities</v>
          </cell>
        </row>
      </sheetData>
      <sheetData sheetId="1815">
        <row r="34">
          <cell r="A34" t="str">
            <v>Investments Govt Securities</v>
          </cell>
        </row>
      </sheetData>
      <sheetData sheetId="1816">
        <row r="34">
          <cell r="A34" t="str">
            <v>Investments Govt Securities</v>
          </cell>
        </row>
      </sheetData>
      <sheetData sheetId="1817">
        <row r="34">
          <cell r="A34" t="str">
            <v>Investments Govt Securities</v>
          </cell>
        </row>
      </sheetData>
      <sheetData sheetId="1818">
        <row r="34">
          <cell r="A34" t="str">
            <v>Investments Govt Securities</v>
          </cell>
        </row>
      </sheetData>
      <sheetData sheetId="1819">
        <row r="34">
          <cell r="A34" t="str">
            <v>Investments Govt Securities</v>
          </cell>
        </row>
      </sheetData>
      <sheetData sheetId="1820">
        <row r="34">
          <cell r="A34" t="str">
            <v>Investments Govt Securities</v>
          </cell>
        </row>
      </sheetData>
      <sheetData sheetId="1821">
        <row r="34">
          <cell r="A34" t="str">
            <v>Investments Govt Securities</v>
          </cell>
        </row>
      </sheetData>
      <sheetData sheetId="1822">
        <row r="34">
          <cell r="A34" t="str">
            <v>Investments Govt Securities</v>
          </cell>
        </row>
      </sheetData>
      <sheetData sheetId="1823">
        <row r="34">
          <cell r="A34" t="str">
            <v>Investments Govt Securities</v>
          </cell>
        </row>
      </sheetData>
      <sheetData sheetId="1824">
        <row r="34">
          <cell r="A34" t="str">
            <v>Investments Govt Securities</v>
          </cell>
        </row>
      </sheetData>
      <sheetData sheetId="1825">
        <row r="34">
          <cell r="A34" t="str">
            <v>Investments Govt Securities</v>
          </cell>
        </row>
      </sheetData>
      <sheetData sheetId="1826">
        <row r="34">
          <cell r="A34" t="str">
            <v>Investments Govt Securities</v>
          </cell>
        </row>
      </sheetData>
      <sheetData sheetId="1827">
        <row r="34">
          <cell r="A34" t="str">
            <v>Investments Govt Securities</v>
          </cell>
        </row>
      </sheetData>
      <sheetData sheetId="1828">
        <row r="34">
          <cell r="A34" t="str">
            <v>Investments Govt Securities</v>
          </cell>
        </row>
      </sheetData>
      <sheetData sheetId="1829">
        <row r="34">
          <cell r="A34" t="str">
            <v>Investments Govt Securities</v>
          </cell>
        </row>
      </sheetData>
      <sheetData sheetId="1830">
        <row r="34">
          <cell r="A34" t="str">
            <v>Investments Govt Securities</v>
          </cell>
        </row>
      </sheetData>
      <sheetData sheetId="1831">
        <row r="34">
          <cell r="A34" t="str">
            <v>Investments Govt Securities</v>
          </cell>
        </row>
      </sheetData>
      <sheetData sheetId="1832">
        <row r="34">
          <cell r="A34" t="str">
            <v>Investments Govt Securities</v>
          </cell>
        </row>
      </sheetData>
      <sheetData sheetId="1833">
        <row r="34">
          <cell r="A34" t="str">
            <v>Investments Govt Securities</v>
          </cell>
        </row>
      </sheetData>
      <sheetData sheetId="1834">
        <row r="34">
          <cell r="A34" t="str">
            <v>Investments Govt Securities</v>
          </cell>
        </row>
      </sheetData>
      <sheetData sheetId="1835">
        <row r="34">
          <cell r="A34" t="str">
            <v>Investments Govt Securities</v>
          </cell>
        </row>
      </sheetData>
      <sheetData sheetId="1836">
        <row r="34">
          <cell r="A34" t="str">
            <v>Investments Govt Securities</v>
          </cell>
        </row>
      </sheetData>
      <sheetData sheetId="1837">
        <row r="34">
          <cell r="A34" t="str">
            <v>Investments Govt Securities</v>
          </cell>
        </row>
      </sheetData>
      <sheetData sheetId="1838">
        <row r="34">
          <cell r="A34" t="str">
            <v>Investments Govt Securities</v>
          </cell>
        </row>
      </sheetData>
      <sheetData sheetId="1839">
        <row r="34">
          <cell r="A34" t="str">
            <v>Investments Govt Securities</v>
          </cell>
        </row>
      </sheetData>
      <sheetData sheetId="1840">
        <row r="34">
          <cell r="A34" t="str">
            <v>Investments Govt Securities</v>
          </cell>
        </row>
      </sheetData>
      <sheetData sheetId="1841">
        <row r="34">
          <cell r="A34" t="str">
            <v>Investments Govt Securities</v>
          </cell>
        </row>
      </sheetData>
      <sheetData sheetId="1842">
        <row r="34">
          <cell r="A34" t="str">
            <v>Investments Govt Securities</v>
          </cell>
        </row>
      </sheetData>
      <sheetData sheetId="1843">
        <row r="34">
          <cell r="A34" t="str">
            <v>Investments Govt Securities</v>
          </cell>
        </row>
      </sheetData>
      <sheetData sheetId="1844">
        <row r="34">
          <cell r="A34" t="str">
            <v>Investments Govt Securities</v>
          </cell>
        </row>
      </sheetData>
      <sheetData sheetId="1845">
        <row r="34">
          <cell r="A34" t="str">
            <v>Investments Govt Securities</v>
          </cell>
        </row>
      </sheetData>
      <sheetData sheetId="1846">
        <row r="34">
          <cell r="A34" t="str">
            <v>Investments Govt Securities</v>
          </cell>
        </row>
      </sheetData>
      <sheetData sheetId="1847">
        <row r="34">
          <cell r="A34" t="str">
            <v>Investments Govt Securities</v>
          </cell>
        </row>
      </sheetData>
      <sheetData sheetId="1848">
        <row r="34">
          <cell r="A34" t="str">
            <v>Investments Govt Securities</v>
          </cell>
        </row>
      </sheetData>
      <sheetData sheetId="1849">
        <row r="34">
          <cell r="A34" t="str">
            <v>Investments Govt Securities</v>
          </cell>
        </row>
      </sheetData>
      <sheetData sheetId="1850">
        <row r="34">
          <cell r="A34" t="str">
            <v>Investments Govt Securities</v>
          </cell>
        </row>
      </sheetData>
      <sheetData sheetId="1851">
        <row r="34">
          <cell r="A34" t="str">
            <v>Investments Govt Securities</v>
          </cell>
        </row>
      </sheetData>
      <sheetData sheetId="1852">
        <row r="34">
          <cell r="A34" t="str">
            <v>Investments Govt Securities</v>
          </cell>
        </row>
      </sheetData>
      <sheetData sheetId="1853">
        <row r="34">
          <cell r="A34" t="str">
            <v>Investments Govt Securities</v>
          </cell>
        </row>
      </sheetData>
      <sheetData sheetId="1854">
        <row r="34">
          <cell r="A34" t="str">
            <v>Investments Govt Securities</v>
          </cell>
        </row>
      </sheetData>
      <sheetData sheetId="1855">
        <row r="34">
          <cell r="A34" t="str">
            <v>Investments Govt Securities</v>
          </cell>
        </row>
      </sheetData>
      <sheetData sheetId="1856">
        <row r="34">
          <cell r="A34" t="str">
            <v>Investments Govt Securities</v>
          </cell>
        </row>
      </sheetData>
      <sheetData sheetId="1857">
        <row r="34">
          <cell r="A34" t="str">
            <v>Investments Govt Securities</v>
          </cell>
        </row>
      </sheetData>
      <sheetData sheetId="1858">
        <row r="34">
          <cell r="A34" t="str">
            <v>Investments Govt Securities</v>
          </cell>
        </row>
      </sheetData>
      <sheetData sheetId="1859">
        <row r="34">
          <cell r="A34" t="str">
            <v>Investments Govt Securities</v>
          </cell>
        </row>
      </sheetData>
      <sheetData sheetId="1860">
        <row r="34">
          <cell r="A34" t="str">
            <v>Investments Govt Securities</v>
          </cell>
        </row>
      </sheetData>
      <sheetData sheetId="1861">
        <row r="34">
          <cell r="A34" t="str">
            <v>Investments Govt Securities</v>
          </cell>
        </row>
      </sheetData>
      <sheetData sheetId="1862">
        <row r="34">
          <cell r="A34" t="str">
            <v>Investments Govt Securities</v>
          </cell>
        </row>
      </sheetData>
      <sheetData sheetId="1863">
        <row r="34">
          <cell r="A34" t="str">
            <v>Investments Govt Securities</v>
          </cell>
        </row>
      </sheetData>
      <sheetData sheetId="1864">
        <row r="34">
          <cell r="A34" t="str">
            <v>Investments Govt Securities</v>
          </cell>
        </row>
      </sheetData>
      <sheetData sheetId="1865">
        <row r="34">
          <cell r="A34" t="str">
            <v>Investments Govt Securities</v>
          </cell>
        </row>
      </sheetData>
      <sheetData sheetId="1866">
        <row r="34">
          <cell r="A34" t="str">
            <v>Investments Govt Securities</v>
          </cell>
        </row>
      </sheetData>
      <sheetData sheetId="1867">
        <row r="34">
          <cell r="A34" t="str">
            <v>Investments Govt Securities</v>
          </cell>
        </row>
      </sheetData>
      <sheetData sheetId="1868">
        <row r="34">
          <cell r="A34" t="str">
            <v>Investments Govt Securities</v>
          </cell>
        </row>
      </sheetData>
      <sheetData sheetId="1869">
        <row r="34">
          <cell r="A34" t="str">
            <v>Investments Govt Securities</v>
          </cell>
        </row>
      </sheetData>
      <sheetData sheetId="1870">
        <row r="34">
          <cell r="A34" t="str">
            <v>Investments Govt Securities</v>
          </cell>
        </row>
      </sheetData>
      <sheetData sheetId="1871">
        <row r="34">
          <cell r="A34" t="str">
            <v>Investments Govt Securities</v>
          </cell>
        </row>
      </sheetData>
      <sheetData sheetId="1872">
        <row r="34">
          <cell r="A34" t="str">
            <v>Investments Govt Securities</v>
          </cell>
        </row>
      </sheetData>
      <sheetData sheetId="1873">
        <row r="34">
          <cell r="A34" t="str">
            <v>Investments Govt Securities</v>
          </cell>
        </row>
      </sheetData>
      <sheetData sheetId="1874">
        <row r="34">
          <cell r="A34" t="str">
            <v>Investments Govt Securities</v>
          </cell>
        </row>
      </sheetData>
      <sheetData sheetId="1875">
        <row r="34">
          <cell r="A34" t="str">
            <v>Investments Govt Securities</v>
          </cell>
        </row>
      </sheetData>
      <sheetData sheetId="1876">
        <row r="34">
          <cell r="A34" t="str">
            <v>Investments Govt Securities</v>
          </cell>
        </row>
      </sheetData>
      <sheetData sheetId="1877">
        <row r="34">
          <cell r="A34" t="str">
            <v>Investments Govt Securities</v>
          </cell>
        </row>
      </sheetData>
      <sheetData sheetId="1878">
        <row r="34">
          <cell r="A34" t="str">
            <v>Investments Govt Securities</v>
          </cell>
        </row>
      </sheetData>
      <sheetData sheetId="1879">
        <row r="34">
          <cell r="A34" t="str">
            <v>Investments Govt Securities</v>
          </cell>
        </row>
      </sheetData>
      <sheetData sheetId="1880">
        <row r="34">
          <cell r="A34" t="str">
            <v>Investments Govt Securities</v>
          </cell>
        </row>
      </sheetData>
      <sheetData sheetId="1881">
        <row r="34">
          <cell r="A34" t="str">
            <v>Investments Govt Securities</v>
          </cell>
        </row>
      </sheetData>
      <sheetData sheetId="1882">
        <row r="34">
          <cell r="A34" t="str">
            <v>Investments Govt Securities</v>
          </cell>
        </row>
      </sheetData>
      <sheetData sheetId="1883">
        <row r="34">
          <cell r="A34" t="str">
            <v>Investments Govt Securities</v>
          </cell>
        </row>
      </sheetData>
      <sheetData sheetId="1884">
        <row r="34">
          <cell r="A34" t="str">
            <v>Investments Govt Securities</v>
          </cell>
        </row>
      </sheetData>
      <sheetData sheetId="1885">
        <row r="34">
          <cell r="A34" t="str">
            <v>Investments Govt Securities</v>
          </cell>
        </row>
      </sheetData>
      <sheetData sheetId="1886">
        <row r="34">
          <cell r="A34" t="str">
            <v>Investments Govt Securities</v>
          </cell>
        </row>
      </sheetData>
      <sheetData sheetId="1887">
        <row r="34">
          <cell r="A34" t="str">
            <v>Investments Govt Securities</v>
          </cell>
        </row>
      </sheetData>
      <sheetData sheetId="1888">
        <row r="34">
          <cell r="A34" t="str">
            <v>Investments Govt Securities</v>
          </cell>
        </row>
      </sheetData>
      <sheetData sheetId="1889">
        <row r="34">
          <cell r="A34" t="str">
            <v>Investments Govt Securities</v>
          </cell>
        </row>
      </sheetData>
      <sheetData sheetId="1890">
        <row r="34">
          <cell r="A34" t="str">
            <v>Investments Govt Securities</v>
          </cell>
        </row>
      </sheetData>
      <sheetData sheetId="1891">
        <row r="34">
          <cell r="A34" t="str">
            <v>Investments Govt Securities</v>
          </cell>
        </row>
      </sheetData>
      <sheetData sheetId="1892">
        <row r="34">
          <cell r="A34" t="str">
            <v>Investments Govt Securities</v>
          </cell>
        </row>
      </sheetData>
      <sheetData sheetId="1893">
        <row r="34">
          <cell r="A34" t="str">
            <v>Investments Govt Securities</v>
          </cell>
        </row>
      </sheetData>
      <sheetData sheetId="1894">
        <row r="34">
          <cell r="A34" t="str">
            <v>Investments Govt Securities</v>
          </cell>
        </row>
      </sheetData>
      <sheetData sheetId="1895">
        <row r="34">
          <cell r="A34" t="str">
            <v>Investments Govt Securities</v>
          </cell>
        </row>
      </sheetData>
      <sheetData sheetId="1896">
        <row r="34">
          <cell r="A34" t="str">
            <v>Investments Govt Securities</v>
          </cell>
        </row>
      </sheetData>
      <sheetData sheetId="1897">
        <row r="34">
          <cell r="A34" t="str">
            <v>Investments Govt Securities</v>
          </cell>
        </row>
      </sheetData>
      <sheetData sheetId="1898">
        <row r="34">
          <cell r="A34" t="str">
            <v>Investments Govt Securities</v>
          </cell>
        </row>
      </sheetData>
      <sheetData sheetId="1899">
        <row r="34">
          <cell r="A34" t="str">
            <v>Investments Govt Securities</v>
          </cell>
        </row>
      </sheetData>
      <sheetData sheetId="1900">
        <row r="34">
          <cell r="A34" t="str">
            <v>Investments Govt Securities</v>
          </cell>
        </row>
      </sheetData>
      <sheetData sheetId="1901">
        <row r="34">
          <cell r="A34" t="str">
            <v>Investments Govt Securities</v>
          </cell>
        </row>
      </sheetData>
      <sheetData sheetId="1902">
        <row r="34">
          <cell r="A34" t="str">
            <v>Investments Govt Securities</v>
          </cell>
        </row>
      </sheetData>
      <sheetData sheetId="1903">
        <row r="34">
          <cell r="A34" t="str">
            <v>Investments Govt Securities</v>
          </cell>
        </row>
      </sheetData>
      <sheetData sheetId="1904">
        <row r="34">
          <cell r="A34" t="str">
            <v>Investments Govt Securities</v>
          </cell>
        </row>
      </sheetData>
      <sheetData sheetId="1905">
        <row r="34">
          <cell r="A34" t="str">
            <v>Investments Govt Securities</v>
          </cell>
        </row>
      </sheetData>
      <sheetData sheetId="1906">
        <row r="34">
          <cell r="A34" t="str">
            <v>Investments Govt Securities</v>
          </cell>
        </row>
      </sheetData>
      <sheetData sheetId="1907">
        <row r="34">
          <cell r="A34" t="str">
            <v>Investments Govt Securities</v>
          </cell>
        </row>
      </sheetData>
      <sheetData sheetId="1908">
        <row r="34">
          <cell r="A34" t="str">
            <v>Investments Govt Securities</v>
          </cell>
        </row>
      </sheetData>
      <sheetData sheetId="1909">
        <row r="34">
          <cell r="A34" t="str">
            <v>Investments Govt Securities</v>
          </cell>
        </row>
      </sheetData>
      <sheetData sheetId="1910">
        <row r="34">
          <cell r="A34" t="str">
            <v>Investments Govt Securities</v>
          </cell>
        </row>
      </sheetData>
      <sheetData sheetId="1911">
        <row r="34">
          <cell r="A34" t="str">
            <v>Investments Govt Securities</v>
          </cell>
        </row>
      </sheetData>
      <sheetData sheetId="1912">
        <row r="34">
          <cell r="A34" t="str">
            <v>Investments Govt Securities</v>
          </cell>
        </row>
      </sheetData>
      <sheetData sheetId="1913">
        <row r="34">
          <cell r="A34" t="str">
            <v>Investments Govt Securities</v>
          </cell>
        </row>
      </sheetData>
      <sheetData sheetId="1914">
        <row r="34">
          <cell r="A34" t="str">
            <v>Investments Govt Securities</v>
          </cell>
        </row>
      </sheetData>
      <sheetData sheetId="1915">
        <row r="34">
          <cell r="A34" t="str">
            <v>Investments Govt Securities</v>
          </cell>
        </row>
      </sheetData>
      <sheetData sheetId="1916">
        <row r="34">
          <cell r="A34" t="str">
            <v>Investments Govt Securities</v>
          </cell>
        </row>
      </sheetData>
      <sheetData sheetId="1917">
        <row r="34">
          <cell r="A34" t="str">
            <v>Investments Govt Securities</v>
          </cell>
        </row>
      </sheetData>
      <sheetData sheetId="1918">
        <row r="34">
          <cell r="A34" t="str">
            <v>Investments Govt Securities</v>
          </cell>
        </row>
      </sheetData>
      <sheetData sheetId="1919">
        <row r="34">
          <cell r="A34" t="str">
            <v>Investments Govt Securities</v>
          </cell>
        </row>
      </sheetData>
      <sheetData sheetId="1920">
        <row r="34">
          <cell r="A34" t="str">
            <v>Investments Govt Securities</v>
          </cell>
        </row>
      </sheetData>
      <sheetData sheetId="1921">
        <row r="34">
          <cell r="A34" t="str">
            <v>Investments Govt Securities</v>
          </cell>
        </row>
      </sheetData>
      <sheetData sheetId="1922">
        <row r="34">
          <cell r="A34" t="str">
            <v>Investments Govt Securities</v>
          </cell>
        </row>
      </sheetData>
      <sheetData sheetId="1923">
        <row r="34">
          <cell r="A34" t="str">
            <v>Investments Govt Securities</v>
          </cell>
        </row>
      </sheetData>
      <sheetData sheetId="1924">
        <row r="34">
          <cell r="A34" t="str">
            <v>Investments Govt Securities</v>
          </cell>
        </row>
      </sheetData>
      <sheetData sheetId="1925">
        <row r="34">
          <cell r="A34" t="str">
            <v>Investments Govt Securities</v>
          </cell>
        </row>
      </sheetData>
      <sheetData sheetId="1926">
        <row r="34">
          <cell r="A34" t="str">
            <v>Investments Govt Securities</v>
          </cell>
        </row>
      </sheetData>
      <sheetData sheetId="1927">
        <row r="34">
          <cell r="A34" t="str">
            <v>Investments Govt Securities</v>
          </cell>
        </row>
      </sheetData>
      <sheetData sheetId="1928">
        <row r="34">
          <cell r="A34" t="str">
            <v>Investments Govt Securities</v>
          </cell>
        </row>
      </sheetData>
      <sheetData sheetId="1929">
        <row r="34">
          <cell r="A34" t="str">
            <v>Investments Govt Securities</v>
          </cell>
        </row>
      </sheetData>
      <sheetData sheetId="1930">
        <row r="34">
          <cell r="A34" t="str">
            <v>Investments Govt Securities</v>
          </cell>
        </row>
      </sheetData>
      <sheetData sheetId="1931">
        <row r="34">
          <cell r="A34" t="str">
            <v>Investments Govt Securities</v>
          </cell>
        </row>
      </sheetData>
      <sheetData sheetId="1932">
        <row r="34">
          <cell r="A34" t="str">
            <v>Investments Govt Securities</v>
          </cell>
        </row>
      </sheetData>
      <sheetData sheetId="1933">
        <row r="34">
          <cell r="A34" t="str">
            <v>Investments Govt Securities</v>
          </cell>
        </row>
      </sheetData>
      <sheetData sheetId="1934">
        <row r="34">
          <cell r="A34" t="str">
            <v>Investments Govt Securities</v>
          </cell>
        </row>
      </sheetData>
      <sheetData sheetId="1935">
        <row r="34">
          <cell r="A34" t="str">
            <v>Investments Govt Securities</v>
          </cell>
        </row>
      </sheetData>
      <sheetData sheetId="1936">
        <row r="34">
          <cell r="A34" t="str">
            <v>Investments Govt Securities</v>
          </cell>
        </row>
      </sheetData>
      <sheetData sheetId="1937">
        <row r="34">
          <cell r="A34" t="str">
            <v>Investments Govt Securities</v>
          </cell>
        </row>
      </sheetData>
      <sheetData sheetId="1938">
        <row r="34">
          <cell r="A34" t="str">
            <v>Investments Govt Securities</v>
          </cell>
        </row>
      </sheetData>
      <sheetData sheetId="1939">
        <row r="34">
          <cell r="A34" t="str">
            <v>Investments Govt Securities</v>
          </cell>
        </row>
      </sheetData>
      <sheetData sheetId="1940">
        <row r="34">
          <cell r="A34" t="str">
            <v>Investments Govt Securities</v>
          </cell>
        </row>
      </sheetData>
      <sheetData sheetId="1941">
        <row r="34">
          <cell r="A34" t="str">
            <v>Investments Govt Securities</v>
          </cell>
        </row>
      </sheetData>
      <sheetData sheetId="1942">
        <row r="34">
          <cell r="A34" t="str">
            <v>Investments Govt Securities</v>
          </cell>
        </row>
      </sheetData>
      <sheetData sheetId="1943">
        <row r="34">
          <cell r="A34" t="str">
            <v>Investments Govt Securities</v>
          </cell>
        </row>
      </sheetData>
      <sheetData sheetId="1944">
        <row r="34">
          <cell r="A34" t="str">
            <v>Investments Govt Securities</v>
          </cell>
        </row>
      </sheetData>
      <sheetData sheetId="1945">
        <row r="34">
          <cell r="A34" t="str">
            <v>Investments Govt Securities</v>
          </cell>
        </row>
      </sheetData>
      <sheetData sheetId="1946">
        <row r="34">
          <cell r="A34" t="str">
            <v>Investments Govt Securities</v>
          </cell>
        </row>
      </sheetData>
      <sheetData sheetId="1947">
        <row r="34">
          <cell r="A34" t="str">
            <v>Investments Govt Securities</v>
          </cell>
        </row>
      </sheetData>
      <sheetData sheetId="1948">
        <row r="34">
          <cell r="A34" t="str">
            <v>Investments Govt Securities</v>
          </cell>
        </row>
      </sheetData>
      <sheetData sheetId="1949">
        <row r="34">
          <cell r="A34" t="str">
            <v>Investments Govt Securities</v>
          </cell>
        </row>
      </sheetData>
      <sheetData sheetId="1950">
        <row r="34">
          <cell r="A34" t="str">
            <v>Investments Govt Securities</v>
          </cell>
        </row>
      </sheetData>
      <sheetData sheetId="1951">
        <row r="34">
          <cell r="A34" t="str">
            <v>Investments Govt Securities</v>
          </cell>
        </row>
      </sheetData>
      <sheetData sheetId="1952">
        <row r="34">
          <cell r="A34" t="str">
            <v>Investments Govt Securities</v>
          </cell>
        </row>
      </sheetData>
      <sheetData sheetId="1953">
        <row r="34">
          <cell r="A34" t="str">
            <v>Investments Govt Securities</v>
          </cell>
        </row>
      </sheetData>
      <sheetData sheetId="1954">
        <row r="34">
          <cell r="A34" t="str">
            <v>Investments Govt Securities</v>
          </cell>
        </row>
      </sheetData>
      <sheetData sheetId="1955">
        <row r="34">
          <cell r="A34" t="str">
            <v>Investments Govt Securities</v>
          </cell>
        </row>
      </sheetData>
      <sheetData sheetId="1956">
        <row r="34">
          <cell r="A34" t="str">
            <v>Investments Govt Securities</v>
          </cell>
        </row>
      </sheetData>
      <sheetData sheetId="1957">
        <row r="34">
          <cell r="A34" t="str">
            <v>Investments Govt Securities</v>
          </cell>
        </row>
      </sheetData>
      <sheetData sheetId="1958">
        <row r="34">
          <cell r="A34" t="str">
            <v>Investments Govt Securities</v>
          </cell>
        </row>
      </sheetData>
      <sheetData sheetId="1959">
        <row r="34">
          <cell r="A34" t="str">
            <v>Investments Govt Securities</v>
          </cell>
        </row>
      </sheetData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>
        <row r="34">
          <cell r="A34" t="str">
            <v>Investments Govt Securities</v>
          </cell>
        </row>
      </sheetData>
      <sheetData sheetId="2042">
        <row r="34">
          <cell r="A34" t="str">
            <v>Investments Govt Securities</v>
          </cell>
        </row>
      </sheetData>
      <sheetData sheetId="2043">
        <row r="34">
          <cell r="A34" t="str">
            <v>Investments Govt Securities</v>
          </cell>
        </row>
      </sheetData>
      <sheetData sheetId="2044">
        <row r="34">
          <cell r="A34" t="str">
            <v>Investments Govt Securities</v>
          </cell>
        </row>
      </sheetData>
      <sheetData sheetId="2045">
        <row r="34">
          <cell r="A34" t="str">
            <v>Investments Govt Securities</v>
          </cell>
        </row>
      </sheetData>
      <sheetData sheetId="2046">
        <row r="34">
          <cell r="A34" t="str">
            <v>Investments Govt Securities</v>
          </cell>
        </row>
      </sheetData>
      <sheetData sheetId="2047">
        <row r="34">
          <cell r="A34" t="str">
            <v>Investments Govt Securities</v>
          </cell>
        </row>
      </sheetData>
      <sheetData sheetId="2048">
        <row r="34">
          <cell r="A34" t="str">
            <v>Investments Govt Securities</v>
          </cell>
        </row>
      </sheetData>
      <sheetData sheetId="2049">
        <row r="34">
          <cell r="A34" t="str">
            <v>Investments Govt Securities</v>
          </cell>
        </row>
      </sheetData>
      <sheetData sheetId="2050">
        <row r="34">
          <cell r="A34" t="str">
            <v>Investments Govt Securities</v>
          </cell>
        </row>
      </sheetData>
      <sheetData sheetId="2051">
        <row r="34">
          <cell r="A34" t="str">
            <v>Investments Govt Securities</v>
          </cell>
        </row>
      </sheetData>
      <sheetData sheetId="2052">
        <row r="34">
          <cell r="A34" t="str">
            <v>Investments Govt Securities</v>
          </cell>
        </row>
      </sheetData>
      <sheetData sheetId="2053">
        <row r="34">
          <cell r="A34" t="str">
            <v>Investments Govt Securities</v>
          </cell>
        </row>
      </sheetData>
      <sheetData sheetId="2054">
        <row r="34">
          <cell r="A34" t="str">
            <v>Investments Govt Securities</v>
          </cell>
        </row>
      </sheetData>
      <sheetData sheetId="2055">
        <row r="34">
          <cell r="A34" t="str">
            <v>Investments Govt Securities</v>
          </cell>
        </row>
      </sheetData>
      <sheetData sheetId="2056">
        <row r="34">
          <cell r="A34" t="str">
            <v>Investments Govt Securities</v>
          </cell>
        </row>
      </sheetData>
      <sheetData sheetId="2057">
        <row r="34">
          <cell r="A34" t="str">
            <v>Investments Govt Securities</v>
          </cell>
        </row>
      </sheetData>
      <sheetData sheetId="2058">
        <row r="34">
          <cell r="A34" t="str">
            <v>Investments Govt Securities</v>
          </cell>
        </row>
      </sheetData>
      <sheetData sheetId="2059">
        <row r="34">
          <cell r="A34" t="str">
            <v>Investments Govt Securities</v>
          </cell>
        </row>
      </sheetData>
      <sheetData sheetId="2060">
        <row r="34">
          <cell r="A34" t="str">
            <v>Investments Govt Securities</v>
          </cell>
        </row>
      </sheetData>
      <sheetData sheetId="2061">
        <row r="34">
          <cell r="A34" t="str">
            <v>Investments Govt Securities</v>
          </cell>
        </row>
      </sheetData>
      <sheetData sheetId="2062">
        <row r="34">
          <cell r="A34" t="str">
            <v>Investments Govt Securities</v>
          </cell>
        </row>
      </sheetData>
      <sheetData sheetId="2063">
        <row r="34">
          <cell r="A34" t="str">
            <v>Investments Govt Securities</v>
          </cell>
        </row>
      </sheetData>
      <sheetData sheetId="2064">
        <row r="34">
          <cell r="A34" t="str">
            <v>Investments Govt Securities</v>
          </cell>
        </row>
      </sheetData>
      <sheetData sheetId="2065">
        <row r="34">
          <cell r="A34" t="str">
            <v>Investments Govt Securities</v>
          </cell>
        </row>
      </sheetData>
      <sheetData sheetId="2066">
        <row r="34">
          <cell r="A34" t="str">
            <v>Investments Govt Securities</v>
          </cell>
        </row>
      </sheetData>
      <sheetData sheetId="2067">
        <row r="34">
          <cell r="A34" t="str">
            <v>Investments Govt Securities</v>
          </cell>
        </row>
      </sheetData>
      <sheetData sheetId="2068">
        <row r="34">
          <cell r="A34" t="str">
            <v>Investments Govt Securities</v>
          </cell>
        </row>
      </sheetData>
      <sheetData sheetId="2069">
        <row r="34">
          <cell r="A34" t="str">
            <v>Investments Govt Securities</v>
          </cell>
        </row>
      </sheetData>
      <sheetData sheetId="2070">
        <row r="34">
          <cell r="A34" t="str">
            <v>Investments Govt Securities</v>
          </cell>
        </row>
      </sheetData>
      <sheetData sheetId="2071">
        <row r="34">
          <cell r="A34" t="str">
            <v>Investments Govt Securities</v>
          </cell>
        </row>
      </sheetData>
      <sheetData sheetId="2072">
        <row r="34">
          <cell r="A34" t="str">
            <v>Investments Govt Securities</v>
          </cell>
        </row>
      </sheetData>
      <sheetData sheetId="2073">
        <row r="34">
          <cell r="A34" t="str">
            <v>Investments Govt Securities</v>
          </cell>
        </row>
      </sheetData>
      <sheetData sheetId="2074">
        <row r="34">
          <cell r="A34" t="str">
            <v>Investments Govt Securities</v>
          </cell>
        </row>
      </sheetData>
      <sheetData sheetId="2075">
        <row r="34">
          <cell r="A34" t="str">
            <v>Investments Govt Securities</v>
          </cell>
        </row>
      </sheetData>
      <sheetData sheetId="2076">
        <row r="34">
          <cell r="A34" t="str">
            <v>Investments Govt Securities</v>
          </cell>
        </row>
      </sheetData>
      <sheetData sheetId="2077">
        <row r="34">
          <cell r="A34" t="str">
            <v>Investments Govt Securities</v>
          </cell>
        </row>
      </sheetData>
      <sheetData sheetId="2078">
        <row r="34">
          <cell r="A34" t="str">
            <v>Investments Govt Securities</v>
          </cell>
        </row>
      </sheetData>
      <sheetData sheetId="2079">
        <row r="34">
          <cell r="A34" t="str">
            <v>Investments Govt Securities</v>
          </cell>
        </row>
      </sheetData>
      <sheetData sheetId="2080">
        <row r="34">
          <cell r="A34" t="str">
            <v>Investments Govt Securities</v>
          </cell>
        </row>
      </sheetData>
      <sheetData sheetId="2081">
        <row r="34">
          <cell r="A34" t="str">
            <v>Investments Govt Securities</v>
          </cell>
        </row>
      </sheetData>
      <sheetData sheetId="2082">
        <row r="34">
          <cell r="A34" t="str">
            <v>Investments Govt Securities</v>
          </cell>
        </row>
      </sheetData>
      <sheetData sheetId="2083">
        <row r="34">
          <cell r="A34" t="str">
            <v>Investments Govt Securities</v>
          </cell>
        </row>
      </sheetData>
      <sheetData sheetId="2084">
        <row r="34">
          <cell r="A34" t="str">
            <v>Investments Govt Securities</v>
          </cell>
        </row>
      </sheetData>
      <sheetData sheetId="2085">
        <row r="34">
          <cell r="A34" t="str">
            <v>Investments Govt Securities</v>
          </cell>
        </row>
      </sheetData>
      <sheetData sheetId="2086">
        <row r="34">
          <cell r="A34" t="str">
            <v>Investments Govt Securities</v>
          </cell>
        </row>
      </sheetData>
      <sheetData sheetId="2087">
        <row r="34">
          <cell r="A34" t="str">
            <v>Investments Govt Securities</v>
          </cell>
        </row>
      </sheetData>
      <sheetData sheetId="2088">
        <row r="34">
          <cell r="A34" t="str">
            <v>Investments Govt Securities</v>
          </cell>
        </row>
      </sheetData>
      <sheetData sheetId="2089">
        <row r="34">
          <cell r="A34" t="str">
            <v>Investments Govt Securities</v>
          </cell>
        </row>
      </sheetData>
      <sheetData sheetId="2090">
        <row r="34">
          <cell r="A34" t="str">
            <v>Investments Govt Securities</v>
          </cell>
        </row>
      </sheetData>
      <sheetData sheetId="2091">
        <row r="34">
          <cell r="A34" t="str">
            <v>Investments Govt Securities</v>
          </cell>
        </row>
      </sheetData>
      <sheetData sheetId="2092">
        <row r="34">
          <cell r="A34" t="str">
            <v>Investments Govt Securities</v>
          </cell>
        </row>
      </sheetData>
      <sheetData sheetId="2093">
        <row r="34">
          <cell r="A34" t="str">
            <v>Investments Govt Securities</v>
          </cell>
        </row>
      </sheetData>
      <sheetData sheetId="2094">
        <row r="34">
          <cell r="A34" t="str">
            <v>Investments Govt Securities</v>
          </cell>
        </row>
      </sheetData>
      <sheetData sheetId="2095">
        <row r="34">
          <cell r="A34" t="str">
            <v>Investments Govt Securities</v>
          </cell>
        </row>
      </sheetData>
      <sheetData sheetId="2096">
        <row r="34">
          <cell r="A34" t="str">
            <v>Investments Govt Securities</v>
          </cell>
        </row>
      </sheetData>
      <sheetData sheetId="2097">
        <row r="34">
          <cell r="A34" t="str">
            <v>Investments Govt Securities</v>
          </cell>
        </row>
      </sheetData>
      <sheetData sheetId="2098">
        <row r="34">
          <cell r="A34" t="str">
            <v>Investments Govt Securities</v>
          </cell>
        </row>
      </sheetData>
      <sheetData sheetId="2099">
        <row r="34">
          <cell r="A34" t="str">
            <v>Investments Govt Securities</v>
          </cell>
        </row>
      </sheetData>
      <sheetData sheetId="2100">
        <row r="34">
          <cell r="A34" t="str">
            <v>Investments Govt Securities</v>
          </cell>
        </row>
      </sheetData>
      <sheetData sheetId="2101">
        <row r="34">
          <cell r="A34" t="str">
            <v>Investments Govt Securities</v>
          </cell>
        </row>
      </sheetData>
      <sheetData sheetId="2102">
        <row r="34">
          <cell r="A34" t="str">
            <v>Investments Govt Securities</v>
          </cell>
        </row>
      </sheetData>
      <sheetData sheetId="2103">
        <row r="34">
          <cell r="A34" t="str">
            <v>Investments Govt Securities</v>
          </cell>
        </row>
      </sheetData>
      <sheetData sheetId="2104">
        <row r="34">
          <cell r="A34" t="str">
            <v>Investments Govt Securities</v>
          </cell>
        </row>
      </sheetData>
      <sheetData sheetId="2105">
        <row r="34">
          <cell r="A34" t="str">
            <v>Investments Govt Securities</v>
          </cell>
        </row>
      </sheetData>
      <sheetData sheetId="2106">
        <row r="34">
          <cell r="A34" t="str">
            <v>Investments Govt Securities</v>
          </cell>
        </row>
      </sheetData>
      <sheetData sheetId="2107">
        <row r="34">
          <cell r="A34" t="str">
            <v>Investments Govt Securities</v>
          </cell>
        </row>
      </sheetData>
      <sheetData sheetId="2108">
        <row r="34">
          <cell r="A34" t="str">
            <v>Investments Govt Securities</v>
          </cell>
        </row>
      </sheetData>
      <sheetData sheetId="2109">
        <row r="34">
          <cell r="A34" t="str">
            <v>Investments Govt Securities</v>
          </cell>
        </row>
      </sheetData>
      <sheetData sheetId="2110">
        <row r="34">
          <cell r="A34" t="str">
            <v>Investments Govt Securities</v>
          </cell>
        </row>
      </sheetData>
      <sheetData sheetId="2111">
        <row r="34">
          <cell r="A34" t="str">
            <v>Investments Govt Securities</v>
          </cell>
        </row>
      </sheetData>
      <sheetData sheetId="2112">
        <row r="34">
          <cell r="A34" t="str">
            <v>Investments Govt Securities</v>
          </cell>
        </row>
      </sheetData>
      <sheetData sheetId="2113">
        <row r="34">
          <cell r="A34" t="str">
            <v>Investments Govt Securities</v>
          </cell>
        </row>
      </sheetData>
      <sheetData sheetId="2114">
        <row r="34">
          <cell r="A34" t="str">
            <v>Investments Govt Securities</v>
          </cell>
        </row>
      </sheetData>
      <sheetData sheetId="2115">
        <row r="34">
          <cell r="A34" t="str">
            <v>Investments Govt Securities</v>
          </cell>
        </row>
      </sheetData>
      <sheetData sheetId="2116">
        <row r="34">
          <cell r="A34" t="str">
            <v>Investments Govt Securities</v>
          </cell>
        </row>
      </sheetData>
      <sheetData sheetId="2117">
        <row r="34">
          <cell r="A34" t="str">
            <v>Investments Govt Securities</v>
          </cell>
        </row>
      </sheetData>
      <sheetData sheetId="2118">
        <row r="34">
          <cell r="A34" t="str">
            <v>Investments Govt Securities</v>
          </cell>
        </row>
      </sheetData>
      <sheetData sheetId="2119">
        <row r="34">
          <cell r="A34" t="str">
            <v>Investments Govt Securities</v>
          </cell>
        </row>
      </sheetData>
      <sheetData sheetId="2120">
        <row r="34">
          <cell r="A34" t="str">
            <v>Investments Govt Securities</v>
          </cell>
        </row>
      </sheetData>
      <sheetData sheetId="2121">
        <row r="34">
          <cell r="A34" t="str">
            <v>Investments Govt Securities</v>
          </cell>
        </row>
      </sheetData>
      <sheetData sheetId="2122">
        <row r="34">
          <cell r="A34" t="str">
            <v>Investments Govt Securities</v>
          </cell>
        </row>
      </sheetData>
      <sheetData sheetId="2123">
        <row r="34">
          <cell r="A34" t="str">
            <v>Investments Govt Securities</v>
          </cell>
        </row>
      </sheetData>
      <sheetData sheetId="2124">
        <row r="34">
          <cell r="A34" t="str">
            <v>Investments Govt Securities</v>
          </cell>
        </row>
      </sheetData>
      <sheetData sheetId="2125">
        <row r="34">
          <cell r="A34" t="str">
            <v>Investments Govt Securities</v>
          </cell>
        </row>
      </sheetData>
      <sheetData sheetId="2126">
        <row r="34">
          <cell r="A34" t="str">
            <v>Investments Govt Securities</v>
          </cell>
        </row>
      </sheetData>
      <sheetData sheetId="2127">
        <row r="34">
          <cell r="A34" t="str">
            <v>Investments Govt Securities</v>
          </cell>
        </row>
      </sheetData>
      <sheetData sheetId="2128">
        <row r="34">
          <cell r="A34" t="str">
            <v>Investments Govt Securities</v>
          </cell>
        </row>
      </sheetData>
      <sheetData sheetId="2129">
        <row r="34">
          <cell r="A34" t="str">
            <v>Investments Govt Securities</v>
          </cell>
        </row>
      </sheetData>
      <sheetData sheetId="2130">
        <row r="34">
          <cell r="A34" t="str">
            <v>Investments Govt Securities</v>
          </cell>
        </row>
      </sheetData>
      <sheetData sheetId="2131">
        <row r="34">
          <cell r="A34" t="str">
            <v>Investments Govt Securities</v>
          </cell>
        </row>
      </sheetData>
      <sheetData sheetId="2132">
        <row r="34">
          <cell r="A34" t="str">
            <v>Investments Govt Securities</v>
          </cell>
        </row>
      </sheetData>
      <sheetData sheetId="2133">
        <row r="34">
          <cell r="A34" t="str">
            <v>Investments Govt Securities</v>
          </cell>
        </row>
      </sheetData>
      <sheetData sheetId="2134">
        <row r="34">
          <cell r="A34" t="str">
            <v>Investments Govt Securities</v>
          </cell>
        </row>
      </sheetData>
      <sheetData sheetId="2135">
        <row r="34">
          <cell r="A34" t="str">
            <v>Investments Govt Securities</v>
          </cell>
        </row>
      </sheetData>
      <sheetData sheetId="2136">
        <row r="34">
          <cell r="A34" t="str">
            <v>Investments Govt Securities</v>
          </cell>
        </row>
      </sheetData>
      <sheetData sheetId="2137">
        <row r="34">
          <cell r="A34" t="str">
            <v>Investments Govt Securities</v>
          </cell>
        </row>
      </sheetData>
      <sheetData sheetId="2138">
        <row r="34">
          <cell r="A34" t="str">
            <v>Investments Govt Securities</v>
          </cell>
        </row>
      </sheetData>
      <sheetData sheetId="2139">
        <row r="34">
          <cell r="A34" t="str">
            <v>Investments Govt Securities</v>
          </cell>
        </row>
      </sheetData>
      <sheetData sheetId="2140">
        <row r="34">
          <cell r="A34" t="str">
            <v>Investments Govt Securities</v>
          </cell>
        </row>
      </sheetData>
      <sheetData sheetId="2141">
        <row r="34">
          <cell r="A34" t="str">
            <v>Investments Govt Securities</v>
          </cell>
        </row>
      </sheetData>
      <sheetData sheetId="2142">
        <row r="34">
          <cell r="A34" t="str">
            <v>Investments Govt Securities</v>
          </cell>
        </row>
      </sheetData>
      <sheetData sheetId="2143">
        <row r="34">
          <cell r="A34" t="str">
            <v>Investments Govt Securities</v>
          </cell>
        </row>
      </sheetData>
      <sheetData sheetId="2144">
        <row r="34">
          <cell r="A34" t="str">
            <v>Investments Govt Securities</v>
          </cell>
        </row>
      </sheetData>
      <sheetData sheetId="2145">
        <row r="34">
          <cell r="A34" t="str">
            <v>Investments Govt Securities</v>
          </cell>
        </row>
      </sheetData>
      <sheetData sheetId="2146">
        <row r="34">
          <cell r="A34" t="str">
            <v>Investments Govt Securities</v>
          </cell>
        </row>
      </sheetData>
      <sheetData sheetId="2147">
        <row r="34">
          <cell r="A34" t="str">
            <v>Investments Govt Securities</v>
          </cell>
        </row>
      </sheetData>
      <sheetData sheetId="2148">
        <row r="34">
          <cell r="A34" t="str">
            <v>Investments Govt Securities</v>
          </cell>
        </row>
      </sheetData>
      <sheetData sheetId="2149">
        <row r="34">
          <cell r="A34" t="str">
            <v>Investments Govt Securities</v>
          </cell>
        </row>
      </sheetData>
      <sheetData sheetId="2150">
        <row r="34">
          <cell r="A34" t="str">
            <v>Investments Govt Securities</v>
          </cell>
        </row>
      </sheetData>
      <sheetData sheetId="2151">
        <row r="34">
          <cell r="A34" t="str">
            <v>Investments Govt Securities</v>
          </cell>
        </row>
      </sheetData>
      <sheetData sheetId="2152">
        <row r="34">
          <cell r="A34" t="str">
            <v>Investments Govt Securities</v>
          </cell>
        </row>
      </sheetData>
      <sheetData sheetId="2153">
        <row r="34">
          <cell r="A34" t="str">
            <v>Investments Govt Securities</v>
          </cell>
        </row>
      </sheetData>
      <sheetData sheetId="2154">
        <row r="34">
          <cell r="A34" t="str">
            <v>Investments Govt Securities</v>
          </cell>
        </row>
      </sheetData>
      <sheetData sheetId="2155">
        <row r="34">
          <cell r="A34" t="str">
            <v>Investments Govt Securities</v>
          </cell>
        </row>
      </sheetData>
      <sheetData sheetId="2156">
        <row r="34">
          <cell r="A34" t="str">
            <v>Investments Govt Securities</v>
          </cell>
        </row>
      </sheetData>
      <sheetData sheetId="2157">
        <row r="34">
          <cell r="A34" t="str">
            <v>Investments Govt Securities</v>
          </cell>
        </row>
      </sheetData>
      <sheetData sheetId="2158" refreshError="1"/>
      <sheetData sheetId="2159" refreshError="1"/>
      <sheetData sheetId="2160">
        <row r="34">
          <cell r="A34" t="str">
            <v>Investments Govt Securities</v>
          </cell>
        </row>
      </sheetData>
      <sheetData sheetId="2161" refreshError="1"/>
      <sheetData sheetId="2162" refreshError="1"/>
      <sheetData sheetId="2163">
        <row r="34">
          <cell r="A34" t="str">
            <v>Investments Govt Securities</v>
          </cell>
        </row>
      </sheetData>
      <sheetData sheetId="2164">
        <row r="34">
          <cell r="A34" t="str">
            <v>Investments Govt Securities</v>
          </cell>
        </row>
      </sheetData>
      <sheetData sheetId="2165">
        <row r="34">
          <cell r="A34" t="str">
            <v>Investments Govt Securities</v>
          </cell>
        </row>
      </sheetData>
      <sheetData sheetId="2166">
        <row r="34">
          <cell r="A34" t="str">
            <v>Investments Govt Securities</v>
          </cell>
        </row>
      </sheetData>
      <sheetData sheetId="2167">
        <row r="34">
          <cell r="A34" t="str">
            <v>Investments Govt Securities</v>
          </cell>
        </row>
      </sheetData>
      <sheetData sheetId="2168">
        <row r="34">
          <cell r="A34" t="str">
            <v>Investments Govt Securities</v>
          </cell>
        </row>
      </sheetData>
      <sheetData sheetId="2169">
        <row r="34">
          <cell r="A34" t="str">
            <v>Investments Govt Securities</v>
          </cell>
        </row>
      </sheetData>
      <sheetData sheetId="2170">
        <row r="34">
          <cell r="A34" t="str">
            <v>Investments Govt Securities</v>
          </cell>
        </row>
      </sheetData>
      <sheetData sheetId="2171">
        <row r="34">
          <cell r="A34" t="str">
            <v>Investments Govt Securities</v>
          </cell>
        </row>
      </sheetData>
      <sheetData sheetId="2172">
        <row r="34">
          <cell r="A34" t="str">
            <v>Investments Govt Securities</v>
          </cell>
        </row>
      </sheetData>
      <sheetData sheetId="2173">
        <row r="34">
          <cell r="A34" t="str">
            <v>Investments Govt Securities</v>
          </cell>
        </row>
      </sheetData>
      <sheetData sheetId="2174">
        <row r="34">
          <cell r="A34" t="str">
            <v>Investments Govt Securities</v>
          </cell>
        </row>
      </sheetData>
      <sheetData sheetId="2175">
        <row r="34">
          <cell r="A34" t="str">
            <v>Investments Govt Securities</v>
          </cell>
        </row>
      </sheetData>
      <sheetData sheetId="2176">
        <row r="34">
          <cell r="A34" t="str">
            <v>Investments Govt Securities</v>
          </cell>
        </row>
      </sheetData>
      <sheetData sheetId="2177">
        <row r="34">
          <cell r="A34" t="str">
            <v>Investments Govt Securities</v>
          </cell>
        </row>
      </sheetData>
      <sheetData sheetId="2178">
        <row r="34">
          <cell r="A34" t="str">
            <v>Investments Govt Securities</v>
          </cell>
        </row>
      </sheetData>
      <sheetData sheetId="2179">
        <row r="34">
          <cell r="A34" t="str">
            <v>Investments Govt Securities</v>
          </cell>
        </row>
      </sheetData>
      <sheetData sheetId="2180">
        <row r="34">
          <cell r="A34" t="str">
            <v>Investments Govt Securities</v>
          </cell>
        </row>
      </sheetData>
      <sheetData sheetId="2181">
        <row r="34">
          <cell r="A34" t="str">
            <v>Investments Govt Securities</v>
          </cell>
        </row>
      </sheetData>
      <sheetData sheetId="2182">
        <row r="34">
          <cell r="A34" t="str">
            <v>Investments Govt Securities</v>
          </cell>
        </row>
      </sheetData>
      <sheetData sheetId="2183">
        <row r="34">
          <cell r="A34" t="str">
            <v>Investments Govt Securities</v>
          </cell>
        </row>
      </sheetData>
      <sheetData sheetId="2184">
        <row r="34">
          <cell r="A34" t="str">
            <v>Investments Govt Securities</v>
          </cell>
        </row>
      </sheetData>
      <sheetData sheetId="2185">
        <row r="34">
          <cell r="A34" t="str">
            <v>Investments Govt Securities</v>
          </cell>
        </row>
      </sheetData>
      <sheetData sheetId="2186">
        <row r="34">
          <cell r="A34" t="str">
            <v>Investments Govt Securities</v>
          </cell>
        </row>
      </sheetData>
      <sheetData sheetId="2187">
        <row r="34">
          <cell r="A34" t="str">
            <v>Investments Govt Securities</v>
          </cell>
        </row>
      </sheetData>
      <sheetData sheetId="2188">
        <row r="34">
          <cell r="A34" t="str">
            <v>Investments Govt Securities</v>
          </cell>
        </row>
      </sheetData>
      <sheetData sheetId="2189">
        <row r="34">
          <cell r="A34" t="str">
            <v>Investments Govt Securities</v>
          </cell>
        </row>
      </sheetData>
      <sheetData sheetId="2190">
        <row r="34">
          <cell r="A34" t="str">
            <v>Investments Govt Securities</v>
          </cell>
        </row>
      </sheetData>
      <sheetData sheetId="2191">
        <row r="34">
          <cell r="A34" t="str">
            <v>Investments Govt Securities</v>
          </cell>
        </row>
      </sheetData>
      <sheetData sheetId="2192">
        <row r="34">
          <cell r="A34" t="str">
            <v>Investments Govt Securities</v>
          </cell>
        </row>
      </sheetData>
      <sheetData sheetId="2193">
        <row r="34">
          <cell r="A34" t="str">
            <v>Investments Govt Securities</v>
          </cell>
        </row>
      </sheetData>
      <sheetData sheetId="2194">
        <row r="34">
          <cell r="A34" t="str">
            <v>Investments Govt Securities</v>
          </cell>
        </row>
      </sheetData>
      <sheetData sheetId="2195">
        <row r="34">
          <cell r="A34" t="str">
            <v>Investments Govt Securities</v>
          </cell>
        </row>
      </sheetData>
      <sheetData sheetId="2196">
        <row r="34">
          <cell r="A34" t="str">
            <v>Investments Govt Securities</v>
          </cell>
        </row>
      </sheetData>
      <sheetData sheetId="2197">
        <row r="34">
          <cell r="A34" t="str">
            <v>Investments Govt Securities</v>
          </cell>
        </row>
      </sheetData>
      <sheetData sheetId="2198">
        <row r="34">
          <cell r="A34" t="str">
            <v>Investments Govt Securities</v>
          </cell>
        </row>
      </sheetData>
      <sheetData sheetId="2199">
        <row r="34">
          <cell r="A34" t="str">
            <v>Investments Govt Securities</v>
          </cell>
        </row>
      </sheetData>
      <sheetData sheetId="2200">
        <row r="34">
          <cell r="A34" t="str">
            <v>Investments Govt Securities</v>
          </cell>
        </row>
      </sheetData>
      <sheetData sheetId="2201">
        <row r="34">
          <cell r="A34" t="str">
            <v>Investments Govt Securities</v>
          </cell>
        </row>
      </sheetData>
      <sheetData sheetId="2202">
        <row r="34">
          <cell r="A34" t="str">
            <v>Investments Govt Securities</v>
          </cell>
        </row>
      </sheetData>
      <sheetData sheetId="2203">
        <row r="34">
          <cell r="A34" t="str">
            <v>Investments Govt Securities</v>
          </cell>
        </row>
      </sheetData>
      <sheetData sheetId="2204">
        <row r="34">
          <cell r="A34" t="str">
            <v>Investments Govt Securities</v>
          </cell>
        </row>
      </sheetData>
      <sheetData sheetId="2205">
        <row r="34">
          <cell r="A34" t="str">
            <v>Investments Govt Securities</v>
          </cell>
        </row>
      </sheetData>
      <sheetData sheetId="2206">
        <row r="34">
          <cell r="A34" t="str">
            <v>Investments Govt Securities</v>
          </cell>
        </row>
      </sheetData>
      <sheetData sheetId="2207">
        <row r="34">
          <cell r="A34" t="str">
            <v>Investments Govt Securities</v>
          </cell>
        </row>
      </sheetData>
      <sheetData sheetId="2208">
        <row r="34">
          <cell r="A34" t="str">
            <v>Investments Govt Securities</v>
          </cell>
        </row>
      </sheetData>
      <sheetData sheetId="2209">
        <row r="34">
          <cell r="A34" t="str">
            <v>Investments Govt Securities</v>
          </cell>
        </row>
      </sheetData>
      <sheetData sheetId="2210">
        <row r="34">
          <cell r="A34" t="str">
            <v>Investments Govt Securities</v>
          </cell>
        </row>
      </sheetData>
      <sheetData sheetId="2211">
        <row r="34">
          <cell r="A34" t="str">
            <v>Investments Govt Securities</v>
          </cell>
        </row>
      </sheetData>
      <sheetData sheetId="2212">
        <row r="34">
          <cell r="A34" t="str">
            <v>Investments Govt Securities</v>
          </cell>
        </row>
      </sheetData>
      <sheetData sheetId="2213">
        <row r="34">
          <cell r="A34" t="str">
            <v>Investments Govt Securities</v>
          </cell>
        </row>
      </sheetData>
      <sheetData sheetId="2214">
        <row r="34">
          <cell r="A34" t="str">
            <v>Investments Govt Securities</v>
          </cell>
        </row>
      </sheetData>
      <sheetData sheetId="2215">
        <row r="34">
          <cell r="A34" t="str">
            <v>Investments Govt Securities</v>
          </cell>
        </row>
      </sheetData>
      <sheetData sheetId="2216">
        <row r="34">
          <cell r="A34" t="str">
            <v>Investments Govt Securities</v>
          </cell>
        </row>
      </sheetData>
      <sheetData sheetId="2217">
        <row r="34">
          <cell r="A34" t="str">
            <v>Investments Govt Securities</v>
          </cell>
        </row>
      </sheetData>
      <sheetData sheetId="2218">
        <row r="34">
          <cell r="A34" t="str">
            <v>Investments Govt Securities</v>
          </cell>
        </row>
      </sheetData>
      <sheetData sheetId="2219">
        <row r="34">
          <cell r="A34" t="str">
            <v>Investments Govt Securities</v>
          </cell>
        </row>
      </sheetData>
      <sheetData sheetId="2220">
        <row r="34">
          <cell r="A34" t="str">
            <v>Investments Govt Securities</v>
          </cell>
        </row>
      </sheetData>
      <sheetData sheetId="2221">
        <row r="34">
          <cell r="A34" t="str">
            <v>Investments Govt Securities</v>
          </cell>
        </row>
      </sheetData>
      <sheetData sheetId="2222">
        <row r="34">
          <cell r="A34" t="str">
            <v>Investments Govt Securities</v>
          </cell>
        </row>
      </sheetData>
      <sheetData sheetId="2223">
        <row r="34">
          <cell r="A34" t="str">
            <v>Investments Govt Securities</v>
          </cell>
        </row>
      </sheetData>
      <sheetData sheetId="2224">
        <row r="34">
          <cell r="A34" t="str">
            <v>Investments Govt Securities</v>
          </cell>
        </row>
      </sheetData>
      <sheetData sheetId="2225">
        <row r="34">
          <cell r="A34" t="str">
            <v>Investments Govt Securities</v>
          </cell>
        </row>
      </sheetData>
      <sheetData sheetId="2226">
        <row r="34">
          <cell r="A34" t="str">
            <v>Investments Govt Securities</v>
          </cell>
        </row>
      </sheetData>
      <sheetData sheetId="2227">
        <row r="34">
          <cell r="A34" t="str">
            <v>Investments Govt Securities</v>
          </cell>
        </row>
      </sheetData>
      <sheetData sheetId="2228">
        <row r="34">
          <cell r="A34" t="str">
            <v>Investments Govt Securities</v>
          </cell>
        </row>
      </sheetData>
      <sheetData sheetId="2229">
        <row r="34">
          <cell r="A34" t="str">
            <v>Investments Govt Securities</v>
          </cell>
        </row>
      </sheetData>
      <sheetData sheetId="2230">
        <row r="34">
          <cell r="A34" t="str">
            <v>Investments Govt Securities</v>
          </cell>
        </row>
      </sheetData>
      <sheetData sheetId="2231">
        <row r="34">
          <cell r="A34" t="str">
            <v>Investments Govt Securities</v>
          </cell>
        </row>
      </sheetData>
      <sheetData sheetId="2232">
        <row r="34">
          <cell r="A34" t="str">
            <v>Investments Govt Securities</v>
          </cell>
        </row>
      </sheetData>
      <sheetData sheetId="2233">
        <row r="34">
          <cell r="A34" t="str">
            <v>Investments Govt Securities</v>
          </cell>
        </row>
      </sheetData>
      <sheetData sheetId="2234">
        <row r="34">
          <cell r="A34" t="str">
            <v>Investments Govt Securities</v>
          </cell>
        </row>
      </sheetData>
      <sheetData sheetId="2235">
        <row r="34">
          <cell r="A34" t="str">
            <v>Investments Govt Securities</v>
          </cell>
        </row>
      </sheetData>
      <sheetData sheetId="2236">
        <row r="34">
          <cell r="A34" t="str">
            <v>Investments Govt Securities</v>
          </cell>
        </row>
      </sheetData>
      <sheetData sheetId="2237">
        <row r="34">
          <cell r="A34" t="str">
            <v>Investments Govt Securities</v>
          </cell>
        </row>
      </sheetData>
      <sheetData sheetId="2238">
        <row r="34">
          <cell r="A34" t="str">
            <v>Investments Govt Securities</v>
          </cell>
        </row>
      </sheetData>
      <sheetData sheetId="2239">
        <row r="34">
          <cell r="A34" t="str">
            <v>Investments Govt Securities</v>
          </cell>
        </row>
      </sheetData>
      <sheetData sheetId="2240">
        <row r="34">
          <cell r="A34" t="str">
            <v>Investments Govt Securities</v>
          </cell>
        </row>
      </sheetData>
      <sheetData sheetId="2241">
        <row r="34">
          <cell r="A34" t="str">
            <v>Investments Govt Securities</v>
          </cell>
        </row>
      </sheetData>
      <sheetData sheetId="2242">
        <row r="34">
          <cell r="A34" t="str">
            <v>Investments Govt Securities</v>
          </cell>
        </row>
      </sheetData>
      <sheetData sheetId="2243">
        <row r="34">
          <cell r="A34" t="str">
            <v>Investments Govt Securities</v>
          </cell>
        </row>
      </sheetData>
      <sheetData sheetId="2244">
        <row r="34">
          <cell r="A34" t="str">
            <v>Investments Govt Securities</v>
          </cell>
        </row>
      </sheetData>
      <sheetData sheetId="2245">
        <row r="34">
          <cell r="A34" t="str">
            <v>Investments Govt Securities</v>
          </cell>
        </row>
      </sheetData>
      <sheetData sheetId="2246">
        <row r="34">
          <cell r="A34" t="str">
            <v>Investments Govt Securities</v>
          </cell>
        </row>
      </sheetData>
      <sheetData sheetId="2247">
        <row r="34">
          <cell r="A34" t="str">
            <v>Investments Govt Securities</v>
          </cell>
        </row>
      </sheetData>
      <sheetData sheetId="2248">
        <row r="34">
          <cell r="A34" t="str">
            <v>Investments Govt Securities</v>
          </cell>
        </row>
      </sheetData>
      <sheetData sheetId="2249">
        <row r="34">
          <cell r="A34" t="str">
            <v>Investments Govt Securities</v>
          </cell>
        </row>
      </sheetData>
      <sheetData sheetId="2250">
        <row r="34">
          <cell r="A34" t="str">
            <v>Investments Govt Securities</v>
          </cell>
        </row>
      </sheetData>
      <sheetData sheetId="2251">
        <row r="34">
          <cell r="A34" t="str">
            <v>Investments Govt Securities</v>
          </cell>
        </row>
      </sheetData>
      <sheetData sheetId="2252">
        <row r="34">
          <cell r="A34" t="str">
            <v>Investments Govt Securities</v>
          </cell>
        </row>
      </sheetData>
      <sheetData sheetId="2253">
        <row r="34">
          <cell r="A34" t="str">
            <v>Investments Govt Securities</v>
          </cell>
        </row>
      </sheetData>
      <sheetData sheetId="2254">
        <row r="34">
          <cell r="A34" t="str">
            <v>Investments Govt Securities</v>
          </cell>
        </row>
      </sheetData>
      <sheetData sheetId="2255">
        <row r="34">
          <cell r="A34" t="str">
            <v>Investments Govt Securities</v>
          </cell>
        </row>
      </sheetData>
      <sheetData sheetId="2256">
        <row r="34">
          <cell r="A34" t="str">
            <v>Investments Govt Securities</v>
          </cell>
        </row>
      </sheetData>
      <sheetData sheetId="2257">
        <row r="34">
          <cell r="A34" t="str">
            <v>Investments Govt Securities</v>
          </cell>
        </row>
      </sheetData>
      <sheetData sheetId="2258">
        <row r="34">
          <cell r="A34" t="str">
            <v>Investments Govt Securities</v>
          </cell>
        </row>
      </sheetData>
      <sheetData sheetId="2259">
        <row r="34">
          <cell r="A34" t="str">
            <v>Investments Govt Securities</v>
          </cell>
        </row>
      </sheetData>
      <sheetData sheetId="2260">
        <row r="34">
          <cell r="A34" t="str">
            <v>Investments Govt Securities</v>
          </cell>
        </row>
      </sheetData>
      <sheetData sheetId="2261">
        <row r="34">
          <cell r="A34" t="str">
            <v>Investments Govt Securities</v>
          </cell>
        </row>
      </sheetData>
      <sheetData sheetId="2262">
        <row r="34">
          <cell r="A34" t="str">
            <v>Investments Govt Securities</v>
          </cell>
        </row>
      </sheetData>
      <sheetData sheetId="2263">
        <row r="34">
          <cell r="A34" t="str">
            <v>Investments Govt Securities</v>
          </cell>
        </row>
      </sheetData>
      <sheetData sheetId="2264">
        <row r="34">
          <cell r="A34" t="str">
            <v>Investments Govt Securities</v>
          </cell>
        </row>
      </sheetData>
      <sheetData sheetId="2265">
        <row r="34">
          <cell r="A34" t="str">
            <v>Investments Govt Securities</v>
          </cell>
        </row>
      </sheetData>
      <sheetData sheetId="2266">
        <row r="34">
          <cell r="A34" t="str">
            <v>Investments Govt Securities</v>
          </cell>
        </row>
      </sheetData>
      <sheetData sheetId="2267">
        <row r="34">
          <cell r="A34" t="str">
            <v>Investments Govt Securities</v>
          </cell>
        </row>
      </sheetData>
      <sheetData sheetId="2268">
        <row r="34">
          <cell r="A34" t="str">
            <v>Investments Govt Securities</v>
          </cell>
        </row>
      </sheetData>
      <sheetData sheetId="2269">
        <row r="34">
          <cell r="A34" t="str">
            <v>Investments Govt Securities</v>
          </cell>
        </row>
      </sheetData>
      <sheetData sheetId="2270">
        <row r="34">
          <cell r="A34" t="str">
            <v>Investments Govt Securities</v>
          </cell>
        </row>
      </sheetData>
      <sheetData sheetId="2271">
        <row r="34">
          <cell r="A34" t="str">
            <v>Investments Govt Securities</v>
          </cell>
        </row>
      </sheetData>
      <sheetData sheetId="2272">
        <row r="34">
          <cell r="A34" t="str">
            <v>Investments Govt Securities</v>
          </cell>
        </row>
      </sheetData>
      <sheetData sheetId="2273">
        <row r="34">
          <cell r="A34" t="str">
            <v>Investments Govt Securities</v>
          </cell>
        </row>
      </sheetData>
      <sheetData sheetId="2274">
        <row r="34">
          <cell r="A34" t="str">
            <v>Investments Govt Securities</v>
          </cell>
        </row>
      </sheetData>
      <sheetData sheetId="2275">
        <row r="34">
          <cell r="A34" t="str">
            <v>Investments Govt Securities</v>
          </cell>
        </row>
      </sheetData>
      <sheetData sheetId="2276">
        <row r="34">
          <cell r="A34" t="str">
            <v>Investments Govt Securities</v>
          </cell>
        </row>
      </sheetData>
      <sheetData sheetId="2277">
        <row r="34">
          <cell r="A34" t="str">
            <v>Investments Govt Securities</v>
          </cell>
        </row>
      </sheetData>
      <sheetData sheetId="2278">
        <row r="34">
          <cell r="A34" t="str">
            <v>Investments Govt Securities</v>
          </cell>
        </row>
      </sheetData>
      <sheetData sheetId="2279">
        <row r="34">
          <cell r="A34" t="str">
            <v>Investments Govt Securities</v>
          </cell>
        </row>
      </sheetData>
      <sheetData sheetId="2280">
        <row r="34">
          <cell r="A34" t="str">
            <v>Investments Govt Securities</v>
          </cell>
        </row>
      </sheetData>
      <sheetData sheetId="2281">
        <row r="34">
          <cell r="A34" t="str">
            <v>Investments Govt Securities</v>
          </cell>
        </row>
      </sheetData>
      <sheetData sheetId="2282">
        <row r="34">
          <cell r="A34" t="str">
            <v>Investments Govt Securities</v>
          </cell>
        </row>
      </sheetData>
      <sheetData sheetId="2283">
        <row r="34">
          <cell r="A34" t="str">
            <v>Investments Govt Securities</v>
          </cell>
        </row>
      </sheetData>
      <sheetData sheetId="2284">
        <row r="34">
          <cell r="A34" t="str">
            <v>Investments Govt Securities</v>
          </cell>
        </row>
      </sheetData>
      <sheetData sheetId="2285">
        <row r="34">
          <cell r="A34" t="str">
            <v>Investments Govt Securities</v>
          </cell>
        </row>
      </sheetData>
      <sheetData sheetId="2286">
        <row r="34">
          <cell r="A34" t="str">
            <v>Investments Govt Securities</v>
          </cell>
        </row>
      </sheetData>
      <sheetData sheetId="2287">
        <row r="34">
          <cell r="A34" t="str">
            <v>Investments Govt Securities</v>
          </cell>
        </row>
      </sheetData>
      <sheetData sheetId="2288">
        <row r="34">
          <cell r="A34" t="str">
            <v>Investments Govt Securities</v>
          </cell>
        </row>
      </sheetData>
      <sheetData sheetId="2289">
        <row r="34">
          <cell r="A34" t="str">
            <v>Investments Govt Securities</v>
          </cell>
        </row>
      </sheetData>
      <sheetData sheetId="2290">
        <row r="34">
          <cell r="A34" t="str">
            <v>Investments Govt Securities</v>
          </cell>
        </row>
      </sheetData>
      <sheetData sheetId="2291">
        <row r="34">
          <cell r="A34" t="str">
            <v>Investments Govt Securities</v>
          </cell>
        </row>
      </sheetData>
      <sheetData sheetId="2292">
        <row r="34">
          <cell r="A34" t="str">
            <v>Investments Govt Securities</v>
          </cell>
        </row>
      </sheetData>
      <sheetData sheetId="2293">
        <row r="34">
          <cell r="A34" t="str">
            <v>Investments Govt Securities</v>
          </cell>
        </row>
      </sheetData>
      <sheetData sheetId="2294">
        <row r="34">
          <cell r="A34" t="str">
            <v>Investments Govt Securities</v>
          </cell>
        </row>
      </sheetData>
      <sheetData sheetId="2295">
        <row r="34">
          <cell r="A34" t="str">
            <v>Investments Govt Securities</v>
          </cell>
        </row>
      </sheetData>
      <sheetData sheetId="2296">
        <row r="34">
          <cell r="A34" t="str">
            <v>Investments Govt Securities</v>
          </cell>
        </row>
      </sheetData>
      <sheetData sheetId="2297">
        <row r="34">
          <cell r="A34" t="str">
            <v>Investments Govt Securities</v>
          </cell>
        </row>
      </sheetData>
      <sheetData sheetId="2298">
        <row r="34">
          <cell r="A34" t="str">
            <v>Investments Govt Securities</v>
          </cell>
        </row>
      </sheetData>
      <sheetData sheetId="2299">
        <row r="34">
          <cell r="A34" t="str">
            <v>Investments Govt Securities</v>
          </cell>
        </row>
      </sheetData>
      <sheetData sheetId="2300">
        <row r="34">
          <cell r="A34" t="str">
            <v>Investments Govt Securities</v>
          </cell>
        </row>
      </sheetData>
      <sheetData sheetId="2301">
        <row r="34">
          <cell r="A34" t="str">
            <v>Investments Govt Securities</v>
          </cell>
        </row>
      </sheetData>
      <sheetData sheetId="2302">
        <row r="34">
          <cell r="A34" t="str">
            <v>Investments Govt Securities</v>
          </cell>
        </row>
      </sheetData>
      <sheetData sheetId="2303">
        <row r="34">
          <cell r="A34" t="str">
            <v>Investments Govt Securities</v>
          </cell>
        </row>
      </sheetData>
      <sheetData sheetId="2304">
        <row r="34">
          <cell r="A34" t="str">
            <v>Investments Govt Securities</v>
          </cell>
        </row>
      </sheetData>
      <sheetData sheetId="2305">
        <row r="34">
          <cell r="A34" t="str">
            <v>Investments Govt Securities</v>
          </cell>
        </row>
      </sheetData>
      <sheetData sheetId="2306">
        <row r="34">
          <cell r="A34" t="str">
            <v>Investments Govt Securities</v>
          </cell>
        </row>
      </sheetData>
      <sheetData sheetId="2307">
        <row r="34">
          <cell r="A34" t="str">
            <v>Investments Govt Securities</v>
          </cell>
        </row>
      </sheetData>
      <sheetData sheetId="2308">
        <row r="34">
          <cell r="A34" t="str">
            <v>Investments Govt Securities</v>
          </cell>
        </row>
      </sheetData>
      <sheetData sheetId="2309">
        <row r="34">
          <cell r="A34" t="str">
            <v>Investments Govt Securities</v>
          </cell>
        </row>
      </sheetData>
      <sheetData sheetId="2310">
        <row r="34">
          <cell r="A34" t="str">
            <v>Investments Govt Securities</v>
          </cell>
        </row>
      </sheetData>
      <sheetData sheetId="2311">
        <row r="34">
          <cell r="A34" t="str">
            <v>Investments Govt Securities</v>
          </cell>
        </row>
      </sheetData>
      <sheetData sheetId="2312">
        <row r="34">
          <cell r="A34" t="str">
            <v>Investments Govt Securities</v>
          </cell>
        </row>
      </sheetData>
      <sheetData sheetId="2313">
        <row r="34">
          <cell r="A34" t="str">
            <v>Investments Govt Securities</v>
          </cell>
        </row>
      </sheetData>
      <sheetData sheetId="2314">
        <row r="34">
          <cell r="A34" t="str">
            <v>Investments Govt Securities</v>
          </cell>
        </row>
      </sheetData>
      <sheetData sheetId="2315">
        <row r="34">
          <cell r="A34" t="str">
            <v>Investments Govt Securities</v>
          </cell>
        </row>
      </sheetData>
      <sheetData sheetId="2316">
        <row r="34">
          <cell r="A34" t="str">
            <v>Investments Govt Securities</v>
          </cell>
        </row>
      </sheetData>
      <sheetData sheetId="2317">
        <row r="34">
          <cell r="A34" t="str">
            <v>Investments Govt Securities</v>
          </cell>
        </row>
      </sheetData>
      <sheetData sheetId="2318">
        <row r="34">
          <cell r="A34" t="str">
            <v>Investments Govt Securities</v>
          </cell>
        </row>
      </sheetData>
      <sheetData sheetId="2319">
        <row r="34">
          <cell r="A34" t="str">
            <v>Investments Govt Securities</v>
          </cell>
        </row>
      </sheetData>
      <sheetData sheetId="2320">
        <row r="34">
          <cell r="A34" t="str">
            <v>Investments Govt Securities</v>
          </cell>
        </row>
      </sheetData>
      <sheetData sheetId="2321">
        <row r="34">
          <cell r="A34" t="str">
            <v>Investments Govt Securities</v>
          </cell>
        </row>
      </sheetData>
      <sheetData sheetId="2322">
        <row r="34">
          <cell r="A34" t="str">
            <v>Investments Govt Securities</v>
          </cell>
        </row>
      </sheetData>
      <sheetData sheetId="2323">
        <row r="34">
          <cell r="A34" t="str">
            <v>Investments Govt Securities</v>
          </cell>
        </row>
      </sheetData>
      <sheetData sheetId="2324">
        <row r="34">
          <cell r="A34" t="str">
            <v>Investments Govt Securities</v>
          </cell>
        </row>
      </sheetData>
      <sheetData sheetId="2325">
        <row r="34">
          <cell r="A34" t="str">
            <v>Investments Govt Securities</v>
          </cell>
        </row>
      </sheetData>
      <sheetData sheetId="2326">
        <row r="34">
          <cell r="A34" t="str">
            <v>Investments Govt Securities</v>
          </cell>
        </row>
      </sheetData>
      <sheetData sheetId="2327">
        <row r="34">
          <cell r="A34" t="str">
            <v>Investments Govt Securities</v>
          </cell>
        </row>
      </sheetData>
      <sheetData sheetId="2328">
        <row r="34">
          <cell r="A34" t="str">
            <v>Investments Govt Securities</v>
          </cell>
        </row>
      </sheetData>
      <sheetData sheetId="2329">
        <row r="34">
          <cell r="A34" t="str">
            <v>Investments Govt Securities</v>
          </cell>
        </row>
      </sheetData>
      <sheetData sheetId="2330">
        <row r="34">
          <cell r="A34" t="str">
            <v>Investments Govt Securities</v>
          </cell>
        </row>
      </sheetData>
      <sheetData sheetId="2331">
        <row r="34">
          <cell r="A34" t="str">
            <v>Investments Govt Securities</v>
          </cell>
        </row>
      </sheetData>
      <sheetData sheetId="2332">
        <row r="34">
          <cell r="A34" t="str">
            <v>Investments Govt Securities</v>
          </cell>
        </row>
      </sheetData>
      <sheetData sheetId="2333">
        <row r="34">
          <cell r="A34" t="str">
            <v>Investments Govt Securities</v>
          </cell>
        </row>
      </sheetData>
      <sheetData sheetId="2334">
        <row r="34">
          <cell r="A34" t="str">
            <v>Investments Govt Securities</v>
          </cell>
        </row>
      </sheetData>
      <sheetData sheetId="2335">
        <row r="34">
          <cell r="A34" t="str">
            <v>Investments Govt Securities</v>
          </cell>
        </row>
      </sheetData>
      <sheetData sheetId="2336">
        <row r="34">
          <cell r="A34" t="str">
            <v>Investments Govt Securities</v>
          </cell>
        </row>
      </sheetData>
      <sheetData sheetId="2337">
        <row r="34">
          <cell r="A34" t="str">
            <v>Investments Govt Securities</v>
          </cell>
        </row>
      </sheetData>
      <sheetData sheetId="2338">
        <row r="34">
          <cell r="A34" t="str">
            <v>Investments Govt Securities</v>
          </cell>
        </row>
      </sheetData>
      <sheetData sheetId="2339">
        <row r="34">
          <cell r="A34" t="str">
            <v>Investments Govt Securities</v>
          </cell>
        </row>
      </sheetData>
      <sheetData sheetId="2340">
        <row r="34">
          <cell r="A34" t="str">
            <v>Investments Govt Securities</v>
          </cell>
        </row>
      </sheetData>
      <sheetData sheetId="2341">
        <row r="34">
          <cell r="A34" t="str">
            <v>Investments Govt Securities</v>
          </cell>
        </row>
      </sheetData>
      <sheetData sheetId="2342">
        <row r="34">
          <cell r="A34" t="str">
            <v>Investments Govt Securities</v>
          </cell>
        </row>
      </sheetData>
      <sheetData sheetId="2343">
        <row r="34">
          <cell r="A34" t="str">
            <v>Investments Govt Securities</v>
          </cell>
        </row>
      </sheetData>
      <sheetData sheetId="2344">
        <row r="34">
          <cell r="A34" t="str">
            <v>Investments Govt Securities</v>
          </cell>
        </row>
      </sheetData>
      <sheetData sheetId="2345">
        <row r="34">
          <cell r="A34" t="str">
            <v>Investments Govt Securities</v>
          </cell>
        </row>
      </sheetData>
      <sheetData sheetId="2346">
        <row r="34">
          <cell r="A34" t="str">
            <v>Investments Govt Securities</v>
          </cell>
        </row>
      </sheetData>
      <sheetData sheetId="2347">
        <row r="34">
          <cell r="A34" t="str">
            <v>Investments Govt Securities</v>
          </cell>
        </row>
      </sheetData>
      <sheetData sheetId="2348">
        <row r="34">
          <cell r="A34" t="str">
            <v>Investments Govt Securities</v>
          </cell>
        </row>
      </sheetData>
      <sheetData sheetId="2349">
        <row r="34">
          <cell r="A34" t="str">
            <v>Investments Govt Securities</v>
          </cell>
        </row>
      </sheetData>
      <sheetData sheetId="2350">
        <row r="34">
          <cell r="A34" t="str">
            <v>Investments Govt Securities</v>
          </cell>
        </row>
      </sheetData>
      <sheetData sheetId="2351">
        <row r="34">
          <cell r="A34" t="str">
            <v>Investments Govt Securities</v>
          </cell>
        </row>
      </sheetData>
      <sheetData sheetId="2352">
        <row r="34">
          <cell r="A34" t="str">
            <v>Investments Govt Securities</v>
          </cell>
        </row>
      </sheetData>
      <sheetData sheetId="2353">
        <row r="34">
          <cell r="A34" t="str">
            <v>Investments Govt Securities</v>
          </cell>
        </row>
      </sheetData>
      <sheetData sheetId="2354">
        <row r="34">
          <cell r="A34" t="str">
            <v>Investments Govt Securities</v>
          </cell>
        </row>
      </sheetData>
      <sheetData sheetId="2355">
        <row r="34">
          <cell r="A34" t="str">
            <v>Investments Govt Securities</v>
          </cell>
        </row>
      </sheetData>
      <sheetData sheetId="2356">
        <row r="34">
          <cell r="A34" t="str">
            <v>Investments Govt Securities</v>
          </cell>
        </row>
      </sheetData>
      <sheetData sheetId="2357">
        <row r="34">
          <cell r="A34" t="str">
            <v>Investments Govt Securities</v>
          </cell>
        </row>
      </sheetData>
      <sheetData sheetId="2358">
        <row r="34">
          <cell r="A34" t="str">
            <v>Investments Govt Securities</v>
          </cell>
        </row>
      </sheetData>
      <sheetData sheetId="2359">
        <row r="34">
          <cell r="A34" t="str">
            <v>Investments Govt Securities</v>
          </cell>
        </row>
      </sheetData>
      <sheetData sheetId="2360">
        <row r="34">
          <cell r="A34" t="str">
            <v>Investments Govt Securities</v>
          </cell>
        </row>
      </sheetData>
      <sheetData sheetId="2361">
        <row r="34">
          <cell r="A34" t="str">
            <v>Investments Govt Securities</v>
          </cell>
        </row>
      </sheetData>
      <sheetData sheetId="2362">
        <row r="34">
          <cell r="A34" t="str">
            <v>Investments Govt Securities</v>
          </cell>
        </row>
      </sheetData>
      <sheetData sheetId="2363">
        <row r="34">
          <cell r="A34" t="str">
            <v>Investments Govt Securities</v>
          </cell>
        </row>
      </sheetData>
      <sheetData sheetId="2364">
        <row r="34">
          <cell r="A34" t="str">
            <v>Investments Govt Securities</v>
          </cell>
        </row>
      </sheetData>
      <sheetData sheetId="2365">
        <row r="34">
          <cell r="A34" t="str">
            <v>Investments Govt Securities</v>
          </cell>
        </row>
      </sheetData>
      <sheetData sheetId="2366">
        <row r="34">
          <cell r="A34" t="str">
            <v>Investments Govt Securities</v>
          </cell>
        </row>
      </sheetData>
      <sheetData sheetId="2367">
        <row r="34">
          <cell r="A34" t="str">
            <v>Investments Govt Securities</v>
          </cell>
        </row>
      </sheetData>
      <sheetData sheetId="2368">
        <row r="34">
          <cell r="A34" t="str">
            <v>Investments Govt Securities</v>
          </cell>
        </row>
      </sheetData>
      <sheetData sheetId="2369">
        <row r="34">
          <cell r="A34" t="str">
            <v>Investments Govt Securities</v>
          </cell>
        </row>
      </sheetData>
      <sheetData sheetId="2370">
        <row r="34">
          <cell r="A34" t="str">
            <v>Investments Govt Securities</v>
          </cell>
        </row>
      </sheetData>
      <sheetData sheetId="2371">
        <row r="34">
          <cell r="A34" t="str">
            <v>Investments Govt Securities</v>
          </cell>
        </row>
      </sheetData>
      <sheetData sheetId="2372">
        <row r="34">
          <cell r="A34" t="str">
            <v>Investments Govt Securities</v>
          </cell>
        </row>
      </sheetData>
      <sheetData sheetId="2373">
        <row r="34">
          <cell r="A34" t="str">
            <v>Investments Govt Securities</v>
          </cell>
        </row>
      </sheetData>
      <sheetData sheetId="2374">
        <row r="34">
          <cell r="A34" t="str">
            <v>Investments Govt Securities</v>
          </cell>
        </row>
      </sheetData>
      <sheetData sheetId="2375">
        <row r="34">
          <cell r="A34" t="str">
            <v>Investments Govt Securities</v>
          </cell>
        </row>
      </sheetData>
      <sheetData sheetId="2376">
        <row r="34">
          <cell r="A34" t="str">
            <v>Investments Govt Securities</v>
          </cell>
        </row>
      </sheetData>
      <sheetData sheetId="2377">
        <row r="34">
          <cell r="A34" t="str">
            <v>Investments Govt Securities</v>
          </cell>
        </row>
      </sheetData>
      <sheetData sheetId="2378">
        <row r="34">
          <cell r="A34" t="str">
            <v>Investments Govt Securities</v>
          </cell>
        </row>
      </sheetData>
      <sheetData sheetId="2379">
        <row r="34">
          <cell r="A34" t="str">
            <v>Investments Govt Securities</v>
          </cell>
        </row>
      </sheetData>
      <sheetData sheetId="2380">
        <row r="34">
          <cell r="A34" t="str">
            <v>Investments Govt Securities</v>
          </cell>
        </row>
      </sheetData>
      <sheetData sheetId="2381">
        <row r="34">
          <cell r="A34" t="str">
            <v>Investments Govt Securities</v>
          </cell>
        </row>
      </sheetData>
      <sheetData sheetId="2382">
        <row r="34">
          <cell r="A34" t="str">
            <v>Investments Govt Securities</v>
          </cell>
        </row>
      </sheetData>
      <sheetData sheetId="2383">
        <row r="34">
          <cell r="A34" t="str">
            <v>Investments Govt Securities</v>
          </cell>
        </row>
      </sheetData>
      <sheetData sheetId="2384">
        <row r="34">
          <cell r="A34" t="str">
            <v>Investments Govt Securities</v>
          </cell>
        </row>
      </sheetData>
      <sheetData sheetId="2385">
        <row r="34">
          <cell r="A34" t="str">
            <v>Investments Govt Securities</v>
          </cell>
        </row>
      </sheetData>
      <sheetData sheetId="2386">
        <row r="34">
          <cell r="A34" t="str">
            <v>Investments Govt Securities</v>
          </cell>
        </row>
      </sheetData>
      <sheetData sheetId="2387">
        <row r="34">
          <cell r="A34" t="str">
            <v>Investments Govt Securities</v>
          </cell>
        </row>
      </sheetData>
      <sheetData sheetId="2388">
        <row r="34">
          <cell r="A34" t="str">
            <v>Investments Govt Securities</v>
          </cell>
        </row>
      </sheetData>
      <sheetData sheetId="2389">
        <row r="34">
          <cell r="A34" t="str">
            <v>Investments Govt Securities</v>
          </cell>
        </row>
      </sheetData>
      <sheetData sheetId="2390">
        <row r="34">
          <cell r="A34" t="str">
            <v>Investments Govt Securities</v>
          </cell>
        </row>
      </sheetData>
      <sheetData sheetId="2391">
        <row r="34">
          <cell r="A34" t="str">
            <v>Investments Govt Securities</v>
          </cell>
        </row>
      </sheetData>
      <sheetData sheetId="2392">
        <row r="34">
          <cell r="A34" t="str">
            <v>Investments Govt Securities</v>
          </cell>
        </row>
      </sheetData>
      <sheetData sheetId="2393">
        <row r="34">
          <cell r="A34" t="str">
            <v>Investments Govt Securities</v>
          </cell>
        </row>
      </sheetData>
      <sheetData sheetId="2394">
        <row r="34">
          <cell r="A34" t="str">
            <v>Investments Govt Securities</v>
          </cell>
        </row>
      </sheetData>
      <sheetData sheetId="2395">
        <row r="34">
          <cell r="A34" t="str">
            <v>Investments Govt Securities</v>
          </cell>
        </row>
      </sheetData>
      <sheetData sheetId="2396">
        <row r="34">
          <cell r="A34" t="str">
            <v>Investments Govt Securities</v>
          </cell>
        </row>
      </sheetData>
      <sheetData sheetId="2397">
        <row r="34">
          <cell r="A34" t="str">
            <v>Investments Govt Securities</v>
          </cell>
        </row>
      </sheetData>
      <sheetData sheetId="2398">
        <row r="34">
          <cell r="A34" t="str">
            <v>Investments Govt Securities</v>
          </cell>
        </row>
      </sheetData>
      <sheetData sheetId="2399">
        <row r="34">
          <cell r="A34" t="str">
            <v>Investments Govt Securities</v>
          </cell>
        </row>
      </sheetData>
      <sheetData sheetId="2400">
        <row r="34">
          <cell r="A34" t="str">
            <v>Investments Govt Securities</v>
          </cell>
        </row>
      </sheetData>
      <sheetData sheetId="2401">
        <row r="34">
          <cell r="A34" t="str">
            <v>Investments Govt Securities</v>
          </cell>
        </row>
      </sheetData>
      <sheetData sheetId="2402">
        <row r="34">
          <cell r="A34" t="str">
            <v>Investments Govt Securities</v>
          </cell>
        </row>
      </sheetData>
      <sheetData sheetId="2403">
        <row r="34">
          <cell r="A34" t="str">
            <v>Investments Govt Securities</v>
          </cell>
        </row>
      </sheetData>
      <sheetData sheetId="2404">
        <row r="34">
          <cell r="A34" t="str">
            <v>Investments Govt Securities</v>
          </cell>
        </row>
      </sheetData>
      <sheetData sheetId="2405">
        <row r="34">
          <cell r="A34" t="str">
            <v>Investments Govt Securities</v>
          </cell>
        </row>
      </sheetData>
      <sheetData sheetId="2406">
        <row r="34">
          <cell r="A34" t="str">
            <v>Investments Govt Securities</v>
          </cell>
        </row>
      </sheetData>
      <sheetData sheetId="2407">
        <row r="34">
          <cell r="A34" t="str">
            <v>Investments Govt Securities</v>
          </cell>
        </row>
      </sheetData>
      <sheetData sheetId="2408">
        <row r="34">
          <cell r="A34" t="str">
            <v>Investments Govt Securities</v>
          </cell>
        </row>
      </sheetData>
      <sheetData sheetId="2409">
        <row r="34">
          <cell r="A34" t="str">
            <v>Investments Govt Securities</v>
          </cell>
        </row>
      </sheetData>
      <sheetData sheetId="2410">
        <row r="34">
          <cell r="A34" t="str">
            <v>Investments Govt Securities</v>
          </cell>
        </row>
      </sheetData>
      <sheetData sheetId="2411">
        <row r="34">
          <cell r="A34" t="str">
            <v>Investments Govt Securities</v>
          </cell>
        </row>
      </sheetData>
      <sheetData sheetId="2412">
        <row r="34">
          <cell r="A34" t="str">
            <v>Investments Govt Securities</v>
          </cell>
        </row>
      </sheetData>
      <sheetData sheetId="2413">
        <row r="34">
          <cell r="A34" t="str">
            <v>Investments Govt Securities</v>
          </cell>
        </row>
      </sheetData>
      <sheetData sheetId="2414">
        <row r="34">
          <cell r="A34" t="str">
            <v>Investments Govt Securities</v>
          </cell>
        </row>
      </sheetData>
      <sheetData sheetId="2415">
        <row r="34">
          <cell r="A34" t="str">
            <v>Investments Govt Securities</v>
          </cell>
        </row>
      </sheetData>
      <sheetData sheetId="2416">
        <row r="34">
          <cell r="A34" t="str">
            <v>Investments Govt Securities</v>
          </cell>
        </row>
      </sheetData>
      <sheetData sheetId="2417">
        <row r="34">
          <cell r="A34" t="str">
            <v>Investments Govt Securities</v>
          </cell>
        </row>
      </sheetData>
      <sheetData sheetId="2418">
        <row r="34">
          <cell r="A34" t="str">
            <v>Investments Govt Securities</v>
          </cell>
        </row>
      </sheetData>
      <sheetData sheetId="2419">
        <row r="34">
          <cell r="A34" t="str">
            <v>Investments Govt Securities</v>
          </cell>
        </row>
      </sheetData>
      <sheetData sheetId="2420">
        <row r="34">
          <cell r="A34" t="str">
            <v>Investments Govt Securities</v>
          </cell>
        </row>
      </sheetData>
      <sheetData sheetId="2421">
        <row r="34">
          <cell r="A34" t="str">
            <v>Investments Govt Securities</v>
          </cell>
        </row>
      </sheetData>
      <sheetData sheetId="2422">
        <row r="34">
          <cell r="A34" t="str">
            <v>Investments Govt Securities</v>
          </cell>
        </row>
      </sheetData>
      <sheetData sheetId="2423">
        <row r="34">
          <cell r="A34" t="str">
            <v>Investments Govt Securities</v>
          </cell>
        </row>
      </sheetData>
      <sheetData sheetId="2424">
        <row r="34">
          <cell r="A34" t="str">
            <v>Investments Govt Securities</v>
          </cell>
        </row>
      </sheetData>
      <sheetData sheetId="2425">
        <row r="34">
          <cell r="A34" t="str">
            <v>Investments Govt Securities</v>
          </cell>
        </row>
      </sheetData>
      <sheetData sheetId="2426">
        <row r="34">
          <cell r="A34" t="str">
            <v>Investments Govt Securities</v>
          </cell>
        </row>
      </sheetData>
      <sheetData sheetId="2427">
        <row r="34">
          <cell r="A34" t="str">
            <v>Investments Govt Securities</v>
          </cell>
        </row>
      </sheetData>
      <sheetData sheetId="2428">
        <row r="34">
          <cell r="A34" t="str">
            <v>Investments Govt Securities</v>
          </cell>
        </row>
      </sheetData>
      <sheetData sheetId="2429">
        <row r="34">
          <cell r="A34" t="str">
            <v>Investments Govt Securities</v>
          </cell>
        </row>
      </sheetData>
      <sheetData sheetId="2430">
        <row r="34">
          <cell r="A34" t="str">
            <v>Investments Govt Securities</v>
          </cell>
        </row>
      </sheetData>
      <sheetData sheetId="2431">
        <row r="34">
          <cell r="A34" t="str">
            <v>Investments Govt Securities</v>
          </cell>
        </row>
      </sheetData>
      <sheetData sheetId="2432">
        <row r="34">
          <cell r="A34" t="str">
            <v>Investments Govt Securities</v>
          </cell>
        </row>
      </sheetData>
      <sheetData sheetId="2433">
        <row r="34">
          <cell r="A34" t="str">
            <v>Investments Govt Securities</v>
          </cell>
        </row>
      </sheetData>
      <sheetData sheetId="2434">
        <row r="34">
          <cell r="A34" t="str">
            <v>Investments Govt Securities</v>
          </cell>
        </row>
      </sheetData>
      <sheetData sheetId="2435">
        <row r="34">
          <cell r="A34" t="str">
            <v>Investments Govt Securities</v>
          </cell>
        </row>
      </sheetData>
      <sheetData sheetId="2436">
        <row r="34">
          <cell r="A34" t="str">
            <v>Investments Govt Securities</v>
          </cell>
        </row>
      </sheetData>
      <sheetData sheetId="2437">
        <row r="34">
          <cell r="A34" t="str">
            <v>Investments Govt Securities</v>
          </cell>
        </row>
      </sheetData>
      <sheetData sheetId="2438">
        <row r="34">
          <cell r="A34" t="str">
            <v>Investments Govt Securities</v>
          </cell>
        </row>
      </sheetData>
      <sheetData sheetId="2439">
        <row r="34">
          <cell r="A34" t="str">
            <v>Investments Govt Securities</v>
          </cell>
        </row>
      </sheetData>
      <sheetData sheetId="2440">
        <row r="34">
          <cell r="A34" t="str">
            <v>Investments Govt Securities</v>
          </cell>
        </row>
      </sheetData>
      <sheetData sheetId="2441">
        <row r="34">
          <cell r="A34" t="str">
            <v>Investments Govt Securities</v>
          </cell>
        </row>
      </sheetData>
      <sheetData sheetId="2442">
        <row r="34">
          <cell r="A34" t="str">
            <v>Investments Govt Securities</v>
          </cell>
        </row>
      </sheetData>
      <sheetData sheetId="2443">
        <row r="34">
          <cell r="A34" t="str">
            <v>Investments Govt Securities</v>
          </cell>
        </row>
      </sheetData>
      <sheetData sheetId="2444">
        <row r="34">
          <cell r="A34" t="str">
            <v>Investments Govt Securities</v>
          </cell>
        </row>
      </sheetData>
      <sheetData sheetId="2445">
        <row r="34">
          <cell r="A34" t="str">
            <v>Investments Govt Securities</v>
          </cell>
        </row>
      </sheetData>
      <sheetData sheetId="2446">
        <row r="34">
          <cell r="A34" t="str">
            <v>Investments Govt Securities</v>
          </cell>
        </row>
      </sheetData>
      <sheetData sheetId="2447">
        <row r="34">
          <cell r="A34" t="str">
            <v>Investments Govt Securities</v>
          </cell>
        </row>
      </sheetData>
      <sheetData sheetId="2448">
        <row r="34">
          <cell r="A34" t="str">
            <v>Investments Govt Securities</v>
          </cell>
        </row>
      </sheetData>
      <sheetData sheetId="2449">
        <row r="34">
          <cell r="A34" t="str">
            <v>Investments Govt Securities</v>
          </cell>
        </row>
      </sheetData>
      <sheetData sheetId="2450">
        <row r="34">
          <cell r="A34" t="str">
            <v>Investments Govt Securities</v>
          </cell>
        </row>
      </sheetData>
      <sheetData sheetId="2451">
        <row r="34">
          <cell r="A34" t="str">
            <v>Investments Govt Securities</v>
          </cell>
        </row>
      </sheetData>
      <sheetData sheetId="2452">
        <row r="34">
          <cell r="A34" t="str">
            <v>Investments Govt Securities</v>
          </cell>
        </row>
      </sheetData>
      <sheetData sheetId="2453">
        <row r="34">
          <cell r="A34" t="str">
            <v>Investments Govt Securities</v>
          </cell>
        </row>
      </sheetData>
      <sheetData sheetId="2454">
        <row r="34">
          <cell r="A34" t="str">
            <v>Investments Govt Securities</v>
          </cell>
        </row>
      </sheetData>
      <sheetData sheetId="2455">
        <row r="34">
          <cell r="A34" t="str">
            <v>Investments Govt Securities</v>
          </cell>
        </row>
      </sheetData>
      <sheetData sheetId="2456">
        <row r="34">
          <cell r="A34" t="str">
            <v>Investments Govt Securities</v>
          </cell>
        </row>
      </sheetData>
      <sheetData sheetId="2457">
        <row r="34">
          <cell r="A34" t="str">
            <v>Investments Govt Securities</v>
          </cell>
        </row>
      </sheetData>
      <sheetData sheetId="2458">
        <row r="34">
          <cell r="A34" t="str">
            <v>Investments Govt Securities</v>
          </cell>
        </row>
      </sheetData>
      <sheetData sheetId="2459">
        <row r="34">
          <cell r="A34" t="str">
            <v>Investments Govt Securities</v>
          </cell>
        </row>
      </sheetData>
      <sheetData sheetId="2460">
        <row r="34">
          <cell r="A34" t="str">
            <v>Investments Govt Securities</v>
          </cell>
        </row>
      </sheetData>
      <sheetData sheetId="2461">
        <row r="34">
          <cell r="A34" t="str">
            <v>Investments Govt Securities</v>
          </cell>
        </row>
      </sheetData>
      <sheetData sheetId="2462">
        <row r="34">
          <cell r="A34" t="str">
            <v>Investments Govt Securities</v>
          </cell>
        </row>
      </sheetData>
      <sheetData sheetId="2463">
        <row r="34">
          <cell r="A34" t="str">
            <v>Investments Govt Securities</v>
          </cell>
        </row>
      </sheetData>
      <sheetData sheetId="2464">
        <row r="34">
          <cell r="A34" t="str">
            <v>Investments Govt Securities</v>
          </cell>
        </row>
      </sheetData>
      <sheetData sheetId="2465">
        <row r="34">
          <cell r="A34" t="str">
            <v>Investments Govt Securities</v>
          </cell>
        </row>
      </sheetData>
      <sheetData sheetId="2466">
        <row r="34">
          <cell r="A34" t="str">
            <v>Investments Govt Securities</v>
          </cell>
        </row>
      </sheetData>
      <sheetData sheetId="2467">
        <row r="34">
          <cell r="A34" t="str">
            <v>Investments Govt Securities</v>
          </cell>
        </row>
      </sheetData>
      <sheetData sheetId="2468">
        <row r="34">
          <cell r="A34" t="str">
            <v>Investments Govt Securities</v>
          </cell>
        </row>
      </sheetData>
      <sheetData sheetId="2469">
        <row r="34">
          <cell r="A34" t="str">
            <v>Investments Govt Securities</v>
          </cell>
        </row>
      </sheetData>
      <sheetData sheetId="2470">
        <row r="34">
          <cell r="A34" t="str">
            <v>Investments Govt Securities</v>
          </cell>
        </row>
      </sheetData>
      <sheetData sheetId="2471">
        <row r="34">
          <cell r="A34" t="str">
            <v>Investments Govt Securities</v>
          </cell>
        </row>
      </sheetData>
      <sheetData sheetId="2472">
        <row r="34">
          <cell r="A34" t="str">
            <v>Investments Govt Securities</v>
          </cell>
        </row>
      </sheetData>
      <sheetData sheetId="2473">
        <row r="34">
          <cell r="A34" t="str">
            <v>Investments Govt Securities</v>
          </cell>
        </row>
      </sheetData>
      <sheetData sheetId="2474">
        <row r="34">
          <cell r="A34" t="str">
            <v>Investments Govt Securities</v>
          </cell>
        </row>
      </sheetData>
      <sheetData sheetId="2475">
        <row r="34">
          <cell r="A34" t="str">
            <v>Investments Govt Securities</v>
          </cell>
        </row>
      </sheetData>
      <sheetData sheetId="2476">
        <row r="34">
          <cell r="A34" t="str">
            <v>Investments Govt Securities</v>
          </cell>
        </row>
      </sheetData>
      <sheetData sheetId="2477">
        <row r="34">
          <cell r="A34" t="str">
            <v>Investments Govt Securities</v>
          </cell>
        </row>
      </sheetData>
      <sheetData sheetId="2478">
        <row r="34">
          <cell r="A34" t="str">
            <v>Investments Govt Securities</v>
          </cell>
        </row>
      </sheetData>
      <sheetData sheetId="2479">
        <row r="34">
          <cell r="A34" t="str">
            <v>Investments Govt Securities</v>
          </cell>
        </row>
      </sheetData>
      <sheetData sheetId="2480">
        <row r="34">
          <cell r="A34" t="str">
            <v>Investments Govt Securities</v>
          </cell>
        </row>
      </sheetData>
      <sheetData sheetId="2481">
        <row r="34">
          <cell r="A34" t="str">
            <v>Investments Govt Securities</v>
          </cell>
        </row>
      </sheetData>
      <sheetData sheetId="2482">
        <row r="34">
          <cell r="A34" t="str">
            <v>Investments Govt Securities</v>
          </cell>
        </row>
      </sheetData>
      <sheetData sheetId="2483">
        <row r="34">
          <cell r="A34" t="str">
            <v>Investments Govt Securities</v>
          </cell>
        </row>
      </sheetData>
      <sheetData sheetId="2484">
        <row r="34">
          <cell r="A34" t="str">
            <v>Investments Govt Securities</v>
          </cell>
        </row>
      </sheetData>
      <sheetData sheetId="2485">
        <row r="34">
          <cell r="A34" t="str">
            <v>Investments Govt Securities</v>
          </cell>
        </row>
      </sheetData>
      <sheetData sheetId="2486">
        <row r="34">
          <cell r="A34" t="str">
            <v>Investments Govt Securities</v>
          </cell>
        </row>
      </sheetData>
      <sheetData sheetId="2487">
        <row r="34">
          <cell r="A34" t="str">
            <v>Investments Govt Securities</v>
          </cell>
        </row>
      </sheetData>
      <sheetData sheetId="2488">
        <row r="34">
          <cell r="A34" t="str">
            <v>Investments Govt Securities</v>
          </cell>
        </row>
      </sheetData>
      <sheetData sheetId="2489">
        <row r="34">
          <cell r="A34" t="str">
            <v>Investments Govt Securities</v>
          </cell>
        </row>
      </sheetData>
      <sheetData sheetId="2490">
        <row r="34">
          <cell r="A34" t="str">
            <v>Investments Govt Securities</v>
          </cell>
        </row>
      </sheetData>
      <sheetData sheetId="2491">
        <row r="34">
          <cell r="A34" t="str">
            <v>Investments Govt Securities</v>
          </cell>
        </row>
      </sheetData>
      <sheetData sheetId="2492">
        <row r="34">
          <cell r="A34" t="str">
            <v>Investments Govt Securities</v>
          </cell>
        </row>
      </sheetData>
      <sheetData sheetId="2493">
        <row r="34">
          <cell r="A34" t="str">
            <v>Investments Govt Securities</v>
          </cell>
        </row>
      </sheetData>
      <sheetData sheetId="2494">
        <row r="34">
          <cell r="A34" t="str">
            <v>Investments Govt Securities</v>
          </cell>
        </row>
      </sheetData>
      <sheetData sheetId="2495">
        <row r="34">
          <cell r="A34" t="str">
            <v>Investments Govt Securities</v>
          </cell>
        </row>
      </sheetData>
      <sheetData sheetId="2496">
        <row r="34">
          <cell r="A34" t="str">
            <v>Investments Govt Securities</v>
          </cell>
        </row>
      </sheetData>
      <sheetData sheetId="2497">
        <row r="34">
          <cell r="A34" t="str">
            <v>Investments Govt Securities</v>
          </cell>
        </row>
      </sheetData>
      <sheetData sheetId="2498">
        <row r="34">
          <cell r="A34" t="str">
            <v>Investments Govt Securities</v>
          </cell>
        </row>
      </sheetData>
      <sheetData sheetId="2499">
        <row r="34">
          <cell r="A34" t="str">
            <v>Investments Govt Securities</v>
          </cell>
        </row>
      </sheetData>
      <sheetData sheetId="2500">
        <row r="34">
          <cell r="A34" t="str">
            <v>Investments Govt Securities</v>
          </cell>
        </row>
      </sheetData>
      <sheetData sheetId="2501">
        <row r="34">
          <cell r="A34" t="str">
            <v>Investments Govt Securities</v>
          </cell>
        </row>
      </sheetData>
      <sheetData sheetId="2502">
        <row r="34">
          <cell r="A34" t="str">
            <v>Investments Govt Securities</v>
          </cell>
        </row>
      </sheetData>
      <sheetData sheetId="2503">
        <row r="34">
          <cell r="A34" t="str">
            <v>Investments Govt Securities</v>
          </cell>
        </row>
      </sheetData>
      <sheetData sheetId="2504">
        <row r="34">
          <cell r="A34" t="str">
            <v>Investments Govt Securities</v>
          </cell>
        </row>
      </sheetData>
      <sheetData sheetId="2505">
        <row r="34">
          <cell r="A34" t="str">
            <v>Investments Govt Securities</v>
          </cell>
        </row>
      </sheetData>
      <sheetData sheetId="2506">
        <row r="34">
          <cell r="A34" t="str">
            <v>Investments Govt Securities</v>
          </cell>
        </row>
      </sheetData>
      <sheetData sheetId="2507">
        <row r="34">
          <cell r="A34" t="str">
            <v>Investments Govt Securities</v>
          </cell>
        </row>
      </sheetData>
      <sheetData sheetId="2508">
        <row r="34">
          <cell r="A34" t="str">
            <v>Investments Govt Securities</v>
          </cell>
        </row>
      </sheetData>
      <sheetData sheetId="2509">
        <row r="34">
          <cell r="A34" t="str">
            <v>Investments Govt Securities</v>
          </cell>
        </row>
      </sheetData>
      <sheetData sheetId="2510">
        <row r="34">
          <cell r="A34" t="str">
            <v>Investments Govt Securities</v>
          </cell>
        </row>
      </sheetData>
      <sheetData sheetId="2511">
        <row r="34">
          <cell r="A34" t="str">
            <v>Investments Govt Securities</v>
          </cell>
        </row>
      </sheetData>
      <sheetData sheetId="2512">
        <row r="34">
          <cell r="A34" t="str">
            <v>Investments Govt Securities</v>
          </cell>
        </row>
      </sheetData>
      <sheetData sheetId="2513">
        <row r="34">
          <cell r="A34" t="str">
            <v>Investments Govt Securities</v>
          </cell>
        </row>
      </sheetData>
      <sheetData sheetId="2514">
        <row r="34">
          <cell r="A34" t="str">
            <v>Investments Govt Securities</v>
          </cell>
        </row>
      </sheetData>
      <sheetData sheetId="2515">
        <row r="34">
          <cell r="A34" t="str">
            <v>Investments Govt Securities</v>
          </cell>
        </row>
      </sheetData>
      <sheetData sheetId="2516">
        <row r="34">
          <cell r="A34" t="str">
            <v>Investments Govt Securities</v>
          </cell>
        </row>
      </sheetData>
      <sheetData sheetId="2517">
        <row r="34">
          <cell r="A34" t="str">
            <v>Investments Govt Securities</v>
          </cell>
        </row>
      </sheetData>
      <sheetData sheetId="2518">
        <row r="34">
          <cell r="A34" t="str">
            <v>Investments Govt Securities</v>
          </cell>
        </row>
      </sheetData>
      <sheetData sheetId="2519">
        <row r="34">
          <cell r="A34" t="str">
            <v>Investments Govt Securities</v>
          </cell>
        </row>
      </sheetData>
      <sheetData sheetId="2520">
        <row r="34">
          <cell r="A34" t="str">
            <v>Investments Govt Securities</v>
          </cell>
        </row>
      </sheetData>
      <sheetData sheetId="2521">
        <row r="34">
          <cell r="A34" t="str">
            <v>Investments Govt Securities</v>
          </cell>
        </row>
      </sheetData>
      <sheetData sheetId="2522">
        <row r="34">
          <cell r="A34" t="str">
            <v>Investments Govt Securities</v>
          </cell>
        </row>
      </sheetData>
      <sheetData sheetId="2523">
        <row r="34">
          <cell r="A34" t="str">
            <v>Investments Govt Securities</v>
          </cell>
        </row>
      </sheetData>
      <sheetData sheetId="2524">
        <row r="34">
          <cell r="A34" t="str">
            <v>Investments Govt Securities</v>
          </cell>
        </row>
      </sheetData>
      <sheetData sheetId="2525">
        <row r="34">
          <cell r="A34" t="str">
            <v>Investments Govt Securities</v>
          </cell>
        </row>
      </sheetData>
      <sheetData sheetId="2526">
        <row r="34">
          <cell r="A34" t="str">
            <v>Investments Govt Securities</v>
          </cell>
        </row>
      </sheetData>
      <sheetData sheetId="2527">
        <row r="34">
          <cell r="A34" t="str">
            <v>Investments Govt Securities</v>
          </cell>
        </row>
      </sheetData>
      <sheetData sheetId="2528">
        <row r="34">
          <cell r="A34" t="str">
            <v>Investments Govt Securities</v>
          </cell>
        </row>
      </sheetData>
      <sheetData sheetId="2529">
        <row r="34">
          <cell r="A34" t="str">
            <v>Investments Govt Securities</v>
          </cell>
        </row>
      </sheetData>
      <sheetData sheetId="2530">
        <row r="34">
          <cell r="A34" t="str">
            <v>Investments Govt Securities</v>
          </cell>
        </row>
      </sheetData>
      <sheetData sheetId="2531">
        <row r="34">
          <cell r="A34" t="str">
            <v>Investments Govt Securities</v>
          </cell>
        </row>
      </sheetData>
      <sheetData sheetId="2532">
        <row r="34">
          <cell r="A34" t="str">
            <v>Investments Govt Securities</v>
          </cell>
        </row>
      </sheetData>
      <sheetData sheetId="2533">
        <row r="34">
          <cell r="A34" t="str">
            <v>Investments Govt Securities</v>
          </cell>
        </row>
      </sheetData>
      <sheetData sheetId="2534">
        <row r="34">
          <cell r="A34" t="str">
            <v>Investments Govt Securities</v>
          </cell>
        </row>
      </sheetData>
      <sheetData sheetId="2535">
        <row r="34">
          <cell r="A34" t="str">
            <v>Investments Govt Securities</v>
          </cell>
        </row>
      </sheetData>
      <sheetData sheetId="2536">
        <row r="34">
          <cell r="A34" t="str">
            <v>Investments Govt Securities</v>
          </cell>
        </row>
      </sheetData>
      <sheetData sheetId="2537">
        <row r="34">
          <cell r="A34" t="str">
            <v>Investments Govt Securities</v>
          </cell>
        </row>
      </sheetData>
      <sheetData sheetId="2538">
        <row r="34">
          <cell r="A34" t="str">
            <v>Investments Govt Securities</v>
          </cell>
        </row>
      </sheetData>
      <sheetData sheetId="2539">
        <row r="34">
          <cell r="A34" t="str">
            <v>Investments Govt Securities</v>
          </cell>
        </row>
      </sheetData>
      <sheetData sheetId="2540">
        <row r="34">
          <cell r="A34" t="str">
            <v>Investments Govt Securities</v>
          </cell>
        </row>
      </sheetData>
      <sheetData sheetId="2541">
        <row r="34">
          <cell r="A34" t="str">
            <v>Investments Govt Securities</v>
          </cell>
        </row>
      </sheetData>
      <sheetData sheetId="2542">
        <row r="34">
          <cell r="A34" t="str">
            <v>Investments Govt Securities</v>
          </cell>
        </row>
      </sheetData>
      <sheetData sheetId="2543">
        <row r="34">
          <cell r="A34" t="str">
            <v>Investments Govt Securities</v>
          </cell>
        </row>
      </sheetData>
      <sheetData sheetId="2544">
        <row r="34">
          <cell r="A34" t="str">
            <v>Investments Govt Securities</v>
          </cell>
        </row>
      </sheetData>
      <sheetData sheetId="2545">
        <row r="34">
          <cell r="A34" t="str">
            <v>Investments Govt Securities</v>
          </cell>
        </row>
      </sheetData>
      <sheetData sheetId="2546">
        <row r="34">
          <cell r="A34" t="str">
            <v>Investments Govt Securities</v>
          </cell>
        </row>
      </sheetData>
      <sheetData sheetId="2547">
        <row r="34">
          <cell r="A34" t="str">
            <v>Investments Govt Securities</v>
          </cell>
        </row>
      </sheetData>
      <sheetData sheetId="2548">
        <row r="34">
          <cell r="A34" t="str">
            <v>Investments Govt Securities</v>
          </cell>
        </row>
      </sheetData>
      <sheetData sheetId="2549">
        <row r="34">
          <cell r="A34" t="str">
            <v>Investments Govt Securities</v>
          </cell>
        </row>
      </sheetData>
      <sheetData sheetId="2550">
        <row r="34">
          <cell r="A34" t="str">
            <v>Investments Govt Securities</v>
          </cell>
        </row>
      </sheetData>
      <sheetData sheetId="2551">
        <row r="34">
          <cell r="A34" t="str">
            <v>Investments Govt Securities</v>
          </cell>
        </row>
      </sheetData>
      <sheetData sheetId="2552">
        <row r="34">
          <cell r="A34" t="str">
            <v>Investments Govt Securities</v>
          </cell>
        </row>
      </sheetData>
      <sheetData sheetId="2553">
        <row r="34">
          <cell r="A34" t="str">
            <v>Investments Govt Securities</v>
          </cell>
        </row>
      </sheetData>
      <sheetData sheetId="2554">
        <row r="34">
          <cell r="A34" t="str">
            <v>Investments Govt Securities</v>
          </cell>
        </row>
      </sheetData>
      <sheetData sheetId="2555">
        <row r="34">
          <cell r="A34" t="str">
            <v>Investments Govt Securities</v>
          </cell>
        </row>
      </sheetData>
      <sheetData sheetId="2556">
        <row r="34">
          <cell r="A34" t="str">
            <v>Investments Govt Securities</v>
          </cell>
        </row>
      </sheetData>
      <sheetData sheetId="2557">
        <row r="34">
          <cell r="A34" t="str">
            <v>Investments Govt Securities</v>
          </cell>
        </row>
      </sheetData>
      <sheetData sheetId="2558">
        <row r="34">
          <cell r="A34" t="str">
            <v>Investments Govt Securities</v>
          </cell>
        </row>
      </sheetData>
      <sheetData sheetId="2559">
        <row r="34">
          <cell r="A34" t="str">
            <v>Investments Govt Securities</v>
          </cell>
        </row>
      </sheetData>
      <sheetData sheetId="2560">
        <row r="34">
          <cell r="A34" t="str">
            <v>Investments Govt Securities</v>
          </cell>
        </row>
      </sheetData>
      <sheetData sheetId="2561">
        <row r="34">
          <cell r="A34" t="str">
            <v>Investments Govt Securities</v>
          </cell>
        </row>
      </sheetData>
      <sheetData sheetId="2562">
        <row r="34">
          <cell r="A34" t="str">
            <v>Investments Govt Securities</v>
          </cell>
        </row>
      </sheetData>
      <sheetData sheetId="2563">
        <row r="34">
          <cell r="A34" t="str">
            <v>Investments Govt Securities</v>
          </cell>
        </row>
      </sheetData>
      <sheetData sheetId="2564">
        <row r="34">
          <cell r="A34" t="str">
            <v>Investments Govt Securities</v>
          </cell>
        </row>
      </sheetData>
      <sheetData sheetId="2565">
        <row r="34">
          <cell r="A34" t="str">
            <v>Investments Govt Securities</v>
          </cell>
        </row>
      </sheetData>
      <sheetData sheetId="2566">
        <row r="34">
          <cell r="A34" t="str">
            <v>Investments Govt Securities</v>
          </cell>
        </row>
      </sheetData>
      <sheetData sheetId="2567">
        <row r="34">
          <cell r="A34" t="str">
            <v>Investments Govt Securities</v>
          </cell>
        </row>
      </sheetData>
      <sheetData sheetId="2568">
        <row r="34">
          <cell r="A34" t="str">
            <v>Investments Govt Securities</v>
          </cell>
        </row>
      </sheetData>
      <sheetData sheetId="2569">
        <row r="34">
          <cell r="A34" t="str">
            <v>Investments Govt Securities</v>
          </cell>
        </row>
      </sheetData>
      <sheetData sheetId="2570">
        <row r="34">
          <cell r="A34" t="str">
            <v>Investments Govt Securities</v>
          </cell>
        </row>
      </sheetData>
      <sheetData sheetId="2571">
        <row r="34">
          <cell r="A34" t="str">
            <v>Investments Govt Securities</v>
          </cell>
        </row>
      </sheetData>
      <sheetData sheetId="2572">
        <row r="34">
          <cell r="A34" t="str">
            <v>Investments Govt Securities</v>
          </cell>
        </row>
      </sheetData>
      <sheetData sheetId="2573">
        <row r="34">
          <cell r="A34" t="str">
            <v>Investments Govt Securities</v>
          </cell>
        </row>
      </sheetData>
      <sheetData sheetId="2574">
        <row r="34">
          <cell r="A34" t="str">
            <v>Investments Govt Securities</v>
          </cell>
        </row>
      </sheetData>
      <sheetData sheetId="2575">
        <row r="34">
          <cell r="A34" t="str">
            <v>Investments Govt Securities</v>
          </cell>
        </row>
      </sheetData>
      <sheetData sheetId="2576">
        <row r="34">
          <cell r="A34" t="str">
            <v>Investments Govt Securities</v>
          </cell>
        </row>
      </sheetData>
      <sheetData sheetId="2577">
        <row r="34">
          <cell r="A34" t="str">
            <v>Investments Govt Securities</v>
          </cell>
        </row>
      </sheetData>
      <sheetData sheetId="2578">
        <row r="34">
          <cell r="A34" t="str">
            <v>Investments Govt Securities</v>
          </cell>
        </row>
      </sheetData>
      <sheetData sheetId="2579">
        <row r="34">
          <cell r="A34" t="str">
            <v>Investments Govt Securities</v>
          </cell>
        </row>
      </sheetData>
      <sheetData sheetId="2580">
        <row r="34">
          <cell r="A34" t="str">
            <v>Investments Govt Securities</v>
          </cell>
        </row>
      </sheetData>
      <sheetData sheetId="2581">
        <row r="34">
          <cell r="A34" t="str">
            <v>Investments Govt Securities</v>
          </cell>
        </row>
      </sheetData>
      <sheetData sheetId="2582">
        <row r="34">
          <cell r="A34" t="str">
            <v>Investments Govt Securities</v>
          </cell>
        </row>
      </sheetData>
      <sheetData sheetId="2583">
        <row r="34">
          <cell r="A34" t="str">
            <v>Investments Govt Securities</v>
          </cell>
        </row>
      </sheetData>
      <sheetData sheetId="2584">
        <row r="34">
          <cell r="A34" t="str">
            <v>Investments Govt Securities</v>
          </cell>
        </row>
      </sheetData>
      <sheetData sheetId="2585">
        <row r="34">
          <cell r="A34" t="str">
            <v>Investments Govt Securities</v>
          </cell>
        </row>
      </sheetData>
      <sheetData sheetId="2586">
        <row r="34">
          <cell r="A34" t="str">
            <v>Investments Govt Securities</v>
          </cell>
        </row>
      </sheetData>
      <sheetData sheetId="2587">
        <row r="34">
          <cell r="A34" t="str">
            <v>Investments Govt Securities</v>
          </cell>
        </row>
      </sheetData>
      <sheetData sheetId="2588">
        <row r="34">
          <cell r="A34" t="str">
            <v>Investments Govt Securities</v>
          </cell>
        </row>
      </sheetData>
      <sheetData sheetId="2589">
        <row r="34">
          <cell r="A34" t="str">
            <v>Investments Govt Securities</v>
          </cell>
        </row>
      </sheetData>
      <sheetData sheetId="2590">
        <row r="34">
          <cell r="A34" t="str">
            <v>Investments Govt Securities</v>
          </cell>
        </row>
      </sheetData>
      <sheetData sheetId="2591">
        <row r="34">
          <cell r="A34" t="str">
            <v>Investments Govt Securities</v>
          </cell>
        </row>
      </sheetData>
      <sheetData sheetId="2592">
        <row r="34">
          <cell r="A34" t="str">
            <v>Investments Govt Securities</v>
          </cell>
        </row>
      </sheetData>
      <sheetData sheetId="2593">
        <row r="34">
          <cell r="A34" t="str">
            <v>Investments Govt Securities</v>
          </cell>
        </row>
      </sheetData>
      <sheetData sheetId="2594">
        <row r="34">
          <cell r="A34" t="str">
            <v>Investments Govt Securities</v>
          </cell>
        </row>
      </sheetData>
      <sheetData sheetId="2595">
        <row r="34">
          <cell r="A34" t="str">
            <v>Investments Govt Securities</v>
          </cell>
        </row>
      </sheetData>
      <sheetData sheetId="2596">
        <row r="34">
          <cell r="A34" t="str">
            <v>Investments Govt Securities</v>
          </cell>
        </row>
      </sheetData>
      <sheetData sheetId="2597">
        <row r="34">
          <cell r="A34" t="str">
            <v>Investments Govt Securities</v>
          </cell>
        </row>
      </sheetData>
      <sheetData sheetId="2598">
        <row r="34">
          <cell r="A34" t="str">
            <v>Investments Govt Securities</v>
          </cell>
        </row>
      </sheetData>
      <sheetData sheetId="2599">
        <row r="34">
          <cell r="A34" t="str">
            <v>Investments Govt Securities</v>
          </cell>
        </row>
      </sheetData>
      <sheetData sheetId="2600">
        <row r="34">
          <cell r="A34" t="str">
            <v>Investments Govt Securities</v>
          </cell>
        </row>
      </sheetData>
      <sheetData sheetId="2601">
        <row r="34">
          <cell r="A34" t="str">
            <v>Investments Govt Securities</v>
          </cell>
        </row>
      </sheetData>
      <sheetData sheetId="2602">
        <row r="34">
          <cell r="A34" t="str">
            <v>Investments Govt Securities</v>
          </cell>
        </row>
      </sheetData>
      <sheetData sheetId="2603">
        <row r="34">
          <cell r="A34" t="str">
            <v>Investments Govt Securities</v>
          </cell>
        </row>
      </sheetData>
      <sheetData sheetId="2604">
        <row r="34">
          <cell r="A34" t="str">
            <v>Investments Govt Securities</v>
          </cell>
        </row>
      </sheetData>
      <sheetData sheetId="2605">
        <row r="34">
          <cell r="A34" t="str">
            <v>Investments Govt Securities</v>
          </cell>
        </row>
      </sheetData>
      <sheetData sheetId="2606">
        <row r="34">
          <cell r="A34" t="str">
            <v>Investments Govt Securities</v>
          </cell>
        </row>
      </sheetData>
      <sheetData sheetId="2607">
        <row r="34">
          <cell r="A34" t="str">
            <v>Investments Govt Securities</v>
          </cell>
        </row>
      </sheetData>
      <sheetData sheetId="2608">
        <row r="34">
          <cell r="A34" t="str">
            <v>Investments Govt Securities</v>
          </cell>
        </row>
      </sheetData>
      <sheetData sheetId="2609">
        <row r="34">
          <cell r="A34" t="str">
            <v>Investments Govt Securities</v>
          </cell>
        </row>
      </sheetData>
      <sheetData sheetId="2610">
        <row r="34">
          <cell r="A34" t="str">
            <v>Investments Govt Securities</v>
          </cell>
        </row>
      </sheetData>
      <sheetData sheetId="2611">
        <row r="34">
          <cell r="A34" t="str">
            <v>Investments Govt Securities</v>
          </cell>
        </row>
      </sheetData>
      <sheetData sheetId="2612">
        <row r="34">
          <cell r="A34" t="str">
            <v>Investments Govt Securities</v>
          </cell>
        </row>
      </sheetData>
      <sheetData sheetId="2613">
        <row r="34">
          <cell r="A34" t="str">
            <v>Investments Govt Securities</v>
          </cell>
        </row>
      </sheetData>
      <sheetData sheetId="2614">
        <row r="34">
          <cell r="A34" t="str">
            <v>Investments Govt Securities</v>
          </cell>
        </row>
      </sheetData>
      <sheetData sheetId="2615">
        <row r="34">
          <cell r="A34" t="str">
            <v>Investments Govt Securities</v>
          </cell>
        </row>
      </sheetData>
      <sheetData sheetId="2616">
        <row r="34">
          <cell r="A34" t="str">
            <v>Investments Govt Securities</v>
          </cell>
        </row>
      </sheetData>
      <sheetData sheetId="2617">
        <row r="34">
          <cell r="A34" t="str">
            <v>Investments Govt Securities</v>
          </cell>
        </row>
      </sheetData>
      <sheetData sheetId="2618">
        <row r="34">
          <cell r="A34" t="str">
            <v>Investments Govt Securities</v>
          </cell>
        </row>
      </sheetData>
      <sheetData sheetId="2619">
        <row r="34">
          <cell r="A34" t="str">
            <v>Investments Govt Securities</v>
          </cell>
        </row>
      </sheetData>
      <sheetData sheetId="2620">
        <row r="34">
          <cell r="A34" t="str">
            <v>Investments Govt Securities</v>
          </cell>
        </row>
      </sheetData>
      <sheetData sheetId="2621">
        <row r="34">
          <cell r="A34" t="str">
            <v>Investments Govt Securities</v>
          </cell>
        </row>
      </sheetData>
      <sheetData sheetId="2622">
        <row r="34">
          <cell r="A34" t="str">
            <v>Investments Govt Securities</v>
          </cell>
        </row>
      </sheetData>
      <sheetData sheetId="2623">
        <row r="34">
          <cell r="A34" t="str">
            <v>Investments Govt Securities</v>
          </cell>
        </row>
      </sheetData>
      <sheetData sheetId="2624">
        <row r="34">
          <cell r="A34" t="str">
            <v>Investments Govt Securities</v>
          </cell>
        </row>
      </sheetData>
      <sheetData sheetId="2625">
        <row r="34">
          <cell r="A34" t="str">
            <v>Investments Govt Securities</v>
          </cell>
        </row>
      </sheetData>
      <sheetData sheetId="2626">
        <row r="34">
          <cell r="A34" t="str">
            <v>Investments Govt Securities</v>
          </cell>
        </row>
      </sheetData>
      <sheetData sheetId="2627">
        <row r="34">
          <cell r="A34" t="str">
            <v>Investments Govt Securities</v>
          </cell>
        </row>
      </sheetData>
      <sheetData sheetId="2628">
        <row r="34">
          <cell r="A34" t="str">
            <v>Investments Govt Securities</v>
          </cell>
        </row>
      </sheetData>
      <sheetData sheetId="2629">
        <row r="34">
          <cell r="A34" t="str">
            <v>Investments Govt Securities</v>
          </cell>
        </row>
      </sheetData>
      <sheetData sheetId="2630">
        <row r="34">
          <cell r="A34" t="str">
            <v>Investments Govt Securities</v>
          </cell>
        </row>
      </sheetData>
      <sheetData sheetId="2631">
        <row r="34">
          <cell r="A34" t="str">
            <v>Investments Govt Securities</v>
          </cell>
        </row>
      </sheetData>
      <sheetData sheetId="2632">
        <row r="34">
          <cell r="A34" t="str">
            <v>Investments Govt Securities</v>
          </cell>
        </row>
      </sheetData>
      <sheetData sheetId="2633">
        <row r="34">
          <cell r="A34" t="str">
            <v>Investments Govt Securities</v>
          </cell>
        </row>
      </sheetData>
      <sheetData sheetId="2634">
        <row r="34">
          <cell r="A34" t="str">
            <v>Investments Govt Securities</v>
          </cell>
        </row>
      </sheetData>
      <sheetData sheetId="2635">
        <row r="34">
          <cell r="A34" t="str">
            <v>Investments Govt Securities</v>
          </cell>
        </row>
      </sheetData>
      <sheetData sheetId="2636">
        <row r="34">
          <cell r="A34" t="str">
            <v>Investments Govt Securities</v>
          </cell>
        </row>
      </sheetData>
      <sheetData sheetId="2637">
        <row r="34">
          <cell r="A34" t="str">
            <v>Investments Govt Securities</v>
          </cell>
        </row>
      </sheetData>
      <sheetData sheetId="2638">
        <row r="34">
          <cell r="A34" t="str">
            <v>Investments Govt Securities</v>
          </cell>
        </row>
      </sheetData>
      <sheetData sheetId="2639">
        <row r="34">
          <cell r="A34" t="str">
            <v>Investments Govt Securities</v>
          </cell>
        </row>
      </sheetData>
      <sheetData sheetId="2640">
        <row r="34">
          <cell r="A34" t="str">
            <v>Investments Govt Securities</v>
          </cell>
        </row>
      </sheetData>
      <sheetData sheetId="2641">
        <row r="34">
          <cell r="A34" t="str">
            <v>Investments Govt Securities</v>
          </cell>
        </row>
      </sheetData>
      <sheetData sheetId="2642">
        <row r="34">
          <cell r="A34" t="str">
            <v>Investments Govt Securities</v>
          </cell>
        </row>
      </sheetData>
      <sheetData sheetId="2643">
        <row r="34">
          <cell r="A34" t="str">
            <v>Investments Govt Securities</v>
          </cell>
        </row>
      </sheetData>
      <sheetData sheetId="2644">
        <row r="34">
          <cell r="A34" t="str">
            <v>Investments Govt Securities</v>
          </cell>
        </row>
      </sheetData>
      <sheetData sheetId="2645">
        <row r="34">
          <cell r="A34" t="str">
            <v>Investments Govt Securities</v>
          </cell>
        </row>
      </sheetData>
      <sheetData sheetId="2646">
        <row r="34">
          <cell r="A34" t="str">
            <v>Investments Govt Securities</v>
          </cell>
        </row>
      </sheetData>
      <sheetData sheetId="2647">
        <row r="34">
          <cell r="A34" t="str">
            <v>Investments Govt Securities</v>
          </cell>
        </row>
      </sheetData>
      <sheetData sheetId="2648">
        <row r="34">
          <cell r="A34" t="str">
            <v>Investments Govt Securities</v>
          </cell>
        </row>
      </sheetData>
      <sheetData sheetId="2649">
        <row r="34">
          <cell r="A34" t="str">
            <v>Investments Govt Securities</v>
          </cell>
        </row>
      </sheetData>
      <sheetData sheetId="2650">
        <row r="34">
          <cell r="A34" t="str">
            <v>Investments Govt Securities</v>
          </cell>
        </row>
      </sheetData>
      <sheetData sheetId="2651">
        <row r="34">
          <cell r="A34" t="str">
            <v>Investments Govt Securities</v>
          </cell>
        </row>
      </sheetData>
      <sheetData sheetId="2652">
        <row r="34">
          <cell r="A34" t="str">
            <v>Investments Govt Securities</v>
          </cell>
        </row>
      </sheetData>
      <sheetData sheetId="2653">
        <row r="34">
          <cell r="A34" t="str">
            <v>Investments Govt Securities</v>
          </cell>
        </row>
      </sheetData>
      <sheetData sheetId="2654">
        <row r="34">
          <cell r="A34" t="str">
            <v>Investments Govt Securities</v>
          </cell>
        </row>
      </sheetData>
      <sheetData sheetId="2655">
        <row r="34">
          <cell r="A34" t="str">
            <v>Investments Govt Securities</v>
          </cell>
        </row>
      </sheetData>
      <sheetData sheetId="2656">
        <row r="34">
          <cell r="A34" t="str">
            <v>Investments Govt Securities</v>
          </cell>
        </row>
      </sheetData>
      <sheetData sheetId="2657">
        <row r="34">
          <cell r="A34" t="str">
            <v>Investments Govt Securities</v>
          </cell>
        </row>
      </sheetData>
      <sheetData sheetId="2658">
        <row r="34">
          <cell r="A34" t="str">
            <v>Investments Govt Securities</v>
          </cell>
        </row>
      </sheetData>
      <sheetData sheetId="2659">
        <row r="34">
          <cell r="A34" t="str">
            <v>Investments Govt Securities</v>
          </cell>
        </row>
      </sheetData>
      <sheetData sheetId="2660">
        <row r="34">
          <cell r="A34" t="str">
            <v>Investments Govt Securities</v>
          </cell>
        </row>
      </sheetData>
      <sheetData sheetId="2661">
        <row r="34">
          <cell r="A34" t="str">
            <v>Investments Govt Securities</v>
          </cell>
        </row>
      </sheetData>
      <sheetData sheetId="2662">
        <row r="34">
          <cell r="A34" t="str">
            <v>Investments Govt Securities</v>
          </cell>
        </row>
      </sheetData>
      <sheetData sheetId="2663">
        <row r="34">
          <cell r="A34" t="str">
            <v>Investments Govt Securities</v>
          </cell>
        </row>
      </sheetData>
      <sheetData sheetId="2664">
        <row r="34">
          <cell r="A34" t="str">
            <v>Investments Govt Securities</v>
          </cell>
        </row>
      </sheetData>
      <sheetData sheetId="2665">
        <row r="34">
          <cell r="A34" t="str">
            <v>Investments Govt Securities</v>
          </cell>
        </row>
      </sheetData>
      <sheetData sheetId="2666">
        <row r="34">
          <cell r="A34" t="str">
            <v>Investments Govt Securities</v>
          </cell>
        </row>
      </sheetData>
      <sheetData sheetId="2667">
        <row r="34">
          <cell r="A34" t="str">
            <v>Investments Govt Securities</v>
          </cell>
        </row>
      </sheetData>
      <sheetData sheetId="2668">
        <row r="34">
          <cell r="A34" t="str">
            <v>Investments Govt Securities</v>
          </cell>
        </row>
      </sheetData>
      <sheetData sheetId="2669">
        <row r="34">
          <cell r="A34" t="str">
            <v>Investments Govt Securities</v>
          </cell>
        </row>
      </sheetData>
      <sheetData sheetId="2670">
        <row r="34">
          <cell r="A34" t="str">
            <v>Investments Govt Securities</v>
          </cell>
        </row>
      </sheetData>
      <sheetData sheetId="2671">
        <row r="34">
          <cell r="A34" t="str">
            <v>Investments Govt Securities</v>
          </cell>
        </row>
      </sheetData>
      <sheetData sheetId="2672">
        <row r="34">
          <cell r="A34" t="str">
            <v>Investments Govt Securities</v>
          </cell>
        </row>
      </sheetData>
      <sheetData sheetId="2673">
        <row r="34">
          <cell r="A34" t="str">
            <v>Investments Govt Securities</v>
          </cell>
        </row>
      </sheetData>
      <sheetData sheetId="2674">
        <row r="34">
          <cell r="A34" t="str">
            <v>Investments Govt Securities</v>
          </cell>
        </row>
      </sheetData>
      <sheetData sheetId="2675">
        <row r="34">
          <cell r="A34" t="str">
            <v>Investments Govt Securities</v>
          </cell>
        </row>
      </sheetData>
      <sheetData sheetId="2676">
        <row r="34">
          <cell r="A34" t="str">
            <v>Investments Govt Securities</v>
          </cell>
        </row>
      </sheetData>
      <sheetData sheetId="2677">
        <row r="34">
          <cell r="A34" t="str">
            <v>Investments Govt Securities</v>
          </cell>
        </row>
      </sheetData>
      <sheetData sheetId="2678">
        <row r="34">
          <cell r="A34" t="str">
            <v>Investments Govt Securities</v>
          </cell>
        </row>
      </sheetData>
      <sheetData sheetId="2679">
        <row r="34">
          <cell r="A34" t="str">
            <v>Investments Govt Securities</v>
          </cell>
        </row>
      </sheetData>
      <sheetData sheetId="2680">
        <row r="34">
          <cell r="A34" t="str">
            <v>Investments Govt Securities</v>
          </cell>
        </row>
      </sheetData>
      <sheetData sheetId="2681">
        <row r="34">
          <cell r="A34" t="str">
            <v>Investments Govt Securities</v>
          </cell>
        </row>
      </sheetData>
      <sheetData sheetId="2682">
        <row r="34">
          <cell r="A34" t="str">
            <v>Investments Govt Securities</v>
          </cell>
        </row>
      </sheetData>
      <sheetData sheetId="2683">
        <row r="34">
          <cell r="A34" t="str">
            <v>Investments Govt Securities</v>
          </cell>
        </row>
      </sheetData>
      <sheetData sheetId="2684">
        <row r="34">
          <cell r="A34" t="str">
            <v>Investments Govt Securities</v>
          </cell>
        </row>
      </sheetData>
      <sheetData sheetId="2685">
        <row r="34">
          <cell r="A34" t="str">
            <v>Investments Govt Securities</v>
          </cell>
        </row>
      </sheetData>
      <sheetData sheetId="2686">
        <row r="34">
          <cell r="A34" t="str">
            <v>Investments Govt Securities</v>
          </cell>
        </row>
      </sheetData>
      <sheetData sheetId="2687">
        <row r="34">
          <cell r="A34" t="str">
            <v>Investments Govt Securities</v>
          </cell>
        </row>
      </sheetData>
      <sheetData sheetId="2688">
        <row r="34">
          <cell r="A34" t="str">
            <v>Investments Govt Securities</v>
          </cell>
        </row>
      </sheetData>
      <sheetData sheetId="2689">
        <row r="34">
          <cell r="A34" t="str">
            <v>Investments Govt Securities</v>
          </cell>
        </row>
      </sheetData>
      <sheetData sheetId="2690">
        <row r="34">
          <cell r="A34" t="str">
            <v>Investments Govt Securities</v>
          </cell>
        </row>
      </sheetData>
      <sheetData sheetId="2691">
        <row r="34">
          <cell r="A34" t="str">
            <v>Investments Govt Securities</v>
          </cell>
        </row>
      </sheetData>
      <sheetData sheetId="2692">
        <row r="34">
          <cell r="A34" t="str">
            <v>Investments Govt Securities</v>
          </cell>
        </row>
      </sheetData>
      <sheetData sheetId="2693">
        <row r="34">
          <cell r="A34" t="str">
            <v>Investments Govt Securities</v>
          </cell>
        </row>
      </sheetData>
      <sheetData sheetId="2694">
        <row r="34">
          <cell r="A34" t="str">
            <v>Investments Govt Securities</v>
          </cell>
        </row>
      </sheetData>
      <sheetData sheetId="2695">
        <row r="34">
          <cell r="A34" t="str">
            <v>Investments Govt Securities</v>
          </cell>
        </row>
      </sheetData>
      <sheetData sheetId="2696">
        <row r="34">
          <cell r="A34" t="str">
            <v>Investments Govt Securities</v>
          </cell>
        </row>
      </sheetData>
      <sheetData sheetId="2697">
        <row r="34">
          <cell r="A34" t="str">
            <v>Investments Govt Securities</v>
          </cell>
        </row>
      </sheetData>
      <sheetData sheetId="2698">
        <row r="34">
          <cell r="A34" t="str">
            <v>Investments Govt Securities</v>
          </cell>
        </row>
      </sheetData>
      <sheetData sheetId="2699">
        <row r="34">
          <cell r="A34" t="str">
            <v>Investments Govt Securities</v>
          </cell>
        </row>
      </sheetData>
      <sheetData sheetId="2700">
        <row r="34">
          <cell r="A34" t="str">
            <v>Investments Govt Securities</v>
          </cell>
        </row>
      </sheetData>
      <sheetData sheetId="2701">
        <row r="34">
          <cell r="A34" t="str">
            <v>Investments Govt Securities</v>
          </cell>
        </row>
      </sheetData>
      <sheetData sheetId="2702">
        <row r="34">
          <cell r="A34" t="str">
            <v>Investments Govt Securities</v>
          </cell>
        </row>
      </sheetData>
      <sheetData sheetId="2703">
        <row r="34">
          <cell r="A34" t="str">
            <v>Investments Govt Securities</v>
          </cell>
        </row>
      </sheetData>
      <sheetData sheetId="2704">
        <row r="34">
          <cell r="A34" t="str">
            <v>Investments Govt Securities</v>
          </cell>
        </row>
      </sheetData>
      <sheetData sheetId="2705">
        <row r="34">
          <cell r="A34" t="str">
            <v>Investments Govt Securities</v>
          </cell>
        </row>
      </sheetData>
      <sheetData sheetId="2706">
        <row r="34">
          <cell r="A34" t="str">
            <v>Investments Govt Securities</v>
          </cell>
        </row>
      </sheetData>
      <sheetData sheetId="2707">
        <row r="34">
          <cell r="A34" t="str">
            <v>Investments Govt Securities</v>
          </cell>
        </row>
      </sheetData>
      <sheetData sheetId="2708">
        <row r="34">
          <cell r="A34" t="str">
            <v>Investments Govt Securities</v>
          </cell>
        </row>
      </sheetData>
      <sheetData sheetId="2709">
        <row r="34">
          <cell r="A34" t="str">
            <v>Investments Govt Securities</v>
          </cell>
        </row>
      </sheetData>
      <sheetData sheetId="2710">
        <row r="34">
          <cell r="A34" t="str">
            <v>Investments Govt Securities</v>
          </cell>
        </row>
      </sheetData>
      <sheetData sheetId="2711">
        <row r="34">
          <cell r="A34" t="str">
            <v>Investments Govt Securities</v>
          </cell>
        </row>
      </sheetData>
      <sheetData sheetId="2712">
        <row r="34">
          <cell r="A34" t="str">
            <v>Investments Govt Securities</v>
          </cell>
        </row>
      </sheetData>
      <sheetData sheetId="2713">
        <row r="34">
          <cell r="A34" t="str">
            <v>Investments Govt Securities</v>
          </cell>
        </row>
      </sheetData>
      <sheetData sheetId="2714">
        <row r="34">
          <cell r="A34" t="str">
            <v>Investments Govt Securities</v>
          </cell>
        </row>
      </sheetData>
      <sheetData sheetId="2715">
        <row r="34">
          <cell r="A34" t="str">
            <v>Investments Govt Securities</v>
          </cell>
        </row>
      </sheetData>
      <sheetData sheetId="2716">
        <row r="34">
          <cell r="A34" t="str">
            <v>Investments Govt Securities</v>
          </cell>
        </row>
      </sheetData>
      <sheetData sheetId="2717">
        <row r="34">
          <cell r="A34" t="str">
            <v>Investments Govt Securities</v>
          </cell>
        </row>
      </sheetData>
      <sheetData sheetId="2718">
        <row r="34">
          <cell r="A34" t="str">
            <v>Investments Govt Securities</v>
          </cell>
        </row>
      </sheetData>
      <sheetData sheetId="2719">
        <row r="34">
          <cell r="A34" t="str">
            <v>Investments Govt Securities</v>
          </cell>
        </row>
      </sheetData>
      <sheetData sheetId="2720">
        <row r="34">
          <cell r="A34" t="str">
            <v>Investments Govt Securities</v>
          </cell>
        </row>
      </sheetData>
      <sheetData sheetId="2721">
        <row r="34">
          <cell r="A34" t="str">
            <v>Investments Govt Securities</v>
          </cell>
        </row>
      </sheetData>
      <sheetData sheetId="2722">
        <row r="34">
          <cell r="A34" t="str">
            <v>Investments Govt Securities</v>
          </cell>
        </row>
      </sheetData>
      <sheetData sheetId="2723">
        <row r="34">
          <cell r="A34" t="str">
            <v>Investments Govt Securities</v>
          </cell>
        </row>
      </sheetData>
      <sheetData sheetId="2724">
        <row r="34">
          <cell r="A34" t="str">
            <v>Investments Govt Securities</v>
          </cell>
        </row>
      </sheetData>
      <sheetData sheetId="2725">
        <row r="34">
          <cell r="A34" t="str">
            <v>Investments Govt Securities</v>
          </cell>
        </row>
      </sheetData>
      <sheetData sheetId="2726">
        <row r="34">
          <cell r="A34" t="str">
            <v>Investments Govt Securities</v>
          </cell>
        </row>
      </sheetData>
      <sheetData sheetId="2727">
        <row r="34">
          <cell r="A34" t="str">
            <v>Investments Govt Securities</v>
          </cell>
        </row>
      </sheetData>
      <sheetData sheetId="2728">
        <row r="34">
          <cell r="A34" t="str">
            <v>Investments Govt Securities</v>
          </cell>
        </row>
      </sheetData>
      <sheetData sheetId="2729">
        <row r="34">
          <cell r="A34" t="str">
            <v>Investments Govt Securities</v>
          </cell>
        </row>
      </sheetData>
      <sheetData sheetId="2730">
        <row r="34">
          <cell r="A34" t="str">
            <v>Investments Govt Securities</v>
          </cell>
        </row>
      </sheetData>
      <sheetData sheetId="2731">
        <row r="34">
          <cell r="A34" t="str">
            <v>Investments Govt Securities</v>
          </cell>
        </row>
      </sheetData>
      <sheetData sheetId="2732">
        <row r="34">
          <cell r="A34" t="str">
            <v>Investments Govt Securities</v>
          </cell>
        </row>
      </sheetData>
      <sheetData sheetId="2733">
        <row r="34">
          <cell r="A34" t="str">
            <v>Investments Govt Securities</v>
          </cell>
        </row>
      </sheetData>
      <sheetData sheetId="2734">
        <row r="34">
          <cell r="A34" t="str">
            <v>Investments Govt Securities</v>
          </cell>
        </row>
      </sheetData>
      <sheetData sheetId="2735">
        <row r="34">
          <cell r="A34" t="str">
            <v>Investments Govt Securities</v>
          </cell>
        </row>
      </sheetData>
      <sheetData sheetId="2736">
        <row r="34">
          <cell r="A34" t="str">
            <v>Investments Govt Securities</v>
          </cell>
        </row>
      </sheetData>
      <sheetData sheetId="2737">
        <row r="34">
          <cell r="A34" t="str">
            <v>Investments Govt Securities</v>
          </cell>
        </row>
      </sheetData>
      <sheetData sheetId="2738">
        <row r="34">
          <cell r="A34" t="str">
            <v>Investments Govt Securities</v>
          </cell>
        </row>
      </sheetData>
      <sheetData sheetId="2739">
        <row r="34">
          <cell r="A34" t="str">
            <v>Investments Govt Securities</v>
          </cell>
        </row>
      </sheetData>
      <sheetData sheetId="2740">
        <row r="34">
          <cell r="A34" t="str">
            <v>Investments Govt Securities</v>
          </cell>
        </row>
      </sheetData>
      <sheetData sheetId="2741">
        <row r="34">
          <cell r="A34" t="str">
            <v>Investments Govt Securities</v>
          </cell>
        </row>
      </sheetData>
      <sheetData sheetId="2742">
        <row r="34">
          <cell r="A34" t="str">
            <v>Investments Govt Securities</v>
          </cell>
        </row>
      </sheetData>
      <sheetData sheetId="2743">
        <row r="34">
          <cell r="A34" t="str">
            <v>Investments Govt Securities</v>
          </cell>
        </row>
      </sheetData>
      <sheetData sheetId="2744">
        <row r="34">
          <cell r="A34" t="str">
            <v>Investments Govt Securities</v>
          </cell>
        </row>
      </sheetData>
      <sheetData sheetId="2745">
        <row r="34">
          <cell r="A34" t="str">
            <v>Investments Govt Securities</v>
          </cell>
        </row>
      </sheetData>
      <sheetData sheetId="2746">
        <row r="34">
          <cell r="A34" t="str">
            <v>Investments Govt Securities</v>
          </cell>
        </row>
      </sheetData>
      <sheetData sheetId="2747">
        <row r="34">
          <cell r="A34" t="str">
            <v>Investments Govt Securities</v>
          </cell>
        </row>
      </sheetData>
      <sheetData sheetId="2748">
        <row r="34">
          <cell r="A34" t="str">
            <v>Investments Govt Securities</v>
          </cell>
        </row>
      </sheetData>
      <sheetData sheetId="2749">
        <row r="34">
          <cell r="A34" t="str">
            <v>Investments Govt Securities</v>
          </cell>
        </row>
      </sheetData>
      <sheetData sheetId="2750">
        <row r="34">
          <cell r="A34" t="str">
            <v>Investments Govt Securities</v>
          </cell>
        </row>
      </sheetData>
      <sheetData sheetId="2751">
        <row r="34">
          <cell r="A34" t="str">
            <v>Investments Govt Securities</v>
          </cell>
        </row>
      </sheetData>
      <sheetData sheetId="2752">
        <row r="34">
          <cell r="A34" t="str">
            <v>Investments Govt Securities</v>
          </cell>
        </row>
      </sheetData>
      <sheetData sheetId="2753">
        <row r="34">
          <cell r="A34" t="str">
            <v>Investments Govt Securities</v>
          </cell>
        </row>
      </sheetData>
      <sheetData sheetId="2754">
        <row r="34">
          <cell r="A34" t="str">
            <v>Investments Govt Securities</v>
          </cell>
        </row>
      </sheetData>
      <sheetData sheetId="2755">
        <row r="34">
          <cell r="A34" t="str">
            <v>Investments Govt Securities</v>
          </cell>
        </row>
      </sheetData>
      <sheetData sheetId="2756">
        <row r="34">
          <cell r="A34" t="str">
            <v>Investments Govt Securities</v>
          </cell>
        </row>
      </sheetData>
      <sheetData sheetId="2757">
        <row r="34">
          <cell r="A34" t="str">
            <v>Investments Govt Securities</v>
          </cell>
        </row>
      </sheetData>
      <sheetData sheetId="2758">
        <row r="34">
          <cell r="A34" t="str">
            <v>Investments Govt Securities</v>
          </cell>
        </row>
      </sheetData>
      <sheetData sheetId="2759">
        <row r="34">
          <cell r="A34" t="str">
            <v>Investments Govt Securities</v>
          </cell>
        </row>
      </sheetData>
      <sheetData sheetId="2760">
        <row r="34">
          <cell r="A34" t="str">
            <v>Investments Govt Securities</v>
          </cell>
        </row>
      </sheetData>
      <sheetData sheetId="2761">
        <row r="34">
          <cell r="A34" t="str">
            <v>Investments Govt Securities</v>
          </cell>
        </row>
      </sheetData>
      <sheetData sheetId="2762">
        <row r="34">
          <cell r="A34" t="str">
            <v>Investments Govt Securities</v>
          </cell>
        </row>
      </sheetData>
      <sheetData sheetId="2763">
        <row r="34">
          <cell r="A34" t="str">
            <v>Investments Govt Securities</v>
          </cell>
        </row>
      </sheetData>
      <sheetData sheetId="2764">
        <row r="34">
          <cell r="A34" t="str">
            <v>Investments Govt Securities</v>
          </cell>
        </row>
      </sheetData>
      <sheetData sheetId="2765">
        <row r="34">
          <cell r="A34" t="str">
            <v>Investments Govt Securities</v>
          </cell>
        </row>
      </sheetData>
      <sheetData sheetId="2766">
        <row r="34">
          <cell r="A34" t="str">
            <v>Investments Govt Securities</v>
          </cell>
        </row>
      </sheetData>
      <sheetData sheetId="2767">
        <row r="34">
          <cell r="A34" t="str">
            <v>Investments Govt Securities</v>
          </cell>
        </row>
      </sheetData>
      <sheetData sheetId="2768">
        <row r="34">
          <cell r="A34" t="str">
            <v>Investments Govt Securities</v>
          </cell>
        </row>
      </sheetData>
      <sheetData sheetId="2769">
        <row r="34">
          <cell r="A34" t="str">
            <v>Investments Govt Securities</v>
          </cell>
        </row>
      </sheetData>
      <sheetData sheetId="2770">
        <row r="34">
          <cell r="A34" t="str">
            <v>Investments Govt Securities</v>
          </cell>
        </row>
      </sheetData>
      <sheetData sheetId="2771">
        <row r="34">
          <cell r="A34" t="str">
            <v>Investments Govt Securities</v>
          </cell>
        </row>
      </sheetData>
      <sheetData sheetId="2772">
        <row r="34">
          <cell r="A34" t="str">
            <v>Investments Govt Securities</v>
          </cell>
        </row>
      </sheetData>
      <sheetData sheetId="2773">
        <row r="34">
          <cell r="A34" t="str">
            <v>Investments Govt Securities</v>
          </cell>
        </row>
      </sheetData>
      <sheetData sheetId="2774">
        <row r="34">
          <cell r="A34" t="str">
            <v>Investments Govt Securities</v>
          </cell>
        </row>
      </sheetData>
      <sheetData sheetId="2775">
        <row r="34">
          <cell r="A34" t="str">
            <v>Investments Govt Securities</v>
          </cell>
        </row>
      </sheetData>
      <sheetData sheetId="2776">
        <row r="34">
          <cell r="A34" t="str">
            <v>Investments Govt Securities</v>
          </cell>
        </row>
      </sheetData>
      <sheetData sheetId="2777">
        <row r="34">
          <cell r="A34" t="str">
            <v>Investments Govt Securities</v>
          </cell>
        </row>
      </sheetData>
      <sheetData sheetId="2778">
        <row r="34">
          <cell r="A34" t="str">
            <v>Investments Govt Securities</v>
          </cell>
        </row>
      </sheetData>
      <sheetData sheetId="2779">
        <row r="34">
          <cell r="A34" t="str">
            <v>Investments Govt Securities</v>
          </cell>
        </row>
      </sheetData>
      <sheetData sheetId="2780">
        <row r="34">
          <cell r="A34" t="str">
            <v>Investments Govt Securities</v>
          </cell>
        </row>
      </sheetData>
      <sheetData sheetId="2781">
        <row r="34">
          <cell r="A34" t="str">
            <v>Investments Govt Securities</v>
          </cell>
        </row>
      </sheetData>
      <sheetData sheetId="2782">
        <row r="34">
          <cell r="A34" t="str">
            <v>Investments Govt Securities</v>
          </cell>
        </row>
      </sheetData>
      <sheetData sheetId="2783">
        <row r="34">
          <cell r="A34" t="str">
            <v>Investments Govt Securities</v>
          </cell>
        </row>
      </sheetData>
      <sheetData sheetId="2784">
        <row r="34">
          <cell r="A34" t="str">
            <v>Investments Govt Securities</v>
          </cell>
        </row>
      </sheetData>
      <sheetData sheetId="2785">
        <row r="34">
          <cell r="A34" t="str">
            <v>Investments Govt Securities</v>
          </cell>
        </row>
      </sheetData>
      <sheetData sheetId="2786">
        <row r="34">
          <cell r="A34" t="str">
            <v>Investments Govt Securities</v>
          </cell>
        </row>
      </sheetData>
      <sheetData sheetId="2787">
        <row r="34">
          <cell r="A34" t="str">
            <v>Investments Govt Securities</v>
          </cell>
        </row>
      </sheetData>
      <sheetData sheetId="2788">
        <row r="34">
          <cell r="A34" t="str">
            <v>Investments Govt Securities</v>
          </cell>
        </row>
      </sheetData>
      <sheetData sheetId="2789">
        <row r="34">
          <cell r="A34" t="str">
            <v>Investments Govt Securities</v>
          </cell>
        </row>
      </sheetData>
      <sheetData sheetId="2790">
        <row r="34">
          <cell r="A34" t="str">
            <v>Investments Govt Securities</v>
          </cell>
        </row>
      </sheetData>
      <sheetData sheetId="2791">
        <row r="34">
          <cell r="A34" t="str">
            <v>Investments Govt Securities</v>
          </cell>
        </row>
      </sheetData>
      <sheetData sheetId="2792">
        <row r="34">
          <cell r="A34" t="str">
            <v>Investments Govt Securities</v>
          </cell>
        </row>
      </sheetData>
      <sheetData sheetId="2793">
        <row r="34">
          <cell r="A34" t="str">
            <v>Investments Govt Securities</v>
          </cell>
        </row>
      </sheetData>
      <sheetData sheetId="2794">
        <row r="34">
          <cell r="A34" t="str">
            <v>Investments Govt Securities</v>
          </cell>
        </row>
      </sheetData>
      <sheetData sheetId="2795">
        <row r="34">
          <cell r="A34" t="str">
            <v>Investments Govt Securities</v>
          </cell>
        </row>
      </sheetData>
      <sheetData sheetId="2796">
        <row r="34">
          <cell r="A34" t="str">
            <v>Investments Govt Securities</v>
          </cell>
        </row>
      </sheetData>
      <sheetData sheetId="2797">
        <row r="34">
          <cell r="A34" t="str">
            <v>Investments Govt Securities</v>
          </cell>
        </row>
      </sheetData>
      <sheetData sheetId="2798">
        <row r="34">
          <cell r="A34" t="str">
            <v>Investments Govt Securities</v>
          </cell>
        </row>
      </sheetData>
      <sheetData sheetId="2799">
        <row r="34">
          <cell r="A34" t="str">
            <v>Investments Govt Securities</v>
          </cell>
        </row>
      </sheetData>
      <sheetData sheetId="2800">
        <row r="34">
          <cell r="A34" t="str">
            <v>Investments Govt Securities</v>
          </cell>
        </row>
      </sheetData>
      <sheetData sheetId="2801">
        <row r="34">
          <cell r="A34" t="str">
            <v>Investments Govt Securities</v>
          </cell>
        </row>
      </sheetData>
      <sheetData sheetId="2802">
        <row r="34">
          <cell r="A34" t="str">
            <v>Investments Govt Securities</v>
          </cell>
        </row>
      </sheetData>
      <sheetData sheetId="2803">
        <row r="34">
          <cell r="A34" t="str">
            <v>Investments Govt Securities</v>
          </cell>
        </row>
      </sheetData>
      <sheetData sheetId="2804">
        <row r="34">
          <cell r="A34" t="str">
            <v>Investments Govt Securities</v>
          </cell>
        </row>
      </sheetData>
      <sheetData sheetId="2805">
        <row r="34">
          <cell r="A34" t="str">
            <v>Investments Govt Securities</v>
          </cell>
        </row>
      </sheetData>
      <sheetData sheetId="2806">
        <row r="34">
          <cell r="A34" t="str">
            <v>Investments Govt Securities</v>
          </cell>
        </row>
      </sheetData>
      <sheetData sheetId="2807">
        <row r="34">
          <cell r="A34" t="str">
            <v>Investments Govt Securities</v>
          </cell>
        </row>
      </sheetData>
      <sheetData sheetId="2808">
        <row r="34">
          <cell r="A34" t="str">
            <v>Investments Govt Securities</v>
          </cell>
        </row>
      </sheetData>
      <sheetData sheetId="2809">
        <row r="34">
          <cell r="A34" t="str">
            <v>Investments Govt Securities</v>
          </cell>
        </row>
      </sheetData>
      <sheetData sheetId="2810">
        <row r="34">
          <cell r="A34" t="str">
            <v>Investments Govt Securities</v>
          </cell>
        </row>
      </sheetData>
      <sheetData sheetId="2811">
        <row r="34">
          <cell r="A34" t="str">
            <v>Investments Govt Securities</v>
          </cell>
        </row>
      </sheetData>
      <sheetData sheetId="2812">
        <row r="34">
          <cell r="A34" t="str">
            <v>Investments Govt Securities</v>
          </cell>
        </row>
      </sheetData>
      <sheetData sheetId="2813">
        <row r="34">
          <cell r="A34" t="str">
            <v>Investments Govt Securities</v>
          </cell>
        </row>
      </sheetData>
      <sheetData sheetId="2814">
        <row r="34">
          <cell r="A34" t="str">
            <v>Investments Govt Securities</v>
          </cell>
        </row>
      </sheetData>
      <sheetData sheetId="2815">
        <row r="34">
          <cell r="A34" t="str">
            <v>Investments Govt Securities</v>
          </cell>
        </row>
      </sheetData>
      <sheetData sheetId="2816">
        <row r="34">
          <cell r="A34" t="str">
            <v>Investments Govt Securities</v>
          </cell>
        </row>
      </sheetData>
      <sheetData sheetId="2817">
        <row r="34">
          <cell r="A34" t="str">
            <v>Investments Govt Securities</v>
          </cell>
        </row>
      </sheetData>
      <sheetData sheetId="2818">
        <row r="34">
          <cell r="A34" t="str">
            <v>Investments Govt Securities</v>
          </cell>
        </row>
      </sheetData>
      <sheetData sheetId="2819">
        <row r="34">
          <cell r="A34" t="str">
            <v>Investments Govt Securities</v>
          </cell>
        </row>
      </sheetData>
      <sheetData sheetId="2820">
        <row r="34">
          <cell r="A34" t="str">
            <v>Investments Govt Securities</v>
          </cell>
        </row>
      </sheetData>
      <sheetData sheetId="2821">
        <row r="34">
          <cell r="A34" t="str">
            <v>Investments Govt Securities</v>
          </cell>
        </row>
      </sheetData>
      <sheetData sheetId="2822">
        <row r="34">
          <cell r="A34" t="str">
            <v>Investments Govt Securities</v>
          </cell>
        </row>
      </sheetData>
      <sheetData sheetId="2823">
        <row r="34">
          <cell r="A34" t="str">
            <v>Investments Govt Securities</v>
          </cell>
        </row>
      </sheetData>
      <sheetData sheetId="2824">
        <row r="34">
          <cell r="A34" t="str">
            <v>Investments Govt Securities</v>
          </cell>
        </row>
      </sheetData>
      <sheetData sheetId="2825">
        <row r="34">
          <cell r="A34" t="str">
            <v>Investments Govt Securities</v>
          </cell>
        </row>
      </sheetData>
      <sheetData sheetId="2826">
        <row r="34">
          <cell r="A34" t="str">
            <v>Investments Govt Securities</v>
          </cell>
        </row>
      </sheetData>
      <sheetData sheetId="2827">
        <row r="34">
          <cell r="A34" t="str">
            <v>Investments Govt Securities</v>
          </cell>
        </row>
      </sheetData>
      <sheetData sheetId="2828">
        <row r="34">
          <cell r="A34" t="str">
            <v>Investments Govt Securities</v>
          </cell>
        </row>
      </sheetData>
      <sheetData sheetId="2829">
        <row r="34">
          <cell r="A34" t="str">
            <v>Investments Govt Securities</v>
          </cell>
        </row>
      </sheetData>
      <sheetData sheetId="2830">
        <row r="34">
          <cell r="A34" t="str">
            <v>Investments Govt Securities</v>
          </cell>
        </row>
      </sheetData>
      <sheetData sheetId="2831">
        <row r="34">
          <cell r="A34" t="str">
            <v>Investments Govt Securities</v>
          </cell>
        </row>
      </sheetData>
      <sheetData sheetId="2832">
        <row r="34">
          <cell r="A34" t="str">
            <v>Investments Govt Securities</v>
          </cell>
        </row>
      </sheetData>
      <sheetData sheetId="2833">
        <row r="34">
          <cell r="A34" t="str">
            <v>Investments Govt Securities</v>
          </cell>
        </row>
      </sheetData>
      <sheetData sheetId="2834">
        <row r="34">
          <cell r="A34" t="str">
            <v>Investments Govt Securities</v>
          </cell>
        </row>
      </sheetData>
      <sheetData sheetId="2835">
        <row r="34">
          <cell r="A34" t="str">
            <v>Investments Govt Securities</v>
          </cell>
        </row>
      </sheetData>
      <sheetData sheetId="2836">
        <row r="34">
          <cell r="A34" t="str">
            <v>Investments Govt Securities</v>
          </cell>
        </row>
      </sheetData>
      <sheetData sheetId="2837">
        <row r="34">
          <cell r="A34" t="str">
            <v>Investments Govt Securities</v>
          </cell>
        </row>
      </sheetData>
      <sheetData sheetId="2838">
        <row r="34">
          <cell r="A34" t="str">
            <v>Investments Govt Securities</v>
          </cell>
        </row>
      </sheetData>
      <sheetData sheetId="2839">
        <row r="34">
          <cell r="A34" t="str">
            <v>Investments Govt Securities</v>
          </cell>
        </row>
      </sheetData>
      <sheetData sheetId="2840">
        <row r="34">
          <cell r="A34" t="str">
            <v>Investments Govt Securities</v>
          </cell>
        </row>
      </sheetData>
      <sheetData sheetId="2841">
        <row r="34">
          <cell r="A34" t="str">
            <v>Investments Govt Securities</v>
          </cell>
        </row>
      </sheetData>
      <sheetData sheetId="2842">
        <row r="34">
          <cell r="A34" t="str">
            <v>Investments Govt Securities</v>
          </cell>
        </row>
      </sheetData>
      <sheetData sheetId="2843">
        <row r="34">
          <cell r="A34" t="str">
            <v>Investments Govt Securities</v>
          </cell>
        </row>
      </sheetData>
      <sheetData sheetId="2844">
        <row r="34">
          <cell r="A34" t="str">
            <v>Investments Govt Securities</v>
          </cell>
        </row>
      </sheetData>
      <sheetData sheetId="2845">
        <row r="34">
          <cell r="A34" t="str">
            <v>Investments Govt Securities</v>
          </cell>
        </row>
      </sheetData>
      <sheetData sheetId="2846">
        <row r="34">
          <cell r="A34" t="str">
            <v>Investments Govt Securities</v>
          </cell>
        </row>
      </sheetData>
      <sheetData sheetId="2847">
        <row r="34">
          <cell r="A34" t="str">
            <v>Investments Govt Securities</v>
          </cell>
        </row>
      </sheetData>
      <sheetData sheetId="2848">
        <row r="34">
          <cell r="A34" t="str">
            <v>Investments Govt Securities</v>
          </cell>
        </row>
      </sheetData>
      <sheetData sheetId="2849">
        <row r="34">
          <cell r="A34" t="str">
            <v>Investments Govt Securities</v>
          </cell>
        </row>
      </sheetData>
      <sheetData sheetId="2850">
        <row r="34">
          <cell r="A34" t="str">
            <v>Investments Govt Securities</v>
          </cell>
        </row>
      </sheetData>
      <sheetData sheetId="2851">
        <row r="34">
          <cell r="A34" t="str">
            <v>Investments Govt Securities</v>
          </cell>
        </row>
      </sheetData>
      <sheetData sheetId="2852">
        <row r="34">
          <cell r="A34" t="str">
            <v>Investments Govt Securities</v>
          </cell>
        </row>
      </sheetData>
      <sheetData sheetId="2853">
        <row r="34">
          <cell r="A34" t="str">
            <v>Investments Govt Securities</v>
          </cell>
        </row>
      </sheetData>
      <sheetData sheetId="2854">
        <row r="34">
          <cell r="A34" t="str">
            <v>Investments Govt Securities</v>
          </cell>
        </row>
      </sheetData>
      <sheetData sheetId="2855">
        <row r="34">
          <cell r="A34" t="str">
            <v>Investments Govt Securities</v>
          </cell>
        </row>
      </sheetData>
      <sheetData sheetId="2856">
        <row r="34">
          <cell r="A34" t="str">
            <v>Investments Govt Securities</v>
          </cell>
        </row>
      </sheetData>
      <sheetData sheetId="2857">
        <row r="34">
          <cell r="A34" t="str">
            <v>Investments Govt Securities</v>
          </cell>
        </row>
      </sheetData>
      <sheetData sheetId="2858">
        <row r="34">
          <cell r="A34" t="str">
            <v>Investments Govt Securities</v>
          </cell>
        </row>
      </sheetData>
      <sheetData sheetId="2859">
        <row r="34">
          <cell r="A34" t="str">
            <v>Investments Govt Securities</v>
          </cell>
        </row>
      </sheetData>
      <sheetData sheetId="2860">
        <row r="34">
          <cell r="A34" t="str">
            <v>Investments Govt Securities</v>
          </cell>
        </row>
      </sheetData>
      <sheetData sheetId="2861">
        <row r="34">
          <cell r="A34" t="str">
            <v>Investments Govt Securities</v>
          </cell>
        </row>
      </sheetData>
      <sheetData sheetId="2862">
        <row r="34">
          <cell r="A34" t="str">
            <v>Investments Govt Securities</v>
          </cell>
        </row>
      </sheetData>
      <sheetData sheetId="2863">
        <row r="34">
          <cell r="A34" t="str">
            <v>Investments Govt Securities</v>
          </cell>
        </row>
      </sheetData>
      <sheetData sheetId="2864">
        <row r="34">
          <cell r="A34" t="str">
            <v>Investments Govt Securities</v>
          </cell>
        </row>
      </sheetData>
      <sheetData sheetId="2865">
        <row r="34">
          <cell r="A34" t="str">
            <v>Investments Govt Securities</v>
          </cell>
        </row>
      </sheetData>
      <sheetData sheetId="2866">
        <row r="34">
          <cell r="A34" t="str">
            <v>Investments Govt Securities</v>
          </cell>
        </row>
      </sheetData>
      <sheetData sheetId="2867">
        <row r="34">
          <cell r="A34" t="str">
            <v>Investments Govt Securities</v>
          </cell>
        </row>
      </sheetData>
      <sheetData sheetId="2868">
        <row r="34">
          <cell r="A34" t="str">
            <v>Investments Govt Securities</v>
          </cell>
        </row>
      </sheetData>
      <sheetData sheetId="2869">
        <row r="34">
          <cell r="A34" t="str">
            <v>Investments Govt Securities</v>
          </cell>
        </row>
      </sheetData>
      <sheetData sheetId="2870">
        <row r="34">
          <cell r="A34" t="str">
            <v>Investments Govt Securities</v>
          </cell>
        </row>
      </sheetData>
      <sheetData sheetId="2871">
        <row r="34">
          <cell r="A34" t="str">
            <v>Investments Govt Securities</v>
          </cell>
        </row>
      </sheetData>
      <sheetData sheetId="2872">
        <row r="34">
          <cell r="A34" t="str">
            <v>Investments Govt Securities</v>
          </cell>
        </row>
      </sheetData>
      <sheetData sheetId="2873">
        <row r="34">
          <cell r="A34" t="str">
            <v>Investments Govt Securities</v>
          </cell>
        </row>
      </sheetData>
      <sheetData sheetId="2874">
        <row r="34">
          <cell r="A34" t="str">
            <v>Investments Govt Securities</v>
          </cell>
        </row>
      </sheetData>
      <sheetData sheetId="2875">
        <row r="34">
          <cell r="A34" t="str">
            <v>Investments Govt Securities</v>
          </cell>
        </row>
      </sheetData>
      <sheetData sheetId="2876">
        <row r="34">
          <cell r="A34" t="str">
            <v>Investments Govt Securities</v>
          </cell>
        </row>
      </sheetData>
      <sheetData sheetId="2877">
        <row r="34">
          <cell r="A34" t="str">
            <v>Investments Govt Securities</v>
          </cell>
        </row>
      </sheetData>
      <sheetData sheetId="2878">
        <row r="34">
          <cell r="A34" t="str">
            <v>Investments Govt Securities</v>
          </cell>
        </row>
      </sheetData>
      <sheetData sheetId="2879">
        <row r="34">
          <cell r="A34" t="str">
            <v>Investments Govt Securities</v>
          </cell>
        </row>
      </sheetData>
      <sheetData sheetId="2880">
        <row r="34">
          <cell r="A34" t="str">
            <v>Investments Govt Securities</v>
          </cell>
        </row>
      </sheetData>
      <sheetData sheetId="2881">
        <row r="34">
          <cell r="A34" t="str">
            <v>Investments Govt Securities</v>
          </cell>
        </row>
      </sheetData>
      <sheetData sheetId="2882">
        <row r="34">
          <cell r="A34" t="str">
            <v>Investments Govt Securities</v>
          </cell>
        </row>
      </sheetData>
      <sheetData sheetId="2883">
        <row r="34">
          <cell r="A34" t="str">
            <v>Investments Govt Securities</v>
          </cell>
        </row>
      </sheetData>
      <sheetData sheetId="2884">
        <row r="34">
          <cell r="A34" t="str">
            <v>Investments Govt Securities</v>
          </cell>
        </row>
      </sheetData>
      <sheetData sheetId="2885">
        <row r="34">
          <cell r="A34" t="str">
            <v>Investments Govt Securities</v>
          </cell>
        </row>
      </sheetData>
      <sheetData sheetId="2886">
        <row r="34">
          <cell r="A34" t="str">
            <v>Investments Govt Securities</v>
          </cell>
        </row>
      </sheetData>
      <sheetData sheetId="2887">
        <row r="34">
          <cell r="A34" t="str">
            <v>Investments Govt Securities</v>
          </cell>
        </row>
      </sheetData>
      <sheetData sheetId="2888">
        <row r="34">
          <cell r="A34" t="str">
            <v>Investments Govt Securities</v>
          </cell>
        </row>
      </sheetData>
      <sheetData sheetId="2889">
        <row r="34">
          <cell r="A34" t="str">
            <v>Investments Govt Securities</v>
          </cell>
        </row>
      </sheetData>
      <sheetData sheetId="2890">
        <row r="34">
          <cell r="A34" t="str">
            <v>Investments Govt Securities</v>
          </cell>
        </row>
      </sheetData>
      <sheetData sheetId="2891">
        <row r="34">
          <cell r="A34" t="str">
            <v>Investments Govt Securities</v>
          </cell>
        </row>
      </sheetData>
      <sheetData sheetId="2892">
        <row r="34">
          <cell r="A34" t="str">
            <v>Investments Govt Securities</v>
          </cell>
        </row>
      </sheetData>
      <sheetData sheetId="2893">
        <row r="34">
          <cell r="A34" t="str">
            <v>Investments Govt Securities</v>
          </cell>
        </row>
      </sheetData>
      <sheetData sheetId="2894">
        <row r="34">
          <cell r="A34" t="str">
            <v>Investments Govt Securities</v>
          </cell>
        </row>
      </sheetData>
      <sheetData sheetId="2895">
        <row r="34">
          <cell r="A34" t="str">
            <v>Investments Govt Securities</v>
          </cell>
        </row>
      </sheetData>
      <sheetData sheetId="2896">
        <row r="34">
          <cell r="A34" t="str">
            <v>Investments Govt Securities</v>
          </cell>
        </row>
      </sheetData>
      <sheetData sheetId="2897">
        <row r="34">
          <cell r="A34" t="str">
            <v>Investments Govt Securities</v>
          </cell>
        </row>
      </sheetData>
      <sheetData sheetId="2898">
        <row r="34">
          <cell r="A34" t="str">
            <v>Investments Govt Securities</v>
          </cell>
        </row>
      </sheetData>
      <sheetData sheetId="2899">
        <row r="34">
          <cell r="A34" t="str">
            <v>Investments Govt Securities</v>
          </cell>
        </row>
      </sheetData>
      <sheetData sheetId="2900">
        <row r="34">
          <cell r="A34" t="str">
            <v>Investments Govt Securities</v>
          </cell>
        </row>
      </sheetData>
      <sheetData sheetId="2901">
        <row r="34">
          <cell r="A34" t="str">
            <v>Investments Govt Securities</v>
          </cell>
        </row>
      </sheetData>
      <sheetData sheetId="2902">
        <row r="34">
          <cell r="A34" t="str">
            <v>Investments Govt Securities</v>
          </cell>
        </row>
      </sheetData>
      <sheetData sheetId="2903">
        <row r="34">
          <cell r="A34" t="str">
            <v>Investments Govt Securities</v>
          </cell>
        </row>
      </sheetData>
      <sheetData sheetId="2904">
        <row r="34">
          <cell r="A34" t="str">
            <v>Investments Govt Securities</v>
          </cell>
        </row>
      </sheetData>
      <sheetData sheetId="2905">
        <row r="34">
          <cell r="A34" t="str">
            <v>Investments Govt Securities</v>
          </cell>
        </row>
      </sheetData>
      <sheetData sheetId="2906">
        <row r="34">
          <cell r="A34" t="str">
            <v>Investments Govt Securities</v>
          </cell>
        </row>
      </sheetData>
      <sheetData sheetId="2907">
        <row r="34">
          <cell r="A34" t="str">
            <v>Investments Govt Securities</v>
          </cell>
        </row>
      </sheetData>
      <sheetData sheetId="2908">
        <row r="34">
          <cell r="A34" t="str">
            <v>Investments Govt Securities</v>
          </cell>
        </row>
      </sheetData>
      <sheetData sheetId="2909">
        <row r="34">
          <cell r="A34" t="str">
            <v>Investments Govt Securities</v>
          </cell>
        </row>
      </sheetData>
      <sheetData sheetId="2910">
        <row r="34">
          <cell r="A34" t="str">
            <v>Investments Govt Securities</v>
          </cell>
        </row>
      </sheetData>
      <sheetData sheetId="2911">
        <row r="34">
          <cell r="A34" t="str">
            <v>Investments Govt Securities</v>
          </cell>
        </row>
      </sheetData>
      <sheetData sheetId="2912">
        <row r="34">
          <cell r="A34" t="str">
            <v>Investments Govt Securities</v>
          </cell>
        </row>
      </sheetData>
      <sheetData sheetId="2913">
        <row r="34">
          <cell r="A34" t="str">
            <v>Investments Govt Securities</v>
          </cell>
        </row>
      </sheetData>
      <sheetData sheetId="2914">
        <row r="34">
          <cell r="A34" t="str">
            <v>Investments Govt Securities</v>
          </cell>
        </row>
      </sheetData>
      <sheetData sheetId="2915">
        <row r="34">
          <cell r="A34" t="str">
            <v>Investments Govt Securities</v>
          </cell>
        </row>
      </sheetData>
      <sheetData sheetId="2916">
        <row r="34">
          <cell r="A34" t="str">
            <v>Investments Govt Securities</v>
          </cell>
        </row>
      </sheetData>
      <sheetData sheetId="2917">
        <row r="34">
          <cell r="A34" t="str">
            <v>Investments Govt Securities</v>
          </cell>
        </row>
      </sheetData>
      <sheetData sheetId="2918">
        <row r="34">
          <cell r="A34" t="str">
            <v>Investments Govt Securities</v>
          </cell>
        </row>
      </sheetData>
      <sheetData sheetId="2919">
        <row r="34">
          <cell r="A34" t="str">
            <v>Investments Govt Securities</v>
          </cell>
        </row>
      </sheetData>
      <sheetData sheetId="2920">
        <row r="34">
          <cell r="A34" t="str">
            <v>Investments Govt Securities</v>
          </cell>
        </row>
      </sheetData>
      <sheetData sheetId="2921">
        <row r="34">
          <cell r="A34" t="str">
            <v>Investments Govt Securities</v>
          </cell>
        </row>
      </sheetData>
      <sheetData sheetId="2922">
        <row r="34">
          <cell r="A34" t="str">
            <v>Investments Govt Securities</v>
          </cell>
        </row>
      </sheetData>
      <sheetData sheetId="2923">
        <row r="34">
          <cell r="A34" t="str">
            <v>Investments Govt Securities</v>
          </cell>
        </row>
      </sheetData>
      <sheetData sheetId="2924">
        <row r="34">
          <cell r="A34" t="str">
            <v>Investments Govt Securities</v>
          </cell>
        </row>
      </sheetData>
      <sheetData sheetId="2925">
        <row r="34">
          <cell r="A34" t="str">
            <v>Investments Govt Securities</v>
          </cell>
        </row>
      </sheetData>
      <sheetData sheetId="2926">
        <row r="34">
          <cell r="A34" t="str">
            <v>Investments Govt Securities</v>
          </cell>
        </row>
      </sheetData>
      <sheetData sheetId="2927">
        <row r="34">
          <cell r="A34" t="str">
            <v>Investments Govt Securities</v>
          </cell>
        </row>
      </sheetData>
      <sheetData sheetId="2928">
        <row r="34">
          <cell r="A34" t="str">
            <v>Investments Govt Securities</v>
          </cell>
        </row>
      </sheetData>
      <sheetData sheetId="2929">
        <row r="34">
          <cell r="A34" t="str">
            <v>Investments Govt Securities</v>
          </cell>
        </row>
      </sheetData>
      <sheetData sheetId="2930">
        <row r="34">
          <cell r="A34" t="str">
            <v>Investments Govt Securities</v>
          </cell>
        </row>
      </sheetData>
      <sheetData sheetId="2931">
        <row r="34">
          <cell r="A34" t="str">
            <v>Investments Govt Securities</v>
          </cell>
        </row>
      </sheetData>
      <sheetData sheetId="2932">
        <row r="34">
          <cell r="A34" t="str">
            <v>Investments Govt Securities</v>
          </cell>
        </row>
      </sheetData>
      <sheetData sheetId="2933">
        <row r="34">
          <cell r="A34" t="str">
            <v>Investments Govt Securities</v>
          </cell>
        </row>
      </sheetData>
      <sheetData sheetId="2934">
        <row r="34">
          <cell r="A34" t="str">
            <v>Investments Govt Securities</v>
          </cell>
        </row>
      </sheetData>
      <sheetData sheetId="2935">
        <row r="34">
          <cell r="A34" t="str">
            <v>Investments Govt Securities</v>
          </cell>
        </row>
      </sheetData>
      <sheetData sheetId="2936">
        <row r="34">
          <cell r="A34" t="str">
            <v>Investments Govt Securities</v>
          </cell>
        </row>
      </sheetData>
      <sheetData sheetId="2937">
        <row r="34">
          <cell r="A34" t="str">
            <v>Investments Govt Securities</v>
          </cell>
        </row>
      </sheetData>
      <sheetData sheetId="2938">
        <row r="34">
          <cell r="A34" t="str">
            <v>Investments Govt Securities</v>
          </cell>
        </row>
      </sheetData>
      <sheetData sheetId="2939">
        <row r="34">
          <cell r="A34" t="str">
            <v>Investments Govt Securities</v>
          </cell>
        </row>
      </sheetData>
      <sheetData sheetId="2940">
        <row r="34">
          <cell r="A34" t="str">
            <v>Investments Govt Securities</v>
          </cell>
        </row>
      </sheetData>
      <sheetData sheetId="2941">
        <row r="34">
          <cell r="A34" t="str">
            <v>Investments Govt Securities</v>
          </cell>
        </row>
      </sheetData>
      <sheetData sheetId="2942">
        <row r="34">
          <cell r="A34" t="str">
            <v>Investments Govt Securities</v>
          </cell>
        </row>
      </sheetData>
      <sheetData sheetId="2943">
        <row r="34">
          <cell r="A34" t="str">
            <v>Investments Govt Securities</v>
          </cell>
        </row>
      </sheetData>
      <sheetData sheetId="2944">
        <row r="34">
          <cell r="A34" t="str">
            <v>Investments Govt Securities</v>
          </cell>
        </row>
      </sheetData>
      <sheetData sheetId="2945">
        <row r="34">
          <cell r="A34" t="str">
            <v>Investments Govt Securities</v>
          </cell>
        </row>
      </sheetData>
      <sheetData sheetId="2946">
        <row r="34">
          <cell r="A34" t="str">
            <v>Investments Govt Securities</v>
          </cell>
        </row>
      </sheetData>
      <sheetData sheetId="2947">
        <row r="34">
          <cell r="A34" t="str">
            <v>Investments Govt Securities</v>
          </cell>
        </row>
      </sheetData>
      <sheetData sheetId="2948">
        <row r="34">
          <cell r="A34" t="str">
            <v>Investments Govt Securities</v>
          </cell>
        </row>
      </sheetData>
      <sheetData sheetId="2949">
        <row r="34">
          <cell r="A34" t="str">
            <v>Investments Govt Securities</v>
          </cell>
        </row>
      </sheetData>
      <sheetData sheetId="2950">
        <row r="34">
          <cell r="A34" t="str">
            <v>Investments Govt Securities</v>
          </cell>
        </row>
      </sheetData>
      <sheetData sheetId="2951">
        <row r="34">
          <cell r="A34" t="str">
            <v>Investments Govt Securities</v>
          </cell>
        </row>
      </sheetData>
      <sheetData sheetId="2952">
        <row r="34">
          <cell r="A34" t="str">
            <v>Investments Govt Securities</v>
          </cell>
        </row>
      </sheetData>
      <sheetData sheetId="2953">
        <row r="34">
          <cell r="A34" t="str">
            <v>Investments Govt Securities</v>
          </cell>
        </row>
      </sheetData>
      <sheetData sheetId="2954">
        <row r="34">
          <cell r="A34" t="str">
            <v>Investments Govt Securities</v>
          </cell>
        </row>
      </sheetData>
      <sheetData sheetId="2955">
        <row r="34">
          <cell r="A34" t="str">
            <v>Investments Govt Securities</v>
          </cell>
        </row>
      </sheetData>
      <sheetData sheetId="2956">
        <row r="34">
          <cell r="A34" t="str">
            <v>Investments Govt Securities</v>
          </cell>
        </row>
      </sheetData>
      <sheetData sheetId="2957">
        <row r="34">
          <cell r="A34" t="str">
            <v>Investments Govt Securities</v>
          </cell>
        </row>
      </sheetData>
      <sheetData sheetId="2958">
        <row r="34">
          <cell r="A34" t="str">
            <v>Investments Govt Securities</v>
          </cell>
        </row>
      </sheetData>
      <sheetData sheetId="2959">
        <row r="34">
          <cell r="A34" t="str">
            <v>Investments Govt Securities</v>
          </cell>
        </row>
      </sheetData>
      <sheetData sheetId="2960">
        <row r="34">
          <cell r="A34" t="str">
            <v>Investments Govt Securities</v>
          </cell>
        </row>
      </sheetData>
      <sheetData sheetId="2961">
        <row r="34">
          <cell r="A34" t="str">
            <v>Investments Govt Securities</v>
          </cell>
        </row>
      </sheetData>
      <sheetData sheetId="2962">
        <row r="34">
          <cell r="A34" t="str">
            <v>Investments Govt Securities</v>
          </cell>
        </row>
      </sheetData>
      <sheetData sheetId="2963">
        <row r="34">
          <cell r="A34" t="str">
            <v>Investments Govt Securities</v>
          </cell>
        </row>
      </sheetData>
      <sheetData sheetId="2964">
        <row r="34">
          <cell r="A34" t="str">
            <v>Investments Govt Securities</v>
          </cell>
        </row>
      </sheetData>
      <sheetData sheetId="2965">
        <row r="34">
          <cell r="A34" t="str">
            <v>Investments Govt Securities</v>
          </cell>
        </row>
      </sheetData>
      <sheetData sheetId="2966">
        <row r="34">
          <cell r="A34" t="str">
            <v>Investments Govt Securities</v>
          </cell>
        </row>
      </sheetData>
      <sheetData sheetId="2967">
        <row r="34">
          <cell r="A34" t="str">
            <v>Investments Govt Securities</v>
          </cell>
        </row>
      </sheetData>
      <sheetData sheetId="2968">
        <row r="34">
          <cell r="A34" t="str">
            <v>Investments Govt Securities</v>
          </cell>
        </row>
      </sheetData>
      <sheetData sheetId="2969">
        <row r="34">
          <cell r="A34" t="str">
            <v>Investments Govt Securities</v>
          </cell>
        </row>
      </sheetData>
      <sheetData sheetId="2970">
        <row r="34">
          <cell r="A34" t="str">
            <v>Investments Govt Securities</v>
          </cell>
        </row>
      </sheetData>
      <sheetData sheetId="2971">
        <row r="34">
          <cell r="A34" t="str">
            <v>Investments Govt Securities</v>
          </cell>
        </row>
      </sheetData>
      <sheetData sheetId="2972">
        <row r="34">
          <cell r="A34" t="str">
            <v>Investments Govt Securities</v>
          </cell>
        </row>
      </sheetData>
      <sheetData sheetId="2973">
        <row r="34">
          <cell r="A34" t="str">
            <v>Investments Govt Securities</v>
          </cell>
        </row>
      </sheetData>
      <sheetData sheetId="2974">
        <row r="34">
          <cell r="A34" t="str">
            <v>Investments Govt Securities</v>
          </cell>
        </row>
      </sheetData>
      <sheetData sheetId="2975">
        <row r="34">
          <cell r="A34" t="str">
            <v>Investments Govt Securities</v>
          </cell>
        </row>
      </sheetData>
      <sheetData sheetId="2976">
        <row r="34">
          <cell r="A34" t="str">
            <v>Investments Govt Securities</v>
          </cell>
        </row>
      </sheetData>
      <sheetData sheetId="2977">
        <row r="34">
          <cell r="A34" t="str">
            <v>Investments Govt Securities</v>
          </cell>
        </row>
      </sheetData>
      <sheetData sheetId="2978">
        <row r="34">
          <cell r="A34" t="str">
            <v>Investments Govt Securities</v>
          </cell>
        </row>
      </sheetData>
      <sheetData sheetId="2979">
        <row r="34">
          <cell r="A34" t="str">
            <v>Investments Govt Securities</v>
          </cell>
        </row>
      </sheetData>
      <sheetData sheetId="2980">
        <row r="34">
          <cell r="A34" t="str">
            <v>Investments Govt Securities</v>
          </cell>
        </row>
      </sheetData>
      <sheetData sheetId="2981">
        <row r="34">
          <cell r="A34" t="str">
            <v>Investments Govt Securities</v>
          </cell>
        </row>
      </sheetData>
      <sheetData sheetId="2982">
        <row r="34">
          <cell r="A34" t="str">
            <v>Investments Govt Securities</v>
          </cell>
        </row>
      </sheetData>
      <sheetData sheetId="2983">
        <row r="34">
          <cell r="A34" t="str">
            <v>Investments Govt Securities</v>
          </cell>
        </row>
      </sheetData>
      <sheetData sheetId="2984">
        <row r="34">
          <cell r="A34" t="str">
            <v>Investments Govt Securities</v>
          </cell>
        </row>
      </sheetData>
      <sheetData sheetId="2985">
        <row r="34">
          <cell r="A34" t="str">
            <v>Investments Govt Securities</v>
          </cell>
        </row>
      </sheetData>
      <sheetData sheetId="2986">
        <row r="34">
          <cell r="A34" t="str">
            <v>Investments Govt Securities</v>
          </cell>
        </row>
      </sheetData>
      <sheetData sheetId="2987">
        <row r="34">
          <cell r="A34" t="str">
            <v>Investments Govt Securities</v>
          </cell>
        </row>
      </sheetData>
      <sheetData sheetId="2988">
        <row r="34">
          <cell r="A34" t="str">
            <v>Investments Govt Securities</v>
          </cell>
        </row>
      </sheetData>
      <sheetData sheetId="2989">
        <row r="34">
          <cell r="A34" t="str">
            <v>Investments Govt Securities</v>
          </cell>
        </row>
      </sheetData>
      <sheetData sheetId="2990">
        <row r="34">
          <cell r="A34" t="str">
            <v>Investments Govt Securities</v>
          </cell>
        </row>
      </sheetData>
      <sheetData sheetId="2991">
        <row r="34">
          <cell r="A34" t="str">
            <v>Investments Govt Securities</v>
          </cell>
        </row>
      </sheetData>
      <sheetData sheetId="2992">
        <row r="34">
          <cell r="A34" t="str">
            <v>Investments Govt Securities</v>
          </cell>
        </row>
      </sheetData>
      <sheetData sheetId="2993">
        <row r="34">
          <cell r="A34" t="str">
            <v>Investments Govt Securities</v>
          </cell>
        </row>
      </sheetData>
      <sheetData sheetId="2994">
        <row r="34">
          <cell r="A34" t="str">
            <v>Investments Govt Securities</v>
          </cell>
        </row>
      </sheetData>
      <sheetData sheetId="2995">
        <row r="34">
          <cell r="A34" t="str">
            <v>Investments Govt Securities</v>
          </cell>
        </row>
      </sheetData>
      <sheetData sheetId="2996">
        <row r="34">
          <cell r="A34" t="str">
            <v>Investments Govt Securities</v>
          </cell>
        </row>
      </sheetData>
      <sheetData sheetId="2997">
        <row r="34">
          <cell r="A34" t="str">
            <v>Investments Govt Securities</v>
          </cell>
        </row>
      </sheetData>
      <sheetData sheetId="2998">
        <row r="34">
          <cell r="A34" t="str">
            <v>Investments Govt Securities</v>
          </cell>
        </row>
      </sheetData>
      <sheetData sheetId="2999">
        <row r="34">
          <cell r="A34" t="str">
            <v>Investments Govt Securities</v>
          </cell>
        </row>
      </sheetData>
      <sheetData sheetId="3000">
        <row r="34">
          <cell r="A34" t="str">
            <v>Investments Govt Securities</v>
          </cell>
        </row>
      </sheetData>
      <sheetData sheetId="3001">
        <row r="34">
          <cell r="A34" t="str">
            <v>Investments Govt Securities</v>
          </cell>
        </row>
      </sheetData>
      <sheetData sheetId="3002">
        <row r="34">
          <cell r="A34" t="str">
            <v>Investments Govt Securities</v>
          </cell>
        </row>
      </sheetData>
      <sheetData sheetId="3003">
        <row r="34">
          <cell r="A34" t="str">
            <v>Investments Govt Securities</v>
          </cell>
        </row>
      </sheetData>
      <sheetData sheetId="3004">
        <row r="34">
          <cell r="A34" t="str">
            <v>Investments Govt Securities</v>
          </cell>
        </row>
      </sheetData>
      <sheetData sheetId="3005">
        <row r="34">
          <cell r="A34" t="str">
            <v>Investments Govt Securities</v>
          </cell>
        </row>
      </sheetData>
      <sheetData sheetId="3006">
        <row r="34">
          <cell r="A34" t="str">
            <v>Investments Govt Securities</v>
          </cell>
        </row>
      </sheetData>
      <sheetData sheetId="3007">
        <row r="34">
          <cell r="A34" t="str">
            <v>Investments Govt Securities</v>
          </cell>
        </row>
      </sheetData>
      <sheetData sheetId="3008">
        <row r="34">
          <cell r="A34" t="str">
            <v>Investments Govt Securities</v>
          </cell>
        </row>
      </sheetData>
      <sheetData sheetId="3009">
        <row r="34">
          <cell r="A34" t="str">
            <v>Investments Govt Securities</v>
          </cell>
        </row>
      </sheetData>
      <sheetData sheetId="3010">
        <row r="34">
          <cell r="A34" t="str">
            <v>Investments Govt Securities</v>
          </cell>
        </row>
      </sheetData>
      <sheetData sheetId="3011">
        <row r="34">
          <cell r="A34" t="str">
            <v>Investments Govt Securities</v>
          </cell>
        </row>
      </sheetData>
      <sheetData sheetId="3012">
        <row r="34">
          <cell r="A34" t="str">
            <v>Investments Govt Securities</v>
          </cell>
        </row>
      </sheetData>
      <sheetData sheetId="3013">
        <row r="34">
          <cell r="A34" t="str">
            <v>Investments Govt Securities</v>
          </cell>
        </row>
      </sheetData>
      <sheetData sheetId="3014">
        <row r="34">
          <cell r="A34" t="str">
            <v>Investments Govt Securities</v>
          </cell>
        </row>
      </sheetData>
      <sheetData sheetId="3015">
        <row r="34">
          <cell r="A34" t="str">
            <v>Investments Govt Securities</v>
          </cell>
        </row>
      </sheetData>
      <sheetData sheetId="3016">
        <row r="34">
          <cell r="A34" t="str">
            <v>Investments Govt Securities</v>
          </cell>
        </row>
      </sheetData>
      <sheetData sheetId="3017">
        <row r="34">
          <cell r="A34" t="str">
            <v>Investments Govt Securities</v>
          </cell>
        </row>
      </sheetData>
      <sheetData sheetId="3018">
        <row r="34">
          <cell r="A34" t="str">
            <v>Investments Govt Securities</v>
          </cell>
        </row>
      </sheetData>
      <sheetData sheetId="3019">
        <row r="34">
          <cell r="A34" t="str">
            <v>Investments Govt Securities</v>
          </cell>
        </row>
      </sheetData>
      <sheetData sheetId="3020">
        <row r="34">
          <cell r="A34" t="str">
            <v>Investments Govt Securities</v>
          </cell>
        </row>
      </sheetData>
      <sheetData sheetId="3021">
        <row r="34">
          <cell r="A34" t="str">
            <v>Investments Govt Securities</v>
          </cell>
        </row>
      </sheetData>
      <sheetData sheetId="3022">
        <row r="34">
          <cell r="A34" t="str">
            <v>Investments Govt Securities</v>
          </cell>
        </row>
      </sheetData>
      <sheetData sheetId="3023">
        <row r="34">
          <cell r="A34" t="str">
            <v>Investments Govt Securities</v>
          </cell>
        </row>
      </sheetData>
      <sheetData sheetId="3024">
        <row r="34">
          <cell r="A34" t="str">
            <v>Investments Govt Securities</v>
          </cell>
        </row>
      </sheetData>
      <sheetData sheetId="3025">
        <row r="34">
          <cell r="A34" t="str">
            <v>Investments Govt Securities</v>
          </cell>
        </row>
      </sheetData>
      <sheetData sheetId="3026">
        <row r="34">
          <cell r="A34" t="str">
            <v>Investments Govt Securities</v>
          </cell>
        </row>
      </sheetData>
      <sheetData sheetId="3027">
        <row r="34">
          <cell r="A34" t="str">
            <v>Investments Govt Securities</v>
          </cell>
        </row>
      </sheetData>
      <sheetData sheetId="3028">
        <row r="34">
          <cell r="A34" t="str">
            <v>Investments Govt Securities</v>
          </cell>
        </row>
      </sheetData>
      <sheetData sheetId="3029">
        <row r="34">
          <cell r="A34" t="str">
            <v>Investments Govt Securities</v>
          </cell>
        </row>
      </sheetData>
      <sheetData sheetId="3030">
        <row r="34">
          <cell r="A34" t="str">
            <v>Investments Govt Securities</v>
          </cell>
        </row>
      </sheetData>
      <sheetData sheetId="3031">
        <row r="34">
          <cell r="A34" t="str">
            <v>Investments Govt Securities</v>
          </cell>
        </row>
      </sheetData>
      <sheetData sheetId="3032">
        <row r="34">
          <cell r="A34" t="str">
            <v>Investments Govt Securities</v>
          </cell>
        </row>
      </sheetData>
      <sheetData sheetId="3033">
        <row r="34">
          <cell r="A34" t="str">
            <v>Investments Govt Securities</v>
          </cell>
        </row>
      </sheetData>
      <sheetData sheetId="3034">
        <row r="34">
          <cell r="A34" t="str">
            <v>Investments Govt Securities</v>
          </cell>
        </row>
      </sheetData>
      <sheetData sheetId="3035">
        <row r="34">
          <cell r="A34" t="str">
            <v>Investments Govt Securities</v>
          </cell>
        </row>
      </sheetData>
      <sheetData sheetId="3036">
        <row r="34">
          <cell r="A34" t="str">
            <v>Investments Govt Securities</v>
          </cell>
        </row>
      </sheetData>
      <sheetData sheetId="3037">
        <row r="34">
          <cell r="A34" t="str">
            <v>Investments Govt Securities</v>
          </cell>
        </row>
      </sheetData>
      <sheetData sheetId="3038">
        <row r="34">
          <cell r="A34" t="str">
            <v>Investments Govt Securities</v>
          </cell>
        </row>
      </sheetData>
      <sheetData sheetId="3039">
        <row r="34">
          <cell r="A34" t="str">
            <v>Investments Govt Securities</v>
          </cell>
        </row>
      </sheetData>
      <sheetData sheetId="3040">
        <row r="34">
          <cell r="A34" t="str">
            <v>Investments Govt Securities</v>
          </cell>
        </row>
      </sheetData>
      <sheetData sheetId="3041">
        <row r="34">
          <cell r="A34" t="str">
            <v>Investments Govt Securities</v>
          </cell>
        </row>
      </sheetData>
      <sheetData sheetId="3042">
        <row r="34">
          <cell r="A34" t="str">
            <v>Investments Govt Securities</v>
          </cell>
        </row>
      </sheetData>
      <sheetData sheetId="3043">
        <row r="34">
          <cell r="A34" t="str">
            <v>Investments Govt Securities</v>
          </cell>
        </row>
      </sheetData>
      <sheetData sheetId="3044">
        <row r="34">
          <cell r="A34" t="str">
            <v>Investments Govt Securities</v>
          </cell>
        </row>
      </sheetData>
      <sheetData sheetId="3045">
        <row r="34">
          <cell r="A34" t="str">
            <v>Investments Govt Securities</v>
          </cell>
        </row>
      </sheetData>
      <sheetData sheetId="3046">
        <row r="34">
          <cell r="A34" t="str">
            <v>Investments Govt Securities</v>
          </cell>
        </row>
      </sheetData>
      <sheetData sheetId="3047">
        <row r="34">
          <cell r="A34" t="str">
            <v>Investments Govt Securities</v>
          </cell>
        </row>
      </sheetData>
      <sheetData sheetId="3048">
        <row r="34">
          <cell r="A34" t="str">
            <v>Investments Govt Securities</v>
          </cell>
        </row>
      </sheetData>
      <sheetData sheetId="3049">
        <row r="34">
          <cell r="A34" t="str">
            <v>Investments Govt Securities</v>
          </cell>
        </row>
      </sheetData>
      <sheetData sheetId="3050">
        <row r="34">
          <cell r="A34" t="str">
            <v>Investments Govt Securities</v>
          </cell>
        </row>
      </sheetData>
      <sheetData sheetId="3051">
        <row r="34">
          <cell r="A34" t="str">
            <v>Investments Govt Securities</v>
          </cell>
        </row>
      </sheetData>
      <sheetData sheetId="3052">
        <row r="34">
          <cell r="A34" t="str">
            <v>Investments Govt Securities</v>
          </cell>
        </row>
      </sheetData>
      <sheetData sheetId="3053">
        <row r="34">
          <cell r="A34" t="str">
            <v>Investments Govt Securities</v>
          </cell>
        </row>
      </sheetData>
      <sheetData sheetId="3054">
        <row r="34">
          <cell r="A34" t="str">
            <v>Investments Govt Securities</v>
          </cell>
        </row>
      </sheetData>
      <sheetData sheetId="3055">
        <row r="34">
          <cell r="A34" t="str">
            <v>Investments Govt Securities</v>
          </cell>
        </row>
      </sheetData>
      <sheetData sheetId="3056">
        <row r="34">
          <cell r="A34" t="str">
            <v>Investments Govt Securities</v>
          </cell>
        </row>
      </sheetData>
      <sheetData sheetId="3057">
        <row r="34">
          <cell r="A34" t="str">
            <v>Investments Govt Securities</v>
          </cell>
        </row>
      </sheetData>
      <sheetData sheetId="3058">
        <row r="34">
          <cell r="A34" t="str">
            <v>Investments Govt Securities</v>
          </cell>
        </row>
      </sheetData>
      <sheetData sheetId="3059">
        <row r="34">
          <cell r="A34" t="str">
            <v>Investments Govt Securities</v>
          </cell>
        </row>
      </sheetData>
      <sheetData sheetId="3060">
        <row r="34">
          <cell r="A34" t="str">
            <v>Investments Govt Securities</v>
          </cell>
        </row>
      </sheetData>
      <sheetData sheetId="3061">
        <row r="34">
          <cell r="A34" t="str">
            <v>Investments Govt Securities</v>
          </cell>
        </row>
      </sheetData>
      <sheetData sheetId="3062">
        <row r="34">
          <cell r="A34" t="str">
            <v>Investments Govt Securities</v>
          </cell>
        </row>
      </sheetData>
      <sheetData sheetId="3063">
        <row r="34">
          <cell r="A34" t="str">
            <v>Investments Govt Securities</v>
          </cell>
        </row>
      </sheetData>
      <sheetData sheetId="3064">
        <row r="34">
          <cell r="A34" t="str">
            <v>Investments Govt Securities</v>
          </cell>
        </row>
      </sheetData>
      <sheetData sheetId="3065">
        <row r="34">
          <cell r="A34" t="str">
            <v>Investments Govt Securities</v>
          </cell>
        </row>
      </sheetData>
      <sheetData sheetId="3066">
        <row r="34">
          <cell r="A34" t="str">
            <v>Investments Govt Securities</v>
          </cell>
        </row>
      </sheetData>
      <sheetData sheetId="3067">
        <row r="34">
          <cell r="A34" t="str">
            <v>Investments Govt Securities</v>
          </cell>
        </row>
      </sheetData>
      <sheetData sheetId="3068">
        <row r="34">
          <cell r="A34" t="str">
            <v>Investments Govt Securities</v>
          </cell>
        </row>
      </sheetData>
      <sheetData sheetId="3069">
        <row r="34">
          <cell r="A34" t="str">
            <v>Investments Govt Securities</v>
          </cell>
        </row>
      </sheetData>
      <sheetData sheetId="3070">
        <row r="34">
          <cell r="A34" t="str">
            <v>Investments Govt Securities</v>
          </cell>
        </row>
      </sheetData>
      <sheetData sheetId="3071">
        <row r="34">
          <cell r="A34" t="str">
            <v>Investments Govt Securities</v>
          </cell>
        </row>
      </sheetData>
      <sheetData sheetId="3072">
        <row r="34">
          <cell r="A34" t="str">
            <v>Investments Govt Securities</v>
          </cell>
        </row>
      </sheetData>
      <sheetData sheetId="3073">
        <row r="34">
          <cell r="A34" t="str">
            <v>Investments Govt Securities</v>
          </cell>
        </row>
      </sheetData>
      <sheetData sheetId="3074">
        <row r="34">
          <cell r="A34" t="str">
            <v>Investments Govt Securities</v>
          </cell>
        </row>
      </sheetData>
      <sheetData sheetId="3075">
        <row r="34">
          <cell r="A34" t="str">
            <v>Investments Govt Securities</v>
          </cell>
        </row>
      </sheetData>
      <sheetData sheetId="3076">
        <row r="34">
          <cell r="A34" t="str">
            <v>Investments Govt Securities</v>
          </cell>
        </row>
      </sheetData>
      <sheetData sheetId="3077">
        <row r="34">
          <cell r="A34" t="str">
            <v>Investments Govt Securities</v>
          </cell>
        </row>
      </sheetData>
      <sheetData sheetId="3078">
        <row r="34">
          <cell r="A34" t="str">
            <v>Investments Govt Securities</v>
          </cell>
        </row>
      </sheetData>
      <sheetData sheetId="3079">
        <row r="34">
          <cell r="A34" t="str">
            <v>Investments Govt Securities</v>
          </cell>
        </row>
      </sheetData>
      <sheetData sheetId="3080">
        <row r="34">
          <cell r="A34" t="str">
            <v>Investments Govt Securities</v>
          </cell>
        </row>
      </sheetData>
      <sheetData sheetId="3081">
        <row r="34">
          <cell r="A34" t="str">
            <v>Investments Govt Securities</v>
          </cell>
        </row>
      </sheetData>
      <sheetData sheetId="3082">
        <row r="34">
          <cell r="A34" t="str">
            <v>Investments Govt Securities</v>
          </cell>
        </row>
      </sheetData>
      <sheetData sheetId="3083">
        <row r="34">
          <cell r="A34" t="str">
            <v>Investments Govt Securities</v>
          </cell>
        </row>
      </sheetData>
      <sheetData sheetId="3084">
        <row r="34">
          <cell r="A34" t="str">
            <v>Investments Govt Securities</v>
          </cell>
        </row>
      </sheetData>
      <sheetData sheetId="3085">
        <row r="34">
          <cell r="A34" t="str">
            <v>Investments Govt Securities</v>
          </cell>
        </row>
      </sheetData>
      <sheetData sheetId="3086">
        <row r="34">
          <cell r="A34" t="str">
            <v>Investments Govt Securities</v>
          </cell>
        </row>
      </sheetData>
      <sheetData sheetId="3087">
        <row r="34">
          <cell r="A34" t="str">
            <v>Investments Govt Securities</v>
          </cell>
        </row>
      </sheetData>
      <sheetData sheetId="3088">
        <row r="34">
          <cell r="A34" t="str">
            <v>Investments Govt Securities</v>
          </cell>
        </row>
      </sheetData>
      <sheetData sheetId="3089">
        <row r="34">
          <cell r="A34" t="str">
            <v>Investments Govt Securities</v>
          </cell>
        </row>
      </sheetData>
      <sheetData sheetId="3090">
        <row r="34">
          <cell r="A34" t="str">
            <v>Investments Govt Securities</v>
          </cell>
        </row>
      </sheetData>
      <sheetData sheetId="3091">
        <row r="34">
          <cell r="A34" t="str">
            <v>Investments Govt Securities</v>
          </cell>
        </row>
      </sheetData>
      <sheetData sheetId="3092">
        <row r="34">
          <cell r="A34" t="str">
            <v>Investments Govt Securities</v>
          </cell>
        </row>
      </sheetData>
      <sheetData sheetId="3093">
        <row r="34">
          <cell r="A34" t="str">
            <v>Investments Govt Securities</v>
          </cell>
        </row>
      </sheetData>
      <sheetData sheetId="3094">
        <row r="34">
          <cell r="A34" t="str">
            <v>Investments Govt Securities</v>
          </cell>
        </row>
      </sheetData>
      <sheetData sheetId="3095">
        <row r="34">
          <cell r="A34" t="str">
            <v>Investments Govt Securities</v>
          </cell>
        </row>
      </sheetData>
      <sheetData sheetId="3096">
        <row r="34">
          <cell r="A34" t="str">
            <v>Investments Govt Securities</v>
          </cell>
        </row>
      </sheetData>
      <sheetData sheetId="3097">
        <row r="34">
          <cell r="A34" t="str">
            <v>Investments Govt Securities</v>
          </cell>
        </row>
      </sheetData>
      <sheetData sheetId="3098">
        <row r="34">
          <cell r="A34" t="str">
            <v>Investments Govt Securities</v>
          </cell>
        </row>
      </sheetData>
      <sheetData sheetId="3099">
        <row r="34">
          <cell r="A34" t="str">
            <v>Investments Govt Securities</v>
          </cell>
        </row>
      </sheetData>
      <sheetData sheetId="3100">
        <row r="34">
          <cell r="A34" t="str">
            <v>Investments Govt Securities</v>
          </cell>
        </row>
      </sheetData>
      <sheetData sheetId="3101">
        <row r="34">
          <cell r="A34" t="str">
            <v>Investments Govt Securities</v>
          </cell>
        </row>
      </sheetData>
      <sheetData sheetId="3102">
        <row r="34">
          <cell r="A34" t="str">
            <v>Investments Govt Securities</v>
          </cell>
        </row>
      </sheetData>
      <sheetData sheetId="3103">
        <row r="34">
          <cell r="A34" t="str">
            <v>Investments Govt Securities</v>
          </cell>
        </row>
      </sheetData>
      <sheetData sheetId="3104">
        <row r="34">
          <cell r="A34" t="str">
            <v>Investments Govt Securities</v>
          </cell>
        </row>
      </sheetData>
      <sheetData sheetId="3105">
        <row r="34">
          <cell r="A34" t="str">
            <v>Investments Govt Securities</v>
          </cell>
        </row>
      </sheetData>
      <sheetData sheetId="3106">
        <row r="34">
          <cell r="A34" t="str">
            <v>Investments Govt Securities</v>
          </cell>
        </row>
      </sheetData>
      <sheetData sheetId="3107">
        <row r="34">
          <cell r="A34" t="str">
            <v>Investments Govt Securities</v>
          </cell>
        </row>
      </sheetData>
      <sheetData sheetId="3108">
        <row r="34">
          <cell r="A34" t="str">
            <v>Investments Govt Securities</v>
          </cell>
        </row>
      </sheetData>
      <sheetData sheetId="3109">
        <row r="34">
          <cell r="A34" t="str">
            <v>Investments Govt Securities</v>
          </cell>
        </row>
      </sheetData>
      <sheetData sheetId="3110">
        <row r="34">
          <cell r="A34" t="str">
            <v>Investments Govt Securities</v>
          </cell>
        </row>
      </sheetData>
      <sheetData sheetId="3111">
        <row r="34">
          <cell r="A34" t="str">
            <v>Investments Govt Securities</v>
          </cell>
        </row>
      </sheetData>
      <sheetData sheetId="3112">
        <row r="34">
          <cell r="A34" t="str">
            <v>Investments Govt Securities</v>
          </cell>
        </row>
      </sheetData>
      <sheetData sheetId="3113">
        <row r="34">
          <cell r="A34" t="str">
            <v>Investments Govt Securities</v>
          </cell>
        </row>
      </sheetData>
      <sheetData sheetId="3114">
        <row r="34">
          <cell r="A34" t="str">
            <v>Investments Govt Securities</v>
          </cell>
        </row>
      </sheetData>
      <sheetData sheetId="3115">
        <row r="34">
          <cell r="A34" t="str">
            <v>Investments Govt Securities</v>
          </cell>
        </row>
      </sheetData>
      <sheetData sheetId="3116">
        <row r="34">
          <cell r="A34" t="str">
            <v>Investments Govt Securities</v>
          </cell>
        </row>
      </sheetData>
      <sheetData sheetId="3117">
        <row r="34">
          <cell r="A34" t="str">
            <v>Investments Govt Securities</v>
          </cell>
        </row>
      </sheetData>
      <sheetData sheetId="3118">
        <row r="34">
          <cell r="A34" t="str">
            <v>Investments Govt Securities</v>
          </cell>
        </row>
      </sheetData>
      <sheetData sheetId="3119">
        <row r="34">
          <cell r="A34" t="str">
            <v>Investments Govt Securities</v>
          </cell>
        </row>
      </sheetData>
      <sheetData sheetId="3120">
        <row r="34">
          <cell r="A34" t="str">
            <v>Investments Govt Securities</v>
          </cell>
        </row>
      </sheetData>
      <sheetData sheetId="3121">
        <row r="34">
          <cell r="A34" t="str">
            <v>Investments Govt Securities</v>
          </cell>
        </row>
      </sheetData>
      <sheetData sheetId="3122">
        <row r="34">
          <cell r="A34" t="str">
            <v>Investments Govt Securities</v>
          </cell>
        </row>
      </sheetData>
      <sheetData sheetId="3123">
        <row r="34">
          <cell r="A34" t="str">
            <v>Investments Govt Securities</v>
          </cell>
        </row>
      </sheetData>
      <sheetData sheetId="3124">
        <row r="34">
          <cell r="A34" t="str">
            <v>Investments Govt Securities</v>
          </cell>
        </row>
      </sheetData>
      <sheetData sheetId="3125">
        <row r="34">
          <cell r="A34" t="str">
            <v>Investments Govt Securities</v>
          </cell>
        </row>
      </sheetData>
      <sheetData sheetId="3126">
        <row r="34">
          <cell r="A34" t="str">
            <v>Investments Govt Securities</v>
          </cell>
        </row>
      </sheetData>
      <sheetData sheetId="3127">
        <row r="34">
          <cell r="A34" t="str">
            <v>Investments Govt Securities</v>
          </cell>
        </row>
      </sheetData>
      <sheetData sheetId="3128">
        <row r="34">
          <cell r="A34" t="str">
            <v>Investments Govt Securities</v>
          </cell>
        </row>
      </sheetData>
      <sheetData sheetId="3129">
        <row r="34">
          <cell r="A34" t="str">
            <v>Investments Govt Securities</v>
          </cell>
        </row>
      </sheetData>
      <sheetData sheetId="3130">
        <row r="34">
          <cell r="A34" t="str">
            <v>Investments Govt Securities</v>
          </cell>
        </row>
      </sheetData>
      <sheetData sheetId="3131">
        <row r="34">
          <cell r="A34" t="str">
            <v>Investments Govt Securities</v>
          </cell>
        </row>
      </sheetData>
      <sheetData sheetId="3132">
        <row r="34">
          <cell r="A34" t="str">
            <v>Investments Govt Securities</v>
          </cell>
        </row>
      </sheetData>
      <sheetData sheetId="3133">
        <row r="34">
          <cell r="A34" t="str">
            <v>Investments Govt Securities</v>
          </cell>
        </row>
      </sheetData>
      <sheetData sheetId="3134">
        <row r="34">
          <cell r="A34" t="str">
            <v>Investments Govt Securities</v>
          </cell>
        </row>
      </sheetData>
      <sheetData sheetId="3135">
        <row r="34">
          <cell r="A34" t="str">
            <v>Investments Govt Securities</v>
          </cell>
        </row>
      </sheetData>
      <sheetData sheetId="3136">
        <row r="34">
          <cell r="A34" t="str">
            <v>Investments Govt Securities</v>
          </cell>
        </row>
      </sheetData>
      <sheetData sheetId="3137">
        <row r="34">
          <cell r="A34" t="str">
            <v>Investments Govt Securities</v>
          </cell>
        </row>
      </sheetData>
      <sheetData sheetId="3138">
        <row r="34">
          <cell r="A34" t="str">
            <v>Investments Govt Securities</v>
          </cell>
        </row>
      </sheetData>
      <sheetData sheetId="3139">
        <row r="34">
          <cell r="A34" t="str">
            <v>Investments Govt Securities</v>
          </cell>
        </row>
      </sheetData>
      <sheetData sheetId="3140">
        <row r="34">
          <cell r="A34" t="str">
            <v>Investments Govt Securities</v>
          </cell>
        </row>
      </sheetData>
      <sheetData sheetId="3141">
        <row r="34">
          <cell r="A34" t="str">
            <v>Investments Govt Securities</v>
          </cell>
        </row>
      </sheetData>
      <sheetData sheetId="3142">
        <row r="34">
          <cell r="A34" t="str">
            <v>Investments Govt Securities</v>
          </cell>
        </row>
      </sheetData>
      <sheetData sheetId="3143">
        <row r="34">
          <cell r="A34" t="str">
            <v>Investments Govt Securities</v>
          </cell>
        </row>
      </sheetData>
      <sheetData sheetId="3144">
        <row r="34">
          <cell r="A34" t="str">
            <v>Investments Govt Securities</v>
          </cell>
        </row>
      </sheetData>
      <sheetData sheetId="3145">
        <row r="34">
          <cell r="A34" t="str">
            <v>Investments Govt Securities</v>
          </cell>
        </row>
      </sheetData>
      <sheetData sheetId="3146">
        <row r="34">
          <cell r="A34" t="str">
            <v>Investments Govt Securities</v>
          </cell>
        </row>
      </sheetData>
      <sheetData sheetId="3147">
        <row r="34">
          <cell r="A34" t="str">
            <v>Investments Govt Securities</v>
          </cell>
        </row>
      </sheetData>
      <sheetData sheetId="3148">
        <row r="34">
          <cell r="A34" t="str">
            <v>Investments Govt Securities</v>
          </cell>
        </row>
      </sheetData>
      <sheetData sheetId="3149">
        <row r="34">
          <cell r="A34" t="str">
            <v>Investments Govt Securities</v>
          </cell>
        </row>
      </sheetData>
      <sheetData sheetId="3150">
        <row r="34">
          <cell r="A34" t="str">
            <v>Investments Govt Securities</v>
          </cell>
        </row>
      </sheetData>
      <sheetData sheetId="3151">
        <row r="34">
          <cell r="A34" t="str">
            <v>Investments Govt Securities</v>
          </cell>
        </row>
      </sheetData>
      <sheetData sheetId="3152">
        <row r="34">
          <cell r="A34" t="str">
            <v>Investments Govt Securities</v>
          </cell>
        </row>
      </sheetData>
      <sheetData sheetId="3153">
        <row r="34">
          <cell r="A34" t="str">
            <v>Investments Govt Securities</v>
          </cell>
        </row>
      </sheetData>
      <sheetData sheetId="3154">
        <row r="34">
          <cell r="A34" t="str">
            <v>Investments Govt Securities</v>
          </cell>
        </row>
      </sheetData>
      <sheetData sheetId="3155">
        <row r="34">
          <cell r="A34" t="str">
            <v>Investments Govt Securities</v>
          </cell>
        </row>
      </sheetData>
      <sheetData sheetId="3156">
        <row r="34">
          <cell r="A34" t="str">
            <v>Investments Govt Securities</v>
          </cell>
        </row>
      </sheetData>
      <sheetData sheetId="3157">
        <row r="34">
          <cell r="A34" t="str">
            <v>Investments Govt Securities</v>
          </cell>
        </row>
      </sheetData>
      <sheetData sheetId="3158">
        <row r="34">
          <cell r="A34" t="str">
            <v>Investments Govt Securities</v>
          </cell>
        </row>
      </sheetData>
      <sheetData sheetId="3159">
        <row r="34">
          <cell r="A34" t="str">
            <v>Investments Govt Securities</v>
          </cell>
        </row>
      </sheetData>
      <sheetData sheetId="3160">
        <row r="34">
          <cell r="A34" t="str">
            <v>Investments Govt Securities</v>
          </cell>
        </row>
      </sheetData>
      <sheetData sheetId="3161">
        <row r="34">
          <cell r="A34" t="str">
            <v>Investments Govt Securities</v>
          </cell>
        </row>
      </sheetData>
      <sheetData sheetId="3162">
        <row r="34">
          <cell r="A34" t="str">
            <v>Investments Govt Securities</v>
          </cell>
        </row>
      </sheetData>
      <sheetData sheetId="3163">
        <row r="34">
          <cell r="A34" t="str">
            <v>Investments Govt Securities</v>
          </cell>
        </row>
      </sheetData>
      <sheetData sheetId="3164">
        <row r="34">
          <cell r="A34" t="str">
            <v>Investments Govt Securities</v>
          </cell>
        </row>
      </sheetData>
      <sheetData sheetId="3165">
        <row r="34">
          <cell r="A34" t="str">
            <v>Investments Govt Securities</v>
          </cell>
        </row>
      </sheetData>
      <sheetData sheetId="3166">
        <row r="34">
          <cell r="A34" t="str">
            <v>Investments Govt Securities</v>
          </cell>
        </row>
      </sheetData>
      <sheetData sheetId="3167">
        <row r="34">
          <cell r="A34" t="str">
            <v>Investments Govt Securities</v>
          </cell>
        </row>
      </sheetData>
      <sheetData sheetId="3168">
        <row r="34">
          <cell r="A34" t="str">
            <v>Investments Govt Securities</v>
          </cell>
        </row>
      </sheetData>
      <sheetData sheetId="3169">
        <row r="34">
          <cell r="A34" t="str">
            <v>Investments Govt Securities</v>
          </cell>
        </row>
      </sheetData>
      <sheetData sheetId="3170">
        <row r="34">
          <cell r="A34" t="str">
            <v>Investments Govt Securities</v>
          </cell>
        </row>
      </sheetData>
      <sheetData sheetId="3171">
        <row r="34">
          <cell r="A34" t="str">
            <v>Investments Govt Securities</v>
          </cell>
        </row>
      </sheetData>
      <sheetData sheetId="3172">
        <row r="34">
          <cell r="A34" t="str">
            <v>Investments Govt Securities</v>
          </cell>
        </row>
      </sheetData>
      <sheetData sheetId="3173">
        <row r="34">
          <cell r="A34" t="str">
            <v>Investments Govt Securities</v>
          </cell>
        </row>
      </sheetData>
      <sheetData sheetId="3174">
        <row r="34">
          <cell r="A34" t="str">
            <v>Investments Govt Securities</v>
          </cell>
        </row>
      </sheetData>
      <sheetData sheetId="3175">
        <row r="34">
          <cell r="A34" t="str">
            <v>Investments Govt Securities</v>
          </cell>
        </row>
      </sheetData>
      <sheetData sheetId="3176">
        <row r="34">
          <cell r="A34" t="str">
            <v>Investments Govt Securities</v>
          </cell>
        </row>
      </sheetData>
      <sheetData sheetId="3177">
        <row r="34">
          <cell r="A34" t="str">
            <v>Investments Govt Securities</v>
          </cell>
        </row>
      </sheetData>
      <sheetData sheetId="3178">
        <row r="34">
          <cell r="A34" t="str">
            <v>Investments Govt Securities</v>
          </cell>
        </row>
      </sheetData>
      <sheetData sheetId="3179">
        <row r="34">
          <cell r="A34" t="str">
            <v>Investments Govt Securities</v>
          </cell>
        </row>
      </sheetData>
      <sheetData sheetId="3180">
        <row r="34">
          <cell r="A34" t="str">
            <v>Investments Govt Securities</v>
          </cell>
        </row>
      </sheetData>
      <sheetData sheetId="3181">
        <row r="34">
          <cell r="A34" t="str">
            <v>Investments Govt Securities</v>
          </cell>
        </row>
      </sheetData>
      <sheetData sheetId="3182">
        <row r="34">
          <cell r="A34" t="str">
            <v>Investments Govt Securities</v>
          </cell>
        </row>
      </sheetData>
      <sheetData sheetId="3183">
        <row r="34">
          <cell r="A34" t="str">
            <v>Investments Govt Securities</v>
          </cell>
        </row>
      </sheetData>
      <sheetData sheetId="3184">
        <row r="34">
          <cell r="A34" t="str">
            <v>Investments Govt Securities</v>
          </cell>
        </row>
      </sheetData>
      <sheetData sheetId="3185">
        <row r="34">
          <cell r="A34" t="str">
            <v>Investments Govt Securities</v>
          </cell>
        </row>
      </sheetData>
      <sheetData sheetId="3186">
        <row r="34">
          <cell r="A34" t="str">
            <v>Investments Govt Securities</v>
          </cell>
        </row>
      </sheetData>
      <sheetData sheetId="3187">
        <row r="34">
          <cell r="A34" t="str">
            <v>Investments Govt Securities</v>
          </cell>
        </row>
      </sheetData>
      <sheetData sheetId="3188">
        <row r="34">
          <cell r="A34" t="str">
            <v>Investments Govt Securities</v>
          </cell>
        </row>
      </sheetData>
      <sheetData sheetId="3189">
        <row r="34">
          <cell r="A34" t="str">
            <v>Investments Govt Securities</v>
          </cell>
        </row>
      </sheetData>
      <sheetData sheetId="3190">
        <row r="34">
          <cell r="A34" t="str">
            <v>Investments Govt Securities</v>
          </cell>
        </row>
      </sheetData>
      <sheetData sheetId="3191">
        <row r="34">
          <cell r="A34" t="str">
            <v>Investments Govt Securities</v>
          </cell>
        </row>
      </sheetData>
      <sheetData sheetId="3192">
        <row r="34">
          <cell r="A34" t="str">
            <v>Investments Govt Securities</v>
          </cell>
        </row>
      </sheetData>
      <sheetData sheetId="3193">
        <row r="34">
          <cell r="A34" t="str">
            <v>Investments Govt Securities</v>
          </cell>
        </row>
      </sheetData>
      <sheetData sheetId="3194">
        <row r="34">
          <cell r="A34" t="str">
            <v>Investments Govt Securities</v>
          </cell>
        </row>
      </sheetData>
      <sheetData sheetId="3195">
        <row r="34">
          <cell r="A34" t="str">
            <v>Investments Govt Securities</v>
          </cell>
        </row>
      </sheetData>
      <sheetData sheetId="3196">
        <row r="34">
          <cell r="A34" t="str">
            <v>Investments Govt Securities</v>
          </cell>
        </row>
      </sheetData>
      <sheetData sheetId="3197">
        <row r="34">
          <cell r="A34" t="str">
            <v>Investments Govt Securities</v>
          </cell>
        </row>
      </sheetData>
      <sheetData sheetId="3198">
        <row r="34">
          <cell r="A34" t="str">
            <v>Investments Govt Securities</v>
          </cell>
        </row>
      </sheetData>
      <sheetData sheetId="3199">
        <row r="34">
          <cell r="A34" t="str">
            <v>Investments Govt Securities</v>
          </cell>
        </row>
      </sheetData>
      <sheetData sheetId="3200">
        <row r="34">
          <cell r="A34" t="str">
            <v>Investments Govt Securities</v>
          </cell>
        </row>
      </sheetData>
      <sheetData sheetId="3201">
        <row r="34">
          <cell r="A34" t="str">
            <v>Investments Govt Securities</v>
          </cell>
        </row>
      </sheetData>
      <sheetData sheetId="3202">
        <row r="34">
          <cell r="A34" t="str">
            <v>Investments Govt Securities</v>
          </cell>
        </row>
      </sheetData>
      <sheetData sheetId="3203">
        <row r="34">
          <cell r="A34" t="str">
            <v>Investments Govt Securities</v>
          </cell>
        </row>
      </sheetData>
      <sheetData sheetId="3204">
        <row r="34">
          <cell r="A34" t="str">
            <v>Investments Govt Securities</v>
          </cell>
        </row>
      </sheetData>
      <sheetData sheetId="3205">
        <row r="34">
          <cell r="A34" t="str">
            <v>Investments Govt Securities</v>
          </cell>
        </row>
      </sheetData>
      <sheetData sheetId="3206">
        <row r="34">
          <cell r="A34" t="str">
            <v>Investments Govt Securities</v>
          </cell>
        </row>
      </sheetData>
      <sheetData sheetId="3207">
        <row r="34">
          <cell r="A34" t="str">
            <v>Investments Govt Securities</v>
          </cell>
        </row>
      </sheetData>
      <sheetData sheetId="3208">
        <row r="34">
          <cell r="A34" t="str">
            <v>Investments Govt Securities</v>
          </cell>
        </row>
      </sheetData>
      <sheetData sheetId="3209">
        <row r="34">
          <cell r="A34" t="str">
            <v>Investments Govt Securities</v>
          </cell>
        </row>
      </sheetData>
      <sheetData sheetId="3210">
        <row r="34">
          <cell r="A34" t="str">
            <v>Investments Govt Securities</v>
          </cell>
        </row>
      </sheetData>
      <sheetData sheetId="3211">
        <row r="34">
          <cell r="A34" t="str">
            <v>Investments Govt Securities</v>
          </cell>
        </row>
      </sheetData>
      <sheetData sheetId="3212">
        <row r="34">
          <cell r="A34" t="str">
            <v>Investments Govt Securities</v>
          </cell>
        </row>
      </sheetData>
      <sheetData sheetId="3213">
        <row r="34">
          <cell r="A34" t="str">
            <v>Investments Govt Securities</v>
          </cell>
        </row>
      </sheetData>
      <sheetData sheetId="3214">
        <row r="34">
          <cell r="A34" t="str">
            <v>Investments Govt Securities</v>
          </cell>
        </row>
      </sheetData>
      <sheetData sheetId="3215">
        <row r="34">
          <cell r="A34" t="str">
            <v>Investments Govt Securities</v>
          </cell>
        </row>
      </sheetData>
      <sheetData sheetId="3216">
        <row r="34">
          <cell r="A34" t="str">
            <v>Investments Govt Securities</v>
          </cell>
        </row>
      </sheetData>
      <sheetData sheetId="3217">
        <row r="34">
          <cell r="A34" t="str">
            <v>Investments Govt Securities</v>
          </cell>
        </row>
      </sheetData>
      <sheetData sheetId="3218">
        <row r="34">
          <cell r="A34" t="str">
            <v>Investments Govt Securities</v>
          </cell>
        </row>
      </sheetData>
      <sheetData sheetId="3219">
        <row r="34">
          <cell r="A34" t="str">
            <v>Investments Govt Securities</v>
          </cell>
        </row>
      </sheetData>
      <sheetData sheetId="3220">
        <row r="34">
          <cell r="A34" t="str">
            <v>Investments Govt Securities</v>
          </cell>
        </row>
      </sheetData>
      <sheetData sheetId="3221">
        <row r="34">
          <cell r="A34" t="str">
            <v>Investments Govt Securities</v>
          </cell>
        </row>
      </sheetData>
      <sheetData sheetId="3222">
        <row r="34">
          <cell r="A34" t="str">
            <v>Investments Govt Securities</v>
          </cell>
        </row>
      </sheetData>
      <sheetData sheetId="3223">
        <row r="34">
          <cell r="A34" t="str">
            <v>Investments Govt Securities</v>
          </cell>
        </row>
      </sheetData>
      <sheetData sheetId="3224">
        <row r="34">
          <cell r="A34" t="str">
            <v>Investments Govt Securities</v>
          </cell>
        </row>
      </sheetData>
      <sheetData sheetId="3225">
        <row r="34">
          <cell r="A34" t="str">
            <v>Investments Govt Securities</v>
          </cell>
        </row>
      </sheetData>
      <sheetData sheetId="3226">
        <row r="34">
          <cell r="A34" t="str">
            <v>Investments Govt Securities</v>
          </cell>
        </row>
      </sheetData>
      <sheetData sheetId="3227">
        <row r="34">
          <cell r="A34" t="str">
            <v>Investments Govt Securities</v>
          </cell>
        </row>
      </sheetData>
      <sheetData sheetId="3228">
        <row r="34">
          <cell r="A34" t="str">
            <v>Investments Govt Securities</v>
          </cell>
        </row>
      </sheetData>
      <sheetData sheetId="3229">
        <row r="34">
          <cell r="A34" t="str">
            <v>Investments Govt Securities</v>
          </cell>
        </row>
      </sheetData>
      <sheetData sheetId="3230">
        <row r="34">
          <cell r="A34" t="str">
            <v>Investments Govt Securities</v>
          </cell>
        </row>
      </sheetData>
      <sheetData sheetId="3231">
        <row r="34">
          <cell r="A34" t="str">
            <v>Investments Govt Securities</v>
          </cell>
        </row>
      </sheetData>
      <sheetData sheetId="3232">
        <row r="34">
          <cell r="A34" t="str">
            <v>Investments Govt Securities</v>
          </cell>
        </row>
      </sheetData>
      <sheetData sheetId="3233">
        <row r="34">
          <cell r="A34" t="str">
            <v>Investments Govt Securities</v>
          </cell>
        </row>
      </sheetData>
      <sheetData sheetId="3234">
        <row r="34">
          <cell r="A34" t="str">
            <v>Investments Govt Securities</v>
          </cell>
        </row>
      </sheetData>
      <sheetData sheetId="3235">
        <row r="34">
          <cell r="A34" t="str">
            <v>Investments Govt Securities</v>
          </cell>
        </row>
      </sheetData>
      <sheetData sheetId="3236">
        <row r="34">
          <cell r="A34" t="str">
            <v>Investments Govt Securities</v>
          </cell>
        </row>
      </sheetData>
      <sheetData sheetId="3237">
        <row r="34">
          <cell r="A34" t="str">
            <v>Investments Govt Securities</v>
          </cell>
        </row>
      </sheetData>
      <sheetData sheetId="3238">
        <row r="34">
          <cell r="A34" t="str">
            <v>Investments Govt Securities</v>
          </cell>
        </row>
      </sheetData>
      <sheetData sheetId="3239">
        <row r="34">
          <cell r="A34" t="str">
            <v>Investments Govt Securities</v>
          </cell>
        </row>
      </sheetData>
      <sheetData sheetId="3240">
        <row r="34">
          <cell r="A34" t="str">
            <v>Investments Govt Securities</v>
          </cell>
        </row>
      </sheetData>
      <sheetData sheetId="3241">
        <row r="34">
          <cell r="A34" t="str">
            <v>Investments Govt Securities</v>
          </cell>
        </row>
      </sheetData>
      <sheetData sheetId="3242">
        <row r="34">
          <cell r="A34" t="str">
            <v>Investments Govt Securities</v>
          </cell>
        </row>
      </sheetData>
      <sheetData sheetId="3243">
        <row r="34">
          <cell r="A34" t="str">
            <v>Investments Govt Securities</v>
          </cell>
        </row>
      </sheetData>
      <sheetData sheetId="3244">
        <row r="34">
          <cell r="A34" t="str">
            <v>Investments Govt Securities</v>
          </cell>
        </row>
      </sheetData>
      <sheetData sheetId="3245">
        <row r="34">
          <cell r="A34" t="str">
            <v>Investments Govt Securities</v>
          </cell>
        </row>
      </sheetData>
      <sheetData sheetId="3246">
        <row r="34">
          <cell r="A34" t="str">
            <v>Investments Govt Securities</v>
          </cell>
        </row>
      </sheetData>
      <sheetData sheetId="3247">
        <row r="34">
          <cell r="A34" t="str">
            <v>Investments Govt Securities</v>
          </cell>
        </row>
      </sheetData>
      <sheetData sheetId="3248">
        <row r="34">
          <cell r="A34" t="str">
            <v>Investments Govt Securities</v>
          </cell>
        </row>
      </sheetData>
      <sheetData sheetId="3249">
        <row r="34">
          <cell r="A34" t="str">
            <v>Investments Govt Securities</v>
          </cell>
        </row>
      </sheetData>
      <sheetData sheetId="3250">
        <row r="34">
          <cell r="A34" t="str">
            <v>Investments Govt Securities</v>
          </cell>
        </row>
      </sheetData>
      <sheetData sheetId="3251">
        <row r="34">
          <cell r="A34" t="str">
            <v>Investments Govt Securities</v>
          </cell>
        </row>
      </sheetData>
      <sheetData sheetId="3252">
        <row r="34">
          <cell r="A34" t="str">
            <v>Investments Govt Securities</v>
          </cell>
        </row>
      </sheetData>
      <sheetData sheetId="3253">
        <row r="34">
          <cell r="A34" t="str">
            <v>Investments Govt Securities</v>
          </cell>
        </row>
      </sheetData>
      <sheetData sheetId="3254">
        <row r="34">
          <cell r="A34" t="str">
            <v>Investments Govt Securities</v>
          </cell>
        </row>
      </sheetData>
      <sheetData sheetId="3255">
        <row r="34">
          <cell r="A34" t="str">
            <v>Investments Govt Securities</v>
          </cell>
        </row>
      </sheetData>
      <sheetData sheetId="3256">
        <row r="34">
          <cell r="A34" t="str">
            <v>Investments Govt Securities</v>
          </cell>
        </row>
      </sheetData>
      <sheetData sheetId="3257">
        <row r="34">
          <cell r="A34" t="str">
            <v>Investments Govt Securities</v>
          </cell>
        </row>
      </sheetData>
      <sheetData sheetId="3258">
        <row r="34">
          <cell r="A34" t="str">
            <v>Investments Govt Securities</v>
          </cell>
        </row>
      </sheetData>
      <sheetData sheetId="3259">
        <row r="34">
          <cell r="A34" t="str">
            <v>Investments Govt Securities</v>
          </cell>
        </row>
      </sheetData>
      <sheetData sheetId="3260">
        <row r="34">
          <cell r="A34" t="str">
            <v>Investments Govt Securities</v>
          </cell>
        </row>
      </sheetData>
      <sheetData sheetId="3261">
        <row r="34">
          <cell r="A34" t="str">
            <v>Investments Govt Securities</v>
          </cell>
        </row>
      </sheetData>
      <sheetData sheetId="3262">
        <row r="34">
          <cell r="A34" t="str">
            <v>Investments Govt Securities</v>
          </cell>
        </row>
      </sheetData>
      <sheetData sheetId="3263">
        <row r="34">
          <cell r="A34" t="str">
            <v>Investments Govt Securities</v>
          </cell>
        </row>
      </sheetData>
      <sheetData sheetId="3264">
        <row r="34">
          <cell r="A34" t="str">
            <v>Investments Govt Securities</v>
          </cell>
        </row>
      </sheetData>
      <sheetData sheetId="3265">
        <row r="34">
          <cell r="A34" t="str">
            <v>Investments Govt Securities</v>
          </cell>
        </row>
      </sheetData>
      <sheetData sheetId="3266">
        <row r="34">
          <cell r="A34" t="str">
            <v>Investments Govt Securities</v>
          </cell>
        </row>
      </sheetData>
      <sheetData sheetId="3267">
        <row r="34">
          <cell r="A34" t="str">
            <v>Investments Govt Securities</v>
          </cell>
        </row>
      </sheetData>
      <sheetData sheetId="3268">
        <row r="34">
          <cell r="A34" t="str">
            <v>Investments Govt Securities</v>
          </cell>
        </row>
      </sheetData>
      <sheetData sheetId="3269">
        <row r="34">
          <cell r="A34" t="str">
            <v>Investments Govt Securities</v>
          </cell>
        </row>
      </sheetData>
      <sheetData sheetId="3270">
        <row r="34">
          <cell r="A34" t="str">
            <v>Investments Govt Securities</v>
          </cell>
        </row>
      </sheetData>
      <sheetData sheetId="3271">
        <row r="34">
          <cell r="A34" t="str">
            <v>Investments Govt Securities</v>
          </cell>
        </row>
      </sheetData>
      <sheetData sheetId="3272">
        <row r="34">
          <cell r="A34" t="str">
            <v>Investments Govt Securities</v>
          </cell>
        </row>
      </sheetData>
      <sheetData sheetId="3273">
        <row r="34">
          <cell r="A34" t="str">
            <v>Investments Govt Securities</v>
          </cell>
        </row>
      </sheetData>
      <sheetData sheetId="3274">
        <row r="34">
          <cell r="A34" t="str">
            <v>Investments Govt Securities</v>
          </cell>
        </row>
      </sheetData>
      <sheetData sheetId="3275">
        <row r="34">
          <cell r="A34" t="str">
            <v>Investments Govt Securities</v>
          </cell>
        </row>
      </sheetData>
      <sheetData sheetId="3276">
        <row r="34">
          <cell r="A34" t="str">
            <v>Investments Govt Securities</v>
          </cell>
        </row>
      </sheetData>
      <sheetData sheetId="3277">
        <row r="34">
          <cell r="A34" t="str">
            <v>Investments Govt Securities</v>
          </cell>
        </row>
      </sheetData>
      <sheetData sheetId="3278">
        <row r="34">
          <cell r="A34" t="str">
            <v>Investments Govt Securities</v>
          </cell>
        </row>
      </sheetData>
      <sheetData sheetId="3279">
        <row r="34">
          <cell r="A34" t="str">
            <v>Investments Govt Securities</v>
          </cell>
        </row>
      </sheetData>
      <sheetData sheetId="3280">
        <row r="34">
          <cell r="A34" t="str">
            <v>Investments Govt Securities</v>
          </cell>
        </row>
      </sheetData>
      <sheetData sheetId="3281">
        <row r="34">
          <cell r="A34" t="str">
            <v>Investments Govt Securities</v>
          </cell>
        </row>
      </sheetData>
      <sheetData sheetId="3282">
        <row r="34">
          <cell r="A34" t="str">
            <v>Investments Govt Securities</v>
          </cell>
        </row>
      </sheetData>
      <sheetData sheetId="3283">
        <row r="34">
          <cell r="A34" t="str">
            <v>Investments Govt Securities</v>
          </cell>
        </row>
      </sheetData>
      <sheetData sheetId="3284">
        <row r="34">
          <cell r="A34" t="str">
            <v>Investments Govt Securities</v>
          </cell>
        </row>
      </sheetData>
      <sheetData sheetId="3285">
        <row r="34">
          <cell r="A34" t="str">
            <v>Investments Govt Securities</v>
          </cell>
        </row>
      </sheetData>
      <sheetData sheetId="3286">
        <row r="34">
          <cell r="A34" t="str">
            <v>Investments Govt Securities</v>
          </cell>
        </row>
      </sheetData>
      <sheetData sheetId="3287">
        <row r="34">
          <cell r="A34" t="str">
            <v>Investments Govt Securities</v>
          </cell>
        </row>
      </sheetData>
      <sheetData sheetId="3288">
        <row r="34">
          <cell r="A34" t="str">
            <v>Investments Govt Securities</v>
          </cell>
        </row>
      </sheetData>
      <sheetData sheetId="3289">
        <row r="34">
          <cell r="A34" t="str">
            <v>Investments Govt Securities</v>
          </cell>
        </row>
      </sheetData>
      <sheetData sheetId="3290">
        <row r="34">
          <cell r="A34" t="str">
            <v>Investments Govt Securities</v>
          </cell>
        </row>
      </sheetData>
      <sheetData sheetId="3291">
        <row r="34">
          <cell r="A34" t="str">
            <v>Investments Govt Securities</v>
          </cell>
        </row>
      </sheetData>
      <sheetData sheetId="3292">
        <row r="34">
          <cell r="A34" t="str">
            <v>Investments Govt Securities</v>
          </cell>
        </row>
      </sheetData>
      <sheetData sheetId="3293">
        <row r="34">
          <cell r="A34" t="str">
            <v>Investments Govt Securities</v>
          </cell>
        </row>
      </sheetData>
      <sheetData sheetId="3294">
        <row r="34">
          <cell r="A34" t="str">
            <v>Investments Govt Securities</v>
          </cell>
        </row>
      </sheetData>
      <sheetData sheetId="3295">
        <row r="34">
          <cell r="A34" t="str">
            <v>Investments Govt Securities</v>
          </cell>
        </row>
      </sheetData>
      <sheetData sheetId="3296">
        <row r="34">
          <cell r="A34" t="str">
            <v>Investments Govt Securities</v>
          </cell>
        </row>
      </sheetData>
      <sheetData sheetId="3297">
        <row r="34">
          <cell r="A34" t="str">
            <v>Investments Govt Securities</v>
          </cell>
        </row>
      </sheetData>
      <sheetData sheetId="3298">
        <row r="34">
          <cell r="A34" t="str">
            <v>Investments Govt Securities</v>
          </cell>
        </row>
      </sheetData>
      <sheetData sheetId="3299">
        <row r="34">
          <cell r="A34" t="str">
            <v>Investments Govt Securities</v>
          </cell>
        </row>
      </sheetData>
      <sheetData sheetId="3300">
        <row r="34">
          <cell r="A34" t="str">
            <v>Investments Govt Securities</v>
          </cell>
        </row>
      </sheetData>
      <sheetData sheetId="3301">
        <row r="34">
          <cell r="A34" t="str">
            <v>Investments Govt Securities</v>
          </cell>
        </row>
      </sheetData>
      <sheetData sheetId="3302">
        <row r="34">
          <cell r="A34" t="str">
            <v>Investments Govt Securities</v>
          </cell>
        </row>
      </sheetData>
      <sheetData sheetId="3303">
        <row r="34">
          <cell r="A34" t="str">
            <v>Investments Govt Securities</v>
          </cell>
        </row>
      </sheetData>
      <sheetData sheetId="3304">
        <row r="34">
          <cell r="A34" t="str">
            <v>Investments Govt Securities</v>
          </cell>
        </row>
      </sheetData>
      <sheetData sheetId="3305">
        <row r="34">
          <cell r="A34" t="str">
            <v>Investments Govt Securities</v>
          </cell>
        </row>
      </sheetData>
      <sheetData sheetId="3306">
        <row r="34">
          <cell r="A34" t="str">
            <v>Investments Govt Securities</v>
          </cell>
        </row>
      </sheetData>
      <sheetData sheetId="3307">
        <row r="34">
          <cell r="A34" t="str">
            <v>Investments Govt Securities</v>
          </cell>
        </row>
      </sheetData>
      <sheetData sheetId="3308">
        <row r="34">
          <cell r="A34" t="str">
            <v>Investments Govt Securities</v>
          </cell>
        </row>
      </sheetData>
      <sheetData sheetId="3309">
        <row r="34">
          <cell r="A34" t="str">
            <v>Investments Govt Securities</v>
          </cell>
        </row>
      </sheetData>
      <sheetData sheetId="3310">
        <row r="34">
          <cell r="A34" t="str">
            <v>Investments Govt Securities</v>
          </cell>
        </row>
      </sheetData>
      <sheetData sheetId="3311">
        <row r="34">
          <cell r="A34" t="str">
            <v>Investments Govt Securities</v>
          </cell>
        </row>
      </sheetData>
      <sheetData sheetId="3312">
        <row r="34">
          <cell r="A34" t="str">
            <v>Investments Govt Securities</v>
          </cell>
        </row>
      </sheetData>
      <sheetData sheetId="3313">
        <row r="34">
          <cell r="A34" t="str">
            <v>Investments Govt Securities</v>
          </cell>
        </row>
      </sheetData>
      <sheetData sheetId="3314">
        <row r="34">
          <cell r="A34" t="str">
            <v>Investments Govt Securities</v>
          </cell>
        </row>
      </sheetData>
      <sheetData sheetId="3315">
        <row r="34">
          <cell r="A34" t="str">
            <v>Investments Govt Securities</v>
          </cell>
        </row>
      </sheetData>
      <sheetData sheetId="3316">
        <row r="34">
          <cell r="A34" t="str">
            <v>Investments Govt Securities</v>
          </cell>
        </row>
      </sheetData>
      <sheetData sheetId="3317">
        <row r="34">
          <cell r="A34" t="str">
            <v>Investments Govt Securities</v>
          </cell>
        </row>
      </sheetData>
      <sheetData sheetId="3318">
        <row r="34">
          <cell r="A34" t="str">
            <v>Investments Govt Securities</v>
          </cell>
        </row>
      </sheetData>
      <sheetData sheetId="3319">
        <row r="34">
          <cell r="A34" t="str">
            <v>Investments Govt Securities</v>
          </cell>
        </row>
      </sheetData>
      <sheetData sheetId="3320">
        <row r="34">
          <cell r="A34" t="str">
            <v>Investments Govt Securities</v>
          </cell>
        </row>
      </sheetData>
      <sheetData sheetId="3321">
        <row r="34">
          <cell r="A34" t="str">
            <v>Investments Govt Securities</v>
          </cell>
        </row>
      </sheetData>
      <sheetData sheetId="3322">
        <row r="34">
          <cell r="A34" t="str">
            <v>Investments Govt Securities</v>
          </cell>
        </row>
      </sheetData>
      <sheetData sheetId="3323">
        <row r="34">
          <cell r="A34" t="str">
            <v>Investments Govt Securities</v>
          </cell>
        </row>
      </sheetData>
      <sheetData sheetId="3324">
        <row r="34">
          <cell r="A34" t="str">
            <v>Investments Govt Securities</v>
          </cell>
        </row>
      </sheetData>
      <sheetData sheetId="3325">
        <row r="34">
          <cell r="A34" t="str">
            <v>Investments Govt Securities</v>
          </cell>
        </row>
      </sheetData>
      <sheetData sheetId="3326">
        <row r="34">
          <cell r="A34" t="str">
            <v>Investments Govt Securities</v>
          </cell>
        </row>
      </sheetData>
      <sheetData sheetId="3327">
        <row r="34">
          <cell r="A34" t="str">
            <v>Investments Govt Securities</v>
          </cell>
        </row>
      </sheetData>
      <sheetData sheetId="3328">
        <row r="34">
          <cell r="A34" t="str">
            <v>Investments Govt Securities</v>
          </cell>
        </row>
      </sheetData>
      <sheetData sheetId="3329">
        <row r="34">
          <cell r="A34" t="str">
            <v>Investments Govt Securities</v>
          </cell>
        </row>
      </sheetData>
      <sheetData sheetId="3330">
        <row r="34">
          <cell r="A34" t="str">
            <v>Investments Govt Securities</v>
          </cell>
        </row>
      </sheetData>
      <sheetData sheetId="3331">
        <row r="34">
          <cell r="A34" t="str">
            <v>Investments Govt Securities</v>
          </cell>
        </row>
      </sheetData>
      <sheetData sheetId="3332">
        <row r="34">
          <cell r="A34" t="str">
            <v>Investments Govt Securities</v>
          </cell>
        </row>
      </sheetData>
      <sheetData sheetId="3333">
        <row r="34">
          <cell r="A34" t="str">
            <v>Investments Govt Securities</v>
          </cell>
        </row>
      </sheetData>
      <sheetData sheetId="3334">
        <row r="34">
          <cell r="A34" t="str">
            <v>Investments Govt Securities</v>
          </cell>
        </row>
      </sheetData>
      <sheetData sheetId="3335">
        <row r="34">
          <cell r="A34" t="str">
            <v>Investments Govt Securities</v>
          </cell>
        </row>
      </sheetData>
      <sheetData sheetId="3336">
        <row r="34">
          <cell r="A34" t="str">
            <v>Investments Govt Securities</v>
          </cell>
        </row>
      </sheetData>
      <sheetData sheetId="3337">
        <row r="34">
          <cell r="A34" t="str">
            <v>Investments Govt Securities</v>
          </cell>
        </row>
      </sheetData>
      <sheetData sheetId="3338">
        <row r="34">
          <cell r="A34" t="str">
            <v>Investments Govt Securities</v>
          </cell>
        </row>
      </sheetData>
      <sheetData sheetId="3339">
        <row r="34">
          <cell r="A34" t="str">
            <v>Investments Govt Securities</v>
          </cell>
        </row>
      </sheetData>
      <sheetData sheetId="3340">
        <row r="34">
          <cell r="A34" t="str">
            <v>Investments Govt Securities</v>
          </cell>
        </row>
      </sheetData>
      <sheetData sheetId="3341">
        <row r="34">
          <cell r="A34" t="str">
            <v>Investments Govt Securities</v>
          </cell>
        </row>
      </sheetData>
      <sheetData sheetId="3342">
        <row r="34">
          <cell r="A34" t="str">
            <v>Investments Govt Securities</v>
          </cell>
        </row>
      </sheetData>
      <sheetData sheetId="3343">
        <row r="34">
          <cell r="A34" t="str">
            <v>Investments Govt Securities</v>
          </cell>
        </row>
      </sheetData>
      <sheetData sheetId="3344">
        <row r="34">
          <cell r="A34" t="str">
            <v>Investments Govt Securities</v>
          </cell>
        </row>
      </sheetData>
      <sheetData sheetId="3345">
        <row r="34">
          <cell r="A34" t="str">
            <v>Investments Govt Securities</v>
          </cell>
        </row>
      </sheetData>
      <sheetData sheetId="3346">
        <row r="34">
          <cell r="A34" t="str">
            <v>Investments Govt Securities</v>
          </cell>
        </row>
      </sheetData>
      <sheetData sheetId="3347">
        <row r="34">
          <cell r="A34" t="str">
            <v>Investments Govt Securities</v>
          </cell>
        </row>
      </sheetData>
      <sheetData sheetId="3348">
        <row r="34">
          <cell r="A34" t="str">
            <v>Investments Govt Securities</v>
          </cell>
        </row>
      </sheetData>
      <sheetData sheetId="3349">
        <row r="34">
          <cell r="A34" t="str">
            <v>Investments Govt Securities</v>
          </cell>
        </row>
      </sheetData>
      <sheetData sheetId="3350">
        <row r="34">
          <cell r="A34" t="str">
            <v>Investments Govt Securities</v>
          </cell>
        </row>
      </sheetData>
      <sheetData sheetId="3351">
        <row r="34">
          <cell r="A34" t="str">
            <v>Investments Govt Securities</v>
          </cell>
        </row>
      </sheetData>
      <sheetData sheetId="3352">
        <row r="34">
          <cell r="A34" t="str">
            <v>Investments Govt Securities</v>
          </cell>
        </row>
      </sheetData>
      <sheetData sheetId="3353">
        <row r="34">
          <cell r="A34" t="str">
            <v>Investments Govt Securities</v>
          </cell>
        </row>
      </sheetData>
      <sheetData sheetId="3354">
        <row r="34">
          <cell r="A34" t="str">
            <v>Investments Govt Securities</v>
          </cell>
        </row>
      </sheetData>
      <sheetData sheetId="3355">
        <row r="34">
          <cell r="A34" t="str">
            <v>Investments Govt Securities</v>
          </cell>
        </row>
      </sheetData>
      <sheetData sheetId="3356">
        <row r="34">
          <cell r="A34" t="str">
            <v>Investments Govt Securities</v>
          </cell>
        </row>
      </sheetData>
      <sheetData sheetId="3357">
        <row r="34">
          <cell r="A34" t="str">
            <v>Investments Govt Securities</v>
          </cell>
        </row>
      </sheetData>
      <sheetData sheetId="3358">
        <row r="34">
          <cell r="A34" t="str">
            <v>Investments Govt Securities</v>
          </cell>
        </row>
      </sheetData>
      <sheetData sheetId="3359">
        <row r="34">
          <cell r="A34" t="str">
            <v>Investments Govt Securities</v>
          </cell>
        </row>
      </sheetData>
      <sheetData sheetId="3360">
        <row r="34">
          <cell r="A34" t="str">
            <v>Investments Govt Securities</v>
          </cell>
        </row>
      </sheetData>
      <sheetData sheetId="3361">
        <row r="34">
          <cell r="A34" t="str">
            <v>Investments Govt Securities</v>
          </cell>
        </row>
      </sheetData>
      <sheetData sheetId="3362">
        <row r="34">
          <cell r="A34" t="str">
            <v>Investments Govt Securities</v>
          </cell>
        </row>
      </sheetData>
      <sheetData sheetId="3363">
        <row r="34">
          <cell r="A34" t="str">
            <v>Investments Govt Securities</v>
          </cell>
        </row>
      </sheetData>
      <sheetData sheetId="3364">
        <row r="34">
          <cell r="A34" t="str">
            <v>Investments Govt Securities</v>
          </cell>
        </row>
      </sheetData>
      <sheetData sheetId="3365">
        <row r="34">
          <cell r="A34" t="str">
            <v>Investments Govt Securities</v>
          </cell>
        </row>
      </sheetData>
      <sheetData sheetId="3366">
        <row r="34">
          <cell r="A34" t="str">
            <v>Investments Govt Securities</v>
          </cell>
        </row>
      </sheetData>
      <sheetData sheetId="3367">
        <row r="34">
          <cell r="A34" t="str">
            <v>Investments Govt Securities</v>
          </cell>
        </row>
      </sheetData>
      <sheetData sheetId="3368">
        <row r="34">
          <cell r="A34" t="str">
            <v>Investments Govt Securities</v>
          </cell>
        </row>
      </sheetData>
      <sheetData sheetId="3369">
        <row r="34">
          <cell r="A34" t="str">
            <v>Investments Govt Securities</v>
          </cell>
        </row>
      </sheetData>
      <sheetData sheetId="3370">
        <row r="34">
          <cell r="A34" t="str">
            <v>Investments Govt Securities</v>
          </cell>
        </row>
      </sheetData>
      <sheetData sheetId="3371">
        <row r="34">
          <cell r="A34" t="str">
            <v>Investments Govt Securities</v>
          </cell>
        </row>
      </sheetData>
      <sheetData sheetId="3372">
        <row r="34">
          <cell r="A34" t="str">
            <v>Investments Govt Securities</v>
          </cell>
        </row>
      </sheetData>
      <sheetData sheetId="3373">
        <row r="34">
          <cell r="A34" t="str">
            <v>Investments Govt Securities</v>
          </cell>
        </row>
      </sheetData>
      <sheetData sheetId="3374">
        <row r="34">
          <cell r="A34" t="str">
            <v>Investments Govt Securities</v>
          </cell>
        </row>
      </sheetData>
      <sheetData sheetId="3375">
        <row r="34">
          <cell r="A34" t="str">
            <v>Investments Govt Securities</v>
          </cell>
        </row>
      </sheetData>
      <sheetData sheetId="3376">
        <row r="34">
          <cell r="A34" t="str">
            <v>Investments Govt Securities</v>
          </cell>
        </row>
      </sheetData>
      <sheetData sheetId="3377">
        <row r="34">
          <cell r="A34" t="str">
            <v>Investments Govt Securities</v>
          </cell>
        </row>
      </sheetData>
      <sheetData sheetId="3378">
        <row r="34">
          <cell r="A34" t="str">
            <v>Investments Govt Securities</v>
          </cell>
        </row>
      </sheetData>
      <sheetData sheetId="3379">
        <row r="34">
          <cell r="A34" t="str">
            <v>Investments Govt Securities</v>
          </cell>
        </row>
      </sheetData>
      <sheetData sheetId="3380">
        <row r="34">
          <cell r="A34" t="str">
            <v>Investments Govt Securities</v>
          </cell>
        </row>
      </sheetData>
      <sheetData sheetId="3381">
        <row r="34">
          <cell r="A34" t="str">
            <v>Investments Govt Securities</v>
          </cell>
        </row>
      </sheetData>
      <sheetData sheetId="3382">
        <row r="34">
          <cell r="A34" t="str">
            <v>Investments Govt Securities</v>
          </cell>
        </row>
      </sheetData>
      <sheetData sheetId="3383">
        <row r="34">
          <cell r="A34" t="str">
            <v>Investments Govt Securities</v>
          </cell>
        </row>
      </sheetData>
      <sheetData sheetId="3384">
        <row r="34">
          <cell r="A34" t="str">
            <v>Investments Govt Securities</v>
          </cell>
        </row>
      </sheetData>
      <sheetData sheetId="3385">
        <row r="34">
          <cell r="A34" t="str">
            <v>Investments Govt Securities</v>
          </cell>
        </row>
      </sheetData>
      <sheetData sheetId="3386">
        <row r="34">
          <cell r="A34" t="str">
            <v>Investments Govt Securities</v>
          </cell>
        </row>
      </sheetData>
      <sheetData sheetId="3387">
        <row r="34">
          <cell r="A34" t="str">
            <v>Investments Govt Securities</v>
          </cell>
        </row>
      </sheetData>
      <sheetData sheetId="3388">
        <row r="34">
          <cell r="A34" t="str">
            <v>Investments Govt Securities</v>
          </cell>
        </row>
      </sheetData>
      <sheetData sheetId="3389">
        <row r="34">
          <cell r="A34" t="str">
            <v>Investments Govt Securities</v>
          </cell>
        </row>
      </sheetData>
      <sheetData sheetId="3390">
        <row r="34">
          <cell r="A34" t="str">
            <v>Investments Govt Securities</v>
          </cell>
        </row>
      </sheetData>
      <sheetData sheetId="3391">
        <row r="34">
          <cell r="A34" t="str">
            <v>Investments Govt Securities</v>
          </cell>
        </row>
      </sheetData>
      <sheetData sheetId="3392">
        <row r="34">
          <cell r="A34" t="str">
            <v>Investments Govt Securities</v>
          </cell>
        </row>
      </sheetData>
      <sheetData sheetId="3393">
        <row r="34">
          <cell r="A34" t="str">
            <v>Investments Govt Securities</v>
          </cell>
        </row>
      </sheetData>
      <sheetData sheetId="3394">
        <row r="34">
          <cell r="A34" t="str">
            <v>Investments Govt Securities</v>
          </cell>
        </row>
      </sheetData>
      <sheetData sheetId="3395">
        <row r="34">
          <cell r="A34" t="str">
            <v>Investments Govt Securities</v>
          </cell>
        </row>
      </sheetData>
      <sheetData sheetId="3396">
        <row r="34">
          <cell r="A34" t="str">
            <v>Investments Govt Securities</v>
          </cell>
        </row>
      </sheetData>
      <sheetData sheetId="3397">
        <row r="34">
          <cell r="A34" t="str">
            <v>Investments Govt Securities</v>
          </cell>
        </row>
      </sheetData>
      <sheetData sheetId="3398">
        <row r="34">
          <cell r="A34" t="str">
            <v>Investments Govt Securities</v>
          </cell>
        </row>
      </sheetData>
      <sheetData sheetId="3399">
        <row r="34">
          <cell r="A34" t="str">
            <v>Investments Govt Securities</v>
          </cell>
        </row>
      </sheetData>
      <sheetData sheetId="3400">
        <row r="34">
          <cell r="A34" t="str">
            <v>Investments Govt Securities</v>
          </cell>
        </row>
      </sheetData>
      <sheetData sheetId="3401">
        <row r="34">
          <cell r="A34" t="str">
            <v>Investments Govt Securities</v>
          </cell>
        </row>
      </sheetData>
      <sheetData sheetId="3402">
        <row r="34">
          <cell r="A34" t="str">
            <v>Investments Govt Securities</v>
          </cell>
        </row>
      </sheetData>
      <sheetData sheetId="3403">
        <row r="34">
          <cell r="A34" t="str">
            <v>Investments Govt Securities</v>
          </cell>
        </row>
      </sheetData>
      <sheetData sheetId="3404">
        <row r="34">
          <cell r="A34" t="str">
            <v>Investments Govt Securities</v>
          </cell>
        </row>
      </sheetData>
      <sheetData sheetId="3405">
        <row r="34">
          <cell r="A34" t="str">
            <v>Investments Govt Securities</v>
          </cell>
        </row>
      </sheetData>
      <sheetData sheetId="3406">
        <row r="34">
          <cell r="A34" t="str">
            <v>Investments Govt Securities</v>
          </cell>
        </row>
      </sheetData>
      <sheetData sheetId="3407">
        <row r="34">
          <cell r="A34" t="str">
            <v>Investments Govt Securities</v>
          </cell>
        </row>
      </sheetData>
      <sheetData sheetId="3408">
        <row r="34">
          <cell r="A34" t="str">
            <v>Investments Govt Securities</v>
          </cell>
        </row>
      </sheetData>
      <sheetData sheetId="3409">
        <row r="34">
          <cell r="A34" t="str">
            <v>Investments Govt Securities</v>
          </cell>
        </row>
      </sheetData>
      <sheetData sheetId="3410">
        <row r="34">
          <cell r="A34" t="str">
            <v>Investments Govt Securities</v>
          </cell>
        </row>
      </sheetData>
      <sheetData sheetId="3411">
        <row r="34">
          <cell r="A34" t="str">
            <v>Investments Govt Securities</v>
          </cell>
        </row>
      </sheetData>
      <sheetData sheetId="3412">
        <row r="34">
          <cell r="A34" t="str">
            <v>Investments Govt Securities</v>
          </cell>
        </row>
      </sheetData>
      <sheetData sheetId="3413">
        <row r="34">
          <cell r="A34" t="str">
            <v>Investments Govt Securities</v>
          </cell>
        </row>
      </sheetData>
      <sheetData sheetId="3414">
        <row r="34">
          <cell r="A34" t="str">
            <v>Investments Govt Securities</v>
          </cell>
        </row>
      </sheetData>
      <sheetData sheetId="3415">
        <row r="34">
          <cell r="A34" t="str">
            <v>Investments Govt Securities</v>
          </cell>
        </row>
      </sheetData>
      <sheetData sheetId="3416">
        <row r="34">
          <cell r="A34" t="str">
            <v>Investments Govt Securities</v>
          </cell>
        </row>
      </sheetData>
      <sheetData sheetId="3417">
        <row r="34">
          <cell r="A34" t="str">
            <v>Investments Govt Securities</v>
          </cell>
        </row>
      </sheetData>
      <sheetData sheetId="3418">
        <row r="34">
          <cell r="A34" t="str">
            <v>Investments Govt Securities</v>
          </cell>
        </row>
      </sheetData>
      <sheetData sheetId="3419">
        <row r="34">
          <cell r="A34" t="str">
            <v>Investments Govt Securities</v>
          </cell>
        </row>
      </sheetData>
      <sheetData sheetId="3420">
        <row r="34">
          <cell r="A34" t="str">
            <v>Investments Govt Securities</v>
          </cell>
        </row>
      </sheetData>
      <sheetData sheetId="3421">
        <row r="34">
          <cell r="A34" t="str">
            <v>Investments Govt Securities</v>
          </cell>
        </row>
      </sheetData>
      <sheetData sheetId="3422">
        <row r="34">
          <cell r="A34" t="str">
            <v>Investments Govt Securities</v>
          </cell>
        </row>
      </sheetData>
      <sheetData sheetId="3423">
        <row r="34">
          <cell r="A34" t="str">
            <v>Investments Govt Securities</v>
          </cell>
        </row>
      </sheetData>
      <sheetData sheetId="3424">
        <row r="34">
          <cell r="A34" t="str">
            <v>Investments Govt Securities</v>
          </cell>
        </row>
      </sheetData>
      <sheetData sheetId="3425">
        <row r="34">
          <cell r="A34" t="str">
            <v>Investments Govt Securities</v>
          </cell>
        </row>
      </sheetData>
      <sheetData sheetId="3426">
        <row r="34">
          <cell r="A34" t="str">
            <v>Investments Govt Securities</v>
          </cell>
        </row>
      </sheetData>
      <sheetData sheetId="3427">
        <row r="34">
          <cell r="A34" t="str">
            <v>Investments Govt Securities</v>
          </cell>
        </row>
      </sheetData>
      <sheetData sheetId="3428">
        <row r="34">
          <cell r="A34" t="str">
            <v>Investments Govt Securities</v>
          </cell>
        </row>
      </sheetData>
      <sheetData sheetId="3429">
        <row r="34">
          <cell r="A34" t="str">
            <v>Investments Govt Securities</v>
          </cell>
        </row>
      </sheetData>
      <sheetData sheetId="3430">
        <row r="34">
          <cell r="A34" t="str">
            <v>Investments Govt Securities</v>
          </cell>
        </row>
      </sheetData>
      <sheetData sheetId="3431">
        <row r="34">
          <cell r="A34" t="str">
            <v>Investments Govt Securities</v>
          </cell>
        </row>
      </sheetData>
      <sheetData sheetId="3432">
        <row r="34">
          <cell r="A34" t="str">
            <v>Investments Govt Securities</v>
          </cell>
        </row>
      </sheetData>
      <sheetData sheetId="3433">
        <row r="34">
          <cell r="A34" t="str">
            <v>Investments Govt Securities</v>
          </cell>
        </row>
      </sheetData>
      <sheetData sheetId="3434">
        <row r="34">
          <cell r="A34" t="str">
            <v>Investments Govt Securities</v>
          </cell>
        </row>
      </sheetData>
      <sheetData sheetId="3435">
        <row r="34">
          <cell r="A34" t="str">
            <v>Investments Govt Securities</v>
          </cell>
        </row>
      </sheetData>
      <sheetData sheetId="3436">
        <row r="34">
          <cell r="A34" t="str">
            <v>Investments Govt Securities</v>
          </cell>
        </row>
      </sheetData>
      <sheetData sheetId="3437">
        <row r="34">
          <cell r="A34" t="str">
            <v>Investments Govt Securities</v>
          </cell>
        </row>
      </sheetData>
      <sheetData sheetId="3438">
        <row r="34">
          <cell r="A34" t="str">
            <v>Investments Govt Securities</v>
          </cell>
        </row>
      </sheetData>
      <sheetData sheetId="3439">
        <row r="34">
          <cell r="A34" t="str">
            <v>Investments Govt Securities</v>
          </cell>
        </row>
      </sheetData>
      <sheetData sheetId="3440">
        <row r="34">
          <cell r="A34" t="str">
            <v>Investments Govt Securities</v>
          </cell>
        </row>
      </sheetData>
      <sheetData sheetId="3441">
        <row r="34">
          <cell r="A34" t="str">
            <v>Investments Govt Securities</v>
          </cell>
        </row>
      </sheetData>
      <sheetData sheetId="3442">
        <row r="34">
          <cell r="A34" t="str">
            <v>Investments Govt Securities</v>
          </cell>
        </row>
      </sheetData>
      <sheetData sheetId="3443">
        <row r="34">
          <cell r="A34" t="str">
            <v>Investments Govt Securities</v>
          </cell>
        </row>
      </sheetData>
      <sheetData sheetId="3444">
        <row r="34">
          <cell r="A34" t="str">
            <v>Investments Govt Securities</v>
          </cell>
        </row>
      </sheetData>
      <sheetData sheetId="3445">
        <row r="34">
          <cell r="A34" t="str">
            <v>Investments Govt Securities</v>
          </cell>
        </row>
      </sheetData>
      <sheetData sheetId="3446">
        <row r="34">
          <cell r="A34" t="str">
            <v>Investments Govt Securities</v>
          </cell>
        </row>
      </sheetData>
      <sheetData sheetId="3447">
        <row r="34">
          <cell r="A34" t="str">
            <v>Investments Govt Securities</v>
          </cell>
        </row>
      </sheetData>
      <sheetData sheetId="3448">
        <row r="34">
          <cell r="A34" t="str">
            <v>Investments Govt Securities</v>
          </cell>
        </row>
      </sheetData>
      <sheetData sheetId="3449">
        <row r="34">
          <cell r="A34" t="str">
            <v>Investments Govt Securities</v>
          </cell>
        </row>
      </sheetData>
      <sheetData sheetId="3450">
        <row r="34">
          <cell r="A34" t="str">
            <v>Investments Govt Securities</v>
          </cell>
        </row>
      </sheetData>
      <sheetData sheetId="3451">
        <row r="34">
          <cell r="A34" t="str">
            <v>Investments Govt Securities</v>
          </cell>
        </row>
      </sheetData>
      <sheetData sheetId="3452">
        <row r="34">
          <cell r="A34" t="str">
            <v>Investments Govt Securities</v>
          </cell>
        </row>
      </sheetData>
      <sheetData sheetId="3453">
        <row r="34">
          <cell r="A34" t="str">
            <v>Investments Govt Securities</v>
          </cell>
        </row>
      </sheetData>
      <sheetData sheetId="3454">
        <row r="34">
          <cell r="A34" t="str">
            <v>Investments Govt Securities</v>
          </cell>
        </row>
      </sheetData>
      <sheetData sheetId="3455">
        <row r="34">
          <cell r="A34" t="str">
            <v>Investments Govt Securities</v>
          </cell>
        </row>
      </sheetData>
      <sheetData sheetId="3456">
        <row r="34">
          <cell r="A34" t="str">
            <v>Investments Govt Securities</v>
          </cell>
        </row>
      </sheetData>
      <sheetData sheetId="3457">
        <row r="34">
          <cell r="A34" t="str">
            <v>Investments Govt Securities</v>
          </cell>
        </row>
      </sheetData>
      <sheetData sheetId="3458">
        <row r="34">
          <cell r="A34" t="str">
            <v>Investments Govt Securities</v>
          </cell>
        </row>
      </sheetData>
      <sheetData sheetId="3459">
        <row r="34">
          <cell r="A34" t="str">
            <v>Investments Govt Securities</v>
          </cell>
        </row>
      </sheetData>
      <sheetData sheetId="3460">
        <row r="34">
          <cell r="A34" t="str">
            <v>Investments Govt Securities</v>
          </cell>
        </row>
      </sheetData>
      <sheetData sheetId="3461">
        <row r="34">
          <cell r="A34" t="str">
            <v>Investments Govt Securities</v>
          </cell>
        </row>
      </sheetData>
      <sheetData sheetId="3462">
        <row r="34">
          <cell r="A34" t="str">
            <v>Investments Govt Securities</v>
          </cell>
        </row>
      </sheetData>
      <sheetData sheetId="3463">
        <row r="34">
          <cell r="A34" t="str">
            <v>Investments Govt Securities</v>
          </cell>
        </row>
      </sheetData>
      <sheetData sheetId="3464">
        <row r="34">
          <cell r="A34" t="str">
            <v>Investments Govt Securities</v>
          </cell>
        </row>
      </sheetData>
      <sheetData sheetId="3465">
        <row r="34">
          <cell r="A34" t="str">
            <v>Investments Govt Securities</v>
          </cell>
        </row>
      </sheetData>
      <sheetData sheetId="3466">
        <row r="34">
          <cell r="A34" t="str">
            <v>Investments Govt Securities</v>
          </cell>
        </row>
      </sheetData>
      <sheetData sheetId="3467">
        <row r="34">
          <cell r="A34" t="str">
            <v>Investments Govt Securities</v>
          </cell>
        </row>
      </sheetData>
      <sheetData sheetId="3468">
        <row r="34">
          <cell r="A34" t="str">
            <v>Investments Govt Securities</v>
          </cell>
        </row>
      </sheetData>
      <sheetData sheetId="3469">
        <row r="34">
          <cell r="A34" t="str">
            <v>Investments Govt Securities</v>
          </cell>
        </row>
      </sheetData>
      <sheetData sheetId="3470">
        <row r="34">
          <cell r="A34" t="str">
            <v>Investments Govt Securities</v>
          </cell>
        </row>
      </sheetData>
      <sheetData sheetId="3471">
        <row r="34">
          <cell r="A34" t="str">
            <v>Investments Govt Securities</v>
          </cell>
        </row>
      </sheetData>
      <sheetData sheetId="3472">
        <row r="34">
          <cell r="A34" t="str">
            <v>Investments Govt Securities</v>
          </cell>
        </row>
      </sheetData>
      <sheetData sheetId="3473">
        <row r="34">
          <cell r="A34" t="str">
            <v>Investments Govt Securities</v>
          </cell>
        </row>
      </sheetData>
      <sheetData sheetId="3474">
        <row r="34">
          <cell r="A34" t="str">
            <v>Investments Govt Securities</v>
          </cell>
        </row>
      </sheetData>
      <sheetData sheetId="3475">
        <row r="34">
          <cell r="A34" t="str">
            <v>Investments Govt Securities</v>
          </cell>
        </row>
      </sheetData>
      <sheetData sheetId="3476">
        <row r="34">
          <cell r="A34" t="str">
            <v>Investments Govt Securities</v>
          </cell>
        </row>
      </sheetData>
      <sheetData sheetId="3477">
        <row r="34">
          <cell r="A34" t="str">
            <v>Investments Govt Securities</v>
          </cell>
        </row>
      </sheetData>
      <sheetData sheetId="3478">
        <row r="34">
          <cell r="A34" t="str">
            <v>Investments Govt Securities</v>
          </cell>
        </row>
      </sheetData>
      <sheetData sheetId="3479">
        <row r="34">
          <cell r="A34" t="str">
            <v>Investments Govt Securities</v>
          </cell>
        </row>
      </sheetData>
      <sheetData sheetId="3480">
        <row r="34">
          <cell r="A34" t="str">
            <v>Investments Govt Securities</v>
          </cell>
        </row>
      </sheetData>
      <sheetData sheetId="3481">
        <row r="34">
          <cell r="A34" t="str">
            <v>Investments Govt Securities</v>
          </cell>
        </row>
      </sheetData>
      <sheetData sheetId="3482">
        <row r="34">
          <cell r="A34" t="str">
            <v>Investments Govt Securities</v>
          </cell>
        </row>
      </sheetData>
      <sheetData sheetId="3483">
        <row r="34">
          <cell r="A34" t="str">
            <v>Investments Govt Securities</v>
          </cell>
        </row>
      </sheetData>
      <sheetData sheetId="3484">
        <row r="34">
          <cell r="A34" t="str">
            <v>Investments Govt Securities</v>
          </cell>
        </row>
      </sheetData>
      <sheetData sheetId="3485">
        <row r="34">
          <cell r="A34" t="str">
            <v>Investments Govt Securities</v>
          </cell>
        </row>
      </sheetData>
      <sheetData sheetId="3486">
        <row r="34">
          <cell r="A34" t="str">
            <v>Investments Govt Securities</v>
          </cell>
        </row>
      </sheetData>
      <sheetData sheetId="3487">
        <row r="34">
          <cell r="A34" t="str">
            <v>Investments Govt Securities</v>
          </cell>
        </row>
      </sheetData>
      <sheetData sheetId="3488">
        <row r="34">
          <cell r="A34" t="str">
            <v>Investments Govt Securities</v>
          </cell>
        </row>
      </sheetData>
      <sheetData sheetId="3489">
        <row r="34">
          <cell r="A34" t="str">
            <v>Investments Govt Securities</v>
          </cell>
        </row>
      </sheetData>
      <sheetData sheetId="3490">
        <row r="34">
          <cell r="A34" t="str">
            <v>Investments Govt Securities</v>
          </cell>
        </row>
      </sheetData>
      <sheetData sheetId="3491">
        <row r="34">
          <cell r="A34" t="str">
            <v>Investments Govt Securities</v>
          </cell>
        </row>
      </sheetData>
      <sheetData sheetId="3492">
        <row r="34">
          <cell r="A34" t="str">
            <v>Investments Govt Securities</v>
          </cell>
        </row>
      </sheetData>
      <sheetData sheetId="3493">
        <row r="34">
          <cell r="A34" t="str">
            <v>Investments Govt Securities</v>
          </cell>
        </row>
      </sheetData>
      <sheetData sheetId="3494">
        <row r="34">
          <cell r="A34" t="str">
            <v>Investments Govt Securities</v>
          </cell>
        </row>
      </sheetData>
      <sheetData sheetId="3495">
        <row r="34">
          <cell r="A34" t="str">
            <v>Investments Govt Securities</v>
          </cell>
        </row>
      </sheetData>
      <sheetData sheetId="3496">
        <row r="34">
          <cell r="A34" t="str">
            <v>Investments Govt Securities</v>
          </cell>
        </row>
      </sheetData>
      <sheetData sheetId="3497">
        <row r="34">
          <cell r="A34" t="str">
            <v>Investments Govt Securities</v>
          </cell>
        </row>
      </sheetData>
      <sheetData sheetId="3498">
        <row r="34">
          <cell r="A34" t="str">
            <v>Investments Govt Securities</v>
          </cell>
        </row>
      </sheetData>
      <sheetData sheetId="3499">
        <row r="34">
          <cell r="A34" t="str">
            <v>Investments Govt Securities</v>
          </cell>
        </row>
      </sheetData>
      <sheetData sheetId="3500">
        <row r="34">
          <cell r="A34" t="str">
            <v>Investments Govt Securities</v>
          </cell>
        </row>
      </sheetData>
      <sheetData sheetId="3501">
        <row r="34">
          <cell r="A34" t="str">
            <v>Investments Govt Securities</v>
          </cell>
        </row>
      </sheetData>
      <sheetData sheetId="3502">
        <row r="34">
          <cell r="A34" t="str">
            <v>Investments Govt Securities</v>
          </cell>
        </row>
      </sheetData>
      <sheetData sheetId="3503">
        <row r="34">
          <cell r="A34" t="str">
            <v>Investments Govt Securities</v>
          </cell>
        </row>
      </sheetData>
      <sheetData sheetId="3504">
        <row r="34">
          <cell r="A34" t="str">
            <v>Investments Govt Securities</v>
          </cell>
        </row>
      </sheetData>
      <sheetData sheetId="3505">
        <row r="34">
          <cell r="A34" t="str">
            <v>Investments Govt Securities</v>
          </cell>
        </row>
      </sheetData>
      <sheetData sheetId="3506">
        <row r="34">
          <cell r="A34" t="str">
            <v>Investments Govt Securities</v>
          </cell>
        </row>
      </sheetData>
      <sheetData sheetId="3507">
        <row r="34">
          <cell r="A34" t="str">
            <v>Investments Govt Securities</v>
          </cell>
        </row>
      </sheetData>
      <sheetData sheetId="3508">
        <row r="34">
          <cell r="A34" t="str">
            <v>Investments Govt Securities</v>
          </cell>
        </row>
      </sheetData>
      <sheetData sheetId="3509">
        <row r="34">
          <cell r="A34" t="str">
            <v>Investments Govt Securities</v>
          </cell>
        </row>
      </sheetData>
      <sheetData sheetId="3510">
        <row r="34">
          <cell r="A34" t="str">
            <v>Investments Govt Securities</v>
          </cell>
        </row>
      </sheetData>
      <sheetData sheetId="3511">
        <row r="34">
          <cell r="A34" t="str">
            <v>Investments Govt Securities</v>
          </cell>
        </row>
      </sheetData>
      <sheetData sheetId="3512">
        <row r="34">
          <cell r="A34" t="str">
            <v>Investments Govt Securities</v>
          </cell>
        </row>
      </sheetData>
      <sheetData sheetId="3513">
        <row r="34">
          <cell r="A34" t="str">
            <v>Investments Govt Securities</v>
          </cell>
        </row>
      </sheetData>
      <sheetData sheetId="3514">
        <row r="34">
          <cell r="A34" t="str">
            <v>Investments Govt Securities</v>
          </cell>
        </row>
      </sheetData>
      <sheetData sheetId="3515">
        <row r="34">
          <cell r="A34" t="str">
            <v>Investments Govt Securities</v>
          </cell>
        </row>
      </sheetData>
      <sheetData sheetId="3516">
        <row r="34">
          <cell r="A34" t="str">
            <v>Investments Govt Securities</v>
          </cell>
        </row>
      </sheetData>
      <sheetData sheetId="3517">
        <row r="34">
          <cell r="A34" t="str">
            <v>Investments Govt Securities</v>
          </cell>
        </row>
      </sheetData>
      <sheetData sheetId="3518">
        <row r="34">
          <cell r="A34" t="str">
            <v>Investments Govt Securities</v>
          </cell>
        </row>
      </sheetData>
      <sheetData sheetId="3519">
        <row r="34">
          <cell r="A34" t="str">
            <v>Investments Govt Securities</v>
          </cell>
        </row>
      </sheetData>
      <sheetData sheetId="3520">
        <row r="34">
          <cell r="A34" t="str">
            <v>Investments Govt Securities</v>
          </cell>
        </row>
      </sheetData>
      <sheetData sheetId="3521">
        <row r="34">
          <cell r="A34" t="str">
            <v>Investments Govt Securities</v>
          </cell>
        </row>
      </sheetData>
      <sheetData sheetId="3522">
        <row r="34">
          <cell r="A34" t="str">
            <v>Investments Govt Securities</v>
          </cell>
        </row>
      </sheetData>
      <sheetData sheetId="3523">
        <row r="34">
          <cell r="A34" t="str">
            <v>Investments Govt Securities</v>
          </cell>
        </row>
      </sheetData>
      <sheetData sheetId="3524">
        <row r="34">
          <cell r="A34" t="str">
            <v>Investments Govt Securities</v>
          </cell>
        </row>
      </sheetData>
      <sheetData sheetId="3525">
        <row r="34">
          <cell r="A34" t="str">
            <v>Investments Govt Securities</v>
          </cell>
        </row>
      </sheetData>
      <sheetData sheetId="3526">
        <row r="34">
          <cell r="A34" t="str">
            <v>Investments Govt Securities</v>
          </cell>
        </row>
      </sheetData>
      <sheetData sheetId="3527">
        <row r="34">
          <cell r="A34" t="str">
            <v>Investments Govt Securities</v>
          </cell>
        </row>
      </sheetData>
      <sheetData sheetId="3528">
        <row r="34">
          <cell r="A34" t="str">
            <v>Investments Govt Securities</v>
          </cell>
        </row>
      </sheetData>
      <sheetData sheetId="3529">
        <row r="34">
          <cell r="A34" t="str">
            <v>Investments Govt Securities</v>
          </cell>
        </row>
      </sheetData>
      <sheetData sheetId="3530">
        <row r="34">
          <cell r="A34" t="str">
            <v>Investments Govt Securities</v>
          </cell>
        </row>
      </sheetData>
      <sheetData sheetId="3531">
        <row r="34">
          <cell r="A34" t="str">
            <v>Investments Govt Securities</v>
          </cell>
        </row>
      </sheetData>
      <sheetData sheetId="3532">
        <row r="34">
          <cell r="A34" t="str">
            <v>Investments Govt Securities</v>
          </cell>
        </row>
      </sheetData>
      <sheetData sheetId="3533">
        <row r="34">
          <cell r="A34" t="str">
            <v>Investments Govt Securities</v>
          </cell>
        </row>
      </sheetData>
      <sheetData sheetId="3534">
        <row r="34">
          <cell r="A34" t="str">
            <v>Investments Govt Securities</v>
          </cell>
        </row>
      </sheetData>
      <sheetData sheetId="3535">
        <row r="34">
          <cell r="A34" t="str">
            <v>Investments Govt Securities</v>
          </cell>
        </row>
      </sheetData>
      <sheetData sheetId="3536">
        <row r="34">
          <cell r="A34" t="str">
            <v>Investments Govt Securities</v>
          </cell>
        </row>
      </sheetData>
      <sheetData sheetId="3537">
        <row r="34">
          <cell r="A34" t="str">
            <v>Investments Govt Securities</v>
          </cell>
        </row>
      </sheetData>
      <sheetData sheetId="3538">
        <row r="34">
          <cell r="A34" t="str">
            <v>Investments Govt Securities</v>
          </cell>
        </row>
      </sheetData>
      <sheetData sheetId="3539">
        <row r="34">
          <cell r="A34" t="str">
            <v>Investments Govt Securities</v>
          </cell>
        </row>
      </sheetData>
      <sheetData sheetId="3540">
        <row r="34">
          <cell r="A34" t="str">
            <v>Investments Govt Securities</v>
          </cell>
        </row>
      </sheetData>
      <sheetData sheetId="3541">
        <row r="34">
          <cell r="A34" t="str">
            <v>Investments Govt Securities</v>
          </cell>
        </row>
      </sheetData>
      <sheetData sheetId="3542">
        <row r="34">
          <cell r="A34" t="str">
            <v>Investments Govt Securities</v>
          </cell>
        </row>
      </sheetData>
      <sheetData sheetId="3543">
        <row r="34">
          <cell r="A34" t="str">
            <v>Investments Govt Securities</v>
          </cell>
        </row>
      </sheetData>
      <sheetData sheetId="3544">
        <row r="34">
          <cell r="A34" t="str">
            <v>Investments Govt Securities</v>
          </cell>
        </row>
      </sheetData>
      <sheetData sheetId="3545">
        <row r="34">
          <cell r="A34" t="str">
            <v>Investments Govt Securities</v>
          </cell>
        </row>
      </sheetData>
      <sheetData sheetId="3546">
        <row r="34">
          <cell r="A34" t="str">
            <v>Investments Govt Securities</v>
          </cell>
        </row>
      </sheetData>
      <sheetData sheetId="3547">
        <row r="34">
          <cell r="A34" t="str">
            <v>Investments Govt Securities</v>
          </cell>
        </row>
      </sheetData>
      <sheetData sheetId="3548">
        <row r="34">
          <cell r="A34" t="str">
            <v>Investments Govt Securities</v>
          </cell>
        </row>
      </sheetData>
      <sheetData sheetId="3549">
        <row r="34">
          <cell r="A34" t="str">
            <v>Investments Govt Securities</v>
          </cell>
        </row>
      </sheetData>
      <sheetData sheetId="3550">
        <row r="34">
          <cell r="A34" t="str">
            <v>Investments Govt Securities</v>
          </cell>
        </row>
      </sheetData>
      <sheetData sheetId="3551">
        <row r="34">
          <cell r="A34" t="str">
            <v>Investments Govt Securities</v>
          </cell>
        </row>
      </sheetData>
      <sheetData sheetId="3552">
        <row r="34">
          <cell r="A34" t="str">
            <v>Investments Govt Securities</v>
          </cell>
        </row>
      </sheetData>
      <sheetData sheetId="3553">
        <row r="34">
          <cell r="A34" t="str">
            <v>Investments Govt Securities</v>
          </cell>
        </row>
      </sheetData>
      <sheetData sheetId="3554">
        <row r="34">
          <cell r="A34" t="str">
            <v>Investments Govt Securities</v>
          </cell>
        </row>
      </sheetData>
      <sheetData sheetId="3555">
        <row r="34">
          <cell r="A34" t="str">
            <v>Investments Govt Securities</v>
          </cell>
        </row>
      </sheetData>
      <sheetData sheetId="3556">
        <row r="34">
          <cell r="A34" t="str">
            <v>Investments Govt Securities</v>
          </cell>
        </row>
      </sheetData>
      <sheetData sheetId="3557">
        <row r="34">
          <cell r="A34" t="str">
            <v>Investments Govt Securities</v>
          </cell>
        </row>
      </sheetData>
      <sheetData sheetId="3558">
        <row r="34">
          <cell r="A34" t="str">
            <v>Investments Govt Securities</v>
          </cell>
        </row>
      </sheetData>
      <sheetData sheetId="3559">
        <row r="34">
          <cell r="A34" t="str">
            <v>Investments Govt Securities</v>
          </cell>
        </row>
      </sheetData>
      <sheetData sheetId="3560">
        <row r="34">
          <cell r="A34" t="str">
            <v>Investments Govt Securities</v>
          </cell>
        </row>
      </sheetData>
      <sheetData sheetId="3561">
        <row r="34">
          <cell r="A34" t="str">
            <v>Investments Govt Securities</v>
          </cell>
        </row>
      </sheetData>
      <sheetData sheetId="3562">
        <row r="34">
          <cell r="A34" t="str">
            <v>Investments Govt Securities</v>
          </cell>
        </row>
      </sheetData>
      <sheetData sheetId="3563">
        <row r="34">
          <cell r="A34" t="str">
            <v>Investments Govt Securities</v>
          </cell>
        </row>
      </sheetData>
      <sheetData sheetId="3564">
        <row r="34">
          <cell r="A34" t="str">
            <v>Investments Govt Securities</v>
          </cell>
        </row>
      </sheetData>
      <sheetData sheetId="3565">
        <row r="34">
          <cell r="A34" t="str">
            <v>Investments Govt Securities</v>
          </cell>
        </row>
      </sheetData>
      <sheetData sheetId="3566">
        <row r="34">
          <cell r="A34" t="str">
            <v>Investments Govt Securities</v>
          </cell>
        </row>
      </sheetData>
      <sheetData sheetId="3567">
        <row r="34">
          <cell r="A34" t="str">
            <v>Investments Govt Securities</v>
          </cell>
        </row>
      </sheetData>
      <sheetData sheetId="3568">
        <row r="34">
          <cell r="A34" t="str">
            <v>Investments Govt Securities</v>
          </cell>
        </row>
      </sheetData>
      <sheetData sheetId="3569">
        <row r="34">
          <cell r="A34" t="str">
            <v>Investments Govt Securities</v>
          </cell>
        </row>
      </sheetData>
      <sheetData sheetId="3570">
        <row r="34">
          <cell r="A34" t="str">
            <v>Investments Govt Securities</v>
          </cell>
        </row>
      </sheetData>
      <sheetData sheetId="3571">
        <row r="34">
          <cell r="A34" t="str">
            <v>Investments Govt Securities</v>
          </cell>
        </row>
      </sheetData>
      <sheetData sheetId="3572">
        <row r="34">
          <cell r="A34" t="str">
            <v>Investments Govt Securities</v>
          </cell>
        </row>
      </sheetData>
      <sheetData sheetId="3573">
        <row r="34">
          <cell r="A34" t="str">
            <v>Investments Govt Securities</v>
          </cell>
        </row>
      </sheetData>
      <sheetData sheetId="3574">
        <row r="34">
          <cell r="A34" t="str">
            <v>Investments Govt Securities</v>
          </cell>
        </row>
      </sheetData>
      <sheetData sheetId="3575">
        <row r="34">
          <cell r="A34" t="str">
            <v>Investments Govt Securities</v>
          </cell>
        </row>
      </sheetData>
      <sheetData sheetId="3576">
        <row r="34">
          <cell r="A34" t="str">
            <v>Investments Govt Securities</v>
          </cell>
        </row>
      </sheetData>
      <sheetData sheetId="3577">
        <row r="34">
          <cell r="A34" t="str">
            <v>Investments Govt Securities</v>
          </cell>
        </row>
      </sheetData>
      <sheetData sheetId="3578">
        <row r="34">
          <cell r="A34" t="str">
            <v>Investments Govt Securities</v>
          </cell>
        </row>
      </sheetData>
      <sheetData sheetId="3579">
        <row r="34">
          <cell r="A34" t="str">
            <v>Investments Govt Securities</v>
          </cell>
        </row>
      </sheetData>
      <sheetData sheetId="3580">
        <row r="34">
          <cell r="A34" t="str">
            <v>Investments Govt Securities</v>
          </cell>
        </row>
      </sheetData>
      <sheetData sheetId="3581">
        <row r="34">
          <cell r="A34" t="str">
            <v>Investments Govt Securities</v>
          </cell>
        </row>
      </sheetData>
      <sheetData sheetId="3582">
        <row r="34">
          <cell r="A34" t="str">
            <v>Investments Govt Securities</v>
          </cell>
        </row>
      </sheetData>
      <sheetData sheetId="3583">
        <row r="34">
          <cell r="A34" t="str">
            <v>Investments Govt Securities</v>
          </cell>
        </row>
      </sheetData>
      <sheetData sheetId="3584">
        <row r="34">
          <cell r="A34" t="str">
            <v>Investments Govt Securities</v>
          </cell>
        </row>
      </sheetData>
      <sheetData sheetId="3585">
        <row r="34">
          <cell r="A34" t="str">
            <v>Investments Govt Securities</v>
          </cell>
        </row>
      </sheetData>
      <sheetData sheetId="3586">
        <row r="34">
          <cell r="A34" t="str">
            <v>Investments Govt Securities</v>
          </cell>
        </row>
      </sheetData>
      <sheetData sheetId="3587">
        <row r="34">
          <cell r="A34" t="str">
            <v>Investments Govt Securities</v>
          </cell>
        </row>
      </sheetData>
      <sheetData sheetId="3588">
        <row r="34">
          <cell r="A34" t="str">
            <v>Investments Govt Securities</v>
          </cell>
        </row>
      </sheetData>
      <sheetData sheetId="3589">
        <row r="34">
          <cell r="A34" t="str">
            <v>Investments Govt Securities</v>
          </cell>
        </row>
      </sheetData>
      <sheetData sheetId="3590">
        <row r="34">
          <cell r="A34" t="str">
            <v>Investments Govt Securities</v>
          </cell>
        </row>
      </sheetData>
      <sheetData sheetId="3591">
        <row r="34">
          <cell r="A34" t="str">
            <v>Investments Govt Securities</v>
          </cell>
        </row>
      </sheetData>
      <sheetData sheetId="3592">
        <row r="34">
          <cell r="A34" t="str">
            <v>Investments Govt Securities</v>
          </cell>
        </row>
      </sheetData>
      <sheetData sheetId="3593">
        <row r="34">
          <cell r="A34" t="str">
            <v>Investments Govt Securities</v>
          </cell>
        </row>
      </sheetData>
      <sheetData sheetId="3594">
        <row r="34">
          <cell r="A34" t="str">
            <v>Investments Govt Securities</v>
          </cell>
        </row>
      </sheetData>
      <sheetData sheetId="3595">
        <row r="34">
          <cell r="A34" t="str">
            <v>Investments Govt Securities</v>
          </cell>
        </row>
      </sheetData>
      <sheetData sheetId="3596">
        <row r="34">
          <cell r="A34" t="str">
            <v>Investments Govt Securities</v>
          </cell>
        </row>
      </sheetData>
      <sheetData sheetId="3597">
        <row r="34">
          <cell r="A34" t="str">
            <v>Investments Govt Securities</v>
          </cell>
        </row>
      </sheetData>
      <sheetData sheetId="3598">
        <row r="34">
          <cell r="A34" t="str">
            <v>Investments Govt Securities</v>
          </cell>
        </row>
      </sheetData>
      <sheetData sheetId="3599">
        <row r="34">
          <cell r="A34" t="str">
            <v>Investments Govt Securities</v>
          </cell>
        </row>
      </sheetData>
      <sheetData sheetId="3600">
        <row r="34">
          <cell r="A34" t="str">
            <v>Investments Govt Securities</v>
          </cell>
        </row>
      </sheetData>
      <sheetData sheetId="3601">
        <row r="34">
          <cell r="A34" t="str">
            <v>Investments Govt Securities</v>
          </cell>
        </row>
      </sheetData>
      <sheetData sheetId="3602">
        <row r="34">
          <cell r="A34" t="str">
            <v>Investments Govt Securities</v>
          </cell>
        </row>
      </sheetData>
      <sheetData sheetId="3603">
        <row r="34">
          <cell r="A34" t="str">
            <v>Investments Govt Securities</v>
          </cell>
        </row>
      </sheetData>
      <sheetData sheetId="3604">
        <row r="34">
          <cell r="A34" t="str">
            <v>Investments Govt Securities</v>
          </cell>
        </row>
      </sheetData>
      <sheetData sheetId="3605">
        <row r="34">
          <cell r="A34" t="str">
            <v>Investments Govt Securities</v>
          </cell>
        </row>
      </sheetData>
      <sheetData sheetId="3606">
        <row r="34">
          <cell r="A34" t="str">
            <v>Investments Govt Securities</v>
          </cell>
        </row>
      </sheetData>
      <sheetData sheetId="3607">
        <row r="34">
          <cell r="A34" t="str">
            <v>Investments Govt Securities</v>
          </cell>
        </row>
      </sheetData>
      <sheetData sheetId="3608">
        <row r="34">
          <cell r="A34" t="str">
            <v>Investments Govt Securities</v>
          </cell>
        </row>
      </sheetData>
      <sheetData sheetId="3609">
        <row r="34">
          <cell r="A34" t="str">
            <v>Investments Govt Securities</v>
          </cell>
        </row>
      </sheetData>
      <sheetData sheetId="3610">
        <row r="34">
          <cell r="A34" t="str">
            <v>Investments Govt Securities</v>
          </cell>
        </row>
      </sheetData>
      <sheetData sheetId="3611">
        <row r="34">
          <cell r="A34" t="str">
            <v>Investments Govt Securities</v>
          </cell>
        </row>
      </sheetData>
      <sheetData sheetId="3612">
        <row r="34">
          <cell r="A34" t="str">
            <v>Investments Govt Securities</v>
          </cell>
        </row>
      </sheetData>
      <sheetData sheetId="3613">
        <row r="34">
          <cell r="A34" t="str">
            <v>Investments Govt Securities</v>
          </cell>
        </row>
      </sheetData>
      <sheetData sheetId="3614">
        <row r="34">
          <cell r="A34" t="str">
            <v>Investments Govt Securities</v>
          </cell>
        </row>
      </sheetData>
      <sheetData sheetId="3615">
        <row r="34">
          <cell r="A34" t="str">
            <v>Investments Govt Securities</v>
          </cell>
        </row>
      </sheetData>
      <sheetData sheetId="3616">
        <row r="34">
          <cell r="A34" t="str">
            <v>Investments Govt Securities</v>
          </cell>
        </row>
      </sheetData>
      <sheetData sheetId="3617">
        <row r="34">
          <cell r="A34" t="str">
            <v>Investments Govt Securities</v>
          </cell>
        </row>
      </sheetData>
      <sheetData sheetId="3618">
        <row r="34">
          <cell r="A34" t="str">
            <v>Investments Govt Securities</v>
          </cell>
        </row>
      </sheetData>
      <sheetData sheetId="3619">
        <row r="34">
          <cell r="A34" t="str">
            <v>Investments Govt Securities</v>
          </cell>
        </row>
      </sheetData>
      <sheetData sheetId="3620">
        <row r="34">
          <cell r="A34" t="str">
            <v>Investments Govt Securities</v>
          </cell>
        </row>
      </sheetData>
      <sheetData sheetId="3621">
        <row r="34">
          <cell r="A34" t="str">
            <v>Investments Govt Securities</v>
          </cell>
        </row>
      </sheetData>
      <sheetData sheetId="3622">
        <row r="34">
          <cell r="A34" t="str">
            <v>Investments Govt Securities</v>
          </cell>
        </row>
      </sheetData>
      <sheetData sheetId="3623">
        <row r="34">
          <cell r="A34" t="str">
            <v>Investments Govt Securities</v>
          </cell>
        </row>
      </sheetData>
      <sheetData sheetId="3624">
        <row r="34">
          <cell r="A34" t="str">
            <v>Investments Govt Securities</v>
          </cell>
        </row>
      </sheetData>
      <sheetData sheetId="3625">
        <row r="34">
          <cell r="A34" t="str">
            <v>Investments Govt Securities</v>
          </cell>
        </row>
      </sheetData>
      <sheetData sheetId="3626">
        <row r="34">
          <cell r="A34" t="str">
            <v>Investments Govt Securities</v>
          </cell>
        </row>
      </sheetData>
      <sheetData sheetId="3627">
        <row r="34">
          <cell r="A34" t="str">
            <v>Investments Govt Securities</v>
          </cell>
        </row>
      </sheetData>
      <sheetData sheetId="3628">
        <row r="34">
          <cell r="A34" t="str">
            <v>Investments Govt Securities</v>
          </cell>
        </row>
      </sheetData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>
        <row r="34">
          <cell r="A34" t="str">
            <v>Investments Govt Securities</v>
          </cell>
        </row>
      </sheetData>
      <sheetData sheetId="3783">
        <row r="34">
          <cell r="A34" t="str">
            <v>Investments Govt Securities</v>
          </cell>
        </row>
      </sheetData>
      <sheetData sheetId="3784">
        <row r="34">
          <cell r="A34" t="str">
            <v>Investments Govt Securities</v>
          </cell>
        </row>
      </sheetData>
      <sheetData sheetId="3785">
        <row r="34">
          <cell r="A34" t="str">
            <v>Investments Govt Securities</v>
          </cell>
        </row>
      </sheetData>
      <sheetData sheetId="3786">
        <row r="34">
          <cell r="A34" t="str">
            <v>Investments Govt Securities</v>
          </cell>
        </row>
      </sheetData>
      <sheetData sheetId="3787">
        <row r="34">
          <cell r="A34" t="str">
            <v>Investments Govt Securities</v>
          </cell>
        </row>
      </sheetData>
      <sheetData sheetId="3788">
        <row r="34">
          <cell r="A34" t="str">
            <v>Investments Govt Securities</v>
          </cell>
        </row>
      </sheetData>
      <sheetData sheetId="3789">
        <row r="34">
          <cell r="A34" t="str">
            <v>Investments Govt Securities</v>
          </cell>
        </row>
      </sheetData>
      <sheetData sheetId="3790">
        <row r="34">
          <cell r="A34" t="str">
            <v>Investments Govt Securities</v>
          </cell>
        </row>
      </sheetData>
      <sheetData sheetId="3791">
        <row r="34">
          <cell r="A34" t="str">
            <v>Investments Govt Securities</v>
          </cell>
        </row>
      </sheetData>
      <sheetData sheetId="3792">
        <row r="34">
          <cell r="A34" t="str">
            <v>Investments Govt Securities</v>
          </cell>
        </row>
      </sheetData>
      <sheetData sheetId="3793">
        <row r="34">
          <cell r="A34" t="str">
            <v>Investments Govt Securities</v>
          </cell>
        </row>
      </sheetData>
      <sheetData sheetId="3794">
        <row r="34">
          <cell r="A34" t="str">
            <v>Investments Govt Securities</v>
          </cell>
        </row>
      </sheetData>
      <sheetData sheetId="3795">
        <row r="34">
          <cell r="A34" t="str">
            <v>Investments Govt Securities</v>
          </cell>
        </row>
      </sheetData>
      <sheetData sheetId="3796">
        <row r="34">
          <cell r="A34" t="str">
            <v>Investments Govt Securities</v>
          </cell>
        </row>
      </sheetData>
      <sheetData sheetId="3797">
        <row r="34">
          <cell r="A34" t="str">
            <v>Investments Govt Securities</v>
          </cell>
        </row>
      </sheetData>
      <sheetData sheetId="3798">
        <row r="34">
          <cell r="A34" t="str">
            <v>Investments Govt Securities</v>
          </cell>
        </row>
      </sheetData>
      <sheetData sheetId="3799">
        <row r="34">
          <cell r="A34" t="str">
            <v>Investments Govt Securities</v>
          </cell>
        </row>
      </sheetData>
      <sheetData sheetId="3800">
        <row r="34">
          <cell r="A34" t="str">
            <v>Investments Govt Securities</v>
          </cell>
        </row>
      </sheetData>
      <sheetData sheetId="3801">
        <row r="34">
          <cell r="A34" t="str">
            <v>Investments Govt Securities</v>
          </cell>
        </row>
      </sheetData>
      <sheetData sheetId="3802">
        <row r="34">
          <cell r="A34" t="str">
            <v>Investments Govt Securities</v>
          </cell>
        </row>
      </sheetData>
      <sheetData sheetId="3803">
        <row r="34">
          <cell r="A34" t="str">
            <v>Investments Govt Securities</v>
          </cell>
        </row>
      </sheetData>
      <sheetData sheetId="3804">
        <row r="34">
          <cell r="A34" t="str">
            <v>Investments Govt Securities</v>
          </cell>
        </row>
      </sheetData>
      <sheetData sheetId="3805">
        <row r="34">
          <cell r="A34" t="str">
            <v>Investments Govt Securities</v>
          </cell>
        </row>
      </sheetData>
      <sheetData sheetId="3806">
        <row r="34">
          <cell r="A34" t="str">
            <v>Investments Govt Securities</v>
          </cell>
        </row>
      </sheetData>
      <sheetData sheetId="3807">
        <row r="34">
          <cell r="A34" t="str">
            <v>Investments Govt Securities</v>
          </cell>
        </row>
      </sheetData>
      <sheetData sheetId="3808">
        <row r="34">
          <cell r="A34" t="str">
            <v>Investments Govt Securities</v>
          </cell>
        </row>
      </sheetData>
      <sheetData sheetId="3809">
        <row r="34">
          <cell r="A34" t="str">
            <v>Investments Govt Securities</v>
          </cell>
        </row>
      </sheetData>
      <sheetData sheetId="3810">
        <row r="34">
          <cell r="A34" t="str">
            <v>Investments Govt Securities</v>
          </cell>
        </row>
      </sheetData>
      <sheetData sheetId="3811" refreshError="1"/>
      <sheetData sheetId="3812">
        <row r="34">
          <cell r="A34" t="str">
            <v>Investments Govt Securities</v>
          </cell>
        </row>
      </sheetData>
      <sheetData sheetId="3813">
        <row r="34">
          <cell r="A34" t="str">
            <v>Investments Govt Securities</v>
          </cell>
        </row>
      </sheetData>
      <sheetData sheetId="3814">
        <row r="34">
          <cell r="A34" t="str">
            <v>Investments Govt Securities</v>
          </cell>
        </row>
      </sheetData>
      <sheetData sheetId="3815">
        <row r="34">
          <cell r="A34" t="str">
            <v>Investments Govt Securities</v>
          </cell>
        </row>
      </sheetData>
      <sheetData sheetId="3816">
        <row r="34">
          <cell r="A34" t="str">
            <v>Investments Govt Securities</v>
          </cell>
        </row>
      </sheetData>
      <sheetData sheetId="3817">
        <row r="34">
          <cell r="A34" t="str">
            <v>Investments Govt Securities</v>
          </cell>
        </row>
      </sheetData>
      <sheetData sheetId="3818">
        <row r="34">
          <cell r="A34" t="str">
            <v>Investments Govt Securities</v>
          </cell>
        </row>
      </sheetData>
      <sheetData sheetId="3819">
        <row r="34">
          <cell r="A34" t="str">
            <v>Investments Govt Securities</v>
          </cell>
        </row>
      </sheetData>
      <sheetData sheetId="3820">
        <row r="34">
          <cell r="A34" t="str">
            <v>Investments Govt Securities</v>
          </cell>
        </row>
      </sheetData>
      <sheetData sheetId="3821">
        <row r="34">
          <cell r="A34" t="str">
            <v>Investments Govt Securities</v>
          </cell>
        </row>
      </sheetData>
      <sheetData sheetId="3822">
        <row r="34">
          <cell r="A34" t="str">
            <v>Investments Govt Securities</v>
          </cell>
        </row>
      </sheetData>
      <sheetData sheetId="3823">
        <row r="34">
          <cell r="A34" t="str">
            <v>Investments Govt Securities</v>
          </cell>
        </row>
      </sheetData>
      <sheetData sheetId="3824">
        <row r="34">
          <cell r="A34" t="str">
            <v>Investments Govt Securities</v>
          </cell>
        </row>
      </sheetData>
      <sheetData sheetId="3825">
        <row r="34">
          <cell r="A34" t="str">
            <v>Investments Govt Securities</v>
          </cell>
        </row>
      </sheetData>
      <sheetData sheetId="3826">
        <row r="34">
          <cell r="A34" t="str">
            <v>Investments Govt Securities</v>
          </cell>
        </row>
      </sheetData>
      <sheetData sheetId="3827">
        <row r="34">
          <cell r="A34" t="str">
            <v>Investments Govt Securities</v>
          </cell>
        </row>
      </sheetData>
      <sheetData sheetId="3828">
        <row r="34">
          <cell r="A34" t="str">
            <v>Investments Govt Securities</v>
          </cell>
        </row>
      </sheetData>
      <sheetData sheetId="3829">
        <row r="34">
          <cell r="A34" t="str">
            <v>Investments Govt Securities</v>
          </cell>
        </row>
      </sheetData>
      <sheetData sheetId="3830">
        <row r="34">
          <cell r="A34" t="str">
            <v>Investments Govt Securities</v>
          </cell>
        </row>
      </sheetData>
      <sheetData sheetId="3831">
        <row r="34">
          <cell r="A34" t="str">
            <v>Investments Govt Securities</v>
          </cell>
        </row>
      </sheetData>
      <sheetData sheetId="3832">
        <row r="34">
          <cell r="A34" t="str">
            <v>Investments Govt Securities</v>
          </cell>
        </row>
      </sheetData>
      <sheetData sheetId="3833">
        <row r="34">
          <cell r="A34" t="str">
            <v>Investments Govt Securities</v>
          </cell>
        </row>
      </sheetData>
      <sheetData sheetId="3834" refreshError="1"/>
      <sheetData sheetId="3835" refreshError="1"/>
      <sheetData sheetId="3836">
        <row r="34">
          <cell r="A34" t="str">
            <v>Investments Govt Securities</v>
          </cell>
        </row>
      </sheetData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>
        <row r="34">
          <cell r="A34" t="str">
            <v>Investments Govt Securities</v>
          </cell>
        </row>
      </sheetData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>
        <row r="34">
          <cell r="A34" t="str">
            <v>Investments Govt Securities</v>
          </cell>
        </row>
      </sheetData>
      <sheetData sheetId="3943">
        <row r="34">
          <cell r="A34" t="str">
            <v>Investments Govt Securities</v>
          </cell>
        </row>
      </sheetData>
      <sheetData sheetId="3944">
        <row r="34">
          <cell r="A34" t="str">
            <v>Investments Govt Securities</v>
          </cell>
        </row>
      </sheetData>
      <sheetData sheetId="3945">
        <row r="34">
          <cell r="A34" t="str">
            <v>Investments Govt Securities</v>
          </cell>
        </row>
      </sheetData>
      <sheetData sheetId="3946">
        <row r="34">
          <cell r="A34" t="str">
            <v>Investments Govt Securities</v>
          </cell>
        </row>
      </sheetData>
      <sheetData sheetId="3947">
        <row r="34">
          <cell r="A34" t="str">
            <v>Investments Govt Securities</v>
          </cell>
        </row>
      </sheetData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>
        <row r="34">
          <cell r="A34" t="str">
            <v>Investments Govt Securities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>
        <row r="34">
          <cell r="A34" t="str">
            <v>Investments Govt Securities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>
        <row r="34">
          <cell r="A34" t="str">
            <v>Investments Govt Securities</v>
          </cell>
        </row>
      </sheetData>
      <sheetData sheetId="4157">
        <row r="34">
          <cell r="A34" t="str">
            <v>Investments Govt Securities</v>
          </cell>
        </row>
      </sheetData>
      <sheetData sheetId="4158">
        <row r="34">
          <cell r="A34" t="str">
            <v>Investments Govt Securities</v>
          </cell>
        </row>
      </sheetData>
      <sheetData sheetId="4159">
        <row r="34">
          <cell r="A34" t="str">
            <v>Investments Govt Securities</v>
          </cell>
        </row>
      </sheetData>
      <sheetData sheetId="4160">
        <row r="34">
          <cell r="A34" t="str">
            <v>Investments Govt Securities</v>
          </cell>
        </row>
      </sheetData>
      <sheetData sheetId="4161">
        <row r="34">
          <cell r="A34" t="str">
            <v>Investments Govt Securities</v>
          </cell>
        </row>
      </sheetData>
      <sheetData sheetId="4162">
        <row r="34">
          <cell r="A34" t="str">
            <v>Investments Govt Securities</v>
          </cell>
        </row>
      </sheetData>
      <sheetData sheetId="4163">
        <row r="34">
          <cell r="A34" t="str">
            <v>Investments Govt Securities</v>
          </cell>
        </row>
      </sheetData>
      <sheetData sheetId="4164">
        <row r="34">
          <cell r="A34" t="str">
            <v>Investments Govt Securities</v>
          </cell>
        </row>
      </sheetData>
      <sheetData sheetId="4165">
        <row r="34">
          <cell r="A34" t="str">
            <v>Investments Govt Securities</v>
          </cell>
        </row>
      </sheetData>
      <sheetData sheetId="4166">
        <row r="34">
          <cell r="A34" t="str">
            <v>Investments Govt Securities</v>
          </cell>
        </row>
      </sheetData>
      <sheetData sheetId="4167">
        <row r="34">
          <cell r="A34" t="str">
            <v>Investments Govt Securities</v>
          </cell>
        </row>
      </sheetData>
      <sheetData sheetId="4168">
        <row r="34">
          <cell r="A34" t="str">
            <v>Investments Govt Securities</v>
          </cell>
        </row>
      </sheetData>
      <sheetData sheetId="4169">
        <row r="34">
          <cell r="A34" t="str">
            <v>Investments Govt Securities</v>
          </cell>
        </row>
      </sheetData>
      <sheetData sheetId="4170">
        <row r="34">
          <cell r="A34" t="str">
            <v>Investments Govt Securities</v>
          </cell>
        </row>
      </sheetData>
      <sheetData sheetId="4171">
        <row r="34">
          <cell r="A34" t="str">
            <v>Investments Govt Securities</v>
          </cell>
        </row>
      </sheetData>
      <sheetData sheetId="4172">
        <row r="34">
          <cell r="A34" t="str">
            <v>Investments Govt Securities</v>
          </cell>
        </row>
      </sheetData>
      <sheetData sheetId="4173">
        <row r="34">
          <cell r="A34" t="str">
            <v>Investments Govt Securities</v>
          </cell>
        </row>
      </sheetData>
      <sheetData sheetId="4174">
        <row r="34">
          <cell r="A34" t="str">
            <v>Investments Govt Securities</v>
          </cell>
        </row>
      </sheetData>
      <sheetData sheetId="4175">
        <row r="34">
          <cell r="A34" t="str">
            <v>Investments Govt Securities</v>
          </cell>
        </row>
      </sheetData>
      <sheetData sheetId="4176">
        <row r="34">
          <cell r="A34" t="str">
            <v>Investments Govt Securities</v>
          </cell>
        </row>
      </sheetData>
      <sheetData sheetId="4177">
        <row r="34">
          <cell r="A34" t="str">
            <v>Investments Govt Securities</v>
          </cell>
        </row>
      </sheetData>
      <sheetData sheetId="4178">
        <row r="34">
          <cell r="A34" t="str">
            <v>Investments Govt Securities</v>
          </cell>
        </row>
      </sheetData>
      <sheetData sheetId="4179">
        <row r="34">
          <cell r="A34" t="str">
            <v>Investments Govt Securities</v>
          </cell>
        </row>
      </sheetData>
      <sheetData sheetId="4180">
        <row r="34">
          <cell r="A34" t="str">
            <v>Investments Govt Securities</v>
          </cell>
        </row>
      </sheetData>
      <sheetData sheetId="4181">
        <row r="34">
          <cell r="A34" t="str">
            <v>Investments Govt Securities</v>
          </cell>
        </row>
      </sheetData>
      <sheetData sheetId="4182">
        <row r="34">
          <cell r="A34" t="str">
            <v>Investments Govt Securities</v>
          </cell>
        </row>
      </sheetData>
      <sheetData sheetId="4183">
        <row r="34">
          <cell r="A34" t="str">
            <v>Investments Govt Securities</v>
          </cell>
        </row>
      </sheetData>
      <sheetData sheetId="4184">
        <row r="34">
          <cell r="A34" t="str">
            <v>Investments Govt Securities</v>
          </cell>
        </row>
      </sheetData>
      <sheetData sheetId="4185">
        <row r="34">
          <cell r="A34" t="str">
            <v>Investments Govt Securities</v>
          </cell>
        </row>
      </sheetData>
      <sheetData sheetId="4186">
        <row r="34">
          <cell r="A34" t="str">
            <v>Investments Govt Securities</v>
          </cell>
        </row>
      </sheetData>
      <sheetData sheetId="4187">
        <row r="34">
          <cell r="A34" t="str">
            <v>Investments Govt Securities</v>
          </cell>
        </row>
      </sheetData>
      <sheetData sheetId="4188">
        <row r="34">
          <cell r="A34" t="str">
            <v>Investments Govt Securities</v>
          </cell>
        </row>
      </sheetData>
      <sheetData sheetId="4189">
        <row r="34">
          <cell r="A34" t="str">
            <v>Investments Govt Securities</v>
          </cell>
        </row>
      </sheetData>
      <sheetData sheetId="4190">
        <row r="34">
          <cell r="A34" t="str">
            <v>Investments Govt Securities</v>
          </cell>
        </row>
      </sheetData>
      <sheetData sheetId="4191">
        <row r="34">
          <cell r="A34" t="str">
            <v>Investments Govt Securities</v>
          </cell>
        </row>
      </sheetData>
      <sheetData sheetId="4192">
        <row r="34">
          <cell r="A34" t="str">
            <v>Investments Govt Securities</v>
          </cell>
        </row>
      </sheetData>
      <sheetData sheetId="4193">
        <row r="34">
          <cell r="A34" t="str">
            <v>Investments Govt Securities</v>
          </cell>
        </row>
      </sheetData>
      <sheetData sheetId="4194">
        <row r="34">
          <cell r="A34" t="str">
            <v>Investments Govt Securities</v>
          </cell>
        </row>
      </sheetData>
      <sheetData sheetId="4195">
        <row r="34">
          <cell r="A34" t="str">
            <v>Investments Govt Securities</v>
          </cell>
        </row>
      </sheetData>
      <sheetData sheetId="4196">
        <row r="34">
          <cell r="A34" t="str">
            <v>Investments Govt Securities</v>
          </cell>
        </row>
      </sheetData>
      <sheetData sheetId="4197">
        <row r="34">
          <cell r="A34" t="str">
            <v>Investments Govt Securities</v>
          </cell>
        </row>
      </sheetData>
      <sheetData sheetId="4198">
        <row r="34">
          <cell r="A34" t="str">
            <v>Investments Govt Securities</v>
          </cell>
        </row>
      </sheetData>
      <sheetData sheetId="4199">
        <row r="34">
          <cell r="A34" t="str">
            <v>Investments Govt Securities</v>
          </cell>
        </row>
      </sheetData>
      <sheetData sheetId="4200">
        <row r="34">
          <cell r="A34" t="str">
            <v>Investments Govt Securities</v>
          </cell>
        </row>
      </sheetData>
      <sheetData sheetId="4201">
        <row r="34">
          <cell r="A34" t="str">
            <v>Investments Govt Securities</v>
          </cell>
        </row>
      </sheetData>
      <sheetData sheetId="4202">
        <row r="34">
          <cell r="A34" t="str">
            <v>Investments Govt Securities</v>
          </cell>
        </row>
      </sheetData>
      <sheetData sheetId="4203">
        <row r="34">
          <cell r="A34" t="str">
            <v>Investments Govt Securities</v>
          </cell>
        </row>
      </sheetData>
      <sheetData sheetId="4204">
        <row r="34">
          <cell r="A34" t="str">
            <v>Investments Govt Securities</v>
          </cell>
        </row>
      </sheetData>
      <sheetData sheetId="4205">
        <row r="34">
          <cell r="A34" t="str">
            <v>Investments Govt Securities</v>
          </cell>
        </row>
      </sheetData>
      <sheetData sheetId="4206">
        <row r="34">
          <cell r="A34" t="str">
            <v>Investments Govt Securities</v>
          </cell>
        </row>
      </sheetData>
      <sheetData sheetId="4207">
        <row r="34">
          <cell r="A34" t="str">
            <v>Investments Govt Securities</v>
          </cell>
        </row>
      </sheetData>
      <sheetData sheetId="4208">
        <row r="34">
          <cell r="A34" t="str">
            <v>Investments Govt Securities</v>
          </cell>
        </row>
      </sheetData>
      <sheetData sheetId="4209">
        <row r="34">
          <cell r="A34" t="str">
            <v>Investments Govt Securities</v>
          </cell>
        </row>
      </sheetData>
      <sheetData sheetId="4210">
        <row r="34">
          <cell r="A34" t="str">
            <v>Investments Govt Securities</v>
          </cell>
        </row>
      </sheetData>
      <sheetData sheetId="4211">
        <row r="34">
          <cell r="A34" t="str">
            <v>Investments Govt Securities</v>
          </cell>
        </row>
      </sheetData>
      <sheetData sheetId="4212">
        <row r="34">
          <cell r="A34" t="str">
            <v>Investments Govt Securities</v>
          </cell>
        </row>
      </sheetData>
      <sheetData sheetId="4213">
        <row r="34">
          <cell r="A34" t="str">
            <v>Investments Govt Securities</v>
          </cell>
        </row>
      </sheetData>
      <sheetData sheetId="4214">
        <row r="34">
          <cell r="A34" t="str">
            <v>Investments Govt Securities</v>
          </cell>
        </row>
      </sheetData>
      <sheetData sheetId="4215">
        <row r="34">
          <cell r="A34" t="str">
            <v>Investments Govt Securities</v>
          </cell>
        </row>
      </sheetData>
      <sheetData sheetId="4216">
        <row r="34">
          <cell r="A34" t="str">
            <v>Investments Govt Securities</v>
          </cell>
        </row>
      </sheetData>
      <sheetData sheetId="4217">
        <row r="34">
          <cell r="A34" t="str">
            <v>Investments Govt Securities</v>
          </cell>
        </row>
      </sheetData>
      <sheetData sheetId="4218">
        <row r="34">
          <cell r="A34" t="str">
            <v>Investments Govt Securities</v>
          </cell>
        </row>
      </sheetData>
      <sheetData sheetId="4219">
        <row r="34">
          <cell r="A34" t="str">
            <v>Investments Govt Securities</v>
          </cell>
        </row>
      </sheetData>
      <sheetData sheetId="4220">
        <row r="34">
          <cell r="A34" t="str">
            <v>Investments Govt Securities</v>
          </cell>
        </row>
      </sheetData>
      <sheetData sheetId="4221">
        <row r="34">
          <cell r="A34" t="str">
            <v>Investments Govt Securities</v>
          </cell>
        </row>
      </sheetData>
      <sheetData sheetId="4222">
        <row r="34">
          <cell r="A34" t="str">
            <v>Investments Govt Securities</v>
          </cell>
        </row>
      </sheetData>
      <sheetData sheetId="4223">
        <row r="34">
          <cell r="A34" t="str">
            <v>Investments Govt Securities</v>
          </cell>
        </row>
      </sheetData>
      <sheetData sheetId="4224">
        <row r="34">
          <cell r="A34" t="str">
            <v>Investments Govt Securities</v>
          </cell>
        </row>
      </sheetData>
      <sheetData sheetId="4225">
        <row r="34">
          <cell r="A34" t="str">
            <v>Investments Govt Securities</v>
          </cell>
        </row>
      </sheetData>
      <sheetData sheetId="4226">
        <row r="34">
          <cell r="A34" t="str">
            <v>Investments Govt Securities</v>
          </cell>
        </row>
      </sheetData>
      <sheetData sheetId="4227">
        <row r="34">
          <cell r="A34" t="str">
            <v>Investments Govt Securities</v>
          </cell>
        </row>
      </sheetData>
      <sheetData sheetId="4228">
        <row r="34">
          <cell r="A34" t="str">
            <v>Investments Govt Securities</v>
          </cell>
        </row>
      </sheetData>
      <sheetData sheetId="4229">
        <row r="34">
          <cell r="A34" t="str">
            <v>Investments Govt Securities</v>
          </cell>
        </row>
      </sheetData>
      <sheetData sheetId="4230">
        <row r="34">
          <cell r="A34" t="str">
            <v>Investments Govt Securities</v>
          </cell>
        </row>
      </sheetData>
      <sheetData sheetId="4231">
        <row r="34">
          <cell r="A34" t="str">
            <v>Investments Govt Securities</v>
          </cell>
        </row>
      </sheetData>
      <sheetData sheetId="4232">
        <row r="34">
          <cell r="A34" t="str">
            <v>Investments Govt Securities</v>
          </cell>
        </row>
      </sheetData>
      <sheetData sheetId="4233">
        <row r="34">
          <cell r="A34" t="str">
            <v>Investments Govt Securities</v>
          </cell>
        </row>
      </sheetData>
      <sheetData sheetId="4234">
        <row r="34">
          <cell r="A34" t="str">
            <v>Investments Govt Securities</v>
          </cell>
        </row>
      </sheetData>
      <sheetData sheetId="4235">
        <row r="34">
          <cell r="A34" t="str">
            <v>Investments Govt Securities</v>
          </cell>
        </row>
      </sheetData>
      <sheetData sheetId="4236">
        <row r="34">
          <cell r="A34" t="str">
            <v>Investments Govt Securities</v>
          </cell>
        </row>
      </sheetData>
      <sheetData sheetId="4237">
        <row r="34">
          <cell r="A34" t="str">
            <v>Investments Govt Securities</v>
          </cell>
        </row>
      </sheetData>
      <sheetData sheetId="4238">
        <row r="34">
          <cell r="A34" t="str">
            <v>Investments Govt Securities</v>
          </cell>
        </row>
      </sheetData>
      <sheetData sheetId="4239">
        <row r="34">
          <cell r="A34" t="str">
            <v>Investments Govt Securities</v>
          </cell>
        </row>
      </sheetData>
      <sheetData sheetId="4240">
        <row r="34">
          <cell r="A34" t="str">
            <v>Investments Govt Securities</v>
          </cell>
        </row>
      </sheetData>
      <sheetData sheetId="4241">
        <row r="34">
          <cell r="A34" t="str">
            <v>Investments Govt Securities</v>
          </cell>
        </row>
      </sheetData>
      <sheetData sheetId="4242">
        <row r="34">
          <cell r="A34" t="str">
            <v>Investments Govt Securities</v>
          </cell>
        </row>
      </sheetData>
      <sheetData sheetId="4243">
        <row r="34">
          <cell r="A34" t="str">
            <v>Investments Govt Securities</v>
          </cell>
        </row>
      </sheetData>
      <sheetData sheetId="4244">
        <row r="34">
          <cell r="A34" t="str">
            <v>Investments Govt Securities</v>
          </cell>
        </row>
      </sheetData>
      <sheetData sheetId="4245">
        <row r="34">
          <cell r="A34" t="str">
            <v>Investments Govt Securities</v>
          </cell>
        </row>
      </sheetData>
      <sheetData sheetId="4246">
        <row r="34">
          <cell r="A34" t="str">
            <v>Investments Govt Securities</v>
          </cell>
        </row>
      </sheetData>
      <sheetData sheetId="4247">
        <row r="34">
          <cell r="A34" t="str">
            <v>Investments Govt Securities</v>
          </cell>
        </row>
      </sheetData>
      <sheetData sheetId="4248">
        <row r="34">
          <cell r="A34" t="str">
            <v>Investments Govt Securities</v>
          </cell>
        </row>
      </sheetData>
      <sheetData sheetId="4249">
        <row r="34">
          <cell r="A34" t="str">
            <v>Investments Govt Securities</v>
          </cell>
        </row>
      </sheetData>
      <sheetData sheetId="4250">
        <row r="34">
          <cell r="A34" t="str">
            <v>Investments Govt Securities</v>
          </cell>
        </row>
      </sheetData>
      <sheetData sheetId="4251">
        <row r="34">
          <cell r="A34" t="str">
            <v>Investments Govt Securities</v>
          </cell>
        </row>
      </sheetData>
      <sheetData sheetId="4252">
        <row r="34">
          <cell r="A34" t="str">
            <v>Investments Govt Securities</v>
          </cell>
        </row>
      </sheetData>
      <sheetData sheetId="4253">
        <row r="34">
          <cell r="A34" t="str">
            <v>Investments Govt Securities</v>
          </cell>
        </row>
      </sheetData>
      <sheetData sheetId="4254">
        <row r="34">
          <cell r="A34" t="str">
            <v>Investments Govt Securities</v>
          </cell>
        </row>
      </sheetData>
      <sheetData sheetId="4255">
        <row r="34">
          <cell r="A34" t="str">
            <v>Investments Govt Securities</v>
          </cell>
        </row>
      </sheetData>
      <sheetData sheetId="4256">
        <row r="34">
          <cell r="A34" t="str">
            <v>Investments Govt Securities</v>
          </cell>
        </row>
      </sheetData>
      <sheetData sheetId="4257">
        <row r="34">
          <cell r="A34" t="str">
            <v>Investments Govt Securities</v>
          </cell>
        </row>
      </sheetData>
      <sheetData sheetId="4258">
        <row r="34">
          <cell r="A34" t="str">
            <v>Investments Govt Securities</v>
          </cell>
        </row>
      </sheetData>
      <sheetData sheetId="4259">
        <row r="34">
          <cell r="A34" t="str">
            <v>Investments Govt Securities</v>
          </cell>
        </row>
      </sheetData>
      <sheetData sheetId="4260">
        <row r="34">
          <cell r="A34" t="str">
            <v>Investments Govt Securities</v>
          </cell>
        </row>
      </sheetData>
      <sheetData sheetId="4261">
        <row r="34">
          <cell r="A34" t="str">
            <v>Investments Govt Securities</v>
          </cell>
        </row>
      </sheetData>
      <sheetData sheetId="4262">
        <row r="34">
          <cell r="A34" t="str">
            <v>Investments Govt Securities</v>
          </cell>
        </row>
      </sheetData>
      <sheetData sheetId="4263">
        <row r="34">
          <cell r="A34" t="str">
            <v>Investments Govt Securities</v>
          </cell>
        </row>
      </sheetData>
      <sheetData sheetId="4264">
        <row r="34">
          <cell r="A34" t="str">
            <v>Investments Govt Securities</v>
          </cell>
        </row>
      </sheetData>
      <sheetData sheetId="4265"/>
      <sheetData sheetId="4266">
        <row r="34">
          <cell r="A34" t="str">
            <v>Investments Govt Securities</v>
          </cell>
        </row>
      </sheetData>
      <sheetData sheetId="4267">
        <row r="34">
          <cell r="A34" t="str">
            <v>Investments Govt Securities</v>
          </cell>
        </row>
      </sheetData>
      <sheetData sheetId="4268">
        <row r="34">
          <cell r="A34" t="str">
            <v>Investments Govt Securities</v>
          </cell>
        </row>
      </sheetData>
      <sheetData sheetId="4269">
        <row r="34">
          <cell r="A34" t="str">
            <v>Investments Govt Securities</v>
          </cell>
        </row>
      </sheetData>
      <sheetData sheetId="4270">
        <row r="34">
          <cell r="A34" t="str">
            <v>Investments Govt Securities</v>
          </cell>
        </row>
      </sheetData>
      <sheetData sheetId="4271">
        <row r="34">
          <cell r="A34" t="str">
            <v>Investments Govt Securities</v>
          </cell>
        </row>
      </sheetData>
      <sheetData sheetId="4272">
        <row r="34">
          <cell r="A34" t="str">
            <v>Investments Govt Securities</v>
          </cell>
        </row>
      </sheetData>
      <sheetData sheetId="4273">
        <row r="34">
          <cell r="A34" t="str">
            <v>Investments Govt Securities</v>
          </cell>
        </row>
      </sheetData>
      <sheetData sheetId="4274">
        <row r="34">
          <cell r="A34" t="str">
            <v>Investments Govt Securities</v>
          </cell>
        </row>
      </sheetData>
      <sheetData sheetId="4275">
        <row r="34">
          <cell r="A34" t="str">
            <v>Investments Govt Securities</v>
          </cell>
        </row>
      </sheetData>
      <sheetData sheetId="4276">
        <row r="34">
          <cell r="A34" t="str">
            <v>Investments Govt Securities</v>
          </cell>
        </row>
      </sheetData>
      <sheetData sheetId="4277">
        <row r="34">
          <cell r="A34" t="str">
            <v>Investments Govt Securities</v>
          </cell>
        </row>
      </sheetData>
      <sheetData sheetId="4278">
        <row r="34">
          <cell r="A34" t="str">
            <v>Investments Govt Securities</v>
          </cell>
        </row>
      </sheetData>
      <sheetData sheetId="4279">
        <row r="34">
          <cell r="A34" t="str">
            <v>Investments Govt Securities</v>
          </cell>
        </row>
      </sheetData>
      <sheetData sheetId="4280">
        <row r="34">
          <cell r="A34" t="str">
            <v>Investments Govt Securities</v>
          </cell>
        </row>
      </sheetData>
      <sheetData sheetId="4281">
        <row r="34">
          <cell r="A34" t="str">
            <v>Investments Govt Securities</v>
          </cell>
        </row>
      </sheetData>
      <sheetData sheetId="4282">
        <row r="34">
          <cell r="A34" t="str">
            <v>Investments Govt Securities</v>
          </cell>
        </row>
      </sheetData>
      <sheetData sheetId="4283">
        <row r="34">
          <cell r="A34" t="str">
            <v>Investments Govt Securities</v>
          </cell>
        </row>
      </sheetData>
      <sheetData sheetId="4284" refreshError="1"/>
      <sheetData sheetId="4285">
        <row r="34">
          <cell r="A34" t="str">
            <v>Investments Govt Securities</v>
          </cell>
        </row>
      </sheetData>
      <sheetData sheetId="4286">
        <row r="34">
          <cell r="A34" t="str">
            <v>Investments Govt Securities</v>
          </cell>
        </row>
      </sheetData>
      <sheetData sheetId="4287">
        <row r="34">
          <cell r="A34" t="str">
            <v>Investments Govt Securities</v>
          </cell>
        </row>
      </sheetData>
      <sheetData sheetId="4288">
        <row r="34">
          <cell r="A34" t="str">
            <v>Investments Govt Securities</v>
          </cell>
        </row>
      </sheetData>
      <sheetData sheetId="4289">
        <row r="34">
          <cell r="A34" t="str">
            <v>Investments Govt Securities</v>
          </cell>
        </row>
      </sheetData>
      <sheetData sheetId="4290">
        <row r="34">
          <cell r="A34" t="str">
            <v>Investments Govt Securities</v>
          </cell>
        </row>
      </sheetData>
      <sheetData sheetId="4291">
        <row r="34">
          <cell r="A34" t="str">
            <v>Investments Govt Securities</v>
          </cell>
        </row>
      </sheetData>
      <sheetData sheetId="4292">
        <row r="34">
          <cell r="A34" t="str">
            <v>Investments Govt Securities</v>
          </cell>
        </row>
      </sheetData>
      <sheetData sheetId="4293">
        <row r="34">
          <cell r="A34" t="str">
            <v>Investments Govt Securities</v>
          </cell>
        </row>
      </sheetData>
      <sheetData sheetId="4294">
        <row r="34">
          <cell r="A34" t="str">
            <v>Investments Govt Securities</v>
          </cell>
        </row>
      </sheetData>
      <sheetData sheetId="4295">
        <row r="34">
          <cell r="A34" t="str">
            <v>Investments Govt Securities</v>
          </cell>
        </row>
      </sheetData>
      <sheetData sheetId="4296">
        <row r="34">
          <cell r="A34" t="str">
            <v>Investments Govt Securities</v>
          </cell>
        </row>
      </sheetData>
      <sheetData sheetId="4297">
        <row r="34">
          <cell r="A34" t="str">
            <v>Investments Govt Securities</v>
          </cell>
        </row>
      </sheetData>
      <sheetData sheetId="4298">
        <row r="34">
          <cell r="A34" t="str">
            <v>Investments Govt Securities</v>
          </cell>
        </row>
      </sheetData>
      <sheetData sheetId="4299">
        <row r="34">
          <cell r="A34" t="str">
            <v>Investments Govt Securities</v>
          </cell>
        </row>
      </sheetData>
      <sheetData sheetId="4300">
        <row r="34">
          <cell r="A34" t="str">
            <v>Investments Govt Securities</v>
          </cell>
        </row>
      </sheetData>
      <sheetData sheetId="4301">
        <row r="34">
          <cell r="A34" t="str">
            <v>Investments Govt Securities</v>
          </cell>
        </row>
      </sheetData>
      <sheetData sheetId="4302">
        <row r="34">
          <cell r="A34" t="str">
            <v>Investments Govt Securities</v>
          </cell>
        </row>
      </sheetData>
      <sheetData sheetId="4303">
        <row r="34">
          <cell r="A34" t="str">
            <v>Investments Govt Securities</v>
          </cell>
        </row>
      </sheetData>
      <sheetData sheetId="4304">
        <row r="34">
          <cell r="A34" t="str">
            <v>Investments Govt Securities</v>
          </cell>
        </row>
      </sheetData>
      <sheetData sheetId="4305">
        <row r="34">
          <cell r="A34" t="str">
            <v>Investments Govt Securities</v>
          </cell>
        </row>
      </sheetData>
      <sheetData sheetId="4306">
        <row r="34">
          <cell r="A34" t="str">
            <v>Investments Govt Securities</v>
          </cell>
        </row>
      </sheetData>
      <sheetData sheetId="4307">
        <row r="34">
          <cell r="A34" t="str">
            <v>Investments Govt Securities</v>
          </cell>
        </row>
      </sheetData>
      <sheetData sheetId="4308">
        <row r="34">
          <cell r="A34" t="str">
            <v>Investments Govt Securities</v>
          </cell>
        </row>
      </sheetData>
      <sheetData sheetId="4309">
        <row r="34">
          <cell r="A34" t="str">
            <v>Investments Govt Securities</v>
          </cell>
        </row>
      </sheetData>
      <sheetData sheetId="4310">
        <row r="34">
          <cell r="A34" t="str">
            <v>Investments Govt Securities</v>
          </cell>
        </row>
      </sheetData>
      <sheetData sheetId="4311">
        <row r="34">
          <cell r="A34" t="str">
            <v>Investments Govt Securities</v>
          </cell>
        </row>
      </sheetData>
      <sheetData sheetId="4312">
        <row r="34">
          <cell r="A34" t="str">
            <v>Investments Govt Securities</v>
          </cell>
        </row>
      </sheetData>
      <sheetData sheetId="4313">
        <row r="34">
          <cell r="A34" t="str">
            <v>Investments Govt Securities</v>
          </cell>
        </row>
      </sheetData>
      <sheetData sheetId="4314">
        <row r="34">
          <cell r="A34" t="str">
            <v>Investments Govt Securities</v>
          </cell>
        </row>
      </sheetData>
      <sheetData sheetId="4315">
        <row r="34">
          <cell r="A34" t="str">
            <v>Investments Govt Securities</v>
          </cell>
        </row>
      </sheetData>
      <sheetData sheetId="4316">
        <row r="34">
          <cell r="A34" t="str">
            <v>Investments Govt Securities</v>
          </cell>
        </row>
      </sheetData>
      <sheetData sheetId="4317">
        <row r="34">
          <cell r="A34" t="str">
            <v>Investments Govt Securities</v>
          </cell>
        </row>
      </sheetData>
      <sheetData sheetId="4318">
        <row r="34">
          <cell r="A34" t="str">
            <v>Investments Govt Securities</v>
          </cell>
        </row>
      </sheetData>
      <sheetData sheetId="4319">
        <row r="34">
          <cell r="A34" t="str">
            <v>Investments Govt Securities</v>
          </cell>
        </row>
      </sheetData>
      <sheetData sheetId="4320">
        <row r="34">
          <cell r="A34" t="str">
            <v>Investments Govt Securities</v>
          </cell>
        </row>
      </sheetData>
      <sheetData sheetId="4321">
        <row r="34">
          <cell r="A34" t="str">
            <v>Investments Govt Securities</v>
          </cell>
        </row>
      </sheetData>
      <sheetData sheetId="4322">
        <row r="34">
          <cell r="A34" t="str">
            <v>Investments Govt Securities</v>
          </cell>
        </row>
      </sheetData>
      <sheetData sheetId="4323">
        <row r="34">
          <cell r="A34" t="str">
            <v>Investments Govt Securities</v>
          </cell>
        </row>
      </sheetData>
      <sheetData sheetId="4324">
        <row r="34">
          <cell r="A34" t="str">
            <v>Investments Govt Securities</v>
          </cell>
        </row>
      </sheetData>
      <sheetData sheetId="4325">
        <row r="34">
          <cell r="A34" t="str">
            <v>Investments Govt Securities</v>
          </cell>
        </row>
      </sheetData>
      <sheetData sheetId="4326">
        <row r="34">
          <cell r="A34" t="str">
            <v>Investments Govt Securities</v>
          </cell>
        </row>
      </sheetData>
      <sheetData sheetId="4327">
        <row r="34">
          <cell r="A34" t="str">
            <v>Investments Govt Securities</v>
          </cell>
        </row>
      </sheetData>
      <sheetData sheetId="4328">
        <row r="34">
          <cell r="A34" t="str">
            <v>Investments Govt Securities</v>
          </cell>
        </row>
      </sheetData>
      <sheetData sheetId="4329">
        <row r="34">
          <cell r="A34" t="str">
            <v>Investments Govt Securities</v>
          </cell>
        </row>
      </sheetData>
      <sheetData sheetId="4330">
        <row r="34">
          <cell r="A34" t="str">
            <v>Investments Govt Securities</v>
          </cell>
        </row>
      </sheetData>
      <sheetData sheetId="4331">
        <row r="34">
          <cell r="A34" t="str">
            <v>Investments Govt Securities</v>
          </cell>
        </row>
      </sheetData>
      <sheetData sheetId="4332">
        <row r="34">
          <cell r="A34" t="str">
            <v>Investments Govt Securities</v>
          </cell>
        </row>
      </sheetData>
      <sheetData sheetId="4333">
        <row r="34">
          <cell r="A34" t="str">
            <v>Investments Govt Securities</v>
          </cell>
        </row>
      </sheetData>
      <sheetData sheetId="4334">
        <row r="34">
          <cell r="A34" t="str">
            <v>Investments Govt Securities</v>
          </cell>
        </row>
      </sheetData>
      <sheetData sheetId="4335">
        <row r="34">
          <cell r="A34" t="str">
            <v>Investments Govt Securities</v>
          </cell>
        </row>
      </sheetData>
      <sheetData sheetId="4336">
        <row r="34">
          <cell r="A34" t="str">
            <v>Investments Govt Securities</v>
          </cell>
        </row>
      </sheetData>
      <sheetData sheetId="4337">
        <row r="34">
          <cell r="A34" t="str">
            <v>Investments Govt Securities</v>
          </cell>
        </row>
      </sheetData>
      <sheetData sheetId="4338">
        <row r="34">
          <cell r="A34" t="str">
            <v>Investments Govt Securities</v>
          </cell>
        </row>
      </sheetData>
      <sheetData sheetId="4339">
        <row r="34">
          <cell r="A34" t="str">
            <v>Investments Govt Securities</v>
          </cell>
        </row>
      </sheetData>
      <sheetData sheetId="4340">
        <row r="34">
          <cell r="A34" t="str">
            <v>Investments Govt Securities</v>
          </cell>
        </row>
      </sheetData>
      <sheetData sheetId="4341">
        <row r="34">
          <cell r="A34" t="str">
            <v>Investments Govt Securities</v>
          </cell>
        </row>
      </sheetData>
      <sheetData sheetId="4342">
        <row r="34">
          <cell r="A34" t="str">
            <v>Investments Govt Securities</v>
          </cell>
        </row>
      </sheetData>
      <sheetData sheetId="4343">
        <row r="34">
          <cell r="A34" t="str">
            <v>Investments Govt Securities</v>
          </cell>
        </row>
      </sheetData>
      <sheetData sheetId="4344">
        <row r="34">
          <cell r="A34" t="str">
            <v>Investments Govt Securities</v>
          </cell>
        </row>
      </sheetData>
      <sheetData sheetId="4345">
        <row r="34">
          <cell r="A34" t="str">
            <v>Investments Govt Securities</v>
          </cell>
        </row>
      </sheetData>
      <sheetData sheetId="4346">
        <row r="34">
          <cell r="A34" t="str">
            <v>Investments Govt Securities</v>
          </cell>
        </row>
      </sheetData>
      <sheetData sheetId="4347">
        <row r="34">
          <cell r="A34" t="str">
            <v>Investments Govt Securities</v>
          </cell>
        </row>
      </sheetData>
      <sheetData sheetId="4348">
        <row r="34">
          <cell r="A34" t="str">
            <v>Investments Govt Securities</v>
          </cell>
        </row>
      </sheetData>
      <sheetData sheetId="4349">
        <row r="34">
          <cell r="A34" t="str">
            <v>Investments Govt Securities</v>
          </cell>
        </row>
      </sheetData>
      <sheetData sheetId="4350">
        <row r="34">
          <cell r="A34" t="str">
            <v>Investments Govt Securities</v>
          </cell>
        </row>
      </sheetData>
      <sheetData sheetId="4351">
        <row r="34">
          <cell r="A34" t="str">
            <v>Investments Govt Securities</v>
          </cell>
        </row>
      </sheetData>
      <sheetData sheetId="4352">
        <row r="34">
          <cell r="A34" t="str">
            <v>Investments Govt Securities</v>
          </cell>
        </row>
      </sheetData>
      <sheetData sheetId="4353">
        <row r="34">
          <cell r="A34" t="str">
            <v>Investments Govt Securities</v>
          </cell>
        </row>
      </sheetData>
      <sheetData sheetId="4354">
        <row r="34">
          <cell r="A34" t="str">
            <v>Investments Govt Securities</v>
          </cell>
        </row>
      </sheetData>
      <sheetData sheetId="4355">
        <row r="34">
          <cell r="A34" t="str">
            <v>Investments Govt Securities</v>
          </cell>
        </row>
      </sheetData>
      <sheetData sheetId="4356">
        <row r="34">
          <cell r="A34" t="str">
            <v>Investments Govt Securities</v>
          </cell>
        </row>
      </sheetData>
      <sheetData sheetId="4357">
        <row r="34">
          <cell r="A34" t="str">
            <v>Investments Govt Securities</v>
          </cell>
        </row>
      </sheetData>
      <sheetData sheetId="4358">
        <row r="34">
          <cell r="A34" t="str">
            <v>Investments Govt Securities</v>
          </cell>
        </row>
      </sheetData>
      <sheetData sheetId="4359">
        <row r="34">
          <cell r="A34" t="str">
            <v>Investments Govt Securities</v>
          </cell>
        </row>
      </sheetData>
      <sheetData sheetId="4360">
        <row r="34">
          <cell r="A34" t="str">
            <v>Investments Govt Securities</v>
          </cell>
        </row>
      </sheetData>
      <sheetData sheetId="4361">
        <row r="34">
          <cell r="A34" t="str">
            <v>Investments Govt Securities</v>
          </cell>
        </row>
      </sheetData>
      <sheetData sheetId="4362">
        <row r="34">
          <cell r="A34" t="str">
            <v>Investments Govt Securities</v>
          </cell>
        </row>
      </sheetData>
      <sheetData sheetId="4363">
        <row r="34">
          <cell r="A34" t="str">
            <v>Investments Govt Securities</v>
          </cell>
        </row>
      </sheetData>
      <sheetData sheetId="4364">
        <row r="34">
          <cell r="A34" t="str">
            <v>Investments Govt Securities</v>
          </cell>
        </row>
      </sheetData>
      <sheetData sheetId="4365">
        <row r="34">
          <cell r="A34" t="str">
            <v>Investments Govt Securities</v>
          </cell>
        </row>
      </sheetData>
      <sheetData sheetId="4366">
        <row r="34">
          <cell r="A34" t="str">
            <v>Investments Govt Securities</v>
          </cell>
        </row>
      </sheetData>
      <sheetData sheetId="4367">
        <row r="34">
          <cell r="A34" t="str">
            <v>Investments Govt Securities</v>
          </cell>
        </row>
      </sheetData>
      <sheetData sheetId="4368">
        <row r="34">
          <cell r="A34" t="str">
            <v>Investments Govt Securities</v>
          </cell>
        </row>
      </sheetData>
      <sheetData sheetId="4369">
        <row r="34">
          <cell r="A34" t="str">
            <v>Investments Govt Securities</v>
          </cell>
        </row>
      </sheetData>
      <sheetData sheetId="4370">
        <row r="34">
          <cell r="A34" t="str">
            <v>Investments Govt Securities</v>
          </cell>
        </row>
      </sheetData>
      <sheetData sheetId="4371">
        <row r="34">
          <cell r="A34" t="str">
            <v>Investments Govt Securities</v>
          </cell>
        </row>
      </sheetData>
      <sheetData sheetId="4372">
        <row r="34">
          <cell r="A34" t="str">
            <v>Investments Govt Securities</v>
          </cell>
        </row>
      </sheetData>
      <sheetData sheetId="4373">
        <row r="34">
          <cell r="A34" t="str">
            <v>Investments Govt Securities</v>
          </cell>
        </row>
      </sheetData>
      <sheetData sheetId="4374">
        <row r="34">
          <cell r="A34" t="str">
            <v>Investments Govt Securities</v>
          </cell>
        </row>
      </sheetData>
      <sheetData sheetId="4375">
        <row r="34">
          <cell r="A34" t="str">
            <v>Investments Govt Securities</v>
          </cell>
        </row>
      </sheetData>
      <sheetData sheetId="4376">
        <row r="34">
          <cell r="A34" t="str">
            <v>Investments Govt Securities</v>
          </cell>
        </row>
      </sheetData>
      <sheetData sheetId="4377">
        <row r="34">
          <cell r="A34" t="str">
            <v>Investments Govt Securities</v>
          </cell>
        </row>
      </sheetData>
      <sheetData sheetId="4378">
        <row r="34">
          <cell r="A34" t="str">
            <v>Investments Govt Securities</v>
          </cell>
        </row>
      </sheetData>
      <sheetData sheetId="4379">
        <row r="34">
          <cell r="A34" t="str">
            <v>Investments Govt Securities</v>
          </cell>
        </row>
      </sheetData>
      <sheetData sheetId="4380">
        <row r="34">
          <cell r="A34" t="str">
            <v>Investments Govt Securities</v>
          </cell>
        </row>
      </sheetData>
      <sheetData sheetId="4381">
        <row r="34">
          <cell r="A34" t="str">
            <v>Investments Govt Securities</v>
          </cell>
        </row>
      </sheetData>
      <sheetData sheetId="4382">
        <row r="34">
          <cell r="A34" t="str">
            <v>Investments Govt Securities</v>
          </cell>
        </row>
      </sheetData>
      <sheetData sheetId="4383">
        <row r="34">
          <cell r="A34" t="str">
            <v>Investments Govt Securities</v>
          </cell>
        </row>
      </sheetData>
      <sheetData sheetId="4384">
        <row r="34">
          <cell r="A34" t="str">
            <v>Investments Govt Securities</v>
          </cell>
        </row>
      </sheetData>
      <sheetData sheetId="4385">
        <row r="34">
          <cell r="A34" t="str">
            <v>Investments Govt Securities</v>
          </cell>
        </row>
      </sheetData>
      <sheetData sheetId="4386">
        <row r="34">
          <cell r="A34" t="str">
            <v>Investments Govt Securities</v>
          </cell>
        </row>
      </sheetData>
      <sheetData sheetId="4387">
        <row r="34">
          <cell r="A34" t="str">
            <v>Investments Govt Securities</v>
          </cell>
        </row>
      </sheetData>
      <sheetData sheetId="4388">
        <row r="34">
          <cell r="A34" t="str">
            <v>Investments Govt Securities</v>
          </cell>
        </row>
      </sheetData>
      <sheetData sheetId="4389">
        <row r="34">
          <cell r="A34" t="str">
            <v>Investments Govt Securities</v>
          </cell>
        </row>
      </sheetData>
      <sheetData sheetId="4390">
        <row r="34">
          <cell r="A34" t="str">
            <v>Investments Govt Securities</v>
          </cell>
        </row>
      </sheetData>
      <sheetData sheetId="4391">
        <row r="34">
          <cell r="A34" t="str">
            <v>Investments Govt Securities</v>
          </cell>
        </row>
      </sheetData>
      <sheetData sheetId="4392">
        <row r="34">
          <cell r="A34" t="str">
            <v>Investments Govt Securities</v>
          </cell>
        </row>
      </sheetData>
      <sheetData sheetId="4393">
        <row r="34">
          <cell r="A34" t="str">
            <v>Investments Govt Securities</v>
          </cell>
        </row>
      </sheetData>
      <sheetData sheetId="4394">
        <row r="34">
          <cell r="A34" t="str">
            <v>Investments Govt Securities</v>
          </cell>
        </row>
      </sheetData>
      <sheetData sheetId="4395">
        <row r="34">
          <cell r="A34" t="str">
            <v>Investments Govt Securities</v>
          </cell>
        </row>
      </sheetData>
      <sheetData sheetId="4396">
        <row r="34">
          <cell r="A34" t="str">
            <v>Investments Govt Securities</v>
          </cell>
        </row>
      </sheetData>
      <sheetData sheetId="4397">
        <row r="34">
          <cell r="A34" t="str">
            <v>Investments Govt Securities</v>
          </cell>
        </row>
      </sheetData>
      <sheetData sheetId="4398">
        <row r="34">
          <cell r="A34" t="str">
            <v>Investments Govt Securities</v>
          </cell>
        </row>
      </sheetData>
      <sheetData sheetId="4399">
        <row r="34">
          <cell r="A34" t="str">
            <v>Investments Govt Securities</v>
          </cell>
        </row>
      </sheetData>
      <sheetData sheetId="4400">
        <row r="34">
          <cell r="A34" t="str">
            <v>Investments Govt Securities</v>
          </cell>
        </row>
      </sheetData>
      <sheetData sheetId="4401">
        <row r="34">
          <cell r="A34" t="str">
            <v>Investments Govt Securities</v>
          </cell>
        </row>
      </sheetData>
      <sheetData sheetId="4402">
        <row r="34">
          <cell r="A34" t="str">
            <v>Investments Govt Securities</v>
          </cell>
        </row>
      </sheetData>
      <sheetData sheetId="4403">
        <row r="34">
          <cell r="A34" t="str">
            <v>Investments Govt Securities</v>
          </cell>
        </row>
      </sheetData>
      <sheetData sheetId="4404">
        <row r="34">
          <cell r="A34" t="str">
            <v>Investments Govt Securities</v>
          </cell>
        </row>
      </sheetData>
      <sheetData sheetId="4405">
        <row r="34">
          <cell r="A34" t="str">
            <v>Investments Govt Securities</v>
          </cell>
        </row>
      </sheetData>
      <sheetData sheetId="4406">
        <row r="34">
          <cell r="A34" t="str">
            <v>Investments Govt Securities</v>
          </cell>
        </row>
      </sheetData>
      <sheetData sheetId="4407">
        <row r="34">
          <cell r="A34" t="str">
            <v>Investments Govt Securities</v>
          </cell>
        </row>
      </sheetData>
      <sheetData sheetId="4408">
        <row r="34">
          <cell r="A34" t="str">
            <v>Investments Govt Securities</v>
          </cell>
        </row>
      </sheetData>
      <sheetData sheetId="4409">
        <row r="34">
          <cell r="A34" t="str">
            <v>Investments Govt Securities</v>
          </cell>
        </row>
      </sheetData>
      <sheetData sheetId="4410">
        <row r="34">
          <cell r="A34" t="str">
            <v>Investments Govt Securities</v>
          </cell>
        </row>
      </sheetData>
      <sheetData sheetId="4411">
        <row r="34">
          <cell r="A34" t="str">
            <v>Investments Govt Securities</v>
          </cell>
        </row>
      </sheetData>
      <sheetData sheetId="4412">
        <row r="34">
          <cell r="A34" t="str">
            <v>Investments Govt Securities</v>
          </cell>
        </row>
      </sheetData>
      <sheetData sheetId="4413">
        <row r="34">
          <cell r="A34" t="str">
            <v>Investments Govt Securities</v>
          </cell>
        </row>
      </sheetData>
      <sheetData sheetId="4414">
        <row r="34">
          <cell r="A34" t="str">
            <v>Investments Govt Securities</v>
          </cell>
        </row>
      </sheetData>
      <sheetData sheetId="4415">
        <row r="34">
          <cell r="A34" t="str">
            <v>Investments Govt Securities</v>
          </cell>
        </row>
      </sheetData>
      <sheetData sheetId="4416">
        <row r="34">
          <cell r="A34" t="str">
            <v>Investments Govt Securities</v>
          </cell>
        </row>
      </sheetData>
      <sheetData sheetId="4417">
        <row r="34">
          <cell r="A34" t="str">
            <v>Investments Govt Securities</v>
          </cell>
        </row>
      </sheetData>
      <sheetData sheetId="4418">
        <row r="34">
          <cell r="A34" t="str">
            <v>Investments Govt Securities</v>
          </cell>
        </row>
      </sheetData>
      <sheetData sheetId="4419">
        <row r="34">
          <cell r="A34" t="str">
            <v>Investments Govt Securities</v>
          </cell>
        </row>
      </sheetData>
      <sheetData sheetId="4420"/>
      <sheetData sheetId="4421"/>
      <sheetData sheetId="4422"/>
      <sheetData sheetId="4423"/>
      <sheetData sheetId="4424"/>
      <sheetData sheetId="4425"/>
      <sheetData sheetId="4426">
        <row r="34">
          <cell r="A34" t="str">
            <v>Investments Govt Securities</v>
          </cell>
        </row>
      </sheetData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>
        <row r="34">
          <cell r="A34" t="str">
            <v>Investments Govt Securities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>
        <row r="34">
          <cell r="A34" t="str">
            <v>Investments Govt Securities</v>
          </cell>
        </row>
      </sheetData>
      <sheetData sheetId="4507">
        <row r="34">
          <cell r="A34" t="str">
            <v>Investments Govt Securities</v>
          </cell>
        </row>
      </sheetData>
      <sheetData sheetId="4508">
        <row r="34">
          <cell r="A34" t="str">
            <v>Investments Govt Securities</v>
          </cell>
        </row>
      </sheetData>
      <sheetData sheetId="4509">
        <row r="34">
          <cell r="A34" t="str">
            <v>Investments Govt Securities</v>
          </cell>
        </row>
      </sheetData>
      <sheetData sheetId="4510">
        <row r="34">
          <cell r="A34" t="str">
            <v>Investments Govt Securities</v>
          </cell>
        </row>
      </sheetData>
      <sheetData sheetId="4511">
        <row r="34">
          <cell r="A34" t="str">
            <v>Investments Govt Securities</v>
          </cell>
        </row>
      </sheetData>
      <sheetData sheetId="4512">
        <row r="34">
          <cell r="A34" t="str">
            <v>Investments Govt Securities</v>
          </cell>
        </row>
      </sheetData>
      <sheetData sheetId="4513">
        <row r="34">
          <cell r="A34" t="str">
            <v>Investments Govt Securities</v>
          </cell>
        </row>
      </sheetData>
      <sheetData sheetId="4514">
        <row r="34">
          <cell r="A34" t="str">
            <v>Investments Govt Securities</v>
          </cell>
        </row>
      </sheetData>
      <sheetData sheetId="4515">
        <row r="34">
          <cell r="A34" t="str">
            <v>Investments Govt Securities</v>
          </cell>
        </row>
      </sheetData>
      <sheetData sheetId="4516">
        <row r="34">
          <cell r="A34" t="str">
            <v>Investments Govt Securities</v>
          </cell>
        </row>
      </sheetData>
      <sheetData sheetId="4517">
        <row r="34">
          <cell r="A34" t="str">
            <v>Investments Govt Securities</v>
          </cell>
        </row>
      </sheetData>
      <sheetData sheetId="4518">
        <row r="34">
          <cell r="A34" t="str">
            <v>Investments Govt Securities</v>
          </cell>
        </row>
      </sheetData>
      <sheetData sheetId="4519">
        <row r="34">
          <cell r="A34" t="str">
            <v>Investments Govt Securities</v>
          </cell>
        </row>
      </sheetData>
      <sheetData sheetId="4520">
        <row r="34">
          <cell r="A34" t="str">
            <v>Investments Govt Securities</v>
          </cell>
        </row>
      </sheetData>
      <sheetData sheetId="4521">
        <row r="34">
          <cell r="A34" t="str">
            <v>Investments Govt Securities</v>
          </cell>
        </row>
      </sheetData>
      <sheetData sheetId="4522">
        <row r="34">
          <cell r="A34" t="str">
            <v>Investments Govt Securities</v>
          </cell>
        </row>
      </sheetData>
      <sheetData sheetId="4523">
        <row r="34">
          <cell r="A34" t="str">
            <v>Investments Govt Securities</v>
          </cell>
        </row>
      </sheetData>
      <sheetData sheetId="4524">
        <row r="34">
          <cell r="A34" t="str">
            <v>Investments Govt Securities</v>
          </cell>
        </row>
      </sheetData>
      <sheetData sheetId="4525">
        <row r="34">
          <cell r="A34" t="str">
            <v>Investments Govt Securities</v>
          </cell>
        </row>
      </sheetData>
      <sheetData sheetId="4526">
        <row r="34">
          <cell r="A34" t="str">
            <v>Investments Govt Securities</v>
          </cell>
        </row>
      </sheetData>
      <sheetData sheetId="4527">
        <row r="34">
          <cell r="A34" t="str">
            <v>Investments Govt Securities</v>
          </cell>
        </row>
      </sheetData>
      <sheetData sheetId="4528">
        <row r="34">
          <cell r="A34" t="str">
            <v>Investments Govt Securities</v>
          </cell>
        </row>
      </sheetData>
      <sheetData sheetId="4529">
        <row r="34">
          <cell r="A34" t="str">
            <v>Investments Govt Securities</v>
          </cell>
        </row>
      </sheetData>
      <sheetData sheetId="4530">
        <row r="34">
          <cell r="A34" t="str">
            <v>Investments Govt Securities</v>
          </cell>
        </row>
      </sheetData>
      <sheetData sheetId="4531">
        <row r="34">
          <cell r="A34" t="str">
            <v>Investments Govt Securities</v>
          </cell>
        </row>
      </sheetData>
      <sheetData sheetId="4532">
        <row r="34">
          <cell r="A34" t="str">
            <v>Investments Govt Securities</v>
          </cell>
        </row>
      </sheetData>
      <sheetData sheetId="4533">
        <row r="34">
          <cell r="A34" t="str">
            <v>Investments Govt Securities</v>
          </cell>
        </row>
      </sheetData>
      <sheetData sheetId="4534">
        <row r="34">
          <cell r="A34" t="str">
            <v>Investments Govt Securities</v>
          </cell>
        </row>
      </sheetData>
      <sheetData sheetId="4535">
        <row r="34">
          <cell r="A34" t="str">
            <v>Investments Govt Securities</v>
          </cell>
        </row>
      </sheetData>
      <sheetData sheetId="4536">
        <row r="34">
          <cell r="A34" t="str">
            <v>Investments Govt Securities</v>
          </cell>
        </row>
      </sheetData>
      <sheetData sheetId="4537">
        <row r="34">
          <cell r="A34" t="str">
            <v>Investments Govt Securities</v>
          </cell>
        </row>
      </sheetData>
      <sheetData sheetId="4538">
        <row r="34">
          <cell r="A34" t="str">
            <v>Investments Govt Securities</v>
          </cell>
        </row>
      </sheetData>
      <sheetData sheetId="4539">
        <row r="34">
          <cell r="A34" t="str">
            <v>Investments Govt Securities</v>
          </cell>
        </row>
      </sheetData>
      <sheetData sheetId="4540">
        <row r="34">
          <cell r="A34" t="str">
            <v>Investments Govt Securities</v>
          </cell>
        </row>
      </sheetData>
      <sheetData sheetId="4541">
        <row r="34">
          <cell r="A34" t="str">
            <v>Investments Govt Securities</v>
          </cell>
        </row>
      </sheetData>
      <sheetData sheetId="4542">
        <row r="34">
          <cell r="A34" t="str">
            <v>Investments Govt Securities</v>
          </cell>
        </row>
      </sheetData>
      <sheetData sheetId="4543">
        <row r="34">
          <cell r="A34" t="str">
            <v>Investments Govt Securities</v>
          </cell>
        </row>
      </sheetData>
      <sheetData sheetId="4544">
        <row r="34">
          <cell r="A34" t="str">
            <v>Investments Govt Securities</v>
          </cell>
        </row>
      </sheetData>
      <sheetData sheetId="4545">
        <row r="34">
          <cell r="A34" t="str">
            <v>Investments Govt Securities</v>
          </cell>
        </row>
      </sheetData>
      <sheetData sheetId="4546">
        <row r="34">
          <cell r="A34" t="str">
            <v>Investments Govt Securities</v>
          </cell>
        </row>
      </sheetData>
      <sheetData sheetId="4547">
        <row r="34">
          <cell r="A34" t="str">
            <v>Investments Govt Securities</v>
          </cell>
        </row>
      </sheetData>
      <sheetData sheetId="4548">
        <row r="34">
          <cell r="A34" t="str">
            <v>Investments Govt Securities</v>
          </cell>
        </row>
      </sheetData>
      <sheetData sheetId="4549">
        <row r="34">
          <cell r="A34" t="str">
            <v>Investments Govt Securities</v>
          </cell>
        </row>
      </sheetData>
      <sheetData sheetId="4550">
        <row r="34">
          <cell r="A34" t="str">
            <v>Investments Govt Securities</v>
          </cell>
        </row>
      </sheetData>
      <sheetData sheetId="4551">
        <row r="34">
          <cell r="A34" t="str">
            <v>Investments Govt Securities</v>
          </cell>
        </row>
      </sheetData>
      <sheetData sheetId="4552">
        <row r="34">
          <cell r="A34" t="str">
            <v>Investments Govt Securities</v>
          </cell>
        </row>
      </sheetData>
      <sheetData sheetId="4553">
        <row r="34">
          <cell r="A34" t="str">
            <v>Investments Govt Securities</v>
          </cell>
        </row>
      </sheetData>
      <sheetData sheetId="4554">
        <row r="34">
          <cell r="A34" t="str">
            <v>Investments Govt Securities</v>
          </cell>
        </row>
      </sheetData>
      <sheetData sheetId="4555">
        <row r="34">
          <cell r="A34" t="str">
            <v>Investments Govt Securities</v>
          </cell>
        </row>
      </sheetData>
      <sheetData sheetId="4556">
        <row r="34">
          <cell r="A34" t="str">
            <v>Investments Govt Securities</v>
          </cell>
        </row>
      </sheetData>
      <sheetData sheetId="4557">
        <row r="34">
          <cell r="A34" t="str">
            <v>Investments Govt Securities</v>
          </cell>
        </row>
      </sheetData>
      <sheetData sheetId="4558">
        <row r="34">
          <cell r="A34" t="str">
            <v>Investments Govt Securities</v>
          </cell>
        </row>
      </sheetData>
      <sheetData sheetId="4559">
        <row r="34">
          <cell r="A34" t="str">
            <v>Investments Govt Securities</v>
          </cell>
        </row>
      </sheetData>
      <sheetData sheetId="4560">
        <row r="34">
          <cell r="A34" t="str">
            <v>Investments Govt Securities</v>
          </cell>
        </row>
      </sheetData>
      <sheetData sheetId="4561">
        <row r="34">
          <cell r="A34" t="str">
            <v>Investments Govt Securities</v>
          </cell>
        </row>
      </sheetData>
      <sheetData sheetId="4562">
        <row r="34">
          <cell r="A34" t="str">
            <v>Investments Govt Securities</v>
          </cell>
        </row>
      </sheetData>
      <sheetData sheetId="4563">
        <row r="34">
          <cell r="A34" t="str">
            <v>Investments Govt Securities</v>
          </cell>
        </row>
      </sheetData>
      <sheetData sheetId="4564">
        <row r="34">
          <cell r="A34" t="str">
            <v>Investments Govt Securities</v>
          </cell>
        </row>
      </sheetData>
      <sheetData sheetId="4565">
        <row r="34">
          <cell r="A34" t="str">
            <v>Investments Govt Securities</v>
          </cell>
        </row>
      </sheetData>
      <sheetData sheetId="4566">
        <row r="34">
          <cell r="A34" t="str">
            <v>Investments Govt Securities</v>
          </cell>
        </row>
      </sheetData>
      <sheetData sheetId="4567">
        <row r="34">
          <cell r="A34" t="str">
            <v>Investments Govt Securities</v>
          </cell>
        </row>
      </sheetData>
      <sheetData sheetId="4568">
        <row r="34">
          <cell r="A34" t="str">
            <v>Investments Govt Securities</v>
          </cell>
        </row>
      </sheetData>
      <sheetData sheetId="4569">
        <row r="34">
          <cell r="A34" t="str">
            <v>Investments Govt Securities</v>
          </cell>
        </row>
      </sheetData>
      <sheetData sheetId="4570">
        <row r="34">
          <cell r="A34" t="str">
            <v>Investments Govt Securities</v>
          </cell>
        </row>
      </sheetData>
      <sheetData sheetId="4571">
        <row r="34">
          <cell r="A34" t="str">
            <v>Investments Govt Securities</v>
          </cell>
        </row>
      </sheetData>
      <sheetData sheetId="4572">
        <row r="34">
          <cell r="A34" t="str">
            <v>Investments Govt Securities</v>
          </cell>
        </row>
      </sheetData>
      <sheetData sheetId="4573">
        <row r="34">
          <cell r="A34" t="str">
            <v>Investments Govt Securities</v>
          </cell>
        </row>
      </sheetData>
      <sheetData sheetId="4574">
        <row r="34">
          <cell r="A34" t="str">
            <v>Investments Govt Securities</v>
          </cell>
        </row>
      </sheetData>
      <sheetData sheetId="4575">
        <row r="34">
          <cell r="A34" t="str">
            <v>Investments Govt Securities</v>
          </cell>
        </row>
      </sheetData>
      <sheetData sheetId="4576">
        <row r="34">
          <cell r="A34" t="str">
            <v>Investments Govt Securities</v>
          </cell>
        </row>
      </sheetData>
      <sheetData sheetId="4577">
        <row r="34">
          <cell r="A34" t="str">
            <v>Investments Govt Securities</v>
          </cell>
        </row>
      </sheetData>
      <sheetData sheetId="4578">
        <row r="34">
          <cell r="A34" t="str">
            <v>Investments Govt Securities</v>
          </cell>
        </row>
      </sheetData>
      <sheetData sheetId="4579">
        <row r="34">
          <cell r="A34" t="str">
            <v>Investments Govt Securities</v>
          </cell>
        </row>
      </sheetData>
      <sheetData sheetId="4580">
        <row r="34">
          <cell r="A34" t="str">
            <v>Investments Govt Securities</v>
          </cell>
        </row>
      </sheetData>
      <sheetData sheetId="4581">
        <row r="34">
          <cell r="A34" t="str">
            <v>Investments Govt Securities</v>
          </cell>
        </row>
      </sheetData>
      <sheetData sheetId="4582">
        <row r="34">
          <cell r="A34" t="str">
            <v>Investments Govt Securities</v>
          </cell>
        </row>
      </sheetData>
      <sheetData sheetId="4583">
        <row r="34">
          <cell r="A34" t="str">
            <v>Investments Govt Securities</v>
          </cell>
        </row>
      </sheetData>
      <sheetData sheetId="4584">
        <row r="34">
          <cell r="A34" t="str">
            <v>Investments Govt Securities</v>
          </cell>
        </row>
      </sheetData>
      <sheetData sheetId="4585">
        <row r="34">
          <cell r="A34" t="str">
            <v>Investments Govt Securities</v>
          </cell>
        </row>
      </sheetData>
      <sheetData sheetId="4586">
        <row r="34">
          <cell r="A34" t="str">
            <v>Investments Govt Securities</v>
          </cell>
        </row>
      </sheetData>
      <sheetData sheetId="4587">
        <row r="34">
          <cell r="A34" t="str">
            <v>Investments Govt Securities</v>
          </cell>
        </row>
      </sheetData>
      <sheetData sheetId="4588">
        <row r="34">
          <cell r="A34" t="str">
            <v>Investments Govt Securities</v>
          </cell>
        </row>
      </sheetData>
      <sheetData sheetId="4589">
        <row r="34">
          <cell r="A34" t="str">
            <v>Investments Govt Securities</v>
          </cell>
        </row>
      </sheetData>
      <sheetData sheetId="4590">
        <row r="34">
          <cell r="A34" t="str">
            <v>Investments Govt Securities</v>
          </cell>
        </row>
      </sheetData>
      <sheetData sheetId="4591">
        <row r="34">
          <cell r="A34" t="str">
            <v>Investments Govt Securities</v>
          </cell>
        </row>
      </sheetData>
      <sheetData sheetId="4592">
        <row r="34">
          <cell r="A34" t="str">
            <v>Investments Govt Securities</v>
          </cell>
        </row>
      </sheetData>
      <sheetData sheetId="4593">
        <row r="34">
          <cell r="A34" t="str">
            <v>Investments Govt Securities</v>
          </cell>
        </row>
      </sheetData>
      <sheetData sheetId="4594">
        <row r="34">
          <cell r="A34" t="str">
            <v>Investments Govt Securities</v>
          </cell>
        </row>
      </sheetData>
      <sheetData sheetId="4595">
        <row r="34">
          <cell r="A34" t="str">
            <v>Investments Govt Securities</v>
          </cell>
        </row>
      </sheetData>
      <sheetData sheetId="4596">
        <row r="34">
          <cell r="A34" t="str">
            <v>Investments Govt Securities</v>
          </cell>
        </row>
      </sheetData>
      <sheetData sheetId="4597">
        <row r="34">
          <cell r="A34" t="str">
            <v>Investments Govt Securities</v>
          </cell>
        </row>
      </sheetData>
      <sheetData sheetId="4598">
        <row r="34">
          <cell r="A34" t="str">
            <v>Investments Govt Securities</v>
          </cell>
        </row>
      </sheetData>
      <sheetData sheetId="4599">
        <row r="34">
          <cell r="A34" t="str">
            <v>Investments Govt Securities</v>
          </cell>
        </row>
      </sheetData>
      <sheetData sheetId="4600">
        <row r="34">
          <cell r="A34" t="str">
            <v>Investments Govt Securities</v>
          </cell>
        </row>
      </sheetData>
      <sheetData sheetId="4601">
        <row r="34">
          <cell r="A34" t="str">
            <v>Investments Govt Securities</v>
          </cell>
        </row>
      </sheetData>
      <sheetData sheetId="4602">
        <row r="34">
          <cell r="A34" t="str">
            <v>Investments Govt Securities</v>
          </cell>
        </row>
      </sheetData>
      <sheetData sheetId="4603">
        <row r="34">
          <cell r="A34" t="str">
            <v>Investments Govt Securities</v>
          </cell>
        </row>
      </sheetData>
      <sheetData sheetId="4604">
        <row r="34">
          <cell r="A34" t="str">
            <v>Investments Govt Securities</v>
          </cell>
        </row>
      </sheetData>
      <sheetData sheetId="4605">
        <row r="34">
          <cell r="A34" t="str">
            <v>Investments Govt Securities</v>
          </cell>
        </row>
      </sheetData>
      <sheetData sheetId="4606">
        <row r="34">
          <cell r="A34" t="str">
            <v>Investments Govt Securities</v>
          </cell>
        </row>
      </sheetData>
      <sheetData sheetId="4607">
        <row r="34">
          <cell r="A34" t="str">
            <v>Investments Govt Securities</v>
          </cell>
        </row>
      </sheetData>
      <sheetData sheetId="4608">
        <row r="34">
          <cell r="A34" t="str">
            <v>Investments Govt Securities</v>
          </cell>
        </row>
      </sheetData>
      <sheetData sheetId="4609">
        <row r="34">
          <cell r="A34" t="str">
            <v>Investments Govt Securities</v>
          </cell>
        </row>
      </sheetData>
      <sheetData sheetId="4610">
        <row r="34">
          <cell r="A34" t="str">
            <v>Investments Govt Securities</v>
          </cell>
        </row>
      </sheetData>
      <sheetData sheetId="4611" refreshError="1"/>
      <sheetData sheetId="4612">
        <row r="34">
          <cell r="A34" t="str">
            <v>Investments Govt Securities</v>
          </cell>
        </row>
      </sheetData>
      <sheetData sheetId="4613">
        <row r="34">
          <cell r="A34" t="str">
            <v>Investments Govt Securities</v>
          </cell>
        </row>
      </sheetData>
      <sheetData sheetId="4614">
        <row r="34">
          <cell r="A34" t="str">
            <v>Investments Govt Securities</v>
          </cell>
        </row>
      </sheetData>
      <sheetData sheetId="4615">
        <row r="34">
          <cell r="A34" t="str">
            <v>Investments Govt Securities</v>
          </cell>
        </row>
      </sheetData>
      <sheetData sheetId="4616">
        <row r="34">
          <cell r="A34" t="str">
            <v>Investments Govt Securities</v>
          </cell>
        </row>
      </sheetData>
      <sheetData sheetId="4617">
        <row r="34">
          <cell r="A34" t="str">
            <v>Investments Govt Securities</v>
          </cell>
        </row>
      </sheetData>
      <sheetData sheetId="4618">
        <row r="34">
          <cell r="A34" t="str">
            <v>Investments Govt Securities</v>
          </cell>
        </row>
      </sheetData>
      <sheetData sheetId="4619">
        <row r="34">
          <cell r="A34" t="str">
            <v>Investments Govt Securities</v>
          </cell>
        </row>
      </sheetData>
      <sheetData sheetId="4620">
        <row r="34">
          <cell r="A34" t="str">
            <v>Investments Govt Securities</v>
          </cell>
        </row>
      </sheetData>
      <sheetData sheetId="4621">
        <row r="34">
          <cell r="A34" t="str">
            <v>Investments Govt Securities</v>
          </cell>
        </row>
      </sheetData>
      <sheetData sheetId="4622">
        <row r="34">
          <cell r="A34" t="str">
            <v>Investments Govt Securities</v>
          </cell>
        </row>
      </sheetData>
      <sheetData sheetId="4623">
        <row r="34">
          <cell r="A34" t="str">
            <v>Investments Govt Securities</v>
          </cell>
        </row>
      </sheetData>
      <sheetData sheetId="4624">
        <row r="34">
          <cell r="A34" t="str">
            <v>Investments Govt Securities</v>
          </cell>
        </row>
      </sheetData>
      <sheetData sheetId="4625">
        <row r="34">
          <cell r="A34" t="str">
            <v>Investments Govt Securities</v>
          </cell>
        </row>
      </sheetData>
      <sheetData sheetId="4626">
        <row r="34">
          <cell r="A34" t="str">
            <v>Investments Govt Securities</v>
          </cell>
        </row>
      </sheetData>
      <sheetData sheetId="4627">
        <row r="34">
          <cell r="A34" t="str">
            <v>Investments Govt Securities</v>
          </cell>
        </row>
      </sheetData>
      <sheetData sheetId="4628">
        <row r="34">
          <cell r="A34" t="str">
            <v>Investments Govt Securities</v>
          </cell>
        </row>
      </sheetData>
      <sheetData sheetId="4629">
        <row r="34">
          <cell r="A34" t="str">
            <v>Investments Govt Securities</v>
          </cell>
        </row>
      </sheetData>
      <sheetData sheetId="4630">
        <row r="34">
          <cell r="A34" t="str">
            <v>Investments Govt Securities</v>
          </cell>
        </row>
      </sheetData>
      <sheetData sheetId="4631">
        <row r="34">
          <cell r="A34" t="str">
            <v>Investments Govt Securities</v>
          </cell>
        </row>
      </sheetData>
      <sheetData sheetId="4632">
        <row r="34">
          <cell r="A34" t="str">
            <v>Investments Govt Securities</v>
          </cell>
        </row>
      </sheetData>
      <sheetData sheetId="4633">
        <row r="34">
          <cell r="A34" t="str">
            <v>Investments Govt Securities</v>
          </cell>
        </row>
      </sheetData>
      <sheetData sheetId="4634">
        <row r="34">
          <cell r="A34" t="str">
            <v>Investments Govt Securities</v>
          </cell>
        </row>
      </sheetData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>
        <row r="34">
          <cell r="A34" t="str">
            <v>Investments Govt Securities</v>
          </cell>
        </row>
      </sheetData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>
        <row r="34">
          <cell r="A34" t="str">
            <v>Investments Govt Securities</v>
          </cell>
        </row>
      </sheetData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>
        <row r="34">
          <cell r="A34" t="str">
            <v>Investments Govt Securities</v>
          </cell>
        </row>
      </sheetData>
      <sheetData sheetId="4727" refreshError="1"/>
      <sheetData sheetId="4728">
        <row r="34">
          <cell r="A34" t="str">
            <v>Investments Govt Securities</v>
          </cell>
        </row>
      </sheetData>
      <sheetData sheetId="4729" refreshError="1"/>
      <sheetData sheetId="4730">
        <row r="34">
          <cell r="A34" t="str">
            <v>Investments Govt Securities</v>
          </cell>
        </row>
      </sheetData>
      <sheetData sheetId="4731">
        <row r="34">
          <cell r="A34" t="str">
            <v>Investments Govt Securities</v>
          </cell>
        </row>
      </sheetData>
      <sheetData sheetId="4732">
        <row r="34">
          <cell r="A34" t="str">
            <v>Investments Govt Securities</v>
          </cell>
        </row>
      </sheetData>
      <sheetData sheetId="4733">
        <row r="34">
          <cell r="A34" t="str">
            <v>Investments Govt Securities</v>
          </cell>
        </row>
      </sheetData>
      <sheetData sheetId="4734">
        <row r="34">
          <cell r="A34" t="str">
            <v>Investments Govt Securities</v>
          </cell>
        </row>
      </sheetData>
      <sheetData sheetId="4735">
        <row r="34">
          <cell r="A34" t="str">
            <v>Investments Govt Securities</v>
          </cell>
        </row>
      </sheetData>
      <sheetData sheetId="4736">
        <row r="34">
          <cell r="A34" t="str">
            <v>Investments Govt Securities</v>
          </cell>
        </row>
      </sheetData>
      <sheetData sheetId="4737">
        <row r="34">
          <cell r="A34" t="str">
            <v>Investments Govt Securities</v>
          </cell>
        </row>
      </sheetData>
      <sheetData sheetId="4738">
        <row r="34">
          <cell r="A34" t="str">
            <v>Investments Govt Securities</v>
          </cell>
        </row>
      </sheetData>
      <sheetData sheetId="4739">
        <row r="34">
          <cell r="A34" t="str">
            <v>Investments Govt Securities</v>
          </cell>
        </row>
      </sheetData>
      <sheetData sheetId="4740">
        <row r="34">
          <cell r="A34" t="str">
            <v>Investments Govt Securities</v>
          </cell>
        </row>
      </sheetData>
      <sheetData sheetId="4741">
        <row r="34">
          <cell r="A34" t="str">
            <v>Investments Govt Securities</v>
          </cell>
        </row>
      </sheetData>
      <sheetData sheetId="4742">
        <row r="34">
          <cell r="A34" t="str">
            <v>Investments Govt Securities</v>
          </cell>
        </row>
      </sheetData>
      <sheetData sheetId="4743">
        <row r="34">
          <cell r="A34" t="str">
            <v>Investments Govt Securities</v>
          </cell>
        </row>
      </sheetData>
      <sheetData sheetId="4744">
        <row r="34">
          <cell r="A34" t="str">
            <v>Investments Govt Securities</v>
          </cell>
        </row>
      </sheetData>
      <sheetData sheetId="4745">
        <row r="34">
          <cell r="A34" t="str">
            <v>Investments Govt Securities</v>
          </cell>
        </row>
      </sheetData>
      <sheetData sheetId="4746">
        <row r="34">
          <cell r="A34" t="str">
            <v>Investments Govt Securities</v>
          </cell>
        </row>
      </sheetData>
      <sheetData sheetId="4747">
        <row r="34">
          <cell r="A34" t="str">
            <v>Investments Govt Securities</v>
          </cell>
        </row>
      </sheetData>
      <sheetData sheetId="4748">
        <row r="34">
          <cell r="A34" t="str">
            <v>Investments Govt Securities</v>
          </cell>
        </row>
      </sheetData>
      <sheetData sheetId="4749">
        <row r="34">
          <cell r="A34" t="str">
            <v>Investments Govt Securities</v>
          </cell>
        </row>
      </sheetData>
      <sheetData sheetId="4750">
        <row r="34">
          <cell r="A34" t="str">
            <v>Investments Govt Securities</v>
          </cell>
        </row>
      </sheetData>
      <sheetData sheetId="4751">
        <row r="34">
          <cell r="A34" t="str">
            <v>Investments Govt Securities</v>
          </cell>
        </row>
      </sheetData>
      <sheetData sheetId="4752">
        <row r="34">
          <cell r="A34" t="str">
            <v>Investments Govt Securities</v>
          </cell>
        </row>
      </sheetData>
      <sheetData sheetId="4753">
        <row r="34">
          <cell r="A34" t="str">
            <v>Investments Govt Securities</v>
          </cell>
        </row>
      </sheetData>
      <sheetData sheetId="4754">
        <row r="34">
          <cell r="A34" t="str">
            <v>Investments Govt Securities</v>
          </cell>
        </row>
      </sheetData>
      <sheetData sheetId="4755">
        <row r="34">
          <cell r="A34" t="str">
            <v>Investments Govt Securities</v>
          </cell>
        </row>
      </sheetData>
      <sheetData sheetId="4756">
        <row r="34">
          <cell r="A34" t="str">
            <v>Investments Govt Securities</v>
          </cell>
        </row>
      </sheetData>
      <sheetData sheetId="4757">
        <row r="34">
          <cell r="A34" t="str">
            <v>Investments Govt Securities</v>
          </cell>
        </row>
      </sheetData>
      <sheetData sheetId="4758">
        <row r="34">
          <cell r="A34" t="str">
            <v>Investments Govt Securities</v>
          </cell>
        </row>
      </sheetData>
      <sheetData sheetId="4759">
        <row r="34">
          <cell r="A34" t="str">
            <v>Investments Govt Securities</v>
          </cell>
        </row>
      </sheetData>
      <sheetData sheetId="4760">
        <row r="34">
          <cell r="A34" t="str">
            <v>Investments Govt Securities</v>
          </cell>
        </row>
      </sheetData>
      <sheetData sheetId="4761">
        <row r="34">
          <cell r="A34" t="str">
            <v>Investments Govt Securities</v>
          </cell>
        </row>
      </sheetData>
      <sheetData sheetId="4762">
        <row r="34">
          <cell r="A34" t="str">
            <v>Investments Govt Securities</v>
          </cell>
        </row>
      </sheetData>
      <sheetData sheetId="4763">
        <row r="34">
          <cell r="A34" t="str">
            <v>Investments Govt Securities</v>
          </cell>
        </row>
      </sheetData>
      <sheetData sheetId="4764">
        <row r="34">
          <cell r="A34" t="str">
            <v>Investments Govt Securities</v>
          </cell>
        </row>
      </sheetData>
      <sheetData sheetId="4765">
        <row r="34">
          <cell r="A34" t="str">
            <v>Investments Govt Securities</v>
          </cell>
        </row>
      </sheetData>
      <sheetData sheetId="4766">
        <row r="34">
          <cell r="A34" t="str">
            <v>Investments Govt Securities</v>
          </cell>
        </row>
      </sheetData>
      <sheetData sheetId="4767">
        <row r="34">
          <cell r="A34" t="str">
            <v>Investments Govt Securities</v>
          </cell>
        </row>
      </sheetData>
      <sheetData sheetId="4768">
        <row r="34">
          <cell r="A34" t="str">
            <v>Investments Govt Securities</v>
          </cell>
        </row>
      </sheetData>
      <sheetData sheetId="4769">
        <row r="34">
          <cell r="A34" t="str">
            <v>Investments Govt Securities</v>
          </cell>
        </row>
      </sheetData>
      <sheetData sheetId="4770">
        <row r="34">
          <cell r="A34" t="str">
            <v>Investments Govt Securities</v>
          </cell>
        </row>
      </sheetData>
      <sheetData sheetId="4771">
        <row r="34">
          <cell r="A34" t="str">
            <v>Investments Govt Securities</v>
          </cell>
        </row>
      </sheetData>
      <sheetData sheetId="4772">
        <row r="34">
          <cell r="A34" t="str">
            <v>Investments Govt Securities</v>
          </cell>
        </row>
      </sheetData>
      <sheetData sheetId="4773">
        <row r="34">
          <cell r="A34" t="str">
            <v>Investments Govt Securities</v>
          </cell>
        </row>
      </sheetData>
      <sheetData sheetId="4774">
        <row r="34">
          <cell r="A34" t="str">
            <v>Investments Govt Securities</v>
          </cell>
        </row>
      </sheetData>
      <sheetData sheetId="4775">
        <row r="34">
          <cell r="A34" t="str">
            <v>Investments Govt Securities</v>
          </cell>
        </row>
      </sheetData>
      <sheetData sheetId="4776">
        <row r="34">
          <cell r="A34" t="str">
            <v>Investments Govt Securities</v>
          </cell>
        </row>
      </sheetData>
      <sheetData sheetId="4777">
        <row r="34">
          <cell r="A34" t="str">
            <v>Investments Govt Securities</v>
          </cell>
        </row>
      </sheetData>
      <sheetData sheetId="4778">
        <row r="34">
          <cell r="A34" t="str">
            <v>Investments Govt Securities</v>
          </cell>
        </row>
      </sheetData>
      <sheetData sheetId="4779">
        <row r="34">
          <cell r="A34" t="str">
            <v>Investments Govt Securities</v>
          </cell>
        </row>
      </sheetData>
      <sheetData sheetId="4780">
        <row r="34">
          <cell r="A34" t="str">
            <v>Investments Govt Securities</v>
          </cell>
        </row>
      </sheetData>
      <sheetData sheetId="4781">
        <row r="34">
          <cell r="A34" t="str">
            <v>Investments Govt Securities</v>
          </cell>
        </row>
      </sheetData>
      <sheetData sheetId="4782">
        <row r="34">
          <cell r="A34" t="str">
            <v>Investments Govt Securities</v>
          </cell>
        </row>
      </sheetData>
      <sheetData sheetId="4783">
        <row r="34">
          <cell r="A34" t="str">
            <v>Investments Govt Securities</v>
          </cell>
        </row>
      </sheetData>
      <sheetData sheetId="4784">
        <row r="34">
          <cell r="A34" t="str">
            <v>Investments Govt Securities</v>
          </cell>
        </row>
      </sheetData>
      <sheetData sheetId="4785">
        <row r="34">
          <cell r="A34" t="str">
            <v>Investments Govt Securities</v>
          </cell>
        </row>
      </sheetData>
      <sheetData sheetId="4786">
        <row r="34">
          <cell r="A34" t="str">
            <v>Investments Govt Securities</v>
          </cell>
        </row>
      </sheetData>
      <sheetData sheetId="4787">
        <row r="34">
          <cell r="A34" t="str">
            <v>Investments Govt Securities</v>
          </cell>
        </row>
      </sheetData>
      <sheetData sheetId="4788">
        <row r="34">
          <cell r="A34" t="str">
            <v>Investments Govt Securities</v>
          </cell>
        </row>
      </sheetData>
      <sheetData sheetId="4789">
        <row r="34">
          <cell r="A34" t="str">
            <v>Investments Govt Securities</v>
          </cell>
        </row>
      </sheetData>
      <sheetData sheetId="4790">
        <row r="34">
          <cell r="A34" t="str">
            <v>Investments Govt Securities</v>
          </cell>
        </row>
      </sheetData>
      <sheetData sheetId="4791">
        <row r="34">
          <cell r="A34" t="str">
            <v>Investments Govt Securities</v>
          </cell>
        </row>
      </sheetData>
      <sheetData sheetId="4792">
        <row r="34">
          <cell r="A34" t="str">
            <v>Investments Govt Securities</v>
          </cell>
        </row>
      </sheetData>
      <sheetData sheetId="4793">
        <row r="34">
          <cell r="A34" t="str">
            <v>Investments Govt Securities</v>
          </cell>
        </row>
      </sheetData>
      <sheetData sheetId="4794">
        <row r="34">
          <cell r="A34" t="str">
            <v>Investments Govt Securities</v>
          </cell>
        </row>
      </sheetData>
      <sheetData sheetId="4795">
        <row r="34">
          <cell r="A34" t="str">
            <v>Investments Govt Securities</v>
          </cell>
        </row>
      </sheetData>
      <sheetData sheetId="4796">
        <row r="34">
          <cell r="A34" t="str">
            <v>Investments Govt Securities</v>
          </cell>
        </row>
      </sheetData>
      <sheetData sheetId="4797">
        <row r="34">
          <cell r="A34" t="str">
            <v>Investments Govt Securities</v>
          </cell>
        </row>
      </sheetData>
      <sheetData sheetId="4798">
        <row r="34">
          <cell r="A34" t="str">
            <v>Investments Govt Securities</v>
          </cell>
        </row>
      </sheetData>
      <sheetData sheetId="4799">
        <row r="34">
          <cell r="A34" t="str">
            <v>Investments Govt Securities</v>
          </cell>
        </row>
      </sheetData>
      <sheetData sheetId="4800">
        <row r="34">
          <cell r="A34" t="str">
            <v>Investments Govt Securities</v>
          </cell>
        </row>
      </sheetData>
      <sheetData sheetId="4801">
        <row r="34">
          <cell r="A34" t="str">
            <v>Investments Govt Securities</v>
          </cell>
        </row>
      </sheetData>
      <sheetData sheetId="4802">
        <row r="34">
          <cell r="A34" t="str">
            <v>Investments Govt Securities</v>
          </cell>
        </row>
      </sheetData>
      <sheetData sheetId="4803">
        <row r="34">
          <cell r="A34" t="str">
            <v>Investments Govt Securities</v>
          </cell>
        </row>
      </sheetData>
      <sheetData sheetId="4804">
        <row r="34">
          <cell r="A34" t="str">
            <v>Investments Govt Securities</v>
          </cell>
        </row>
      </sheetData>
      <sheetData sheetId="4805">
        <row r="34">
          <cell r="A34" t="str">
            <v>Investments Govt Securities</v>
          </cell>
        </row>
      </sheetData>
      <sheetData sheetId="4806">
        <row r="34">
          <cell r="A34" t="str">
            <v>Investments Govt Securities</v>
          </cell>
        </row>
      </sheetData>
      <sheetData sheetId="4807">
        <row r="34">
          <cell r="A34" t="str">
            <v>Investments Govt Securities</v>
          </cell>
        </row>
      </sheetData>
      <sheetData sheetId="4808">
        <row r="34">
          <cell r="A34" t="str">
            <v>Investments Govt Securities</v>
          </cell>
        </row>
      </sheetData>
      <sheetData sheetId="4809">
        <row r="34">
          <cell r="A34" t="str">
            <v>Investments Govt Securities</v>
          </cell>
        </row>
      </sheetData>
      <sheetData sheetId="4810">
        <row r="34">
          <cell r="A34" t="str">
            <v>Investments Govt Securities</v>
          </cell>
        </row>
      </sheetData>
      <sheetData sheetId="4811">
        <row r="34">
          <cell r="A34" t="str">
            <v>Investments Govt Securities</v>
          </cell>
        </row>
      </sheetData>
      <sheetData sheetId="4812">
        <row r="34">
          <cell r="A34" t="str">
            <v>Investments Govt Securities</v>
          </cell>
        </row>
      </sheetData>
      <sheetData sheetId="4813">
        <row r="34">
          <cell r="A34" t="str">
            <v>Investments Govt Securities</v>
          </cell>
        </row>
      </sheetData>
      <sheetData sheetId="4814">
        <row r="34">
          <cell r="A34" t="str">
            <v>Investments Govt Securities</v>
          </cell>
        </row>
      </sheetData>
      <sheetData sheetId="4815">
        <row r="34">
          <cell r="A34" t="str">
            <v>Investments Govt Securities</v>
          </cell>
        </row>
      </sheetData>
      <sheetData sheetId="4816">
        <row r="34">
          <cell r="A34" t="str">
            <v>Investments Govt Securities</v>
          </cell>
        </row>
      </sheetData>
      <sheetData sheetId="4817">
        <row r="34">
          <cell r="A34" t="str">
            <v>Investments Govt Securities</v>
          </cell>
        </row>
      </sheetData>
      <sheetData sheetId="4818">
        <row r="34">
          <cell r="A34" t="str">
            <v>Investments Govt Securities</v>
          </cell>
        </row>
      </sheetData>
      <sheetData sheetId="4819">
        <row r="34">
          <cell r="A34" t="str">
            <v>Investments Govt Securities</v>
          </cell>
        </row>
      </sheetData>
      <sheetData sheetId="4820">
        <row r="34">
          <cell r="A34" t="str">
            <v>Investments Govt Securities</v>
          </cell>
        </row>
      </sheetData>
      <sheetData sheetId="4821">
        <row r="34">
          <cell r="A34" t="str">
            <v>Investments Govt Securities</v>
          </cell>
        </row>
      </sheetData>
      <sheetData sheetId="4822">
        <row r="34">
          <cell r="A34" t="str">
            <v>Investments Govt Securities</v>
          </cell>
        </row>
      </sheetData>
      <sheetData sheetId="4823">
        <row r="34">
          <cell r="A34" t="str">
            <v>Investments Govt Securities</v>
          </cell>
        </row>
      </sheetData>
      <sheetData sheetId="4824">
        <row r="34">
          <cell r="A34" t="str">
            <v>Investments Govt Securities</v>
          </cell>
        </row>
      </sheetData>
      <sheetData sheetId="4825">
        <row r="34">
          <cell r="A34" t="str">
            <v>Investments Govt Securities</v>
          </cell>
        </row>
      </sheetData>
      <sheetData sheetId="4826">
        <row r="34">
          <cell r="A34" t="str">
            <v>Investments Govt Securities</v>
          </cell>
        </row>
      </sheetData>
      <sheetData sheetId="4827">
        <row r="34">
          <cell r="A34" t="str">
            <v>Investments Govt Securities</v>
          </cell>
        </row>
      </sheetData>
      <sheetData sheetId="4828">
        <row r="34">
          <cell r="A34" t="str">
            <v>Investments Govt Securities</v>
          </cell>
        </row>
      </sheetData>
      <sheetData sheetId="4829">
        <row r="34">
          <cell r="A34" t="str">
            <v>Investments Govt Securities</v>
          </cell>
        </row>
      </sheetData>
      <sheetData sheetId="4830">
        <row r="34">
          <cell r="A34" t="str">
            <v>Investments Govt Securities</v>
          </cell>
        </row>
      </sheetData>
      <sheetData sheetId="4831">
        <row r="34">
          <cell r="A34" t="str">
            <v>Investments Govt Securities</v>
          </cell>
        </row>
      </sheetData>
      <sheetData sheetId="4832">
        <row r="34">
          <cell r="A34" t="str">
            <v>Investments Govt Securities</v>
          </cell>
        </row>
      </sheetData>
      <sheetData sheetId="4833">
        <row r="34">
          <cell r="A34" t="str">
            <v>Investments Govt Securities</v>
          </cell>
        </row>
      </sheetData>
      <sheetData sheetId="4834">
        <row r="34">
          <cell r="A34" t="str">
            <v>Investments Govt Securities</v>
          </cell>
        </row>
      </sheetData>
      <sheetData sheetId="4835">
        <row r="34">
          <cell r="A34" t="str">
            <v>Investments Govt Securities</v>
          </cell>
        </row>
      </sheetData>
      <sheetData sheetId="4836">
        <row r="34">
          <cell r="A34" t="str">
            <v>Investments Govt Securities</v>
          </cell>
        </row>
      </sheetData>
      <sheetData sheetId="4837">
        <row r="34">
          <cell r="A34" t="str">
            <v>Investments Govt Securities</v>
          </cell>
        </row>
      </sheetData>
      <sheetData sheetId="4838">
        <row r="34">
          <cell r="A34" t="str">
            <v>Investments Govt Securities</v>
          </cell>
        </row>
      </sheetData>
      <sheetData sheetId="4839">
        <row r="34">
          <cell r="A34" t="str">
            <v>Investments Govt Securities</v>
          </cell>
        </row>
      </sheetData>
      <sheetData sheetId="4840">
        <row r="34">
          <cell r="A34" t="str">
            <v>Investments Govt Securities</v>
          </cell>
        </row>
      </sheetData>
      <sheetData sheetId="4841">
        <row r="34">
          <cell r="A34" t="str">
            <v>Investments Govt Securities</v>
          </cell>
        </row>
      </sheetData>
      <sheetData sheetId="4842">
        <row r="34">
          <cell r="A34" t="str">
            <v>Investments Govt Securities</v>
          </cell>
        </row>
      </sheetData>
      <sheetData sheetId="4843">
        <row r="34">
          <cell r="A34" t="str">
            <v>Investments Govt Securities</v>
          </cell>
        </row>
      </sheetData>
      <sheetData sheetId="4844">
        <row r="34">
          <cell r="A34" t="str">
            <v>Investments Govt Securities</v>
          </cell>
        </row>
      </sheetData>
      <sheetData sheetId="4845">
        <row r="34">
          <cell r="A34" t="str">
            <v>Investments Govt Securities</v>
          </cell>
        </row>
      </sheetData>
      <sheetData sheetId="4846">
        <row r="34">
          <cell r="A34" t="str">
            <v>Investments Govt Securities</v>
          </cell>
        </row>
      </sheetData>
      <sheetData sheetId="4847">
        <row r="34">
          <cell r="A34" t="str">
            <v>Investments Govt Securities</v>
          </cell>
        </row>
      </sheetData>
      <sheetData sheetId="4848">
        <row r="34">
          <cell r="A34" t="str">
            <v>Investments Govt Securities</v>
          </cell>
        </row>
      </sheetData>
      <sheetData sheetId="4849">
        <row r="34">
          <cell r="A34" t="str">
            <v>Investments Govt Securities</v>
          </cell>
        </row>
      </sheetData>
      <sheetData sheetId="4850">
        <row r="34">
          <cell r="A34" t="str">
            <v>Investments Govt Securities</v>
          </cell>
        </row>
      </sheetData>
      <sheetData sheetId="4851">
        <row r="34">
          <cell r="A34" t="str">
            <v>Investments Govt Securities</v>
          </cell>
        </row>
      </sheetData>
      <sheetData sheetId="4852">
        <row r="34">
          <cell r="A34" t="str">
            <v>Investments Govt Securities</v>
          </cell>
        </row>
      </sheetData>
      <sheetData sheetId="4853">
        <row r="34">
          <cell r="A34" t="str">
            <v>Investments Govt Securities</v>
          </cell>
        </row>
      </sheetData>
      <sheetData sheetId="4854">
        <row r="34">
          <cell r="A34" t="str">
            <v>Investments Govt Securities</v>
          </cell>
        </row>
      </sheetData>
      <sheetData sheetId="4855">
        <row r="34">
          <cell r="A34" t="str">
            <v>Investments Govt Securities</v>
          </cell>
        </row>
      </sheetData>
      <sheetData sheetId="4856">
        <row r="34">
          <cell r="A34" t="str">
            <v>Investments Govt Securities</v>
          </cell>
        </row>
      </sheetData>
      <sheetData sheetId="4857">
        <row r="34">
          <cell r="A34" t="str">
            <v>Investments Govt Securities</v>
          </cell>
        </row>
      </sheetData>
      <sheetData sheetId="4858">
        <row r="34">
          <cell r="A34" t="str">
            <v>Investments Govt Securities</v>
          </cell>
        </row>
      </sheetData>
      <sheetData sheetId="4859">
        <row r="34">
          <cell r="A34" t="str">
            <v>Investments Govt Securities</v>
          </cell>
        </row>
      </sheetData>
      <sheetData sheetId="4860">
        <row r="34">
          <cell r="A34" t="str">
            <v>Investments Govt Securities</v>
          </cell>
        </row>
      </sheetData>
      <sheetData sheetId="4861">
        <row r="34">
          <cell r="A34" t="str">
            <v>Investments Govt Securities</v>
          </cell>
        </row>
      </sheetData>
      <sheetData sheetId="4862">
        <row r="34">
          <cell r="A34" t="str">
            <v>Investments Govt Securities</v>
          </cell>
        </row>
      </sheetData>
      <sheetData sheetId="4863">
        <row r="34">
          <cell r="A34" t="str">
            <v>Investments Govt Securities</v>
          </cell>
        </row>
      </sheetData>
      <sheetData sheetId="4864">
        <row r="34">
          <cell r="A34" t="str">
            <v>Investments Govt Securities</v>
          </cell>
        </row>
      </sheetData>
      <sheetData sheetId="4865">
        <row r="34">
          <cell r="A34" t="str">
            <v>Investments Govt Securities</v>
          </cell>
        </row>
      </sheetData>
      <sheetData sheetId="4866">
        <row r="34">
          <cell r="A34" t="str">
            <v>Investments Govt Securities</v>
          </cell>
        </row>
      </sheetData>
      <sheetData sheetId="4867">
        <row r="34">
          <cell r="A34" t="str">
            <v>Investments Govt Securities</v>
          </cell>
        </row>
      </sheetData>
      <sheetData sheetId="4868">
        <row r="34">
          <cell r="A34" t="str">
            <v>Investments Govt Securities</v>
          </cell>
        </row>
      </sheetData>
      <sheetData sheetId="4869">
        <row r="34">
          <cell r="A34" t="str">
            <v>Investments Govt Securities</v>
          </cell>
        </row>
      </sheetData>
      <sheetData sheetId="4870">
        <row r="34">
          <cell r="A34" t="str">
            <v>Investments Govt Securities</v>
          </cell>
        </row>
      </sheetData>
      <sheetData sheetId="4871">
        <row r="34">
          <cell r="A34" t="str">
            <v>Investments Govt Securities</v>
          </cell>
        </row>
      </sheetData>
      <sheetData sheetId="4872">
        <row r="34">
          <cell r="A34" t="str">
            <v>Investments Govt Securities</v>
          </cell>
        </row>
      </sheetData>
      <sheetData sheetId="4873">
        <row r="34">
          <cell r="A34" t="str">
            <v>Investments Govt Securities</v>
          </cell>
        </row>
      </sheetData>
      <sheetData sheetId="4874">
        <row r="34">
          <cell r="A34" t="str">
            <v>Investments Govt Securities</v>
          </cell>
        </row>
      </sheetData>
      <sheetData sheetId="4875">
        <row r="34">
          <cell r="A34" t="str">
            <v>Investments Govt Securities</v>
          </cell>
        </row>
      </sheetData>
      <sheetData sheetId="4876">
        <row r="34">
          <cell r="A34" t="str">
            <v>Investments Govt Securities</v>
          </cell>
        </row>
      </sheetData>
      <sheetData sheetId="4877">
        <row r="34">
          <cell r="A34" t="str">
            <v>Investments Govt Securities</v>
          </cell>
        </row>
      </sheetData>
      <sheetData sheetId="4878">
        <row r="34">
          <cell r="A34" t="str">
            <v>Investments Govt Securities</v>
          </cell>
        </row>
      </sheetData>
      <sheetData sheetId="4879">
        <row r="34">
          <cell r="A34" t="str">
            <v>Investments Govt Securities</v>
          </cell>
        </row>
      </sheetData>
      <sheetData sheetId="4880">
        <row r="34">
          <cell r="A34" t="str">
            <v>Investments Govt Securities</v>
          </cell>
        </row>
      </sheetData>
      <sheetData sheetId="4881">
        <row r="34">
          <cell r="A34" t="str">
            <v>Investments Govt Securities</v>
          </cell>
        </row>
      </sheetData>
      <sheetData sheetId="4882">
        <row r="34">
          <cell r="A34" t="str">
            <v>Investments Govt Securities</v>
          </cell>
        </row>
      </sheetData>
      <sheetData sheetId="4883">
        <row r="34">
          <cell r="A34" t="str">
            <v>Investments Govt Securities</v>
          </cell>
        </row>
      </sheetData>
      <sheetData sheetId="4884">
        <row r="34">
          <cell r="A34" t="str">
            <v>Investments Govt Securities</v>
          </cell>
        </row>
      </sheetData>
      <sheetData sheetId="4885">
        <row r="34">
          <cell r="A34" t="str">
            <v>Investments Govt Securities</v>
          </cell>
        </row>
      </sheetData>
      <sheetData sheetId="4886">
        <row r="34">
          <cell r="A34" t="str">
            <v>Investments Govt Securities</v>
          </cell>
        </row>
      </sheetData>
      <sheetData sheetId="4887">
        <row r="34">
          <cell r="A34" t="str">
            <v>Investments Govt Securities</v>
          </cell>
        </row>
      </sheetData>
      <sheetData sheetId="4888">
        <row r="34">
          <cell r="A34" t="str">
            <v>Investments Govt Securities</v>
          </cell>
        </row>
      </sheetData>
      <sheetData sheetId="4889">
        <row r="34">
          <cell r="A34" t="str">
            <v>Investments Govt Securities</v>
          </cell>
        </row>
      </sheetData>
      <sheetData sheetId="4890">
        <row r="34">
          <cell r="A34" t="str">
            <v>Investments Govt Securities</v>
          </cell>
        </row>
      </sheetData>
      <sheetData sheetId="4891">
        <row r="34">
          <cell r="A34" t="str">
            <v>Investments Govt Securities</v>
          </cell>
        </row>
      </sheetData>
      <sheetData sheetId="4892">
        <row r="34">
          <cell r="A34" t="str">
            <v>Investments Govt Securities</v>
          </cell>
        </row>
      </sheetData>
      <sheetData sheetId="4893">
        <row r="34">
          <cell r="A34" t="str">
            <v>Investments Govt Securities</v>
          </cell>
        </row>
      </sheetData>
      <sheetData sheetId="4894">
        <row r="34">
          <cell r="A34" t="str">
            <v>Investments Govt Securities</v>
          </cell>
        </row>
      </sheetData>
      <sheetData sheetId="4895">
        <row r="34">
          <cell r="A34" t="str">
            <v>Investments Govt Securities</v>
          </cell>
        </row>
      </sheetData>
      <sheetData sheetId="4896">
        <row r="34">
          <cell r="A34" t="str">
            <v>Investments Govt Securities</v>
          </cell>
        </row>
      </sheetData>
      <sheetData sheetId="4897">
        <row r="34">
          <cell r="A34" t="str">
            <v>Investments Govt Securities</v>
          </cell>
        </row>
      </sheetData>
      <sheetData sheetId="4898">
        <row r="34">
          <cell r="A34" t="str">
            <v>Investments Govt Securities</v>
          </cell>
        </row>
      </sheetData>
      <sheetData sheetId="4899">
        <row r="34">
          <cell r="A34" t="str">
            <v>Investments Govt Securities</v>
          </cell>
        </row>
      </sheetData>
      <sheetData sheetId="4900">
        <row r="34">
          <cell r="A34" t="str">
            <v>Investments Govt Securities</v>
          </cell>
        </row>
      </sheetData>
      <sheetData sheetId="4901">
        <row r="34">
          <cell r="A34" t="str">
            <v>Investments Govt Securities</v>
          </cell>
        </row>
      </sheetData>
      <sheetData sheetId="4902">
        <row r="34">
          <cell r="A34" t="str">
            <v>Investments Govt Securities</v>
          </cell>
        </row>
      </sheetData>
      <sheetData sheetId="4903">
        <row r="34">
          <cell r="A34" t="str">
            <v>Investments Govt Securities</v>
          </cell>
        </row>
      </sheetData>
      <sheetData sheetId="4904">
        <row r="34">
          <cell r="A34" t="str">
            <v>Investments Govt Securities</v>
          </cell>
        </row>
      </sheetData>
      <sheetData sheetId="4905">
        <row r="34">
          <cell r="A34" t="str">
            <v>Investments Govt Securities</v>
          </cell>
        </row>
      </sheetData>
      <sheetData sheetId="4906">
        <row r="34">
          <cell r="A34" t="str">
            <v>Investments Govt Securities</v>
          </cell>
        </row>
      </sheetData>
      <sheetData sheetId="4907">
        <row r="34">
          <cell r="A34" t="str">
            <v>Investments Govt Securities</v>
          </cell>
        </row>
      </sheetData>
      <sheetData sheetId="4908">
        <row r="34">
          <cell r="A34" t="str">
            <v>Investments Govt Securities</v>
          </cell>
        </row>
      </sheetData>
      <sheetData sheetId="4909">
        <row r="34">
          <cell r="A34" t="str">
            <v>Investments Govt Securities</v>
          </cell>
        </row>
      </sheetData>
      <sheetData sheetId="4910">
        <row r="34">
          <cell r="A34" t="str">
            <v>Investments Govt Securities</v>
          </cell>
        </row>
      </sheetData>
      <sheetData sheetId="4911">
        <row r="34">
          <cell r="A34" t="str">
            <v>Investments Govt Securities</v>
          </cell>
        </row>
      </sheetData>
      <sheetData sheetId="4912">
        <row r="34">
          <cell r="A34" t="str">
            <v>Investments Govt Securities</v>
          </cell>
        </row>
      </sheetData>
      <sheetData sheetId="4913">
        <row r="34">
          <cell r="A34" t="str">
            <v>Investments Govt Securities</v>
          </cell>
        </row>
      </sheetData>
      <sheetData sheetId="4914">
        <row r="34">
          <cell r="A34" t="str">
            <v>Investments Govt Securities</v>
          </cell>
        </row>
      </sheetData>
      <sheetData sheetId="4915">
        <row r="34">
          <cell r="A34" t="str">
            <v>Investments Govt Securities</v>
          </cell>
        </row>
      </sheetData>
      <sheetData sheetId="4916">
        <row r="34">
          <cell r="A34" t="str">
            <v>Investments Govt Securities</v>
          </cell>
        </row>
      </sheetData>
      <sheetData sheetId="4917">
        <row r="34">
          <cell r="A34" t="str">
            <v>Investments Govt Securities</v>
          </cell>
        </row>
      </sheetData>
      <sheetData sheetId="4918">
        <row r="34">
          <cell r="A34" t="str">
            <v>Investments Govt Securities</v>
          </cell>
        </row>
      </sheetData>
      <sheetData sheetId="4919">
        <row r="34">
          <cell r="A34" t="str">
            <v>Investments Govt Securities</v>
          </cell>
        </row>
      </sheetData>
      <sheetData sheetId="4920">
        <row r="34">
          <cell r="A34" t="str">
            <v>Investments Govt Securities</v>
          </cell>
        </row>
      </sheetData>
      <sheetData sheetId="4921">
        <row r="34">
          <cell r="A34" t="str">
            <v>Investments Govt Securities</v>
          </cell>
        </row>
      </sheetData>
      <sheetData sheetId="4922">
        <row r="34">
          <cell r="A34" t="str">
            <v>Investments Govt Securities</v>
          </cell>
        </row>
      </sheetData>
      <sheetData sheetId="4923">
        <row r="34">
          <cell r="A34" t="str">
            <v>Investments Govt Securities</v>
          </cell>
        </row>
      </sheetData>
      <sheetData sheetId="4924">
        <row r="34">
          <cell r="A34" t="str">
            <v>Investments Govt Securities</v>
          </cell>
        </row>
      </sheetData>
      <sheetData sheetId="4925">
        <row r="34">
          <cell r="A34" t="str">
            <v>Investments Govt Securities</v>
          </cell>
        </row>
      </sheetData>
      <sheetData sheetId="4926">
        <row r="34">
          <cell r="A34" t="str">
            <v>Investments Govt Securities</v>
          </cell>
        </row>
      </sheetData>
      <sheetData sheetId="4927">
        <row r="34">
          <cell r="A34" t="str">
            <v>Investments Govt Securities</v>
          </cell>
        </row>
      </sheetData>
      <sheetData sheetId="4928">
        <row r="34">
          <cell r="A34" t="str">
            <v>Investments Govt Securities</v>
          </cell>
        </row>
      </sheetData>
      <sheetData sheetId="4929">
        <row r="34">
          <cell r="A34" t="str">
            <v>Investments Govt Securities</v>
          </cell>
        </row>
      </sheetData>
      <sheetData sheetId="4930">
        <row r="34">
          <cell r="A34" t="str">
            <v>Investments Govt Securities</v>
          </cell>
        </row>
      </sheetData>
      <sheetData sheetId="4931">
        <row r="34">
          <cell r="A34" t="str">
            <v>Investments Govt Securities</v>
          </cell>
        </row>
      </sheetData>
      <sheetData sheetId="4932">
        <row r="34">
          <cell r="A34" t="str">
            <v>Investments Govt Securities</v>
          </cell>
        </row>
      </sheetData>
      <sheetData sheetId="4933">
        <row r="34">
          <cell r="A34" t="str">
            <v>Investments Govt Securities</v>
          </cell>
        </row>
      </sheetData>
      <sheetData sheetId="4934">
        <row r="34">
          <cell r="A34" t="str">
            <v>Investments Govt Securities</v>
          </cell>
        </row>
      </sheetData>
      <sheetData sheetId="4935">
        <row r="34">
          <cell r="A34" t="str">
            <v>Investments Govt Securities</v>
          </cell>
        </row>
      </sheetData>
      <sheetData sheetId="4936">
        <row r="34">
          <cell r="A34" t="str">
            <v>Investments Govt Securities</v>
          </cell>
        </row>
      </sheetData>
      <sheetData sheetId="4937">
        <row r="34">
          <cell r="A34" t="str">
            <v>Investments Govt Securities</v>
          </cell>
        </row>
      </sheetData>
      <sheetData sheetId="4938">
        <row r="34">
          <cell r="A34" t="str">
            <v>Investments Govt Securities</v>
          </cell>
        </row>
      </sheetData>
      <sheetData sheetId="4939">
        <row r="34">
          <cell r="A34" t="str">
            <v>Investments Govt Securities</v>
          </cell>
        </row>
      </sheetData>
      <sheetData sheetId="4940">
        <row r="34">
          <cell r="A34" t="str">
            <v>Investments Govt Securities</v>
          </cell>
        </row>
      </sheetData>
      <sheetData sheetId="4941">
        <row r="34">
          <cell r="A34" t="str">
            <v>Investments Govt Securities</v>
          </cell>
        </row>
      </sheetData>
      <sheetData sheetId="4942">
        <row r="34">
          <cell r="A34" t="str">
            <v>Investments Govt Securities</v>
          </cell>
        </row>
      </sheetData>
      <sheetData sheetId="4943">
        <row r="34">
          <cell r="A34" t="str">
            <v>Investments Govt Securities</v>
          </cell>
        </row>
      </sheetData>
      <sheetData sheetId="4944">
        <row r="34">
          <cell r="A34" t="str">
            <v>Investments Govt Securities</v>
          </cell>
        </row>
      </sheetData>
      <sheetData sheetId="4945">
        <row r="34">
          <cell r="A34" t="str">
            <v>Investments Govt Securities</v>
          </cell>
        </row>
      </sheetData>
      <sheetData sheetId="4946">
        <row r="34">
          <cell r="A34" t="str">
            <v>Investments Govt Securities</v>
          </cell>
        </row>
      </sheetData>
      <sheetData sheetId="4947">
        <row r="34">
          <cell r="A34" t="str">
            <v>Investments Govt Securities</v>
          </cell>
        </row>
      </sheetData>
      <sheetData sheetId="4948">
        <row r="34">
          <cell r="A34" t="str">
            <v>Investments Govt Securities</v>
          </cell>
        </row>
      </sheetData>
      <sheetData sheetId="4949">
        <row r="34">
          <cell r="A34" t="str">
            <v>Investments Govt Securities</v>
          </cell>
        </row>
      </sheetData>
      <sheetData sheetId="4950">
        <row r="34">
          <cell r="A34" t="str">
            <v>Investments Govt Securities</v>
          </cell>
        </row>
      </sheetData>
      <sheetData sheetId="4951">
        <row r="34">
          <cell r="A34" t="str">
            <v>Investments Govt Securities</v>
          </cell>
        </row>
      </sheetData>
      <sheetData sheetId="4952">
        <row r="34">
          <cell r="A34" t="str">
            <v>Investments Govt Securities</v>
          </cell>
        </row>
      </sheetData>
      <sheetData sheetId="4953">
        <row r="34">
          <cell r="A34" t="str">
            <v>Investments Govt Securities</v>
          </cell>
        </row>
      </sheetData>
      <sheetData sheetId="4954">
        <row r="34">
          <cell r="A34" t="str">
            <v>Investments Govt Securities</v>
          </cell>
        </row>
      </sheetData>
      <sheetData sheetId="4955">
        <row r="34">
          <cell r="A34" t="str">
            <v>Investments Govt Securities</v>
          </cell>
        </row>
      </sheetData>
      <sheetData sheetId="4956">
        <row r="34">
          <cell r="A34" t="str">
            <v>Investments Govt Securities</v>
          </cell>
        </row>
      </sheetData>
      <sheetData sheetId="4957">
        <row r="34">
          <cell r="A34" t="str">
            <v>Investments Govt Securities</v>
          </cell>
        </row>
      </sheetData>
      <sheetData sheetId="4958">
        <row r="34">
          <cell r="A34" t="str">
            <v>Investments Govt Securities</v>
          </cell>
        </row>
      </sheetData>
      <sheetData sheetId="4959">
        <row r="34">
          <cell r="A34" t="str">
            <v>Investments Govt Securities</v>
          </cell>
        </row>
      </sheetData>
      <sheetData sheetId="4960">
        <row r="34">
          <cell r="A34" t="str">
            <v>Investments Govt Securities</v>
          </cell>
        </row>
      </sheetData>
      <sheetData sheetId="4961">
        <row r="34">
          <cell r="A34" t="str">
            <v>Investments Govt Securities</v>
          </cell>
        </row>
      </sheetData>
      <sheetData sheetId="4962">
        <row r="34">
          <cell r="A34" t="str">
            <v>Investments Govt Securities</v>
          </cell>
        </row>
      </sheetData>
      <sheetData sheetId="4963">
        <row r="34">
          <cell r="A34" t="str">
            <v>Investments Govt Securities</v>
          </cell>
        </row>
      </sheetData>
      <sheetData sheetId="4964">
        <row r="34">
          <cell r="A34" t="str">
            <v>Investments Govt Securities</v>
          </cell>
        </row>
      </sheetData>
      <sheetData sheetId="4965">
        <row r="34">
          <cell r="A34" t="str">
            <v>Investments Govt Securities</v>
          </cell>
        </row>
      </sheetData>
      <sheetData sheetId="4966">
        <row r="34">
          <cell r="A34" t="str">
            <v>Investments Govt Securities</v>
          </cell>
        </row>
      </sheetData>
      <sheetData sheetId="4967">
        <row r="34">
          <cell r="A34" t="str">
            <v>Investments Govt Securities</v>
          </cell>
        </row>
      </sheetData>
      <sheetData sheetId="4968">
        <row r="34">
          <cell r="A34" t="str">
            <v>Investments Govt Securities</v>
          </cell>
        </row>
      </sheetData>
      <sheetData sheetId="4969">
        <row r="34">
          <cell r="A34" t="str">
            <v>Investments Govt Securities</v>
          </cell>
        </row>
      </sheetData>
      <sheetData sheetId="4970">
        <row r="34">
          <cell r="A34" t="str">
            <v>Investments Govt Securities</v>
          </cell>
        </row>
      </sheetData>
      <sheetData sheetId="4971">
        <row r="34">
          <cell r="A34" t="str">
            <v>Investments Govt Securities</v>
          </cell>
        </row>
      </sheetData>
      <sheetData sheetId="4972">
        <row r="34">
          <cell r="A34" t="str">
            <v>Investments Govt Securities</v>
          </cell>
        </row>
      </sheetData>
      <sheetData sheetId="4973">
        <row r="34">
          <cell r="A34" t="str">
            <v>Investments Govt Securities</v>
          </cell>
        </row>
      </sheetData>
      <sheetData sheetId="4974">
        <row r="34">
          <cell r="A34" t="str">
            <v>Investments Govt Securities</v>
          </cell>
        </row>
      </sheetData>
      <sheetData sheetId="4975">
        <row r="34">
          <cell r="A34" t="str">
            <v>Investments Govt Securities</v>
          </cell>
        </row>
      </sheetData>
      <sheetData sheetId="4976">
        <row r="34">
          <cell r="A34" t="str">
            <v>Investments Govt Securities</v>
          </cell>
        </row>
      </sheetData>
      <sheetData sheetId="4977">
        <row r="34">
          <cell r="A34" t="str">
            <v>Investments Govt Securities</v>
          </cell>
        </row>
      </sheetData>
      <sheetData sheetId="4978">
        <row r="34">
          <cell r="A34" t="str">
            <v>Investments Govt Securities</v>
          </cell>
        </row>
      </sheetData>
      <sheetData sheetId="4979">
        <row r="34">
          <cell r="A34" t="str">
            <v>Investments Govt Securities</v>
          </cell>
        </row>
      </sheetData>
      <sheetData sheetId="4980">
        <row r="34">
          <cell r="A34" t="str">
            <v>Investments Govt Securities</v>
          </cell>
        </row>
      </sheetData>
      <sheetData sheetId="4981">
        <row r="34">
          <cell r="A34" t="str">
            <v>Investments Govt Securities</v>
          </cell>
        </row>
      </sheetData>
      <sheetData sheetId="4982">
        <row r="34">
          <cell r="A34" t="str">
            <v>Investments Govt Securities</v>
          </cell>
        </row>
      </sheetData>
      <sheetData sheetId="4983">
        <row r="34">
          <cell r="A34" t="str">
            <v>Investments Govt Securities</v>
          </cell>
        </row>
      </sheetData>
      <sheetData sheetId="4984">
        <row r="34">
          <cell r="A34" t="str">
            <v>Investments Govt Securities</v>
          </cell>
        </row>
      </sheetData>
      <sheetData sheetId="4985">
        <row r="34">
          <cell r="A34" t="str">
            <v>Investments Govt Securities</v>
          </cell>
        </row>
      </sheetData>
      <sheetData sheetId="4986">
        <row r="34">
          <cell r="A34" t="str">
            <v>Investments Govt Securities</v>
          </cell>
        </row>
      </sheetData>
      <sheetData sheetId="4987">
        <row r="34">
          <cell r="A34" t="str">
            <v>Investments Govt Securities</v>
          </cell>
        </row>
      </sheetData>
      <sheetData sheetId="4988">
        <row r="34">
          <cell r="A34" t="str">
            <v>Investments Govt Securities</v>
          </cell>
        </row>
      </sheetData>
      <sheetData sheetId="4989">
        <row r="34">
          <cell r="A34" t="str">
            <v>Investments Govt Securities</v>
          </cell>
        </row>
      </sheetData>
      <sheetData sheetId="4990">
        <row r="34">
          <cell r="A34" t="str">
            <v>Investments Govt Securities</v>
          </cell>
        </row>
      </sheetData>
      <sheetData sheetId="4991">
        <row r="34">
          <cell r="A34" t="str">
            <v>Investments Govt Securities</v>
          </cell>
        </row>
      </sheetData>
      <sheetData sheetId="4992">
        <row r="34">
          <cell r="A34" t="str">
            <v>Investments Govt Securities</v>
          </cell>
        </row>
      </sheetData>
      <sheetData sheetId="4993">
        <row r="34">
          <cell r="A34" t="str">
            <v>Investments Govt Securities</v>
          </cell>
        </row>
      </sheetData>
      <sheetData sheetId="4994">
        <row r="34">
          <cell r="A34" t="str">
            <v>Investments Govt Securities</v>
          </cell>
        </row>
      </sheetData>
      <sheetData sheetId="4995">
        <row r="34">
          <cell r="A34" t="str">
            <v>Investments Govt Securities</v>
          </cell>
        </row>
      </sheetData>
      <sheetData sheetId="4996">
        <row r="34">
          <cell r="A34" t="str">
            <v>Investments Govt Securities</v>
          </cell>
        </row>
      </sheetData>
      <sheetData sheetId="4997">
        <row r="34">
          <cell r="A34" t="str">
            <v>Investments Govt Securities</v>
          </cell>
        </row>
      </sheetData>
      <sheetData sheetId="4998">
        <row r="34">
          <cell r="A34" t="str">
            <v>Investments Govt Securities</v>
          </cell>
        </row>
      </sheetData>
      <sheetData sheetId="4999">
        <row r="34">
          <cell r="A34" t="str">
            <v>Investments Govt Securities</v>
          </cell>
        </row>
      </sheetData>
      <sheetData sheetId="5000">
        <row r="34">
          <cell r="A34" t="str">
            <v>Investments Govt Securities</v>
          </cell>
        </row>
      </sheetData>
      <sheetData sheetId="5001">
        <row r="34">
          <cell r="A34" t="str">
            <v>Investments Govt Securities</v>
          </cell>
        </row>
      </sheetData>
      <sheetData sheetId="5002">
        <row r="34">
          <cell r="A34" t="str">
            <v>Investments Govt Securities</v>
          </cell>
        </row>
      </sheetData>
      <sheetData sheetId="5003">
        <row r="34">
          <cell r="A34" t="str">
            <v>Investments Govt Securities</v>
          </cell>
        </row>
      </sheetData>
      <sheetData sheetId="5004">
        <row r="34">
          <cell r="A34" t="str">
            <v>Investments Govt Securities</v>
          </cell>
        </row>
      </sheetData>
      <sheetData sheetId="5005">
        <row r="34">
          <cell r="A34" t="str">
            <v>Investments Govt Securities</v>
          </cell>
        </row>
      </sheetData>
      <sheetData sheetId="5006">
        <row r="34">
          <cell r="A34" t="str">
            <v>Investments Govt Securities</v>
          </cell>
        </row>
      </sheetData>
      <sheetData sheetId="5007">
        <row r="34">
          <cell r="A34" t="str">
            <v>Investments Govt Securities</v>
          </cell>
        </row>
      </sheetData>
      <sheetData sheetId="5008">
        <row r="34">
          <cell r="A34" t="str">
            <v>Investments Govt Securities</v>
          </cell>
        </row>
      </sheetData>
      <sheetData sheetId="5009">
        <row r="34">
          <cell r="A34" t="str">
            <v>Investments Govt Securities</v>
          </cell>
        </row>
      </sheetData>
      <sheetData sheetId="5010">
        <row r="34">
          <cell r="A34" t="str">
            <v>Investments Govt Securities</v>
          </cell>
        </row>
      </sheetData>
      <sheetData sheetId="5011">
        <row r="34">
          <cell r="A34" t="str">
            <v>Investments Govt Securities</v>
          </cell>
        </row>
      </sheetData>
      <sheetData sheetId="5012">
        <row r="34">
          <cell r="A34" t="str">
            <v>Investments Govt Securities</v>
          </cell>
        </row>
      </sheetData>
      <sheetData sheetId="5013">
        <row r="34">
          <cell r="A34" t="str">
            <v>Investments Govt Securities</v>
          </cell>
        </row>
      </sheetData>
      <sheetData sheetId="5014">
        <row r="34">
          <cell r="A34" t="str">
            <v>Investments Govt Securities</v>
          </cell>
        </row>
      </sheetData>
      <sheetData sheetId="5015">
        <row r="34">
          <cell r="A34" t="str">
            <v>Investments Govt Securities</v>
          </cell>
        </row>
      </sheetData>
      <sheetData sheetId="5016">
        <row r="34">
          <cell r="A34" t="str">
            <v>Investments Govt Securities</v>
          </cell>
        </row>
      </sheetData>
      <sheetData sheetId="5017">
        <row r="34">
          <cell r="A34" t="str">
            <v>Investments Govt Securities</v>
          </cell>
        </row>
      </sheetData>
      <sheetData sheetId="5018">
        <row r="34">
          <cell r="A34" t="str">
            <v>Investments Govt Securities</v>
          </cell>
        </row>
      </sheetData>
      <sheetData sheetId="5019">
        <row r="34">
          <cell r="A34" t="str">
            <v>Investments Govt Securities</v>
          </cell>
        </row>
      </sheetData>
      <sheetData sheetId="5020">
        <row r="34">
          <cell r="A34" t="str">
            <v>Investments Govt Securities</v>
          </cell>
        </row>
      </sheetData>
      <sheetData sheetId="5021">
        <row r="34">
          <cell r="A34" t="str">
            <v>Investments Govt Securities</v>
          </cell>
        </row>
      </sheetData>
      <sheetData sheetId="5022">
        <row r="34">
          <cell r="A34" t="str">
            <v>Investments Govt Securities</v>
          </cell>
        </row>
      </sheetData>
      <sheetData sheetId="5023">
        <row r="34">
          <cell r="A34" t="str">
            <v>Investments Govt Securities</v>
          </cell>
        </row>
      </sheetData>
      <sheetData sheetId="5024">
        <row r="34">
          <cell r="A34" t="str">
            <v>Investments Govt Securities</v>
          </cell>
        </row>
      </sheetData>
      <sheetData sheetId="5025">
        <row r="34">
          <cell r="A34" t="str">
            <v>Investments Govt Securities</v>
          </cell>
        </row>
      </sheetData>
      <sheetData sheetId="5026">
        <row r="34">
          <cell r="A34" t="str">
            <v>Investments Govt Securities</v>
          </cell>
        </row>
      </sheetData>
      <sheetData sheetId="5027">
        <row r="34">
          <cell r="A34" t="str">
            <v>Investments Govt Securities</v>
          </cell>
        </row>
      </sheetData>
      <sheetData sheetId="5028">
        <row r="34">
          <cell r="A34" t="str">
            <v>Investments Govt Securities</v>
          </cell>
        </row>
      </sheetData>
      <sheetData sheetId="5029">
        <row r="34">
          <cell r="A34" t="str">
            <v>Investments Govt Securities</v>
          </cell>
        </row>
      </sheetData>
      <sheetData sheetId="5030">
        <row r="34">
          <cell r="A34" t="str">
            <v>Investments Govt Securities</v>
          </cell>
        </row>
      </sheetData>
      <sheetData sheetId="5031">
        <row r="34">
          <cell r="A34" t="str">
            <v>Investments Govt Securities</v>
          </cell>
        </row>
      </sheetData>
      <sheetData sheetId="5032">
        <row r="34">
          <cell r="A34" t="str">
            <v>Investments Govt Securities</v>
          </cell>
        </row>
      </sheetData>
      <sheetData sheetId="5033">
        <row r="34">
          <cell r="A34" t="str">
            <v>Investments Govt Securities</v>
          </cell>
        </row>
      </sheetData>
      <sheetData sheetId="5034">
        <row r="34">
          <cell r="A34" t="str">
            <v>Investments Govt Securities</v>
          </cell>
        </row>
      </sheetData>
      <sheetData sheetId="5035">
        <row r="34">
          <cell r="A34" t="str">
            <v>Investments Govt Securities</v>
          </cell>
        </row>
      </sheetData>
      <sheetData sheetId="5036">
        <row r="34">
          <cell r="A34" t="str">
            <v>Investments Govt Securities</v>
          </cell>
        </row>
      </sheetData>
      <sheetData sheetId="5037">
        <row r="34">
          <cell r="A34" t="str">
            <v>Investments Govt Securities</v>
          </cell>
        </row>
      </sheetData>
      <sheetData sheetId="5038">
        <row r="34">
          <cell r="A34" t="str">
            <v>Investments Govt Securities</v>
          </cell>
        </row>
      </sheetData>
      <sheetData sheetId="5039">
        <row r="34">
          <cell r="A34" t="str">
            <v>Investments Govt Securities</v>
          </cell>
        </row>
      </sheetData>
      <sheetData sheetId="5040">
        <row r="34">
          <cell r="A34" t="str">
            <v>Investments Govt Securities</v>
          </cell>
        </row>
      </sheetData>
      <sheetData sheetId="5041">
        <row r="34">
          <cell r="A34" t="str">
            <v>Investments Govt Securities</v>
          </cell>
        </row>
      </sheetData>
      <sheetData sheetId="5042">
        <row r="34">
          <cell r="A34" t="str">
            <v>Investments Govt Securities</v>
          </cell>
        </row>
      </sheetData>
      <sheetData sheetId="5043">
        <row r="34">
          <cell r="A34" t="str">
            <v>Investments Govt Securities</v>
          </cell>
        </row>
      </sheetData>
      <sheetData sheetId="5044">
        <row r="34">
          <cell r="A34" t="str">
            <v>Investments Govt Securities</v>
          </cell>
        </row>
      </sheetData>
      <sheetData sheetId="5045">
        <row r="34">
          <cell r="A34" t="str">
            <v>Investments Govt Securities</v>
          </cell>
        </row>
      </sheetData>
      <sheetData sheetId="5046">
        <row r="34">
          <cell r="A34" t="str">
            <v>Investments Govt Securities</v>
          </cell>
        </row>
      </sheetData>
      <sheetData sheetId="5047">
        <row r="34">
          <cell r="A34" t="str">
            <v>Investments Govt Securities</v>
          </cell>
        </row>
      </sheetData>
      <sheetData sheetId="5048">
        <row r="34">
          <cell r="A34" t="str">
            <v>Investments Govt Securities</v>
          </cell>
        </row>
      </sheetData>
      <sheetData sheetId="5049">
        <row r="34">
          <cell r="A34" t="str">
            <v>Investments Govt Securities</v>
          </cell>
        </row>
      </sheetData>
      <sheetData sheetId="5050">
        <row r="34">
          <cell r="A34" t="str">
            <v>Investments Govt Securities</v>
          </cell>
        </row>
      </sheetData>
      <sheetData sheetId="5051">
        <row r="34">
          <cell r="A34" t="str">
            <v>Investments Govt Securities</v>
          </cell>
        </row>
      </sheetData>
      <sheetData sheetId="5052">
        <row r="34">
          <cell r="A34" t="str">
            <v>Investments Govt Securities</v>
          </cell>
        </row>
      </sheetData>
      <sheetData sheetId="5053">
        <row r="34">
          <cell r="A34" t="str">
            <v>Investments Govt Securities</v>
          </cell>
        </row>
      </sheetData>
      <sheetData sheetId="5054">
        <row r="34">
          <cell r="A34" t="str">
            <v>Investments Govt Securities</v>
          </cell>
        </row>
      </sheetData>
      <sheetData sheetId="5055">
        <row r="34">
          <cell r="A34" t="str">
            <v>Investments Govt Securities</v>
          </cell>
        </row>
      </sheetData>
      <sheetData sheetId="5056">
        <row r="34">
          <cell r="A34" t="str">
            <v>Investments Govt Securities</v>
          </cell>
        </row>
      </sheetData>
      <sheetData sheetId="5057">
        <row r="34">
          <cell r="A34" t="str">
            <v>Investments Govt Securities</v>
          </cell>
        </row>
      </sheetData>
      <sheetData sheetId="5058">
        <row r="34">
          <cell r="A34" t="str">
            <v>Investments Govt Securities</v>
          </cell>
        </row>
      </sheetData>
      <sheetData sheetId="5059">
        <row r="34">
          <cell r="A34" t="str">
            <v>Investments Govt Securities</v>
          </cell>
        </row>
      </sheetData>
      <sheetData sheetId="5060">
        <row r="34">
          <cell r="A34" t="str">
            <v>Investments Govt Securities</v>
          </cell>
        </row>
      </sheetData>
      <sheetData sheetId="5061">
        <row r="34">
          <cell r="A34" t="str">
            <v>Investments Govt Securities</v>
          </cell>
        </row>
      </sheetData>
      <sheetData sheetId="5062">
        <row r="34">
          <cell r="A34" t="str">
            <v>Investments Govt Securities</v>
          </cell>
        </row>
      </sheetData>
      <sheetData sheetId="5063">
        <row r="34">
          <cell r="A34" t="str">
            <v>Investments Govt Securities</v>
          </cell>
        </row>
      </sheetData>
      <sheetData sheetId="5064">
        <row r="34">
          <cell r="A34" t="str">
            <v>Investments Govt Securities</v>
          </cell>
        </row>
      </sheetData>
      <sheetData sheetId="5065">
        <row r="34">
          <cell r="A34" t="str">
            <v>Investments Govt Securities</v>
          </cell>
        </row>
      </sheetData>
      <sheetData sheetId="5066">
        <row r="34">
          <cell r="A34" t="str">
            <v>Investments Govt Securities</v>
          </cell>
        </row>
      </sheetData>
      <sheetData sheetId="5067">
        <row r="34">
          <cell r="A34" t="str">
            <v>Investments Govt Securities</v>
          </cell>
        </row>
      </sheetData>
      <sheetData sheetId="5068">
        <row r="34">
          <cell r="A34" t="str">
            <v>Investments Govt Securities</v>
          </cell>
        </row>
      </sheetData>
      <sheetData sheetId="5069">
        <row r="34">
          <cell r="A34" t="str">
            <v>Investments Govt Securities</v>
          </cell>
        </row>
      </sheetData>
      <sheetData sheetId="5070">
        <row r="34">
          <cell r="A34" t="str">
            <v>Investments Govt Securities</v>
          </cell>
        </row>
      </sheetData>
      <sheetData sheetId="5071">
        <row r="34">
          <cell r="A34" t="str">
            <v>Investments Govt Securities</v>
          </cell>
        </row>
      </sheetData>
      <sheetData sheetId="5072">
        <row r="34">
          <cell r="A34" t="str">
            <v>Investments Govt Securities</v>
          </cell>
        </row>
      </sheetData>
      <sheetData sheetId="5073">
        <row r="34">
          <cell r="A34" t="str">
            <v>Investments Govt Securities</v>
          </cell>
        </row>
      </sheetData>
      <sheetData sheetId="5074">
        <row r="34">
          <cell r="A34" t="str">
            <v>Investments Govt Securities</v>
          </cell>
        </row>
      </sheetData>
      <sheetData sheetId="5075">
        <row r="34">
          <cell r="A34" t="str">
            <v>Investments Govt Securities</v>
          </cell>
        </row>
      </sheetData>
      <sheetData sheetId="5076">
        <row r="34">
          <cell r="A34" t="str">
            <v>Investments Govt Securities</v>
          </cell>
        </row>
      </sheetData>
      <sheetData sheetId="5077">
        <row r="34">
          <cell r="A34" t="str">
            <v>Investments Govt Securities</v>
          </cell>
        </row>
      </sheetData>
      <sheetData sheetId="5078">
        <row r="34">
          <cell r="A34" t="str">
            <v>Investments Govt Securities</v>
          </cell>
        </row>
      </sheetData>
      <sheetData sheetId="5079">
        <row r="34">
          <cell r="A34" t="str">
            <v>Investments Govt Securities</v>
          </cell>
        </row>
      </sheetData>
      <sheetData sheetId="5080">
        <row r="34">
          <cell r="A34" t="str">
            <v>Investments Govt Securities</v>
          </cell>
        </row>
      </sheetData>
      <sheetData sheetId="5081">
        <row r="34">
          <cell r="A34" t="str">
            <v>Investments Govt Securities</v>
          </cell>
        </row>
      </sheetData>
      <sheetData sheetId="5082">
        <row r="34">
          <cell r="A34" t="str">
            <v>Investments Govt Securities</v>
          </cell>
        </row>
      </sheetData>
      <sheetData sheetId="5083">
        <row r="34">
          <cell r="A34" t="str">
            <v>Investments Govt Securities</v>
          </cell>
        </row>
      </sheetData>
      <sheetData sheetId="5084">
        <row r="34">
          <cell r="A34" t="str">
            <v>Investments Govt Securities</v>
          </cell>
        </row>
      </sheetData>
      <sheetData sheetId="5085">
        <row r="34">
          <cell r="A34" t="str">
            <v>Investments Govt Securities</v>
          </cell>
        </row>
      </sheetData>
      <sheetData sheetId="5086">
        <row r="34">
          <cell r="A34" t="str">
            <v>Investments Govt Securities</v>
          </cell>
        </row>
      </sheetData>
      <sheetData sheetId="5087">
        <row r="34">
          <cell r="A34" t="str">
            <v>Investments Govt Securities</v>
          </cell>
        </row>
      </sheetData>
      <sheetData sheetId="5088">
        <row r="34">
          <cell r="A34" t="str">
            <v>Investments Govt Securities</v>
          </cell>
        </row>
      </sheetData>
      <sheetData sheetId="5089">
        <row r="34">
          <cell r="A34" t="str">
            <v>Investments Govt Securities</v>
          </cell>
        </row>
      </sheetData>
      <sheetData sheetId="5090">
        <row r="34">
          <cell r="A34" t="str">
            <v>Investments Govt Securities</v>
          </cell>
        </row>
      </sheetData>
      <sheetData sheetId="5091">
        <row r="34">
          <cell r="A34" t="str">
            <v>Investments Govt Securities</v>
          </cell>
        </row>
      </sheetData>
      <sheetData sheetId="5092">
        <row r="34">
          <cell r="A34" t="str">
            <v>Investments Govt Securities</v>
          </cell>
        </row>
      </sheetData>
      <sheetData sheetId="5093">
        <row r="34">
          <cell r="A34" t="str">
            <v>Investments Govt Securities</v>
          </cell>
        </row>
      </sheetData>
      <sheetData sheetId="5094">
        <row r="34">
          <cell r="A34" t="str">
            <v>Investments Govt Securities</v>
          </cell>
        </row>
      </sheetData>
      <sheetData sheetId="5095">
        <row r="34">
          <cell r="A34" t="str">
            <v>Investments Govt Securities</v>
          </cell>
        </row>
      </sheetData>
      <sheetData sheetId="5096">
        <row r="34">
          <cell r="A34" t="str">
            <v>Investments Govt Securities</v>
          </cell>
        </row>
      </sheetData>
      <sheetData sheetId="5097">
        <row r="34">
          <cell r="A34" t="str">
            <v>Investments Govt Securities</v>
          </cell>
        </row>
      </sheetData>
      <sheetData sheetId="5098">
        <row r="34">
          <cell r="A34" t="str">
            <v>Investments Govt Securities</v>
          </cell>
        </row>
      </sheetData>
      <sheetData sheetId="5099">
        <row r="34">
          <cell r="A34" t="str">
            <v>Investments Govt Securities</v>
          </cell>
        </row>
      </sheetData>
      <sheetData sheetId="5100">
        <row r="34">
          <cell r="A34" t="str">
            <v>Investments Govt Securities</v>
          </cell>
        </row>
      </sheetData>
      <sheetData sheetId="5101">
        <row r="34">
          <cell r="A34" t="str">
            <v>Investments Govt Securities</v>
          </cell>
        </row>
      </sheetData>
      <sheetData sheetId="5102">
        <row r="34">
          <cell r="A34" t="str">
            <v>Investments Govt Securities</v>
          </cell>
        </row>
      </sheetData>
      <sheetData sheetId="5103">
        <row r="34">
          <cell r="A34" t="str">
            <v>Investments Govt Securities</v>
          </cell>
        </row>
      </sheetData>
      <sheetData sheetId="5104">
        <row r="34">
          <cell r="A34" t="str">
            <v>Investments Govt Securities</v>
          </cell>
        </row>
      </sheetData>
      <sheetData sheetId="5105">
        <row r="34">
          <cell r="A34" t="str">
            <v>Investments Govt Securities</v>
          </cell>
        </row>
      </sheetData>
      <sheetData sheetId="5106">
        <row r="34">
          <cell r="A34" t="str">
            <v>Investments Govt Securities</v>
          </cell>
        </row>
      </sheetData>
      <sheetData sheetId="5107">
        <row r="34">
          <cell r="A34" t="str">
            <v>Investments Govt Securities</v>
          </cell>
        </row>
      </sheetData>
      <sheetData sheetId="5108">
        <row r="34">
          <cell r="A34" t="str">
            <v>Investments Govt Securities</v>
          </cell>
        </row>
      </sheetData>
      <sheetData sheetId="5109">
        <row r="34">
          <cell r="A34" t="str">
            <v>Investments Govt Securities</v>
          </cell>
        </row>
      </sheetData>
      <sheetData sheetId="5110">
        <row r="34">
          <cell r="A34" t="str">
            <v>Investments Govt Securities</v>
          </cell>
        </row>
      </sheetData>
      <sheetData sheetId="5111">
        <row r="34">
          <cell r="A34" t="str">
            <v>Investments Govt Securities</v>
          </cell>
        </row>
      </sheetData>
      <sheetData sheetId="5112">
        <row r="34">
          <cell r="A34" t="str">
            <v>Investments Govt Securities</v>
          </cell>
        </row>
      </sheetData>
      <sheetData sheetId="5113">
        <row r="34">
          <cell r="A34" t="str">
            <v>Investments Govt Securities</v>
          </cell>
        </row>
      </sheetData>
      <sheetData sheetId="5114">
        <row r="34">
          <cell r="A34" t="str">
            <v>Investments Govt Securities</v>
          </cell>
        </row>
      </sheetData>
      <sheetData sheetId="5115">
        <row r="34">
          <cell r="A34" t="str">
            <v>Investments Govt Securities</v>
          </cell>
        </row>
      </sheetData>
      <sheetData sheetId="5116">
        <row r="34">
          <cell r="A34" t="str">
            <v>Investments Govt Securities</v>
          </cell>
        </row>
      </sheetData>
      <sheetData sheetId="5117">
        <row r="34">
          <cell r="A34" t="str">
            <v>Investments Govt Securities</v>
          </cell>
        </row>
      </sheetData>
      <sheetData sheetId="5118">
        <row r="34">
          <cell r="A34" t="str">
            <v>Investments Govt Securities</v>
          </cell>
        </row>
      </sheetData>
      <sheetData sheetId="5119">
        <row r="34">
          <cell r="A34" t="str">
            <v>Investments Govt Securities</v>
          </cell>
        </row>
      </sheetData>
      <sheetData sheetId="5120">
        <row r="34">
          <cell r="A34" t="str">
            <v>Investments Govt Securities</v>
          </cell>
        </row>
      </sheetData>
      <sheetData sheetId="5121">
        <row r="34">
          <cell r="A34" t="str">
            <v>Investments Govt Securities</v>
          </cell>
        </row>
      </sheetData>
      <sheetData sheetId="5122">
        <row r="34">
          <cell r="A34" t="str">
            <v>Investments Govt Securities</v>
          </cell>
        </row>
      </sheetData>
      <sheetData sheetId="5123">
        <row r="34">
          <cell r="A34" t="str">
            <v>Investments Govt Securities</v>
          </cell>
        </row>
      </sheetData>
      <sheetData sheetId="5124">
        <row r="34">
          <cell r="A34" t="str">
            <v>Investments Govt Securities</v>
          </cell>
        </row>
      </sheetData>
      <sheetData sheetId="5125">
        <row r="34">
          <cell r="A34" t="str">
            <v>Investments Govt Securities</v>
          </cell>
        </row>
      </sheetData>
      <sheetData sheetId="5126">
        <row r="34">
          <cell r="A34" t="str">
            <v>Investments Govt Securities</v>
          </cell>
        </row>
      </sheetData>
      <sheetData sheetId="5127">
        <row r="34">
          <cell r="A34" t="str">
            <v>Investments Govt Securities</v>
          </cell>
        </row>
      </sheetData>
      <sheetData sheetId="5128">
        <row r="34">
          <cell r="A34" t="str">
            <v>Investments Govt Securities</v>
          </cell>
        </row>
      </sheetData>
      <sheetData sheetId="5129">
        <row r="34">
          <cell r="A34" t="str">
            <v>Investments Govt Securities</v>
          </cell>
        </row>
      </sheetData>
      <sheetData sheetId="5130">
        <row r="34">
          <cell r="A34" t="str">
            <v>Investments Govt Securities</v>
          </cell>
        </row>
      </sheetData>
      <sheetData sheetId="5131">
        <row r="34">
          <cell r="A34" t="str">
            <v>Investments Govt Securities</v>
          </cell>
        </row>
      </sheetData>
      <sheetData sheetId="5132">
        <row r="34">
          <cell r="A34" t="str">
            <v>Investments Govt Securities</v>
          </cell>
        </row>
      </sheetData>
      <sheetData sheetId="5133">
        <row r="34">
          <cell r="A34" t="str">
            <v>Investments Govt Securities</v>
          </cell>
        </row>
      </sheetData>
      <sheetData sheetId="5134">
        <row r="34">
          <cell r="A34" t="str">
            <v>Investments Govt Securities</v>
          </cell>
        </row>
      </sheetData>
      <sheetData sheetId="5135">
        <row r="34">
          <cell r="A34" t="str">
            <v>Investments Govt Securities</v>
          </cell>
        </row>
      </sheetData>
      <sheetData sheetId="5136">
        <row r="34">
          <cell r="A34" t="str">
            <v>Investments Govt Securities</v>
          </cell>
        </row>
      </sheetData>
      <sheetData sheetId="5137">
        <row r="34">
          <cell r="A34" t="str">
            <v>Investments Govt Securities</v>
          </cell>
        </row>
      </sheetData>
      <sheetData sheetId="5138">
        <row r="34">
          <cell r="A34" t="str">
            <v>Investments Govt Securities</v>
          </cell>
        </row>
      </sheetData>
      <sheetData sheetId="5139">
        <row r="34">
          <cell r="A34" t="str">
            <v>Investments Govt Securities</v>
          </cell>
        </row>
      </sheetData>
      <sheetData sheetId="5140">
        <row r="34">
          <cell r="A34" t="str">
            <v>Investments Govt Securities</v>
          </cell>
        </row>
      </sheetData>
      <sheetData sheetId="5141">
        <row r="34">
          <cell r="A34" t="str">
            <v>Investments Govt Securities</v>
          </cell>
        </row>
      </sheetData>
      <sheetData sheetId="5142">
        <row r="34">
          <cell r="A34" t="str">
            <v>Investments Govt Securities</v>
          </cell>
        </row>
      </sheetData>
      <sheetData sheetId="5143">
        <row r="34">
          <cell r="A34" t="str">
            <v>Investments Govt Securities</v>
          </cell>
        </row>
      </sheetData>
      <sheetData sheetId="5144">
        <row r="34">
          <cell r="A34" t="str">
            <v>Investments Govt Securities</v>
          </cell>
        </row>
      </sheetData>
      <sheetData sheetId="5145">
        <row r="34">
          <cell r="A34" t="str">
            <v>Investments Govt Securities</v>
          </cell>
        </row>
      </sheetData>
      <sheetData sheetId="5146">
        <row r="34">
          <cell r="A34" t="str">
            <v>Investments Govt Securities</v>
          </cell>
        </row>
      </sheetData>
      <sheetData sheetId="5147">
        <row r="34">
          <cell r="A34" t="str">
            <v>Investments Govt Securities</v>
          </cell>
        </row>
      </sheetData>
      <sheetData sheetId="5148">
        <row r="34">
          <cell r="A34" t="str">
            <v>Investments Govt Securities</v>
          </cell>
        </row>
      </sheetData>
      <sheetData sheetId="5149">
        <row r="34">
          <cell r="A34" t="str">
            <v>Investments Govt Securities</v>
          </cell>
        </row>
      </sheetData>
      <sheetData sheetId="5150">
        <row r="34">
          <cell r="A34" t="str">
            <v>Investments Govt Securities</v>
          </cell>
        </row>
      </sheetData>
      <sheetData sheetId="5151">
        <row r="34">
          <cell r="A34" t="str">
            <v>Investments Govt Securities</v>
          </cell>
        </row>
      </sheetData>
      <sheetData sheetId="5152">
        <row r="34">
          <cell r="A34" t="str">
            <v>Investments Govt Securities</v>
          </cell>
        </row>
      </sheetData>
      <sheetData sheetId="5153">
        <row r="34">
          <cell r="A34" t="str">
            <v>Investments Govt Securities</v>
          </cell>
        </row>
      </sheetData>
      <sheetData sheetId="5154">
        <row r="34">
          <cell r="A34" t="str">
            <v>Investments Govt Securities</v>
          </cell>
        </row>
      </sheetData>
      <sheetData sheetId="5155">
        <row r="34">
          <cell r="A34" t="str">
            <v>Investments Govt Securities</v>
          </cell>
        </row>
      </sheetData>
      <sheetData sheetId="5156">
        <row r="34">
          <cell r="A34" t="str">
            <v>Investments Govt Securities</v>
          </cell>
        </row>
      </sheetData>
      <sheetData sheetId="5157">
        <row r="34">
          <cell r="A34" t="str">
            <v>Investments Govt Securities</v>
          </cell>
        </row>
      </sheetData>
      <sheetData sheetId="5158">
        <row r="34">
          <cell r="A34" t="str">
            <v>Investments Govt Securities</v>
          </cell>
        </row>
      </sheetData>
      <sheetData sheetId="5159">
        <row r="34">
          <cell r="A34" t="str">
            <v>Investments Govt Securities</v>
          </cell>
        </row>
      </sheetData>
      <sheetData sheetId="5160">
        <row r="34">
          <cell r="A34" t="str">
            <v>Investments Govt Securities</v>
          </cell>
        </row>
      </sheetData>
      <sheetData sheetId="5161">
        <row r="34">
          <cell r="A34" t="str">
            <v>Investments Govt Securities</v>
          </cell>
        </row>
      </sheetData>
      <sheetData sheetId="5162">
        <row r="34">
          <cell r="A34" t="str">
            <v>Investments Govt Securities</v>
          </cell>
        </row>
      </sheetData>
      <sheetData sheetId="5163">
        <row r="34">
          <cell r="A34" t="str">
            <v>Investments Govt Securities</v>
          </cell>
        </row>
      </sheetData>
      <sheetData sheetId="5164">
        <row r="34">
          <cell r="A34" t="str">
            <v>Investments Govt Securities</v>
          </cell>
        </row>
      </sheetData>
      <sheetData sheetId="5165">
        <row r="34">
          <cell r="A34" t="str">
            <v>Investments Govt Securities</v>
          </cell>
        </row>
      </sheetData>
      <sheetData sheetId="5166">
        <row r="34">
          <cell r="A34" t="str">
            <v>Investments Govt Securities</v>
          </cell>
        </row>
      </sheetData>
      <sheetData sheetId="5167">
        <row r="34">
          <cell r="A34" t="str">
            <v>Investments Govt Securities</v>
          </cell>
        </row>
      </sheetData>
      <sheetData sheetId="5168">
        <row r="34">
          <cell r="A34" t="str">
            <v>Investments Govt Securities</v>
          </cell>
        </row>
      </sheetData>
      <sheetData sheetId="5169">
        <row r="34">
          <cell r="A34" t="str">
            <v>Investments Govt Securities</v>
          </cell>
        </row>
      </sheetData>
      <sheetData sheetId="5170">
        <row r="34">
          <cell r="A34" t="str">
            <v>Investments Govt Securities</v>
          </cell>
        </row>
      </sheetData>
      <sheetData sheetId="5171">
        <row r="34">
          <cell r="A34" t="str">
            <v>Investments Govt Securities</v>
          </cell>
        </row>
      </sheetData>
      <sheetData sheetId="5172">
        <row r="34">
          <cell r="A34" t="str">
            <v>Investments Govt Securities</v>
          </cell>
        </row>
      </sheetData>
      <sheetData sheetId="5173">
        <row r="34">
          <cell r="A34" t="str">
            <v>Investments Govt Securities</v>
          </cell>
        </row>
      </sheetData>
      <sheetData sheetId="5174">
        <row r="34">
          <cell r="A34" t="str">
            <v>Investments Govt Securities</v>
          </cell>
        </row>
      </sheetData>
      <sheetData sheetId="5175">
        <row r="34">
          <cell r="A34" t="str">
            <v>Investments Govt Securities</v>
          </cell>
        </row>
      </sheetData>
      <sheetData sheetId="5176">
        <row r="34">
          <cell r="A34" t="str">
            <v>Investments Govt Securities</v>
          </cell>
        </row>
      </sheetData>
      <sheetData sheetId="5177">
        <row r="34">
          <cell r="A34" t="str">
            <v>Investments Govt Securities</v>
          </cell>
        </row>
      </sheetData>
      <sheetData sheetId="5178">
        <row r="34">
          <cell r="A34" t="str">
            <v>Investments Govt Securities</v>
          </cell>
        </row>
      </sheetData>
      <sheetData sheetId="5179">
        <row r="34">
          <cell r="A34" t="str">
            <v>Investments Govt Securities</v>
          </cell>
        </row>
      </sheetData>
      <sheetData sheetId="5180">
        <row r="34">
          <cell r="A34" t="str">
            <v>Investments Govt Securities</v>
          </cell>
        </row>
      </sheetData>
      <sheetData sheetId="5181">
        <row r="34">
          <cell r="A34" t="str">
            <v>Investments Govt Securities</v>
          </cell>
        </row>
      </sheetData>
      <sheetData sheetId="5182">
        <row r="34">
          <cell r="A34" t="str">
            <v>Investments Govt Securities</v>
          </cell>
        </row>
      </sheetData>
      <sheetData sheetId="5183">
        <row r="34">
          <cell r="A34" t="str">
            <v>Investments Govt Securities</v>
          </cell>
        </row>
      </sheetData>
      <sheetData sheetId="5184">
        <row r="34">
          <cell r="A34" t="str">
            <v>Investments Govt Securities</v>
          </cell>
        </row>
      </sheetData>
      <sheetData sheetId="5185">
        <row r="34">
          <cell r="A34" t="str">
            <v>Investments Govt Securities</v>
          </cell>
        </row>
      </sheetData>
      <sheetData sheetId="5186">
        <row r="34">
          <cell r="A34" t="str">
            <v>Investments Govt Securities</v>
          </cell>
        </row>
      </sheetData>
      <sheetData sheetId="5187">
        <row r="34">
          <cell r="A34" t="str">
            <v>Investments Govt Securities</v>
          </cell>
        </row>
      </sheetData>
      <sheetData sheetId="5188">
        <row r="34">
          <cell r="A34" t="str">
            <v>Investments Govt Securities</v>
          </cell>
        </row>
      </sheetData>
      <sheetData sheetId="5189">
        <row r="34">
          <cell r="A34" t="str">
            <v>Investments Govt Securities</v>
          </cell>
        </row>
      </sheetData>
      <sheetData sheetId="5190">
        <row r="34">
          <cell r="A34" t="str">
            <v>Investments Govt Securities</v>
          </cell>
        </row>
      </sheetData>
      <sheetData sheetId="5191">
        <row r="34">
          <cell r="A34" t="str">
            <v>Investments Govt Securities</v>
          </cell>
        </row>
      </sheetData>
      <sheetData sheetId="5192">
        <row r="34">
          <cell r="A34" t="str">
            <v>Investments Govt Securities</v>
          </cell>
        </row>
      </sheetData>
      <sheetData sheetId="5193">
        <row r="34">
          <cell r="A34" t="str">
            <v>Investments Govt Securities</v>
          </cell>
        </row>
      </sheetData>
      <sheetData sheetId="5194">
        <row r="34">
          <cell r="A34" t="str">
            <v>Investments Govt Securities</v>
          </cell>
        </row>
      </sheetData>
      <sheetData sheetId="5195">
        <row r="34">
          <cell r="A34" t="str">
            <v>Investments Govt Securities</v>
          </cell>
        </row>
      </sheetData>
      <sheetData sheetId="5196">
        <row r="34">
          <cell r="A34" t="str">
            <v>Investments Govt Securities</v>
          </cell>
        </row>
      </sheetData>
      <sheetData sheetId="5197">
        <row r="34">
          <cell r="A34" t="str">
            <v>Investments Govt Securities</v>
          </cell>
        </row>
      </sheetData>
      <sheetData sheetId="5198">
        <row r="34">
          <cell r="A34" t="str">
            <v>Investments Govt Securities</v>
          </cell>
        </row>
      </sheetData>
      <sheetData sheetId="5199">
        <row r="34">
          <cell r="A34" t="str">
            <v>Investments Govt Securities</v>
          </cell>
        </row>
      </sheetData>
      <sheetData sheetId="5200">
        <row r="34">
          <cell r="A34" t="str">
            <v>Investments Govt Securities</v>
          </cell>
        </row>
      </sheetData>
      <sheetData sheetId="5201">
        <row r="34">
          <cell r="A34" t="str">
            <v>Investments Govt Securities</v>
          </cell>
        </row>
      </sheetData>
      <sheetData sheetId="5202">
        <row r="34">
          <cell r="A34" t="str">
            <v>Investments Govt Securities</v>
          </cell>
        </row>
      </sheetData>
      <sheetData sheetId="5203">
        <row r="34">
          <cell r="A34" t="str">
            <v>Investments Govt Securities</v>
          </cell>
        </row>
      </sheetData>
      <sheetData sheetId="5204">
        <row r="34">
          <cell r="A34" t="str">
            <v>Investments Govt Securities</v>
          </cell>
        </row>
      </sheetData>
      <sheetData sheetId="5205">
        <row r="34">
          <cell r="A34" t="str">
            <v>Investments Govt Securities</v>
          </cell>
        </row>
      </sheetData>
      <sheetData sheetId="5206">
        <row r="34">
          <cell r="A34" t="str">
            <v>Investments Govt Securities</v>
          </cell>
        </row>
      </sheetData>
      <sheetData sheetId="5207">
        <row r="34">
          <cell r="A34" t="str">
            <v>Investments Govt Securities</v>
          </cell>
        </row>
      </sheetData>
      <sheetData sheetId="5208">
        <row r="34">
          <cell r="A34" t="str">
            <v>Investments Govt Securities</v>
          </cell>
        </row>
      </sheetData>
      <sheetData sheetId="5209">
        <row r="34">
          <cell r="A34" t="str">
            <v>Investments Govt Securities</v>
          </cell>
        </row>
      </sheetData>
      <sheetData sheetId="5210">
        <row r="34">
          <cell r="A34" t="str">
            <v>Investments Govt Securities</v>
          </cell>
        </row>
      </sheetData>
      <sheetData sheetId="5211">
        <row r="34">
          <cell r="A34" t="str">
            <v>Investments Govt Securities</v>
          </cell>
        </row>
      </sheetData>
      <sheetData sheetId="5212">
        <row r="34">
          <cell r="A34" t="str">
            <v>Investments Govt Securities</v>
          </cell>
        </row>
      </sheetData>
      <sheetData sheetId="5213">
        <row r="34">
          <cell r="A34" t="str">
            <v>Investments Govt Securities</v>
          </cell>
        </row>
      </sheetData>
      <sheetData sheetId="5214">
        <row r="34">
          <cell r="A34" t="str">
            <v>Investments Govt Securities</v>
          </cell>
        </row>
      </sheetData>
      <sheetData sheetId="5215">
        <row r="34">
          <cell r="A34" t="str">
            <v>Investments Govt Securities</v>
          </cell>
        </row>
      </sheetData>
      <sheetData sheetId="5216">
        <row r="34">
          <cell r="A34" t="str">
            <v>Investments Govt Securities</v>
          </cell>
        </row>
      </sheetData>
      <sheetData sheetId="5217">
        <row r="34">
          <cell r="A34" t="str">
            <v>Investments Govt Securities</v>
          </cell>
        </row>
      </sheetData>
      <sheetData sheetId="5218">
        <row r="34">
          <cell r="A34" t="str">
            <v>Investments Govt Securities</v>
          </cell>
        </row>
      </sheetData>
      <sheetData sheetId="5219">
        <row r="34">
          <cell r="A34" t="str">
            <v>Investments Govt Securities</v>
          </cell>
        </row>
      </sheetData>
      <sheetData sheetId="5220">
        <row r="34">
          <cell r="A34" t="str">
            <v>Investments Govt Securities</v>
          </cell>
        </row>
      </sheetData>
      <sheetData sheetId="5221">
        <row r="34">
          <cell r="A34" t="str">
            <v>Investments Govt Securities</v>
          </cell>
        </row>
      </sheetData>
      <sheetData sheetId="5222">
        <row r="34">
          <cell r="A34" t="str">
            <v>Investments Govt Securities</v>
          </cell>
        </row>
      </sheetData>
      <sheetData sheetId="5223">
        <row r="34">
          <cell r="A34" t="str">
            <v>Investments Govt Securities</v>
          </cell>
        </row>
      </sheetData>
      <sheetData sheetId="5224">
        <row r="34">
          <cell r="A34" t="str">
            <v>Investments Govt Securities</v>
          </cell>
        </row>
      </sheetData>
      <sheetData sheetId="5225">
        <row r="34">
          <cell r="A34" t="str">
            <v>Investments Govt Securities</v>
          </cell>
        </row>
      </sheetData>
      <sheetData sheetId="5226">
        <row r="34">
          <cell r="A34" t="str">
            <v>Investments Govt Securities</v>
          </cell>
        </row>
      </sheetData>
      <sheetData sheetId="5227">
        <row r="34">
          <cell r="A34" t="str">
            <v>Investments Govt Securities</v>
          </cell>
        </row>
      </sheetData>
      <sheetData sheetId="5228">
        <row r="34">
          <cell r="A34" t="str">
            <v>Investments Govt Securities</v>
          </cell>
        </row>
      </sheetData>
      <sheetData sheetId="5229">
        <row r="34">
          <cell r="A34" t="str">
            <v>Investments Govt Securities</v>
          </cell>
        </row>
      </sheetData>
      <sheetData sheetId="5230">
        <row r="34">
          <cell r="A34" t="str">
            <v>Investments Govt Securities</v>
          </cell>
        </row>
      </sheetData>
      <sheetData sheetId="5231">
        <row r="34">
          <cell r="A34" t="str">
            <v>Investments Govt Securities</v>
          </cell>
        </row>
      </sheetData>
      <sheetData sheetId="5232">
        <row r="34">
          <cell r="A34" t="str">
            <v>Investments Govt Securities</v>
          </cell>
        </row>
      </sheetData>
      <sheetData sheetId="5233">
        <row r="34">
          <cell r="A34" t="str">
            <v>Investments Govt Securities</v>
          </cell>
        </row>
      </sheetData>
      <sheetData sheetId="5234">
        <row r="34">
          <cell r="A34" t="str">
            <v>Investments Govt Securities</v>
          </cell>
        </row>
      </sheetData>
      <sheetData sheetId="5235">
        <row r="34">
          <cell r="A34" t="str">
            <v>Investments Govt Securities</v>
          </cell>
        </row>
      </sheetData>
      <sheetData sheetId="5236">
        <row r="34">
          <cell r="A34" t="str">
            <v>Investments Govt Securities</v>
          </cell>
        </row>
      </sheetData>
      <sheetData sheetId="5237">
        <row r="34">
          <cell r="A34" t="str">
            <v>Investments Govt Securities</v>
          </cell>
        </row>
      </sheetData>
      <sheetData sheetId="5238">
        <row r="34">
          <cell r="A34" t="str">
            <v>Investments Govt Securities</v>
          </cell>
        </row>
      </sheetData>
      <sheetData sheetId="5239">
        <row r="34">
          <cell r="A34" t="str">
            <v>Investments Govt Securities</v>
          </cell>
        </row>
      </sheetData>
      <sheetData sheetId="5240">
        <row r="34">
          <cell r="A34" t="str">
            <v>Investments Govt Securities</v>
          </cell>
        </row>
      </sheetData>
      <sheetData sheetId="5241">
        <row r="34">
          <cell r="A34" t="str">
            <v>Investments Govt Securities</v>
          </cell>
        </row>
      </sheetData>
      <sheetData sheetId="5242">
        <row r="34">
          <cell r="A34" t="str">
            <v>Investments Govt Securities</v>
          </cell>
        </row>
      </sheetData>
      <sheetData sheetId="5243">
        <row r="34">
          <cell r="A34" t="str">
            <v>Investments Govt Securities</v>
          </cell>
        </row>
      </sheetData>
      <sheetData sheetId="5244">
        <row r="34">
          <cell r="A34" t="str">
            <v>Investments Govt Securities</v>
          </cell>
        </row>
      </sheetData>
      <sheetData sheetId="5245">
        <row r="34">
          <cell r="A34" t="str">
            <v>Investments Govt Securities</v>
          </cell>
        </row>
      </sheetData>
      <sheetData sheetId="5246">
        <row r="34">
          <cell r="A34" t="str">
            <v>Investments Govt Securities</v>
          </cell>
        </row>
      </sheetData>
      <sheetData sheetId="5247">
        <row r="34">
          <cell r="A34" t="str">
            <v>Investments Govt Securities</v>
          </cell>
        </row>
      </sheetData>
      <sheetData sheetId="5248">
        <row r="34">
          <cell r="A34" t="str">
            <v>Investments Govt Securities</v>
          </cell>
        </row>
      </sheetData>
      <sheetData sheetId="5249">
        <row r="34">
          <cell r="A34" t="str">
            <v>Investments Govt Securities</v>
          </cell>
        </row>
      </sheetData>
      <sheetData sheetId="5250">
        <row r="34">
          <cell r="A34" t="str">
            <v>Investments Govt Securities</v>
          </cell>
        </row>
      </sheetData>
      <sheetData sheetId="5251">
        <row r="34">
          <cell r="A34" t="str">
            <v>Investments Govt Securities</v>
          </cell>
        </row>
      </sheetData>
      <sheetData sheetId="5252">
        <row r="34">
          <cell r="A34" t="str">
            <v>Investments Govt Securities</v>
          </cell>
        </row>
      </sheetData>
      <sheetData sheetId="5253">
        <row r="34">
          <cell r="A34" t="str">
            <v>Investments Govt Securities</v>
          </cell>
        </row>
      </sheetData>
      <sheetData sheetId="5254">
        <row r="34">
          <cell r="A34" t="str">
            <v>Investments Govt Securities</v>
          </cell>
        </row>
      </sheetData>
      <sheetData sheetId="5255">
        <row r="34">
          <cell r="A34" t="str">
            <v>Investments Govt Securities</v>
          </cell>
        </row>
      </sheetData>
      <sheetData sheetId="5256">
        <row r="34">
          <cell r="A34" t="str">
            <v>Investments Govt Securities</v>
          </cell>
        </row>
      </sheetData>
      <sheetData sheetId="5257">
        <row r="34">
          <cell r="A34" t="str">
            <v>Investments Govt Securities</v>
          </cell>
        </row>
      </sheetData>
      <sheetData sheetId="5258">
        <row r="34">
          <cell r="A34" t="str">
            <v>Investments Govt Securities</v>
          </cell>
        </row>
      </sheetData>
      <sheetData sheetId="5259">
        <row r="34">
          <cell r="A34" t="str">
            <v>Investments Govt Securities</v>
          </cell>
        </row>
      </sheetData>
      <sheetData sheetId="5260">
        <row r="34">
          <cell r="A34" t="str">
            <v>Investments Govt Securities</v>
          </cell>
        </row>
      </sheetData>
      <sheetData sheetId="5261">
        <row r="34">
          <cell r="A34" t="str">
            <v>Investments Govt Securities</v>
          </cell>
        </row>
      </sheetData>
      <sheetData sheetId="5262">
        <row r="34">
          <cell r="A34" t="str">
            <v>Investments Govt Securities</v>
          </cell>
        </row>
      </sheetData>
      <sheetData sheetId="5263">
        <row r="34">
          <cell r="A34" t="str">
            <v>Investments Govt Securities</v>
          </cell>
        </row>
      </sheetData>
      <sheetData sheetId="5264">
        <row r="34">
          <cell r="A34" t="str">
            <v>Investments Govt Securities</v>
          </cell>
        </row>
      </sheetData>
      <sheetData sheetId="5265">
        <row r="34">
          <cell r="A34" t="str">
            <v>Investments Govt Securities</v>
          </cell>
        </row>
      </sheetData>
      <sheetData sheetId="5266">
        <row r="34">
          <cell r="A34" t="str">
            <v>Investments Govt Securities</v>
          </cell>
        </row>
      </sheetData>
      <sheetData sheetId="5267">
        <row r="34">
          <cell r="A34" t="str">
            <v>Investments Govt Securities</v>
          </cell>
        </row>
      </sheetData>
      <sheetData sheetId="5268">
        <row r="34">
          <cell r="A34" t="str">
            <v>Investments Govt Securities</v>
          </cell>
        </row>
      </sheetData>
      <sheetData sheetId="5269">
        <row r="34">
          <cell r="A34" t="str">
            <v>Investments Govt Securities</v>
          </cell>
        </row>
      </sheetData>
      <sheetData sheetId="5270">
        <row r="34">
          <cell r="A34" t="str">
            <v>Investments Govt Securities</v>
          </cell>
        </row>
      </sheetData>
      <sheetData sheetId="5271">
        <row r="34">
          <cell r="A34" t="str">
            <v>Investments Govt Securities</v>
          </cell>
        </row>
      </sheetData>
      <sheetData sheetId="5272">
        <row r="34">
          <cell r="A34" t="str">
            <v>Investments Govt Securities</v>
          </cell>
        </row>
      </sheetData>
      <sheetData sheetId="5273">
        <row r="34">
          <cell r="A34" t="str">
            <v>Investments Govt Securities</v>
          </cell>
        </row>
      </sheetData>
      <sheetData sheetId="5274">
        <row r="34">
          <cell r="A34" t="str">
            <v>Investments Govt Securities</v>
          </cell>
        </row>
      </sheetData>
      <sheetData sheetId="5275">
        <row r="34">
          <cell r="A34" t="str">
            <v>Investments Govt Securities</v>
          </cell>
        </row>
      </sheetData>
      <sheetData sheetId="5276">
        <row r="34">
          <cell r="A34" t="str">
            <v>Investments Govt Securities</v>
          </cell>
        </row>
      </sheetData>
      <sheetData sheetId="5277">
        <row r="34">
          <cell r="A34" t="str">
            <v>Investments Govt Securities</v>
          </cell>
        </row>
      </sheetData>
      <sheetData sheetId="5278">
        <row r="34">
          <cell r="A34" t="str">
            <v>Investments Govt Securities</v>
          </cell>
        </row>
      </sheetData>
      <sheetData sheetId="5279">
        <row r="34">
          <cell r="A34" t="str">
            <v>Investments Govt Securities</v>
          </cell>
        </row>
      </sheetData>
      <sheetData sheetId="5280">
        <row r="34">
          <cell r="A34" t="str">
            <v>Investments Govt Securities</v>
          </cell>
        </row>
      </sheetData>
      <sheetData sheetId="5281">
        <row r="34">
          <cell r="A34" t="str">
            <v>Investments Govt Securities</v>
          </cell>
        </row>
      </sheetData>
      <sheetData sheetId="5282">
        <row r="34">
          <cell r="A34" t="str">
            <v>Investments Govt Securities</v>
          </cell>
        </row>
      </sheetData>
      <sheetData sheetId="5283">
        <row r="34">
          <cell r="A34" t="str">
            <v>Investments Govt Securities</v>
          </cell>
        </row>
      </sheetData>
      <sheetData sheetId="5284">
        <row r="34">
          <cell r="A34" t="str">
            <v>Investments Govt Securities</v>
          </cell>
        </row>
      </sheetData>
      <sheetData sheetId="5285">
        <row r="34">
          <cell r="A34" t="str">
            <v>Investments Govt Securities</v>
          </cell>
        </row>
      </sheetData>
      <sheetData sheetId="5286">
        <row r="34">
          <cell r="A34" t="str">
            <v>Investments Govt Securities</v>
          </cell>
        </row>
      </sheetData>
      <sheetData sheetId="5287">
        <row r="34">
          <cell r="A34" t="str">
            <v>Investments Govt Securities</v>
          </cell>
        </row>
      </sheetData>
      <sheetData sheetId="5288">
        <row r="34">
          <cell r="A34" t="str">
            <v>Investments Govt Securities</v>
          </cell>
        </row>
      </sheetData>
      <sheetData sheetId="5289">
        <row r="34">
          <cell r="A34" t="str">
            <v>Investments Govt Securities</v>
          </cell>
        </row>
      </sheetData>
      <sheetData sheetId="5290">
        <row r="34">
          <cell r="A34" t="str">
            <v>Investments Govt Securities</v>
          </cell>
        </row>
      </sheetData>
      <sheetData sheetId="5291">
        <row r="34">
          <cell r="A34" t="str">
            <v>Investments Govt Securities</v>
          </cell>
        </row>
      </sheetData>
      <sheetData sheetId="5292">
        <row r="34">
          <cell r="A34" t="str">
            <v>Investments Govt Securities</v>
          </cell>
        </row>
      </sheetData>
      <sheetData sheetId="5293">
        <row r="34">
          <cell r="A34" t="str">
            <v>Investments Govt Securities</v>
          </cell>
        </row>
      </sheetData>
      <sheetData sheetId="5294">
        <row r="34">
          <cell r="A34" t="str">
            <v>Investments Govt Securities</v>
          </cell>
        </row>
      </sheetData>
      <sheetData sheetId="5295">
        <row r="34">
          <cell r="A34" t="str">
            <v>Investments Govt Securities</v>
          </cell>
        </row>
      </sheetData>
      <sheetData sheetId="5296">
        <row r="34">
          <cell r="A34" t="str">
            <v>Investments Govt Securities</v>
          </cell>
        </row>
      </sheetData>
      <sheetData sheetId="5297">
        <row r="34">
          <cell r="A34" t="str">
            <v>Investments Govt Securities</v>
          </cell>
        </row>
      </sheetData>
      <sheetData sheetId="5298">
        <row r="34">
          <cell r="A34" t="str">
            <v>Investments Govt Securities</v>
          </cell>
        </row>
      </sheetData>
      <sheetData sheetId="5299">
        <row r="34">
          <cell r="A34" t="str">
            <v>Investments Govt Securities</v>
          </cell>
        </row>
      </sheetData>
      <sheetData sheetId="5300">
        <row r="34">
          <cell r="A34" t="str">
            <v>Investments Govt Securities</v>
          </cell>
        </row>
      </sheetData>
      <sheetData sheetId="5301">
        <row r="34">
          <cell r="A34" t="str">
            <v>Investments Govt Securities</v>
          </cell>
        </row>
      </sheetData>
      <sheetData sheetId="5302">
        <row r="34">
          <cell r="A34" t="str">
            <v>Investments Govt Securities</v>
          </cell>
        </row>
      </sheetData>
      <sheetData sheetId="5303">
        <row r="34">
          <cell r="A34" t="str">
            <v>Investments Govt Securities</v>
          </cell>
        </row>
      </sheetData>
      <sheetData sheetId="5304">
        <row r="34">
          <cell r="A34" t="str">
            <v>Investments Govt Securities</v>
          </cell>
        </row>
      </sheetData>
      <sheetData sheetId="5305">
        <row r="34">
          <cell r="A34" t="str">
            <v>Investments Govt Securities</v>
          </cell>
        </row>
      </sheetData>
      <sheetData sheetId="5306">
        <row r="34">
          <cell r="A34" t="str">
            <v>Investments Govt Securities</v>
          </cell>
        </row>
      </sheetData>
      <sheetData sheetId="5307">
        <row r="34">
          <cell r="A34" t="str">
            <v>Investments Govt Securities</v>
          </cell>
        </row>
      </sheetData>
      <sheetData sheetId="5308">
        <row r="34">
          <cell r="A34" t="str">
            <v>Investments Govt Securities</v>
          </cell>
        </row>
      </sheetData>
      <sheetData sheetId="5309">
        <row r="34">
          <cell r="A34" t="str">
            <v>Investments Govt Securities</v>
          </cell>
        </row>
      </sheetData>
      <sheetData sheetId="5310">
        <row r="34">
          <cell r="A34" t="str">
            <v>Investments Govt Securities</v>
          </cell>
        </row>
      </sheetData>
      <sheetData sheetId="5311">
        <row r="34">
          <cell r="A34" t="str">
            <v>Investments Govt Securities</v>
          </cell>
        </row>
      </sheetData>
      <sheetData sheetId="5312">
        <row r="34">
          <cell r="A34" t="str">
            <v>Investments Govt Securities</v>
          </cell>
        </row>
      </sheetData>
      <sheetData sheetId="5313">
        <row r="34">
          <cell r="A34" t="str">
            <v>Investments Govt Securities</v>
          </cell>
        </row>
      </sheetData>
      <sheetData sheetId="5314">
        <row r="34">
          <cell r="A34" t="str">
            <v>Investments Govt Securities</v>
          </cell>
        </row>
      </sheetData>
      <sheetData sheetId="5315">
        <row r="34">
          <cell r="A34" t="str">
            <v>Investments Govt Securities</v>
          </cell>
        </row>
      </sheetData>
      <sheetData sheetId="5316">
        <row r="34">
          <cell r="A34" t="str">
            <v>Investments Govt Securities</v>
          </cell>
        </row>
      </sheetData>
      <sheetData sheetId="5317">
        <row r="34">
          <cell r="A34" t="str">
            <v>Investments Govt Securities</v>
          </cell>
        </row>
      </sheetData>
      <sheetData sheetId="5318">
        <row r="34">
          <cell r="A34" t="str">
            <v>Investments Govt Securities</v>
          </cell>
        </row>
      </sheetData>
      <sheetData sheetId="5319">
        <row r="34">
          <cell r="A34" t="str">
            <v>Investments Govt Securities</v>
          </cell>
        </row>
      </sheetData>
      <sheetData sheetId="5320">
        <row r="34">
          <cell r="A34" t="str">
            <v>Investments Govt Securities</v>
          </cell>
        </row>
      </sheetData>
      <sheetData sheetId="5321">
        <row r="34">
          <cell r="A34" t="str">
            <v>Investments Govt Securities</v>
          </cell>
        </row>
      </sheetData>
      <sheetData sheetId="5322">
        <row r="34">
          <cell r="A34" t="str">
            <v>Investments Govt Securities</v>
          </cell>
        </row>
      </sheetData>
      <sheetData sheetId="5323">
        <row r="34">
          <cell r="A34" t="str">
            <v>Investments Govt Securities</v>
          </cell>
        </row>
      </sheetData>
      <sheetData sheetId="5324">
        <row r="34">
          <cell r="A34" t="str">
            <v>Investments Govt Securities</v>
          </cell>
        </row>
      </sheetData>
      <sheetData sheetId="5325">
        <row r="34">
          <cell r="A34" t="str">
            <v>Investments Govt Securities</v>
          </cell>
        </row>
      </sheetData>
      <sheetData sheetId="5326">
        <row r="34">
          <cell r="A34" t="str">
            <v>Investments Govt Securities</v>
          </cell>
        </row>
      </sheetData>
      <sheetData sheetId="5327">
        <row r="34">
          <cell r="A34" t="str">
            <v>Investments Govt Securities</v>
          </cell>
        </row>
      </sheetData>
      <sheetData sheetId="5328">
        <row r="34">
          <cell r="A34" t="str">
            <v>Investments Govt Securities</v>
          </cell>
        </row>
      </sheetData>
      <sheetData sheetId="5329">
        <row r="34">
          <cell r="A34" t="str">
            <v>Investments Govt Securities</v>
          </cell>
        </row>
      </sheetData>
      <sheetData sheetId="5330">
        <row r="34">
          <cell r="A34" t="str">
            <v>Investments Govt Securities</v>
          </cell>
        </row>
      </sheetData>
      <sheetData sheetId="5331">
        <row r="34">
          <cell r="A34" t="str">
            <v>Investments Govt Securities</v>
          </cell>
        </row>
      </sheetData>
      <sheetData sheetId="5332">
        <row r="34">
          <cell r="A34" t="str">
            <v>Investments Govt Securities</v>
          </cell>
        </row>
      </sheetData>
      <sheetData sheetId="5333">
        <row r="34">
          <cell r="A34" t="str">
            <v>Investments Govt Securities</v>
          </cell>
        </row>
      </sheetData>
      <sheetData sheetId="5334">
        <row r="34">
          <cell r="A34" t="str">
            <v>Investments Govt Securities</v>
          </cell>
        </row>
      </sheetData>
      <sheetData sheetId="5335">
        <row r="34">
          <cell r="A34" t="str">
            <v>Investments Govt Securities</v>
          </cell>
        </row>
      </sheetData>
      <sheetData sheetId="5336">
        <row r="34">
          <cell r="A34" t="str">
            <v>Investments Govt Securities</v>
          </cell>
        </row>
      </sheetData>
      <sheetData sheetId="5337">
        <row r="34">
          <cell r="A34" t="str">
            <v>Investments Govt Securities</v>
          </cell>
        </row>
      </sheetData>
      <sheetData sheetId="5338">
        <row r="34">
          <cell r="A34" t="str">
            <v>Investments Govt Securities</v>
          </cell>
        </row>
      </sheetData>
      <sheetData sheetId="5339">
        <row r="34">
          <cell r="A34" t="str">
            <v>Investments Govt Securities</v>
          </cell>
        </row>
      </sheetData>
      <sheetData sheetId="5340">
        <row r="34">
          <cell r="A34" t="str">
            <v>Investments Govt Securities</v>
          </cell>
        </row>
      </sheetData>
      <sheetData sheetId="5341">
        <row r="34">
          <cell r="A34" t="str">
            <v>Investments Govt Securities</v>
          </cell>
        </row>
      </sheetData>
      <sheetData sheetId="5342">
        <row r="34">
          <cell r="A34" t="str">
            <v>Investments Govt Securities</v>
          </cell>
        </row>
      </sheetData>
      <sheetData sheetId="5343">
        <row r="34">
          <cell r="A34" t="str">
            <v>Investments Govt Securities</v>
          </cell>
        </row>
      </sheetData>
      <sheetData sheetId="5344">
        <row r="34">
          <cell r="A34" t="str">
            <v>Investments Govt Securities</v>
          </cell>
        </row>
      </sheetData>
      <sheetData sheetId="5345">
        <row r="34">
          <cell r="A34" t="str">
            <v>Investments Govt Securities</v>
          </cell>
        </row>
      </sheetData>
      <sheetData sheetId="5346">
        <row r="34">
          <cell r="A34" t="str">
            <v>Investments Govt Securities</v>
          </cell>
        </row>
      </sheetData>
      <sheetData sheetId="5347">
        <row r="34">
          <cell r="A34" t="str">
            <v>Investments Govt Securities</v>
          </cell>
        </row>
      </sheetData>
      <sheetData sheetId="5348">
        <row r="34">
          <cell r="A34" t="str">
            <v>Investments Govt Securities</v>
          </cell>
        </row>
      </sheetData>
      <sheetData sheetId="5349">
        <row r="34">
          <cell r="A34" t="str">
            <v>Investments Govt Securities</v>
          </cell>
        </row>
      </sheetData>
      <sheetData sheetId="5350">
        <row r="34">
          <cell r="A34" t="str">
            <v>Investments Govt Securities</v>
          </cell>
        </row>
      </sheetData>
      <sheetData sheetId="5351">
        <row r="34">
          <cell r="A34" t="str">
            <v>Investments Govt Securities</v>
          </cell>
        </row>
      </sheetData>
      <sheetData sheetId="5352">
        <row r="34">
          <cell r="A34" t="str">
            <v>Investments Govt Securities</v>
          </cell>
        </row>
      </sheetData>
      <sheetData sheetId="5353">
        <row r="34">
          <cell r="A34" t="str">
            <v>Investments Govt Securities</v>
          </cell>
        </row>
      </sheetData>
      <sheetData sheetId="5354">
        <row r="34">
          <cell r="A34" t="str">
            <v>Investments Govt Securities</v>
          </cell>
        </row>
      </sheetData>
      <sheetData sheetId="5355">
        <row r="34">
          <cell r="A34" t="str">
            <v>Investments Govt Securities</v>
          </cell>
        </row>
      </sheetData>
      <sheetData sheetId="5356">
        <row r="34">
          <cell r="A34" t="str">
            <v>Investments Govt Securities</v>
          </cell>
        </row>
      </sheetData>
      <sheetData sheetId="5357">
        <row r="34">
          <cell r="A34" t="str">
            <v>Investments Govt Securities</v>
          </cell>
        </row>
      </sheetData>
      <sheetData sheetId="5358">
        <row r="34">
          <cell r="A34" t="str">
            <v>Investments Govt Securities</v>
          </cell>
        </row>
      </sheetData>
      <sheetData sheetId="5359">
        <row r="34">
          <cell r="A34" t="str">
            <v>Investments Govt Securities</v>
          </cell>
        </row>
      </sheetData>
      <sheetData sheetId="5360">
        <row r="34">
          <cell r="A34" t="str">
            <v>Investments Govt Securities</v>
          </cell>
        </row>
      </sheetData>
      <sheetData sheetId="5361">
        <row r="34">
          <cell r="A34" t="str">
            <v>Investments Govt Securities</v>
          </cell>
        </row>
      </sheetData>
      <sheetData sheetId="5362">
        <row r="34">
          <cell r="A34" t="str">
            <v>Investments Govt Securities</v>
          </cell>
        </row>
      </sheetData>
      <sheetData sheetId="5363">
        <row r="34">
          <cell r="A34" t="str">
            <v>Investments Govt Securities</v>
          </cell>
        </row>
      </sheetData>
      <sheetData sheetId="5364">
        <row r="34">
          <cell r="A34" t="str">
            <v>Investments Govt Securities</v>
          </cell>
        </row>
      </sheetData>
      <sheetData sheetId="5365">
        <row r="34">
          <cell r="A34" t="str">
            <v>Investments Govt Securities</v>
          </cell>
        </row>
      </sheetData>
      <sheetData sheetId="5366">
        <row r="34">
          <cell r="A34" t="str">
            <v>Investments Govt Securities</v>
          </cell>
        </row>
      </sheetData>
      <sheetData sheetId="5367">
        <row r="34">
          <cell r="A34" t="str">
            <v>Investments Govt Securities</v>
          </cell>
        </row>
      </sheetData>
      <sheetData sheetId="5368">
        <row r="34">
          <cell r="A34" t="str">
            <v>Investments Govt Securities</v>
          </cell>
        </row>
      </sheetData>
      <sheetData sheetId="5369">
        <row r="34">
          <cell r="A34" t="str">
            <v>Investments Govt Securities</v>
          </cell>
        </row>
      </sheetData>
      <sheetData sheetId="5370">
        <row r="34">
          <cell r="A34" t="str">
            <v>Investments Govt Securities</v>
          </cell>
        </row>
      </sheetData>
      <sheetData sheetId="5371">
        <row r="34">
          <cell r="A34" t="str">
            <v>Investments Govt Securities</v>
          </cell>
        </row>
      </sheetData>
      <sheetData sheetId="5372">
        <row r="34">
          <cell r="A34" t="str">
            <v>Investments Govt Securities</v>
          </cell>
        </row>
      </sheetData>
      <sheetData sheetId="5373">
        <row r="34">
          <cell r="A34" t="str">
            <v>Investments Govt Securities</v>
          </cell>
        </row>
      </sheetData>
      <sheetData sheetId="5374">
        <row r="34">
          <cell r="A34" t="str">
            <v>Investments Govt Securities</v>
          </cell>
        </row>
      </sheetData>
      <sheetData sheetId="5375">
        <row r="34">
          <cell r="A34" t="str">
            <v>Investments Govt Securities</v>
          </cell>
        </row>
      </sheetData>
      <sheetData sheetId="5376">
        <row r="34">
          <cell r="A34" t="str">
            <v>Investments Govt Securities</v>
          </cell>
        </row>
      </sheetData>
      <sheetData sheetId="5377">
        <row r="34">
          <cell r="A34" t="str">
            <v>Investments Govt Securities</v>
          </cell>
        </row>
      </sheetData>
      <sheetData sheetId="5378">
        <row r="34">
          <cell r="A34" t="str">
            <v>Investments Govt Securities</v>
          </cell>
        </row>
      </sheetData>
      <sheetData sheetId="5379">
        <row r="34">
          <cell r="A34" t="str">
            <v>Investments Govt Securities</v>
          </cell>
        </row>
      </sheetData>
      <sheetData sheetId="5380">
        <row r="34">
          <cell r="A34" t="str">
            <v>Investments Govt Securities</v>
          </cell>
        </row>
      </sheetData>
      <sheetData sheetId="5381">
        <row r="34">
          <cell r="A34" t="str">
            <v>Investments Govt Securities</v>
          </cell>
        </row>
      </sheetData>
      <sheetData sheetId="5382">
        <row r="34">
          <cell r="A34" t="str">
            <v>Investments Govt Securities</v>
          </cell>
        </row>
      </sheetData>
      <sheetData sheetId="5383">
        <row r="34">
          <cell r="A34" t="str">
            <v>Investments Govt Securities</v>
          </cell>
        </row>
      </sheetData>
      <sheetData sheetId="5384">
        <row r="34">
          <cell r="A34" t="str">
            <v>Investments Govt Securities</v>
          </cell>
        </row>
      </sheetData>
      <sheetData sheetId="5385">
        <row r="34">
          <cell r="A34" t="str">
            <v>Investments Govt Securities</v>
          </cell>
        </row>
      </sheetData>
      <sheetData sheetId="5386">
        <row r="34">
          <cell r="A34" t="str">
            <v>Investments Govt Securities</v>
          </cell>
        </row>
      </sheetData>
      <sheetData sheetId="5387">
        <row r="34">
          <cell r="A34" t="str">
            <v>Investments Govt Securities</v>
          </cell>
        </row>
      </sheetData>
      <sheetData sheetId="5388">
        <row r="34">
          <cell r="A34" t="str">
            <v>Investments Govt Securities</v>
          </cell>
        </row>
      </sheetData>
      <sheetData sheetId="5389">
        <row r="34">
          <cell r="A34" t="str">
            <v>Investments Govt Securities</v>
          </cell>
        </row>
      </sheetData>
      <sheetData sheetId="5390">
        <row r="34">
          <cell r="A34" t="str">
            <v>Investments Govt Securities</v>
          </cell>
        </row>
      </sheetData>
      <sheetData sheetId="5391">
        <row r="34">
          <cell r="A34" t="str">
            <v>Investments Govt Securities</v>
          </cell>
        </row>
      </sheetData>
      <sheetData sheetId="5392">
        <row r="34">
          <cell r="A34" t="str">
            <v>Investments Govt Securities</v>
          </cell>
        </row>
      </sheetData>
      <sheetData sheetId="5393">
        <row r="34">
          <cell r="A34" t="str">
            <v>Investments Govt Securities</v>
          </cell>
        </row>
      </sheetData>
      <sheetData sheetId="5394">
        <row r="34">
          <cell r="A34" t="str">
            <v>Investments Govt Securities</v>
          </cell>
        </row>
      </sheetData>
      <sheetData sheetId="5395">
        <row r="34">
          <cell r="A34" t="str">
            <v>Investments Govt Securities</v>
          </cell>
        </row>
      </sheetData>
      <sheetData sheetId="5396">
        <row r="34">
          <cell r="A34" t="str">
            <v>Investments Govt Securities</v>
          </cell>
        </row>
      </sheetData>
      <sheetData sheetId="5397">
        <row r="34">
          <cell r="A34" t="str">
            <v>Investments Govt Securities</v>
          </cell>
        </row>
      </sheetData>
      <sheetData sheetId="5398">
        <row r="34">
          <cell r="A34" t="str">
            <v>Investments Govt Securities</v>
          </cell>
        </row>
      </sheetData>
      <sheetData sheetId="5399">
        <row r="34">
          <cell r="A34" t="str">
            <v>Investments Govt Securities</v>
          </cell>
        </row>
      </sheetData>
      <sheetData sheetId="5400">
        <row r="34">
          <cell r="A34" t="str">
            <v>Investments Govt Securities</v>
          </cell>
        </row>
      </sheetData>
      <sheetData sheetId="5401">
        <row r="34">
          <cell r="A34" t="str">
            <v>Investments Govt Securities</v>
          </cell>
        </row>
      </sheetData>
      <sheetData sheetId="5402">
        <row r="34">
          <cell r="A34" t="str">
            <v>Investments Govt Securities</v>
          </cell>
        </row>
      </sheetData>
      <sheetData sheetId="5403">
        <row r="34">
          <cell r="A34" t="str">
            <v>Investments Govt Securities</v>
          </cell>
        </row>
      </sheetData>
      <sheetData sheetId="5404">
        <row r="34">
          <cell r="A34" t="str">
            <v>Investments Govt Securities</v>
          </cell>
        </row>
      </sheetData>
      <sheetData sheetId="5405">
        <row r="34">
          <cell r="A34" t="str">
            <v>Investments Govt Securities</v>
          </cell>
        </row>
      </sheetData>
      <sheetData sheetId="5406">
        <row r="34">
          <cell r="A34" t="str">
            <v>Investments Govt Securities</v>
          </cell>
        </row>
      </sheetData>
      <sheetData sheetId="5407">
        <row r="34">
          <cell r="A34" t="str">
            <v>Investments Govt Securities</v>
          </cell>
        </row>
      </sheetData>
      <sheetData sheetId="5408">
        <row r="34">
          <cell r="A34" t="str">
            <v>Investments Govt Securities</v>
          </cell>
        </row>
      </sheetData>
      <sheetData sheetId="5409">
        <row r="34">
          <cell r="A34" t="str">
            <v>Investments Govt Securities</v>
          </cell>
        </row>
      </sheetData>
      <sheetData sheetId="5410">
        <row r="34">
          <cell r="A34" t="str">
            <v>Investments Govt Securities</v>
          </cell>
        </row>
      </sheetData>
      <sheetData sheetId="5411">
        <row r="34">
          <cell r="A34" t="str">
            <v>Investments Govt Securities</v>
          </cell>
        </row>
      </sheetData>
      <sheetData sheetId="5412">
        <row r="34">
          <cell r="A34" t="str">
            <v>Investments Govt Securities</v>
          </cell>
        </row>
      </sheetData>
      <sheetData sheetId="5413">
        <row r="34">
          <cell r="A34" t="str">
            <v>Investments Govt Securities</v>
          </cell>
        </row>
      </sheetData>
      <sheetData sheetId="5414">
        <row r="34">
          <cell r="A34" t="str">
            <v>Investments Govt Securities</v>
          </cell>
        </row>
      </sheetData>
      <sheetData sheetId="5415">
        <row r="34">
          <cell r="A34" t="str">
            <v>Investments Govt Securities</v>
          </cell>
        </row>
      </sheetData>
      <sheetData sheetId="5416">
        <row r="34">
          <cell r="A34" t="str">
            <v>Investments Govt Securities</v>
          </cell>
        </row>
      </sheetData>
      <sheetData sheetId="5417">
        <row r="34">
          <cell r="A34" t="str">
            <v>Investments Govt Securities</v>
          </cell>
        </row>
      </sheetData>
      <sheetData sheetId="5418">
        <row r="34">
          <cell r="A34" t="str">
            <v>Investments Govt Securities</v>
          </cell>
        </row>
      </sheetData>
      <sheetData sheetId="5419">
        <row r="34">
          <cell r="A34" t="str">
            <v>Investments Govt Securities</v>
          </cell>
        </row>
      </sheetData>
      <sheetData sheetId="5420">
        <row r="34">
          <cell r="A34" t="str">
            <v>Investments Govt Securities</v>
          </cell>
        </row>
      </sheetData>
      <sheetData sheetId="5421">
        <row r="34">
          <cell r="A34" t="str">
            <v>Investments Govt Securities</v>
          </cell>
        </row>
      </sheetData>
      <sheetData sheetId="5422">
        <row r="34">
          <cell r="A34" t="str">
            <v>Investments Govt Securities</v>
          </cell>
        </row>
      </sheetData>
      <sheetData sheetId="5423">
        <row r="34">
          <cell r="A34" t="str">
            <v>Investments Govt Securities</v>
          </cell>
        </row>
      </sheetData>
      <sheetData sheetId="5424">
        <row r="34">
          <cell r="A34" t="str">
            <v>Investments Govt Securities</v>
          </cell>
        </row>
      </sheetData>
      <sheetData sheetId="5425">
        <row r="34">
          <cell r="A34" t="str">
            <v>Investments Govt Securities</v>
          </cell>
        </row>
      </sheetData>
      <sheetData sheetId="5426">
        <row r="34">
          <cell r="A34" t="str">
            <v>Investments Govt Securities</v>
          </cell>
        </row>
      </sheetData>
      <sheetData sheetId="5427">
        <row r="34">
          <cell r="A34" t="str">
            <v>Investments Govt Securities</v>
          </cell>
        </row>
      </sheetData>
      <sheetData sheetId="5428">
        <row r="34">
          <cell r="A34" t="str">
            <v>Investments Govt Securities</v>
          </cell>
        </row>
      </sheetData>
      <sheetData sheetId="5429">
        <row r="34">
          <cell r="A34" t="str">
            <v>Investments Govt Securities</v>
          </cell>
        </row>
      </sheetData>
      <sheetData sheetId="5430">
        <row r="34">
          <cell r="A34" t="str">
            <v>Investments Govt Securities</v>
          </cell>
        </row>
      </sheetData>
      <sheetData sheetId="5431">
        <row r="34">
          <cell r="A34" t="str">
            <v>Investments Govt Securities</v>
          </cell>
        </row>
      </sheetData>
      <sheetData sheetId="5432">
        <row r="34">
          <cell r="A34" t="str">
            <v>Investments Govt Securities</v>
          </cell>
        </row>
      </sheetData>
      <sheetData sheetId="5433">
        <row r="34">
          <cell r="A34" t="str">
            <v>Investments Govt Securities</v>
          </cell>
        </row>
      </sheetData>
      <sheetData sheetId="5434">
        <row r="34">
          <cell r="A34" t="str">
            <v>Investments Govt Securities</v>
          </cell>
        </row>
      </sheetData>
      <sheetData sheetId="5435">
        <row r="34">
          <cell r="A34" t="str">
            <v>Investments Govt Securities</v>
          </cell>
        </row>
      </sheetData>
      <sheetData sheetId="5436">
        <row r="34">
          <cell r="A34" t="str">
            <v>Investments Govt Securities</v>
          </cell>
        </row>
      </sheetData>
      <sheetData sheetId="5437">
        <row r="34">
          <cell r="A34" t="str">
            <v>Investments Govt Securities</v>
          </cell>
        </row>
      </sheetData>
      <sheetData sheetId="5438">
        <row r="34">
          <cell r="A34" t="str">
            <v>Investments Govt Securities</v>
          </cell>
        </row>
      </sheetData>
      <sheetData sheetId="5439">
        <row r="34">
          <cell r="A34" t="str">
            <v>Investments Govt Securities</v>
          </cell>
        </row>
      </sheetData>
      <sheetData sheetId="5440">
        <row r="34">
          <cell r="A34" t="str">
            <v>Investments Govt Securities</v>
          </cell>
        </row>
      </sheetData>
      <sheetData sheetId="5441">
        <row r="34">
          <cell r="A34" t="str">
            <v>Investments Govt Securities</v>
          </cell>
        </row>
      </sheetData>
      <sheetData sheetId="5442">
        <row r="34">
          <cell r="A34" t="str">
            <v>Investments Govt Securities</v>
          </cell>
        </row>
      </sheetData>
      <sheetData sheetId="5443">
        <row r="34">
          <cell r="A34" t="str">
            <v>Investments Govt Securities</v>
          </cell>
        </row>
      </sheetData>
      <sheetData sheetId="5444">
        <row r="34">
          <cell r="A34" t="str">
            <v>Investments Govt Securities</v>
          </cell>
        </row>
      </sheetData>
      <sheetData sheetId="5445">
        <row r="34">
          <cell r="A34" t="str">
            <v>Investments Govt Securities</v>
          </cell>
        </row>
      </sheetData>
      <sheetData sheetId="5446">
        <row r="34">
          <cell r="A34" t="str">
            <v>Investments Govt Securities</v>
          </cell>
        </row>
      </sheetData>
      <sheetData sheetId="5447">
        <row r="34">
          <cell r="A34" t="str">
            <v>Investments Govt Securities</v>
          </cell>
        </row>
      </sheetData>
      <sheetData sheetId="5448">
        <row r="34">
          <cell r="A34" t="str">
            <v>Investments Govt Securities</v>
          </cell>
        </row>
      </sheetData>
      <sheetData sheetId="5449">
        <row r="34">
          <cell r="A34" t="str">
            <v>Investments Govt Securities</v>
          </cell>
        </row>
      </sheetData>
      <sheetData sheetId="5450">
        <row r="34">
          <cell r="A34" t="str">
            <v>Investments Govt Securities</v>
          </cell>
        </row>
      </sheetData>
      <sheetData sheetId="5451">
        <row r="34">
          <cell r="A34" t="str">
            <v>Investments Govt Securities</v>
          </cell>
        </row>
      </sheetData>
      <sheetData sheetId="5452">
        <row r="34">
          <cell r="A34" t="str">
            <v>Investments Govt Securities</v>
          </cell>
        </row>
      </sheetData>
      <sheetData sheetId="5453">
        <row r="34">
          <cell r="A34" t="str">
            <v>Investments Govt Securities</v>
          </cell>
        </row>
      </sheetData>
      <sheetData sheetId="5454">
        <row r="34">
          <cell r="A34" t="str">
            <v>Investments Govt Securities</v>
          </cell>
        </row>
      </sheetData>
      <sheetData sheetId="5455">
        <row r="34">
          <cell r="A34" t="str">
            <v>Investments Govt Securities</v>
          </cell>
        </row>
      </sheetData>
      <sheetData sheetId="5456">
        <row r="34">
          <cell r="A34" t="str">
            <v>Investments Govt Securities</v>
          </cell>
        </row>
      </sheetData>
      <sheetData sheetId="5457">
        <row r="34">
          <cell r="A34" t="str">
            <v>Investments Govt Securities</v>
          </cell>
        </row>
      </sheetData>
      <sheetData sheetId="5458">
        <row r="34">
          <cell r="A34" t="str">
            <v>Investments Govt Securities</v>
          </cell>
        </row>
      </sheetData>
      <sheetData sheetId="5459">
        <row r="34">
          <cell r="A34" t="str">
            <v>Investments Govt Securities</v>
          </cell>
        </row>
      </sheetData>
      <sheetData sheetId="5460">
        <row r="34">
          <cell r="A34" t="str">
            <v>Investments Govt Securities</v>
          </cell>
        </row>
      </sheetData>
      <sheetData sheetId="5461">
        <row r="34">
          <cell r="A34" t="str">
            <v>Investments Govt Securities</v>
          </cell>
        </row>
      </sheetData>
      <sheetData sheetId="5462">
        <row r="34">
          <cell r="A34" t="str">
            <v>Investments Govt Securities</v>
          </cell>
        </row>
      </sheetData>
      <sheetData sheetId="5463">
        <row r="34">
          <cell r="A34" t="str">
            <v>Investments Govt Securities</v>
          </cell>
        </row>
      </sheetData>
      <sheetData sheetId="5464">
        <row r="34">
          <cell r="A34" t="str">
            <v>Investments Govt Securities</v>
          </cell>
        </row>
      </sheetData>
      <sheetData sheetId="5465">
        <row r="34">
          <cell r="A34" t="str">
            <v>Investments Govt Securities</v>
          </cell>
        </row>
      </sheetData>
      <sheetData sheetId="5466">
        <row r="34">
          <cell r="A34" t="str">
            <v>Investments Govt Securities</v>
          </cell>
        </row>
      </sheetData>
      <sheetData sheetId="5467">
        <row r="34">
          <cell r="A34" t="str">
            <v>Investments Govt Securities</v>
          </cell>
        </row>
      </sheetData>
      <sheetData sheetId="5468">
        <row r="34">
          <cell r="A34" t="str">
            <v>Investments Govt Securities</v>
          </cell>
        </row>
      </sheetData>
      <sheetData sheetId="5469">
        <row r="34">
          <cell r="A34" t="str">
            <v>Investments Govt Securities</v>
          </cell>
        </row>
      </sheetData>
      <sheetData sheetId="5470">
        <row r="34">
          <cell r="A34" t="str">
            <v>Investments Govt Securities</v>
          </cell>
        </row>
      </sheetData>
      <sheetData sheetId="5471">
        <row r="34">
          <cell r="A34" t="str">
            <v>Investments Govt Securities</v>
          </cell>
        </row>
      </sheetData>
      <sheetData sheetId="5472">
        <row r="34">
          <cell r="A34" t="str">
            <v>Investments Govt Securities</v>
          </cell>
        </row>
      </sheetData>
      <sheetData sheetId="5473">
        <row r="34">
          <cell r="A34" t="str">
            <v>Investments Govt Securities</v>
          </cell>
        </row>
      </sheetData>
      <sheetData sheetId="5474">
        <row r="34">
          <cell r="A34" t="str">
            <v>Investments Govt Securities</v>
          </cell>
        </row>
      </sheetData>
      <sheetData sheetId="5475">
        <row r="34">
          <cell r="A34" t="str">
            <v>Investments Govt Securities</v>
          </cell>
        </row>
      </sheetData>
      <sheetData sheetId="5476">
        <row r="34">
          <cell r="A34" t="str">
            <v>Investments Govt Securities</v>
          </cell>
        </row>
      </sheetData>
      <sheetData sheetId="5477">
        <row r="34">
          <cell r="A34" t="str">
            <v>Investments Govt Securities</v>
          </cell>
        </row>
      </sheetData>
      <sheetData sheetId="5478">
        <row r="34">
          <cell r="A34" t="str">
            <v>Investments Govt Securities</v>
          </cell>
        </row>
      </sheetData>
      <sheetData sheetId="5479">
        <row r="34">
          <cell r="A34" t="str">
            <v>Investments Govt Securities</v>
          </cell>
        </row>
      </sheetData>
      <sheetData sheetId="5480">
        <row r="34">
          <cell r="A34" t="str">
            <v>Investments Govt Securities</v>
          </cell>
        </row>
      </sheetData>
      <sheetData sheetId="5481">
        <row r="34">
          <cell r="A34" t="str">
            <v>Investments Govt Securities</v>
          </cell>
        </row>
      </sheetData>
      <sheetData sheetId="5482">
        <row r="34">
          <cell r="A34" t="str">
            <v>Investments Govt Securities</v>
          </cell>
        </row>
      </sheetData>
      <sheetData sheetId="5483">
        <row r="34">
          <cell r="A34" t="str">
            <v>Investments Govt Securities</v>
          </cell>
        </row>
      </sheetData>
      <sheetData sheetId="5484">
        <row r="34">
          <cell r="A34" t="str">
            <v>Investments Govt Securities</v>
          </cell>
        </row>
      </sheetData>
      <sheetData sheetId="5485">
        <row r="34">
          <cell r="A34" t="str">
            <v>Investments Govt Securities</v>
          </cell>
        </row>
      </sheetData>
      <sheetData sheetId="5486">
        <row r="34">
          <cell r="A34" t="str">
            <v>Investments Govt Securities</v>
          </cell>
        </row>
      </sheetData>
      <sheetData sheetId="5487">
        <row r="34">
          <cell r="A34" t="str">
            <v>Investments Govt Securities</v>
          </cell>
        </row>
      </sheetData>
      <sheetData sheetId="5488">
        <row r="34">
          <cell r="A34" t="str">
            <v>Investments Govt Securities</v>
          </cell>
        </row>
      </sheetData>
      <sheetData sheetId="5489">
        <row r="34">
          <cell r="A34" t="str">
            <v>Investments Govt Securities</v>
          </cell>
        </row>
      </sheetData>
      <sheetData sheetId="5490">
        <row r="34">
          <cell r="A34" t="str">
            <v>Investments Govt Securities</v>
          </cell>
        </row>
      </sheetData>
      <sheetData sheetId="5491">
        <row r="34">
          <cell r="A34" t="str">
            <v>Investments Govt Securities</v>
          </cell>
        </row>
      </sheetData>
      <sheetData sheetId="5492">
        <row r="34">
          <cell r="A34" t="str">
            <v>Investments Govt Securities</v>
          </cell>
        </row>
      </sheetData>
      <sheetData sheetId="5493">
        <row r="34">
          <cell r="A34" t="str">
            <v>Investments Govt Securities</v>
          </cell>
        </row>
      </sheetData>
      <sheetData sheetId="5494">
        <row r="34">
          <cell r="A34" t="str">
            <v>Investments Govt Securities</v>
          </cell>
        </row>
      </sheetData>
      <sheetData sheetId="5495">
        <row r="34">
          <cell r="A34" t="str">
            <v>Investments Govt Securities</v>
          </cell>
        </row>
      </sheetData>
      <sheetData sheetId="5496">
        <row r="34">
          <cell r="A34" t="str">
            <v>Investments Govt Securities</v>
          </cell>
        </row>
      </sheetData>
      <sheetData sheetId="5497">
        <row r="34">
          <cell r="A34" t="str">
            <v>Investments Govt Securities</v>
          </cell>
        </row>
      </sheetData>
      <sheetData sheetId="5498">
        <row r="34">
          <cell r="A34" t="str">
            <v>Investments Govt Securities</v>
          </cell>
        </row>
      </sheetData>
      <sheetData sheetId="5499">
        <row r="34">
          <cell r="A34" t="str">
            <v>Investments Govt Securities</v>
          </cell>
        </row>
      </sheetData>
      <sheetData sheetId="5500">
        <row r="34">
          <cell r="A34" t="str">
            <v>Investments Govt Securities</v>
          </cell>
        </row>
      </sheetData>
      <sheetData sheetId="5501">
        <row r="34">
          <cell r="A34" t="str">
            <v>Investments Govt Securities</v>
          </cell>
        </row>
      </sheetData>
      <sheetData sheetId="5502">
        <row r="34">
          <cell r="A34" t="str">
            <v>Investments Govt Securities</v>
          </cell>
        </row>
      </sheetData>
      <sheetData sheetId="5503">
        <row r="34">
          <cell r="A34" t="str">
            <v>Investments Govt Securities</v>
          </cell>
        </row>
      </sheetData>
      <sheetData sheetId="5504">
        <row r="34">
          <cell r="A34" t="str">
            <v>Investments Govt Securities</v>
          </cell>
        </row>
      </sheetData>
      <sheetData sheetId="5505">
        <row r="34">
          <cell r="A34" t="str">
            <v>Investments Govt Securities</v>
          </cell>
        </row>
      </sheetData>
      <sheetData sheetId="5506">
        <row r="34">
          <cell r="A34" t="str">
            <v>Investments Govt Securities</v>
          </cell>
        </row>
      </sheetData>
      <sheetData sheetId="5507">
        <row r="34">
          <cell r="A34" t="str">
            <v>Investments Govt Securities</v>
          </cell>
        </row>
      </sheetData>
      <sheetData sheetId="5508">
        <row r="34">
          <cell r="A34" t="str">
            <v>Investments Govt Securities</v>
          </cell>
        </row>
      </sheetData>
      <sheetData sheetId="5509">
        <row r="34">
          <cell r="A34" t="str">
            <v>Investments Govt Securities</v>
          </cell>
        </row>
      </sheetData>
      <sheetData sheetId="5510">
        <row r="34">
          <cell r="A34" t="str">
            <v>Investments Govt Securities</v>
          </cell>
        </row>
      </sheetData>
      <sheetData sheetId="5511">
        <row r="34">
          <cell r="A34" t="str">
            <v>Investments Govt Securities</v>
          </cell>
        </row>
      </sheetData>
      <sheetData sheetId="5512">
        <row r="34">
          <cell r="A34" t="str">
            <v>Investments Govt Securities</v>
          </cell>
        </row>
      </sheetData>
      <sheetData sheetId="5513">
        <row r="34">
          <cell r="A34" t="str">
            <v>Investments Govt Securities</v>
          </cell>
        </row>
      </sheetData>
      <sheetData sheetId="5514">
        <row r="34">
          <cell r="A34" t="str">
            <v>Investments Govt Securities</v>
          </cell>
        </row>
      </sheetData>
      <sheetData sheetId="5515">
        <row r="34">
          <cell r="A34" t="str">
            <v>Investments Govt Securities</v>
          </cell>
        </row>
      </sheetData>
      <sheetData sheetId="5516">
        <row r="34">
          <cell r="A34" t="str">
            <v>Investments Govt Securities</v>
          </cell>
        </row>
      </sheetData>
      <sheetData sheetId="5517">
        <row r="34">
          <cell r="A34" t="str">
            <v>Investments Govt Securities</v>
          </cell>
        </row>
      </sheetData>
      <sheetData sheetId="5518">
        <row r="34">
          <cell r="A34" t="str">
            <v>Investments Govt Securities</v>
          </cell>
        </row>
      </sheetData>
      <sheetData sheetId="5519">
        <row r="34">
          <cell r="A34" t="str">
            <v>Investments Govt Securities</v>
          </cell>
        </row>
      </sheetData>
      <sheetData sheetId="5520">
        <row r="34">
          <cell r="A34" t="str">
            <v>Investments Govt Securities</v>
          </cell>
        </row>
      </sheetData>
      <sheetData sheetId="5521">
        <row r="34">
          <cell r="A34" t="str">
            <v>Investments Govt Securities</v>
          </cell>
        </row>
      </sheetData>
      <sheetData sheetId="5522">
        <row r="34">
          <cell r="A34" t="str">
            <v>Investments Govt Securities</v>
          </cell>
        </row>
      </sheetData>
      <sheetData sheetId="5523">
        <row r="34">
          <cell r="A34" t="str">
            <v>Investments Govt Securities</v>
          </cell>
        </row>
      </sheetData>
      <sheetData sheetId="5524">
        <row r="34">
          <cell r="A34" t="str">
            <v>Investments Govt Securities</v>
          </cell>
        </row>
      </sheetData>
      <sheetData sheetId="5525">
        <row r="34">
          <cell r="A34" t="str">
            <v>Investments Govt Securities</v>
          </cell>
        </row>
      </sheetData>
      <sheetData sheetId="5526">
        <row r="34">
          <cell r="A34" t="str">
            <v>Investments Govt Securities</v>
          </cell>
        </row>
      </sheetData>
      <sheetData sheetId="5527">
        <row r="34">
          <cell r="A34" t="str">
            <v>Investments Govt Securities</v>
          </cell>
        </row>
      </sheetData>
      <sheetData sheetId="5528">
        <row r="34">
          <cell r="A34" t="str">
            <v>Investments Govt Securities</v>
          </cell>
        </row>
      </sheetData>
      <sheetData sheetId="5529">
        <row r="34">
          <cell r="A34" t="str">
            <v>Investments Govt Securities</v>
          </cell>
        </row>
      </sheetData>
      <sheetData sheetId="5530">
        <row r="34">
          <cell r="A34" t="str">
            <v>Investments Govt Securities</v>
          </cell>
        </row>
      </sheetData>
      <sheetData sheetId="5531">
        <row r="34">
          <cell r="A34" t="str">
            <v>Investments Govt Securities</v>
          </cell>
        </row>
      </sheetData>
      <sheetData sheetId="5532">
        <row r="34">
          <cell r="A34" t="str">
            <v>Investments Govt Securities</v>
          </cell>
        </row>
      </sheetData>
      <sheetData sheetId="5533">
        <row r="34">
          <cell r="A34" t="str">
            <v>Investments Govt Securities</v>
          </cell>
        </row>
      </sheetData>
      <sheetData sheetId="5534">
        <row r="34">
          <cell r="A34" t="str">
            <v>Investments Govt Securities</v>
          </cell>
        </row>
      </sheetData>
      <sheetData sheetId="5535">
        <row r="34">
          <cell r="A34" t="str">
            <v>Investments Govt Securities</v>
          </cell>
        </row>
      </sheetData>
      <sheetData sheetId="5536">
        <row r="34">
          <cell r="A34" t="str">
            <v>Investments Govt Securities</v>
          </cell>
        </row>
      </sheetData>
      <sheetData sheetId="5537">
        <row r="34">
          <cell r="A34" t="str">
            <v>Investments Govt Securities</v>
          </cell>
        </row>
      </sheetData>
      <sheetData sheetId="5538">
        <row r="34">
          <cell r="A34" t="str">
            <v>Investments Govt Securities</v>
          </cell>
        </row>
      </sheetData>
      <sheetData sheetId="5539">
        <row r="34">
          <cell r="A34" t="str">
            <v>Investments Govt Securities</v>
          </cell>
        </row>
      </sheetData>
      <sheetData sheetId="5540">
        <row r="34">
          <cell r="A34" t="str">
            <v>Investments Govt Securities</v>
          </cell>
        </row>
      </sheetData>
      <sheetData sheetId="5541">
        <row r="34">
          <cell r="A34" t="str">
            <v>Investments Govt Securities</v>
          </cell>
        </row>
      </sheetData>
      <sheetData sheetId="5542">
        <row r="34">
          <cell r="A34" t="str">
            <v>Investments Govt Securities</v>
          </cell>
        </row>
      </sheetData>
      <sheetData sheetId="5543">
        <row r="34">
          <cell r="A34" t="str">
            <v>Investments Govt Securities</v>
          </cell>
        </row>
      </sheetData>
      <sheetData sheetId="5544">
        <row r="34">
          <cell r="A34" t="str">
            <v>Investments Govt Securities</v>
          </cell>
        </row>
      </sheetData>
      <sheetData sheetId="5545">
        <row r="34">
          <cell r="A34" t="str">
            <v>Investments Govt Securities</v>
          </cell>
        </row>
      </sheetData>
      <sheetData sheetId="5546">
        <row r="34">
          <cell r="A34" t="str">
            <v>Investments Govt Securities</v>
          </cell>
        </row>
      </sheetData>
      <sheetData sheetId="5547">
        <row r="34">
          <cell r="A34" t="str">
            <v>Investments Govt Securities</v>
          </cell>
        </row>
      </sheetData>
      <sheetData sheetId="5548">
        <row r="34">
          <cell r="A34" t="str">
            <v>Investments Govt Securities</v>
          </cell>
        </row>
      </sheetData>
      <sheetData sheetId="5549">
        <row r="34">
          <cell r="A34" t="str">
            <v>Investments Govt Securities</v>
          </cell>
        </row>
      </sheetData>
      <sheetData sheetId="5550">
        <row r="34">
          <cell r="A34" t="str">
            <v>Investments Govt Securities</v>
          </cell>
        </row>
      </sheetData>
      <sheetData sheetId="5551">
        <row r="34">
          <cell r="A34" t="str">
            <v>Investments Govt Securities</v>
          </cell>
        </row>
      </sheetData>
      <sheetData sheetId="5552">
        <row r="34">
          <cell r="A34" t="str">
            <v>Investments Govt Securities</v>
          </cell>
        </row>
      </sheetData>
      <sheetData sheetId="5553">
        <row r="34">
          <cell r="A34" t="str">
            <v>Investments Govt Securities</v>
          </cell>
        </row>
      </sheetData>
      <sheetData sheetId="5554">
        <row r="34">
          <cell r="A34" t="str">
            <v>Investments Govt Securities</v>
          </cell>
        </row>
      </sheetData>
      <sheetData sheetId="5555">
        <row r="34">
          <cell r="A34" t="str">
            <v>Investments Govt Securities</v>
          </cell>
        </row>
      </sheetData>
      <sheetData sheetId="5556">
        <row r="34">
          <cell r="A34" t="str">
            <v>Investments Govt Securities</v>
          </cell>
        </row>
      </sheetData>
      <sheetData sheetId="5557">
        <row r="34">
          <cell r="A34" t="str">
            <v>Investments Govt Securities</v>
          </cell>
        </row>
      </sheetData>
      <sheetData sheetId="5558">
        <row r="34">
          <cell r="A34" t="str">
            <v>Investments Govt Securities</v>
          </cell>
        </row>
      </sheetData>
      <sheetData sheetId="5559">
        <row r="34">
          <cell r="A34" t="str">
            <v>Investments Govt Securities</v>
          </cell>
        </row>
      </sheetData>
      <sheetData sheetId="5560">
        <row r="34">
          <cell r="A34" t="str">
            <v>Investments Govt Securities</v>
          </cell>
        </row>
      </sheetData>
      <sheetData sheetId="5561">
        <row r="34">
          <cell r="A34" t="str">
            <v>Investments Govt Securities</v>
          </cell>
        </row>
      </sheetData>
      <sheetData sheetId="5562">
        <row r="34">
          <cell r="A34" t="str">
            <v>Investments Govt Securities</v>
          </cell>
        </row>
      </sheetData>
      <sheetData sheetId="5563">
        <row r="34">
          <cell r="A34" t="str">
            <v>Investments Govt Securities</v>
          </cell>
        </row>
      </sheetData>
      <sheetData sheetId="5564">
        <row r="34">
          <cell r="A34" t="str">
            <v>Investments Govt Securities</v>
          </cell>
        </row>
      </sheetData>
      <sheetData sheetId="5565">
        <row r="34">
          <cell r="A34" t="str">
            <v>Investments Govt Securities</v>
          </cell>
        </row>
      </sheetData>
      <sheetData sheetId="5566">
        <row r="34">
          <cell r="A34" t="str">
            <v>Investments Govt Securities</v>
          </cell>
        </row>
      </sheetData>
      <sheetData sheetId="5567">
        <row r="34">
          <cell r="A34" t="str">
            <v>Investments Govt Securities</v>
          </cell>
        </row>
      </sheetData>
      <sheetData sheetId="5568">
        <row r="34">
          <cell r="A34" t="str">
            <v>Investments Govt Securities</v>
          </cell>
        </row>
      </sheetData>
      <sheetData sheetId="5569">
        <row r="34">
          <cell r="A34" t="str">
            <v>Investments Govt Securities</v>
          </cell>
        </row>
      </sheetData>
      <sheetData sheetId="5570">
        <row r="34">
          <cell r="A34" t="str">
            <v>Investments Govt Securities</v>
          </cell>
        </row>
      </sheetData>
      <sheetData sheetId="5571">
        <row r="34">
          <cell r="A34" t="str">
            <v>Investments Govt Securities</v>
          </cell>
        </row>
      </sheetData>
      <sheetData sheetId="5572">
        <row r="34">
          <cell r="A34" t="str">
            <v>Investments Govt Securities</v>
          </cell>
        </row>
      </sheetData>
      <sheetData sheetId="5573">
        <row r="34">
          <cell r="A34" t="str">
            <v>Investments Govt Securities</v>
          </cell>
        </row>
      </sheetData>
      <sheetData sheetId="5574">
        <row r="34">
          <cell r="A34" t="str">
            <v>Investments Govt Securities</v>
          </cell>
        </row>
      </sheetData>
      <sheetData sheetId="5575">
        <row r="34">
          <cell r="A34" t="str">
            <v>Investments Govt Securities</v>
          </cell>
        </row>
      </sheetData>
      <sheetData sheetId="5576">
        <row r="34">
          <cell r="A34" t="str">
            <v>Investments Govt Securities</v>
          </cell>
        </row>
      </sheetData>
      <sheetData sheetId="5577">
        <row r="34">
          <cell r="A34" t="str">
            <v>Investments Govt Securities</v>
          </cell>
        </row>
      </sheetData>
      <sheetData sheetId="5578">
        <row r="34">
          <cell r="A34" t="str">
            <v>Investments Govt Securities</v>
          </cell>
        </row>
      </sheetData>
      <sheetData sheetId="5579">
        <row r="34">
          <cell r="A34" t="str">
            <v>Investments Govt Securities</v>
          </cell>
        </row>
      </sheetData>
      <sheetData sheetId="5580">
        <row r="34">
          <cell r="A34" t="str">
            <v>Investments Govt Securities</v>
          </cell>
        </row>
      </sheetData>
      <sheetData sheetId="5581">
        <row r="34">
          <cell r="A34" t="str">
            <v>Investments Govt Securities</v>
          </cell>
        </row>
      </sheetData>
      <sheetData sheetId="5582">
        <row r="34">
          <cell r="A34" t="str">
            <v>Investments Govt Securities</v>
          </cell>
        </row>
      </sheetData>
      <sheetData sheetId="5583">
        <row r="34">
          <cell r="A34" t="str">
            <v>Investments Govt Securities</v>
          </cell>
        </row>
      </sheetData>
      <sheetData sheetId="5584">
        <row r="34">
          <cell r="A34" t="str">
            <v>Investments Govt Securities</v>
          </cell>
        </row>
      </sheetData>
      <sheetData sheetId="5585">
        <row r="34">
          <cell r="A34" t="str">
            <v>Investments Govt Securities</v>
          </cell>
        </row>
      </sheetData>
      <sheetData sheetId="5586">
        <row r="34">
          <cell r="A34" t="str">
            <v>Investments Govt Securities</v>
          </cell>
        </row>
      </sheetData>
      <sheetData sheetId="5587">
        <row r="34">
          <cell r="A34" t="str">
            <v>Investments Govt Securities</v>
          </cell>
        </row>
      </sheetData>
      <sheetData sheetId="5588">
        <row r="34">
          <cell r="A34" t="str">
            <v>Investments Govt Securities</v>
          </cell>
        </row>
      </sheetData>
      <sheetData sheetId="5589">
        <row r="34">
          <cell r="A34" t="str">
            <v>Investments Govt Securities</v>
          </cell>
        </row>
      </sheetData>
      <sheetData sheetId="5590">
        <row r="34">
          <cell r="A34" t="str">
            <v>Investments Govt Securities</v>
          </cell>
        </row>
      </sheetData>
      <sheetData sheetId="5591">
        <row r="34">
          <cell r="A34" t="str">
            <v>Investments Govt Securities</v>
          </cell>
        </row>
      </sheetData>
      <sheetData sheetId="5592">
        <row r="34">
          <cell r="A34" t="str">
            <v>Investments Govt Securities</v>
          </cell>
        </row>
      </sheetData>
      <sheetData sheetId="5593">
        <row r="34">
          <cell r="A34" t="str">
            <v>Investments Govt Securities</v>
          </cell>
        </row>
      </sheetData>
      <sheetData sheetId="5594">
        <row r="34">
          <cell r="A34" t="str">
            <v>Investments Govt Securities</v>
          </cell>
        </row>
      </sheetData>
      <sheetData sheetId="5595">
        <row r="34">
          <cell r="A34" t="str">
            <v>Investments Govt Securities</v>
          </cell>
        </row>
      </sheetData>
      <sheetData sheetId="5596">
        <row r="34">
          <cell r="A34" t="str">
            <v>Investments Govt Securities</v>
          </cell>
        </row>
      </sheetData>
      <sheetData sheetId="5597">
        <row r="34">
          <cell r="A34" t="str">
            <v>Investments Govt Securities</v>
          </cell>
        </row>
      </sheetData>
      <sheetData sheetId="5598">
        <row r="34">
          <cell r="A34" t="str">
            <v>Investments Govt Securities</v>
          </cell>
        </row>
      </sheetData>
      <sheetData sheetId="5599">
        <row r="34">
          <cell r="A34" t="str">
            <v>Investments Govt Securities</v>
          </cell>
        </row>
      </sheetData>
      <sheetData sheetId="5600">
        <row r="34">
          <cell r="A34" t="str">
            <v>Investments Govt Securities</v>
          </cell>
        </row>
      </sheetData>
      <sheetData sheetId="5601">
        <row r="34">
          <cell r="A34" t="str">
            <v>Investments Govt Securities</v>
          </cell>
        </row>
      </sheetData>
      <sheetData sheetId="5602">
        <row r="34">
          <cell r="A34" t="str">
            <v>Investments Govt Securities</v>
          </cell>
        </row>
      </sheetData>
      <sheetData sheetId="5603">
        <row r="34">
          <cell r="A34" t="str">
            <v>Investments Govt Securities</v>
          </cell>
        </row>
      </sheetData>
      <sheetData sheetId="5604">
        <row r="34">
          <cell r="A34" t="str">
            <v>Investments Govt Securities</v>
          </cell>
        </row>
      </sheetData>
      <sheetData sheetId="5605">
        <row r="34">
          <cell r="A34" t="str">
            <v>Investments Govt Securities</v>
          </cell>
        </row>
      </sheetData>
      <sheetData sheetId="5606">
        <row r="34">
          <cell r="A34" t="str">
            <v>Investments Govt Securities</v>
          </cell>
        </row>
      </sheetData>
      <sheetData sheetId="5607">
        <row r="34">
          <cell r="A34" t="str">
            <v>Investments Govt Securities</v>
          </cell>
        </row>
      </sheetData>
      <sheetData sheetId="5608">
        <row r="34">
          <cell r="A34" t="str">
            <v>Investments Govt Securities</v>
          </cell>
        </row>
      </sheetData>
      <sheetData sheetId="5609">
        <row r="34">
          <cell r="A34" t="str">
            <v>Investments Govt Securities</v>
          </cell>
        </row>
      </sheetData>
      <sheetData sheetId="5610">
        <row r="34">
          <cell r="A34" t="str">
            <v>Investments Govt Securities</v>
          </cell>
        </row>
      </sheetData>
      <sheetData sheetId="5611">
        <row r="34">
          <cell r="A34" t="str">
            <v>Investments Govt Securities</v>
          </cell>
        </row>
      </sheetData>
      <sheetData sheetId="5612">
        <row r="34">
          <cell r="A34" t="str">
            <v>Investments Govt Securities</v>
          </cell>
        </row>
      </sheetData>
      <sheetData sheetId="5613">
        <row r="34">
          <cell r="A34" t="str">
            <v>Investments Govt Securities</v>
          </cell>
        </row>
      </sheetData>
      <sheetData sheetId="5614">
        <row r="34">
          <cell r="A34" t="str">
            <v>Investments Govt Securities</v>
          </cell>
        </row>
      </sheetData>
      <sheetData sheetId="5615">
        <row r="34">
          <cell r="A34" t="str">
            <v>Investments Govt Securities</v>
          </cell>
        </row>
      </sheetData>
      <sheetData sheetId="5616">
        <row r="34">
          <cell r="A34" t="str">
            <v>Investments Govt Securities</v>
          </cell>
        </row>
      </sheetData>
      <sheetData sheetId="5617">
        <row r="34">
          <cell r="A34" t="str">
            <v>Investments Govt Securities</v>
          </cell>
        </row>
      </sheetData>
      <sheetData sheetId="5618">
        <row r="34">
          <cell r="A34" t="str">
            <v>Investments Govt Securities</v>
          </cell>
        </row>
      </sheetData>
      <sheetData sheetId="5619">
        <row r="34">
          <cell r="A34" t="str">
            <v>Investments Govt Securities</v>
          </cell>
        </row>
      </sheetData>
      <sheetData sheetId="5620">
        <row r="34">
          <cell r="A34" t="str">
            <v>Investments Govt Securities</v>
          </cell>
        </row>
      </sheetData>
      <sheetData sheetId="5621">
        <row r="34">
          <cell r="A34" t="str">
            <v>Investments Govt Securities</v>
          </cell>
        </row>
      </sheetData>
      <sheetData sheetId="5622">
        <row r="34">
          <cell r="A34" t="str">
            <v>Investments Govt Securities</v>
          </cell>
        </row>
      </sheetData>
      <sheetData sheetId="5623">
        <row r="34">
          <cell r="A34" t="str">
            <v>Investments Govt Securities</v>
          </cell>
        </row>
      </sheetData>
      <sheetData sheetId="5624">
        <row r="34">
          <cell r="A34" t="str">
            <v>Investments Govt Securities</v>
          </cell>
        </row>
      </sheetData>
      <sheetData sheetId="5625">
        <row r="34">
          <cell r="A34" t="str">
            <v>Investments Govt Securities</v>
          </cell>
        </row>
      </sheetData>
      <sheetData sheetId="5626">
        <row r="34">
          <cell r="A34" t="str">
            <v>Investments Govt Securities</v>
          </cell>
        </row>
      </sheetData>
      <sheetData sheetId="5627">
        <row r="34">
          <cell r="A34" t="str">
            <v>Investments Govt Securities</v>
          </cell>
        </row>
      </sheetData>
      <sheetData sheetId="5628">
        <row r="34">
          <cell r="A34" t="str">
            <v>Investments Govt Securities</v>
          </cell>
        </row>
      </sheetData>
      <sheetData sheetId="5629">
        <row r="34">
          <cell r="A34" t="str">
            <v>Investments Govt Securities</v>
          </cell>
        </row>
      </sheetData>
      <sheetData sheetId="5630">
        <row r="34">
          <cell r="A34" t="str">
            <v>Investments Govt Securities</v>
          </cell>
        </row>
      </sheetData>
      <sheetData sheetId="5631">
        <row r="34">
          <cell r="A34" t="str">
            <v>Investments Govt Securities</v>
          </cell>
        </row>
      </sheetData>
      <sheetData sheetId="5632">
        <row r="34">
          <cell r="A34" t="str">
            <v>Investments Govt Securities</v>
          </cell>
        </row>
      </sheetData>
      <sheetData sheetId="5633">
        <row r="34">
          <cell r="A34" t="str">
            <v>Investments Govt Securities</v>
          </cell>
        </row>
      </sheetData>
      <sheetData sheetId="5634">
        <row r="34">
          <cell r="A34" t="str">
            <v>Investments Govt Securities</v>
          </cell>
        </row>
      </sheetData>
      <sheetData sheetId="5635">
        <row r="34">
          <cell r="A34" t="str">
            <v>Investments Govt Securities</v>
          </cell>
        </row>
      </sheetData>
      <sheetData sheetId="5636">
        <row r="34">
          <cell r="A34" t="str">
            <v>Investments Govt Securities</v>
          </cell>
        </row>
      </sheetData>
      <sheetData sheetId="5637">
        <row r="34">
          <cell r="A34" t="str">
            <v>Investments Govt Securities</v>
          </cell>
        </row>
      </sheetData>
      <sheetData sheetId="5638">
        <row r="34">
          <cell r="A34" t="str">
            <v>Investments Govt Securities</v>
          </cell>
        </row>
      </sheetData>
      <sheetData sheetId="5639">
        <row r="34">
          <cell r="A34" t="str">
            <v>Investments Govt Securities</v>
          </cell>
        </row>
      </sheetData>
      <sheetData sheetId="5640">
        <row r="34">
          <cell r="A34" t="str">
            <v>Investments Govt Securities</v>
          </cell>
        </row>
      </sheetData>
      <sheetData sheetId="5641">
        <row r="34">
          <cell r="A34" t="str">
            <v>Investments Govt Securities</v>
          </cell>
        </row>
      </sheetData>
      <sheetData sheetId="5642">
        <row r="34">
          <cell r="A34" t="str">
            <v>Investments Govt Securities</v>
          </cell>
        </row>
      </sheetData>
      <sheetData sheetId="5643">
        <row r="34">
          <cell r="A34" t="str">
            <v>Investments Govt Securities</v>
          </cell>
        </row>
      </sheetData>
      <sheetData sheetId="5644">
        <row r="34">
          <cell r="A34" t="str">
            <v>Investments Govt Securities</v>
          </cell>
        </row>
      </sheetData>
      <sheetData sheetId="5645">
        <row r="34">
          <cell r="A34" t="str">
            <v>Investments Govt Securities</v>
          </cell>
        </row>
      </sheetData>
      <sheetData sheetId="5646">
        <row r="34">
          <cell r="A34" t="str">
            <v>Investments Govt Securities</v>
          </cell>
        </row>
      </sheetData>
      <sheetData sheetId="5647">
        <row r="34">
          <cell r="A34" t="str">
            <v>Investments Govt Securities</v>
          </cell>
        </row>
      </sheetData>
      <sheetData sheetId="5648">
        <row r="34">
          <cell r="A34" t="str">
            <v>Investments Govt Securities</v>
          </cell>
        </row>
      </sheetData>
      <sheetData sheetId="5649">
        <row r="34">
          <cell r="A34" t="str">
            <v>Investments Govt Securities</v>
          </cell>
        </row>
      </sheetData>
      <sheetData sheetId="5650">
        <row r="34">
          <cell r="A34" t="str">
            <v>Investments Govt Securities</v>
          </cell>
        </row>
      </sheetData>
      <sheetData sheetId="5651">
        <row r="34">
          <cell r="A34" t="str">
            <v>Investments Govt Securities</v>
          </cell>
        </row>
      </sheetData>
      <sheetData sheetId="5652">
        <row r="34">
          <cell r="A34" t="str">
            <v>Investments Govt Securities</v>
          </cell>
        </row>
      </sheetData>
      <sheetData sheetId="5653">
        <row r="34">
          <cell r="A34" t="str">
            <v>Investments Govt Securities</v>
          </cell>
        </row>
      </sheetData>
      <sheetData sheetId="5654">
        <row r="34">
          <cell r="A34" t="str">
            <v>Investments Govt Securities</v>
          </cell>
        </row>
      </sheetData>
      <sheetData sheetId="5655">
        <row r="34">
          <cell r="A34" t="str">
            <v>Investments Govt Securities</v>
          </cell>
        </row>
      </sheetData>
      <sheetData sheetId="5656">
        <row r="34">
          <cell r="A34" t="str">
            <v>Investments Govt Securities</v>
          </cell>
        </row>
      </sheetData>
      <sheetData sheetId="5657">
        <row r="34">
          <cell r="A34" t="str">
            <v>Investments Govt Securities</v>
          </cell>
        </row>
      </sheetData>
      <sheetData sheetId="5658">
        <row r="34">
          <cell r="A34" t="str">
            <v>Investments Govt Securities</v>
          </cell>
        </row>
      </sheetData>
      <sheetData sheetId="5659">
        <row r="34">
          <cell r="A34" t="str">
            <v>Investments Govt Securities</v>
          </cell>
        </row>
      </sheetData>
      <sheetData sheetId="5660">
        <row r="34">
          <cell r="A34" t="str">
            <v>Investments Govt Securities</v>
          </cell>
        </row>
      </sheetData>
      <sheetData sheetId="5661">
        <row r="34">
          <cell r="A34" t="str">
            <v>Investments Govt Securities</v>
          </cell>
        </row>
      </sheetData>
      <sheetData sheetId="5662">
        <row r="34">
          <cell r="A34" t="str">
            <v>Investments Govt Securities</v>
          </cell>
        </row>
      </sheetData>
      <sheetData sheetId="5663">
        <row r="34">
          <cell r="A34" t="str">
            <v>Investments Govt Securities</v>
          </cell>
        </row>
      </sheetData>
      <sheetData sheetId="5664">
        <row r="34">
          <cell r="A34" t="str">
            <v>Investments Govt Securities</v>
          </cell>
        </row>
      </sheetData>
      <sheetData sheetId="5665">
        <row r="34">
          <cell r="A34" t="str">
            <v>Investments Govt Securities</v>
          </cell>
        </row>
      </sheetData>
      <sheetData sheetId="5666">
        <row r="34">
          <cell r="A34" t="str">
            <v>Investments Govt Securities</v>
          </cell>
        </row>
      </sheetData>
      <sheetData sheetId="5667">
        <row r="34">
          <cell r="A34" t="str">
            <v>Investments Govt Securities</v>
          </cell>
        </row>
      </sheetData>
      <sheetData sheetId="5668">
        <row r="34">
          <cell r="A34" t="str">
            <v>Investments Govt Securities</v>
          </cell>
        </row>
      </sheetData>
      <sheetData sheetId="5669">
        <row r="34">
          <cell r="A34" t="str">
            <v>Investments Govt Securities</v>
          </cell>
        </row>
      </sheetData>
      <sheetData sheetId="5670">
        <row r="34">
          <cell r="A34" t="str">
            <v>Investments Govt Securities</v>
          </cell>
        </row>
      </sheetData>
      <sheetData sheetId="5671">
        <row r="34">
          <cell r="A34" t="str">
            <v>Investments Govt Securities</v>
          </cell>
        </row>
      </sheetData>
      <sheetData sheetId="5672">
        <row r="34">
          <cell r="A34" t="str">
            <v>Investments Govt Securities</v>
          </cell>
        </row>
      </sheetData>
      <sheetData sheetId="5673">
        <row r="34">
          <cell r="A34" t="str">
            <v>Investments Govt Securities</v>
          </cell>
        </row>
      </sheetData>
      <sheetData sheetId="5674">
        <row r="34">
          <cell r="A34" t="str">
            <v>Investments Govt Securities</v>
          </cell>
        </row>
      </sheetData>
      <sheetData sheetId="5675">
        <row r="34">
          <cell r="A34" t="str">
            <v>Investments Govt Securities</v>
          </cell>
        </row>
      </sheetData>
      <sheetData sheetId="5676">
        <row r="34">
          <cell r="A34" t="str">
            <v>Investments Govt Securities</v>
          </cell>
        </row>
      </sheetData>
      <sheetData sheetId="5677">
        <row r="34">
          <cell r="A34" t="str">
            <v>Investments Govt Securities</v>
          </cell>
        </row>
      </sheetData>
      <sheetData sheetId="5678">
        <row r="34">
          <cell r="A34" t="str">
            <v>Investments Govt Securities</v>
          </cell>
        </row>
      </sheetData>
      <sheetData sheetId="5679">
        <row r="34">
          <cell r="A34" t="str">
            <v>Investments Govt Securities</v>
          </cell>
        </row>
      </sheetData>
      <sheetData sheetId="5680">
        <row r="34">
          <cell r="A34" t="str">
            <v>Investments Govt Securities</v>
          </cell>
        </row>
      </sheetData>
      <sheetData sheetId="5681">
        <row r="34">
          <cell r="A34" t="str">
            <v>Investments Govt Securities</v>
          </cell>
        </row>
      </sheetData>
      <sheetData sheetId="5682">
        <row r="34">
          <cell r="A34" t="str">
            <v>Investments Govt Securities</v>
          </cell>
        </row>
      </sheetData>
      <sheetData sheetId="5683">
        <row r="34">
          <cell r="A34" t="str">
            <v>Investments Govt Securities</v>
          </cell>
        </row>
      </sheetData>
      <sheetData sheetId="5684">
        <row r="34">
          <cell r="A34" t="str">
            <v>Investments Govt Securities</v>
          </cell>
        </row>
      </sheetData>
      <sheetData sheetId="5685">
        <row r="34">
          <cell r="A34" t="str">
            <v>Investments Govt Securities</v>
          </cell>
        </row>
      </sheetData>
      <sheetData sheetId="5686">
        <row r="34">
          <cell r="A34" t="str">
            <v>Investments Govt Securities</v>
          </cell>
        </row>
      </sheetData>
      <sheetData sheetId="5687">
        <row r="34">
          <cell r="A34" t="str">
            <v>Investments Govt Securities</v>
          </cell>
        </row>
      </sheetData>
      <sheetData sheetId="5688">
        <row r="34">
          <cell r="A34" t="str">
            <v>Investments Govt Securities</v>
          </cell>
        </row>
      </sheetData>
      <sheetData sheetId="5689">
        <row r="34">
          <cell r="A34" t="str">
            <v>Investments Govt Securities</v>
          </cell>
        </row>
      </sheetData>
      <sheetData sheetId="5690">
        <row r="34">
          <cell r="A34" t="str">
            <v>Investments Govt Securities</v>
          </cell>
        </row>
      </sheetData>
      <sheetData sheetId="5691">
        <row r="34">
          <cell r="A34" t="str">
            <v>Investments Govt Securities</v>
          </cell>
        </row>
      </sheetData>
      <sheetData sheetId="5692">
        <row r="34">
          <cell r="A34" t="str">
            <v>Investments Govt Securities</v>
          </cell>
        </row>
      </sheetData>
      <sheetData sheetId="5693">
        <row r="34">
          <cell r="A34" t="str">
            <v>Investments Govt Securities</v>
          </cell>
        </row>
      </sheetData>
      <sheetData sheetId="5694">
        <row r="34">
          <cell r="A34" t="str">
            <v>Investments Govt Securities</v>
          </cell>
        </row>
      </sheetData>
      <sheetData sheetId="5695">
        <row r="34">
          <cell r="A34" t="str">
            <v>Investments Govt Securities</v>
          </cell>
        </row>
      </sheetData>
      <sheetData sheetId="5696">
        <row r="34">
          <cell r="A34" t="str">
            <v>Investments Govt Securities</v>
          </cell>
        </row>
      </sheetData>
      <sheetData sheetId="5697">
        <row r="34">
          <cell r="A34" t="str">
            <v>Investments Govt Securities</v>
          </cell>
        </row>
      </sheetData>
      <sheetData sheetId="5698">
        <row r="34">
          <cell r="A34" t="str">
            <v>Investments Govt Securities</v>
          </cell>
        </row>
      </sheetData>
      <sheetData sheetId="5699">
        <row r="34">
          <cell r="A34" t="str">
            <v>Investments Govt Securities</v>
          </cell>
        </row>
      </sheetData>
      <sheetData sheetId="5700">
        <row r="34">
          <cell r="A34" t="str">
            <v>Investments Govt Securities</v>
          </cell>
        </row>
      </sheetData>
      <sheetData sheetId="5701">
        <row r="34">
          <cell r="A34" t="str">
            <v>Investments Govt Securities</v>
          </cell>
        </row>
      </sheetData>
      <sheetData sheetId="5702">
        <row r="34">
          <cell r="A34" t="str">
            <v>Investments Govt Securities</v>
          </cell>
        </row>
      </sheetData>
      <sheetData sheetId="5703">
        <row r="34">
          <cell r="A34" t="str">
            <v>Investments Govt Securities</v>
          </cell>
        </row>
      </sheetData>
      <sheetData sheetId="5704">
        <row r="34">
          <cell r="A34" t="str">
            <v>Investments Govt Securities</v>
          </cell>
        </row>
      </sheetData>
      <sheetData sheetId="5705">
        <row r="34">
          <cell r="A34" t="str">
            <v>Investments Govt Securities</v>
          </cell>
        </row>
      </sheetData>
      <sheetData sheetId="5706">
        <row r="34">
          <cell r="A34" t="str">
            <v>Investments Govt Securities</v>
          </cell>
        </row>
      </sheetData>
      <sheetData sheetId="5707">
        <row r="34">
          <cell r="A34" t="str">
            <v>Investments Govt Securities</v>
          </cell>
        </row>
      </sheetData>
      <sheetData sheetId="5708">
        <row r="34">
          <cell r="A34" t="str">
            <v>Investments Govt Securities</v>
          </cell>
        </row>
      </sheetData>
      <sheetData sheetId="5709">
        <row r="34">
          <cell r="A34" t="str">
            <v>Investments Govt Securities</v>
          </cell>
        </row>
      </sheetData>
      <sheetData sheetId="5710">
        <row r="34">
          <cell r="A34" t="str">
            <v>Investments Govt Securities</v>
          </cell>
        </row>
      </sheetData>
      <sheetData sheetId="5711">
        <row r="34">
          <cell r="A34" t="str">
            <v>Investments Govt Securities</v>
          </cell>
        </row>
      </sheetData>
      <sheetData sheetId="5712">
        <row r="34">
          <cell r="A34" t="str">
            <v>Investments Govt Securities</v>
          </cell>
        </row>
      </sheetData>
      <sheetData sheetId="5713">
        <row r="34">
          <cell r="A34" t="str">
            <v>Investments Govt Securities</v>
          </cell>
        </row>
      </sheetData>
      <sheetData sheetId="5714">
        <row r="34">
          <cell r="A34" t="str">
            <v>Investments Govt Securities</v>
          </cell>
        </row>
      </sheetData>
      <sheetData sheetId="5715">
        <row r="34">
          <cell r="A34" t="str">
            <v>Investments Govt Securities</v>
          </cell>
        </row>
      </sheetData>
      <sheetData sheetId="5716">
        <row r="34">
          <cell r="A34" t="str">
            <v>Investments Govt Securities</v>
          </cell>
        </row>
      </sheetData>
      <sheetData sheetId="5717">
        <row r="34">
          <cell r="A34" t="str">
            <v>Investments Govt Securities</v>
          </cell>
        </row>
      </sheetData>
      <sheetData sheetId="5718">
        <row r="34">
          <cell r="A34" t="str">
            <v>Investments Govt Securities</v>
          </cell>
        </row>
      </sheetData>
      <sheetData sheetId="5719">
        <row r="34">
          <cell r="A34" t="str">
            <v>Investments Govt Securities</v>
          </cell>
        </row>
      </sheetData>
      <sheetData sheetId="5720">
        <row r="34">
          <cell r="A34" t="str">
            <v>Investments Govt Securities</v>
          </cell>
        </row>
      </sheetData>
      <sheetData sheetId="5721">
        <row r="34">
          <cell r="A34" t="str">
            <v>Investments Govt Securities</v>
          </cell>
        </row>
      </sheetData>
      <sheetData sheetId="5722">
        <row r="34">
          <cell r="A34" t="str">
            <v>Investments Govt Securities</v>
          </cell>
        </row>
      </sheetData>
      <sheetData sheetId="5723">
        <row r="34">
          <cell r="A34" t="str">
            <v>Investments Govt Securities</v>
          </cell>
        </row>
      </sheetData>
      <sheetData sheetId="5724">
        <row r="34">
          <cell r="A34" t="str">
            <v>Investments Govt Securities</v>
          </cell>
        </row>
      </sheetData>
      <sheetData sheetId="5725">
        <row r="34">
          <cell r="A34" t="str">
            <v>Investments Govt Securities</v>
          </cell>
        </row>
      </sheetData>
      <sheetData sheetId="5726">
        <row r="34">
          <cell r="A34" t="str">
            <v>Investments Govt Securities</v>
          </cell>
        </row>
      </sheetData>
      <sheetData sheetId="5727">
        <row r="34">
          <cell r="A34" t="str">
            <v>Investments Govt Securities</v>
          </cell>
        </row>
      </sheetData>
      <sheetData sheetId="5728">
        <row r="34">
          <cell r="A34" t="str">
            <v>Investments Govt Securities</v>
          </cell>
        </row>
      </sheetData>
      <sheetData sheetId="5729">
        <row r="34">
          <cell r="A34" t="str">
            <v>Investments Govt Securities</v>
          </cell>
        </row>
      </sheetData>
      <sheetData sheetId="5730">
        <row r="34">
          <cell r="A34" t="str">
            <v>Investments Govt Securities</v>
          </cell>
        </row>
      </sheetData>
      <sheetData sheetId="5731">
        <row r="34">
          <cell r="A34" t="str">
            <v>Investments Govt Securities</v>
          </cell>
        </row>
      </sheetData>
      <sheetData sheetId="5732">
        <row r="34">
          <cell r="A34" t="str">
            <v>Investments Govt Securities</v>
          </cell>
        </row>
      </sheetData>
      <sheetData sheetId="5733">
        <row r="34">
          <cell r="A34" t="str">
            <v>Investments Govt Securities</v>
          </cell>
        </row>
      </sheetData>
      <sheetData sheetId="5734">
        <row r="34">
          <cell r="A34" t="str">
            <v>Investments Govt Securities</v>
          </cell>
        </row>
      </sheetData>
      <sheetData sheetId="5735">
        <row r="34">
          <cell r="A34" t="str">
            <v>Investments Govt Securities</v>
          </cell>
        </row>
      </sheetData>
      <sheetData sheetId="5736">
        <row r="34">
          <cell r="A34" t="str">
            <v>Investments Govt Securities</v>
          </cell>
        </row>
      </sheetData>
      <sheetData sheetId="5737">
        <row r="34">
          <cell r="A34" t="str">
            <v>Investments Govt Securities</v>
          </cell>
        </row>
      </sheetData>
      <sheetData sheetId="5738">
        <row r="34">
          <cell r="A34" t="str">
            <v>Investments Govt Securities</v>
          </cell>
        </row>
      </sheetData>
      <sheetData sheetId="5739">
        <row r="34">
          <cell r="A34" t="str">
            <v>Investments Govt Securities</v>
          </cell>
        </row>
      </sheetData>
      <sheetData sheetId="5740">
        <row r="34">
          <cell r="A34" t="str">
            <v>Investments Govt Securities</v>
          </cell>
        </row>
      </sheetData>
      <sheetData sheetId="5741">
        <row r="34">
          <cell r="A34" t="str">
            <v>Investments Govt Securities</v>
          </cell>
        </row>
      </sheetData>
      <sheetData sheetId="5742">
        <row r="34">
          <cell r="A34" t="str">
            <v>Investments Govt Securities</v>
          </cell>
        </row>
      </sheetData>
      <sheetData sheetId="5743">
        <row r="34">
          <cell r="A34" t="str">
            <v>Investments Govt Securities</v>
          </cell>
        </row>
      </sheetData>
      <sheetData sheetId="5744">
        <row r="34">
          <cell r="A34" t="str">
            <v>Investments Govt Securities</v>
          </cell>
        </row>
      </sheetData>
      <sheetData sheetId="5745">
        <row r="34">
          <cell r="A34" t="str">
            <v>Investments Govt Securities</v>
          </cell>
        </row>
      </sheetData>
      <sheetData sheetId="5746">
        <row r="34">
          <cell r="A34" t="str">
            <v>Investments Govt Securities</v>
          </cell>
        </row>
      </sheetData>
      <sheetData sheetId="5747">
        <row r="34">
          <cell r="A34" t="str">
            <v>Investments Govt Securities</v>
          </cell>
        </row>
      </sheetData>
      <sheetData sheetId="5748">
        <row r="34">
          <cell r="A34" t="str">
            <v>Investments Govt Securities</v>
          </cell>
        </row>
      </sheetData>
      <sheetData sheetId="5749">
        <row r="34">
          <cell r="A34" t="str">
            <v>Investments Govt Securities</v>
          </cell>
        </row>
      </sheetData>
      <sheetData sheetId="5750">
        <row r="34">
          <cell r="A34" t="str">
            <v>Investments Govt Securities</v>
          </cell>
        </row>
      </sheetData>
      <sheetData sheetId="5751">
        <row r="34">
          <cell r="A34" t="str">
            <v>Investments Govt Securities</v>
          </cell>
        </row>
      </sheetData>
      <sheetData sheetId="5752">
        <row r="34">
          <cell r="A34" t="str">
            <v>Investments Govt Securities</v>
          </cell>
        </row>
      </sheetData>
      <sheetData sheetId="5753">
        <row r="34">
          <cell r="A34" t="str">
            <v>Investments Govt Securities</v>
          </cell>
        </row>
      </sheetData>
      <sheetData sheetId="5754">
        <row r="34">
          <cell r="A34" t="str">
            <v>Investments Govt Securities</v>
          </cell>
        </row>
      </sheetData>
      <sheetData sheetId="5755">
        <row r="34">
          <cell r="A34" t="str">
            <v>Investments Govt Securities</v>
          </cell>
        </row>
      </sheetData>
      <sheetData sheetId="5756">
        <row r="34">
          <cell r="A34" t="str">
            <v>Investments Govt Securities</v>
          </cell>
        </row>
      </sheetData>
      <sheetData sheetId="5757">
        <row r="34">
          <cell r="A34" t="str">
            <v>Investments Govt Securities</v>
          </cell>
        </row>
      </sheetData>
      <sheetData sheetId="5758">
        <row r="34">
          <cell r="A34" t="str">
            <v>Investments Govt Securities</v>
          </cell>
        </row>
      </sheetData>
      <sheetData sheetId="5759">
        <row r="34">
          <cell r="A34" t="str">
            <v>Investments Govt Securities</v>
          </cell>
        </row>
      </sheetData>
      <sheetData sheetId="5760">
        <row r="34">
          <cell r="A34" t="str">
            <v>Investments Govt Securities</v>
          </cell>
        </row>
      </sheetData>
      <sheetData sheetId="5761">
        <row r="34">
          <cell r="A34" t="str">
            <v>Investments Govt Securities</v>
          </cell>
        </row>
      </sheetData>
      <sheetData sheetId="5762">
        <row r="34">
          <cell r="A34" t="str">
            <v>Investments Govt Securities</v>
          </cell>
        </row>
      </sheetData>
      <sheetData sheetId="5763">
        <row r="34">
          <cell r="A34" t="str">
            <v>Investments Govt Securities</v>
          </cell>
        </row>
      </sheetData>
      <sheetData sheetId="5764">
        <row r="34">
          <cell r="A34" t="str">
            <v>Investments Govt Securities</v>
          </cell>
        </row>
      </sheetData>
      <sheetData sheetId="5765">
        <row r="34">
          <cell r="A34" t="str">
            <v>Investments Govt Securities</v>
          </cell>
        </row>
      </sheetData>
      <sheetData sheetId="5766">
        <row r="34">
          <cell r="A34" t="str">
            <v>Investments Govt Securities</v>
          </cell>
        </row>
      </sheetData>
      <sheetData sheetId="5767">
        <row r="34">
          <cell r="A34" t="str">
            <v>Investments Govt Securities</v>
          </cell>
        </row>
      </sheetData>
      <sheetData sheetId="5768">
        <row r="34">
          <cell r="A34" t="str">
            <v>Investments Govt Securities</v>
          </cell>
        </row>
      </sheetData>
      <sheetData sheetId="5769">
        <row r="34">
          <cell r="A34" t="str">
            <v>Investments Govt Securities</v>
          </cell>
        </row>
      </sheetData>
      <sheetData sheetId="5770">
        <row r="34">
          <cell r="A34" t="str">
            <v>Investments Govt Securities</v>
          </cell>
        </row>
      </sheetData>
      <sheetData sheetId="5771">
        <row r="34">
          <cell r="A34" t="str">
            <v>Investments Govt Securities</v>
          </cell>
        </row>
      </sheetData>
      <sheetData sheetId="5772">
        <row r="34">
          <cell r="A34" t="str">
            <v>Investments Govt Securities</v>
          </cell>
        </row>
      </sheetData>
      <sheetData sheetId="5773">
        <row r="34">
          <cell r="A34" t="str">
            <v>Investments Govt Securities</v>
          </cell>
        </row>
      </sheetData>
      <sheetData sheetId="5774">
        <row r="34">
          <cell r="A34" t="str">
            <v>Investments Govt Securities</v>
          </cell>
        </row>
      </sheetData>
      <sheetData sheetId="5775">
        <row r="34">
          <cell r="A34" t="str">
            <v>Investments Govt Securities</v>
          </cell>
        </row>
      </sheetData>
      <sheetData sheetId="5776">
        <row r="34">
          <cell r="A34" t="str">
            <v>Investments Govt Securities</v>
          </cell>
        </row>
      </sheetData>
      <sheetData sheetId="5777">
        <row r="34">
          <cell r="A34" t="str">
            <v>Investments Govt Securities</v>
          </cell>
        </row>
      </sheetData>
      <sheetData sheetId="5778">
        <row r="34">
          <cell r="A34" t="str">
            <v>Investments Govt Securities</v>
          </cell>
        </row>
      </sheetData>
      <sheetData sheetId="5779">
        <row r="34">
          <cell r="A34" t="str">
            <v>Investments Govt Securities</v>
          </cell>
        </row>
      </sheetData>
      <sheetData sheetId="5780">
        <row r="34">
          <cell r="A34" t="str">
            <v>Investments Govt Securities</v>
          </cell>
        </row>
      </sheetData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>
        <row r="34">
          <cell r="A34" t="str">
            <v>Investments Govt Securities</v>
          </cell>
        </row>
      </sheetData>
      <sheetData sheetId="5792">
        <row r="34">
          <cell r="A34" t="str">
            <v>Investments Govt Securities</v>
          </cell>
        </row>
      </sheetData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>
        <row r="34">
          <cell r="A34" t="str">
            <v>Investments Govt Securities</v>
          </cell>
        </row>
      </sheetData>
      <sheetData sheetId="5825" refreshError="1"/>
      <sheetData sheetId="5826">
        <row r="34">
          <cell r="A34" t="str">
            <v>Investments Govt Securities</v>
          </cell>
        </row>
      </sheetData>
      <sheetData sheetId="5827">
        <row r="34">
          <cell r="A34" t="str">
            <v>Investments Govt Securities</v>
          </cell>
        </row>
      </sheetData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>
        <row r="34">
          <cell r="A34" t="str">
            <v>Investments Govt Securities</v>
          </cell>
        </row>
      </sheetData>
      <sheetData sheetId="5835">
        <row r="34">
          <cell r="A34" t="str">
            <v>Investments Govt Securities</v>
          </cell>
        </row>
      </sheetData>
      <sheetData sheetId="5836">
        <row r="34">
          <cell r="A34" t="str">
            <v>Investments Govt Securities</v>
          </cell>
        </row>
      </sheetData>
      <sheetData sheetId="5837">
        <row r="34">
          <cell r="A34" t="str">
            <v>Investments Govt Securities</v>
          </cell>
        </row>
      </sheetData>
      <sheetData sheetId="5838">
        <row r="34">
          <cell r="A34" t="str">
            <v>Investments Govt Securities</v>
          </cell>
        </row>
      </sheetData>
      <sheetData sheetId="5839">
        <row r="34">
          <cell r="A34" t="str">
            <v>Investments Govt Securities</v>
          </cell>
        </row>
      </sheetData>
      <sheetData sheetId="5840">
        <row r="34">
          <cell r="A34" t="str">
            <v>Investments Govt Securities</v>
          </cell>
        </row>
      </sheetData>
      <sheetData sheetId="5841">
        <row r="34">
          <cell r="A34" t="str">
            <v>Investments Govt Securities</v>
          </cell>
        </row>
      </sheetData>
      <sheetData sheetId="5842">
        <row r="34">
          <cell r="A34" t="str">
            <v>Investments Govt Securities</v>
          </cell>
        </row>
      </sheetData>
      <sheetData sheetId="5843">
        <row r="34">
          <cell r="A34" t="str">
            <v>Investments Govt Securities</v>
          </cell>
        </row>
      </sheetData>
      <sheetData sheetId="5844">
        <row r="34">
          <cell r="A34" t="str">
            <v>Investments Govt Securities</v>
          </cell>
        </row>
      </sheetData>
      <sheetData sheetId="5845">
        <row r="34">
          <cell r="A34" t="str">
            <v>Investments Govt Securities</v>
          </cell>
        </row>
      </sheetData>
      <sheetData sheetId="5846">
        <row r="34">
          <cell r="A34" t="str">
            <v>Investments Govt Securities</v>
          </cell>
        </row>
      </sheetData>
      <sheetData sheetId="5847">
        <row r="34">
          <cell r="A34" t="str">
            <v>Investments Govt Securities</v>
          </cell>
        </row>
      </sheetData>
      <sheetData sheetId="5848">
        <row r="34">
          <cell r="A34" t="str">
            <v>Investments Govt Securities</v>
          </cell>
        </row>
      </sheetData>
      <sheetData sheetId="5849">
        <row r="34">
          <cell r="A34" t="str">
            <v>Investments Govt Securities</v>
          </cell>
        </row>
      </sheetData>
      <sheetData sheetId="5850">
        <row r="34">
          <cell r="A34" t="str">
            <v>Investments Govt Securities</v>
          </cell>
        </row>
      </sheetData>
      <sheetData sheetId="5851">
        <row r="34">
          <cell r="A34" t="str">
            <v>Investments Govt Securities</v>
          </cell>
        </row>
      </sheetData>
      <sheetData sheetId="5852">
        <row r="34">
          <cell r="A34" t="str">
            <v>Investments Govt Securities</v>
          </cell>
        </row>
      </sheetData>
      <sheetData sheetId="5853">
        <row r="34">
          <cell r="A34" t="str">
            <v>Investments Govt Securities</v>
          </cell>
        </row>
      </sheetData>
      <sheetData sheetId="5854">
        <row r="34">
          <cell r="A34" t="str">
            <v>Investments Govt Securities</v>
          </cell>
        </row>
      </sheetData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>
        <row r="34">
          <cell r="A34" t="str">
            <v>Investments Govt Securities</v>
          </cell>
        </row>
      </sheetData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>
        <row r="34">
          <cell r="A34" t="str">
            <v>Investments Govt Securities</v>
          </cell>
        </row>
      </sheetData>
      <sheetData sheetId="6110">
        <row r="34">
          <cell r="A34" t="str">
            <v>Investments Govt Securities</v>
          </cell>
        </row>
      </sheetData>
      <sheetData sheetId="6111">
        <row r="34">
          <cell r="A34" t="str">
            <v>Investments Govt Securities</v>
          </cell>
        </row>
      </sheetData>
      <sheetData sheetId="6112">
        <row r="34">
          <cell r="A34" t="str">
            <v>Investments Govt Securities</v>
          </cell>
        </row>
      </sheetData>
      <sheetData sheetId="6113">
        <row r="34">
          <cell r="A34" t="str">
            <v>Investments Govt Securities</v>
          </cell>
        </row>
      </sheetData>
      <sheetData sheetId="6114">
        <row r="34">
          <cell r="A34" t="str">
            <v>Investments Govt Securities</v>
          </cell>
        </row>
      </sheetData>
      <sheetData sheetId="6115">
        <row r="34">
          <cell r="A34" t="str">
            <v>Investments Govt Securities</v>
          </cell>
        </row>
      </sheetData>
      <sheetData sheetId="6116">
        <row r="34">
          <cell r="A34" t="str">
            <v>Investments Govt Securities</v>
          </cell>
        </row>
      </sheetData>
      <sheetData sheetId="6117">
        <row r="34">
          <cell r="A34" t="str">
            <v>Investments Govt Securities</v>
          </cell>
        </row>
      </sheetData>
      <sheetData sheetId="6118">
        <row r="34">
          <cell r="A34" t="str">
            <v>Investments Govt Securities</v>
          </cell>
        </row>
      </sheetData>
      <sheetData sheetId="6119">
        <row r="34">
          <cell r="A34" t="str">
            <v>Investments Govt Securities</v>
          </cell>
        </row>
      </sheetData>
      <sheetData sheetId="6120">
        <row r="34">
          <cell r="A34" t="str">
            <v>Investments Govt Securities</v>
          </cell>
        </row>
      </sheetData>
      <sheetData sheetId="6121">
        <row r="34">
          <cell r="A34" t="str">
            <v>Investments Govt Securities</v>
          </cell>
        </row>
      </sheetData>
      <sheetData sheetId="6122">
        <row r="34">
          <cell r="A34" t="str">
            <v>Investments Govt Securities</v>
          </cell>
        </row>
      </sheetData>
      <sheetData sheetId="6123">
        <row r="34">
          <cell r="A34" t="str">
            <v>Investments Govt Securities</v>
          </cell>
        </row>
      </sheetData>
      <sheetData sheetId="6124">
        <row r="34">
          <cell r="A34" t="str">
            <v>Investments Govt Securities</v>
          </cell>
        </row>
      </sheetData>
      <sheetData sheetId="6125">
        <row r="34">
          <cell r="A34" t="str">
            <v>Investments Govt Securities</v>
          </cell>
        </row>
      </sheetData>
      <sheetData sheetId="6126">
        <row r="34">
          <cell r="A34" t="str">
            <v>Investments Govt Securities</v>
          </cell>
        </row>
      </sheetData>
      <sheetData sheetId="6127">
        <row r="34">
          <cell r="A34" t="str">
            <v>Investments Govt Securities</v>
          </cell>
        </row>
      </sheetData>
      <sheetData sheetId="6128">
        <row r="34">
          <cell r="A34" t="str">
            <v>Investments Govt Securities</v>
          </cell>
        </row>
      </sheetData>
      <sheetData sheetId="6129">
        <row r="34">
          <cell r="A34" t="str">
            <v>Investments Govt Securities</v>
          </cell>
        </row>
      </sheetData>
      <sheetData sheetId="6130">
        <row r="34">
          <cell r="A34" t="str">
            <v>Investments Govt Securities</v>
          </cell>
        </row>
      </sheetData>
      <sheetData sheetId="6131">
        <row r="34">
          <cell r="A34" t="str">
            <v>Investments Govt Securities</v>
          </cell>
        </row>
      </sheetData>
      <sheetData sheetId="6132">
        <row r="34">
          <cell r="A34" t="str">
            <v>Investments Govt Securities</v>
          </cell>
        </row>
      </sheetData>
      <sheetData sheetId="6133">
        <row r="34">
          <cell r="A34" t="str">
            <v>Investments Govt Securities</v>
          </cell>
        </row>
      </sheetData>
      <sheetData sheetId="6134">
        <row r="34">
          <cell r="A34" t="str">
            <v>Investments Govt Securities</v>
          </cell>
        </row>
      </sheetData>
      <sheetData sheetId="6135">
        <row r="34">
          <cell r="A34" t="str">
            <v>Investments Govt Securities</v>
          </cell>
        </row>
      </sheetData>
      <sheetData sheetId="6136">
        <row r="34">
          <cell r="A34" t="str">
            <v>Investments Govt Securities</v>
          </cell>
        </row>
      </sheetData>
      <sheetData sheetId="6137">
        <row r="34">
          <cell r="A34" t="str">
            <v>Investments Govt Securities</v>
          </cell>
        </row>
      </sheetData>
      <sheetData sheetId="6138">
        <row r="34">
          <cell r="A34" t="str">
            <v>Investments Govt Securities</v>
          </cell>
        </row>
      </sheetData>
      <sheetData sheetId="6139">
        <row r="34">
          <cell r="A34" t="str">
            <v>Investments Govt Securities</v>
          </cell>
        </row>
      </sheetData>
      <sheetData sheetId="6140">
        <row r="34">
          <cell r="A34" t="str">
            <v>Investments Govt Securities</v>
          </cell>
        </row>
      </sheetData>
      <sheetData sheetId="6141">
        <row r="34">
          <cell r="A34" t="str">
            <v>Investments Govt Securities</v>
          </cell>
        </row>
      </sheetData>
      <sheetData sheetId="6142">
        <row r="34">
          <cell r="A34" t="str">
            <v>Investments Govt Securities</v>
          </cell>
        </row>
      </sheetData>
      <sheetData sheetId="6143">
        <row r="34">
          <cell r="A34" t="str">
            <v>Investments Govt Securities</v>
          </cell>
        </row>
      </sheetData>
      <sheetData sheetId="6144">
        <row r="34">
          <cell r="A34" t="str">
            <v>Investments Govt Securities</v>
          </cell>
        </row>
      </sheetData>
      <sheetData sheetId="6145">
        <row r="34">
          <cell r="A34" t="str">
            <v>Investments Govt Securities</v>
          </cell>
        </row>
      </sheetData>
      <sheetData sheetId="6146">
        <row r="34">
          <cell r="A34" t="str">
            <v>Investments Govt Securities</v>
          </cell>
        </row>
      </sheetData>
      <sheetData sheetId="6147">
        <row r="34">
          <cell r="A34" t="str">
            <v>Investments Govt Securities</v>
          </cell>
        </row>
      </sheetData>
      <sheetData sheetId="6148">
        <row r="34">
          <cell r="A34" t="str">
            <v>Investments Govt Securities</v>
          </cell>
        </row>
      </sheetData>
      <sheetData sheetId="6149">
        <row r="34">
          <cell r="A34" t="str">
            <v>Investments Govt Securities</v>
          </cell>
        </row>
      </sheetData>
      <sheetData sheetId="6150">
        <row r="34">
          <cell r="A34" t="str">
            <v>Investments Govt Securities</v>
          </cell>
        </row>
      </sheetData>
      <sheetData sheetId="6151">
        <row r="34">
          <cell r="A34" t="str">
            <v>Investments Govt Securities</v>
          </cell>
        </row>
      </sheetData>
      <sheetData sheetId="6152">
        <row r="34">
          <cell r="A34" t="str">
            <v>Investments Govt Securities</v>
          </cell>
        </row>
      </sheetData>
      <sheetData sheetId="6153">
        <row r="34">
          <cell r="A34" t="str">
            <v>Investments Govt Securities</v>
          </cell>
        </row>
      </sheetData>
      <sheetData sheetId="6154">
        <row r="34">
          <cell r="A34" t="str">
            <v>Investments Govt Securities</v>
          </cell>
        </row>
      </sheetData>
      <sheetData sheetId="6155">
        <row r="34">
          <cell r="A34" t="str">
            <v>Investments Govt Securities</v>
          </cell>
        </row>
      </sheetData>
      <sheetData sheetId="6156">
        <row r="34">
          <cell r="A34" t="str">
            <v>Investments Govt Securities</v>
          </cell>
        </row>
      </sheetData>
      <sheetData sheetId="6157">
        <row r="34">
          <cell r="A34" t="str">
            <v>Investments Govt Securities</v>
          </cell>
        </row>
      </sheetData>
      <sheetData sheetId="6158">
        <row r="34">
          <cell r="A34" t="str">
            <v>Investments Govt Securities</v>
          </cell>
        </row>
      </sheetData>
      <sheetData sheetId="6159">
        <row r="34">
          <cell r="A34" t="str">
            <v>Investments Govt Securities</v>
          </cell>
        </row>
      </sheetData>
      <sheetData sheetId="6160">
        <row r="34">
          <cell r="A34" t="str">
            <v>Investments Govt Securities</v>
          </cell>
        </row>
      </sheetData>
      <sheetData sheetId="6161">
        <row r="34">
          <cell r="A34" t="str">
            <v>Investments Govt Securities</v>
          </cell>
        </row>
      </sheetData>
      <sheetData sheetId="6162">
        <row r="34">
          <cell r="A34" t="str">
            <v>Investments Govt Securities</v>
          </cell>
        </row>
      </sheetData>
      <sheetData sheetId="6163">
        <row r="34">
          <cell r="A34" t="str">
            <v>Investments Govt Securities</v>
          </cell>
        </row>
      </sheetData>
      <sheetData sheetId="6164">
        <row r="34">
          <cell r="A34" t="str">
            <v>Investments Govt Securities</v>
          </cell>
        </row>
      </sheetData>
      <sheetData sheetId="6165">
        <row r="34">
          <cell r="A34" t="str">
            <v>Investments Govt Securities</v>
          </cell>
        </row>
      </sheetData>
      <sheetData sheetId="6166">
        <row r="34">
          <cell r="A34" t="str">
            <v>Investments Govt Securities</v>
          </cell>
        </row>
      </sheetData>
      <sheetData sheetId="6167">
        <row r="34">
          <cell r="A34" t="str">
            <v>Investments Govt Securities</v>
          </cell>
        </row>
      </sheetData>
      <sheetData sheetId="6168">
        <row r="34">
          <cell r="A34" t="str">
            <v>Investments Govt Securities</v>
          </cell>
        </row>
      </sheetData>
      <sheetData sheetId="6169">
        <row r="34">
          <cell r="A34" t="str">
            <v>Investments Govt Securities</v>
          </cell>
        </row>
      </sheetData>
      <sheetData sheetId="6170">
        <row r="34">
          <cell r="A34" t="str">
            <v>Investments Govt Securities</v>
          </cell>
        </row>
      </sheetData>
      <sheetData sheetId="6171">
        <row r="34">
          <cell r="A34" t="str">
            <v>Investments Govt Securities</v>
          </cell>
        </row>
      </sheetData>
      <sheetData sheetId="6172">
        <row r="34">
          <cell r="A34" t="str">
            <v>Investments Govt Securities</v>
          </cell>
        </row>
      </sheetData>
      <sheetData sheetId="6173">
        <row r="34">
          <cell r="A34" t="str">
            <v>Investments Govt Securities</v>
          </cell>
        </row>
      </sheetData>
      <sheetData sheetId="6174">
        <row r="34">
          <cell r="A34" t="str">
            <v>Investments Govt Securities</v>
          </cell>
        </row>
      </sheetData>
      <sheetData sheetId="6175">
        <row r="34">
          <cell r="A34" t="str">
            <v>Investments Govt Securities</v>
          </cell>
        </row>
      </sheetData>
      <sheetData sheetId="6176">
        <row r="34">
          <cell r="A34" t="str">
            <v>Investments Govt Securities</v>
          </cell>
        </row>
      </sheetData>
      <sheetData sheetId="6177">
        <row r="34">
          <cell r="A34" t="str">
            <v>Investments Govt Securities</v>
          </cell>
        </row>
      </sheetData>
      <sheetData sheetId="6178">
        <row r="34">
          <cell r="A34" t="str">
            <v>Investments Govt Securities</v>
          </cell>
        </row>
      </sheetData>
      <sheetData sheetId="6179">
        <row r="34">
          <cell r="A34" t="str">
            <v>Investments Govt Securities</v>
          </cell>
        </row>
      </sheetData>
      <sheetData sheetId="6180">
        <row r="34">
          <cell r="A34" t="str">
            <v>Investments Govt Securities</v>
          </cell>
        </row>
      </sheetData>
      <sheetData sheetId="6181">
        <row r="34">
          <cell r="A34" t="str">
            <v>Investments Govt Securities</v>
          </cell>
        </row>
      </sheetData>
      <sheetData sheetId="6182">
        <row r="34">
          <cell r="A34" t="str">
            <v>Investments Govt Securities</v>
          </cell>
        </row>
      </sheetData>
      <sheetData sheetId="6183">
        <row r="34">
          <cell r="A34" t="str">
            <v>Investments Govt Securities</v>
          </cell>
        </row>
      </sheetData>
      <sheetData sheetId="6184">
        <row r="34">
          <cell r="A34" t="str">
            <v>Investments Govt Securities</v>
          </cell>
        </row>
      </sheetData>
      <sheetData sheetId="6185">
        <row r="34">
          <cell r="A34" t="str">
            <v>Investments Govt Securities</v>
          </cell>
        </row>
      </sheetData>
      <sheetData sheetId="6186">
        <row r="34">
          <cell r="A34" t="str">
            <v>Investments Govt Securities</v>
          </cell>
        </row>
      </sheetData>
      <sheetData sheetId="6187">
        <row r="34">
          <cell r="A34" t="str">
            <v>Investments Govt Securities</v>
          </cell>
        </row>
      </sheetData>
      <sheetData sheetId="6188">
        <row r="34">
          <cell r="A34" t="str">
            <v>Investments Govt Securities</v>
          </cell>
        </row>
      </sheetData>
      <sheetData sheetId="6189">
        <row r="34">
          <cell r="A34" t="str">
            <v>Investments Govt Securities</v>
          </cell>
        </row>
      </sheetData>
      <sheetData sheetId="6190">
        <row r="34">
          <cell r="A34" t="str">
            <v>Investments Govt Securities</v>
          </cell>
        </row>
      </sheetData>
      <sheetData sheetId="6191">
        <row r="34">
          <cell r="A34" t="str">
            <v>Investments Govt Securities</v>
          </cell>
        </row>
      </sheetData>
      <sheetData sheetId="6192">
        <row r="34">
          <cell r="A34" t="str">
            <v>Investments Govt Securities</v>
          </cell>
        </row>
      </sheetData>
      <sheetData sheetId="6193">
        <row r="34">
          <cell r="A34" t="str">
            <v>Investments Govt Securities</v>
          </cell>
        </row>
      </sheetData>
      <sheetData sheetId="6194">
        <row r="34">
          <cell r="A34" t="str">
            <v>Investments Govt Securities</v>
          </cell>
        </row>
      </sheetData>
      <sheetData sheetId="6195">
        <row r="34">
          <cell r="A34" t="str">
            <v>Investments Govt Securities</v>
          </cell>
        </row>
      </sheetData>
      <sheetData sheetId="6196">
        <row r="34">
          <cell r="A34" t="str">
            <v>Investments Govt Securities</v>
          </cell>
        </row>
      </sheetData>
      <sheetData sheetId="6197">
        <row r="34">
          <cell r="A34" t="str">
            <v>Investments Govt Securities</v>
          </cell>
        </row>
      </sheetData>
      <sheetData sheetId="6198">
        <row r="34">
          <cell r="A34" t="str">
            <v>Investments Govt Securities</v>
          </cell>
        </row>
      </sheetData>
      <sheetData sheetId="6199">
        <row r="34">
          <cell r="A34" t="str">
            <v>Investments Govt Securities</v>
          </cell>
        </row>
      </sheetData>
      <sheetData sheetId="6200">
        <row r="34">
          <cell r="A34" t="str">
            <v>Investments Govt Securities</v>
          </cell>
        </row>
      </sheetData>
      <sheetData sheetId="6201">
        <row r="34">
          <cell r="A34" t="str">
            <v>Investments Govt Securities</v>
          </cell>
        </row>
      </sheetData>
      <sheetData sheetId="6202">
        <row r="34">
          <cell r="A34" t="str">
            <v>Investments Govt Securities</v>
          </cell>
        </row>
      </sheetData>
      <sheetData sheetId="6203">
        <row r="34">
          <cell r="A34" t="str">
            <v>Investments Govt Securities</v>
          </cell>
        </row>
      </sheetData>
      <sheetData sheetId="6204">
        <row r="34">
          <cell r="A34" t="str">
            <v>Investments Govt Securities</v>
          </cell>
        </row>
      </sheetData>
      <sheetData sheetId="6205">
        <row r="34">
          <cell r="A34" t="str">
            <v>Investments Govt Securities</v>
          </cell>
        </row>
      </sheetData>
      <sheetData sheetId="6206">
        <row r="34">
          <cell r="A34" t="str">
            <v>Investments Govt Securities</v>
          </cell>
        </row>
      </sheetData>
      <sheetData sheetId="6207">
        <row r="34">
          <cell r="A34" t="str">
            <v>Investments Govt Securities</v>
          </cell>
        </row>
      </sheetData>
      <sheetData sheetId="6208">
        <row r="34">
          <cell r="A34" t="str">
            <v>Investments Govt Securities</v>
          </cell>
        </row>
      </sheetData>
      <sheetData sheetId="6209">
        <row r="34">
          <cell r="A34" t="str">
            <v>Investments Govt Securities</v>
          </cell>
        </row>
      </sheetData>
      <sheetData sheetId="6210">
        <row r="34">
          <cell r="A34" t="str">
            <v>Investments Govt Securities</v>
          </cell>
        </row>
      </sheetData>
      <sheetData sheetId="6211">
        <row r="34">
          <cell r="A34" t="str">
            <v>Investments Govt Securities</v>
          </cell>
        </row>
      </sheetData>
      <sheetData sheetId="6212">
        <row r="34">
          <cell r="A34" t="str">
            <v>Investments Govt Securities</v>
          </cell>
        </row>
      </sheetData>
      <sheetData sheetId="6213">
        <row r="34">
          <cell r="A34" t="str">
            <v>Investments Govt Securities</v>
          </cell>
        </row>
      </sheetData>
      <sheetData sheetId="6214">
        <row r="34">
          <cell r="A34" t="str">
            <v>Investments Govt Securities</v>
          </cell>
        </row>
      </sheetData>
      <sheetData sheetId="6215">
        <row r="34">
          <cell r="A34" t="str">
            <v>Investments Govt Securities</v>
          </cell>
        </row>
      </sheetData>
      <sheetData sheetId="6216">
        <row r="34">
          <cell r="A34" t="str">
            <v>Investments Govt Securities</v>
          </cell>
        </row>
      </sheetData>
      <sheetData sheetId="6217">
        <row r="34">
          <cell r="A34" t="str">
            <v>Investments Govt Securities</v>
          </cell>
        </row>
      </sheetData>
      <sheetData sheetId="6218">
        <row r="34">
          <cell r="A34" t="str">
            <v>Investments Govt Securities</v>
          </cell>
        </row>
      </sheetData>
      <sheetData sheetId="6219">
        <row r="34">
          <cell r="A34" t="str">
            <v>Investments Govt Securities</v>
          </cell>
        </row>
      </sheetData>
      <sheetData sheetId="6220">
        <row r="34">
          <cell r="A34" t="str">
            <v>Investments Govt Securities</v>
          </cell>
        </row>
      </sheetData>
      <sheetData sheetId="6221">
        <row r="34">
          <cell r="A34" t="str">
            <v>Investments Govt Securities</v>
          </cell>
        </row>
      </sheetData>
      <sheetData sheetId="6222">
        <row r="34">
          <cell r="A34" t="str">
            <v>Investments Govt Securities</v>
          </cell>
        </row>
      </sheetData>
      <sheetData sheetId="6223">
        <row r="34">
          <cell r="A34" t="str">
            <v>Investments Govt Securities</v>
          </cell>
        </row>
      </sheetData>
      <sheetData sheetId="6224">
        <row r="34">
          <cell r="A34" t="str">
            <v>Investments Govt Securities</v>
          </cell>
        </row>
      </sheetData>
      <sheetData sheetId="6225">
        <row r="34">
          <cell r="A34" t="str">
            <v>Investments Govt Securities</v>
          </cell>
        </row>
      </sheetData>
      <sheetData sheetId="6226">
        <row r="34">
          <cell r="A34" t="str">
            <v>Investments Govt Securities</v>
          </cell>
        </row>
      </sheetData>
      <sheetData sheetId="6227">
        <row r="34">
          <cell r="A34" t="str">
            <v>Investments Govt Securities</v>
          </cell>
        </row>
      </sheetData>
      <sheetData sheetId="6228">
        <row r="34">
          <cell r="A34" t="str">
            <v>Investments Govt Securities</v>
          </cell>
        </row>
      </sheetData>
      <sheetData sheetId="6229">
        <row r="34">
          <cell r="A34" t="str">
            <v>Investments Govt Securities</v>
          </cell>
        </row>
      </sheetData>
      <sheetData sheetId="6230">
        <row r="34">
          <cell r="A34" t="str">
            <v>Investments Govt Securities</v>
          </cell>
        </row>
      </sheetData>
      <sheetData sheetId="6231">
        <row r="34">
          <cell r="A34" t="str">
            <v>Investments Govt Securities</v>
          </cell>
        </row>
      </sheetData>
      <sheetData sheetId="6232">
        <row r="34">
          <cell r="A34" t="str">
            <v>Investments Govt Securities</v>
          </cell>
        </row>
      </sheetData>
      <sheetData sheetId="6233">
        <row r="34">
          <cell r="A34" t="str">
            <v>Investments Govt Securities</v>
          </cell>
        </row>
      </sheetData>
      <sheetData sheetId="6234">
        <row r="34">
          <cell r="A34" t="str">
            <v>Investments Govt Securities</v>
          </cell>
        </row>
      </sheetData>
      <sheetData sheetId="6235">
        <row r="34">
          <cell r="A34" t="str">
            <v>Investments Govt Securities</v>
          </cell>
        </row>
      </sheetData>
      <sheetData sheetId="6236">
        <row r="34">
          <cell r="A34" t="str">
            <v>Investments Govt Securities</v>
          </cell>
        </row>
      </sheetData>
      <sheetData sheetId="6237">
        <row r="34">
          <cell r="A34" t="str">
            <v>Investments Govt Securities</v>
          </cell>
        </row>
      </sheetData>
      <sheetData sheetId="6238">
        <row r="34">
          <cell r="A34" t="str">
            <v>Investments Govt Securities</v>
          </cell>
        </row>
      </sheetData>
      <sheetData sheetId="6239">
        <row r="34">
          <cell r="A34" t="str">
            <v>Investments Govt Securities</v>
          </cell>
        </row>
      </sheetData>
      <sheetData sheetId="6240">
        <row r="34">
          <cell r="A34" t="str">
            <v>Investments Govt Securities</v>
          </cell>
        </row>
      </sheetData>
      <sheetData sheetId="6241">
        <row r="34">
          <cell r="A34" t="str">
            <v>Investments Govt Securities</v>
          </cell>
        </row>
      </sheetData>
      <sheetData sheetId="6242">
        <row r="34">
          <cell r="A34" t="str">
            <v>Investments Govt Securities</v>
          </cell>
        </row>
      </sheetData>
      <sheetData sheetId="6243">
        <row r="34">
          <cell r="A34" t="str">
            <v>Investments Govt Securities</v>
          </cell>
        </row>
      </sheetData>
      <sheetData sheetId="6244">
        <row r="34">
          <cell r="A34" t="str">
            <v>Investments Govt Securities</v>
          </cell>
        </row>
      </sheetData>
      <sheetData sheetId="6245">
        <row r="34">
          <cell r="A34" t="str">
            <v>Investments Govt Securities</v>
          </cell>
        </row>
      </sheetData>
      <sheetData sheetId="6246">
        <row r="34">
          <cell r="A34" t="str">
            <v>Investments Govt Securities</v>
          </cell>
        </row>
      </sheetData>
      <sheetData sheetId="6247">
        <row r="34">
          <cell r="A34" t="str">
            <v>Investments Govt Securities</v>
          </cell>
        </row>
      </sheetData>
      <sheetData sheetId="6248">
        <row r="34">
          <cell r="A34" t="str">
            <v>Investments Govt Securities</v>
          </cell>
        </row>
      </sheetData>
      <sheetData sheetId="6249">
        <row r="34">
          <cell r="A34" t="str">
            <v>Investments Govt Securities</v>
          </cell>
        </row>
      </sheetData>
      <sheetData sheetId="6250">
        <row r="34">
          <cell r="A34" t="str">
            <v>Investments Govt Securities</v>
          </cell>
        </row>
      </sheetData>
      <sheetData sheetId="6251">
        <row r="34">
          <cell r="A34" t="str">
            <v>Investments Govt Securities</v>
          </cell>
        </row>
      </sheetData>
      <sheetData sheetId="6252">
        <row r="34">
          <cell r="A34" t="str">
            <v>Investments Govt Securities</v>
          </cell>
        </row>
      </sheetData>
      <sheetData sheetId="6253">
        <row r="34">
          <cell r="A34" t="str">
            <v>Investments Govt Securities</v>
          </cell>
        </row>
      </sheetData>
      <sheetData sheetId="6254">
        <row r="34">
          <cell r="A34" t="str">
            <v>Investments Govt Securities</v>
          </cell>
        </row>
      </sheetData>
      <sheetData sheetId="6255">
        <row r="34">
          <cell r="A34" t="str">
            <v>Investments Govt Securities</v>
          </cell>
        </row>
      </sheetData>
      <sheetData sheetId="6256">
        <row r="34">
          <cell r="A34" t="str">
            <v>Investments Govt Securities</v>
          </cell>
        </row>
      </sheetData>
      <sheetData sheetId="6257">
        <row r="34">
          <cell r="A34" t="str">
            <v>Investments Govt Securities</v>
          </cell>
        </row>
      </sheetData>
      <sheetData sheetId="6258">
        <row r="34">
          <cell r="A34" t="str">
            <v>Investments Govt Securities</v>
          </cell>
        </row>
      </sheetData>
      <sheetData sheetId="6259">
        <row r="34">
          <cell r="A34" t="str">
            <v>Investments Govt Securities</v>
          </cell>
        </row>
      </sheetData>
      <sheetData sheetId="6260">
        <row r="34">
          <cell r="A34" t="str">
            <v>Investments Govt Securities</v>
          </cell>
        </row>
      </sheetData>
      <sheetData sheetId="6261">
        <row r="34">
          <cell r="A34" t="str">
            <v>Investments Govt Securities</v>
          </cell>
        </row>
      </sheetData>
      <sheetData sheetId="6262">
        <row r="34">
          <cell r="A34" t="str">
            <v>Investments Govt Securities</v>
          </cell>
        </row>
      </sheetData>
      <sheetData sheetId="6263">
        <row r="34">
          <cell r="A34" t="str">
            <v>Investments Govt Securities</v>
          </cell>
        </row>
      </sheetData>
      <sheetData sheetId="6264">
        <row r="34">
          <cell r="A34" t="str">
            <v>Investments Govt Securities</v>
          </cell>
        </row>
      </sheetData>
      <sheetData sheetId="6265">
        <row r="34">
          <cell r="A34" t="str">
            <v>Investments Govt Securities</v>
          </cell>
        </row>
      </sheetData>
      <sheetData sheetId="6266">
        <row r="34">
          <cell r="A34" t="str">
            <v>Investments Govt Securities</v>
          </cell>
        </row>
      </sheetData>
      <sheetData sheetId="6267">
        <row r="34">
          <cell r="A34" t="str">
            <v>Investments Govt Securities</v>
          </cell>
        </row>
      </sheetData>
      <sheetData sheetId="6268">
        <row r="34">
          <cell r="A34" t="str">
            <v>Investments Govt Securities</v>
          </cell>
        </row>
      </sheetData>
      <sheetData sheetId="6269">
        <row r="34">
          <cell r="A34" t="str">
            <v>Investments Govt Securities</v>
          </cell>
        </row>
      </sheetData>
      <sheetData sheetId="6270">
        <row r="34">
          <cell r="A34" t="str">
            <v>Investments Govt Securities</v>
          </cell>
        </row>
      </sheetData>
      <sheetData sheetId="6271">
        <row r="34">
          <cell r="A34" t="str">
            <v>Investments Govt Securities</v>
          </cell>
        </row>
      </sheetData>
      <sheetData sheetId="6272">
        <row r="34">
          <cell r="A34" t="str">
            <v>Investments Govt Securities</v>
          </cell>
        </row>
      </sheetData>
      <sheetData sheetId="6273">
        <row r="34">
          <cell r="A34" t="str">
            <v>Investments Govt Securities</v>
          </cell>
        </row>
      </sheetData>
      <sheetData sheetId="6274">
        <row r="34">
          <cell r="A34" t="str">
            <v>Investments Govt Securities</v>
          </cell>
        </row>
      </sheetData>
      <sheetData sheetId="6275">
        <row r="34">
          <cell r="A34" t="str">
            <v>Investments Govt Securities</v>
          </cell>
        </row>
      </sheetData>
      <sheetData sheetId="6276">
        <row r="34">
          <cell r="A34" t="str">
            <v>Investments Govt Securities</v>
          </cell>
        </row>
      </sheetData>
      <sheetData sheetId="6277">
        <row r="34">
          <cell r="A34" t="str">
            <v>Investments Govt Securities</v>
          </cell>
        </row>
      </sheetData>
      <sheetData sheetId="6278">
        <row r="34">
          <cell r="A34" t="str">
            <v>Investments Govt Securities</v>
          </cell>
        </row>
      </sheetData>
      <sheetData sheetId="6279">
        <row r="34">
          <cell r="A34" t="str">
            <v>Investments Govt Securities</v>
          </cell>
        </row>
      </sheetData>
      <sheetData sheetId="6280">
        <row r="34">
          <cell r="A34" t="str">
            <v>Investments Govt Securities</v>
          </cell>
        </row>
      </sheetData>
      <sheetData sheetId="6281">
        <row r="34">
          <cell r="A34" t="str">
            <v>Investments Govt Securities</v>
          </cell>
        </row>
      </sheetData>
      <sheetData sheetId="6282">
        <row r="34">
          <cell r="A34" t="str">
            <v>Investments Govt Securities</v>
          </cell>
        </row>
      </sheetData>
      <sheetData sheetId="6283">
        <row r="34">
          <cell r="A34" t="str">
            <v>Investments Govt Securities</v>
          </cell>
        </row>
      </sheetData>
      <sheetData sheetId="6284">
        <row r="34">
          <cell r="A34" t="str">
            <v>Investments Govt Securities</v>
          </cell>
        </row>
      </sheetData>
      <sheetData sheetId="6285">
        <row r="34">
          <cell r="A34" t="str">
            <v>Investments Govt Securities</v>
          </cell>
        </row>
      </sheetData>
      <sheetData sheetId="6286">
        <row r="34">
          <cell r="A34" t="str">
            <v>Investments Govt Securities</v>
          </cell>
        </row>
      </sheetData>
      <sheetData sheetId="6287">
        <row r="34">
          <cell r="A34" t="str">
            <v>Investments Govt Securities</v>
          </cell>
        </row>
      </sheetData>
      <sheetData sheetId="6288">
        <row r="34">
          <cell r="A34" t="str">
            <v>Investments Govt Securities</v>
          </cell>
        </row>
      </sheetData>
      <sheetData sheetId="6289">
        <row r="34">
          <cell r="A34" t="str">
            <v>Investments Govt Securities</v>
          </cell>
        </row>
      </sheetData>
      <sheetData sheetId="6290">
        <row r="34">
          <cell r="A34" t="str">
            <v>Investments Govt Securities</v>
          </cell>
        </row>
      </sheetData>
      <sheetData sheetId="6291">
        <row r="34">
          <cell r="A34" t="str">
            <v>Investments Govt Securities</v>
          </cell>
        </row>
      </sheetData>
      <sheetData sheetId="6292">
        <row r="34">
          <cell r="A34" t="str">
            <v>Investments Govt Securities</v>
          </cell>
        </row>
      </sheetData>
      <sheetData sheetId="6293">
        <row r="34">
          <cell r="A34" t="str">
            <v>Investments Govt Securities</v>
          </cell>
        </row>
      </sheetData>
      <sheetData sheetId="6294">
        <row r="34">
          <cell r="A34" t="str">
            <v>Investments Govt Securities</v>
          </cell>
        </row>
      </sheetData>
      <sheetData sheetId="6295">
        <row r="34">
          <cell r="A34" t="str">
            <v>Investments Govt Securities</v>
          </cell>
        </row>
      </sheetData>
      <sheetData sheetId="6296">
        <row r="34">
          <cell r="A34" t="str">
            <v>Investments Govt Securities</v>
          </cell>
        </row>
      </sheetData>
      <sheetData sheetId="6297">
        <row r="34">
          <cell r="A34" t="str">
            <v>Investments Govt Securities</v>
          </cell>
        </row>
      </sheetData>
      <sheetData sheetId="6298">
        <row r="34">
          <cell r="A34" t="str">
            <v>Investments Govt Securities</v>
          </cell>
        </row>
      </sheetData>
      <sheetData sheetId="6299">
        <row r="34">
          <cell r="A34" t="str">
            <v>Investments Govt Securities</v>
          </cell>
        </row>
      </sheetData>
      <sheetData sheetId="6300">
        <row r="34">
          <cell r="A34" t="str">
            <v>Investments Govt Securities</v>
          </cell>
        </row>
      </sheetData>
      <sheetData sheetId="6301">
        <row r="34">
          <cell r="A34" t="str">
            <v>Investments Govt Securities</v>
          </cell>
        </row>
      </sheetData>
      <sheetData sheetId="6302">
        <row r="34">
          <cell r="A34" t="str">
            <v>Investments Govt Securities</v>
          </cell>
        </row>
      </sheetData>
      <sheetData sheetId="6303">
        <row r="34">
          <cell r="A34" t="str">
            <v>Investments Govt Securities</v>
          </cell>
        </row>
      </sheetData>
      <sheetData sheetId="6304">
        <row r="34">
          <cell r="A34" t="str">
            <v>Investments Govt Securities</v>
          </cell>
        </row>
      </sheetData>
      <sheetData sheetId="6305">
        <row r="34">
          <cell r="A34" t="str">
            <v>Investments Govt Securities</v>
          </cell>
        </row>
      </sheetData>
      <sheetData sheetId="6306">
        <row r="34">
          <cell r="A34" t="str">
            <v>Investments Govt Securities</v>
          </cell>
        </row>
      </sheetData>
      <sheetData sheetId="6307">
        <row r="34">
          <cell r="A34" t="str">
            <v>Investments Govt Securities</v>
          </cell>
        </row>
      </sheetData>
      <sheetData sheetId="6308">
        <row r="34">
          <cell r="A34" t="str">
            <v>Investments Govt Securities</v>
          </cell>
        </row>
      </sheetData>
      <sheetData sheetId="6309">
        <row r="34">
          <cell r="A34" t="str">
            <v>Investments Govt Securities</v>
          </cell>
        </row>
      </sheetData>
      <sheetData sheetId="6310">
        <row r="34">
          <cell r="A34" t="str">
            <v>Investments Govt Securities</v>
          </cell>
        </row>
      </sheetData>
      <sheetData sheetId="6311">
        <row r="34">
          <cell r="A34" t="str">
            <v>Investments Govt Securities</v>
          </cell>
        </row>
      </sheetData>
      <sheetData sheetId="6312">
        <row r="34">
          <cell r="A34" t="str">
            <v>Investments Govt Securities</v>
          </cell>
        </row>
      </sheetData>
      <sheetData sheetId="6313">
        <row r="34">
          <cell r="A34" t="str">
            <v>Investments Govt Securities</v>
          </cell>
        </row>
      </sheetData>
      <sheetData sheetId="6314">
        <row r="34">
          <cell r="A34" t="str">
            <v>Investments Govt Securities</v>
          </cell>
        </row>
      </sheetData>
      <sheetData sheetId="6315">
        <row r="34">
          <cell r="A34" t="str">
            <v>Investments Govt Securities</v>
          </cell>
        </row>
      </sheetData>
      <sheetData sheetId="6316">
        <row r="34">
          <cell r="A34" t="str">
            <v>Investments Govt Securities</v>
          </cell>
        </row>
      </sheetData>
      <sheetData sheetId="6317">
        <row r="34">
          <cell r="A34" t="str">
            <v>Investments Govt Securities</v>
          </cell>
        </row>
      </sheetData>
      <sheetData sheetId="6318">
        <row r="34">
          <cell r="A34" t="str">
            <v>Investments Govt Securities</v>
          </cell>
        </row>
      </sheetData>
      <sheetData sheetId="6319">
        <row r="34">
          <cell r="A34" t="str">
            <v>Investments Govt Securities</v>
          </cell>
        </row>
      </sheetData>
      <sheetData sheetId="6320">
        <row r="34">
          <cell r="A34" t="str">
            <v>Investments Govt Securities</v>
          </cell>
        </row>
      </sheetData>
      <sheetData sheetId="6321">
        <row r="34">
          <cell r="A34" t="str">
            <v>Investments Govt Securities</v>
          </cell>
        </row>
      </sheetData>
      <sheetData sheetId="6322">
        <row r="34">
          <cell r="A34" t="str">
            <v>Investments Govt Securities</v>
          </cell>
        </row>
      </sheetData>
      <sheetData sheetId="6323">
        <row r="34">
          <cell r="A34" t="str">
            <v>Investments Govt Securities</v>
          </cell>
        </row>
      </sheetData>
      <sheetData sheetId="6324">
        <row r="34">
          <cell r="A34" t="str">
            <v>Investments Govt Securities</v>
          </cell>
        </row>
      </sheetData>
      <sheetData sheetId="6325">
        <row r="34">
          <cell r="A34" t="str">
            <v>Investments Govt Securities</v>
          </cell>
        </row>
      </sheetData>
      <sheetData sheetId="6326">
        <row r="34">
          <cell r="A34" t="str">
            <v>Investments Govt Securities</v>
          </cell>
        </row>
      </sheetData>
      <sheetData sheetId="6327">
        <row r="34">
          <cell r="A34" t="str">
            <v>Investments Govt Securities</v>
          </cell>
        </row>
      </sheetData>
      <sheetData sheetId="6328">
        <row r="34">
          <cell r="A34" t="str">
            <v>Investments Govt Securities</v>
          </cell>
        </row>
      </sheetData>
      <sheetData sheetId="6329">
        <row r="34">
          <cell r="A34" t="str">
            <v>Investments Govt Securities</v>
          </cell>
        </row>
      </sheetData>
      <sheetData sheetId="6330">
        <row r="34">
          <cell r="A34" t="str">
            <v>Investments Govt Securities</v>
          </cell>
        </row>
      </sheetData>
      <sheetData sheetId="6331">
        <row r="34">
          <cell r="A34" t="str">
            <v>Investments Govt Securities</v>
          </cell>
        </row>
      </sheetData>
      <sheetData sheetId="6332">
        <row r="34">
          <cell r="A34" t="str">
            <v>Investments Govt Securities</v>
          </cell>
        </row>
      </sheetData>
      <sheetData sheetId="6333">
        <row r="34">
          <cell r="A34" t="str">
            <v>Investments Govt Securities</v>
          </cell>
        </row>
      </sheetData>
      <sheetData sheetId="6334">
        <row r="34">
          <cell r="A34" t="str">
            <v>Investments Govt Securities</v>
          </cell>
        </row>
      </sheetData>
      <sheetData sheetId="6335">
        <row r="34">
          <cell r="A34" t="str">
            <v>Investments Govt Securities</v>
          </cell>
        </row>
      </sheetData>
      <sheetData sheetId="6336">
        <row r="34">
          <cell r="A34" t="str">
            <v>Investments Govt Securities</v>
          </cell>
        </row>
      </sheetData>
      <sheetData sheetId="6337">
        <row r="34">
          <cell r="A34" t="str">
            <v>Investments Govt Securities</v>
          </cell>
        </row>
      </sheetData>
      <sheetData sheetId="6338">
        <row r="34">
          <cell r="A34" t="str">
            <v>Investments Govt Securities</v>
          </cell>
        </row>
      </sheetData>
      <sheetData sheetId="6339">
        <row r="34">
          <cell r="A34" t="str">
            <v>Investments Govt Securities</v>
          </cell>
        </row>
      </sheetData>
      <sheetData sheetId="6340">
        <row r="34">
          <cell r="A34" t="str">
            <v>Investments Govt Securities</v>
          </cell>
        </row>
      </sheetData>
      <sheetData sheetId="6341">
        <row r="34">
          <cell r="A34" t="str">
            <v>Investments Govt Securities</v>
          </cell>
        </row>
      </sheetData>
      <sheetData sheetId="6342">
        <row r="34">
          <cell r="A34" t="str">
            <v>Investments Govt Securities</v>
          </cell>
        </row>
      </sheetData>
      <sheetData sheetId="6343">
        <row r="34">
          <cell r="A34" t="str">
            <v>Investments Govt Securities</v>
          </cell>
        </row>
      </sheetData>
      <sheetData sheetId="6344">
        <row r="34">
          <cell r="A34" t="str">
            <v>Investments Govt Securities</v>
          </cell>
        </row>
      </sheetData>
      <sheetData sheetId="6345">
        <row r="34">
          <cell r="A34" t="str">
            <v>Investments Govt Securities</v>
          </cell>
        </row>
      </sheetData>
      <sheetData sheetId="6346">
        <row r="34">
          <cell r="A34" t="str">
            <v>Investments Govt Securities</v>
          </cell>
        </row>
      </sheetData>
      <sheetData sheetId="6347">
        <row r="34">
          <cell r="A34" t="str">
            <v>Investments Govt Securities</v>
          </cell>
        </row>
      </sheetData>
      <sheetData sheetId="6348">
        <row r="34">
          <cell r="A34" t="str">
            <v>Investments Govt Securities</v>
          </cell>
        </row>
      </sheetData>
      <sheetData sheetId="6349">
        <row r="34">
          <cell r="A34" t="str">
            <v>Investments Govt Securities</v>
          </cell>
        </row>
      </sheetData>
      <sheetData sheetId="6350">
        <row r="34">
          <cell r="A34" t="str">
            <v>Investments Govt Securities</v>
          </cell>
        </row>
      </sheetData>
      <sheetData sheetId="6351">
        <row r="34">
          <cell r="A34" t="str">
            <v>Investments Govt Securities</v>
          </cell>
        </row>
      </sheetData>
      <sheetData sheetId="6352">
        <row r="34">
          <cell r="A34" t="str">
            <v>Investments Govt Securities</v>
          </cell>
        </row>
      </sheetData>
      <sheetData sheetId="6353">
        <row r="34">
          <cell r="A34" t="str">
            <v>Investments Govt Securities</v>
          </cell>
        </row>
      </sheetData>
      <sheetData sheetId="6354">
        <row r="34">
          <cell r="A34" t="str">
            <v>Investments Govt Securities</v>
          </cell>
        </row>
      </sheetData>
      <sheetData sheetId="6355">
        <row r="34">
          <cell r="A34" t="str">
            <v>Investments Govt Securities</v>
          </cell>
        </row>
      </sheetData>
      <sheetData sheetId="6356">
        <row r="34">
          <cell r="A34" t="str">
            <v>Investments Govt Securities</v>
          </cell>
        </row>
      </sheetData>
      <sheetData sheetId="6357">
        <row r="34">
          <cell r="A34" t="str">
            <v>Investments Govt Securities</v>
          </cell>
        </row>
      </sheetData>
      <sheetData sheetId="6358">
        <row r="34">
          <cell r="A34" t="str">
            <v>Investments Govt Securities</v>
          </cell>
        </row>
      </sheetData>
      <sheetData sheetId="6359">
        <row r="34">
          <cell r="A34" t="str">
            <v>Investments Govt Securities</v>
          </cell>
        </row>
      </sheetData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>
        <row r="34">
          <cell r="A34" t="str">
            <v>Investments Govt Securities</v>
          </cell>
        </row>
      </sheetData>
      <sheetData sheetId="6386">
        <row r="34">
          <cell r="A34" t="str">
            <v>Investments Govt Securities</v>
          </cell>
        </row>
      </sheetData>
      <sheetData sheetId="6387">
        <row r="34">
          <cell r="A34" t="str">
            <v>Investments Govt Securities</v>
          </cell>
        </row>
      </sheetData>
      <sheetData sheetId="6388">
        <row r="34">
          <cell r="A34" t="str">
            <v>Investments Govt Securities</v>
          </cell>
        </row>
      </sheetData>
      <sheetData sheetId="6389">
        <row r="34">
          <cell r="A34" t="str">
            <v>Investments Govt Securities</v>
          </cell>
        </row>
      </sheetData>
      <sheetData sheetId="6390">
        <row r="34">
          <cell r="A34" t="str">
            <v>Investments Govt Securities</v>
          </cell>
        </row>
      </sheetData>
      <sheetData sheetId="6391">
        <row r="34">
          <cell r="A34" t="str">
            <v>Investments Govt Securities</v>
          </cell>
        </row>
      </sheetData>
      <sheetData sheetId="6392">
        <row r="34">
          <cell r="A34" t="str">
            <v>Investments Govt Securities</v>
          </cell>
        </row>
      </sheetData>
      <sheetData sheetId="6393">
        <row r="34">
          <cell r="A34" t="str">
            <v>Investments Govt Securities</v>
          </cell>
        </row>
      </sheetData>
      <sheetData sheetId="6394">
        <row r="34">
          <cell r="A34" t="str">
            <v>Investments Govt Securities</v>
          </cell>
        </row>
      </sheetData>
      <sheetData sheetId="6395">
        <row r="34">
          <cell r="A34" t="str">
            <v>Investments Govt Securities</v>
          </cell>
        </row>
      </sheetData>
      <sheetData sheetId="6396">
        <row r="34">
          <cell r="A34" t="str">
            <v>Investments Govt Securities</v>
          </cell>
        </row>
      </sheetData>
      <sheetData sheetId="6397">
        <row r="34">
          <cell r="A34" t="str">
            <v>Investments Govt Securities</v>
          </cell>
        </row>
      </sheetData>
      <sheetData sheetId="6398">
        <row r="34">
          <cell r="A34" t="str">
            <v>Investments Govt Securities</v>
          </cell>
        </row>
      </sheetData>
      <sheetData sheetId="6399">
        <row r="34">
          <cell r="A34" t="str">
            <v>Investments Govt Securities</v>
          </cell>
        </row>
      </sheetData>
      <sheetData sheetId="6400">
        <row r="34">
          <cell r="A34" t="str">
            <v>Investments Govt Securities</v>
          </cell>
        </row>
      </sheetData>
      <sheetData sheetId="6401">
        <row r="34">
          <cell r="A34" t="str">
            <v>Investments Govt Securities</v>
          </cell>
        </row>
      </sheetData>
      <sheetData sheetId="6402">
        <row r="34">
          <cell r="A34" t="str">
            <v>Investments Govt Securities</v>
          </cell>
        </row>
      </sheetData>
      <sheetData sheetId="6403">
        <row r="34">
          <cell r="A34" t="str">
            <v>Investments Govt Securities</v>
          </cell>
        </row>
      </sheetData>
      <sheetData sheetId="6404">
        <row r="34">
          <cell r="A34" t="str">
            <v>Investments Govt Securities</v>
          </cell>
        </row>
      </sheetData>
      <sheetData sheetId="6405">
        <row r="34">
          <cell r="A34" t="str">
            <v>Investments Govt Securities</v>
          </cell>
        </row>
      </sheetData>
      <sheetData sheetId="6406">
        <row r="34">
          <cell r="A34" t="str">
            <v>Investments Govt Securities</v>
          </cell>
        </row>
      </sheetData>
      <sheetData sheetId="6407">
        <row r="34">
          <cell r="A34" t="str">
            <v>Investments Govt Securities</v>
          </cell>
        </row>
      </sheetData>
      <sheetData sheetId="6408">
        <row r="34">
          <cell r="A34" t="str">
            <v>Investments Govt Securities</v>
          </cell>
        </row>
      </sheetData>
      <sheetData sheetId="6409">
        <row r="34">
          <cell r="A34" t="str">
            <v>Investments Govt Securities</v>
          </cell>
        </row>
      </sheetData>
      <sheetData sheetId="6410">
        <row r="34">
          <cell r="A34" t="str">
            <v>Investments Govt Securities</v>
          </cell>
        </row>
      </sheetData>
      <sheetData sheetId="6411">
        <row r="34">
          <cell r="A34" t="str">
            <v>Investments Govt Securities</v>
          </cell>
        </row>
      </sheetData>
      <sheetData sheetId="6412">
        <row r="34">
          <cell r="A34" t="str">
            <v>Investments Govt Securities</v>
          </cell>
        </row>
      </sheetData>
      <sheetData sheetId="6413">
        <row r="34">
          <cell r="A34" t="str">
            <v>Investments Govt Securities</v>
          </cell>
        </row>
      </sheetData>
      <sheetData sheetId="6414">
        <row r="34">
          <cell r="A34" t="str">
            <v>Investments Govt Securities</v>
          </cell>
        </row>
      </sheetData>
      <sheetData sheetId="6415">
        <row r="34">
          <cell r="A34" t="str">
            <v>Investments Govt Securities</v>
          </cell>
        </row>
      </sheetData>
      <sheetData sheetId="6416">
        <row r="34">
          <cell r="A34" t="str">
            <v>Investments Govt Securities</v>
          </cell>
        </row>
      </sheetData>
      <sheetData sheetId="6417">
        <row r="34">
          <cell r="A34" t="str">
            <v>Investments Govt Securities</v>
          </cell>
        </row>
      </sheetData>
      <sheetData sheetId="6418">
        <row r="34">
          <cell r="A34" t="str">
            <v>Investments Govt Securities</v>
          </cell>
        </row>
      </sheetData>
      <sheetData sheetId="6419">
        <row r="34">
          <cell r="A34" t="str">
            <v>Investments Govt Securities</v>
          </cell>
        </row>
      </sheetData>
      <sheetData sheetId="6420">
        <row r="34">
          <cell r="A34" t="str">
            <v>Investments Govt Securities</v>
          </cell>
        </row>
      </sheetData>
      <sheetData sheetId="6421">
        <row r="34">
          <cell r="A34" t="str">
            <v>Investments Govt Securities</v>
          </cell>
        </row>
      </sheetData>
      <sheetData sheetId="6422">
        <row r="34">
          <cell r="A34" t="str">
            <v>Investments Govt Securities</v>
          </cell>
        </row>
      </sheetData>
      <sheetData sheetId="6423">
        <row r="34">
          <cell r="A34" t="str">
            <v>Investments Govt Securities</v>
          </cell>
        </row>
      </sheetData>
      <sheetData sheetId="6424">
        <row r="34">
          <cell r="A34" t="str">
            <v>Investments Govt Securities</v>
          </cell>
        </row>
      </sheetData>
      <sheetData sheetId="6425">
        <row r="34">
          <cell r="A34" t="str">
            <v>Investments Govt Securities</v>
          </cell>
        </row>
      </sheetData>
      <sheetData sheetId="6426">
        <row r="34">
          <cell r="A34" t="str">
            <v>Investments Govt Securities</v>
          </cell>
        </row>
      </sheetData>
      <sheetData sheetId="6427">
        <row r="34">
          <cell r="A34" t="str">
            <v>Investments Govt Securities</v>
          </cell>
        </row>
      </sheetData>
      <sheetData sheetId="6428">
        <row r="34">
          <cell r="A34" t="str">
            <v>Investments Govt Securities</v>
          </cell>
        </row>
      </sheetData>
      <sheetData sheetId="6429">
        <row r="34">
          <cell r="A34" t="str">
            <v>Investments Govt Securities</v>
          </cell>
        </row>
      </sheetData>
      <sheetData sheetId="6430">
        <row r="34">
          <cell r="A34" t="str">
            <v>Investments Govt Securities</v>
          </cell>
        </row>
      </sheetData>
      <sheetData sheetId="6431">
        <row r="34">
          <cell r="A34" t="str">
            <v>Investments Govt Securities</v>
          </cell>
        </row>
      </sheetData>
      <sheetData sheetId="6432">
        <row r="34">
          <cell r="A34" t="str">
            <v>Investments Govt Securities</v>
          </cell>
        </row>
      </sheetData>
      <sheetData sheetId="6433">
        <row r="34">
          <cell r="A34" t="str">
            <v>Investments Govt Securities</v>
          </cell>
        </row>
      </sheetData>
      <sheetData sheetId="6434">
        <row r="34">
          <cell r="A34" t="str">
            <v>Investments Govt Securities</v>
          </cell>
        </row>
      </sheetData>
      <sheetData sheetId="6435">
        <row r="34">
          <cell r="A34" t="str">
            <v>Investments Govt Securities</v>
          </cell>
        </row>
      </sheetData>
      <sheetData sheetId="6436">
        <row r="34">
          <cell r="A34" t="str">
            <v>Investments Govt Securities</v>
          </cell>
        </row>
      </sheetData>
      <sheetData sheetId="6437">
        <row r="34">
          <cell r="A34" t="str">
            <v>Investments Govt Securities</v>
          </cell>
        </row>
      </sheetData>
      <sheetData sheetId="6438">
        <row r="34">
          <cell r="A34" t="str">
            <v>Investments Govt Securities</v>
          </cell>
        </row>
      </sheetData>
      <sheetData sheetId="6439">
        <row r="34">
          <cell r="A34" t="str">
            <v>Investments Govt Securities</v>
          </cell>
        </row>
      </sheetData>
      <sheetData sheetId="6440">
        <row r="34">
          <cell r="A34" t="str">
            <v>Investments Govt Securities</v>
          </cell>
        </row>
      </sheetData>
      <sheetData sheetId="6441">
        <row r="34">
          <cell r="A34" t="str">
            <v>Investments Govt Securities</v>
          </cell>
        </row>
      </sheetData>
      <sheetData sheetId="6442">
        <row r="34">
          <cell r="A34" t="str">
            <v>Investments Govt Securities</v>
          </cell>
        </row>
      </sheetData>
      <sheetData sheetId="6443">
        <row r="34">
          <cell r="A34" t="str">
            <v>Investments Govt Securities</v>
          </cell>
        </row>
      </sheetData>
      <sheetData sheetId="6444">
        <row r="34">
          <cell r="A34" t="str">
            <v>Investments Govt Securities</v>
          </cell>
        </row>
      </sheetData>
      <sheetData sheetId="6445">
        <row r="34">
          <cell r="A34" t="str">
            <v>Investments Govt Securities</v>
          </cell>
        </row>
      </sheetData>
      <sheetData sheetId="6446">
        <row r="34">
          <cell r="A34" t="str">
            <v>Investments Govt Securities</v>
          </cell>
        </row>
      </sheetData>
      <sheetData sheetId="6447">
        <row r="34">
          <cell r="A34" t="str">
            <v>Investments Govt Securities</v>
          </cell>
        </row>
      </sheetData>
      <sheetData sheetId="6448">
        <row r="34">
          <cell r="A34" t="str">
            <v>Investments Govt Securities</v>
          </cell>
        </row>
      </sheetData>
      <sheetData sheetId="6449">
        <row r="34">
          <cell r="A34" t="str">
            <v>Investments Govt Securities</v>
          </cell>
        </row>
      </sheetData>
      <sheetData sheetId="6450">
        <row r="34">
          <cell r="A34" t="str">
            <v>Investments Govt Securities</v>
          </cell>
        </row>
      </sheetData>
      <sheetData sheetId="6451">
        <row r="34">
          <cell r="A34" t="str">
            <v>Investments Govt Securities</v>
          </cell>
        </row>
      </sheetData>
      <sheetData sheetId="6452">
        <row r="34">
          <cell r="A34" t="str">
            <v>Investments Govt Securities</v>
          </cell>
        </row>
      </sheetData>
      <sheetData sheetId="6453">
        <row r="34">
          <cell r="A34" t="str">
            <v>Investments Govt Securities</v>
          </cell>
        </row>
      </sheetData>
      <sheetData sheetId="6454">
        <row r="34">
          <cell r="A34" t="str">
            <v>Investments Govt Securities</v>
          </cell>
        </row>
      </sheetData>
      <sheetData sheetId="6455">
        <row r="34">
          <cell r="A34" t="str">
            <v>Investments Govt Securities</v>
          </cell>
        </row>
      </sheetData>
      <sheetData sheetId="6456">
        <row r="34">
          <cell r="A34" t="str">
            <v>Investments Govt Securities</v>
          </cell>
        </row>
      </sheetData>
      <sheetData sheetId="6457">
        <row r="34">
          <cell r="A34" t="str">
            <v>Investments Govt Securities</v>
          </cell>
        </row>
      </sheetData>
      <sheetData sheetId="6458">
        <row r="34">
          <cell r="A34" t="str">
            <v>Investments Govt Securities</v>
          </cell>
        </row>
      </sheetData>
      <sheetData sheetId="6459">
        <row r="34">
          <cell r="A34" t="str">
            <v>Investments Govt Securities</v>
          </cell>
        </row>
      </sheetData>
      <sheetData sheetId="6460">
        <row r="34">
          <cell r="A34" t="str">
            <v>Investments Govt Securities</v>
          </cell>
        </row>
      </sheetData>
      <sheetData sheetId="6461">
        <row r="34">
          <cell r="A34" t="str">
            <v>Investments Govt Securities</v>
          </cell>
        </row>
      </sheetData>
      <sheetData sheetId="6462">
        <row r="34">
          <cell r="A34" t="str">
            <v>Investments Govt Securities</v>
          </cell>
        </row>
      </sheetData>
      <sheetData sheetId="6463">
        <row r="34">
          <cell r="A34" t="str">
            <v>Investments Govt Securities</v>
          </cell>
        </row>
      </sheetData>
      <sheetData sheetId="6464">
        <row r="34">
          <cell r="A34" t="str">
            <v>Investments Govt Securities</v>
          </cell>
        </row>
      </sheetData>
      <sheetData sheetId="6465">
        <row r="34">
          <cell r="A34" t="str">
            <v>Investments Govt Securities</v>
          </cell>
        </row>
      </sheetData>
      <sheetData sheetId="6466">
        <row r="34">
          <cell r="A34" t="str">
            <v>Investments Govt Securities</v>
          </cell>
        </row>
      </sheetData>
      <sheetData sheetId="6467">
        <row r="34">
          <cell r="A34" t="str">
            <v>Investments Govt Securities</v>
          </cell>
        </row>
      </sheetData>
      <sheetData sheetId="6468">
        <row r="34">
          <cell r="A34" t="str">
            <v>Investments Govt Securities</v>
          </cell>
        </row>
      </sheetData>
      <sheetData sheetId="6469">
        <row r="34">
          <cell r="A34" t="str">
            <v>Investments Govt Securities</v>
          </cell>
        </row>
      </sheetData>
      <sheetData sheetId="6470">
        <row r="34">
          <cell r="A34" t="str">
            <v>Investments Govt Securities</v>
          </cell>
        </row>
      </sheetData>
      <sheetData sheetId="6471">
        <row r="34">
          <cell r="A34" t="str">
            <v>Investments Govt Securities</v>
          </cell>
        </row>
      </sheetData>
      <sheetData sheetId="6472">
        <row r="34">
          <cell r="A34" t="str">
            <v>Investments Govt Securities</v>
          </cell>
        </row>
      </sheetData>
      <sheetData sheetId="6473">
        <row r="34">
          <cell r="A34" t="str">
            <v>Investments Govt Securities</v>
          </cell>
        </row>
      </sheetData>
      <sheetData sheetId="6474">
        <row r="34">
          <cell r="A34" t="str">
            <v>Investments Govt Securities</v>
          </cell>
        </row>
      </sheetData>
      <sheetData sheetId="6475">
        <row r="34">
          <cell r="A34" t="str">
            <v>Investments Govt Securities</v>
          </cell>
        </row>
      </sheetData>
      <sheetData sheetId="6476">
        <row r="34">
          <cell r="A34" t="str">
            <v>Investments Govt Securities</v>
          </cell>
        </row>
      </sheetData>
      <sheetData sheetId="6477">
        <row r="34">
          <cell r="A34" t="str">
            <v>Investments Govt Securities</v>
          </cell>
        </row>
      </sheetData>
      <sheetData sheetId="6478">
        <row r="34">
          <cell r="A34" t="str">
            <v>Investments Govt Securities</v>
          </cell>
        </row>
      </sheetData>
      <sheetData sheetId="6479">
        <row r="34">
          <cell r="A34" t="str">
            <v>Investments Govt Securities</v>
          </cell>
        </row>
      </sheetData>
      <sheetData sheetId="6480">
        <row r="34">
          <cell r="A34" t="str">
            <v>Investments Govt Securities</v>
          </cell>
        </row>
      </sheetData>
      <sheetData sheetId="6481">
        <row r="34">
          <cell r="A34" t="str">
            <v>Investments Govt Securities</v>
          </cell>
        </row>
      </sheetData>
      <sheetData sheetId="6482">
        <row r="34">
          <cell r="A34" t="str">
            <v>Investments Govt Securities</v>
          </cell>
        </row>
      </sheetData>
      <sheetData sheetId="6483">
        <row r="34">
          <cell r="A34" t="str">
            <v>Investments Govt Securities</v>
          </cell>
        </row>
      </sheetData>
      <sheetData sheetId="6484">
        <row r="34">
          <cell r="A34" t="str">
            <v>Investments Govt Securities</v>
          </cell>
        </row>
      </sheetData>
      <sheetData sheetId="6485">
        <row r="34">
          <cell r="A34" t="str">
            <v>Investments Govt Securities</v>
          </cell>
        </row>
      </sheetData>
      <sheetData sheetId="6486">
        <row r="34">
          <cell r="A34" t="str">
            <v>Investments Govt Securities</v>
          </cell>
        </row>
      </sheetData>
      <sheetData sheetId="6487">
        <row r="34">
          <cell r="A34" t="str">
            <v>Investments Govt Securities</v>
          </cell>
        </row>
      </sheetData>
      <sheetData sheetId="6488">
        <row r="34">
          <cell r="A34" t="str">
            <v>Investments Govt Securities</v>
          </cell>
        </row>
      </sheetData>
      <sheetData sheetId="6489">
        <row r="34">
          <cell r="A34" t="str">
            <v>Investments Govt Securities</v>
          </cell>
        </row>
      </sheetData>
      <sheetData sheetId="6490">
        <row r="34">
          <cell r="A34" t="str">
            <v>Investments Govt Securities</v>
          </cell>
        </row>
      </sheetData>
      <sheetData sheetId="6491">
        <row r="34">
          <cell r="A34" t="str">
            <v>Investments Govt Securities</v>
          </cell>
        </row>
      </sheetData>
      <sheetData sheetId="6492">
        <row r="34">
          <cell r="A34" t="str">
            <v>Investments Govt Securities</v>
          </cell>
        </row>
      </sheetData>
      <sheetData sheetId="6493">
        <row r="34">
          <cell r="A34" t="str">
            <v>Investments Govt Securities</v>
          </cell>
        </row>
      </sheetData>
      <sheetData sheetId="6494">
        <row r="34">
          <cell r="A34" t="str">
            <v>Investments Govt Securities</v>
          </cell>
        </row>
      </sheetData>
      <sheetData sheetId="6495">
        <row r="34">
          <cell r="A34" t="str">
            <v>Investments Govt Securities</v>
          </cell>
        </row>
      </sheetData>
      <sheetData sheetId="6496">
        <row r="34">
          <cell r="A34" t="str">
            <v>Investments Govt Securities</v>
          </cell>
        </row>
      </sheetData>
      <sheetData sheetId="6497">
        <row r="34">
          <cell r="A34" t="str">
            <v>Investments Govt Securities</v>
          </cell>
        </row>
      </sheetData>
      <sheetData sheetId="6498">
        <row r="34">
          <cell r="A34" t="str">
            <v>Investments Govt Securities</v>
          </cell>
        </row>
      </sheetData>
      <sheetData sheetId="6499">
        <row r="34">
          <cell r="A34" t="str">
            <v>Investments Govt Securities</v>
          </cell>
        </row>
      </sheetData>
      <sheetData sheetId="6500">
        <row r="34">
          <cell r="A34" t="str">
            <v>Investments Govt Securities</v>
          </cell>
        </row>
      </sheetData>
      <sheetData sheetId="6501">
        <row r="34">
          <cell r="A34" t="str">
            <v>Investments Govt Securities</v>
          </cell>
        </row>
      </sheetData>
      <sheetData sheetId="6502">
        <row r="34">
          <cell r="A34" t="str">
            <v>Investments Govt Securities</v>
          </cell>
        </row>
      </sheetData>
      <sheetData sheetId="6503">
        <row r="34">
          <cell r="A34" t="str">
            <v>Investments Govt Securities</v>
          </cell>
        </row>
      </sheetData>
      <sheetData sheetId="6504">
        <row r="34">
          <cell r="A34" t="str">
            <v>Investments Govt Securities</v>
          </cell>
        </row>
      </sheetData>
      <sheetData sheetId="6505">
        <row r="34">
          <cell r="A34" t="str">
            <v>Investments Govt Securities</v>
          </cell>
        </row>
      </sheetData>
      <sheetData sheetId="6506">
        <row r="34">
          <cell r="A34" t="str">
            <v>Investments Govt Securities</v>
          </cell>
        </row>
      </sheetData>
      <sheetData sheetId="6507">
        <row r="34">
          <cell r="A34" t="str">
            <v>Investments Govt Securities</v>
          </cell>
        </row>
      </sheetData>
      <sheetData sheetId="6508">
        <row r="34">
          <cell r="A34" t="str">
            <v>Investments Govt Securities</v>
          </cell>
        </row>
      </sheetData>
      <sheetData sheetId="6509">
        <row r="34">
          <cell r="A34" t="str">
            <v>Investments Govt Securities</v>
          </cell>
        </row>
      </sheetData>
      <sheetData sheetId="6510">
        <row r="34">
          <cell r="A34" t="str">
            <v>Investments Govt Securities</v>
          </cell>
        </row>
      </sheetData>
      <sheetData sheetId="6511">
        <row r="34">
          <cell r="A34" t="str">
            <v>Investments Govt Securities</v>
          </cell>
        </row>
      </sheetData>
      <sheetData sheetId="6512">
        <row r="34">
          <cell r="A34" t="str">
            <v>Investments Govt Securities</v>
          </cell>
        </row>
      </sheetData>
      <sheetData sheetId="6513">
        <row r="34">
          <cell r="A34" t="str">
            <v>Investments Govt Securities</v>
          </cell>
        </row>
      </sheetData>
      <sheetData sheetId="6514">
        <row r="34">
          <cell r="A34" t="str">
            <v>Investments Govt Securities</v>
          </cell>
        </row>
      </sheetData>
      <sheetData sheetId="6515">
        <row r="34">
          <cell r="A34" t="str">
            <v>Investments Govt Securities</v>
          </cell>
        </row>
      </sheetData>
      <sheetData sheetId="6516">
        <row r="34">
          <cell r="A34" t="str">
            <v>Investments Govt Securities</v>
          </cell>
        </row>
      </sheetData>
      <sheetData sheetId="6517">
        <row r="34">
          <cell r="A34" t="str">
            <v>Investments Govt Securities</v>
          </cell>
        </row>
      </sheetData>
      <sheetData sheetId="6518">
        <row r="34">
          <cell r="A34" t="str">
            <v>Investments Govt Securities</v>
          </cell>
        </row>
      </sheetData>
      <sheetData sheetId="6519">
        <row r="34">
          <cell r="A34" t="str">
            <v>Investments Govt Securities</v>
          </cell>
        </row>
      </sheetData>
      <sheetData sheetId="6520">
        <row r="34">
          <cell r="A34" t="str">
            <v>Investments Govt Securities</v>
          </cell>
        </row>
      </sheetData>
      <sheetData sheetId="6521">
        <row r="34">
          <cell r="A34" t="str">
            <v>Investments Govt Securities</v>
          </cell>
        </row>
      </sheetData>
      <sheetData sheetId="6522">
        <row r="34">
          <cell r="A34" t="str">
            <v>Investments Govt Securities</v>
          </cell>
        </row>
      </sheetData>
      <sheetData sheetId="6523">
        <row r="34">
          <cell r="A34" t="str">
            <v>Investments Govt Securities</v>
          </cell>
        </row>
      </sheetData>
      <sheetData sheetId="6524">
        <row r="34">
          <cell r="A34" t="str">
            <v>Investments Govt Securities</v>
          </cell>
        </row>
      </sheetData>
      <sheetData sheetId="6525">
        <row r="34">
          <cell r="A34" t="str">
            <v>Investments Govt Securities</v>
          </cell>
        </row>
      </sheetData>
      <sheetData sheetId="6526">
        <row r="34">
          <cell r="A34" t="str">
            <v>Investments Govt Securities</v>
          </cell>
        </row>
      </sheetData>
      <sheetData sheetId="6527">
        <row r="34">
          <cell r="A34" t="str">
            <v>Investments Govt Securities</v>
          </cell>
        </row>
      </sheetData>
      <sheetData sheetId="6528">
        <row r="34">
          <cell r="A34" t="str">
            <v>Investments Govt Securities</v>
          </cell>
        </row>
      </sheetData>
      <sheetData sheetId="6529">
        <row r="34">
          <cell r="A34" t="str">
            <v>Investments Govt Securities</v>
          </cell>
        </row>
      </sheetData>
      <sheetData sheetId="6530">
        <row r="34">
          <cell r="A34" t="str">
            <v>Investments Govt Securities</v>
          </cell>
        </row>
      </sheetData>
      <sheetData sheetId="6531">
        <row r="34">
          <cell r="A34" t="str">
            <v>Investments Govt Securities</v>
          </cell>
        </row>
      </sheetData>
      <sheetData sheetId="6532">
        <row r="34">
          <cell r="A34" t="str">
            <v>Investments Govt Securities</v>
          </cell>
        </row>
      </sheetData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>
        <row r="34">
          <cell r="A34" t="str">
            <v>Investments Govt Securities</v>
          </cell>
        </row>
      </sheetData>
      <sheetData sheetId="6547">
        <row r="34">
          <cell r="A34" t="str">
            <v>Investments Govt Securities</v>
          </cell>
        </row>
      </sheetData>
      <sheetData sheetId="6548">
        <row r="34">
          <cell r="A34" t="str">
            <v>Investments Govt Securities</v>
          </cell>
        </row>
      </sheetData>
      <sheetData sheetId="6549">
        <row r="34">
          <cell r="A34" t="str">
            <v>Investments Govt Securities</v>
          </cell>
        </row>
      </sheetData>
      <sheetData sheetId="6550" refreshError="1"/>
      <sheetData sheetId="6551" refreshError="1"/>
      <sheetData sheetId="6552" refreshError="1"/>
      <sheetData sheetId="6553">
        <row r="34">
          <cell r="A34" t="str">
            <v>Investments Govt Securities</v>
          </cell>
        </row>
      </sheetData>
      <sheetData sheetId="6554">
        <row r="34">
          <cell r="A34" t="str">
            <v>Investments Govt Securities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>
        <row r="34">
          <cell r="A34" t="str">
            <v>Investments Govt Securities</v>
          </cell>
        </row>
      </sheetData>
      <sheetData sheetId="6577">
        <row r="34">
          <cell r="A34" t="str">
            <v>Investments Govt Securities</v>
          </cell>
        </row>
      </sheetData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>
        <row r="34">
          <cell r="A34" t="str">
            <v>Investments Govt Securities</v>
          </cell>
        </row>
      </sheetData>
      <sheetData sheetId="6591">
        <row r="34">
          <cell r="A34" t="str">
            <v>Investments Govt Securities</v>
          </cell>
        </row>
      </sheetData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>
        <row r="34">
          <cell r="A34" t="str">
            <v>Investments Govt Securities</v>
          </cell>
        </row>
      </sheetData>
      <sheetData sheetId="6627">
        <row r="34">
          <cell r="A34" t="str">
            <v>Investments Govt Securities</v>
          </cell>
        </row>
      </sheetData>
      <sheetData sheetId="6628">
        <row r="34">
          <cell r="A34" t="str">
            <v>Investments Govt Securities</v>
          </cell>
        </row>
      </sheetData>
      <sheetData sheetId="6629">
        <row r="34">
          <cell r="A34" t="str">
            <v>Investments Govt Securities</v>
          </cell>
        </row>
      </sheetData>
      <sheetData sheetId="6630">
        <row r="34">
          <cell r="A34" t="str">
            <v>Investments Govt Securities</v>
          </cell>
        </row>
      </sheetData>
      <sheetData sheetId="6631">
        <row r="34">
          <cell r="A34" t="str">
            <v>Investments Govt Securities</v>
          </cell>
        </row>
      </sheetData>
      <sheetData sheetId="6632">
        <row r="34">
          <cell r="A34" t="str">
            <v>Investments Govt Securities</v>
          </cell>
        </row>
      </sheetData>
      <sheetData sheetId="6633">
        <row r="34">
          <cell r="A34" t="str">
            <v>Investments Govt Securities</v>
          </cell>
        </row>
      </sheetData>
      <sheetData sheetId="6634">
        <row r="34">
          <cell r="A34" t="str">
            <v>Investments Govt Securities</v>
          </cell>
        </row>
      </sheetData>
      <sheetData sheetId="6635">
        <row r="34">
          <cell r="A34" t="str">
            <v>Investments Govt Securities</v>
          </cell>
        </row>
      </sheetData>
      <sheetData sheetId="6636">
        <row r="34">
          <cell r="A34" t="str">
            <v>Investments Govt Securities</v>
          </cell>
        </row>
      </sheetData>
      <sheetData sheetId="6637">
        <row r="34">
          <cell r="A34" t="str">
            <v>Investments Govt Securities</v>
          </cell>
        </row>
      </sheetData>
      <sheetData sheetId="6638">
        <row r="34">
          <cell r="A34" t="str">
            <v>Investments Govt Securities</v>
          </cell>
        </row>
      </sheetData>
      <sheetData sheetId="6639">
        <row r="34">
          <cell r="A34" t="str">
            <v>Investments Govt Securities</v>
          </cell>
        </row>
      </sheetData>
      <sheetData sheetId="6640">
        <row r="34">
          <cell r="A34" t="str">
            <v>Investments Govt Securities</v>
          </cell>
        </row>
      </sheetData>
      <sheetData sheetId="6641" refreshError="1"/>
      <sheetData sheetId="6642">
        <row r="34">
          <cell r="A34" t="str">
            <v>Investments Govt Securities</v>
          </cell>
        </row>
      </sheetData>
      <sheetData sheetId="6643">
        <row r="34">
          <cell r="A34" t="str">
            <v>Investments Govt Securities</v>
          </cell>
        </row>
      </sheetData>
      <sheetData sheetId="6644">
        <row r="34">
          <cell r="A34" t="str">
            <v>Investments Govt Securities</v>
          </cell>
        </row>
      </sheetData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>
        <row r="34">
          <cell r="A34" t="str">
            <v>Investments Govt Securities</v>
          </cell>
        </row>
      </sheetData>
      <sheetData sheetId="6653">
        <row r="34">
          <cell r="A34" t="str">
            <v>Investments Govt Securities</v>
          </cell>
        </row>
      </sheetData>
      <sheetData sheetId="6654">
        <row r="34">
          <cell r="A34" t="str">
            <v>Investments Govt Securities</v>
          </cell>
        </row>
      </sheetData>
      <sheetData sheetId="6655">
        <row r="34">
          <cell r="A34" t="str">
            <v>Investments Govt Securities</v>
          </cell>
        </row>
      </sheetData>
      <sheetData sheetId="6656">
        <row r="34">
          <cell r="A34" t="str">
            <v>Investments Govt Securities</v>
          </cell>
        </row>
      </sheetData>
      <sheetData sheetId="6657">
        <row r="34">
          <cell r="A34" t="str">
            <v>Investments Govt Securities</v>
          </cell>
        </row>
      </sheetData>
      <sheetData sheetId="6658">
        <row r="34">
          <cell r="A34" t="str">
            <v>Investments Govt Securities</v>
          </cell>
        </row>
      </sheetData>
      <sheetData sheetId="6659">
        <row r="34">
          <cell r="A34" t="str">
            <v>Investments Govt Securities</v>
          </cell>
        </row>
      </sheetData>
      <sheetData sheetId="6660">
        <row r="34">
          <cell r="A34" t="str">
            <v>Investments Govt Securities</v>
          </cell>
        </row>
      </sheetData>
      <sheetData sheetId="6661">
        <row r="34">
          <cell r="A34" t="str">
            <v>Investments Govt Securities</v>
          </cell>
        </row>
      </sheetData>
      <sheetData sheetId="6662">
        <row r="34">
          <cell r="A34" t="str">
            <v>Investments Govt Securities</v>
          </cell>
        </row>
      </sheetData>
      <sheetData sheetId="6663">
        <row r="34">
          <cell r="A34" t="str">
            <v>Investments Govt Securities</v>
          </cell>
        </row>
      </sheetData>
      <sheetData sheetId="6664">
        <row r="34">
          <cell r="A34" t="str">
            <v>Investments Govt Securities</v>
          </cell>
        </row>
      </sheetData>
      <sheetData sheetId="6665">
        <row r="34">
          <cell r="A34" t="str">
            <v>Investments Govt Securities</v>
          </cell>
        </row>
      </sheetData>
      <sheetData sheetId="6666">
        <row r="34">
          <cell r="A34" t="str">
            <v>Investments Govt Securities</v>
          </cell>
        </row>
      </sheetData>
      <sheetData sheetId="6667">
        <row r="34">
          <cell r="A34" t="str">
            <v>Investments Govt Securities</v>
          </cell>
        </row>
      </sheetData>
      <sheetData sheetId="6668">
        <row r="34">
          <cell r="A34" t="str">
            <v>Investments Govt Securities</v>
          </cell>
        </row>
      </sheetData>
      <sheetData sheetId="6669">
        <row r="34">
          <cell r="A34" t="str">
            <v>Investments Govt Securities</v>
          </cell>
        </row>
      </sheetData>
      <sheetData sheetId="6670">
        <row r="34">
          <cell r="A34" t="str">
            <v>Investments Govt Securities</v>
          </cell>
        </row>
      </sheetData>
      <sheetData sheetId="6671">
        <row r="34">
          <cell r="A34" t="str">
            <v>Investments Govt Securities</v>
          </cell>
        </row>
      </sheetData>
      <sheetData sheetId="6672">
        <row r="34">
          <cell r="A34" t="str">
            <v>Investments Govt Securities</v>
          </cell>
        </row>
      </sheetData>
      <sheetData sheetId="6673">
        <row r="34">
          <cell r="A34" t="str">
            <v>Investments Govt Securities</v>
          </cell>
        </row>
      </sheetData>
      <sheetData sheetId="6674">
        <row r="34">
          <cell r="A34" t="str">
            <v>Investments Govt Securities</v>
          </cell>
        </row>
      </sheetData>
      <sheetData sheetId="6675">
        <row r="34">
          <cell r="A34" t="str">
            <v>Investments Govt Securities</v>
          </cell>
        </row>
      </sheetData>
      <sheetData sheetId="6676">
        <row r="34">
          <cell r="A34" t="str">
            <v>Investments Govt Securities</v>
          </cell>
        </row>
      </sheetData>
      <sheetData sheetId="6677">
        <row r="34">
          <cell r="A34" t="str">
            <v>Investments Govt Securities</v>
          </cell>
        </row>
      </sheetData>
      <sheetData sheetId="6678">
        <row r="34">
          <cell r="A34" t="str">
            <v>Investments Govt Securities</v>
          </cell>
        </row>
      </sheetData>
      <sheetData sheetId="6679">
        <row r="34">
          <cell r="A34" t="str">
            <v>Investments Govt Securities</v>
          </cell>
        </row>
      </sheetData>
      <sheetData sheetId="6680">
        <row r="34">
          <cell r="A34" t="str">
            <v>Investments Govt Securities</v>
          </cell>
        </row>
      </sheetData>
      <sheetData sheetId="6681">
        <row r="34">
          <cell r="A34" t="str">
            <v>Investments Govt Securities</v>
          </cell>
        </row>
      </sheetData>
      <sheetData sheetId="6682">
        <row r="34">
          <cell r="A34" t="str">
            <v>Investments Govt Securities</v>
          </cell>
        </row>
      </sheetData>
      <sheetData sheetId="6683">
        <row r="34">
          <cell r="A34" t="str">
            <v>Investments Govt Securities</v>
          </cell>
        </row>
      </sheetData>
      <sheetData sheetId="6684">
        <row r="34">
          <cell r="A34" t="str">
            <v>Investments Govt Securities</v>
          </cell>
        </row>
      </sheetData>
      <sheetData sheetId="6685">
        <row r="34">
          <cell r="A34" t="str">
            <v>Investments Govt Securities</v>
          </cell>
        </row>
      </sheetData>
      <sheetData sheetId="6686">
        <row r="34">
          <cell r="A34" t="str">
            <v>Investments Govt Securities</v>
          </cell>
        </row>
      </sheetData>
      <sheetData sheetId="6687">
        <row r="34">
          <cell r="A34" t="str">
            <v>Investments Govt Securities</v>
          </cell>
        </row>
      </sheetData>
      <sheetData sheetId="6688">
        <row r="34">
          <cell r="A34" t="str">
            <v>Investments Govt Securities</v>
          </cell>
        </row>
      </sheetData>
      <sheetData sheetId="6689">
        <row r="34">
          <cell r="A34" t="str">
            <v>Investments Govt Securities</v>
          </cell>
        </row>
      </sheetData>
      <sheetData sheetId="6690">
        <row r="34">
          <cell r="A34" t="str">
            <v>Investments Govt Securities</v>
          </cell>
        </row>
      </sheetData>
      <sheetData sheetId="6691">
        <row r="34">
          <cell r="A34" t="str">
            <v>Investments Govt Securities</v>
          </cell>
        </row>
      </sheetData>
      <sheetData sheetId="6692">
        <row r="34">
          <cell r="A34" t="str">
            <v>Investments Govt Securities</v>
          </cell>
        </row>
      </sheetData>
      <sheetData sheetId="6693">
        <row r="34">
          <cell r="A34" t="str">
            <v>Investments Govt Securities</v>
          </cell>
        </row>
      </sheetData>
      <sheetData sheetId="6694">
        <row r="34">
          <cell r="A34" t="str">
            <v>Investments Govt Securities</v>
          </cell>
        </row>
      </sheetData>
      <sheetData sheetId="6695">
        <row r="34">
          <cell r="A34" t="str">
            <v>Investments Govt Securities</v>
          </cell>
        </row>
      </sheetData>
      <sheetData sheetId="6696">
        <row r="34">
          <cell r="A34" t="str">
            <v>Investments Govt Securities</v>
          </cell>
        </row>
      </sheetData>
      <sheetData sheetId="6697">
        <row r="34">
          <cell r="A34" t="str">
            <v>Investments Govt Securities</v>
          </cell>
        </row>
      </sheetData>
      <sheetData sheetId="6698">
        <row r="34">
          <cell r="A34" t="str">
            <v>Investments Govt Securities</v>
          </cell>
        </row>
      </sheetData>
      <sheetData sheetId="6699">
        <row r="34">
          <cell r="A34" t="str">
            <v>Investments Govt Securities</v>
          </cell>
        </row>
      </sheetData>
      <sheetData sheetId="6700">
        <row r="34">
          <cell r="A34" t="str">
            <v>Investments Govt Securities</v>
          </cell>
        </row>
      </sheetData>
      <sheetData sheetId="6701">
        <row r="34">
          <cell r="A34" t="str">
            <v>Investments Govt Securities</v>
          </cell>
        </row>
      </sheetData>
      <sheetData sheetId="6702">
        <row r="34">
          <cell r="A34" t="str">
            <v>Investments Govt Securities</v>
          </cell>
        </row>
      </sheetData>
      <sheetData sheetId="6703">
        <row r="34">
          <cell r="A34" t="str">
            <v>Investments Govt Securities</v>
          </cell>
        </row>
      </sheetData>
      <sheetData sheetId="6704">
        <row r="34">
          <cell r="A34" t="str">
            <v>Investments Govt Securities</v>
          </cell>
        </row>
      </sheetData>
      <sheetData sheetId="6705">
        <row r="34">
          <cell r="A34" t="str">
            <v>Investments Govt Securities</v>
          </cell>
        </row>
      </sheetData>
      <sheetData sheetId="6706">
        <row r="34">
          <cell r="A34" t="str">
            <v>Investments Govt Securities</v>
          </cell>
        </row>
      </sheetData>
      <sheetData sheetId="6707">
        <row r="34">
          <cell r="A34" t="str">
            <v>Investments Govt Securities</v>
          </cell>
        </row>
      </sheetData>
      <sheetData sheetId="6708">
        <row r="34">
          <cell r="A34" t="str">
            <v>Investments Govt Securities</v>
          </cell>
        </row>
      </sheetData>
      <sheetData sheetId="6709">
        <row r="34">
          <cell r="A34" t="str">
            <v>Investments Govt Securities</v>
          </cell>
        </row>
      </sheetData>
      <sheetData sheetId="6710">
        <row r="34">
          <cell r="A34" t="str">
            <v>Investments Govt Securities</v>
          </cell>
        </row>
      </sheetData>
      <sheetData sheetId="6711">
        <row r="34">
          <cell r="A34" t="str">
            <v>Investments Govt Securities</v>
          </cell>
        </row>
      </sheetData>
      <sheetData sheetId="6712">
        <row r="34">
          <cell r="A34" t="str">
            <v>Investments Govt Securities</v>
          </cell>
        </row>
      </sheetData>
      <sheetData sheetId="6713">
        <row r="34">
          <cell r="A34" t="str">
            <v>Investments Govt Securities</v>
          </cell>
        </row>
      </sheetData>
      <sheetData sheetId="6714">
        <row r="34">
          <cell r="A34" t="str">
            <v>Investments Govt Securities</v>
          </cell>
        </row>
      </sheetData>
      <sheetData sheetId="6715">
        <row r="34">
          <cell r="A34" t="str">
            <v>Investments Govt Securities</v>
          </cell>
        </row>
      </sheetData>
      <sheetData sheetId="6716">
        <row r="34">
          <cell r="A34" t="str">
            <v>Investments Govt Securities</v>
          </cell>
        </row>
      </sheetData>
      <sheetData sheetId="6717">
        <row r="34">
          <cell r="A34" t="str">
            <v>Investments Govt Securities</v>
          </cell>
        </row>
      </sheetData>
      <sheetData sheetId="6718">
        <row r="34">
          <cell r="A34" t="str">
            <v>Investments Govt Securities</v>
          </cell>
        </row>
      </sheetData>
      <sheetData sheetId="6719">
        <row r="34">
          <cell r="A34" t="str">
            <v>Investments Govt Securities</v>
          </cell>
        </row>
      </sheetData>
      <sheetData sheetId="6720">
        <row r="34">
          <cell r="A34" t="str">
            <v>Investments Govt Securities</v>
          </cell>
        </row>
      </sheetData>
      <sheetData sheetId="6721">
        <row r="34">
          <cell r="A34" t="str">
            <v>Investments Govt Securities</v>
          </cell>
        </row>
      </sheetData>
      <sheetData sheetId="6722">
        <row r="34">
          <cell r="A34" t="str">
            <v>Investments Govt Securities</v>
          </cell>
        </row>
      </sheetData>
      <sheetData sheetId="6723">
        <row r="34">
          <cell r="A34" t="str">
            <v>Investments Govt Securities</v>
          </cell>
        </row>
      </sheetData>
      <sheetData sheetId="6724">
        <row r="34">
          <cell r="A34" t="str">
            <v>Investments Govt Securities</v>
          </cell>
        </row>
      </sheetData>
      <sheetData sheetId="6725">
        <row r="34">
          <cell r="A34" t="str">
            <v>Investments Govt Securities</v>
          </cell>
        </row>
      </sheetData>
      <sheetData sheetId="6726">
        <row r="34">
          <cell r="A34" t="str">
            <v>Investments Govt Securities</v>
          </cell>
        </row>
      </sheetData>
      <sheetData sheetId="6727">
        <row r="34">
          <cell r="A34" t="str">
            <v>Investments Govt Securities</v>
          </cell>
        </row>
      </sheetData>
      <sheetData sheetId="6728">
        <row r="34">
          <cell r="A34" t="str">
            <v>Investments Govt Securities</v>
          </cell>
        </row>
      </sheetData>
      <sheetData sheetId="6729">
        <row r="34">
          <cell r="A34" t="str">
            <v>Investments Govt Securities</v>
          </cell>
        </row>
      </sheetData>
      <sheetData sheetId="6730" refreshError="1"/>
      <sheetData sheetId="6731" refreshError="1"/>
      <sheetData sheetId="6732" refreshError="1"/>
      <sheetData sheetId="6733" refreshError="1"/>
      <sheetData sheetId="6734">
        <row r="34">
          <cell r="A34" t="str">
            <v>Investments Govt Securities</v>
          </cell>
        </row>
      </sheetData>
      <sheetData sheetId="6735">
        <row r="34">
          <cell r="A34" t="str">
            <v>Investments Govt Securities</v>
          </cell>
        </row>
      </sheetData>
      <sheetData sheetId="6736">
        <row r="34">
          <cell r="A34" t="str">
            <v>Investments Govt Securities</v>
          </cell>
        </row>
      </sheetData>
      <sheetData sheetId="6737">
        <row r="34">
          <cell r="A34" t="str">
            <v>Investments Govt Securities</v>
          </cell>
        </row>
      </sheetData>
      <sheetData sheetId="6738">
        <row r="34">
          <cell r="A34" t="str">
            <v>Investments Govt Securities</v>
          </cell>
        </row>
      </sheetData>
      <sheetData sheetId="6739">
        <row r="34">
          <cell r="A34" t="str">
            <v>Investments Govt Securities</v>
          </cell>
        </row>
      </sheetData>
      <sheetData sheetId="6740">
        <row r="34">
          <cell r="A34" t="str">
            <v>Investments Govt Securities</v>
          </cell>
        </row>
      </sheetData>
      <sheetData sheetId="6741">
        <row r="34">
          <cell r="A34" t="str">
            <v>Investments Govt Securities</v>
          </cell>
        </row>
      </sheetData>
      <sheetData sheetId="6742">
        <row r="34">
          <cell r="A34" t="str">
            <v>Investments Govt Securities</v>
          </cell>
        </row>
      </sheetData>
      <sheetData sheetId="6743">
        <row r="34">
          <cell r="A34" t="str">
            <v>Investments Govt Securities</v>
          </cell>
        </row>
      </sheetData>
      <sheetData sheetId="6744">
        <row r="34">
          <cell r="A34" t="str">
            <v>Investments Govt Securities</v>
          </cell>
        </row>
      </sheetData>
      <sheetData sheetId="6745">
        <row r="34">
          <cell r="A34" t="str">
            <v>Investments Govt Securities</v>
          </cell>
        </row>
      </sheetData>
      <sheetData sheetId="6746">
        <row r="34">
          <cell r="A34" t="str">
            <v>Investments Govt Securities</v>
          </cell>
        </row>
      </sheetData>
      <sheetData sheetId="6747">
        <row r="34">
          <cell r="A34" t="str">
            <v>Investments Govt Securities</v>
          </cell>
        </row>
      </sheetData>
      <sheetData sheetId="6748">
        <row r="34">
          <cell r="A34" t="str">
            <v>Investments Govt Securities</v>
          </cell>
        </row>
      </sheetData>
      <sheetData sheetId="6749">
        <row r="34">
          <cell r="A34" t="str">
            <v>Investments Govt Securities</v>
          </cell>
        </row>
      </sheetData>
      <sheetData sheetId="6750">
        <row r="34">
          <cell r="A34" t="str">
            <v>Investments Govt Securities</v>
          </cell>
        </row>
      </sheetData>
      <sheetData sheetId="6751">
        <row r="34">
          <cell r="A34" t="str">
            <v>Investments Govt Securities</v>
          </cell>
        </row>
      </sheetData>
      <sheetData sheetId="6752">
        <row r="34">
          <cell r="A34" t="str">
            <v>Investments Govt Securities</v>
          </cell>
        </row>
      </sheetData>
      <sheetData sheetId="6753">
        <row r="34">
          <cell r="A34" t="str">
            <v>Investments Govt Securities</v>
          </cell>
        </row>
      </sheetData>
      <sheetData sheetId="6754">
        <row r="34">
          <cell r="A34" t="str">
            <v>Investments Govt Securities</v>
          </cell>
        </row>
      </sheetData>
      <sheetData sheetId="6755">
        <row r="34">
          <cell r="A34" t="str">
            <v>Investments Govt Securities</v>
          </cell>
        </row>
      </sheetData>
      <sheetData sheetId="6756">
        <row r="34">
          <cell r="A34" t="str">
            <v>Investments Govt Securities</v>
          </cell>
        </row>
      </sheetData>
      <sheetData sheetId="6757">
        <row r="34">
          <cell r="A34" t="str">
            <v>Investments Govt Securities</v>
          </cell>
        </row>
      </sheetData>
      <sheetData sheetId="6758">
        <row r="34">
          <cell r="A34" t="str">
            <v>Investments Govt Securities</v>
          </cell>
        </row>
      </sheetData>
      <sheetData sheetId="6759">
        <row r="34">
          <cell r="A34" t="str">
            <v>Investments Govt Securities</v>
          </cell>
        </row>
      </sheetData>
      <sheetData sheetId="6760" refreshError="1"/>
      <sheetData sheetId="6761" refreshError="1"/>
      <sheetData sheetId="6762" refreshError="1"/>
      <sheetData sheetId="6763">
        <row r="34">
          <cell r="A34" t="str">
            <v>Investments Govt Securities</v>
          </cell>
        </row>
      </sheetData>
      <sheetData sheetId="6764">
        <row r="34">
          <cell r="A34" t="str">
            <v>Investments Govt Securities</v>
          </cell>
        </row>
      </sheetData>
      <sheetData sheetId="6765">
        <row r="34">
          <cell r="A34" t="str">
            <v>Investments Govt Securities</v>
          </cell>
        </row>
      </sheetData>
      <sheetData sheetId="6766">
        <row r="34">
          <cell r="A34" t="str">
            <v>Investments Govt Securities</v>
          </cell>
        </row>
      </sheetData>
      <sheetData sheetId="6767">
        <row r="34">
          <cell r="A34" t="str">
            <v>Investments Govt Securities</v>
          </cell>
        </row>
      </sheetData>
      <sheetData sheetId="6768">
        <row r="34">
          <cell r="A34" t="str">
            <v>Investments Govt Securities</v>
          </cell>
        </row>
      </sheetData>
      <sheetData sheetId="6769">
        <row r="34">
          <cell r="A34" t="str">
            <v>Investments Govt Securities</v>
          </cell>
        </row>
      </sheetData>
      <sheetData sheetId="6770">
        <row r="34">
          <cell r="A34" t="str">
            <v>Investments Govt Securities</v>
          </cell>
        </row>
      </sheetData>
      <sheetData sheetId="6771">
        <row r="34">
          <cell r="A34" t="str">
            <v>Investments Govt Securities</v>
          </cell>
        </row>
      </sheetData>
      <sheetData sheetId="6772" refreshError="1"/>
      <sheetData sheetId="6773">
        <row r="34">
          <cell r="A34" t="str">
            <v>Investments Govt Securities</v>
          </cell>
        </row>
      </sheetData>
      <sheetData sheetId="6774">
        <row r="34">
          <cell r="A34" t="str">
            <v>Investments Govt Securities</v>
          </cell>
        </row>
      </sheetData>
      <sheetData sheetId="6775">
        <row r="34">
          <cell r="A34" t="str">
            <v>Investments Govt Securities</v>
          </cell>
        </row>
      </sheetData>
      <sheetData sheetId="6776">
        <row r="34">
          <cell r="A34" t="str">
            <v>Investments Govt Securities</v>
          </cell>
        </row>
      </sheetData>
      <sheetData sheetId="6777">
        <row r="34">
          <cell r="A34" t="str">
            <v>Investments Govt Securities</v>
          </cell>
        </row>
      </sheetData>
      <sheetData sheetId="6778">
        <row r="34">
          <cell r="A34" t="str">
            <v>Investments Govt Securities</v>
          </cell>
        </row>
      </sheetData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>
        <row r="34">
          <cell r="A34" t="str">
            <v>Investments Govt Securities</v>
          </cell>
        </row>
      </sheetData>
      <sheetData sheetId="6920" refreshError="1"/>
      <sheetData sheetId="6921" refreshError="1"/>
      <sheetData sheetId="6922">
        <row r="34">
          <cell r="A34" t="str">
            <v>Investments Govt Securities</v>
          </cell>
        </row>
      </sheetData>
      <sheetData sheetId="6923">
        <row r="34">
          <cell r="A34" t="str">
            <v>Investments Govt Securities</v>
          </cell>
        </row>
      </sheetData>
      <sheetData sheetId="6924">
        <row r="34">
          <cell r="A34" t="str">
            <v>Investments Govt Securities</v>
          </cell>
        </row>
      </sheetData>
      <sheetData sheetId="6925">
        <row r="34">
          <cell r="A34" t="str">
            <v>Investments Govt Securities</v>
          </cell>
        </row>
      </sheetData>
      <sheetData sheetId="6926">
        <row r="34">
          <cell r="A34" t="str">
            <v>Investments Govt Securities</v>
          </cell>
        </row>
      </sheetData>
      <sheetData sheetId="6927">
        <row r="34">
          <cell r="A34" t="str">
            <v>Investments Govt Securities</v>
          </cell>
        </row>
      </sheetData>
      <sheetData sheetId="6928">
        <row r="34">
          <cell r="A34" t="str">
            <v>Investments Govt Securities</v>
          </cell>
        </row>
      </sheetData>
      <sheetData sheetId="6929">
        <row r="34">
          <cell r="A34" t="str">
            <v>Investments Govt Securities</v>
          </cell>
        </row>
      </sheetData>
      <sheetData sheetId="6930">
        <row r="34">
          <cell r="A34" t="str">
            <v>Investments Govt Securities</v>
          </cell>
        </row>
      </sheetData>
      <sheetData sheetId="6931">
        <row r="34">
          <cell r="A34" t="str">
            <v>Investments Govt Securities</v>
          </cell>
        </row>
      </sheetData>
      <sheetData sheetId="6932">
        <row r="34">
          <cell r="A34" t="str">
            <v>Investments Govt Securities</v>
          </cell>
        </row>
      </sheetData>
      <sheetData sheetId="6933">
        <row r="34">
          <cell r="A34" t="str">
            <v>Investments Govt Securities</v>
          </cell>
        </row>
      </sheetData>
      <sheetData sheetId="6934">
        <row r="34">
          <cell r="A34" t="str">
            <v>Investments Govt Securities</v>
          </cell>
        </row>
      </sheetData>
      <sheetData sheetId="6935">
        <row r="34">
          <cell r="A34" t="str">
            <v>Investments Govt Securities</v>
          </cell>
        </row>
      </sheetData>
      <sheetData sheetId="6936">
        <row r="34">
          <cell r="A34" t="str">
            <v>Investments Govt Securities</v>
          </cell>
        </row>
      </sheetData>
      <sheetData sheetId="6937">
        <row r="34">
          <cell r="A34" t="str">
            <v>Investments Govt Securities</v>
          </cell>
        </row>
      </sheetData>
      <sheetData sheetId="6938">
        <row r="34">
          <cell r="A34" t="str">
            <v>Investments Govt Securities</v>
          </cell>
        </row>
      </sheetData>
      <sheetData sheetId="6939">
        <row r="34">
          <cell r="A34" t="str">
            <v>Investments Govt Securities</v>
          </cell>
        </row>
      </sheetData>
      <sheetData sheetId="6940">
        <row r="34">
          <cell r="A34" t="str">
            <v>Investments Govt Securities</v>
          </cell>
        </row>
      </sheetData>
      <sheetData sheetId="6941">
        <row r="34">
          <cell r="A34" t="str">
            <v>Investments Govt Securities</v>
          </cell>
        </row>
      </sheetData>
      <sheetData sheetId="6942">
        <row r="34">
          <cell r="A34" t="str">
            <v>Investments Govt Securities</v>
          </cell>
        </row>
      </sheetData>
      <sheetData sheetId="6943">
        <row r="34">
          <cell r="A34" t="str">
            <v>Investments Govt Securities</v>
          </cell>
        </row>
      </sheetData>
      <sheetData sheetId="6944">
        <row r="34">
          <cell r="A34" t="str">
            <v>Investments Govt Securities</v>
          </cell>
        </row>
      </sheetData>
      <sheetData sheetId="6945">
        <row r="34">
          <cell r="A34" t="str">
            <v>Investments Govt Securities</v>
          </cell>
        </row>
      </sheetData>
      <sheetData sheetId="6946">
        <row r="34">
          <cell r="A34" t="str">
            <v>Investments Govt Securities</v>
          </cell>
        </row>
      </sheetData>
      <sheetData sheetId="6947">
        <row r="34">
          <cell r="A34" t="str">
            <v>Investments Govt Securities</v>
          </cell>
        </row>
      </sheetData>
      <sheetData sheetId="6948">
        <row r="34">
          <cell r="A34" t="str">
            <v>Investments Govt Securities</v>
          </cell>
        </row>
      </sheetData>
      <sheetData sheetId="6949">
        <row r="34">
          <cell r="A34" t="str">
            <v>Investments Govt Securities</v>
          </cell>
        </row>
      </sheetData>
      <sheetData sheetId="6950">
        <row r="34">
          <cell r="A34" t="str">
            <v>Investments Govt Securities</v>
          </cell>
        </row>
      </sheetData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>
        <row r="34">
          <cell r="A34" t="str">
            <v>Investments Govt Securities</v>
          </cell>
        </row>
      </sheetData>
      <sheetData sheetId="7227">
        <row r="34">
          <cell r="A34" t="str">
            <v>Investments Govt Securities</v>
          </cell>
        </row>
      </sheetData>
      <sheetData sheetId="7228">
        <row r="34">
          <cell r="A34" t="str">
            <v>Investments Govt Securities</v>
          </cell>
        </row>
      </sheetData>
      <sheetData sheetId="7229">
        <row r="34">
          <cell r="A34" t="str">
            <v>Investments Govt Securities</v>
          </cell>
        </row>
      </sheetData>
      <sheetData sheetId="7230">
        <row r="34">
          <cell r="A34" t="str">
            <v>Investments Govt Securities</v>
          </cell>
        </row>
      </sheetData>
      <sheetData sheetId="7231">
        <row r="34">
          <cell r="A34" t="str">
            <v>Investments Govt Securities</v>
          </cell>
        </row>
      </sheetData>
      <sheetData sheetId="7232">
        <row r="34">
          <cell r="A34" t="str">
            <v>Investments Govt Securities</v>
          </cell>
        </row>
      </sheetData>
      <sheetData sheetId="7233">
        <row r="34">
          <cell r="A34" t="str">
            <v>Investments Govt Securities</v>
          </cell>
        </row>
      </sheetData>
      <sheetData sheetId="7234">
        <row r="34">
          <cell r="A34" t="str">
            <v>Investments Govt Securities</v>
          </cell>
        </row>
      </sheetData>
      <sheetData sheetId="7235">
        <row r="34">
          <cell r="A34" t="str">
            <v>Investments Govt Securities</v>
          </cell>
        </row>
      </sheetData>
      <sheetData sheetId="7236">
        <row r="34">
          <cell r="A34" t="str">
            <v>Investments Govt Securities</v>
          </cell>
        </row>
      </sheetData>
      <sheetData sheetId="7237">
        <row r="34">
          <cell r="A34" t="str">
            <v>Investments Govt Securities</v>
          </cell>
        </row>
      </sheetData>
      <sheetData sheetId="7238">
        <row r="34">
          <cell r="A34" t="str">
            <v>Investments Govt Securities</v>
          </cell>
        </row>
      </sheetData>
      <sheetData sheetId="7239">
        <row r="34">
          <cell r="A34" t="str">
            <v>Investments Govt Securities</v>
          </cell>
        </row>
      </sheetData>
      <sheetData sheetId="7240">
        <row r="34">
          <cell r="A34" t="str">
            <v>Investments Govt Securities</v>
          </cell>
        </row>
      </sheetData>
      <sheetData sheetId="7241">
        <row r="34">
          <cell r="A34" t="str">
            <v>Investments Govt Securities</v>
          </cell>
        </row>
      </sheetData>
      <sheetData sheetId="7242">
        <row r="34">
          <cell r="A34" t="str">
            <v>Investments Govt Securities</v>
          </cell>
        </row>
      </sheetData>
      <sheetData sheetId="7243">
        <row r="34">
          <cell r="A34" t="str">
            <v>Investments Govt Securities</v>
          </cell>
        </row>
      </sheetData>
      <sheetData sheetId="7244">
        <row r="34">
          <cell r="A34" t="str">
            <v>Investments Govt Securities</v>
          </cell>
        </row>
      </sheetData>
      <sheetData sheetId="7245">
        <row r="34">
          <cell r="A34" t="str">
            <v>Investments Govt Securities</v>
          </cell>
        </row>
      </sheetData>
      <sheetData sheetId="7246">
        <row r="34">
          <cell r="A34" t="str">
            <v>Investments Govt Securities</v>
          </cell>
        </row>
      </sheetData>
      <sheetData sheetId="7247">
        <row r="34">
          <cell r="A34" t="str">
            <v>Investments Govt Securities</v>
          </cell>
        </row>
      </sheetData>
      <sheetData sheetId="7248">
        <row r="34">
          <cell r="A34" t="str">
            <v>Investments Govt Securities</v>
          </cell>
        </row>
      </sheetData>
      <sheetData sheetId="7249">
        <row r="34">
          <cell r="A34" t="str">
            <v>Investments Govt Securities</v>
          </cell>
        </row>
      </sheetData>
      <sheetData sheetId="7250">
        <row r="34">
          <cell r="A34" t="str">
            <v>Investments Govt Securities</v>
          </cell>
        </row>
      </sheetData>
      <sheetData sheetId="7251">
        <row r="34">
          <cell r="A34" t="str">
            <v>Investments Govt Securities</v>
          </cell>
        </row>
      </sheetData>
      <sheetData sheetId="7252">
        <row r="34">
          <cell r="A34" t="str">
            <v>Investments Govt Securities</v>
          </cell>
        </row>
      </sheetData>
      <sheetData sheetId="7253">
        <row r="34">
          <cell r="A34" t="str">
            <v>Investments Govt Securities</v>
          </cell>
        </row>
      </sheetData>
      <sheetData sheetId="7254">
        <row r="34">
          <cell r="A34" t="str">
            <v>Investments Govt Securities</v>
          </cell>
        </row>
      </sheetData>
      <sheetData sheetId="7255">
        <row r="34">
          <cell r="A34" t="str">
            <v>Investments Govt Securities</v>
          </cell>
        </row>
      </sheetData>
      <sheetData sheetId="7256">
        <row r="34">
          <cell r="A34" t="str">
            <v>Investments Govt Securities</v>
          </cell>
        </row>
      </sheetData>
      <sheetData sheetId="7257">
        <row r="34">
          <cell r="A34" t="str">
            <v>Investments Govt Securities</v>
          </cell>
        </row>
      </sheetData>
      <sheetData sheetId="7258">
        <row r="34">
          <cell r="A34" t="str">
            <v>Investments Govt Securities</v>
          </cell>
        </row>
      </sheetData>
      <sheetData sheetId="7259">
        <row r="34">
          <cell r="A34" t="str">
            <v>Investments Govt Securities</v>
          </cell>
        </row>
      </sheetData>
      <sheetData sheetId="7260">
        <row r="34">
          <cell r="A34" t="str">
            <v>Investments Govt Securities</v>
          </cell>
        </row>
      </sheetData>
      <sheetData sheetId="7261">
        <row r="34">
          <cell r="A34" t="str">
            <v>Investments Govt Securities</v>
          </cell>
        </row>
      </sheetData>
      <sheetData sheetId="7262">
        <row r="34">
          <cell r="A34" t="str">
            <v>Investments Govt Securities</v>
          </cell>
        </row>
      </sheetData>
      <sheetData sheetId="7263">
        <row r="34">
          <cell r="A34" t="str">
            <v>Investments Govt Securities</v>
          </cell>
        </row>
      </sheetData>
      <sheetData sheetId="7264">
        <row r="34">
          <cell r="A34" t="str">
            <v>Investments Govt Securities</v>
          </cell>
        </row>
      </sheetData>
      <sheetData sheetId="7265">
        <row r="34">
          <cell r="A34" t="str">
            <v>Investments Govt Securities</v>
          </cell>
        </row>
      </sheetData>
      <sheetData sheetId="7266">
        <row r="34">
          <cell r="A34" t="str">
            <v>Investments Govt Securities</v>
          </cell>
        </row>
      </sheetData>
      <sheetData sheetId="7267">
        <row r="34">
          <cell r="A34" t="str">
            <v>Investments Govt Securities</v>
          </cell>
        </row>
      </sheetData>
      <sheetData sheetId="7268">
        <row r="34">
          <cell r="A34" t="str">
            <v>Investments Govt Securities</v>
          </cell>
        </row>
      </sheetData>
      <sheetData sheetId="7269">
        <row r="34">
          <cell r="A34" t="str">
            <v>Investments Govt Securities</v>
          </cell>
        </row>
      </sheetData>
      <sheetData sheetId="7270">
        <row r="34">
          <cell r="A34" t="str">
            <v>Investments Govt Securities</v>
          </cell>
        </row>
      </sheetData>
      <sheetData sheetId="7271">
        <row r="34">
          <cell r="A34" t="str">
            <v>Investments Govt Securities</v>
          </cell>
        </row>
      </sheetData>
      <sheetData sheetId="7272">
        <row r="34">
          <cell r="A34" t="str">
            <v>Investments Govt Securities</v>
          </cell>
        </row>
      </sheetData>
      <sheetData sheetId="7273">
        <row r="34">
          <cell r="A34" t="str">
            <v>Investments Govt Securities</v>
          </cell>
        </row>
      </sheetData>
      <sheetData sheetId="7274">
        <row r="34">
          <cell r="A34" t="str">
            <v>Investments Govt Securities</v>
          </cell>
        </row>
      </sheetData>
      <sheetData sheetId="7275">
        <row r="34">
          <cell r="A34" t="str">
            <v>Investments Govt Securities</v>
          </cell>
        </row>
      </sheetData>
      <sheetData sheetId="7276">
        <row r="34">
          <cell r="A34" t="str">
            <v>Investments Govt Securities</v>
          </cell>
        </row>
      </sheetData>
      <sheetData sheetId="7277">
        <row r="34">
          <cell r="A34" t="str">
            <v>Investments Govt Securities</v>
          </cell>
        </row>
      </sheetData>
      <sheetData sheetId="7278">
        <row r="34">
          <cell r="A34" t="str">
            <v>Investments Govt Securities</v>
          </cell>
        </row>
      </sheetData>
      <sheetData sheetId="7279">
        <row r="34">
          <cell r="A34" t="str">
            <v>Investments Govt Securities</v>
          </cell>
        </row>
      </sheetData>
      <sheetData sheetId="7280">
        <row r="34">
          <cell r="A34" t="str">
            <v>Investments Govt Securities</v>
          </cell>
        </row>
      </sheetData>
      <sheetData sheetId="7281">
        <row r="34">
          <cell r="A34" t="str">
            <v>Investments Govt Securities</v>
          </cell>
        </row>
      </sheetData>
      <sheetData sheetId="7282">
        <row r="34">
          <cell r="A34" t="str">
            <v>Investments Govt Securities</v>
          </cell>
        </row>
      </sheetData>
      <sheetData sheetId="7283">
        <row r="34">
          <cell r="A34" t="str">
            <v>Investments Govt Securities</v>
          </cell>
        </row>
      </sheetData>
      <sheetData sheetId="7284">
        <row r="34">
          <cell r="A34" t="str">
            <v>Investments Govt Securities</v>
          </cell>
        </row>
      </sheetData>
      <sheetData sheetId="7285">
        <row r="34">
          <cell r="A34" t="str">
            <v>Investments Govt Securities</v>
          </cell>
        </row>
      </sheetData>
      <sheetData sheetId="7286">
        <row r="34">
          <cell r="A34" t="str">
            <v>Investments Govt Securities</v>
          </cell>
        </row>
      </sheetData>
      <sheetData sheetId="7287">
        <row r="34">
          <cell r="A34" t="str">
            <v>Investments Govt Securities</v>
          </cell>
        </row>
      </sheetData>
      <sheetData sheetId="7288">
        <row r="34">
          <cell r="A34" t="str">
            <v>Investments Govt Securities</v>
          </cell>
        </row>
      </sheetData>
      <sheetData sheetId="7289">
        <row r="34">
          <cell r="A34" t="str">
            <v>Investments Govt Securities</v>
          </cell>
        </row>
      </sheetData>
      <sheetData sheetId="7290">
        <row r="34">
          <cell r="A34" t="str">
            <v>Investments Govt Securities</v>
          </cell>
        </row>
      </sheetData>
      <sheetData sheetId="7291">
        <row r="34">
          <cell r="A34" t="str">
            <v>Investments Govt Securities</v>
          </cell>
        </row>
      </sheetData>
      <sheetData sheetId="7292">
        <row r="34">
          <cell r="A34" t="str">
            <v>Investments Govt Securities</v>
          </cell>
        </row>
      </sheetData>
      <sheetData sheetId="7293">
        <row r="34">
          <cell r="A34" t="str">
            <v>Investments Govt Securities</v>
          </cell>
        </row>
      </sheetData>
      <sheetData sheetId="7294">
        <row r="34">
          <cell r="A34" t="str">
            <v>Investments Govt Securities</v>
          </cell>
        </row>
      </sheetData>
      <sheetData sheetId="7295">
        <row r="34">
          <cell r="A34" t="str">
            <v>Investments Govt Securities</v>
          </cell>
        </row>
      </sheetData>
      <sheetData sheetId="7296">
        <row r="34">
          <cell r="A34" t="str">
            <v>Investments Govt Securities</v>
          </cell>
        </row>
      </sheetData>
      <sheetData sheetId="7297">
        <row r="34">
          <cell r="A34" t="str">
            <v>Investments Govt Securities</v>
          </cell>
        </row>
      </sheetData>
      <sheetData sheetId="7298">
        <row r="34">
          <cell r="A34" t="str">
            <v>Investments Govt Securities</v>
          </cell>
        </row>
      </sheetData>
      <sheetData sheetId="7299">
        <row r="34">
          <cell r="A34" t="str">
            <v>Investments Govt Securities</v>
          </cell>
        </row>
      </sheetData>
      <sheetData sheetId="7300">
        <row r="34">
          <cell r="A34" t="str">
            <v>Investments Govt Securities</v>
          </cell>
        </row>
      </sheetData>
      <sheetData sheetId="7301">
        <row r="34">
          <cell r="A34" t="str">
            <v>Investments Govt Securities</v>
          </cell>
        </row>
      </sheetData>
      <sheetData sheetId="7302">
        <row r="34">
          <cell r="A34" t="str">
            <v>Investments Govt Securities</v>
          </cell>
        </row>
      </sheetData>
      <sheetData sheetId="7303">
        <row r="34">
          <cell r="A34" t="str">
            <v>Investments Govt Securities</v>
          </cell>
        </row>
      </sheetData>
      <sheetData sheetId="7304">
        <row r="34">
          <cell r="A34" t="str">
            <v>Investments Govt Securities</v>
          </cell>
        </row>
      </sheetData>
      <sheetData sheetId="7305">
        <row r="34">
          <cell r="A34" t="str">
            <v>Investments Govt Securities</v>
          </cell>
        </row>
      </sheetData>
      <sheetData sheetId="7306">
        <row r="34">
          <cell r="A34" t="str">
            <v>Investments Govt Securities</v>
          </cell>
        </row>
      </sheetData>
      <sheetData sheetId="7307">
        <row r="34">
          <cell r="A34" t="str">
            <v>Investments Govt Securities</v>
          </cell>
        </row>
      </sheetData>
      <sheetData sheetId="7308">
        <row r="34">
          <cell r="A34" t="str">
            <v>Investments Govt Securities</v>
          </cell>
        </row>
      </sheetData>
      <sheetData sheetId="7309">
        <row r="34">
          <cell r="A34" t="str">
            <v>Investments Govt Securities</v>
          </cell>
        </row>
      </sheetData>
      <sheetData sheetId="7310">
        <row r="34">
          <cell r="A34" t="str">
            <v>Investments Govt Securities</v>
          </cell>
        </row>
      </sheetData>
      <sheetData sheetId="7311">
        <row r="34">
          <cell r="A34" t="str">
            <v>Investments Govt Securities</v>
          </cell>
        </row>
      </sheetData>
      <sheetData sheetId="7312">
        <row r="34">
          <cell r="A34" t="str">
            <v>Investments Govt Securities</v>
          </cell>
        </row>
      </sheetData>
      <sheetData sheetId="7313">
        <row r="34">
          <cell r="A34" t="str">
            <v>Investments Govt Securities</v>
          </cell>
        </row>
      </sheetData>
      <sheetData sheetId="7314">
        <row r="34">
          <cell r="A34" t="str">
            <v>Investments Govt Securities</v>
          </cell>
        </row>
      </sheetData>
      <sheetData sheetId="7315">
        <row r="34">
          <cell r="A34" t="str">
            <v>Investments Govt Securities</v>
          </cell>
        </row>
      </sheetData>
      <sheetData sheetId="7316">
        <row r="34">
          <cell r="A34" t="str">
            <v>Investments Govt Securities</v>
          </cell>
        </row>
      </sheetData>
      <sheetData sheetId="7317">
        <row r="34">
          <cell r="A34" t="str">
            <v>Investments Govt Securities</v>
          </cell>
        </row>
      </sheetData>
      <sheetData sheetId="7318">
        <row r="34">
          <cell r="A34" t="str">
            <v>Investments Govt Securities</v>
          </cell>
        </row>
      </sheetData>
      <sheetData sheetId="7319">
        <row r="34">
          <cell r="A34" t="str">
            <v>Investments Govt Securities</v>
          </cell>
        </row>
      </sheetData>
      <sheetData sheetId="7320">
        <row r="34">
          <cell r="A34" t="str">
            <v>Investments Govt Securities</v>
          </cell>
        </row>
      </sheetData>
      <sheetData sheetId="7321">
        <row r="34">
          <cell r="A34" t="str">
            <v>Investments Govt Securities</v>
          </cell>
        </row>
      </sheetData>
      <sheetData sheetId="7322">
        <row r="34">
          <cell r="A34" t="str">
            <v>Investments Govt Securities</v>
          </cell>
        </row>
      </sheetData>
      <sheetData sheetId="7323">
        <row r="34">
          <cell r="A34" t="str">
            <v>Investments Govt Securities</v>
          </cell>
        </row>
      </sheetData>
      <sheetData sheetId="7324">
        <row r="34">
          <cell r="A34" t="str">
            <v>Investments Govt Securities</v>
          </cell>
        </row>
      </sheetData>
      <sheetData sheetId="7325">
        <row r="34">
          <cell r="A34" t="str">
            <v>Investments Govt Securities</v>
          </cell>
        </row>
      </sheetData>
      <sheetData sheetId="7326">
        <row r="34">
          <cell r="A34" t="str">
            <v>Investments Govt Securities</v>
          </cell>
        </row>
      </sheetData>
      <sheetData sheetId="7327">
        <row r="34">
          <cell r="A34" t="str">
            <v>Investments Govt Securities</v>
          </cell>
        </row>
      </sheetData>
      <sheetData sheetId="7328">
        <row r="34">
          <cell r="A34" t="str">
            <v>Investments Govt Securities</v>
          </cell>
        </row>
      </sheetData>
      <sheetData sheetId="7329">
        <row r="34">
          <cell r="A34" t="str">
            <v>Investments Govt Securities</v>
          </cell>
        </row>
      </sheetData>
      <sheetData sheetId="7330">
        <row r="34">
          <cell r="A34" t="str">
            <v>Investments Govt Securities</v>
          </cell>
        </row>
      </sheetData>
      <sheetData sheetId="7331">
        <row r="34">
          <cell r="A34" t="str">
            <v>Investments Govt Securities</v>
          </cell>
        </row>
      </sheetData>
      <sheetData sheetId="7332">
        <row r="34">
          <cell r="A34" t="str">
            <v>Investments Govt Securities</v>
          </cell>
        </row>
      </sheetData>
      <sheetData sheetId="7333">
        <row r="34">
          <cell r="A34" t="str">
            <v>Investments Govt Securities</v>
          </cell>
        </row>
      </sheetData>
      <sheetData sheetId="7334">
        <row r="34">
          <cell r="A34" t="str">
            <v>Investments Govt Securities</v>
          </cell>
        </row>
      </sheetData>
      <sheetData sheetId="7335">
        <row r="34">
          <cell r="A34" t="str">
            <v>Investments Govt Securities</v>
          </cell>
        </row>
      </sheetData>
      <sheetData sheetId="7336">
        <row r="34">
          <cell r="A34" t="str">
            <v>Investments Govt Securities</v>
          </cell>
        </row>
      </sheetData>
      <sheetData sheetId="7337">
        <row r="34">
          <cell r="A34" t="str">
            <v>Investments Govt Securities</v>
          </cell>
        </row>
      </sheetData>
      <sheetData sheetId="7338">
        <row r="34">
          <cell r="A34" t="str">
            <v>Investments Govt Securities</v>
          </cell>
        </row>
      </sheetData>
      <sheetData sheetId="7339">
        <row r="34">
          <cell r="A34" t="str">
            <v>Investments Govt Securities</v>
          </cell>
        </row>
      </sheetData>
      <sheetData sheetId="7340">
        <row r="34">
          <cell r="A34" t="str">
            <v>Investments Govt Securities</v>
          </cell>
        </row>
      </sheetData>
      <sheetData sheetId="7341">
        <row r="34">
          <cell r="A34" t="str">
            <v>Investments Govt Securities</v>
          </cell>
        </row>
      </sheetData>
      <sheetData sheetId="7342">
        <row r="34">
          <cell r="A34" t="str">
            <v>Investments Govt Securities</v>
          </cell>
        </row>
      </sheetData>
      <sheetData sheetId="7343">
        <row r="34">
          <cell r="A34" t="str">
            <v>Investments Govt Securities</v>
          </cell>
        </row>
      </sheetData>
      <sheetData sheetId="7344">
        <row r="34">
          <cell r="A34" t="str">
            <v>Investments Govt Securities</v>
          </cell>
        </row>
      </sheetData>
      <sheetData sheetId="7345">
        <row r="34">
          <cell r="A34" t="str">
            <v>Investments Govt Securities</v>
          </cell>
        </row>
      </sheetData>
      <sheetData sheetId="7346">
        <row r="34">
          <cell r="A34" t="str">
            <v>Investments Govt Securities</v>
          </cell>
        </row>
      </sheetData>
      <sheetData sheetId="7347">
        <row r="34">
          <cell r="A34" t="str">
            <v>Investments Govt Securities</v>
          </cell>
        </row>
      </sheetData>
      <sheetData sheetId="7348">
        <row r="34">
          <cell r="A34" t="str">
            <v>Investments Govt Securities</v>
          </cell>
        </row>
      </sheetData>
      <sheetData sheetId="7349">
        <row r="34">
          <cell r="A34" t="str">
            <v>Investments Govt Securities</v>
          </cell>
        </row>
      </sheetData>
      <sheetData sheetId="7350">
        <row r="34">
          <cell r="A34" t="str">
            <v>Investments Govt Securities</v>
          </cell>
        </row>
      </sheetData>
      <sheetData sheetId="7351">
        <row r="34">
          <cell r="A34" t="str">
            <v>Investments Govt Securities</v>
          </cell>
        </row>
      </sheetData>
      <sheetData sheetId="7352">
        <row r="34">
          <cell r="A34" t="str">
            <v>Investments Govt Securities</v>
          </cell>
        </row>
      </sheetData>
      <sheetData sheetId="7353">
        <row r="34">
          <cell r="A34" t="str">
            <v>Investments Govt Securities</v>
          </cell>
        </row>
      </sheetData>
      <sheetData sheetId="7354">
        <row r="34">
          <cell r="A34" t="str">
            <v>Investments Govt Securities</v>
          </cell>
        </row>
      </sheetData>
      <sheetData sheetId="7355">
        <row r="34">
          <cell r="A34" t="str">
            <v>Investments Govt Securities</v>
          </cell>
        </row>
      </sheetData>
      <sheetData sheetId="7356">
        <row r="34">
          <cell r="A34" t="str">
            <v>Investments Govt Securities</v>
          </cell>
        </row>
      </sheetData>
      <sheetData sheetId="7357">
        <row r="34">
          <cell r="A34" t="str">
            <v>Investments Govt Securities</v>
          </cell>
        </row>
      </sheetData>
      <sheetData sheetId="7358">
        <row r="34">
          <cell r="A34" t="str">
            <v>Investments Govt Securities</v>
          </cell>
        </row>
      </sheetData>
      <sheetData sheetId="7359">
        <row r="34">
          <cell r="A34" t="str">
            <v>Investments Govt Securities</v>
          </cell>
        </row>
      </sheetData>
      <sheetData sheetId="7360">
        <row r="34">
          <cell r="A34" t="str">
            <v>Investments Govt Securities</v>
          </cell>
        </row>
      </sheetData>
      <sheetData sheetId="7361">
        <row r="34">
          <cell r="A34" t="str">
            <v>Investments Govt Securities</v>
          </cell>
        </row>
      </sheetData>
      <sheetData sheetId="7362">
        <row r="34">
          <cell r="A34" t="str">
            <v>Investments Govt Securities</v>
          </cell>
        </row>
      </sheetData>
      <sheetData sheetId="7363">
        <row r="34">
          <cell r="A34" t="str">
            <v>Investments Govt Securities</v>
          </cell>
        </row>
      </sheetData>
      <sheetData sheetId="7364">
        <row r="34">
          <cell r="A34" t="str">
            <v>Investments Govt Securities</v>
          </cell>
        </row>
      </sheetData>
      <sheetData sheetId="7365">
        <row r="34">
          <cell r="A34" t="str">
            <v>Investments Govt Securities</v>
          </cell>
        </row>
      </sheetData>
      <sheetData sheetId="7366">
        <row r="34">
          <cell r="A34" t="str">
            <v>Investments Govt Securities</v>
          </cell>
        </row>
      </sheetData>
      <sheetData sheetId="7367">
        <row r="34">
          <cell r="A34" t="str">
            <v>Investments Govt Securities</v>
          </cell>
        </row>
      </sheetData>
      <sheetData sheetId="7368">
        <row r="34">
          <cell r="A34" t="str">
            <v>Investments Govt Securities</v>
          </cell>
        </row>
      </sheetData>
      <sheetData sheetId="7369">
        <row r="34">
          <cell r="A34" t="str">
            <v>Investments Govt Securities</v>
          </cell>
        </row>
      </sheetData>
      <sheetData sheetId="7370">
        <row r="34">
          <cell r="A34" t="str">
            <v>Investments Govt Securities</v>
          </cell>
        </row>
      </sheetData>
      <sheetData sheetId="7371">
        <row r="34">
          <cell r="A34" t="str">
            <v>Investments Govt Securities</v>
          </cell>
        </row>
      </sheetData>
      <sheetData sheetId="7372">
        <row r="34">
          <cell r="A34" t="str">
            <v>Investments Govt Securities</v>
          </cell>
        </row>
      </sheetData>
      <sheetData sheetId="7373">
        <row r="34">
          <cell r="A34" t="str">
            <v>Investments Govt Securities</v>
          </cell>
        </row>
      </sheetData>
      <sheetData sheetId="7374">
        <row r="34">
          <cell r="A34" t="str">
            <v>Investments Govt Securities</v>
          </cell>
        </row>
      </sheetData>
      <sheetData sheetId="7375">
        <row r="34">
          <cell r="A34" t="str">
            <v>Investments Govt Securities</v>
          </cell>
        </row>
      </sheetData>
      <sheetData sheetId="7376">
        <row r="34">
          <cell r="A34" t="str">
            <v>Investments Govt Securities</v>
          </cell>
        </row>
      </sheetData>
      <sheetData sheetId="7377">
        <row r="34">
          <cell r="A34" t="str">
            <v>Investments Govt Securities</v>
          </cell>
        </row>
      </sheetData>
      <sheetData sheetId="7378">
        <row r="34">
          <cell r="A34" t="str">
            <v>Investments Govt Securities</v>
          </cell>
        </row>
      </sheetData>
      <sheetData sheetId="7379">
        <row r="34">
          <cell r="A34" t="str">
            <v>Investments Govt Securities</v>
          </cell>
        </row>
      </sheetData>
      <sheetData sheetId="7380">
        <row r="34">
          <cell r="A34" t="str">
            <v>Investments Govt Securities</v>
          </cell>
        </row>
      </sheetData>
      <sheetData sheetId="7381">
        <row r="34">
          <cell r="A34" t="str">
            <v>Investments Govt Securities</v>
          </cell>
        </row>
      </sheetData>
      <sheetData sheetId="7382">
        <row r="34">
          <cell r="A34" t="str">
            <v>Investments Govt Securities</v>
          </cell>
        </row>
      </sheetData>
      <sheetData sheetId="7383">
        <row r="34">
          <cell r="A34" t="str">
            <v>Investments Govt Securities</v>
          </cell>
        </row>
      </sheetData>
      <sheetData sheetId="7384">
        <row r="34">
          <cell r="A34" t="str">
            <v>Investments Govt Securities</v>
          </cell>
        </row>
      </sheetData>
      <sheetData sheetId="7385">
        <row r="34">
          <cell r="A34" t="str">
            <v>Investments Govt Securities</v>
          </cell>
        </row>
      </sheetData>
      <sheetData sheetId="7386">
        <row r="34">
          <cell r="A34" t="str">
            <v>Investments Govt Securities</v>
          </cell>
        </row>
      </sheetData>
      <sheetData sheetId="7387">
        <row r="34">
          <cell r="A34" t="str">
            <v>Investments Govt Securities</v>
          </cell>
        </row>
      </sheetData>
      <sheetData sheetId="7388">
        <row r="34">
          <cell r="A34" t="str">
            <v>Investments Govt Securities</v>
          </cell>
        </row>
      </sheetData>
      <sheetData sheetId="7389">
        <row r="34">
          <cell r="A34" t="str">
            <v>Investments Govt Securities</v>
          </cell>
        </row>
      </sheetData>
      <sheetData sheetId="7390">
        <row r="34">
          <cell r="A34" t="str">
            <v>Investments Govt Securities</v>
          </cell>
        </row>
      </sheetData>
      <sheetData sheetId="7391">
        <row r="34">
          <cell r="A34" t="str">
            <v>Investments Govt Securities</v>
          </cell>
        </row>
      </sheetData>
      <sheetData sheetId="7392">
        <row r="34">
          <cell r="A34" t="str">
            <v>Investments Govt Securities</v>
          </cell>
        </row>
      </sheetData>
      <sheetData sheetId="7393">
        <row r="34">
          <cell r="A34" t="str">
            <v>Investments Govt Securities</v>
          </cell>
        </row>
      </sheetData>
      <sheetData sheetId="7394">
        <row r="34">
          <cell r="A34" t="str">
            <v>Investments Govt Securities</v>
          </cell>
        </row>
      </sheetData>
      <sheetData sheetId="7395">
        <row r="34">
          <cell r="A34" t="str">
            <v>Investments Govt Securities</v>
          </cell>
        </row>
      </sheetData>
      <sheetData sheetId="7396">
        <row r="34">
          <cell r="A34" t="str">
            <v>Investments Govt Securities</v>
          </cell>
        </row>
      </sheetData>
      <sheetData sheetId="7397">
        <row r="34">
          <cell r="A34" t="str">
            <v>Investments Govt Securities</v>
          </cell>
        </row>
      </sheetData>
      <sheetData sheetId="7398">
        <row r="34">
          <cell r="A34" t="str">
            <v>Investments Govt Securities</v>
          </cell>
        </row>
      </sheetData>
      <sheetData sheetId="7399">
        <row r="34">
          <cell r="A34" t="str">
            <v>Investments Govt Securities</v>
          </cell>
        </row>
      </sheetData>
      <sheetData sheetId="7400">
        <row r="34">
          <cell r="A34" t="str">
            <v>Investments Govt Securities</v>
          </cell>
        </row>
      </sheetData>
      <sheetData sheetId="7401">
        <row r="34">
          <cell r="A34" t="str">
            <v>Investments Govt Securities</v>
          </cell>
        </row>
      </sheetData>
      <sheetData sheetId="7402">
        <row r="34">
          <cell r="A34" t="str">
            <v>Investments Govt Securities</v>
          </cell>
        </row>
      </sheetData>
      <sheetData sheetId="7403">
        <row r="34">
          <cell r="A34" t="str">
            <v>Investments Govt Securities</v>
          </cell>
        </row>
      </sheetData>
      <sheetData sheetId="7404">
        <row r="34">
          <cell r="A34" t="str">
            <v>Investments Govt Securities</v>
          </cell>
        </row>
      </sheetData>
      <sheetData sheetId="7405">
        <row r="34">
          <cell r="A34" t="str">
            <v>Investments Govt Securities</v>
          </cell>
        </row>
      </sheetData>
      <sheetData sheetId="7406">
        <row r="34">
          <cell r="A34" t="str">
            <v>Investments Govt Securities</v>
          </cell>
        </row>
      </sheetData>
      <sheetData sheetId="7407">
        <row r="34">
          <cell r="A34" t="str">
            <v>Investments Govt Securities</v>
          </cell>
        </row>
      </sheetData>
      <sheetData sheetId="7408">
        <row r="34">
          <cell r="A34" t="str">
            <v>Investments Govt Securities</v>
          </cell>
        </row>
      </sheetData>
      <sheetData sheetId="7409">
        <row r="34">
          <cell r="A34" t="str">
            <v>Investments Govt Securities</v>
          </cell>
        </row>
      </sheetData>
      <sheetData sheetId="7410">
        <row r="34">
          <cell r="A34" t="str">
            <v>Investments Govt Securities</v>
          </cell>
        </row>
      </sheetData>
      <sheetData sheetId="7411">
        <row r="34">
          <cell r="A34" t="str">
            <v>Investments Govt Securities</v>
          </cell>
        </row>
      </sheetData>
      <sheetData sheetId="7412">
        <row r="34">
          <cell r="A34" t="str">
            <v>Investments Govt Securities</v>
          </cell>
        </row>
      </sheetData>
      <sheetData sheetId="7413">
        <row r="34">
          <cell r="A34" t="str">
            <v>Investments Govt Securities</v>
          </cell>
        </row>
      </sheetData>
      <sheetData sheetId="7414">
        <row r="34">
          <cell r="A34" t="str">
            <v>Investments Govt Securities</v>
          </cell>
        </row>
      </sheetData>
      <sheetData sheetId="7415">
        <row r="34">
          <cell r="A34" t="str">
            <v>Investments Govt Securities</v>
          </cell>
        </row>
      </sheetData>
      <sheetData sheetId="7416">
        <row r="34">
          <cell r="A34" t="str">
            <v>Investments Govt Securities</v>
          </cell>
        </row>
      </sheetData>
      <sheetData sheetId="7417">
        <row r="34">
          <cell r="A34" t="str">
            <v>Investments Govt Securities</v>
          </cell>
        </row>
      </sheetData>
      <sheetData sheetId="7418">
        <row r="34">
          <cell r="A34" t="str">
            <v>Investments Govt Securities</v>
          </cell>
        </row>
      </sheetData>
      <sheetData sheetId="7419">
        <row r="34">
          <cell r="A34" t="str">
            <v>Investments Govt Securities</v>
          </cell>
        </row>
      </sheetData>
      <sheetData sheetId="7420">
        <row r="34">
          <cell r="A34" t="str">
            <v>Investments Govt Securities</v>
          </cell>
        </row>
      </sheetData>
      <sheetData sheetId="7421">
        <row r="34">
          <cell r="A34" t="str">
            <v>Investments Govt Securities</v>
          </cell>
        </row>
      </sheetData>
      <sheetData sheetId="7422">
        <row r="34">
          <cell r="A34" t="str">
            <v>Investments Govt Securities</v>
          </cell>
        </row>
      </sheetData>
      <sheetData sheetId="7423">
        <row r="34">
          <cell r="A34" t="str">
            <v>Investments Govt Securities</v>
          </cell>
        </row>
      </sheetData>
      <sheetData sheetId="7424">
        <row r="34">
          <cell r="A34" t="str">
            <v>Investments Govt Securities</v>
          </cell>
        </row>
      </sheetData>
      <sheetData sheetId="7425">
        <row r="34">
          <cell r="A34" t="str">
            <v>Investments Govt Securities</v>
          </cell>
        </row>
      </sheetData>
      <sheetData sheetId="7426">
        <row r="34">
          <cell r="A34" t="str">
            <v>Investments Govt Securities</v>
          </cell>
        </row>
      </sheetData>
      <sheetData sheetId="7427">
        <row r="34">
          <cell r="A34" t="str">
            <v>Investments Govt Securities</v>
          </cell>
        </row>
      </sheetData>
      <sheetData sheetId="7428">
        <row r="34">
          <cell r="A34" t="str">
            <v>Investments Govt Securities</v>
          </cell>
        </row>
      </sheetData>
      <sheetData sheetId="7429">
        <row r="34">
          <cell r="A34" t="str">
            <v>Investments Govt Securities</v>
          </cell>
        </row>
      </sheetData>
      <sheetData sheetId="7430">
        <row r="34">
          <cell r="A34" t="str">
            <v>Investments Govt Securities</v>
          </cell>
        </row>
      </sheetData>
      <sheetData sheetId="7431">
        <row r="34">
          <cell r="A34" t="str">
            <v>Investments Govt Securities</v>
          </cell>
        </row>
      </sheetData>
      <sheetData sheetId="7432">
        <row r="34">
          <cell r="A34" t="str">
            <v>Investments Govt Securities</v>
          </cell>
        </row>
      </sheetData>
      <sheetData sheetId="7433">
        <row r="34">
          <cell r="A34" t="str">
            <v>Investments Govt Securities</v>
          </cell>
        </row>
      </sheetData>
      <sheetData sheetId="7434">
        <row r="34">
          <cell r="A34" t="str">
            <v>Investments Govt Securities</v>
          </cell>
        </row>
      </sheetData>
      <sheetData sheetId="7435">
        <row r="34">
          <cell r="A34" t="str">
            <v>Investments Govt Securities</v>
          </cell>
        </row>
      </sheetData>
      <sheetData sheetId="7436">
        <row r="34">
          <cell r="A34" t="str">
            <v>Investments Govt Securities</v>
          </cell>
        </row>
      </sheetData>
      <sheetData sheetId="7437">
        <row r="34">
          <cell r="A34" t="str">
            <v>Investments Govt Securities</v>
          </cell>
        </row>
      </sheetData>
      <sheetData sheetId="7438">
        <row r="34">
          <cell r="A34" t="str">
            <v>Investments Govt Securities</v>
          </cell>
        </row>
      </sheetData>
      <sheetData sheetId="7439">
        <row r="34">
          <cell r="A34" t="str">
            <v>Investments Govt Securities</v>
          </cell>
        </row>
      </sheetData>
      <sheetData sheetId="7440">
        <row r="34">
          <cell r="A34" t="str">
            <v>Investments Govt Securities</v>
          </cell>
        </row>
      </sheetData>
      <sheetData sheetId="7441">
        <row r="34">
          <cell r="A34" t="str">
            <v>Investments Govt Securities</v>
          </cell>
        </row>
      </sheetData>
      <sheetData sheetId="7442">
        <row r="34">
          <cell r="A34" t="str">
            <v>Investments Govt Securities</v>
          </cell>
        </row>
      </sheetData>
      <sheetData sheetId="7443">
        <row r="34">
          <cell r="A34" t="str">
            <v>Investments Govt Securities</v>
          </cell>
        </row>
      </sheetData>
      <sheetData sheetId="7444">
        <row r="34">
          <cell r="A34" t="str">
            <v>Investments Govt Securities</v>
          </cell>
        </row>
      </sheetData>
      <sheetData sheetId="7445">
        <row r="34">
          <cell r="A34" t="str">
            <v>Investments Govt Securities</v>
          </cell>
        </row>
      </sheetData>
      <sheetData sheetId="7446">
        <row r="34">
          <cell r="A34" t="str">
            <v>Investments Govt Securities</v>
          </cell>
        </row>
      </sheetData>
      <sheetData sheetId="7447">
        <row r="34">
          <cell r="A34" t="str">
            <v>Investments Govt Securities</v>
          </cell>
        </row>
      </sheetData>
      <sheetData sheetId="7448">
        <row r="34">
          <cell r="A34" t="str">
            <v>Investments Govt Securities</v>
          </cell>
        </row>
      </sheetData>
      <sheetData sheetId="7449">
        <row r="34">
          <cell r="A34" t="str">
            <v>Investments Govt Securities</v>
          </cell>
        </row>
      </sheetData>
      <sheetData sheetId="7450">
        <row r="34">
          <cell r="A34" t="str">
            <v>Investments Govt Securities</v>
          </cell>
        </row>
      </sheetData>
      <sheetData sheetId="7451">
        <row r="34">
          <cell r="A34" t="str">
            <v>Investments Govt Securities</v>
          </cell>
        </row>
      </sheetData>
      <sheetData sheetId="7452">
        <row r="34">
          <cell r="A34" t="str">
            <v>Investments Govt Securities</v>
          </cell>
        </row>
      </sheetData>
      <sheetData sheetId="7453">
        <row r="34">
          <cell r="A34" t="str">
            <v>Investments Govt Securities</v>
          </cell>
        </row>
      </sheetData>
      <sheetData sheetId="7454">
        <row r="34">
          <cell r="A34" t="str">
            <v>Investments Govt Securities</v>
          </cell>
        </row>
      </sheetData>
      <sheetData sheetId="7455">
        <row r="34">
          <cell r="A34" t="str">
            <v>Investments Govt Securities</v>
          </cell>
        </row>
      </sheetData>
      <sheetData sheetId="7456">
        <row r="34">
          <cell r="A34" t="str">
            <v>Investments Govt Securities</v>
          </cell>
        </row>
      </sheetData>
      <sheetData sheetId="7457">
        <row r="34">
          <cell r="A34" t="str">
            <v>Investments Govt Securities</v>
          </cell>
        </row>
      </sheetData>
      <sheetData sheetId="7458">
        <row r="34">
          <cell r="A34" t="str">
            <v>Investments Govt Securities</v>
          </cell>
        </row>
      </sheetData>
      <sheetData sheetId="7459">
        <row r="34">
          <cell r="A34" t="str">
            <v>Investments Govt Securities</v>
          </cell>
        </row>
      </sheetData>
      <sheetData sheetId="7460">
        <row r="34">
          <cell r="A34" t="str">
            <v>Investments Govt Securities</v>
          </cell>
        </row>
      </sheetData>
      <sheetData sheetId="7461">
        <row r="34">
          <cell r="A34" t="str">
            <v>Investments Govt Securities</v>
          </cell>
        </row>
      </sheetData>
      <sheetData sheetId="7462">
        <row r="34">
          <cell r="A34" t="str">
            <v>Investments Govt Securities</v>
          </cell>
        </row>
      </sheetData>
      <sheetData sheetId="7463">
        <row r="34">
          <cell r="A34" t="str">
            <v>Investments Govt Securities</v>
          </cell>
        </row>
      </sheetData>
      <sheetData sheetId="7464">
        <row r="34">
          <cell r="A34" t="str">
            <v>Investments Govt Securities</v>
          </cell>
        </row>
      </sheetData>
      <sheetData sheetId="7465">
        <row r="34">
          <cell r="A34" t="str">
            <v>Investments Govt Securities</v>
          </cell>
        </row>
      </sheetData>
      <sheetData sheetId="7466">
        <row r="34">
          <cell r="A34" t="str">
            <v>Investments Govt Securities</v>
          </cell>
        </row>
      </sheetData>
      <sheetData sheetId="7467">
        <row r="34">
          <cell r="A34" t="str">
            <v>Investments Govt Securities</v>
          </cell>
        </row>
      </sheetData>
      <sheetData sheetId="7468">
        <row r="34">
          <cell r="A34" t="str">
            <v>Investments Govt Securities</v>
          </cell>
        </row>
      </sheetData>
      <sheetData sheetId="7469">
        <row r="34">
          <cell r="A34" t="str">
            <v>Investments Govt Securities</v>
          </cell>
        </row>
      </sheetData>
      <sheetData sheetId="7470">
        <row r="34">
          <cell r="A34" t="str">
            <v>Investments Govt Securities</v>
          </cell>
        </row>
      </sheetData>
      <sheetData sheetId="7471">
        <row r="34">
          <cell r="A34" t="str">
            <v>Investments Govt Securities</v>
          </cell>
        </row>
      </sheetData>
      <sheetData sheetId="7472">
        <row r="34">
          <cell r="A34" t="str">
            <v>Investments Govt Securities</v>
          </cell>
        </row>
      </sheetData>
      <sheetData sheetId="7473">
        <row r="34">
          <cell r="A34" t="str">
            <v>Investments Govt Securities</v>
          </cell>
        </row>
      </sheetData>
      <sheetData sheetId="7474">
        <row r="34">
          <cell r="A34" t="str">
            <v>Investments Govt Securities</v>
          </cell>
        </row>
      </sheetData>
      <sheetData sheetId="7475">
        <row r="34">
          <cell r="A34" t="str">
            <v>Investments Govt Securities</v>
          </cell>
        </row>
      </sheetData>
      <sheetData sheetId="7476">
        <row r="34">
          <cell r="A34" t="str">
            <v>Investments Govt Securities</v>
          </cell>
        </row>
      </sheetData>
      <sheetData sheetId="7477">
        <row r="34">
          <cell r="A34" t="str">
            <v>Investments Govt Securities</v>
          </cell>
        </row>
      </sheetData>
      <sheetData sheetId="7478">
        <row r="34">
          <cell r="A34" t="str">
            <v>Investments Govt Securities</v>
          </cell>
        </row>
      </sheetData>
      <sheetData sheetId="7479">
        <row r="34">
          <cell r="A34" t="str">
            <v>Investments Govt Securities</v>
          </cell>
        </row>
      </sheetData>
      <sheetData sheetId="7480">
        <row r="34">
          <cell r="A34" t="str">
            <v>Investments Govt Securities</v>
          </cell>
        </row>
      </sheetData>
      <sheetData sheetId="7481">
        <row r="34">
          <cell r="A34" t="str">
            <v>Investments Govt Securities</v>
          </cell>
        </row>
      </sheetData>
      <sheetData sheetId="7482">
        <row r="34">
          <cell r="A34" t="str">
            <v>Investments Govt Securities</v>
          </cell>
        </row>
      </sheetData>
      <sheetData sheetId="7483">
        <row r="34">
          <cell r="A34" t="str">
            <v>Investments Govt Securities</v>
          </cell>
        </row>
      </sheetData>
      <sheetData sheetId="7484">
        <row r="34">
          <cell r="A34" t="str">
            <v>Investments Govt Securities</v>
          </cell>
        </row>
      </sheetData>
      <sheetData sheetId="7485">
        <row r="34">
          <cell r="A34" t="str">
            <v>Investments Govt Securities</v>
          </cell>
        </row>
      </sheetData>
      <sheetData sheetId="7486">
        <row r="34">
          <cell r="A34" t="str">
            <v>Investments Govt Securities</v>
          </cell>
        </row>
      </sheetData>
      <sheetData sheetId="7487">
        <row r="34">
          <cell r="A34" t="str">
            <v>Investments Govt Securities</v>
          </cell>
        </row>
      </sheetData>
      <sheetData sheetId="7488">
        <row r="34">
          <cell r="A34" t="str">
            <v>Investments Govt Securities</v>
          </cell>
        </row>
      </sheetData>
      <sheetData sheetId="7489">
        <row r="34">
          <cell r="A34" t="str">
            <v>Investments Govt Securities</v>
          </cell>
        </row>
      </sheetData>
      <sheetData sheetId="7490">
        <row r="34">
          <cell r="A34" t="str">
            <v>Investments Govt Securities</v>
          </cell>
        </row>
      </sheetData>
      <sheetData sheetId="7491">
        <row r="34">
          <cell r="A34" t="str">
            <v>Investments Govt Securities</v>
          </cell>
        </row>
      </sheetData>
      <sheetData sheetId="7492">
        <row r="34">
          <cell r="A34" t="str">
            <v>Investments Govt Securities</v>
          </cell>
        </row>
      </sheetData>
      <sheetData sheetId="7493">
        <row r="34">
          <cell r="A34" t="str">
            <v>Investments Govt Securities</v>
          </cell>
        </row>
      </sheetData>
      <sheetData sheetId="7494">
        <row r="34">
          <cell r="A34" t="str">
            <v>Investments Govt Securities</v>
          </cell>
        </row>
      </sheetData>
      <sheetData sheetId="7495">
        <row r="34">
          <cell r="A34" t="str">
            <v>Investments Govt Securities</v>
          </cell>
        </row>
      </sheetData>
      <sheetData sheetId="7496">
        <row r="34">
          <cell r="A34" t="str">
            <v>Investments Govt Securities</v>
          </cell>
        </row>
      </sheetData>
      <sheetData sheetId="7497">
        <row r="34">
          <cell r="A34" t="str">
            <v>Investments Govt Securities</v>
          </cell>
        </row>
      </sheetData>
      <sheetData sheetId="7498">
        <row r="34">
          <cell r="A34" t="str">
            <v>Investments Govt Securities</v>
          </cell>
        </row>
      </sheetData>
      <sheetData sheetId="7499">
        <row r="34">
          <cell r="A34" t="str">
            <v>Investments Govt Securities</v>
          </cell>
        </row>
      </sheetData>
      <sheetData sheetId="7500">
        <row r="34">
          <cell r="A34" t="str">
            <v>Investments Govt Securities</v>
          </cell>
        </row>
      </sheetData>
      <sheetData sheetId="7501">
        <row r="34">
          <cell r="A34" t="str">
            <v>Investments Govt Securities</v>
          </cell>
        </row>
      </sheetData>
      <sheetData sheetId="7502">
        <row r="34">
          <cell r="A34" t="str">
            <v>Investments Govt Securities</v>
          </cell>
        </row>
      </sheetData>
      <sheetData sheetId="7503">
        <row r="34">
          <cell r="A34" t="str">
            <v>Investments Govt Securities</v>
          </cell>
        </row>
      </sheetData>
      <sheetData sheetId="7504">
        <row r="34">
          <cell r="A34" t="str">
            <v>Investments Govt Securities</v>
          </cell>
        </row>
      </sheetData>
      <sheetData sheetId="7505">
        <row r="34">
          <cell r="A34" t="str">
            <v>Investments Govt Securities</v>
          </cell>
        </row>
      </sheetData>
      <sheetData sheetId="7506">
        <row r="34">
          <cell r="A34" t="str">
            <v>Investments Govt Securities</v>
          </cell>
        </row>
      </sheetData>
      <sheetData sheetId="7507">
        <row r="34">
          <cell r="A34" t="str">
            <v>Investments Govt Securities</v>
          </cell>
        </row>
      </sheetData>
      <sheetData sheetId="7508">
        <row r="34">
          <cell r="A34" t="str">
            <v>Investments Govt Securities</v>
          </cell>
        </row>
      </sheetData>
      <sheetData sheetId="7509">
        <row r="34">
          <cell r="A34" t="str">
            <v>Investments Govt Securities</v>
          </cell>
        </row>
      </sheetData>
      <sheetData sheetId="7510">
        <row r="34">
          <cell r="A34" t="str">
            <v>Investments Govt Securities</v>
          </cell>
        </row>
      </sheetData>
      <sheetData sheetId="7511">
        <row r="34">
          <cell r="A34" t="str">
            <v>Investments Govt Securities</v>
          </cell>
        </row>
      </sheetData>
      <sheetData sheetId="7512">
        <row r="34">
          <cell r="A34" t="str">
            <v>Investments Govt Securities</v>
          </cell>
        </row>
      </sheetData>
      <sheetData sheetId="7513">
        <row r="34">
          <cell r="A34" t="str">
            <v>Investments Govt Securities</v>
          </cell>
        </row>
      </sheetData>
      <sheetData sheetId="7514">
        <row r="34">
          <cell r="A34" t="str">
            <v>Investments Govt Securities</v>
          </cell>
        </row>
      </sheetData>
      <sheetData sheetId="7515">
        <row r="34">
          <cell r="A34" t="str">
            <v>Investments Govt Securities</v>
          </cell>
        </row>
      </sheetData>
      <sheetData sheetId="7516">
        <row r="34">
          <cell r="A34" t="str">
            <v>Investments Govt Securities</v>
          </cell>
        </row>
      </sheetData>
      <sheetData sheetId="7517">
        <row r="34">
          <cell r="A34" t="str">
            <v>Investments Govt Securities</v>
          </cell>
        </row>
      </sheetData>
      <sheetData sheetId="7518">
        <row r="34">
          <cell r="A34" t="str">
            <v>Investments Govt Securities</v>
          </cell>
        </row>
      </sheetData>
      <sheetData sheetId="7519">
        <row r="34">
          <cell r="A34" t="str">
            <v>Investments Govt Securities</v>
          </cell>
        </row>
      </sheetData>
      <sheetData sheetId="7520">
        <row r="34">
          <cell r="A34" t="str">
            <v>Investments Govt Securities</v>
          </cell>
        </row>
      </sheetData>
      <sheetData sheetId="7521">
        <row r="34">
          <cell r="A34" t="str">
            <v>Investments Govt Securities</v>
          </cell>
        </row>
      </sheetData>
      <sheetData sheetId="7522">
        <row r="34">
          <cell r="A34" t="str">
            <v>Investments Govt Securities</v>
          </cell>
        </row>
      </sheetData>
      <sheetData sheetId="7523">
        <row r="34">
          <cell r="A34" t="str">
            <v>Investments Govt Securities</v>
          </cell>
        </row>
      </sheetData>
      <sheetData sheetId="7524">
        <row r="34">
          <cell r="A34" t="str">
            <v>Investments Govt Securities</v>
          </cell>
        </row>
      </sheetData>
      <sheetData sheetId="7525">
        <row r="34">
          <cell r="A34" t="str">
            <v>Investments Govt Securities</v>
          </cell>
        </row>
      </sheetData>
      <sheetData sheetId="7526">
        <row r="34">
          <cell r="A34" t="str">
            <v>Investments Govt Securities</v>
          </cell>
        </row>
      </sheetData>
      <sheetData sheetId="7527">
        <row r="34">
          <cell r="A34" t="str">
            <v>Investments Govt Securities</v>
          </cell>
        </row>
      </sheetData>
      <sheetData sheetId="7528">
        <row r="34">
          <cell r="A34" t="str">
            <v>Investments Govt Securities</v>
          </cell>
        </row>
      </sheetData>
      <sheetData sheetId="7529">
        <row r="34">
          <cell r="A34" t="str">
            <v>Investments Govt Securities</v>
          </cell>
        </row>
      </sheetData>
      <sheetData sheetId="7530">
        <row r="34">
          <cell r="A34" t="str">
            <v>Investments Govt Securities</v>
          </cell>
        </row>
      </sheetData>
      <sheetData sheetId="7531">
        <row r="34">
          <cell r="A34" t="str">
            <v>Investments Govt Securities</v>
          </cell>
        </row>
      </sheetData>
      <sheetData sheetId="7532">
        <row r="34">
          <cell r="A34" t="str">
            <v>Investments Govt Securities</v>
          </cell>
        </row>
      </sheetData>
      <sheetData sheetId="7533">
        <row r="34">
          <cell r="A34" t="str">
            <v>Investments Govt Securities</v>
          </cell>
        </row>
      </sheetData>
      <sheetData sheetId="7534">
        <row r="34">
          <cell r="A34" t="str">
            <v>Investments Govt Securities</v>
          </cell>
        </row>
      </sheetData>
      <sheetData sheetId="7535">
        <row r="34">
          <cell r="A34" t="str">
            <v>Investments Govt Securities</v>
          </cell>
        </row>
      </sheetData>
      <sheetData sheetId="7536">
        <row r="34">
          <cell r="A34" t="str">
            <v>Investments Govt Securities</v>
          </cell>
        </row>
      </sheetData>
      <sheetData sheetId="7537">
        <row r="34">
          <cell r="A34" t="str">
            <v>Investments Govt Securities</v>
          </cell>
        </row>
      </sheetData>
      <sheetData sheetId="7538">
        <row r="34">
          <cell r="A34" t="str">
            <v>Investments Govt Securities</v>
          </cell>
        </row>
      </sheetData>
      <sheetData sheetId="7539">
        <row r="34">
          <cell r="A34" t="str">
            <v>Investments Govt Securities</v>
          </cell>
        </row>
      </sheetData>
      <sheetData sheetId="7540">
        <row r="34">
          <cell r="A34" t="str">
            <v>Investments Govt Securities</v>
          </cell>
        </row>
      </sheetData>
      <sheetData sheetId="7541">
        <row r="34">
          <cell r="A34" t="str">
            <v>Investments Govt Securities</v>
          </cell>
        </row>
      </sheetData>
      <sheetData sheetId="7542">
        <row r="34">
          <cell r="A34" t="str">
            <v>Investments Govt Securities</v>
          </cell>
        </row>
      </sheetData>
      <sheetData sheetId="7543">
        <row r="34">
          <cell r="A34" t="str">
            <v>Investments Govt Securities</v>
          </cell>
        </row>
      </sheetData>
      <sheetData sheetId="7544">
        <row r="34">
          <cell r="A34" t="str">
            <v>Investments Govt Securities</v>
          </cell>
        </row>
      </sheetData>
      <sheetData sheetId="7545">
        <row r="34">
          <cell r="A34" t="str">
            <v>Investments Govt Securities</v>
          </cell>
        </row>
      </sheetData>
      <sheetData sheetId="7546">
        <row r="34">
          <cell r="A34" t="str">
            <v>Investments Govt Securities</v>
          </cell>
        </row>
      </sheetData>
      <sheetData sheetId="7547">
        <row r="34">
          <cell r="A34" t="str">
            <v>Investments Govt Securities</v>
          </cell>
        </row>
      </sheetData>
      <sheetData sheetId="7548">
        <row r="34">
          <cell r="A34" t="str">
            <v>Investments Govt Securities</v>
          </cell>
        </row>
      </sheetData>
      <sheetData sheetId="7549">
        <row r="34">
          <cell r="A34" t="str">
            <v>Investments Govt Securities</v>
          </cell>
        </row>
      </sheetData>
      <sheetData sheetId="7550">
        <row r="34">
          <cell r="A34" t="str">
            <v>Investments Govt Securities</v>
          </cell>
        </row>
      </sheetData>
      <sheetData sheetId="7551">
        <row r="34">
          <cell r="A34" t="str">
            <v>Investments Govt Securities</v>
          </cell>
        </row>
      </sheetData>
      <sheetData sheetId="7552">
        <row r="34">
          <cell r="A34" t="str">
            <v>Investments Govt Securities</v>
          </cell>
        </row>
      </sheetData>
      <sheetData sheetId="7553">
        <row r="34">
          <cell r="A34" t="str">
            <v>Investments Govt Securities</v>
          </cell>
        </row>
      </sheetData>
      <sheetData sheetId="7554">
        <row r="34">
          <cell r="A34" t="str">
            <v>Investments Govt Securities</v>
          </cell>
        </row>
      </sheetData>
      <sheetData sheetId="7555">
        <row r="34">
          <cell r="A34" t="str">
            <v>Investments Govt Securities</v>
          </cell>
        </row>
      </sheetData>
      <sheetData sheetId="7556">
        <row r="34">
          <cell r="A34" t="str">
            <v>Investments Govt Securities</v>
          </cell>
        </row>
      </sheetData>
      <sheetData sheetId="7557">
        <row r="34">
          <cell r="A34" t="str">
            <v>Investments Govt Securities</v>
          </cell>
        </row>
      </sheetData>
      <sheetData sheetId="7558">
        <row r="34">
          <cell r="A34" t="str">
            <v>Investments Govt Securities</v>
          </cell>
        </row>
      </sheetData>
      <sheetData sheetId="7559">
        <row r="34">
          <cell r="A34" t="str">
            <v>Investments Govt Securities</v>
          </cell>
        </row>
      </sheetData>
      <sheetData sheetId="7560">
        <row r="34">
          <cell r="A34" t="str">
            <v>Investments Govt Securities</v>
          </cell>
        </row>
      </sheetData>
      <sheetData sheetId="7561">
        <row r="34">
          <cell r="A34" t="str">
            <v>Investments Govt Securities</v>
          </cell>
        </row>
      </sheetData>
      <sheetData sheetId="7562">
        <row r="34">
          <cell r="A34" t="str">
            <v>Investments Govt Securities</v>
          </cell>
        </row>
      </sheetData>
      <sheetData sheetId="7563">
        <row r="34">
          <cell r="A34" t="str">
            <v>Investments Govt Securities</v>
          </cell>
        </row>
      </sheetData>
      <sheetData sheetId="7564">
        <row r="34">
          <cell r="A34" t="str">
            <v>Investments Govt Securities</v>
          </cell>
        </row>
      </sheetData>
      <sheetData sheetId="7565">
        <row r="34">
          <cell r="A34" t="str">
            <v>Investments Govt Securities</v>
          </cell>
        </row>
      </sheetData>
      <sheetData sheetId="7566">
        <row r="34">
          <cell r="A34" t="str">
            <v>Investments Govt Securities</v>
          </cell>
        </row>
      </sheetData>
      <sheetData sheetId="7567">
        <row r="34">
          <cell r="A34" t="str">
            <v>Investments Govt Securities</v>
          </cell>
        </row>
      </sheetData>
      <sheetData sheetId="7568">
        <row r="34">
          <cell r="A34" t="str">
            <v>Investments Govt Securities</v>
          </cell>
        </row>
      </sheetData>
      <sheetData sheetId="7569">
        <row r="34">
          <cell r="A34" t="str">
            <v>Investments Govt Securities</v>
          </cell>
        </row>
      </sheetData>
      <sheetData sheetId="7570">
        <row r="34">
          <cell r="A34" t="str">
            <v>Investments Govt Securities</v>
          </cell>
        </row>
      </sheetData>
      <sheetData sheetId="7571">
        <row r="34">
          <cell r="A34" t="str">
            <v>Investments Govt Securities</v>
          </cell>
        </row>
      </sheetData>
      <sheetData sheetId="7572">
        <row r="34">
          <cell r="A34" t="str">
            <v>Investments Govt Securities</v>
          </cell>
        </row>
      </sheetData>
      <sheetData sheetId="7573">
        <row r="34">
          <cell r="A34" t="str">
            <v>Investments Govt Securities</v>
          </cell>
        </row>
      </sheetData>
      <sheetData sheetId="7574">
        <row r="34">
          <cell r="A34" t="str">
            <v>Investments Govt Securities</v>
          </cell>
        </row>
      </sheetData>
      <sheetData sheetId="7575">
        <row r="34">
          <cell r="A34" t="str">
            <v>Investments Govt Securities</v>
          </cell>
        </row>
      </sheetData>
      <sheetData sheetId="7576">
        <row r="34">
          <cell r="A34" t="str">
            <v>Investments Govt Securities</v>
          </cell>
        </row>
      </sheetData>
      <sheetData sheetId="7577">
        <row r="34">
          <cell r="A34" t="str">
            <v>Investments Govt Securities</v>
          </cell>
        </row>
      </sheetData>
      <sheetData sheetId="7578">
        <row r="34">
          <cell r="A34" t="str">
            <v>Investments Govt Securities</v>
          </cell>
        </row>
      </sheetData>
      <sheetData sheetId="7579">
        <row r="34">
          <cell r="A34" t="str">
            <v>Investments Govt Securities</v>
          </cell>
        </row>
      </sheetData>
      <sheetData sheetId="7580">
        <row r="34">
          <cell r="A34" t="str">
            <v>Investments Govt Securities</v>
          </cell>
        </row>
      </sheetData>
      <sheetData sheetId="7581">
        <row r="34">
          <cell r="A34" t="str">
            <v>Investments Govt Securities</v>
          </cell>
        </row>
      </sheetData>
      <sheetData sheetId="7582">
        <row r="34">
          <cell r="A34" t="str">
            <v>Investments Govt Securities</v>
          </cell>
        </row>
      </sheetData>
      <sheetData sheetId="7583">
        <row r="34">
          <cell r="A34" t="str">
            <v>Investments Govt Securities</v>
          </cell>
        </row>
      </sheetData>
      <sheetData sheetId="7584">
        <row r="34">
          <cell r="A34" t="str">
            <v>Investments Govt Securities</v>
          </cell>
        </row>
      </sheetData>
      <sheetData sheetId="7585">
        <row r="34">
          <cell r="A34" t="str">
            <v>Investments Govt Securities</v>
          </cell>
        </row>
      </sheetData>
      <sheetData sheetId="7586">
        <row r="34">
          <cell r="A34" t="str">
            <v>Investments Govt Securities</v>
          </cell>
        </row>
      </sheetData>
      <sheetData sheetId="7587">
        <row r="34">
          <cell r="A34" t="str">
            <v>Investments Govt Securities</v>
          </cell>
        </row>
      </sheetData>
      <sheetData sheetId="7588">
        <row r="34">
          <cell r="A34" t="str">
            <v>Investments Govt Securities</v>
          </cell>
        </row>
      </sheetData>
      <sheetData sheetId="7589">
        <row r="34">
          <cell r="A34" t="str">
            <v>Investments Govt Securities</v>
          </cell>
        </row>
      </sheetData>
      <sheetData sheetId="7590">
        <row r="34">
          <cell r="A34" t="str">
            <v>Investments Govt Securities</v>
          </cell>
        </row>
      </sheetData>
      <sheetData sheetId="7591">
        <row r="34">
          <cell r="A34" t="str">
            <v>Investments Govt Securities</v>
          </cell>
        </row>
      </sheetData>
      <sheetData sheetId="7592">
        <row r="34">
          <cell r="A34" t="str">
            <v>Investments Govt Securities</v>
          </cell>
        </row>
      </sheetData>
      <sheetData sheetId="7593">
        <row r="34">
          <cell r="A34" t="str">
            <v>Investments Govt Securities</v>
          </cell>
        </row>
      </sheetData>
      <sheetData sheetId="7594">
        <row r="34">
          <cell r="A34" t="str">
            <v>Investments Govt Securities</v>
          </cell>
        </row>
      </sheetData>
      <sheetData sheetId="7595">
        <row r="34">
          <cell r="A34" t="str">
            <v>Investments Govt Securities</v>
          </cell>
        </row>
      </sheetData>
      <sheetData sheetId="7596">
        <row r="34">
          <cell r="A34" t="str">
            <v>Investments Govt Securities</v>
          </cell>
        </row>
      </sheetData>
      <sheetData sheetId="7597">
        <row r="34">
          <cell r="A34" t="str">
            <v>Investments Govt Securities</v>
          </cell>
        </row>
      </sheetData>
      <sheetData sheetId="7598">
        <row r="34">
          <cell r="A34" t="str">
            <v>Investments Govt Securities</v>
          </cell>
        </row>
      </sheetData>
      <sheetData sheetId="7599">
        <row r="34">
          <cell r="A34" t="str">
            <v>Investments Govt Securities</v>
          </cell>
        </row>
      </sheetData>
      <sheetData sheetId="7600">
        <row r="34">
          <cell r="A34" t="str">
            <v>Investments Govt Securities</v>
          </cell>
        </row>
      </sheetData>
      <sheetData sheetId="7601">
        <row r="34">
          <cell r="A34" t="str">
            <v>Investments Govt Securities</v>
          </cell>
        </row>
      </sheetData>
      <sheetData sheetId="7602">
        <row r="34">
          <cell r="A34" t="str">
            <v>Investments Govt Securities</v>
          </cell>
        </row>
      </sheetData>
      <sheetData sheetId="7603">
        <row r="34">
          <cell r="A34" t="str">
            <v>Investments Govt Securities</v>
          </cell>
        </row>
      </sheetData>
      <sheetData sheetId="7604">
        <row r="34">
          <cell r="A34" t="str">
            <v>Investments Govt Securities</v>
          </cell>
        </row>
      </sheetData>
      <sheetData sheetId="7605">
        <row r="34">
          <cell r="A34" t="str">
            <v>Investments Govt Securities</v>
          </cell>
        </row>
      </sheetData>
      <sheetData sheetId="7606">
        <row r="34">
          <cell r="A34" t="str">
            <v>Investments Govt Securities</v>
          </cell>
        </row>
      </sheetData>
      <sheetData sheetId="7607">
        <row r="34">
          <cell r="A34" t="str">
            <v>Investments Govt Securities</v>
          </cell>
        </row>
      </sheetData>
      <sheetData sheetId="7608">
        <row r="34">
          <cell r="A34" t="str">
            <v>Investments Govt Securities</v>
          </cell>
        </row>
      </sheetData>
      <sheetData sheetId="7609">
        <row r="34">
          <cell r="A34" t="str">
            <v>Investments Govt Securities</v>
          </cell>
        </row>
      </sheetData>
      <sheetData sheetId="7610">
        <row r="34">
          <cell r="A34" t="str">
            <v>Investments Govt Securities</v>
          </cell>
        </row>
      </sheetData>
      <sheetData sheetId="7611">
        <row r="34">
          <cell r="A34" t="str">
            <v>Investments Govt Securities</v>
          </cell>
        </row>
      </sheetData>
      <sheetData sheetId="7612">
        <row r="34">
          <cell r="A34" t="str">
            <v>Investments Govt Securities</v>
          </cell>
        </row>
      </sheetData>
      <sheetData sheetId="7613">
        <row r="34">
          <cell r="A34" t="str">
            <v>Investments Govt Securities</v>
          </cell>
        </row>
      </sheetData>
      <sheetData sheetId="7614">
        <row r="34">
          <cell r="A34" t="str">
            <v>Investments Govt Securities</v>
          </cell>
        </row>
      </sheetData>
      <sheetData sheetId="7615">
        <row r="34">
          <cell r="A34" t="str">
            <v>Investments Govt Securities</v>
          </cell>
        </row>
      </sheetData>
      <sheetData sheetId="7616">
        <row r="34">
          <cell r="A34" t="str">
            <v>Investments Govt Securities</v>
          </cell>
        </row>
      </sheetData>
      <sheetData sheetId="7617">
        <row r="34">
          <cell r="A34" t="str">
            <v>Investments Govt Securities</v>
          </cell>
        </row>
      </sheetData>
      <sheetData sheetId="7618">
        <row r="34">
          <cell r="A34" t="str">
            <v>Investments Govt Securities</v>
          </cell>
        </row>
      </sheetData>
      <sheetData sheetId="7619">
        <row r="34">
          <cell r="A34" t="str">
            <v>Investments Govt Securities</v>
          </cell>
        </row>
      </sheetData>
      <sheetData sheetId="7620">
        <row r="34">
          <cell r="A34" t="str">
            <v>Investments Govt Securities</v>
          </cell>
        </row>
      </sheetData>
      <sheetData sheetId="7621">
        <row r="34">
          <cell r="A34" t="str">
            <v>Investments Govt Securities</v>
          </cell>
        </row>
      </sheetData>
      <sheetData sheetId="7622">
        <row r="34">
          <cell r="A34" t="str">
            <v>Investments Govt Securities</v>
          </cell>
        </row>
      </sheetData>
      <sheetData sheetId="7623">
        <row r="34">
          <cell r="A34" t="str">
            <v>Investments Govt Securities</v>
          </cell>
        </row>
      </sheetData>
      <sheetData sheetId="7624">
        <row r="34">
          <cell r="A34" t="str">
            <v>Investments Govt Securities</v>
          </cell>
        </row>
      </sheetData>
      <sheetData sheetId="7625">
        <row r="34">
          <cell r="A34" t="str">
            <v>Investments Govt Securities</v>
          </cell>
        </row>
      </sheetData>
      <sheetData sheetId="7626">
        <row r="34">
          <cell r="A34" t="str">
            <v>Investments Govt Securities</v>
          </cell>
        </row>
      </sheetData>
      <sheetData sheetId="7627">
        <row r="34">
          <cell r="A34" t="str">
            <v>Investments Govt Securities</v>
          </cell>
        </row>
      </sheetData>
      <sheetData sheetId="7628">
        <row r="34">
          <cell r="A34" t="str">
            <v>Investments Govt Securities</v>
          </cell>
        </row>
      </sheetData>
      <sheetData sheetId="7629">
        <row r="34">
          <cell r="A34" t="str">
            <v>Investments Govt Securities</v>
          </cell>
        </row>
      </sheetData>
      <sheetData sheetId="7630">
        <row r="34">
          <cell r="A34" t="str">
            <v>Investments Govt Securities</v>
          </cell>
        </row>
      </sheetData>
      <sheetData sheetId="7631">
        <row r="34">
          <cell r="A34" t="str">
            <v>Investments Govt Securities</v>
          </cell>
        </row>
      </sheetData>
      <sheetData sheetId="7632">
        <row r="34">
          <cell r="A34" t="str">
            <v>Investments Govt Securities</v>
          </cell>
        </row>
      </sheetData>
      <sheetData sheetId="7633">
        <row r="34">
          <cell r="A34" t="str">
            <v>Investments Govt Securities</v>
          </cell>
        </row>
      </sheetData>
      <sheetData sheetId="7634">
        <row r="34">
          <cell r="A34" t="str">
            <v>Investments Govt Securities</v>
          </cell>
        </row>
      </sheetData>
      <sheetData sheetId="7635">
        <row r="34">
          <cell r="A34" t="str">
            <v>Investments Govt Securities</v>
          </cell>
        </row>
      </sheetData>
      <sheetData sheetId="7636">
        <row r="34">
          <cell r="A34" t="str">
            <v>Investments Govt Securities</v>
          </cell>
        </row>
      </sheetData>
      <sheetData sheetId="7637">
        <row r="34">
          <cell r="A34" t="str">
            <v>Investments Govt Securities</v>
          </cell>
        </row>
      </sheetData>
      <sheetData sheetId="7638">
        <row r="34">
          <cell r="A34" t="str">
            <v>Investments Govt Securities</v>
          </cell>
        </row>
      </sheetData>
      <sheetData sheetId="7639">
        <row r="34">
          <cell r="A34" t="str">
            <v>Investments Govt Securities</v>
          </cell>
        </row>
      </sheetData>
      <sheetData sheetId="7640">
        <row r="34">
          <cell r="A34" t="str">
            <v>Investments Govt Securities</v>
          </cell>
        </row>
      </sheetData>
      <sheetData sheetId="7641">
        <row r="34">
          <cell r="A34" t="str">
            <v>Investments Govt Securities</v>
          </cell>
        </row>
      </sheetData>
      <sheetData sheetId="7642">
        <row r="34">
          <cell r="A34" t="str">
            <v>Investments Govt Securities</v>
          </cell>
        </row>
      </sheetData>
      <sheetData sheetId="7643">
        <row r="34">
          <cell r="A34" t="str">
            <v>Investments Govt Securities</v>
          </cell>
        </row>
      </sheetData>
      <sheetData sheetId="7644">
        <row r="34">
          <cell r="A34" t="str">
            <v>Investments Govt Securities</v>
          </cell>
        </row>
      </sheetData>
      <sheetData sheetId="7645">
        <row r="34">
          <cell r="A34" t="str">
            <v>Investments Govt Securities</v>
          </cell>
        </row>
      </sheetData>
      <sheetData sheetId="7646">
        <row r="34">
          <cell r="A34" t="str">
            <v>Investments Govt Securities</v>
          </cell>
        </row>
      </sheetData>
      <sheetData sheetId="7647">
        <row r="34">
          <cell r="A34" t="str">
            <v>Investments Govt Securities</v>
          </cell>
        </row>
      </sheetData>
      <sheetData sheetId="7648">
        <row r="34">
          <cell r="A34" t="str">
            <v>Investments Govt Securities</v>
          </cell>
        </row>
      </sheetData>
      <sheetData sheetId="7649">
        <row r="34">
          <cell r="A34" t="str">
            <v>Investments Govt Securities</v>
          </cell>
        </row>
      </sheetData>
      <sheetData sheetId="7650">
        <row r="34">
          <cell r="A34" t="str">
            <v>Investments Govt Securities</v>
          </cell>
        </row>
      </sheetData>
      <sheetData sheetId="7651">
        <row r="34">
          <cell r="A34" t="str">
            <v>Investments Govt Securities</v>
          </cell>
        </row>
      </sheetData>
      <sheetData sheetId="7652">
        <row r="34">
          <cell r="A34" t="str">
            <v>Investments Govt Securities</v>
          </cell>
        </row>
      </sheetData>
      <sheetData sheetId="7653">
        <row r="34">
          <cell r="A34" t="str">
            <v>Investments Govt Securities</v>
          </cell>
        </row>
      </sheetData>
      <sheetData sheetId="7654">
        <row r="34">
          <cell r="A34" t="str">
            <v>Investments Govt Securities</v>
          </cell>
        </row>
      </sheetData>
      <sheetData sheetId="7655">
        <row r="34">
          <cell r="A34" t="str">
            <v>Investments Govt Securities</v>
          </cell>
        </row>
      </sheetData>
      <sheetData sheetId="7656">
        <row r="34">
          <cell r="A34" t="str">
            <v>Investments Govt Securities</v>
          </cell>
        </row>
      </sheetData>
      <sheetData sheetId="7657">
        <row r="34">
          <cell r="A34" t="str">
            <v>Investments Govt Securities</v>
          </cell>
        </row>
      </sheetData>
      <sheetData sheetId="7658">
        <row r="34">
          <cell r="A34" t="str">
            <v>Investments Govt Securities</v>
          </cell>
        </row>
      </sheetData>
      <sheetData sheetId="7659">
        <row r="34">
          <cell r="A34" t="str">
            <v>Investments Govt Securities</v>
          </cell>
        </row>
      </sheetData>
      <sheetData sheetId="7660">
        <row r="34">
          <cell r="A34" t="str">
            <v>Investments Govt Securities</v>
          </cell>
        </row>
      </sheetData>
      <sheetData sheetId="7661">
        <row r="34">
          <cell r="A34" t="str">
            <v>Investments Govt Securities</v>
          </cell>
        </row>
      </sheetData>
      <sheetData sheetId="7662">
        <row r="34">
          <cell r="A34" t="str">
            <v>Investments Govt Securities</v>
          </cell>
        </row>
      </sheetData>
      <sheetData sheetId="7663">
        <row r="34">
          <cell r="A34" t="str">
            <v>Investments Govt Securities</v>
          </cell>
        </row>
      </sheetData>
      <sheetData sheetId="7664">
        <row r="34">
          <cell r="A34" t="str">
            <v>Investments Govt Securities</v>
          </cell>
        </row>
      </sheetData>
      <sheetData sheetId="7665">
        <row r="34">
          <cell r="A34" t="str">
            <v>Investments Govt Securities</v>
          </cell>
        </row>
      </sheetData>
      <sheetData sheetId="7666">
        <row r="34">
          <cell r="A34" t="str">
            <v>Investments Govt Securities</v>
          </cell>
        </row>
      </sheetData>
      <sheetData sheetId="7667">
        <row r="34">
          <cell r="A34" t="str">
            <v>Investments Govt Securities</v>
          </cell>
        </row>
      </sheetData>
      <sheetData sheetId="7668">
        <row r="34">
          <cell r="A34" t="str">
            <v>Investments Govt Securities</v>
          </cell>
        </row>
      </sheetData>
      <sheetData sheetId="7669">
        <row r="34">
          <cell r="A34" t="str">
            <v>Investments Govt Securities</v>
          </cell>
        </row>
      </sheetData>
      <sheetData sheetId="7670">
        <row r="34">
          <cell r="A34" t="str">
            <v>Investments Govt Securities</v>
          </cell>
        </row>
      </sheetData>
      <sheetData sheetId="7671">
        <row r="34">
          <cell r="A34" t="str">
            <v>Investments Govt Securities</v>
          </cell>
        </row>
      </sheetData>
      <sheetData sheetId="7672">
        <row r="34">
          <cell r="A34" t="str">
            <v>Investments Govt Securities</v>
          </cell>
        </row>
      </sheetData>
      <sheetData sheetId="7673">
        <row r="34">
          <cell r="A34" t="str">
            <v>Investments Govt Securities</v>
          </cell>
        </row>
      </sheetData>
      <sheetData sheetId="7674">
        <row r="34">
          <cell r="A34" t="str">
            <v>Investments Govt Securities</v>
          </cell>
        </row>
      </sheetData>
      <sheetData sheetId="7675">
        <row r="34">
          <cell r="A34" t="str">
            <v>Investments Govt Securities</v>
          </cell>
        </row>
      </sheetData>
      <sheetData sheetId="7676">
        <row r="34">
          <cell r="A34" t="str">
            <v>Investments Govt Securities</v>
          </cell>
        </row>
      </sheetData>
      <sheetData sheetId="7677">
        <row r="34">
          <cell r="A34" t="str">
            <v>Investments Govt Securities</v>
          </cell>
        </row>
      </sheetData>
      <sheetData sheetId="7678">
        <row r="34">
          <cell r="A34" t="str">
            <v>Investments Govt Securities</v>
          </cell>
        </row>
      </sheetData>
      <sheetData sheetId="7679">
        <row r="34">
          <cell r="A34" t="str">
            <v>Investments Govt Securities</v>
          </cell>
        </row>
      </sheetData>
      <sheetData sheetId="7680">
        <row r="34">
          <cell r="A34" t="str">
            <v>Investments Govt Securities</v>
          </cell>
        </row>
      </sheetData>
      <sheetData sheetId="7681">
        <row r="34">
          <cell r="A34" t="str">
            <v>Investments Govt Securities</v>
          </cell>
        </row>
      </sheetData>
      <sheetData sheetId="7682">
        <row r="34">
          <cell r="A34" t="str">
            <v>Investments Govt Securities</v>
          </cell>
        </row>
      </sheetData>
      <sheetData sheetId="7683">
        <row r="34">
          <cell r="A34" t="str">
            <v>Investments Govt Securities</v>
          </cell>
        </row>
      </sheetData>
      <sheetData sheetId="7684">
        <row r="34">
          <cell r="A34" t="str">
            <v>Investments Govt Securities</v>
          </cell>
        </row>
      </sheetData>
      <sheetData sheetId="7685">
        <row r="34">
          <cell r="A34" t="str">
            <v>Investments Govt Securities</v>
          </cell>
        </row>
      </sheetData>
      <sheetData sheetId="7686">
        <row r="34">
          <cell r="A34" t="str">
            <v>Investments Govt Securities</v>
          </cell>
        </row>
      </sheetData>
      <sheetData sheetId="7687">
        <row r="34">
          <cell r="A34" t="str">
            <v>Investments Govt Securities</v>
          </cell>
        </row>
      </sheetData>
      <sheetData sheetId="7688">
        <row r="34">
          <cell r="A34" t="str">
            <v>Investments Govt Securities</v>
          </cell>
        </row>
      </sheetData>
      <sheetData sheetId="7689">
        <row r="34">
          <cell r="A34" t="str">
            <v>Investments Govt Securities</v>
          </cell>
        </row>
      </sheetData>
      <sheetData sheetId="7690">
        <row r="34">
          <cell r="A34" t="str">
            <v>Investments Govt Securities</v>
          </cell>
        </row>
      </sheetData>
      <sheetData sheetId="7691">
        <row r="34">
          <cell r="A34" t="str">
            <v>Investments Govt Securities</v>
          </cell>
        </row>
      </sheetData>
      <sheetData sheetId="7692">
        <row r="34">
          <cell r="A34" t="str">
            <v>Investments Govt Securities</v>
          </cell>
        </row>
      </sheetData>
      <sheetData sheetId="7693">
        <row r="34">
          <cell r="A34" t="str">
            <v>Investments Govt Securities</v>
          </cell>
        </row>
      </sheetData>
      <sheetData sheetId="7694">
        <row r="34">
          <cell r="A34" t="str">
            <v>Investments Govt Securities</v>
          </cell>
        </row>
      </sheetData>
      <sheetData sheetId="7695">
        <row r="34">
          <cell r="A34" t="str">
            <v>Investments Govt Securities</v>
          </cell>
        </row>
      </sheetData>
      <sheetData sheetId="7696">
        <row r="34">
          <cell r="A34" t="str">
            <v>Investments Govt Securities</v>
          </cell>
        </row>
      </sheetData>
      <sheetData sheetId="7697">
        <row r="34">
          <cell r="A34" t="str">
            <v>Investments Govt Securities</v>
          </cell>
        </row>
      </sheetData>
      <sheetData sheetId="7698">
        <row r="34">
          <cell r="A34" t="str">
            <v>Investments Govt Securities</v>
          </cell>
        </row>
      </sheetData>
      <sheetData sheetId="7699">
        <row r="34">
          <cell r="A34" t="str">
            <v>Investments Govt Securities</v>
          </cell>
        </row>
      </sheetData>
      <sheetData sheetId="7700">
        <row r="34">
          <cell r="A34" t="str">
            <v>Investments Govt Securities</v>
          </cell>
        </row>
      </sheetData>
      <sheetData sheetId="7701">
        <row r="34">
          <cell r="A34" t="str">
            <v>Investments Govt Securities</v>
          </cell>
        </row>
      </sheetData>
      <sheetData sheetId="7702">
        <row r="34">
          <cell r="A34" t="str">
            <v>Investments Govt Securities</v>
          </cell>
        </row>
      </sheetData>
      <sheetData sheetId="7703">
        <row r="34">
          <cell r="A34" t="str">
            <v>Investments Govt Securities</v>
          </cell>
        </row>
      </sheetData>
      <sheetData sheetId="7704">
        <row r="34">
          <cell r="A34" t="str">
            <v>Investments Govt Securities</v>
          </cell>
        </row>
      </sheetData>
      <sheetData sheetId="7705">
        <row r="34">
          <cell r="A34" t="str">
            <v>Investments Govt Securities</v>
          </cell>
        </row>
      </sheetData>
      <sheetData sheetId="7706">
        <row r="34">
          <cell r="A34" t="str">
            <v>Investments Govt Securities</v>
          </cell>
        </row>
      </sheetData>
      <sheetData sheetId="7707">
        <row r="34">
          <cell r="A34" t="str">
            <v>Investments Govt Securities</v>
          </cell>
        </row>
      </sheetData>
      <sheetData sheetId="7708">
        <row r="34">
          <cell r="A34" t="str">
            <v>Investments Govt Securities</v>
          </cell>
        </row>
      </sheetData>
      <sheetData sheetId="7709">
        <row r="34">
          <cell r="A34" t="str">
            <v>Investments Govt Securities</v>
          </cell>
        </row>
      </sheetData>
      <sheetData sheetId="7710">
        <row r="34">
          <cell r="A34" t="str">
            <v>Investments Govt Securities</v>
          </cell>
        </row>
      </sheetData>
      <sheetData sheetId="7711">
        <row r="34">
          <cell r="A34" t="str">
            <v>Investments Govt Securities</v>
          </cell>
        </row>
      </sheetData>
      <sheetData sheetId="7712">
        <row r="34">
          <cell r="A34" t="str">
            <v>Investments Govt Securities</v>
          </cell>
        </row>
      </sheetData>
      <sheetData sheetId="7713">
        <row r="34">
          <cell r="A34" t="str">
            <v>Investments Govt Securities</v>
          </cell>
        </row>
      </sheetData>
      <sheetData sheetId="7714">
        <row r="34">
          <cell r="A34" t="str">
            <v>Investments Govt Securities</v>
          </cell>
        </row>
      </sheetData>
      <sheetData sheetId="7715">
        <row r="34">
          <cell r="A34" t="str">
            <v>Investments Govt Securities</v>
          </cell>
        </row>
      </sheetData>
      <sheetData sheetId="7716">
        <row r="34">
          <cell r="A34" t="str">
            <v>Investments Govt Securities</v>
          </cell>
        </row>
      </sheetData>
      <sheetData sheetId="7717">
        <row r="34">
          <cell r="A34" t="str">
            <v>Investments Govt Securities</v>
          </cell>
        </row>
      </sheetData>
      <sheetData sheetId="7718">
        <row r="34">
          <cell r="A34" t="str">
            <v>Investments Govt Securities</v>
          </cell>
        </row>
      </sheetData>
      <sheetData sheetId="7719">
        <row r="34">
          <cell r="A34" t="str">
            <v>Investments Govt Securities</v>
          </cell>
        </row>
      </sheetData>
      <sheetData sheetId="7720">
        <row r="34">
          <cell r="A34" t="str">
            <v>Investments Govt Securities</v>
          </cell>
        </row>
      </sheetData>
      <sheetData sheetId="7721">
        <row r="34">
          <cell r="A34" t="str">
            <v>Investments Govt Securities</v>
          </cell>
        </row>
      </sheetData>
      <sheetData sheetId="7722">
        <row r="34">
          <cell r="A34" t="str">
            <v>Investments Govt Securities</v>
          </cell>
        </row>
      </sheetData>
      <sheetData sheetId="7723">
        <row r="34">
          <cell r="A34" t="str">
            <v>Investments Govt Securities</v>
          </cell>
        </row>
      </sheetData>
      <sheetData sheetId="7724">
        <row r="34">
          <cell r="A34" t="str">
            <v>Investments Govt Securities</v>
          </cell>
        </row>
      </sheetData>
      <sheetData sheetId="7725">
        <row r="34">
          <cell r="A34" t="str">
            <v>Investments Govt Securities</v>
          </cell>
        </row>
      </sheetData>
      <sheetData sheetId="7726">
        <row r="34">
          <cell r="A34" t="str">
            <v>Investments Govt Securities</v>
          </cell>
        </row>
      </sheetData>
      <sheetData sheetId="7727">
        <row r="34">
          <cell r="A34" t="str">
            <v>Investments Govt Securities</v>
          </cell>
        </row>
      </sheetData>
      <sheetData sheetId="7728">
        <row r="34">
          <cell r="A34" t="str">
            <v>Investments Govt Securities</v>
          </cell>
        </row>
      </sheetData>
      <sheetData sheetId="7729">
        <row r="34">
          <cell r="A34" t="str">
            <v>Investments Govt Securities</v>
          </cell>
        </row>
      </sheetData>
      <sheetData sheetId="7730">
        <row r="34">
          <cell r="A34" t="str">
            <v>Investments Govt Securities</v>
          </cell>
        </row>
      </sheetData>
      <sheetData sheetId="7731">
        <row r="34">
          <cell r="A34" t="str">
            <v>Investments Govt Securities</v>
          </cell>
        </row>
      </sheetData>
      <sheetData sheetId="7732">
        <row r="34">
          <cell r="A34" t="str">
            <v>Investments Govt Securities</v>
          </cell>
        </row>
      </sheetData>
      <sheetData sheetId="7733">
        <row r="34">
          <cell r="A34" t="str">
            <v>Investments Govt Securities</v>
          </cell>
        </row>
      </sheetData>
      <sheetData sheetId="7734">
        <row r="34">
          <cell r="A34" t="str">
            <v>Investments Govt Securities</v>
          </cell>
        </row>
      </sheetData>
      <sheetData sheetId="7735">
        <row r="34">
          <cell r="A34" t="str">
            <v>Investments Govt Securities</v>
          </cell>
        </row>
      </sheetData>
      <sheetData sheetId="7736">
        <row r="34">
          <cell r="A34" t="str">
            <v>Investments Govt Securities</v>
          </cell>
        </row>
      </sheetData>
      <sheetData sheetId="7737">
        <row r="34">
          <cell r="A34" t="str">
            <v>Investments Govt Securities</v>
          </cell>
        </row>
      </sheetData>
      <sheetData sheetId="7738">
        <row r="34">
          <cell r="A34" t="str">
            <v>Investments Govt Securities</v>
          </cell>
        </row>
      </sheetData>
      <sheetData sheetId="7739">
        <row r="34">
          <cell r="A34" t="str">
            <v>Investments Govt Securities</v>
          </cell>
        </row>
      </sheetData>
      <sheetData sheetId="7740">
        <row r="34">
          <cell r="A34" t="str">
            <v>Investments Govt Securities</v>
          </cell>
        </row>
      </sheetData>
      <sheetData sheetId="7741">
        <row r="34">
          <cell r="A34" t="str">
            <v>Investments Govt Securities</v>
          </cell>
        </row>
      </sheetData>
      <sheetData sheetId="7742">
        <row r="34">
          <cell r="A34" t="str">
            <v>Investments Govt Securities</v>
          </cell>
        </row>
      </sheetData>
      <sheetData sheetId="7743">
        <row r="34">
          <cell r="A34" t="str">
            <v>Investments Govt Securities</v>
          </cell>
        </row>
      </sheetData>
      <sheetData sheetId="7744">
        <row r="34">
          <cell r="A34" t="str">
            <v>Investments Govt Securities</v>
          </cell>
        </row>
      </sheetData>
      <sheetData sheetId="7745">
        <row r="34">
          <cell r="A34" t="str">
            <v>Investments Govt Securities</v>
          </cell>
        </row>
      </sheetData>
      <sheetData sheetId="7746">
        <row r="34">
          <cell r="A34" t="str">
            <v>Investments Govt Securities</v>
          </cell>
        </row>
      </sheetData>
      <sheetData sheetId="7747">
        <row r="34">
          <cell r="A34" t="str">
            <v>Investments Govt Securities</v>
          </cell>
        </row>
      </sheetData>
      <sheetData sheetId="7748">
        <row r="34">
          <cell r="A34" t="str">
            <v>Investments Govt Securities</v>
          </cell>
        </row>
      </sheetData>
      <sheetData sheetId="7749">
        <row r="34">
          <cell r="A34" t="str">
            <v>Investments Govt Securities</v>
          </cell>
        </row>
      </sheetData>
      <sheetData sheetId="7750">
        <row r="34">
          <cell r="A34" t="str">
            <v>Investments Govt Securities</v>
          </cell>
        </row>
      </sheetData>
      <sheetData sheetId="7751">
        <row r="34">
          <cell r="A34" t="str">
            <v>Investments Govt Securities</v>
          </cell>
        </row>
      </sheetData>
      <sheetData sheetId="7752">
        <row r="34">
          <cell r="A34" t="str">
            <v>Investments Govt Securities</v>
          </cell>
        </row>
      </sheetData>
      <sheetData sheetId="7753">
        <row r="34">
          <cell r="A34" t="str">
            <v>Investments Govt Securities</v>
          </cell>
        </row>
      </sheetData>
      <sheetData sheetId="7754">
        <row r="34">
          <cell r="A34" t="str">
            <v>Investments Govt Securities</v>
          </cell>
        </row>
      </sheetData>
      <sheetData sheetId="7755">
        <row r="34">
          <cell r="A34" t="str">
            <v>Investments Govt Securities</v>
          </cell>
        </row>
      </sheetData>
      <sheetData sheetId="7756">
        <row r="34">
          <cell r="A34" t="str">
            <v>Investments Govt Securities</v>
          </cell>
        </row>
      </sheetData>
      <sheetData sheetId="7757">
        <row r="34">
          <cell r="A34" t="str">
            <v>Investments Govt Securities</v>
          </cell>
        </row>
      </sheetData>
      <sheetData sheetId="7758">
        <row r="34">
          <cell r="A34" t="str">
            <v>Investments Govt Securities</v>
          </cell>
        </row>
      </sheetData>
      <sheetData sheetId="7759">
        <row r="34">
          <cell r="A34" t="str">
            <v>Investments Govt Securities</v>
          </cell>
        </row>
      </sheetData>
      <sheetData sheetId="7760">
        <row r="34">
          <cell r="A34" t="str">
            <v>Investments Govt Securities</v>
          </cell>
        </row>
      </sheetData>
      <sheetData sheetId="7761">
        <row r="34">
          <cell r="A34" t="str">
            <v>Investments Govt Securities</v>
          </cell>
        </row>
      </sheetData>
      <sheetData sheetId="7762">
        <row r="34">
          <cell r="A34" t="str">
            <v>Investments Govt Securities</v>
          </cell>
        </row>
      </sheetData>
      <sheetData sheetId="7763">
        <row r="34">
          <cell r="A34" t="str">
            <v>Investments Govt Securities</v>
          </cell>
        </row>
      </sheetData>
      <sheetData sheetId="7764">
        <row r="34">
          <cell r="A34" t="str">
            <v>Investments Govt Securities</v>
          </cell>
        </row>
      </sheetData>
      <sheetData sheetId="7765">
        <row r="34">
          <cell r="A34" t="str">
            <v>Investments Govt Securities</v>
          </cell>
        </row>
      </sheetData>
      <sheetData sheetId="7766">
        <row r="34">
          <cell r="A34" t="str">
            <v>Investments Govt Securities</v>
          </cell>
        </row>
      </sheetData>
      <sheetData sheetId="7767">
        <row r="34">
          <cell r="A34" t="str">
            <v>Investments Govt Securities</v>
          </cell>
        </row>
      </sheetData>
      <sheetData sheetId="7768">
        <row r="34">
          <cell r="A34" t="str">
            <v>Investments Govt Securities</v>
          </cell>
        </row>
      </sheetData>
      <sheetData sheetId="7769">
        <row r="34">
          <cell r="A34" t="str">
            <v>Investments Govt Securities</v>
          </cell>
        </row>
      </sheetData>
      <sheetData sheetId="7770">
        <row r="34">
          <cell r="A34" t="str">
            <v>Investments Govt Securities</v>
          </cell>
        </row>
      </sheetData>
      <sheetData sheetId="7771">
        <row r="34">
          <cell r="A34" t="str">
            <v>Investments Govt Securities</v>
          </cell>
        </row>
      </sheetData>
      <sheetData sheetId="7772">
        <row r="34">
          <cell r="A34" t="str">
            <v>Investments Govt Securities</v>
          </cell>
        </row>
      </sheetData>
      <sheetData sheetId="7773">
        <row r="34">
          <cell r="A34" t="str">
            <v>Investments Govt Securities</v>
          </cell>
        </row>
      </sheetData>
      <sheetData sheetId="7774">
        <row r="34">
          <cell r="A34" t="str">
            <v>Investments Govt Securities</v>
          </cell>
        </row>
      </sheetData>
      <sheetData sheetId="7775">
        <row r="34">
          <cell r="A34" t="str">
            <v>Investments Govt Securities</v>
          </cell>
        </row>
      </sheetData>
      <sheetData sheetId="7776">
        <row r="34">
          <cell r="A34" t="str">
            <v>Investments Govt Securities</v>
          </cell>
        </row>
      </sheetData>
      <sheetData sheetId="7777">
        <row r="34">
          <cell r="A34" t="str">
            <v>Investments Govt Securities</v>
          </cell>
        </row>
      </sheetData>
      <sheetData sheetId="7778">
        <row r="34">
          <cell r="A34" t="str">
            <v>Investments Govt Securities</v>
          </cell>
        </row>
      </sheetData>
      <sheetData sheetId="7779">
        <row r="34">
          <cell r="A34" t="str">
            <v>Investments Govt Securities</v>
          </cell>
        </row>
      </sheetData>
      <sheetData sheetId="7780">
        <row r="34">
          <cell r="A34" t="str">
            <v>Investments Govt Securities</v>
          </cell>
        </row>
      </sheetData>
      <sheetData sheetId="7781">
        <row r="34">
          <cell r="A34" t="str">
            <v>Investments Govt Securities</v>
          </cell>
        </row>
      </sheetData>
      <sheetData sheetId="7782">
        <row r="34">
          <cell r="A34" t="str">
            <v>Investments Govt Securities</v>
          </cell>
        </row>
      </sheetData>
      <sheetData sheetId="7783">
        <row r="34">
          <cell r="A34" t="str">
            <v>Investments Govt Securities</v>
          </cell>
        </row>
      </sheetData>
      <sheetData sheetId="7784">
        <row r="34">
          <cell r="A34" t="str">
            <v>Investments Govt Securities</v>
          </cell>
        </row>
      </sheetData>
      <sheetData sheetId="7785">
        <row r="34">
          <cell r="A34" t="str">
            <v>Investments Govt Securities</v>
          </cell>
        </row>
      </sheetData>
      <sheetData sheetId="7786">
        <row r="34">
          <cell r="A34" t="str">
            <v>Investments Govt Securities</v>
          </cell>
        </row>
      </sheetData>
      <sheetData sheetId="7787">
        <row r="34">
          <cell r="A34" t="str">
            <v>Investments Govt Securities</v>
          </cell>
        </row>
      </sheetData>
      <sheetData sheetId="7788">
        <row r="34">
          <cell r="A34" t="str">
            <v>Investments Govt Securities</v>
          </cell>
        </row>
      </sheetData>
      <sheetData sheetId="7789">
        <row r="34">
          <cell r="A34" t="str">
            <v>Investments Govt Securities</v>
          </cell>
        </row>
      </sheetData>
      <sheetData sheetId="7790">
        <row r="34">
          <cell r="A34" t="str">
            <v>Investments Govt Securities</v>
          </cell>
        </row>
      </sheetData>
      <sheetData sheetId="7791">
        <row r="34">
          <cell r="A34" t="str">
            <v>Investments Govt Securities</v>
          </cell>
        </row>
      </sheetData>
      <sheetData sheetId="7792">
        <row r="34">
          <cell r="A34" t="str">
            <v>Investments Govt Securities</v>
          </cell>
        </row>
      </sheetData>
      <sheetData sheetId="7793">
        <row r="34">
          <cell r="A34" t="str">
            <v>Investments Govt Securities</v>
          </cell>
        </row>
      </sheetData>
      <sheetData sheetId="7794">
        <row r="34">
          <cell r="A34" t="str">
            <v>Investments Govt Securities</v>
          </cell>
        </row>
      </sheetData>
      <sheetData sheetId="7795">
        <row r="34">
          <cell r="A34" t="str">
            <v>Investments Govt Securities</v>
          </cell>
        </row>
      </sheetData>
      <sheetData sheetId="7796">
        <row r="34">
          <cell r="A34" t="str">
            <v>Investments Govt Securities</v>
          </cell>
        </row>
      </sheetData>
      <sheetData sheetId="7797">
        <row r="34">
          <cell r="A34" t="str">
            <v>Investments Govt Securities</v>
          </cell>
        </row>
      </sheetData>
      <sheetData sheetId="7798">
        <row r="34">
          <cell r="A34" t="str">
            <v>Investments Govt Securities</v>
          </cell>
        </row>
      </sheetData>
      <sheetData sheetId="7799">
        <row r="34">
          <cell r="A34" t="str">
            <v>Investments Govt Securities</v>
          </cell>
        </row>
      </sheetData>
      <sheetData sheetId="7800">
        <row r="34">
          <cell r="A34" t="str">
            <v>Investments Govt Securities</v>
          </cell>
        </row>
      </sheetData>
      <sheetData sheetId="7801">
        <row r="34">
          <cell r="A34" t="str">
            <v>Investments Govt Securities</v>
          </cell>
        </row>
      </sheetData>
      <sheetData sheetId="7802">
        <row r="34">
          <cell r="A34" t="str">
            <v>Investments Govt Securities</v>
          </cell>
        </row>
      </sheetData>
      <sheetData sheetId="7803">
        <row r="34">
          <cell r="A34" t="str">
            <v>Investments Govt Securities</v>
          </cell>
        </row>
      </sheetData>
      <sheetData sheetId="7804">
        <row r="34">
          <cell r="A34" t="str">
            <v>Investments Govt Securities</v>
          </cell>
        </row>
      </sheetData>
      <sheetData sheetId="7805">
        <row r="34">
          <cell r="A34" t="str">
            <v>Investments Govt Securities</v>
          </cell>
        </row>
      </sheetData>
      <sheetData sheetId="7806">
        <row r="34">
          <cell r="A34" t="str">
            <v>Investments Govt Securities</v>
          </cell>
        </row>
      </sheetData>
      <sheetData sheetId="7807">
        <row r="34">
          <cell r="A34" t="str">
            <v>Investments Govt Securities</v>
          </cell>
        </row>
      </sheetData>
      <sheetData sheetId="7808">
        <row r="34">
          <cell r="A34" t="str">
            <v>Investments Govt Securities</v>
          </cell>
        </row>
      </sheetData>
      <sheetData sheetId="7809">
        <row r="34">
          <cell r="A34" t="str">
            <v>Investments Govt Securities</v>
          </cell>
        </row>
      </sheetData>
      <sheetData sheetId="7810">
        <row r="34">
          <cell r="A34" t="str">
            <v>Investments Govt Securities</v>
          </cell>
        </row>
      </sheetData>
      <sheetData sheetId="7811">
        <row r="34">
          <cell r="A34" t="str">
            <v>Investments Govt Securities</v>
          </cell>
        </row>
      </sheetData>
      <sheetData sheetId="7812">
        <row r="34">
          <cell r="A34" t="str">
            <v>Investments Govt Securities</v>
          </cell>
        </row>
      </sheetData>
      <sheetData sheetId="7813">
        <row r="34">
          <cell r="A34" t="str">
            <v>Investments Govt Securities</v>
          </cell>
        </row>
      </sheetData>
      <sheetData sheetId="7814">
        <row r="34">
          <cell r="A34" t="str">
            <v>Investments Govt Securities</v>
          </cell>
        </row>
      </sheetData>
      <sheetData sheetId="7815">
        <row r="34">
          <cell r="A34" t="str">
            <v>Investments Govt Securities</v>
          </cell>
        </row>
      </sheetData>
      <sheetData sheetId="7816">
        <row r="34">
          <cell r="A34" t="str">
            <v>Investments Govt Securities</v>
          </cell>
        </row>
      </sheetData>
      <sheetData sheetId="7817">
        <row r="34">
          <cell r="A34" t="str">
            <v>Investments Govt Securities</v>
          </cell>
        </row>
      </sheetData>
      <sheetData sheetId="7818">
        <row r="34">
          <cell r="A34" t="str">
            <v>Investments Govt Securities</v>
          </cell>
        </row>
      </sheetData>
      <sheetData sheetId="7819">
        <row r="34">
          <cell r="A34" t="str">
            <v>Investments Govt Securities</v>
          </cell>
        </row>
      </sheetData>
      <sheetData sheetId="7820">
        <row r="34">
          <cell r="A34" t="str">
            <v>Investments Govt Securities</v>
          </cell>
        </row>
      </sheetData>
      <sheetData sheetId="7821">
        <row r="34">
          <cell r="A34" t="str">
            <v>Investments Govt Securities</v>
          </cell>
        </row>
      </sheetData>
      <sheetData sheetId="7822">
        <row r="34">
          <cell r="A34" t="str">
            <v>Investments Govt Securities</v>
          </cell>
        </row>
      </sheetData>
      <sheetData sheetId="7823">
        <row r="34">
          <cell r="A34" t="str">
            <v>Investments Govt Securities</v>
          </cell>
        </row>
      </sheetData>
      <sheetData sheetId="7824">
        <row r="34">
          <cell r="A34" t="str">
            <v>Investments Govt Securities</v>
          </cell>
        </row>
      </sheetData>
      <sheetData sheetId="7825">
        <row r="34">
          <cell r="A34" t="str">
            <v>Investments Govt Securities</v>
          </cell>
        </row>
      </sheetData>
      <sheetData sheetId="7826">
        <row r="34">
          <cell r="A34" t="str">
            <v>Investments Govt Securities</v>
          </cell>
        </row>
      </sheetData>
      <sheetData sheetId="7827">
        <row r="34">
          <cell r="A34" t="str">
            <v>Investments Govt Securities</v>
          </cell>
        </row>
      </sheetData>
      <sheetData sheetId="7828">
        <row r="34">
          <cell r="A34" t="str">
            <v>Investments Govt Securities</v>
          </cell>
        </row>
      </sheetData>
      <sheetData sheetId="7829">
        <row r="34">
          <cell r="A34" t="str">
            <v>Investments Govt Securities</v>
          </cell>
        </row>
      </sheetData>
      <sheetData sheetId="7830">
        <row r="34">
          <cell r="A34" t="str">
            <v>Investments Govt Securities</v>
          </cell>
        </row>
      </sheetData>
      <sheetData sheetId="7831">
        <row r="34">
          <cell r="A34" t="str">
            <v>Investments Govt Securities</v>
          </cell>
        </row>
      </sheetData>
      <sheetData sheetId="7832">
        <row r="34">
          <cell r="A34" t="str">
            <v>Investments Govt Securities</v>
          </cell>
        </row>
      </sheetData>
      <sheetData sheetId="7833">
        <row r="34">
          <cell r="A34" t="str">
            <v>Investments Govt Securities</v>
          </cell>
        </row>
      </sheetData>
      <sheetData sheetId="7834">
        <row r="34">
          <cell r="A34" t="str">
            <v>Investments Govt Securities</v>
          </cell>
        </row>
      </sheetData>
      <sheetData sheetId="7835">
        <row r="34">
          <cell r="A34" t="str">
            <v>Investments Govt Securities</v>
          </cell>
        </row>
      </sheetData>
      <sheetData sheetId="7836">
        <row r="34">
          <cell r="A34" t="str">
            <v>Investments Govt Securities</v>
          </cell>
        </row>
      </sheetData>
      <sheetData sheetId="7837">
        <row r="34">
          <cell r="A34" t="str">
            <v>Investments Govt Securities</v>
          </cell>
        </row>
      </sheetData>
      <sheetData sheetId="7838">
        <row r="34">
          <cell r="A34" t="str">
            <v>Investments Govt Securities</v>
          </cell>
        </row>
      </sheetData>
      <sheetData sheetId="7839">
        <row r="34">
          <cell r="A34" t="str">
            <v>Investments Govt Securities</v>
          </cell>
        </row>
      </sheetData>
      <sheetData sheetId="7840">
        <row r="34">
          <cell r="A34" t="str">
            <v>Investments Govt Securities</v>
          </cell>
        </row>
      </sheetData>
      <sheetData sheetId="7841">
        <row r="34">
          <cell r="A34" t="str">
            <v>Investments Govt Securities</v>
          </cell>
        </row>
      </sheetData>
      <sheetData sheetId="7842">
        <row r="34">
          <cell r="A34" t="str">
            <v>Investments Govt Securities</v>
          </cell>
        </row>
      </sheetData>
      <sheetData sheetId="7843">
        <row r="34">
          <cell r="A34" t="str">
            <v>Investments Govt Securities</v>
          </cell>
        </row>
      </sheetData>
      <sheetData sheetId="7844">
        <row r="34">
          <cell r="A34" t="str">
            <v>Investments Govt Securities</v>
          </cell>
        </row>
      </sheetData>
      <sheetData sheetId="7845">
        <row r="34">
          <cell r="A34" t="str">
            <v>Investments Govt Securities</v>
          </cell>
        </row>
      </sheetData>
      <sheetData sheetId="7846">
        <row r="34">
          <cell r="A34" t="str">
            <v>Investments Govt Securities</v>
          </cell>
        </row>
      </sheetData>
      <sheetData sheetId="7847">
        <row r="34">
          <cell r="A34" t="str">
            <v>Investments Govt Securities</v>
          </cell>
        </row>
      </sheetData>
      <sheetData sheetId="7848">
        <row r="34">
          <cell r="A34" t="str">
            <v>Investments Govt Securities</v>
          </cell>
        </row>
      </sheetData>
      <sheetData sheetId="7849">
        <row r="34">
          <cell r="A34" t="str">
            <v>Investments Govt Securities</v>
          </cell>
        </row>
      </sheetData>
      <sheetData sheetId="7850">
        <row r="34">
          <cell r="A34" t="str">
            <v>Investments Govt Securities</v>
          </cell>
        </row>
      </sheetData>
      <sheetData sheetId="7851">
        <row r="34">
          <cell r="A34" t="str">
            <v>Investments Govt Securities</v>
          </cell>
        </row>
      </sheetData>
      <sheetData sheetId="7852">
        <row r="34">
          <cell r="A34" t="str">
            <v>Investments Govt Securities</v>
          </cell>
        </row>
      </sheetData>
      <sheetData sheetId="7853">
        <row r="34">
          <cell r="A34" t="str">
            <v>Investments Govt Securities</v>
          </cell>
        </row>
      </sheetData>
      <sheetData sheetId="7854">
        <row r="34">
          <cell r="A34" t="str">
            <v>Investments Govt Securities</v>
          </cell>
        </row>
      </sheetData>
      <sheetData sheetId="7855">
        <row r="34">
          <cell r="A34" t="str">
            <v>Investments Govt Securities</v>
          </cell>
        </row>
      </sheetData>
      <sheetData sheetId="7856">
        <row r="34">
          <cell r="A34" t="str">
            <v>Investments Govt Securities</v>
          </cell>
        </row>
      </sheetData>
      <sheetData sheetId="7857">
        <row r="34">
          <cell r="A34" t="str">
            <v>Investments Govt Securities</v>
          </cell>
        </row>
      </sheetData>
      <sheetData sheetId="7858">
        <row r="34">
          <cell r="A34" t="str">
            <v>Investments Govt Securities</v>
          </cell>
        </row>
      </sheetData>
      <sheetData sheetId="7859">
        <row r="34">
          <cell r="A34" t="str">
            <v>Investments Govt Securities</v>
          </cell>
        </row>
      </sheetData>
      <sheetData sheetId="7860">
        <row r="34">
          <cell r="A34" t="str">
            <v>Investments Govt Securities</v>
          </cell>
        </row>
      </sheetData>
      <sheetData sheetId="7861">
        <row r="34">
          <cell r="A34" t="str">
            <v>Investments Govt Securities</v>
          </cell>
        </row>
      </sheetData>
      <sheetData sheetId="7862">
        <row r="34">
          <cell r="A34" t="str">
            <v>Investments Govt Securities</v>
          </cell>
        </row>
      </sheetData>
      <sheetData sheetId="7863">
        <row r="34">
          <cell r="A34" t="str">
            <v>Investments Govt Securities</v>
          </cell>
        </row>
      </sheetData>
      <sheetData sheetId="7864">
        <row r="34">
          <cell r="A34" t="str">
            <v>Investments Govt Securities</v>
          </cell>
        </row>
      </sheetData>
      <sheetData sheetId="7865">
        <row r="34">
          <cell r="A34" t="str">
            <v>Investments Govt Securities</v>
          </cell>
        </row>
      </sheetData>
      <sheetData sheetId="7866">
        <row r="34">
          <cell r="A34" t="str">
            <v>Investments Govt Securities</v>
          </cell>
        </row>
      </sheetData>
      <sheetData sheetId="7867">
        <row r="34">
          <cell r="A34" t="str">
            <v>Investments Govt Securities</v>
          </cell>
        </row>
      </sheetData>
      <sheetData sheetId="7868">
        <row r="34">
          <cell r="A34" t="str">
            <v>Investments Govt Securities</v>
          </cell>
        </row>
      </sheetData>
      <sheetData sheetId="7869">
        <row r="34">
          <cell r="A34" t="str">
            <v>Investments Govt Securities</v>
          </cell>
        </row>
      </sheetData>
      <sheetData sheetId="7870">
        <row r="34">
          <cell r="A34" t="str">
            <v>Investments Govt Securities</v>
          </cell>
        </row>
      </sheetData>
      <sheetData sheetId="7871">
        <row r="34">
          <cell r="A34" t="str">
            <v>Investments Govt Securities</v>
          </cell>
        </row>
      </sheetData>
      <sheetData sheetId="7872">
        <row r="34">
          <cell r="A34" t="str">
            <v>Investments Govt Securities</v>
          </cell>
        </row>
      </sheetData>
      <sheetData sheetId="7873">
        <row r="34">
          <cell r="A34" t="str">
            <v>Investments Govt Securities</v>
          </cell>
        </row>
      </sheetData>
      <sheetData sheetId="7874">
        <row r="34">
          <cell r="A34" t="str">
            <v>Investments Govt Securities</v>
          </cell>
        </row>
      </sheetData>
      <sheetData sheetId="7875">
        <row r="34">
          <cell r="A34" t="str">
            <v>Investments Govt Securities</v>
          </cell>
        </row>
      </sheetData>
      <sheetData sheetId="7876">
        <row r="34">
          <cell r="A34" t="str">
            <v>Investments Govt Securities</v>
          </cell>
        </row>
      </sheetData>
      <sheetData sheetId="7877">
        <row r="34">
          <cell r="A34" t="str">
            <v>Investments Govt Securities</v>
          </cell>
        </row>
      </sheetData>
      <sheetData sheetId="7878">
        <row r="34">
          <cell r="A34" t="str">
            <v>Investments Govt Securities</v>
          </cell>
        </row>
      </sheetData>
      <sheetData sheetId="7879">
        <row r="34">
          <cell r="A34" t="str">
            <v>Investments Govt Securities</v>
          </cell>
        </row>
      </sheetData>
      <sheetData sheetId="7880">
        <row r="34">
          <cell r="A34" t="str">
            <v>Investments Govt Securities</v>
          </cell>
        </row>
      </sheetData>
      <sheetData sheetId="7881">
        <row r="34">
          <cell r="A34" t="str">
            <v>Investments Govt Securities</v>
          </cell>
        </row>
      </sheetData>
      <sheetData sheetId="7882">
        <row r="34">
          <cell r="A34" t="str">
            <v>Investments Govt Securities</v>
          </cell>
        </row>
      </sheetData>
      <sheetData sheetId="7883">
        <row r="34">
          <cell r="A34" t="str">
            <v>Investments Govt Securities</v>
          </cell>
        </row>
      </sheetData>
      <sheetData sheetId="7884">
        <row r="34">
          <cell r="A34" t="str">
            <v>Investments Govt Securities</v>
          </cell>
        </row>
      </sheetData>
      <sheetData sheetId="7885">
        <row r="34">
          <cell r="A34" t="str">
            <v>Investments Govt Securities</v>
          </cell>
        </row>
      </sheetData>
      <sheetData sheetId="7886">
        <row r="34">
          <cell r="A34" t="str">
            <v>Investments Govt Securities</v>
          </cell>
        </row>
      </sheetData>
      <sheetData sheetId="7887">
        <row r="34">
          <cell r="A34" t="str">
            <v>Investments Govt Securities</v>
          </cell>
        </row>
      </sheetData>
      <sheetData sheetId="7888">
        <row r="34">
          <cell r="A34" t="str">
            <v>Investments Govt Securities</v>
          </cell>
        </row>
      </sheetData>
      <sheetData sheetId="7889">
        <row r="34">
          <cell r="A34" t="str">
            <v>Investments Govt Securities</v>
          </cell>
        </row>
      </sheetData>
      <sheetData sheetId="7890">
        <row r="34">
          <cell r="A34" t="str">
            <v>Investments Govt Securities</v>
          </cell>
        </row>
      </sheetData>
      <sheetData sheetId="7891">
        <row r="34">
          <cell r="A34" t="str">
            <v>Investments Govt Securities</v>
          </cell>
        </row>
      </sheetData>
      <sheetData sheetId="7892">
        <row r="34">
          <cell r="A34" t="str">
            <v>Investments Govt Securities</v>
          </cell>
        </row>
      </sheetData>
      <sheetData sheetId="7893">
        <row r="34">
          <cell r="A34" t="str">
            <v>Investments Govt Securities</v>
          </cell>
        </row>
      </sheetData>
      <sheetData sheetId="7894">
        <row r="34">
          <cell r="A34" t="str">
            <v>Investments Govt Securities</v>
          </cell>
        </row>
      </sheetData>
      <sheetData sheetId="7895">
        <row r="34">
          <cell r="A34" t="str">
            <v>Investments Govt Securities</v>
          </cell>
        </row>
      </sheetData>
      <sheetData sheetId="7896">
        <row r="34">
          <cell r="A34" t="str">
            <v>Investments Govt Securities</v>
          </cell>
        </row>
      </sheetData>
      <sheetData sheetId="7897">
        <row r="34">
          <cell r="A34" t="str">
            <v>Investments Govt Securities</v>
          </cell>
        </row>
      </sheetData>
      <sheetData sheetId="7898">
        <row r="34">
          <cell r="A34" t="str">
            <v>Investments Govt Securities</v>
          </cell>
        </row>
      </sheetData>
      <sheetData sheetId="7899">
        <row r="34">
          <cell r="A34" t="str">
            <v>Investments Govt Securities</v>
          </cell>
        </row>
      </sheetData>
      <sheetData sheetId="7900">
        <row r="34">
          <cell r="A34" t="str">
            <v>Investments Govt Securities</v>
          </cell>
        </row>
      </sheetData>
      <sheetData sheetId="7901">
        <row r="34">
          <cell r="A34" t="str">
            <v>Investments Govt Securities</v>
          </cell>
        </row>
      </sheetData>
      <sheetData sheetId="7902">
        <row r="34">
          <cell r="A34" t="str">
            <v>Investments Govt Securities</v>
          </cell>
        </row>
      </sheetData>
      <sheetData sheetId="7903">
        <row r="34">
          <cell r="A34" t="str">
            <v>Investments Govt Securities</v>
          </cell>
        </row>
      </sheetData>
      <sheetData sheetId="7904">
        <row r="34">
          <cell r="A34" t="str">
            <v>Investments Govt Securities</v>
          </cell>
        </row>
      </sheetData>
      <sheetData sheetId="7905">
        <row r="34">
          <cell r="A34" t="str">
            <v>Investments Govt Securities</v>
          </cell>
        </row>
      </sheetData>
      <sheetData sheetId="7906">
        <row r="34">
          <cell r="A34" t="str">
            <v>Investments Govt Securities</v>
          </cell>
        </row>
      </sheetData>
      <sheetData sheetId="7907">
        <row r="34">
          <cell r="A34" t="str">
            <v>Investments Govt Securities</v>
          </cell>
        </row>
      </sheetData>
      <sheetData sheetId="7908">
        <row r="34">
          <cell r="A34" t="str">
            <v>Investments Govt Securities</v>
          </cell>
        </row>
      </sheetData>
      <sheetData sheetId="7909">
        <row r="34">
          <cell r="A34" t="str">
            <v>Investments Govt Securities</v>
          </cell>
        </row>
      </sheetData>
      <sheetData sheetId="7910">
        <row r="34">
          <cell r="A34" t="str">
            <v>Investments Govt Securities</v>
          </cell>
        </row>
      </sheetData>
      <sheetData sheetId="7911">
        <row r="34">
          <cell r="A34" t="str">
            <v>Investments Govt Securities</v>
          </cell>
        </row>
      </sheetData>
      <sheetData sheetId="7912">
        <row r="34">
          <cell r="A34" t="str">
            <v>Investments Govt Securities</v>
          </cell>
        </row>
      </sheetData>
      <sheetData sheetId="7913">
        <row r="34">
          <cell r="A34" t="str">
            <v>Investments Govt Securities</v>
          </cell>
        </row>
      </sheetData>
      <sheetData sheetId="7914">
        <row r="34">
          <cell r="A34" t="str">
            <v>Investments Govt Securities</v>
          </cell>
        </row>
      </sheetData>
      <sheetData sheetId="7915">
        <row r="34">
          <cell r="A34" t="str">
            <v>Investments Govt Securities</v>
          </cell>
        </row>
      </sheetData>
      <sheetData sheetId="7916">
        <row r="34">
          <cell r="A34" t="str">
            <v>Investments Govt Securities</v>
          </cell>
        </row>
      </sheetData>
      <sheetData sheetId="7917">
        <row r="34">
          <cell r="A34" t="str">
            <v>Investments Govt Securities</v>
          </cell>
        </row>
      </sheetData>
      <sheetData sheetId="7918">
        <row r="34">
          <cell r="A34" t="str">
            <v>Investments Govt Securities</v>
          </cell>
        </row>
      </sheetData>
      <sheetData sheetId="7919">
        <row r="34">
          <cell r="A34" t="str">
            <v>Investments Govt Securities</v>
          </cell>
        </row>
      </sheetData>
      <sheetData sheetId="7920">
        <row r="34">
          <cell r="A34" t="str">
            <v>Investments Govt Securities</v>
          </cell>
        </row>
      </sheetData>
      <sheetData sheetId="7921">
        <row r="34">
          <cell r="A34" t="str">
            <v>Investments Govt Securities</v>
          </cell>
        </row>
      </sheetData>
      <sheetData sheetId="7922">
        <row r="34">
          <cell r="A34" t="str">
            <v>Investments Govt Securities</v>
          </cell>
        </row>
      </sheetData>
      <sheetData sheetId="7923">
        <row r="34">
          <cell r="A34" t="str">
            <v>Investments Govt Securities</v>
          </cell>
        </row>
      </sheetData>
      <sheetData sheetId="7924">
        <row r="34">
          <cell r="A34" t="str">
            <v>Investments Govt Securities</v>
          </cell>
        </row>
      </sheetData>
      <sheetData sheetId="7925">
        <row r="34">
          <cell r="A34" t="str">
            <v>Investments Govt Securities</v>
          </cell>
        </row>
      </sheetData>
      <sheetData sheetId="7926">
        <row r="34">
          <cell r="A34" t="str">
            <v>Investments Govt Securities</v>
          </cell>
        </row>
      </sheetData>
      <sheetData sheetId="7927">
        <row r="34">
          <cell r="A34" t="str">
            <v>Investments Govt Securities</v>
          </cell>
        </row>
      </sheetData>
      <sheetData sheetId="7928">
        <row r="34">
          <cell r="A34" t="str">
            <v>Investments Govt Securities</v>
          </cell>
        </row>
      </sheetData>
      <sheetData sheetId="7929">
        <row r="34">
          <cell r="A34" t="str">
            <v>Investments Govt Securities</v>
          </cell>
        </row>
      </sheetData>
      <sheetData sheetId="7930">
        <row r="34">
          <cell r="A34" t="str">
            <v>Investments Govt Securities</v>
          </cell>
        </row>
      </sheetData>
      <sheetData sheetId="7931">
        <row r="34">
          <cell r="A34" t="str">
            <v>Investments Govt Securities</v>
          </cell>
        </row>
      </sheetData>
      <sheetData sheetId="7932">
        <row r="34">
          <cell r="A34" t="str">
            <v>Investments Govt Securities</v>
          </cell>
        </row>
      </sheetData>
      <sheetData sheetId="7933">
        <row r="34">
          <cell r="A34" t="str">
            <v>Investments Govt Securities</v>
          </cell>
        </row>
      </sheetData>
      <sheetData sheetId="7934">
        <row r="34">
          <cell r="A34" t="str">
            <v>Investments Govt Securities</v>
          </cell>
        </row>
      </sheetData>
      <sheetData sheetId="7935">
        <row r="34">
          <cell r="A34" t="str">
            <v>Investments Govt Securities</v>
          </cell>
        </row>
      </sheetData>
      <sheetData sheetId="7936">
        <row r="34">
          <cell r="A34" t="str">
            <v>Investments Govt Securities</v>
          </cell>
        </row>
      </sheetData>
      <sheetData sheetId="7937">
        <row r="34">
          <cell r="A34" t="str">
            <v>Investments Govt Securities</v>
          </cell>
        </row>
      </sheetData>
      <sheetData sheetId="7938">
        <row r="34">
          <cell r="A34" t="str">
            <v>Investments Govt Securities</v>
          </cell>
        </row>
      </sheetData>
      <sheetData sheetId="7939">
        <row r="34">
          <cell r="A34" t="str">
            <v>Investments Govt Securities</v>
          </cell>
        </row>
      </sheetData>
      <sheetData sheetId="7940">
        <row r="34">
          <cell r="A34" t="str">
            <v>Investments Govt Securities</v>
          </cell>
        </row>
      </sheetData>
      <sheetData sheetId="7941">
        <row r="34">
          <cell r="A34" t="str">
            <v>Investments Govt Securities</v>
          </cell>
        </row>
      </sheetData>
      <sheetData sheetId="7942">
        <row r="34">
          <cell r="A34" t="str">
            <v>Investments Govt Securities</v>
          </cell>
        </row>
      </sheetData>
      <sheetData sheetId="7943">
        <row r="34">
          <cell r="A34" t="str">
            <v>Investments Govt Securities</v>
          </cell>
        </row>
      </sheetData>
      <sheetData sheetId="7944">
        <row r="34">
          <cell r="A34" t="str">
            <v>Investments Govt Securities</v>
          </cell>
        </row>
      </sheetData>
      <sheetData sheetId="7945">
        <row r="34">
          <cell r="A34" t="str">
            <v>Investments Govt Securities</v>
          </cell>
        </row>
      </sheetData>
      <sheetData sheetId="7946">
        <row r="34">
          <cell r="A34" t="str">
            <v>Investments Govt Securities</v>
          </cell>
        </row>
      </sheetData>
      <sheetData sheetId="7947">
        <row r="34">
          <cell r="A34" t="str">
            <v>Investments Govt Securities</v>
          </cell>
        </row>
      </sheetData>
      <sheetData sheetId="7948">
        <row r="34">
          <cell r="A34" t="str">
            <v>Investments Govt Securities</v>
          </cell>
        </row>
      </sheetData>
      <sheetData sheetId="7949">
        <row r="34">
          <cell r="A34" t="str">
            <v>Investments Govt Securities</v>
          </cell>
        </row>
      </sheetData>
      <sheetData sheetId="7950">
        <row r="34">
          <cell r="A34" t="str">
            <v>Investments Govt Securities</v>
          </cell>
        </row>
      </sheetData>
      <sheetData sheetId="7951">
        <row r="34">
          <cell r="A34" t="str">
            <v>Investments Govt Securities</v>
          </cell>
        </row>
      </sheetData>
      <sheetData sheetId="7952">
        <row r="34">
          <cell r="A34" t="str">
            <v>Investments Govt Securities</v>
          </cell>
        </row>
      </sheetData>
      <sheetData sheetId="7953">
        <row r="34">
          <cell r="A34" t="str">
            <v>Investments Govt Securities</v>
          </cell>
        </row>
      </sheetData>
      <sheetData sheetId="7954">
        <row r="34">
          <cell r="A34" t="str">
            <v>Investments Govt Securities</v>
          </cell>
        </row>
      </sheetData>
      <sheetData sheetId="7955">
        <row r="34">
          <cell r="A34" t="str">
            <v>Investments Govt Securities</v>
          </cell>
        </row>
      </sheetData>
      <sheetData sheetId="7956">
        <row r="34">
          <cell r="A34" t="str">
            <v>Investments Govt Securities</v>
          </cell>
        </row>
      </sheetData>
      <sheetData sheetId="7957">
        <row r="34">
          <cell r="A34" t="str">
            <v>Investments Govt Securities</v>
          </cell>
        </row>
      </sheetData>
      <sheetData sheetId="7958">
        <row r="34">
          <cell r="A34" t="str">
            <v>Investments Govt Securities</v>
          </cell>
        </row>
      </sheetData>
      <sheetData sheetId="7959">
        <row r="34">
          <cell r="A34" t="str">
            <v>Investments Govt Securities</v>
          </cell>
        </row>
      </sheetData>
      <sheetData sheetId="7960">
        <row r="34">
          <cell r="A34" t="str">
            <v>Investments Govt Securities</v>
          </cell>
        </row>
      </sheetData>
      <sheetData sheetId="7961">
        <row r="34">
          <cell r="A34" t="str">
            <v>Investments Govt Securities</v>
          </cell>
        </row>
      </sheetData>
      <sheetData sheetId="7962">
        <row r="34">
          <cell r="A34" t="str">
            <v>Investments Govt Securities</v>
          </cell>
        </row>
      </sheetData>
      <sheetData sheetId="7963">
        <row r="34">
          <cell r="A34" t="str">
            <v>Investments Govt Securities</v>
          </cell>
        </row>
      </sheetData>
      <sheetData sheetId="7964">
        <row r="34">
          <cell r="A34" t="str">
            <v>Investments Govt Securities</v>
          </cell>
        </row>
      </sheetData>
      <sheetData sheetId="7965">
        <row r="34">
          <cell r="A34" t="str">
            <v>Investments Govt Securities</v>
          </cell>
        </row>
      </sheetData>
      <sheetData sheetId="7966">
        <row r="34">
          <cell r="A34" t="str">
            <v>Investments Govt Securities</v>
          </cell>
        </row>
      </sheetData>
      <sheetData sheetId="7967">
        <row r="34">
          <cell r="A34" t="str">
            <v>Investments Govt Securities</v>
          </cell>
        </row>
      </sheetData>
      <sheetData sheetId="7968">
        <row r="34">
          <cell r="A34" t="str">
            <v>Investments Govt Securities</v>
          </cell>
        </row>
      </sheetData>
      <sheetData sheetId="7969">
        <row r="34">
          <cell r="A34" t="str">
            <v>Investments Govt Securities</v>
          </cell>
        </row>
      </sheetData>
      <sheetData sheetId="7970">
        <row r="34">
          <cell r="A34" t="str">
            <v>Investments Govt Securities</v>
          </cell>
        </row>
      </sheetData>
      <sheetData sheetId="7971">
        <row r="34">
          <cell r="A34" t="str">
            <v>Investments Govt Securities</v>
          </cell>
        </row>
      </sheetData>
      <sheetData sheetId="7972">
        <row r="34">
          <cell r="A34" t="str">
            <v>Investments Govt Securities</v>
          </cell>
        </row>
      </sheetData>
      <sheetData sheetId="7973">
        <row r="34">
          <cell r="A34" t="str">
            <v>Investments Govt Securities</v>
          </cell>
        </row>
      </sheetData>
      <sheetData sheetId="7974">
        <row r="34">
          <cell r="A34" t="str">
            <v>Investments Govt Securities</v>
          </cell>
        </row>
      </sheetData>
      <sheetData sheetId="7975">
        <row r="34">
          <cell r="A34" t="str">
            <v>Investments Govt Securities</v>
          </cell>
        </row>
      </sheetData>
      <sheetData sheetId="7976">
        <row r="34">
          <cell r="A34" t="str">
            <v>Investments Govt Securities</v>
          </cell>
        </row>
      </sheetData>
      <sheetData sheetId="7977">
        <row r="34">
          <cell r="A34" t="str">
            <v>Investments Govt Securities</v>
          </cell>
        </row>
      </sheetData>
      <sheetData sheetId="7978">
        <row r="34">
          <cell r="A34" t="str">
            <v>Investments Govt Securities</v>
          </cell>
        </row>
      </sheetData>
      <sheetData sheetId="7979">
        <row r="34">
          <cell r="A34" t="str">
            <v>Investments Govt Securities</v>
          </cell>
        </row>
      </sheetData>
      <sheetData sheetId="7980">
        <row r="34">
          <cell r="A34" t="str">
            <v>Investments Govt Securities</v>
          </cell>
        </row>
      </sheetData>
      <sheetData sheetId="7981">
        <row r="34">
          <cell r="A34" t="str">
            <v>Investments Govt Securities</v>
          </cell>
        </row>
      </sheetData>
      <sheetData sheetId="7982">
        <row r="34">
          <cell r="A34" t="str">
            <v>Investments Govt Securities</v>
          </cell>
        </row>
      </sheetData>
      <sheetData sheetId="7983">
        <row r="34">
          <cell r="A34" t="str">
            <v>Investments Govt Securities</v>
          </cell>
        </row>
      </sheetData>
      <sheetData sheetId="7984">
        <row r="34">
          <cell r="A34" t="str">
            <v>Investments Govt Securities</v>
          </cell>
        </row>
      </sheetData>
      <sheetData sheetId="7985">
        <row r="34">
          <cell r="A34" t="str">
            <v>Investments Govt Securities</v>
          </cell>
        </row>
      </sheetData>
      <sheetData sheetId="7986">
        <row r="34">
          <cell r="A34" t="str">
            <v>Investments Govt Securities</v>
          </cell>
        </row>
      </sheetData>
      <sheetData sheetId="7987">
        <row r="34">
          <cell r="A34" t="str">
            <v>Investments Govt Securities</v>
          </cell>
        </row>
      </sheetData>
      <sheetData sheetId="7988">
        <row r="34">
          <cell r="A34" t="str">
            <v>Investments Govt Securities</v>
          </cell>
        </row>
      </sheetData>
      <sheetData sheetId="7989">
        <row r="34">
          <cell r="A34" t="str">
            <v>Investments Govt Securities</v>
          </cell>
        </row>
      </sheetData>
      <sheetData sheetId="7990">
        <row r="34">
          <cell r="A34" t="str">
            <v>Investments Govt Securities</v>
          </cell>
        </row>
      </sheetData>
      <sheetData sheetId="7991">
        <row r="34">
          <cell r="A34" t="str">
            <v>Investments Govt Securities</v>
          </cell>
        </row>
      </sheetData>
      <sheetData sheetId="7992">
        <row r="34">
          <cell r="A34" t="str">
            <v>Investments Govt Securities</v>
          </cell>
        </row>
      </sheetData>
      <sheetData sheetId="7993">
        <row r="34">
          <cell r="A34" t="str">
            <v>Investments Govt Securities</v>
          </cell>
        </row>
      </sheetData>
      <sheetData sheetId="7994">
        <row r="34">
          <cell r="A34" t="str">
            <v>Investments Govt Securities</v>
          </cell>
        </row>
      </sheetData>
      <sheetData sheetId="7995">
        <row r="34">
          <cell r="A34" t="str">
            <v>Investments Govt Securities</v>
          </cell>
        </row>
      </sheetData>
      <sheetData sheetId="7996">
        <row r="34">
          <cell r="A34" t="str">
            <v>Investments Govt Securities</v>
          </cell>
        </row>
      </sheetData>
      <sheetData sheetId="7997">
        <row r="34">
          <cell r="A34" t="str">
            <v>Investments Govt Securities</v>
          </cell>
        </row>
      </sheetData>
      <sheetData sheetId="7998">
        <row r="34">
          <cell r="A34" t="str">
            <v>Investments Govt Securities</v>
          </cell>
        </row>
      </sheetData>
      <sheetData sheetId="7999">
        <row r="34">
          <cell r="A34" t="str">
            <v>Investments Govt Securities</v>
          </cell>
        </row>
      </sheetData>
      <sheetData sheetId="8000">
        <row r="34">
          <cell r="A34" t="str">
            <v>Investments Govt Securities</v>
          </cell>
        </row>
      </sheetData>
      <sheetData sheetId="8001">
        <row r="34">
          <cell r="A34" t="str">
            <v>Investments Govt Securities</v>
          </cell>
        </row>
      </sheetData>
      <sheetData sheetId="8002">
        <row r="34">
          <cell r="A34" t="str">
            <v>Investments Govt Securities</v>
          </cell>
        </row>
      </sheetData>
      <sheetData sheetId="8003">
        <row r="34">
          <cell r="A34" t="str">
            <v>Investments Govt Securities</v>
          </cell>
        </row>
      </sheetData>
      <sheetData sheetId="8004">
        <row r="34">
          <cell r="A34" t="str">
            <v>Investments Govt Securities</v>
          </cell>
        </row>
      </sheetData>
      <sheetData sheetId="8005">
        <row r="34">
          <cell r="A34" t="str">
            <v>Investments Govt Securities</v>
          </cell>
        </row>
      </sheetData>
      <sheetData sheetId="8006">
        <row r="34">
          <cell r="A34" t="str">
            <v>Investments Govt Securities</v>
          </cell>
        </row>
      </sheetData>
      <sheetData sheetId="8007">
        <row r="34">
          <cell r="A34" t="str">
            <v>Investments Govt Securities</v>
          </cell>
        </row>
      </sheetData>
      <sheetData sheetId="8008">
        <row r="34">
          <cell r="A34" t="str">
            <v>Investments Govt Securities</v>
          </cell>
        </row>
      </sheetData>
      <sheetData sheetId="8009">
        <row r="34">
          <cell r="A34" t="str">
            <v>Investments Govt Securities</v>
          </cell>
        </row>
      </sheetData>
      <sheetData sheetId="8010">
        <row r="34">
          <cell r="A34" t="str">
            <v>Investments Govt Securities</v>
          </cell>
        </row>
      </sheetData>
      <sheetData sheetId="8011">
        <row r="34">
          <cell r="A34" t="str">
            <v>Investments Govt Securities</v>
          </cell>
        </row>
      </sheetData>
      <sheetData sheetId="8012">
        <row r="34">
          <cell r="A34" t="str">
            <v>Investments Govt Securities</v>
          </cell>
        </row>
      </sheetData>
      <sheetData sheetId="8013">
        <row r="34">
          <cell r="A34" t="str">
            <v>Investments Govt Securities</v>
          </cell>
        </row>
      </sheetData>
      <sheetData sheetId="8014">
        <row r="34">
          <cell r="A34" t="str">
            <v>Investments Govt Securities</v>
          </cell>
        </row>
      </sheetData>
      <sheetData sheetId="8015">
        <row r="34">
          <cell r="A34" t="str">
            <v>Investments Govt Securities</v>
          </cell>
        </row>
      </sheetData>
      <sheetData sheetId="8016">
        <row r="34">
          <cell r="A34" t="str">
            <v>Investments Govt Securities</v>
          </cell>
        </row>
      </sheetData>
      <sheetData sheetId="8017">
        <row r="34">
          <cell r="A34" t="str">
            <v>Investments Govt Securities</v>
          </cell>
        </row>
      </sheetData>
      <sheetData sheetId="8018">
        <row r="34">
          <cell r="A34" t="str">
            <v>Investments Govt Securities</v>
          </cell>
        </row>
      </sheetData>
      <sheetData sheetId="8019">
        <row r="34">
          <cell r="A34" t="str">
            <v>Investments Govt Securities</v>
          </cell>
        </row>
      </sheetData>
      <sheetData sheetId="8020">
        <row r="34">
          <cell r="A34" t="str">
            <v>Investments Govt Securities</v>
          </cell>
        </row>
      </sheetData>
      <sheetData sheetId="8021">
        <row r="34">
          <cell r="A34" t="str">
            <v>Investments Govt Securities</v>
          </cell>
        </row>
      </sheetData>
      <sheetData sheetId="8022">
        <row r="34">
          <cell r="A34" t="str">
            <v>Investments Govt Securities</v>
          </cell>
        </row>
      </sheetData>
      <sheetData sheetId="8023">
        <row r="34">
          <cell r="A34" t="str">
            <v>Investments Govt Securities</v>
          </cell>
        </row>
      </sheetData>
      <sheetData sheetId="8024">
        <row r="34">
          <cell r="A34" t="str">
            <v>Investments Govt Securities</v>
          </cell>
        </row>
      </sheetData>
      <sheetData sheetId="8025">
        <row r="34">
          <cell r="A34" t="str">
            <v>Investments Govt Securities</v>
          </cell>
        </row>
      </sheetData>
      <sheetData sheetId="8026">
        <row r="34">
          <cell r="A34" t="str">
            <v>Investments Govt Securities</v>
          </cell>
        </row>
      </sheetData>
      <sheetData sheetId="8027">
        <row r="34">
          <cell r="A34" t="str">
            <v>Investments Govt Securities</v>
          </cell>
        </row>
      </sheetData>
      <sheetData sheetId="8028">
        <row r="34">
          <cell r="A34" t="str">
            <v>Investments Govt Securities</v>
          </cell>
        </row>
      </sheetData>
      <sheetData sheetId="8029">
        <row r="34">
          <cell r="A34" t="str">
            <v>Investments Govt Securities</v>
          </cell>
        </row>
      </sheetData>
      <sheetData sheetId="8030">
        <row r="34">
          <cell r="A34" t="str">
            <v>Investments Govt Securities</v>
          </cell>
        </row>
      </sheetData>
      <sheetData sheetId="8031">
        <row r="34">
          <cell r="A34" t="str">
            <v>Investments Govt Securities</v>
          </cell>
        </row>
      </sheetData>
      <sheetData sheetId="8032">
        <row r="34">
          <cell r="A34" t="str">
            <v>Investments Govt Securities</v>
          </cell>
        </row>
      </sheetData>
      <sheetData sheetId="8033">
        <row r="34">
          <cell r="A34" t="str">
            <v>Investments Govt Securities</v>
          </cell>
        </row>
      </sheetData>
      <sheetData sheetId="8034">
        <row r="34">
          <cell r="A34" t="str">
            <v>Investments Govt Securities</v>
          </cell>
        </row>
      </sheetData>
      <sheetData sheetId="8035">
        <row r="34">
          <cell r="A34" t="str">
            <v>Investments Govt Securities</v>
          </cell>
        </row>
      </sheetData>
      <sheetData sheetId="8036">
        <row r="34">
          <cell r="A34" t="str">
            <v>Investments Govt Securities</v>
          </cell>
        </row>
      </sheetData>
      <sheetData sheetId="8037">
        <row r="34">
          <cell r="A34" t="str">
            <v>Investments Govt Securities</v>
          </cell>
        </row>
      </sheetData>
      <sheetData sheetId="8038">
        <row r="34">
          <cell r="A34" t="str">
            <v>Investments Govt Securities</v>
          </cell>
        </row>
      </sheetData>
      <sheetData sheetId="8039">
        <row r="34">
          <cell r="A34" t="str">
            <v>Investments Govt Securities</v>
          </cell>
        </row>
      </sheetData>
      <sheetData sheetId="8040">
        <row r="34">
          <cell r="A34" t="str">
            <v>Investments Govt Securities</v>
          </cell>
        </row>
      </sheetData>
      <sheetData sheetId="8041">
        <row r="34">
          <cell r="A34" t="str">
            <v>Investments Govt Securities</v>
          </cell>
        </row>
      </sheetData>
      <sheetData sheetId="8042">
        <row r="34">
          <cell r="A34" t="str">
            <v>Investments Govt Securities</v>
          </cell>
        </row>
      </sheetData>
      <sheetData sheetId="8043">
        <row r="34">
          <cell r="A34" t="str">
            <v>Investments Govt Securities</v>
          </cell>
        </row>
      </sheetData>
      <sheetData sheetId="8044">
        <row r="34">
          <cell r="A34" t="str">
            <v>Investments Govt Securities</v>
          </cell>
        </row>
      </sheetData>
      <sheetData sheetId="8045">
        <row r="34">
          <cell r="A34" t="str">
            <v>Investments Govt Securities</v>
          </cell>
        </row>
      </sheetData>
      <sheetData sheetId="8046">
        <row r="34">
          <cell r="A34" t="str">
            <v>Investments Govt Securities</v>
          </cell>
        </row>
      </sheetData>
      <sheetData sheetId="8047">
        <row r="34">
          <cell r="A34" t="str">
            <v>Investments Govt Securities</v>
          </cell>
        </row>
      </sheetData>
      <sheetData sheetId="8048">
        <row r="34">
          <cell r="A34" t="str">
            <v>Investments Govt Securities</v>
          </cell>
        </row>
      </sheetData>
      <sheetData sheetId="8049">
        <row r="34">
          <cell r="A34" t="str">
            <v>Investments Govt Securities</v>
          </cell>
        </row>
      </sheetData>
      <sheetData sheetId="8050">
        <row r="34">
          <cell r="A34" t="str">
            <v>Investments Govt Securities</v>
          </cell>
        </row>
      </sheetData>
      <sheetData sheetId="8051">
        <row r="34">
          <cell r="A34" t="str">
            <v>Investments Govt Securities</v>
          </cell>
        </row>
      </sheetData>
      <sheetData sheetId="8052">
        <row r="34">
          <cell r="A34" t="str">
            <v>Investments Govt Securities</v>
          </cell>
        </row>
      </sheetData>
      <sheetData sheetId="8053">
        <row r="34">
          <cell r="A34" t="str">
            <v>Investments Govt Securities</v>
          </cell>
        </row>
      </sheetData>
      <sheetData sheetId="8054">
        <row r="34">
          <cell r="A34" t="str">
            <v>Investments Govt Securities</v>
          </cell>
        </row>
      </sheetData>
      <sheetData sheetId="8055">
        <row r="34">
          <cell r="A34" t="str">
            <v>Investments Govt Securities</v>
          </cell>
        </row>
      </sheetData>
      <sheetData sheetId="8056">
        <row r="34">
          <cell r="A34" t="str">
            <v>Investments Govt Securities</v>
          </cell>
        </row>
      </sheetData>
      <sheetData sheetId="8057">
        <row r="34">
          <cell r="A34" t="str">
            <v>Investments Govt Securities</v>
          </cell>
        </row>
      </sheetData>
      <sheetData sheetId="8058">
        <row r="34">
          <cell r="A34" t="str">
            <v>Investments Govt Securities</v>
          </cell>
        </row>
      </sheetData>
      <sheetData sheetId="8059">
        <row r="34">
          <cell r="A34" t="str">
            <v>Investments Govt Securities</v>
          </cell>
        </row>
      </sheetData>
      <sheetData sheetId="8060">
        <row r="34">
          <cell r="A34" t="str">
            <v>Investments Govt Securities</v>
          </cell>
        </row>
      </sheetData>
      <sheetData sheetId="8061">
        <row r="34">
          <cell r="A34" t="str">
            <v>Investments Govt Securities</v>
          </cell>
        </row>
      </sheetData>
      <sheetData sheetId="8062">
        <row r="34">
          <cell r="A34" t="str">
            <v>Investments Govt Securities</v>
          </cell>
        </row>
      </sheetData>
      <sheetData sheetId="8063">
        <row r="34">
          <cell r="A34" t="str">
            <v>Investments Govt Securities</v>
          </cell>
        </row>
      </sheetData>
      <sheetData sheetId="8064">
        <row r="34">
          <cell r="A34" t="str">
            <v>Investments Govt Securities</v>
          </cell>
        </row>
      </sheetData>
      <sheetData sheetId="8065">
        <row r="34">
          <cell r="A34" t="str">
            <v>Investments Govt Securities</v>
          </cell>
        </row>
      </sheetData>
      <sheetData sheetId="8066">
        <row r="34">
          <cell r="A34" t="str">
            <v>Investments Govt Securities</v>
          </cell>
        </row>
      </sheetData>
      <sheetData sheetId="8067">
        <row r="34">
          <cell r="A34" t="str">
            <v>Investments Govt Securities</v>
          </cell>
        </row>
      </sheetData>
      <sheetData sheetId="8068">
        <row r="34">
          <cell r="A34" t="str">
            <v>Investments Govt Securities</v>
          </cell>
        </row>
      </sheetData>
      <sheetData sheetId="8069">
        <row r="34">
          <cell r="A34" t="str">
            <v>Investments Govt Securities</v>
          </cell>
        </row>
      </sheetData>
      <sheetData sheetId="8070">
        <row r="34">
          <cell r="A34" t="str">
            <v>Investments Govt Securities</v>
          </cell>
        </row>
      </sheetData>
      <sheetData sheetId="8071">
        <row r="34">
          <cell r="A34" t="str">
            <v>Investments Govt Securities</v>
          </cell>
        </row>
      </sheetData>
      <sheetData sheetId="8072">
        <row r="34">
          <cell r="A34" t="str">
            <v>Investments Govt Securities</v>
          </cell>
        </row>
      </sheetData>
      <sheetData sheetId="8073">
        <row r="34">
          <cell r="A34" t="str">
            <v>Investments Govt Securities</v>
          </cell>
        </row>
      </sheetData>
      <sheetData sheetId="8074">
        <row r="34">
          <cell r="A34" t="str">
            <v>Investments Govt Securities</v>
          </cell>
        </row>
      </sheetData>
      <sheetData sheetId="8075">
        <row r="34">
          <cell r="A34" t="str">
            <v>Investments Govt Securities</v>
          </cell>
        </row>
      </sheetData>
      <sheetData sheetId="8076">
        <row r="34">
          <cell r="A34" t="str">
            <v>Investments Govt Securities</v>
          </cell>
        </row>
      </sheetData>
      <sheetData sheetId="8077">
        <row r="34">
          <cell r="A34" t="str">
            <v>Investments Govt Securities</v>
          </cell>
        </row>
      </sheetData>
      <sheetData sheetId="8078">
        <row r="34">
          <cell r="A34" t="str">
            <v>Investments Govt Securities</v>
          </cell>
        </row>
      </sheetData>
      <sheetData sheetId="8079">
        <row r="34">
          <cell r="A34" t="str">
            <v>Investments Govt Securities</v>
          </cell>
        </row>
      </sheetData>
      <sheetData sheetId="8080">
        <row r="34">
          <cell r="A34" t="str">
            <v>Investments Govt Securities</v>
          </cell>
        </row>
      </sheetData>
      <sheetData sheetId="8081">
        <row r="34">
          <cell r="A34" t="str">
            <v>Investments Govt Securities</v>
          </cell>
        </row>
      </sheetData>
      <sheetData sheetId="8082">
        <row r="34">
          <cell r="A34" t="str">
            <v>Investments Govt Securities</v>
          </cell>
        </row>
      </sheetData>
      <sheetData sheetId="8083">
        <row r="34">
          <cell r="A34" t="str">
            <v>Investments Govt Securities</v>
          </cell>
        </row>
      </sheetData>
      <sheetData sheetId="8084">
        <row r="34">
          <cell r="A34" t="str">
            <v>Investments Govt Securities</v>
          </cell>
        </row>
      </sheetData>
      <sheetData sheetId="8085">
        <row r="34">
          <cell r="A34" t="str">
            <v>Investments Govt Securities</v>
          </cell>
        </row>
      </sheetData>
      <sheetData sheetId="8086">
        <row r="34">
          <cell r="A34" t="str">
            <v>Investments Govt Securities</v>
          </cell>
        </row>
      </sheetData>
      <sheetData sheetId="8087">
        <row r="34">
          <cell r="A34" t="str">
            <v>Investments Govt Securities</v>
          </cell>
        </row>
      </sheetData>
      <sheetData sheetId="8088">
        <row r="34">
          <cell r="A34" t="str">
            <v>Investments Govt Securities</v>
          </cell>
        </row>
      </sheetData>
      <sheetData sheetId="8089">
        <row r="34">
          <cell r="A34" t="str">
            <v>Investments Govt Securities</v>
          </cell>
        </row>
      </sheetData>
      <sheetData sheetId="8090">
        <row r="34">
          <cell r="A34" t="str">
            <v>Investments Govt Securities</v>
          </cell>
        </row>
      </sheetData>
      <sheetData sheetId="8091">
        <row r="34">
          <cell r="A34" t="str">
            <v>Investments Govt Securities</v>
          </cell>
        </row>
      </sheetData>
      <sheetData sheetId="8092">
        <row r="34">
          <cell r="A34" t="str">
            <v>Investments Govt Securities</v>
          </cell>
        </row>
      </sheetData>
      <sheetData sheetId="8093">
        <row r="34">
          <cell r="A34" t="str">
            <v>Investments Govt Securities</v>
          </cell>
        </row>
      </sheetData>
      <sheetData sheetId="8094">
        <row r="34">
          <cell r="A34" t="str">
            <v>Investments Govt Securities</v>
          </cell>
        </row>
      </sheetData>
      <sheetData sheetId="8095">
        <row r="34">
          <cell r="A34" t="str">
            <v>Investments Govt Securities</v>
          </cell>
        </row>
      </sheetData>
      <sheetData sheetId="8096">
        <row r="34">
          <cell r="A34" t="str">
            <v>Investments Govt Securities</v>
          </cell>
        </row>
      </sheetData>
      <sheetData sheetId="8097">
        <row r="34">
          <cell r="A34" t="str">
            <v>Investments Govt Securities</v>
          </cell>
        </row>
      </sheetData>
      <sheetData sheetId="8098">
        <row r="34">
          <cell r="A34" t="str">
            <v>Investments Govt Securities</v>
          </cell>
        </row>
      </sheetData>
      <sheetData sheetId="8099">
        <row r="34">
          <cell r="A34" t="str">
            <v>Investments Govt Securities</v>
          </cell>
        </row>
      </sheetData>
      <sheetData sheetId="8100">
        <row r="34">
          <cell r="A34" t="str">
            <v>Investments Govt Securities</v>
          </cell>
        </row>
      </sheetData>
      <sheetData sheetId="8101">
        <row r="34">
          <cell r="A34" t="str">
            <v>Investments Govt Securities</v>
          </cell>
        </row>
      </sheetData>
      <sheetData sheetId="8102">
        <row r="34">
          <cell r="A34" t="str">
            <v>Investments Govt Securities</v>
          </cell>
        </row>
      </sheetData>
      <sheetData sheetId="8103">
        <row r="34">
          <cell r="A34" t="str">
            <v>Investments Govt Securities</v>
          </cell>
        </row>
      </sheetData>
      <sheetData sheetId="8104">
        <row r="34">
          <cell r="A34" t="str">
            <v>Investments Govt Securities</v>
          </cell>
        </row>
      </sheetData>
      <sheetData sheetId="8105">
        <row r="34">
          <cell r="A34" t="str">
            <v>Investments Govt Securities</v>
          </cell>
        </row>
      </sheetData>
      <sheetData sheetId="8106">
        <row r="34">
          <cell r="A34" t="str">
            <v>Investments Govt Securities</v>
          </cell>
        </row>
      </sheetData>
      <sheetData sheetId="8107">
        <row r="34">
          <cell r="A34" t="str">
            <v>Investments Govt Securities</v>
          </cell>
        </row>
      </sheetData>
      <sheetData sheetId="8108">
        <row r="34">
          <cell r="A34" t="str">
            <v>Investments Govt Securities</v>
          </cell>
        </row>
      </sheetData>
      <sheetData sheetId="8109">
        <row r="34">
          <cell r="A34" t="str">
            <v>Investments Govt Securities</v>
          </cell>
        </row>
      </sheetData>
      <sheetData sheetId="8110">
        <row r="34">
          <cell r="A34" t="str">
            <v>Investments Govt Securities</v>
          </cell>
        </row>
      </sheetData>
      <sheetData sheetId="8111">
        <row r="34">
          <cell r="A34" t="str">
            <v>Investments Govt Securities</v>
          </cell>
        </row>
      </sheetData>
      <sheetData sheetId="8112">
        <row r="34">
          <cell r="A34" t="str">
            <v>Investments Govt Securities</v>
          </cell>
        </row>
      </sheetData>
      <sheetData sheetId="8113">
        <row r="34">
          <cell r="A34" t="str">
            <v>Investments Govt Securities</v>
          </cell>
        </row>
      </sheetData>
      <sheetData sheetId="8114">
        <row r="34">
          <cell r="A34" t="str">
            <v>Investments Govt Securities</v>
          </cell>
        </row>
      </sheetData>
      <sheetData sheetId="8115">
        <row r="34">
          <cell r="A34" t="str">
            <v>Investments Govt Securities</v>
          </cell>
        </row>
      </sheetData>
      <sheetData sheetId="8116">
        <row r="34">
          <cell r="A34" t="str">
            <v>Investments Govt Securities</v>
          </cell>
        </row>
      </sheetData>
      <sheetData sheetId="8117">
        <row r="34">
          <cell r="A34" t="str">
            <v>Investments Govt Securities</v>
          </cell>
        </row>
      </sheetData>
      <sheetData sheetId="8118">
        <row r="34">
          <cell r="A34" t="str">
            <v>Investments Govt Securities</v>
          </cell>
        </row>
      </sheetData>
      <sheetData sheetId="8119">
        <row r="34">
          <cell r="A34" t="str">
            <v>Investments Govt Securities</v>
          </cell>
        </row>
      </sheetData>
      <sheetData sheetId="8120">
        <row r="34">
          <cell r="A34" t="str">
            <v>Investments Govt Securities</v>
          </cell>
        </row>
      </sheetData>
      <sheetData sheetId="8121">
        <row r="34">
          <cell r="A34" t="str">
            <v>Investments Govt Securities</v>
          </cell>
        </row>
      </sheetData>
      <sheetData sheetId="8122">
        <row r="34">
          <cell r="A34" t="str">
            <v>Investments Govt Securities</v>
          </cell>
        </row>
      </sheetData>
      <sheetData sheetId="8123">
        <row r="34">
          <cell r="A34" t="str">
            <v>Investments Govt Securities</v>
          </cell>
        </row>
      </sheetData>
      <sheetData sheetId="8124">
        <row r="34">
          <cell r="A34" t="str">
            <v>Investments Govt Securities</v>
          </cell>
        </row>
      </sheetData>
      <sheetData sheetId="8125">
        <row r="34">
          <cell r="A34" t="str">
            <v>Investments Govt Securities</v>
          </cell>
        </row>
      </sheetData>
      <sheetData sheetId="8126">
        <row r="34">
          <cell r="A34" t="str">
            <v>Investments Govt Securities</v>
          </cell>
        </row>
      </sheetData>
      <sheetData sheetId="8127">
        <row r="34">
          <cell r="A34" t="str">
            <v>Investments Govt Securities</v>
          </cell>
        </row>
      </sheetData>
      <sheetData sheetId="8128">
        <row r="34">
          <cell r="A34" t="str">
            <v>Investments Govt Securities</v>
          </cell>
        </row>
      </sheetData>
      <sheetData sheetId="8129">
        <row r="34">
          <cell r="A34" t="str">
            <v>Investments Govt Securities</v>
          </cell>
        </row>
      </sheetData>
      <sheetData sheetId="8130">
        <row r="34">
          <cell r="A34" t="str">
            <v>Investments Govt Securities</v>
          </cell>
        </row>
      </sheetData>
      <sheetData sheetId="8131">
        <row r="34">
          <cell r="A34" t="str">
            <v>Investments Govt Securities</v>
          </cell>
        </row>
      </sheetData>
      <sheetData sheetId="8132">
        <row r="34">
          <cell r="A34" t="str">
            <v>Investments Govt Securities</v>
          </cell>
        </row>
      </sheetData>
      <sheetData sheetId="8133">
        <row r="34">
          <cell r="A34" t="str">
            <v>Investments Govt Securities</v>
          </cell>
        </row>
      </sheetData>
      <sheetData sheetId="8134">
        <row r="34">
          <cell r="A34" t="str">
            <v>Investments Govt Securities</v>
          </cell>
        </row>
      </sheetData>
      <sheetData sheetId="8135">
        <row r="34">
          <cell r="A34" t="str">
            <v>Investments Govt Securities</v>
          </cell>
        </row>
      </sheetData>
      <sheetData sheetId="8136">
        <row r="34">
          <cell r="A34" t="str">
            <v>Investments Govt Securities</v>
          </cell>
        </row>
      </sheetData>
      <sheetData sheetId="8137">
        <row r="34">
          <cell r="A34" t="str">
            <v>Investments Govt Securities</v>
          </cell>
        </row>
      </sheetData>
      <sheetData sheetId="8138">
        <row r="34">
          <cell r="A34" t="str">
            <v>Investments Govt Securities</v>
          </cell>
        </row>
      </sheetData>
      <sheetData sheetId="8139">
        <row r="34">
          <cell r="A34" t="str">
            <v>Investments Govt Securities</v>
          </cell>
        </row>
      </sheetData>
      <sheetData sheetId="8140">
        <row r="34">
          <cell r="A34" t="str">
            <v>Investments Govt Securities</v>
          </cell>
        </row>
      </sheetData>
      <sheetData sheetId="8141">
        <row r="34">
          <cell r="A34" t="str">
            <v>Investments Govt Securities</v>
          </cell>
        </row>
      </sheetData>
      <sheetData sheetId="8142">
        <row r="34">
          <cell r="A34" t="str">
            <v>Investments Govt Securities</v>
          </cell>
        </row>
      </sheetData>
      <sheetData sheetId="8143">
        <row r="34">
          <cell r="A34" t="str">
            <v>Investments Govt Securities</v>
          </cell>
        </row>
      </sheetData>
      <sheetData sheetId="8144">
        <row r="34">
          <cell r="A34" t="str">
            <v>Investments Govt Securities</v>
          </cell>
        </row>
      </sheetData>
      <sheetData sheetId="8145">
        <row r="34">
          <cell r="A34" t="str">
            <v>Investments Govt Securities</v>
          </cell>
        </row>
      </sheetData>
      <sheetData sheetId="8146">
        <row r="34">
          <cell r="A34" t="str">
            <v>Investments Govt Securities</v>
          </cell>
        </row>
      </sheetData>
      <sheetData sheetId="8147">
        <row r="34">
          <cell r="A34" t="str">
            <v>Investments Govt Securities</v>
          </cell>
        </row>
      </sheetData>
      <sheetData sheetId="8148">
        <row r="34">
          <cell r="A34" t="str">
            <v>Investments Govt Securities</v>
          </cell>
        </row>
      </sheetData>
      <sheetData sheetId="8149">
        <row r="34">
          <cell r="A34" t="str">
            <v>Investments Govt Securities</v>
          </cell>
        </row>
      </sheetData>
      <sheetData sheetId="8150">
        <row r="34">
          <cell r="A34" t="str">
            <v>Investments Govt Securities</v>
          </cell>
        </row>
      </sheetData>
      <sheetData sheetId="8151">
        <row r="34">
          <cell r="A34" t="str">
            <v>Investments Govt Securities</v>
          </cell>
        </row>
      </sheetData>
      <sheetData sheetId="8152">
        <row r="34">
          <cell r="A34" t="str">
            <v>Investments Govt Securities</v>
          </cell>
        </row>
      </sheetData>
      <sheetData sheetId="8153">
        <row r="34">
          <cell r="A34" t="str">
            <v>Investments Govt Securities</v>
          </cell>
        </row>
      </sheetData>
      <sheetData sheetId="8154">
        <row r="34">
          <cell r="A34" t="str">
            <v>Investments Govt Securities</v>
          </cell>
        </row>
      </sheetData>
      <sheetData sheetId="8155">
        <row r="34">
          <cell r="A34" t="str">
            <v>Investments Govt Securities</v>
          </cell>
        </row>
      </sheetData>
      <sheetData sheetId="8156">
        <row r="34">
          <cell r="A34" t="str">
            <v>Investments Govt Securities</v>
          </cell>
        </row>
      </sheetData>
      <sheetData sheetId="8157">
        <row r="34">
          <cell r="A34" t="str">
            <v>Investments Govt Securities</v>
          </cell>
        </row>
      </sheetData>
      <sheetData sheetId="8158">
        <row r="34">
          <cell r="A34" t="str">
            <v>Investments Govt Securities</v>
          </cell>
        </row>
      </sheetData>
      <sheetData sheetId="8159">
        <row r="34">
          <cell r="A34" t="str">
            <v>Investments Govt Securities</v>
          </cell>
        </row>
      </sheetData>
      <sheetData sheetId="8160">
        <row r="34">
          <cell r="A34" t="str">
            <v>Investments Govt Securities</v>
          </cell>
        </row>
      </sheetData>
      <sheetData sheetId="8161">
        <row r="34">
          <cell r="A34" t="str">
            <v>Investments Govt Securities</v>
          </cell>
        </row>
      </sheetData>
      <sheetData sheetId="8162">
        <row r="34">
          <cell r="A34" t="str">
            <v>Investments Govt Securities</v>
          </cell>
        </row>
      </sheetData>
      <sheetData sheetId="8163">
        <row r="34">
          <cell r="A34" t="str">
            <v>Investments Govt Securities</v>
          </cell>
        </row>
      </sheetData>
      <sheetData sheetId="8164">
        <row r="34">
          <cell r="A34" t="str">
            <v>Investments Govt Securities</v>
          </cell>
        </row>
      </sheetData>
      <sheetData sheetId="8165">
        <row r="34">
          <cell r="A34" t="str">
            <v>Investments Govt Securities</v>
          </cell>
        </row>
      </sheetData>
      <sheetData sheetId="8166">
        <row r="34">
          <cell r="A34" t="str">
            <v>Investments Govt Securities</v>
          </cell>
        </row>
      </sheetData>
      <sheetData sheetId="8167">
        <row r="34">
          <cell r="A34" t="str">
            <v>Investments Govt Securities</v>
          </cell>
        </row>
      </sheetData>
      <sheetData sheetId="8168">
        <row r="34">
          <cell r="A34" t="str">
            <v>Investments Govt Securities</v>
          </cell>
        </row>
      </sheetData>
      <sheetData sheetId="8169">
        <row r="34">
          <cell r="A34" t="str">
            <v>Investments Govt Securities</v>
          </cell>
        </row>
      </sheetData>
      <sheetData sheetId="8170">
        <row r="34">
          <cell r="A34" t="str">
            <v>Investments Govt Securities</v>
          </cell>
        </row>
      </sheetData>
      <sheetData sheetId="8171">
        <row r="34">
          <cell r="A34" t="str">
            <v>Investments Govt Securities</v>
          </cell>
        </row>
      </sheetData>
      <sheetData sheetId="8172">
        <row r="34">
          <cell r="A34" t="str">
            <v>Investments Govt Securities</v>
          </cell>
        </row>
      </sheetData>
      <sheetData sheetId="8173">
        <row r="34">
          <cell r="A34" t="str">
            <v>Investments Govt Securities</v>
          </cell>
        </row>
      </sheetData>
      <sheetData sheetId="8174">
        <row r="34">
          <cell r="A34" t="str">
            <v>Investments Govt Securities</v>
          </cell>
        </row>
      </sheetData>
      <sheetData sheetId="8175">
        <row r="34">
          <cell r="A34" t="str">
            <v>Investments Govt Securities</v>
          </cell>
        </row>
      </sheetData>
      <sheetData sheetId="8176">
        <row r="34">
          <cell r="A34" t="str">
            <v>Investments Govt Securities</v>
          </cell>
        </row>
      </sheetData>
      <sheetData sheetId="8177">
        <row r="34">
          <cell r="A34" t="str">
            <v>Investments Govt Securities</v>
          </cell>
        </row>
      </sheetData>
      <sheetData sheetId="8178">
        <row r="34">
          <cell r="A34" t="str">
            <v>Investments Govt Securities</v>
          </cell>
        </row>
      </sheetData>
      <sheetData sheetId="8179">
        <row r="34">
          <cell r="A34" t="str">
            <v>Investments Govt Securities</v>
          </cell>
        </row>
      </sheetData>
      <sheetData sheetId="8180">
        <row r="34">
          <cell r="A34" t="str">
            <v>Investments Govt Securities</v>
          </cell>
        </row>
      </sheetData>
      <sheetData sheetId="8181">
        <row r="34">
          <cell r="A34" t="str">
            <v>Investments Govt Securities</v>
          </cell>
        </row>
      </sheetData>
      <sheetData sheetId="8182">
        <row r="34">
          <cell r="A34" t="str">
            <v>Investments Govt Securities</v>
          </cell>
        </row>
      </sheetData>
      <sheetData sheetId="8183">
        <row r="34">
          <cell r="A34" t="str">
            <v>Investments Govt Securities</v>
          </cell>
        </row>
      </sheetData>
      <sheetData sheetId="8184">
        <row r="34">
          <cell r="A34" t="str">
            <v>Investments Govt Securities</v>
          </cell>
        </row>
      </sheetData>
      <sheetData sheetId="8185">
        <row r="34">
          <cell r="A34" t="str">
            <v>Investments Govt Securities</v>
          </cell>
        </row>
      </sheetData>
      <sheetData sheetId="8186">
        <row r="34">
          <cell r="A34" t="str">
            <v>Investments Govt Securities</v>
          </cell>
        </row>
      </sheetData>
      <sheetData sheetId="8187">
        <row r="34">
          <cell r="A34" t="str">
            <v>Investments Govt Securities</v>
          </cell>
        </row>
      </sheetData>
      <sheetData sheetId="8188">
        <row r="34">
          <cell r="A34" t="str">
            <v>Investments Govt Securities</v>
          </cell>
        </row>
      </sheetData>
      <sheetData sheetId="8189">
        <row r="34">
          <cell r="A34" t="str">
            <v>Investments Govt Securities</v>
          </cell>
        </row>
      </sheetData>
      <sheetData sheetId="8190">
        <row r="34">
          <cell r="A34" t="str">
            <v>Investments Govt Securities</v>
          </cell>
        </row>
      </sheetData>
      <sheetData sheetId="8191">
        <row r="34">
          <cell r="A34" t="str">
            <v>Investments Govt Securities</v>
          </cell>
        </row>
      </sheetData>
      <sheetData sheetId="8192">
        <row r="34">
          <cell r="A34" t="str">
            <v>Investments Govt Securities</v>
          </cell>
        </row>
      </sheetData>
      <sheetData sheetId="8193">
        <row r="34">
          <cell r="A34" t="str">
            <v>Investments Govt Securities</v>
          </cell>
        </row>
      </sheetData>
      <sheetData sheetId="8194">
        <row r="34">
          <cell r="A34" t="str">
            <v>Investments Govt Securities</v>
          </cell>
        </row>
      </sheetData>
      <sheetData sheetId="8195">
        <row r="34">
          <cell r="A34" t="str">
            <v>Investments Govt Securities</v>
          </cell>
        </row>
      </sheetData>
      <sheetData sheetId="8196">
        <row r="34">
          <cell r="A34" t="str">
            <v>Investments Govt Securities</v>
          </cell>
        </row>
      </sheetData>
      <sheetData sheetId="8197">
        <row r="34">
          <cell r="A34" t="str">
            <v>Investments Govt Securities</v>
          </cell>
        </row>
      </sheetData>
      <sheetData sheetId="8198">
        <row r="34">
          <cell r="A34" t="str">
            <v>Investments Govt Securities</v>
          </cell>
        </row>
      </sheetData>
      <sheetData sheetId="8199">
        <row r="34">
          <cell r="A34" t="str">
            <v>Investments Govt Securities</v>
          </cell>
        </row>
      </sheetData>
      <sheetData sheetId="8200">
        <row r="34">
          <cell r="A34" t="str">
            <v>Investments Govt Securities</v>
          </cell>
        </row>
      </sheetData>
      <sheetData sheetId="8201">
        <row r="34">
          <cell r="A34" t="str">
            <v>Investments Govt Securities</v>
          </cell>
        </row>
      </sheetData>
      <sheetData sheetId="8202">
        <row r="34">
          <cell r="A34" t="str">
            <v>Investments Govt Securities</v>
          </cell>
        </row>
      </sheetData>
      <sheetData sheetId="8203">
        <row r="34">
          <cell r="A34" t="str">
            <v>Investments Govt Securities</v>
          </cell>
        </row>
      </sheetData>
      <sheetData sheetId="8204">
        <row r="34">
          <cell r="A34" t="str">
            <v>Investments Govt Securities</v>
          </cell>
        </row>
      </sheetData>
      <sheetData sheetId="8205">
        <row r="34">
          <cell r="A34" t="str">
            <v>Investments Govt Securities</v>
          </cell>
        </row>
      </sheetData>
      <sheetData sheetId="8206">
        <row r="34">
          <cell r="A34" t="str">
            <v>Investments Govt Securities</v>
          </cell>
        </row>
      </sheetData>
      <sheetData sheetId="8207">
        <row r="34">
          <cell r="A34" t="str">
            <v>Investments Govt Securities</v>
          </cell>
        </row>
      </sheetData>
      <sheetData sheetId="8208">
        <row r="34">
          <cell r="A34" t="str">
            <v>Investments Govt Securities</v>
          </cell>
        </row>
      </sheetData>
      <sheetData sheetId="8209">
        <row r="34">
          <cell r="A34" t="str">
            <v>Investments Govt Securities</v>
          </cell>
        </row>
      </sheetData>
      <sheetData sheetId="8210">
        <row r="34">
          <cell r="A34" t="str">
            <v>Investments Govt Securities</v>
          </cell>
        </row>
      </sheetData>
      <sheetData sheetId="8211">
        <row r="34">
          <cell r="A34" t="str">
            <v>Investments Govt Securities</v>
          </cell>
        </row>
      </sheetData>
      <sheetData sheetId="8212">
        <row r="34">
          <cell r="A34" t="str">
            <v>Investments Govt Securities</v>
          </cell>
        </row>
      </sheetData>
      <sheetData sheetId="8213">
        <row r="34">
          <cell r="A34" t="str">
            <v>Investments Govt Securities</v>
          </cell>
        </row>
      </sheetData>
      <sheetData sheetId="8214">
        <row r="34">
          <cell r="A34" t="str">
            <v>Investments Govt Securities</v>
          </cell>
        </row>
      </sheetData>
      <sheetData sheetId="8215">
        <row r="34">
          <cell r="A34" t="str">
            <v>Investments Govt Securities</v>
          </cell>
        </row>
      </sheetData>
      <sheetData sheetId="8216">
        <row r="34">
          <cell r="A34" t="str">
            <v>Investments Govt Securities</v>
          </cell>
        </row>
      </sheetData>
      <sheetData sheetId="8217">
        <row r="34">
          <cell r="A34" t="str">
            <v>Investments Govt Securities</v>
          </cell>
        </row>
      </sheetData>
      <sheetData sheetId="8218">
        <row r="34">
          <cell r="A34" t="str">
            <v>Investments Govt Securities</v>
          </cell>
        </row>
      </sheetData>
      <sheetData sheetId="8219">
        <row r="34">
          <cell r="A34" t="str">
            <v>Investments Govt Securities</v>
          </cell>
        </row>
      </sheetData>
      <sheetData sheetId="8220">
        <row r="34">
          <cell r="A34" t="str">
            <v>Investments Govt Securities</v>
          </cell>
        </row>
      </sheetData>
      <sheetData sheetId="8221">
        <row r="34">
          <cell r="A34" t="str">
            <v>Investments Govt Securities</v>
          </cell>
        </row>
      </sheetData>
      <sheetData sheetId="8222">
        <row r="34">
          <cell r="A34" t="str">
            <v>Investments Govt Securities</v>
          </cell>
        </row>
      </sheetData>
      <sheetData sheetId="8223">
        <row r="34">
          <cell r="A34" t="str">
            <v>Investments Govt Securities</v>
          </cell>
        </row>
      </sheetData>
      <sheetData sheetId="8224">
        <row r="34">
          <cell r="A34" t="str">
            <v>Investments Govt Securities</v>
          </cell>
        </row>
      </sheetData>
      <sheetData sheetId="8225">
        <row r="34">
          <cell r="A34" t="str">
            <v>Investments Govt Securities</v>
          </cell>
        </row>
      </sheetData>
      <sheetData sheetId="8226">
        <row r="34">
          <cell r="A34" t="str">
            <v>Investments Govt Securities</v>
          </cell>
        </row>
      </sheetData>
      <sheetData sheetId="8227">
        <row r="34">
          <cell r="A34" t="str">
            <v>Investments Govt Securities</v>
          </cell>
        </row>
      </sheetData>
      <sheetData sheetId="8228">
        <row r="34">
          <cell r="A34" t="str">
            <v>Investments Govt Securities</v>
          </cell>
        </row>
      </sheetData>
      <sheetData sheetId="8229">
        <row r="34">
          <cell r="A34" t="str">
            <v>Investments Govt Securities</v>
          </cell>
        </row>
      </sheetData>
      <sheetData sheetId="8230">
        <row r="34">
          <cell r="A34" t="str">
            <v>Investments Govt Securities</v>
          </cell>
        </row>
      </sheetData>
      <sheetData sheetId="8231">
        <row r="34">
          <cell r="A34" t="str">
            <v>Investments Govt Securities</v>
          </cell>
        </row>
      </sheetData>
      <sheetData sheetId="8232">
        <row r="34">
          <cell r="A34" t="str">
            <v>Investments Govt Securities</v>
          </cell>
        </row>
      </sheetData>
      <sheetData sheetId="8233">
        <row r="34">
          <cell r="A34" t="str">
            <v>Investments Govt Securities</v>
          </cell>
        </row>
      </sheetData>
      <sheetData sheetId="8234">
        <row r="34">
          <cell r="A34" t="str">
            <v>Investments Govt Securities</v>
          </cell>
        </row>
      </sheetData>
      <sheetData sheetId="8235">
        <row r="34">
          <cell r="A34" t="str">
            <v>Investments Govt Securities</v>
          </cell>
        </row>
      </sheetData>
      <sheetData sheetId="8236">
        <row r="34">
          <cell r="A34" t="str">
            <v>Investments Govt Securities</v>
          </cell>
        </row>
      </sheetData>
      <sheetData sheetId="8237">
        <row r="34">
          <cell r="A34" t="str">
            <v>Investments Govt Securities</v>
          </cell>
        </row>
      </sheetData>
      <sheetData sheetId="8238">
        <row r="34">
          <cell r="A34" t="str">
            <v>Investments Govt Securities</v>
          </cell>
        </row>
      </sheetData>
      <sheetData sheetId="8239">
        <row r="34">
          <cell r="A34" t="str">
            <v>Investments Govt Securities</v>
          </cell>
        </row>
      </sheetData>
      <sheetData sheetId="8240">
        <row r="34">
          <cell r="A34" t="str">
            <v>Investments Govt Securities</v>
          </cell>
        </row>
      </sheetData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>
        <row r="34">
          <cell r="A34" t="str">
            <v>Investments Govt Securities</v>
          </cell>
        </row>
      </sheetData>
      <sheetData sheetId="8389">
        <row r="34">
          <cell r="A34" t="str">
            <v>Investments Govt Securities</v>
          </cell>
        </row>
      </sheetData>
      <sheetData sheetId="8390">
        <row r="34">
          <cell r="A34" t="str">
            <v>Investments Govt Securities</v>
          </cell>
        </row>
      </sheetData>
      <sheetData sheetId="8391">
        <row r="34">
          <cell r="A34" t="str">
            <v>Investments Govt Securities</v>
          </cell>
        </row>
      </sheetData>
      <sheetData sheetId="8392">
        <row r="34">
          <cell r="A34" t="str">
            <v>Investments Govt Securities</v>
          </cell>
        </row>
      </sheetData>
      <sheetData sheetId="8393">
        <row r="34">
          <cell r="A34" t="str">
            <v>Investments Govt Securities</v>
          </cell>
        </row>
      </sheetData>
      <sheetData sheetId="8394">
        <row r="34">
          <cell r="A34" t="str">
            <v>Investments Govt Securities</v>
          </cell>
        </row>
      </sheetData>
      <sheetData sheetId="8395">
        <row r="34">
          <cell r="A34" t="str">
            <v>Investments Govt Securities</v>
          </cell>
        </row>
      </sheetData>
      <sheetData sheetId="8396">
        <row r="34">
          <cell r="A34" t="str">
            <v>Investments Govt Securities</v>
          </cell>
        </row>
      </sheetData>
      <sheetData sheetId="8397">
        <row r="34">
          <cell r="A34" t="str">
            <v>Investments Govt Securities</v>
          </cell>
        </row>
      </sheetData>
      <sheetData sheetId="8398">
        <row r="34">
          <cell r="A34" t="str">
            <v>Investments Govt Securities</v>
          </cell>
        </row>
      </sheetData>
      <sheetData sheetId="8399">
        <row r="34">
          <cell r="A34" t="str">
            <v>Investments Govt Securities</v>
          </cell>
        </row>
      </sheetData>
      <sheetData sheetId="8400">
        <row r="34">
          <cell r="A34" t="str">
            <v>Investments Govt Securities</v>
          </cell>
        </row>
      </sheetData>
      <sheetData sheetId="8401">
        <row r="34">
          <cell r="A34" t="str">
            <v>Investments Govt Securities</v>
          </cell>
        </row>
      </sheetData>
      <sheetData sheetId="8402">
        <row r="34">
          <cell r="A34" t="str">
            <v>Investments Govt Securities</v>
          </cell>
        </row>
      </sheetData>
      <sheetData sheetId="8403">
        <row r="34">
          <cell r="A34" t="str">
            <v>Investments Govt Securities</v>
          </cell>
        </row>
      </sheetData>
      <sheetData sheetId="8404">
        <row r="34">
          <cell r="A34" t="str">
            <v>Investments Govt Securities</v>
          </cell>
        </row>
      </sheetData>
      <sheetData sheetId="8405">
        <row r="34">
          <cell r="A34" t="str">
            <v>Investments Govt Securities</v>
          </cell>
        </row>
      </sheetData>
      <sheetData sheetId="8406">
        <row r="34">
          <cell r="A34" t="str">
            <v>Investments Govt Securities</v>
          </cell>
        </row>
      </sheetData>
      <sheetData sheetId="8407">
        <row r="34">
          <cell r="A34" t="str">
            <v>Investments Govt Securities</v>
          </cell>
        </row>
      </sheetData>
      <sheetData sheetId="8408">
        <row r="34">
          <cell r="A34" t="str">
            <v>Investments Govt Securities</v>
          </cell>
        </row>
      </sheetData>
      <sheetData sheetId="8409">
        <row r="34">
          <cell r="A34" t="str">
            <v>Investments Govt Securities</v>
          </cell>
        </row>
      </sheetData>
      <sheetData sheetId="8410">
        <row r="34">
          <cell r="A34" t="str">
            <v>Investments Govt Securities</v>
          </cell>
        </row>
      </sheetData>
      <sheetData sheetId="8411">
        <row r="34">
          <cell r="A34" t="str">
            <v>Investments Govt Securities</v>
          </cell>
        </row>
      </sheetData>
      <sheetData sheetId="8412">
        <row r="34">
          <cell r="A34" t="str">
            <v>Investments Govt Securities</v>
          </cell>
        </row>
      </sheetData>
      <sheetData sheetId="8413">
        <row r="34">
          <cell r="A34" t="str">
            <v>Investments Govt Securities</v>
          </cell>
        </row>
      </sheetData>
      <sheetData sheetId="8414">
        <row r="34">
          <cell r="A34" t="str">
            <v>Investments Govt Securities</v>
          </cell>
        </row>
      </sheetData>
      <sheetData sheetId="8415">
        <row r="34">
          <cell r="A34" t="str">
            <v>Investments Govt Securities</v>
          </cell>
        </row>
      </sheetData>
      <sheetData sheetId="8416">
        <row r="34">
          <cell r="A34" t="str">
            <v>Investments Govt Securities</v>
          </cell>
        </row>
      </sheetData>
      <sheetData sheetId="8417">
        <row r="34">
          <cell r="A34" t="str">
            <v>Investments Govt Securities</v>
          </cell>
        </row>
      </sheetData>
      <sheetData sheetId="8418">
        <row r="34">
          <cell r="A34" t="str">
            <v>Investments Govt Securities</v>
          </cell>
        </row>
      </sheetData>
      <sheetData sheetId="8419">
        <row r="34">
          <cell r="A34" t="str">
            <v>Investments Govt Securities</v>
          </cell>
        </row>
      </sheetData>
      <sheetData sheetId="8420">
        <row r="34">
          <cell r="A34" t="str">
            <v>Investments Govt Securities</v>
          </cell>
        </row>
      </sheetData>
      <sheetData sheetId="8421">
        <row r="34">
          <cell r="A34" t="str">
            <v>Investments Govt Securities</v>
          </cell>
        </row>
      </sheetData>
      <sheetData sheetId="8422">
        <row r="34">
          <cell r="A34" t="str">
            <v>Investments Govt Securities</v>
          </cell>
        </row>
      </sheetData>
      <sheetData sheetId="8423">
        <row r="34">
          <cell r="A34" t="str">
            <v>Investments Govt Securities</v>
          </cell>
        </row>
      </sheetData>
      <sheetData sheetId="8424">
        <row r="34">
          <cell r="A34" t="str">
            <v>Investments Govt Securities</v>
          </cell>
        </row>
      </sheetData>
      <sheetData sheetId="8425">
        <row r="34">
          <cell r="A34" t="str">
            <v>Investments Govt Securities</v>
          </cell>
        </row>
      </sheetData>
      <sheetData sheetId="8426">
        <row r="34">
          <cell r="A34" t="str">
            <v>Investments Govt Securities</v>
          </cell>
        </row>
      </sheetData>
      <sheetData sheetId="8427">
        <row r="34">
          <cell r="A34" t="str">
            <v>Investments Govt Securities</v>
          </cell>
        </row>
      </sheetData>
      <sheetData sheetId="8428">
        <row r="34">
          <cell r="A34" t="str">
            <v>Investments Govt Securities</v>
          </cell>
        </row>
      </sheetData>
      <sheetData sheetId="8429">
        <row r="34">
          <cell r="A34" t="str">
            <v>Investments Govt Securities</v>
          </cell>
        </row>
      </sheetData>
      <sheetData sheetId="8430">
        <row r="34">
          <cell r="A34" t="str">
            <v>Investments Govt Securities</v>
          </cell>
        </row>
      </sheetData>
      <sheetData sheetId="8431">
        <row r="34">
          <cell r="A34" t="str">
            <v>Investments Govt Securities</v>
          </cell>
        </row>
      </sheetData>
      <sheetData sheetId="8432">
        <row r="34">
          <cell r="A34" t="str">
            <v>Investments Govt Securities</v>
          </cell>
        </row>
      </sheetData>
      <sheetData sheetId="8433">
        <row r="34">
          <cell r="A34" t="str">
            <v>Investments Govt Securities</v>
          </cell>
        </row>
      </sheetData>
      <sheetData sheetId="8434">
        <row r="34">
          <cell r="A34" t="str">
            <v>Investments Govt Securities</v>
          </cell>
        </row>
      </sheetData>
      <sheetData sheetId="8435">
        <row r="34">
          <cell r="A34" t="str">
            <v>Investments Govt Securities</v>
          </cell>
        </row>
      </sheetData>
      <sheetData sheetId="8436">
        <row r="34">
          <cell r="A34" t="str">
            <v>Investments Govt Securities</v>
          </cell>
        </row>
      </sheetData>
      <sheetData sheetId="8437">
        <row r="34">
          <cell r="A34" t="str">
            <v>Investments Govt Securities</v>
          </cell>
        </row>
      </sheetData>
      <sheetData sheetId="8438">
        <row r="34">
          <cell r="A34" t="str">
            <v>Investments Govt Securities</v>
          </cell>
        </row>
      </sheetData>
      <sheetData sheetId="8439">
        <row r="34">
          <cell r="A34" t="str">
            <v>Investments Govt Securities</v>
          </cell>
        </row>
      </sheetData>
      <sheetData sheetId="8440">
        <row r="34">
          <cell r="A34" t="str">
            <v>Investments Govt Securities</v>
          </cell>
        </row>
      </sheetData>
      <sheetData sheetId="8441">
        <row r="34">
          <cell r="A34" t="str">
            <v>Investments Govt Securities</v>
          </cell>
        </row>
      </sheetData>
      <sheetData sheetId="8442">
        <row r="34">
          <cell r="A34" t="str">
            <v>Investments Govt Securities</v>
          </cell>
        </row>
      </sheetData>
      <sheetData sheetId="8443">
        <row r="34">
          <cell r="A34" t="str">
            <v>Investments Govt Securities</v>
          </cell>
        </row>
      </sheetData>
      <sheetData sheetId="8444">
        <row r="34">
          <cell r="A34" t="str">
            <v>Investments Govt Securities</v>
          </cell>
        </row>
      </sheetData>
      <sheetData sheetId="8445">
        <row r="34">
          <cell r="A34" t="str">
            <v>Investments Govt Securities</v>
          </cell>
        </row>
      </sheetData>
      <sheetData sheetId="8446">
        <row r="34">
          <cell r="A34" t="str">
            <v>Investments Govt Securities</v>
          </cell>
        </row>
      </sheetData>
      <sheetData sheetId="8447">
        <row r="34">
          <cell r="A34" t="str">
            <v>Investments Govt Securities</v>
          </cell>
        </row>
      </sheetData>
      <sheetData sheetId="8448">
        <row r="34">
          <cell r="A34" t="str">
            <v>Investments Govt Securities</v>
          </cell>
        </row>
      </sheetData>
      <sheetData sheetId="8449">
        <row r="34">
          <cell r="A34" t="str">
            <v>Investments Govt Securities</v>
          </cell>
        </row>
      </sheetData>
      <sheetData sheetId="8450">
        <row r="34">
          <cell r="A34" t="str">
            <v>Investments Govt Securities</v>
          </cell>
        </row>
      </sheetData>
      <sheetData sheetId="8451">
        <row r="34">
          <cell r="A34" t="str">
            <v>Investments Govt Securities</v>
          </cell>
        </row>
      </sheetData>
      <sheetData sheetId="8452">
        <row r="34">
          <cell r="A34" t="str">
            <v>Investments Govt Securities</v>
          </cell>
        </row>
      </sheetData>
      <sheetData sheetId="8453">
        <row r="34">
          <cell r="A34" t="str">
            <v>Investments Govt Securities</v>
          </cell>
        </row>
      </sheetData>
      <sheetData sheetId="8454">
        <row r="34">
          <cell r="A34" t="str">
            <v>Investments Govt Securities</v>
          </cell>
        </row>
      </sheetData>
      <sheetData sheetId="8455">
        <row r="34">
          <cell r="A34" t="str">
            <v>Investments Govt Securities</v>
          </cell>
        </row>
      </sheetData>
      <sheetData sheetId="8456">
        <row r="34">
          <cell r="A34" t="str">
            <v>Investments Govt Securities</v>
          </cell>
        </row>
      </sheetData>
      <sheetData sheetId="8457">
        <row r="34">
          <cell r="A34" t="str">
            <v>Investments Govt Securities</v>
          </cell>
        </row>
      </sheetData>
      <sheetData sheetId="8458">
        <row r="34">
          <cell r="A34" t="str">
            <v>Investments Govt Securities</v>
          </cell>
        </row>
      </sheetData>
      <sheetData sheetId="8459">
        <row r="34">
          <cell r="A34" t="str">
            <v>Investments Govt Securities</v>
          </cell>
        </row>
      </sheetData>
      <sheetData sheetId="8460">
        <row r="34">
          <cell r="A34" t="str">
            <v>Investments Govt Securities</v>
          </cell>
        </row>
      </sheetData>
      <sheetData sheetId="8461">
        <row r="34">
          <cell r="A34" t="str">
            <v>Investments Govt Securities</v>
          </cell>
        </row>
      </sheetData>
      <sheetData sheetId="8462">
        <row r="34">
          <cell r="A34" t="str">
            <v>Investments Govt Securities</v>
          </cell>
        </row>
      </sheetData>
      <sheetData sheetId="8463">
        <row r="34">
          <cell r="A34" t="str">
            <v>Investments Govt Securities</v>
          </cell>
        </row>
      </sheetData>
      <sheetData sheetId="8464">
        <row r="34">
          <cell r="A34" t="str">
            <v>Investments Govt Securities</v>
          </cell>
        </row>
      </sheetData>
      <sheetData sheetId="8465">
        <row r="34">
          <cell r="A34" t="str">
            <v>Investments Govt Securities</v>
          </cell>
        </row>
      </sheetData>
      <sheetData sheetId="8466">
        <row r="34">
          <cell r="A34" t="str">
            <v>Investments Govt Securities</v>
          </cell>
        </row>
      </sheetData>
      <sheetData sheetId="8467">
        <row r="34">
          <cell r="A34" t="str">
            <v>Investments Govt Securities</v>
          </cell>
        </row>
      </sheetData>
      <sheetData sheetId="8468">
        <row r="34">
          <cell r="A34" t="str">
            <v>Investments Govt Securities</v>
          </cell>
        </row>
      </sheetData>
      <sheetData sheetId="8469">
        <row r="34">
          <cell r="A34" t="str">
            <v>Investments Govt Securities</v>
          </cell>
        </row>
      </sheetData>
      <sheetData sheetId="8470">
        <row r="34">
          <cell r="A34" t="str">
            <v>Investments Govt Securities</v>
          </cell>
        </row>
      </sheetData>
      <sheetData sheetId="8471">
        <row r="34">
          <cell r="A34" t="str">
            <v>Investments Govt Securities</v>
          </cell>
        </row>
      </sheetData>
      <sheetData sheetId="8472">
        <row r="34">
          <cell r="A34" t="str">
            <v>Investments Govt Securities</v>
          </cell>
        </row>
      </sheetData>
      <sheetData sheetId="8473">
        <row r="34">
          <cell r="A34" t="str">
            <v>Investments Govt Securities</v>
          </cell>
        </row>
      </sheetData>
      <sheetData sheetId="8474">
        <row r="34">
          <cell r="A34" t="str">
            <v>Investments Govt Securities</v>
          </cell>
        </row>
      </sheetData>
      <sheetData sheetId="8475">
        <row r="34">
          <cell r="A34" t="str">
            <v>Investments Govt Securities</v>
          </cell>
        </row>
      </sheetData>
      <sheetData sheetId="8476">
        <row r="34">
          <cell r="A34" t="str">
            <v>Investments Govt Securities</v>
          </cell>
        </row>
      </sheetData>
      <sheetData sheetId="8477">
        <row r="34">
          <cell r="A34" t="str">
            <v>Investments Govt Securities</v>
          </cell>
        </row>
      </sheetData>
      <sheetData sheetId="8478">
        <row r="34">
          <cell r="A34" t="str">
            <v>Investments Govt Securities</v>
          </cell>
        </row>
      </sheetData>
      <sheetData sheetId="8479">
        <row r="34">
          <cell r="A34" t="str">
            <v>Investments Govt Securities</v>
          </cell>
        </row>
      </sheetData>
      <sheetData sheetId="8480">
        <row r="34">
          <cell r="A34" t="str">
            <v>Investments Govt Securities</v>
          </cell>
        </row>
      </sheetData>
      <sheetData sheetId="8481">
        <row r="34">
          <cell r="A34" t="str">
            <v>Investments Govt Securities</v>
          </cell>
        </row>
      </sheetData>
      <sheetData sheetId="8482">
        <row r="34">
          <cell r="A34" t="str">
            <v>Investments Govt Securities</v>
          </cell>
        </row>
      </sheetData>
      <sheetData sheetId="8483">
        <row r="34">
          <cell r="A34" t="str">
            <v>Investments Govt Securities</v>
          </cell>
        </row>
      </sheetData>
      <sheetData sheetId="8484">
        <row r="34">
          <cell r="A34" t="str">
            <v>Investments Govt Securities</v>
          </cell>
        </row>
      </sheetData>
      <sheetData sheetId="8485">
        <row r="34">
          <cell r="A34" t="str">
            <v>Investments Govt Securities</v>
          </cell>
        </row>
      </sheetData>
      <sheetData sheetId="8486">
        <row r="34">
          <cell r="A34" t="str">
            <v>Investments Govt Securities</v>
          </cell>
        </row>
      </sheetData>
      <sheetData sheetId="8487">
        <row r="34">
          <cell r="A34" t="str">
            <v>Investments Govt Securities</v>
          </cell>
        </row>
      </sheetData>
      <sheetData sheetId="8488">
        <row r="34">
          <cell r="A34" t="str">
            <v>Investments Govt Securities</v>
          </cell>
        </row>
      </sheetData>
      <sheetData sheetId="8489">
        <row r="34">
          <cell r="A34" t="str">
            <v>Investments Govt Securities</v>
          </cell>
        </row>
      </sheetData>
      <sheetData sheetId="8490">
        <row r="34">
          <cell r="A34" t="str">
            <v>Investments Govt Securities</v>
          </cell>
        </row>
      </sheetData>
      <sheetData sheetId="8491">
        <row r="34">
          <cell r="A34" t="str">
            <v>Investments Govt Securities</v>
          </cell>
        </row>
      </sheetData>
      <sheetData sheetId="8492">
        <row r="34">
          <cell r="A34" t="str">
            <v>Investments Govt Securities</v>
          </cell>
        </row>
      </sheetData>
      <sheetData sheetId="8493">
        <row r="34">
          <cell r="A34" t="str">
            <v>Investments Govt Securities</v>
          </cell>
        </row>
      </sheetData>
      <sheetData sheetId="8494">
        <row r="34">
          <cell r="A34" t="str">
            <v>Investments Govt Securities</v>
          </cell>
        </row>
      </sheetData>
      <sheetData sheetId="8495">
        <row r="34">
          <cell r="A34" t="str">
            <v>Investments Govt Securities</v>
          </cell>
        </row>
      </sheetData>
      <sheetData sheetId="8496">
        <row r="34">
          <cell r="A34" t="str">
            <v>Investments Govt Securities</v>
          </cell>
        </row>
      </sheetData>
      <sheetData sheetId="8497">
        <row r="34">
          <cell r="A34" t="str">
            <v>Investments Govt Securities</v>
          </cell>
        </row>
      </sheetData>
      <sheetData sheetId="8498">
        <row r="34">
          <cell r="A34" t="str">
            <v>Investments Govt Securities</v>
          </cell>
        </row>
      </sheetData>
      <sheetData sheetId="8499">
        <row r="34">
          <cell r="A34" t="str">
            <v>Investments Govt Securities</v>
          </cell>
        </row>
      </sheetData>
      <sheetData sheetId="8500">
        <row r="34">
          <cell r="A34" t="str">
            <v>Investments Govt Securities</v>
          </cell>
        </row>
      </sheetData>
      <sheetData sheetId="8501">
        <row r="34">
          <cell r="A34" t="str">
            <v>Investments Govt Securities</v>
          </cell>
        </row>
      </sheetData>
      <sheetData sheetId="8502">
        <row r="34">
          <cell r="A34" t="str">
            <v>Investments Govt Securities</v>
          </cell>
        </row>
      </sheetData>
      <sheetData sheetId="8503">
        <row r="34">
          <cell r="A34" t="str">
            <v>Investments Govt Securities</v>
          </cell>
        </row>
      </sheetData>
      <sheetData sheetId="8504">
        <row r="34">
          <cell r="A34" t="str">
            <v>Investments Govt Securities</v>
          </cell>
        </row>
      </sheetData>
      <sheetData sheetId="8505">
        <row r="34">
          <cell r="A34" t="str">
            <v>Investments Govt Securities</v>
          </cell>
        </row>
      </sheetData>
      <sheetData sheetId="8506">
        <row r="34">
          <cell r="A34" t="str">
            <v>Investments Govt Securities</v>
          </cell>
        </row>
      </sheetData>
      <sheetData sheetId="8507">
        <row r="34">
          <cell r="A34" t="str">
            <v>Investments Govt Securities</v>
          </cell>
        </row>
      </sheetData>
      <sheetData sheetId="8508">
        <row r="34">
          <cell r="A34" t="str">
            <v>Investments Govt Securities</v>
          </cell>
        </row>
      </sheetData>
      <sheetData sheetId="8509">
        <row r="34">
          <cell r="A34" t="str">
            <v>Investments Govt Securities</v>
          </cell>
        </row>
      </sheetData>
      <sheetData sheetId="8510">
        <row r="34">
          <cell r="A34" t="str">
            <v>Investments Govt Securities</v>
          </cell>
        </row>
      </sheetData>
      <sheetData sheetId="8511">
        <row r="34">
          <cell r="A34" t="str">
            <v>Investments Govt Securities</v>
          </cell>
        </row>
      </sheetData>
      <sheetData sheetId="8512">
        <row r="34">
          <cell r="A34" t="str">
            <v>Investments Govt Securities</v>
          </cell>
        </row>
      </sheetData>
      <sheetData sheetId="8513">
        <row r="34">
          <cell r="A34" t="str">
            <v>Investments Govt Securities</v>
          </cell>
        </row>
      </sheetData>
      <sheetData sheetId="8514">
        <row r="34">
          <cell r="A34" t="str">
            <v>Investments Govt Securities</v>
          </cell>
        </row>
      </sheetData>
      <sheetData sheetId="8515">
        <row r="34">
          <cell r="A34" t="str">
            <v>Investments Govt Securities</v>
          </cell>
        </row>
      </sheetData>
      <sheetData sheetId="8516">
        <row r="34">
          <cell r="A34" t="str">
            <v>Investments Govt Securities</v>
          </cell>
        </row>
      </sheetData>
      <sheetData sheetId="8517">
        <row r="34">
          <cell r="A34" t="str">
            <v>Investments Govt Securities</v>
          </cell>
        </row>
      </sheetData>
      <sheetData sheetId="8518">
        <row r="34">
          <cell r="A34" t="str">
            <v>Investments Govt Securities</v>
          </cell>
        </row>
      </sheetData>
      <sheetData sheetId="8519">
        <row r="34">
          <cell r="A34" t="str">
            <v>Investments Govt Securities</v>
          </cell>
        </row>
      </sheetData>
      <sheetData sheetId="8520">
        <row r="34">
          <cell r="A34" t="str">
            <v>Investments Govt Securities</v>
          </cell>
        </row>
      </sheetData>
      <sheetData sheetId="8521">
        <row r="34">
          <cell r="A34" t="str">
            <v>Investments Govt Securities</v>
          </cell>
        </row>
      </sheetData>
      <sheetData sheetId="8522">
        <row r="34">
          <cell r="A34" t="str">
            <v>Investments Govt Securities</v>
          </cell>
        </row>
      </sheetData>
      <sheetData sheetId="8523">
        <row r="34">
          <cell r="A34" t="str">
            <v>Investments Govt Securities</v>
          </cell>
        </row>
      </sheetData>
      <sheetData sheetId="8524">
        <row r="34">
          <cell r="A34" t="str">
            <v>Investments Govt Securities</v>
          </cell>
        </row>
      </sheetData>
      <sheetData sheetId="8525">
        <row r="34">
          <cell r="A34" t="str">
            <v>Investments Govt Securities</v>
          </cell>
        </row>
      </sheetData>
      <sheetData sheetId="8526">
        <row r="34">
          <cell r="A34" t="str">
            <v>Investments Govt Securities</v>
          </cell>
        </row>
      </sheetData>
      <sheetData sheetId="8527">
        <row r="34">
          <cell r="A34" t="str">
            <v>Investments Govt Securities</v>
          </cell>
        </row>
      </sheetData>
      <sheetData sheetId="8528">
        <row r="34">
          <cell r="A34" t="str">
            <v>Investments Govt Securities</v>
          </cell>
        </row>
      </sheetData>
      <sheetData sheetId="8529">
        <row r="34">
          <cell r="A34" t="str">
            <v>Investments Govt Securities</v>
          </cell>
        </row>
      </sheetData>
      <sheetData sheetId="8530">
        <row r="34">
          <cell r="A34" t="str">
            <v>Investments Govt Securities</v>
          </cell>
        </row>
      </sheetData>
      <sheetData sheetId="8531">
        <row r="34">
          <cell r="A34" t="str">
            <v>Investments Govt Securities</v>
          </cell>
        </row>
      </sheetData>
      <sheetData sheetId="8532">
        <row r="34">
          <cell r="A34" t="str">
            <v>Investments Govt Securities</v>
          </cell>
        </row>
      </sheetData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>
        <row r="34">
          <cell r="A34" t="str">
            <v>Investments Govt Securities</v>
          </cell>
        </row>
      </sheetData>
      <sheetData sheetId="8826">
        <row r="34">
          <cell r="A34" t="str">
            <v>Investments Govt Securities</v>
          </cell>
        </row>
      </sheetData>
      <sheetData sheetId="8827">
        <row r="34">
          <cell r="A34" t="str">
            <v>Investments Govt Securities</v>
          </cell>
        </row>
      </sheetData>
      <sheetData sheetId="8828">
        <row r="34">
          <cell r="A34" t="str">
            <v>Investments Govt Securities</v>
          </cell>
        </row>
      </sheetData>
      <sheetData sheetId="8829">
        <row r="34">
          <cell r="A34" t="str">
            <v>Investments Govt Securities</v>
          </cell>
        </row>
      </sheetData>
      <sheetData sheetId="8830">
        <row r="34">
          <cell r="A34" t="str">
            <v>Investments Govt Securities</v>
          </cell>
        </row>
      </sheetData>
      <sheetData sheetId="8831">
        <row r="34">
          <cell r="A34" t="str">
            <v>Investments Govt Securities</v>
          </cell>
        </row>
      </sheetData>
      <sheetData sheetId="8832">
        <row r="34">
          <cell r="A34" t="str">
            <v>Investments Govt Securities</v>
          </cell>
        </row>
      </sheetData>
      <sheetData sheetId="8833">
        <row r="34">
          <cell r="A34" t="str">
            <v>Investments Govt Securities</v>
          </cell>
        </row>
      </sheetData>
      <sheetData sheetId="8834">
        <row r="34">
          <cell r="A34" t="str">
            <v>Investments Govt Securities</v>
          </cell>
        </row>
      </sheetData>
      <sheetData sheetId="8835">
        <row r="34">
          <cell r="A34" t="str">
            <v>Investments Govt Securities</v>
          </cell>
        </row>
      </sheetData>
      <sheetData sheetId="8836">
        <row r="34">
          <cell r="A34" t="str">
            <v>Investments Govt Securities</v>
          </cell>
        </row>
      </sheetData>
      <sheetData sheetId="8837">
        <row r="34">
          <cell r="A34" t="str">
            <v>Investments Govt Securities</v>
          </cell>
        </row>
      </sheetData>
      <sheetData sheetId="8838">
        <row r="34">
          <cell r="A34" t="str">
            <v>Investments Govt Securities</v>
          </cell>
        </row>
      </sheetData>
      <sheetData sheetId="8839">
        <row r="34">
          <cell r="A34" t="str">
            <v>Investments Govt Securities</v>
          </cell>
        </row>
      </sheetData>
      <sheetData sheetId="8840">
        <row r="34">
          <cell r="A34" t="str">
            <v>Investments Govt Securities</v>
          </cell>
        </row>
      </sheetData>
      <sheetData sheetId="8841">
        <row r="34">
          <cell r="A34" t="str">
            <v>Investments Govt Securities</v>
          </cell>
        </row>
      </sheetData>
      <sheetData sheetId="8842">
        <row r="34">
          <cell r="A34" t="str">
            <v>Investments Govt Securities</v>
          </cell>
        </row>
      </sheetData>
      <sheetData sheetId="8843">
        <row r="34">
          <cell r="A34" t="str">
            <v>Investments Govt Securities</v>
          </cell>
        </row>
      </sheetData>
      <sheetData sheetId="8844">
        <row r="34">
          <cell r="A34" t="str">
            <v>Investments Govt Securities</v>
          </cell>
        </row>
      </sheetData>
      <sheetData sheetId="8845">
        <row r="34">
          <cell r="A34" t="str">
            <v>Investments Govt Securities</v>
          </cell>
        </row>
      </sheetData>
      <sheetData sheetId="8846">
        <row r="34">
          <cell r="A34" t="str">
            <v>Investments Govt Securities</v>
          </cell>
        </row>
      </sheetData>
      <sheetData sheetId="8847">
        <row r="34">
          <cell r="A34" t="str">
            <v>Investments Govt Securities</v>
          </cell>
        </row>
      </sheetData>
      <sheetData sheetId="8848">
        <row r="34">
          <cell r="A34" t="str">
            <v>Investments Govt Securities</v>
          </cell>
        </row>
      </sheetData>
      <sheetData sheetId="8849">
        <row r="34">
          <cell r="A34" t="str">
            <v>Investments Govt Securities</v>
          </cell>
        </row>
      </sheetData>
      <sheetData sheetId="8850">
        <row r="34">
          <cell r="A34" t="str">
            <v>Investments Govt Securities</v>
          </cell>
        </row>
      </sheetData>
      <sheetData sheetId="8851">
        <row r="34">
          <cell r="A34" t="str">
            <v>Investments Govt Securities</v>
          </cell>
        </row>
      </sheetData>
      <sheetData sheetId="8852">
        <row r="34">
          <cell r="A34" t="str">
            <v>Investments Govt Securities</v>
          </cell>
        </row>
      </sheetData>
      <sheetData sheetId="8853">
        <row r="34">
          <cell r="A34" t="str">
            <v>Investments Govt Securities</v>
          </cell>
        </row>
      </sheetData>
      <sheetData sheetId="8854">
        <row r="34">
          <cell r="A34" t="str">
            <v>Investments Govt Securities</v>
          </cell>
        </row>
      </sheetData>
      <sheetData sheetId="8855">
        <row r="34">
          <cell r="A34" t="str">
            <v>Investments Govt Securities</v>
          </cell>
        </row>
      </sheetData>
      <sheetData sheetId="8856">
        <row r="34">
          <cell r="A34" t="str">
            <v>Investments Govt Securities</v>
          </cell>
        </row>
      </sheetData>
      <sheetData sheetId="8857">
        <row r="34">
          <cell r="A34" t="str">
            <v>Investments Govt Securities</v>
          </cell>
        </row>
      </sheetData>
      <sheetData sheetId="8858">
        <row r="34">
          <cell r="A34" t="str">
            <v>Investments Govt Securities</v>
          </cell>
        </row>
      </sheetData>
      <sheetData sheetId="8859">
        <row r="34">
          <cell r="A34" t="str">
            <v>Investments Govt Securities</v>
          </cell>
        </row>
      </sheetData>
      <sheetData sheetId="8860">
        <row r="34">
          <cell r="A34" t="str">
            <v>Investments Govt Securities</v>
          </cell>
        </row>
      </sheetData>
      <sheetData sheetId="8861">
        <row r="34">
          <cell r="A34" t="str">
            <v>Investments Govt Securities</v>
          </cell>
        </row>
      </sheetData>
      <sheetData sheetId="8862">
        <row r="34">
          <cell r="A34" t="str">
            <v>Investments Govt Securities</v>
          </cell>
        </row>
      </sheetData>
      <sheetData sheetId="8863">
        <row r="34">
          <cell r="A34" t="str">
            <v>Investments Govt Securities</v>
          </cell>
        </row>
      </sheetData>
      <sheetData sheetId="8864">
        <row r="34">
          <cell r="A34" t="str">
            <v>Investments Govt Securities</v>
          </cell>
        </row>
      </sheetData>
      <sheetData sheetId="8865">
        <row r="34">
          <cell r="A34" t="str">
            <v>Investments Govt Securities</v>
          </cell>
        </row>
      </sheetData>
      <sheetData sheetId="8866">
        <row r="34">
          <cell r="A34" t="str">
            <v>Investments Govt Securities</v>
          </cell>
        </row>
      </sheetData>
      <sheetData sheetId="8867">
        <row r="34">
          <cell r="A34" t="str">
            <v>Investments Govt Securities</v>
          </cell>
        </row>
      </sheetData>
      <sheetData sheetId="8868">
        <row r="34">
          <cell r="A34" t="str">
            <v>Investments Govt Securities</v>
          </cell>
        </row>
      </sheetData>
      <sheetData sheetId="8869">
        <row r="34">
          <cell r="A34" t="str">
            <v>Investments Govt Securities</v>
          </cell>
        </row>
      </sheetData>
      <sheetData sheetId="8870">
        <row r="34">
          <cell r="A34" t="str">
            <v>Investments Govt Securities</v>
          </cell>
        </row>
      </sheetData>
      <sheetData sheetId="8871">
        <row r="34">
          <cell r="A34" t="str">
            <v>Investments Govt Securities</v>
          </cell>
        </row>
      </sheetData>
      <sheetData sheetId="8872">
        <row r="34">
          <cell r="A34" t="str">
            <v>Investments Govt Securities</v>
          </cell>
        </row>
      </sheetData>
      <sheetData sheetId="8873">
        <row r="34">
          <cell r="A34" t="str">
            <v>Investments Govt Securities</v>
          </cell>
        </row>
      </sheetData>
      <sheetData sheetId="8874">
        <row r="34">
          <cell r="A34" t="str">
            <v>Investments Govt Securities</v>
          </cell>
        </row>
      </sheetData>
      <sheetData sheetId="8875">
        <row r="34">
          <cell r="A34" t="str">
            <v>Investments Govt Securities</v>
          </cell>
        </row>
      </sheetData>
      <sheetData sheetId="8876">
        <row r="34">
          <cell r="A34" t="str">
            <v>Investments Govt Securities</v>
          </cell>
        </row>
      </sheetData>
      <sheetData sheetId="8877">
        <row r="34">
          <cell r="A34" t="str">
            <v>Investments Govt Securities</v>
          </cell>
        </row>
      </sheetData>
      <sheetData sheetId="8878">
        <row r="34">
          <cell r="A34" t="str">
            <v>Investments Govt Securities</v>
          </cell>
        </row>
      </sheetData>
      <sheetData sheetId="8879">
        <row r="34">
          <cell r="A34" t="str">
            <v>Investments Govt Securities</v>
          </cell>
        </row>
      </sheetData>
      <sheetData sheetId="8880">
        <row r="34">
          <cell r="A34" t="str">
            <v>Investments Govt Securities</v>
          </cell>
        </row>
      </sheetData>
      <sheetData sheetId="8881">
        <row r="34">
          <cell r="A34" t="str">
            <v>Investments Govt Securities</v>
          </cell>
        </row>
      </sheetData>
      <sheetData sheetId="8882">
        <row r="34">
          <cell r="A34" t="str">
            <v>Investments Govt Securities</v>
          </cell>
        </row>
      </sheetData>
      <sheetData sheetId="8883">
        <row r="34">
          <cell r="A34" t="str">
            <v>Investments Govt Securities</v>
          </cell>
        </row>
      </sheetData>
      <sheetData sheetId="8884">
        <row r="34">
          <cell r="A34" t="str">
            <v>Investments Govt Securities</v>
          </cell>
        </row>
      </sheetData>
      <sheetData sheetId="8885">
        <row r="34">
          <cell r="A34" t="str">
            <v>Investments Govt Securities</v>
          </cell>
        </row>
      </sheetData>
      <sheetData sheetId="8886">
        <row r="34">
          <cell r="A34" t="str">
            <v>Investments Govt Securities</v>
          </cell>
        </row>
      </sheetData>
      <sheetData sheetId="8887">
        <row r="34">
          <cell r="A34" t="str">
            <v>Investments Govt Securities</v>
          </cell>
        </row>
      </sheetData>
      <sheetData sheetId="8888">
        <row r="34">
          <cell r="A34" t="str">
            <v>Investments Govt Securities</v>
          </cell>
        </row>
      </sheetData>
      <sheetData sheetId="8889">
        <row r="34">
          <cell r="A34" t="str">
            <v>Investments Govt Securities</v>
          </cell>
        </row>
      </sheetData>
      <sheetData sheetId="8890">
        <row r="34">
          <cell r="A34" t="str">
            <v>Investments Govt Securities</v>
          </cell>
        </row>
      </sheetData>
      <sheetData sheetId="8891">
        <row r="34">
          <cell r="A34" t="str">
            <v>Investments Govt Securities</v>
          </cell>
        </row>
      </sheetData>
      <sheetData sheetId="8892">
        <row r="34">
          <cell r="A34" t="str">
            <v>Investments Govt Securities</v>
          </cell>
        </row>
      </sheetData>
      <sheetData sheetId="8893">
        <row r="34">
          <cell r="A34" t="str">
            <v>Investments Govt Securities</v>
          </cell>
        </row>
      </sheetData>
      <sheetData sheetId="8894">
        <row r="34">
          <cell r="A34" t="str">
            <v>Investments Govt Securities</v>
          </cell>
        </row>
      </sheetData>
      <sheetData sheetId="8895">
        <row r="34">
          <cell r="A34" t="str">
            <v>Investments Govt Securities</v>
          </cell>
        </row>
      </sheetData>
      <sheetData sheetId="8896">
        <row r="34">
          <cell r="A34" t="str">
            <v>Investments Govt Securities</v>
          </cell>
        </row>
      </sheetData>
      <sheetData sheetId="8897">
        <row r="34">
          <cell r="A34" t="str">
            <v>Investments Govt Securities</v>
          </cell>
        </row>
      </sheetData>
      <sheetData sheetId="8898">
        <row r="34">
          <cell r="A34" t="str">
            <v>Investments Govt Securities</v>
          </cell>
        </row>
      </sheetData>
      <sheetData sheetId="8899">
        <row r="34">
          <cell r="A34" t="str">
            <v>Investments Govt Securities</v>
          </cell>
        </row>
      </sheetData>
      <sheetData sheetId="8900">
        <row r="34">
          <cell r="A34" t="str">
            <v>Investments Govt Securities</v>
          </cell>
        </row>
      </sheetData>
      <sheetData sheetId="8901">
        <row r="34">
          <cell r="A34" t="str">
            <v>Investments Govt Securities</v>
          </cell>
        </row>
      </sheetData>
      <sheetData sheetId="8902">
        <row r="34">
          <cell r="A34" t="str">
            <v>Investments Govt Securities</v>
          </cell>
        </row>
      </sheetData>
      <sheetData sheetId="8903">
        <row r="34">
          <cell r="A34" t="str">
            <v>Investments Govt Securities</v>
          </cell>
        </row>
      </sheetData>
      <sheetData sheetId="8904">
        <row r="34">
          <cell r="A34" t="str">
            <v>Investments Govt Securities</v>
          </cell>
        </row>
      </sheetData>
      <sheetData sheetId="8905">
        <row r="34">
          <cell r="A34" t="str">
            <v>Investments Govt Securities</v>
          </cell>
        </row>
      </sheetData>
      <sheetData sheetId="8906">
        <row r="34">
          <cell r="A34" t="str">
            <v>Investments Govt Securities</v>
          </cell>
        </row>
      </sheetData>
      <sheetData sheetId="8907">
        <row r="34">
          <cell r="A34" t="str">
            <v>Investments Govt Securities</v>
          </cell>
        </row>
      </sheetData>
      <sheetData sheetId="8908">
        <row r="34">
          <cell r="A34" t="str">
            <v>Investments Govt Securities</v>
          </cell>
        </row>
      </sheetData>
      <sheetData sheetId="8909">
        <row r="34">
          <cell r="A34" t="str">
            <v>Investments Govt Securities</v>
          </cell>
        </row>
      </sheetData>
      <sheetData sheetId="8910">
        <row r="34">
          <cell r="A34" t="str">
            <v>Investments Govt Securities</v>
          </cell>
        </row>
      </sheetData>
      <sheetData sheetId="8911">
        <row r="34">
          <cell r="A34" t="str">
            <v>Investments Govt Securities</v>
          </cell>
        </row>
      </sheetData>
      <sheetData sheetId="8912">
        <row r="34">
          <cell r="A34" t="str">
            <v>Investments Govt Securities</v>
          </cell>
        </row>
      </sheetData>
      <sheetData sheetId="8913">
        <row r="34">
          <cell r="A34" t="str">
            <v>Investments Govt Securities</v>
          </cell>
        </row>
      </sheetData>
      <sheetData sheetId="8914">
        <row r="34">
          <cell r="A34" t="str">
            <v>Investments Govt Securities</v>
          </cell>
        </row>
      </sheetData>
      <sheetData sheetId="8915">
        <row r="34">
          <cell r="A34" t="str">
            <v>Investments Govt Securities</v>
          </cell>
        </row>
      </sheetData>
      <sheetData sheetId="8916">
        <row r="34">
          <cell r="A34" t="str">
            <v>Investments Govt Securities</v>
          </cell>
        </row>
      </sheetData>
      <sheetData sheetId="8917">
        <row r="34">
          <cell r="A34" t="str">
            <v>Investments Govt Securities</v>
          </cell>
        </row>
      </sheetData>
      <sheetData sheetId="8918">
        <row r="34">
          <cell r="A34" t="str">
            <v>Investments Govt Securities</v>
          </cell>
        </row>
      </sheetData>
      <sheetData sheetId="8919">
        <row r="34">
          <cell r="A34" t="str">
            <v>Investments Govt Securities</v>
          </cell>
        </row>
      </sheetData>
      <sheetData sheetId="8920">
        <row r="34">
          <cell r="A34" t="str">
            <v>Investments Govt Securities</v>
          </cell>
        </row>
      </sheetData>
      <sheetData sheetId="8921">
        <row r="34">
          <cell r="A34" t="str">
            <v>Investments Govt Securities</v>
          </cell>
        </row>
      </sheetData>
      <sheetData sheetId="8922">
        <row r="34">
          <cell r="A34" t="str">
            <v>Investments Govt Securities</v>
          </cell>
        </row>
      </sheetData>
      <sheetData sheetId="8923">
        <row r="34">
          <cell r="A34" t="str">
            <v>Investments Govt Securities</v>
          </cell>
        </row>
      </sheetData>
      <sheetData sheetId="8924">
        <row r="34">
          <cell r="A34" t="str">
            <v>Investments Govt Securities</v>
          </cell>
        </row>
      </sheetData>
      <sheetData sheetId="8925">
        <row r="34">
          <cell r="A34" t="str">
            <v>Investments Govt Securities</v>
          </cell>
        </row>
      </sheetData>
      <sheetData sheetId="8926">
        <row r="34">
          <cell r="A34" t="str">
            <v>Investments Govt Securities</v>
          </cell>
        </row>
      </sheetData>
      <sheetData sheetId="8927">
        <row r="34">
          <cell r="A34" t="str">
            <v>Investments Govt Securities</v>
          </cell>
        </row>
      </sheetData>
      <sheetData sheetId="8928">
        <row r="34">
          <cell r="A34" t="str">
            <v>Investments Govt Securities</v>
          </cell>
        </row>
      </sheetData>
      <sheetData sheetId="8929">
        <row r="34">
          <cell r="A34" t="str">
            <v>Investments Govt Securities</v>
          </cell>
        </row>
      </sheetData>
      <sheetData sheetId="8930">
        <row r="34">
          <cell r="A34" t="str">
            <v>Investments Govt Securities</v>
          </cell>
        </row>
      </sheetData>
      <sheetData sheetId="8931">
        <row r="34">
          <cell r="A34" t="str">
            <v>Investments Govt Securities</v>
          </cell>
        </row>
      </sheetData>
      <sheetData sheetId="8932">
        <row r="34">
          <cell r="A34" t="str">
            <v>Investments Govt Securities</v>
          </cell>
        </row>
      </sheetData>
      <sheetData sheetId="8933">
        <row r="34">
          <cell r="A34" t="str">
            <v>Investments Govt Securities</v>
          </cell>
        </row>
      </sheetData>
      <sheetData sheetId="8934">
        <row r="34">
          <cell r="A34" t="str">
            <v>Investments Govt Securities</v>
          </cell>
        </row>
      </sheetData>
      <sheetData sheetId="8935">
        <row r="34">
          <cell r="A34" t="str">
            <v>Investments Govt Securities</v>
          </cell>
        </row>
      </sheetData>
      <sheetData sheetId="8936">
        <row r="34">
          <cell r="A34" t="str">
            <v>Investments Govt Securities</v>
          </cell>
        </row>
      </sheetData>
      <sheetData sheetId="8937">
        <row r="34">
          <cell r="A34" t="str">
            <v>Investments Govt Securities</v>
          </cell>
        </row>
      </sheetData>
      <sheetData sheetId="8938">
        <row r="34">
          <cell r="A34" t="str">
            <v>Investments Govt Securities</v>
          </cell>
        </row>
      </sheetData>
      <sheetData sheetId="8939">
        <row r="34">
          <cell r="A34" t="str">
            <v>Investments Govt Securities</v>
          </cell>
        </row>
      </sheetData>
      <sheetData sheetId="8940">
        <row r="34">
          <cell r="A34" t="str">
            <v>Investments Govt Securities</v>
          </cell>
        </row>
      </sheetData>
      <sheetData sheetId="8941">
        <row r="34">
          <cell r="A34" t="str">
            <v>Investments Govt Securities</v>
          </cell>
        </row>
      </sheetData>
      <sheetData sheetId="8942">
        <row r="34">
          <cell r="A34" t="str">
            <v>Investments Govt Securities</v>
          </cell>
        </row>
      </sheetData>
      <sheetData sheetId="8943">
        <row r="34">
          <cell r="A34" t="str">
            <v>Investments Govt Securities</v>
          </cell>
        </row>
      </sheetData>
      <sheetData sheetId="8944">
        <row r="34">
          <cell r="A34" t="str">
            <v>Investments Govt Securities</v>
          </cell>
        </row>
      </sheetData>
      <sheetData sheetId="8945">
        <row r="34">
          <cell r="A34" t="str">
            <v>Investments Govt Securities</v>
          </cell>
        </row>
      </sheetData>
      <sheetData sheetId="8946">
        <row r="34">
          <cell r="A34" t="str">
            <v>Investments Govt Securities</v>
          </cell>
        </row>
      </sheetData>
      <sheetData sheetId="8947">
        <row r="34">
          <cell r="A34" t="str">
            <v>Investments Govt Securities</v>
          </cell>
        </row>
      </sheetData>
      <sheetData sheetId="8948">
        <row r="34">
          <cell r="A34" t="str">
            <v>Investments Govt Securities</v>
          </cell>
        </row>
      </sheetData>
      <sheetData sheetId="8949">
        <row r="34">
          <cell r="A34" t="str">
            <v>Investments Govt Securities</v>
          </cell>
        </row>
      </sheetData>
      <sheetData sheetId="8950">
        <row r="34">
          <cell r="A34" t="str">
            <v>Investments Govt Securities</v>
          </cell>
        </row>
      </sheetData>
      <sheetData sheetId="8951">
        <row r="34">
          <cell r="A34" t="str">
            <v>Investments Govt Securities</v>
          </cell>
        </row>
      </sheetData>
      <sheetData sheetId="8952">
        <row r="34">
          <cell r="A34" t="str">
            <v>Investments Govt Securities</v>
          </cell>
        </row>
      </sheetData>
      <sheetData sheetId="8953">
        <row r="34">
          <cell r="A34" t="str">
            <v>Investments Govt Securities</v>
          </cell>
        </row>
      </sheetData>
      <sheetData sheetId="8954">
        <row r="34">
          <cell r="A34" t="str">
            <v>Investments Govt Securities</v>
          </cell>
        </row>
      </sheetData>
      <sheetData sheetId="8955">
        <row r="34">
          <cell r="A34" t="str">
            <v>Investments Govt Securities</v>
          </cell>
        </row>
      </sheetData>
      <sheetData sheetId="8956">
        <row r="34">
          <cell r="A34" t="str">
            <v>Investments Govt Securities</v>
          </cell>
        </row>
      </sheetData>
      <sheetData sheetId="8957">
        <row r="34">
          <cell r="A34" t="str">
            <v>Investments Govt Securities</v>
          </cell>
        </row>
      </sheetData>
      <sheetData sheetId="8958">
        <row r="34">
          <cell r="A34" t="str">
            <v>Investments Govt Securities</v>
          </cell>
        </row>
      </sheetData>
      <sheetData sheetId="8959">
        <row r="34">
          <cell r="A34" t="str">
            <v>Investments Govt Securities</v>
          </cell>
        </row>
      </sheetData>
      <sheetData sheetId="8960">
        <row r="34">
          <cell r="A34" t="str">
            <v>Investments Govt Securities</v>
          </cell>
        </row>
      </sheetData>
      <sheetData sheetId="8961">
        <row r="34">
          <cell r="A34" t="str">
            <v>Investments Govt Securities</v>
          </cell>
        </row>
      </sheetData>
      <sheetData sheetId="8962">
        <row r="34">
          <cell r="A34" t="str">
            <v>Investments Govt Securities</v>
          </cell>
        </row>
      </sheetData>
      <sheetData sheetId="8963">
        <row r="34">
          <cell r="A34" t="str">
            <v>Investments Govt Securities</v>
          </cell>
        </row>
      </sheetData>
      <sheetData sheetId="8964">
        <row r="34">
          <cell r="A34" t="str">
            <v>Investments Govt Securities</v>
          </cell>
        </row>
      </sheetData>
      <sheetData sheetId="8965">
        <row r="34">
          <cell r="A34" t="str">
            <v>Investments Govt Securities</v>
          </cell>
        </row>
      </sheetData>
      <sheetData sheetId="8966">
        <row r="34">
          <cell r="A34" t="str">
            <v>Investments Govt Securities</v>
          </cell>
        </row>
      </sheetData>
      <sheetData sheetId="8967">
        <row r="34">
          <cell r="A34" t="str">
            <v>Investments Govt Securities</v>
          </cell>
        </row>
      </sheetData>
      <sheetData sheetId="8968">
        <row r="34">
          <cell r="A34" t="str">
            <v>Investments Govt Securities</v>
          </cell>
        </row>
      </sheetData>
      <sheetData sheetId="8969">
        <row r="34">
          <cell r="A34" t="str">
            <v>Investments Govt Securities</v>
          </cell>
        </row>
      </sheetData>
      <sheetData sheetId="8970">
        <row r="34">
          <cell r="A34" t="str">
            <v>Investments Govt Securities</v>
          </cell>
        </row>
      </sheetData>
      <sheetData sheetId="8971">
        <row r="34">
          <cell r="A34" t="str">
            <v>Investments Govt Securities</v>
          </cell>
        </row>
      </sheetData>
      <sheetData sheetId="8972">
        <row r="34">
          <cell r="A34" t="str">
            <v>Investments Govt Securities</v>
          </cell>
        </row>
      </sheetData>
      <sheetData sheetId="8973">
        <row r="34">
          <cell r="A34" t="str">
            <v>Investments Govt Securities</v>
          </cell>
        </row>
      </sheetData>
      <sheetData sheetId="8974">
        <row r="34">
          <cell r="A34" t="str">
            <v>Investments Govt Securities</v>
          </cell>
        </row>
      </sheetData>
      <sheetData sheetId="8975">
        <row r="34">
          <cell r="A34" t="str">
            <v>Investments Govt Securities</v>
          </cell>
        </row>
      </sheetData>
      <sheetData sheetId="8976">
        <row r="34">
          <cell r="A34" t="str">
            <v>Investments Govt Securities</v>
          </cell>
        </row>
      </sheetData>
      <sheetData sheetId="8977">
        <row r="34">
          <cell r="A34" t="str">
            <v>Investments Govt Securities</v>
          </cell>
        </row>
      </sheetData>
      <sheetData sheetId="8978">
        <row r="34">
          <cell r="A34" t="str">
            <v>Investments Govt Securities</v>
          </cell>
        </row>
      </sheetData>
      <sheetData sheetId="8979">
        <row r="34">
          <cell r="A34" t="str">
            <v>Investments Govt Securities</v>
          </cell>
        </row>
      </sheetData>
      <sheetData sheetId="8980">
        <row r="34">
          <cell r="A34" t="str">
            <v>Investments Govt Securities</v>
          </cell>
        </row>
      </sheetData>
      <sheetData sheetId="8981">
        <row r="34">
          <cell r="A34" t="str">
            <v>Investments Govt Securities</v>
          </cell>
        </row>
      </sheetData>
      <sheetData sheetId="8982">
        <row r="34">
          <cell r="A34" t="str">
            <v>Investments Govt Securities</v>
          </cell>
        </row>
      </sheetData>
      <sheetData sheetId="8983">
        <row r="34">
          <cell r="A34" t="str">
            <v>Investments Govt Securities</v>
          </cell>
        </row>
      </sheetData>
      <sheetData sheetId="8984">
        <row r="34">
          <cell r="A34" t="str">
            <v>Investments Govt Securities</v>
          </cell>
        </row>
      </sheetData>
      <sheetData sheetId="8985">
        <row r="34">
          <cell r="A34" t="str">
            <v>Investments Govt Securities</v>
          </cell>
        </row>
      </sheetData>
      <sheetData sheetId="8986">
        <row r="34">
          <cell r="A34" t="str">
            <v>Investments Govt Securities</v>
          </cell>
        </row>
      </sheetData>
      <sheetData sheetId="8987">
        <row r="34">
          <cell r="A34" t="str">
            <v>Investments Govt Securities</v>
          </cell>
        </row>
      </sheetData>
      <sheetData sheetId="8988">
        <row r="34">
          <cell r="A34" t="str">
            <v>Investments Govt Securities</v>
          </cell>
        </row>
      </sheetData>
      <sheetData sheetId="8989">
        <row r="34">
          <cell r="A34" t="str">
            <v>Investments Govt Securities</v>
          </cell>
        </row>
      </sheetData>
      <sheetData sheetId="8990">
        <row r="34">
          <cell r="A34" t="str">
            <v>Investments Govt Securities</v>
          </cell>
        </row>
      </sheetData>
      <sheetData sheetId="8991">
        <row r="34">
          <cell r="A34" t="str">
            <v>Investments Govt Securities</v>
          </cell>
        </row>
      </sheetData>
      <sheetData sheetId="8992">
        <row r="34">
          <cell r="A34" t="str">
            <v>Investments Govt Securities</v>
          </cell>
        </row>
      </sheetData>
      <sheetData sheetId="8993">
        <row r="34">
          <cell r="A34" t="str">
            <v>Investments Govt Securities</v>
          </cell>
        </row>
      </sheetData>
      <sheetData sheetId="8994">
        <row r="34">
          <cell r="A34" t="str">
            <v>Investments Govt Securities</v>
          </cell>
        </row>
      </sheetData>
      <sheetData sheetId="8995">
        <row r="34">
          <cell r="A34" t="str">
            <v>Investments Govt Securities</v>
          </cell>
        </row>
      </sheetData>
      <sheetData sheetId="8996">
        <row r="34">
          <cell r="A34" t="str">
            <v>Investments Govt Securities</v>
          </cell>
        </row>
      </sheetData>
      <sheetData sheetId="8997">
        <row r="34">
          <cell r="A34" t="str">
            <v>Investments Govt Securities</v>
          </cell>
        </row>
      </sheetData>
      <sheetData sheetId="8998">
        <row r="34">
          <cell r="A34" t="str">
            <v>Investments Govt Securities</v>
          </cell>
        </row>
      </sheetData>
      <sheetData sheetId="8999">
        <row r="34">
          <cell r="A34" t="str">
            <v>Investments Govt Securities</v>
          </cell>
        </row>
      </sheetData>
      <sheetData sheetId="9000">
        <row r="34">
          <cell r="A34" t="str">
            <v>Investments Govt Securities</v>
          </cell>
        </row>
      </sheetData>
      <sheetData sheetId="9001">
        <row r="34">
          <cell r="A34" t="str">
            <v>Investments Govt Securities</v>
          </cell>
        </row>
      </sheetData>
      <sheetData sheetId="9002">
        <row r="34">
          <cell r="A34" t="str">
            <v>Investments Govt Securities</v>
          </cell>
        </row>
      </sheetData>
      <sheetData sheetId="9003">
        <row r="34">
          <cell r="A34" t="str">
            <v>Investments Govt Securities</v>
          </cell>
        </row>
      </sheetData>
      <sheetData sheetId="9004">
        <row r="34">
          <cell r="A34" t="str">
            <v>Investments Govt Securities</v>
          </cell>
        </row>
      </sheetData>
      <sheetData sheetId="9005">
        <row r="34">
          <cell r="A34" t="str">
            <v>Investments Govt Securities</v>
          </cell>
        </row>
      </sheetData>
      <sheetData sheetId="9006">
        <row r="34">
          <cell r="A34" t="str">
            <v>Investments Govt Securities</v>
          </cell>
        </row>
      </sheetData>
      <sheetData sheetId="9007">
        <row r="34">
          <cell r="A34" t="str">
            <v>Investments Govt Securities</v>
          </cell>
        </row>
      </sheetData>
      <sheetData sheetId="9008">
        <row r="34">
          <cell r="A34" t="str">
            <v>Investments Govt Securities</v>
          </cell>
        </row>
      </sheetData>
      <sheetData sheetId="9009">
        <row r="34">
          <cell r="A34" t="str">
            <v>Investments Govt Securities</v>
          </cell>
        </row>
      </sheetData>
      <sheetData sheetId="9010">
        <row r="34">
          <cell r="A34" t="str">
            <v>Investments Govt Securities</v>
          </cell>
        </row>
      </sheetData>
      <sheetData sheetId="9011">
        <row r="34">
          <cell r="A34" t="str">
            <v>Investments Govt Securities</v>
          </cell>
        </row>
      </sheetData>
      <sheetData sheetId="9012">
        <row r="34">
          <cell r="A34" t="str">
            <v>Investments Govt Securities</v>
          </cell>
        </row>
      </sheetData>
      <sheetData sheetId="9013">
        <row r="34">
          <cell r="A34" t="str">
            <v>Investments Govt Securities</v>
          </cell>
        </row>
      </sheetData>
      <sheetData sheetId="9014">
        <row r="34">
          <cell r="A34" t="str">
            <v>Investments Govt Securities</v>
          </cell>
        </row>
      </sheetData>
      <sheetData sheetId="9015">
        <row r="34">
          <cell r="A34" t="str">
            <v>Investments Govt Securities</v>
          </cell>
        </row>
      </sheetData>
      <sheetData sheetId="9016">
        <row r="34">
          <cell r="A34" t="str">
            <v>Investments Govt Securities</v>
          </cell>
        </row>
      </sheetData>
      <sheetData sheetId="9017">
        <row r="34">
          <cell r="A34" t="str">
            <v>Investments Govt Securities</v>
          </cell>
        </row>
      </sheetData>
      <sheetData sheetId="9018">
        <row r="34">
          <cell r="A34" t="str">
            <v>Investments Govt Securities</v>
          </cell>
        </row>
      </sheetData>
      <sheetData sheetId="9019">
        <row r="34">
          <cell r="A34" t="str">
            <v>Investments Govt Securities</v>
          </cell>
        </row>
      </sheetData>
      <sheetData sheetId="9020">
        <row r="34">
          <cell r="A34" t="str">
            <v>Investments Govt Securities</v>
          </cell>
        </row>
      </sheetData>
      <sheetData sheetId="9021">
        <row r="34">
          <cell r="A34" t="str">
            <v>Investments Govt Securities</v>
          </cell>
        </row>
      </sheetData>
      <sheetData sheetId="9022">
        <row r="34">
          <cell r="A34" t="str">
            <v>Investments Govt Securities</v>
          </cell>
        </row>
      </sheetData>
      <sheetData sheetId="9023">
        <row r="34">
          <cell r="A34" t="str">
            <v>Investments Govt Securities</v>
          </cell>
        </row>
      </sheetData>
      <sheetData sheetId="9024">
        <row r="34">
          <cell r="A34" t="str">
            <v>Investments Govt Securities</v>
          </cell>
        </row>
      </sheetData>
      <sheetData sheetId="9025">
        <row r="34">
          <cell r="A34" t="str">
            <v>Investments Govt Securities</v>
          </cell>
        </row>
      </sheetData>
      <sheetData sheetId="9026">
        <row r="34">
          <cell r="A34" t="str">
            <v>Investments Govt Securities</v>
          </cell>
        </row>
      </sheetData>
      <sheetData sheetId="9027">
        <row r="34">
          <cell r="A34" t="str">
            <v>Investments Govt Securities</v>
          </cell>
        </row>
      </sheetData>
      <sheetData sheetId="9028">
        <row r="34">
          <cell r="A34" t="str">
            <v>Investments Govt Securities</v>
          </cell>
        </row>
      </sheetData>
      <sheetData sheetId="9029">
        <row r="34">
          <cell r="A34" t="str">
            <v>Investments Govt Securities</v>
          </cell>
        </row>
      </sheetData>
      <sheetData sheetId="9030">
        <row r="34">
          <cell r="A34" t="str">
            <v>Investments Govt Securities</v>
          </cell>
        </row>
      </sheetData>
      <sheetData sheetId="9031">
        <row r="34">
          <cell r="A34" t="str">
            <v>Investments Govt Securities</v>
          </cell>
        </row>
      </sheetData>
      <sheetData sheetId="9032">
        <row r="34">
          <cell r="A34" t="str">
            <v>Investments Govt Securities</v>
          </cell>
        </row>
      </sheetData>
      <sheetData sheetId="9033">
        <row r="34">
          <cell r="A34" t="str">
            <v>Investments Govt Securities</v>
          </cell>
        </row>
      </sheetData>
      <sheetData sheetId="9034">
        <row r="34">
          <cell r="A34" t="str">
            <v>Investments Govt Securities</v>
          </cell>
        </row>
      </sheetData>
      <sheetData sheetId="9035">
        <row r="34">
          <cell r="A34" t="str">
            <v>Investments Govt Securities</v>
          </cell>
        </row>
      </sheetData>
      <sheetData sheetId="9036">
        <row r="34">
          <cell r="A34" t="str">
            <v>Investments Govt Securities</v>
          </cell>
        </row>
      </sheetData>
      <sheetData sheetId="9037">
        <row r="34">
          <cell r="A34" t="str">
            <v>Investments Govt Securities</v>
          </cell>
        </row>
      </sheetData>
      <sheetData sheetId="9038">
        <row r="34">
          <cell r="A34" t="str">
            <v>Investments Govt Securities</v>
          </cell>
        </row>
      </sheetData>
      <sheetData sheetId="9039">
        <row r="34">
          <cell r="A34" t="str">
            <v>Investments Govt Securities</v>
          </cell>
        </row>
      </sheetData>
      <sheetData sheetId="9040">
        <row r="34">
          <cell r="A34" t="str">
            <v>Investments Govt Securities</v>
          </cell>
        </row>
      </sheetData>
      <sheetData sheetId="9041">
        <row r="34">
          <cell r="A34" t="str">
            <v>Investments Govt Securities</v>
          </cell>
        </row>
      </sheetData>
      <sheetData sheetId="9042">
        <row r="34">
          <cell r="A34" t="str">
            <v>Investments Govt Securities</v>
          </cell>
        </row>
      </sheetData>
      <sheetData sheetId="9043">
        <row r="34">
          <cell r="A34" t="str">
            <v>Investments Govt Securities</v>
          </cell>
        </row>
      </sheetData>
      <sheetData sheetId="9044">
        <row r="34">
          <cell r="A34" t="str">
            <v>Investments Govt Securities</v>
          </cell>
        </row>
      </sheetData>
      <sheetData sheetId="9045">
        <row r="34">
          <cell r="A34" t="str">
            <v>Investments Govt Securities</v>
          </cell>
        </row>
      </sheetData>
      <sheetData sheetId="9046">
        <row r="34">
          <cell r="A34" t="str">
            <v>Investments Govt Securities</v>
          </cell>
        </row>
      </sheetData>
      <sheetData sheetId="9047">
        <row r="34">
          <cell r="A34" t="str">
            <v>Investments Govt Securities</v>
          </cell>
        </row>
      </sheetData>
      <sheetData sheetId="9048">
        <row r="34">
          <cell r="A34" t="str">
            <v>Investments Govt Securities</v>
          </cell>
        </row>
      </sheetData>
      <sheetData sheetId="9049">
        <row r="34">
          <cell r="A34" t="str">
            <v>Investments Govt Securities</v>
          </cell>
        </row>
      </sheetData>
      <sheetData sheetId="9050">
        <row r="34">
          <cell r="A34" t="str">
            <v>Investments Govt Securities</v>
          </cell>
        </row>
      </sheetData>
      <sheetData sheetId="9051">
        <row r="34">
          <cell r="A34" t="str">
            <v>Investments Govt Securities</v>
          </cell>
        </row>
      </sheetData>
      <sheetData sheetId="9052">
        <row r="34">
          <cell r="A34" t="str">
            <v>Investments Govt Securities</v>
          </cell>
        </row>
      </sheetData>
      <sheetData sheetId="9053">
        <row r="34">
          <cell r="A34" t="str">
            <v>Investments Govt Securities</v>
          </cell>
        </row>
      </sheetData>
      <sheetData sheetId="9054">
        <row r="34">
          <cell r="A34" t="str">
            <v>Investments Govt Securities</v>
          </cell>
        </row>
      </sheetData>
      <sheetData sheetId="9055">
        <row r="34">
          <cell r="A34" t="str">
            <v>Investments Govt Securities</v>
          </cell>
        </row>
      </sheetData>
      <sheetData sheetId="9056">
        <row r="34">
          <cell r="A34" t="str">
            <v>Investments Govt Securities</v>
          </cell>
        </row>
      </sheetData>
      <sheetData sheetId="9057">
        <row r="34">
          <cell r="A34" t="str">
            <v>Investments Govt Securities</v>
          </cell>
        </row>
      </sheetData>
      <sheetData sheetId="9058">
        <row r="34">
          <cell r="A34" t="str">
            <v>Investments Govt Securities</v>
          </cell>
        </row>
      </sheetData>
      <sheetData sheetId="9059">
        <row r="34">
          <cell r="A34" t="str">
            <v>Investments Govt Securities</v>
          </cell>
        </row>
      </sheetData>
      <sheetData sheetId="9060">
        <row r="34">
          <cell r="A34" t="str">
            <v>Investments Govt Securities</v>
          </cell>
        </row>
      </sheetData>
      <sheetData sheetId="9061">
        <row r="34">
          <cell r="A34" t="str">
            <v>Investments Govt Securities</v>
          </cell>
        </row>
      </sheetData>
      <sheetData sheetId="9062">
        <row r="34">
          <cell r="A34" t="str">
            <v>Investments Govt Securities</v>
          </cell>
        </row>
      </sheetData>
      <sheetData sheetId="9063">
        <row r="34">
          <cell r="A34" t="str">
            <v>Investments Govt Securities</v>
          </cell>
        </row>
      </sheetData>
      <sheetData sheetId="9064">
        <row r="34">
          <cell r="A34" t="str">
            <v>Investments Govt Securities</v>
          </cell>
        </row>
      </sheetData>
      <sheetData sheetId="9065">
        <row r="34">
          <cell r="A34" t="str">
            <v>Investments Govt Securities</v>
          </cell>
        </row>
      </sheetData>
      <sheetData sheetId="9066">
        <row r="34">
          <cell r="A34" t="str">
            <v>Investments Govt Securities</v>
          </cell>
        </row>
      </sheetData>
      <sheetData sheetId="9067">
        <row r="34">
          <cell r="A34" t="str">
            <v>Investments Govt Securities</v>
          </cell>
        </row>
      </sheetData>
      <sheetData sheetId="9068">
        <row r="34">
          <cell r="A34" t="str">
            <v>Investments Govt Securities</v>
          </cell>
        </row>
      </sheetData>
      <sheetData sheetId="9069">
        <row r="34">
          <cell r="A34" t="str">
            <v>Investments Govt Securities</v>
          </cell>
        </row>
      </sheetData>
      <sheetData sheetId="9070">
        <row r="34">
          <cell r="A34" t="str">
            <v>Investments Govt Securities</v>
          </cell>
        </row>
      </sheetData>
      <sheetData sheetId="9071">
        <row r="34">
          <cell r="A34" t="str">
            <v>Investments Govt Securities</v>
          </cell>
        </row>
      </sheetData>
      <sheetData sheetId="9072">
        <row r="34">
          <cell r="A34" t="str">
            <v>Investments Govt Securities</v>
          </cell>
        </row>
      </sheetData>
      <sheetData sheetId="9073">
        <row r="34">
          <cell r="A34" t="str">
            <v>Investments Govt Securities</v>
          </cell>
        </row>
      </sheetData>
      <sheetData sheetId="9074">
        <row r="34">
          <cell r="A34" t="str">
            <v>Investments Govt Securities</v>
          </cell>
        </row>
      </sheetData>
      <sheetData sheetId="9075">
        <row r="34">
          <cell r="A34" t="str">
            <v>Investments Govt Securities</v>
          </cell>
        </row>
      </sheetData>
      <sheetData sheetId="9076">
        <row r="34">
          <cell r="A34" t="str">
            <v>Investments Govt Securities</v>
          </cell>
        </row>
      </sheetData>
      <sheetData sheetId="9077">
        <row r="34">
          <cell r="A34" t="str">
            <v>Investments Govt Securities</v>
          </cell>
        </row>
      </sheetData>
      <sheetData sheetId="9078">
        <row r="34">
          <cell r="A34" t="str">
            <v>Investments Govt Securities</v>
          </cell>
        </row>
      </sheetData>
      <sheetData sheetId="9079">
        <row r="34">
          <cell r="A34" t="str">
            <v>Investments Govt Securities</v>
          </cell>
        </row>
      </sheetData>
      <sheetData sheetId="9080">
        <row r="34">
          <cell r="A34" t="str">
            <v>Investments Govt Securities</v>
          </cell>
        </row>
      </sheetData>
      <sheetData sheetId="9081">
        <row r="34">
          <cell r="A34" t="str">
            <v>Investments Govt Securities</v>
          </cell>
        </row>
      </sheetData>
      <sheetData sheetId="9082">
        <row r="34">
          <cell r="A34" t="str">
            <v>Investments Govt Securities</v>
          </cell>
        </row>
      </sheetData>
      <sheetData sheetId="9083">
        <row r="34">
          <cell r="A34" t="str">
            <v>Investments Govt Securities</v>
          </cell>
        </row>
      </sheetData>
      <sheetData sheetId="9084">
        <row r="34">
          <cell r="A34" t="str">
            <v>Investments Govt Securities</v>
          </cell>
        </row>
      </sheetData>
      <sheetData sheetId="9085">
        <row r="34">
          <cell r="A34" t="str">
            <v>Investments Govt Securities</v>
          </cell>
        </row>
      </sheetData>
      <sheetData sheetId="9086">
        <row r="34">
          <cell r="A34" t="str">
            <v>Investments Govt Securities</v>
          </cell>
        </row>
      </sheetData>
      <sheetData sheetId="9087">
        <row r="34">
          <cell r="A34" t="str">
            <v>Investments Govt Securities</v>
          </cell>
        </row>
      </sheetData>
      <sheetData sheetId="9088">
        <row r="34">
          <cell r="A34" t="str">
            <v>Investments Govt Securities</v>
          </cell>
        </row>
      </sheetData>
      <sheetData sheetId="9089">
        <row r="34">
          <cell r="A34" t="str">
            <v>Investments Govt Securities</v>
          </cell>
        </row>
      </sheetData>
      <sheetData sheetId="9090">
        <row r="34">
          <cell r="A34" t="str">
            <v>Investments Govt Securities</v>
          </cell>
        </row>
      </sheetData>
      <sheetData sheetId="9091">
        <row r="34">
          <cell r="A34" t="str">
            <v>Investments Govt Securities</v>
          </cell>
        </row>
      </sheetData>
      <sheetData sheetId="9092">
        <row r="34">
          <cell r="A34" t="str">
            <v>Investments Govt Securities</v>
          </cell>
        </row>
      </sheetData>
      <sheetData sheetId="9093">
        <row r="34">
          <cell r="A34" t="str">
            <v>Investments Govt Securities</v>
          </cell>
        </row>
      </sheetData>
      <sheetData sheetId="9094">
        <row r="34">
          <cell r="A34" t="str">
            <v>Investments Govt Securities</v>
          </cell>
        </row>
      </sheetData>
      <sheetData sheetId="9095">
        <row r="34">
          <cell r="A34" t="str">
            <v>Investments Govt Securities</v>
          </cell>
        </row>
      </sheetData>
      <sheetData sheetId="9096">
        <row r="34">
          <cell r="A34" t="str">
            <v>Investments Govt Securities</v>
          </cell>
        </row>
      </sheetData>
      <sheetData sheetId="9097">
        <row r="34">
          <cell r="A34" t="str">
            <v>Investments Govt Securities</v>
          </cell>
        </row>
      </sheetData>
      <sheetData sheetId="9098">
        <row r="34">
          <cell r="A34" t="str">
            <v>Investments Govt Securities</v>
          </cell>
        </row>
      </sheetData>
      <sheetData sheetId="9099">
        <row r="34">
          <cell r="A34" t="str">
            <v>Investments Govt Securities</v>
          </cell>
        </row>
      </sheetData>
      <sheetData sheetId="9100">
        <row r="34">
          <cell r="A34" t="str">
            <v>Investments Govt Securities</v>
          </cell>
        </row>
      </sheetData>
      <sheetData sheetId="9101">
        <row r="34">
          <cell r="A34" t="str">
            <v>Investments Govt Securities</v>
          </cell>
        </row>
      </sheetData>
      <sheetData sheetId="9102">
        <row r="34">
          <cell r="A34" t="str">
            <v>Investments Govt Securities</v>
          </cell>
        </row>
      </sheetData>
      <sheetData sheetId="9103">
        <row r="34">
          <cell r="A34" t="str">
            <v>Investments Govt Securities</v>
          </cell>
        </row>
      </sheetData>
      <sheetData sheetId="9104">
        <row r="34">
          <cell r="A34" t="str">
            <v>Investments Govt Securities</v>
          </cell>
        </row>
      </sheetData>
      <sheetData sheetId="9105">
        <row r="34">
          <cell r="A34" t="str">
            <v>Investments Govt Securities</v>
          </cell>
        </row>
      </sheetData>
      <sheetData sheetId="9106">
        <row r="34">
          <cell r="A34" t="str">
            <v>Investments Govt Securities</v>
          </cell>
        </row>
      </sheetData>
      <sheetData sheetId="9107">
        <row r="34">
          <cell r="A34" t="str">
            <v>Investments Govt Securities</v>
          </cell>
        </row>
      </sheetData>
      <sheetData sheetId="9108">
        <row r="34">
          <cell r="A34" t="str">
            <v>Investments Govt Securities</v>
          </cell>
        </row>
      </sheetData>
      <sheetData sheetId="9109">
        <row r="34">
          <cell r="A34" t="str">
            <v>Investments Govt Securities</v>
          </cell>
        </row>
      </sheetData>
      <sheetData sheetId="9110">
        <row r="34">
          <cell r="A34" t="str">
            <v>Investments Govt Securities</v>
          </cell>
        </row>
      </sheetData>
      <sheetData sheetId="9111">
        <row r="34">
          <cell r="A34" t="str">
            <v>Investments Govt Securities</v>
          </cell>
        </row>
      </sheetData>
      <sheetData sheetId="9112">
        <row r="34">
          <cell r="A34" t="str">
            <v>Investments Govt Securities</v>
          </cell>
        </row>
      </sheetData>
      <sheetData sheetId="9113">
        <row r="34">
          <cell r="A34" t="str">
            <v>Investments Govt Securities</v>
          </cell>
        </row>
      </sheetData>
      <sheetData sheetId="9114">
        <row r="34">
          <cell r="A34" t="str">
            <v>Investments Govt Securities</v>
          </cell>
        </row>
      </sheetData>
      <sheetData sheetId="9115">
        <row r="34">
          <cell r="A34" t="str">
            <v>Investments Govt Securities</v>
          </cell>
        </row>
      </sheetData>
      <sheetData sheetId="9116">
        <row r="34">
          <cell r="A34" t="str">
            <v>Investments Govt Securities</v>
          </cell>
        </row>
      </sheetData>
      <sheetData sheetId="9117">
        <row r="34">
          <cell r="A34" t="str">
            <v>Investments Govt Securities</v>
          </cell>
        </row>
      </sheetData>
      <sheetData sheetId="9118">
        <row r="34">
          <cell r="A34" t="str">
            <v>Investments Govt Securities</v>
          </cell>
        </row>
      </sheetData>
      <sheetData sheetId="9119">
        <row r="34">
          <cell r="A34" t="str">
            <v>Investments Govt Securities</v>
          </cell>
        </row>
      </sheetData>
      <sheetData sheetId="9120">
        <row r="34">
          <cell r="A34" t="str">
            <v>Investments Govt Securities</v>
          </cell>
        </row>
      </sheetData>
      <sheetData sheetId="9121">
        <row r="34">
          <cell r="A34" t="str">
            <v>Investments Govt Securities</v>
          </cell>
        </row>
      </sheetData>
      <sheetData sheetId="9122">
        <row r="34">
          <cell r="A34" t="str">
            <v>Investments Govt Securities</v>
          </cell>
        </row>
      </sheetData>
      <sheetData sheetId="9123">
        <row r="34">
          <cell r="A34" t="str">
            <v>Investments Govt Securities</v>
          </cell>
        </row>
      </sheetData>
      <sheetData sheetId="9124">
        <row r="34">
          <cell r="A34" t="str">
            <v>Investments Govt Securities</v>
          </cell>
        </row>
      </sheetData>
      <sheetData sheetId="9125">
        <row r="34">
          <cell r="A34" t="str">
            <v>Investments Govt Securities</v>
          </cell>
        </row>
      </sheetData>
      <sheetData sheetId="9126">
        <row r="34">
          <cell r="A34" t="str">
            <v>Investments Govt Securities</v>
          </cell>
        </row>
      </sheetData>
      <sheetData sheetId="9127">
        <row r="34">
          <cell r="A34" t="str">
            <v>Investments Govt Securities</v>
          </cell>
        </row>
      </sheetData>
      <sheetData sheetId="9128">
        <row r="34">
          <cell r="A34" t="str">
            <v>Investments Govt Securities</v>
          </cell>
        </row>
      </sheetData>
      <sheetData sheetId="9129">
        <row r="34">
          <cell r="A34" t="str">
            <v>Investments Govt Securities</v>
          </cell>
        </row>
      </sheetData>
      <sheetData sheetId="9130">
        <row r="34">
          <cell r="A34" t="str">
            <v>Investments Govt Securities</v>
          </cell>
        </row>
      </sheetData>
      <sheetData sheetId="9131">
        <row r="34">
          <cell r="A34" t="str">
            <v>Investments Govt Securities</v>
          </cell>
        </row>
      </sheetData>
      <sheetData sheetId="9132">
        <row r="34">
          <cell r="A34" t="str">
            <v>Investments Govt Securities</v>
          </cell>
        </row>
      </sheetData>
      <sheetData sheetId="9133">
        <row r="34">
          <cell r="A34" t="str">
            <v>Investments Govt Securities</v>
          </cell>
        </row>
      </sheetData>
      <sheetData sheetId="9134">
        <row r="34">
          <cell r="A34" t="str">
            <v>Investments Govt Securities</v>
          </cell>
        </row>
      </sheetData>
      <sheetData sheetId="9135">
        <row r="34">
          <cell r="A34" t="str">
            <v>Investments Govt Securities</v>
          </cell>
        </row>
      </sheetData>
      <sheetData sheetId="9136">
        <row r="34">
          <cell r="A34" t="str">
            <v>Investments Govt Securities</v>
          </cell>
        </row>
      </sheetData>
      <sheetData sheetId="9137">
        <row r="34">
          <cell r="A34" t="str">
            <v>Investments Govt Securities</v>
          </cell>
        </row>
      </sheetData>
      <sheetData sheetId="9138">
        <row r="34">
          <cell r="A34" t="str">
            <v>Investments Govt Securities</v>
          </cell>
        </row>
      </sheetData>
      <sheetData sheetId="9139">
        <row r="34">
          <cell r="A34" t="str">
            <v>Investments Govt Securities</v>
          </cell>
        </row>
      </sheetData>
      <sheetData sheetId="9140">
        <row r="34">
          <cell r="A34" t="str">
            <v>Investments Govt Securities</v>
          </cell>
        </row>
      </sheetData>
      <sheetData sheetId="9141">
        <row r="34">
          <cell r="A34" t="str">
            <v>Investments Govt Securities</v>
          </cell>
        </row>
      </sheetData>
      <sheetData sheetId="9142">
        <row r="34">
          <cell r="A34" t="str">
            <v>Investments Govt Securities</v>
          </cell>
        </row>
      </sheetData>
      <sheetData sheetId="9143">
        <row r="34">
          <cell r="A34" t="str">
            <v>Investments Govt Securities</v>
          </cell>
        </row>
      </sheetData>
      <sheetData sheetId="9144">
        <row r="34">
          <cell r="A34" t="str">
            <v>Investments Govt Securities</v>
          </cell>
        </row>
      </sheetData>
      <sheetData sheetId="9145">
        <row r="34">
          <cell r="A34" t="str">
            <v>Investments Govt Securities</v>
          </cell>
        </row>
      </sheetData>
      <sheetData sheetId="9146">
        <row r="34">
          <cell r="A34" t="str">
            <v>Investments Govt Securities</v>
          </cell>
        </row>
      </sheetData>
      <sheetData sheetId="9147">
        <row r="34">
          <cell r="A34" t="str">
            <v>Investments Govt Securities</v>
          </cell>
        </row>
      </sheetData>
      <sheetData sheetId="9148">
        <row r="34">
          <cell r="A34" t="str">
            <v>Investments Govt Securities</v>
          </cell>
        </row>
      </sheetData>
      <sheetData sheetId="9149">
        <row r="34">
          <cell r="A34" t="str">
            <v>Investments Govt Securities</v>
          </cell>
        </row>
      </sheetData>
      <sheetData sheetId="9150">
        <row r="34">
          <cell r="A34" t="str">
            <v>Investments Govt Securities</v>
          </cell>
        </row>
      </sheetData>
      <sheetData sheetId="9151">
        <row r="34">
          <cell r="A34" t="str">
            <v>Investments Govt Securities</v>
          </cell>
        </row>
      </sheetData>
      <sheetData sheetId="9152">
        <row r="34">
          <cell r="A34" t="str">
            <v>Investments Govt Securities</v>
          </cell>
        </row>
      </sheetData>
      <sheetData sheetId="9153">
        <row r="34">
          <cell r="A34" t="str">
            <v>Investments Govt Securities</v>
          </cell>
        </row>
      </sheetData>
      <sheetData sheetId="9154">
        <row r="34">
          <cell r="A34" t="str">
            <v>Investments Govt Securities</v>
          </cell>
        </row>
      </sheetData>
      <sheetData sheetId="9155">
        <row r="34">
          <cell r="A34" t="str">
            <v>Investments Govt Securities</v>
          </cell>
        </row>
      </sheetData>
      <sheetData sheetId="9156">
        <row r="34">
          <cell r="A34" t="str">
            <v>Investments Govt Securities</v>
          </cell>
        </row>
      </sheetData>
      <sheetData sheetId="9157">
        <row r="34">
          <cell r="A34" t="str">
            <v>Investments Govt Securities</v>
          </cell>
        </row>
      </sheetData>
      <sheetData sheetId="9158">
        <row r="34">
          <cell r="A34" t="str">
            <v>Investments Govt Securities</v>
          </cell>
        </row>
      </sheetData>
      <sheetData sheetId="9159">
        <row r="34">
          <cell r="A34" t="str">
            <v>Investments Govt Securities</v>
          </cell>
        </row>
      </sheetData>
      <sheetData sheetId="9160">
        <row r="34">
          <cell r="A34" t="str">
            <v>Investments Govt Securities</v>
          </cell>
        </row>
      </sheetData>
      <sheetData sheetId="9161">
        <row r="34">
          <cell r="A34" t="str">
            <v>Investments Govt Securities</v>
          </cell>
        </row>
      </sheetData>
      <sheetData sheetId="9162">
        <row r="34">
          <cell r="A34" t="str">
            <v>Investments Govt Securities</v>
          </cell>
        </row>
      </sheetData>
      <sheetData sheetId="9163">
        <row r="34">
          <cell r="A34" t="str">
            <v>Investments Govt Securities</v>
          </cell>
        </row>
      </sheetData>
      <sheetData sheetId="9164">
        <row r="34">
          <cell r="A34" t="str">
            <v>Investments Govt Securities</v>
          </cell>
        </row>
      </sheetData>
      <sheetData sheetId="9165">
        <row r="34">
          <cell r="A34" t="str">
            <v>Investments Govt Securities</v>
          </cell>
        </row>
      </sheetData>
      <sheetData sheetId="9166">
        <row r="34">
          <cell r="A34" t="str">
            <v>Investments Govt Securities</v>
          </cell>
        </row>
      </sheetData>
      <sheetData sheetId="9167">
        <row r="34">
          <cell r="A34" t="str">
            <v>Investments Govt Securities</v>
          </cell>
        </row>
      </sheetData>
      <sheetData sheetId="9168">
        <row r="34">
          <cell r="A34" t="str">
            <v>Investments Govt Securities</v>
          </cell>
        </row>
      </sheetData>
      <sheetData sheetId="9169">
        <row r="34">
          <cell r="A34" t="str">
            <v>Investments Govt Securities</v>
          </cell>
        </row>
      </sheetData>
      <sheetData sheetId="9170">
        <row r="34">
          <cell r="A34" t="str">
            <v>Investments Govt Securities</v>
          </cell>
        </row>
      </sheetData>
      <sheetData sheetId="9171">
        <row r="34">
          <cell r="A34" t="str">
            <v>Investments Govt Securities</v>
          </cell>
        </row>
      </sheetData>
      <sheetData sheetId="9172">
        <row r="34">
          <cell r="A34" t="str">
            <v>Investments Govt Securities</v>
          </cell>
        </row>
      </sheetData>
      <sheetData sheetId="9173">
        <row r="34">
          <cell r="A34" t="str">
            <v>Investments Govt Securities</v>
          </cell>
        </row>
      </sheetData>
      <sheetData sheetId="9174">
        <row r="34">
          <cell r="A34" t="str">
            <v>Investments Govt Securities</v>
          </cell>
        </row>
      </sheetData>
      <sheetData sheetId="9175">
        <row r="34">
          <cell r="A34" t="str">
            <v>Investments Govt Securities</v>
          </cell>
        </row>
      </sheetData>
      <sheetData sheetId="9176">
        <row r="34">
          <cell r="A34" t="str">
            <v>Investments Govt Securities</v>
          </cell>
        </row>
      </sheetData>
      <sheetData sheetId="9177">
        <row r="34">
          <cell r="A34" t="str">
            <v>Investments Govt Securities</v>
          </cell>
        </row>
      </sheetData>
      <sheetData sheetId="9178">
        <row r="34">
          <cell r="A34" t="str">
            <v>Investments Govt Securities</v>
          </cell>
        </row>
      </sheetData>
      <sheetData sheetId="9179">
        <row r="34">
          <cell r="A34" t="str">
            <v>Investments Govt Securities</v>
          </cell>
        </row>
      </sheetData>
      <sheetData sheetId="9180">
        <row r="34">
          <cell r="A34" t="str">
            <v>Investments Govt Securities</v>
          </cell>
        </row>
      </sheetData>
      <sheetData sheetId="9181">
        <row r="34">
          <cell r="A34" t="str">
            <v>Investments Govt Securities</v>
          </cell>
        </row>
      </sheetData>
      <sheetData sheetId="9182">
        <row r="34">
          <cell r="A34" t="str">
            <v>Investments Govt Securities</v>
          </cell>
        </row>
      </sheetData>
      <sheetData sheetId="9183">
        <row r="34">
          <cell r="A34" t="str">
            <v>Investments Govt Securities</v>
          </cell>
        </row>
      </sheetData>
      <sheetData sheetId="9184">
        <row r="34">
          <cell r="A34" t="str">
            <v>Investments Govt Securities</v>
          </cell>
        </row>
      </sheetData>
      <sheetData sheetId="9185">
        <row r="34">
          <cell r="A34" t="str">
            <v>Investments Govt Securities</v>
          </cell>
        </row>
      </sheetData>
      <sheetData sheetId="9186">
        <row r="34">
          <cell r="A34" t="str">
            <v>Investments Govt Securities</v>
          </cell>
        </row>
      </sheetData>
      <sheetData sheetId="9187">
        <row r="34">
          <cell r="A34" t="str">
            <v>Investments Govt Securities</v>
          </cell>
        </row>
      </sheetData>
      <sheetData sheetId="9188">
        <row r="34">
          <cell r="A34" t="str">
            <v>Investments Govt Securities</v>
          </cell>
        </row>
      </sheetData>
      <sheetData sheetId="9189">
        <row r="34">
          <cell r="A34" t="str">
            <v>Investments Govt Securities</v>
          </cell>
        </row>
      </sheetData>
      <sheetData sheetId="9190">
        <row r="34">
          <cell r="A34" t="str">
            <v>Investments Govt Securities</v>
          </cell>
        </row>
      </sheetData>
      <sheetData sheetId="9191">
        <row r="34">
          <cell r="A34" t="str">
            <v>Investments Govt Securities</v>
          </cell>
        </row>
      </sheetData>
      <sheetData sheetId="9192">
        <row r="34">
          <cell r="A34" t="str">
            <v>Investments Govt Securities</v>
          </cell>
        </row>
      </sheetData>
      <sheetData sheetId="9193">
        <row r="34">
          <cell r="A34" t="str">
            <v>Investments Govt Securities</v>
          </cell>
        </row>
      </sheetData>
      <sheetData sheetId="9194">
        <row r="34">
          <cell r="A34" t="str">
            <v>Investments Govt Securities</v>
          </cell>
        </row>
      </sheetData>
      <sheetData sheetId="9195">
        <row r="34">
          <cell r="A34" t="str">
            <v>Investments Govt Securities</v>
          </cell>
        </row>
      </sheetData>
      <sheetData sheetId="9196">
        <row r="34">
          <cell r="A34" t="str">
            <v>Investments Govt Securities</v>
          </cell>
        </row>
      </sheetData>
      <sheetData sheetId="9197">
        <row r="34">
          <cell r="A34" t="str">
            <v>Investments Govt Securities</v>
          </cell>
        </row>
      </sheetData>
      <sheetData sheetId="9198">
        <row r="34">
          <cell r="A34" t="str">
            <v>Investments Govt Securities</v>
          </cell>
        </row>
      </sheetData>
      <sheetData sheetId="9199">
        <row r="34">
          <cell r="A34" t="str">
            <v>Investments Govt Securities</v>
          </cell>
        </row>
      </sheetData>
      <sheetData sheetId="9200">
        <row r="34">
          <cell r="A34" t="str">
            <v>Investments Govt Securities</v>
          </cell>
        </row>
      </sheetData>
      <sheetData sheetId="9201">
        <row r="34">
          <cell r="A34" t="str">
            <v>Investments Govt Securities</v>
          </cell>
        </row>
      </sheetData>
      <sheetData sheetId="9202">
        <row r="34">
          <cell r="A34" t="str">
            <v>Investments Govt Securities</v>
          </cell>
        </row>
      </sheetData>
      <sheetData sheetId="9203">
        <row r="34">
          <cell r="A34" t="str">
            <v>Investments Govt Securities</v>
          </cell>
        </row>
      </sheetData>
      <sheetData sheetId="9204">
        <row r="34">
          <cell r="A34" t="str">
            <v>Investments Govt Securities</v>
          </cell>
        </row>
      </sheetData>
      <sheetData sheetId="9205">
        <row r="34">
          <cell r="A34" t="str">
            <v>Investments Govt Securities</v>
          </cell>
        </row>
      </sheetData>
      <sheetData sheetId="9206">
        <row r="34">
          <cell r="A34" t="str">
            <v>Investments Govt Securities</v>
          </cell>
        </row>
      </sheetData>
      <sheetData sheetId="9207">
        <row r="34">
          <cell r="A34" t="str">
            <v>Investments Govt Securities</v>
          </cell>
        </row>
      </sheetData>
      <sheetData sheetId="9208">
        <row r="34">
          <cell r="A34" t="str">
            <v>Investments Govt Securities</v>
          </cell>
        </row>
      </sheetData>
      <sheetData sheetId="9209">
        <row r="34">
          <cell r="A34" t="str">
            <v>Investments Govt Securities</v>
          </cell>
        </row>
      </sheetData>
      <sheetData sheetId="9210">
        <row r="34">
          <cell r="A34" t="str">
            <v>Investments Govt Securities</v>
          </cell>
        </row>
      </sheetData>
      <sheetData sheetId="9211">
        <row r="34">
          <cell r="A34" t="str">
            <v>Investments Govt Securities</v>
          </cell>
        </row>
      </sheetData>
      <sheetData sheetId="9212">
        <row r="34">
          <cell r="A34" t="str">
            <v>Investments Govt Securities</v>
          </cell>
        </row>
      </sheetData>
      <sheetData sheetId="9213">
        <row r="34">
          <cell r="A34" t="str">
            <v>Investments Govt Securities</v>
          </cell>
        </row>
      </sheetData>
      <sheetData sheetId="9214">
        <row r="34">
          <cell r="A34" t="str">
            <v>Investments Govt Securities</v>
          </cell>
        </row>
      </sheetData>
      <sheetData sheetId="9215">
        <row r="34">
          <cell r="A34" t="str">
            <v>Investments Govt Securities</v>
          </cell>
        </row>
      </sheetData>
      <sheetData sheetId="9216">
        <row r="34">
          <cell r="A34" t="str">
            <v>Investments Govt Securities</v>
          </cell>
        </row>
      </sheetData>
      <sheetData sheetId="9217">
        <row r="34">
          <cell r="A34" t="str">
            <v>Investments Govt Securities</v>
          </cell>
        </row>
      </sheetData>
      <sheetData sheetId="9218">
        <row r="34">
          <cell r="A34" t="str">
            <v>Investments Govt Securities</v>
          </cell>
        </row>
      </sheetData>
      <sheetData sheetId="9219">
        <row r="34">
          <cell r="A34" t="str">
            <v>Investments Govt Securities</v>
          </cell>
        </row>
      </sheetData>
      <sheetData sheetId="9220">
        <row r="34">
          <cell r="A34" t="str">
            <v>Investments Govt Securities</v>
          </cell>
        </row>
      </sheetData>
      <sheetData sheetId="9221">
        <row r="34">
          <cell r="A34" t="str">
            <v>Investments Govt Securities</v>
          </cell>
        </row>
      </sheetData>
      <sheetData sheetId="9222">
        <row r="34">
          <cell r="A34" t="str">
            <v>Investments Govt Securities</v>
          </cell>
        </row>
      </sheetData>
      <sheetData sheetId="9223">
        <row r="34">
          <cell r="A34" t="str">
            <v>Investments Govt Securities</v>
          </cell>
        </row>
      </sheetData>
      <sheetData sheetId="9224">
        <row r="34">
          <cell r="A34" t="str">
            <v>Investments Govt Securities</v>
          </cell>
        </row>
      </sheetData>
      <sheetData sheetId="9225">
        <row r="34">
          <cell r="A34" t="str">
            <v>Investments Govt Securities</v>
          </cell>
        </row>
      </sheetData>
      <sheetData sheetId="9226">
        <row r="34">
          <cell r="A34" t="str">
            <v>Investments Govt Securities</v>
          </cell>
        </row>
      </sheetData>
      <sheetData sheetId="9227">
        <row r="34">
          <cell r="A34" t="str">
            <v>Investments Govt Securities</v>
          </cell>
        </row>
      </sheetData>
      <sheetData sheetId="9228">
        <row r="34">
          <cell r="A34" t="str">
            <v>Investments Govt Securities</v>
          </cell>
        </row>
      </sheetData>
      <sheetData sheetId="9229">
        <row r="34">
          <cell r="A34" t="str">
            <v>Investments Govt Securities</v>
          </cell>
        </row>
      </sheetData>
      <sheetData sheetId="9230">
        <row r="34">
          <cell r="A34" t="str">
            <v>Investments Govt Securities</v>
          </cell>
        </row>
      </sheetData>
      <sheetData sheetId="9231">
        <row r="34">
          <cell r="A34" t="str">
            <v>Investments Govt Securities</v>
          </cell>
        </row>
      </sheetData>
      <sheetData sheetId="9232">
        <row r="34">
          <cell r="A34" t="str">
            <v>Investments Govt Securities</v>
          </cell>
        </row>
      </sheetData>
      <sheetData sheetId="9233">
        <row r="34">
          <cell r="A34" t="str">
            <v>Investments Govt Securities</v>
          </cell>
        </row>
      </sheetData>
      <sheetData sheetId="9234">
        <row r="34">
          <cell r="A34" t="str">
            <v>Investments Govt Securities</v>
          </cell>
        </row>
      </sheetData>
      <sheetData sheetId="9235">
        <row r="34">
          <cell r="A34" t="str">
            <v>Investments Govt Securities</v>
          </cell>
        </row>
      </sheetData>
      <sheetData sheetId="9236">
        <row r="34">
          <cell r="A34" t="str">
            <v>Investments Govt Securities</v>
          </cell>
        </row>
      </sheetData>
      <sheetData sheetId="9237">
        <row r="34">
          <cell r="A34" t="str">
            <v>Investments Govt Securities</v>
          </cell>
        </row>
      </sheetData>
      <sheetData sheetId="9238">
        <row r="34">
          <cell r="A34" t="str">
            <v>Investments Govt Securities</v>
          </cell>
        </row>
      </sheetData>
      <sheetData sheetId="9239">
        <row r="34">
          <cell r="A34" t="str">
            <v>Investments Govt Securities</v>
          </cell>
        </row>
      </sheetData>
      <sheetData sheetId="9240">
        <row r="34">
          <cell r="A34" t="str">
            <v>Investments Govt Securities</v>
          </cell>
        </row>
      </sheetData>
      <sheetData sheetId="9241">
        <row r="34">
          <cell r="A34" t="str">
            <v>Investments Govt Securities</v>
          </cell>
        </row>
      </sheetData>
      <sheetData sheetId="9242">
        <row r="34">
          <cell r="A34" t="str">
            <v>Investments Govt Securities</v>
          </cell>
        </row>
      </sheetData>
      <sheetData sheetId="9243">
        <row r="34">
          <cell r="A34" t="str">
            <v>Investments Govt Securities</v>
          </cell>
        </row>
      </sheetData>
      <sheetData sheetId="9244">
        <row r="34">
          <cell r="A34" t="str">
            <v>Investments Govt Securities</v>
          </cell>
        </row>
      </sheetData>
      <sheetData sheetId="9245">
        <row r="34">
          <cell r="A34" t="str">
            <v>Investments Govt Securities</v>
          </cell>
        </row>
      </sheetData>
      <sheetData sheetId="9246">
        <row r="34">
          <cell r="A34" t="str">
            <v>Investments Govt Securities</v>
          </cell>
        </row>
      </sheetData>
      <sheetData sheetId="9247">
        <row r="34">
          <cell r="A34" t="str">
            <v>Investments Govt Securities</v>
          </cell>
        </row>
      </sheetData>
      <sheetData sheetId="9248">
        <row r="34">
          <cell r="A34" t="str">
            <v>Investments Govt Securities</v>
          </cell>
        </row>
      </sheetData>
      <sheetData sheetId="9249">
        <row r="34">
          <cell r="A34" t="str">
            <v>Investments Govt Securities</v>
          </cell>
        </row>
      </sheetData>
      <sheetData sheetId="9250">
        <row r="34">
          <cell r="A34" t="str">
            <v>Investments Govt Securities</v>
          </cell>
        </row>
      </sheetData>
      <sheetData sheetId="9251">
        <row r="34">
          <cell r="A34" t="str">
            <v>Investments Govt Securities</v>
          </cell>
        </row>
      </sheetData>
      <sheetData sheetId="9252">
        <row r="34">
          <cell r="A34" t="str">
            <v>Investments Govt Securities</v>
          </cell>
        </row>
      </sheetData>
      <sheetData sheetId="9253">
        <row r="34">
          <cell r="A34" t="str">
            <v>Investments Govt Securities</v>
          </cell>
        </row>
      </sheetData>
      <sheetData sheetId="9254">
        <row r="34">
          <cell r="A34" t="str">
            <v>Investments Govt Securities</v>
          </cell>
        </row>
      </sheetData>
      <sheetData sheetId="9255">
        <row r="34">
          <cell r="A34" t="str">
            <v>Investments Govt Securities</v>
          </cell>
        </row>
      </sheetData>
      <sheetData sheetId="9256">
        <row r="34">
          <cell r="A34" t="str">
            <v>Investments Govt Securities</v>
          </cell>
        </row>
      </sheetData>
      <sheetData sheetId="9257">
        <row r="34">
          <cell r="A34" t="str">
            <v>Investments Govt Securities</v>
          </cell>
        </row>
      </sheetData>
      <sheetData sheetId="9258">
        <row r="34">
          <cell r="A34" t="str">
            <v>Investments Govt Securities</v>
          </cell>
        </row>
      </sheetData>
      <sheetData sheetId="9259">
        <row r="34">
          <cell r="A34" t="str">
            <v>Investments Govt Securities</v>
          </cell>
        </row>
      </sheetData>
      <sheetData sheetId="9260">
        <row r="34">
          <cell r="A34" t="str">
            <v>Investments Govt Securities</v>
          </cell>
        </row>
      </sheetData>
      <sheetData sheetId="9261">
        <row r="34">
          <cell r="A34" t="str">
            <v>Investments Govt Securities</v>
          </cell>
        </row>
      </sheetData>
      <sheetData sheetId="9262">
        <row r="34">
          <cell r="A34" t="str">
            <v>Investments Govt Securities</v>
          </cell>
        </row>
      </sheetData>
      <sheetData sheetId="9263">
        <row r="34">
          <cell r="A34" t="str">
            <v>Investments Govt Securities</v>
          </cell>
        </row>
      </sheetData>
      <sheetData sheetId="9264">
        <row r="34">
          <cell r="A34" t="str">
            <v>Investments Govt Securities</v>
          </cell>
        </row>
      </sheetData>
      <sheetData sheetId="9265">
        <row r="34">
          <cell r="A34" t="str">
            <v>Investments Govt Securities</v>
          </cell>
        </row>
      </sheetData>
      <sheetData sheetId="9266">
        <row r="34">
          <cell r="A34" t="str">
            <v>Investments Govt Securities</v>
          </cell>
        </row>
      </sheetData>
      <sheetData sheetId="9267">
        <row r="34">
          <cell r="A34" t="str">
            <v>Investments Govt Securities</v>
          </cell>
        </row>
      </sheetData>
      <sheetData sheetId="9268">
        <row r="34">
          <cell r="A34" t="str">
            <v>Investments Govt Securities</v>
          </cell>
        </row>
      </sheetData>
      <sheetData sheetId="9269">
        <row r="34">
          <cell r="A34" t="str">
            <v>Investments Govt Securities</v>
          </cell>
        </row>
      </sheetData>
      <sheetData sheetId="9270">
        <row r="34">
          <cell r="A34" t="str">
            <v>Investments Govt Securities</v>
          </cell>
        </row>
      </sheetData>
      <sheetData sheetId="9271">
        <row r="34">
          <cell r="A34" t="str">
            <v>Investments Govt Securities</v>
          </cell>
        </row>
      </sheetData>
      <sheetData sheetId="9272">
        <row r="34">
          <cell r="A34" t="str">
            <v>Investments Govt Securities</v>
          </cell>
        </row>
      </sheetData>
      <sheetData sheetId="9273">
        <row r="34">
          <cell r="A34" t="str">
            <v>Investments Govt Securities</v>
          </cell>
        </row>
      </sheetData>
      <sheetData sheetId="9274">
        <row r="34">
          <cell r="A34" t="str">
            <v>Investments Govt Securities</v>
          </cell>
        </row>
      </sheetData>
      <sheetData sheetId="9275">
        <row r="34">
          <cell r="A34" t="str">
            <v>Investments Govt Securities</v>
          </cell>
        </row>
      </sheetData>
      <sheetData sheetId="9276">
        <row r="34">
          <cell r="A34" t="str">
            <v>Investments Govt Securities</v>
          </cell>
        </row>
      </sheetData>
      <sheetData sheetId="9277">
        <row r="34">
          <cell r="A34" t="str">
            <v>Investments Govt Securities</v>
          </cell>
        </row>
      </sheetData>
      <sheetData sheetId="9278">
        <row r="34">
          <cell r="A34" t="str">
            <v>Investments Govt Securities</v>
          </cell>
        </row>
      </sheetData>
      <sheetData sheetId="9279">
        <row r="34">
          <cell r="A34" t="str">
            <v>Investments Govt Securities</v>
          </cell>
        </row>
      </sheetData>
      <sheetData sheetId="9280">
        <row r="34">
          <cell r="A34" t="str">
            <v>Investments Govt Securities</v>
          </cell>
        </row>
      </sheetData>
      <sheetData sheetId="9281">
        <row r="34">
          <cell r="A34" t="str">
            <v>Investments Govt Securities</v>
          </cell>
        </row>
      </sheetData>
      <sheetData sheetId="9282">
        <row r="34">
          <cell r="A34" t="str">
            <v>Investments Govt Securities</v>
          </cell>
        </row>
      </sheetData>
      <sheetData sheetId="9283">
        <row r="34">
          <cell r="A34" t="str">
            <v>Investments Govt Securities</v>
          </cell>
        </row>
      </sheetData>
      <sheetData sheetId="9284">
        <row r="34">
          <cell r="A34" t="str">
            <v>Investments Govt Securities</v>
          </cell>
        </row>
      </sheetData>
      <sheetData sheetId="9285">
        <row r="34">
          <cell r="A34" t="str">
            <v>Investments Govt Securities</v>
          </cell>
        </row>
      </sheetData>
      <sheetData sheetId="9286">
        <row r="34">
          <cell r="A34" t="str">
            <v>Investments Govt Securities</v>
          </cell>
        </row>
      </sheetData>
      <sheetData sheetId="9287">
        <row r="34">
          <cell r="A34" t="str">
            <v>Investments Govt Securities</v>
          </cell>
        </row>
      </sheetData>
      <sheetData sheetId="9288">
        <row r="34">
          <cell r="A34" t="str">
            <v>Investments Govt Securities</v>
          </cell>
        </row>
      </sheetData>
      <sheetData sheetId="9289">
        <row r="34">
          <cell r="A34" t="str">
            <v>Investments Govt Securities</v>
          </cell>
        </row>
      </sheetData>
      <sheetData sheetId="9290">
        <row r="34">
          <cell r="A34" t="str">
            <v>Investments Govt Securities</v>
          </cell>
        </row>
      </sheetData>
      <sheetData sheetId="9291">
        <row r="34">
          <cell r="A34" t="str">
            <v>Investments Govt Securities</v>
          </cell>
        </row>
      </sheetData>
      <sheetData sheetId="9292">
        <row r="34">
          <cell r="A34" t="str">
            <v>Investments Govt Securities</v>
          </cell>
        </row>
      </sheetData>
      <sheetData sheetId="9293">
        <row r="34">
          <cell r="A34" t="str">
            <v>Investments Govt Securities</v>
          </cell>
        </row>
      </sheetData>
      <sheetData sheetId="9294">
        <row r="34">
          <cell r="A34" t="str">
            <v>Investments Govt Securities</v>
          </cell>
        </row>
      </sheetData>
      <sheetData sheetId="9295">
        <row r="34">
          <cell r="A34" t="str">
            <v>Investments Govt Securities</v>
          </cell>
        </row>
      </sheetData>
      <sheetData sheetId="9296">
        <row r="34">
          <cell r="A34" t="str">
            <v>Investments Govt Securities</v>
          </cell>
        </row>
      </sheetData>
      <sheetData sheetId="9297">
        <row r="34">
          <cell r="A34" t="str">
            <v>Investments Govt Securities</v>
          </cell>
        </row>
      </sheetData>
      <sheetData sheetId="9298">
        <row r="34">
          <cell r="A34" t="str">
            <v>Investments Govt Securities</v>
          </cell>
        </row>
      </sheetData>
      <sheetData sheetId="9299">
        <row r="34">
          <cell r="A34" t="str">
            <v>Investments Govt Securities</v>
          </cell>
        </row>
      </sheetData>
      <sheetData sheetId="9300">
        <row r="34">
          <cell r="A34" t="str">
            <v>Investments Govt Securities</v>
          </cell>
        </row>
      </sheetData>
      <sheetData sheetId="9301">
        <row r="34">
          <cell r="A34" t="str">
            <v>Investments Govt Securities</v>
          </cell>
        </row>
      </sheetData>
      <sheetData sheetId="9302">
        <row r="34">
          <cell r="A34" t="str">
            <v>Investments Govt Securities</v>
          </cell>
        </row>
      </sheetData>
      <sheetData sheetId="9303">
        <row r="34">
          <cell r="A34" t="str">
            <v>Investments Govt Securities</v>
          </cell>
        </row>
      </sheetData>
      <sheetData sheetId="9304">
        <row r="34">
          <cell r="A34" t="str">
            <v>Investments Govt Securities</v>
          </cell>
        </row>
      </sheetData>
      <sheetData sheetId="9305">
        <row r="34">
          <cell r="A34" t="str">
            <v>Investments Govt Securities</v>
          </cell>
        </row>
      </sheetData>
      <sheetData sheetId="9306">
        <row r="34">
          <cell r="A34" t="str">
            <v>Investments Govt Securities</v>
          </cell>
        </row>
      </sheetData>
      <sheetData sheetId="9307">
        <row r="34">
          <cell r="A34" t="str">
            <v>Investments Govt Securities</v>
          </cell>
        </row>
      </sheetData>
      <sheetData sheetId="9308">
        <row r="34">
          <cell r="A34" t="str">
            <v>Investments Govt Securities</v>
          </cell>
        </row>
      </sheetData>
      <sheetData sheetId="9309">
        <row r="34">
          <cell r="A34" t="str">
            <v>Investments Govt Securities</v>
          </cell>
        </row>
      </sheetData>
      <sheetData sheetId="9310">
        <row r="34">
          <cell r="A34" t="str">
            <v>Investments Govt Securities</v>
          </cell>
        </row>
      </sheetData>
      <sheetData sheetId="9311">
        <row r="34">
          <cell r="A34" t="str">
            <v>Investments Govt Securities</v>
          </cell>
        </row>
      </sheetData>
      <sheetData sheetId="9312">
        <row r="34">
          <cell r="A34" t="str">
            <v>Investments Govt Securities</v>
          </cell>
        </row>
      </sheetData>
      <sheetData sheetId="9313">
        <row r="34">
          <cell r="A34" t="str">
            <v>Investments Govt Securities</v>
          </cell>
        </row>
      </sheetData>
      <sheetData sheetId="9314">
        <row r="34">
          <cell r="A34" t="str">
            <v>Investments Govt Securities</v>
          </cell>
        </row>
      </sheetData>
      <sheetData sheetId="9315">
        <row r="34">
          <cell r="A34" t="str">
            <v>Investments Govt Securities</v>
          </cell>
        </row>
      </sheetData>
      <sheetData sheetId="9316">
        <row r="34">
          <cell r="A34" t="str">
            <v>Investments Govt Securities</v>
          </cell>
        </row>
      </sheetData>
      <sheetData sheetId="9317">
        <row r="34">
          <cell r="A34" t="str">
            <v>Investments Govt Securities</v>
          </cell>
        </row>
      </sheetData>
      <sheetData sheetId="9318">
        <row r="34">
          <cell r="A34" t="str">
            <v>Investments Govt Securities</v>
          </cell>
        </row>
      </sheetData>
      <sheetData sheetId="9319">
        <row r="34">
          <cell r="A34" t="str">
            <v>Investments Govt Securities</v>
          </cell>
        </row>
      </sheetData>
      <sheetData sheetId="9320">
        <row r="34">
          <cell r="A34" t="str">
            <v>Investments Govt Securities</v>
          </cell>
        </row>
      </sheetData>
      <sheetData sheetId="9321">
        <row r="34">
          <cell r="A34" t="str">
            <v>Investments Govt Securities</v>
          </cell>
        </row>
      </sheetData>
      <sheetData sheetId="9322">
        <row r="34">
          <cell r="A34" t="str">
            <v>Investments Govt Securities</v>
          </cell>
        </row>
      </sheetData>
      <sheetData sheetId="9323">
        <row r="34">
          <cell r="A34" t="str">
            <v>Investments Govt Securities</v>
          </cell>
        </row>
      </sheetData>
      <sheetData sheetId="9324">
        <row r="34">
          <cell r="A34" t="str">
            <v>Investments Govt Securities</v>
          </cell>
        </row>
      </sheetData>
      <sheetData sheetId="9325">
        <row r="34">
          <cell r="A34" t="str">
            <v>Investments Govt Securities</v>
          </cell>
        </row>
      </sheetData>
      <sheetData sheetId="9326">
        <row r="34">
          <cell r="A34" t="str">
            <v>Investments Govt Securities</v>
          </cell>
        </row>
      </sheetData>
      <sheetData sheetId="9327">
        <row r="34">
          <cell r="A34" t="str">
            <v>Investments Govt Securities</v>
          </cell>
        </row>
      </sheetData>
      <sheetData sheetId="9328">
        <row r="34">
          <cell r="A34" t="str">
            <v>Investments Govt Securities</v>
          </cell>
        </row>
      </sheetData>
      <sheetData sheetId="9329">
        <row r="34">
          <cell r="A34" t="str">
            <v>Investments Govt Securities</v>
          </cell>
        </row>
      </sheetData>
      <sheetData sheetId="9330">
        <row r="34">
          <cell r="A34" t="str">
            <v>Investments Govt Securities</v>
          </cell>
        </row>
      </sheetData>
      <sheetData sheetId="9331">
        <row r="34">
          <cell r="A34" t="str">
            <v>Investments Govt Securities</v>
          </cell>
        </row>
      </sheetData>
      <sheetData sheetId="9332">
        <row r="34">
          <cell r="A34" t="str">
            <v>Investments Govt Securities</v>
          </cell>
        </row>
      </sheetData>
      <sheetData sheetId="9333">
        <row r="34">
          <cell r="A34" t="str">
            <v>Investments Govt Securities</v>
          </cell>
        </row>
      </sheetData>
      <sheetData sheetId="9334">
        <row r="34">
          <cell r="A34" t="str">
            <v>Investments Govt Securities</v>
          </cell>
        </row>
      </sheetData>
      <sheetData sheetId="9335">
        <row r="34">
          <cell r="A34" t="str">
            <v>Investments Govt Securities</v>
          </cell>
        </row>
      </sheetData>
      <sheetData sheetId="9336">
        <row r="34">
          <cell r="A34" t="str">
            <v>Investments Govt Securities</v>
          </cell>
        </row>
      </sheetData>
      <sheetData sheetId="9337">
        <row r="34">
          <cell r="A34" t="str">
            <v>Investments Govt Securities</v>
          </cell>
        </row>
      </sheetData>
      <sheetData sheetId="9338">
        <row r="34">
          <cell r="A34" t="str">
            <v>Investments Govt Securities</v>
          </cell>
        </row>
      </sheetData>
      <sheetData sheetId="9339">
        <row r="34">
          <cell r="A34" t="str">
            <v>Investments Govt Securities</v>
          </cell>
        </row>
      </sheetData>
      <sheetData sheetId="9340">
        <row r="34">
          <cell r="A34" t="str">
            <v>Investments Govt Securities</v>
          </cell>
        </row>
      </sheetData>
      <sheetData sheetId="9341">
        <row r="34">
          <cell r="A34" t="str">
            <v>Investments Govt Securities</v>
          </cell>
        </row>
      </sheetData>
      <sheetData sheetId="9342">
        <row r="34">
          <cell r="A34" t="str">
            <v>Investments Govt Securities</v>
          </cell>
        </row>
      </sheetData>
      <sheetData sheetId="9343">
        <row r="34">
          <cell r="A34" t="str">
            <v>Investments Govt Securities</v>
          </cell>
        </row>
      </sheetData>
      <sheetData sheetId="9344">
        <row r="34">
          <cell r="A34" t="str">
            <v>Investments Govt Securities</v>
          </cell>
        </row>
      </sheetData>
      <sheetData sheetId="9345">
        <row r="34">
          <cell r="A34" t="str">
            <v>Investments Govt Securities</v>
          </cell>
        </row>
      </sheetData>
      <sheetData sheetId="9346">
        <row r="34">
          <cell r="A34" t="str">
            <v>Investments Govt Securities</v>
          </cell>
        </row>
      </sheetData>
      <sheetData sheetId="9347">
        <row r="34">
          <cell r="A34" t="str">
            <v>Investments Govt Securities</v>
          </cell>
        </row>
      </sheetData>
      <sheetData sheetId="9348">
        <row r="34">
          <cell r="A34" t="str">
            <v>Investments Govt Securities</v>
          </cell>
        </row>
      </sheetData>
      <sheetData sheetId="9349">
        <row r="34">
          <cell r="A34" t="str">
            <v>Investments Govt Securities</v>
          </cell>
        </row>
      </sheetData>
      <sheetData sheetId="9350">
        <row r="34">
          <cell r="A34" t="str">
            <v>Investments Govt Securities</v>
          </cell>
        </row>
      </sheetData>
      <sheetData sheetId="9351">
        <row r="34">
          <cell r="A34" t="str">
            <v>Investments Govt Securities</v>
          </cell>
        </row>
      </sheetData>
      <sheetData sheetId="9352">
        <row r="34">
          <cell r="A34" t="str">
            <v>Investments Govt Securities</v>
          </cell>
        </row>
      </sheetData>
      <sheetData sheetId="9353">
        <row r="34">
          <cell r="A34" t="str">
            <v>Investments Govt Securities</v>
          </cell>
        </row>
      </sheetData>
      <sheetData sheetId="9354">
        <row r="34">
          <cell r="A34" t="str">
            <v>Investments Govt Securities</v>
          </cell>
        </row>
      </sheetData>
      <sheetData sheetId="9355">
        <row r="34">
          <cell r="A34" t="str">
            <v>Investments Govt Securities</v>
          </cell>
        </row>
      </sheetData>
      <sheetData sheetId="9356">
        <row r="34">
          <cell r="A34" t="str">
            <v>Investments Govt Securities</v>
          </cell>
        </row>
      </sheetData>
      <sheetData sheetId="9357">
        <row r="34">
          <cell r="A34" t="str">
            <v>Investments Govt Securities</v>
          </cell>
        </row>
      </sheetData>
      <sheetData sheetId="9358">
        <row r="34">
          <cell r="A34" t="str">
            <v>Investments Govt Securities</v>
          </cell>
        </row>
      </sheetData>
      <sheetData sheetId="9359">
        <row r="34">
          <cell r="A34" t="str">
            <v>Investments Govt Securities</v>
          </cell>
        </row>
      </sheetData>
      <sheetData sheetId="9360">
        <row r="34">
          <cell r="A34" t="str">
            <v>Investments Govt Securities</v>
          </cell>
        </row>
      </sheetData>
      <sheetData sheetId="9361">
        <row r="34">
          <cell r="A34" t="str">
            <v>Investments Govt Securities</v>
          </cell>
        </row>
      </sheetData>
      <sheetData sheetId="9362">
        <row r="34">
          <cell r="A34" t="str">
            <v>Investments Govt Securities</v>
          </cell>
        </row>
      </sheetData>
      <sheetData sheetId="9363">
        <row r="34">
          <cell r="A34" t="str">
            <v>Investments Govt Securities</v>
          </cell>
        </row>
      </sheetData>
      <sheetData sheetId="9364">
        <row r="34">
          <cell r="A34" t="str">
            <v>Investments Govt Securities</v>
          </cell>
        </row>
      </sheetData>
      <sheetData sheetId="9365">
        <row r="34">
          <cell r="A34" t="str">
            <v>Investments Govt Securities</v>
          </cell>
        </row>
      </sheetData>
      <sheetData sheetId="9366">
        <row r="34">
          <cell r="A34" t="str">
            <v>Investments Govt Securities</v>
          </cell>
        </row>
      </sheetData>
      <sheetData sheetId="9367">
        <row r="34">
          <cell r="A34" t="str">
            <v>Investments Govt Securities</v>
          </cell>
        </row>
      </sheetData>
      <sheetData sheetId="9368">
        <row r="34">
          <cell r="A34" t="str">
            <v>Investments Govt Securities</v>
          </cell>
        </row>
      </sheetData>
      <sheetData sheetId="9369">
        <row r="34">
          <cell r="A34" t="str">
            <v>Investments Govt Securities</v>
          </cell>
        </row>
      </sheetData>
      <sheetData sheetId="9370">
        <row r="34">
          <cell r="A34" t="str">
            <v>Investments Govt Securities</v>
          </cell>
        </row>
      </sheetData>
      <sheetData sheetId="9371">
        <row r="34">
          <cell r="A34" t="str">
            <v>Investments Govt Securities</v>
          </cell>
        </row>
      </sheetData>
      <sheetData sheetId="9372">
        <row r="34">
          <cell r="A34" t="str">
            <v>Investments Govt Securities</v>
          </cell>
        </row>
      </sheetData>
      <sheetData sheetId="9373">
        <row r="34">
          <cell r="A34" t="str">
            <v>Investments Govt Securities</v>
          </cell>
        </row>
      </sheetData>
      <sheetData sheetId="9374">
        <row r="34">
          <cell r="A34" t="str">
            <v>Investments Govt Securities</v>
          </cell>
        </row>
      </sheetData>
      <sheetData sheetId="9375">
        <row r="34">
          <cell r="A34" t="str">
            <v>Investments Govt Securities</v>
          </cell>
        </row>
      </sheetData>
      <sheetData sheetId="9376">
        <row r="34">
          <cell r="A34" t="str">
            <v>Investments Govt Securities</v>
          </cell>
        </row>
      </sheetData>
      <sheetData sheetId="9377">
        <row r="34">
          <cell r="A34" t="str">
            <v>Investments Govt Securities</v>
          </cell>
        </row>
      </sheetData>
      <sheetData sheetId="9378">
        <row r="34">
          <cell r="A34" t="str">
            <v>Investments Govt Securities</v>
          </cell>
        </row>
      </sheetData>
      <sheetData sheetId="9379">
        <row r="34">
          <cell r="A34" t="str">
            <v>Investments Govt Securities</v>
          </cell>
        </row>
      </sheetData>
      <sheetData sheetId="9380">
        <row r="34">
          <cell r="A34" t="str">
            <v>Investments Govt Securities</v>
          </cell>
        </row>
      </sheetData>
      <sheetData sheetId="9381">
        <row r="34">
          <cell r="A34" t="str">
            <v>Investments Govt Securities</v>
          </cell>
        </row>
      </sheetData>
      <sheetData sheetId="9382">
        <row r="34">
          <cell r="A34" t="str">
            <v>Investments Govt Securities</v>
          </cell>
        </row>
      </sheetData>
      <sheetData sheetId="9383">
        <row r="34">
          <cell r="A34" t="str">
            <v>Investments Govt Securities</v>
          </cell>
        </row>
      </sheetData>
      <sheetData sheetId="9384">
        <row r="34">
          <cell r="A34" t="str">
            <v>Investments Govt Securities</v>
          </cell>
        </row>
      </sheetData>
      <sheetData sheetId="9385">
        <row r="34">
          <cell r="A34" t="str">
            <v>Investments Govt Securities</v>
          </cell>
        </row>
      </sheetData>
      <sheetData sheetId="9386">
        <row r="34">
          <cell r="A34" t="str">
            <v>Investments Govt Securities</v>
          </cell>
        </row>
      </sheetData>
      <sheetData sheetId="9387">
        <row r="34">
          <cell r="A34" t="str">
            <v>Investments Govt Securities</v>
          </cell>
        </row>
      </sheetData>
      <sheetData sheetId="9388">
        <row r="34">
          <cell r="A34" t="str">
            <v>Investments Govt Securities</v>
          </cell>
        </row>
      </sheetData>
      <sheetData sheetId="9389">
        <row r="34">
          <cell r="A34" t="str">
            <v>Investments Govt Securities</v>
          </cell>
        </row>
      </sheetData>
      <sheetData sheetId="9390">
        <row r="34">
          <cell r="A34" t="str">
            <v>Investments Govt Securities</v>
          </cell>
        </row>
      </sheetData>
      <sheetData sheetId="9391">
        <row r="34">
          <cell r="A34" t="str">
            <v>Investments Govt Securities</v>
          </cell>
        </row>
      </sheetData>
      <sheetData sheetId="9392">
        <row r="34">
          <cell r="A34" t="str">
            <v>Investments Govt Securities</v>
          </cell>
        </row>
      </sheetData>
      <sheetData sheetId="9393">
        <row r="34">
          <cell r="A34" t="str">
            <v>Investments Govt Securities</v>
          </cell>
        </row>
      </sheetData>
      <sheetData sheetId="9394">
        <row r="34">
          <cell r="A34" t="str">
            <v>Investments Govt Securities</v>
          </cell>
        </row>
      </sheetData>
      <sheetData sheetId="9395">
        <row r="34">
          <cell r="A34" t="str">
            <v>Investments Govt Securities</v>
          </cell>
        </row>
      </sheetData>
      <sheetData sheetId="9396">
        <row r="34">
          <cell r="A34" t="str">
            <v>Investments Govt Securities</v>
          </cell>
        </row>
      </sheetData>
      <sheetData sheetId="9397">
        <row r="34">
          <cell r="A34" t="str">
            <v>Investments Govt Securities</v>
          </cell>
        </row>
      </sheetData>
      <sheetData sheetId="9398">
        <row r="34">
          <cell r="A34" t="str">
            <v>Investments Govt Securities</v>
          </cell>
        </row>
      </sheetData>
      <sheetData sheetId="9399">
        <row r="34">
          <cell r="A34" t="str">
            <v>Investments Govt Securities</v>
          </cell>
        </row>
      </sheetData>
      <sheetData sheetId="9400">
        <row r="34">
          <cell r="A34" t="str">
            <v>Investments Govt Securities</v>
          </cell>
        </row>
      </sheetData>
      <sheetData sheetId="9401">
        <row r="34">
          <cell r="A34" t="str">
            <v>Investments Govt Securities</v>
          </cell>
        </row>
      </sheetData>
      <sheetData sheetId="9402">
        <row r="34">
          <cell r="A34" t="str">
            <v>Investments Govt Securities</v>
          </cell>
        </row>
      </sheetData>
      <sheetData sheetId="9403">
        <row r="34">
          <cell r="A34" t="str">
            <v>Investments Govt Securities</v>
          </cell>
        </row>
      </sheetData>
      <sheetData sheetId="9404">
        <row r="34">
          <cell r="A34" t="str">
            <v>Investments Govt Securities</v>
          </cell>
        </row>
      </sheetData>
      <sheetData sheetId="9405">
        <row r="34">
          <cell r="A34" t="str">
            <v>Investments Govt Securities</v>
          </cell>
        </row>
      </sheetData>
      <sheetData sheetId="9406">
        <row r="34">
          <cell r="A34" t="str">
            <v>Investments Govt Securities</v>
          </cell>
        </row>
      </sheetData>
      <sheetData sheetId="9407">
        <row r="34">
          <cell r="A34" t="str">
            <v>Investments Govt Securities</v>
          </cell>
        </row>
      </sheetData>
      <sheetData sheetId="9408">
        <row r="34">
          <cell r="A34" t="str">
            <v>Investments Govt Securities</v>
          </cell>
        </row>
      </sheetData>
      <sheetData sheetId="9409">
        <row r="34">
          <cell r="A34" t="str">
            <v>Investments Govt Securities</v>
          </cell>
        </row>
      </sheetData>
      <sheetData sheetId="9410">
        <row r="34">
          <cell r="A34" t="str">
            <v>Investments Govt Securities</v>
          </cell>
        </row>
      </sheetData>
      <sheetData sheetId="9411">
        <row r="34">
          <cell r="A34" t="str">
            <v>Investments Govt Securities</v>
          </cell>
        </row>
      </sheetData>
      <sheetData sheetId="9412">
        <row r="34">
          <cell r="A34" t="str">
            <v>Investments Govt Securities</v>
          </cell>
        </row>
      </sheetData>
      <sheetData sheetId="9413">
        <row r="34">
          <cell r="A34" t="str">
            <v>Investments Govt Securities</v>
          </cell>
        </row>
      </sheetData>
      <sheetData sheetId="9414">
        <row r="34">
          <cell r="A34" t="str">
            <v>Investments Govt Securities</v>
          </cell>
        </row>
      </sheetData>
      <sheetData sheetId="9415">
        <row r="34">
          <cell r="A34" t="str">
            <v>Investments Govt Securities</v>
          </cell>
        </row>
      </sheetData>
      <sheetData sheetId="9416">
        <row r="34">
          <cell r="A34" t="str">
            <v>Investments Govt Securities</v>
          </cell>
        </row>
      </sheetData>
      <sheetData sheetId="9417">
        <row r="34">
          <cell r="A34" t="str">
            <v>Investments Govt Securities</v>
          </cell>
        </row>
      </sheetData>
      <sheetData sheetId="9418">
        <row r="34">
          <cell r="A34" t="str">
            <v>Investments Govt Securities</v>
          </cell>
        </row>
      </sheetData>
      <sheetData sheetId="9419">
        <row r="34">
          <cell r="A34" t="str">
            <v>Investments Govt Securities</v>
          </cell>
        </row>
      </sheetData>
      <sheetData sheetId="9420">
        <row r="34">
          <cell r="A34" t="str">
            <v>Investments Govt Securities</v>
          </cell>
        </row>
      </sheetData>
      <sheetData sheetId="9421">
        <row r="34">
          <cell r="A34" t="str">
            <v>Investments Govt Securities</v>
          </cell>
        </row>
      </sheetData>
      <sheetData sheetId="9422">
        <row r="34">
          <cell r="A34" t="str">
            <v>Investments Govt Securities</v>
          </cell>
        </row>
      </sheetData>
      <sheetData sheetId="9423">
        <row r="34">
          <cell r="A34" t="str">
            <v>Investments Govt Securities</v>
          </cell>
        </row>
      </sheetData>
      <sheetData sheetId="9424">
        <row r="34">
          <cell r="A34" t="str">
            <v>Investments Govt Securities</v>
          </cell>
        </row>
      </sheetData>
      <sheetData sheetId="9425">
        <row r="34">
          <cell r="A34" t="str">
            <v>Investments Govt Securities</v>
          </cell>
        </row>
      </sheetData>
      <sheetData sheetId="9426">
        <row r="34">
          <cell r="A34" t="str">
            <v>Investments Govt Securities</v>
          </cell>
        </row>
      </sheetData>
      <sheetData sheetId="9427">
        <row r="34">
          <cell r="A34" t="str">
            <v>Investments Govt Securities</v>
          </cell>
        </row>
      </sheetData>
      <sheetData sheetId="9428">
        <row r="34">
          <cell r="A34" t="str">
            <v>Investments Govt Securities</v>
          </cell>
        </row>
      </sheetData>
      <sheetData sheetId="9429">
        <row r="34">
          <cell r="A34" t="str">
            <v>Investments Govt Securities</v>
          </cell>
        </row>
      </sheetData>
      <sheetData sheetId="9430">
        <row r="34">
          <cell r="A34" t="str">
            <v>Investments Govt Securities</v>
          </cell>
        </row>
      </sheetData>
      <sheetData sheetId="9431">
        <row r="34">
          <cell r="A34" t="str">
            <v>Investments Govt Securities</v>
          </cell>
        </row>
      </sheetData>
      <sheetData sheetId="9432">
        <row r="34">
          <cell r="A34" t="str">
            <v>Investments Govt Securities</v>
          </cell>
        </row>
      </sheetData>
      <sheetData sheetId="9433">
        <row r="34">
          <cell r="A34" t="str">
            <v>Investments Govt Securities</v>
          </cell>
        </row>
      </sheetData>
      <sheetData sheetId="9434">
        <row r="34">
          <cell r="A34" t="str">
            <v>Investments Govt Securities</v>
          </cell>
        </row>
      </sheetData>
      <sheetData sheetId="9435">
        <row r="34">
          <cell r="A34" t="str">
            <v>Investments Govt Securities</v>
          </cell>
        </row>
      </sheetData>
      <sheetData sheetId="9436">
        <row r="34">
          <cell r="A34" t="str">
            <v>Investments Govt Securities</v>
          </cell>
        </row>
      </sheetData>
      <sheetData sheetId="9437">
        <row r="34">
          <cell r="A34" t="str">
            <v>Investments Govt Securities</v>
          </cell>
        </row>
      </sheetData>
      <sheetData sheetId="9438">
        <row r="34">
          <cell r="A34" t="str">
            <v>Investments Govt Securities</v>
          </cell>
        </row>
      </sheetData>
      <sheetData sheetId="9439">
        <row r="34">
          <cell r="A34" t="str">
            <v>Investments Govt Securities</v>
          </cell>
        </row>
      </sheetData>
      <sheetData sheetId="9440">
        <row r="34">
          <cell r="A34" t="str">
            <v>Investments Govt Securities</v>
          </cell>
        </row>
      </sheetData>
      <sheetData sheetId="9441">
        <row r="34">
          <cell r="A34" t="str">
            <v>Investments Govt Securities</v>
          </cell>
        </row>
      </sheetData>
      <sheetData sheetId="9442">
        <row r="34">
          <cell r="A34" t="str">
            <v>Investments Govt Securities</v>
          </cell>
        </row>
      </sheetData>
      <sheetData sheetId="9443">
        <row r="34">
          <cell r="A34" t="str">
            <v>Investments Govt Securities</v>
          </cell>
        </row>
      </sheetData>
      <sheetData sheetId="9444">
        <row r="34">
          <cell r="A34" t="str">
            <v>Investments Govt Securities</v>
          </cell>
        </row>
      </sheetData>
      <sheetData sheetId="9445">
        <row r="34">
          <cell r="A34" t="str">
            <v>Investments Govt Securities</v>
          </cell>
        </row>
      </sheetData>
      <sheetData sheetId="9446">
        <row r="34">
          <cell r="A34" t="str">
            <v>Investments Govt Securities</v>
          </cell>
        </row>
      </sheetData>
      <sheetData sheetId="9447">
        <row r="34">
          <cell r="A34" t="str">
            <v>Investments Govt Securities</v>
          </cell>
        </row>
      </sheetData>
      <sheetData sheetId="9448">
        <row r="34">
          <cell r="A34" t="str">
            <v>Investments Govt Securities</v>
          </cell>
        </row>
      </sheetData>
      <sheetData sheetId="9449">
        <row r="34">
          <cell r="A34" t="str">
            <v>Investments Govt Securities</v>
          </cell>
        </row>
      </sheetData>
      <sheetData sheetId="9450">
        <row r="34">
          <cell r="A34" t="str">
            <v>Investments Govt Securities</v>
          </cell>
        </row>
      </sheetData>
      <sheetData sheetId="9451">
        <row r="34">
          <cell r="A34" t="str">
            <v>Investments Govt Securities</v>
          </cell>
        </row>
      </sheetData>
      <sheetData sheetId="9452">
        <row r="34">
          <cell r="A34" t="str">
            <v>Investments Govt Securities</v>
          </cell>
        </row>
      </sheetData>
      <sheetData sheetId="9453">
        <row r="34">
          <cell r="A34" t="str">
            <v>Investments Govt Securities</v>
          </cell>
        </row>
      </sheetData>
      <sheetData sheetId="9454">
        <row r="34">
          <cell r="A34" t="str">
            <v>Investments Govt Securities</v>
          </cell>
        </row>
      </sheetData>
      <sheetData sheetId="9455">
        <row r="34">
          <cell r="A34" t="str">
            <v>Investments Govt Securities</v>
          </cell>
        </row>
      </sheetData>
      <sheetData sheetId="9456">
        <row r="34">
          <cell r="A34" t="str">
            <v>Investments Govt Securities</v>
          </cell>
        </row>
      </sheetData>
      <sheetData sheetId="9457">
        <row r="34">
          <cell r="A34" t="str">
            <v>Investments Govt Securities</v>
          </cell>
        </row>
      </sheetData>
      <sheetData sheetId="9458">
        <row r="34">
          <cell r="A34" t="str">
            <v>Investments Govt Securities</v>
          </cell>
        </row>
      </sheetData>
      <sheetData sheetId="9459">
        <row r="34">
          <cell r="A34" t="str">
            <v>Investments Govt Securities</v>
          </cell>
        </row>
      </sheetData>
      <sheetData sheetId="9460">
        <row r="34">
          <cell r="A34" t="str">
            <v>Investments Govt Securities</v>
          </cell>
        </row>
      </sheetData>
      <sheetData sheetId="9461">
        <row r="34">
          <cell r="A34" t="str">
            <v>Investments Govt Securities</v>
          </cell>
        </row>
      </sheetData>
      <sheetData sheetId="9462">
        <row r="34">
          <cell r="A34" t="str">
            <v>Investments Govt Securities</v>
          </cell>
        </row>
      </sheetData>
      <sheetData sheetId="9463">
        <row r="34">
          <cell r="A34" t="str">
            <v>Investments Govt Securities</v>
          </cell>
        </row>
      </sheetData>
      <sheetData sheetId="9464">
        <row r="34">
          <cell r="A34" t="str">
            <v>Investments Govt Securities</v>
          </cell>
        </row>
      </sheetData>
      <sheetData sheetId="9465">
        <row r="34">
          <cell r="A34" t="str">
            <v>Investments Govt Securities</v>
          </cell>
        </row>
      </sheetData>
      <sheetData sheetId="9466">
        <row r="34">
          <cell r="A34" t="str">
            <v>Investments Govt Securities</v>
          </cell>
        </row>
      </sheetData>
      <sheetData sheetId="9467">
        <row r="34">
          <cell r="A34" t="str">
            <v>Investments Govt Securities</v>
          </cell>
        </row>
      </sheetData>
      <sheetData sheetId="9468">
        <row r="34">
          <cell r="A34" t="str">
            <v>Investments Govt Securities</v>
          </cell>
        </row>
      </sheetData>
      <sheetData sheetId="9469">
        <row r="34">
          <cell r="A34" t="str">
            <v>Investments Govt Securities</v>
          </cell>
        </row>
      </sheetData>
      <sheetData sheetId="9470">
        <row r="34">
          <cell r="A34" t="str">
            <v>Investments Govt Securities</v>
          </cell>
        </row>
      </sheetData>
      <sheetData sheetId="9471">
        <row r="34">
          <cell r="A34" t="str">
            <v>Investments Govt Securities</v>
          </cell>
        </row>
      </sheetData>
      <sheetData sheetId="9472">
        <row r="34">
          <cell r="A34" t="str">
            <v>Investments Govt Securities</v>
          </cell>
        </row>
      </sheetData>
      <sheetData sheetId="9473">
        <row r="34">
          <cell r="A34" t="str">
            <v>Investments Govt Securities</v>
          </cell>
        </row>
      </sheetData>
      <sheetData sheetId="9474">
        <row r="34">
          <cell r="A34" t="str">
            <v>Investments Govt Securities</v>
          </cell>
        </row>
      </sheetData>
      <sheetData sheetId="9475">
        <row r="34">
          <cell r="A34" t="str">
            <v>Investments Govt Securities</v>
          </cell>
        </row>
      </sheetData>
      <sheetData sheetId="9476">
        <row r="34">
          <cell r="A34" t="str">
            <v>Investments Govt Securities</v>
          </cell>
        </row>
      </sheetData>
      <sheetData sheetId="9477">
        <row r="34">
          <cell r="A34" t="str">
            <v>Investments Govt Securities</v>
          </cell>
        </row>
      </sheetData>
      <sheetData sheetId="9478">
        <row r="34">
          <cell r="A34" t="str">
            <v>Investments Govt Securities</v>
          </cell>
        </row>
      </sheetData>
      <sheetData sheetId="9479">
        <row r="34">
          <cell r="A34" t="str">
            <v>Investments Govt Securities</v>
          </cell>
        </row>
      </sheetData>
      <sheetData sheetId="9480">
        <row r="34">
          <cell r="A34" t="str">
            <v>Investments Govt Securities</v>
          </cell>
        </row>
      </sheetData>
      <sheetData sheetId="9481">
        <row r="34">
          <cell r="A34" t="str">
            <v>Investments Govt Securities</v>
          </cell>
        </row>
      </sheetData>
      <sheetData sheetId="9482">
        <row r="34">
          <cell r="A34" t="str">
            <v>Investments Govt Securities</v>
          </cell>
        </row>
      </sheetData>
      <sheetData sheetId="9483">
        <row r="34">
          <cell r="A34" t="str">
            <v>Investments Govt Securities</v>
          </cell>
        </row>
      </sheetData>
      <sheetData sheetId="9484">
        <row r="34">
          <cell r="A34" t="str">
            <v>Investments Govt Securities</v>
          </cell>
        </row>
      </sheetData>
      <sheetData sheetId="9485">
        <row r="34">
          <cell r="A34" t="str">
            <v>Investments Govt Securities</v>
          </cell>
        </row>
      </sheetData>
      <sheetData sheetId="9486">
        <row r="34">
          <cell r="A34" t="str">
            <v>Investments Govt Securities</v>
          </cell>
        </row>
      </sheetData>
      <sheetData sheetId="9487">
        <row r="34">
          <cell r="A34" t="str">
            <v>Investments Govt Securities</v>
          </cell>
        </row>
      </sheetData>
      <sheetData sheetId="9488">
        <row r="34">
          <cell r="A34" t="str">
            <v>Investments Govt Securities</v>
          </cell>
        </row>
      </sheetData>
      <sheetData sheetId="9489">
        <row r="34">
          <cell r="A34" t="str">
            <v>Investments Govt Securities</v>
          </cell>
        </row>
      </sheetData>
      <sheetData sheetId="9490">
        <row r="34">
          <cell r="A34" t="str">
            <v>Investments Govt Securities</v>
          </cell>
        </row>
      </sheetData>
      <sheetData sheetId="9491">
        <row r="34">
          <cell r="A34" t="str">
            <v>Investments Govt Securities</v>
          </cell>
        </row>
      </sheetData>
      <sheetData sheetId="9492">
        <row r="34">
          <cell r="A34" t="str">
            <v>Investments Govt Securities</v>
          </cell>
        </row>
      </sheetData>
      <sheetData sheetId="9493">
        <row r="34">
          <cell r="A34" t="str">
            <v>Investments Govt Securities</v>
          </cell>
        </row>
      </sheetData>
      <sheetData sheetId="9494">
        <row r="34">
          <cell r="A34" t="str">
            <v>Investments Govt Securities</v>
          </cell>
        </row>
      </sheetData>
      <sheetData sheetId="9495">
        <row r="34">
          <cell r="A34" t="str">
            <v>Investments Govt Securities</v>
          </cell>
        </row>
      </sheetData>
      <sheetData sheetId="9496">
        <row r="34">
          <cell r="A34" t="str">
            <v>Investments Govt Securities</v>
          </cell>
        </row>
      </sheetData>
      <sheetData sheetId="9497">
        <row r="34">
          <cell r="A34" t="str">
            <v>Investments Govt Securities</v>
          </cell>
        </row>
      </sheetData>
      <sheetData sheetId="9498">
        <row r="34">
          <cell r="A34" t="str">
            <v>Investments Govt Securities</v>
          </cell>
        </row>
      </sheetData>
      <sheetData sheetId="9499">
        <row r="34">
          <cell r="A34" t="str">
            <v>Investments Govt Securities</v>
          </cell>
        </row>
      </sheetData>
      <sheetData sheetId="9500">
        <row r="34">
          <cell r="A34" t="str">
            <v>Investments Govt Securities</v>
          </cell>
        </row>
      </sheetData>
      <sheetData sheetId="9501">
        <row r="34">
          <cell r="A34" t="str">
            <v>Investments Govt Securities</v>
          </cell>
        </row>
      </sheetData>
      <sheetData sheetId="9502">
        <row r="34">
          <cell r="A34" t="str">
            <v>Investments Govt Securities</v>
          </cell>
        </row>
      </sheetData>
      <sheetData sheetId="9503">
        <row r="34">
          <cell r="A34" t="str">
            <v>Investments Govt Securities</v>
          </cell>
        </row>
      </sheetData>
      <sheetData sheetId="9504">
        <row r="34">
          <cell r="A34" t="str">
            <v>Investments Govt Securities</v>
          </cell>
        </row>
      </sheetData>
      <sheetData sheetId="9505">
        <row r="34">
          <cell r="A34" t="str">
            <v>Investments Govt Securities</v>
          </cell>
        </row>
      </sheetData>
      <sheetData sheetId="9506">
        <row r="34">
          <cell r="A34" t="str">
            <v>Investments Govt Securities</v>
          </cell>
        </row>
      </sheetData>
      <sheetData sheetId="9507">
        <row r="34">
          <cell r="A34" t="str">
            <v>Investments Govt Securities</v>
          </cell>
        </row>
      </sheetData>
      <sheetData sheetId="9508">
        <row r="34">
          <cell r="A34" t="str">
            <v>Investments Govt Securities</v>
          </cell>
        </row>
      </sheetData>
      <sheetData sheetId="9509">
        <row r="34">
          <cell r="A34" t="str">
            <v>Investments Govt Securities</v>
          </cell>
        </row>
      </sheetData>
      <sheetData sheetId="9510">
        <row r="34">
          <cell r="A34" t="str">
            <v>Investments Govt Securities</v>
          </cell>
        </row>
      </sheetData>
      <sheetData sheetId="9511">
        <row r="34">
          <cell r="A34" t="str">
            <v>Investments Govt Securities</v>
          </cell>
        </row>
      </sheetData>
      <sheetData sheetId="9512">
        <row r="34">
          <cell r="A34" t="str">
            <v>Investments Govt Securities</v>
          </cell>
        </row>
      </sheetData>
      <sheetData sheetId="9513">
        <row r="34">
          <cell r="A34" t="str">
            <v>Investments Govt Securities</v>
          </cell>
        </row>
      </sheetData>
      <sheetData sheetId="9514">
        <row r="34">
          <cell r="A34" t="str">
            <v>Investments Govt Securities</v>
          </cell>
        </row>
      </sheetData>
      <sheetData sheetId="9515">
        <row r="34">
          <cell r="A34" t="str">
            <v>Investments Govt Securities</v>
          </cell>
        </row>
      </sheetData>
      <sheetData sheetId="9516">
        <row r="34">
          <cell r="A34" t="str">
            <v>Investments Govt Securities</v>
          </cell>
        </row>
      </sheetData>
      <sheetData sheetId="9517">
        <row r="34">
          <cell r="A34" t="str">
            <v>Investments Govt Securities</v>
          </cell>
        </row>
      </sheetData>
      <sheetData sheetId="9518">
        <row r="34">
          <cell r="A34" t="str">
            <v>Investments Govt Securities</v>
          </cell>
        </row>
      </sheetData>
      <sheetData sheetId="9519">
        <row r="34">
          <cell r="A34" t="str">
            <v>Investments Govt Securities</v>
          </cell>
        </row>
      </sheetData>
      <sheetData sheetId="9520">
        <row r="34">
          <cell r="A34" t="str">
            <v>Investments Govt Securities</v>
          </cell>
        </row>
      </sheetData>
      <sheetData sheetId="9521">
        <row r="34">
          <cell r="A34" t="str">
            <v>Investments Govt Securities</v>
          </cell>
        </row>
      </sheetData>
      <sheetData sheetId="9522">
        <row r="34">
          <cell r="A34" t="str">
            <v>Investments Govt Securities</v>
          </cell>
        </row>
      </sheetData>
      <sheetData sheetId="9523">
        <row r="34">
          <cell r="A34" t="str">
            <v>Investments Govt Securities</v>
          </cell>
        </row>
      </sheetData>
      <sheetData sheetId="9524">
        <row r="34">
          <cell r="A34" t="str">
            <v>Investments Govt Securities</v>
          </cell>
        </row>
      </sheetData>
      <sheetData sheetId="9525">
        <row r="34">
          <cell r="A34" t="str">
            <v>Investments Govt Securities</v>
          </cell>
        </row>
      </sheetData>
      <sheetData sheetId="9526">
        <row r="34">
          <cell r="A34" t="str">
            <v>Investments Govt Securities</v>
          </cell>
        </row>
      </sheetData>
      <sheetData sheetId="9527">
        <row r="34">
          <cell r="A34" t="str">
            <v>Investments Govt Securities</v>
          </cell>
        </row>
      </sheetData>
      <sheetData sheetId="9528">
        <row r="34">
          <cell r="A34" t="str">
            <v>Investments Govt Securities</v>
          </cell>
        </row>
      </sheetData>
      <sheetData sheetId="9529">
        <row r="34">
          <cell r="A34" t="str">
            <v>Investments Govt Securities</v>
          </cell>
        </row>
      </sheetData>
      <sheetData sheetId="9530">
        <row r="34">
          <cell r="A34" t="str">
            <v>Investments Govt Securities</v>
          </cell>
        </row>
      </sheetData>
      <sheetData sheetId="9531">
        <row r="34">
          <cell r="A34" t="str">
            <v>Investments Govt Securities</v>
          </cell>
        </row>
      </sheetData>
      <sheetData sheetId="9532">
        <row r="34">
          <cell r="A34" t="str">
            <v>Investments Govt Securities</v>
          </cell>
        </row>
      </sheetData>
      <sheetData sheetId="9533">
        <row r="34">
          <cell r="A34" t="str">
            <v>Investments Govt Securities</v>
          </cell>
        </row>
      </sheetData>
      <sheetData sheetId="9534">
        <row r="34">
          <cell r="A34" t="str">
            <v>Investments Govt Securities</v>
          </cell>
        </row>
      </sheetData>
      <sheetData sheetId="9535">
        <row r="34">
          <cell r="A34" t="str">
            <v>Investments Govt Securities</v>
          </cell>
        </row>
      </sheetData>
      <sheetData sheetId="9536">
        <row r="34">
          <cell r="A34" t="str">
            <v>Investments Govt Securities</v>
          </cell>
        </row>
      </sheetData>
      <sheetData sheetId="9537">
        <row r="34">
          <cell r="A34" t="str">
            <v>Investments Govt Securities</v>
          </cell>
        </row>
      </sheetData>
      <sheetData sheetId="9538">
        <row r="34">
          <cell r="A34" t="str">
            <v>Investments Govt Securities</v>
          </cell>
        </row>
      </sheetData>
      <sheetData sheetId="9539">
        <row r="34">
          <cell r="A34" t="str">
            <v>Investments Govt Securities</v>
          </cell>
        </row>
      </sheetData>
      <sheetData sheetId="9540">
        <row r="34">
          <cell r="A34" t="str">
            <v>Investments Govt Securities</v>
          </cell>
        </row>
      </sheetData>
      <sheetData sheetId="9541">
        <row r="34">
          <cell r="A34" t="str">
            <v>Investments Govt Securities</v>
          </cell>
        </row>
      </sheetData>
      <sheetData sheetId="9542">
        <row r="34">
          <cell r="A34" t="str">
            <v>Investments Govt Securities</v>
          </cell>
        </row>
      </sheetData>
      <sheetData sheetId="9543">
        <row r="34">
          <cell r="A34" t="str">
            <v>Investments Govt Securities</v>
          </cell>
        </row>
      </sheetData>
      <sheetData sheetId="9544">
        <row r="34">
          <cell r="A34" t="str">
            <v>Investments Govt Securities</v>
          </cell>
        </row>
      </sheetData>
      <sheetData sheetId="9545">
        <row r="34">
          <cell r="A34" t="str">
            <v>Investments Govt Securities</v>
          </cell>
        </row>
      </sheetData>
      <sheetData sheetId="9546">
        <row r="34">
          <cell r="A34" t="str">
            <v>Investments Govt Securities</v>
          </cell>
        </row>
      </sheetData>
      <sheetData sheetId="9547">
        <row r="34">
          <cell r="A34" t="str">
            <v>Investments Govt Securities</v>
          </cell>
        </row>
      </sheetData>
      <sheetData sheetId="9548">
        <row r="34">
          <cell r="A34" t="str">
            <v>Investments Govt Securities</v>
          </cell>
        </row>
      </sheetData>
      <sheetData sheetId="9549">
        <row r="34">
          <cell r="A34" t="str">
            <v>Investments Govt Securities</v>
          </cell>
        </row>
      </sheetData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>
        <row r="34">
          <cell r="A34" t="str">
            <v>Investments Govt Securities</v>
          </cell>
        </row>
      </sheetData>
      <sheetData sheetId="9703">
        <row r="34">
          <cell r="A34" t="str">
            <v>Investments Govt Securities</v>
          </cell>
        </row>
      </sheetData>
      <sheetData sheetId="9704">
        <row r="34">
          <cell r="A34" t="str">
            <v>Investments Govt Securities</v>
          </cell>
        </row>
      </sheetData>
      <sheetData sheetId="9705">
        <row r="34">
          <cell r="A34" t="str">
            <v>Investments Govt Securities</v>
          </cell>
        </row>
      </sheetData>
      <sheetData sheetId="9706">
        <row r="34">
          <cell r="A34" t="str">
            <v>Investments Govt Securities</v>
          </cell>
        </row>
      </sheetData>
      <sheetData sheetId="9707">
        <row r="34">
          <cell r="A34" t="str">
            <v>Investments Govt Securities</v>
          </cell>
        </row>
      </sheetData>
      <sheetData sheetId="9708">
        <row r="34">
          <cell r="A34" t="str">
            <v>Investments Govt Securities</v>
          </cell>
        </row>
      </sheetData>
      <sheetData sheetId="9709">
        <row r="34">
          <cell r="A34" t="str">
            <v>Investments Govt Securities</v>
          </cell>
        </row>
      </sheetData>
      <sheetData sheetId="9710">
        <row r="34">
          <cell r="A34" t="str">
            <v>Investments Govt Securities</v>
          </cell>
        </row>
      </sheetData>
      <sheetData sheetId="9711">
        <row r="34">
          <cell r="A34" t="str">
            <v>Investments Govt Securities</v>
          </cell>
        </row>
      </sheetData>
      <sheetData sheetId="9712">
        <row r="34">
          <cell r="A34" t="str">
            <v>Investments Govt Securities</v>
          </cell>
        </row>
      </sheetData>
      <sheetData sheetId="9713">
        <row r="34">
          <cell r="A34" t="str">
            <v>Investments Govt Securities</v>
          </cell>
        </row>
      </sheetData>
      <sheetData sheetId="9714">
        <row r="34">
          <cell r="A34" t="str">
            <v>Investments Govt Securities</v>
          </cell>
        </row>
      </sheetData>
      <sheetData sheetId="9715">
        <row r="34">
          <cell r="A34" t="str">
            <v>Investments Govt Securities</v>
          </cell>
        </row>
      </sheetData>
      <sheetData sheetId="9716">
        <row r="34">
          <cell r="A34" t="str">
            <v>Investments Govt Securities</v>
          </cell>
        </row>
      </sheetData>
      <sheetData sheetId="9717">
        <row r="34">
          <cell r="A34" t="str">
            <v>Investments Govt Securities</v>
          </cell>
        </row>
      </sheetData>
      <sheetData sheetId="9718">
        <row r="34">
          <cell r="A34" t="str">
            <v>Investments Govt Securities</v>
          </cell>
        </row>
      </sheetData>
      <sheetData sheetId="9719">
        <row r="34">
          <cell r="A34" t="str">
            <v>Investments Govt Securities</v>
          </cell>
        </row>
      </sheetData>
      <sheetData sheetId="9720">
        <row r="34">
          <cell r="A34" t="str">
            <v>Investments Govt Securities</v>
          </cell>
        </row>
      </sheetData>
      <sheetData sheetId="9721">
        <row r="34">
          <cell r="A34" t="str">
            <v>Investments Govt Securities</v>
          </cell>
        </row>
      </sheetData>
      <sheetData sheetId="9722">
        <row r="34">
          <cell r="A34" t="str">
            <v>Investments Govt Securities</v>
          </cell>
        </row>
      </sheetData>
      <sheetData sheetId="9723">
        <row r="34">
          <cell r="A34" t="str">
            <v>Investments Govt Securities</v>
          </cell>
        </row>
      </sheetData>
      <sheetData sheetId="9724">
        <row r="34">
          <cell r="A34" t="str">
            <v>Investments Govt Securities</v>
          </cell>
        </row>
      </sheetData>
      <sheetData sheetId="9725">
        <row r="34">
          <cell r="A34" t="str">
            <v>Investments Govt Securities</v>
          </cell>
        </row>
      </sheetData>
      <sheetData sheetId="9726">
        <row r="34">
          <cell r="A34" t="str">
            <v>Investments Govt Securities</v>
          </cell>
        </row>
      </sheetData>
      <sheetData sheetId="9727">
        <row r="34">
          <cell r="A34" t="str">
            <v>Investments Govt Securities</v>
          </cell>
        </row>
      </sheetData>
      <sheetData sheetId="9728">
        <row r="34">
          <cell r="A34" t="str">
            <v>Investments Govt Securities</v>
          </cell>
        </row>
      </sheetData>
      <sheetData sheetId="9729">
        <row r="34">
          <cell r="A34" t="str">
            <v>Investments Govt Securities</v>
          </cell>
        </row>
      </sheetData>
      <sheetData sheetId="9730">
        <row r="34">
          <cell r="A34" t="str">
            <v>Investments Govt Securities</v>
          </cell>
        </row>
      </sheetData>
      <sheetData sheetId="9731">
        <row r="34">
          <cell r="A34" t="str">
            <v>Investments Govt Securities</v>
          </cell>
        </row>
      </sheetData>
      <sheetData sheetId="9732">
        <row r="34">
          <cell r="A34" t="str">
            <v>Investments Govt Securities</v>
          </cell>
        </row>
      </sheetData>
      <sheetData sheetId="9733">
        <row r="34">
          <cell r="A34" t="str">
            <v>Investments Govt Securities</v>
          </cell>
        </row>
      </sheetData>
      <sheetData sheetId="9734">
        <row r="34">
          <cell r="A34" t="str">
            <v>Investments Govt Securities</v>
          </cell>
        </row>
      </sheetData>
      <sheetData sheetId="9735">
        <row r="34">
          <cell r="A34" t="str">
            <v>Investments Govt Securities</v>
          </cell>
        </row>
      </sheetData>
      <sheetData sheetId="9736">
        <row r="34">
          <cell r="A34" t="str">
            <v>Investments Govt Securities</v>
          </cell>
        </row>
      </sheetData>
      <sheetData sheetId="9737">
        <row r="34">
          <cell r="A34" t="str">
            <v>Investments Govt Securities</v>
          </cell>
        </row>
      </sheetData>
      <sheetData sheetId="9738">
        <row r="34">
          <cell r="A34" t="str">
            <v>Investments Govt Securities</v>
          </cell>
        </row>
      </sheetData>
      <sheetData sheetId="9739">
        <row r="34">
          <cell r="A34" t="str">
            <v>Investments Govt Securities</v>
          </cell>
        </row>
      </sheetData>
      <sheetData sheetId="9740">
        <row r="34">
          <cell r="A34" t="str">
            <v>Investments Govt Securities</v>
          </cell>
        </row>
      </sheetData>
      <sheetData sheetId="9741">
        <row r="34">
          <cell r="A34" t="str">
            <v>Investments Govt Securities</v>
          </cell>
        </row>
      </sheetData>
      <sheetData sheetId="9742">
        <row r="34">
          <cell r="A34" t="str">
            <v>Investments Govt Securities</v>
          </cell>
        </row>
      </sheetData>
      <sheetData sheetId="9743">
        <row r="34">
          <cell r="A34" t="str">
            <v>Investments Govt Securities</v>
          </cell>
        </row>
      </sheetData>
      <sheetData sheetId="9744">
        <row r="34">
          <cell r="A34" t="str">
            <v>Investments Govt Securities</v>
          </cell>
        </row>
      </sheetData>
      <sheetData sheetId="9745">
        <row r="34">
          <cell r="A34" t="str">
            <v>Investments Govt Securities</v>
          </cell>
        </row>
      </sheetData>
      <sheetData sheetId="9746">
        <row r="34">
          <cell r="A34" t="str">
            <v>Investments Govt Securities</v>
          </cell>
        </row>
      </sheetData>
      <sheetData sheetId="9747">
        <row r="34">
          <cell r="A34" t="str">
            <v>Investments Govt Securities</v>
          </cell>
        </row>
      </sheetData>
      <sheetData sheetId="9748">
        <row r="34">
          <cell r="A34" t="str">
            <v>Investments Govt Securities</v>
          </cell>
        </row>
      </sheetData>
      <sheetData sheetId="9749">
        <row r="34">
          <cell r="A34" t="str">
            <v>Investments Govt Securities</v>
          </cell>
        </row>
      </sheetData>
      <sheetData sheetId="9750">
        <row r="34">
          <cell r="A34" t="str">
            <v>Investments Govt Securities</v>
          </cell>
        </row>
      </sheetData>
      <sheetData sheetId="9751">
        <row r="34">
          <cell r="A34" t="str">
            <v>Investments Govt Securities</v>
          </cell>
        </row>
      </sheetData>
      <sheetData sheetId="9752">
        <row r="34">
          <cell r="A34" t="str">
            <v>Investments Govt Securities</v>
          </cell>
        </row>
      </sheetData>
      <sheetData sheetId="9753">
        <row r="34">
          <cell r="A34" t="str">
            <v>Investments Govt Securities</v>
          </cell>
        </row>
      </sheetData>
      <sheetData sheetId="9754">
        <row r="34">
          <cell r="A34" t="str">
            <v>Investments Govt Securities</v>
          </cell>
        </row>
      </sheetData>
      <sheetData sheetId="9755">
        <row r="34">
          <cell r="A34" t="str">
            <v>Investments Govt Securities</v>
          </cell>
        </row>
      </sheetData>
      <sheetData sheetId="9756">
        <row r="34">
          <cell r="A34" t="str">
            <v>Investments Govt Securities</v>
          </cell>
        </row>
      </sheetData>
      <sheetData sheetId="9757">
        <row r="34">
          <cell r="A34" t="str">
            <v>Investments Govt Securities</v>
          </cell>
        </row>
      </sheetData>
      <sheetData sheetId="9758">
        <row r="34">
          <cell r="A34" t="str">
            <v>Investments Govt Securities</v>
          </cell>
        </row>
      </sheetData>
      <sheetData sheetId="9759">
        <row r="34">
          <cell r="A34" t="str">
            <v>Investments Govt Securities</v>
          </cell>
        </row>
      </sheetData>
      <sheetData sheetId="9760">
        <row r="34">
          <cell r="A34" t="str">
            <v>Investments Govt Securities</v>
          </cell>
        </row>
      </sheetData>
      <sheetData sheetId="9761">
        <row r="34">
          <cell r="A34" t="str">
            <v>Investments Govt Securities</v>
          </cell>
        </row>
      </sheetData>
      <sheetData sheetId="9762">
        <row r="34">
          <cell r="A34" t="str">
            <v>Investments Govt Securities</v>
          </cell>
        </row>
      </sheetData>
      <sheetData sheetId="9763">
        <row r="34">
          <cell r="A34" t="str">
            <v>Investments Govt Securities</v>
          </cell>
        </row>
      </sheetData>
      <sheetData sheetId="9764">
        <row r="34">
          <cell r="A34" t="str">
            <v>Investments Govt Securities</v>
          </cell>
        </row>
      </sheetData>
      <sheetData sheetId="9765">
        <row r="34">
          <cell r="A34" t="str">
            <v>Investments Govt Securities</v>
          </cell>
        </row>
      </sheetData>
      <sheetData sheetId="9766">
        <row r="34">
          <cell r="A34" t="str">
            <v>Investments Govt Securities</v>
          </cell>
        </row>
      </sheetData>
      <sheetData sheetId="9767">
        <row r="34">
          <cell r="A34" t="str">
            <v>Investments Govt Securities</v>
          </cell>
        </row>
      </sheetData>
      <sheetData sheetId="9768">
        <row r="34">
          <cell r="A34" t="str">
            <v>Investments Govt Securities</v>
          </cell>
        </row>
      </sheetData>
      <sheetData sheetId="9769">
        <row r="34">
          <cell r="A34" t="str">
            <v>Investments Govt Securities</v>
          </cell>
        </row>
      </sheetData>
      <sheetData sheetId="9770">
        <row r="34">
          <cell r="A34" t="str">
            <v>Investments Govt Securities</v>
          </cell>
        </row>
      </sheetData>
      <sheetData sheetId="9771">
        <row r="34">
          <cell r="A34" t="str">
            <v>Investments Govt Securities</v>
          </cell>
        </row>
      </sheetData>
      <sheetData sheetId="9772">
        <row r="34">
          <cell r="A34" t="str">
            <v>Investments Govt Securities</v>
          </cell>
        </row>
      </sheetData>
      <sheetData sheetId="9773">
        <row r="34">
          <cell r="A34" t="str">
            <v>Investments Govt Securities</v>
          </cell>
        </row>
      </sheetData>
      <sheetData sheetId="9774">
        <row r="34">
          <cell r="A34" t="str">
            <v>Investments Govt Securities</v>
          </cell>
        </row>
      </sheetData>
      <sheetData sheetId="9775">
        <row r="34">
          <cell r="A34" t="str">
            <v>Investments Govt Securities</v>
          </cell>
        </row>
      </sheetData>
      <sheetData sheetId="9776">
        <row r="34">
          <cell r="A34" t="str">
            <v>Investments Govt Securities</v>
          </cell>
        </row>
      </sheetData>
      <sheetData sheetId="9777">
        <row r="34">
          <cell r="A34" t="str">
            <v>Investments Govt Securities</v>
          </cell>
        </row>
      </sheetData>
      <sheetData sheetId="9778">
        <row r="34">
          <cell r="A34" t="str">
            <v>Investments Govt Securities</v>
          </cell>
        </row>
      </sheetData>
      <sheetData sheetId="9779">
        <row r="34">
          <cell r="A34" t="str">
            <v>Investments Govt Securities</v>
          </cell>
        </row>
      </sheetData>
      <sheetData sheetId="9780">
        <row r="34">
          <cell r="A34" t="str">
            <v>Investments Govt Securities</v>
          </cell>
        </row>
      </sheetData>
      <sheetData sheetId="9781">
        <row r="34">
          <cell r="A34" t="str">
            <v>Investments Govt Securities</v>
          </cell>
        </row>
      </sheetData>
      <sheetData sheetId="9782">
        <row r="34">
          <cell r="A34" t="str">
            <v>Investments Govt Securities</v>
          </cell>
        </row>
      </sheetData>
      <sheetData sheetId="9783">
        <row r="34">
          <cell r="A34" t="str">
            <v>Investments Govt Securities</v>
          </cell>
        </row>
      </sheetData>
      <sheetData sheetId="9784">
        <row r="34">
          <cell r="A34" t="str">
            <v>Investments Govt Securities</v>
          </cell>
        </row>
      </sheetData>
      <sheetData sheetId="9785">
        <row r="34">
          <cell r="A34" t="str">
            <v>Investments Govt Securities</v>
          </cell>
        </row>
      </sheetData>
      <sheetData sheetId="9786">
        <row r="34">
          <cell r="A34" t="str">
            <v>Investments Govt Securities</v>
          </cell>
        </row>
      </sheetData>
      <sheetData sheetId="9787">
        <row r="34">
          <cell r="A34" t="str">
            <v>Investments Govt Securities</v>
          </cell>
        </row>
      </sheetData>
      <sheetData sheetId="9788">
        <row r="34">
          <cell r="A34" t="str">
            <v>Investments Govt Securities</v>
          </cell>
        </row>
      </sheetData>
      <sheetData sheetId="9789">
        <row r="34">
          <cell r="A34" t="str">
            <v>Investments Govt Securities</v>
          </cell>
        </row>
      </sheetData>
      <sheetData sheetId="9790">
        <row r="34">
          <cell r="A34" t="str">
            <v>Investments Govt Securities</v>
          </cell>
        </row>
      </sheetData>
      <sheetData sheetId="9791">
        <row r="34">
          <cell r="A34" t="str">
            <v>Investments Govt Securities</v>
          </cell>
        </row>
      </sheetData>
      <sheetData sheetId="9792">
        <row r="34">
          <cell r="A34" t="str">
            <v>Investments Govt Securities</v>
          </cell>
        </row>
      </sheetData>
      <sheetData sheetId="9793">
        <row r="34">
          <cell r="A34" t="str">
            <v>Investments Govt Securities</v>
          </cell>
        </row>
      </sheetData>
      <sheetData sheetId="9794">
        <row r="34">
          <cell r="A34" t="str">
            <v>Investments Govt Securities</v>
          </cell>
        </row>
      </sheetData>
      <sheetData sheetId="9795">
        <row r="34">
          <cell r="A34" t="str">
            <v>Investments Govt Securities</v>
          </cell>
        </row>
      </sheetData>
      <sheetData sheetId="9796">
        <row r="34">
          <cell r="A34" t="str">
            <v>Investments Govt Securities</v>
          </cell>
        </row>
      </sheetData>
      <sheetData sheetId="9797">
        <row r="34">
          <cell r="A34" t="str">
            <v>Investments Govt Securities</v>
          </cell>
        </row>
      </sheetData>
      <sheetData sheetId="9798">
        <row r="34">
          <cell r="A34" t="str">
            <v>Investments Govt Securities</v>
          </cell>
        </row>
      </sheetData>
      <sheetData sheetId="9799">
        <row r="34">
          <cell r="A34" t="str">
            <v>Investments Govt Securities</v>
          </cell>
        </row>
      </sheetData>
      <sheetData sheetId="9800">
        <row r="34">
          <cell r="A34" t="str">
            <v>Investments Govt Securities</v>
          </cell>
        </row>
      </sheetData>
      <sheetData sheetId="9801">
        <row r="34">
          <cell r="A34" t="str">
            <v>Investments Govt Securities</v>
          </cell>
        </row>
      </sheetData>
      <sheetData sheetId="9802">
        <row r="34">
          <cell r="A34" t="str">
            <v>Investments Govt Securities</v>
          </cell>
        </row>
      </sheetData>
      <sheetData sheetId="9803">
        <row r="34">
          <cell r="A34" t="str">
            <v>Investments Govt Securities</v>
          </cell>
        </row>
      </sheetData>
      <sheetData sheetId="9804">
        <row r="34">
          <cell r="A34" t="str">
            <v>Investments Govt Securities</v>
          </cell>
        </row>
      </sheetData>
      <sheetData sheetId="9805">
        <row r="34">
          <cell r="A34" t="str">
            <v>Investments Govt Securities</v>
          </cell>
        </row>
      </sheetData>
      <sheetData sheetId="9806">
        <row r="34">
          <cell r="A34" t="str">
            <v>Investments Govt Securities</v>
          </cell>
        </row>
      </sheetData>
      <sheetData sheetId="9807">
        <row r="34">
          <cell r="A34" t="str">
            <v>Investments Govt Securities</v>
          </cell>
        </row>
      </sheetData>
      <sheetData sheetId="9808">
        <row r="34">
          <cell r="A34" t="str">
            <v>Investments Govt Securities</v>
          </cell>
        </row>
      </sheetData>
      <sheetData sheetId="9809">
        <row r="34">
          <cell r="A34" t="str">
            <v>Investments Govt Securities</v>
          </cell>
        </row>
      </sheetData>
      <sheetData sheetId="9810">
        <row r="34">
          <cell r="A34" t="str">
            <v>Investments Govt Securities</v>
          </cell>
        </row>
      </sheetData>
      <sheetData sheetId="9811">
        <row r="34">
          <cell r="A34" t="str">
            <v>Investments Govt Securities</v>
          </cell>
        </row>
      </sheetData>
      <sheetData sheetId="9812">
        <row r="34">
          <cell r="A34" t="str">
            <v>Investments Govt Securities</v>
          </cell>
        </row>
      </sheetData>
      <sheetData sheetId="9813">
        <row r="34">
          <cell r="A34" t="str">
            <v>Investments Govt Securities</v>
          </cell>
        </row>
      </sheetData>
      <sheetData sheetId="9814">
        <row r="34">
          <cell r="A34" t="str">
            <v>Investments Govt Securities</v>
          </cell>
        </row>
      </sheetData>
      <sheetData sheetId="9815">
        <row r="34">
          <cell r="A34" t="str">
            <v>Investments Govt Securities</v>
          </cell>
        </row>
      </sheetData>
      <sheetData sheetId="9816">
        <row r="34">
          <cell r="A34" t="str">
            <v>Investments Govt Securities</v>
          </cell>
        </row>
      </sheetData>
      <sheetData sheetId="9817">
        <row r="34">
          <cell r="A34" t="str">
            <v>Investments Govt Securities</v>
          </cell>
        </row>
      </sheetData>
      <sheetData sheetId="9818">
        <row r="34">
          <cell r="A34" t="str">
            <v>Investments Govt Securities</v>
          </cell>
        </row>
      </sheetData>
      <sheetData sheetId="9819">
        <row r="34">
          <cell r="A34" t="str">
            <v>Investments Govt Securities</v>
          </cell>
        </row>
      </sheetData>
      <sheetData sheetId="9820">
        <row r="34">
          <cell r="A34" t="str">
            <v>Investments Govt Securities</v>
          </cell>
        </row>
      </sheetData>
      <sheetData sheetId="9821">
        <row r="34">
          <cell r="A34" t="str">
            <v>Investments Govt Securities</v>
          </cell>
        </row>
      </sheetData>
      <sheetData sheetId="9822">
        <row r="34">
          <cell r="A34" t="str">
            <v>Investments Govt Securities</v>
          </cell>
        </row>
      </sheetData>
      <sheetData sheetId="9823">
        <row r="34">
          <cell r="A34" t="str">
            <v>Investments Govt Securities</v>
          </cell>
        </row>
      </sheetData>
      <sheetData sheetId="9824">
        <row r="34">
          <cell r="A34" t="str">
            <v>Investments Govt Securities</v>
          </cell>
        </row>
      </sheetData>
      <sheetData sheetId="9825">
        <row r="34">
          <cell r="A34" t="str">
            <v>Investments Govt Securities</v>
          </cell>
        </row>
      </sheetData>
      <sheetData sheetId="9826">
        <row r="34">
          <cell r="A34" t="str">
            <v>Investments Govt Securities</v>
          </cell>
        </row>
      </sheetData>
      <sheetData sheetId="9827">
        <row r="34">
          <cell r="A34" t="str">
            <v>Investments Govt Securities</v>
          </cell>
        </row>
      </sheetData>
      <sheetData sheetId="9828">
        <row r="34">
          <cell r="A34" t="str">
            <v>Investments Govt Securities</v>
          </cell>
        </row>
      </sheetData>
      <sheetData sheetId="9829">
        <row r="34">
          <cell r="A34" t="str">
            <v>Investments Govt Securities</v>
          </cell>
        </row>
      </sheetData>
      <sheetData sheetId="9830">
        <row r="34">
          <cell r="A34" t="str">
            <v>Investments Govt Securities</v>
          </cell>
        </row>
      </sheetData>
      <sheetData sheetId="9831">
        <row r="34">
          <cell r="A34" t="str">
            <v>Investments Govt Securities</v>
          </cell>
        </row>
      </sheetData>
      <sheetData sheetId="9832">
        <row r="34">
          <cell r="A34" t="str">
            <v>Investments Govt Securities</v>
          </cell>
        </row>
      </sheetData>
      <sheetData sheetId="9833">
        <row r="34">
          <cell r="A34" t="str">
            <v>Investments Govt Securities</v>
          </cell>
        </row>
      </sheetData>
      <sheetData sheetId="9834">
        <row r="34">
          <cell r="A34" t="str">
            <v>Investments Govt Securities</v>
          </cell>
        </row>
      </sheetData>
      <sheetData sheetId="9835">
        <row r="34">
          <cell r="A34" t="str">
            <v>Investments Govt Securities</v>
          </cell>
        </row>
      </sheetData>
      <sheetData sheetId="9836">
        <row r="34">
          <cell r="A34" t="str">
            <v>Investments Govt Securities</v>
          </cell>
        </row>
      </sheetData>
      <sheetData sheetId="9837">
        <row r="34">
          <cell r="A34" t="str">
            <v>Investments Govt Securities</v>
          </cell>
        </row>
      </sheetData>
      <sheetData sheetId="9838">
        <row r="34">
          <cell r="A34" t="str">
            <v>Investments Govt Securities</v>
          </cell>
        </row>
      </sheetData>
      <sheetData sheetId="9839">
        <row r="34">
          <cell r="A34" t="str">
            <v>Investments Govt Securities</v>
          </cell>
        </row>
      </sheetData>
      <sheetData sheetId="9840">
        <row r="34">
          <cell r="A34" t="str">
            <v>Investments Govt Securities</v>
          </cell>
        </row>
      </sheetData>
      <sheetData sheetId="9841">
        <row r="34">
          <cell r="A34" t="str">
            <v>Investments Govt Securities</v>
          </cell>
        </row>
      </sheetData>
      <sheetData sheetId="9842">
        <row r="34">
          <cell r="A34" t="str">
            <v>Investments Govt Securities</v>
          </cell>
        </row>
      </sheetData>
      <sheetData sheetId="9843">
        <row r="34">
          <cell r="A34" t="str">
            <v>Investments Govt Securities</v>
          </cell>
        </row>
      </sheetData>
      <sheetData sheetId="9844">
        <row r="34">
          <cell r="A34" t="str">
            <v>Investments Govt Securities</v>
          </cell>
        </row>
      </sheetData>
      <sheetData sheetId="9845">
        <row r="34">
          <cell r="A34" t="str">
            <v>Investments Govt Securities</v>
          </cell>
        </row>
      </sheetData>
      <sheetData sheetId="9846">
        <row r="34">
          <cell r="A34" t="str">
            <v>Investments Govt Securities</v>
          </cell>
        </row>
      </sheetData>
      <sheetData sheetId="9847">
        <row r="34">
          <cell r="A34" t="str">
            <v>Investments Govt Securities</v>
          </cell>
        </row>
      </sheetData>
      <sheetData sheetId="9848">
        <row r="34">
          <cell r="A34" t="str">
            <v>Investments Govt Securities</v>
          </cell>
        </row>
      </sheetData>
      <sheetData sheetId="9849">
        <row r="34">
          <cell r="A34" t="str">
            <v>Investments Govt Securities</v>
          </cell>
        </row>
      </sheetData>
      <sheetData sheetId="9850">
        <row r="34">
          <cell r="A34" t="str">
            <v>Investments Govt Securities</v>
          </cell>
        </row>
      </sheetData>
      <sheetData sheetId="9851">
        <row r="34">
          <cell r="A34" t="str">
            <v>Investments Govt Securities</v>
          </cell>
        </row>
      </sheetData>
      <sheetData sheetId="9852">
        <row r="34">
          <cell r="A34" t="str">
            <v>Investments Govt Securities</v>
          </cell>
        </row>
      </sheetData>
      <sheetData sheetId="9853">
        <row r="34">
          <cell r="A34" t="str">
            <v>Investments Govt Securities</v>
          </cell>
        </row>
      </sheetData>
      <sheetData sheetId="9854">
        <row r="34">
          <cell r="A34" t="str">
            <v>Investments Govt Securities</v>
          </cell>
        </row>
      </sheetData>
      <sheetData sheetId="9855">
        <row r="34">
          <cell r="A34" t="str">
            <v>Investments Govt Securities</v>
          </cell>
        </row>
      </sheetData>
      <sheetData sheetId="9856">
        <row r="34">
          <cell r="A34" t="str">
            <v>Investments Govt Securities</v>
          </cell>
        </row>
      </sheetData>
      <sheetData sheetId="9857">
        <row r="34">
          <cell r="A34" t="str">
            <v>Investments Govt Securities</v>
          </cell>
        </row>
      </sheetData>
      <sheetData sheetId="9858">
        <row r="34">
          <cell r="A34" t="str">
            <v>Investments Govt Securities</v>
          </cell>
        </row>
      </sheetData>
      <sheetData sheetId="9859">
        <row r="34">
          <cell r="A34" t="str">
            <v>Investments Govt Securities</v>
          </cell>
        </row>
      </sheetData>
      <sheetData sheetId="9860">
        <row r="34">
          <cell r="A34" t="str">
            <v>Investments Govt Securities</v>
          </cell>
        </row>
      </sheetData>
      <sheetData sheetId="9861">
        <row r="34">
          <cell r="A34" t="str">
            <v>Investments Govt Securities</v>
          </cell>
        </row>
      </sheetData>
      <sheetData sheetId="9862">
        <row r="34">
          <cell r="A34" t="str">
            <v>Investments Govt Securities</v>
          </cell>
        </row>
      </sheetData>
      <sheetData sheetId="9863">
        <row r="34">
          <cell r="A34" t="str">
            <v>Investments Govt Securities</v>
          </cell>
        </row>
      </sheetData>
      <sheetData sheetId="9864">
        <row r="34">
          <cell r="A34" t="str">
            <v>Investments Govt Securities</v>
          </cell>
        </row>
      </sheetData>
      <sheetData sheetId="9865">
        <row r="34">
          <cell r="A34" t="str">
            <v>Investments Govt Securities</v>
          </cell>
        </row>
      </sheetData>
      <sheetData sheetId="9866">
        <row r="34">
          <cell r="A34" t="str">
            <v>Investments Govt Securities</v>
          </cell>
        </row>
      </sheetData>
      <sheetData sheetId="9867">
        <row r="34">
          <cell r="A34" t="str">
            <v>Investments Govt Securities</v>
          </cell>
        </row>
      </sheetData>
      <sheetData sheetId="9868">
        <row r="34">
          <cell r="A34" t="str">
            <v>Investments Govt Securities</v>
          </cell>
        </row>
      </sheetData>
      <sheetData sheetId="9869">
        <row r="34">
          <cell r="A34" t="str">
            <v>Investments Govt Securities</v>
          </cell>
        </row>
      </sheetData>
      <sheetData sheetId="9870">
        <row r="34">
          <cell r="A34" t="str">
            <v>Investments Govt Securities</v>
          </cell>
        </row>
      </sheetData>
      <sheetData sheetId="9871">
        <row r="34">
          <cell r="A34" t="str">
            <v>Investments Govt Securities</v>
          </cell>
        </row>
      </sheetData>
      <sheetData sheetId="9872">
        <row r="34">
          <cell r="A34" t="str">
            <v>Investments Govt Securities</v>
          </cell>
        </row>
      </sheetData>
      <sheetData sheetId="9873">
        <row r="34">
          <cell r="A34" t="str">
            <v>Investments Govt Securities</v>
          </cell>
        </row>
      </sheetData>
      <sheetData sheetId="9874">
        <row r="34">
          <cell r="A34" t="str">
            <v>Investments Govt Securities</v>
          </cell>
        </row>
      </sheetData>
      <sheetData sheetId="9875">
        <row r="34">
          <cell r="A34" t="str">
            <v>Investments Govt Securities</v>
          </cell>
        </row>
      </sheetData>
      <sheetData sheetId="9876">
        <row r="34">
          <cell r="A34" t="str">
            <v>Investments Govt Securities</v>
          </cell>
        </row>
      </sheetData>
      <sheetData sheetId="9877">
        <row r="34">
          <cell r="A34" t="str">
            <v>Investments Govt Securities</v>
          </cell>
        </row>
      </sheetData>
      <sheetData sheetId="9878">
        <row r="34">
          <cell r="A34" t="str">
            <v>Investments Govt Securities</v>
          </cell>
        </row>
      </sheetData>
      <sheetData sheetId="9879">
        <row r="34">
          <cell r="A34" t="str">
            <v>Investments Govt Securities</v>
          </cell>
        </row>
      </sheetData>
      <sheetData sheetId="9880">
        <row r="34">
          <cell r="A34" t="str">
            <v>Investments Govt Securities</v>
          </cell>
        </row>
      </sheetData>
      <sheetData sheetId="9881">
        <row r="34">
          <cell r="A34" t="str">
            <v>Investments Govt Securities</v>
          </cell>
        </row>
      </sheetData>
      <sheetData sheetId="9882">
        <row r="34">
          <cell r="A34" t="str">
            <v>Investments Govt Securities</v>
          </cell>
        </row>
      </sheetData>
      <sheetData sheetId="9883">
        <row r="34">
          <cell r="A34" t="str">
            <v>Investments Govt Securities</v>
          </cell>
        </row>
      </sheetData>
      <sheetData sheetId="9884">
        <row r="34">
          <cell r="A34" t="str">
            <v>Investments Govt Securities</v>
          </cell>
        </row>
      </sheetData>
      <sheetData sheetId="9885">
        <row r="34">
          <cell r="A34" t="str">
            <v>Investments Govt Securities</v>
          </cell>
        </row>
      </sheetData>
      <sheetData sheetId="9886">
        <row r="34">
          <cell r="A34" t="str">
            <v>Investments Govt Securities</v>
          </cell>
        </row>
      </sheetData>
      <sheetData sheetId="9887">
        <row r="34">
          <cell r="A34" t="str">
            <v>Investments Govt Securities</v>
          </cell>
        </row>
      </sheetData>
      <sheetData sheetId="9888">
        <row r="34">
          <cell r="A34" t="str">
            <v>Investments Govt Securities</v>
          </cell>
        </row>
      </sheetData>
      <sheetData sheetId="9889">
        <row r="34">
          <cell r="A34" t="str">
            <v>Investments Govt Securities</v>
          </cell>
        </row>
      </sheetData>
      <sheetData sheetId="9890">
        <row r="34">
          <cell r="A34" t="str">
            <v>Investments Govt Securities</v>
          </cell>
        </row>
      </sheetData>
      <sheetData sheetId="9891">
        <row r="34">
          <cell r="A34" t="str">
            <v>Investments Govt Securities</v>
          </cell>
        </row>
      </sheetData>
      <sheetData sheetId="9892">
        <row r="34">
          <cell r="A34" t="str">
            <v>Investments Govt Securities</v>
          </cell>
        </row>
      </sheetData>
      <sheetData sheetId="9893">
        <row r="34">
          <cell r="A34" t="str">
            <v>Investments Govt Securities</v>
          </cell>
        </row>
      </sheetData>
      <sheetData sheetId="9894">
        <row r="34">
          <cell r="A34" t="str">
            <v>Investments Govt Securities</v>
          </cell>
        </row>
      </sheetData>
      <sheetData sheetId="9895">
        <row r="34">
          <cell r="A34" t="str">
            <v>Investments Govt Securities</v>
          </cell>
        </row>
      </sheetData>
      <sheetData sheetId="9896">
        <row r="34">
          <cell r="A34" t="str">
            <v>Investments Govt Securities</v>
          </cell>
        </row>
      </sheetData>
      <sheetData sheetId="9897">
        <row r="34">
          <cell r="A34" t="str">
            <v>Investments Govt Securities</v>
          </cell>
        </row>
      </sheetData>
      <sheetData sheetId="9898">
        <row r="34">
          <cell r="A34" t="str">
            <v>Investments Govt Securities</v>
          </cell>
        </row>
      </sheetData>
      <sheetData sheetId="9899">
        <row r="34">
          <cell r="A34" t="str">
            <v>Investments Govt Securities</v>
          </cell>
        </row>
      </sheetData>
      <sheetData sheetId="9900">
        <row r="34">
          <cell r="A34" t="str">
            <v>Investments Govt Securities</v>
          </cell>
        </row>
      </sheetData>
      <sheetData sheetId="9901">
        <row r="34">
          <cell r="A34" t="str">
            <v>Investments Govt Securities</v>
          </cell>
        </row>
      </sheetData>
      <sheetData sheetId="9902">
        <row r="34">
          <cell r="A34" t="str">
            <v>Investments Govt Securities</v>
          </cell>
        </row>
      </sheetData>
      <sheetData sheetId="9903">
        <row r="34">
          <cell r="A34" t="str">
            <v>Investments Govt Securities</v>
          </cell>
        </row>
      </sheetData>
      <sheetData sheetId="9904">
        <row r="34">
          <cell r="A34" t="str">
            <v>Investments Govt Securities</v>
          </cell>
        </row>
      </sheetData>
      <sheetData sheetId="9905">
        <row r="34">
          <cell r="A34" t="str">
            <v>Investments Govt Securities</v>
          </cell>
        </row>
      </sheetData>
      <sheetData sheetId="9906">
        <row r="34">
          <cell r="A34" t="str">
            <v>Investments Govt Securities</v>
          </cell>
        </row>
      </sheetData>
      <sheetData sheetId="9907">
        <row r="34">
          <cell r="A34" t="str">
            <v>Investments Govt Securities</v>
          </cell>
        </row>
      </sheetData>
      <sheetData sheetId="9908">
        <row r="34">
          <cell r="A34" t="str">
            <v>Investments Govt Securities</v>
          </cell>
        </row>
      </sheetData>
      <sheetData sheetId="9909">
        <row r="34">
          <cell r="A34" t="str">
            <v>Investments Govt Securities</v>
          </cell>
        </row>
      </sheetData>
      <sheetData sheetId="9910">
        <row r="34">
          <cell r="A34" t="str">
            <v>Investments Govt Securities</v>
          </cell>
        </row>
      </sheetData>
      <sheetData sheetId="9911">
        <row r="34">
          <cell r="A34" t="str">
            <v>Investments Govt Securities</v>
          </cell>
        </row>
      </sheetData>
      <sheetData sheetId="9912">
        <row r="34">
          <cell r="A34" t="str">
            <v>Investments Govt Securities</v>
          </cell>
        </row>
      </sheetData>
      <sheetData sheetId="9913">
        <row r="34">
          <cell r="A34" t="str">
            <v>Investments Govt Securities</v>
          </cell>
        </row>
      </sheetData>
      <sheetData sheetId="9914">
        <row r="34">
          <cell r="A34" t="str">
            <v>Investments Govt Securities</v>
          </cell>
        </row>
      </sheetData>
      <sheetData sheetId="9915">
        <row r="34">
          <cell r="A34" t="str">
            <v>Investments Govt Securities</v>
          </cell>
        </row>
      </sheetData>
      <sheetData sheetId="9916">
        <row r="34">
          <cell r="A34" t="str">
            <v>Investments Govt Securities</v>
          </cell>
        </row>
      </sheetData>
      <sheetData sheetId="9917">
        <row r="34">
          <cell r="A34" t="str">
            <v>Investments Govt Securities</v>
          </cell>
        </row>
      </sheetData>
      <sheetData sheetId="9918">
        <row r="34">
          <cell r="A34" t="str">
            <v>Investments Govt Securities</v>
          </cell>
        </row>
      </sheetData>
      <sheetData sheetId="9919">
        <row r="34">
          <cell r="A34" t="str">
            <v>Investments Govt Securities</v>
          </cell>
        </row>
      </sheetData>
      <sheetData sheetId="9920">
        <row r="34">
          <cell r="A34" t="str">
            <v>Investments Govt Securities</v>
          </cell>
        </row>
      </sheetData>
      <sheetData sheetId="9921">
        <row r="34">
          <cell r="A34" t="str">
            <v>Investments Govt Securities</v>
          </cell>
        </row>
      </sheetData>
      <sheetData sheetId="9922">
        <row r="34">
          <cell r="A34" t="str">
            <v>Investments Govt Securities</v>
          </cell>
        </row>
      </sheetData>
      <sheetData sheetId="9923">
        <row r="34">
          <cell r="A34" t="str">
            <v>Investments Govt Securities</v>
          </cell>
        </row>
      </sheetData>
      <sheetData sheetId="9924">
        <row r="34">
          <cell r="A34" t="str">
            <v>Investments Govt Securities</v>
          </cell>
        </row>
      </sheetData>
      <sheetData sheetId="9925">
        <row r="34">
          <cell r="A34" t="str">
            <v>Investments Govt Securities</v>
          </cell>
        </row>
      </sheetData>
      <sheetData sheetId="9926">
        <row r="34">
          <cell r="A34" t="str">
            <v>Investments Govt Securities</v>
          </cell>
        </row>
      </sheetData>
      <sheetData sheetId="9927">
        <row r="34">
          <cell r="A34" t="str">
            <v>Investments Govt Securities</v>
          </cell>
        </row>
      </sheetData>
      <sheetData sheetId="9928">
        <row r="34">
          <cell r="A34" t="str">
            <v>Investments Govt Securities</v>
          </cell>
        </row>
      </sheetData>
      <sheetData sheetId="9929">
        <row r="34">
          <cell r="A34" t="str">
            <v>Investments Govt Securities</v>
          </cell>
        </row>
      </sheetData>
      <sheetData sheetId="9930">
        <row r="34">
          <cell r="A34" t="str">
            <v>Investments Govt Securities</v>
          </cell>
        </row>
      </sheetData>
      <sheetData sheetId="9931">
        <row r="34">
          <cell r="A34" t="str">
            <v>Investments Govt Securities</v>
          </cell>
        </row>
      </sheetData>
      <sheetData sheetId="9932">
        <row r="34">
          <cell r="A34" t="str">
            <v>Investments Govt Securities</v>
          </cell>
        </row>
      </sheetData>
      <sheetData sheetId="9933">
        <row r="34">
          <cell r="A34" t="str">
            <v>Investments Govt Securities</v>
          </cell>
        </row>
      </sheetData>
      <sheetData sheetId="9934">
        <row r="34">
          <cell r="A34" t="str">
            <v>Investments Govt Securities</v>
          </cell>
        </row>
      </sheetData>
      <sheetData sheetId="9935">
        <row r="34">
          <cell r="A34" t="str">
            <v>Investments Govt Securities</v>
          </cell>
        </row>
      </sheetData>
      <sheetData sheetId="9936">
        <row r="34">
          <cell r="A34" t="str">
            <v>Investments Govt Securities</v>
          </cell>
        </row>
      </sheetData>
      <sheetData sheetId="9937">
        <row r="34">
          <cell r="A34" t="str">
            <v>Investments Govt Securities</v>
          </cell>
        </row>
      </sheetData>
      <sheetData sheetId="9938">
        <row r="34">
          <cell r="A34" t="str">
            <v>Investments Govt Securities</v>
          </cell>
        </row>
      </sheetData>
      <sheetData sheetId="9939">
        <row r="34">
          <cell r="A34" t="str">
            <v>Investments Govt Securities</v>
          </cell>
        </row>
      </sheetData>
      <sheetData sheetId="9940">
        <row r="34">
          <cell r="A34" t="str">
            <v>Investments Govt Securities</v>
          </cell>
        </row>
      </sheetData>
      <sheetData sheetId="9941">
        <row r="34">
          <cell r="A34" t="str">
            <v>Investments Govt Securities</v>
          </cell>
        </row>
      </sheetData>
      <sheetData sheetId="9942">
        <row r="34">
          <cell r="A34" t="str">
            <v>Investments Govt Securities</v>
          </cell>
        </row>
      </sheetData>
      <sheetData sheetId="9943">
        <row r="34">
          <cell r="A34" t="str">
            <v>Investments Govt Securities</v>
          </cell>
        </row>
      </sheetData>
      <sheetData sheetId="9944">
        <row r="34">
          <cell r="A34" t="str">
            <v>Investments Govt Securities</v>
          </cell>
        </row>
      </sheetData>
      <sheetData sheetId="9945">
        <row r="34">
          <cell r="A34" t="str">
            <v>Investments Govt Securities</v>
          </cell>
        </row>
      </sheetData>
      <sheetData sheetId="9946">
        <row r="34">
          <cell r="A34" t="str">
            <v>Investments Govt Securities</v>
          </cell>
        </row>
      </sheetData>
      <sheetData sheetId="9947">
        <row r="34">
          <cell r="A34" t="str">
            <v>Investments Govt Securities</v>
          </cell>
        </row>
      </sheetData>
      <sheetData sheetId="9948">
        <row r="34">
          <cell r="A34" t="str">
            <v>Investments Govt Securities</v>
          </cell>
        </row>
      </sheetData>
      <sheetData sheetId="9949">
        <row r="34">
          <cell r="A34" t="str">
            <v>Investments Govt Securities</v>
          </cell>
        </row>
      </sheetData>
      <sheetData sheetId="9950">
        <row r="34">
          <cell r="A34" t="str">
            <v>Investments Govt Securities</v>
          </cell>
        </row>
      </sheetData>
      <sheetData sheetId="9951">
        <row r="34">
          <cell r="A34" t="str">
            <v>Investments Govt Securities</v>
          </cell>
        </row>
      </sheetData>
      <sheetData sheetId="9952">
        <row r="34">
          <cell r="A34" t="str">
            <v>Investments Govt Securities</v>
          </cell>
        </row>
      </sheetData>
      <sheetData sheetId="9953">
        <row r="34">
          <cell r="A34" t="str">
            <v>Investments Govt Securities</v>
          </cell>
        </row>
      </sheetData>
      <sheetData sheetId="9954">
        <row r="34">
          <cell r="A34" t="str">
            <v>Investments Govt Securities</v>
          </cell>
        </row>
      </sheetData>
      <sheetData sheetId="9955">
        <row r="34">
          <cell r="A34" t="str">
            <v>Investments Govt Securities</v>
          </cell>
        </row>
      </sheetData>
      <sheetData sheetId="9956">
        <row r="34">
          <cell r="A34" t="str">
            <v>Investments Govt Securities</v>
          </cell>
        </row>
      </sheetData>
      <sheetData sheetId="9957">
        <row r="34">
          <cell r="A34" t="str">
            <v>Investments Govt Securities</v>
          </cell>
        </row>
      </sheetData>
      <sheetData sheetId="9958">
        <row r="34">
          <cell r="A34" t="str">
            <v>Investments Govt Securities</v>
          </cell>
        </row>
      </sheetData>
      <sheetData sheetId="9959">
        <row r="34">
          <cell r="A34" t="str">
            <v>Investments Govt Securities</v>
          </cell>
        </row>
      </sheetData>
      <sheetData sheetId="9960">
        <row r="34">
          <cell r="A34" t="str">
            <v>Investments Govt Securities</v>
          </cell>
        </row>
      </sheetData>
      <sheetData sheetId="9961">
        <row r="34">
          <cell r="A34" t="str">
            <v>Investments Govt Securities</v>
          </cell>
        </row>
      </sheetData>
      <sheetData sheetId="9962">
        <row r="34">
          <cell r="A34" t="str">
            <v>Investments Govt Securities</v>
          </cell>
        </row>
      </sheetData>
      <sheetData sheetId="9963">
        <row r="34">
          <cell r="A34" t="str">
            <v>Investments Govt Securities</v>
          </cell>
        </row>
      </sheetData>
      <sheetData sheetId="9964">
        <row r="34">
          <cell r="A34" t="str">
            <v>Investments Govt Securities</v>
          </cell>
        </row>
      </sheetData>
      <sheetData sheetId="9965">
        <row r="34">
          <cell r="A34" t="str">
            <v>Investments Govt Securities</v>
          </cell>
        </row>
      </sheetData>
      <sheetData sheetId="9966">
        <row r="34">
          <cell r="A34" t="str">
            <v>Investments Govt Securities</v>
          </cell>
        </row>
      </sheetData>
      <sheetData sheetId="9967">
        <row r="34">
          <cell r="A34" t="str">
            <v>Investments Govt Securities</v>
          </cell>
        </row>
      </sheetData>
      <sheetData sheetId="9968">
        <row r="34">
          <cell r="A34" t="str">
            <v>Investments Govt Securities</v>
          </cell>
        </row>
      </sheetData>
      <sheetData sheetId="9969">
        <row r="34">
          <cell r="A34" t="str">
            <v>Investments Govt Securities</v>
          </cell>
        </row>
      </sheetData>
      <sheetData sheetId="9970">
        <row r="34">
          <cell r="A34" t="str">
            <v>Investments Govt Securities</v>
          </cell>
        </row>
      </sheetData>
      <sheetData sheetId="9971">
        <row r="34">
          <cell r="A34" t="str">
            <v>Investments Govt Securities</v>
          </cell>
        </row>
      </sheetData>
      <sheetData sheetId="9972">
        <row r="34">
          <cell r="A34" t="str">
            <v>Investments Govt Securities</v>
          </cell>
        </row>
      </sheetData>
      <sheetData sheetId="9973">
        <row r="34">
          <cell r="A34" t="str">
            <v>Investments Govt Securities</v>
          </cell>
        </row>
      </sheetData>
      <sheetData sheetId="9974">
        <row r="34">
          <cell r="A34" t="str">
            <v>Investments Govt Securities</v>
          </cell>
        </row>
      </sheetData>
      <sheetData sheetId="9975">
        <row r="34">
          <cell r="A34" t="str">
            <v>Investments Govt Securities</v>
          </cell>
        </row>
      </sheetData>
      <sheetData sheetId="9976">
        <row r="34">
          <cell r="A34" t="str">
            <v>Investments Govt Securities</v>
          </cell>
        </row>
      </sheetData>
      <sheetData sheetId="9977">
        <row r="34">
          <cell r="A34" t="str">
            <v>Investments Govt Securities</v>
          </cell>
        </row>
      </sheetData>
      <sheetData sheetId="9978">
        <row r="34">
          <cell r="A34" t="str">
            <v>Investments Govt Securities</v>
          </cell>
        </row>
      </sheetData>
      <sheetData sheetId="9979">
        <row r="34">
          <cell r="A34" t="str">
            <v>Investments Govt Securities</v>
          </cell>
        </row>
      </sheetData>
      <sheetData sheetId="9980">
        <row r="34">
          <cell r="A34" t="str">
            <v>Investments Govt Securities</v>
          </cell>
        </row>
      </sheetData>
      <sheetData sheetId="9981">
        <row r="34">
          <cell r="A34" t="str">
            <v>Investments Govt Securities</v>
          </cell>
        </row>
      </sheetData>
      <sheetData sheetId="9982">
        <row r="34">
          <cell r="A34" t="str">
            <v>Investments Govt Securities</v>
          </cell>
        </row>
      </sheetData>
      <sheetData sheetId="9983">
        <row r="34">
          <cell r="A34" t="str">
            <v>Investments Govt Securities</v>
          </cell>
        </row>
      </sheetData>
      <sheetData sheetId="9984">
        <row r="34">
          <cell r="A34" t="str">
            <v>Investments Govt Securities</v>
          </cell>
        </row>
      </sheetData>
      <sheetData sheetId="9985">
        <row r="34">
          <cell r="A34" t="str">
            <v>Investments Govt Securities</v>
          </cell>
        </row>
      </sheetData>
      <sheetData sheetId="9986">
        <row r="34">
          <cell r="A34" t="str">
            <v>Investments Govt Securities</v>
          </cell>
        </row>
      </sheetData>
      <sheetData sheetId="9987">
        <row r="34">
          <cell r="A34" t="str">
            <v>Investments Govt Securities</v>
          </cell>
        </row>
      </sheetData>
      <sheetData sheetId="9988">
        <row r="34">
          <cell r="A34" t="str">
            <v>Investments Govt Securities</v>
          </cell>
        </row>
      </sheetData>
      <sheetData sheetId="9989">
        <row r="34">
          <cell r="A34" t="str">
            <v>Investments Govt Securities</v>
          </cell>
        </row>
      </sheetData>
      <sheetData sheetId="9990">
        <row r="34">
          <cell r="A34" t="str">
            <v>Investments Govt Securities</v>
          </cell>
        </row>
      </sheetData>
      <sheetData sheetId="9991">
        <row r="34">
          <cell r="A34" t="str">
            <v>Investments Govt Securities</v>
          </cell>
        </row>
      </sheetData>
      <sheetData sheetId="9992">
        <row r="34">
          <cell r="A34" t="str">
            <v>Investments Govt Securities</v>
          </cell>
        </row>
      </sheetData>
      <sheetData sheetId="9993">
        <row r="34">
          <cell r="A34" t="str">
            <v>Investments Govt Securities</v>
          </cell>
        </row>
      </sheetData>
      <sheetData sheetId="9994">
        <row r="34">
          <cell r="A34" t="str">
            <v>Investments Govt Securities</v>
          </cell>
        </row>
      </sheetData>
      <sheetData sheetId="9995">
        <row r="34">
          <cell r="A34" t="str">
            <v>Investments Govt Securities</v>
          </cell>
        </row>
      </sheetData>
      <sheetData sheetId="9996">
        <row r="34">
          <cell r="A34" t="str">
            <v>Investments Govt Securities</v>
          </cell>
        </row>
      </sheetData>
      <sheetData sheetId="9997">
        <row r="34">
          <cell r="A34" t="str">
            <v>Investments Govt Securities</v>
          </cell>
        </row>
      </sheetData>
      <sheetData sheetId="9998">
        <row r="34">
          <cell r="A34" t="str">
            <v>Investments Govt Securities</v>
          </cell>
        </row>
      </sheetData>
      <sheetData sheetId="9999">
        <row r="34">
          <cell r="A34" t="str">
            <v>Investments Govt Securities</v>
          </cell>
        </row>
      </sheetData>
      <sheetData sheetId="10000">
        <row r="34">
          <cell r="A34" t="str">
            <v>Investments Govt Securities</v>
          </cell>
        </row>
      </sheetData>
      <sheetData sheetId="10001">
        <row r="34">
          <cell r="A34" t="str">
            <v>Investments Govt Securities</v>
          </cell>
        </row>
      </sheetData>
      <sheetData sheetId="10002">
        <row r="34">
          <cell r="A34" t="str">
            <v>Investments Govt Securities</v>
          </cell>
        </row>
      </sheetData>
      <sheetData sheetId="10003">
        <row r="34">
          <cell r="A34" t="str">
            <v>Investments Govt Securities</v>
          </cell>
        </row>
      </sheetData>
      <sheetData sheetId="10004">
        <row r="34">
          <cell r="A34" t="str">
            <v>Investments Govt Securities</v>
          </cell>
        </row>
      </sheetData>
      <sheetData sheetId="10005">
        <row r="34">
          <cell r="A34" t="str">
            <v>Investments Govt Securities</v>
          </cell>
        </row>
      </sheetData>
      <sheetData sheetId="10006">
        <row r="34">
          <cell r="A34" t="str">
            <v>Investments Govt Securities</v>
          </cell>
        </row>
      </sheetData>
      <sheetData sheetId="10007">
        <row r="34">
          <cell r="A34" t="str">
            <v>Investments Govt Securities</v>
          </cell>
        </row>
      </sheetData>
      <sheetData sheetId="10008">
        <row r="34">
          <cell r="A34" t="str">
            <v>Investments Govt Securities</v>
          </cell>
        </row>
      </sheetData>
      <sheetData sheetId="10009">
        <row r="34">
          <cell r="A34" t="str">
            <v>Investments Govt Securities</v>
          </cell>
        </row>
      </sheetData>
      <sheetData sheetId="10010">
        <row r="34">
          <cell r="A34" t="str">
            <v>Investments Govt Securities</v>
          </cell>
        </row>
      </sheetData>
      <sheetData sheetId="10011">
        <row r="34">
          <cell r="A34" t="str">
            <v>Investments Govt Securities</v>
          </cell>
        </row>
      </sheetData>
      <sheetData sheetId="10012">
        <row r="34">
          <cell r="A34" t="str">
            <v>Investments Govt Securities</v>
          </cell>
        </row>
      </sheetData>
      <sheetData sheetId="10013">
        <row r="34">
          <cell r="A34" t="str">
            <v>Investments Govt Securities</v>
          </cell>
        </row>
      </sheetData>
      <sheetData sheetId="10014">
        <row r="34">
          <cell r="A34" t="str">
            <v>Investments Govt Securities</v>
          </cell>
        </row>
      </sheetData>
      <sheetData sheetId="10015">
        <row r="34">
          <cell r="A34" t="str">
            <v>Investments Govt Securities</v>
          </cell>
        </row>
      </sheetData>
      <sheetData sheetId="10016">
        <row r="34">
          <cell r="A34" t="str">
            <v>Investments Govt Securities</v>
          </cell>
        </row>
      </sheetData>
      <sheetData sheetId="10017">
        <row r="34">
          <cell r="A34" t="str">
            <v>Investments Govt Securities</v>
          </cell>
        </row>
      </sheetData>
      <sheetData sheetId="10018">
        <row r="34">
          <cell r="A34" t="str">
            <v>Investments Govt Securities</v>
          </cell>
        </row>
      </sheetData>
      <sheetData sheetId="10019">
        <row r="34">
          <cell r="A34" t="str">
            <v>Investments Govt Securities</v>
          </cell>
        </row>
      </sheetData>
      <sheetData sheetId="10020">
        <row r="34">
          <cell r="A34" t="str">
            <v>Investments Govt Securities</v>
          </cell>
        </row>
      </sheetData>
      <sheetData sheetId="10021">
        <row r="34">
          <cell r="A34" t="str">
            <v>Investments Govt Securities</v>
          </cell>
        </row>
      </sheetData>
      <sheetData sheetId="10022">
        <row r="34">
          <cell r="A34" t="str">
            <v>Investments Govt Securities</v>
          </cell>
        </row>
      </sheetData>
      <sheetData sheetId="10023">
        <row r="34">
          <cell r="A34" t="str">
            <v>Investments Govt Securities</v>
          </cell>
        </row>
      </sheetData>
      <sheetData sheetId="10024">
        <row r="34">
          <cell r="A34" t="str">
            <v>Investments Govt Securities</v>
          </cell>
        </row>
      </sheetData>
      <sheetData sheetId="10025">
        <row r="34">
          <cell r="A34" t="str">
            <v>Investments Govt Securities</v>
          </cell>
        </row>
      </sheetData>
      <sheetData sheetId="10026">
        <row r="34">
          <cell r="A34" t="str">
            <v>Investments Govt Securities</v>
          </cell>
        </row>
      </sheetData>
      <sheetData sheetId="10027">
        <row r="34">
          <cell r="A34" t="str">
            <v>Investments Govt Securities</v>
          </cell>
        </row>
      </sheetData>
      <sheetData sheetId="10028">
        <row r="34">
          <cell r="A34" t="str">
            <v>Investments Govt Securities</v>
          </cell>
        </row>
      </sheetData>
      <sheetData sheetId="10029">
        <row r="34">
          <cell r="A34" t="str">
            <v>Investments Govt Securities</v>
          </cell>
        </row>
      </sheetData>
      <sheetData sheetId="10030">
        <row r="34">
          <cell r="A34" t="str">
            <v>Investments Govt Securities</v>
          </cell>
        </row>
      </sheetData>
      <sheetData sheetId="10031">
        <row r="34">
          <cell r="A34" t="str">
            <v>Investments Govt Securities</v>
          </cell>
        </row>
      </sheetData>
      <sheetData sheetId="10032">
        <row r="34">
          <cell r="A34" t="str">
            <v>Investments Govt Securities</v>
          </cell>
        </row>
      </sheetData>
      <sheetData sheetId="10033">
        <row r="34">
          <cell r="A34" t="str">
            <v>Investments Govt Securities</v>
          </cell>
        </row>
      </sheetData>
      <sheetData sheetId="10034">
        <row r="34">
          <cell r="A34" t="str">
            <v>Investments Govt Securities</v>
          </cell>
        </row>
      </sheetData>
      <sheetData sheetId="10035">
        <row r="34">
          <cell r="A34" t="str">
            <v>Investments Govt Securities</v>
          </cell>
        </row>
      </sheetData>
      <sheetData sheetId="10036">
        <row r="34">
          <cell r="A34" t="str">
            <v>Investments Govt Securities</v>
          </cell>
        </row>
      </sheetData>
      <sheetData sheetId="10037">
        <row r="34">
          <cell r="A34" t="str">
            <v>Investments Govt Securities</v>
          </cell>
        </row>
      </sheetData>
      <sheetData sheetId="10038">
        <row r="34">
          <cell r="A34" t="str">
            <v>Investments Govt Securities</v>
          </cell>
        </row>
      </sheetData>
      <sheetData sheetId="10039">
        <row r="34">
          <cell r="A34" t="str">
            <v>Investments Govt Securities</v>
          </cell>
        </row>
      </sheetData>
      <sheetData sheetId="10040">
        <row r="34">
          <cell r="A34" t="str">
            <v>Investments Govt Securities</v>
          </cell>
        </row>
      </sheetData>
      <sheetData sheetId="10041">
        <row r="34">
          <cell r="A34" t="str">
            <v>Investments Govt Securities</v>
          </cell>
        </row>
      </sheetData>
      <sheetData sheetId="10042">
        <row r="34">
          <cell r="A34" t="str">
            <v>Investments Govt Securities</v>
          </cell>
        </row>
      </sheetData>
      <sheetData sheetId="10043">
        <row r="34">
          <cell r="A34" t="str">
            <v>Investments Govt Securities</v>
          </cell>
        </row>
      </sheetData>
      <sheetData sheetId="10044">
        <row r="34">
          <cell r="A34" t="str">
            <v>Investments Govt Securities</v>
          </cell>
        </row>
      </sheetData>
      <sheetData sheetId="10045">
        <row r="34">
          <cell r="A34" t="str">
            <v>Investments Govt Securities</v>
          </cell>
        </row>
      </sheetData>
      <sheetData sheetId="10046">
        <row r="34">
          <cell r="A34" t="str">
            <v>Investments Govt Securities</v>
          </cell>
        </row>
      </sheetData>
      <sheetData sheetId="10047">
        <row r="34">
          <cell r="A34" t="str">
            <v>Investments Govt Securities</v>
          </cell>
        </row>
      </sheetData>
      <sheetData sheetId="10048">
        <row r="34">
          <cell r="A34" t="str">
            <v>Investments Govt Securities</v>
          </cell>
        </row>
      </sheetData>
      <sheetData sheetId="10049">
        <row r="34">
          <cell r="A34" t="str">
            <v>Investments Govt Securities</v>
          </cell>
        </row>
      </sheetData>
      <sheetData sheetId="10050">
        <row r="34">
          <cell r="A34" t="str">
            <v>Investments Govt Securities</v>
          </cell>
        </row>
      </sheetData>
      <sheetData sheetId="10051">
        <row r="34">
          <cell r="A34" t="str">
            <v>Investments Govt Securities</v>
          </cell>
        </row>
      </sheetData>
      <sheetData sheetId="10052">
        <row r="34">
          <cell r="A34" t="str">
            <v>Investments Govt Securities</v>
          </cell>
        </row>
      </sheetData>
      <sheetData sheetId="10053">
        <row r="34">
          <cell r="A34" t="str">
            <v>Investments Govt Securities</v>
          </cell>
        </row>
      </sheetData>
      <sheetData sheetId="10054">
        <row r="34">
          <cell r="A34" t="str">
            <v>Investments Govt Securities</v>
          </cell>
        </row>
      </sheetData>
      <sheetData sheetId="10055">
        <row r="34">
          <cell r="A34" t="str">
            <v>Investments Govt Securities</v>
          </cell>
        </row>
      </sheetData>
      <sheetData sheetId="10056">
        <row r="34">
          <cell r="A34" t="str">
            <v>Investments Govt Securities</v>
          </cell>
        </row>
      </sheetData>
      <sheetData sheetId="10057">
        <row r="34">
          <cell r="A34" t="str">
            <v>Investments Govt Securities</v>
          </cell>
        </row>
      </sheetData>
      <sheetData sheetId="10058">
        <row r="34">
          <cell r="A34" t="str">
            <v>Investments Govt Securities</v>
          </cell>
        </row>
      </sheetData>
      <sheetData sheetId="10059">
        <row r="34">
          <cell r="A34" t="str">
            <v>Investments Govt Securities</v>
          </cell>
        </row>
      </sheetData>
      <sheetData sheetId="10060">
        <row r="34">
          <cell r="A34" t="str">
            <v>Investments Govt Securities</v>
          </cell>
        </row>
      </sheetData>
      <sheetData sheetId="10061">
        <row r="34">
          <cell r="A34" t="str">
            <v>Investments Govt Securities</v>
          </cell>
        </row>
      </sheetData>
      <sheetData sheetId="10062">
        <row r="34">
          <cell r="A34" t="str">
            <v>Investments Govt Securities</v>
          </cell>
        </row>
      </sheetData>
      <sheetData sheetId="10063">
        <row r="34">
          <cell r="A34" t="str">
            <v>Investments Govt Securities</v>
          </cell>
        </row>
      </sheetData>
      <sheetData sheetId="10064">
        <row r="34">
          <cell r="A34" t="str">
            <v>Investments Govt Securities</v>
          </cell>
        </row>
      </sheetData>
      <sheetData sheetId="10065">
        <row r="34">
          <cell r="A34" t="str">
            <v>Investments Govt Securities</v>
          </cell>
        </row>
      </sheetData>
      <sheetData sheetId="10066">
        <row r="34">
          <cell r="A34" t="str">
            <v>Investments Govt Securities</v>
          </cell>
        </row>
      </sheetData>
      <sheetData sheetId="10067">
        <row r="34">
          <cell r="A34" t="str">
            <v>Investments Govt Securities</v>
          </cell>
        </row>
      </sheetData>
      <sheetData sheetId="10068">
        <row r="34">
          <cell r="A34" t="str">
            <v>Investments Govt Securities</v>
          </cell>
        </row>
      </sheetData>
      <sheetData sheetId="10069">
        <row r="34">
          <cell r="A34" t="str">
            <v>Investments Govt Securities</v>
          </cell>
        </row>
      </sheetData>
      <sheetData sheetId="10070">
        <row r="34">
          <cell r="A34" t="str">
            <v>Investments Govt Securities</v>
          </cell>
        </row>
      </sheetData>
      <sheetData sheetId="10071">
        <row r="34">
          <cell r="A34" t="str">
            <v>Investments Govt Securities</v>
          </cell>
        </row>
      </sheetData>
      <sheetData sheetId="10072">
        <row r="34">
          <cell r="A34" t="str">
            <v>Investments Govt Securities</v>
          </cell>
        </row>
      </sheetData>
      <sheetData sheetId="10073">
        <row r="34">
          <cell r="A34" t="str">
            <v>Investments Govt Securities</v>
          </cell>
        </row>
      </sheetData>
      <sheetData sheetId="10074">
        <row r="34">
          <cell r="A34" t="str">
            <v>Investments Govt Securities</v>
          </cell>
        </row>
      </sheetData>
      <sheetData sheetId="10075">
        <row r="34">
          <cell r="A34" t="str">
            <v>Investments Govt Securities</v>
          </cell>
        </row>
      </sheetData>
      <sheetData sheetId="10076">
        <row r="34">
          <cell r="A34" t="str">
            <v>Investments Govt Securities</v>
          </cell>
        </row>
      </sheetData>
      <sheetData sheetId="10077">
        <row r="34">
          <cell r="A34" t="str">
            <v>Investments Govt Securities</v>
          </cell>
        </row>
      </sheetData>
      <sheetData sheetId="10078">
        <row r="34">
          <cell r="A34" t="str">
            <v>Investments Govt Securities</v>
          </cell>
        </row>
      </sheetData>
      <sheetData sheetId="10079">
        <row r="34">
          <cell r="A34" t="str">
            <v>Investments Govt Securities</v>
          </cell>
        </row>
      </sheetData>
      <sheetData sheetId="10080">
        <row r="34">
          <cell r="A34" t="str">
            <v>Investments Govt Securities</v>
          </cell>
        </row>
      </sheetData>
      <sheetData sheetId="10081">
        <row r="34">
          <cell r="A34" t="str">
            <v>Investments Govt Securities</v>
          </cell>
        </row>
      </sheetData>
      <sheetData sheetId="10082">
        <row r="34">
          <cell r="A34" t="str">
            <v>Investments Govt Securities</v>
          </cell>
        </row>
      </sheetData>
      <sheetData sheetId="10083">
        <row r="34">
          <cell r="A34" t="str">
            <v>Investments Govt Securities</v>
          </cell>
        </row>
      </sheetData>
      <sheetData sheetId="10084">
        <row r="34">
          <cell r="A34" t="str">
            <v>Investments Govt Securities</v>
          </cell>
        </row>
      </sheetData>
      <sheetData sheetId="10085">
        <row r="34">
          <cell r="A34" t="str">
            <v>Investments Govt Securities</v>
          </cell>
        </row>
      </sheetData>
      <sheetData sheetId="10086">
        <row r="34">
          <cell r="A34" t="str">
            <v>Investments Govt Securities</v>
          </cell>
        </row>
      </sheetData>
      <sheetData sheetId="10087">
        <row r="34">
          <cell r="A34" t="str">
            <v>Investments Govt Securities</v>
          </cell>
        </row>
      </sheetData>
      <sheetData sheetId="10088">
        <row r="34">
          <cell r="A34" t="str">
            <v>Investments Govt Securities</v>
          </cell>
        </row>
      </sheetData>
      <sheetData sheetId="10089">
        <row r="34">
          <cell r="A34" t="str">
            <v>Investments Govt Securities</v>
          </cell>
        </row>
      </sheetData>
      <sheetData sheetId="10090">
        <row r="34">
          <cell r="A34" t="str">
            <v>Investments Govt Securities</v>
          </cell>
        </row>
      </sheetData>
      <sheetData sheetId="10091">
        <row r="34">
          <cell r="A34" t="str">
            <v>Investments Govt Securities</v>
          </cell>
        </row>
      </sheetData>
      <sheetData sheetId="10092">
        <row r="34">
          <cell r="A34" t="str">
            <v>Investments Govt Securities</v>
          </cell>
        </row>
      </sheetData>
      <sheetData sheetId="10093">
        <row r="34">
          <cell r="A34" t="str">
            <v>Investments Govt Securities</v>
          </cell>
        </row>
      </sheetData>
      <sheetData sheetId="10094">
        <row r="34">
          <cell r="A34" t="str">
            <v>Investments Govt Securities</v>
          </cell>
        </row>
      </sheetData>
      <sheetData sheetId="10095">
        <row r="34">
          <cell r="A34" t="str">
            <v>Investments Govt Securities</v>
          </cell>
        </row>
      </sheetData>
      <sheetData sheetId="10096">
        <row r="34">
          <cell r="A34" t="str">
            <v>Investments Govt Securities</v>
          </cell>
        </row>
      </sheetData>
      <sheetData sheetId="10097">
        <row r="34">
          <cell r="A34" t="str">
            <v>Investments Govt Securities</v>
          </cell>
        </row>
      </sheetData>
      <sheetData sheetId="10098">
        <row r="34">
          <cell r="A34" t="str">
            <v>Investments Govt Securities</v>
          </cell>
        </row>
      </sheetData>
      <sheetData sheetId="10099">
        <row r="34">
          <cell r="A34" t="str">
            <v>Investments Govt Securities</v>
          </cell>
        </row>
      </sheetData>
      <sheetData sheetId="10100">
        <row r="34">
          <cell r="A34" t="str">
            <v>Investments Govt Securities</v>
          </cell>
        </row>
      </sheetData>
      <sheetData sheetId="10101">
        <row r="34">
          <cell r="A34" t="str">
            <v>Investments Govt Securities</v>
          </cell>
        </row>
      </sheetData>
      <sheetData sheetId="10102">
        <row r="34">
          <cell r="A34" t="str">
            <v>Investments Govt Securities</v>
          </cell>
        </row>
      </sheetData>
      <sheetData sheetId="10103">
        <row r="34">
          <cell r="A34" t="str">
            <v>Investments Govt Securities</v>
          </cell>
        </row>
      </sheetData>
      <sheetData sheetId="10104">
        <row r="34">
          <cell r="A34" t="str">
            <v>Investments Govt Securities</v>
          </cell>
        </row>
      </sheetData>
      <sheetData sheetId="10105">
        <row r="34">
          <cell r="A34" t="str">
            <v>Investments Govt Securities</v>
          </cell>
        </row>
      </sheetData>
      <sheetData sheetId="10106">
        <row r="34">
          <cell r="A34" t="str">
            <v>Investments Govt Securities</v>
          </cell>
        </row>
      </sheetData>
      <sheetData sheetId="10107">
        <row r="34">
          <cell r="A34" t="str">
            <v>Investments Govt Securities</v>
          </cell>
        </row>
      </sheetData>
      <sheetData sheetId="10108">
        <row r="34">
          <cell r="A34" t="str">
            <v>Investments Govt Securities</v>
          </cell>
        </row>
      </sheetData>
      <sheetData sheetId="10109">
        <row r="34">
          <cell r="A34" t="str">
            <v>Investments Govt Securities</v>
          </cell>
        </row>
      </sheetData>
      <sheetData sheetId="10110">
        <row r="34">
          <cell r="A34" t="str">
            <v>Investments Govt Securities</v>
          </cell>
        </row>
      </sheetData>
      <sheetData sheetId="10111">
        <row r="34">
          <cell r="A34" t="str">
            <v>Investments Govt Securities</v>
          </cell>
        </row>
      </sheetData>
      <sheetData sheetId="10112">
        <row r="34">
          <cell r="A34" t="str">
            <v>Investments Govt Securities</v>
          </cell>
        </row>
      </sheetData>
      <sheetData sheetId="10113">
        <row r="34">
          <cell r="A34" t="str">
            <v>Investments Govt Securities</v>
          </cell>
        </row>
      </sheetData>
      <sheetData sheetId="10114">
        <row r="34">
          <cell r="A34" t="str">
            <v>Investments Govt Securities</v>
          </cell>
        </row>
      </sheetData>
      <sheetData sheetId="10115">
        <row r="34">
          <cell r="A34" t="str">
            <v>Investments Govt Securities</v>
          </cell>
        </row>
      </sheetData>
      <sheetData sheetId="10116">
        <row r="34">
          <cell r="A34" t="str">
            <v>Investments Govt Securities</v>
          </cell>
        </row>
      </sheetData>
      <sheetData sheetId="10117">
        <row r="34">
          <cell r="A34" t="str">
            <v>Investments Govt Securities</v>
          </cell>
        </row>
      </sheetData>
      <sheetData sheetId="10118">
        <row r="34">
          <cell r="A34" t="str">
            <v>Investments Govt Securities</v>
          </cell>
        </row>
      </sheetData>
      <sheetData sheetId="10119">
        <row r="34">
          <cell r="A34" t="str">
            <v>Investments Govt Securities</v>
          </cell>
        </row>
      </sheetData>
      <sheetData sheetId="10120">
        <row r="34">
          <cell r="A34" t="str">
            <v>Investments Govt Securities</v>
          </cell>
        </row>
      </sheetData>
      <sheetData sheetId="10121">
        <row r="34">
          <cell r="A34" t="str">
            <v>Investments Govt Securities</v>
          </cell>
        </row>
      </sheetData>
      <sheetData sheetId="10122">
        <row r="34">
          <cell r="A34" t="str">
            <v>Investments Govt Securities</v>
          </cell>
        </row>
      </sheetData>
      <sheetData sheetId="10123">
        <row r="34">
          <cell r="A34" t="str">
            <v>Investments Govt Securities</v>
          </cell>
        </row>
      </sheetData>
      <sheetData sheetId="10124">
        <row r="34">
          <cell r="A34" t="str">
            <v>Investments Govt Securities</v>
          </cell>
        </row>
      </sheetData>
      <sheetData sheetId="10125">
        <row r="34">
          <cell r="A34" t="str">
            <v>Investments Govt Securities</v>
          </cell>
        </row>
      </sheetData>
      <sheetData sheetId="10126">
        <row r="34">
          <cell r="A34" t="str">
            <v>Investments Govt Securities</v>
          </cell>
        </row>
      </sheetData>
      <sheetData sheetId="10127">
        <row r="34">
          <cell r="A34" t="str">
            <v>Investments Govt Securities</v>
          </cell>
        </row>
      </sheetData>
      <sheetData sheetId="10128">
        <row r="34">
          <cell r="A34" t="str">
            <v>Investments Govt Securities</v>
          </cell>
        </row>
      </sheetData>
      <sheetData sheetId="10129">
        <row r="34">
          <cell r="A34" t="str">
            <v>Investments Govt Securities</v>
          </cell>
        </row>
      </sheetData>
      <sheetData sheetId="10130">
        <row r="34">
          <cell r="A34" t="str">
            <v>Investments Govt Securities</v>
          </cell>
        </row>
      </sheetData>
      <sheetData sheetId="10131">
        <row r="34">
          <cell r="A34" t="str">
            <v>Investments Govt Securities</v>
          </cell>
        </row>
      </sheetData>
      <sheetData sheetId="10132">
        <row r="34">
          <cell r="A34" t="str">
            <v>Investments Govt Securities</v>
          </cell>
        </row>
      </sheetData>
      <sheetData sheetId="10133">
        <row r="34">
          <cell r="A34" t="str">
            <v>Investments Govt Securities</v>
          </cell>
        </row>
      </sheetData>
      <sheetData sheetId="10134">
        <row r="34">
          <cell r="A34" t="str">
            <v>Investments Govt Securities</v>
          </cell>
        </row>
      </sheetData>
      <sheetData sheetId="10135">
        <row r="34">
          <cell r="A34" t="str">
            <v>Investments Govt Securities</v>
          </cell>
        </row>
      </sheetData>
      <sheetData sheetId="10136">
        <row r="34">
          <cell r="A34" t="str">
            <v>Investments Govt Securities</v>
          </cell>
        </row>
      </sheetData>
      <sheetData sheetId="10137">
        <row r="34">
          <cell r="A34" t="str">
            <v>Investments Govt Securities</v>
          </cell>
        </row>
      </sheetData>
      <sheetData sheetId="10138">
        <row r="34">
          <cell r="A34" t="str">
            <v>Investments Govt Securities</v>
          </cell>
        </row>
      </sheetData>
      <sheetData sheetId="10139">
        <row r="34">
          <cell r="A34" t="str">
            <v>Investments Govt Securities</v>
          </cell>
        </row>
      </sheetData>
      <sheetData sheetId="10140">
        <row r="34">
          <cell r="A34" t="str">
            <v>Investments Govt Securities</v>
          </cell>
        </row>
      </sheetData>
      <sheetData sheetId="10141">
        <row r="34">
          <cell r="A34" t="str">
            <v>Investments Govt Securities</v>
          </cell>
        </row>
      </sheetData>
      <sheetData sheetId="10142">
        <row r="34">
          <cell r="A34" t="str">
            <v>Investments Govt Securities</v>
          </cell>
        </row>
      </sheetData>
      <sheetData sheetId="10143">
        <row r="34">
          <cell r="A34" t="str">
            <v>Investments Govt Securities</v>
          </cell>
        </row>
      </sheetData>
      <sheetData sheetId="10144">
        <row r="34">
          <cell r="A34" t="str">
            <v>Investments Govt Securities</v>
          </cell>
        </row>
      </sheetData>
      <sheetData sheetId="10145">
        <row r="34">
          <cell r="A34" t="str">
            <v>Investments Govt Securities</v>
          </cell>
        </row>
      </sheetData>
      <sheetData sheetId="10146">
        <row r="34">
          <cell r="A34" t="str">
            <v>Investments Govt Securities</v>
          </cell>
        </row>
      </sheetData>
      <sheetData sheetId="10147">
        <row r="34">
          <cell r="A34" t="str">
            <v>Investments Govt Securities</v>
          </cell>
        </row>
      </sheetData>
      <sheetData sheetId="10148">
        <row r="34">
          <cell r="A34" t="str">
            <v>Investments Govt Securities</v>
          </cell>
        </row>
      </sheetData>
      <sheetData sheetId="10149">
        <row r="34">
          <cell r="A34" t="str">
            <v>Investments Govt Securities</v>
          </cell>
        </row>
      </sheetData>
      <sheetData sheetId="10150">
        <row r="34">
          <cell r="A34" t="str">
            <v>Investments Govt Securities</v>
          </cell>
        </row>
      </sheetData>
      <sheetData sheetId="10151">
        <row r="34">
          <cell r="A34" t="str">
            <v>Investments Govt Securities</v>
          </cell>
        </row>
      </sheetData>
      <sheetData sheetId="10152">
        <row r="34">
          <cell r="A34" t="str">
            <v>Investments Govt Securities</v>
          </cell>
        </row>
      </sheetData>
      <sheetData sheetId="10153">
        <row r="34">
          <cell r="A34" t="str">
            <v>Investments Govt Securities</v>
          </cell>
        </row>
      </sheetData>
      <sheetData sheetId="10154">
        <row r="34">
          <cell r="A34" t="str">
            <v>Investments Govt Securities</v>
          </cell>
        </row>
      </sheetData>
      <sheetData sheetId="10155">
        <row r="34">
          <cell r="A34" t="str">
            <v>Investments Govt Securities</v>
          </cell>
        </row>
      </sheetData>
      <sheetData sheetId="10156">
        <row r="34">
          <cell r="A34" t="str">
            <v>Investments Govt Securities</v>
          </cell>
        </row>
      </sheetData>
      <sheetData sheetId="10157">
        <row r="34">
          <cell r="A34" t="str">
            <v>Investments Govt Securities</v>
          </cell>
        </row>
      </sheetData>
      <sheetData sheetId="10158">
        <row r="34">
          <cell r="A34" t="str">
            <v>Investments Govt Securities</v>
          </cell>
        </row>
      </sheetData>
      <sheetData sheetId="10159">
        <row r="34">
          <cell r="A34" t="str">
            <v>Investments Govt Securities</v>
          </cell>
        </row>
      </sheetData>
      <sheetData sheetId="10160">
        <row r="34">
          <cell r="A34" t="str">
            <v>Investments Govt Securities</v>
          </cell>
        </row>
      </sheetData>
      <sheetData sheetId="10161">
        <row r="34">
          <cell r="A34" t="str">
            <v>Investments Govt Securities</v>
          </cell>
        </row>
      </sheetData>
      <sheetData sheetId="10162">
        <row r="34">
          <cell r="A34" t="str">
            <v>Investments Govt Securities</v>
          </cell>
        </row>
      </sheetData>
      <sheetData sheetId="10163">
        <row r="34">
          <cell r="A34" t="str">
            <v>Investments Govt Securities</v>
          </cell>
        </row>
      </sheetData>
      <sheetData sheetId="10164">
        <row r="34">
          <cell r="A34" t="str">
            <v>Investments Govt Securities</v>
          </cell>
        </row>
      </sheetData>
      <sheetData sheetId="10165">
        <row r="34">
          <cell r="A34" t="str">
            <v>Investments Govt Securities</v>
          </cell>
        </row>
      </sheetData>
      <sheetData sheetId="10166">
        <row r="34">
          <cell r="A34" t="str">
            <v>Investments Govt Securities</v>
          </cell>
        </row>
      </sheetData>
      <sheetData sheetId="10167">
        <row r="34">
          <cell r="A34" t="str">
            <v>Investments Govt Securities</v>
          </cell>
        </row>
      </sheetData>
      <sheetData sheetId="10168">
        <row r="34">
          <cell r="A34" t="str">
            <v>Investments Govt Securities</v>
          </cell>
        </row>
      </sheetData>
      <sheetData sheetId="10169">
        <row r="34">
          <cell r="A34" t="str">
            <v>Investments Govt Securities</v>
          </cell>
        </row>
      </sheetData>
      <sheetData sheetId="10170">
        <row r="34">
          <cell r="A34" t="str">
            <v>Investments Govt Securities</v>
          </cell>
        </row>
      </sheetData>
      <sheetData sheetId="10171">
        <row r="34">
          <cell r="A34" t="str">
            <v>Investments Govt Securities</v>
          </cell>
        </row>
      </sheetData>
      <sheetData sheetId="10172">
        <row r="34">
          <cell r="A34" t="str">
            <v>Investments Govt Securities</v>
          </cell>
        </row>
      </sheetData>
      <sheetData sheetId="10173">
        <row r="34">
          <cell r="A34" t="str">
            <v>Investments Govt Securities</v>
          </cell>
        </row>
      </sheetData>
      <sheetData sheetId="10174">
        <row r="34">
          <cell r="A34" t="str">
            <v>Investments Govt Securities</v>
          </cell>
        </row>
      </sheetData>
      <sheetData sheetId="10175">
        <row r="34">
          <cell r="A34" t="str">
            <v>Investments Govt Securities</v>
          </cell>
        </row>
      </sheetData>
      <sheetData sheetId="10176">
        <row r="34">
          <cell r="A34" t="str">
            <v>Investments Govt Securities</v>
          </cell>
        </row>
      </sheetData>
      <sheetData sheetId="10177">
        <row r="34">
          <cell r="A34" t="str">
            <v>Investments Govt Securities</v>
          </cell>
        </row>
      </sheetData>
      <sheetData sheetId="10178">
        <row r="34">
          <cell r="A34" t="str">
            <v>Investments Govt Securities</v>
          </cell>
        </row>
      </sheetData>
      <sheetData sheetId="10179">
        <row r="34">
          <cell r="A34" t="str">
            <v>Investments Govt Securities</v>
          </cell>
        </row>
      </sheetData>
      <sheetData sheetId="10180">
        <row r="34">
          <cell r="A34" t="str">
            <v>Investments Govt Securities</v>
          </cell>
        </row>
      </sheetData>
      <sheetData sheetId="10181">
        <row r="34">
          <cell r="A34" t="str">
            <v>Investments Govt Securities</v>
          </cell>
        </row>
      </sheetData>
      <sheetData sheetId="10182">
        <row r="34">
          <cell r="A34" t="str">
            <v>Investments Govt Securities</v>
          </cell>
        </row>
      </sheetData>
      <sheetData sheetId="10183">
        <row r="34">
          <cell r="A34" t="str">
            <v>Investments Govt Securities</v>
          </cell>
        </row>
      </sheetData>
      <sheetData sheetId="10184">
        <row r="34">
          <cell r="A34" t="str">
            <v>Investments Govt Securities</v>
          </cell>
        </row>
      </sheetData>
      <sheetData sheetId="10185">
        <row r="34">
          <cell r="A34" t="str">
            <v>Investments Govt Securities</v>
          </cell>
        </row>
      </sheetData>
      <sheetData sheetId="10186">
        <row r="34">
          <cell r="A34" t="str">
            <v>Investments Govt Securities</v>
          </cell>
        </row>
      </sheetData>
      <sheetData sheetId="10187">
        <row r="34">
          <cell r="A34" t="str">
            <v>Investments Govt Securities</v>
          </cell>
        </row>
      </sheetData>
      <sheetData sheetId="10188">
        <row r="34">
          <cell r="A34" t="str">
            <v>Investments Govt Securities</v>
          </cell>
        </row>
      </sheetData>
      <sheetData sheetId="10189">
        <row r="34">
          <cell r="A34" t="str">
            <v>Investments Govt Securities</v>
          </cell>
        </row>
      </sheetData>
      <sheetData sheetId="10190">
        <row r="34">
          <cell r="A34" t="str">
            <v>Investments Govt Securities</v>
          </cell>
        </row>
      </sheetData>
      <sheetData sheetId="10191">
        <row r="34">
          <cell r="A34" t="str">
            <v>Investments Govt Securities</v>
          </cell>
        </row>
      </sheetData>
      <sheetData sheetId="10192">
        <row r="34">
          <cell r="A34" t="str">
            <v>Investments Govt Securities</v>
          </cell>
        </row>
      </sheetData>
      <sheetData sheetId="10193">
        <row r="34">
          <cell r="A34" t="str">
            <v>Investments Govt Securities</v>
          </cell>
        </row>
      </sheetData>
      <sheetData sheetId="10194">
        <row r="34">
          <cell r="A34" t="str">
            <v>Investments Govt Securities</v>
          </cell>
        </row>
      </sheetData>
      <sheetData sheetId="10195">
        <row r="34">
          <cell r="A34" t="str">
            <v>Investments Govt Securities</v>
          </cell>
        </row>
      </sheetData>
      <sheetData sheetId="10196">
        <row r="34">
          <cell r="A34" t="str">
            <v>Investments Govt Securities</v>
          </cell>
        </row>
      </sheetData>
      <sheetData sheetId="10197">
        <row r="34">
          <cell r="A34" t="str">
            <v>Investments Govt Securities</v>
          </cell>
        </row>
      </sheetData>
      <sheetData sheetId="10198">
        <row r="34">
          <cell r="A34" t="str">
            <v>Investments Govt Securities</v>
          </cell>
        </row>
      </sheetData>
      <sheetData sheetId="10199">
        <row r="34">
          <cell r="A34" t="str">
            <v>Investments Govt Securities</v>
          </cell>
        </row>
      </sheetData>
      <sheetData sheetId="10200">
        <row r="34">
          <cell r="A34" t="str">
            <v>Investments Govt Securities</v>
          </cell>
        </row>
      </sheetData>
      <sheetData sheetId="10201">
        <row r="34">
          <cell r="A34" t="str">
            <v>Investments Govt Securities</v>
          </cell>
        </row>
      </sheetData>
      <sheetData sheetId="10202">
        <row r="34">
          <cell r="A34" t="str">
            <v>Investments Govt Securities</v>
          </cell>
        </row>
      </sheetData>
      <sheetData sheetId="10203">
        <row r="34">
          <cell r="A34" t="str">
            <v>Investments Govt Securities</v>
          </cell>
        </row>
      </sheetData>
      <sheetData sheetId="10204">
        <row r="34">
          <cell r="A34" t="str">
            <v>Investments Govt Securities</v>
          </cell>
        </row>
      </sheetData>
      <sheetData sheetId="10205">
        <row r="34">
          <cell r="A34" t="str">
            <v>Investments Govt Securities</v>
          </cell>
        </row>
      </sheetData>
      <sheetData sheetId="10206">
        <row r="34">
          <cell r="A34" t="str">
            <v>Investments Govt Securities</v>
          </cell>
        </row>
      </sheetData>
      <sheetData sheetId="10207">
        <row r="34">
          <cell r="A34" t="str">
            <v>Investments Govt Securities</v>
          </cell>
        </row>
      </sheetData>
      <sheetData sheetId="10208">
        <row r="34">
          <cell r="A34" t="str">
            <v>Investments Govt Securities</v>
          </cell>
        </row>
      </sheetData>
      <sheetData sheetId="10209">
        <row r="34">
          <cell r="A34" t="str">
            <v>Investments Govt Securities</v>
          </cell>
        </row>
      </sheetData>
      <sheetData sheetId="10210">
        <row r="34">
          <cell r="A34" t="str">
            <v>Investments Govt Securities</v>
          </cell>
        </row>
      </sheetData>
      <sheetData sheetId="10211">
        <row r="34">
          <cell r="A34" t="str">
            <v>Investments Govt Securities</v>
          </cell>
        </row>
      </sheetData>
      <sheetData sheetId="10212">
        <row r="34">
          <cell r="A34" t="str">
            <v>Investments Govt Securities</v>
          </cell>
        </row>
      </sheetData>
      <sheetData sheetId="10213">
        <row r="34">
          <cell r="A34" t="str">
            <v>Investments Govt Securities</v>
          </cell>
        </row>
      </sheetData>
      <sheetData sheetId="10214">
        <row r="34">
          <cell r="A34" t="str">
            <v>Investments Govt Securities</v>
          </cell>
        </row>
      </sheetData>
      <sheetData sheetId="10215">
        <row r="34">
          <cell r="A34" t="str">
            <v>Investments Govt Securities</v>
          </cell>
        </row>
      </sheetData>
      <sheetData sheetId="10216">
        <row r="34">
          <cell r="A34" t="str">
            <v>Investments Govt Securities</v>
          </cell>
        </row>
      </sheetData>
      <sheetData sheetId="10217">
        <row r="34">
          <cell r="A34" t="str">
            <v>Investments Govt Securities</v>
          </cell>
        </row>
      </sheetData>
      <sheetData sheetId="10218">
        <row r="34">
          <cell r="A34" t="str">
            <v>Investments Govt Securities</v>
          </cell>
        </row>
      </sheetData>
      <sheetData sheetId="10219">
        <row r="34">
          <cell r="A34" t="str">
            <v>Investments Govt Securities</v>
          </cell>
        </row>
      </sheetData>
      <sheetData sheetId="10220">
        <row r="34">
          <cell r="A34" t="str">
            <v>Investments Govt Securities</v>
          </cell>
        </row>
      </sheetData>
      <sheetData sheetId="10221">
        <row r="34">
          <cell r="A34" t="str">
            <v>Investments Govt Securities</v>
          </cell>
        </row>
      </sheetData>
      <sheetData sheetId="10222">
        <row r="34">
          <cell r="A34" t="str">
            <v>Investments Govt Securities</v>
          </cell>
        </row>
      </sheetData>
      <sheetData sheetId="10223">
        <row r="34">
          <cell r="A34" t="str">
            <v>Investments Govt Securities</v>
          </cell>
        </row>
      </sheetData>
      <sheetData sheetId="10224">
        <row r="34">
          <cell r="A34" t="str">
            <v>Investments Govt Securities</v>
          </cell>
        </row>
      </sheetData>
      <sheetData sheetId="10225">
        <row r="34">
          <cell r="A34" t="str">
            <v>Investments Govt Securities</v>
          </cell>
        </row>
      </sheetData>
      <sheetData sheetId="10226">
        <row r="34">
          <cell r="A34" t="str">
            <v>Investments Govt Securities</v>
          </cell>
        </row>
      </sheetData>
      <sheetData sheetId="10227">
        <row r="34">
          <cell r="A34" t="str">
            <v>Investments Govt Securities</v>
          </cell>
        </row>
      </sheetData>
      <sheetData sheetId="10228">
        <row r="34">
          <cell r="A34" t="str">
            <v>Investments Govt Securities</v>
          </cell>
        </row>
      </sheetData>
      <sheetData sheetId="10229">
        <row r="34">
          <cell r="A34" t="str">
            <v>Investments Govt Securities</v>
          </cell>
        </row>
      </sheetData>
      <sheetData sheetId="10230">
        <row r="34">
          <cell r="A34" t="str">
            <v>Investments Govt Securities</v>
          </cell>
        </row>
      </sheetData>
      <sheetData sheetId="10231">
        <row r="34">
          <cell r="A34" t="str">
            <v>Investments Govt Securities</v>
          </cell>
        </row>
      </sheetData>
      <sheetData sheetId="10232">
        <row r="34">
          <cell r="A34" t="str">
            <v>Investments Govt Securities</v>
          </cell>
        </row>
      </sheetData>
      <sheetData sheetId="10233">
        <row r="34">
          <cell r="A34" t="str">
            <v>Investments Govt Securities</v>
          </cell>
        </row>
      </sheetData>
      <sheetData sheetId="10234">
        <row r="34">
          <cell r="A34" t="str">
            <v>Investments Govt Securities</v>
          </cell>
        </row>
      </sheetData>
      <sheetData sheetId="10235">
        <row r="34">
          <cell r="A34" t="str">
            <v>Investments Govt Securities</v>
          </cell>
        </row>
      </sheetData>
      <sheetData sheetId="10236">
        <row r="34">
          <cell r="A34" t="str">
            <v>Investments Govt Securities</v>
          </cell>
        </row>
      </sheetData>
      <sheetData sheetId="10237">
        <row r="34">
          <cell r="A34" t="str">
            <v>Investments Govt Securities</v>
          </cell>
        </row>
      </sheetData>
      <sheetData sheetId="10238">
        <row r="34">
          <cell r="A34" t="str">
            <v>Investments Govt Securities</v>
          </cell>
        </row>
      </sheetData>
      <sheetData sheetId="10239">
        <row r="34">
          <cell r="A34" t="str">
            <v>Investments Govt Securities</v>
          </cell>
        </row>
      </sheetData>
      <sheetData sheetId="10240">
        <row r="34">
          <cell r="A34" t="str">
            <v>Investments Govt Securities</v>
          </cell>
        </row>
      </sheetData>
      <sheetData sheetId="10241">
        <row r="34">
          <cell r="A34" t="str">
            <v>Investments Govt Securities</v>
          </cell>
        </row>
      </sheetData>
      <sheetData sheetId="10242">
        <row r="34">
          <cell r="A34" t="str">
            <v>Investments Govt Securities</v>
          </cell>
        </row>
      </sheetData>
      <sheetData sheetId="10243">
        <row r="34">
          <cell r="A34" t="str">
            <v>Investments Govt Securities</v>
          </cell>
        </row>
      </sheetData>
      <sheetData sheetId="10244">
        <row r="34">
          <cell r="A34" t="str">
            <v>Investments Govt Securities</v>
          </cell>
        </row>
      </sheetData>
      <sheetData sheetId="10245">
        <row r="34">
          <cell r="A34" t="str">
            <v>Investments Govt Securities</v>
          </cell>
        </row>
      </sheetData>
      <sheetData sheetId="10246">
        <row r="34">
          <cell r="A34" t="str">
            <v>Investments Govt Securities</v>
          </cell>
        </row>
      </sheetData>
      <sheetData sheetId="10247">
        <row r="34">
          <cell r="A34" t="str">
            <v>Investments Govt Securities</v>
          </cell>
        </row>
      </sheetData>
      <sheetData sheetId="10248">
        <row r="34">
          <cell r="A34" t="str">
            <v>Investments Govt Securities</v>
          </cell>
        </row>
      </sheetData>
      <sheetData sheetId="10249">
        <row r="34">
          <cell r="A34" t="str">
            <v>Investments Govt Securities</v>
          </cell>
        </row>
      </sheetData>
      <sheetData sheetId="10250">
        <row r="34">
          <cell r="A34" t="str">
            <v>Investments Govt Securities</v>
          </cell>
        </row>
      </sheetData>
      <sheetData sheetId="10251">
        <row r="34">
          <cell r="A34" t="str">
            <v>Investments Govt Securities</v>
          </cell>
        </row>
      </sheetData>
      <sheetData sheetId="10252">
        <row r="34">
          <cell r="A34" t="str">
            <v>Investments Govt Securities</v>
          </cell>
        </row>
      </sheetData>
      <sheetData sheetId="10253">
        <row r="34">
          <cell r="A34" t="str">
            <v>Investments Govt Securities</v>
          </cell>
        </row>
      </sheetData>
      <sheetData sheetId="10254">
        <row r="34">
          <cell r="A34" t="str">
            <v>Investments Govt Securities</v>
          </cell>
        </row>
      </sheetData>
      <sheetData sheetId="10255">
        <row r="34">
          <cell r="A34" t="str">
            <v>Investments Govt Securities</v>
          </cell>
        </row>
      </sheetData>
      <sheetData sheetId="10256">
        <row r="34">
          <cell r="A34" t="str">
            <v>Investments Govt Securities</v>
          </cell>
        </row>
      </sheetData>
      <sheetData sheetId="10257">
        <row r="34">
          <cell r="A34" t="str">
            <v>Investments Govt Securities</v>
          </cell>
        </row>
      </sheetData>
      <sheetData sheetId="10258">
        <row r="34">
          <cell r="A34" t="str">
            <v>Investments Govt Securities</v>
          </cell>
        </row>
      </sheetData>
      <sheetData sheetId="10259">
        <row r="34">
          <cell r="A34" t="str">
            <v>Investments Govt Securities</v>
          </cell>
        </row>
      </sheetData>
      <sheetData sheetId="10260">
        <row r="34">
          <cell r="A34" t="str">
            <v>Investments Govt Securities</v>
          </cell>
        </row>
      </sheetData>
      <sheetData sheetId="10261">
        <row r="34">
          <cell r="A34" t="str">
            <v>Investments Govt Securities</v>
          </cell>
        </row>
      </sheetData>
      <sheetData sheetId="10262">
        <row r="34">
          <cell r="A34" t="str">
            <v>Investments Govt Securities</v>
          </cell>
        </row>
      </sheetData>
      <sheetData sheetId="10263">
        <row r="34">
          <cell r="A34" t="str">
            <v>Investments Govt Securities</v>
          </cell>
        </row>
      </sheetData>
      <sheetData sheetId="10264">
        <row r="34">
          <cell r="A34" t="str">
            <v>Investments Govt Securities</v>
          </cell>
        </row>
      </sheetData>
      <sheetData sheetId="10265">
        <row r="34">
          <cell r="A34" t="str">
            <v>Investments Govt Securities</v>
          </cell>
        </row>
      </sheetData>
      <sheetData sheetId="10266">
        <row r="34">
          <cell r="A34" t="str">
            <v>Investments Govt Securities</v>
          </cell>
        </row>
      </sheetData>
      <sheetData sheetId="10267">
        <row r="34">
          <cell r="A34" t="str">
            <v>Investments Govt Securities</v>
          </cell>
        </row>
      </sheetData>
      <sheetData sheetId="10268">
        <row r="34">
          <cell r="A34" t="str">
            <v>Investments Govt Securities</v>
          </cell>
        </row>
      </sheetData>
      <sheetData sheetId="10269">
        <row r="34">
          <cell r="A34" t="str">
            <v>Investments Govt Securities</v>
          </cell>
        </row>
      </sheetData>
      <sheetData sheetId="10270">
        <row r="34">
          <cell r="A34" t="str">
            <v>Investments Govt Securities</v>
          </cell>
        </row>
      </sheetData>
      <sheetData sheetId="10271">
        <row r="34">
          <cell r="A34" t="str">
            <v>Investments Govt Securities</v>
          </cell>
        </row>
      </sheetData>
      <sheetData sheetId="10272">
        <row r="34">
          <cell r="A34" t="str">
            <v>Investments Govt Securities</v>
          </cell>
        </row>
      </sheetData>
      <sheetData sheetId="10273">
        <row r="34">
          <cell r="A34" t="str">
            <v>Investments Govt Securities</v>
          </cell>
        </row>
      </sheetData>
      <sheetData sheetId="10274">
        <row r="34">
          <cell r="A34" t="str">
            <v>Investments Govt Securities</v>
          </cell>
        </row>
      </sheetData>
      <sheetData sheetId="10275">
        <row r="34">
          <cell r="A34" t="str">
            <v>Investments Govt Securities</v>
          </cell>
        </row>
      </sheetData>
      <sheetData sheetId="10276">
        <row r="34">
          <cell r="A34" t="str">
            <v>Investments Govt Securities</v>
          </cell>
        </row>
      </sheetData>
      <sheetData sheetId="10277">
        <row r="34">
          <cell r="A34" t="str">
            <v>Investments Govt Securities</v>
          </cell>
        </row>
      </sheetData>
      <sheetData sheetId="10278">
        <row r="34">
          <cell r="A34" t="str">
            <v>Investments Govt Securities</v>
          </cell>
        </row>
      </sheetData>
      <sheetData sheetId="10279">
        <row r="34">
          <cell r="A34" t="str">
            <v>Investments Govt Securities</v>
          </cell>
        </row>
      </sheetData>
      <sheetData sheetId="10280">
        <row r="34">
          <cell r="A34" t="str">
            <v>Investments Govt Securities</v>
          </cell>
        </row>
      </sheetData>
      <sheetData sheetId="10281">
        <row r="34">
          <cell r="A34" t="str">
            <v>Investments Govt Securities</v>
          </cell>
        </row>
      </sheetData>
      <sheetData sheetId="10282">
        <row r="34">
          <cell r="A34" t="str">
            <v>Investments Govt Securities</v>
          </cell>
        </row>
      </sheetData>
      <sheetData sheetId="10283">
        <row r="34">
          <cell r="A34" t="str">
            <v>Investments Govt Securities</v>
          </cell>
        </row>
      </sheetData>
      <sheetData sheetId="10284">
        <row r="34">
          <cell r="A34" t="str">
            <v>Investments Govt Securities</v>
          </cell>
        </row>
      </sheetData>
      <sheetData sheetId="10285">
        <row r="34">
          <cell r="A34" t="str">
            <v>Investments Govt Securities</v>
          </cell>
        </row>
      </sheetData>
      <sheetData sheetId="10286">
        <row r="34">
          <cell r="A34" t="str">
            <v>Investments Govt Securities</v>
          </cell>
        </row>
      </sheetData>
      <sheetData sheetId="10287">
        <row r="34">
          <cell r="A34" t="str">
            <v>Investments Govt Securities</v>
          </cell>
        </row>
      </sheetData>
      <sheetData sheetId="10288">
        <row r="34">
          <cell r="A34" t="str">
            <v>Investments Govt Securities</v>
          </cell>
        </row>
      </sheetData>
      <sheetData sheetId="10289">
        <row r="34">
          <cell r="A34" t="str">
            <v>Investments Govt Securities</v>
          </cell>
        </row>
      </sheetData>
      <sheetData sheetId="10290">
        <row r="34">
          <cell r="A34" t="str">
            <v>Investments Govt Securities</v>
          </cell>
        </row>
      </sheetData>
      <sheetData sheetId="10291">
        <row r="34">
          <cell r="A34" t="str">
            <v>Investments Govt Securities</v>
          </cell>
        </row>
      </sheetData>
      <sheetData sheetId="10292">
        <row r="34">
          <cell r="A34" t="str">
            <v>Investments Govt Securities</v>
          </cell>
        </row>
      </sheetData>
      <sheetData sheetId="10293">
        <row r="34">
          <cell r="A34" t="str">
            <v>Investments Govt Securities</v>
          </cell>
        </row>
      </sheetData>
      <sheetData sheetId="10294">
        <row r="34">
          <cell r="A34" t="str">
            <v>Investments Govt Securities</v>
          </cell>
        </row>
      </sheetData>
      <sheetData sheetId="10295">
        <row r="34">
          <cell r="A34" t="str">
            <v>Investments Govt Securities</v>
          </cell>
        </row>
      </sheetData>
      <sheetData sheetId="10296">
        <row r="34">
          <cell r="A34" t="str">
            <v>Investments Govt Securities</v>
          </cell>
        </row>
      </sheetData>
      <sheetData sheetId="10297">
        <row r="34">
          <cell r="A34" t="str">
            <v>Investments Govt Securities</v>
          </cell>
        </row>
      </sheetData>
      <sheetData sheetId="10298">
        <row r="34">
          <cell r="A34" t="str">
            <v>Investments Govt Securities</v>
          </cell>
        </row>
      </sheetData>
      <sheetData sheetId="10299">
        <row r="34">
          <cell r="A34" t="str">
            <v>Investments Govt Securities</v>
          </cell>
        </row>
      </sheetData>
      <sheetData sheetId="10300">
        <row r="34">
          <cell r="A34" t="str">
            <v>Investments Govt Securities</v>
          </cell>
        </row>
      </sheetData>
      <sheetData sheetId="10301">
        <row r="34">
          <cell r="A34" t="str">
            <v>Investments Govt Securities</v>
          </cell>
        </row>
      </sheetData>
      <sheetData sheetId="10302">
        <row r="34">
          <cell r="A34" t="str">
            <v>Investments Govt Securities</v>
          </cell>
        </row>
      </sheetData>
      <sheetData sheetId="10303">
        <row r="34">
          <cell r="A34" t="str">
            <v>Investments Govt Securities</v>
          </cell>
        </row>
      </sheetData>
      <sheetData sheetId="10304">
        <row r="34">
          <cell r="A34" t="str">
            <v>Investments Govt Securities</v>
          </cell>
        </row>
      </sheetData>
      <sheetData sheetId="10305">
        <row r="34">
          <cell r="A34" t="str">
            <v>Investments Govt Securities</v>
          </cell>
        </row>
      </sheetData>
      <sheetData sheetId="10306">
        <row r="34">
          <cell r="A34" t="str">
            <v>Investments Govt Securities</v>
          </cell>
        </row>
      </sheetData>
      <sheetData sheetId="10307">
        <row r="34">
          <cell r="A34" t="str">
            <v>Investments Govt Securities</v>
          </cell>
        </row>
      </sheetData>
      <sheetData sheetId="10308">
        <row r="34">
          <cell r="A34" t="str">
            <v>Investments Govt Securities</v>
          </cell>
        </row>
      </sheetData>
      <sheetData sheetId="10309">
        <row r="34">
          <cell r="A34" t="str">
            <v>Investments Govt Securities</v>
          </cell>
        </row>
      </sheetData>
      <sheetData sheetId="10310">
        <row r="34">
          <cell r="A34" t="str">
            <v>Investments Govt Securities</v>
          </cell>
        </row>
      </sheetData>
      <sheetData sheetId="10311">
        <row r="34">
          <cell r="A34" t="str">
            <v>Investments Govt Securities</v>
          </cell>
        </row>
      </sheetData>
      <sheetData sheetId="10312">
        <row r="34">
          <cell r="A34" t="str">
            <v>Investments Govt Securities</v>
          </cell>
        </row>
      </sheetData>
      <sheetData sheetId="10313">
        <row r="34">
          <cell r="A34" t="str">
            <v>Investments Govt Securities</v>
          </cell>
        </row>
      </sheetData>
      <sheetData sheetId="10314">
        <row r="34">
          <cell r="A34" t="str">
            <v>Investments Govt Securities</v>
          </cell>
        </row>
      </sheetData>
      <sheetData sheetId="10315">
        <row r="34">
          <cell r="A34" t="str">
            <v>Investments Govt Securities</v>
          </cell>
        </row>
      </sheetData>
      <sheetData sheetId="10316">
        <row r="34">
          <cell r="A34" t="str">
            <v>Investments Govt Securities</v>
          </cell>
        </row>
      </sheetData>
      <sheetData sheetId="10317">
        <row r="34">
          <cell r="A34" t="str">
            <v>Investments Govt Securities</v>
          </cell>
        </row>
      </sheetData>
      <sheetData sheetId="10318">
        <row r="34">
          <cell r="A34" t="str">
            <v>Investments Govt Securities</v>
          </cell>
        </row>
      </sheetData>
      <sheetData sheetId="10319">
        <row r="34">
          <cell r="A34" t="str">
            <v>Investments Govt Securities</v>
          </cell>
        </row>
      </sheetData>
      <sheetData sheetId="10320">
        <row r="34">
          <cell r="A34" t="str">
            <v>Investments Govt Securities</v>
          </cell>
        </row>
      </sheetData>
      <sheetData sheetId="10321">
        <row r="34">
          <cell r="A34" t="str">
            <v>Investments Govt Securities</v>
          </cell>
        </row>
      </sheetData>
      <sheetData sheetId="10322">
        <row r="34">
          <cell r="A34" t="str">
            <v>Investments Govt Securities</v>
          </cell>
        </row>
      </sheetData>
      <sheetData sheetId="10323">
        <row r="34">
          <cell r="A34" t="str">
            <v>Investments Govt Securities</v>
          </cell>
        </row>
      </sheetData>
      <sheetData sheetId="10324">
        <row r="34">
          <cell r="A34" t="str">
            <v>Investments Govt Securities</v>
          </cell>
        </row>
      </sheetData>
      <sheetData sheetId="10325">
        <row r="34">
          <cell r="A34" t="str">
            <v>Investments Govt Securities</v>
          </cell>
        </row>
      </sheetData>
      <sheetData sheetId="10326">
        <row r="34">
          <cell r="A34" t="str">
            <v>Investments Govt Securities</v>
          </cell>
        </row>
      </sheetData>
      <sheetData sheetId="10327">
        <row r="34">
          <cell r="A34" t="str">
            <v>Investments Govt Securities</v>
          </cell>
        </row>
      </sheetData>
      <sheetData sheetId="10328">
        <row r="34">
          <cell r="A34" t="str">
            <v>Investments Govt Securities</v>
          </cell>
        </row>
      </sheetData>
      <sheetData sheetId="10329">
        <row r="34">
          <cell r="A34" t="str">
            <v>Investments Govt Securities</v>
          </cell>
        </row>
      </sheetData>
      <sheetData sheetId="10330">
        <row r="34">
          <cell r="A34" t="str">
            <v>Investments Govt Securities</v>
          </cell>
        </row>
      </sheetData>
      <sheetData sheetId="10331">
        <row r="34">
          <cell r="A34" t="str">
            <v>Investments Govt Securities</v>
          </cell>
        </row>
      </sheetData>
      <sheetData sheetId="10332">
        <row r="34">
          <cell r="A34" t="str">
            <v>Investments Govt Securities</v>
          </cell>
        </row>
      </sheetData>
      <sheetData sheetId="10333">
        <row r="34">
          <cell r="A34" t="str">
            <v>Investments Govt Securities</v>
          </cell>
        </row>
      </sheetData>
      <sheetData sheetId="10334">
        <row r="34">
          <cell r="A34" t="str">
            <v>Investments Govt Securities</v>
          </cell>
        </row>
      </sheetData>
      <sheetData sheetId="10335">
        <row r="34">
          <cell r="A34" t="str">
            <v>Investments Govt Securities</v>
          </cell>
        </row>
      </sheetData>
      <sheetData sheetId="10336">
        <row r="34">
          <cell r="A34" t="str">
            <v>Investments Govt Securities</v>
          </cell>
        </row>
      </sheetData>
      <sheetData sheetId="10337">
        <row r="34">
          <cell r="A34" t="str">
            <v>Investments Govt Securities</v>
          </cell>
        </row>
      </sheetData>
      <sheetData sheetId="10338">
        <row r="34">
          <cell r="A34" t="str">
            <v>Investments Govt Securities</v>
          </cell>
        </row>
      </sheetData>
      <sheetData sheetId="10339">
        <row r="34">
          <cell r="A34" t="str">
            <v>Investments Govt Securities</v>
          </cell>
        </row>
      </sheetData>
      <sheetData sheetId="10340">
        <row r="34">
          <cell r="A34" t="str">
            <v>Investments Govt Securities</v>
          </cell>
        </row>
      </sheetData>
      <sheetData sheetId="10341">
        <row r="34">
          <cell r="A34" t="str">
            <v>Investments Govt Securities</v>
          </cell>
        </row>
      </sheetData>
      <sheetData sheetId="10342">
        <row r="34">
          <cell r="A34" t="str">
            <v>Investments Govt Securities</v>
          </cell>
        </row>
      </sheetData>
      <sheetData sheetId="10343">
        <row r="34">
          <cell r="A34" t="str">
            <v>Investments Govt Securities</v>
          </cell>
        </row>
      </sheetData>
      <sheetData sheetId="10344">
        <row r="34">
          <cell r="A34" t="str">
            <v>Investments Govt Securities</v>
          </cell>
        </row>
      </sheetData>
      <sheetData sheetId="10345">
        <row r="34">
          <cell r="A34" t="str">
            <v>Investments Govt Securities</v>
          </cell>
        </row>
      </sheetData>
      <sheetData sheetId="10346">
        <row r="34">
          <cell r="A34" t="str">
            <v>Investments Govt Securities</v>
          </cell>
        </row>
      </sheetData>
      <sheetData sheetId="10347">
        <row r="34">
          <cell r="A34" t="str">
            <v>Investments Govt Securities</v>
          </cell>
        </row>
      </sheetData>
      <sheetData sheetId="10348">
        <row r="34">
          <cell r="A34" t="str">
            <v>Investments Govt Securities</v>
          </cell>
        </row>
      </sheetData>
      <sheetData sheetId="10349">
        <row r="34">
          <cell r="A34" t="str">
            <v>Investments Govt Securities</v>
          </cell>
        </row>
      </sheetData>
      <sheetData sheetId="10350">
        <row r="34">
          <cell r="A34" t="str">
            <v>Investments Govt Securities</v>
          </cell>
        </row>
      </sheetData>
      <sheetData sheetId="10351">
        <row r="34">
          <cell r="A34" t="str">
            <v>Investments Govt Securities</v>
          </cell>
        </row>
      </sheetData>
      <sheetData sheetId="10352">
        <row r="34">
          <cell r="A34" t="str">
            <v>Investments Govt Securities</v>
          </cell>
        </row>
      </sheetData>
      <sheetData sheetId="10353">
        <row r="34">
          <cell r="A34" t="str">
            <v>Investments Govt Securities</v>
          </cell>
        </row>
      </sheetData>
      <sheetData sheetId="10354">
        <row r="34">
          <cell r="A34" t="str">
            <v>Investments Govt Securities</v>
          </cell>
        </row>
      </sheetData>
      <sheetData sheetId="10355">
        <row r="34">
          <cell r="A34" t="str">
            <v>Investments Govt Securities</v>
          </cell>
        </row>
      </sheetData>
      <sheetData sheetId="10356">
        <row r="34">
          <cell r="A34" t="str">
            <v>Investments Govt Securities</v>
          </cell>
        </row>
      </sheetData>
      <sheetData sheetId="10357">
        <row r="34">
          <cell r="A34" t="str">
            <v>Investments Govt Securities</v>
          </cell>
        </row>
      </sheetData>
      <sheetData sheetId="10358">
        <row r="34">
          <cell r="A34" t="str">
            <v>Investments Govt Securities</v>
          </cell>
        </row>
      </sheetData>
      <sheetData sheetId="10359">
        <row r="34">
          <cell r="A34" t="str">
            <v>Investments Govt Securities</v>
          </cell>
        </row>
      </sheetData>
      <sheetData sheetId="10360">
        <row r="34">
          <cell r="A34" t="str">
            <v>Investments Govt Securities</v>
          </cell>
        </row>
      </sheetData>
      <sheetData sheetId="10361">
        <row r="34">
          <cell r="A34" t="str">
            <v>Investments Govt Securities</v>
          </cell>
        </row>
      </sheetData>
      <sheetData sheetId="10362">
        <row r="34">
          <cell r="A34" t="str">
            <v>Investments Govt Securities</v>
          </cell>
        </row>
      </sheetData>
      <sheetData sheetId="10363">
        <row r="34">
          <cell r="A34" t="str">
            <v>Investments Govt Securities</v>
          </cell>
        </row>
      </sheetData>
      <sheetData sheetId="10364">
        <row r="34">
          <cell r="A34" t="str">
            <v>Investments Govt Securities</v>
          </cell>
        </row>
      </sheetData>
      <sheetData sheetId="10365">
        <row r="34">
          <cell r="A34" t="str">
            <v>Investments Govt Securities</v>
          </cell>
        </row>
      </sheetData>
      <sheetData sheetId="10366">
        <row r="34">
          <cell r="A34" t="str">
            <v>Investments Govt Securities</v>
          </cell>
        </row>
      </sheetData>
      <sheetData sheetId="10367">
        <row r="34">
          <cell r="A34" t="str">
            <v>Investments Govt Securities</v>
          </cell>
        </row>
      </sheetData>
      <sheetData sheetId="10368">
        <row r="34">
          <cell r="A34" t="str">
            <v>Investments Govt Securities</v>
          </cell>
        </row>
      </sheetData>
      <sheetData sheetId="10369">
        <row r="34">
          <cell r="A34" t="str">
            <v>Investments Govt Securities</v>
          </cell>
        </row>
      </sheetData>
      <sheetData sheetId="10370">
        <row r="34">
          <cell r="A34" t="str">
            <v>Investments Govt Securities</v>
          </cell>
        </row>
      </sheetData>
      <sheetData sheetId="10371">
        <row r="34">
          <cell r="A34" t="str">
            <v>Investments Govt Securities</v>
          </cell>
        </row>
      </sheetData>
      <sheetData sheetId="10372">
        <row r="34">
          <cell r="A34" t="str">
            <v>Investments Govt Securities</v>
          </cell>
        </row>
      </sheetData>
      <sheetData sheetId="10373">
        <row r="34">
          <cell r="A34" t="str">
            <v>Investments Govt Securities</v>
          </cell>
        </row>
      </sheetData>
      <sheetData sheetId="10374">
        <row r="34">
          <cell r="A34" t="str">
            <v>Investments Govt Securities</v>
          </cell>
        </row>
      </sheetData>
      <sheetData sheetId="10375">
        <row r="34">
          <cell r="A34" t="str">
            <v>Investments Govt Securities</v>
          </cell>
        </row>
      </sheetData>
      <sheetData sheetId="10376">
        <row r="34">
          <cell r="A34" t="str">
            <v>Investments Govt Securities</v>
          </cell>
        </row>
      </sheetData>
      <sheetData sheetId="10377">
        <row r="34">
          <cell r="A34" t="str">
            <v>Investments Govt Securities</v>
          </cell>
        </row>
      </sheetData>
      <sheetData sheetId="10378">
        <row r="34">
          <cell r="A34" t="str">
            <v>Investments Govt Securities</v>
          </cell>
        </row>
      </sheetData>
      <sheetData sheetId="10379">
        <row r="34">
          <cell r="A34" t="str">
            <v>Investments Govt Securities</v>
          </cell>
        </row>
      </sheetData>
      <sheetData sheetId="10380">
        <row r="34">
          <cell r="A34" t="str">
            <v>Investments Govt Securities</v>
          </cell>
        </row>
      </sheetData>
      <sheetData sheetId="10381">
        <row r="34">
          <cell r="A34" t="str">
            <v>Investments Govt Securities</v>
          </cell>
        </row>
      </sheetData>
      <sheetData sheetId="10382">
        <row r="34">
          <cell r="A34" t="str">
            <v>Investments Govt Securities</v>
          </cell>
        </row>
      </sheetData>
      <sheetData sheetId="10383">
        <row r="34">
          <cell r="A34" t="str">
            <v>Investments Govt Securities</v>
          </cell>
        </row>
      </sheetData>
      <sheetData sheetId="10384">
        <row r="34">
          <cell r="A34" t="str">
            <v>Investments Govt Securities</v>
          </cell>
        </row>
      </sheetData>
      <sheetData sheetId="10385">
        <row r="34">
          <cell r="A34" t="str">
            <v>Investments Govt Securities</v>
          </cell>
        </row>
      </sheetData>
      <sheetData sheetId="10386">
        <row r="34">
          <cell r="A34" t="str">
            <v>Investments Govt Securities</v>
          </cell>
        </row>
      </sheetData>
      <sheetData sheetId="10387">
        <row r="34">
          <cell r="A34" t="str">
            <v>Investments Govt Securities</v>
          </cell>
        </row>
      </sheetData>
      <sheetData sheetId="10388">
        <row r="34">
          <cell r="A34" t="str">
            <v>Investments Govt Securities</v>
          </cell>
        </row>
      </sheetData>
      <sheetData sheetId="10389">
        <row r="34">
          <cell r="A34" t="str">
            <v>Investments Govt Securities</v>
          </cell>
        </row>
      </sheetData>
      <sheetData sheetId="10390">
        <row r="34">
          <cell r="A34" t="str">
            <v>Investments Govt Securities</v>
          </cell>
        </row>
      </sheetData>
      <sheetData sheetId="10391">
        <row r="34">
          <cell r="A34" t="str">
            <v>Investments Govt Securities</v>
          </cell>
        </row>
      </sheetData>
      <sheetData sheetId="10392">
        <row r="34">
          <cell r="A34" t="str">
            <v>Investments Govt Securities</v>
          </cell>
        </row>
      </sheetData>
      <sheetData sheetId="10393">
        <row r="34">
          <cell r="A34" t="str">
            <v>Investments Govt Securities</v>
          </cell>
        </row>
      </sheetData>
      <sheetData sheetId="10394">
        <row r="34">
          <cell r="A34" t="str">
            <v>Investments Govt Securities</v>
          </cell>
        </row>
      </sheetData>
      <sheetData sheetId="10395">
        <row r="34">
          <cell r="A34" t="str">
            <v>Investments Govt Securities</v>
          </cell>
        </row>
      </sheetData>
      <sheetData sheetId="10396">
        <row r="34">
          <cell r="A34" t="str">
            <v>Investments Govt Securities</v>
          </cell>
        </row>
      </sheetData>
      <sheetData sheetId="10397">
        <row r="34">
          <cell r="A34" t="str">
            <v>Investments Govt Securities</v>
          </cell>
        </row>
      </sheetData>
      <sheetData sheetId="10398">
        <row r="34">
          <cell r="A34" t="str">
            <v>Investments Govt Securities</v>
          </cell>
        </row>
      </sheetData>
      <sheetData sheetId="10399">
        <row r="34">
          <cell r="A34" t="str">
            <v>Investments Govt Securities</v>
          </cell>
        </row>
      </sheetData>
      <sheetData sheetId="10400">
        <row r="34">
          <cell r="A34" t="str">
            <v>Investments Govt Securities</v>
          </cell>
        </row>
      </sheetData>
      <sheetData sheetId="10401">
        <row r="34">
          <cell r="A34" t="str">
            <v>Investments Govt Securities</v>
          </cell>
        </row>
      </sheetData>
      <sheetData sheetId="10402">
        <row r="34">
          <cell r="A34" t="str">
            <v>Investments Govt Securities</v>
          </cell>
        </row>
      </sheetData>
      <sheetData sheetId="10403">
        <row r="34">
          <cell r="A34" t="str">
            <v>Investments Govt Securities</v>
          </cell>
        </row>
      </sheetData>
      <sheetData sheetId="10404">
        <row r="34">
          <cell r="A34" t="str">
            <v>Investments Govt Securities</v>
          </cell>
        </row>
      </sheetData>
      <sheetData sheetId="10405">
        <row r="34">
          <cell r="A34" t="str">
            <v>Investments Govt Securities</v>
          </cell>
        </row>
      </sheetData>
      <sheetData sheetId="10406">
        <row r="34">
          <cell r="A34" t="str">
            <v>Investments Govt Securities</v>
          </cell>
        </row>
      </sheetData>
      <sheetData sheetId="10407">
        <row r="34">
          <cell r="A34" t="str">
            <v>Investments Govt Securities</v>
          </cell>
        </row>
      </sheetData>
      <sheetData sheetId="10408">
        <row r="34">
          <cell r="A34" t="str">
            <v>Investments Govt Securities</v>
          </cell>
        </row>
      </sheetData>
      <sheetData sheetId="10409">
        <row r="34">
          <cell r="A34" t="str">
            <v>Investments Govt Securities</v>
          </cell>
        </row>
      </sheetData>
      <sheetData sheetId="10410">
        <row r="34">
          <cell r="A34" t="str">
            <v>Investments Govt Securities</v>
          </cell>
        </row>
      </sheetData>
      <sheetData sheetId="10411">
        <row r="34">
          <cell r="A34" t="str">
            <v>Investments Govt Securities</v>
          </cell>
        </row>
      </sheetData>
      <sheetData sheetId="10412">
        <row r="34">
          <cell r="A34" t="str">
            <v>Investments Govt Securities</v>
          </cell>
        </row>
      </sheetData>
      <sheetData sheetId="10413">
        <row r="34">
          <cell r="A34" t="str">
            <v>Investments Govt Securities</v>
          </cell>
        </row>
      </sheetData>
      <sheetData sheetId="10414">
        <row r="34">
          <cell r="A34" t="str">
            <v>Investments Govt Securities</v>
          </cell>
        </row>
      </sheetData>
      <sheetData sheetId="10415">
        <row r="34">
          <cell r="A34" t="str">
            <v>Investments Govt Securities</v>
          </cell>
        </row>
      </sheetData>
      <sheetData sheetId="10416">
        <row r="34">
          <cell r="A34" t="str">
            <v>Investments Govt Securities</v>
          </cell>
        </row>
      </sheetData>
      <sheetData sheetId="10417">
        <row r="34">
          <cell r="A34" t="str">
            <v>Investments Govt Securities</v>
          </cell>
        </row>
      </sheetData>
      <sheetData sheetId="10418">
        <row r="34">
          <cell r="A34" t="str">
            <v>Investments Govt Securities</v>
          </cell>
        </row>
      </sheetData>
      <sheetData sheetId="10419">
        <row r="34">
          <cell r="A34" t="str">
            <v>Investments Govt Securities</v>
          </cell>
        </row>
      </sheetData>
      <sheetData sheetId="10420">
        <row r="34">
          <cell r="A34" t="str">
            <v>Investments Govt Securities</v>
          </cell>
        </row>
      </sheetData>
      <sheetData sheetId="10421">
        <row r="34">
          <cell r="A34" t="str">
            <v>Investments Govt Securities</v>
          </cell>
        </row>
      </sheetData>
      <sheetData sheetId="10422">
        <row r="34">
          <cell r="A34" t="str">
            <v>Investments Govt Securities</v>
          </cell>
        </row>
      </sheetData>
      <sheetData sheetId="10423">
        <row r="34">
          <cell r="A34" t="str">
            <v>Investments Govt Securities</v>
          </cell>
        </row>
      </sheetData>
      <sheetData sheetId="10424">
        <row r="34">
          <cell r="A34" t="str">
            <v>Investments Govt Securities</v>
          </cell>
        </row>
      </sheetData>
      <sheetData sheetId="10425">
        <row r="34">
          <cell r="A34" t="str">
            <v>Investments Govt Securities</v>
          </cell>
        </row>
      </sheetData>
      <sheetData sheetId="10426">
        <row r="34">
          <cell r="A34" t="str">
            <v>Investments Govt Securities</v>
          </cell>
        </row>
      </sheetData>
      <sheetData sheetId="10427">
        <row r="34">
          <cell r="A34" t="str">
            <v>Investments Govt Securities</v>
          </cell>
        </row>
      </sheetData>
      <sheetData sheetId="10428">
        <row r="34">
          <cell r="A34" t="str">
            <v>Investments Govt Securities</v>
          </cell>
        </row>
      </sheetData>
      <sheetData sheetId="10429">
        <row r="34">
          <cell r="A34" t="str">
            <v>Investments Govt Securities</v>
          </cell>
        </row>
      </sheetData>
      <sheetData sheetId="10430">
        <row r="34">
          <cell r="A34" t="str">
            <v>Investments Govt Securities</v>
          </cell>
        </row>
      </sheetData>
      <sheetData sheetId="10431">
        <row r="34">
          <cell r="A34" t="str">
            <v>Investments Govt Securities</v>
          </cell>
        </row>
      </sheetData>
      <sheetData sheetId="10432">
        <row r="34">
          <cell r="A34" t="str">
            <v>Investments Govt Securities</v>
          </cell>
        </row>
      </sheetData>
      <sheetData sheetId="10433">
        <row r="34">
          <cell r="A34" t="str">
            <v>Investments Govt Securities</v>
          </cell>
        </row>
      </sheetData>
      <sheetData sheetId="10434">
        <row r="34">
          <cell r="A34" t="str">
            <v>Investments Govt Securities</v>
          </cell>
        </row>
      </sheetData>
      <sheetData sheetId="10435">
        <row r="34">
          <cell r="A34" t="str">
            <v>Investments Govt Securities</v>
          </cell>
        </row>
      </sheetData>
      <sheetData sheetId="10436">
        <row r="34">
          <cell r="A34" t="str">
            <v>Investments Govt Securities</v>
          </cell>
        </row>
      </sheetData>
      <sheetData sheetId="10437">
        <row r="34">
          <cell r="A34" t="str">
            <v>Investments Govt Securities</v>
          </cell>
        </row>
      </sheetData>
      <sheetData sheetId="10438">
        <row r="34">
          <cell r="A34" t="str">
            <v>Investments Govt Securities</v>
          </cell>
        </row>
      </sheetData>
      <sheetData sheetId="10439">
        <row r="34">
          <cell r="A34" t="str">
            <v>Investments Govt Securities</v>
          </cell>
        </row>
      </sheetData>
      <sheetData sheetId="10440">
        <row r="34">
          <cell r="A34" t="str">
            <v>Investments Govt Securities</v>
          </cell>
        </row>
      </sheetData>
      <sheetData sheetId="10441">
        <row r="34">
          <cell r="A34" t="str">
            <v>Investments Govt Securities</v>
          </cell>
        </row>
      </sheetData>
      <sheetData sheetId="10442">
        <row r="34">
          <cell r="A34" t="str">
            <v>Investments Govt Securities</v>
          </cell>
        </row>
      </sheetData>
      <sheetData sheetId="10443">
        <row r="34">
          <cell r="A34" t="str">
            <v>Investments Govt Securities</v>
          </cell>
        </row>
      </sheetData>
      <sheetData sheetId="10444">
        <row r="34">
          <cell r="A34" t="str">
            <v>Investments Govt Securities</v>
          </cell>
        </row>
      </sheetData>
      <sheetData sheetId="10445">
        <row r="34">
          <cell r="A34" t="str">
            <v>Investments Govt Securities</v>
          </cell>
        </row>
      </sheetData>
      <sheetData sheetId="10446">
        <row r="34">
          <cell r="A34" t="str">
            <v>Investments Govt Securities</v>
          </cell>
        </row>
      </sheetData>
      <sheetData sheetId="10447">
        <row r="34">
          <cell r="A34" t="str">
            <v>Investments Govt Securities</v>
          </cell>
        </row>
      </sheetData>
      <sheetData sheetId="10448">
        <row r="34">
          <cell r="A34" t="str">
            <v>Investments Govt Securities</v>
          </cell>
        </row>
      </sheetData>
      <sheetData sheetId="10449">
        <row r="34">
          <cell r="A34" t="str">
            <v>Investments Govt Securities</v>
          </cell>
        </row>
      </sheetData>
      <sheetData sheetId="10450">
        <row r="34">
          <cell r="A34" t="str">
            <v>Investments Govt Securities</v>
          </cell>
        </row>
      </sheetData>
      <sheetData sheetId="10451">
        <row r="34">
          <cell r="A34" t="str">
            <v>Investments Govt Securities</v>
          </cell>
        </row>
      </sheetData>
      <sheetData sheetId="10452">
        <row r="34">
          <cell r="A34" t="str">
            <v>Investments Govt Securities</v>
          </cell>
        </row>
      </sheetData>
      <sheetData sheetId="10453">
        <row r="34">
          <cell r="A34" t="str">
            <v>Investments Govt Securities</v>
          </cell>
        </row>
      </sheetData>
      <sheetData sheetId="10454">
        <row r="34">
          <cell r="A34" t="str">
            <v>Investments Govt Securities</v>
          </cell>
        </row>
      </sheetData>
      <sheetData sheetId="10455">
        <row r="34">
          <cell r="A34" t="str">
            <v>Investments Govt Securities</v>
          </cell>
        </row>
      </sheetData>
      <sheetData sheetId="10456">
        <row r="34">
          <cell r="A34" t="str">
            <v>Investments Govt Securities</v>
          </cell>
        </row>
      </sheetData>
      <sheetData sheetId="10457">
        <row r="34">
          <cell r="A34" t="str">
            <v>Investments Govt Securities</v>
          </cell>
        </row>
      </sheetData>
      <sheetData sheetId="10458">
        <row r="34">
          <cell r="A34" t="str">
            <v>Investments Govt Securities</v>
          </cell>
        </row>
      </sheetData>
      <sheetData sheetId="10459">
        <row r="34">
          <cell r="A34" t="str">
            <v>Investments Govt Securities</v>
          </cell>
        </row>
      </sheetData>
      <sheetData sheetId="10460">
        <row r="34">
          <cell r="A34" t="str">
            <v>Investments Govt Securities</v>
          </cell>
        </row>
      </sheetData>
      <sheetData sheetId="10461">
        <row r="34">
          <cell r="A34" t="str">
            <v>Investments Govt Securities</v>
          </cell>
        </row>
      </sheetData>
      <sheetData sheetId="10462">
        <row r="34">
          <cell r="A34" t="str">
            <v>Investments Govt Securities</v>
          </cell>
        </row>
      </sheetData>
      <sheetData sheetId="10463">
        <row r="34">
          <cell r="A34" t="str">
            <v>Investments Govt Securities</v>
          </cell>
        </row>
      </sheetData>
      <sheetData sheetId="10464">
        <row r="34">
          <cell r="A34" t="str">
            <v>Investments Govt Securities</v>
          </cell>
        </row>
      </sheetData>
      <sheetData sheetId="10465">
        <row r="34">
          <cell r="A34" t="str">
            <v>Investments Govt Securities</v>
          </cell>
        </row>
      </sheetData>
      <sheetData sheetId="10466">
        <row r="34">
          <cell r="A34" t="str">
            <v>Investments Govt Securities</v>
          </cell>
        </row>
      </sheetData>
      <sheetData sheetId="10467">
        <row r="34">
          <cell r="A34" t="str">
            <v>Investments Govt Securities</v>
          </cell>
        </row>
      </sheetData>
      <sheetData sheetId="10468">
        <row r="34">
          <cell r="A34" t="str">
            <v>Investments Govt Securities</v>
          </cell>
        </row>
      </sheetData>
      <sheetData sheetId="10469">
        <row r="34">
          <cell r="A34" t="str">
            <v>Investments Govt Securities</v>
          </cell>
        </row>
      </sheetData>
      <sheetData sheetId="10470">
        <row r="34">
          <cell r="A34" t="str">
            <v>Investments Govt Securities</v>
          </cell>
        </row>
      </sheetData>
      <sheetData sheetId="10471">
        <row r="34">
          <cell r="A34" t="str">
            <v>Investments Govt Securities</v>
          </cell>
        </row>
      </sheetData>
      <sheetData sheetId="10472">
        <row r="34">
          <cell r="A34" t="str">
            <v>Investments Govt Securities</v>
          </cell>
        </row>
      </sheetData>
      <sheetData sheetId="10473">
        <row r="34">
          <cell r="A34" t="str">
            <v>Investments Govt Securities</v>
          </cell>
        </row>
      </sheetData>
      <sheetData sheetId="10474">
        <row r="34">
          <cell r="A34" t="str">
            <v>Investments Govt Securities</v>
          </cell>
        </row>
      </sheetData>
      <sheetData sheetId="10475">
        <row r="34">
          <cell r="A34" t="str">
            <v>Investments Govt Securities</v>
          </cell>
        </row>
      </sheetData>
      <sheetData sheetId="10476">
        <row r="34">
          <cell r="A34" t="str">
            <v>Investments Govt Securities</v>
          </cell>
        </row>
      </sheetData>
      <sheetData sheetId="10477">
        <row r="34">
          <cell r="A34" t="str">
            <v>Investments Govt Securities</v>
          </cell>
        </row>
      </sheetData>
      <sheetData sheetId="10478">
        <row r="34">
          <cell r="A34" t="str">
            <v>Investments Govt Securities</v>
          </cell>
        </row>
      </sheetData>
      <sheetData sheetId="10479">
        <row r="34">
          <cell r="A34" t="str">
            <v>Investments Govt Securities</v>
          </cell>
        </row>
      </sheetData>
      <sheetData sheetId="10480">
        <row r="34">
          <cell r="A34" t="str">
            <v>Investments Govt Securities</v>
          </cell>
        </row>
      </sheetData>
      <sheetData sheetId="10481">
        <row r="34">
          <cell r="A34" t="str">
            <v>Investments Govt Securities</v>
          </cell>
        </row>
      </sheetData>
      <sheetData sheetId="10482">
        <row r="34">
          <cell r="A34" t="str">
            <v>Investments Govt Securities</v>
          </cell>
        </row>
      </sheetData>
      <sheetData sheetId="10483">
        <row r="34">
          <cell r="A34" t="str">
            <v>Investments Govt Securities</v>
          </cell>
        </row>
      </sheetData>
      <sheetData sheetId="10484">
        <row r="34">
          <cell r="A34" t="str">
            <v>Investments Govt Securities</v>
          </cell>
        </row>
      </sheetData>
      <sheetData sheetId="10485">
        <row r="34">
          <cell r="A34" t="str">
            <v>Investments Govt Securities</v>
          </cell>
        </row>
      </sheetData>
      <sheetData sheetId="10486">
        <row r="34">
          <cell r="A34" t="str">
            <v>Investments Govt Securities</v>
          </cell>
        </row>
      </sheetData>
      <sheetData sheetId="10487">
        <row r="34">
          <cell r="A34" t="str">
            <v>Investments Govt Securities</v>
          </cell>
        </row>
      </sheetData>
      <sheetData sheetId="10488">
        <row r="34">
          <cell r="A34" t="str">
            <v>Investments Govt Securities</v>
          </cell>
        </row>
      </sheetData>
      <sheetData sheetId="10489">
        <row r="34">
          <cell r="A34" t="str">
            <v>Investments Govt Securities</v>
          </cell>
        </row>
      </sheetData>
      <sheetData sheetId="10490">
        <row r="34">
          <cell r="A34" t="str">
            <v>Investments Govt Securities</v>
          </cell>
        </row>
      </sheetData>
      <sheetData sheetId="10491">
        <row r="34">
          <cell r="A34" t="str">
            <v>Investments Govt Securities</v>
          </cell>
        </row>
      </sheetData>
      <sheetData sheetId="10492">
        <row r="34">
          <cell r="A34" t="str">
            <v>Investments Govt Securities</v>
          </cell>
        </row>
      </sheetData>
      <sheetData sheetId="10493">
        <row r="34">
          <cell r="A34" t="str">
            <v>Investments Govt Securities</v>
          </cell>
        </row>
      </sheetData>
      <sheetData sheetId="10494">
        <row r="34">
          <cell r="A34" t="str">
            <v>Investments Govt Securities</v>
          </cell>
        </row>
      </sheetData>
      <sheetData sheetId="10495">
        <row r="34">
          <cell r="A34" t="str">
            <v>Investments Govt Securities</v>
          </cell>
        </row>
      </sheetData>
      <sheetData sheetId="10496">
        <row r="34">
          <cell r="A34" t="str">
            <v>Investments Govt Securities</v>
          </cell>
        </row>
      </sheetData>
      <sheetData sheetId="10497">
        <row r="34">
          <cell r="A34" t="str">
            <v>Investments Govt Securities</v>
          </cell>
        </row>
      </sheetData>
      <sheetData sheetId="10498">
        <row r="34">
          <cell r="A34" t="str">
            <v>Investments Govt Securities</v>
          </cell>
        </row>
      </sheetData>
      <sheetData sheetId="10499">
        <row r="34">
          <cell r="A34" t="str">
            <v>Investments Govt Securities</v>
          </cell>
        </row>
      </sheetData>
      <sheetData sheetId="10500">
        <row r="34">
          <cell r="A34" t="str">
            <v>Investments Govt Securities</v>
          </cell>
        </row>
      </sheetData>
      <sheetData sheetId="10501">
        <row r="34">
          <cell r="A34" t="str">
            <v>Investments Govt Securities</v>
          </cell>
        </row>
      </sheetData>
      <sheetData sheetId="10502">
        <row r="34">
          <cell r="A34" t="str">
            <v>Investments Govt Securities</v>
          </cell>
        </row>
      </sheetData>
      <sheetData sheetId="10503">
        <row r="34">
          <cell r="A34" t="str">
            <v>Investments Govt Securities</v>
          </cell>
        </row>
      </sheetData>
      <sheetData sheetId="10504">
        <row r="34">
          <cell r="A34" t="str">
            <v>Investments Govt Securities</v>
          </cell>
        </row>
      </sheetData>
      <sheetData sheetId="10505">
        <row r="34">
          <cell r="A34" t="str">
            <v>Investments Govt Securities</v>
          </cell>
        </row>
      </sheetData>
      <sheetData sheetId="10506">
        <row r="34">
          <cell r="A34" t="str">
            <v>Investments Govt Securities</v>
          </cell>
        </row>
      </sheetData>
      <sheetData sheetId="10507">
        <row r="34">
          <cell r="A34" t="str">
            <v>Investments Govt Securities</v>
          </cell>
        </row>
      </sheetData>
      <sheetData sheetId="10508">
        <row r="34">
          <cell r="A34" t="str">
            <v>Investments Govt Securities</v>
          </cell>
        </row>
      </sheetData>
      <sheetData sheetId="10509">
        <row r="34">
          <cell r="A34" t="str">
            <v>Investments Govt Securities</v>
          </cell>
        </row>
      </sheetData>
      <sheetData sheetId="10510">
        <row r="34">
          <cell r="A34" t="str">
            <v>Investments Govt Securities</v>
          </cell>
        </row>
      </sheetData>
      <sheetData sheetId="10511">
        <row r="34">
          <cell r="A34" t="str">
            <v>Investments Govt Securities</v>
          </cell>
        </row>
      </sheetData>
      <sheetData sheetId="10512">
        <row r="34">
          <cell r="A34" t="str">
            <v>Investments Govt Securities</v>
          </cell>
        </row>
      </sheetData>
      <sheetData sheetId="10513">
        <row r="34">
          <cell r="A34" t="str">
            <v>Investments Govt Securities</v>
          </cell>
        </row>
      </sheetData>
      <sheetData sheetId="10514">
        <row r="34">
          <cell r="A34" t="str">
            <v>Investments Govt Securities</v>
          </cell>
        </row>
      </sheetData>
      <sheetData sheetId="10515">
        <row r="34">
          <cell r="A34" t="str">
            <v>Investments Govt Securities</v>
          </cell>
        </row>
      </sheetData>
      <sheetData sheetId="10516">
        <row r="34">
          <cell r="A34" t="str">
            <v>Investments Govt Securities</v>
          </cell>
        </row>
      </sheetData>
      <sheetData sheetId="10517">
        <row r="34">
          <cell r="A34" t="str">
            <v>Investments Govt Securities</v>
          </cell>
        </row>
      </sheetData>
      <sheetData sheetId="10518">
        <row r="34">
          <cell r="A34" t="str">
            <v>Investments Govt Securities</v>
          </cell>
        </row>
      </sheetData>
      <sheetData sheetId="10519">
        <row r="34">
          <cell r="A34" t="str">
            <v>Investments Govt Securities</v>
          </cell>
        </row>
      </sheetData>
      <sheetData sheetId="10520">
        <row r="34">
          <cell r="A34" t="str">
            <v>Investments Govt Securities</v>
          </cell>
        </row>
      </sheetData>
      <sheetData sheetId="10521">
        <row r="34">
          <cell r="A34" t="str">
            <v>Investments Govt Securities</v>
          </cell>
        </row>
      </sheetData>
      <sheetData sheetId="10522">
        <row r="34">
          <cell r="A34" t="str">
            <v>Investments Govt Securities</v>
          </cell>
        </row>
      </sheetData>
      <sheetData sheetId="10523">
        <row r="34">
          <cell r="A34" t="str">
            <v>Investments Govt Securities</v>
          </cell>
        </row>
      </sheetData>
      <sheetData sheetId="10524">
        <row r="34">
          <cell r="A34" t="str">
            <v>Investments Govt Securities</v>
          </cell>
        </row>
      </sheetData>
      <sheetData sheetId="10525">
        <row r="34">
          <cell r="A34" t="str">
            <v>Investments Govt Securities</v>
          </cell>
        </row>
      </sheetData>
      <sheetData sheetId="10526">
        <row r="34">
          <cell r="A34" t="str">
            <v>Investments Govt Securities</v>
          </cell>
        </row>
      </sheetData>
      <sheetData sheetId="10527">
        <row r="34">
          <cell r="A34" t="str">
            <v>Investments Govt Securities</v>
          </cell>
        </row>
      </sheetData>
      <sheetData sheetId="10528">
        <row r="34">
          <cell r="A34" t="str">
            <v>Investments Govt Securities</v>
          </cell>
        </row>
      </sheetData>
      <sheetData sheetId="10529">
        <row r="34">
          <cell r="A34" t="str">
            <v>Investments Govt Securities</v>
          </cell>
        </row>
      </sheetData>
      <sheetData sheetId="10530">
        <row r="34">
          <cell r="A34" t="str">
            <v>Investments Govt Securities</v>
          </cell>
        </row>
      </sheetData>
      <sheetData sheetId="10531">
        <row r="34">
          <cell r="A34" t="str">
            <v>Investments Govt Securities</v>
          </cell>
        </row>
      </sheetData>
      <sheetData sheetId="10532">
        <row r="34">
          <cell r="A34" t="str">
            <v>Investments Govt Securities</v>
          </cell>
        </row>
      </sheetData>
      <sheetData sheetId="10533">
        <row r="34">
          <cell r="A34" t="str">
            <v>Investments Govt Securities</v>
          </cell>
        </row>
      </sheetData>
      <sheetData sheetId="10534">
        <row r="34">
          <cell r="A34" t="str">
            <v>Investments Govt Securities</v>
          </cell>
        </row>
      </sheetData>
      <sheetData sheetId="10535">
        <row r="34">
          <cell r="A34" t="str">
            <v>Investments Govt Securities</v>
          </cell>
        </row>
      </sheetData>
      <sheetData sheetId="10536">
        <row r="34">
          <cell r="A34" t="str">
            <v>Investments Govt Securities</v>
          </cell>
        </row>
      </sheetData>
      <sheetData sheetId="10537">
        <row r="34">
          <cell r="A34" t="str">
            <v>Investments Govt Securities</v>
          </cell>
        </row>
      </sheetData>
      <sheetData sheetId="10538">
        <row r="34">
          <cell r="A34" t="str">
            <v>Investments Govt Securities</v>
          </cell>
        </row>
      </sheetData>
      <sheetData sheetId="10539">
        <row r="34">
          <cell r="A34" t="str">
            <v>Investments Govt Securities</v>
          </cell>
        </row>
      </sheetData>
      <sheetData sheetId="10540">
        <row r="34">
          <cell r="A34" t="str">
            <v>Investments Govt Securities</v>
          </cell>
        </row>
      </sheetData>
      <sheetData sheetId="10541">
        <row r="34">
          <cell r="A34" t="str">
            <v>Investments Govt Securities</v>
          </cell>
        </row>
      </sheetData>
      <sheetData sheetId="10542">
        <row r="34">
          <cell r="A34" t="str">
            <v>Investments Govt Securities</v>
          </cell>
        </row>
      </sheetData>
      <sheetData sheetId="10543">
        <row r="34">
          <cell r="A34" t="str">
            <v>Investments Govt Securities</v>
          </cell>
        </row>
      </sheetData>
      <sheetData sheetId="10544">
        <row r="34">
          <cell r="A34" t="str">
            <v>Investments Govt Securities</v>
          </cell>
        </row>
      </sheetData>
      <sheetData sheetId="10545">
        <row r="34">
          <cell r="A34" t="str">
            <v>Investments Govt Securities</v>
          </cell>
        </row>
      </sheetData>
      <sheetData sheetId="10546">
        <row r="34">
          <cell r="A34" t="str">
            <v>Investments Govt Securities</v>
          </cell>
        </row>
      </sheetData>
      <sheetData sheetId="10547">
        <row r="34">
          <cell r="A34" t="str">
            <v>Investments Govt Securities</v>
          </cell>
        </row>
      </sheetData>
      <sheetData sheetId="10548">
        <row r="34">
          <cell r="A34" t="str">
            <v>Investments Govt Securities</v>
          </cell>
        </row>
      </sheetData>
      <sheetData sheetId="10549">
        <row r="34">
          <cell r="A34" t="str">
            <v>Investments Govt Securities</v>
          </cell>
        </row>
      </sheetData>
      <sheetData sheetId="10550">
        <row r="34">
          <cell r="A34" t="str">
            <v>Investments Govt Securities</v>
          </cell>
        </row>
      </sheetData>
      <sheetData sheetId="10551">
        <row r="34">
          <cell r="A34" t="str">
            <v>Investments Govt Securities</v>
          </cell>
        </row>
      </sheetData>
      <sheetData sheetId="10552">
        <row r="34">
          <cell r="A34" t="str">
            <v>Investments Govt Securities</v>
          </cell>
        </row>
      </sheetData>
      <sheetData sheetId="10553">
        <row r="34">
          <cell r="A34" t="str">
            <v>Investments Govt Securities</v>
          </cell>
        </row>
      </sheetData>
      <sheetData sheetId="10554">
        <row r="34">
          <cell r="A34" t="str">
            <v>Investments Govt Securities</v>
          </cell>
        </row>
      </sheetData>
      <sheetData sheetId="10555">
        <row r="34">
          <cell r="A34" t="str">
            <v>Investments Govt Securities</v>
          </cell>
        </row>
      </sheetData>
      <sheetData sheetId="10556">
        <row r="34">
          <cell r="A34" t="str">
            <v>Investments Govt Securities</v>
          </cell>
        </row>
      </sheetData>
      <sheetData sheetId="10557">
        <row r="34">
          <cell r="A34" t="str">
            <v>Investments Govt Securities</v>
          </cell>
        </row>
      </sheetData>
      <sheetData sheetId="10558">
        <row r="34">
          <cell r="A34" t="str">
            <v>Investments Govt Securities</v>
          </cell>
        </row>
      </sheetData>
      <sheetData sheetId="10559">
        <row r="34">
          <cell r="A34" t="str">
            <v>Investments Govt Securities</v>
          </cell>
        </row>
      </sheetData>
      <sheetData sheetId="10560">
        <row r="34">
          <cell r="A34" t="str">
            <v>Investments Govt Securities</v>
          </cell>
        </row>
      </sheetData>
      <sheetData sheetId="10561">
        <row r="34">
          <cell r="A34" t="str">
            <v>Investments Govt Securities</v>
          </cell>
        </row>
      </sheetData>
      <sheetData sheetId="10562">
        <row r="34">
          <cell r="A34" t="str">
            <v>Investments Govt Securities</v>
          </cell>
        </row>
      </sheetData>
      <sheetData sheetId="10563">
        <row r="34">
          <cell r="A34" t="str">
            <v>Investments Govt Securities</v>
          </cell>
        </row>
      </sheetData>
      <sheetData sheetId="10564">
        <row r="34">
          <cell r="A34" t="str">
            <v>Investments Govt Securities</v>
          </cell>
        </row>
      </sheetData>
      <sheetData sheetId="10565">
        <row r="34">
          <cell r="A34" t="str">
            <v>Investments Govt Securities</v>
          </cell>
        </row>
      </sheetData>
      <sheetData sheetId="10566">
        <row r="34">
          <cell r="A34" t="str">
            <v>Investments Govt Securities</v>
          </cell>
        </row>
      </sheetData>
      <sheetData sheetId="10567">
        <row r="34">
          <cell r="A34" t="str">
            <v>Investments Govt Securities</v>
          </cell>
        </row>
      </sheetData>
      <sheetData sheetId="10568">
        <row r="34">
          <cell r="A34" t="str">
            <v>Investments Govt Securities</v>
          </cell>
        </row>
      </sheetData>
      <sheetData sheetId="10569">
        <row r="34">
          <cell r="A34" t="str">
            <v>Investments Govt Securities</v>
          </cell>
        </row>
      </sheetData>
      <sheetData sheetId="10570">
        <row r="34">
          <cell r="A34" t="str">
            <v>Investments Govt Securities</v>
          </cell>
        </row>
      </sheetData>
      <sheetData sheetId="10571">
        <row r="34">
          <cell r="A34" t="str">
            <v>Investments Govt Securities</v>
          </cell>
        </row>
      </sheetData>
      <sheetData sheetId="10572">
        <row r="34">
          <cell r="A34" t="str">
            <v>Investments Govt Securities</v>
          </cell>
        </row>
      </sheetData>
      <sheetData sheetId="10573">
        <row r="34">
          <cell r="A34" t="str">
            <v>Investments Govt Securities</v>
          </cell>
        </row>
      </sheetData>
      <sheetData sheetId="10574">
        <row r="34">
          <cell r="A34" t="str">
            <v>Investments Govt Securities</v>
          </cell>
        </row>
      </sheetData>
      <sheetData sheetId="10575">
        <row r="34">
          <cell r="A34" t="str">
            <v>Investments Govt Securities</v>
          </cell>
        </row>
      </sheetData>
      <sheetData sheetId="10576">
        <row r="34">
          <cell r="A34" t="str">
            <v>Investments Govt Securities</v>
          </cell>
        </row>
      </sheetData>
      <sheetData sheetId="10577">
        <row r="34">
          <cell r="A34" t="str">
            <v>Investments Govt Securities</v>
          </cell>
        </row>
      </sheetData>
      <sheetData sheetId="10578">
        <row r="34">
          <cell r="A34" t="str">
            <v>Investments Govt Securities</v>
          </cell>
        </row>
      </sheetData>
      <sheetData sheetId="10579">
        <row r="34">
          <cell r="A34" t="str">
            <v>Investments Govt Securities</v>
          </cell>
        </row>
      </sheetData>
      <sheetData sheetId="10580">
        <row r="34">
          <cell r="A34" t="str">
            <v>Investments Govt Securities</v>
          </cell>
        </row>
      </sheetData>
      <sheetData sheetId="10581">
        <row r="34">
          <cell r="A34" t="str">
            <v>Investments Govt Securities</v>
          </cell>
        </row>
      </sheetData>
      <sheetData sheetId="10582">
        <row r="34">
          <cell r="A34" t="str">
            <v>Investments Govt Securities</v>
          </cell>
        </row>
      </sheetData>
      <sheetData sheetId="10583">
        <row r="34">
          <cell r="A34" t="str">
            <v>Investments Govt Securities</v>
          </cell>
        </row>
      </sheetData>
      <sheetData sheetId="10584">
        <row r="34">
          <cell r="A34" t="str">
            <v>Investments Govt Securities</v>
          </cell>
        </row>
      </sheetData>
      <sheetData sheetId="10585">
        <row r="34">
          <cell r="A34" t="str">
            <v>Investments Govt Securities</v>
          </cell>
        </row>
      </sheetData>
      <sheetData sheetId="10586">
        <row r="34">
          <cell r="A34" t="str">
            <v>Investments Govt Securities</v>
          </cell>
        </row>
      </sheetData>
      <sheetData sheetId="10587">
        <row r="34">
          <cell r="A34" t="str">
            <v>Investments Govt Securities</v>
          </cell>
        </row>
      </sheetData>
      <sheetData sheetId="10588">
        <row r="34">
          <cell r="A34" t="str">
            <v>Investments Govt Securities</v>
          </cell>
        </row>
      </sheetData>
      <sheetData sheetId="10589">
        <row r="34">
          <cell r="A34" t="str">
            <v>Investments Govt Securities</v>
          </cell>
        </row>
      </sheetData>
      <sheetData sheetId="10590">
        <row r="34">
          <cell r="A34" t="str">
            <v>Investments Govt Securities</v>
          </cell>
        </row>
      </sheetData>
      <sheetData sheetId="10591">
        <row r="34">
          <cell r="A34" t="str">
            <v>Investments Govt Securities</v>
          </cell>
        </row>
      </sheetData>
      <sheetData sheetId="10592">
        <row r="34">
          <cell r="A34" t="str">
            <v>Investments Govt Securities</v>
          </cell>
        </row>
      </sheetData>
      <sheetData sheetId="10593">
        <row r="34">
          <cell r="A34" t="str">
            <v>Investments Govt Securities</v>
          </cell>
        </row>
      </sheetData>
      <sheetData sheetId="10594">
        <row r="34">
          <cell r="A34" t="str">
            <v>Investments Govt Securities</v>
          </cell>
        </row>
      </sheetData>
      <sheetData sheetId="10595">
        <row r="34">
          <cell r="A34" t="str">
            <v>Investments Govt Securities</v>
          </cell>
        </row>
      </sheetData>
      <sheetData sheetId="10596">
        <row r="34">
          <cell r="A34" t="str">
            <v>Investments Govt Securities</v>
          </cell>
        </row>
      </sheetData>
      <sheetData sheetId="10597">
        <row r="34">
          <cell r="A34" t="str">
            <v>Investments Govt Securities</v>
          </cell>
        </row>
      </sheetData>
      <sheetData sheetId="10598">
        <row r="34">
          <cell r="A34" t="str">
            <v>Investments Govt Securities</v>
          </cell>
        </row>
      </sheetData>
      <sheetData sheetId="10599">
        <row r="34">
          <cell r="A34" t="str">
            <v>Investments Govt Securities</v>
          </cell>
        </row>
      </sheetData>
      <sheetData sheetId="10600">
        <row r="34">
          <cell r="A34" t="str">
            <v>Investments Govt Securities</v>
          </cell>
        </row>
      </sheetData>
      <sheetData sheetId="10601">
        <row r="34">
          <cell r="A34" t="str">
            <v>Investments Govt Securities</v>
          </cell>
        </row>
      </sheetData>
      <sheetData sheetId="10602">
        <row r="34">
          <cell r="A34" t="str">
            <v>Investments Govt Securities</v>
          </cell>
        </row>
      </sheetData>
      <sheetData sheetId="10603">
        <row r="34">
          <cell r="A34" t="str">
            <v>Investments Govt Securities</v>
          </cell>
        </row>
      </sheetData>
      <sheetData sheetId="10604">
        <row r="34">
          <cell r="A34" t="str">
            <v>Investments Govt Securities</v>
          </cell>
        </row>
      </sheetData>
      <sheetData sheetId="10605">
        <row r="34">
          <cell r="A34" t="str">
            <v>Investments Govt Securities</v>
          </cell>
        </row>
      </sheetData>
      <sheetData sheetId="10606">
        <row r="34">
          <cell r="A34" t="str">
            <v>Investments Govt Securities</v>
          </cell>
        </row>
      </sheetData>
      <sheetData sheetId="10607">
        <row r="34">
          <cell r="A34" t="str">
            <v>Investments Govt Securities</v>
          </cell>
        </row>
      </sheetData>
      <sheetData sheetId="10608">
        <row r="34">
          <cell r="A34" t="str">
            <v>Investments Govt Securities</v>
          </cell>
        </row>
      </sheetData>
      <sheetData sheetId="10609">
        <row r="34">
          <cell r="A34" t="str">
            <v>Investments Govt Securities</v>
          </cell>
        </row>
      </sheetData>
      <sheetData sheetId="10610">
        <row r="34">
          <cell r="A34" t="str">
            <v>Investments Govt Securities</v>
          </cell>
        </row>
      </sheetData>
      <sheetData sheetId="10611">
        <row r="34">
          <cell r="A34" t="str">
            <v>Investments Govt Securities</v>
          </cell>
        </row>
      </sheetData>
      <sheetData sheetId="10612">
        <row r="34">
          <cell r="A34" t="str">
            <v>Investments Govt Securities</v>
          </cell>
        </row>
      </sheetData>
      <sheetData sheetId="10613">
        <row r="34">
          <cell r="A34" t="str">
            <v>Investments Govt Securities</v>
          </cell>
        </row>
      </sheetData>
      <sheetData sheetId="10614">
        <row r="34">
          <cell r="A34" t="str">
            <v>Investments Govt Securities</v>
          </cell>
        </row>
      </sheetData>
      <sheetData sheetId="10615">
        <row r="34">
          <cell r="A34" t="str">
            <v>Investments Govt Securities</v>
          </cell>
        </row>
      </sheetData>
      <sheetData sheetId="10616">
        <row r="34">
          <cell r="A34" t="str">
            <v>Investments Govt Securities</v>
          </cell>
        </row>
      </sheetData>
      <sheetData sheetId="10617">
        <row r="34">
          <cell r="A34" t="str">
            <v>Investments Govt Securities</v>
          </cell>
        </row>
      </sheetData>
      <sheetData sheetId="10618">
        <row r="34">
          <cell r="A34" t="str">
            <v>Investments Govt Securities</v>
          </cell>
        </row>
      </sheetData>
      <sheetData sheetId="10619">
        <row r="34">
          <cell r="A34" t="str">
            <v>Investments Govt Securities</v>
          </cell>
        </row>
      </sheetData>
      <sheetData sheetId="10620">
        <row r="34">
          <cell r="A34" t="str">
            <v>Investments Govt Securities</v>
          </cell>
        </row>
      </sheetData>
      <sheetData sheetId="10621">
        <row r="34">
          <cell r="A34" t="str">
            <v>Investments Govt Securities</v>
          </cell>
        </row>
      </sheetData>
      <sheetData sheetId="10622">
        <row r="34">
          <cell r="A34" t="str">
            <v>Investments Govt Securities</v>
          </cell>
        </row>
      </sheetData>
      <sheetData sheetId="10623">
        <row r="34">
          <cell r="A34" t="str">
            <v>Investments Govt Securities</v>
          </cell>
        </row>
      </sheetData>
      <sheetData sheetId="10624">
        <row r="34">
          <cell r="A34" t="str">
            <v>Investments Govt Securities</v>
          </cell>
        </row>
      </sheetData>
      <sheetData sheetId="10625">
        <row r="34">
          <cell r="A34" t="str">
            <v>Investments Govt Securities</v>
          </cell>
        </row>
      </sheetData>
      <sheetData sheetId="10626">
        <row r="34">
          <cell r="A34" t="str">
            <v>Investments Govt Securities</v>
          </cell>
        </row>
      </sheetData>
      <sheetData sheetId="10627">
        <row r="34">
          <cell r="A34" t="str">
            <v>Investments Govt Securities</v>
          </cell>
        </row>
      </sheetData>
      <sheetData sheetId="10628">
        <row r="34">
          <cell r="A34" t="str">
            <v>Investments Govt Securities</v>
          </cell>
        </row>
      </sheetData>
      <sheetData sheetId="10629">
        <row r="34">
          <cell r="A34" t="str">
            <v>Investments Govt Securities</v>
          </cell>
        </row>
      </sheetData>
      <sheetData sheetId="10630">
        <row r="34">
          <cell r="A34" t="str">
            <v>Investments Govt Securities</v>
          </cell>
        </row>
      </sheetData>
      <sheetData sheetId="10631">
        <row r="34">
          <cell r="A34" t="str">
            <v>Investments Govt Securities</v>
          </cell>
        </row>
      </sheetData>
      <sheetData sheetId="10632">
        <row r="34">
          <cell r="A34" t="str">
            <v>Investments Govt Securities</v>
          </cell>
        </row>
      </sheetData>
      <sheetData sheetId="10633">
        <row r="34">
          <cell r="A34" t="str">
            <v>Investments Govt Securities</v>
          </cell>
        </row>
      </sheetData>
      <sheetData sheetId="10634">
        <row r="34">
          <cell r="A34" t="str">
            <v>Investments Govt Securities</v>
          </cell>
        </row>
      </sheetData>
      <sheetData sheetId="10635">
        <row r="34">
          <cell r="A34" t="str">
            <v>Investments Govt Securities</v>
          </cell>
        </row>
      </sheetData>
      <sheetData sheetId="10636">
        <row r="34">
          <cell r="A34" t="str">
            <v>Investments Govt Securities</v>
          </cell>
        </row>
      </sheetData>
      <sheetData sheetId="10637">
        <row r="34">
          <cell r="A34" t="str">
            <v>Investments Govt Securities</v>
          </cell>
        </row>
      </sheetData>
      <sheetData sheetId="10638">
        <row r="34">
          <cell r="A34" t="str">
            <v>Investments Govt Securities</v>
          </cell>
        </row>
      </sheetData>
      <sheetData sheetId="10639">
        <row r="34">
          <cell r="A34" t="str">
            <v>Investments Govt Securities</v>
          </cell>
        </row>
      </sheetData>
      <sheetData sheetId="10640">
        <row r="34">
          <cell r="A34" t="str">
            <v>Investments Govt Securities</v>
          </cell>
        </row>
      </sheetData>
      <sheetData sheetId="10641">
        <row r="34">
          <cell r="A34" t="str">
            <v>Investments Govt Securities</v>
          </cell>
        </row>
      </sheetData>
      <sheetData sheetId="10642">
        <row r="34">
          <cell r="A34" t="str">
            <v>Investments Govt Securities</v>
          </cell>
        </row>
      </sheetData>
      <sheetData sheetId="10643">
        <row r="34">
          <cell r="A34" t="str">
            <v>Investments Govt Securities</v>
          </cell>
        </row>
      </sheetData>
      <sheetData sheetId="10644">
        <row r="34">
          <cell r="A34" t="str">
            <v>Investments Govt Securities</v>
          </cell>
        </row>
      </sheetData>
      <sheetData sheetId="10645">
        <row r="34">
          <cell r="A34" t="str">
            <v>Investments Govt Securities</v>
          </cell>
        </row>
      </sheetData>
      <sheetData sheetId="10646">
        <row r="34">
          <cell r="A34" t="str">
            <v>Investments Govt Securities</v>
          </cell>
        </row>
      </sheetData>
      <sheetData sheetId="10647">
        <row r="34">
          <cell r="A34" t="str">
            <v>Investments Govt Securities</v>
          </cell>
        </row>
      </sheetData>
      <sheetData sheetId="10648">
        <row r="34">
          <cell r="A34" t="str">
            <v>Investments Govt Securities</v>
          </cell>
        </row>
      </sheetData>
      <sheetData sheetId="10649">
        <row r="34">
          <cell r="A34" t="str">
            <v>Investments Govt Securities</v>
          </cell>
        </row>
      </sheetData>
      <sheetData sheetId="10650">
        <row r="34">
          <cell r="A34" t="str">
            <v>Investments Govt Securities</v>
          </cell>
        </row>
      </sheetData>
      <sheetData sheetId="10651">
        <row r="34">
          <cell r="A34" t="str">
            <v>Investments Govt Securities</v>
          </cell>
        </row>
      </sheetData>
      <sheetData sheetId="10652">
        <row r="34">
          <cell r="A34" t="str">
            <v>Investments Govt Securities</v>
          </cell>
        </row>
      </sheetData>
      <sheetData sheetId="10653">
        <row r="34">
          <cell r="A34" t="str">
            <v>Investments Govt Securities</v>
          </cell>
        </row>
      </sheetData>
      <sheetData sheetId="10654">
        <row r="34">
          <cell r="A34" t="str">
            <v>Investments Govt Securities</v>
          </cell>
        </row>
      </sheetData>
      <sheetData sheetId="10655">
        <row r="34">
          <cell r="A34" t="str">
            <v>Investments Govt Securities</v>
          </cell>
        </row>
      </sheetData>
      <sheetData sheetId="10656">
        <row r="34">
          <cell r="A34" t="str">
            <v>Investments Govt Securities</v>
          </cell>
        </row>
      </sheetData>
      <sheetData sheetId="10657">
        <row r="34">
          <cell r="A34" t="str">
            <v>Investments Govt Securities</v>
          </cell>
        </row>
      </sheetData>
      <sheetData sheetId="10658">
        <row r="34">
          <cell r="A34" t="str">
            <v>Investments Govt Securities</v>
          </cell>
        </row>
      </sheetData>
      <sheetData sheetId="10659">
        <row r="34">
          <cell r="A34" t="str">
            <v>Investments Govt Securities</v>
          </cell>
        </row>
      </sheetData>
      <sheetData sheetId="10660">
        <row r="34">
          <cell r="A34" t="str">
            <v>Investments Govt Securities</v>
          </cell>
        </row>
      </sheetData>
      <sheetData sheetId="10661">
        <row r="34">
          <cell r="A34" t="str">
            <v>Investments Govt Securities</v>
          </cell>
        </row>
      </sheetData>
      <sheetData sheetId="10662">
        <row r="34">
          <cell r="A34" t="str">
            <v>Investments Govt Securities</v>
          </cell>
        </row>
      </sheetData>
      <sheetData sheetId="10663">
        <row r="34">
          <cell r="A34" t="str">
            <v>Investments Govt Securities</v>
          </cell>
        </row>
      </sheetData>
      <sheetData sheetId="10664">
        <row r="34">
          <cell r="A34" t="str">
            <v>Investments Govt Securities</v>
          </cell>
        </row>
      </sheetData>
      <sheetData sheetId="10665">
        <row r="34">
          <cell r="A34" t="str">
            <v>Investments Govt Securities</v>
          </cell>
        </row>
      </sheetData>
      <sheetData sheetId="10666">
        <row r="34">
          <cell r="A34" t="str">
            <v>Investments Govt Securities</v>
          </cell>
        </row>
      </sheetData>
      <sheetData sheetId="10667">
        <row r="34">
          <cell r="A34" t="str">
            <v>Investments Govt Securities</v>
          </cell>
        </row>
      </sheetData>
      <sheetData sheetId="10668">
        <row r="34">
          <cell r="A34" t="str">
            <v>Investments Govt Securities</v>
          </cell>
        </row>
      </sheetData>
      <sheetData sheetId="10669">
        <row r="34">
          <cell r="A34" t="str">
            <v>Investments Govt Securities</v>
          </cell>
        </row>
      </sheetData>
      <sheetData sheetId="10670">
        <row r="34">
          <cell r="A34" t="str">
            <v>Investments Govt Securities</v>
          </cell>
        </row>
      </sheetData>
      <sheetData sheetId="10671">
        <row r="34">
          <cell r="A34" t="str">
            <v>Investments Govt Securities</v>
          </cell>
        </row>
      </sheetData>
      <sheetData sheetId="10672">
        <row r="34">
          <cell r="A34" t="str">
            <v>Investments Govt Securities</v>
          </cell>
        </row>
      </sheetData>
      <sheetData sheetId="10673">
        <row r="34">
          <cell r="A34" t="str">
            <v>Investments Govt Securities</v>
          </cell>
        </row>
      </sheetData>
      <sheetData sheetId="10674">
        <row r="34">
          <cell r="A34" t="str">
            <v>Investments Govt Securities</v>
          </cell>
        </row>
      </sheetData>
      <sheetData sheetId="10675">
        <row r="34">
          <cell r="A34" t="str">
            <v>Investments Govt Securities</v>
          </cell>
        </row>
      </sheetData>
      <sheetData sheetId="10676">
        <row r="34">
          <cell r="A34" t="str">
            <v>Investments Govt Securities</v>
          </cell>
        </row>
      </sheetData>
      <sheetData sheetId="10677">
        <row r="34">
          <cell r="A34" t="str">
            <v>Investments Govt Securities</v>
          </cell>
        </row>
      </sheetData>
      <sheetData sheetId="10678">
        <row r="34">
          <cell r="A34" t="str">
            <v>Investments Govt Securities</v>
          </cell>
        </row>
      </sheetData>
      <sheetData sheetId="10679">
        <row r="34">
          <cell r="A34" t="str">
            <v>Investments Govt Securities</v>
          </cell>
        </row>
      </sheetData>
      <sheetData sheetId="10680">
        <row r="34">
          <cell r="A34" t="str">
            <v>Investments Govt Securities</v>
          </cell>
        </row>
      </sheetData>
      <sheetData sheetId="10681">
        <row r="34">
          <cell r="A34" t="str">
            <v>Investments Govt Securities</v>
          </cell>
        </row>
      </sheetData>
      <sheetData sheetId="10682">
        <row r="34">
          <cell r="A34" t="str">
            <v>Investments Govt Securities</v>
          </cell>
        </row>
      </sheetData>
      <sheetData sheetId="10683">
        <row r="34">
          <cell r="A34" t="str">
            <v>Investments Govt Securities</v>
          </cell>
        </row>
      </sheetData>
      <sheetData sheetId="10684">
        <row r="34">
          <cell r="A34" t="str">
            <v>Investments Govt Securities</v>
          </cell>
        </row>
      </sheetData>
      <sheetData sheetId="10685">
        <row r="34">
          <cell r="A34" t="str">
            <v>Investments Govt Securities</v>
          </cell>
        </row>
      </sheetData>
      <sheetData sheetId="10686">
        <row r="34">
          <cell r="A34" t="str">
            <v>Investments Govt Securities</v>
          </cell>
        </row>
      </sheetData>
      <sheetData sheetId="10687">
        <row r="34">
          <cell r="A34" t="str">
            <v>Investments Govt Securities</v>
          </cell>
        </row>
      </sheetData>
      <sheetData sheetId="10688">
        <row r="34">
          <cell r="A34" t="str">
            <v>Investments Govt Securities</v>
          </cell>
        </row>
      </sheetData>
      <sheetData sheetId="10689">
        <row r="34">
          <cell r="A34" t="str">
            <v>Investments Govt Securities</v>
          </cell>
        </row>
      </sheetData>
      <sheetData sheetId="10690">
        <row r="34">
          <cell r="A34" t="str">
            <v>Investments Govt Securities</v>
          </cell>
        </row>
      </sheetData>
      <sheetData sheetId="10691">
        <row r="34">
          <cell r="A34" t="str">
            <v>Investments Govt Securities</v>
          </cell>
        </row>
      </sheetData>
      <sheetData sheetId="10692">
        <row r="34">
          <cell r="A34" t="str">
            <v>Investments Govt Securities</v>
          </cell>
        </row>
      </sheetData>
      <sheetData sheetId="10693">
        <row r="34">
          <cell r="A34" t="str">
            <v>Investments Govt Securities</v>
          </cell>
        </row>
      </sheetData>
      <sheetData sheetId="10694">
        <row r="34">
          <cell r="A34" t="str">
            <v>Investments Govt Securities</v>
          </cell>
        </row>
      </sheetData>
      <sheetData sheetId="10695">
        <row r="34">
          <cell r="A34" t="str">
            <v>Investments Govt Securities</v>
          </cell>
        </row>
      </sheetData>
      <sheetData sheetId="10696">
        <row r="34">
          <cell r="A34" t="str">
            <v>Investments Govt Securities</v>
          </cell>
        </row>
      </sheetData>
      <sheetData sheetId="10697">
        <row r="34">
          <cell r="A34" t="str">
            <v>Investments Govt Securities</v>
          </cell>
        </row>
      </sheetData>
      <sheetData sheetId="10698">
        <row r="34">
          <cell r="A34" t="str">
            <v>Investments Govt Securities</v>
          </cell>
        </row>
      </sheetData>
      <sheetData sheetId="10699">
        <row r="34">
          <cell r="A34" t="str">
            <v>Investments Govt Securities</v>
          </cell>
        </row>
      </sheetData>
      <sheetData sheetId="10700">
        <row r="34">
          <cell r="A34" t="str">
            <v>Investments Govt Securities</v>
          </cell>
        </row>
      </sheetData>
      <sheetData sheetId="10701">
        <row r="34">
          <cell r="A34" t="str">
            <v>Investments Govt Securities</v>
          </cell>
        </row>
      </sheetData>
      <sheetData sheetId="10702">
        <row r="34">
          <cell r="A34" t="str">
            <v>Investments Govt Securities</v>
          </cell>
        </row>
      </sheetData>
      <sheetData sheetId="10703">
        <row r="34">
          <cell r="A34" t="str">
            <v>Investments Govt Securities</v>
          </cell>
        </row>
      </sheetData>
      <sheetData sheetId="10704">
        <row r="34">
          <cell r="A34" t="str">
            <v>Investments Govt Securities</v>
          </cell>
        </row>
      </sheetData>
      <sheetData sheetId="10705">
        <row r="34">
          <cell r="A34" t="str">
            <v>Investments Govt Securities</v>
          </cell>
        </row>
      </sheetData>
      <sheetData sheetId="10706">
        <row r="34">
          <cell r="A34" t="str">
            <v>Investments Govt Securities</v>
          </cell>
        </row>
      </sheetData>
      <sheetData sheetId="10707">
        <row r="34">
          <cell r="A34" t="str">
            <v>Investments Govt Securities</v>
          </cell>
        </row>
      </sheetData>
      <sheetData sheetId="10708">
        <row r="34">
          <cell r="A34" t="str">
            <v>Investments Govt Securities</v>
          </cell>
        </row>
      </sheetData>
      <sheetData sheetId="10709">
        <row r="34">
          <cell r="A34" t="str">
            <v>Investments Govt Securities</v>
          </cell>
        </row>
      </sheetData>
      <sheetData sheetId="10710">
        <row r="34">
          <cell r="A34" t="str">
            <v>Investments Govt Securities</v>
          </cell>
        </row>
      </sheetData>
      <sheetData sheetId="10711">
        <row r="34">
          <cell r="A34" t="str">
            <v>Investments Govt Securities</v>
          </cell>
        </row>
      </sheetData>
      <sheetData sheetId="10712">
        <row r="34">
          <cell r="A34" t="str">
            <v>Investments Govt Securities</v>
          </cell>
        </row>
      </sheetData>
      <sheetData sheetId="10713">
        <row r="34">
          <cell r="A34" t="str">
            <v>Investments Govt Securities</v>
          </cell>
        </row>
      </sheetData>
      <sheetData sheetId="10714">
        <row r="34">
          <cell r="A34" t="str">
            <v>Investments Govt Securities</v>
          </cell>
        </row>
      </sheetData>
      <sheetData sheetId="10715">
        <row r="34">
          <cell r="A34" t="str">
            <v>Investments Govt Securities</v>
          </cell>
        </row>
      </sheetData>
      <sheetData sheetId="10716">
        <row r="34">
          <cell r="A34" t="str">
            <v>Investments Govt Securities</v>
          </cell>
        </row>
      </sheetData>
      <sheetData sheetId="10717">
        <row r="34">
          <cell r="A34" t="str">
            <v>Investments Govt Securities</v>
          </cell>
        </row>
      </sheetData>
      <sheetData sheetId="10718">
        <row r="34">
          <cell r="A34" t="str">
            <v>Investments Govt Securities</v>
          </cell>
        </row>
      </sheetData>
      <sheetData sheetId="10719">
        <row r="34">
          <cell r="A34" t="str">
            <v>Investments Govt Securities</v>
          </cell>
        </row>
      </sheetData>
      <sheetData sheetId="10720">
        <row r="34">
          <cell r="A34" t="str">
            <v>Investments Govt Securities</v>
          </cell>
        </row>
      </sheetData>
      <sheetData sheetId="10721">
        <row r="34">
          <cell r="A34" t="str">
            <v>Investments Govt Securities</v>
          </cell>
        </row>
      </sheetData>
      <sheetData sheetId="10722">
        <row r="34">
          <cell r="A34" t="str">
            <v>Investments Govt Securities</v>
          </cell>
        </row>
      </sheetData>
      <sheetData sheetId="10723">
        <row r="34">
          <cell r="A34" t="str">
            <v>Investments Govt Securities</v>
          </cell>
        </row>
      </sheetData>
      <sheetData sheetId="10724">
        <row r="34">
          <cell r="A34" t="str">
            <v>Investments Govt Securities</v>
          </cell>
        </row>
      </sheetData>
      <sheetData sheetId="10725">
        <row r="34">
          <cell r="A34" t="str">
            <v>Investments Govt Securities</v>
          </cell>
        </row>
      </sheetData>
      <sheetData sheetId="10726">
        <row r="34">
          <cell r="A34" t="str">
            <v>Investments Govt Securities</v>
          </cell>
        </row>
      </sheetData>
      <sheetData sheetId="10727">
        <row r="34">
          <cell r="A34" t="str">
            <v>Investments Govt Securities</v>
          </cell>
        </row>
      </sheetData>
      <sheetData sheetId="10728">
        <row r="34">
          <cell r="A34" t="str">
            <v>Investments Govt Securities</v>
          </cell>
        </row>
      </sheetData>
      <sheetData sheetId="10729">
        <row r="34">
          <cell r="A34" t="str">
            <v>Investments Govt Securities</v>
          </cell>
        </row>
      </sheetData>
      <sheetData sheetId="10730">
        <row r="34">
          <cell r="A34" t="str">
            <v>Investments Govt Securities</v>
          </cell>
        </row>
      </sheetData>
      <sheetData sheetId="10731">
        <row r="34">
          <cell r="A34" t="str">
            <v>Investments Govt Securities</v>
          </cell>
        </row>
      </sheetData>
      <sheetData sheetId="10732">
        <row r="34">
          <cell r="A34" t="str">
            <v>Investments Govt Securities</v>
          </cell>
        </row>
      </sheetData>
      <sheetData sheetId="10733">
        <row r="34">
          <cell r="A34" t="str">
            <v>Investments Govt Securities</v>
          </cell>
        </row>
      </sheetData>
      <sheetData sheetId="10734">
        <row r="34">
          <cell r="A34" t="str">
            <v>Investments Govt Securities</v>
          </cell>
        </row>
      </sheetData>
      <sheetData sheetId="10735">
        <row r="34">
          <cell r="A34" t="str">
            <v>Investments Govt Securities</v>
          </cell>
        </row>
      </sheetData>
      <sheetData sheetId="10736">
        <row r="34">
          <cell r="A34" t="str">
            <v>Investments Govt Securities</v>
          </cell>
        </row>
      </sheetData>
      <sheetData sheetId="10737">
        <row r="34">
          <cell r="A34" t="str">
            <v>Investments Govt Securities</v>
          </cell>
        </row>
      </sheetData>
      <sheetData sheetId="10738">
        <row r="34">
          <cell r="A34" t="str">
            <v>Investments Govt Securities</v>
          </cell>
        </row>
      </sheetData>
      <sheetData sheetId="10739">
        <row r="34">
          <cell r="A34" t="str">
            <v>Investments Govt Securities</v>
          </cell>
        </row>
      </sheetData>
      <sheetData sheetId="10740">
        <row r="34">
          <cell r="A34" t="str">
            <v>Investments Govt Securities</v>
          </cell>
        </row>
      </sheetData>
      <sheetData sheetId="10741">
        <row r="34">
          <cell r="A34" t="str">
            <v>Investments Govt Securities</v>
          </cell>
        </row>
      </sheetData>
      <sheetData sheetId="10742">
        <row r="34">
          <cell r="A34" t="str">
            <v>Investments Govt Securities</v>
          </cell>
        </row>
      </sheetData>
      <sheetData sheetId="10743">
        <row r="34">
          <cell r="A34" t="str">
            <v>Investments Govt Securities</v>
          </cell>
        </row>
      </sheetData>
      <sheetData sheetId="10744">
        <row r="34">
          <cell r="A34" t="str">
            <v>Investments Govt Securities</v>
          </cell>
        </row>
      </sheetData>
      <sheetData sheetId="10745">
        <row r="34">
          <cell r="A34" t="str">
            <v>Investments Govt Securities</v>
          </cell>
        </row>
      </sheetData>
      <sheetData sheetId="10746">
        <row r="34">
          <cell r="A34" t="str">
            <v>Investments Govt Securities</v>
          </cell>
        </row>
      </sheetData>
      <sheetData sheetId="10747">
        <row r="34">
          <cell r="A34" t="str">
            <v>Investments Govt Securities</v>
          </cell>
        </row>
      </sheetData>
      <sheetData sheetId="10748">
        <row r="34">
          <cell r="A34" t="str">
            <v>Investments Govt Securities</v>
          </cell>
        </row>
      </sheetData>
      <sheetData sheetId="10749">
        <row r="34">
          <cell r="A34" t="str">
            <v>Investments Govt Securities</v>
          </cell>
        </row>
      </sheetData>
      <sheetData sheetId="10750">
        <row r="34">
          <cell r="A34" t="str">
            <v>Investments Govt Securities</v>
          </cell>
        </row>
      </sheetData>
      <sheetData sheetId="10751">
        <row r="34">
          <cell r="A34" t="str">
            <v>Investments Govt Securities</v>
          </cell>
        </row>
      </sheetData>
      <sheetData sheetId="10752">
        <row r="34">
          <cell r="A34" t="str">
            <v>Investments Govt Securities</v>
          </cell>
        </row>
      </sheetData>
      <sheetData sheetId="10753">
        <row r="34">
          <cell r="A34" t="str">
            <v>Investments Govt Securities</v>
          </cell>
        </row>
      </sheetData>
      <sheetData sheetId="10754">
        <row r="34">
          <cell r="A34" t="str">
            <v>Investments Govt Securities</v>
          </cell>
        </row>
      </sheetData>
      <sheetData sheetId="10755">
        <row r="34">
          <cell r="A34" t="str">
            <v>Investments Govt Securities</v>
          </cell>
        </row>
      </sheetData>
      <sheetData sheetId="10756">
        <row r="34">
          <cell r="A34" t="str">
            <v>Investments Govt Securities</v>
          </cell>
        </row>
      </sheetData>
      <sheetData sheetId="10757">
        <row r="34">
          <cell r="A34" t="str">
            <v>Investments Govt Securities</v>
          </cell>
        </row>
      </sheetData>
      <sheetData sheetId="10758">
        <row r="34">
          <cell r="A34" t="str">
            <v>Investments Govt Securities</v>
          </cell>
        </row>
      </sheetData>
      <sheetData sheetId="10759">
        <row r="34">
          <cell r="A34" t="str">
            <v>Investments Govt Securities</v>
          </cell>
        </row>
      </sheetData>
      <sheetData sheetId="10760">
        <row r="34">
          <cell r="A34" t="str">
            <v>Investments Govt Securities</v>
          </cell>
        </row>
      </sheetData>
      <sheetData sheetId="10761">
        <row r="34">
          <cell r="A34" t="str">
            <v>Investments Govt Securities</v>
          </cell>
        </row>
      </sheetData>
      <sheetData sheetId="10762">
        <row r="34">
          <cell r="A34" t="str">
            <v>Investments Govt Securities</v>
          </cell>
        </row>
      </sheetData>
      <sheetData sheetId="10763">
        <row r="34">
          <cell r="A34" t="str">
            <v>Investments Govt Securities</v>
          </cell>
        </row>
      </sheetData>
      <sheetData sheetId="10764">
        <row r="34">
          <cell r="A34" t="str">
            <v>Investments Govt Securities</v>
          </cell>
        </row>
      </sheetData>
      <sheetData sheetId="10765">
        <row r="34">
          <cell r="A34" t="str">
            <v>Investments Govt Securities</v>
          </cell>
        </row>
      </sheetData>
      <sheetData sheetId="10766">
        <row r="34">
          <cell r="A34" t="str">
            <v>Investments Govt Securities</v>
          </cell>
        </row>
      </sheetData>
      <sheetData sheetId="10767">
        <row r="34">
          <cell r="A34" t="str">
            <v>Investments Govt Securities</v>
          </cell>
        </row>
      </sheetData>
      <sheetData sheetId="10768">
        <row r="34">
          <cell r="A34" t="str">
            <v>Investments Govt Securities</v>
          </cell>
        </row>
      </sheetData>
      <sheetData sheetId="10769">
        <row r="34">
          <cell r="A34" t="str">
            <v>Investments Govt Securities</v>
          </cell>
        </row>
      </sheetData>
      <sheetData sheetId="10770">
        <row r="34">
          <cell r="A34" t="str">
            <v>Investments Govt Securities</v>
          </cell>
        </row>
      </sheetData>
      <sheetData sheetId="10771">
        <row r="34">
          <cell r="A34" t="str">
            <v>Investments Govt Securities</v>
          </cell>
        </row>
      </sheetData>
      <sheetData sheetId="10772">
        <row r="34">
          <cell r="A34" t="str">
            <v>Investments Govt Securities</v>
          </cell>
        </row>
      </sheetData>
      <sheetData sheetId="10773">
        <row r="34">
          <cell r="A34" t="str">
            <v>Investments Govt Securities</v>
          </cell>
        </row>
      </sheetData>
      <sheetData sheetId="10774">
        <row r="34">
          <cell r="A34" t="str">
            <v>Investments Govt Securities</v>
          </cell>
        </row>
      </sheetData>
      <sheetData sheetId="10775">
        <row r="34">
          <cell r="A34" t="str">
            <v>Investments Govt Securities</v>
          </cell>
        </row>
      </sheetData>
      <sheetData sheetId="10776">
        <row r="34">
          <cell r="A34" t="str">
            <v>Investments Govt Securities</v>
          </cell>
        </row>
      </sheetData>
      <sheetData sheetId="10777">
        <row r="34">
          <cell r="A34" t="str">
            <v>Investments Govt Securities</v>
          </cell>
        </row>
      </sheetData>
      <sheetData sheetId="10778">
        <row r="34">
          <cell r="A34" t="str">
            <v>Investments Govt Securities</v>
          </cell>
        </row>
      </sheetData>
      <sheetData sheetId="10779">
        <row r="34">
          <cell r="A34" t="str">
            <v>Investments Govt Securities</v>
          </cell>
        </row>
      </sheetData>
      <sheetData sheetId="10780">
        <row r="34">
          <cell r="A34" t="str">
            <v>Investments Govt Securities</v>
          </cell>
        </row>
      </sheetData>
      <sheetData sheetId="10781">
        <row r="34">
          <cell r="A34" t="str">
            <v>Investments Govt Securities</v>
          </cell>
        </row>
      </sheetData>
      <sheetData sheetId="10782">
        <row r="34">
          <cell r="A34" t="str">
            <v>Investments Govt Securities</v>
          </cell>
        </row>
      </sheetData>
      <sheetData sheetId="10783">
        <row r="34">
          <cell r="A34" t="str">
            <v>Investments Govt Securities</v>
          </cell>
        </row>
      </sheetData>
      <sheetData sheetId="10784">
        <row r="34">
          <cell r="A34" t="str">
            <v>Investments Govt Securities</v>
          </cell>
        </row>
      </sheetData>
      <sheetData sheetId="10785">
        <row r="34">
          <cell r="A34" t="str">
            <v>Investments Govt Securities</v>
          </cell>
        </row>
      </sheetData>
      <sheetData sheetId="10786">
        <row r="34">
          <cell r="A34" t="str">
            <v>Investments Govt Securities</v>
          </cell>
        </row>
      </sheetData>
      <sheetData sheetId="10787">
        <row r="34">
          <cell r="A34" t="str">
            <v>Investments Govt Securities</v>
          </cell>
        </row>
      </sheetData>
      <sheetData sheetId="10788">
        <row r="34">
          <cell r="A34" t="str">
            <v>Investments Govt Securities</v>
          </cell>
        </row>
      </sheetData>
      <sheetData sheetId="10789">
        <row r="34">
          <cell r="A34" t="str">
            <v>Investments Govt Securities</v>
          </cell>
        </row>
      </sheetData>
      <sheetData sheetId="10790">
        <row r="34">
          <cell r="A34" t="str">
            <v>Investments Govt Securities</v>
          </cell>
        </row>
      </sheetData>
      <sheetData sheetId="10791">
        <row r="34">
          <cell r="A34" t="str">
            <v>Investments Govt Securities</v>
          </cell>
        </row>
      </sheetData>
      <sheetData sheetId="10792">
        <row r="34">
          <cell r="A34" t="str">
            <v>Investments Govt Securities</v>
          </cell>
        </row>
      </sheetData>
      <sheetData sheetId="10793">
        <row r="34">
          <cell r="A34" t="str">
            <v>Investments Govt Securities</v>
          </cell>
        </row>
      </sheetData>
      <sheetData sheetId="10794">
        <row r="34">
          <cell r="A34" t="str">
            <v>Investments Govt Securities</v>
          </cell>
        </row>
      </sheetData>
      <sheetData sheetId="10795">
        <row r="34">
          <cell r="A34" t="str">
            <v>Investments Govt Securities</v>
          </cell>
        </row>
      </sheetData>
      <sheetData sheetId="10796">
        <row r="34">
          <cell r="A34" t="str">
            <v>Investments Govt Securities</v>
          </cell>
        </row>
      </sheetData>
      <sheetData sheetId="10797">
        <row r="34">
          <cell r="A34" t="str">
            <v>Investments Govt Securities</v>
          </cell>
        </row>
      </sheetData>
      <sheetData sheetId="10798">
        <row r="34">
          <cell r="A34" t="str">
            <v>Investments Govt Securities</v>
          </cell>
        </row>
      </sheetData>
      <sheetData sheetId="10799">
        <row r="34">
          <cell r="A34" t="str">
            <v>Investments Govt Securities</v>
          </cell>
        </row>
      </sheetData>
      <sheetData sheetId="10800">
        <row r="34">
          <cell r="A34" t="str">
            <v>Investments Govt Securities</v>
          </cell>
        </row>
      </sheetData>
      <sheetData sheetId="10801">
        <row r="34">
          <cell r="A34" t="str">
            <v>Investments Govt Securities</v>
          </cell>
        </row>
      </sheetData>
      <sheetData sheetId="10802">
        <row r="34">
          <cell r="A34" t="str">
            <v>Investments Govt Securities</v>
          </cell>
        </row>
      </sheetData>
      <sheetData sheetId="10803">
        <row r="34">
          <cell r="A34" t="str">
            <v>Investments Govt Securities</v>
          </cell>
        </row>
      </sheetData>
      <sheetData sheetId="10804">
        <row r="34">
          <cell r="A34" t="str">
            <v>Investments Govt Securities</v>
          </cell>
        </row>
      </sheetData>
      <sheetData sheetId="10805">
        <row r="34">
          <cell r="A34" t="str">
            <v>Investments Govt Securities</v>
          </cell>
        </row>
      </sheetData>
      <sheetData sheetId="10806">
        <row r="34">
          <cell r="A34" t="str">
            <v>Investments Govt Securities</v>
          </cell>
        </row>
      </sheetData>
      <sheetData sheetId="10807">
        <row r="34">
          <cell r="A34" t="str">
            <v>Investments Govt Securities</v>
          </cell>
        </row>
      </sheetData>
      <sheetData sheetId="10808">
        <row r="34">
          <cell r="A34" t="str">
            <v>Investments Govt Securities</v>
          </cell>
        </row>
      </sheetData>
      <sheetData sheetId="10809">
        <row r="34">
          <cell r="A34" t="str">
            <v>Investments Govt Securities</v>
          </cell>
        </row>
      </sheetData>
      <sheetData sheetId="10810">
        <row r="34">
          <cell r="A34" t="str">
            <v>Investments Govt Securities</v>
          </cell>
        </row>
      </sheetData>
      <sheetData sheetId="10811">
        <row r="34">
          <cell r="A34" t="str">
            <v>Investments Govt Securities</v>
          </cell>
        </row>
      </sheetData>
      <sheetData sheetId="10812">
        <row r="34">
          <cell r="A34" t="str">
            <v>Investments Govt Securities</v>
          </cell>
        </row>
      </sheetData>
      <sheetData sheetId="10813">
        <row r="34">
          <cell r="A34" t="str">
            <v>Investments Govt Securities</v>
          </cell>
        </row>
      </sheetData>
      <sheetData sheetId="10814">
        <row r="34">
          <cell r="A34" t="str">
            <v>Investments Govt Securities</v>
          </cell>
        </row>
      </sheetData>
      <sheetData sheetId="10815">
        <row r="34">
          <cell r="A34" t="str">
            <v>Investments Govt Securities</v>
          </cell>
        </row>
      </sheetData>
      <sheetData sheetId="10816">
        <row r="34">
          <cell r="A34" t="str">
            <v>Investments Govt Securities</v>
          </cell>
        </row>
      </sheetData>
      <sheetData sheetId="10817">
        <row r="34">
          <cell r="A34" t="str">
            <v>Investments Govt Securities</v>
          </cell>
        </row>
      </sheetData>
      <sheetData sheetId="10818">
        <row r="34">
          <cell r="A34" t="str">
            <v>Investments Govt Securities</v>
          </cell>
        </row>
      </sheetData>
      <sheetData sheetId="10819">
        <row r="34">
          <cell r="A34" t="str">
            <v>Investments Govt Securities</v>
          </cell>
        </row>
      </sheetData>
      <sheetData sheetId="10820">
        <row r="34">
          <cell r="A34" t="str">
            <v>Investments Govt Securities</v>
          </cell>
        </row>
      </sheetData>
      <sheetData sheetId="10821">
        <row r="34">
          <cell r="A34" t="str">
            <v>Investments Govt Securities</v>
          </cell>
        </row>
      </sheetData>
      <sheetData sheetId="10822">
        <row r="34">
          <cell r="A34" t="str">
            <v>Investments Govt Securities</v>
          </cell>
        </row>
      </sheetData>
      <sheetData sheetId="10823">
        <row r="34">
          <cell r="A34" t="str">
            <v>Investments Govt Securities</v>
          </cell>
        </row>
      </sheetData>
      <sheetData sheetId="10824">
        <row r="34">
          <cell r="A34" t="str">
            <v>Investments Govt Securities</v>
          </cell>
        </row>
      </sheetData>
      <sheetData sheetId="10825">
        <row r="34">
          <cell r="A34" t="str">
            <v>Investments Govt Securities</v>
          </cell>
        </row>
      </sheetData>
      <sheetData sheetId="10826">
        <row r="34">
          <cell r="A34" t="str">
            <v>Investments Govt Securities</v>
          </cell>
        </row>
      </sheetData>
      <sheetData sheetId="10827">
        <row r="34">
          <cell r="A34" t="str">
            <v>Investments Govt Securities</v>
          </cell>
        </row>
      </sheetData>
      <sheetData sheetId="10828">
        <row r="34">
          <cell r="A34" t="str">
            <v>Investments Govt Securities</v>
          </cell>
        </row>
      </sheetData>
      <sheetData sheetId="10829">
        <row r="34">
          <cell r="A34" t="str">
            <v>Investments Govt Securities</v>
          </cell>
        </row>
      </sheetData>
      <sheetData sheetId="10830">
        <row r="34">
          <cell r="A34" t="str">
            <v>Investments Govt Securities</v>
          </cell>
        </row>
      </sheetData>
      <sheetData sheetId="10831">
        <row r="34">
          <cell r="A34" t="str">
            <v>Investments Govt Securities</v>
          </cell>
        </row>
      </sheetData>
      <sheetData sheetId="10832">
        <row r="34">
          <cell r="A34" t="str">
            <v>Investments Govt Securities</v>
          </cell>
        </row>
      </sheetData>
      <sheetData sheetId="10833">
        <row r="34">
          <cell r="A34" t="str">
            <v>Investments Govt Securities</v>
          </cell>
        </row>
      </sheetData>
      <sheetData sheetId="10834">
        <row r="34">
          <cell r="A34" t="str">
            <v>Investments Govt Securities</v>
          </cell>
        </row>
      </sheetData>
      <sheetData sheetId="10835">
        <row r="34">
          <cell r="A34" t="str">
            <v>Investments Govt Securities</v>
          </cell>
        </row>
      </sheetData>
      <sheetData sheetId="10836">
        <row r="34">
          <cell r="A34" t="str">
            <v>Investments Govt Securities</v>
          </cell>
        </row>
      </sheetData>
      <sheetData sheetId="10837">
        <row r="34">
          <cell r="A34" t="str">
            <v>Investments Govt Securities</v>
          </cell>
        </row>
      </sheetData>
      <sheetData sheetId="10838">
        <row r="34">
          <cell r="A34" t="str">
            <v>Investments Govt Securities</v>
          </cell>
        </row>
      </sheetData>
      <sheetData sheetId="10839">
        <row r="34">
          <cell r="A34" t="str">
            <v>Investments Govt Securities</v>
          </cell>
        </row>
      </sheetData>
      <sheetData sheetId="10840">
        <row r="34">
          <cell r="A34" t="str">
            <v>Investments Govt Securities</v>
          </cell>
        </row>
      </sheetData>
      <sheetData sheetId="10841">
        <row r="34">
          <cell r="A34" t="str">
            <v>Investments Govt Securities</v>
          </cell>
        </row>
      </sheetData>
      <sheetData sheetId="10842">
        <row r="34">
          <cell r="A34" t="str">
            <v>Investments Govt Securities</v>
          </cell>
        </row>
      </sheetData>
      <sheetData sheetId="10843">
        <row r="34">
          <cell r="A34" t="str">
            <v>Investments Govt Securities</v>
          </cell>
        </row>
      </sheetData>
      <sheetData sheetId="10844">
        <row r="34">
          <cell r="A34" t="str">
            <v>Investments Govt Securities</v>
          </cell>
        </row>
      </sheetData>
      <sheetData sheetId="10845">
        <row r="34">
          <cell r="A34" t="str">
            <v>Investments Govt Securities</v>
          </cell>
        </row>
      </sheetData>
      <sheetData sheetId="10846">
        <row r="34">
          <cell r="A34" t="str">
            <v>Investments Govt Securities</v>
          </cell>
        </row>
      </sheetData>
      <sheetData sheetId="10847">
        <row r="34">
          <cell r="A34" t="str">
            <v>Investments Govt Securities</v>
          </cell>
        </row>
      </sheetData>
      <sheetData sheetId="10848">
        <row r="34">
          <cell r="A34" t="str">
            <v>Investments Govt Securities</v>
          </cell>
        </row>
      </sheetData>
      <sheetData sheetId="10849">
        <row r="34">
          <cell r="A34" t="str">
            <v>Investments Govt Securities</v>
          </cell>
        </row>
      </sheetData>
      <sheetData sheetId="10850">
        <row r="34">
          <cell r="A34" t="str">
            <v>Investments Govt Securities</v>
          </cell>
        </row>
      </sheetData>
      <sheetData sheetId="10851">
        <row r="34">
          <cell r="A34" t="str">
            <v>Investments Govt Securities</v>
          </cell>
        </row>
      </sheetData>
      <sheetData sheetId="10852">
        <row r="34">
          <cell r="A34" t="str">
            <v>Investments Govt Securities</v>
          </cell>
        </row>
      </sheetData>
      <sheetData sheetId="10853">
        <row r="34">
          <cell r="A34" t="str">
            <v>Investments Govt Securities</v>
          </cell>
        </row>
      </sheetData>
      <sheetData sheetId="10854">
        <row r="34">
          <cell r="A34" t="str">
            <v>Investments Govt Securities</v>
          </cell>
        </row>
      </sheetData>
      <sheetData sheetId="10855">
        <row r="34">
          <cell r="A34" t="str">
            <v>Investments Govt Securities</v>
          </cell>
        </row>
      </sheetData>
      <sheetData sheetId="10856">
        <row r="34">
          <cell r="A34" t="str">
            <v>Investments Govt Securities</v>
          </cell>
        </row>
      </sheetData>
      <sheetData sheetId="10857">
        <row r="34">
          <cell r="A34" t="str">
            <v>Investments Govt Securities</v>
          </cell>
        </row>
      </sheetData>
      <sheetData sheetId="10858">
        <row r="34">
          <cell r="A34" t="str">
            <v>Investments Govt Securities</v>
          </cell>
        </row>
      </sheetData>
      <sheetData sheetId="10859">
        <row r="34">
          <cell r="A34" t="str">
            <v>Investments Govt Securities</v>
          </cell>
        </row>
      </sheetData>
      <sheetData sheetId="10860">
        <row r="34">
          <cell r="A34" t="str">
            <v>Investments Govt Securities</v>
          </cell>
        </row>
      </sheetData>
      <sheetData sheetId="10861">
        <row r="34">
          <cell r="A34" t="str">
            <v>Investments Govt Securities</v>
          </cell>
        </row>
      </sheetData>
      <sheetData sheetId="10862">
        <row r="34">
          <cell r="A34" t="str">
            <v>Investments Govt Securities</v>
          </cell>
        </row>
      </sheetData>
      <sheetData sheetId="10863">
        <row r="34">
          <cell r="A34" t="str">
            <v>Investments Govt Securities</v>
          </cell>
        </row>
      </sheetData>
      <sheetData sheetId="10864">
        <row r="34">
          <cell r="A34" t="str">
            <v>Investments Govt Securities</v>
          </cell>
        </row>
      </sheetData>
      <sheetData sheetId="10865">
        <row r="34">
          <cell r="A34" t="str">
            <v>Investments Govt Securities</v>
          </cell>
        </row>
      </sheetData>
      <sheetData sheetId="10866">
        <row r="34">
          <cell r="A34" t="str">
            <v>Investments Govt Securities</v>
          </cell>
        </row>
      </sheetData>
      <sheetData sheetId="10867">
        <row r="34">
          <cell r="A34" t="str">
            <v>Investments Govt Securities</v>
          </cell>
        </row>
      </sheetData>
      <sheetData sheetId="10868">
        <row r="34">
          <cell r="A34" t="str">
            <v>Investments Govt Securities</v>
          </cell>
        </row>
      </sheetData>
      <sheetData sheetId="10869">
        <row r="34">
          <cell r="A34" t="str">
            <v>Investments Govt Securities</v>
          </cell>
        </row>
      </sheetData>
      <sheetData sheetId="10870">
        <row r="34">
          <cell r="A34" t="str">
            <v>Investments Govt Securities</v>
          </cell>
        </row>
      </sheetData>
      <sheetData sheetId="10871">
        <row r="34">
          <cell r="A34" t="str">
            <v>Investments Govt Securities</v>
          </cell>
        </row>
      </sheetData>
      <sheetData sheetId="10872">
        <row r="34">
          <cell r="A34" t="str">
            <v>Investments Govt Securities</v>
          </cell>
        </row>
      </sheetData>
      <sheetData sheetId="10873">
        <row r="34">
          <cell r="A34" t="str">
            <v>Investments Govt Securities</v>
          </cell>
        </row>
      </sheetData>
      <sheetData sheetId="10874">
        <row r="34">
          <cell r="A34" t="str">
            <v>Investments Govt Securities</v>
          </cell>
        </row>
      </sheetData>
      <sheetData sheetId="10875">
        <row r="34">
          <cell r="A34" t="str">
            <v>Investments Govt Securities</v>
          </cell>
        </row>
      </sheetData>
      <sheetData sheetId="10876">
        <row r="34">
          <cell r="A34" t="str">
            <v>Investments Govt Securities</v>
          </cell>
        </row>
      </sheetData>
      <sheetData sheetId="10877">
        <row r="34">
          <cell r="A34" t="str">
            <v>Investments Govt Securities</v>
          </cell>
        </row>
      </sheetData>
      <sheetData sheetId="10878">
        <row r="34">
          <cell r="A34" t="str">
            <v>Investments Govt Securities</v>
          </cell>
        </row>
      </sheetData>
      <sheetData sheetId="10879">
        <row r="34">
          <cell r="A34" t="str">
            <v>Investments Govt Securities</v>
          </cell>
        </row>
      </sheetData>
      <sheetData sheetId="10880">
        <row r="34">
          <cell r="A34" t="str">
            <v>Investments Govt Securities</v>
          </cell>
        </row>
      </sheetData>
      <sheetData sheetId="10881">
        <row r="34">
          <cell r="A34" t="str">
            <v>Investments Govt Securities</v>
          </cell>
        </row>
      </sheetData>
      <sheetData sheetId="10882">
        <row r="34">
          <cell r="A34" t="str">
            <v>Investments Govt Securities</v>
          </cell>
        </row>
      </sheetData>
      <sheetData sheetId="10883">
        <row r="34">
          <cell r="A34" t="str">
            <v>Investments Govt Securities</v>
          </cell>
        </row>
      </sheetData>
      <sheetData sheetId="10884">
        <row r="34">
          <cell r="A34" t="str">
            <v>Investments Govt Securities</v>
          </cell>
        </row>
      </sheetData>
      <sheetData sheetId="10885">
        <row r="34">
          <cell r="A34" t="str">
            <v>Investments Govt Securities</v>
          </cell>
        </row>
      </sheetData>
      <sheetData sheetId="10886">
        <row r="34">
          <cell r="A34" t="str">
            <v>Investments Govt Securities</v>
          </cell>
        </row>
      </sheetData>
      <sheetData sheetId="10887">
        <row r="34">
          <cell r="A34" t="str">
            <v>Investments Govt Securities</v>
          </cell>
        </row>
      </sheetData>
      <sheetData sheetId="10888">
        <row r="34">
          <cell r="A34" t="str">
            <v>Investments Govt Securities</v>
          </cell>
        </row>
      </sheetData>
      <sheetData sheetId="10889">
        <row r="34">
          <cell r="A34" t="str">
            <v>Investments Govt Securities</v>
          </cell>
        </row>
      </sheetData>
      <sheetData sheetId="10890">
        <row r="34">
          <cell r="A34" t="str">
            <v>Investments Govt Securities</v>
          </cell>
        </row>
      </sheetData>
      <sheetData sheetId="10891">
        <row r="34">
          <cell r="A34" t="str">
            <v>Investments Govt Securities</v>
          </cell>
        </row>
      </sheetData>
      <sheetData sheetId="10892">
        <row r="34">
          <cell r="A34" t="str">
            <v>Investments Govt Securities</v>
          </cell>
        </row>
      </sheetData>
      <sheetData sheetId="10893">
        <row r="34">
          <cell r="A34" t="str">
            <v>Investments Govt Securities</v>
          </cell>
        </row>
      </sheetData>
      <sheetData sheetId="10894">
        <row r="34">
          <cell r="A34" t="str">
            <v>Investments Govt Securities</v>
          </cell>
        </row>
      </sheetData>
      <sheetData sheetId="10895">
        <row r="34">
          <cell r="A34" t="str">
            <v>Investments Govt Securities</v>
          </cell>
        </row>
      </sheetData>
      <sheetData sheetId="10896">
        <row r="34">
          <cell r="A34" t="str">
            <v>Investments Govt Securities</v>
          </cell>
        </row>
      </sheetData>
      <sheetData sheetId="10897">
        <row r="34">
          <cell r="A34" t="str">
            <v>Investments Govt Securities</v>
          </cell>
        </row>
      </sheetData>
      <sheetData sheetId="10898">
        <row r="34">
          <cell r="A34" t="str">
            <v>Investments Govt Securities</v>
          </cell>
        </row>
      </sheetData>
      <sheetData sheetId="10899">
        <row r="34">
          <cell r="A34" t="str">
            <v>Investments Govt Securities</v>
          </cell>
        </row>
      </sheetData>
      <sheetData sheetId="10900">
        <row r="34">
          <cell r="A34" t="str">
            <v>Investments Govt Securities</v>
          </cell>
        </row>
      </sheetData>
      <sheetData sheetId="10901">
        <row r="34">
          <cell r="A34" t="str">
            <v>Investments Govt Securities</v>
          </cell>
        </row>
      </sheetData>
      <sheetData sheetId="10902">
        <row r="34">
          <cell r="A34" t="str">
            <v>Investments Govt Securities</v>
          </cell>
        </row>
      </sheetData>
      <sheetData sheetId="10903">
        <row r="34">
          <cell r="A34" t="str">
            <v>Investments Govt Securities</v>
          </cell>
        </row>
      </sheetData>
      <sheetData sheetId="10904">
        <row r="34">
          <cell r="A34" t="str">
            <v>Investments Govt Securities</v>
          </cell>
        </row>
      </sheetData>
      <sheetData sheetId="10905">
        <row r="34">
          <cell r="A34" t="str">
            <v>Investments Govt Securities</v>
          </cell>
        </row>
      </sheetData>
      <sheetData sheetId="10906">
        <row r="34">
          <cell r="A34" t="str">
            <v>Investments Govt Securities</v>
          </cell>
        </row>
      </sheetData>
      <sheetData sheetId="10907">
        <row r="34">
          <cell r="A34" t="str">
            <v>Investments Govt Securities</v>
          </cell>
        </row>
      </sheetData>
      <sheetData sheetId="10908">
        <row r="34">
          <cell r="A34" t="str">
            <v>Investments Govt Securities</v>
          </cell>
        </row>
      </sheetData>
      <sheetData sheetId="10909">
        <row r="34">
          <cell r="A34" t="str">
            <v>Investments Govt Securities</v>
          </cell>
        </row>
      </sheetData>
      <sheetData sheetId="10910">
        <row r="34">
          <cell r="A34" t="str">
            <v>Investments Govt Securities</v>
          </cell>
        </row>
      </sheetData>
      <sheetData sheetId="10911">
        <row r="34">
          <cell r="A34" t="str">
            <v>Investments Govt Securities</v>
          </cell>
        </row>
      </sheetData>
      <sheetData sheetId="10912">
        <row r="34">
          <cell r="A34" t="str">
            <v>Investments Govt Securities</v>
          </cell>
        </row>
      </sheetData>
      <sheetData sheetId="10913">
        <row r="34">
          <cell r="A34" t="str">
            <v>Investments Govt Securities</v>
          </cell>
        </row>
      </sheetData>
      <sheetData sheetId="10914">
        <row r="34">
          <cell r="A34" t="str">
            <v>Investments Govt Securities</v>
          </cell>
        </row>
      </sheetData>
      <sheetData sheetId="10915">
        <row r="34">
          <cell r="A34" t="str">
            <v>Investments Govt Securities</v>
          </cell>
        </row>
      </sheetData>
      <sheetData sheetId="10916">
        <row r="34">
          <cell r="A34" t="str">
            <v>Investments Govt Securities</v>
          </cell>
        </row>
      </sheetData>
      <sheetData sheetId="10917">
        <row r="34">
          <cell r="A34" t="str">
            <v>Investments Govt Securities</v>
          </cell>
        </row>
      </sheetData>
      <sheetData sheetId="10918">
        <row r="34">
          <cell r="A34" t="str">
            <v>Investments Govt Securities</v>
          </cell>
        </row>
      </sheetData>
      <sheetData sheetId="10919">
        <row r="34">
          <cell r="A34" t="str">
            <v>Investments Govt Securities</v>
          </cell>
        </row>
      </sheetData>
      <sheetData sheetId="10920">
        <row r="34">
          <cell r="A34" t="str">
            <v>Investments Govt Securities</v>
          </cell>
        </row>
      </sheetData>
      <sheetData sheetId="10921">
        <row r="34">
          <cell r="A34" t="str">
            <v>Investments Govt Securities</v>
          </cell>
        </row>
      </sheetData>
      <sheetData sheetId="10922">
        <row r="34">
          <cell r="A34" t="str">
            <v>Investments Govt Securities</v>
          </cell>
        </row>
      </sheetData>
      <sheetData sheetId="10923">
        <row r="34">
          <cell r="A34" t="str">
            <v>Investments Govt Securities</v>
          </cell>
        </row>
      </sheetData>
      <sheetData sheetId="10924">
        <row r="34">
          <cell r="A34" t="str">
            <v>Investments Govt Securities</v>
          </cell>
        </row>
      </sheetData>
      <sheetData sheetId="10925">
        <row r="34">
          <cell r="A34" t="str">
            <v>Investments Govt Securities</v>
          </cell>
        </row>
      </sheetData>
      <sheetData sheetId="10926">
        <row r="34">
          <cell r="A34" t="str">
            <v>Investments Govt Securities</v>
          </cell>
        </row>
      </sheetData>
      <sheetData sheetId="10927">
        <row r="34">
          <cell r="A34" t="str">
            <v>Investments Govt Securities</v>
          </cell>
        </row>
      </sheetData>
      <sheetData sheetId="10928">
        <row r="34">
          <cell r="A34" t="str">
            <v>Investments Govt Securities</v>
          </cell>
        </row>
      </sheetData>
      <sheetData sheetId="10929">
        <row r="34">
          <cell r="A34" t="str">
            <v>Investments Govt Securities</v>
          </cell>
        </row>
      </sheetData>
      <sheetData sheetId="10930">
        <row r="34">
          <cell r="A34" t="str">
            <v>Investments Govt Securities</v>
          </cell>
        </row>
      </sheetData>
      <sheetData sheetId="10931">
        <row r="34">
          <cell r="A34" t="str">
            <v>Investments Govt Securities</v>
          </cell>
        </row>
      </sheetData>
      <sheetData sheetId="10932">
        <row r="34">
          <cell r="A34" t="str">
            <v>Investments Govt Securities</v>
          </cell>
        </row>
      </sheetData>
      <sheetData sheetId="10933">
        <row r="34">
          <cell r="A34" t="str">
            <v>Investments Govt Securities</v>
          </cell>
        </row>
      </sheetData>
      <sheetData sheetId="10934">
        <row r="34">
          <cell r="A34" t="str">
            <v>Investments Govt Securities</v>
          </cell>
        </row>
      </sheetData>
      <sheetData sheetId="10935">
        <row r="34">
          <cell r="A34" t="str">
            <v>Investments Govt Securities</v>
          </cell>
        </row>
      </sheetData>
      <sheetData sheetId="10936">
        <row r="34">
          <cell r="A34" t="str">
            <v>Investments Govt Securities</v>
          </cell>
        </row>
      </sheetData>
      <sheetData sheetId="10937">
        <row r="34">
          <cell r="A34" t="str">
            <v>Investments Govt Securities</v>
          </cell>
        </row>
      </sheetData>
      <sheetData sheetId="10938">
        <row r="34">
          <cell r="A34" t="str">
            <v>Investments Govt Securities</v>
          </cell>
        </row>
      </sheetData>
      <sheetData sheetId="10939">
        <row r="34">
          <cell r="A34" t="str">
            <v>Investments Govt Securities</v>
          </cell>
        </row>
      </sheetData>
      <sheetData sheetId="10940">
        <row r="34">
          <cell r="A34" t="str">
            <v>Investments Govt Securities</v>
          </cell>
        </row>
      </sheetData>
      <sheetData sheetId="10941">
        <row r="34">
          <cell r="A34" t="str">
            <v>Investments Govt Securities</v>
          </cell>
        </row>
      </sheetData>
      <sheetData sheetId="10942">
        <row r="34">
          <cell r="A34" t="str">
            <v>Investments Govt Securities</v>
          </cell>
        </row>
      </sheetData>
      <sheetData sheetId="10943">
        <row r="34">
          <cell r="A34" t="str">
            <v>Investments Govt Securities</v>
          </cell>
        </row>
      </sheetData>
      <sheetData sheetId="10944">
        <row r="34">
          <cell r="A34" t="str">
            <v>Investments Govt Securities</v>
          </cell>
        </row>
      </sheetData>
      <sheetData sheetId="10945">
        <row r="34">
          <cell r="A34" t="str">
            <v>Investments Govt Securities</v>
          </cell>
        </row>
      </sheetData>
      <sheetData sheetId="10946">
        <row r="34">
          <cell r="A34" t="str">
            <v>Investments Govt Securities</v>
          </cell>
        </row>
      </sheetData>
      <sheetData sheetId="10947">
        <row r="34">
          <cell r="A34" t="str">
            <v>Investments Govt Securities</v>
          </cell>
        </row>
      </sheetData>
      <sheetData sheetId="10948">
        <row r="34">
          <cell r="A34" t="str">
            <v>Investments Govt Securities</v>
          </cell>
        </row>
      </sheetData>
      <sheetData sheetId="10949">
        <row r="34">
          <cell r="A34" t="str">
            <v>Investments Govt Securities</v>
          </cell>
        </row>
      </sheetData>
      <sheetData sheetId="10950">
        <row r="34">
          <cell r="A34" t="str">
            <v>Investments Govt Securities</v>
          </cell>
        </row>
      </sheetData>
      <sheetData sheetId="10951">
        <row r="34">
          <cell r="A34" t="str">
            <v>Investments Govt Securities</v>
          </cell>
        </row>
      </sheetData>
      <sheetData sheetId="10952">
        <row r="34">
          <cell r="A34" t="str">
            <v>Investments Govt Securities</v>
          </cell>
        </row>
      </sheetData>
      <sheetData sheetId="10953">
        <row r="34">
          <cell r="A34" t="str">
            <v>Investments Govt Securities</v>
          </cell>
        </row>
      </sheetData>
      <sheetData sheetId="10954">
        <row r="34">
          <cell r="A34" t="str">
            <v>Investments Govt Securities</v>
          </cell>
        </row>
      </sheetData>
      <sheetData sheetId="10955">
        <row r="34">
          <cell r="A34" t="str">
            <v>Investments Govt Securities</v>
          </cell>
        </row>
      </sheetData>
      <sheetData sheetId="10956">
        <row r="34">
          <cell r="A34" t="str">
            <v>Investments Govt Securities</v>
          </cell>
        </row>
      </sheetData>
      <sheetData sheetId="10957">
        <row r="34">
          <cell r="A34" t="str">
            <v>Investments Govt Securities</v>
          </cell>
        </row>
      </sheetData>
      <sheetData sheetId="10958">
        <row r="34">
          <cell r="A34" t="str">
            <v>Investments Govt Securities</v>
          </cell>
        </row>
      </sheetData>
      <sheetData sheetId="10959">
        <row r="34">
          <cell r="A34" t="str">
            <v>Investments Govt Securities</v>
          </cell>
        </row>
      </sheetData>
      <sheetData sheetId="10960">
        <row r="34">
          <cell r="A34" t="str">
            <v>Investments Govt Securities</v>
          </cell>
        </row>
      </sheetData>
      <sheetData sheetId="10961">
        <row r="34">
          <cell r="A34" t="str">
            <v>Investments Govt Securities</v>
          </cell>
        </row>
      </sheetData>
      <sheetData sheetId="10962">
        <row r="34">
          <cell r="A34" t="str">
            <v>Investments Govt Securities</v>
          </cell>
        </row>
      </sheetData>
      <sheetData sheetId="10963">
        <row r="34">
          <cell r="A34" t="str">
            <v>Investments Govt Securities</v>
          </cell>
        </row>
      </sheetData>
      <sheetData sheetId="10964">
        <row r="34">
          <cell r="A34" t="str">
            <v>Investments Govt Securities</v>
          </cell>
        </row>
      </sheetData>
      <sheetData sheetId="10965">
        <row r="34">
          <cell r="A34" t="str">
            <v>Investments Govt Securities</v>
          </cell>
        </row>
      </sheetData>
      <sheetData sheetId="10966">
        <row r="34">
          <cell r="A34" t="str">
            <v>Investments Govt Securities</v>
          </cell>
        </row>
      </sheetData>
      <sheetData sheetId="10967">
        <row r="34">
          <cell r="A34" t="str">
            <v>Investments Govt Securities</v>
          </cell>
        </row>
      </sheetData>
      <sheetData sheetId="10968">
        <row r="34">
          <cell r="A34" t="str">
            <v>Investments Govt Securities</v>
          </cell>
        </row>
      </sheetData>
      <sheetData sheetId="10969">
        <row r="34">
          <cell r="A34" t="str">
            <v>Investments Govt Securities</v>
          </cell>
        </row>
      </sheetData>
      <sheetData sheetId="10970">
        <row r="34">
          <cell r="A34" t="str">
            <v>Investments Govt Securities</v>
          </cell>
        </row>
      </sheetData>
      <sheetData sheetId="10971">
        <row r="34">
          <cell r="A34" t="str">
            <v>Investments Govt Securities</v>
          </cell>
        </row>
      </sheetData>
      <sheetData sheetId="10972">
        <row r="34">
          <cell r="A34" t="str">
            <v>Investments Govt Securities</v>
          </cell>
        </row>
      </sheetData>
      <sheetData sheetId="10973">
        <row r="34">
          <cell r="A34" t="str">
            <v>Investments Govt Securities</v>
          </cell>
        </row>
      </sheetData>
      <sheetData sheetId="10974">
        <row r="34">
          <cell r="A34" t="str">
            <v>Investments Govt Securities</v>
          </cell>
        </row>
      </sheetData>
      <sheetData sheetId="10975">
        <row r="34">
          <cell r="A34" t="str">
            <v>Investments Govt Securities</v>
          </cell>
        </row>
      </sheetData>
      <sheetData sheetId="10976">
        <row r="34">
          <cell r="A34" t="str">
            <v>Investments Govt Securities</v>
          </cell>
        </row>
      </sheetData>
      <sheetData sheetId="10977">
        <row r="34">
          <cell r="A34" t="str">
            <v>Investments Govt Securities</v>
          </cell>
        </row>
      </sheetData>
      <sheetData sheetId="10978">
        <row r="34">
          <cell r="A34" t="str">
            <v>Investments Govt Securities</v>
          </cell>
        </row>
      </sheetData>
      <sheetData sheetId="10979">
        <row r="34">
          <cell r="A34" t="str">
            <v>Investments Govt Securities</v>
          </cell>
        </row>
      </sheetData>
      <sheetData sheetId="10980">
        <row r="34">
          <cell r="A34" t="str">
            <v>Investments Govt Securities</v>
          </cell>
        </row>
      </sheetData>
      <sheetData sheetId="10981">
        <row r="34">
          <cell r="A34" t="str">
            <v>Investments Govt Securities</v>
          </cell>
        </row>
      </sheetData>
      <sheetData sheetId="10982">
        <row r="34">
          <cell r="A34" t="str">
            <v>Investments Govt Securities</v>
          </cell>
        </row>
      </sheetData>
      <sheetData sheetId="10983">
        <row r="34">
          <cell r="A34" t="str">
            <v>Investments Govt Securities</v>
          </cell>
        </row>
      </sheetData>
      <sheetData sheetId="10984">
        <row r="34">
          <cell r="A34" t="str">
            <v>Investments Govt Securities</v>
          </cell>
        </row>
      </sheetData>
      <sheetData sheetId="10985">
        <row r="34">
          <cell r="A34" t="str">
            <v>Investments Govt Securities</v>
          </cell>
        </row>
      </sheetData>
      <sheetData sheetId="10986">
        <row r="34">
          <cell r="A34" t="str">
            <v>Investments Govt Securities</v>
          </cell>
        </row>
      </sheetData>
      <sheetData sheetId="10987">
        <row r="34">
          <cell r="A34" t="str">
            <v>Investments Govt Securities</v>
          </cell>
        </row>
      </sheetData>
      <sheetData sheetId="10988">
        <row r="34">
          <cell r="A34" t="str">
            <v>Investments Govt Securities</v>
          </cell>
        </row>
      </sheetData>
      <sheetData sheetId="10989">
        <row r="34">
          <cell r="A34" t="str">
            <v>Investments Govt Securities</v>
          </cell>
        </row>
      </sheetData>
      <sheetData sheetId="10990">
        <row r="34">
          <cell r="A34" t="str">
            <v>Investments Govt Securities</v>
          </cell>
        </row>
      </sheetData>
      <sheetData sheetId="10991">
        <row r="34">
          <cell r="A34" t="str">
            <v>Investments Govt Securities</v>
          </cell>
        </row>
      </sheetData>
      <sheetData sheetId="10992">
        <row r="34">
          <cell r="A34" t="str">
            <v>Investments Govt Securities</v>
          </cell>
        </row>
      </sheetData>
      <sheetData sheetId="10993">
        <row r="34">
          <cell r="A34" t="str">
            <v>Investments Govt Securities</v>
          </cell>
        </row>
      </sheetData>
      <sheetData sheetId="10994">
        <row r="34">
          <cell r="A34" t="str">
            <v>Investments Govt Securities</v>
          </cell>
        </row>
      </sheetData>
      <sheetData sheetId="10995">
        <row r="34">
          <cell r="A34" t="str">
            <v>Investments Govt Securities</v>
          </cell>
        </row>
      </sheetData>
      <sheetData sheetId="10996">
        <row r="34">
          <cell r="A34" t="str">
            <v>Investments Govt Securities</v>
          </cell>
        </row>
      </sheetData>
      <sheetData sheetId="10997">
        <row r="34">
          <cell r="A34" t="str">
            <v>Investments Govt Securities</v>
          </cell>
        </row>
      </sheetData>
      <sheetData sheetId="10998">
        <row r="34">
          <cell r="A34" t="str">
            <v>Investments Govt Securities</v>
          </cell>
        </row>
      </sheetData>
      <sheetData sheetId="10999">
        <row r="34">
          <cell r="A34" t="str">
            <v>Investments Govt Securities</v>
          </cell>
        </row>
      </sheetData>
      <sheetData sheetId="11000">
        <row r="34">
          <cell r="A34" t="str">
            <v>Investments Govt Securities</v>
          </cell>
        </row>
      </sheetData>
      <sheetData sheetId="11001">
        <row r="34">
          <cell r="A34" t="str">
            <v>Investments Govt Securities</v>
          </cell>
        </row>
      </sheetData>
      <sheetData sheetId="11002">
        <row r="34">
          <cell r="A34" t="str">
            <v>Investments Govt Securities</v>
          </cell>
        </row>
      </sheetData>
      <sheetData sheetId="11003">
        <row r="34">
          <cell r="A34" t="str">
            <v>Investments Govt Securities</v>
          </cell>
        </row>
      </sheetData>
      <sheetData sheetId="11004">
        <row r="34">
          <cell r="A34" t="str">
            <v>Investments Govt Securities</v>
          </cell>
        </row>
      </sheetData>
      <sheetData sheetId="11005">
        <row r="34">
          <cell r="A34" t="str">
            <v>Investments Govt Securities</v>
          </cell>
        </row>
      </sheetData>
      <sheetData sheetId="11006">
        <row r="34">
          <cell r="A34" t="str">
            <v>Investments Govt Securities</v>
          </cell>
        </row>
      </sheetData>
      <sheetData sheetId="11007">
        <row r="34">
          <cell r="A34" t="str">
            <v>Investments Govt Securities</v>
          </cell>
        </row>
      </sheetData>
      <sheetData sheetId="11008">
        <row r="34">
          <cell r="A34" t="str">
            <v>Investments Govt Securities</v>
          </cell>
        </row>
      </sheetData>
      <sheetData sheetId="11009">
        <row r="34">
          <cell r="A34" t="str">
            <v>Investments Govt Securities</v>
          </cell>
        </row>
      </sheetData>
      <sheetData sheetId="11010">
        <row r="34">
          <cell r="A34" t="str">
            <v>Investments Govt Securities</v>
          </cell>
        </row>
      </sheetData>
      <sheetData sheetId="11011">
        <row r="34">
          <cell r="A34" t="str">
            <v>Investments Govt Securities</v>
          </cell>
        </row>
      </sheetData>
      <sheetData sheetId="11012">
        <row r="34">
          <cell r="A34" t="str">
            <v>Investments Govt Securities</v>
          </cell>
        </row>
      </sheetData>
      <sheetData sheetId="11013">
        <row r="34">
          <cell r="A34" t="str">
            <v>Investments Govt Securities</v>
          </cell>
        </row>
      </sheetData>
      <sheetData sheetId="11014">
        <row r="34">
          <cell r="A34" t="str">
            <v>Investments Govt Securities</v>
          </cell>
        </row>
      </sheetData>
      <sheetData sheetId="11015">
        <row r="34">
          <cell r="A34" t="str">
            <v>Investments Govt Securities</v>
          </cell>
        </row>
      </sheetData>
      <sheetData sheetId="11016">
        <row r="34">
          <cell r="A34" t="str">
            <v>Investments Govt Securities</v>
          </cell>
        </row>
      </sheetData>
      <sheetData sheetId="11017">
        <row r="34">
          <cell r="A34" t="str">
            <v>Investments Govt Securities</v>
          </cell>
        </row>
      </sheetData>
      <sheetData sheetId="11018">
        <row r="34">
          <cell r="A34" t="str">
            <v>Investments Govt Securities</v>
          </cell>
        </row>
      </sheetData>
      <sheetData sheetId="11019">
        <row r="34">
          <cell r="A34" t="str">
            <v>Investments Govt Securities</v>
          </cell>
        </row>
      </sheetData>
      <sheetData sheetId="11020">
        <row r="34">
          <cell r="A34" t="str">
            <v>Investments Govt Securities</v>
          </cell>
        </row>
      </sheetData>
      <sheetData sheetId="11021">
        <row r="34">
          <cell r="A34" t="str">
            <v>Investments Govt Securities</v>
          </cell>
        </row>
      </sheetData>
      <sheetData sheetId="11022">
        <row r="34">
          <cell r="A34" t="str">
            <v>Investments Govt Securities</v>
          </cell>
        </row>
      </sheetData>
      <sheetData sheetId="11023">
        <row r="34">
          <cell r="A34" t="str">
            <v>Investments Govt Securities</v>
          </cell>
        </row>
      </sheetData>
      <sheetData sheetId="11024">
        <row r="34">
          <cell r="A34" t="str">
            <v>Investments Govt Securities</v>
          </cell>
        </row>
      </sheetData>
      <sheetData sheetId="11025">
        <row r="34">
          <cell r="A34" t="str">
            <v>Investments Govt Securities</v>
          </cell>
        </row>
      </sheetData>
      <sheetData sheetId="11026">
        <row r="34">
          <cell r="A34" t="str">
            <v>Investments Govt Securities</v>
          </cell>
        </row>
      </sheetData>
      <sheetData sheetId="11027">
        <row r="34">
          <cell r="A34" t="str">
            <v>Investments Govt Securities</v>
          </cell>
        </row>
      </sheetData>
      <sheetData sheetId="11028">
        <row r="34">
          <cell r="A34" t="str">
            <v>Investments Govt Securities</v>
          </cell>
        </row>
      </sheetData>
      <sheetData sheetId="11029">
        <row r="34">
          <cell r="A34" t="str">
            <v>Investments Govt Securities</v>
          </cell>
        </row>
      </sheetData>
      <sheetData sheetId="11030">
        <row r="34">
          <cell r="A34" t="str">
            <v>Investments Govt Securities</v>
          </cell>
        </row>
      </sheetData>
      <sheetData sheetId="11031">
        <row r="34">
          <cell r="A34" t="str">
            <v>Investments Govt Securities</v>
          </cell>
        </row>
      </sheetData>
      <sheetData sheetId="11032">
        <row r="34">
          <cell r="A34" t="str">
            <v>Investments Govt Securities</v>
          </cell>
        </row>
      </sheetData>
      <sheetData sheetId="11033">
        <row r="34">
          <cell r="A34" t="str">
            <v>Investments Govt Securities</v>
          </cell>
        </row>
      </sheetData>
      <sheetData sheetId="11034">
        <row r="34">
          <cell r="A34" t="str">
            <v>Investments Govt Securities</v>
          </cell>
        </row>
      </sheetData>
      <sheetData sheetId="11035">
        <row r="34">
          <cell r="A34" t="str">
            <v>Investments Govt Securities</v>
          </cell>
        </row>
      </sheetData>
      <sheetData sheetId="11036">
        <row r="34">
          <cell r="A34" t="str">
            <v>Investments Govt Securities</v>
          </cell>
        </row>
      </sheetData>
      <sheetData sheetId="11037">
        <row r="34">
          <cell r="A34" t="str">
            <v>Investments Govt Securities</v>
          </cell>
        </row>
      </sheetData>
      <sheetData sheetId="11038">
        <row r="34">
          <cell r="A34" t="str">
            <v>Investments Govt Securities</v>
          </cell>
        </row>
      </sheetData>
      <sheetData sheetId="11039">
        <row r="34">
          <cell r="A34" t="str">
            <v>Investments Govt Securities</v>
          </cell>
        </row>
      </sheetData>
      <sheetData sheetId="11040">
        <row r="34">
          <cell r="A34" t="str">
            <v>Investments Govt Securities</v>
          </cell>
        </row>
      </sheetData>
      <sheetData sheetId="11041">
        <row r="34">
          <cell r="A34" t="str">
            <v>Investments Govt Securities</v>
          </cell>
        </row>
      </sheetData>
      <sheetData sheetId="11042">
        <row r="34">
          <cell r="A34" t="str">
            <v>Investments Govt Securities</v>
          </cell>
        </row>
      </sheetData>
      <sheetData sheetId="11043">
        <row r="34">
          <cell r="A34" t="str">
            <v>Investments Govt Securities</v>
          </cell>
        </row>
      </sheetData>
      <sheetData sheetId="11044">
        <row r="34">
          <cell r="A34" t="str">
            <v>Investments Govt Securities</v>
          </cell>
        </row>
      </sheetData>
      <sheetData sheetId="11045">
        <row r="34">
          <cell r="A34" t="str">
            <v>Investments Govt Securities</v>
          </cell>
        </row>
      </sheetData>
      <sheetData sheetId="11046">
        <row r="34">
          <cell r="A34" t="str">
            <v>Investments Govt Securities</v>
          </cell>
        </row>
      </sheetData>
      <sheetData sheetId="11047">
        <row r="34">
          <cell r="A34" t="str">
            <v>Investments Govt Securities</v>
          </cell>
        </row>
      </sheetData>
      <sheetData sheetId="11048">
        <row r="34">
          <cell r="A34" t="str">
            <v>Investments Govt Securities</v>
          </cell>
        </row>
      </sheetData>
      <sheetData sheetId="11049">
        <row r="34">
          <cell r="A34" t="str">
            <v>Investments Govt Securities</v>
          </cell>
        </row>
      </sheetData>
      <sheetData sheetId="11050">
        <row r="34">
          <cell r="A34" t="str">
            <v>Investments Govt Securities</v>
          </cell>
        </row>
      </sheetData>
      <sheetData sheetId="11051">
        <row r="34">
          <cell r="A34" t="str">
            <v>Investments Govt Securities</v>
          </cell>
        </row>
      </sheetData>
      <sheetData sheetId="11052">
        <row r="34">
          <cell r="A34" t="str">
            <v>Investments Govt Securities</v>
          </cell>
        </row>
      </sheetData>
      <sheetData sheetId="11053">
        <row r="34">
          <cell r="A34" t="str">
            <v>Investments Govt Securities</v>
          </cell>
        </row>
      </sheetData>
      <sheetData sheetId="11054">
        <row r="34">
          <cell r="A34" t="str">
            <v>Investments Govt Securities</v>
          </cell>
        </row>
      </sheetData>
      <sheetData sheetId="11055">
        <row r="34">
          <cell r="A34" t="str">
            <v>Investments Govt Securities</v>
          </cell>
        </row>
      </sheetData>
      <sheetData sheetId="11056">
        <row r="34">
          <cell r="A34" t="str">
            <v>Investments Govt Securities</v>
          </cell>
        </row>
      </sheetData>
      <sheetData sheetId="11057">
        <row r="34">
          <cell r="A34" t="str">
            <v>Investments Govt Securities</v>
          </cell>
        </row>
      </sheetData>
      <sheetData sheetId="11058">
        <row r="34">
          <cell r="A34" t="str">
            <v>Investments Govt Securities</v>
          </cell>
        </row>
      </sheetData>
      <sheetData sheetId="11059">
        <row r="34">
          <cell r="A34" t="str">
            <v>Investments Govt Securities</v>
          </cell>
        </row>
      </sheetData>
      <sheetData sheetId="11060">
        <row r="34">
          <cell r="A34" t="str">
            <v>Investments Govt Securities</v>
          </cell>
        </row>
      </sheetData>
      <sheetData sheetId="11061">
        <row r="34">
          <cell r="A34" t="str">
            <v>Investments Govt Securities</v>
          </cell>
        </row>
      </sheetData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>
        <row r="34">
          <cell r="A34" t="str">
            <v>Investments Govt Securities</v>
          </cell>
        </row>
      </sheetData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>
        <row r="34">
          <cell r="A34" t="str">
            <v>Investments Govt Securities</v>
          </cell>
        </row>
      </sheetData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>
        <row r="34">
          <cell r="A34" t="str">
            <v>Investments Govt Securities</v>
          </cell>
        </row>
      </sheetData>
      <sheetData sheetId="11226">
        <row r="34">
          <cell r="A34" t="str">
            <v>Investments Govt Securities</v>
          </cell>
        </row>
      </sheetData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>
        <row r="34">
          <cell r="A34" t="str">
            <v>Investments Govt Securities</v>
          </cell>
        </row>
      </sheetData>
      <sheetData sheetId="11319">
        <row r="34">
          <cell r="A34" t="str">
            <v>Investments Govt Securities</v>
          </cell>
        </row>
      </sheetData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>
        <row r="34">
          <cell r="A34" t="str">
            <v>Investments Govt Securities</v>
          </cell>
        </row>
      </sheetData>
      <sheetData sheetId="11357">
        <row r="34">
          <cell r="A34" t="str">
            <v>Investments Govt Securities</v>
          </cell>
        </row>
      </sheetData>
      <sheetData sheetId="11358">
        <row r="34">
          <cell r="A34" t="str">
            <v>Investments Govt Securities</v>
          </cell>
        </row>
      </sheetData>
      <sheetData sheetId="11359" refreshError="1"/>
      <sheetData sheetId="11360" refreshError="1"/>
      <sheetData sheetId="11361">
        <row r="34">
          <cell r="A34" t="str">
            <v>Investments Govt Securities</v>
          </cell>
        </row>
      </sheetData>
      <sheetData sheetId="11362">
        <row r="34">
          <cell r="A34" t="str">
            <v>Investments Govt Securities</v>
          </cell>
        </row>
      </sheetData>
      <sheetData sheetId="11363">
        <row r="34">
          <cell r="A34" t="str">
            <v>Investments Govt Securities</v>
          </cell>
        </row>
      </sheetData>
      <sheetData sheetId="11364">
        <row r="34">
          <cell r="A34" t="str">
            <v>Investments Govt Securities</v>
          </cell>
        </row>
      </sheetData>
      <sheetData sheetId="11365">
        <row r="34">
          <cell r="A34" t="str">
            <v>Investments Govt Securities</v>
          </cell>
        </row>
      </sheetData>
      <sheetData sheetId="11366">
        <row r="34">
          <cell r="A34" t="str">
            <v>Investments Govt Securities</v>
          </cell>
        </row>
      </sheetData>
      <sheetData sheetId="11367">
        <row r="34">
          <cell r="A34" t="str">
            <v>Investments Govt Securities</v>
          </cell>
        </row>
      </sheetData>
      <sheetData sheetId="11368">
        <row r="34">
          <cell r="A34" t="str">
            <v>Investments Govt Securities</v>
          </cell>
        </row>
      </sheetData>
      <sheetData sheetId="11369">
        <row r="34">
          <cell r="A34" t="str">
            <v>Investments Govt Securities</v>
          </cell>
        </row>
      </sheetData>
      <sheetData sheetId="11370">
        <row r="34">
          <cell r="A34" t="str">
            <v>Investments Govt Securities</v>
          </cell>
        </row>
      </sheetData>
      <sheetData sheetId="11371">
        <row r="34">
          <cell r="A34" t="str">
            <v>Investments Govt Securities</v>
          </cell>
        </row>
      </sheetData>
      <sheetData sheetId="11372">
        <row r="34">
          <cell r="A34" t="str">
            <v>Investments Govt Securities</v>
          </cell>
        </row>
      </sheetData>
      <sheetData sheetId="11373">
        <row r="34">
          <cell r="A34" t="str">
            <v>Investments Govt Securities</v>
          </cell>
        </row>
      </sheetData>
      <sheetData sheetId="11374">
        <row r="34">
          <cell r="A34" t="str">
            <v>Investments Govt Securities</v>
          </cell>
        </row>
      </sheetData>
      <sheetData sheetId="11375">
        <row r="34">
          <cell r="A34" t="str">
            <v>Investments Govt Securities</v>
          </cell>
        </row>
      </sheetData>
      <sheetData sheetId="11376">
        <row r="34">
          <cell r="A34" t="str">
            <v>Investments Govt Securities</v>
          </cell>
        </row>
      </sheetData>
      <sheetData sheetId="11377">
        <row r="34">
          <cell r="A34" t="str">
            <v>Investments Govt Securities</v>
          </cell>
        </row>
      </sheetData>
      <sheetData sheetId="11378">
        <row r="34">
          <cell r="A34" t="str">
            <v>Investments Govt Securities</v>
          </cell>
        </row>
      </sheetData>
      <sheetData sheetId="11379">
        <row r="34">
          <cell r="A34" t="str">
            <v>Investments Govt Securities</v>
          </cell>
        </row>
      </sheetData>
      <sheetData sheetId="11380">
        <row r="34">
          <cell r="A34" t="str">
            <v>Investments Govt Securities</v>
          </cell>
        </row>
      </sheetData>
      <sheetData sheetId="11381">
        <row r="34">
          <cell r="A34" t="str">
            <v>Investments Govt Securities</v>
          </cell>
        </row>
      </sheetData>
      <sheetData sheetId="11382">
        <row r="34">
          <cell r="A34" t="str">
            <v>Investments Govt Securities</v>
          </cell>
        </row>
      </sheetData>
      <sheetData sheetId="11383">
        <row r="34">
          <cell r="A34" t="str">
            <v>Investments Govt Securities</v>
          </cell>
        </row>
      </sheetData>
      <sheetData sheetId="11384">
        <row r="34">
          <cell r="A34" t="str">
            <v>Investments Govt Securities</v>
          </cell>
        </row>
      </sheetData>
      <sheetData sheetId="11385">
        <row r="34">
          <cell r="A34" t="str">
            <v>Investments Govt Securities</v>
          </cell>
        </row>
      </sheetData>
      <sheetData sheetId="11386">
        <row r="34">
          <cell r="A34" t="str">
            <v>Investments Govt Securities</v>
          </cell>
        </row>
      </sheetData>
      <sheetData sheetId="11387">
        <row r="34">
          <cell r="A34" t="str">
            <v>Investments Govt Securities</v>
          </cell>
        </row>
      </sheetData>
      <sheetData sheetId="11388">
        <row r="34">
          <cell r="A34" t="str">
            <v>Investments Govt Securities</v>
          </cell>
        </row>
      </sheetData>
      <sheetData sheetId="11389">
        <row r="34">
          <cell r="A34" t="str">
            <v>Investments Govt Securities</v>
          </cell>
        </row>
      </sheetData>
      <sheetData sheetId="11390">
        <row r="34">
          <cell r="A34" t="str">
            <v>Investments Govt Securities</v>
          </cell>
        </row>
      </sheetData>
      <sheetData sheetId="11391">
        <row r="34">
          <cell r="A34" t="str">
            <v>Investments Govt Securities</v>
          </cell>
        </row>
      </sheetData>
      <sheetData sheetId="11392">
        <row r="34">
          <cell r="A34" t="str">
            <v>Investments Govt Securities</v>
          </cell>
        </row>
      </sheetData>
      <sheetData sheetId="11393">
        <row r="34">
          <cell r="A34" t="str">
            <v>Investments Govt Securities</v>
          </cell>
        </row>
      </sheetData>
      <sheetData sheetId="11394">
        <row r="34">
          <cell r="A34" t="str">
            <v>Investments Govt Securities</v>
          </cell>
        </row>
      </sheetData>
      <sheetData sheetId="11395">
        <row r="34">
          <cell r="A34" t="str">
            <v>Investments Govt Securities</v>
          </cell>
        </row>
      </sheetData>
      <sheetData sheetId="11396">
        <row r="34">
          <cell r="A34" t="str">
            <v>Investments Govt Securities</v>
          </cell>
        </row>
      </sheetData>
      <sheetData sheetId="11397">
        <row r="34">
          <cell r="A34" t="str">
            <v>Investments Govt Securities</v>
          </cell>
        </row>
      </sheetData>
      <sheetData sheetId="11398">
        <row r="34">
          <cell r="A34" t="str">
            <v>Investments Govt Securities</v>
          </cell>
        </row>
      </sheetData>
      <sheetData sheetId="11399">
        <row r="34">
          <cell r="A34" t="str">
            <v>Investments Govt Securities</v>
          </cell>
        </row>
      </sheetData>
      <sheetData sheetId="11400">
        <row r="34">
          <cell r="A34" t="str">
            <v>Investments Govt Securities</v>
          </cell>
        </row>
      </sheetData>
      <sheetData sheetId="11401">
        <row r="34">
          <cell r="A34" t="str">
            <v>Investments Govt Securities</v>
          </cell>
        </row>
      </sheetData>
      <sheetData sheetId="11402">
        <row r="34">
          <cell r="A34" t="str">
            <v>Investments Govt Securities</v>
          </cell>
        </row>
      </sheetData>
      <sheetData sheetId="11403">
        <row r="34">
          <cell r="A34" t="str">
            <v>Investments Govt Securities</v>
          </cell>
        </row>
      </sheetData>
      <sheetData sheetId="11404">
        <row r="34">
          <cell r="A34" t="str">
            <v>Investments Govt Securities</v>
          </cell>
        </row>
      </sheetData>
      <sheetData sheetId="11405">
        <row r="34">
          <cell r="A34" t="str">
            <v>Investments Govt Securities</v>
          </cell>
        </row>
      </sheetData>
      <sheetData sheetId="11406">
        <row r="34">
          <cell r="A34" t="str">
            <v>Investments Govt Securities</v>
          </cell>
        </row>
      </sheetData>
      <sheetData sheetId="11407">
        <row r="34">
          <cell r="A34" t="str">
            <v>Investments Govt Securities</v>
          </cell>
        </row>
      </sheetData>
      <sheetData sheetId="11408">
        <row r="34">
          <cell r="A34" t="str">
            <v>Investments Govt Securities</v>
          </cell>
        </row>
      </sheetData>
      <sheetData sheetId="11409">
        <row r="34">
          <cell r="A34" t="str">
            <v>Investments Govt Securities</v>
          </cell>
        </row>
      </sheetData>
      <sheetData sheetId="11410">
        <row r="34">
          <cell r="A34" t="str">
            <v>Investments Govt Securities</v>
          </cell>
        </row>
      </sheetData>
      <sheetData sheetId="11411">
        <row r="34">
          <cell r="A34" t="str">
            <v>Investments Govt Securities</v>
          </cell>
        </row>
      </sheetData>
      <sheetData sheetId="11412">
        <row r="34">
          <cell r="A34" t="str">
            <v>Investments Govt Securities</v>
          </cell>
        </row>
      </sheetData>
      <sheetData sheetId="11413">
        <row r="34">
          <cell r="A34" t="str">
            <v>Investments Govt Securities</v>
          </cell>
        </row>
      </sheetData>
      <sheetData sheetId="11414">
        <row r="34">
          <cell r="A34" t="str">
            <v>Investments Govt Securities</v>
          </cell>
        </row>
      </sheetData>
      <sheetData sheetId="11415">
        <row r="34">
          <cell r="A34" t="str">
            <v>Investments Govt Securities</v>
          </cell>
        </row>
      </sheetData>
      <sheetData sheetId="11416">
        <row r="34">
          <cell r="A34" t="str">
            <v>Investments Govt Securities</v>
          </cell>
        </row>
      </sheetData>
      <sheetData sheetId="11417">
        <row r="34">
          <cell r="A34" t="str">
            <v>Investments Govt Securities</v>
          </cell>
        </row>
      </sheetData>
      <sheetData sheetId="11418">
        <row r="34">
          <cell r="A34" t="str">
            <v>Investments Govt Securities</v>
          </cell>
        </row>
      </sheetData>
      <sheetData sheetId="11419">
        <row r="34">
          <cell r="A34" t="str">
            <v>Investments Govt Securities</v>
          </cell>
        </row>
      </sheetData>
      <sheetData sheetId="11420">
        <row r="34">
          <cell r="A34" t="str">
            <v>Investments Govt Securities</v>
          </cell>
        </row>
      </sheetData>
      <sheetData sheetId="11421">
        <row r="34">
          <cell r="A34" t="str">
            <v>Investments Govt Securities</v>
          </cell>
        </row>
      </sheetData>
      <sheetData sheetId="11422">
        <row r="34">
          <cell r="A34" t="str">
            <v>Investments Govt Securities</v>
          </cell>
        </row>
      </sheetData>
      <sheetData sheetId="11423">
        <row r="34">
          <cell r="A34" t="str">
            <v>Investments Govt Securities</v>
          </cell>
        </row>
      </sheetData>
      <sheetData sheetId="11424">
        <row r="34">
          <cell r="A34" t="str">
            <v>Investments Govt Securities</v>
          </cell>
        </row>
      </sheetData>
      <sheetData sheetId="11425">
        <row r="34">
          <cell r="A34" t="str">
            <v>Investments Govt Securities</v>
          </cell>
        </row>
      </sheetData>
      <sheetData sheetId="11426">
        <row r="34">
          <cell r="A34" t="str">
            <v>Investments Govt Securities</v>
          </cell>
        </row>
      </sheetData>
      <sheetData sheetId="11427">
        <row r="34">
          <cell r="A34" t="str">
            <v>Investments Govt Securities</v>
          </cell>
        </row>
      </sheetData>
      <sheetData sheetId="11428">
        <row r="34">
          <cell r="A34" t="str">
            <v>Investments Govt Securities</v>
          </cell>
        </row>
      </sheetData>
      <sheetData sheetId="11429">
        <row r="34">
          <cell r="A34" t="str">
            <v>Investments Govt Securities</v>
          </cell>
        </row>
      </sheetData>
      <sheetData sheetId="11430">
        <row r="34">
          <cell r="A34" t="str">
            <v>Investments Govt Securities</v>
          </cell>
        </row>
      </sheetData>
      <sheetData sheetId="11431">
        <row r="34">
          <cell r="A34" t="str">
            <v>Investments Govt Securities</v>
          </cell>
        </row>
      </sheetData>
      <sheetData sheetId="11432">
        <row r="34">
          <cell r="A34" t="str">
            <v>Investments Govt Securities</v>
          </cell>
        </row>
      </sheetData>
      <sheetData sheetId="11433">
        <row r="34">
          <cell r="A34" t="str">
            <v>Investments Govt Securities</v>
          </cell>
        </row>
      </sheetData>
      <sheetData sheetId="11434">
        <row r="34">
          <cell r="A34" t="str">
            <v>Investments Govt Securities</v>
          </cell>
        </row>
      </sheetData>
      <sheetData sheetId="11435">
        <row r="34">
          <cell r="A34" t="str">
            <v>Investments Govt Securities</v>
          </cell>
        </row>
      </sheetData>
      <sheetData sheetId="11436">
        <row r="34">
          <cell r="A34" t="str">
            <v>Investments Govt Securities</v>
          </cell>
        </row>
      </sheetData>
      <sheetData sheetId="11437">
        <row r="34">
          <cell r="A34" t="str">
            <v>Investments Govt Securities</v>
          </cell>
        </row>
      </sheetData>
      <sheetData sheetId="11438">
        <row r="34">
          <cell r="A34" t="str">
            <v>Investments Govt Securities</v>
          </cell>
        </row>
      </sheetData>
      <sheetData sheetId="11439">
        <row r="34">
          <cell r="A34" t="str">
            <v>Investments Govt Securities</v>
          </cell>
        </row>
      </sheetData>
      <sheetData sheetId="11440">
        <row r="34">
          <cell r="A34" t="str">
            <v>Investments Govt Securities</v>
          </cell>
        </row>
      </sheetData>
      <sheetData sheetId="11441">
        <row r="34">
          <cell r="A34" t="str">
            <v>Investments Govt Securities</v>
          </cell>
        </row>
      </sheetData>
      <sheetData sheetId="11442">
        <row r="34">
          <cell r="A34" t="str">
            <v>Investments Govt Securities</v>
          </cell>
        </row>
      </sheetData>
      <sheetData sheetId="11443">
        <row r="34">
          <cell r="A34" t="str">
            <v>Investments Govt Securities</v>
          </cell>
        </row>
      </sheetData>
      <sheetData sheetId="11444">
        <row r="34">
          <cell r="A34" t="str">
            <v>Investments Govt Securities</v>
          </cell>
        </row>
      </sheetData>
      <sheetData sheetId="11445">
        <row r="34">
          <cell r="A34" t="str">
            <v>Investments Govt Securities</v>
          </cell>
        </row>
      </sheetData>
      <sheetData sheetId="11446">
        <row r="34">
          <cell r="A34" t="str">
            <v>Investments Govt Securities</v>
          </cell>
        </row>
      </sheetData>
      <sheetData sheetId="11447">
        <row r="34">
          <cell r="A34" t="str">
            <v>Investments Govt Securities</v>
          </cell>
        </row>
      </sheetData>
      <sheetData sheetId="11448">
        <row r="34">
          <cell r="A34" t="str">
            <v>Investments Govt Securities</v>
          </cell>
        </row>
      </sheetData>
      <sheetData sheetId="11449">
        <row r="34">
          <cell r="A34" t="str">
            <v>Investments Govt Securities</v>
          </cell>
        </row>
      </sheetData>
      <sheetData sheetId="11450">
        <row r="34">
          <cell r="A34" t="str">
            <v>Investments Govt Securities</v>
          </cell>
        </row>
      </sheetData>
      <sheetData sheetId="11451">
        <row r="34">
          <cell r="A34" t="str">
            <v>Investments Govt Securities</v>
          </cell>
        </row>
      </sheetData>
      <sheetData sheetId="11452">
        <row r="34">
          <cell r="A34" t="str">
            <v>Investments Govt Securities</v>
          </cell>
        </row>
      </sheetData>
      <sheetData sheetId="11453">
        <row r="34">
          <cell r="A34" t="str">
            <v>Investments Govt Securities</v>
          </cell>
        </row>
      </sheetData>
      <sheetData sheetId="11454">
        <row r="34">
          <cell r="A34" t="str">
            <v>Investments Govt Securities</v>
          </cell>
        </row>
      </sheetData>
      <sheetData sheetId="11455">
        <row r="34">
          <cell r="A34" t="str">
            <v>Investments Govt Securities</v>
          </cell>
        </row>
      </sheetData>
      <sheetData sheetId="11456">
        <row r="34">
          <cell r="A34" t="str">
            <v>Investments Govt Securities</v>
          </cell>
        </row>
      </sheetData>
      <sheetData sheetId="11457">
        <row r="34">
          <cell r="A34" t="str">
            <v>Investments Govt Securities</v>
          </cell>
        </row>
      </sheetData>
      <sheetData sheetId="11458">
        <row r="34">
          <cell r="A34" t="str">
            <v>Investments Govt Securities</v>
          </cell>
        </row>
      </sheetData>
      <sheetData sheetId="11459">
        <row r="34">
          <cell r="A34" t="str">
            <v>Investments Govt Securities</v>
          </cell>
        </row>
      </sheetData>
      <sheetData sheetId="11460">
        <row r="34">
          <cell r="A34" t="str">
            <v>Investments Govt Securities</v>
          </cell>
        </row>
      </sheetData>
      <sheetData sheetId="11461">
        <row r="34">
          <cell r="A34" t="str">
            <v>Investments Govt Securities</v>
          </cell>
        </row>
      </sheetData>
      <sheetData sheetId="11462">
        <row r="34">
          <cell r="A34" t="str">
            <v>Investments Govt Securities</v>
          </cell>
        </row>
      </sheetData>
      <sheetData sheetId="11463">
        <row r="34">
          <cell r="A34" t="str">
            <v>Investments Govt Securities</v>
          </cell>
        </row>
      </sheetData>
      <sheetData sheetId="11464">
        <row r="34">
          <cell r="A34" t="str">
            <v>Investments Govt Securities</v>
          </cell>
        </row>
      </sheetData>
      <sheetData sheetId="11465">
        <row r="34">
          <cell r="A34" t="str">
            <v>Investments Govt Securities</v>
          </cell>
        </row>
      </sheetData>
      <sheetData sheetId="11466">
        <row r="34">
          <cell r="A34" t="str">
            <v>Investments Govt Securities</v>
          </cell>
        </row>
      </sheetData>
      <sheetData sheetId="11467">
        <row r="34">
          <cell r="A34" t="str">
            <v>Investments Govt Securities</v>
          </cell>
        </row>
      </sheetData>
      <sheetData sheetId="11468">
        <row r="34">
          <cell r="A34" t="str">
            <v>Investments Govt Securities</v>
          </cell>
        </row>
      </sheetData>
      <sheetData sheetId="11469">
        <row r="34">
          <cell r="A34" t="str">
            <v>Investments Govt Securities</v>
          </cell>
        </row>
      </sheetData>
      <sheetData sheetId="11470">
        <row r="34">
          <cell r="A34" t="str">
            <v>Investments Govt Securities</v>
          </cell>
        </row>
      </sheetData>
      <sheetData sheetId="11471">
        <row r="34">
          <cell r="A34" t="str">
            <v>Investments Govt Securities</v>
          </cell>
        </row>
      </sheetData>
      <sheetData sheetId="11472">
        <row r="34">
          <cell r="A34" t="str">
            <v>Investments Govt Securities</v>
          </cell>
        </row>
      </sheetData>
      <sheetData sheetId="11473">
        <row r="34">
          <cell r="A34" t="str">
            <v>Investments Govt Securities</v>
          </cell>
        </row>
      </sheetData>
      <sheetData sheetId="11474">
        <row r="34">
          <cell r="A34" t="str">
            <v>Investments Govt Securities</v>
          </cell>
        </row>
      </sheetData>
      <sheetData sheetId="11475">
        <row r="34">
          <cell r="A34" t="str">
            <v>Investments Govt Securities</v>
          </cell>
        </row>
      </sheetData>
      <sheetData sheetId="11476">
        <row r="34">
          <cell r="A34" t="str">
            <v>Investments Govt Securities</v>
          </cell>
        </row>
      </sheetData>
      <sheetData sheetId="11477">
        <row r="34">
          <cell r="A34" t="str">
            <v>Investments Govt Securities</v>
          </cell>
        </row>
      </sheetData>
      <sheetData sheetId="11478">
        <row r="34">
          <cell r="A34" t="str">
            <v>Investments Govt Securities</v>
          </cell>
        </row>
      </sheetData>
      <sheetData sheetId="11479">
        <row r="34">
          <cell r="A34" t="str">
            <v>Investments Govt Securities</v>
          </cell>
        </row>
      </sheetData>
      <sheetData sheetId="11480">
        <row r="34">
          <cell r="A34" t="str">
            <v>Investments Govt Securities</v>
          </cell>
        </row>
      </sheetData>
      <sheetData sheetId="11481">
        <row r="34">
          <cell r="A34" t="str">
            <v>Investments Govt Securities</v>
          </cell>
        </row>
      </sheetData>
      <sheetData sheetId="11482">
        <row r="34">
          <cell r="A34" t="str">
            <v>Investments Govt Securities</v>
          </cell>
        </row>
      </sheetData>
      <sheetData sheetId="11483">
        <row r="34">
          <cell r="A34" t="str">
            <v>Investments Govt Securities</v>
          </cell>
        </row>
      </sheetData>
      <sheetData sheetId="11484">
        <row r="34">
          <cell r="A34" t="str">
            <v>Investments Govt Securities</v>
          </cell>
        </row>
      </sheetData>
      <sheetData sheetId="11485">
        <row r="34">
          <cell r="A34" t="str">
            <v>Investments Govt Securities</v>
          </cell>
        </row>
      </sheetData>
      <sheetData sheetId="11486">
        <row r="34">
          <cell r="A34" t="str">
            <v>Investments Govt Securities</v>
          </cell>
        </row>
      </sheetData>
      <sheetData sheetId="11487">
        <row r="34">
          <cell r="A34" t="str">
            <v>Investments Govt Securities</v>
          </cell>
        </row>
      </sheetData>
      <sheetData sheetId="11488">
        <row r="34">
          <cell r="A34" t="str">
            <v>Investments Govt Securities</v>
          </cell>
        </row>
      </sheetData>
      <sheetData sheetId="11489">
        <row r="34">
          <cell r="A34" t="str">
            <v>Investments Govt Securities</v>
          </cell>
        </row>
      </sheetData>
      <sheetData sheetId="11490">
        <row r="34">
          <cell r="A34" t="str">
            <v>Investments Govt Securities</v>
          </cell>
        </row>
      </sheetData>
      <sheetData sheetId="11491">
        <row r="34">
          <cell r="A34" t="str">
            <v>Investments Govt Securities</v>
          </cell>
        </row>
      </sheetData>
      <sheetData sheetId="11492">
        <row r="34">
          <cell r="A34" t="str">
            <v>Investments Govt Securities</v>
          </cell>
        </row>
      </sheetData>
      <sheetData sheetId="11493">
        <row r="34">
          <cell r="A34" t="str">
            <v>Investments Govt Securities</v>
          </cell>
        </row>
      </sheetData>
      <sheetData sheetId="11494">
        <row r="34">
          <cell r="A34" t="str">
            <v>Investments Govt Securities</v>
          </cell>
        </row>
      </sheetData>
      <sheetData sheetId="11495">
        <row r="34">
          <cell r="A34" t="str">
            <v>Investments Govt Securities</v>
          </cell>
        </row>
      </sheetData>
      <sheetData sheetId="11496">
        <row r="34">
          <cell r="A34" t="str">
            <v>Investments Govt Securities</v>
          </cell>
        </row>
      </sheetData>
      <sheetData sheetId="11497">
        <row r="34">
          <cell r="A34" t="str">
            <v>Investments Govt Securities</v>
          </cell>
        </row>
      </sheetData>
      <sheetData sheetId="11498">
        <row r="34">
          <cell r="A34" t="str">
            <v>Investments Govt Securities</v>
          </cell>
        </row>
      </sheetData>
      <sheetData sheetId="11499">
        <row r="34">
          <cell r="A34" t="str">
            <v>Investments Govt Securities</v>
          </cell>
        </row>
      </sheetData>
      <sheetData sheetId="11500">
        <row r="34">
          <cell r="A34" t="str">
            <v>Investments Govt Securities</v>
          </cell>
        </row>
      </sheetData>
      <sheetData sheetId="11501">
        <row r="34">
          <cell r="A34" t="str">
            <v>Investments Govt Securities</v>
          </cell>
        </row>
      </sheetData>
      <sheetData sheetId="11502">
        <row r="34">
          <cell r="A34" t="str">
            <v>Investments Govt Securities</v>
          </cell>
        </row>
      </sheetData>
      <sheetData sheetId="11503">
        <row r="34">
          <cell r="A34" t="str">
            <v>Investments Govt Securities</v>
          </cell>
        </row>
      </sheetData>
      <sheetData sheetId="11504">
        <row r="34">
          <cell r="A34" t="str">
            <v>Investments Govt Securities</v>
          </cell>
        </row>
      </sheetData>
      <sheetData sheetId="11505">
        <row r="34">
          <cell r="A34" t="str">
            <v>Investments Govt Securities</v>
          </cell>
        </row>
      </sheetData>
      <sheetData sheetId="11506">
        <row r="34">
          <cell r="A34" t="str">
            <v>Investments Govt Securities</v>
          </cell>
        </row>
      </sheetData>
      <sheetData sheetId="11507">
        <row r="34">
          <cell r="A34" t="str">
            <v>Investments Govt Securities</v>
          </cell>
        </row>
      </sheetData>
      <sheetData sheetId="11508">
        <row r="34">
          <cell r="A34" t="str">
            <v>Investments Govt Securities</v>
          </cell>
        </row>
      </sheetData>
      <sheetData sheetId="11509">
        <row r="34">
          <cell r="A34" t="str">
            <v>Investments Govt Securities</v>
          </cell>
        </row>
      </sheetData>
      <sheetData sheetId="11510">
        <row r="34">
          <cell r="A34" t="str">
            <v>Investments Govt Securities</v>
          </cell>
        </row>
      </sheetData>
      <sheetData sheetId="11511">
        <row r="34">
          <cell r="A34" t="str">
            <v>Investments Govt Securities</v>
          </cell>
        </row>
      </sheetData>
      <sheetData sheetId="11512">
        <row r="34">
          <cell r="A34" t="str">
            <v>Investments Govt Securities</v>
          </cell>
        </row>
      </sheetData>
      <sheetData sheetId="11513">
        <row r="34">
          <cell r="A34" t="str">
            <v>Investments Govt Securities</v>
          </cell>
        </row>
      </sheetData>
      <sheetData sheetId="11514">
        <row r="34">
          <cell r="A34" t="str">
            <v>Investments Govt Securities</v>
          </cell>
        </row>
      </sheetData>
      <sheetData sheetId="11515">
        <row r="34">
          <cell r="A34" t="str">
            <v>Investments Govt Securities</v>
          </cell>
        </row>
      </sheetData>
      <sheetData sheetId="11516">
        <row r="34">
          <cell r="A34" t="str">
            <v>Investments Govt Securities</v>
          </cell>
        </row>
      </sheetData>
      <sheetData sheetId="11517">
        <row r="34">
          <cell r="A34" t="str">
            <v>Investments Govt Securities</v>
          </cell>
        </row>
      </sheetData>
      <sheetData sheetId="11518">
        <row r="34">
          <cell r="A34" t="str">
            <v>Investments Govt Securities</v>
          </cell>
        </row>
      </sheetData>
      <sheetData sheetId="11519">
        <row r="34">
          <cell r="A34" t="str">
            <v>Investments Govt Securities</v>
          </cell>
        </row>
      </sheetData>
      <sheetData sheetId="11520">
        <row r="34">
          <cell r="A34" t="str">
            <v>Investments Govt Securities</v>
          </cell>
        </row>
      </sheetData>
      <sheetData sheetId="11521">
        <row r="34">
          <cell r="A34" t="str">
            <v>Investments Govt Securities</v>
          </cell>
        </row>
      </sheetData>
      <sheetData sheetId="11522">
        <row r="34">
          <cell r="A34" t="str">
            <v>Investments Govt Securities</v>
          </cell>
        </row>
      </sheetData>
      <sheetData sheetId="11523">
        <row r="34">
          <cell r="A34" t="str">
            <v>Investments Govt Securities</v>
          </cell>
        </row>
      </sheetData>
      <sheetData sheetId="11524">
        <row r="34">
          <cell r="A34" t="str">
            <v>Investments Govt Securities</v>
          </cell>
        </row>
      </sheetData>
      <sheetData sheetId="11525">
        <row r="34">
          <cell r="A34" t="str">
            <v>Investments Govt Securities</v>
          </cell>
        </row>
      </sheetData>
      <sheetData sheetId="11526">
        <row r="34">
          <cell r="A34" t="str">
            <v>Investments Govt Securities</v>
          </cell>
        </row>
      </sheetData>
      <sheetData sheetId="11527">
        <row r="34">
          <cell r="A34" t="str">
            <v>Investments Govt Securities</v>
          </cell>
        </row>
      </sheetData>
      <sheetData sheetId="11528">
        <row r="34">
          <cell r="A34" t="str">
            <v>Investments Govt Securities</v>
          </cell>
        </row>
      </sheetData>
      <sheetData sheetId="11529">
        <row r="34">
          <cell r="A34" t="str">
            <v>Investments Govt Securities</v>
          </cell>
        </row>
      </sheetData>
      <sheetData sheetId="11530">
        <row r="34">
          <cell r="A34" t="str">
            <v>Investments Govt Securities</v>
          </cell>
        </row>
      </sheetData>
      <sheetData sheetId="11531">
        <row r="34">
          <cell r="A34" t="str">
            <v>Investments Govt Securities</v>
          </cell>
        </row>
      </sheetData>
      <sheetData sheetId="11532">
        <row r="34">
          <cell r="A34" t="str">
            <v>Investments Govt Securities</v>
          </cell>
        </row>
      </sheetData>
      <sheetData sheetId="11533">
        <row r="34">
          <cell r="A34" t="str">
            <v>Investments Govt Securities</v>
          </cell>
        </row>
      </sheetData>
      <sheetData sheetId="11534">
        <row r="34">
          <cell r="A34" t="str">
            <v>Investments Govt Securities</v>
          </cell>
        </row>
      </sheetData>
      <sheetData sheetId="11535">
        <row r="34">
          <cell r="A34" t="str">
            <v>Investments Govt Securities</v>
          </cell>
        </row>
      </sheetData>
      <sheetData sheetId="11536">
        <row r="34">
          <cell r="A34" t="str">
            <v>Investments Govt Securities</v>
          </cell>
        </row>
      </sheetData>
      <sheetData sheetId="11537">
        <row r="34">
          <cell r="A34" t="str">
            <v>Investments Govt Securities</v>
          </cell>
        </row>
      </sheetData>
      <sheetData sheetId="11538">
        <row r="34">
          <cell r="A34" t="str">
            <v>Investments Govt Securities</v>
          </cell>
        </row>
      </sheetData>
      <sheetData sheetId="11539">
        <row r="34">
          <cell r="A34" t="str">
            <v>Investments Govt Securities</v>
          </cell>
        </row>
      </sheetData>
      <sheetData sheetId="11540">
        <row r="34">
          <cell r="A34" t="str">
            <v>Investments Govt Securities</v>
          </cell>
        </row>
      </sheetData>
      <sheetData sheetId="11541">
        <row r="34">
          <cell r="A34" t="str">
            <v>Investments Govt Securities</v>
          </cell>
        </row>
      </sheetData>
      <sheetData sheetId="11542">
        <row r="34">
          <cell r="A34" t="str">
            <v>Investments Govt Securities</v>
          </cell>
        </row>
      </sheetData>
      <sheetData sheetId="11543">
        <row r="34">
          <cell r="A34" t="str">
            <v>Investments Govt Securities</v>
          </cell>
        </row>
      </sheetData>
      <sheetData sheetId="11544">
        <row r="34">
          <cell r="A34" t="str">
            <v>Investments Govt Securities</v>
          </cell>
        </row>
      </sheetData>
      <sheetData sheetId="11545">
        <row r="34">
          <cell r="A34" t="str">
            <v>Investments Govt Securities</v>
          </cell>
        </row>
      </sheetData>
      <sheetData sheetId="11546">
        <row r="34">
          <cell r="A34" t="str">
            <v>Investments Govt Securities</v>
          </cell>
        </row>
      </sheetData>
      <sheetData sheetId="11547">
        <row r="34">
          <cell r="A34" t="str">
            <v>Investments Govt Securities</v>
          </cell>
        </row>
      </sheetData>
      <sheetData sheetId="11548">
        <row r="34">
          <cell r="A34" t="str">
            <v>Investments Govt Securities</v>
          </cell>
        </row>
      </sheetData>
      <sheetData sheetId="11549">
        <row r="34">
          <cell r="A34" t="str">
            <v>Investments Govt Securities</v>
          </cell>
        </row>
      </sheetData>
      <sheetData sheetId="11550">
        <row r="34">
          <cell r="A34" t="str">
            <v>Investments Govt Securities</v>
          </cell>
        </row>
      </sheetData>
      <sheetData sheetId="11551">
        <row r="34">
          <cell r="A34" t="str">
            <v>Investments Govt Securities</v>
          </cell>
        </row>
      </sheetData>
      <sheetData sheetId="11552">
        <row r="34">
          <cell r="A34" t="str">
            <v>Investments Govt Securities</v>
          </cell>
        </row>
      </sheetData>
      <sheetData sheetId="11553">
        <row r="34">
          <cell r="A34" t="str">
            <v>Investments Govt Securities</v>
          </cell>
        </row>
      </sheetData>
      <sheetData sheetId="11554">
        <row r="34">
          <cell r="A34" t="str">
            <v>Investments Govt Securities</v>
          </cell>
        </row>
      </sheetData>
      <sheetData sheetId="11555">
        <row r="34">
          <cell r="A34" t="str">
            <v>Investments Govt Securities</v>
          </cell>
        </row>
      </sheetData>
      <sheetData sheetId="11556">
        <row r="34">
          <cell r="A34" t="str">
            <v>Investments Govt Securities</v>
          </cell>
        </row>
      </sheetData>
      <sheetData sheetId="11557">
        <row r="34">
          <cell r="A34" t="str">
            <v>Investments Govt Securities</v>
          </cell>
        </row>
      </sheetData>
      <sheetData sheetId="11558">
        <row r="34">
          <cell r="A34" t="str">
            <v>Investments Govt Securities</v>
          </cell>
        </row>
      </sheetData>
      <sheetData sheetId="11559">
        <row r="34">
          <cell r="A34" t="str">
            <v>Investments Govt Securities</v>
          </cell>
        </row>
      </sheetData>
      <sheetData sheetId="11560">
        <row r="34">
          <cell r="A34" t="str">
            <v>Investments Govt Securities</v>
          </cell>
        </row>
      </sheetData>
      <sheetData sheetId="11561">
        <row r="34">
          <cell r="A34" t="str">
            <v>Investments Govt Securities</v>
          </cell>
        </row>
      </sheetData>
      <sheetData sheetId="11562">
        <row r="34">
          <cell r="A34" t="str">
            <v>Investments Govt Securities</v>
          </cell>
        </row>
      </sheetData>
      <sheetData sheetId="11563">
        <row r="34">
          <cell r="A34" t="str">
            <v>Investments Govt Securities</v>
          </cell>
        </row>
      </sheetData>
      <sheetData sheetId="11564">
        <row r="34">
          <cell r="A34" t="str">
            <v>Investments Govt Securities</v>
          </cell>
        </row>
      </sheetData>
      <sheetData sheetId="11565">
        <row r="34">
          <cell r="A34" t="str">
            <v>Investments Govt Securities</v>
          </cell>
        </row>
      </sheetData>
      <sheetData sheetId="11566">
        <row r="34">
          <cell r="A34" t="str">
            <v>Investments Govt Securities</v>
          </cell>
        </row>
      </sheetData>
      <sheetData sheetId="11567">
        <row r="34">
          <cell r="A34" t="str">
            <v>Investments Govt Securities</v>
          </cell>
        </row>
      </sheetData>
      <sheetData sheetId="11568">
        <row r="34">
          <cell r="A34" t="str">
            <v>Investments Govt Securities</v>
          </cell>
        </row>
      </sheetData>
      <sheetData sheetId="11569">
        <row r="34">
          <cell r="A34" t="str">
            <v>Investments Govt Securities</v>
          </cell>
        </row>
      </sheetData>
      <sheetData sheetId="11570">
        <row r="34">
          <cell r="A34" t="str">
            <v>Investments Govt Securities</v>
          </cell>
        </row>
      </sheetData>
      <sheetData sheetId="11571">
        <row r="34">
          <cell r="A34" t="str">
            <v>Investments Govt Securities</v>
          </cell>
        </row>
      </sheetData>
      <sheetData sheetId="11572">
        <row r="34">
          <cell r="A34" t="str">
            <v>Investments Govt Securities</v>
          </cell>
        </row>
      </sheetData>
      <sheetData sheetId="11573">
        <row r="34">
          <cell r="A34" t="str">
            <v>Investments Govt Securities</v>
          </cell>
        </row>
      </sheetData>
      <sheetData sheetId="11574">
        <row r="34">
          <cell r="A34" t="str">
            <v>Investments Govt Securities</v>
          </cell>
        </row>
      </sheetData>
      <sheetData sheetId="11575">
        <row r="34">
          <cell r="A34" t="str">
            <v>Investments Govt Securities</v>
          </cell>
        </row>
      </sheetData>
      <sheetData sheetId="11576">
        <row r="34">
          <cell r="A34" t="str">
            <v>Investments Govt Securities</v>
          </cell>
        </row>
      </sheetData>
      <sheetData sheetId="11577">
        <row r="34">
          <cell r="A34" t="str">
            <v>Investments Govt Securities</v>
          </cell>
        </row>
      </sheetData>
      <sheetData sheetId="11578">
        <row r="34">
          <cell r="A34" t="str">
            <v>Investments Govt Securities</v>
          </cell>
        </row>
      </sheetData>
      <sheetData sheetId="11579">
        <row r="34">
          <cell r="A34" t="str">
            <v>Investments Govt Securities</v>
          </cell>
        </row>
      </sheetData>
      <sheetData sheetId="11580">
        <row r="34">
          <cell r="A34" t="str">
            <v>Investments Govt Securities</v>
          </cell>
        </row>
      </sheetData>
      <sheetData sheetId="11581">
        <row r="34">
          <cell r="A34" t="str">
            <v>Investments Govt Securities</v>
          </cell>
        </row>
      </sheetData>
      <sheetData sheetId="11582">
        <row r="34">
          <cell r="A34" t="str">
            <v>Investments Govt Securities</v>
          </cell>
        </row>
      </sheetData>
      <sheetData sheetId="11583">
        <row r="34">
          <cell r="A34" t="str">
            <v>Investments Govt Securities</v>
          </cell>
        </row>
      </sheetData>
      <sheetData sheetId="11584">
        <row r="34">
          <cell r="A34" t="str">
            <v>Investments Govt Securities</v>
          </cell>
        </row>
      </sheetData>
      <sheetData sheetId="11585">
        <row r="34">
          <cell r="A34" t="str">
            <v>Investments Govt Securities</v>
          </cell>
        </row>
      </sheetData>
      <sheetData sheetId="11586">
        <row r="34">
          <cell r="A34" t="str">
            <v>Investments Govt Securities</v>
          </cell>
        </row>
      </sheetData>
      <sheetData sheetId="11587">
        <row r="34">
          <cell r="A34" t="str">
            <v>Investments Govt Securities</v>
          </cell>
        </row>
      </sheetData>
      <sheetData sheetId="11588">
        <row r="34">
          <cell r="A34" t="str">
            <v>Investments Govt Securities</v>
          </cell>
        </row>
      </sheetData>
      <sheetData sheetId="11589">
        <row r="34">
          <cell r="A34" t="str">
            <v>Investments Govt Securities</v>
          </cell>
        </row>
      </sheetData>
      <sheetData sheetId="11590">
        <row r="34">
          <cell r="A34" t="str">
            <v>Investments Govt Securities</v>
          </cell>
        </row>
      </sheetData>
      <sheetData sheetId="11591">
        <row r="34">
          <cell r="A34" t="str">
            <v>Investments Govt Securities</v>
          </cell>
        </row>
      </sheetData>
      <sheetData sheetId="11592">
        <row r="34">
          <cell r="A34" t="str">
            <v>Investments Govt Securities</v>
          </cell>
        </row>
      </sheetData>
      <sheetData sheetId="11593">
        <row r="34">
          <cell r="A34" t="str">
            <v>Investments Govt Securities</v>
          </cell>
        </row>
      </sheetData>
      <sheetData sheetId="11594">
        <row r="34">
          <cell r="A34" t="str">
            <v>Investments Govt Securities</v>
          </cell>
        </row>
      </sheetData>
      <sheetData sheetId="11595">
        <row r="34">
          <cell r="A34" t="str">
            <v>Investments Govt Securities</v>
          </cell>
        </row>
      </sheetData>
      <sheetData sheetId="11596">
        <row r="34">
          <cell r="A34" t="str">
            <v>Investments Govt Securities</v>
          </cell>
        </row>
      </sheetData>
      <sheetData sheetId="11597">
        <row r="34">
          <cell r="A34" t="str">
            <v>Investments Govt Securities</v>
          </cell>
        </row>
      </sheetData>
      <sheetData sheetId="11598">
        <row r="34">
          <cell r="A34" t="str">
            <v>Investments Govt Securities</v>
          </cell>
        </row>
      </sheetData>
      <sheetData sheetId="11599">
        <row r="34">
          <cell r="A34" t="str">
            <v>Investments Govt Securities</v>
          </cell>
        </row>
      </sheetData>
      <sheetData sheetId="11600">
        <row r="34">
          <cell r="A34" t="str">
            <v>Investments Govt Securities</v>
          </cell>
        </row>
      </sheetData>
      <sheetData sheetId="11601">
        <row r="34">
          <cell r="A34" t="str">
            <v>Investments Govt Securities</v>
          </cell>
        </row>
      </sheetData>
      <sheetData sheetId="11602">
        <row r="34">
          <cell r="A34" t="str">
            <v>Investments Govt Securities</v>
          </cell>
        </row>
      </sheetData>
      <sheetData sheetId="11603">
        <row r="34">
          <cell r="A34" t="str">
            <v>Investments Govt Securities</v>
          </cell>
        </row>
      </sheetData>
      <sheetData sheetId="11604">
        <row r="34">
          <cell r="A34" t="str">
            <v>Investments Govt Securities</v>
          </cell>
        </row>
      </sheetData>
      <sheetData sheetId="11605">
        <row r="34">
          <cell r="A34" t="str">
            <v>Investments Govt Securities</v>
          </cell>
        </row>
      </sheetData>
      <sheetData sheetId="11606">
        <row r="34">
          <cell r="A34" t="str">
            <v>Investments Govt Securities</v>
          </cell>
        </row>
      </sheetData>
      <sheetData sheetId="11607">
        <row r="34">
          <cell r="A34" t="str">
            <v>Investments Govt Securities</v>
          </cell>
        </row>
      </sheetData>
      <sheetData sheetId="11608">
        <row r="34">
          <cell r="A34" t="str">
            <v>Investments Govt Securities</v>
          </cell>
        </row>
      </sheetData>
      <sheetData sheetId="11609">
        <row r="34">
          <cell r="A34" t="str">
            <v>Investments Govt Securities</v>
          </cell>
        </row>
      </sheetData>
      <sheetData sheetId="11610">
        <row r="34">
          <cell r="A34" t="str">
            <v>Investments Govt Securities</v>
          </cell>
        </row>
      </sheetData>
      <sheetData sheetId="11611">
        <row r="34">
          <cell r="A34" t="str">
            <v>Investments Govt Securities</v>
          </cell>
        </row>
      </sheetData>
      <sheetData sheetId="11612">
        <row r="34">
          <cell r="A34" t="str">
            <v>Investments Govt Securities</v>
          </cell>
        </row>
      </sheetData>
      <sheetData sheetId="11613">
        <row r="34">
          <cell r="A34" t="str">
            <v>Investments Govt Securities</v>
          </cell>
        </row>
      </sheetData>
      <sheetData sheetId="11614">
        <row r="34">
          <cell r="A34" t="str">
            <v>Investments Govt Securities</v>
          </cell>
        </row>
      </sheetData>
      <sheetData sheetId="11615">
        <row r="34">
          <cell r="A34" t="str">
            <v>Investments Govt Securities</v>
          </cell>
        </row>
      </sheetData>
      <sheetData sheetId="11616">
        <row r="34">
          <cell r="A34" t="str">
            <v>Investments Govt Securities</v>
          </cell>
        </row>
      </sheetData>
      <sheetData sheetId="11617">
        <row r="34">
          <cell r="A34" t="str">
            <v>Investments Govt Securities</v>
          </cell>
        </row>
      </sheetData>
      <sheetData sheetId="11618">
        <row r="34">
          <cell r="A34" t="str">
            <v>Investments Govt Securities</v>
          </cell>
        </row>
      </sheetData>
      <sheetData sheetId="11619">
        <row r="34">
          <cell r="A34" t="str">
            <v>Investments Govt Securities</v>
          </cell>
        </row>
      </sheetData>
      <sheetData sheetId="11620">
        <row r="34">
          <cell r="A34" t="str">
            <v>Investments Govt Securities</v>
          </cell>
        </row>
      </sheetData>
      <sheetData sheetId="11621">
        <row r="34">
          <cell r="A34" t="str">
            <v>Investments Govt Securities</v>
          </cell>
        </row>
      </sheetData>
      <sheetData sheetId="11622">
        <row r="34">
          <cell r="A34" t="str">
            <v>Investments Govt Securities</v>
          </cell>
        </row>
      </sheetData>
      <sheetData sheetId="11623">
        <row r="34">
          <cell r="A34" t="str">
            <v>Investments Govt Securities</v>
          </cell>
        </row>
      </sheetData>
      <sheetData sheetId="11624">
        <row r="34">
          <cell r="A34" t="str">
            <v>Investments Govt Securities</v>
          </cell>
        </row>
      </sheetData>
      <sheetData sheetId="11625">
        <row r="34">
          <cell r="A34" t="str">
            <v>Investments Govt Securities</v>
          </cell>
        </row>
      </sheetData>
      <sheetData sheetId="11626">
        <row r="34">
          <cell r="A34" t="str">
            <v>Investments Govt Securities</v>
          </cell>
        </row>
      </sheetData>
      <sheetData sheetId="11627">
        <row r="34">
          <cell r="A34" t="str">
            <v>Investments Govt Securities</v>
          </cell>
        </row>
      </sheetData>
      <sheetData sheetId="11628">
        <row r="34">
          <cell r="A34" t="str">
            <v>Investments Govt Securities</v>
          </cell>
        </row>
      </sheetData>
      <sheetData sheetId="11629">
        <row r="34">
          <cell r="A34" t="str">
            <v>Investments Govt Securities</v>
          </cell>
        </row>
      </sheetData>
      <sheetData sheetId="11630">
        <row r="34">
          <cell r="A34" t="str">
            <v>Investments Govt Securities</v>
          </cell>
        </row>
      </sheetData>
      <sheetData sheetId="11631">
        <row r="34">
          <cell r="A34" t="str">
            <v>Investments Govt Securities</v>
          </cell>
        </row>
      </sheetData>
      <sheetData sheetId="11632">
        <row r="34">
          <cell r="A34" t="str">
            <v>Investments Govt Securities</v>
          </cell>
        </row>
      </sheetData>
      <sheetData sheetId="11633">
        <row r="34">
          <cell r="A34" t="str">
            <v>Investments Govt Securities</v>
          </cell>
        </row>
      </sheetData>
      <sheetData sheetId="11634">
        <row r="34">
          <cell r="A34" t="str">
            <v>Investments Govt Securities</v>
          </cell>
        </row>
      </sheetData>
      <sheetData sheetId="11635">
        <row r="34">
          <cell r="A34" t="str">
            <v>Investments Govt Securities</v>
          </cell>
        </row>
      </sheetData>
      <sheetData sheetId="11636">
        <row r="34">
          <cell r="A34" t="str">
            <v>Investments Govt Securities</v>
          </cell>
        </row>
      </sheetData>
      <sheetData sheetId="11637">
        <row r="34">
          <cell r="A34" t="str">
            <v>Investments Govt Securities</v>
          </cell>
        </row>
      </sheetData>
      <sheetData sheetId="11638">
        <row r="34">
          <cell r="A34" t="str">
            <v>Investments Govt Securities</v>
          </cell>
        </row>
      </sheetData>
      <sheetData sheetId="11639">
        <row r="34">
          <cell r="A34" t="str">
            <v>Investments Govt Securities</v>
          </cell>
        </row>
      </sheetData>
      <sheetData sheetId="11640">
        <row r="34">
          <cell r="A34" t="str">
            <v>Investments Govt Securities</v>
          </cell>
        </row>
      </sheetData>
      <sheetData sheetId="11641">
        <row r="34">
          <cell r="A34" t="str">
            <v>Investments Govt Securities</v>
          </cell>
        </row>
      </sheetData>
      <sheetData sheetId="11642">
        <row r="34">
          <cell r="A34" t="str">
            <v>Investments Govt Securities</v>
          </cell>
        </row>
      </sheetData>
      <sheetData sheetId="11643">
        <row r="34">
          <cell r="A34" t="str">
            <v>Investments Govt Securities</v>
          </cell>
        </row>
      </sheetData>
      <sheetData sheetId="11644">
        <row r="34">
          <cell r="A34" t="str">
            <v>Investments Govt Securities</v>
          </cell>
        </row>
      </sheetData>
      <sheetData sheetId="11645">
        <row r="34">
          <cell r="A34" t="str">
            <v>Investments Govt Securities</v>
          </cell>
        </row>
      </sheetData>
      <sheetData sheetId="11646">
        <row r="34">
          <cell r="A34" t="str">
            <v>Investments Govt Securities</v>
          </cell>
        </row>
      </sheetData>
      <sheetData sheetId="11647">
        <row r="34">
          <cell r="A34" t="str">
            <v>Investments Govt Securities</v>
          </cell>
        </row>
      </sheetData>
      <sheetData sheetId="11648">
        <row r="34">
          <cell r="A34" t="str">
            <v>Investments Govt Securities</v>
          </cell>
        </row>
      </sheetData>
      <sheetData sheetId="11649">
        <row r="34">
          <cell r="A34" t="str">
            <v>Investments Govt Securities</v>
          </cell>
        </row>
      </sheetData>
      <sheetData sheetId="11650">
        <row r="34">
          <cell r="A34" t="str">
            <v>Investments Govt Securities</v>
          </cell>
        </row>
      </sheetData>
      <sheetData sheetId="11651">
        <row r="34">
          <cell r="A34" t="str">
            <v>Investments Govt Securities</v>
          </cell>
        </row>
      </sheetData>
      <sheetData sheetId="11652">
        <row r="34">
          <cell r="A34" t="str">
            <v>Investments Govt Securities</v>
          </cell>
        </row>
      </sheetData>
      <sheetData sheetId="11653">
        <row r="34">
          <cell r="A34" t="str">
            <v>Investments Govt Securities</v>
          </cell>
        </row>
      </sheetData>
      <sheetData sheetId="11654">
        <row r="34">
          <cell r="A34" t="str">
            <v>Investments Govt Securities</v>
          </cell>
        </row>
      </sheetData>
      <sheetData sheetId="11655">
        <row r="34">
          <cell r="A34" t="str">
            <v>Investments Govt Securities</v>
          </cell>
        </row>
      </sheetData>
      <sheetData sheetId="11656">
        <row r="34">
          <cell r="A34" t="str">
            <v>Investments Govt Securities</v>
          </cell>
        </row>
      </sheetData>
      <sheetData sheetId="11657">
        <row r="34">
          <cell r="A34" t="str">
            <v>Investments Govt Securities</v>
          </cell>
        </row>
      </sheetData>
      <sheetData sheetId="11658">
        <row r="34">
          <cell r="A34" t="str">
            <v>Investments Govt Securities</v>
          </cell>
        </row>
      </sheetData>
      <sheetData sheetId="11659">
        <row r="34">
          <cell r="A34" t="str">
            <v>Investments Govt Securities</v>
          </cell>
        </row>
      </sheetData>
      <sheetData sheetId="11660">
        <row r="34">
          <cell r="A34" t="str">
            <v>Investments Govt Securities</v>
          </cell>
        </row>
      </sheetData>
      <sheetData sheetId="11661">
        <row r="34">
          <cell r="A34" t="str">
            <v>Investments Govt Securities</v>
          </cell>
        </row>
      </sheetData>
      <sheetData sheetId="11662">
        <row r="34">
          <cell r="A34" t="str">
            <v>Investments Govt Securities</v>
          </cell>
        </row>
      </sheetData>
      <sheetData sheetId="11663">
        <row r="34">
          <cell r="A34" t="str">
            <v>Investments Govt Securities</v>
          </cell>
        </row>
      </sheetData>
      <sheetData sheetId="11664">
        <row r="34">
          <cell r="A34" t="str">
            <v>Investments Govt Securities</v>
          </cell>
        </row>
      </sheetData>
      <sheetData sheetId="11665">
        <row r="34">
          <cell r="A34" t="str">
            <v>Investments Govt Securities</v>
          </cell>
        </row>
      </sheetData>
      <sheetData sheetId="11666">
        <row r="34">
          <cell r="A34" t="str">
            <v>Investments Govt Securities</v>
          </cell>
        </row>
      </sheetData>
      <sheetData sheetId="11667">
        <row r="34">
          <cell r="A34" t="str">
            <v>Investments Govt Securities</v>
          </cell>
        </row>
      </sheetData>
      <sheetData sheetId="11668">
        <row r="34">
          <cell r="A34" t="str">
            <v>Investments Govt Securities</v>
          </cell>
        </row>
      </sheetData>
      <sheetData sheetId="11669">
        <row r="34">
          <cell r="A34" t="str">
            <v>Investments Govt Securities</v>
          </cell>
        </row>
      </sheetData>
      <sheetData sheetId="11670">
        <row r="34">
          <cell r="A34" t="str">
            <v>Investments Govt Securities</v>
          </cell>
        </row>
      </sheetData>
      <sheetData sheetId="11671">
        <row r="34">
          <cell r="A34" t="str">
            <v>Investments Govt Securities</v>
          </cell>
        </row>
      </sheetData>
      <sheetData sheetId="11672">
        <row r="34">
          <cell r="A34" t="str">
            <v>Investments Govt Securities</v>
          </cell>
        </row>
      </sheetData>
      <sheetData sheetId="11673">
        <row r="34">
          <cell r="A34" t="str">
            <v>Investments Govt Securities</v>
          </cell>
        </row>
      </sheetData>
      <sheetData sheetId="11674">
        <row r="34">
          <cell r="A34" t="str">
            <v>Investments Govt Securities</v>
          </cell>
        </row>
      </sheetData>
      <sheetData sheetId="11675">
        <row r="34">
          <cell r="A34" t="str">
            <v>Investments Govt Securities</v>
          </cell>
        </row>
      </sheetData>
      <sheetData sheetId="11676">
        <row r="34">
          <cell r="A34" t="str">
            <v>Investments Govt Securities</v>
          </cell>
        </row>
      </sheetData>
      <sheetData sheetId="11677">
        <row r="34">
          <cell r="A34" t="str">
            <v>Investments Govt Securities</v>
          </cell>
        </row>
      </sheetData>
      <sheetData sheetId="11678">
        <row r="34">
          <cell r="A34" t="str">
            <v>Investments Govt Securities</v>
          </cell>
        </row>
      </sheetData>
      <sheetData sheetId="11679">
        <row r="34">
          <cell r="A34" t="str">
            <v>Investments Govt Securities</v>
          </cell>
        </row>
      </sheetData>
      <sheetData sheetId="11680">
        <row r="34">
          <cell r="A34" t="str">
            <v>Investments Govt Securities</v>
          </cell>
        </row>
      </sheetData>
      <sheetData sheetId="11681">
        <row r="34">
          <cell r="A34" t="str">
            <v>Investments Govt Securities</v>
          </cell>
        </row>
      </sheetData>
      <sheetData sheetId="11682">
        <row r="34">
          <cell r="A34" t="str">
            <v>Investments Govt Securities</v>
          </cell>
        </row>
      </sheetData>
      <sheetData sheetId="11683">
        <row r="34">
          <cell r="A34" t="str">
            <v>Investments Govt Securities</v>
          </cell>
        </row>
      </sheetData>
      <sheetData sheetId="11684">
        <row r="34">
          <cell r="A34" t="str">
            <v>Investments Govt Securities</v>
          </cell>
        </row>
      </sheetData>
      <sheetData sheetId="11685">
        <row r="34">
          <cell r="A34" t="str">
            <v>Investments Govt Securities</v>
          </cell>
        </row>
      </sheetData>
      <sheetData sheetId="11686">
        <row r="34">
          <cell r="A34" t="str">
            <v>Investments Govt Securities</v>
          </cell>
        </row>
      </sheetData>
      <sheetData sheetId="11687">
        <row r="34">
          <cell r="A34" t="str">
            <v>Investments Govt Securities</v>
          </cell>
        </row>
      </sheetData>
      <sheetData sheetId="11688">
        <row r="34">
          <cell r="A34" t="str">
            <v>Investments Govt Securities</v>
          </cell>
        </row>
      </sheetData>
      <sheetData sheetId="11689">
        <row r="34">
          <cell r="A34" t="str">
            <v>Investments Govt Securities</v>
          </cell>
        </row>
      </sheetData>
      <sheetData sheetId="11690">
        <row r="34">
          <cell r="A34" t="str">
            <v>Investments Govt Securities</v>
          </cell>
        </row>
      </sheetData>
      <sheetData sheetId="11691">
        <row r="34">
          <cell r="A34" t="str">
            <v>Investments Govt Securities</v>
          </cell>
        </row>
      </sheetData>
      <sheetData sheetId="11692">
        <row r="34">
          <cell r="A34" t="str">
            <v>Investments Govt Securities</v>
          </cell>
        </row>
      </sheetData>
      <sheetData sheetId="11693">
        <row r="34">
          <cell r="A34" t="str">
            <v>Investments Govt Securities</v>
          </cell>
        </row>
      </sheetData>
      <sheetData sheetId="11694">
        <row r="34">
          <cell r="A34" t="str">
            <v>Investments Govt Securities</v>
          </cell>
        </row>
      </sheetData>
      <sheetData sheetId="11695">
        <row r="34">
          <cell r="A34" t="str">
            <v>Investments Govt Securities</v>
          </cell>
        </row>
      </sheetData>
      <sheetData sheetId="11696">
        <row r="34">
          <cell r="A34" t="str">
            <v>Investments Govt Securities</v>
          </cell>
        </row>
      </sheetData>
      <sheetData sheetId="11697">
        <row r="34">
          <cell r="A34" t="str">
            <v>Investments Govt Securities</v>
          </cell>
        </row>
      </sheetData>
      <sheetData sheetId="11698">
        <row r="34">
          <cell r="A34" t="str">
            <v>Investments Govt Securities</v>
          </cell>
        </row>
      </sheetData>
      <sheetData sheetId="11699">
        <row r="34">
          <cell r="A34" t="str">
            <v>Investments Govt Securities</v>
          </cell>
        </row>
      </sheetData>
      <sheetData sheetId="11700">
        <row r="34">
          <cell r="A34" t="str">
            <v>Investments Govt Securities</v>
          </cell>
        </row>
      </sheetData>
      <sheetData sheetId="11701">
        <row r="34">
          <cell r="A34" t="str">
            <v>Investments Govt Securities</v>
          </cell>
        </row>
      </sheetData>
      <sheetData sheetId="11702">
        <row r="34">
          <cell r="A34" t="str">
            <v>Investments Govt Securities</v>
          </cell>
        </row>
      </sheetData>
      <sheetData sheetId="11703">
        <row r="34">
          <cell r="A34" t="str">
            <v>Investments Govt Securities</v>
          </cell>
        </row>
      </sheetData>
      <sheetData sheetId="11704">
        <row r="34">
          <cell r="A34" t="str">
            <v>Investments Govt Securities</v>
          </cell>
        </row>
      </sheetData>
      <sheetData sheetId="11705">
        <row r="34">
          <cell r="A34" t="str">
            <v>Investments Govt Securities</v>
          </cell>
        </row>
      </sheetData>
      <sheetData sheetId="11706">
        <row r="34">
          <cell r="A34" t="str">
            <v>Investments Govt Securities</v>
          </cell>
        </row>
      </sheetData>
      <sheetData sheetId="11707">
        <row r="34">
          <cell r="A34" t="str">
            <v>Investments Govt Securities</v>
          </cell>
        </row>
      </sheetData>
      <sheetData sheetId="11708">
        <row r="34">
          <cell r="A34" t="str">
            <v>Investments Govt Securities</v>
          </cell>
        </row>
      </sheetData>
      <sheetData sheetId="11709">
        <row r="34">
          <cell r="A34" t="str">
            <v>Investments Govt Securities</v>
          </cell>
        </row>
      </sheetData>
      <sheetData sheetId="11710">
        <row r="34">
          <cell r="A34" t="str">
            <v>Investments Govt Securities</v>
          </cell>
        </row>
      </sheetData>
      <sheetData sheetId="11711">
        <row r="34">
          <cell r="A34" t="str">
            <v>Investments Govt Securities</v>
          </cell>
        </row>
      </sheetData>
      <sheetData sheetId="11712">
        <row r="34">
          <cell r="A34" t="str">
            <v>Investments Govt Securities</v>
          </cell>
        </row>
      </sheetData>
      <sheetData sheetId="11713">
        <row r="34">
          <cell r="A34" t="str">
            <v>Investments Govt Securities</v>
          </cell>
        </row>
      </sheetData>
      <sheetData sheetId="11714">
        <row r="34">
          <cell r="A34" t="str">
            <v>Investments Govt Securities</v>
          </cell>
        </row>
      </sheetData>
      <sheetData sheetId="11715">
        <row r="34">
          <cell r="A34" t="str">
            <v>Investments Govt Securities</v>
          </cell>
        </row>
      </sheetData>
      <sheetData sheetId="11716">
        <row r="34">
          <cell r="A34" t="str">
            <v>Investments Govt Securities</v>
          </cell>
        </row>
      </sheetData>
      <sheetData sheetId="11717">
        <row r="34">
          <cell r="A34" t="str">
            <v>Investments Govt Securities</v>
          </cell>
        </row>
      </sheetData>
      <sheetData sheetId="11718">
        <row r="34">
          <cell r="A34" t="str">
            <v>Investments Govt Securities</v>
          </cell>
        </row>
      </sheetData>
      <sheetData sheetId="11719">
        <row r="34">
          <cell r="A34" t="str">
            <v>Investments Govt Securities</v>
          </cell>
        </row>
      </sheetData>
      <sheetData sheetId="11720">
        <row r="34">
          <cell r="A34" t="str">
            <v>Investments Govt Securities</v>
          </cell>
        </row>
      </sheetData>
      <sheetData sheetId="11721">
        <row r="34">
          <cell r="A34" t="str">
            <v>Investments Govt Securities</v>
          </cell>
        </row>
      </sheetData>
      <sheetData sheetId="11722">
        <row r="34">
          <cell r="A34" t="str">
            <v>Investments Govt Securities</v>
          </cell>
        </row>
      </sheetData>
      <sheetData sheetId="11723">
        <row r="34">
          <cell r="A34" t="str">
            <v>Investments Govt Securities</v>
          </cell>
        </row>
      </sheetData>
      <sheetData sheetId="11724">
        <row r="34">
          <cell r="A34" t="str">
            <v>Investments Govt Securities</v>
          </cell>
        </row>
      </sheetData>
      <sheetData sheetId="11725">
        <row r="34">
          <cell r="A34" t="str">
            <v>Investments Govt Securities</v>
          </cell>
        </row>
      </sheetData>
      <sheetData sheetId="11726">
        <row r="34">
          <cell r="A34" t="str">
            <v>Investments Govt Securities</v>
          </cell>
        </row>
      </sheetData>
      <sheetData sheetId="11727">
        <row r="34">
          <cell r="A34" t="str">
            <v>Investments Govt Securities</v>
          </cell>
        </row>
      </sheetData>
      <sheetData sheetId="11728">
        <row r="34">
          <cell r="A34" t="str">
            <v>Investments Govt Securities</v>
          </cell>
        </row>
      </sheetData>
      <sheetData sheetId="11729">
        <row r="34">
          <cell r="A34" t="str">
            <v>Investments Govt Securities</v>
          </cell>
        </row>
      </sheetData>
      <sheetData sheetId="11730">
        <row r="34">
          <cell r="A34" t="str">
            <v>Investments Govt Securities</v>
          </cell>
        </row>
      </sheetData>
      <sheetData sheetId="11731">
        <row r="34">
          <cell r="A34" t="str">
            <v>Investments Govt Securities</v>
          </cell>
        </row>
      </sheetData>
      <sheetData sheetId="11732">
        <row r="34">
          <cell r="A34" t="str">
            <v>Investments Govt Securities</v>
          </cell>
        </row>
      </sheetData>
      <sheetData sheetId="11733">
        <row r="34">
          <cell r="A34" t="str">
            <v>Investments Govt Securities</v>
          </cell>
        </row>
      </sheetData>
      <sheetData sheetId="11734">
        <row r="34">
          <cell r="A34" t="str">
            <v>Investments Govt Securities</v>
          </cell>
        </row>
      </sheetData>
      <sheetData sheetId="11735">
        <row r="34">
          <cell r="A34" t="str">
            <v>Investments Govt Securities</v>
          </cell>
        </row>
      </sheetData>
      <sheetData sheetId="11736">
        <row r="34">
          <cell r="A34" t="str">
            <v>Investments Govt Securities</v>
          </cell>
        </row>
      </sheetData>
      <sheetData sheetId="11737">
        <row r="34">
          <cell r="A34" t="str">
            <v>Investments Govt Securities</v>
          </cell>
        </row>
      </sheetData>
      <sheetData sheetId="11738">
        <row r="34">
          <cell r="A34" t="str">
            <v>Investments Govt Securities</v>
          </cell>
        </row>
      </sheetData>
      <sheetData sheetId="11739">
        <row r="34">
          <cell r="A34" t="str">
            <v>Investments Govt Securities</v>
          </cell>
        </row>
      </sheetData>
      <sheetData sheetId="11740">
        <row r="34">
          <cell r="A34" t="str">
            <v>Investments Govt Securities</v>
          </cell>
        </row>
      </sheetData>
      <sheetData sheetId="11741">
        <row r="34">
          <cell r="A34" t="str">
            <v>Investments Govt Securities</v>
          </cell>
        </row>
      </sheetData>
      <sheetData sheetId="11742">
        <row r="34">
          <cell r="A34" t="str">
            <v>Investments Govt Securities</v>
          </cell>
        </row>
      </sheetData>
      <sheetData sheetId="11743">
        <row r="34">
          <cell r="A34" t="str">
            <v>Investments Govt Securities</v>
          </cell>
        </row>
      </sheetData>
      <sheetData sheetId="11744">
        <row r="34">
          <cell r="A34" t="str">
            <v>Investments Govt Securities</v>
          </cell>
        </row>
      </sheetData>
      <sheetData sheetId="11745">
        <row r="34">
          <cell r="A34" t="str">
            <v>Investments Govt Securities</v>
          </cell>
        </row>
      </sheetData>
      <sheetData sheetId="11746">
        <row r="34">
          <cell r="A34" t="str">
            <v>Investments Govt Securities</v>
          </cell>
        </row>
      </sheetData>
      <sheetData sheetId="11747">
        <row r="34">
          <cell r="A34" t="str">
            <v>Investments Govt Securities</v>
          </cell>
        </row>
      </sheetData>
      <sheetData sheetId="11748">
        <row r="34">
          <cell r="A34" t="str">
            <v>Investments Govt Securities</v>
          </cell>
        </row>
      </sheetData>
      <sheetData sheetId="11749">
        <row r="34">
          <cell r="A34" t="str">
            <v>Investments Govt Securities</v>
          </cell>
        </row>
      </sheetData>
      <sheetData sheetId="11750">
        <row r="34">
          <cell r="A34" t="str">
            <v>Investments Govt Securities</v>
          </cell>
        </row>
      </sheetData>
      <sheetData sheetId="11751">
        <row r="34">
          <cell r="A34" t="str">
            <v>Investments Govt Securities</v>
          </cell>
        </row>
      </sheetData>
      <sheetData sheetId="11752">
        <row r="34">
          <cell r="A34" t="str">
            <v>Investments Govt Securities</v>
          </cell>
        </row>
      </sheetData>
      <sheetData sheetId="11753">
        <row r="34">
          <cell r="A34" t="str">
            <v>Investments Govt Securities</v>
          </cell>
        </row>
      </sheetData>
      <sheetData sheetId="11754">
        <row r="34">
          <cell r="A34" t="str">
            <v>Investments Govt Securities</v>
          </cell>
        </row>
      </sheetData>
      <sheetData sheetId="11755">
        <row r="34">
          <cell r="A34" t="str">
            <v>Investments Govt Securities</v>
          </cell>
        </row>
      </sheetData>
      <sheetData sheetId="11756">
        <row r="34">
          <cell r="A34" t="str">
            <v>Investments Govt Securities</v>
          </cell>
        </row>
      </sheetData>
      <sheetData sheetId="11757">
        <row r="34">
          <cell r="A34" t="str">
            <v>Investments Govt Securities</v>
          </cell>
        </row>
      </sheetData>
      <sheetData sheetId="11758">
        <row r="34">
          <cell r="A34" t="str">
            <v>Investments Govt Securities</v>
          </cell>
        </row>
      </sheetData>
      <sheetData sheetId="11759">
        <row r="34">
          <cell r="A34" t="str">
            <v>Investments Govt Securities</v>
          </cell>
        </row>
      </sheetData>
      <sheetData sheetId="11760">
        <row r="34">
          <cell r="A34" t="str">
            <v>Investments Govt Securities</v>
          </cell>
        </row>
      </sheetData>
      <sheetData sheetId="11761">
        <row r="34">
          <cell r="A34" t="str">
            <v>Investments Govt Securities</v>
          </cell>
        </row>
      </sheetData>
      <sheetData sheetId="11762">
        <row r="34">
          <cell r="A34" t="str">
            <v>Investments Govt Securities</v>
          </cell>
        </row>
      </sheetData>
      <sheetData sheetId="11763">
        <row r="34">
          <cell r="A34" t="str">
            <v>Investments Govt Securities</v>
          </cell>
        </row>
      </sheetData>
      <sheetData sheetId="11764">
        <row r="34">
          <cell r="A34" t="str">
            <v>Investments Govt Securities</v>
          </cell>
        </row>
      </sheetData>
      <sheetData sheetId="11765">
        <row r="34">
          <cell r="A34" t="str">
            <v>Investments Govt Securities</v>
          </cell>
        </row>
      </sheetData>
      <sheetData sheetId="11766">
        <row r="34">
          <cell r="A34" t="str">
            <v>Investments Govt Securities</v>
          </cell>
        </row>
      </sheetData>
      <sheetData sheetId="11767">
        <row r="34">
          <cell r="A34" t="str">
            <v>Investments Govt Securities</v>
          </cell>
        </row>
      </sheetData>
      <sheetData sheetId="11768">
        <row r="34">
          <cell r="A34" t="str">
            <v>Investments Govt Securities</v>
          </cell>
        </row>
      </sheetData>
      <sheetData sheetId="11769">
        <row r="34">
          <cell r="A34" t="str">
            <v>Investments Govt Securities</v>
          </cell>
        </row>
      </sheetData>
      <sheetData sheetId="11770">
        <row r="34">
          <cell r="A34" t="str">
            <v>Investments Govt Securities</v>
          </cell>
        </row>
      </sheetData>
      <sheetData sheetId="11771">
        <row r="34">
          <cell r="A34" t="str">
            <v>Investments Govt Securities</v>
          </cell>
        </row>
      </sheetData>
      <sheetData sheetId="11772">
        <row r="34">
          <cell r="A34" t="str">
            <v>Investments Govt Securities</v>
          </cell>
        </row>
      </sheetData>
      <sheetData sheetId="11773">
        <row r="34">
          <cell r="A34" t="str">
            <v>Investments Govt Securities</v>
          </cell>
        </row>
      </sheetData>
      <sheetData sheetId="11774">
        <row r="34">
          <cell r="A34" t="str">
            <v>Investments Govt Securities</v>
          </cell>
        </row>
      </sheetData>
      <sheetData sheetId="11775">
        <row r="34">
          <cell r="A34" t="str">
            <v>Investments Govt Securities</v>
          </cell>
        </row>
      </sheetData>
      <sheetData sheetId="11776">
        <row r="34">
          <cell r="A34" t="str">
            <v>Investments Govt Securities</v>
          </cell>
        </row>
      </sheetData>
      <sheetData sheetId="11777">
        <row r="34">
          <cell r="A34" t="str">
            <v>Investments Govt Securities</v>
          </cell>
        </row>
      </sheetData>
      <sheetData sheetId="11778">
        <row r="34">
          <cell r="A34" t="str">
            <v>Investments Govt Securities</v>
          </cell>
        </row>
      </sheetData>
      <sheetData sheetId="11779">
        <row r="34">
          <cell r="A34" t="str">
            <v>Investments Govt Securities</v>
          </cell>
        </row>
      </sheetData>
      <sheetData sheetId="11780">
        <row r="34">
          <cell r="A34" t="str">
            <v>Investments Govt Securities</v>
          </cell>
        </row>
      </sheetData>
      <sheetData sheetId="11781">
        <row r="34">
          <cell r="A34" t="str">
            <v>Investments Govt Securities</v>
          </cell>
        </row>
      </sheetData>
      <sheetData sheetId="11782">
        <row r="34">
          <cell r="A34" t="str">
            <v>Investments Govt Securities</v>
          </cell>
        </row>
      </sheetData>
      <sheetData sheetId="11783">
        <row r="34">
          <cell r="A34" t="str">
            <v>Investments Govt Securities</v>
          </cell>
        </row>
      </sheetData>
      <sheetData sheetId="11784">
        <row r="34">
          <cell r="A34" t="str">
            <v>Investments Govt Securities</v>
          </cell>
        </row>
      </sheetData>
      <sheetData sheetId="11785">
        <row r="34">
          <cell r="A34" t="str">
            <v>Investments Govt Securities</v>
          </cell>
        </row>
      </sheetData>
      <sheetData sheetId="11786">
        <row r="34">
          <cell r="A34" t="str">
            <v>Investments Govt Securities</v>
          </cell>
        </row>
      </sheetData>
      <sheetData sheetId="11787">
        <row r="34">
          <cell r="A34" t="str">
            <v>Investments Govt Securities</v>
          </cell>
        </row>
      </sheetData>
      <sheetData sheetId="11788">
        <row r="34">
          <cell r="A34" t="str">
            <v>Investments Govt Securities</v>
          </cell>
        </row>
      </sheetData>
      <sheetData sheetId="11789">
        <row r="34">
          <cell r="A34" t="str">
            <v>Investments Govt Securities</v>
          </cell>
        </row>
      </sheetData>
      <sheetData sheetId="11790">
        <row r="34">
          <cell r="A34" t="str">
            <v>Investments Govt Securities</v>
          </cell>
        </row>
      </sheetData>
      <sheetData sheetId="11791">
        <row r="34">
          <cell r="A34" t="str">
            <v>Investments Govt Securities</v>
          </cell>
        </row>
      </sheetData>
      <sheetData sheetId="11792">
        <row r="34">
          <cell r="A34" t="str">
            <v>Investments Govt Securities</v>
          </cell>
        </row>
      </sheetData>
      <sheetData sheetId="11793">
        <row r="34">
          <cell r="A34" t="str">
            <v>Investments Govt Securities</v>
          </cell>
        </row>
      </sheetData>
      <sheetData sheetId="11794">
        <row r="34">
          <cell r="A34" t="str">
            <v>Investments Govt Securities</v>
          </cell>
        </row>
      </sheetData>
      <sheetData sheetId="11795">
        <row r="34">
          <cell r="A34" t="str">
            <v>Investments Govt Securities</v>
          </cell>
        </row>
      </sheetData>
      <sheetData sheetId="11796">
        <row r="34">
          <cell r="A34" t="str">
            <v>Investments Govt Securities</v>
          </cell>
        </row>
      </sheetData>
      <sheetData sheetId="11797">
        <row r="34">
          <cell r="A34" t="str">
            <v>Investments Govt Securities</v>
          </cell>
        </row>
      </sheetData>
      <sheetData sheetId="11798">
        <row r="34">
          <cell r="A34" t="str">
            <v>Investments Govt Securities</v>
          </cell>
        </row>
      </sheetData>
      <sheetData sheetId="11799">
        <row r="34">
          <cell r="A34" t="str">
            <v>Investments Govt Securities</v>
          </cell>
        </row>
      </sheetData>
      <sheetData sheetId="11800">
        <row r="34">
          <cell r="A34" t="str">
            <v>Investments Govt Securities</v>
          </cell>
        </row>
      </sheetData>
      <sheetData sheetId="11801">
        <row r="34">
          <cell r="A34" t="str">
            <v>Investments Govt Securities</v>
          </cell>
        </row>
      </sheetData>
      <sheetData sheetId="11802">
        <row r="34">
          <cell r="A34" t="str">
            <v>Investments Govt Securities</v>
          </cell>
        </row>
      </sheetData>
      <sheetData sheetId="11803">
        <row r="34">
          <cell r="A34" t="str">
            <v>Investments Govt Securities</v>
          </cell>
        </row>
      </sheetData>
      <sheetData sheetId="11804">
        <row r="34">
          <cell r="A34" t="str">
            <v>Investments Govt Securities</v>
          </cell>
        </row>
      </sheetData>
      <sheetData sheetId="11805">
        <row r="34">
          <cell r="A34" t="str">
            <v>Investments Govt Securities</v>
          </cell>
        </row>
      </sheetData>
      <sheetData sheetId="11806">
        <row r="34">
          <cell r="A34" t="str">
            <v>Investments Govt Securities</v>
          </cell>
        </row>
      </sheetData>
      <sheetData sheetId="11807">
        <row r="34">
          <cell r="A34" t="str">
            <v>Investments Govt Securities</v>
          </cell>
        </row>
      </sheetData>
      <sheetData sheetId="11808">
        <row r="34">
          <cell r="A34" t="str">
            <v>Investments Govt Securities</v>
          </cell>
        </row>
      </sheetData>
      <sheetData sheetId="11809">
        <row r="34">
          <cell r="A34" t="str">
            <v>Investments Govt Securities</v>
          </cell>
        </row>
      </sheetData>
      <sheetData sheetId="11810">
        <row r="34">
          <cell r="A34" t="str">
            <v>Investments Govt Securities</v>
          </cell>
        </row>
      </sheetData>
      <sheetData sheetId="11811">
        <row r="34">
          <cell r="A34" t="str">
            <v>Investments Govt Securities</v>
          </cell>
        </row>
      </sheetData>
      <sheetData sheetId="11812">
        <row r="34">
          <cell r="A34" t="str">
            <v>Investments Govt Securities</v>
          </cell>
        </row>
      </sheetData>
      <sheetData sheetId="11813">
        <row r="34">
          <cell r="A34" t="str">
            <v>Investments Govt Securities</v>
          </cell>
        </row>
      </sheetData>
      <sheetData sheetId="11814">
        <row r="34">
          <cell r="A34" t="str">
            <v>Investments Govt Securities</v>
          </cell>
        </row>
      </sheetData>
      <sheetData sheetId="11815">
        <row r="34">
          <cell r="A34" t="str">
            <v>Investments Govt Securities</v>
          </cell>
        </row>
      </sheetData>
      <sheetData sheetId="11816">
        <row r="34">
          <cell r="A34" t="str">
            <v>Investments Govt Securities</v>
          </cell>
        </row>
      </sheetData>
      <sheetData sheetId="11817">
        <row r="34">
          <cell r="A34" t="str">
            <v>Investments Govt Securities</v>
          </cell>
        </row>
      </sheetData>
      <sheetData sheetId="11818">
        <row r="34">
          <cell r="A34" t="str">
            <v>Investments Govt Securities</v>
          </cell>
        </row>
      </sheetData>
      <sheetData sheetId="11819">
        <row r="34">
          <cell r="A34" t="str">
            <v>Investments Govt Securities</v>
          </cell>
        </row>
      </sheetData>
      <sheetData sheetId="11820">
        <row r="34">
          <cell r="A34" t="str">
            <v>Investments Govt Securities</v>
          </cell>
        </row>
      </sheetData>
      <sheetData sheetId="11821">
        <row r="34">
          <cell r="A34" t="str">
            <v>Investments Govt Securities</v>
          </cell>
        </row>
      </sheetData>
      <sheetData sheetId="11822">
        <row r="34">
          <cell r="A34" t="str">
            <v>Investments Govt Securities</v>
          </cell>
        </row>
      </sheetData>
      <sheetData sheetId="11823">
        <row r="34">
          <cell r="A34" t="str">
            <v>Investments Govt Securities</v>
          </cell>
        </row>
      </sheetData>
      <sheetData sheetId="11824">
        <row r="34">
          <cell r="A34" t="str">
            <v>Investments Govt Securities</v>
          </cell>
        </row>
      </sheetData>
      <sheetData sheetId="11825">
        <row r="34">
          <cell r="A34" t="str">
            <v>Investments Govt Securities</v>
          </cell>
        </row>
      </sheetData>
      <sheetData sheetId="11826">
        <row r="34">
          <cell r="A34" t="str">
            <v>Investments Govt Securities</v>
          </cell>
        </row>
      </sheetData>
      <sheetData sheetId="11827">
        <row r="34">
          <cell r="A34" t="str">
            <v>Investments Govt Securities</v>
          </cell>
        </row>
      </sheetData>
      <sheetData sheetId="11828">
        <row r="34">
          <cell r="A34" t="str">
            <v>Investments Govt Securities</v>
          </cell>
        </row>
      </sheetData>
      <sheetData sheetId="11829">
        <row r="34">
          <cell r="A34" t="str">
            <v>Investments Govt Securities</v>
          </cell>
        </row>
      </sheetData>
      <sheetData sheetId="11830">
        <row r="34">
          <cell r="A34" t="str">
            <v>Investments Govt Securities</v>
          </cell>
        </row>
      </sheetData>
      <sheetData sheetId="11831">
        <row r="34">
          <cell r="A34" t="str">
            <v>Investments Govt Securities</v>
          </cell>
        </row>
      </sheetData>
      <sheetData sheetId="11832">
        <row r="34">
          <cell r="A34" t="str">
            <v>Investments Govt Securities</v>
          </cell>
        </row>
      </sheetData>
      <sheetData sheetId="11833">
        <row r="34">
          <cell r="A34" t="str">
            <v>Investments Govt Securities</v>
          </cell>
        </row>
      </sheetData>
      <sheetData sheetId="11834">
        <row r="34">
          <cell r="A34" t="str">
            <v>Investments Govt Securities</v>
          </cell>
        </row>
      </sheetData>
      <sheetData sheetId="11835">
        <row r="34">
          <cell r="A34" t="str">
            <v>Investments Govt Securities</v>
          </cell>
        </row>
      </sheetData>
      <sheetData sheetId="11836">
        <row r="34">
          <cell r="A34" t="str">
            <v>Investments Govt Securities</v>
          </cell>
        </row>
      </sheetData>
      <sheetData sheetId="11837">
        <row r="34">
          <cell r="A34" t="str">
            <v>Investments Govt Securities</v>
          </cell>
        </row>
      </sheetData>
      <sheetData sheetId="11838">
        <row r="34">
          <cell r="A34" t="str">
            <v>Investments Govt Securities</v>
          </cell>
        </row>
      </sheetData>
      <sheetData sheetId="11839">
        <row r="34">
          <cell r="A34" t="str">
            <v>Investments Govt Securities</v>
          </cell>
        </row>
      </sheetData>
      <sheetData sheetId="11840">
        <row r="34">
          <cell r="A34" t="str">
            <v>Investments Govt Securities</v>
          </cell>
        </row>
      </sheetData>
      <sheetData sheetId="11841">
        <row r="34">
          <cell r="A34" t="str">
            <v>Investments Govt Securities</v>
          </cell>
        </row>
      </sheetData>
      <sheetData sheetId="11842">
        <row r="34">
          <cell r="A34" t="str">
            <v>Investments Govt Securities</v>
          </cell>
        </row>
      </sheetData>
      <sheetData sheetId="11843">
        <row r="34">
          <cell r="A34" t="str">
            <v>Investments Govt Securities</v>
          </cell>
        </row>
      </sheetData>
      <sheetData sheetId="11844">
        <row r="34">
          <cell r="A34" t="str">
            <v>Investments Govt Securities</v>
          </cell>
        </row>
      </sheetData>
      <sheetData sheetId="11845">
        <row r="34">
          <cell r="A34" t="str">
            <v>Investments Govt Securities</v>
          </cell>
        </row>
      </sheetData>
      <sheetData sheetId="11846">
        <row r="34">
          <cell r="A34" t="str">
            <v>Investments Govt Securities</v>
          </cell>
        </row>
      </sheetData>
      <sheetData sheetId="11847">
        <row r="34">
          <cell r="A34" t="str">
            <v>Investments Govt Securities</v>
          </cell>
        </row>
      </sheetData>
      <sheetData sheetId="11848">
        <row r="34">
          <cell r="A34" t="str">
            <v>Investments Govt Securities</v>
          </cell>
        </row>
      </sheetData>
      <sheetData sheetId="11849">
        <row r="34">
          <cell r="A34" t="str">
            <v>Investments Govt Securities</v>
          </cell>
        </row>
      </sheetData>
      <sheetData sheetId="11850">
        <row r="34">
          <cell r="A34" t="str">
            <v>Investments Govt Securities</v>
          </cell>
        </row>
      </sheetData>
      <sheetData sheetId="11851">
        <row r="34">
          <cell r="A34" t="str">
            <v>Investments Govt Securities</v>
          </cell>
        </row>
      </sheetData>
      <sheetData sheetId="11852">
        <row r="34">
          <cell r="A34" t="str">
            <v>Investments Govt Securities</v>
          </cell>
        </row>
      </sheetData>
      <sheetData sheetId="11853">
        <row r="34">
          <cell r="A34" t="str">
            <v>Investments Govt Securities</v>
          </cell>
        </row>
      </sheetData>
      <sheetData sheetId="11854">
        <row r="34">
          <cell r="A34" t="str">
            <v>Investments Govt Securities</v>
          </cell>
        </row>
      </sheetData>
      <sheetData sheetId="11855">
        <row r="34">
          <cell r="A34" t="str">
            <v>Investments Govt Securities</v>
          </cell>
        </row>
      </sheetData>
      <sheetData sheetId="11856">
        <row r="34">
          <cell r="A34" t="str">
            <v>Investments Govt Securities</v>
          </cell>
        </row>
      </sheetData>
      <sheetData sheetId="11857">
        <row r="34">
          <cell r="A34" t="str">
            <v>Investments Govt Securities</v>
          </cell>
        </row>
      </sheetData>
      <sheetData sheetId="11858">
        <row r="34">
          <cell r="A34" t="str">
            <v>Investments Govt Securities</v>
          </cell>
        </row>
      </sheetData>
      <sheetData sheetId="11859">
        <row r="34">
          <cell r="A34" t="str">
            <v>Investments Govt Securities</v>
          </cell>
        </row>
      </sheetData>
      <sheetData sheetId="11860">
        <row r="34">
          <cell r="A34" t="str">
            <v>Investments Govt Securities</v>
          </cell>
        </row>
      </sheetData>
      <sheetData sheetId="11861">
        <row r="34">
          <cell r="A34" t="str">
            <v>Investments Govt Securities</v>
          </cell>
        </row>
      </sheetData>
      <sheetData sheetId="11862">
        <row r="34">
          <cell r="A34" t="str">
            <v>Investments Govt Securities</v>
          </cell>
        </row>
      </sheetData>
      <sheetData sheetId="11863">
        <row r="34">
          <cell r="A34" t="str">
            <v>Investments Govt Securities</v>
          </cell>
        </row>
      </sheetData>
      <sheetData sheetId="11864">
        <row r="34">
          <cell r="A34" t="str">
            <v>Investments Govt Securities</v>
          </cell>
        </row>
      </sheetData>
      <sheetData sheetId="11865">
        <row r="34">
          <cell r="A34" t="str">
            <v>Investments Govt Securities</v>
          </cell>
        </row>
      </sheetData>
      <sheetData sheetId="11866">
        <row r="34">
          <cell r="A34" t="str">
            <v>Investments Govt Securities</v>
          </cell>
        </row>
      </sheetData>
      <sheetData sheetId="11867">
        <row r="34">
          <cell r="A34" t="str">
            <v>Investments Govt Securities</v>
          </cell>
        </row>
      </sheetData>
      <sheetData sheetId="11868">
        <row r="34">
          <cell r="A34" t="str">
            <v>Investments Govt Securities</v>
          </cell>
        </row>
      </sheetData>
      <sheetData sheetId="11869">
        <row r="34">
          <cell r="A34" t="str">
            <v>Investments Govt Securities</v>
          </cell>
        </row>
      </sheetData>
      <sheetData sheetId="11870">
        <row r="34">
          <cell r="A34" t="str">
            <v>Investments Govt Securities</v>
          </cell>
        </row>
      </sheetData>
      <sheetData sheetId="11871">
        <row r="34">
          <cell r="A34" t="str">
            <v>Investments Govt Securities</v>
          </cell>
        </row>
      </sheetData>
      <sheetData sheetId="11872">
        <row r="34">
          <cell r="A34" t="str">
            <v>Investments Govt Securities</v>
          </cell>
        </row>
      </sheetData>
      <sheetData sheetId="11873">
        <row r="34">
          <cell r="A34" t="str">
            <v>Investments Govt Securities</v>
          </cell>
        </row>
      </sheetData>
      <sheetData sheetId="11874">
        <row r="34">
          <cell r="A34" t="str">
            <v>Investments Govt Securities</v>
          </cell>
        </row>
      </sheetData>
      <sheetData sheetId="11875">
        <row r="34">
          <cell r="A34" t="str">
            <v>Investments Govt Securities</v>
          </cell>
        </row>
      </sheetData>
      <sheetData sheetId="11876">
        <row r="34">
          <cell r="A34" t="str">
            <v>Investments Govt Securities</v>
          </cell>
        </row>
      </sheetData>
      <sheetData sheetId="11877">
        <row r="34">
          <cell r="A34" t="str">
            <v>Investments Govt Securities</v>
          </cell>
        </row>
      </sheetData>
      <sheetData sheetId="11878">
        <row r="34">
          <cell r="A34" t="str">
            <v>Investments Govt Securities</v>
          </cell>
        </row>
      </sheetData>
      <sheetData sheetId="11879">
        <row r="34">
          <cell r="A34" t="str">
            <v>Investments Govt Securities</v>
          </cell>
        </row>
      </sheetData>
      <sheetData sheetId="11880">
        <row r="34">
          <cell r="A34" t="str">
            <v>Investments Govt Securities</v>
          </cell>
        </row>
      </sheetData>
      <sheetData sheetId="11881">
        <row r="34">
          <cell r="A34" t="str">
            <v>Investments Govt Securities</v>
          </cell>
        </row>
      </sheetData>
      <sheetData sheetId="11882">
        <row r="34">
          <cell r="A34" t="str">
            <v>Investments Govt Securities</v>
          </cell>
        </row>
      </sheetData>
      <sheetData sheetId="11883">
        <row r="34">
          <cell r="A34" t="str">
            <v>Investments Govt Securities</v>
          </cell>
        </row>
      </sheetData>
      <sheetData sheetId="11884">
        <row r="34">
          <cell r="A34" t="str">
            <v>Investments Govt Securities</v>
          </cell>
        </row>
      </sheetData>
      <sheetData sheetId="11885">
        <row r="34">
          <cell r="A34" t="str">
            <v>Investments Govt Securities</v>
          </cell>
        </row>
      </sheetData>
      <sheetData sheetId="11886">
        <row r="34">
          <cell r="A34" t="str">
            <v>Investments Govt Securities</v>
          </cell>
        </row>
      </sheetData>
      <sheetData sheetId="11887">
        <row r="34">
          <cell r="A34" t="str">
            <v>Investments Govt Securities</v>
          </cell>
        </row>
      </sheetData>
      <sheetData sheetId="11888">
        <row r="34">
          <cell r="A34" t="str">
            <v>Investments Govt Securities</v>
          </cell>
        </row>
      </sheetData>
      <sheetData sheetId="11889">
        <row r="34">
          <cell r="A34" t="str">
            <v>Investments Govt Securities</v>
          </cell>
        </row>
      </sheetData>
      <sheetData sheetId="11890">
        <row r="34">
          <cell r="A34" t="str">
            <v>Investments Govt Securities</v>
          </cell>
        </row>
      </sheetData>
      <sheetData sheetId="11891">
        <row r="34">
          <cell r="A34" t="str">
            <v>Investments Govt Securities</v>
          </cell>
        </row>
      </sheetData>
      <sheetData sheetId="11892">
        <row r="34">
          <cell r="A34" t="str">
            <v>Investments Govt Securities</v>
          </cell>
        </row>
      </sheetData>
      <sheetData sheetId="11893">
        <row r="34">
          <cell r="A34" t="str">
            <v>Investments Govt Securities</v>
          </cell>
        </row>
      </sheetData>
      <sheetData sheetId="11894">
        <row r="34">
          <cell r="A34" t="str">
            <v>Investments Govt Securities</v>
          </cell>
        </row>
      </sheetData>
      <sheetData sheetId="11895">
        <row r="34">
          <cell r="A34" t="str">
            <v>Investments Govt Securities</v>
          </cell>
        </row>
      </sheetData>
      <sheetData sheetId="11896">
        <row r="34">
          <cell r="A34" t="str">
            <v>Investments Govt Securities</v>
          </cell>
        </row>
      </sheetData>
      <sheetData sheetId="11897">
        <row r="34">
          <cell r="A34" t="str">
            <v>Investments Govt Securities</v>
          </cell>
        </row>
      </sheetData>
      <sheetData sheetId="11898">
        <row r="34">
          <cell r="A34" t="str">
            <v>Investments Govt Securities</v>
          </cell>
        </row>
      </sheetData>
      <sheetData sheetId="11899">
        <row r="34">
          <cell r="A34" t="str">
            <v>Investments Govt Securities</v>
          </cell>
        </row>
      </sheetData>
      <sheetData sheetId="11900">
        <row r="34">
          <cell r="A34" t="str">
            <v>Investments Govt Securities</v>
          </cell>
        </row>
      </sheetData>
      <sheetData sheetId="11901">
        <row r="34">
          <cell r="A34" t="str">
            <v>Investments Govt Securities</v>
          </cell>
        </row>
      </sheetData>
      <sheetData sheetId="11902">
        <row r="34">
          <cell r="A34" t="str">
            <v>Investments Govt Securities</v>
          </cell>
        </row>
      </sheetData>
      <sheetData sheetId="11903">
        <row r="34">
          <cell r="A34" t="str">
            <v>Investments Govt Securities</v>
          </cell>
        </row>
      </sheetData>
      <sheetData sheetId="11904">
        <row r="34">
          <cell r="A34" t="str">
            <v>Investments Govt Securities</v>
          </cell>
        </row>
      </sheetData>
      <sheetData sheetId="11905">
        <row r="34">
          <cell r="A34" t="str">
            <v>Investments Govt Securities</v>
          </cell>
        </row>
      </sheetData>
      <sheetData sheetId="11906">
        <row r="34">
          <cell r="A34" t="str">
            <v>Investments Govt Securities</v>
          </cell>
        </row>
      </sheetData>
      <sheetData sheetId="11907">
        <row r="34">
          <cell r="A34" t="str">
            <v>Investments Govt Securities</v>
          </cell>
        </row>
      </sheetData>
      <sheetData sheetId="11908">
        <row r="34">
          <cell r="A34" t="str">
            <v>Investments Govt Securities</v>
          </cell>
        </row>
      </sheetData>
      <sheetData sheetId="11909">
        <row r="34">
          <cell r="A34" t="str">
            <v>Investments Govt Securities</v>
          </cell>
        </row>
      </sheetData>
      <sheetData sheetId="11910">
        <row r="34">
          <cell r="A34" t="str">
            <v>Investments Govt Securities</v>
          </cell>
        </row>
      </sheetData>
      <sheetData sheetId="11911">
        <row r="34">
          <cell r="A34" t="str">
            <v>Investments Govt Securities</v>
          </cell>
        </row>
      </sheetData>
      <sheetData sheetId="11912">
        <row r="34">
          <cell r="A34" t="str">
            <v>Investments Govt Securities</v>
          </cell>
        </row>
      </sheetData>
      <sheetData sheetId="11913">
        <row r="34">
          <cell r="A34" t="str">
            <v>Investments Govt Securities</v>
          </cell>
        </row>
      </sheetData>
      <sheetData sheetId="11914">
        <row r="34">
          <cell r="A34" t="str">
            <v>Investments Govt Securities</v>
          </cell>
        </row>
      </sheetData>
      <sheetData sheetId="11915">
        <row r="34">
          <cell r="A34" t="str">
            <v>Investments Govt Securities</v>
          </cell>
        </row>
      </sheetData>
      <sheetData sheetId="11916">
        <row r="34">
          <cell r="A34" t="str">
            <v>Investments Govt Securities</v>
          </cell>
        </row>
      </sheetData>
      <sheetData sheetId="11917">
        <row r="34">
          <cell r="A34" t="str">
            <v>Investments Govt Securities</v>
          </cell>
        </row>
      </sheetData>
      <sheetData sheetId="11918">
        <row r="34">
          <cell r="A34" t="str">
            <v>Investments Govt Securities</v>
          </cell>
        </row>
      </sheetData>
      <sheetData sheetId="11919">
        <row r="34">
          <cell r="A34" t="str">
            <v>Investments Govt Securities</v>
          </cell>
        </row>
      </sheetData>
      <sheetData sheetId="11920">
        <row r="34">
          <cell r="A34" t="str">
            <v>Investments Govt Securities</v>
          </cell>
        </row>
      </sheetData>
      <sheetData sheetId="11921">
        <row r="34">
          <cell r="A34" t="str">
            <v>Investments Govt Securities</v>
          </cell>
        </row>
      </sheetData>
      <sheetData sheetId="11922">
        <row r="34">
          <cell r="A34" t="str">
            <v>Investments Govt Securities</v>
          </cell>
        </row>
      </sheetData>
      <sheetData sheetId="11923">
        <row r="34">
          <cell r="A34" t="str">
            <v>Investments Govt Securities</v>
          </cell>
        </row>
      </sheetData>
      <sheetData sheetId="11924">
        <row r="34">
          <cell r="A34" t="str">
            <v>Investments Govt Securities</v>
          </cell>
        </row>
      </sheetData>
      <sheetData sheetId="11925">
        <row r="34">
          <cell r="A34" t="str">
            <v>Investments Govt Securities</v>
          </cell>
        </row>
      </sheetData>
      <sheetData sheetId="11926">
        <row r="34">
          <cell r="A34" t="str">
            <v>Investments Govt Securities</v>
          </cell>
        </row>
      </sheetData>
      <sheetData sheetId="11927">
        <row r="34">
          <cell r="A34" t="str">
            <v>Investments Govt Securities</v>
          </cell>
        </row>
      </sheetData>
      <sheetData sheetId="11928">
        <row r="34">
          <cell r="A34" t="str">
            <v>Investments Govt Securities</v>
          </cell>
        </row>
      </sheetData>
      <sheetData sheetId="11929">
        <row r="34">
          <cell r="A34" t="str">
            <v>Investments Govt Securities</v>
          </cell>
        </row>
      </sheetData>
      <sheetData sheetId="11930">
        <row r="34">
          <cell r="A34" t="str">
            <v>Investments Govt Securities</v>
          </cell>
        </row>
      </sheetData>
      <sheetData sheetId="11931">
        <row r="34">
          <cell r="A34" t="str">
            <v>Investments Govt Securities</v>
          </cell>
        </row>
      </sheetData>
      <sheetData sheetId="11932">
        <row r="34">
          <cell r="A34" t="str">
            <v>Investments Govt Securities</v>
          </cell>
        </row>
      </sheetData>
      <sheetData sheetId="11933">
        <row r="34">
          <cell r="A34" t="str">
            <v>Investments Govt Securities</v>
          </cell>
        </row>
      </sheetData>
      <sheetData sheetId="11934">
        <row r="34">
          <cell r="A34" t="str">
            <v>Investments Govt Securities</v>
          </cell>
        </row>
      </sheetData>
      <sheetData sheetId="11935">
        <row r="34">
          <cell r="A34" t="str">
            <v>Investments Govt Securities</v>
          </cell>
        </row>
      </sheetData>
      <sheetData sheetId="11936">
        <row r="34">
          <cell r="A34" t="str">
            <v>Investments Govt Securities</v>
          </cell>
        </row>
      </sheetData>
      <sheetData sheetId="11937">
        <row r="34">
          <cell r="A34" t="str">
            <v>Investments Govt Securities</v>
          </cell>
        </row>
      </sheetData>
      <sheetData sheetId="11938">
        <row r="34">
          <cell r="A34" t="str">
            <v>Investments Govt Securities</v>
          </cell>
        </row>
      </sheetData>
      <sheetData sheetId="11939">
        <row r="34">
          <cell r="A34" t="str">
            <v>Investments Govt Securities</v>
          </cell>
        </row>
      </sheetData>
      <sheetData sheetId="11940">
        <row r="34">
          <cell r="A34" t="str">
            <v>Investments Govt Securities</v>
          </cell>
        </row>
      </sheetData>
      <sheetData sheetId="11941">
        <row r="34">
          <cell r="A34" t="str">
            <v>Investments Govt Securities</v>
          </cell>
        </row>
      </sheetData>
      <sheetData sheetId="11942">
        <row r="34">
          <cell r="A34" t="str">
            <v>Investments Govt Securities</v>
          </cell>
        </row>
      </sheetData>
      <sheetData sheetId="11943">
        <row r="34">
          <cell r="A34" t="str">
            <v>Investments Govt Securities</v>
          </cell>
        </row>
      </sheetData>
      <sheetData sheetId="11944">
        <row r="34">
          <cell r="A34" t="str">
            <v>Investments Govt Securities</v>
          </cell>
        </row>
      </sheetData>
      <sheetData sheetId="11945">
        <row r="34">
          <cell r="A34" t="str">
            <v>Investments Govt Securities</v>
          </cell>
        </row>
      </sheetData>
      <sheetData sheetId="11946">
        <row r="34">
          <cell r="A34" t="str">
            <v>Investments Govt Securities</v>
          </cell>
        </row>
      </sheetData>
      <sheetData sheetId="11947">
        <row r="34">
          <cell r="A34" t="str">
            <v>Investments Govt Securities</v>
          </cell>
        </row>
      </sheetData>
      <sheetData sheetId="11948">
        <row r="34">
          <cell r="A34" t="str">
            <v>Investments Govt Securities</v>
          </cell>
        </row>
      </sheetData>
      <sheetData sheetId="11949">
        <row r="34">
          <cell r="A34" t="str">
            <v>Investments Govt Securities</v>
          </cell>
        </row>
      </sheetData>
      <sheetData sheetId="11950">
        <row r="34">
          <cell r="A34" t="str">
            <v>Investments Govt Securities</v>
          </cell>
        </row>
      </sheetData>
      <sheetData sheetId="11951">
        <row r="34">
          <cell r="A34" t="str">
            <v>Investments Govt Securities</v>
          </cell>
        </row>
      </sheetData>
      <sheetData sheetId="11952">
        <row r="34">
          <cell r="A34" t="str">
            <v>Investments Govt Securities</v>
          </cell>
        </row>
      </sheetData>
      <sheetData sheetId="11953">
        <row r="34">
          <cell r="A34" t="str">
            <v>Investments Govt Securities</v>
          </cell>
        </row>
      </sheetData>
      <sheetData sheetId="11954">
        <row r="34">
          <cell r="A34" t="str">
            <v>Investments Govt Securities</v>
          </cell>
        </row>
      </sheetData>
      <sheetData sheetId="11955">
        <row r="34">
          <cell r="A34" t="str">
            <v>Investments Govt Securities</v>
          </cell>
        </row>
      </sheetData>
      <sheetData sheetId="11956">
        <row r="34">
          <cell r="A34" t="str">
            <v>Investments Govt Securities</v>
          </cell>
        </row>
      </sheetData>
      <sheetData sheetId="11957">
        <row r="34">
          <cell r="A34" t="str">
            <v>Investments Govt Securities</v>
          </cell>
        </row>
      </sheetData>
      <sheetData sheetId="11958">
        <row r="34">
          <cell r="A34" t="str">
            <v>Investments Govt Securities</v>
          </cell>
        </row>
      </sheetData>
      <sheetData sheetId="11959">
        <row r="34">
          <cell r="A34" t="str">
            <v>Investments Govt Securities</v>
          </cell>
        </row>
      </sheetData>
      <sheetData sheetId="11960">
        <row r="34">
          <cell r="A34" t="str">
            <v>Investments Govt Securities</v>
          </cell>
        </row>
      </sheetData>
      <sheetData sheetId="11961">
        <row r="34">
          <cell r="A34" t="str">
            <v>Investments Govt Securities</v>
          </cell>
        </row>
      </sheetData>
      <sheetData sheetId="11962">
        <row r="34">
          <cell r="A34" t="str">
            <v>Investments Govt Securities</v>
          </cell>
        </row>
      </sheetData>
      <sheetData sheetId="11963">
        <row r="34">
          <cell r="A34" t="str">
            <v>Investments Govt Securities</v>
          </cell>
        </row>
      </sheetData>
      <sheetData sheetId="11964">
        <row r="34">
          <cell r="A34" t="str">
            <v>Investments Govt Securities</v>
          </cell>
        </row>
      </sheetData>
      <sheetData sheetId="11965">
        <row r="34">
          <cell r="A34" t="str">
            <v>Investments Govt Securities</v>
          </cell>
        </row>
      </sheetData>
      <sheetData sheetId="11966">
        <row r="34">
          <cell r="A34" t="str">
            <v>Investments Govt Securities</v>
          </cell>
        </row>
      </sheetData>
      <sheetData sheetId="11967">
        <row r="34">
          <cell r="A34" t="str">
            <v>Investments Govt Securities</v>
          </cell>
        </row>
      </sheetData>
      <sheetData sheetId="11968">
        <row r="34">
          <cell r="A34" t="str">
            <v>Investments Govt Securities</v>
          </cell>
        </row>
      </sheetData>
      <sheetData sheetId="11969">
        <row r="34">
          <cell r="A34" t="str">
            <v>Investments Govt Securities</v>
          </cell>
        </row>
      </sheetData>
      <sheetData sheetId="11970">
        <row r="34">
          <cell r="A34" t="str">
            <v>Investments Govt Securities</v>
          </cell>
        </row>
      </sheetData>
      <sheetData sheetId="11971">
        <row r="34">
          <cell r="A34" t="str">
            <v>Investments Govt Securities</v>
          </cell>
        </row>
      </sheetData>
      <sheetData sheetId="11972">
        <row r="34">
          <cell r="A34" t="str">
            <v>Investments Govt Securities</v>
          </cell>
        </row>
      </sheetData>
      <sheetData sheetId="11973">
        <row r="34">
          <cell r="A34" t="str">
            <v>Investments Govt Securities</v>
          </cell>
        </row>
      </sheetData>
      <sheetData sheetId="11974">
        <row r="34">
          <cell r="A34" t="str">
            <v>Investments Govt Securities</v>
          </cell>
        </row>
      </sheetData>
      <sheetData sheetId="11975">
        <row r="34">
          <cell r="A34" t="str">
            <v>Investments Govt Securities</v>
          </cell>
        </row>
      </sheetData>
      <sheetData sheetId="11976">
        <row r="34">
          <cell r="A34" t="str">
            <v>Investments Govt Securities</v>
          </cell>
        </row>
      </sheetData>
      <sheetData sheetId="11977">
        <row r="34">
          <cell r="A34" t="str">
            <v>Investments Govt Securities</v>
          </cell>
        </row>
      </sheetData>
      <sheetData sheetId="11978">
        <row r="34">
          <cell r="A34" t="str">
            <v>Investments Govt Securities</v>
          </cell>
        </row>
      </sheetData>
      <sheetData sheetId="11979">
        <row r="34">
          <cell r="A34" t="str">
            <v>Investments Govt Securities</v>
          </cell>
        </row>
      </sheetData>
      <sheetData sheetId="11980">
        <row r="34">
          <cell r="A34" t="str">
            <v>Investments Govt Securities</v>
          </cell>
        </row>
      </sheetData>
      <sheetData sheetId="11981">
        <row r="34">
          <cell r="A34" t="str">
            <v>Investments Govt Securities</v>
          </cell>
        </row>
      </sheetData>
      <sheetData sheetId="11982">
        <row r="34">
          <cell r="A34" t="str">
            <v>Investments Govt Securities</v>
          </cell>
        </row>
      </sheetData>
      <sheetData sheetId="11983">
        <row r="34">
          <cell r="A34" t="str">
            <v>Investments Govt Securities</v>
          </cell>
        </row>
      </sheetData>
      <sheetData sheetId="11984">
        <row r="34">
          <cell r="A34" t="str">
            <v>Investments Govt Securities</v>
          </cell>
        </row>
      </sheetData>
      <sheetData sheetId="11985">
        <row r="34">
          <cell r="A34" t="str">
            <v>Investments Govt Securities</v>
          </cell>
        </row>
      </sheetData>
      <sheetData sheetId="11986">
        <row r="34">
          <cell r="A34" t="str">
            <v>Investments Govt Securities</v>
          </cell>
        </row>
      </sheetData>
      <sheetData sheetId="11987">
        <row r="34">
          <cell r="A34" t="str">
            <v>Investments Govt Securities</v>
          </cell>
        </row>
      </sheetData>
      <sheetData sheetId="11988">
        <row r="34">
          <cell r="A34" t="str">
            <v>Investments Govt Securities</v>
          </cell>
        </row>
      </sheetData>
      <sheetData sheetId="11989">
        <row r="34">
          <cell r="A34" t="str">
            <v>Investments Govt Securities</v>
          </cell>
        </row>
      </sheetData>
      <sheetData sheetId="11990">
        <row r="34">
          <cell r="A34" t="str">
            <v>Investments Govt Securities</v>
          </cell>
        </row>
      </sheetData>
      <sheetData sheetId="11991">
        <row r="34">
          <cell r="A34" t="str">
            <v>Investments Govt Securities</v>
          </cell>
        </row>
      </sheetData>
      <sheetData sheetId="11992">
        <row r="34">
          <cell r="A34" t="str">
            <v>Investments Govt Securities</v>
          </cell>
        </row>
      </sheetData>
      <sheetData sheetId="11993">
        <row r="34">
          <cell r="A34" t="str">
            <v>Investments Govt Securities</v>
          </cell>
        </row>
      </sheetData>
      <sheetData sheetId="11994">
        <row r="34">
          <cell r="A34" t="str">
            <v>Investments Govt Securities</v>
          </cell>
        </row>
      </sheetData>
      <sheetData sheetId="11995">
        <row r="34">
          <cell r="A34" t="str">
            <v>Investments Govt Securities</v>
          </cell>
        </row>
      </sheetData>
      <sheetData sheetId="11996">
        <row r="34">
          <cell r="A34" t="str">
            <v>Investments Govt Securities</v>
          </cell>
        </row>
      </sheetData>
      <sheetData sheetId="11997">
        <row r="34">
          <cell r="A34" t="str">
            <v>Investments Govt Securities</v>
          </cell>
        </row>
      </sheetData>
      <sheetData sheetId="11998">
        <row r="34">
          <cell r="A34" t="str">
            <v>Investments Govt Securities</v>
          </cell>
        </row>
      </sheetData>
      <sheetData sheetId="11999">
        <row r="34">
          <cell r="A34" t="str">
            <v>Investments Govt Securities</v>
          </cell>
        </row>
      </sheetData>
      <sheetData sheetId="12000">
        <row r="34">
          <cell r="A34" t="str">
            <v>Investments Govt Securities</v>
          </cell>
        </row>
      </sheetData>
      <sheetData sheetId="12001">
        <row r="34">
          <cell r="A34" t="str">
            <v>Investments Govt Securities</v>
          </cell>
        </row>
      </sheetData>
      <sheetData sheetId="12002">
        <row r="34">
          <cell r="A34" t="str">
            <v>Investments Govt Securities</v>
          </cell>
        </row>
      </sheetData>
      <sheetData sheetId="12003">
        <row r="34">
          <cell r="A34" t="str">
            <v>Investments Govt Securities</v>
          </cell>
        </row>
      </sheetData>
      <sheetData sheetId="12004">
        <row r="34">
          <cell r="A34" t="str">
            <v>Investments Govt Securities</v>
          </cell>
        </row>
      </sheetData>
      <sheetData sheetId="12005">
        <row r="34">
          <cell r="A34" t="str">
            <v>Investments Govt Securities</v>
          </cell>
        </row>
      </sheetData>
      <sheetData sheetId="12006">
        <row r="34">
          <cell r="A34" t="str">
            <v>Investments Govt Securities</v>
          </cell>
        </row>
      </sheetData>
      <sheetData sheetId="12007">
        <row r="34">
          <cell r="A34" t="str">
            <v>Investments Govt Securities</v>
          </cell>
        </row>
      </sheetData>
      <sheetData sheetId="12008">
        <row r="34">
          <cell r="A34" t="str">
            <v>Investments Govt Securities</v>
          </cell>
        </row>
      </sheetData>
      <sheetData sheetId="12009">
        <row r="34">
          <cell r="A34" t="str">
            <v>Investments Govt Securities</v>
          </cell>
        </row>
      </sheetData>
      <sheetData sheetId="12010">
        <row r="34">
          <cell r="A34" t="str">
            <v>Investments Govt Securities</v>
          </cell>
        </row>
      </sheetData>
      <sheetData sheetId="12011">
        <row r="34">
          <cell r="A34" t="str">
            <v>Investments Govt Securities</v>
          </cell>
        </row>
      </sheetData>
      <sheetData sheetId="12012">
        <row r="34">
          <cell r="A34" t="str">
            <v>Investments Govt Securities</v>
          </cell>
        </row>
      </sheetData>
      <sheetData sheetId="12013">
        <row r="34">
          <cell r="A34" t="str">
            <v>Investments Govt Securities</v>
          </cell>
        </row>
      </sheetData>
      <sheetData sheetId="12014">
        <row r="34">
          <cell r="A34" t="str">
            <v>Investments Govt Securities</v>
          </cell>
        </row>
      </sheetData>
      <sheetData sheetId="12015">
        <row r="34">
          <cell r="A34" t="str">
            <v>Investments Govt Securities</v>
          </cell>
        </row>
      </sheetData>
      <sheetData sheetId="12016">
        <row r="34">
          <cell r="A34" t="str">
            <v>Investments Govt Securities</v>
          </cell>
        </row>
      </sheetData>
      <sheetData sheetId="12017">
        <row r="34">
          <cell r="A34" t="str">
            <v>Investments Govt Securities</v>
          </cell>
        </row>
      </sheetData>
      <sheetData sheetId="12018">
        <row r="34">
          <cell r="A34" t="str">
            <v>Investments Govt Securities</v>
          </cell>
        </row>
      </sheetData>
      <sheetData sheetId="12019">
        <row r="34">
          <cell r="A34" t="str">
            <v>Investments Govt Securities</v>
          </cell>
        </row>
      </sheetData>
      <sheetData sheetId="12020">
        <row r="34">
          <cell r="A34" t="str">
            <v>Investments Govt Securities</v>
          </cell>
        </row>
      </sheetData>
      <sheetData sheetId="12021">
        <row r="34">
          <cell r="A34" t="str">
            <v>Investments Govt Securities</v>
          </cell>
        </row>
      </sheetData>
      <sheetData sheetId="12022">
        <row r="34">
          <cell r="A34" t="str">
            <v>Investments Govt Securities</v>
          </cell>
        </row>
      </sheetData>
      <sheetData sheetId="12023">
        <row r="34">
          <cell r="A34" t="str">
            <v>Investments Govt Securities</v>
          </cell>
        </row>
      </sheetData>
      <sheetData sheetId="12024">
        <row r="34">
          <cell r="A34" t="str">
            <v>Investments Govt Securities</v>
          </cell>
        </row>
      </sheetData>
      <sheetData sheetId="12025">
        <row r="34">
          <cell r="A34" t="str">
            <v>Investments Govt Securities</v>
          </cell>
        </row>
      </sheetData>
      <sheetData sheetId="12026">
        <row r="34">
          <cell r="A34" t="str">
            <v>Investments Govt Securities</v>
          </cell>
        </row>
      </sheetData>
      <sheetData sheetId="12027">
        <row r="34">
          <cell r="A34" t="str">
            <v>Investments Govt Securities</v>
          </cell>
        </row>
      </sheetData>
      <sheetData sheetId="12028">
        <row r="34">
          <cell r="A34" t="str">
            <v>Investments Govt Securities</v>
          </cell>
        </row>
      </sheetData>
      <sheetData sheetId="12029">
        <row r="34">
          <cell r="A34" t="str">
            <v>Investments Govt Securities</v>
          </cell>
        </row>
      </sheetData>
      <sheetData sheetId="12030">
        <row r="34">
          <cell r="A34" t="str">
            <v>Investments Govt Securities</v>
          </cell>
        </row>
      </sheetData>
      <sheetData sheetId="12031">
        <row r="34">
          <cell r="A34" t="str">
            <v>Investments Govt Securities</v>
          </cell>
        </row>
      </sheetData>
      <sheetData sheetId="12032">
        <row r="34">
          <cell r="A34" t="str">
            <v>Investments Govt Securities</v>
          </cell>
        </row>
      </sheetData>
      <sheetData sheetId="12033">
        <row r="34">
          <cell r="A34" t="str">
            <v>Investments Govt Securities</v>
          </cell>
        </row>
      </sheetData>
      <sheetData sheetId="12034">
        <row r="34">
          <cell r="A34" t="str">
            <v>Investments Govt Securities</v>
          </cell>
        </row>
      </sheetData>
      <sheetData sheetId="12035">
        <row r="34">
          <cell r="A34" t="str">
            <v>Investments Govt Securities</v>
          </cell>
        </row>
      </sheetData>
      <sheetData sheetId="12036">
        <row r="34">
          <cell r="A34" t="str">
            <v>Investments Govt Securities</v>
          </cell>
        </row>
      </sheetData>
      <sheetData sheetId="12037">
        <row r="34">
          <cell r="A34" t="str">
            <v>Investments Govt Securities</v>
          </cell>
        </row>
      </sheetData>
      <sheetData sheetId="12038">
        <row r="34">
          <cell r="A34" t="str">
            <v>Investments Govt Securities</v>
          </cell>
        </row>
      </sheetData>
      <sheetData sheetId="12039">
        <row r="34">
          <cell r="A34" t="str">
            <v>Investments Govt Securities</v>
          </cell>
        </row>
      </sheetData>
      <sheetData sheetId="12040">
        <row r="34">
          <cell r="A34" t="str">
            <v>Investments Govt Securities</v>
          </cell>
        </row>
      </sheetData>
      <sheetData sheetId="12041">
        <row r="34">
          <cell r="A34" t="str">
            <v>Investments Govt Securities</v>
          </cell>
        </row>
      </sheetData>
      <sheetData sheetId="12042">
        <row r="34">
          <cell r="A34" t="str">
            <v>Investments Govt Securities</v>
          </cell>
        </row>
      </sheetData>
      <sheetData sheetId="12043">
        <row r="34">
          <cell r="A34" t="str">
            <v>Investments Govt Securities</v>
          </cell>
        </row>
      </sheetData>
      <sheetData sheetId="12044">
        <row r="34">
          <cell r="A34" t="str">
            <v>Investments Govt Securities</v>
          </cell>
        </row>
      </sheetData>
      <sheetData sheetId="12045">
        <row r="34">
          <cell r="A34" t="str">
            <v>Investments Govt Securities</v>
          </cell>
        </row>
      </sheetData>
      <sheetData sheetId="12046">
        <row r="34">
          <cell r="A34" t="str">
            <v>Investments Govt Securities</v>
          </cell>
        </row>
      </sheetData>
      <sheetData sheetId="12047">
        <row r="34">
          <cell r="A34" t="str">
            <v>Investments Govt Securities</v>
          </cell>
        </row>
      </sheetData>
      <sheetData sheetId="12048">
        <row r="34">
          <cell r="A34" t="str">
            <v>Investments Govt Securities</v>
          </cell>
        </row>
      </sheetData>
      <sheetData sheetId="12049">
        <row r="34">
          <cell r="A34" t="str">
            <v>Investments Govt Securities</v>
          </cell>
        </row>
      </sheetData>
      <sheetData sheetId="12050">
        <row r="34">
          <cell r="A34" t="str">
            <v>Investments Govt Securities</v>
          </cell>
        </row>
      </sheetData>
      <sheetData sheetId="12051">
        <row r="34">
          <cell r="A34" t="str">
            <v>Investments Govt Securities</v>
          </cell>
        </row>
      </sheetData>
      <sheetData sheetId="12052">
        <row r="34">
          <cell r="A34" t="str">
            <v>Investments Govt Securities</v>
          </cell>
        </row>
      </sheetData>
      <sheetData sheetId="12053">
        <row r="34">
          <cell r="A34" t="str">
            <v>Investments Govt Securities</v>
          </cell>
        </row>
      </sheetData>
      <sheetData sheetId="12054">
        <row r="34">
          <cell r="A34" t="str">
            <v>Investments Govt Securities</v>
          </cell>
        </row>
      </sheetData>
      <sheetData sheetId="12055">
        <row r="34">
          <cell r="A34" t="str">
            <v>Investments Govt Securities</v>
          </cell>
        </row>
      </sheetData>
      <sheetData sheetId="12056">
        <row r="34">
          <cell r="A34" t="str">
            <v>Investments Govt Securities</v>
          </cell>
        </row>
      </sheetData>
      <sheetData sheetId="12057">
        <row r="34">
          <cell r="A34" t="str">
            <v>Investments Govt Securities</v>
          </cell>
        </row>
      </sheetData>
      <sheetData sheetId="12058">
        <row r="34">
          <cell r="A34" t="str">
            <v>Investments Govt Securities</v>
          </cell>
        </row>
      </sheetData>
      <sheetData sheetId="12059">
        <row r="34">
          <cell r="A34" t="str">
            <v>Investments Govt Securities</v>
          </cell>
        </row>
      </sheetData>
      <sheetData sheetId="12060">
        <row r="34">
          <cell r="A34" t="str">
            <v>Investments Govt Securities</v>
          </cell>
        </row>
      </sheetData>
      <sheetData sheetId="12061">
        <row r="34">
          <cell r="A34" t="str">
            <v>Investments Govt Securities</v>
          </cell>
        </row>
      </sheetData>
      <sheetData sheetId="12062">
        <row r="34">
          <cell r="A34" t="str">
            <v>Investments Govt Securities</v>
          </cell>
        </row>
      </sheetData>
      <sheetData sheetId="12063">
        <row r="34">
          <cell r="A34" t="str">
            <v>Investments Govt Securities</v>
          </cell>
        </row>
      </sheetData>
      <sheetData sheetId="12064">
        <row r="34">
          <cell r="A34" t="str">
            <v>Investments Govt Securities</v>
          </cell>
        </row>
      </sheetData>
      <sheetData sheetId="12065">
        <row r="34">
          <cell r="A34" t="str">
            <v>Investments Govt Securities</v>
          </cell>
        </row>
      </sheetData>
      <sheetData sheetId="12066">
        <row r="34">
          <cell r="A34" t="str">
            <v>Investments Govt Securities</v>
          </cell>
        </row>
      </sheetData>
      <sheetData sheetId="12067">
        <row r="34">
          <cell r="A34" t="str">
            <v>Investments Govt Securities</v>
          </cell>
        </row>
      </sheetData>
      <sheetData sheetId="12068">
        <row r="34">
          <cell r="A34" t="str">
            <v>Investments Govt Securities</v>
          </cell>
        </row>
      </sheetData>
      <sheetData sheetId="12069">
        <row r="34">
          <cell r="A34" t="str">
            <v>Investments Govt Securities</v>
          </cell>
        </row>
      </sheetData>
      <sheetData sheetId="12070">
        <row r="34">
          <cell r="A34" t="str">
            <v>Investments Govt Securities</v>
          </cell>
        </row>
      </sheetData>
      <sheetData sheetId="12071">
        <row r="34">
          <cell r="A34" t="str">
            <v>Investments Govt Securities</v>
          </cell>
        </row>
      </sheetData>
      <sheetData sheetId="12072">
        <row r="34">
          <cell r="A34" t="str">
            <v>Investments Govt Securities</v>
          </cell>
        </row>
      </sheetData>
      <sheetData sheetId="12073">
        <row r="34">
          <cell r="A34" t="str">
            <v>Investments Govt Securities</v>
          </cell>
        </row>
      </sheetData>
      <sheetData sheetId="12074">
        <row r="34">
          <cell r="A34" t="str">
            <v>Investments Govt Securities</v>
          </cell>
        </row>
      </sheetData>
      <sheetData sheetId="12075">
        <row r="34">
          <cell r="A34" t="str">
            <v>Investments Govt Securities</v>
          </cell>
        </row>
      </sheetData>
      <sheetData sheetId="12076">
        <row r="34">
          <cell r="A34" t="str">
            <v>Investments Govt Securities</v>
          </cell>
        </row>
      </sheetData>
      <sheetData sheetId="12077">
        <row r="34">
          <cell r="A34" t="str">
            <v>Investments Govt Securities</v>
          </cell>
        </row>
      </sheetData>
      <sheetData sheetId="12078">
        <row r="34">
          <cell r="A34" t="str">
            <v>Investments Govt Securities</v>
          </cell>
        </row>
      </sheetData>
      <sheetData sheetId="12079">
        <row r="34">
          <cell r="A34" t="str">
            <v>Investments Govt Securities</v>
          </cell>
        </row>
      </sheetData>
      <sheetData sheetId="12080">
        <row r="34">
          <cell r="A34" t="str">
            <v>Investments Govt Securities</v>
          </cell>
        </row>
      </sheetData>
      <sheetData sheetId="12081">
        <row r="34">
          <cell r="A34" t="str">
            <v>Investments Govt Securities</v>
          </cell>
        </row>
      </sheetData>
      <sheetData sheetId="12082">
        <row r="34">
          <cell r="A34" t="str">
            <v>Investments Govt Securities</v>
          </cell>
        </row>
      </sheetData>
      <sheetData sheetId="12083">
        <row r="34">
          <cell r="A34" t="str">
            <v>Investments Govt Securities</v>
          </cell>
        </row>
      </sheetData>
      <sheetData sheetId="12084">
        <row r="34">
          <cell r="A34" t="str">
            <v>Investments Govt Securities</v>
          </cell>
        </row>
      </sheetData>
      <sheetData sheetId="12085">
        <row r="34">
          <cell r="A34" t="str">
            <v>Investments Govt Securities</v>
          </cell>
        </row>
      </sheetData>
      <sheetData sheetId="12086">
        <row r="34">
          <cell r="A34" t="str">
            <v>Investments Govt Securities</v>
          </cell>
        </row>
      </sheetData>
      <sheetData sheetId="12087">
        <row r="34">
          <cell r="A34" t="str">
            <v>Investments Govt Securities</v>
          </cell>
        </row>
      </sheetData>
      <sheetData sheetId="12088">
        <row r="34">
          <cell r="A34" t="str">
            <v>Investments Govt Securities</v>
          </cell>
        </row>
      </sheetData>
      <sheetData sheetId="12089">
        <row r="34">
          <cell r="A34" t="str">
            <v>Investments Govt Securities</v>
          </cell>
        </row>
      </sheetData>
      <sheetData sheetId="12090">
        <row r="34">
          <cell r="A34" t="str">
            <v>Investments Govt Securities</v>
          </cell>
        </row>
      </sheetData>
      <sheetData sheetId="12091">
        <row r="34">
          <cell r="A34" t="str">
            <v>Investments Govt Securities</v>
          </cell>
        </row>
      </sheetData>
      <sheetData sheetId="12092">
        <row r="34">
          <cell r="A34" t="str">
            <v>Investments Govt Securities</v>
          </cell>
        </row>
      </sheetData>
      <sheetData sheetId="12093">
        <row r="34">
          <cell r="A34" t="str">
            <v>Investments Govt Securities</v>
          </cell>
        </row>
      </sheetData>
      <sheetData sheetId="12094">
        <row r="34">
          <cell r="A34" t="str">
            <v>Investments Govt Securities</v>
          </cell>
        </row>
      </sheetData>
      <sheetData sheetId="12095">
        <row r="34">
          <cell r="A34" t="str">
            <v>Investments Govt Securities</v>
          </cell>
        </row>
      </sheetData>
      <sheetData sheetId="12096">
        <row r="34">
          <cell r="A34" t="str">
            <v>Investments Govt Securities</v>
          </cell>
        </row>
      </sheetData>
      <sheetData sheetId="12097">
        <row r="34">
          <cell r="A34" t="str">
            <v>Investments Govt Securities</v>
          </cell>
        </row>
      </sheetData>
      <sheetData sheetId="12098">
        <row r="34">
          <cell r="A34" t="str">
            <v>Investments Govt Securities</v>
          </cell>
        </row>
      </sheetData>
      <sheetData sheetId="12099">
        <row r="34">
          <cell r="A34" t="str">
            <v>Investments Govt Securities</v>
          </cell>
        </row>
      </sheetData>
      <sheetData sheetId="12100">
        <row r="34">
          <cell r="A34" t="str">
            <v>Investments Govt Securities</v>
          </cell>
        </row>
      </sheetData>
      <sheetData sheetId="12101">
        <row r="34">
          <cell r="A34" t="str">
            <v>Investments Govt Securities</v>
          </cell>
        </row>
      </sheetData>
      <sheetData sheetId="12102">
        <row r="34">
          <cell r="A34" t="str">
            <v>Investments Govt Securities</v>
          </cell>
        </row>
      </sheetData>
      <sheetData sheetId="12103">
        <row r="34">
          <cell r="A34" t="str">
            <v>Investments Govt Securities</v>
          </cell>
        </row>
      </sheetData>
      <sheetData sheetId="12104">
        <row r="34">
          <cell r="A34" t="str">
            <v>Investments Govt Securities</v>
          </cell>
        </row>
      </sheetData>
      <sheetData sheetId="12105">
        <row r="34">
          <cell r="A34" t="str">
            <v>Investments Govt Securities</v>
          </cell>
        </row>
      </sheetData>
      <sheetData sheetId="12106">
        <row r="34">
          <cell r="A34" t="str">
            <v>Investments Govt Securities</v>
          </cell>
        </row>
      </sheetData>
      <sheetData sheetId="12107">
        <row r="34">
          <cell r="A34" t="str">
            <v>Investments Govt Securities</v>
          </cell>
        </row>
      </sheetData>
      <sheetData sheetId="12108">
        <row r="34">
          <cell r="A34" t="str">
            <v>Investments Govt Securities</v>
          </cell>
        </row>
      </sheetData>
      <sheetData sheetId="12109">
        <row r="34">
          <cell r="A34" t="str">
            <v>Investments Govt Securities</v>
          </cell>
        </row>
      </sheetData>
      <sheetData sheetId="12110">
        <row r="34">
          <cell r="A34" t="str">
            <v>Investments Govt Securities</v>
          </cell>
        </row>
      </sheetData>
      <sheetData sheetId="12111">
        <row r="34">
          <cell r="A34" t="str">
            <v>Investments Govt Securities</v>
          </cell>
        </row>
      </sheetData>
      <sheetData sheetId="12112">
        <row r="34">
          <cell r="A34" t="str">
            <v>Investments Govt Securities</v>
          </cell>
        </row>
      </sheetData>
      <sheetData sheetId="12113">
        <row r="34">
          <cell r="A34" t="str">
            <v>Investments Govt Securities</v>
          </cell>
        </row>
      </sheetData>
      <sheetData sheetId="12114">
        <row r="34">
          <cell r="A34" t="str">
            <v>Investments Govt Securities</v>
          </cell>
        </row>
      </sheetData>
      <sheetData sheetId="12115">
        <row r="34">
          <cell r="A34" t="str">
            <v>Investments Govt Securities</v>
          </cell>
        </row>
      </sheetData>
      <sheetData sheetId="12116">
        <row r="34">
          <cell r="A34" t="str">
            <v>Investments Govt Securities</v>
          </cell>
        </row>
      </sheetData>
      <sheetData sheetId="12117">
        <row r="34">
          <cell r="A34" t="str">
            <v>Investments Govt Securities</v>
          </cell>
        </row>
      </sheetData>
      <sheetData sheetId="12118">
        <row r="34">
          <cell r="A34" t="str">
            <v>Investments Govt Securities</v>
          </cell>
        </row>
      </sheetData>
      <sheetData sheetId="12119">
        <row r="34">
          <cell r="A34" t="str">
            <v>Investments Govt Securities</v>
          </cell>
        </row>
      </sheetData>
      <sheetData sheetId="12120">
        <row r="34">
          <cell r="A34" t="str">
            <v>Investments Govt Securities</v>
          </cell>
        </row>
      </sheetData>
      <sheetData sheetId="12121">
        <row r="34">
          <cell r="A34" t="str">
            <v>Investments Govt Securities</v>
          </cell>
        </row>
      </sheetData>
      <sheetData sheetId="12122">
        <row r="34">
          <cell r="A34" t="str">
            <v>Investments Govt Securities</v>
          </cell>
        </row>
      </sheetData>
      <sheetData sheetId="12123">
        <row r="34">
          <cell r="A34" t="str">
            <v>Investments Govt Securities</v>
          </cell>
        </row>
      </sheetData>
      <sheetData sheetId="12124">
        <row r="34">
          <cell r="A34" t="str">
            <v>Investments Govt Securities</v>
          </cell>
        </row>
      </sheetData>
      <sheetData sheetId="12125">
        <row r="34">
          <cell r="A34" t="str">
            <v>Investments Govt Securities</v>
          </cell>
        </row>
      </sheetData>
      <sheetData sheetId="12126">
        <row r="34">
          <cell r="A34" t="str">
            <v>Investments Govt Securities</v>
          </cell>
        </row>
      </sheetData>
      <sheetData sheetId="12127">
        <row r="34">
          <cell r="A34" t="str">
            <v>Investments Govt Securities</v>
          </cell>
        </row>
      </sheetData>
      <sheetData sheetId="12128">
        <row r="34">
          <cell r="A34" t="str">
            <v>Investments Govt Securities</v>
          </cell>
        </row>
      </sheetData>
      <sheetData sheetId="12129">
        <row r="34">
          <cell r="A34" t="str">
            <v>Investments Govt Securities</v>
          </cell>
        </row>
      </sheetData>
      <sheetData sheetId="12130">
        <row r="34">
          <cell r="A34" t="str">
            <v>Investments Govt Securities</v>
          </cell>
        </row>
      </sheetData>
      <sheetData sheetId="12131">
        <row r="34">
          <cell r="A34" t="str">
            <v>Investments Govt Securities</v>
          </cell>
        </row>
      </sheetData>
      <sheetData sheetId="12132">
        <row r="34">
          <cell r="A34" t="str">
            <v>Investments Govt Securities</v>
          </cell>
        </row>
      </sheetData>
      <sheetData sheetId="12133">
        <row r="34">
          <cell r="A34" t="str">
            <v>Investments Govt Securities</v>
          </cell>
        </row>
      </sheetData>
      <sheetData sheetId="12134">
        <row r="34">
          <cell r="A34" t="str">
            <v>Investments Govt Securities</v>
          </cell>
        </row>
      </sheetData>
      <sheetData sheetId="12135">
        <row r="34">
          <cell r="A34" t="str">
            <v>Investments Govt Securities</v>
          </cell>
        </row>
      </sheetData>
      <sheetData sheetId="12136">
        <row r="34">
          <cell r="A34" t="str">
            <v>Investments Govt Securities</v>
          </cell>
        </row>
      </sheetData>
      <sheetData sheetId="12137">
        <row r="34">
          <cell r="A34" t="str">
            <v>Investments Govt Securities</v>
          </cell>
        </row>
      </sheetData>
      <sheetData sheetId="12138">
        <row r="34">
          <cell r="A34" t="str">
            <v>Investments Govt Securities</v>
          </cell>
        </row>
      </sheetData>
      <sheetData sheetId="12139">
        <row r="34">
          <cell r="A34" t="str">
            <v>Investments Govt Securities</v>
          </cell>
        </row>
      </sheetData>
      <sheetData sheetId="12140">
        <row r="34">
          <cell r="A34" t="str">
            <v>Investments Govt Securities</v>
          </cell>
        </row>
      </sheetData>
      <sheetData sheetId="12141">
        <row r="34">
          <cell r="A34" t="str">
            <v>Investments Govt Securities</v>
          </cell>
        </row>
      </sheetData>
      <sheetData sheetId="12142">
        <row r="34">
          <cell r="A34" t="str">
            <v>Investments Govt Securities</v>
          </cell>
        </row>
      </sheetData>
      <sheetData sheetId="12143">
        <row r="34">
          <cell r="A34" t="str">
            <v>Investments Govt Securities</v>
          </cell>
        </row>
      </sheetData>
      <sheetData sheetId="12144">
        <row r="34">
          <cell r="A34" t="str">
            <v>Investments Govt Securities</v>
          </cell>
        </row>
      </sheetData>
      <sheetData sheetId="12145">
        <row r="34">
          <cell r="A34" t="str">
            <v>Investments Govt Securities</v>
          </cell>
        </row>
      </sheetData>
      <sheetData sheetId="12146">
        <row r="34">
          <cell r="A34" t="str">
            <v>Investments Govt Securities</v>
          </cell>
        </row>
      </sheetData>
      <sheetData sheetId="12147">
        <row r="34">
          <cell r="A34" t="str">
            <v>Investments Govt Securities</v>
          </cell>
        </row>
      </sheetData>
      <sheetData sheetId="12148">
        <row r="34">
          <cell r="A34" t="str">
            <v>Investments Govt Securities</v>
          </cell>
        </row>
      </sheetData>
      <sheetData sheetId="12149">
        <row r="34">
          <cell r="A34" t="str">
            <v>Investments Govt Securities</v>
          </cell>
        </row>
      </sheetData>
      <sheetData sheetId="12150">
        <row r="34">
          <cell r="A34" t="str">
            <v>Investments Govt Securities</v>
          </cell>
        </row>
      </sheetData>
      <sheetData sheetId="12151">
        <row r="34">
          <cell r="A34" t="str">
            <v>Investments Govt Securities</v>
          </cell>
        </row>
      </sheetData>
      <sheetData sheetId="12152">
        <row r="34">
          <cell r="A34" t="str">
            <v>Investments Govt Securities</v>
          </cell>
        </row>
      </sheetData>
      <sheetData sheetId="12153">
        <row r="34">
          <cell r="A34" t="str">
            <v>Investments Govt Securities</v>
          </cell>
        </row>
      </sheetData>
      <sheetData sheetId="12154">
        <row r="34">
          <cell r="A34" t="str">
            <v>Investments Govt Securities</v>
          </cell>
        </row>
      </sheetData>
      <sheetData sheetId="12155">
        <row r="34">
          <cell r="A34" t="str">
            <v>Investments Govt Securities</v>
          </cell>
        </row>
      </sheetData>
      <sheetData sheetId="12156">
        <row r="34">
          <cell r="A34" t="str">
            <v>Investments Govt Securities</v>
          </cell>
        </row>
      </sheetData>
      <sheetData sheetId="12157">
        <row r="34">
          <cell r="A34" t="str">
            <v>Investments Govt Securities</v>
          </cell>
        </row>
      </sheetData>
      <sheetData sheetId="12158">
        <row r="34">
          <cell r="A34" t="str">
            <v>Investments Govt Securities</v>
          </cell>
        </row>
      </sheetData>
      <sheetData sheetId="12159">
        <row r="34">
          <cell r="A34" t="str">
            <v>Investments Govt Securities</v>
          </cell>
        </row>
      </sheetData>
      <sheetData sheetId="12160">
        <row r="34">
          <cell r="A34" t="str">
            <v>Investments Govt Securities</v>
          </cell>
        </row>
      </sheetData>
      <sheetData sheetId="12161">
        <row r="34">
          <cell r="A34" t="str">
            <v>Investments Govt Securities</v>
          </cell>
        </row>
      </sheetData>
      <sheetData sheetId="12162">
        <row r="34">
          <cell r="A34" t="str">
            <v>Investments Govt Securities</v>
          </cell>
        </row>
      </sheetData>
      <sheetData sheetId="12163">
        <row r="34">
          <cell r="A34" t="str">
            <v>Investments Govt Securities</v>
          </cell>
        </row>
      </sheetData>
      <sheetData sheetId="12164">
        <row r="34">
          <cell r="A34" t="str">
            <v>Investments Govt Securities</v>
          </cell>
        </row>
      </sheetData>
      <sheetData sheetId="12165">
        <row r="34">
          <cell r="A34" t="str">
            <v>Investments Govt Securities</v>
          </cell>
        </row>
      </sheetData>
      <sheetData sheetId="12166">
        <row r="34">
          <cell r="A34" t="str">
            <v>Investments Govt Securities</v>
          </cell>
        </row>
      </sheetData>
      <sheetData sheetId="12167">
        <row r="34">
          <cell r="A34" t="str">
            <v>Investments Govt Securities</v>
          </cell>
        </row>
      </sheetData>
      <sheetData sheetId="12168">
        <row r="34">
          <cell r="A34" t="str">
            <v>Investments Govt Securities</v>
          </cell>
        </row>
      </sheetData>
      <sheetData sheetId="12169">
        <row r="34">
          <cell r="A34" t="str">
            <v>Investments Govt Securities</v>
          </cell>
        </row>
      </sheetData>
      <sheetData sheetId="12170">
        <row r="34">
          <cell r="A34" t="str">
            <v>Investments Govt Securities</v>
          </cell>
        </row>
      </sheetData>
      <sheetData sheetId="12171">
        <row r="34">
          <cell r="A34" t="str">
            <v>Investments Govt Securities</v>
          </cell>
        </row>
      </sheetData>
      <sheetData sheetId="12172">
        <row r="34">
          <cell r="A34" t="str">
            <v>Investments Govt Securities</v>
          </cell>
        </row>
      </sheetData>
      <sheetData sheetId="12173">
        <row r="34">
          <cell r="A34" t="str">
            <v>Investments Govt Securities</v>
          </cell>
        </row>
      </sheetData>
      <sheetData sheetId="12174">
        <row r="34">
          <cell r="A34" t="str">
            <v>Investments Govt Securities</v>
          </cell>
        </row>
      </sheetData>
      <sheetData sheetId="12175">
        <row r="34">
          <cell r="A34" t="str">
            <v>Investments Govt Securities</v>
          </cell>
        </row>
      </sheetData>
      <sheetData sheetId="12176">
        <row r="34">
          <cell r="A34" t="str">
            <v>Investments Govt Securities</v>
          </cell>
        </row>
      </sheetData>
      <sheetData sheetId="12177">
        <row r="34">
          <cell r="A34" t="str">
            <v>Investments Govt Securities</v>
          </cell>
        </row>
      </sheetData>
      <sheetData sheetId="12178">
        <row r="34">
          <cell r="A34" t="str">
            <v>Investments Govt Securities</v>
          </cell>
        </row>
      </sheetData>
      <sheetData sheetId="12179">
        <row r="34">
          <cell r="A34" t="str">
            <v>Investments Govt Securities</v>
          </cell>
        </row>
      </sheetData>
      <sheetData sheetId="12180">
        <row r="34">
          <cell r="A34" t="str">
            <v>Investments Govt Securities</v>
          </cell>
        </row>
      </sheetData>
      <sheetData sheetId="12181">
        <row r="34">
          <cell r="A34" t="str">
            <v>Investments Govt Securities</v>
          </cell>
        </row>
      </sheetData>
      <sheetData sheetId="12182">
        <row r="34">
          <cell r="A34" t="str">
            <v>Investments Govt Securities</v>
          </cell>
        </row>
      </sheetData>
      <sheetData sheetId="12183">
        <row r="34">
          <cell r="A34" t="str">
            <v>Investments Govt Securities</v>
          </cell>
        </row>
      </sheetData>
      <sheetData sheetId="12184">
        <row r="34">
          <cell r="A34" t="str">
            <v>Investments Govt Securities</v>
          </cell>
        </row>
      </sheetData>
      <sheetData sheetId="12185">
        <row r="34">
          <cell r="A34" t="str">
            <v>Investments Govt Securities</v>
          </cell>
        </row>
      </sheetData>
      <sheetData sheetId="12186">
        <row r="34">
          <cell r="A34" t="str">
            <v>Investments Govt Securities</v>
          </cell>
        </row>
      </sheetData>
      <sheetData sheetId="12187">
        <row r="34">
          <cell r="A34" t="str">
            <v>Investments Govt Securities</v>
          </cell>
        </row>
      </sheetData>
      <sheetData sheetId="12188">
        <row r="34">
          <cell r="A34" t="str">
            <v>Investments Govt Securities</v>
          </cell>
        </row>
      </sheetData>
      <sheetData sheetId="12189">
        <row r="34">
          <cell r="A34" t="str">
            <v>Investments Govt Securities</v>
          </cell>
        </row>
      </sheetData>
      <sheetData sheetId="12190">
        <row r="34">
          <cell r="A34" t="str">
            <v>Investments Govt Securities</v>
          </cell>
        </row>
      </sheetData>
      <sheetData sheetId="12191">
        <row r="34">
          <cell r="A34" t="str">
            <v>Investments Govt Securities</v>
          </cell>
        </row>
      </sheetData>
      <sheetData sheetId="12192">
        <row r="34">
          <cell r="A34" t="str">
            <v>Investments Govt Securities</v>
          </cell>
        </row>
      </sheetData>
      <sheetData sheetId="12193">
        <row r="34">
          <cell r="A34" t="str">
            <v>Investments Govt Securities</v>
          </cell>
        </row>
      </sheetData>
      <sheetData sheetId="12194">
        <row r="34">
          <cell r="A34" t="str">
            <v>Investments Govt Securities</v>
          </cell>
        </row>
      </sheetData>
      <sheetData sheetId="12195">
        <row r="34">
          <cell r="A34" t="str">
            <v>Investments Govt Securities</v>
          </cell>
        </row>
      </sheetData>
      <sheetData sheetId="12196">
        <row r="34">
          <cell r="A34" t="str">
            <v>Investments Govt Securities</v>
          </cell>
        </row>
      </sheetData>
      <sheetData sheetId="12197">
        <row r="34">
          <cell r="A34" t="str">
            <v>Investments Govt Securities</v>
          </cell>
        </row>
      </sheetData>
      <sheetData sheetId="12198">
        <row r="34">
          <cell r="A34" t="str">
            <v>Investments Govt Securities</v>
          </cell>
        </row>
      </sheetData>
      <sheetData sheetId="12199">
        <row r="34">
          <cell r="A34" t="str">
            <v>Investments Govt Securities</v>
          </cell>
        </row>
      </sheetData>
      <sheetData sheetId="12200">
        <row r="34">
          <cell r="A34" t="str">
            <v>Investments Govt Securities</v>
          </cell>
        </row>
      </sheetData>
      <sheetData sheetId="12201">
        <row r="34">
          <cell r="A34" t="str">
            <v>Investments Govt Securities</v>
          </cell>
        </row>
      </sheetData>
      <sheetData sheetId="12202">
        <row r="34">
          <cell r="A34" t="str">
            <v>Investments Govt Securities</v>
          </cell>
        </row>
      </sheetData>
      <sheetData sheetId="12203">
        <row r="34">
          <cell r="A34" t="str">
            <v>Investments Govt Securities</v>
          </cell>
        </row>
      </sheetData>
      <sheetData sheetId="12204">
        <row r="34">
          <cell r="A34" t="str">
            <v>Investments Govt Securities</v>
          </cell>
        </row>
      </sheetData>
      <sheetData sheetId="12205">
        <row r="34">
          <cell r="A34" t="str">
            <v>Investments Govt Securities</v>
          </cell>
        </row>
      </sheetData>
      <sheetData sheetId="12206">
        <row r="34">
          <cell r="A34" t="str">
            <v>Investments Govt Securities</v>
          </cell>
        </row>
      </sheetData>
      <sheetData sheetId="12207">
        <row r="34">
          <cell r="A34" t="str">
            <v>Investments Govt Securities</v>
          </cell>
        </row>
      </sheetData>
      <sheetData sheetId="12208">
        <row r="34">
          <cell r="A34" t="str">
            <v>Investments Govt Securities</v>
          </cell>
        </row>
      </sheetData>
      <sheetData sheetId="12209">
        <row r="34">
          <cell r="A34" t="str">
            <v>Investments Govt Securities</v>
          </cell>
        </row>
      </sheetData>
      <sheetData sheetId="12210">
        <row r="34">
          <cell r="A34" t="str">
            <v>Investments Govt Securities</v>
          </cell>
        </row>
      </sheetData>
      <sheetData sheetId="12211">
        <row r="34">
          <cell r="A34" t="str">
            <v>Investments Govt Securities</v>
          </cell>
        </row>
      </sheetData>
      <sheetData sheetId="12212">
        <row r="34">
          <cell r="A34" t="str">
            <v>Investments Govt Securities</v>
          </cell>
        </row>
      </sheetData>
      <sheetData sheetId="12213">
        <row r="34">
          <cell r="A34" t="str">
            <v>Investments Govt Securities</v>
          </cell>
        </row>
      </sheetData>
      <sheetData sheetId="12214">
        <row r="34">
          <cell r="A34" t="str">
            <v>Investments Govt Securities</v>
          </cell>
        </row>
      </sheetData>
      <sheetData sheetId="12215">
        <row r="34">
          <cell r="A34" t="str">
            <v>Investments Govt Securities</v>
          </cell>
        </row>
      </sheetData>
      <sheetData sheetId="12216">
        <row r="34">
          <cell r="A34" t="str">
            <v>Investments Govt Securities</v>
          </cell>
        </row>
      </sheetData>
      <sheetData sheetId="12217">
        <row r="34">
          <cell r="A34" t="str">
            <v>Investments Govt Securities</v>
          </cell>
        </row>
      </sheetData>
      <sheetData sheetId="12218">
        <row r="34">
          <cell r="A34" t="str">
            <v>Investments Govt Securities</v>
          </cell>
        </row>
      </sheetData>
      <sheetData sheetId="12219">
        <row r="34">
          <cell r="A34" t="str">
            <v>Investments Govt Securities</v>
          </cell>
        </row>
      </sheetData>
      <sheetData sheetId="12220">
        <row r="34">
          <cell r="A34" t="str">
            <v>Investments Govt Securities</v>
          </cell>
        </row>
      </sheetData>
      <sheetData sheetId="12221">
        <row r="34">
          <cell r="A34" t="str">
            <v>Investments Govt Securities</v>
          </cell>
        </row>
      </sheetData>
      <sheetData sheetId="12222">
        <row r="34">
          <cell r="A34" t="str">
            <v>Investments Govt Securities</v>
          </cell>
        </row>
      </sheetData>
      <sheetData sheetId="12223">
        <row r="34">
          <cell r="A34" t="str">
            <v>Investments Govt Securities</v>
          </cell>
        </row>
      </sheetData>
      <sheetData sheetId="12224">
        <row r="34">
          <cell r="A34" t="str">
            <v>Investments Govt Securities</v>
          </cell>
        </row>
      </sheetData>
      <sheetData sheetId="12225">
        <row r="34">
          <cell r="A34" t="str">
            <v>Investments Govt Securities</v>
          </cell>
        </row>
      </sheetData>
      <sheetData sheetId="12226">
        <row r="34">
          <cell r="A34" t="str">
            <v>Investments Govt Securities</v>
          </cell>
        </row>
      </sheetData>
      <sheetData sheetId="12227">
        <row r="34">
          <cell r="A34" t="str">
            <v>Investments Govt Securities</v>
          </cell>
        </row>
      </sheetData>
      <sheetData sheetId="12228">
        <row r="34">
          <cell r="A34" t="str">
            <v>Investments Govt Securities</v>
          </cell>
        </row>
      </sheetData>
      <sheetData sheetId="12229">
        <row r="34">
          <cell r="A34" t="str">
            <v>Investments Govt Securities</v>
          </cell>
        </row>
      </sheetData>
      <sheetData sheetId="12230">
        <row r="34">
          <cell r="A34" t="str">
            <v>Investments Govt Securities</v>
          </cell>
        </row>
      </sheetData>
      <sheetData sheetId="12231">
        <row r="34">
          <cell r="A34" t="str">
            <v>Investments Govt Securities</v>
          </cell>
        </row>
      </sheetData>
      <sheetData sheetId="12232">
        <row r="34">
          <cell r="A34" t="str">
            <v>Investments Govt Securities</v>
          </cell>
        </row>
      </sheetData>
      <sheetData sheetId="12233">
        <row r="34">
          <cell r="A34" t="str">
            <v>Investments Govt Securities</v>
          </cell>
        </row>
      </sheetData>
      <sheetData sheetId="12234">
        <row r="34">
          <cell r="A34" t="str">
            <v>Investments Govt Securities</v>
          </cell>
        </row>
      </sheetData>
      <sheetData sheetId="12235">
        <row r="34">
          <cell r="A34" t="str">
            <v>Investments Govt Securities</v>
          </cell>
        </row>
      </sheetData>
      <sheetData sheetId="12236">
        <row r="34">
          <cell r="A34" t="str">
            <v>Investments Govt Securities</v>
          </cell>
        </row>
      </sheetData>
      <sheetData sheetId="12237">
        <row r="34">
          <cell r="A34" t="str">
            <v>Investments Govt Securities</v>
          </cell>
        </row>
      </sheetData>
      <sheetData sheetId="12238">
        <row r="34">
          <cell r="A34" t="str">
            <v>Investments Govt Securities</v>
          </cell>
        </row>
      </sheetData>
      <sheetData sheetId="12239">
        <row r="34">
          <cell r="A34" t="str">
            <v>Investments Govt Securities</v>
          </cell>
        </row>
      </sheetData>
      <sheetData sheetId="12240">
        <row r="34">
          <cell r="A34" t="str">
            <v>Investments Govt Securities</v>
          </cell>
        </row>
      </sheetData>
      <sheetData sheetId="12241">
        <row r="34">
          <cell r="A34" t="str">
            <v>Investments Govt Securities</v>
          </cell>
        </row>
      </sheetData>
      <sheetData sheetId="12242">
        <row r="34">
          <cell r="A34" t="str">
            <v>Investments Govt Securities</v>
          </cell>
        </row>
      </sheetData>
      <sheetData sheetId="12243">
        <row r="34">
          <cell r="A34" t="str">
            <v>Investments Govt Securities</v>
          </cell>
        </row>
      </sheetData>
      <sheetData sheetId="12244">
        <row r="34">
          <cell r="A34" t="str">
            <v>Investments Govt Securities</v>
          </cell>
        </row>
      </sheetData>
      <sheetData sheetId="12245">
        <row r="34">
          <cell r="A34" t="str">
            <v>Investments Govt Securities</v>
          </cell>
        </row>
      </sheetData>
      <sheetData sheetId="12246">
        <row r="34">
          <cell r="A34" t="str">
            <v>Investments Govt Securities</v>
          </cell>
        </row>
      </sheetData>
      <sheetData sheetId="12247">
        <row r="34">
          <cell r="A34" t="str">
            <v>Investments Govt Securities</v>
          </cell>
        </row>
      </sheetData>
      <sheetData sheetId="12248">
        <row r="34">
          <cell r="A34" t="str">
            <v>Investments Govt Securities</v>
          </cell>
        </row>
      </sheetData>
      <sheetData sheetId="12249">
        <row r="34">
          <cell r="A34" t="str">
            <v>Investments Govt Securities</v>
          </cell>
        </row>
      </sheetData>
      <sheetData sheetId="12250">
        <row r="34">
          <cell r="A34" t="str">
            <v>Investments Govt Securities</v>
          </cell>
        </row>
      </sheetData>
      <sheetData sheetId="12251">
        <row r="34">
          <cell r="A34" t="str">
            <v>Investments Govt Securities</v>
          </cell>
        </row>
      </sheetData>
      <sheetData sheetId="12252">
        <row r="34">
          <cell r="A34" t="str">
            <v>Investments Govt Securities</v>
          </cell>
        </row>
      </sheetData>
      <sheetData sheetId="12253">
        <row r="34">
          <cell r="A34" t="str">
            <v>Investments Govt Securities</v>
          </cell>
        </row>
      </sheetData>
      <sheetData sheetId="12254">
        <row r="34">
          <cell r="A34" t="str">
            <v>Investments Govt Securities</v>
          </cell>
        </row>
      </sheetData>
      <sheetData sheetId="12255">
        <row r="34">
          <cell r="A34" t="str">
            <v>Investments Govt Securities</v>
          </cell>
        </row>
      </sheetData>
      <sheetData sheetId="12256">
        <row r="34">
          <cell r="A34" t="str">
            <v>Investments Govt Securities</v>
          </cell>
        </row>
      </sheetData>
      <sheetData sheetId="12257">
        <row r="34">
          <cell r="A34" t="str">
            <v>Investments Govt Securities</v>
          </cell>
        </row>
      </sheetData>
      <sheetData sheetId="12258">
        <row r="34">
          <cell r="A34" t="str">
            <v>Investments Govt Securities</v>
          </cell>
        </row>
      </sheetData>
      <sheetData sheetId="12259">
        <row r="34">
          <cell r="A34" t="str">
            <v>Investments Govt Securities</v>
          </cell>
        </row>
      </sheetData>
      <sheetData sheetId="12260">
        <row r="34">
          <cell r="A34" t="str">
            <v>Investments Govt Securities</v>
          </cell>
        </row>
      </sheetData>
      <sheetData sheetId="12261">
        <row r="34">
          <cell r="A34" t="str">
            <v>Investments Govt Securities</v>
          </cell>
        </row>
      </sheetData>
      <sheetData sheetId="12262">
        <row r="34">
          <cell r="A34" t="str">
            <v>Investments Govt Securities</v>
          </cell>
        </row>
      </sheetData>
      <sheetData sheetId="12263">
        <row r="34">
          <cell r="A34" t="str">
            <v>Investments Govt Securities</v>
          </cell>
        </row>
      </sheetData>
      <sheetData sheetId="12264">
        <row r="34">
          <cell r="A34" t="str">
            <v>Investments Govt Securities</v>
          </cell>
        </row>
      </sheetData>
      <sheetData sheetId="12265">
        <row r="34">
          <cell r="A34" t="str">
            <v>Investments Govt Securities</v>
          </cell>
        </row>
      </sheetData>
      <sheetData sheetId="12266">
        <row r="34">
          <cell r="A34" t="str">
            <v>Investments Govt Securities</v>
          </cell>
        </row>
      </sheetData>
      <sheetData sheetId="12267">
        <row r="34">
          <cell r="A34" t="str">
            <v>Investments Govt Securities</v>
          </cell>
        </row>
      </sheetData>
      <sheetData sheetId="12268">
        <row r="34">
          <cell r="A34" t="str">
            <v>Investments Govt Securities</v>
          </cell>
        </row>
      </sheetData>
      <sheetData sheetId="12269">
        <row r="34">
          <cell r="A34" t="str">
            <v>Investments Govt Securities</v>
          </cell>
        </row>
      </sheetData>
      <sheetData sheetId="12270">
        <row r="34">
          <cell r="A34" t="str">
            <v>Investments Govt Securities</v>
          </cell>
        </row>
      </sheetData>
      <sheetData sheetId="12271">
        <row r="34">
          <cell r="A34" t="str">
            <v>Investments Govt Securities</v>
          </cell>
        </row>
      </sheetData>
      <sheetData sheetId="12272">
        <row r="34">
          <cell r="A34" t="str">
            <v>Investments Govt Securities</v>
          </cell>
        </row>
      </sheetData>
      <sheetData sheetId="12273">
        <row r="34">
          <cell r="A34" t="str">
            <v>Investments Govt Securities</v>
          </cell>
        </row>
      </sheetData>
      <sheetData sheetId="12274">
        <row r="34">
          <cell r="A34" t="str">
            <v>Investments Govt Securities</v>
          </cell>
        </row>
      </sheetData>
      <sheetData sheetId="12275">
        <row r="34">
          <cell r="A34" t="str">
            <v>Investments Govt Securities</v>
          </cell>
        </row>
      </sheetData>
      <sheetData sheetId="12276">
        <row r="34">
          <cell r="A34" t="str">
            <v>Investments Govt Securities</v>
          </cell>
        </row>
      </sheetData>
      <sheetData sheetId="12277">
        <row r="34">
          <cell r="A34" t="str">
            <v>Investments Govt Securities</v>
          </cell>
        </row>
      </sheetData>
      <sheetData sheetId="12278">
        <row r="34">
          <cell r="A34" t="str">
            <v>Investments Govt Securities</v>
          </cell>
        </row>
      </sheetData>
      <sheetData sheetId="12279">
        <row r="34">
          <cell r="A34" t="str">
            <v>Investments Govt Securities</v>
          </cell>
        </row>
      </sheetData>
      <sheetData sheetId="12280">
        <row r="34">
          <cell r="A34" t="str">
            <v>Investments Govt Securities</v>
          </cell>
        </row>
      </sheetData>
      <sheetData sheetId="12281">
        <row r="34">
          <cell r="A34" t="str">
            <v>Investments Govt Securities</v>
          </cell>
        </row>
      </sheetData>
      <sheetData sheetId="12282">
        <row r="34">
          <cell r="A34" t="str">
            <v>Investments Govt Securities</v>
          </cell>
        </row>
      </sheetData>
      <sheetData sheetId="12283">
        <row r="34">
          <cell r="A34" t="str">
            <v>Investments Govt Securities</v>
          </cell>
        </row>
      </sheetData>
      <sheetData sheetId="12284">
        <row r="34">
          <cell r="A34" t="str">
            <v>Investments Govt Securities</v>
          </cell>
        </row>
      </sheetData>
      <sheetData sheetId="12285">
        <row r="34">
          <cell r="A34" t="str">
            <v>Investments Govt Securities</v>
          </cell>
        </row>
      </sheetData>
      <sheetData sheetId="12286">
        <row r="34">
          <cell r="A34" t="str">
            <v>Investments Govt Securities</v>
          </cell>
        </row>
      </sheetData>
      <sheetData sheetId="12287">
        <row r="34">
          <cell r="A34" t="str">
            <v>Investments Govt Securities</v>
          </cell>
        </row>
      </sheetData>
      <sheetData sheetId="12288">
        <row r="34">
          <cell r="A34" t="str">
            <v>Investments Govt Securities</v>
          </cell>
        </row>
      </sheetData>
      <sheetData sheetId="12289">
        <row r="34">
          <cell r="A34" t="str">
            <v>Investments Govt Securities</v>
          </cell>
        </row>
      </sheetData>
      <sheetData sheetId="12290">
        <row r="34">
          <cell r="A34" t="str">
            <v>Investments Govt Securities</v>
          </cell>
        </row>
      </sheetData>
      <sheetData sheetId="12291">
        <row r="34">
          <cell r="A34" t="str">
            <v>Investments Govt Securities</v>
          </cell>
        </row>
      </sheetData>
      <sheetData sheetId="12292">
        <row r="34">
          <cell r="A34" t="str">
            <v>Investments Govt Securities</v>
          </cell>
        </row>
      </sheetData>
      <sheetData sheetId="12293">
        <row r="34">
          <cell r="A34" t="str">
            <v>Investments Govt Securities</v>
          </cell>
        </row>
      </sheetData>
      <sheetData sheetId="12294">
        <row r="34">
          <cell r="A34" t="str">
            <v>Investments Govt Securities</v>
          </cell>
        </row>
      </sheetData>
      <sheetData sheetId="12295">
        <row r="34">
          <cell r="A34" t="str">
            <v>Investments Govt Securities</v>
          </cell>
        </row>
      </sheetData>
      <sheetData sheetId="12296">
        <row r="34">
          <cell r="A34" t="str">
            <v>Investments Govt Securities</v>
          </cell>
        </row>
      </sheetData>
      <sheetData sheetId="12297">
        <row r="34">
          <cell r="A34" t="str">
            <v>Investments Govt Securities</v>
          </cell>
        </row>
      </sheetData>
      <sheetData sheetId="12298">
        <row r="34">
          <cell r="A34" t="str">
            <v>Investments Govt Securities</v>
          </cell>
        </row>
      </sheetData>
      <sheetData sheetId="12299">
        <row r="34">
          <cell r="A34" t="str">
            <v>Investments Govt Securities</v>
          </cell>
        </row>
      </sheetData>
      <sheetData sheetId="12300">
        <row r="34">
          <cell r="A34" t="str">
            <v>Investments Govt Securities</v>
          </cell>
        </row>
      </sheetData>
      <sheetData sheetId="12301">
        <row r="34">
          <cell r="A34" t="str">
            <v>Investments Govt Securities</v>
          </cell>
        </row>
      </sheetData>
      <sheetData sheetId="12302">
        <row r="34">
          <cell r="A34" t="str">
            <v>Investments Govt Securities</v>
          </cell>
        </row>
      </sheetData>
      <sheetData sheetId="12303">
        <row r="34">
          <cell r="A34" t="str">
            <v>Investments Govt Securities</v>
          </cell>
        </row>
      </sheetData>
      <sheetData sheetId="12304">
        <row r="34">
          <cell r="A34" t="str">
            <v>Investments Govt Securities</v>
          </cell>
        </row>
      </sheetData>
      <sheetData sheetId="12305">
        <row r="34">
          <cell r="A34" t="str">
            <v>Investments Govt Securities</v>
          </cell>
        </row>
      </sheetData>
      <sheetData sheetId="12306">
        <row r="34">
          <cell r="A34" t="str">
            <v>Investments Govt Securities</v>
          </cell>
        </row>
      </sheetData>
      <sheetData sheetId="12307">
        <row r="34">
          <cell r="A34" t="str">
            <v>Investments Govt Securities</v>
          </cell>
        </row>
      </sheetData>
      <sheetData sheetId="12308">
        <row r="34">
          <cell r="A34" t="str">
            <v>Investments Govt Securities</v>
          </cell>
        </row>
      </sheetData>
      <sheetData sheetId="12309">
        <row r="34">
          <cell r="A34" t="str">
            <v>Investments Govt Securities</v>
          </cell>
        </row>
      </sheetData>
      <sheetData sheetId="12310">
        <row r="34">
          <cell r="A34" t="str">
            <v>Investments Govt Securities</v>
          </cell>
        </row>
      </sheetData>
      <sheetData sheetId="12311">
        <row r="34">
          <cell r="A34" t="str">
            <v>Investments Govt Securities</v>
          </cell>
        </row>
      </sheetData>
      <sheetData sheetId="12312">
        <row r="34">
          <cell r="A34" t="str">
            <v>Investments Govt Securities</v>
          </cell>
        </row>
      </sheetData>
      <sheetData sheetId="12313">
        <row r="34">
          <cell r="A34" t="str">
            <v>Investments Govt Securities</v>
          </cell>
        </row>
      </sheetData>
      <sheetData sheetId="12314">
        <row r="34">
          <cell r="A34" t="str">
            <v>Investments Govt Securities</v>
          </cell>
        </row>
      </sheetData>
      <sheetData sheetId="12315">
        <row r="34">
          <cell r="A34" t="str">
            <v>Investments Govt Securities</v>
          </cell>
        </row>
      </sheetData>
      <sheetData sheetId="12316">
        <row r="34">
          <cell r="A34" t="str">
            <v>Investments Govt Securities</v>
          </cell>
        </row>
      </sheetData>
      <sheetData sheetId="12317">
        <row r="34">
          <cell r="A34" t="str">
            <v>Investments Govt Securities</v>
          </cell>
        </row>
      </sheetData>
      <sheetData sheetId="12318">
        <row r="34">
          <cell r="A34" t="str">
            <v>Investments Govt Securities</v>
          </cell>
        </row>
      </sheetData>
      <sheetData sheetId="12319">
        <row r="34">
          <cell r="A34" t="str">
            <v>Investments Govt Securities</v>
          </cell>
        </row>
      </sheetData>
      <sheetData sheetId="12320">
        <row r="34">
          <cell r="A34" t="str">
            <v>Investments Govt Securities</v>
          </cell>
        </row>
      </sheetData>
      <sheetData sheetId="12321">
        <row r="34">
          <cell r="A34" t="str">
            <v>Investments Govt Securities</v>
          </cell>
        </row>
      </sheetData>
      <sheetData sheetId="12322">
        <row r="34">
          <cell r="A34" t="str">
            <v>Investments Govt Securities</v>
          </cell>
        </row>
      </sheetData>
      <sheetData sheetId="12323">
        <row r="34">
          <cell r="A34" t="str">
            <v>Investments Govt Securities</v>
          </cell>
        </row>
      </sheetData>
      <sheetData sheetId="12324">
        <row r="34">
          <cell r="A34" t="str">
            <v>Investments Govt Securities</v>
          </cell>
        </row>
      </sheetData>
      <sheetData sheetId="12325">
        <row r="34">
          <cell r="A34" t="str">
            <v>Investments Govt Securities</v>
          </cell>
        </row>
      </sheetData>
      <sheetData sheetId="12326">
        <row r="34">
          <cell r="A34" t="str">
            <v>Investments Govt Securities</v>
          </cell>
        </row>
      </sheetData>
      <sheetData sheetId="12327">
        <row r="34">
          <cell r="A34" t="str">
            <v>Investments Govt Securities</v>
          </cell>
        </row>
      </sheetData>
      <sheetData sheetId="12328">
        <row r="34">
          <cell r="A34" t="str">
            <v>Investments Govt Securities</v>
          </cell>
        </row>
      </sheetData>
      <sheetData sheetId="12329">
        <row r="34">
          <cell r="A34" t="str">
            <v>Investments Govt Securities</v>
          </cell>
        </row>
      </sheetData>
      <sheetData sheetId="12330">
        <row r="34">
          <cell r="A34" t="str">
            <v>Investments Govt Securities</v>
          </cell>
        </row>
      </sheetData>
      <sheetData sheetId="12331">
        <row r="34">
          <cell r="A34" t="str">
            <v>Investments Govt Securities</v>
          </cell>
        </row>
      </sheetData>
      <sheetData sheetId="12332">
        <row r="34">
          <cell r="A34" t="str">
            <v>Investments Govt Securities</v>
          </cell>
        </row>
      </sheetData>
      <sheetData sheetId="12333">
        <row r="34">
          <cell r="A34" t="str">
            <v>Investments Govt Securities</v>
          </cell>
        </row>
      </sheetData>
      <sheetData sheetId="12334">
        <row r="34">
          <cell r="A34" t="str">
            <v>Investments Govt Securities</v>
          </cell>
        </row>
      </sheetData>
      <sheetData sheetId="12335">
        <row r="34">
          <cell r="A34" t="str">
            <v>Investments Govt Securities</v>
          </cell>
        </row>
      </sheetData>
      <sheetData sheetId="12336">
        <row r="34">
          <cell r="A34" t="str">
            <v>Investments Govt Securities</v>
          </cell>
        </row>
      </sheetData>
      <sheetData sheetId="12337">
        <row r="34">
          <cell r="A34" t="str">
            <v>Investments Govt Securities</v>
          </cell>
        </row>
      </sheetData>
      <sheetData sheetId="12338">
        <row r="34">
          <cell r="A34" t="str">
            <v>Investments Govt Securities</v>
          </cell>
        </row>
      </sheetData>
      <sheetData sheetId="12339">
        <row r="34">
          <cell r="A34" t="str">
            <v>Investments Govt Securities</v>
          </cell>
        </row>
      </sheetData>
      <sheetData sheetId="12340">
        <row r="34">
          <cell r="A34" t="str">
            <v>Investments Govt Securities</v>
          </cell>
        </row>
      </sheetData>
      <sheetData sheetId="12341">
        <row r="34">
          <cell r="A34" t="str">
            <v>Investments Govt Securities</v>
          </cell>
        </row>
      </sheetData>
      <sheetData sheetId="12342">
        <row r="34">
          <cell r="A34" t="str">
            <v>Investments Govt Securities</v>
          </cell>
        </row>
      </sheetData>
      <sheetData sheetId="12343">
        <row r="34">
          <cell r="A34" t="str">
            <v>Investments Govt Securities</v>
          </cell>
        </row>
      </sheetData>
      <sheetData sheetId="12344">
        <row r="34">
          <cell r="A34" t="str">
            <v>Investments Govt Securities</v>
          </cell>
        </row>
      </sheetData>
      <sheetData sheetId="12345">
        <row r="34">
          <cell r="A34" t="str">
            <v>Investments Govt Securities</v>
          </cell>
        </row>
      </sheetData>
      <sheetData sheetId="12346">
        <row r="34">
          <cell r="A34" t="str">
            <v>Investments Govt Securities</v>
          </cell>
        </row>
      </sheetData>
      <sheetData sheetId="12347">
        <row r="34">
          <cell r="A34" t="str">
            <v>Investments Govt Securities</v>
          </cell>
        </row>
      </sheetData>
      <sheetData sheetId="12348">
        <row r="34">
          <cell r="A34" t="str">
            <v>Investments Govt Securities</v>
          </cell>
        </row>
      </sheetData>
      <sheetData sheetId="12349">
        <row r="34">
          <cell r="A34" t="str">
            <v>Investments Govt Securities</v>
          </cell>
        </row>
      </sheetData>
      <sheetData sheetId="12350">
        <row r="34">
          <cell r="A34" t="str">
            <v>Investments Govt Securities</v>
          </cell>
        </row>
      </sheetData>
      <sheetData sheetId="12351">
        <row r="34">
          <cell r="A34" t="str">
            <v>Investments Govt Securities</v>
          </cell>
        </row>
      </sheetData>
      <sheetData sheetId="12352">
        <row r="34">
          <cell r="A34" t="str">
            <v>Investments Govt Securities</v>
          </cell>
        </row>
      </sheetData>
      <sheetData sheetId="12353">
        <row r="34">
          <cell r="A34" t="str">
            <v>Investments Govt Securities</v>
          </cell>
        </row>
      </sheetData>
      <sheetData sheetId="12354">
        <row r="34">
          <cell r="A34" t="str">
            <v>Investments Govt Securities</v>
          </cell>
        </row>
      </sheetData>
      <sheetData sheetId="12355">
        <row r="34">
          <cell r="A34" t="str">
            <v>Investments Govt Securities</v>
          </cell>
        </row>
      </sheetData>
      <sheetData sheetId="12356">
        <row r="34">
          <cell r="A34" t="str">
            <v>Investments Govt Securities</v>
          </cell>
        </row>
      </sheetData>
      <sheetData sheetId="12357">
        <row r="34">
          <cell r="A34" t="str">
            <v>Investments Govt Securities</v>
          </cell>
        </row>
      </sheetData>
      <sheetData sheetId="12358">
        <row r="34">
          <cell r="A34" t="str">
            <v>Investments Govt Securities</v>
          </cell>
        </row>
      </sheetData>
      <sheetData sheetId="12359">
        <row r="34">
          <cell r="A34" t="str">
            <v>Investments Govt Securities</v>
          </cell>
        </row>
      </sheetData>
      <sheetData sheetId="12360">
        <row r="34">
          <cell r="A34" t="str">
            <v>Investments Govt Securities</v>
          </cell>
        </row>
      </sheetData>
      <sheetData sheetId="12361">
        <row r="34">
          <cell r="A34" t="str">
            <v>Investments Govt Securities</v>
          </cell>
        </row>
      </sheetData>
      <sheetData sheetId="12362">
        <row r="34">
          <cell r="A34" t="str">
            <v>Investments Govt Securities</v>
          </cell>
        </row>
      </sheetData>
      <sheetData sheetId="12363">
        <row r="34">
          <cell r="A34" t="str">
            <v>Investments Govt Securities</v>
          </cell>
        </row>
      </sheetData>
      <sheetData sheetId="12364">
        <row r="34">
          <cell r="A34" t="str">
            <v>Investments Govt Securities</v>
          </cell>
        </row>
      </sheetData>
      <sheetData sheetId="12365">
        <row r="34">
          <cell r="A34" t="str">
            <v>Investments Govt Securities</v>
          </cell>
        </row>
      </sheetData>
      <sheetData sheetId="12366">
        <row r="34">
          <cell r="A34" t="str">
            <v>Investments Govt Securities</v>
          </cell>
        </row>
      </sheetData>
      <sheetData sheetId="12367">
        <row r="34">
          <cell r="A34" t="str">
            <v>Investments Govt Securities</v>
          </cell>
        </row>
      </sheetData>
      <sheetData sheetId="12368">
        <row r="34">
          <cell r="A34" t="str">
            <v>Investments Govt Securities</v>
          </cell>
        </row>
      </sheetData>
      <sheetData sheetId="12369">
        <row r="34">
          <cell r="A34" t="str">
            <v>Investments Govt Securities</v>
          </cell>
        </row>
      </sheetData>
      <sheetData sheetId="12370">
        <row r="34">
          <cell r="A34" t="str">
            <v>Investments Govt Securities</v>
          </cell>
        </row>
      </sheetData>
      <sheetData sheetId="12371">
        <row r="34">
          <cell r="A34" t="str">
            <v>Investments Govt Securities</v>
          </cell>
        </row>
      </sheetData>
      <sheetData sheetId="12372">
        <row r="34">
          <cell r="A34" t="str">
            <v>Investments Govt Securities</v>
          </cell>
        </row>
      </sheetData>
      <sheetData sheetId="12373">
        <row r="34">
          <cell r="A34" t="str">
            <v>Investments Govt Securities</v>
          </cell>
        </row>
      </sheetData>
      <sheetData sheetId="12374">
        <row r="34">
          <cell r="A34" t="str">
            <v>Investments Govt Securities</v>
          </cell>
        </row>
      </sheetData>
      <sheetData sheetId="12375">
        <row r="34">
          <cell r="A34" t="str">
            <v>Investments Govt Securities</v>
          </cell>
        </row>
      </sheetData>
      <sheetData sheetId="12376">
        <row r="34">
          <cell r="A34" t="str">
            <v>Investments Govt Securities</v>
          </cell>
        </row>
      </sheetData>
      <sheetData sheetId="12377">
        <row r="34">
          <cell r="A34" t="str">
            <v>Investments Govt Securities</v>
          </cell>
        </row>
      </sheetData>
      <sheetData sheetId="12378">
        <row r="34">
          <cell r="A34" t="str">
            <v>Investments Govt Securities</v>
          </cell>
        </row>
      </sheetData>
      <sheetData sheetId="12379">
        <row r="34">
          <cell r="A34" t="str">
            <v>Investments Govt Securities</v>
          </cell>
        </row>
      </sheetData>
      <sheetData sheetId="12380">
        <row r="34">
          <cell r="A34" t="str">
            <v>Investments Govt Securities</v>
          </cell>
        </row>
      </sheetData>
      <sheetData sheetId="12381">
        <row r="34">
          <cell r="A34" t="str">
            <v>Investments Govt Securities</v>
          </cell>
        </row>
      </sheetData>
      <sheetData sheetId="12382">
        <row r="34">
          <cell r="A34" t="str">
            <v>Investments Govt Securities</v>
          </cell>
        </row>
      </sheetData>
      <sheetData sheetId="12383">
        <row r="34">
          <cell r="A34" t="str">
            <v>Investments Govt Securities</v>
          </cell>
        </row>
      </sheetData>
      <sheetData sheetId="12384">
        <row r="34">
          <cell r="A34" t="str">
            <v>Investments Govt Securities</v>
          </cell>
        </row>
      </sheetData>
      <sheetData sheetId="12385">
        <row r="34">
          <cell r="A34" t="str">
            <v>Investments Govt Securities</v>
          </cell>
        </row>
      </sheetData>
      <sheetData sheetId="12386">
        <row r="34">
          <cell r="A34" t="str">
            <v>Investments Govt Securities</v>
          </cell>
        </row>
      </sheetData>
      <sheetData sheetId="12387">
        <row r="34">
          <cell r="A34" t="str">
            <v>Investments Govt Securities</v>
          </cell>
        </row>
      </sheetData>
      <sheetData sheetId="12388">
        <row r="34">
          <cell r="A34" t="str">
            <v>Investments Govt Securities</v>
          </cell>
        </row>
      </sheetData>
      <sheetData sheetId="12389">
        <row r="34">
          <cell r="A34" t="str">
            <v>Investments Govt Securities</v>
          </cell>
        </row>
      </sheetData>
      <sheetData sheetId="12390">
        <row r="34">
          <cell r="A34" t="str">
            <v>Investments Govt Securities</v>
          </cell>
        </row>
      </sheetData>
      <sheetData sheetId="12391">
        <row r="34">
          <cell r="A34" t="str">
            <v>Investments Govt Securities</v>
          </cell>
        </row>
      </sheetData>
      <sheetData sheetId="12392">
        <row r="34">
          <cell r="A34" t="str">
            <v>Investments Govt Securities</v>
          </cell>
        </row>
      </sheetData>
      <sheetData sheetId="12393">
        <row r="34">
          <cell r="A34" t="str">
            <v>Investments Govt Securities</v>
          </cell>
        </row>
      </sheetData>
      <sheetData sheetId="12394">
        <row r="34">
          <cell r="A34" t="str">
            <v>Investments Govt Securities</v>
          </cell>
        </row>
      </sheetData>
      <sheetData sheetId="12395">
        <row r="34">
          <cell r="A34" t="str">
            <v>Investments Govt Securities</v>
          </cell>
        </row>
      </sheetData>
      <sheetData sheetId="12396">
        <row r="34">
          <cell r="A34" t="str">
            <v>Investments Govt Securities</v>
          </cell>
        </row>
      </sheetData>
      <sheetData sheetId="12397">
        <row r="34">
          <cell r="A34" t="str">
            <v>Investments Govt Securities</v>
          </cell>
        </row>
      </sheetData>
      <sheetData sheetId="12398">
        <row r="34">
          <cell r="A34" t="str">
            <v>Investments Govt Securities</v>
          </cell>
        </row>
      </sheetData>
      <sheetData sheetId="12399">
        <row r="34">
          <cell r="A34" t="str">
            <v>Investments Govt Securities</v>
          </cell>
        </row>
      </sheetData>
      <sheetData sheetId="12400">
        <row r="34">
          <cell r="A34" t="str">
            <v>Investments Govt Securities</v>
          </cell>
        </row>
      </sheetData>
      <sheetData sheetId="12401">
        <row r="34">
          <cell r="A34" t="str">
            <v>Investments Govt Securities</v>
          </cell>
        </row>
      </sheetData>
      <sheetData sheetId="12402">
        <row r="34">
          <cell r="A34" t="str">
            <v>Investments Govt Securities</v>
          </cell>
        </row>
      </sheetData>
      <sheetData sheetId="12403">
        <row r="34">
          <cell r="A34" t="str">
            <v>Investments Govt Securities</v>
          </cell>
        </row>
      </sheetData>
      <sheetData sheetId="12404">
        <row r="34">
          <cell r="A34" t="str">
            <v>Investments Govt Securities</v>
          </cell>
        </row>
      </sheetData>
      <sheetData sheetId="12405">
        <row r="34">
          <cell r="A34" t="str">
            <v>Investments Govt Securities</v>
          </cell>
        </row>
      </sheetData>
      <sheetData sheetId="12406">
        <row r="34">
          <cell r="A34" t="str">
            <v>Investments Govt Securities</v>
          </cell>
        </row>
      </sheetData>
      <sheetData sheetId="12407">
        <row r="34">
          <cell r="A34" t="str">
            <v>Investments Govt Securities</v>
          </cell>
        </row>
      </sheetData>
      <sheetData sheetId="12408">
        <row r="34">
          <cell r="A34" t="str">
            <v>Investments Govt Securities</v>
          </cell>
        </row>
      </sheetData>
      <sheetData sheetId="12409">
        <row r="34">
          <cell r="A34" t="str">
            <v>Investments Govt Securities</v>
          </cell>
        </row>
      </sheetData>
      <sheetData sheetId="12410">
        <row r="34">
          <cell r="A34" t="str">
            <v>Investments Govt Securities</v>
          </cell>
        </row>
      </sheetData>
      <sheetData sheetId="12411">
        <row r="34">
          <cell r="A34" t="str">
            <v>Investments Govt Securities</v>
          </cell>
        </row>
      </sheetData>
      <sheetData sheetId="12412">
        <row r="34">
          <cell r="A34" t="str">
            <v>Investments Govt Securities</v>
          </cell>
        </row>
      </sheetData>
      <sheetData sheetId="12413">
        <row r="34">
          <cell r="A34" t="str">
            <v>Investments Govt Securities</v>
          </cell>
        </row>
      </sheetData>
      <sheetData sheetId="12414">
        <row r="34">
          <cell r="A34" t="str">
            <v>Investments Govt Securities</v>
          </cell>
        </row>
      </sheetData>
      <sheetData sheetId="12415">
        <row r="34">
          <cell r="A34" t="str">
            <v>Investments Govt Securities</v>
          </cell>
        </row>
      </sheetData>
      <sheetData sheetId="12416">
        <row r="34">
          <cell r="A34" t="str">
            <v>Investments Govt Securities</v>
          </cell>
        </row>
      </sheetData>
      <sheetData sheetId="12417">
        <row r="34">
          <cell r="A34" t="str">
            <v>Investments Govt Securities</v>
          </cell>
        </row>
      </sheetData>
      <sheetData sheetId="12418">
        <row r="34">
          <cell r="A34" t="str">
            <v>Investments Govt Securities</v>
          </cell>
        </row>
      </sheetData>
      <sheetData sheetId="12419">
        <row r="34">
          <cell r="A34" t="str">
            <v>Investments Govt Securities</v>
          </cell>
        </row>
      </sheetData>
      <sheetData sheetId="12420">
        <row r="34">
          <cell r="A34" t="str">
            <v>Investments Govt Securities</v>
          </cell>
        </row>
      </sheetData>
      <sheetData sheetId="12421">
        <row r="34">
          <cell r="A34" t="str">
            <v>Investments Govt Securities</v>
          </cell>
        </row>
      </sheetData>
      <sheetData sheetId="12422">
        <row r="34">
          <cell r="A34" t="str">
            <v>Investments Govt Securities</v>
          </cell>
        </row>
      </sheetData>
      <sheetData sheetId="12423">
        <row r="34">
          <cell r="A34" t="str">
            <v>Investments Govt Securities</v>
          </cell>
        </row>
      </sheetData>
      <sheetData sheetId="12424">
        <row r="34">
          <cell r="A34" t="str">
            <v>Investments Govt Securities</v>
          </cell>
        </row>
      </sheetData>
      <sheetData sheetId="12425">
        <row r="34">
          <cell r="A34" t="str">
            <v>Investments Govt Securities</v>
          </cell>
        </row>
      </sheetData>
      <sheetData sheetId="12426">
        <row r="34">
          <cell r="A34" t="str">
            <v>Investments Govt Securities</v>
          </cell>
        </row>
      </sheetData>
      <sheetData sheetId="12427">
        <row r="34">
          <cell r="A34" t="str">
            <v>Investments Govt Securities</v>
          </cell>
        </row>
      </sheetData>
      <sheetData sheetId="12428">
        <row r="34">
          <cell r="A34" t="str">
            <v>Investments Govt Securities</v>
          </cell>
        </row>
      </sheetData>
      <sheetData sheetId="12429">
        <row r="34">
          <cell r="A34" t="str">
            <v>Investments Govt Securities</v>
          </cell>
        </row>
      </sheetData>
      <sheetData sheetId="12430">
        <row r="34">
          <cell r="A34" t="str">
            <v>Investments Govt Securities</v>
          </cell>
        </row>
      </sheetData>
      <sheetData sheetId="12431">
        <row r="34">
          <cell r="A34" t="str">
            <v>Investments Govt Securities</v>
          </cell>
        </row>
      </sheetData>
      <sheetData sheetId="12432">
        <row r="34">
          <cell r="A34" t="str">
            <v>Investments Govt Securities</v>
          </cell>
        </row>
      </sheetData>
      <sheetData sheetId="12433">
        <row r="34">
          <cell r="A34" t="str">
            <v>Investments Govt Securities</v>
          </cell>
        </row>
      </sheetData>
      <sheetData sheetId="12434">
        <row r="34">
          <cell r="A34" t="str">
            <v>Investments Govt Securities</v>
          </cell>
        </row>
      </sheetData>
      <sheetData sheetId="12435">
        <row r="34">
          <cell r="A34" t="str">
            <v>Investments Govt Securities</v>
          </cell>
        </row>
      </sheetData>
      <sheetData sheetId="12436">
        <row r="34">
          <cell r="A34" t="str">
            <v>Investments Govt Securities</v>
          </cell>
        </row>
      </sheetData>
      <sheetData sheetId="12437">
        <row r="34">
          <cell r="A34" t="str">
            <v>Investments Govt Securities</v>
          </cell>
        </row>
      </sheetData>
      <sheetData sheetId="12438">
        <row r="34">
          <cell r="A34" t="str">
            <v>Investments Govt Securities</v>
          </cell>
        </row>
      </sheetData>
      <sheetData sheetId="12439">
        <row r="34">
          <cell r="A34" t="str">
            <v>Investments Govt Securities</v>
          </cell>
        </row>
      </sheetData>
      <sheetData sheetId="12440">
        <row r="34">
          <cell r="A34" t="str">
            <v>Investments Govt Securities</v>
          </cell>
        </row>
      </sheetData>
      <sheetData sheetId="12441">
        <row r="34">
          <cell r="A34" t="str">
            <v>Investments Govt Securities</v>
          </cell>
        </row>
      </sheetData>
      <sheetData sheetId="12442">
        <row r="34">
          <cell r="A34" t="str">
            <v>Investments Govt Securities</v>
          </cell>
        </row>
      </sheetData>
      <sheetData sheetId="12443">
        <row r="34">
          <cell r="A34" t="str">
            <v>Investments Govt Securities</v>
          </cell>
        </row>
      </sheetData>
      <sheetData sheetId="12444">
        <row r="34">
          <cell r="A34" t="str">
            <v>Investments Govt Securities</v>
          </cell>
        </row>
      </sheetData>
      <sheetData sheetId="12445">
        <row r="34">
          <cell r="A34" t="str">
            <v>Investments Govt Securities</v>
          </cell>
        </row>
      </sheetData>
      <sheetData sheetId="12446">
        <row r="34">
          <cell r="A34" t="str">
            <v>Investments Govt Securities</v>
          </cell>
        </row>
      </sheetData>
      <sheetData sheetId="12447">
        <row r="34">
          <cell r="A34" t="str">
            <v>Investments Govt Securities</v>
          </cell>
        </row>
      </sheetData>
      <sheetData sheetId="12448">
        <row r="34">
          <cell r="A34" t="str">
            <v>Investments Govt Securities</v>
          </cell>
        </row>
      </sheetData>
      <sheetData sheetId="12449">
        <row r="34">
          <cell r="A34" t="str">
            <v>Investments Govt Securities</v>
          </cell>
        </row>
      </sheetData>
      <sheetData sheetId="12450">
        <row r="34">
          <cell r="A34" t="str">
            <v>Investments Govt Securities</v>
          </cell>
        </row>
      </sheetData>
      <sheetData sheetId="12451">
        <row r="34">
          <cell r="A34" t="str">
            <v>Investments Govt Securities</v>
          </cell>
        </row>
      </sheetData>
      <sheetData sheetId="12452">
        <row r="34">
          <cell r="A34" t="str">
            <v>Investments Govt Securities</v>
          </cell>
        </row>
      </sheetData>
      <sheetData sheetId="12453">
        <row r="34">
          <cell r="A34" t="str">
            <v>Investments Govt Securities</v>
          </cell>
        </row>
      </sheetData>
      <sheetData sheetId="12454">
        <row r="34">
          <cell r="A34" t="str">
            <v>Investments Govt Securities</v>
          </cell>
        </row>
      </sheetData>
      <sheetData sheetId="12455">
        <row r="34">
          <cell r="A34" t="str">
            <v>Investments Govt Securities</v>
          </cell>
        </row>
      </sheetData>
      <sheetData sheetId="12456">
        <row r="34">
          <cell r="A34" t="str">
            <v>Investments Govt Securities</v>
          </cell>
        </row>
      </sheetData>
      <sheetData sheetId="12457">
        <row r="34">
          <cell r="A34" t="str">
            <v>Investments Govt Securities</v>
          </cell>
        </row>
      </sheetData>
      <sheetData sheetId="12458">
        <row r="34">
          <cell r="A34" t="str">
            <v>Investments Govt Securities</v>
          </cell>
        </row>
      </sheetData>
      <sheetData sheetId="12459">
        <row r="34">
          <cell r="A34" t="str">
            <v>Investments Govt Securities</v>
          </cell>
        </row>
      </sheetData>
      <sheetData sheetId="12460">
        <row r="34">
          <cell r="A34" t="str">
            <v>Investments Govt Securities</v>
          </cell>
        </row>
      </sheetData>
      <sheetData sheetId="12461">
        <row r="34">
          <cell r="A34" t="str">
            <v>Investments Govt Securities</v>
          </cell>
        </row>
      </sheetData>
      <sheetData sheetId="12462">
        <row r="34">
          <cell r="A34" t="str">
            <v>Investments Govt Securities</v>
          </cell>
        </row>
      </sheetData>
      <sheetData sheetId="12463">
        <row r="34">
          <cell r="A34" t="str">
            <v>Investments Govt Securities</v>
          </cell>
        </row>
      </sheetData>
      <sheetData sheetId="12464">
        <row r="34">
          <cell r="A34" t="str">
            <v>Investments Govt Securities</v>
          </cell>
        </row>
      </sheetData>
      <sheetData sheetId="12465">
        <row r="34">
          <cell r="A34" t="str">
            <v>Investments Govt Securities</v>
          </cell>
        </row>
      </sheetData>
      <sheetData sheetId="12466">
        <row r="34">
          <cell r="A34" t="str">
            <v>Investments Govt Securities</v>
          </cell>
        </row>
      </sheetData>
      <sheetData sheetId="12467">
        <row r="34">
          <cell r="A34" t="str">
            <v>Investments Govt Securities</v>
          </cell>
        </row>
      </sheetData>
      <sheetData sheetId="12468">
        <row r="34">
          <cell r="A34" t="str">
            <v>Investments Govt Securities</v>
          </cell>
        </row>
      </sheetData>
      <sheetData sheetId="12469">
        <row r="34">
          <cell r="A34" t="str">
            <v>Investments Govt Securities</v>
          </cell>
        </row>
      </sheetData>
      <sheetData sheetId="12470">
        <row r="34">
          <cell r="A34" t="str">
            <v>Investments Govt Securities</v>
          </cell>
        </row>
      </sheetData>
      <sheetData sheetId="12471">
        <row r="34">
          <cell r="A34" t="str">
            <v>Investments Govt Securities</v>
          </cell>
        </row>
      </sheetData>
      <sheetData sheetId="12472">
        <row r="34">
          <cell r="A34" t="str">
            <v>Investments Govt Securities</v>
          </cell>
        </row>
      </sheetData>
      <sheetData sheetId="12473">
        <row r="34">
          <cell r="A34" t="str">
            <v>Investments Govt Securities</v>
          </cell>
        </row>
      </sheetData>
      <sheetData sheetId="12474">
        <row r="34">
          <cell r="A34" t="str">
            <v>Investments Govt Securities</v>
          </cell>
        </row>
      </sheetData>
      <sheetData sheetId="12475">
        <row r="34">
          <cell r="A34" t="str">
            <v>Investments Govt Securities</v>
          </cell>
        </row>
      </sheetData>
      <sheetData sheetId="12476">
        <row r="34">
          <cell r="A34" t="str">
            <v>Investments Govt Securities</v>
          </cell>
        </row>
      </sheetData>
      <sheetData sheetId="12477">
        <row r="34">
          <cell r="A34" t="str">
            <v>Investments Govt Securities</v>
          </cell>
        </row>
      </sheetData>
      <sheetData sheetId="12478">
        <row r="34">
          <cell r="A34" t="str">
            <v>Investments Govt Securities</v>
          </cell>
        </row>
      </sheetData>
      <sheetData sheetId="12479">
        <row r="34">
          <cell r="A34" t="str">
            <v>Investments Govt Securities</v>
          </cell>
        </row>
      </sheetData>
      <sheetData sheetId="12480">
        <row r="34">
          <cell r="A34" t="str">
            <v>Investments Govt Securities</v>
          </cell>
        </row>
      </sheetData>
      <sheetData sheetId="12481">
        <row r="34">
          <cell r="A34" t="str">
            <v>Investments Govt Securities</v>
          </cell>
        </row>
      </sheetData>
      <sheetData sheetId="12482">
        <row r="34">
          <cell r="A34" t="str">
            <v>Investments Govt Securities</v>
          </cell>
        </row>
      </sheetData>
      <sheetData sheetId="12483">
        <row r="34">
          <cell r="A34" t="str">
            <v>Investments Govt Securities</v>
          </cell>
        </row>
      </sheetData>
      <sheetData sheetId="12484">
        <row r="34">
          <cell r="A34" t="str">
            <v>Investments Govt Securities</v>
          </cell>
        </row>
      </sheetData>
      <sheetData sheetId="12485">
        <row r="34">
          <cell r="A34" t="str">
            <v>Investments Govt Securities</v>
          </cell>
        </row>
      </sheetData>
      <sheetData sheetId="12486">
        <row r="34">
          <cell r="A34" t="str">
            <v>Investments Govt Securities</v>
          </cell>
        </row>
      </sheetData>
      <sheetData sheetId="12487">
        <row r="34">
          <cell r="A34" t="str">
            <v>Investments Govt Securities</v>
          </cell>
        </row>
      </sheetData>
      <sheetData sheetId="12488">
        <row r="34">
          <cell r="A34" t="str">
            <v>Investments Govt Securities</v>
          </cell>
        </row>
      </sheetData>
      <sheetData sheetId="12489">
        <row r="34">
          <cell r="A34" t="str">
            <v>Investments Govt Securities</v>
          </cell>
        </row>
      </sheetData>
      <sheetData sheetId="12490">
        <row r="34">
          <cell r="A34" t="str">
            <v>Investments Govt Securities</v>
          </cell>
        </row>
      </sheetData>
      <sheetData sheetId="12491">
        <row r="34">
          <cell r="A34" t="str">
            <v>Investments Govt Securities</v>
          </cell>
        </row>
      </sheetData>
      <sheetData sheetId="12492">
        <row r="34">
          <cell r="A34" t="str">
            <v>Investments Govt Securities</v>
          </cell>
        </row>
      </sheetData>
      <sheetData sheetId="12493">
        <row r="34">
          <cell r="A34" t="str">
            <v>Investments Govt Securities</v>
          </cell>
        </row>
      </sheetData>
      <sheetData sheetId="12494">
        <row r="34">
          <cell r="A34" t="str">
            <v>Investments Govt Securities</v>
          </cell>
        </row>
      </sheetData>
      <sheetData sheetId="12495">
        <row r="34">
          <cell r="A34" t="str">
            <v>Investments Govt Securities</v>
          </cell>
        </row>
      </sheetData>
      <sheetData sheetId="12496">
        <row r="34">
          <cell r="A34" t="str">
            <v>Investments Govt Securities</v>
          </cell>
        </row>
      </sheetData>
      <sheetData sheetId="12497">
        <row r="34">
          <cell r="A34" t="str">
            <v>Investments Govt Securities</v>
          </cell>
        </row>
      </sheetData>
      <sheetData sheetId="12498">
        <row r="34">
          <cell r="A34" t="str">
            <v>Investments Govt Securities</v>
          </cell>
        </row>
      </sheetData>
      <sheetData sheetId="12499">
        <row r="34">
          <cell r="A34" t="str">
            <v>Investments Govt Securities</v>
          </cell>
        </row>
      </sheetData>
      <sheetData sheetId="12500">
        <row r="34">
          <cell r="A34" t="str">
            <v>Investments Govt Securities</v>
          </cell>
        </row>
      </sheetData>
      <sheetData sheetId="12501">
        <row r="34">
          <cell r="A34" t="str">
            <v>Investments Govt Securities</v>
          </cell>
        </row>
      </sheetData>
      <sheetData sheetId="12502">
        <row r="34">
          <cell r="A34" t="str">
            <v>Investments Govt Securities</v>
          </cell>
        </row>
      </sheetData>
      <sheetData sheetId="12503">
        <row r="34">
          <cell r="A34" t="str">
            <v>Investments Govt Securities</v>
          </cell>
        </row>
      </sheetData>
      <sheetData sheetId="12504">
        <row r="34">
          <cell r="A34" t="str">
            <v>Investments Govt Securities</v>
          </cell>
        </row>
      </sheetData>
      <sheetData sheetId="12505">
        <row r="34">
          <cell r="A34" t="str">
            <v>Investments Govt Securities</v>
          </cell>
        </row>
      </sheetData>
      <sheetData sheetId="12506">
        <row r="34">
          <cell r="A34" t="str">
            <v>Investments Govt Securities</v>
          </cell>
        </row>
      </sheetData>
      <sheetData sheetId="12507">
        <row r="34">
          <cell r="A34" t="str">
            <v>Investments Govt Securities</v>
          </cell>
        </row>
      </sheetData>
      <sheetData sheetId="12508">
        <row r="34">
          <cell r="A34" t="str">
            <v>Investments Govt Securities</v>
          </cell>
        </row>
      </sheetData>
      <sheetData sheetId="12509">
        <row r="34">
          <cell r="A34" t="str">
            <v>Investments Govt Securities</v>
          </cell>
        </row>
      </sheetData>
      <sheetData sheetId="12510">
        <row r="34">
          <cell r="A34" t="str">
            <v>Investments Govt Securities</v>
          </cell>
        </row>
      </sheetData>
      <sheetData sheetId="12511">
        <row r="34">
          <cell r="A34" t="str">
            <v>Investments Govt Securities</v>
          </cell>
        </row>
      </sheetData>
      <sheetData sheetId="12512">
        <row r="34">
          <cell r="A34" t="str">
            <v>Investments Govt Securities</v>
          </cell>
        </row>
      </sheetData>
      <sheetData sheetId="12513">
        <row r="34">
          <cell r="A34" t="str">
            <v>Investments Govt Securities</v>
          </cell>
        </row>
      </sheetData>
      <sheetData sheetId="12514">
        <row r="34">
          <cell r="A34" t="str">
            <v>Investments Govt Securities</v>
          </cell>
        </row>
      </sheetData>
      <sheetData sheetId="12515">
        <row r="34">
          <cell r="A34" t="str">
            <v>Investments Govt Securities</v>
          </cell>
        </row>
      </sheetData>
      <sheetData sheetId="12516">
        <row r="34">
          <cell r="A34" t="str">
            <v>Investments Govt Securities</v>
          </cell>
        </row>
      </sheetData>
      <sheetData sheetId="12517">
        <row r="34">
          <cell r="A34" t="str">
            <v>Investments Govt Securities</v>
          </cell>
        </row>
      </sheetData>
      <sheetData sheetId="12518">
        <row r="34">
          <cell r="A34" t="str">
            <v>Investments Govt Securities</v>
          </cell>
        </row>
      </sheetData>
      <sheetData sheetId="12519">
        <row r="34">
          <cell r="A34" t="str">
            <v>Investments Govt Securities</v>
          </cell>
        </row>
      </sheetData>
      <sheetData sheetId="12520">
        <row r="34">
          <cell r="A34" t="str">
            <v>Investments Govt Securities</v>
          </cell>
        </row>
      </sheetData>
      <sheetData sheetId="12521">
        <row r="34">
          <cell r="A34" t="str">
            <v>Investments Govt Securities</v>
          </cell>
        </row>
      </sheetData>
      <sheetData sheetId="12522">
        <row r="34">
          <cell r="A34" t="str">
            <v>Investments Govt Securities</v>
          </cell>
        </row>
      </sheetData>
      <sheetData sheetId="12523">
        <row r="34">
          <cell r="A34" t="str">
            <v>Investments Govt Securities</v>
          </cell>
        </row>
      </sheetData>
      <sheetData sheetId="12524">
        <row r="34">
          <cell r="A34" t="str">
            <v>Investments Govt Securities</v>
          </cell>
        </row>
      </sheetData>
      <sheetData sheetId="12525">
        <row r="34">
          <cell r="A34" t="str">
            <v>Investments Govt Securities</v>
          </cell>
        </row>
      </sheetData>
      <sheetData sheetId="12526">
        <row r="34">
          <cell r="A34" t="str">
            <v>Investments Govt Securities</v>
          </cell>
        </row>
      </sheetData>
      <sheetData sheetId="12527">
        <row r="34">
          <cell r="A34" t="str">
            <v>Investments Govt Securities</v>
          </cell>
        </row>
      </sheetData>
      <sheetData sheetId="12528">
        <row r="34">
          <cell r="A34" t="str">
            <v>Investments Govt Securities</v>
          </cell>
        </row>
      </sheetData>
      <sheetData sheetId="12529">
        <row r="34">
          <cell r="A34" t="str">
            <v>Investments Govt Securities</v>
          </cell>
        </row>
      </sheetData>
      <sheetData sheetId="12530">
        <row r="34">
          <cell r="A34" t="str">
            <v>Investments Govt Securities</v>
          </cell>
        </row>
      </sheetData>
      <sheetData sheetId="12531">
        <row r="34">
          <cell r="A34" t="str">
            <v>Investments Govt Securities</v>
          </cell>
        </row>
      </sheetData>
      <sheetData sheetId="12532">
        <row r="34">
          <cell r="A34" t="str">
            <v>Investments Govt Securities</v>
          </cell>
        </row>
      </sheetData>
      <sheetData sheetId="12533">
        <row r="34">
          <cell r="A34" t="str">
            <v>Investments Govt Securities</v>
          </cell>
        </row>
      </sheetData>
      <sheetData sheetId="12534">
        <row r="34">
          <cell r="A34" t="str">
            <v>Investments Govt Securities</v>
          </cell>
        </row>
      </sheetData>
      <sheetData sheetId="12535">
        <row r="34">
          <cell r="A34" t="str">
            <v>Investments Govt Securities</v>
          </cell>
        </row>
      </sheetData>
      <sheetData sheetId="12536">
        <row r="34">
          <cell r="A34" t="str">
            <v>Investments Govt Securities</v>
          </cell>
        </row>
      </sheetData>
      <sheetData sheetId="12537">
        <row r="34">
          <cell r="A34" t="str">
            <v>Investments Govt Securities</v>
          </cell>
        </row>
      </sheetData>
      <sheetData sheetId="12538">
        <row r="34">
          <cell r="A34" t="str">
            <v>Investments Govt Securities</v>
          </cell>
        </row>
      </sheetData>
      <sheetData sheetId="12539">
        <row r="34">
          <cell r="A34" t="str">
            <v>Investments Govt Securities</v>
          </cell>
        </row>
      </sheetData>
      <sheetData sheetId="12540">
        <row r="34">
          <cell r="A34" t="str">
            <v>Investments Govt Securities</v>
          </cell>
        </row>
      </sheetData>
      <sheetData sheetId="12541">
        <row r="34">
          <cell r="A34" t="str">
            <v>Investments Govt Securities</v>
          </cell>
        </row>
      </sheetData>
      <sheetData sheetId="12542">
        <row r="34">
          <cell r="A34" t="str">
            <v>Investments Govt Securities</v>
          </cell>
        </row>
      </sheetData>
      <sheetData sheetId="12543">
        <row r="34">
          <cell r="A34" t="str">
            <v>Investments Govt Securities</v>
          </cell>
        </row>
      </sheetData>
      <sheetData sheetId="12544">
        <row r="34">
          <cell r="A34" t="str">
            <v>Investments Govt Securities</v>
          </cell>
        </row>
      </sheetData>
      <sheetData sheetId="12545">
        <row r="34">
          <cell r="A34" t="str">
            <v>Investments Govt Securities</v>
          </cell>
        </row>
      </sheetData>
      <sheetData sheetId="12546">
        <row r="34">
          <cell r="A34" t="str">
            <v>Investments Govt Securities</v>
          </cell>
        </row>
      </sheetData>
      <sheetData sheetId="12547">
        <row r="34">
          <cell r="A34" t="str">
            <v>Investments Govt Securities</v>
          </cell>
        </row>
      </sheetData>
      <sheetData sheetId="12548">
        <row r="34">
          <cell r="A34" t="str">
            <v>Investments Govt Securities</v>
          </cell>
        </row>
      </sheetData>
      <sheetData sheetId="12549">
        <row r="34">
          <cell r="A34" t="str">
            <v>Investments Govt Securities</v>
          </cell>
        </row>
      </sheetData>
      <sheetData sheetId="12550">
        <row r="34">
          <cell r="A34" t="str">
            <v>Investments Govt Securities</v>
          </cell>
        </row>
      </sheetData>
      <sheetData sheetId="12551">
        <row r="34">
          <cell r="A34" t="str">
            <v>Investments Govt Securities</v>
          </cell>
        </row>
      </sheetData>
      <sheetData sheetId="12552">
        <row r="34">
          <cell r="A34" t="str">
            <v>Investments Govt Securities</v>
          </cell>
        </row>
      </sheetData>
      <sheetData sheetId="12553">
        <row r="34">
          <cell r="A34" t="str">
            <v>Investments Govt Securities</v>
          </cell>
        </row>
      </sheetData>
      <sheetData sheetId="12554">
        <row r="34">
          <cell r="A34" t="str">
            <v>Investments Govt Securities</v>
          </cell>
        </row>
      </sheetData>
      <sheetData sheetId="12555">
        <row r="34">
          <cell r="A34" t="str">
            <v>Investments Govt Securities</v>
          </cell>
        </row>
      </sheetData>
      <sheetData sheetId="12556">
        <row r="34">
          <cell r="A34" t="str">
            <v>Investments Govt Securities</v>
          </cell>
        </row>
      </sheetData>
      <sheetData sheetId="12557">
        <row r="34">
          <cell r="A34" t="str">
            <v>Investments Govt Securities</v>
          </cell>
        </row>
      </sheetData>
      <sheetData sheetId="12558">
        <row r="34">
          <cell r="A34" t="str">
            <v>Investments Govt Securities</v>
          </cell>
        </row>
      </sheetData>
      <sheetData sheetId="12559">
        <row r="34">
          <cell r="A34" t="str">
            <v>Investments Govt Securities</v>
          </cell>
        </row>
      </sheetData>
      <sheetData sheetId="12560">
        <row r="34">
          <cell r="A34" t="str">
            <v>Investments Govt Securities</v>
          </cell>
        </row>
      </sheetData>
      <sheetData sheetId="12561">
        <row r="34">
          <cell r="A34" t="str">
            <v>Investments Govt Securities</v>
          </cell>
        </row>
      </sheetData>
      <sheetData sheetId="12562">
        <row r="34">
          <cell r="A34" t="str">
            <v>Investments Govt Securities</v>
          </cell>
        </row>
      </sheetData>
      <sheetData sheetId="12563">
        <row r="34">
          <cell r="A34" t="str">
            <v>Investments Govt Securities</v>
          </cell>
        </row>
      </sheetData>
      <sheetData sheetId="12564">
        <row r="34">
          <cell r="A34" t="str">
            <v>Investments Govt Securities</v>
          </cell>
        </row>
      </sheetData>
      <sheetData sheetId="12565">
        <row r="34">
          <cell r="A34" t="str">
            <v>Investments Govt Securities</v>
          </cell>
        </row>
      </sheetData>
      <sheetData sheetId="12566">
        <row r="34">
          <cell r="A34" t="str">
            <v>Investments Govt Securities</v>
          </cell>
        </row>
      </sheetData>
      <sheetData sheetId="12567">
        <row r="34">
          <cell r="A34" t="str">
            <v>Investments Govt Securities</v>
          </cell>
        </row>
      </sheetData>
      <sheetData sheetId="12568">
        <row r="34">
          <cell r="A34" t="str">
            <v>Investments Govt Securities</v>
          </cell>
        </row>
      </sheetData>
      <sheetData sheetId="12569">
        <row r="34">
          <cell r="A34" t="str">
            <v>Investments Govt Securities</v>
          </cell>
        </row>
      </sheetData>
      <sheetData sheetId="12570">
        <row r="34">
          <cell r="A34" t="str">
            <v>Investments Govt Securities</v>
          </cell>
        </row>
      </sheetData>
      <sheetData sheetId="12571">
        <row r="34">
          <cell r="A34" t="str">
            <v>Investments Govt Securities</v>
          </cell>
        </row>
      </sheetData>
      <sheetData sheetId="12572">
        <row r="34">
          <cell r="A34" t="str">
            <v>Investments Govt Securities</v>
          </cell>
        </row>
      </sheetData>
      <sheetData sheetId="12573">
        <row r="34">
          <cell r="A34" t="str">
            <v>Investments Govt Securities</v>
          </cell>
        </row>
      </sheetData>
      <sheetData sheetId="12574">
        <row r="34">
          <cell r="A34" t="str">
            <v>Investments Govt Securities</v>
          </cell>
        </row>
      </sheetData>
      <sheetData sheetId="12575">
        <row r="34">
          <cell r="A34" t="str">
            <v>Investments Govt Securities</v>
          </cell>
        </row>
      </sheetData>
      <sheetData sheetId="12576">
        <row r="34">
          <cell r="A34" t="str">
            <v>Investments Govt Securities</v>
          </cell>
        </row>
      </sheetData>
      <sheetData sheetId="12577">
        <row r="34">
          <cell r="A34" t="str">
            <v>Investments Govt Securities</v>
          </cell>
        </row>
      </sheetData>
      <sheetData sheetId="12578">
        <row r="34">
          <cell r="A34" t="str">
            <v>Investments Govt Securities</v>
          </cell>
        </row>
      </sheetData>
      <sheetData sheetId="12579">
        <row r="34">
          <cell r="A34" t="str">
            <v>Investments Govt Securities</v>
          </cell>
        </row>
      </sheetData>
      <sheetData sheetId="12580">
        <row r="34">
          <cell r="A34" t="str">
            <v>Investments Govt Securities</v>
          </cell>
        </row>
      </sheetData>
      <sheetData sheetId="12581">
        <row r="34">
          <cell r="A34" t="str">
            <v>Investments Govt Securities</v>
          </cell>
        </row>
      </sheetData>
      <sheetData sheetId="12582">
        <row r="34">
          <cell r="A34" t="str">
            <v>Investments Govt Securities</v>
          </cell>
        </row>
      </sheetData>
      <sheetData sheetId="12583">
        <row r="34">
          <cell r="A34" t="str">
            <v>Investments Govt Securities</v>
          </cell>
        </row>
      </sheetData>
      <sheetData sheetId="12584">
        <row r="34">
          <cell r="A34" t="str">
            <v>Investments Govt Securities</v>
          </cell>
        </row>
      </sheetData>
      <sheetData sheetId="12585">
        <row r="34">
          <cell r="A34" t="str">
            <v>Investments Govt Securities</v>
          </cell>
        </row>
      </sheetData>
      <sheetData sheetId="12586">
        <row r="34">
          <cell r="A34" t="str">
            <v>Investments Govt Securities</v>
          </cell>
        </row>
      </sheetData>
      <sheetData sheetId="12587">
        <row r="34">
          <cell r="A34" t="str">
            <v>Investments Govt Securities</v>
          </cell>
        </row>
      </sheetData>
      <sheetData sheetId="12588">
        <row r="34">
          <cell r="A34" t="str">
            <v>Investments Govt Securities</v>
          </cell>
        </row>
      </sheetData>
      <sheetData sheetId="12589">
        <row r="34">
          <cell r="A34" t="str">
            <v>Investments Govt Securities</v>
          </cell>
        </row>
      </sheetData>
      <sheetData sheetId="12590">
        <row r="34">
          <cell r="A34" t="str">
            <v>Investments Govt Securities</v>
          </cell>
        </row>
      </sheetData>
      <sheetData sheetId="12591">
        <row r="34">
          <cell r="A34" t="str">
            <v>Investments Govt Securities</v>
          </cell>
        </row>
      </sheetData>
      <sheetData sheetId="12592">
        <row r="34">
          <cell r="A34" t="str">
            <v>Investments Govt Securities</v>
          </cell>
        </row>
      </sheetData>
      <sheetData sheetId="12593">
        <row r="34">
          <cell r="A34" t="str">
            <v>Investments Govt Securities</v>
          </cell>
        </row>
      </sheetData>
      <sheetData sheetId="12594">
        <row r="34">
          <cell r="A34" t="str">
            <v>Investments Govt Securities</v>
          </cell>
        </row>
      </sheetData>
      <sheetData sheetId="12595">
        <row r="34">
          <cell r="A34" t="str">
            <v>Investments Govt Securities</v>
          </cell>
        </row>
      </sheetData>
      <sheetData sheetId="12596">
        <row r="34">
          <cell r="A34" t="str">
            <v>Investments Govt Securities</v>
          </cell>
        </row>
      </sheetData>
      <sheetData sheetId="12597">
        <row r="34">
          <cell r="A34" t="str">
            <v>Investments Govt Securities</v>
          </cell>
        </row>
      </sheetData>
      <sheetData sheetId="12598">
        <row r="34">
          <cell r="A34" t="str">
            <v>Investments Govt Securities</v>
          </cell>
        </row>
      </sheetData>
      <sheetData sheetId="12599">
        <row r="34">
          <cell r="A34" t="str">
            <v>Investments Govt Securities</v>
          </cell>
        </row>
      </sheetData>
      <sheetData sheetId="12600">
        <row r="34">
          <cell r="A34" t="str">
            <v>Investments Govt Securities</v>
          </cell>
        </row>
      </sheetData>
      <sheetData sheetId="12601">
        <row r="34">
          <cell r="A34" t="str">
            <v>Investments Govt Securities</v>
          </cell>
        </row>
      </sheetData>
      <sheetData sheetId="12602">
        <row r="34">
          <cell r="A34" t="str">
            <v>Investments Govt Securities</v>
          </cell>
        </row>
      </sheetData>
      <sheetData sheetId="12603">
        <row r="34">
          <cell r="A34" t="str">
            <v>Investments Govt Securities</v>
          </cell>
        </row>
      </sheetData>
      <sheetData sheetId="12604">
        <row r="34">
          <cell r="A34" t="str">
            <v>Investments Govt Securities</v>
          </cell>
        </row>
      </sheetData>
      <sheetData sheetId="12605">
        <row r="34">
          <cell r="A34" t="str">
            <v>Investments Govt Securities</v>
          </cell>
        </row>
      </sheetData>
      <sheetData sheetId="12606">
        <row r="34">
          <cell r="A34" t="str">
            <v>Investments Govt Securities</v>
          </cell>
        </row>
      </sheetData>
      <sheetData sheetId="12607">
        <row r="34">
          <cell r="A34" t="str">
            <v>Investments Govt Securities</v>
          </cell>
        </row>
      </sheetData>
      <sheetData sheetId="12608">
        <row r="34">
          <cell r="A34" t="str">
            <v>Investments Govt Securities</v>
          </cell>
        </row>
      </sheetData>
      <sheetData sheetId="12609">
        <row r="34">
          <cell r="A34" t="str">
            <v>Investments Govt Securities</v>
          </cell>
        </row>
      </sheetData>
      <sheetData sheetId="12610">
        <row r="34">
          <cell r="A34" t="str">
            <v>Investments Govt Securities</v>
          </cell>
        </row>
      </sheetData>
      <sheetData sheetId="12611">
        <row r="34">
          <cell r="A34" t="str">
            <v>Investments Govt Securities</v>
          </cell>
        </row>
      </sheetData>
      <sheetData sheetId="12612">
        <row r="34">
          <cell r="A34" t="str">
            <v>Investments Govt Securities</v>
          </cell>
        </row>
      </sheetData>
      <sheetData sheetId="12613">
        <row r="34">
          <cell r="A34" t="str">
            <v>Investments Govt Securities</v>
          </cell>
        </row>
      </sheetData>
      <sheetData sheetId="12614">
        <row r="34">
          <cell r="A34" t="str">
            <v>Investments Govt Securities</v>
          </cell>
        </row>
      </sheetData>
      <sheetData sheetId="12615">
        <row r="34">
          <cell r="A34" t="str">
            <v>Investments Govt Securities</v>
          </cell>
        </row>
      </sheetData>
      <sheetData sheetId="12616">
        <row r="34">
          <cell r="A34" t="str">
            <v>Investments Govt Securities</v>
          </cell>
        </row>
      </sheetData>
      <sheetData sheetId="12617">
        <row r="34">
          <cell r="A34" t="str">
            <v>Investments Govt Securities</v>
          </cell>
        </row>
      </sheetData>
      <sheetData sheetId="12618">
        <row r="34">
          <cell r="A34" t="str">
            <v>Investments Govt Securities</v>
          </cell>
        </row>
      </sheetData>
      <sheetData sheetId="12619">
        <row r="34">
          <cell r="A34" t="str">
            <v>Investments Govt Securities</v>
          </cell>
        </row>
      </sheetData>
      <sheetData sheetId="12620">
        <row r="34">
          <cell r="A34" t="str">
            <v>Investments Govt Securities</v>
          </cell>
        </row>
      </sheetData>
      <sheetData sheetId="12621">
        <row r="34">
          <cell r="A34" t="str">
            <v>Investments Govt Securities</v>
          </cell>
        </row>
      </sheetData>
      <sheetData sheetId="12622">
        <row r="34">
          <cell r="A34" t="str">
            <v>Investments Govt Securities</v>
          </cell>
        </row>
      </sheetData>
      <sheetData sheetId="12623">
        <row r="34">
          <cell r="A34" t="str">
            <v>Investments Govt Securities</v>
          </cell>
        </row>
      </sheetData>
      <sheetData sheetId="12624">
        <row r="34">
          <cell r="A34" t="str">
            <v>Investments Govt Securities</v>
          </cell>
        </row>
      </sheetData>
      <sheetData sheetId="12625">
        <row r="34">
          <cell r="A34" t="str">
            <v>Investments Govt Securities</v>
          </cell>
        </row>
      </sheetData>
      <sheetData sheetId="12626">
        <row r="34">
          <cell r="A34" t="str">
            <v>Investments Govt Securities</v>
          </cell>
        </row>
      </sheetData>
      <sheetData sheetId="12627">
        <row r="34">
          <cell r="A34" t="str">
            <v>Investments Govt Securities</v>
          </cell>
        </row>
      </sheetData>
      <sheetData sheetId="12628">
        <row r="34">
          <cell r="A34" t="str">
            <v>Investments Govt Securities</v>
          </cell>
        </row>
      </sheetData>
      <sheetData sheetId="12629">
        <row r="34">
          <cell r="A34" t="str">
            <v>Investments Govt Securities</v>
          </cell>
        </row>
      </sheetData>
      <sheetData sheetId="12630">
        <row r="34">
          <cell r="A34" t="str">
            <v>Investments Govt Securities</v>
          </cell>
        </row>
      </sheetData>
      <sheetData sheetId="12631">
        <row r="34">
          <cell r="A34" t="str">
            <v>Investments Govt Securities</v>
          </cell>
        </row>
      </sheetData>
      <sheetData sheetId="12632">
        <row r="34">
          <cell r="A34" t="str">
            <v>Investments Govt Securities</v>
          </cell>
        </row>
      </sheetData>
      <sheetData sheetId="12633">
        <row r="34">
          <cell r="A34" t="str">
            <v>Investments Govt Securities</v>
          </cell>
        </row>
      </sheetData>
      <sheetData sheetId="12634">
        <row r="34">
          <cell r="A34" t="str">
            <v>Investments Govt Securities</v>
          </cell>
        </row>
      </sheetData>
      <sheetData sheetId="12635">
        <row r="34">
          <cell r="A34" t="str">
            <v>Investments Govt Securities</v>
          </cell>
        </row>
      </sheetData>
      <sheetData sheetId="12636">
        <row r="34">
          <cell r="A34" t="str">
            <v>Investments Govt Securities</v>
          </cell>
        </row>
      </sheetData>
      <sheetData sheetId="12637">
        <row r="34">
          <cell r="A34" t="str">
            <v>Investments Govt Securities</v>
          </cell>
        </row>
      </sheetData>
      <sheetData sheetId="12638">
        <row r="34">
          <cell r="A34" t="str">
            <v>Investments Govt Securities</v>
          </cell>
        </row>
      </sheetData>
      <sheetData sheetId="12639">
        <row r="34">
          <cell r="A34" t="str">
            <v>Investments Govt Securities</v>
          </cell>
        </row>
      </sheetData>
      <sheetData sheetId="12640">
        <row r="34">
          <cell r="A34" t="str">
            <v>Investments Govt Securities</v>
          </cell>
        </row>
      </sheetData>
      <sheetData sheetId="12641">
        <row r="34">
          <cell r="A34" t="str">
            <v>Investments Govt Securities</v>
          </cell>
        </row>
      </sheetData>
      <sheetData sheetId="12642">
        <row r="34">
          <cell r="A34" t="str">
            <v>Investments Govt Securities</v>
          </cell>
        </row>
      </sheetData>
      <sheetData sheetId="12643">
        <row r="34">
          <cell r="A34" t="str">
            <v>Investments Govt Securities</v>
          </cell>
        </row>
      </sheetData>
      <sheetData sheetId="12644">
        <row r="34">
          <cell r="A34" t="str">
            <v>Investments Govt Securities</v>
          </cell>
        </row>
      </sheetData>
      <sheetData sheetId="12645">
        <row r="34">
          <cell r="A34" t="str">
            <v>Investments Govt Securities</v>
          </cell>
        </row>
      </sheetData>
      <sheetData sheetId="12646">
        <row r="34">
          <cell r="A34" t="str">
            <v>Investments Govt Securities</v>
          </cell>
        </row>
      </sheetData>
      <sheetData sheetId="12647">
        <row r="34">
          <cell r="A34" t="str">
            <v>Investments Govt Securities</v>
          </cell>
        </row>
      </sheetData>
      <sheetData sheetId="12648">
        <row r="34">
          <cell r="A34" t="str">
            <v>Investments Govt Securities</v>
          </cell>
        </row>
      </sheetData>
      <sheetData sheetId="12649">
        <row r="34">
          <cell r="A34" t="str">
            <v>Investments Govt Securities</v>
          </cell>
        </row>
      </sheetData>
      <sheetData sheetId="12650">
        <row r="34">
          <cell r="A34" t="str">
            <v>Investments Govt Securities</v>
          </cell>
        </row>
      </sheetData>
      <sheetData sheetId="12651">
        <row r="34">
          <cell r="A34" t="str">
            <v>Investments Govt Securities</v>
          </cell>
        </row>
      </sheetData>
      <sheetData sheetId="12652">
        <row r="34">
          <cell r="A34" t="str">
            <v>Investments Govt Securities</v>
          </cell>
        </row>
      </sheetData>
      <sheetData sheetId="12653">
        <row r="34">
          <cell r="A34" t="str">
            <v>Investments Govt Securities</v>
          </cell>
        </row>
      </sheetData>
      <sheetData sheetId="12654">
        <row r="34">
          <cell r="A34" t="str">
            <v>Investments Govt Securities</v>
          </cell>
        </row>
      </sheetData>
      <sheetData sheetId="12655">
        <row r="34">
          <cell r="A34" t="str">
            <v>Investments Govt Securities</v>
          </cell>
        </row>
      </sheetData>
      <sheetData sheetId="12656">
        <row r="34">
          <cell r="A34" t="str">
            <v>Investments Govt Securities</v>
          </cell>
        </row>
      </sheetData>
      <sheetData sheetId="12657">
        <row r="34">
          <cell r="A34" t="str">
            <v>Investments Govt Securities</v>
          </cell>
        </row>
      </sheetData>
      <sheetData sheetId="12658">
        <row r="34">
          <cell r="A34" t="str">
            <v>Investments Govt Securities</v>
          </cell>
        </row>
      </sheetData>
      <sheetData sheetId="12659">
        <row r="34">
          <cell r="A34" t="str">
            <v>Investments Govt Securities</v>
          </cell>
        </row>
      </sheetData>
      <sheetData sheetId="12660">
        <row r="34">
          <cell r="A34" t="str">
            <v>Investments Govt Securities</v>
          </cell>
        </row>
      </sheetData>
      <sheetData sheetId="12661">
        <row r="34">
          <cell r="A34" t="str">
            <v>Investments Govt Securities</v>
          </cell>
        </row>
      </sheetData>
      <sheetData sheetId="12662">
        <row r="34">
          <cell r="A34" t="str">
            <v>Investments Govt Securities</v>
          </cell>
        </row>
      </sheetData>
      <sheetData sheetId="12663">
        <row r="34">
          <cell r="A34" t="str">
            <v>Investments Govt Securities</v>
          </cell>
        </row>
      </sheetData>
      <sheetData sheetId="12664">
        <row r="34">
          <cell r="A34" t="str">
            <v>Investments Govt Securities</v>
          </cell>
        </row>
      </sheetData>
      <sheetData sheetId="12665">
        <row r="34">
          <cell r="A34" t="str">
            <v>Investments Govt Securities</v>
          </cell>
        </row>
      </sheetData>
      <sheetData sheetId="12666">
        <row r="34">
          <cell r="A34" t="str">
            <v>Investments Govt Securities</v>
          </cell>
        </row>
      </sheetData>
      <sheetData sheetId="12667">
        <row r="34">
          <cell r="A34" t="str">
            <v>Investments Govt Securities</v>
          </cell>
        </row>
      </sheetData>
      <sheetData sheetId="12668">
        <row r="34">
          <cell r="A34" t="str">
            <v>Investments Govt Securities</v>
          </cell>
        </row>
      </sheetData>
      <sheetData sheetId="12669">
        <row r="34">
          <cell r="A34" t="str">
            <v>Investments Govt Securities</v>
          </cell>
        </row>
      </sheetData>
      <sheetData sheetId="12670">
        <row r="34">
          <cell r="A34" t="str">
            <v>Investments Govt Securities</v>
          </cell>
        </row>
      </sheetData>
      <sheetData sheetId="12671">
        <row r="34">
          <cell r="A34" t="str">
            <v>Investments Govt Securities</v>
          </cell>
        </row>
      </sheetData>
      <sheetData sheetId="12672">
        <row r="34">
          <cell r="A34" t="str">
            <v>Investments Govt Securities</v>
          </cell>
        </row>
      </sheetData>
      <sheetData sheetId="12673">
        <row r="34">
          <cell r="A34" t="str">
            <v>Investments Govt Securities</v>
          </cell>
        </row>
      </sheetData>
      <sheetData sheetId="12674">
        <row r="34">
          <cell r="A34" t="str">
            <v>Investments Govt Securities</v>
          </cell>
        </row>
      </sheetData>
      <sheetData sheetId="12675">
        <row r="34">
          <cell r="A34" t="str">
            <v>Investments Govt Securities</v>
          </cell>
        </row>
      </sheetData>
      <sheetData sheetId="12676">
        <row r="34">
          <cell r="A34" t="str">
            <v>Investments Govt Securities</v>
          </cell>
        </row>
      </sheetData>
      <sheetData sheetId="12677">
        <row r="34">
          <cell r="A34" t="str">
            <v>Investments Govt Securities</v>
          </cell>
        </row>
      </sheetData>
      <sheetData sheetId="12678">
        <row r="34">
          <cell r="A34" t="str">
            <v>Investments Govt Securities</v>
          </cell>
        </row>
      </sheetData>
      <sheetData sheetId="12679">
        <row r="34">
          <cell r="A34" t="str">
            <v>Investments Govt Securities</v>
          </cell>
        </row>
      </sheetData>
      <sheetData sheetId="12680">
        <row r="34">
          <cell r="A34" t="str">
            <v>Investments Govt Securities</v>
          </cell>
        </row>
      </sheetData>
      <sheetData sheetId="12681">
        <row r="34">
          <cell r="A34" t="str">
            <v>Investments Govt Securities</v>
          </cell>
        </row>
      </sheetData>
      <sheetData sheetId="12682">
        <row r="34">
          <cell r="A34" t="str">
            <v>Investments Govt Securities</v>
          </cell>
        </row>
      </sheetData>
      <sheetData sheetId="12683">
        <row r="34">
          <cell r="A34" t="str">
            <v>Investments Govt Securities</v>
          </cell>
        </row>
      </sheetData>
      <sheetData sheetId="12684">
        <row r="34">
          <cell r="A34" t="str">
            <v>Investments Govt Securities</v>
          </cell>
        </row>
      </sheetData>
      <sheetData sheetId="12685">
        <row r="34">
          <cell r="A34" t="str">
            <v>Investments Govt Securities</v>
          </cell>
        </row>
      </sheetData>
      <sheetData sheetId="12686">
        <row r="34">
          <cell r="A34" t="str">
            <v>Investments Govt Securities</v>
          </cell>
        </row>
      </sheetData>
      <sheetData sheetId="12687">
        <row r="34">
          <cell r="A34" t="str">
            <v>Investments Govt Securities</v>
          </cell>
        </row>
      </sheetData>
      <sheetData sheetId="12688">
        <row r="34">
          <cell r="A34" t="str">
            <v>Investments Govt Securities</v>
          </cell>
        </row>
      </sheetData>
      <sheetData sheetId="12689">
        <row r="34">
          <cell r="A34" t="str">
            <v>Investments Govt Securities</v>
          </cell>
        </row>
      </sheetData>
      <sheetData sheetId="12690">
        <row r="34">
          <cell r="A34" t="str">
            <v>Investments Govt Securities</v>
          </cell>
        </row>
      </sheetData>
      <sheetData sheetId="12691">
        <row r="34">
          <cell r="A34" t="str">
            <v>Investments Govt Securities</v>
          </cell>
        </row>
      </sheetData>
      <sheetData sheetId="12692">
        <row r="34">
          <cell r="A34" t="str">
            <v>Investments Govt Securities</v>
          </cell>
        </row>
      </sheetData>
      <sheetData sheetId="12693">
        <row r="34">
          <cell r="A34" t="str">
            <v>Investments Govt Securities</v>
          </cell>
        </row>
      </sheetData>
      <sheetData sheetId="12694">
        <row r="34">
          <cell r="A34" t="str">
            <v>Investments Govt Securities</v>
          </cell>
        </row>
      </sheetData>
      <sheetData sheetId="12695">
        <row r="34">
          <cell r="A34" t="str">
            <v>Investments Govt Securities</v>
          </cell>
        </row>
      </sheetData>
      <sheetData sheetId="12696">
        <row r="34">
          <cell r="A34" t="str">
            <v>Investments Govt Securities</v>
          </cell>
        </row>
      </sheetData>
      <sheetData sheetId="12697">
        <row r="34">
          <cell r="A34" t="str">
            <v>Investments Govt Securities</v>
          </cell>
        </row>
      </sheetData>
      <sheetData sheetId="12698">
        <row r="34">
          <cell r="A34" t="str">
            <v>Investments Govt Securities</v>
          </cell>
        </row>
      </sheetData>
      <sheetData sheetId="12699">
        <row r="34">
          <cell r="A34" t="str">
            <v>Investments Govt Securities</v>
          </cell>
        </row>
      </sheetData>
      <sheetData sheetId="12700">
        <row r="34">
          <cell r="A34" t="str">
            <v>Investments Govt Securities</v>
          </cell>
        </row>
      </sheetData>
      <sheetData sheetId="12701">
        <row r="34">
          <cell r="A34" t="str">
            <v>Investments Govt Securities</v>
          </cell>
        </row>
      </sheetData>
      <sheetData sheetId="12702">
        <row r="34">
          <cell r="A34" t="str">
            <v>Investments Govt Securities</v>
          </cell>
        </row>
      </sheetData>
      <sheetData sheetId="12703">
        <row r="34">
          <cell r="A34" t="str">
            <v>Investments Govt Securities</v>
          </cell>
        </row>
      </sheetData>
      <sheetData sheetId="12704">
        <row r="34">
          <cell r="A34" t="str">
            <v>Investments Govt Securities</v>
          </cell>
        </row>
      </sheetData>
      <sheetData sheetId="12705">
        <row r="34">
          <cell r="A34" t="str">
            <v>Investments Govt Securities</v>
          </cell>
        </row>
      </sheetData>
      <sheetData sheetId="12706">
        <row r="34">
          <cell r="A34" t="str">
            <v>Investments Govt Securities</v>
          </cell>
        </row>
      </sheetData>
      <sheetData sheetId="12707">
        <row r="34">
          <cell r="A34" t="str">
            <v>Investments Govt Securities</v>
          </cell>
        </row>
      </sheetData>
      <sheetData sheetId="12708">
        <row r="34">
          <cell r="A34" t="str">
            <v>Investments Govt Securities</v>
          </cell>
        </row>
      </sheetData>
      <sheetData sheetId="12709">
        <row r="34">
          <cell r="A34" t="str">
            <v>Investments Govt Securities</v>
          </cell>
        </row>
      </sheetData>
      <sheetData sheetId="12710">
        <row r="34">
          <cell r="A34" t="str">
            <v>Investments Govt Securities</v>
          </cell>
        </row>
      </sheetData>
      <sheetData sheetId="12711">
        <row r="34">
          <cell r="A34" t="str">
            <v>Investments Govt Securities</v>
          </cell>
        </row>
      </sheetData>
      <sheetData sheetId="12712">
        <row r="34">
          <cell r="A34" t="str">
            <v>Investments Govt Securities</v>
          </cell>
        </row>
      </sheetData>
      <sheetData sheetId="12713">
        <row r="34">
          <cell r="A34" t="str">
            <v>Investments Govt Securities</v>
          </cell>
        </row>
      </sheetData>
      <sheetData sheetId="12714">
        <row r="34">
          <cell r="A34" t="str">
            <v>Investments Govt Securities</v>
          </cell>
        </row>
      </sheetData>
      <sheetData sheetId="12715">
        <row r="34">
          <cell r="A34" t="str">
            <v>Investments Govt Securities</v>
          </cell>
        </row>
      </sheetData>
      <sheetData sheetId="12716">
        <row r="34">
          <cell r="A34" t="str">
            <v>Investments Govt Securities</v>
          </cell>
        </row>
      </sheetData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>
        <row r="34">
          <cell r="A34" t="str">
            <v>Investments Govt Securities</v>
          </cell>
        </row>
      </sheetData>
      <sheetData sheetId="12729">
        <row r="34">
          <cell r="A34" t="str">
            <v>Investments Govt Securities</v>
          </cell>
        </row>
      </sheetData>
      <sheetData sheetId="12730">
        <row r="34">
          <cell r="A34" t="str">
            <v>Investments Govt Securities</v>
          </cell>
        </row>
      </sheetData>
      <sheetData sheetId="12731">
        <row r="34">
          <cell r="A34" t="str">
            <v>Investments Govt Securities</v>
          </cell>
        </row>
      </sheetData>
      <sheetData sheetId="12732">
        <row r="34">
          <cell r="A34" t="str">
            <v>Investments Govt Securities</v>
          </cell>
        </row>
      </sheetData>
      <sheetData sheetId="12733">
        <row r="34">
          <cell r="A34" t="str">
            <v>Investments Govt Securities</v>
          </cell>
        </row>
      </sheetData>
      <sheetData sheetId="12734">
        <row r="34">
          <cell r="A34" t="str">
            <v>Investments Govt Securities</v>
          </cell>
        </row>
      </sheetData>
      <sheetData sheetId="12735">
        <row r="34">
          <cell r="A34" t="str">
            <v>Investments Govt Securities</v>
          </cell>
        </row>
      </sheetData>
      <sheetData sheetId="12736">
        <row r="34">
          <cell r="A34" t="str">
            <v>Investments Govt Securities</v>
          </cell>
        </row>
      </sheetData>
      <sheetData sheetId="12737">
        <row r="34">
          <cell r="A34" t="str">
            <v>Investments Govt Securities</v>
          </cell>
        </row>
      </sheetData>
      <sheetData sheetId="12738">
        <row r="34">
          <cell r="A34" t="str">
            <v>Investments Govt Securities</v>
          </cell>
        </row>
      </sheetData>
      <sheetData sheetId="12739">
        <row r="34">
          <cell r="A34" t="str">
            <v>Investments Govt Securities</v>
          </cell>
        </row>
      </sheetData>
      <sheetData sheetId="12740">
        <row r="34">
          <cell r="A34" t="str">
            <v>Investments Govt Securities</v>
          </cell>
        </row>
      </sheetData>
      <sheetData sheetId="12741">
        <row r="34">
          <cell r="A34" t="str">
            <v>Investments Govt Securities</v>
          </cell>
        </row>
      </sheetData>
      <sheetData sheetId="12742">
        <row r="34">
          <cell r="A34" t="str">
            <v>Investments Govt Securities</v>
          </cell>
        </row>
      </sheetData>
      <sheetData sheetId="12743">
        <row r="34">
          <cell r="A34" t="str">
            <v>Investments Govt Securities</v>
          </cell>
        </row>
      </sheetData>
      <sheetData sheetId="12744">
        <row r="34">
          <cell r="A34" t="str">
            <v>Investments Govt Securities</v>
          </cell>
        </row>
      </sheetData>
      <sheetData sheetId="12745">
        <row r="34">
          <cell r="A34" t="str">
            <v>Investments Govt Securities</v>
          </cell>
        </row>
      </sheetData>
      <sheetData sheetId="12746">
        <row r="34">
          <cell r="A34" t="str">
            <v>Investments Govt Securities</v>
          </cell>
        </row>
      </sheetData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>
        <row r="34">
          <cell r="A34" t="str">
            <v>Investments Govt Securities</v>
          </cell>
        </row>
      </sheetData>
      <sheetData sheetId="12777">
        <row r="34">
          <cell r="A34" t="str">
            <v>Investments Govt Securities</v>
          </cell>
        </row>
      </sheetData>
      <sheetData sheetId="12778">
        <row r="34">
          <cell r="A34" t="str">
            <v>Investments Govt Securities</v>
          </cell>
        </row>
      </sheetData>
      <sheetData sheetId="12779">
        <row r="34">
          <cell r="A34" t="str">
            <v>Investments Govt Securities</v>
          </cell>
        </row>
      </sheetData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>
        <row r="34">
          <cell r="A34" t="str">
            <v>Investments Govt Securities</v>
          </cell>
        </row>
      </sheetData>
      <sheetData sheetId="12826">
        <row r="34">
          <cell r="A34" t="str">
            <v>Investments Govt Securities</v>
          </cell>
        </row>
      </sheetData>
      <sheetData sheetId="12827">
        <row r="34">
          <cell r="A34" t="str">
            <v>Investments Govt Securities</v>
          </cell>
        </row>
      </sheetData>
      <sheetData sheetId="12828">
        <row r="34">
          <cell r="A34" t="str">
            <v>Investments Govt Securities</v>
          </cell>
        </row>
      </sheetData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>
        <row r="34">
          <cell r="A34" t="str">
            <v>Investments Govt Securities</v>
          </cell>
        </row>
      </sheetData>
      <sheetData sheetId="12888">
        <row r="34">
          <cell r="A34" t="str">
            <v>Investments Govt Securities</v>
          </cell>
        </row>
      </sheetData>
      <sheetData sheetId="12889">
        <row r="34">
          <cell r="A34" t="str">
            <v>Investments Govt Securities</v>
          </cell>
        </row>
      </sheetData>
      <sheetData sheetId="12890">
        <row r="34">
          <cell r="A34" t="str">
            <v>Investments Govt Securities</v>
          </cell>
        </row>
      </sheetData>
      <sheetData sheetId="12891">
        <row r="34">
          <cell r="A34" t="str">
            <v>Investments Govt Securities</v>
          </cell>
        </row>
      </sheetData>
      <sheetData sheetId="12892">
        <row r="34">
          <cell r="A34" t="str">
            <v>Investments Govt Securities</v>
          </cell>
        </row>
      </sheetData>
      <sheetData sheetId="12893">
        <row r="34">
          <cell r="A34" t="str">
            <v>Investments Govt Securities</v>
          </cell>
        </row>
      </sheetData>
      <sheetData sheetId="12894">
        <row r="34">
          <cell r="A34" t="str">
            <v>Investments Govt Securities</v>
          </cell>
        </row>
      </sheetData>
      <sheetData sheetId="12895">
        <row r="34">
          <cell r="A34" t="str">
            <v>Investments Govt Securities</v>
          </cell>
        </row>
      </sheetData>
      <sheetData sheetId="12896">
        <row r="34">
          <cell r="A34" t="str">
            <v>Investments Govt Securities</v>
          </cell>
        </row>
      </sheetData>
      <sheetData sheetId="12897">
        <row r="34">
          <cell r="A34" t="str">
            <v>Investments Govt Securities</v>
          </cell>
        </row>
      </sheetData>
      <sheetData sheetId="12898">
        <row r="34">
          <cell r="A34" t="str">
            <v>Investments Govt Securities</v>
          </cell>
        </row>
      </sheetData>
      <sheetData sheetId="12899">
        <row r="34">
          <cell r="A34" t="str">
            <v>Investments Govt Securities</v>
          </cell>
        </row>
      </sheetData>
      <sheetData sheetId="12900">
        <row r="34">
          <cell r="A34" t="str">
            <v>Investments Govt Securities</v>
          </cell>
        </row>
      </sheetData>
      <sheetData sheetId="12901">
        <row r="34">
          <cell r="A34" t="str">
            <v>Investments Govt Securities</v>
          </cell>
        </row>
      </sheetData>
      <sheetData sheetId="12902">
        <row r="34">
          <cell r="A34" t="str">
            <v>Investments Govt Securities</v>
          </cell>
        </row>
      </sheetData>
      <sheetData sheetId="12903">
        <row r="34">
          <cell r="A34" t="str">
            <v>Investments Govt Securities</v>
          </cell>
        </row>
      </sheetData>
      <sheetData sheetId="12904">
        <row r="34">
          <cell r="A34" t="str">
            <v>Investments Govt Securities</v>
          </cell>
        </row>
      </sheetData>
      <sheetData sheetId="12905">
        <row r="34">
          <cell r="A34" t="str">
            <v>Investments Govt Securities</v>
          </cell>
        </row>
      </sheetData>
      <sheetData sheetId="12906">
        <row r="34">
          <cell r="A34" t="str">
            <v>Investments Govt Securities</v>
          </cell>
        </row>
      </sheetData>
      <sheetData sheetId="12907">
        <row r="34">
          <cell r="A34" t="str">
            <v>Investments Govt Securities</v>
          </cell>
        </row>
      </sheetData>
      <sheetData sheetId="12908">
        <row r="34">
          <cell r="A34" t="str">
            <v>Investments Govt Securities</v>
          </cell>
        </row>
      </sheetData>
      <sheetData sheetId="12909">
        <row r="34">
          <cell r="A34" t="str">
            <v>Investments Govt Securities</v>
          </cell>
        </row>
      </sheetData>
      <sheetData sheetId="12910">
        <row r="34">
          <cell r="A34" t="str">
            <v>Investments Govt Securities</v>
          </cell>
        </row>
      </sheetData>
      <sheetData sheetId="12911">
        <row r="34">
          <cell r="A34" t="str">
            <v>Investments Govt Securities</v>
          </cell>
        </row>
      </sheetData>
      <sheetData sheetId="12912">
        <row r="34">
          <cell r="A34" t="str">
            <v>Investments Govt Securities</v>
          </cell>
        </row>
      </sheetData>
      <sheetData sheetId="12913">
        <row r="34">
          <cell r="A34" t="str">
            <v>Investments Govt Securities</v>
          </cell>
        </row>
      </sheetData>
      <sheetData sheetId="12914">
        <row r="34">
          <cell r="A34" t="str">
            <v>Investments Govt Securities</v>
          </cell>
        </row>
      </sheetData>
      <sheetData sheetId="12915">
        <row r="34">
          <cell r="A34" t="str">
            <v>Investments Govt Securities</v>
          </cell>
        </row>
      </sheetData>
      <sheetData sheetId="12916">
        <row r="34">
          <cell r="A34" t="str">
            <v>Investments Govt Securities</v>
          </cell>
        </row>
      </sheetData>
      <sheetData sheetId="12917">
        <row r="34">
          <cell r="A34" t="str">
            <v>Investments Govt Securities</v>
          </cell>
        </row>
      </sheetData>
      <sheetData sheetId="12918">
        <row r="34">
          <cell r="A34" t="str">
            <v>Investments Govt Securities</v>
          </cell>
        </row>
      </sheetData>
      <sheetData sheetId="12919">
        <row r="34">
          <cell r="A34" t="str">
            <v>Investments Govt Securities</v>
          </cell>
        </row>
      </sheetData>
      <sheetData sheetId="12920">
        <row r="34">
          <cell r="A34" t="str">
            <v>Investments Govt Securities</v>
          </cell>
        </row>
      </sheetData>
      <sheetData sheetId="12921">
        <row r="34">
          <cell r="A34" t="str">
            <v>Investments Govt Securities</v>
          </cell>
        </row>
      </sheetData>
      <sheetData sheetId="12922">
        <row r="34">
          <cell r="A34" t="str">
            <v>Investments Govt Securities</v>
          </cell>
        </row>
      </sheetData>
      <sheetData sheetId="12923">
        <row r="34">
          <cell r="A34" t="str">
            <v>Investments Govt Securities</v>
          </cell>
        </row>
      </sheetData>
      <sheetData sheetId="12924">
        <row r="34">
          <cell r="A34" t="str">
            <v>Investments Govt Securities</v>
          </cell>
        </row>
      </sheetData>
      <sheetData sheetId="12925">
        <row r="34">
          <cell r="A34" t="str">
            <v>Investments Govt Securities</v>
          </cell>
        </row>
      </sheetData>
      <sheetData sheetId="12926">
        <row r="34">
          <cell r="A34" t="str">
            <v>Investments Govt Securities</v>
          </cell>
        </row>
      </sheetData>
      <sheetData sheetId="12927">
        <row r="34">
          <cell r="A34" t="str">
            <v>Investments Govt Securities</v>
          </cell>
        </row>
      </sheetData>
      <sheetData sheetId="12928">
        <row r="34">
          <cell r="A34" t="str">
            <v>Investments Govt Securities</v>
          </cell>
        </row>
      </sheetData>
      <sheetData sheetId="12929">
        <row r="34">
          <cell r="A34" t="str">
            <v>Investments Govt Securities</v>
          </cell>
        </row>
      </sheetData>
      <sheetData sheetId="12930">
        <row r="34">
          <cell r="A34" t="str">
            <v>Investments Govt Securities</v>
          </cell>
        </row>
      </sheetData>
      <sheetData sheetId="12931">
        <row r="34">
          <cell r="A34" t="str">
            <v>Investments Govt Securities</v>
          </cell>
        </row>
      </sheetData>
      <sheetData sheetId="12932">
        <row r="34">
          <cell r="A34" t="str">
            <v>Investments Govt Securities</v>
          </cell>
        </row>
      </sheetData>
      <sheetData sheetId="12933">
        <row r="34">
          <cell r="A34" t="str">
            <v>Investments Govt Securities</v>
          </cell>
        </row>
      </sheetData>
      <sheetData sheetId="12934">
        <row r="34">
          <cell r="A34" t="str">
            <v>Investments Govt Securities</v>
          </cell>
        </row>
      </sheetData>
      <sheetData sheetId="12935">
        <row r="34">
          <cell r="A34" t="str">
            <v>Investments Govt Securities</v>
          </cell>
        </row>
      </sheetData>
      <sheetData sheetId="12936">
        <row r="34">
          <cell r="A34" t="str">
            <v>Investments Govt Securities</v>
          </cell>
        </row>
      </sheetData>
      <sheetData sheetId="12937">
        <row r="34">
          <cell r="A34" t="str">
            <v>Investments Govt Securities</v>
          </cell>
        </row>
      </sheetData>
      <sheetData sheetId="12938">
        <row r="34">
          <cell r="A34" t="str">
            <v>Investments Govt Securities</v>
          </cell>
        </row>
      </sheetData>
      <sheetData sheetId="12939">
        <row r="34">
          <cell r="A34" t="str">
            <v>Investments Govt Securities</v>
          </cell>
        </row>
      </sheetData>
      <sheetData sheetId="12940">
        <row r="34">
          <cell r="A34" t="str">
            <v>Investments Govt Securities</v>
          </cell>
        </row>
      </sheetData>
      <sheetData sheetId="12941">
        <row r="34">
          <cell r="A34" t="str">
            <v>Investments Govt Securities</v>
          </cell>
        </row>
      </sheetData>
      <sheetData sheetId="12942">
        <row r="34">
          <cell r="A34" t="str">
            <v>Investments Govt Securities</v>
          </cell>
        </row>
      </sheetData>
      <sheetData sheetId="12943">
        <row r="34">
          <cell r="A34" t="str">
            <v>Investments Govt Securities</v>
          </cell>
        </row>
      </sheetData>
      <sheetData sheetId="12944">
        <row r="34">
          <cell r="A34" t="str">
            <v>Investments Govt Securities</v>
          </cell>
        </row>
      </sheetData>
      <sheetData sheetId="12945">
        <row r="34">
          <cell r="A34" t="str">
            <v>Investments Govt Securities</v>
          </cell>
        </row>
      </sheetData>
      <sheetData sheetId="12946">
        <row r="34">
          <cell r="A34" t="str">
            <v>Investments Govt Securities</v>
          </cell>
        </row>
      </sheetData>
      <sheetData sheetId="12947">
        <row r="34">
          <cell r="A34" t="str">
            <v>Investments Govt Securities</v>
          </cell>
        </row>
      </sheetData>
      <sheetData sheetId="12948">
        <row r="34">
          <cell r="A34" t="str">
            <v>Investments Govt Securities</v>
          </cell>
        </row>
      </sheetData>
      <sheetData sheetId="12949">
        <row r="34">
          <cell r="A34" t="str">
            <v>Investments Govt Securities</v>
          </cell>
        </row>
      </sheetData>
      <sheetData sheetId="12950">
        <row r="34">
          <cell r="A34" t="str">
            <v>Investments Govt Securities</v>
          </cell>
        </row>
      </sheetData>
      <sheetData sheetId="12951">
        <row r="34">
          <cell r="A34" t="str">
            <v>Investments Govt Securities</v>
          </cell>
        </row>
      </sheetData>
      <sheetData sheetId="12952">
        <row r="34">
          <cell r="A34" t="str">
            <v>Investments Govt Securities</v>
          </cell>
        </row>
      </sheetData>
      <sheetData sheetId="12953">
        <row r="34">
          <cell r="A34" t="str">
            <v>Investments Govt Securities</v>
          </cell>
        </row>
      </sheetData>
      <sheetData sheetId="12954">
        <row r="34">
          <cell r="A34" t="str">
            <v>Investments Govt Securities</v>
          </cell>
        </row>
      </sheetData>
      <sheetData sheetId="12955">
        <row r="34">
          <cell r="A34" t="str">
            <v>Investments Govt Securities</v>
          </cell>
        </row>
      </sheetData>
      <sheetData sheetId="12956">
        <row r="34">
          <cell r="A34" t="str">
            <v>Investments Govt Securities</v>
          </cell>
        </row>
      </sheetData>
      <sheetData sheetId="12957">
        <row r="34">
          <cell r="A34" t="str">
            <v>Investments Govt Securities</v>
          </cell>
        </row>
      </sheetData>
      <sheetData sheetId="12958">
        <row r="34">
          <cell r="A34" t="str">
            <v>Investments Govt Securities</v>
          </cell>
        </row>
      </sheetData>
      <sheetData sheetId="12959">
        <row r="34">
          <cell r="A34" t="str">
            <v>Investments Govt Securities</v>
          </cell>
        </row>
      </sheetData>
      <sheetData sheetId="12960">
        <row r="34">
          <cell r="A34" t="str">
            <v>Investments Govt Securities</v>
          </cell>
        </row>
      </sheetData>
      <sheetData sheetId="12961">
        <row r="34">
          <cell r="A34" t="str">
            <v>Investments Govt Securities</v>
          </cell>
        </row>
      </sheetData>
      <sheetData sheetId="12962">
        <row r="34">
          <cell r="A34" t="str">
            <v>Investments Govt Securities</v>
          </cell>
        </row>
      </sheetData>
      <sheetData sheetId="12963">
        <row r="34">
          <cell r="A34" t="str">
            <v>Investments Govt Securities</v>
          </cell>
        </row>
      </sheetData>
      <sheetData sheetId="12964">
        <row r="34">
          <cell r="A34" t="str">
            <v>Investments Govt Securities</v>
          </cell>
        </row>
      </sheetData>
      <sheetData sheetId="12965">
        <row r="34">
          <cell r="A34" t="str">
            <v>Investments Govt Securities</v>
          </cell>
        </row>
      </sheetData>
      <sheetData sheetId="12966">
        <row r="34">
          <cell r="A34" t="str">
            <v>Investments Govt Securities</v>
          </cell>
        </row>
      </sheetData>
      <sheetData sheetId="12967">
        <row r="34">
          <cell r="A34" t="str">
            <v>Investments Govt Securities</v>
          </cell>
        </row>
      </sheetData>
      <sheetData sheetId="12968">
        <row r="34">
          <cell r="A34" t="str">
            <v>Investments Govt Securities</v>
          </cell>
        </row>
      </sheetData>
      <sheetData sheetId="12969">
        <row r="34">
          <cell r="A34" t="str">
            <v>Investments Govt Securities</v>
          </cell>
        </row>
      </sheetData>
      <sheetData sheetId="12970">
        <row r="34">
          <cell r="A34" t="str">
            <v>Investments Govt Securities</v>
          </cell>
        </row>
      </sheetData>
      <sheetData sheetId="12971">
        <row r="34">
          <cell r="A34" t="str">
            <v>Investments Govt Securities</v>
          </cell>
        </row>
      </sheetData>
      <sheetData sheetId="12972">
        <row r="34">
          <cell r="A34" t="str">
            <v>Investments Govt Securities</v>
          </cell>
        </row>
      </sheetData>
      <sheetData sheetId="12973">
        <row r="34">
          <cell r="A34" t="str">
            <v>Investments Govt Securities</v>
          </cell>
        </row>
      </sheetData>
      <sheetData sheetId="12974">
        <row r="34">
          <cell r="A34" t="str">
            <v>Investments Govt Securities</v>
          </cell>
        </row>
      </sheetData>
      <sheetData sheetId="12975">
        <row r="34">
          <cell r="A34" t="str">
            <v>Investments Govt Securities</v>
          </cell>
        </row>
      </sheetData>
      <sheetData sheetId="12976">
        <row r="34">
          <cell r="A34" t="str">
            <v>Investments Govt Securities</v>
          </cell>
        </row>
      </sheetData>
      <sheetData sheetId="12977">
        <row r="34">
          <cell r="A34" t="str">
            <v>Investments Govt Securities</v>
          </cell>
        </row>
      </sheetData>
      <sheetData sheetId="12978">
        <row r="34">
          <cell r="A34" t="str">
            <v>Investments Govt Securities</v>
          </cell>
        </row>
      </sheetData>
      <sheetData sheetId="12979">
        <row r="34">
          <cell r="A34" t="str">
            <v>Investments Govt Securities</v>
          </cell>
        </row>
      </sheetData>
      <sheetData sheetId="12980">
        <row r="34">
          <cell r="A34" t="str">
            <v>Investments Govt Securities</v>
          </cell>
        </row>
      </sheetData>
      <sheetData sheetId="12981">
        <row r="34">
          <cell r="A34" t="str">
            <v>Investments Govt Securities</v>
          </cell>
        </row>
      </sheetData>
      <sheetData sheetId="12982">
        <row r="34">
          <cell r="A34" t="str">
            <v>Investments Govt Securities</v>
          </cell>
        </row>
      </sheetData>
      <sheetData sheetId="12983">
        <row r="34">
          <cell r="A34" t="str">
            <v>Investments Govt Securities</v>
          </cell>
        </row>
      </sheetData>
      <sheetData sheetId="12984">
        <row r="34">
          <cell r="A34" t="str">
            <v>Investments Govt Securities</v>
          </cell>
        </row>
      </sheetData>
      <sheetData sheetId="12985">
        <row r="34">
          <cell r="A34" t="str">
            <v>Investments Govt Securities</v>
          </cell>
        </row>
      </sheetData>
      <sheetData sheetId="12986">
        <row r="34">
          <cell r="A34" t="str">
            <v>Investments Govt Securities</v>
          </cell>
        </row>
      </sheetData>
      <sheetData sheetId="12987">
        <row r="34">
          <cell r="A34" t="str">
            <v>Investments Govt Securities</v>
          </cell>
        </row>
      </sheetData>
      <sheetData sheetId="12988">
        <row r="34">
          <cell r="A34" t="str">
            <v>Investments Govt Securities</v>
          </cell>
        </row>
      </sheetData>
      <sheetData sheetId="12989">
        <row r="34">
          <cell r="A34" t="str">
            <v>Investments Govt Securities</v>
          </cell>
        </row>
      </sheetData>
      <sheetData sheetId="12990">
        <row r="34">
          <cell r="A34" t="str">
            <v>Investments Govt Securities</v>
          </cell>
        </row>
      </sheetData>
      <sheetData sheetId="12991">
        <row r="34">
          <cell r="A34" t="str">
            <v>Investments Govt Securities</v>
          </cell>
        </row>
      </sheetData>
      <sheetData sheetId="12992">
        <row r="34">
          <cell r="A34" t="str">
            <v>Investments Govt Securities</v>
          </cell>
        </row>
      </sheetData>
      <sheetData sheetId="12993">
        <row r="34">
          <cell r="A34" t="str">
            <v>Investments Govt Securities</v>
          </cell>
        </row>
      </sheetData>
      <sheetData sheetId="12994">
        <row r="34">
          <cell r="A34" t="str">
            <v>Investments Govt Securities</v>
          </cell>
        </row>
      </sheetData>
      <sheetData sheetId="12995">
        <row r="34">
          <cell r="A34" t="str">
            <v>Investments Govt Securities</v>
          </cell>
        </row>
      </sheetData>
      <sheetData sheetId="12996">
        <row r="34">
          <cell r="A34" t="str">
            <v>Investments Govt Securities</v>
          </cell>
        </row>
      </sheetData>
      <sheetData sheetId="12997">
        <row r="34">
          <cell r="A34" t="str">
            <v>Investments Govt Securities</v>
          </cell>
        </row>
      </sheetData>
      <sheetData sheetId="12998">
        <row r="34">
          <cell r="A34" t="str">
            <v>Investments Govt Securities</v>
          </cell>
        </row>
      </sheetData>
      <sheetData sheetId="12999">
        <row r="34">
          <cell r="A34" t="str">
            <v>Investments Govt Securities</v>
          </cell>
        </row>
      </sheetData>
      <sheetData sheetId="13000">
        <row r="34">
          <cell r="A34" t="str">
            <v>Investments Govt Securities</v>
          </cell>
        </row>
      </sheetData>
      <sheetData sheetId="13001">
        <row r="34">
          <cell r="A34" t="str">
            <v>Investments Govt Securities</v>
          </cell>
        </row>
      </sheetData>
      <sheetData sheetId="13002">
        <row r="34">
          <cell r="A34" t="str">
            <v>Investments Govt Securities</v>
          </cell>
        </row>
      </sheetData>
      <sheetData sheetId="13003">
        <row r="34">
          <cell r="A34" t="str">
            <v>Investments Govt Securities</v>
          </cell>
        </row>
      </sheetData>
      <sheetData sheetId="13004">
        <row r="34">
          <cell r="A34" t="str">
            <v>Investments Govt Securities</v>
          </cell>
        </row>
      </sheetData>
      <sheetData sheetId="13005">
        <row r="34">
          <cell r="A34" t="str">
            <v>Investments Govt Securities</v>
          </cell>
        </row>
      </sheetData>
      <sheetData sheetId="13006">
        <row r="34">
          <cell r="A34" t="str">
            <v>Investments Govt Securities</v>
          </cell>
        </row>
      </sheetData>
      <sheetData sheetId="13007">
        <row r="34">
          <cell r="A34" t="str">
            <v>Investments Govt Securities</v>
          </cell>
        </row>
      </sheetData>
      <sheetData sheetId="13008">
        <row r="34">
          <cell r="A34" t="str">
            <v>Investments Govt Securities</v>
          </cell>
        </row>
      </sheetData>
      <sheetData sheetId="13009">
        <row r="34">
          <cell r="A34" t="str">
            <v>Investments Govt Securities</v>
          </cell>
        </row>
      </sheetData>
      <sheetData sheetId="13010">
        <row r="34">
          <cell r="A34" t="str">
            <v>Investments Govt Securities</v>
          </cell>
        </row>
      </sheetData>
      <sheetData sheetId="13011">
        <row r="34">
          <cell r="A34" t="str">
            <v>Investments Govt Securities</v>
          </cell>
        </row>
      </sheetData>
      <sheetData sheetId="13012">
        <row r="34">
          <cell r="A34" t="str">
            <v>Investments Govt Securities</v>
          </cell>
        </row>
      </sheetData>
      <sheetData sheetId="13013">
        <row r="34">
          <cell r="A34" t="str">
            <v>Investments Govt Securities</v>
          </cell>
        </row>
      </sheetData>
      <sheetData sheetId="13014">
        <row r="34">
          <cell r="A34" t="str">
            <v>Investments Govt Securities</v>
          </cell>
        </row>
      </sheetData>
      <sheetData sheetId="13015">
        <row r="34">
          <cell r="A34" t="str">
            <v>Investments Govt Securities</v>
          </cell>
        </row>
      </sheetData>
      <sheetData sheetId="13016">
        <row r="34">
          <cell r="A34" t="str">
            <v>Investments Govt Securities</v>
          </cell>
        </row>
      </sheetData>
      <sheetData sheetId="13017">
        <row r="34">
          <cell r="A34" t="str">
            <v>Investments Govt Securities</v>
          </cell>
        </row>
      </sheetData>
      <sheetData sheetId="13018">
        <row r="34">
          <cell r="A34" t="str">
            <v>Investments Govt Securities</v>
          </cell>
        </row>
      </sheetData>
      <sheetData sheetId="13019">
        <row r="34">
          <cell r="A34" t="str">
            <v>Investments Govt Securities</v>
          </cell>
        </row>
      </sheetData>
      <sheetData sheetId="13020">
        <row r="34">
          <cell r="A34" t="str">
            <v>Investments Govt Securities</v>
          </cell>
        </row>
      </sheetData>
      <sheetData sheetId="13021">
        <row r="34">
          <cell r="A34" t="str">
            <v>Investments Govt Securities</v>
          </cell>
        </row>
      </sheetData>
      <sheetData sheetId="13022">
        <row r="34">
          <cell r="A34" t="str">
            <v>Investments Govt Securities</v>
          </cell>
        </row>
      </sheetData>
      <sheetData sheetId="13023">
        <row r="34">
          <cell r="A34" t="str">
            <v>Investments Govt Securities</v>
          </cell>
        </row>
      </sheetData>
      <sheetData sheetId="13024">
        <row r="34">
          <cell r="A34" t="str">
            <v>Investments Govt Securities</v>
          </cell>
        </row>
      </sheetData>
      <sheetData sheetId="13025">
        <row r="34">
          <cell r="A34" t="str">
            <v>Investments Govt Securities</v>
          </cell>
        </row>
      </sheetData>
      <sheetData sheetId="13026">
        <row r="34">
          <cell r="A34" t="str">
            <v>Investments Govt Securities</v>
          </cell>
        </row>
      </sheetData>
      <sheetData sheetId="13027">
        <row r="34">
          <cell r="A34" t="str">
            <v>Investments Govt Securities</v>
          </cell>
        </row>
      </sheetData>
      <sheetData sheetId="13028">
        <row r="34">
          <cell r="A34" t="str">
            <v>Investments Govt Securities</v>
          </cell>
        </row>
      </sheetData>
      <sheetData sheetId="13029">
        <row r="34">
          <cell r="A34" t="str">
            <v>Investments Govt Securities</v>
          </cell>
        </row>
      </sheetData>
      <sheetData sheetId="13030">
        <row r="34">
          <cell r="A34" t="str">
            <v>Investments Govt Securities</v>
          </cell>
        </row>
      </sheetData>
      <sheetData sheetId="13031">
        <row r="34">
          <cell r="A34" t="str">
            <v>Investments Govt Securities</v>
          </cell>
        </row>
      </sheetData>
      <sheetData sheetId="13032">
        <row r="34">
          <cell r="A34" t="str">
            <v>Investments Govt Securities</v>
          </cell>
        </row>
      </sheetData>
      <sheetData sheetId="13033">
        <row r="34">
          <cell r="A34" t="str">
            <v>Investments Govt Securities</v>
          </cell>
        </row>
      </sheetData>
      <sheetData sheetId="13034">
        <row r="34">
          <cell r="A34" t="str">
            <v>Investments Govt Securities</v>
          </cell>
        </row>
      </sheetData>
      <sheetData sheetId="13035">
        <row r="34">
          <cell r="A34" t="str">
            <v>Investments Govt Securities</v>
          </cell>
        </row>
      </sheetData>
      <sheetData sheetId="13036">
        <row r="34">
          <cell r="A34" t="str">
            <v>Investments Govt Securities</v>
          </cell>
        </row>
      </sheetData>
      <sheetData sheetId="13037">
        <row r="34">
          <cell r="A34" t="str">
            <v>Investments Govt Securities</v>
          </cell>
        </row>
      </sheetData>
      <sheetData sheetId="13038">
        <row r="34">
          <cell r="A34" t="str">
            <v>Investments Govt Securities</v>
          </cell>
        </row>
      </sheetData>
      <sheetData sheetId="13039">
        <row r="34">
          <cell r="A34" t="str">
            <v>Investments Govt Securities</v>
          </cell>
        </row>
      </sheetData>
      <sheetData sheetId="13040">
        <row r="34">
          <cell r="A34" t="str">
            <v>Investments Govt Securities</v>
          </cell>
        </row>
      </sheetData>
      <sheetData sheetId="13041">
        <row r="34">
          <cell r="A34" t="str">
            <v>Investments Govt Securities</v>
          </cell>
        </row>
      </sheetData>
      <sheetData sheetId="13042">
        <row r="34">
          <cell r="A34" t="str">
            <v>Investments Govt Securities</v>
          </cell>
        </row>
      </sheetData>
      <sheetData sheetId="13043">
        <row r="34">
          <cell r="A34" t="str">
            <v>Investments Govt Securities</v>
          </cell>
        </row>
      </sheetData>
      <sheetData sheetId="13044">
        <row r="34">
          <cell r="A34" t="str">
            <v>Investments Govt Securities</v>
          </cell>
        </row>
      </sheetData>
      <sheetData sheetId="13045">
        <row r="34">
          <cell r="A34" t="str">
            <v>Investments Govt Securities</v>
          </cell>
        </row>
      </sheetData>
      <sheetData sheetId="13046">
        <row r="34">
          <cell r="A34" t="str">
            <v>Investments Govt Securities</v>
          </cell>
        </row>
      </sheetData>
      <sheetData sheetId="13047">
        <row r="34">
          <cell r="A34" t="str">
            <v>Investments Govt Securities</v>
          </cell>
        </row>
      </sheetData>
      <sheetData sheetId="13048">
        <row r="34">
          <cell r="A34" t="str">
            <v>Investments Govt Securities</v>
          </cell>
        </row>
      </sheetData>
      <sheetData sheetId="13049">
        <row r="34">
          <cell r="A34" t="str">
            <v>Investments Govt Securities</v>
          </cell>
        </row>
      </sheetData>
      <sheetData sheetId="13050">
        <row r="34">
          <cell r="A34" t="str">
            <v>Investments Govt Securities</v>
          </cell>
        </row>
      </sheetData>
      <sheetData sheetId="13051">
        <row r="34">
          <cell r="A34" t="str">
            <v>Investments Govt Securities</v>
          </cell>
        </row>
      </sheetData>
      <sheetData sheetId="13052">
        <row r="34">
          <cell r="A34" t="str">
            <v>Investments Govt Securities</v>
          </cell>
        </row>
      </sheetData>
      <sheetData sheetId="13053">
        <row r="34">
          <cell r="A34" t="str">
            <v>Investments Govt Securities</v>
          </cell>
        </row>
      </sheetData>
      <sheetData sheetId="13054">
        <row r="34">
          <cell r="A34" t="str">
            <v>Investments Govt Securities</v>
          </cell>
        </row>
      </sheetData>
      <sheetData sheetId="13055">
        <row r="34">
          <cell r="A34" t="str">
            <v>Investments Govt Securities</v>
          </cell>
        </row>
      </sheetData>
      <sheetData sheetId="13056">
        <row r="34">
          <cell r="A34" t="str">
            <v>Investments Govt Securities</v>
          </cell>
        </row>
      </sheetData>
      <sheetData sheetId="13057">
        <row r="34">
          <cell r="A34" t="str">
            <v>Investments Govt Securities</v>
          </cell>
        </row>
      </sheetData>
      <sheetData sheetId="13058">
        <row r="34">
          <cell r="A34" t="str">
            <v>Investments Govt Securities</v>
          </cell>
        </row>
      </sheetData>
      <sheetData sheetId="13059">
        <row r="34">
          <cell r="A34" t="str">
            <v>Investments Govt Securities</v>
          </cell>
        </row>
      </sheetData>
      <sheetData sheetId="13060">
        <row r="34">
          <cell r="A34" t="str">
            <v>Investments Govt Securities</v>
          </cell>
        </row>
      </sheetData>
      <sheetData sheetId="13061">
        <row r="34">
          <cell r="A34" t="str">
            <v>Investments Govt Securities</v>
          </cell>
        </row>
      </sheetData>
      <sheetData sheetId="13062">
        <row r="34">
          <cell r="A34" t="str">
            <v>Investments Govt Securities</v>
          </cell>
        </row>
      </sheetData>
      <sheetData sheetId="13063">
        <row r="34">
          <cell r="A34" t="str">
            <v>Investments Govt Securities</v>
          </cell>
        </row>
      </sheetData>
      <sheetData sheetId="13064">
        <row r="34">
          <cell r="A34" t="str">
            <v>Investments Govt Securities</v>
          </cell>
        </row>
      </sheetData>
      <sheetData sheetId="13065">
        <row r="34">
          <cell r="A34" t="str">
            <v>Investments Govt Securities</v>
          </cell>
        </row>
      </sheetData>
      <sheetData sheetId="13066">
        <row r="34">
          <cell r="A34" t="str">
            <v>Investments Govt Securities</v>
          </cell>
        </row>
      </sheetData>
      <sheetData sheetId="13067">
        <row r="34">
          <cell r="A34" t="str">
            <v>Investments Govt Securities</v>
          </cell>
        </row>
      </sheetData>
      <sheetData sheetId="13068">
        <row r="34">
          <cell r="A34" t="str">
            <v>Investments Govt Securities</v>
          </cell>
        </row>
      </sheetData>
      <sheetData sheetId="13069">
        <row r="34">
          <cell r="A34" t="str">
            <v>Investments Govt Securities</v>
          </cell>
        </row>
      </sheetData>
      <sheetData sheetId="13070">
        <row r="34">
          <cell r="A34" t="str">
            <v>Investments Govt Securities</v>
          </cell>
        </row>
      </sheetData>
      <sheetData sheetId="13071">
        <row r="34">
          <cell r="A34" t="str">
            <v>Investments Govt Securities</v>
          </cell>
        </row>
      </sheetData>
      <sheetData sheetId="13072">
        <row r="34">
          <cell r="A34" t="str">
            <v>Investments Govt Securities</v>
          </cell>
        </row>
      </sheetData>
      <sheetData sheetId="13073">
        <row r="34">
          <cell r="A34" t="str">
            <v>Investments Govt Securities</v>
          </cell>
        </row>
      </sheetData>
      <sheetData sheetId="13074">
        <row r="34">
          <cell r="A34" t="str">
            <v>Investments Govt Securities</v>
          </cell>
        </row>
      </sheetData>
      <sheetData sheetId="13075">
        <row r="34">
          <cell r="A34" t="str">
            <v>Investments Govt Securities</v>
          </cell>
        </row>
      </sheetData>
      <sheetData sheetId="13076">
        <row r="34">
          <cell r="A34" t="str">
            <v>Investments Govt Securities</v>
          </cell>
        </row>
      </sheetData>
      <sheetData sheetId="13077">
        <row r="34">
          <cell r="A34" t="str">
            <v>Investments Govt Securities</v>
          </cell>
        </row>
      </sheetData>
      <sheetData sheetId="13078">
        <row r="34">
          <cell r="A34" t="str">
            <v>Investments Govt Securities</v>
          </cell>
        </row>
      </sheetData>
      <sheetData sheetId="13079">
        <row r="34">
          <cell r="A34" t="str">
            <v>Investments Govt Securities</v>
          </cell>
        </row>
      </sheetData>
      <sheetData sheetId="13080">
        <row r="34">
          <cell r="A34" t="str">
            <v>Investments Govt Securities</v>
          </cell>
        </row>
      </sheetData>
      <sheetData sheetId="13081">
        <row r="34">
          <cell r="A34" t="str">
            <v>Investments Govt Securities</v>
          </cell>
        </row>
      </sheetData>
      <sheetData sheetId="13082">
        <row r="34">
          <cell r="A34" t="str">
            <v>Investments Govt Securities</v>
          </cell>
        </row>
      </sheetData>
      <sheetData sheetId="13083">
        <row r="34">
          <cell r="A34" t="str">
            <v>Investments Govt Securities</v>
          </cell>
        </row>
      </sheetData>
      <sheetData sheetId="13084">
        <row r="34">
          <cell r="A34" t="str">
            <v>Investments Govt Securities</v>
          </cell>
        </row>
      </sheetData>
      <sheetData sheetId="13085">
        <row r="34">
          <cell r="A34" t="str">
            <v>Investments Govt Securities</v>
          </cell>
        </row>
      </sheetData>
      <sheetData sheetId="13086">
        <row r="34">
          <cell r="A34" t="str">
            <v>Investments Govt Securities</v>
          </cell>
        </row>
      </sheetData>
      <sheetData sheetId="13087">
        <row r="34">
          <cell r="A34" t="str">
            <v>Investments Govt Securities</v>
          </cell>
        </row>
      </sheetData>
      <sheetData sheetId="13088">
        <row r="34">
          <cell r="A34" t="str">
            <v>Investments Govt Securities</v>
          </cell>
        </row>
      </sheetData>
      <sheetData sheetId="13089">
        <row r="34">
          <cell r="A34" t="str">
            <v>Investments Govt Securities</v>
          </cell>
        </row>
      </sheetData>
      <sheetData sheetId="13090">
        <row r="34">
          <cell r="A34" t="str">
            <v>Investments Govt Securities</v>
          </cell>
        </row>
      </sheetData>
      <sheetData sheetId="13091">
        <row r="34">
          <cell r="A34" t="str">
            <v>Investments Govt Securities</v>
          </cell>
        </row>
      </sheetData>
      <sheetData sheetId="13092">
        <row r="34">
          <cell r="A34" t="str">
            <v>Investments Govt Securities</v>
          </cell>
        </row>
      </sheetData>
      <sheetData sheetId="13093">
        <row r="34">
          <cell r="A34" t="str">
            <v>Investments Govt Securities</v>
          </cell>
        </row>
      </sheetData>
      <sheetData sheetId="13094">
        <row r="34">
          <cell r="A34" t="str">
            <v>Investments Govt Securities</v>
          </cell>
        </row>
      </sheetData>
      <sheetData sheetId="13095">
        <row r="34">
          <cell r="A34" t="str">
            <v>Investments Govt Securities</v>
          </cell>
        </row>
      </sheetData>
      <sheetData sheetId="13096">
        <row r="34">
          <cell r="A34" t="str">
            <v>Investments Govt Securities</v>
          </cell>
        </row>
      </sheetData>
      <sheetData sheetId="13097">
        <row r="34">
          <cell r="A34" t="str">
            <v>Investments Govt Securities</v>
          </cell>
        </row>
      </sheetData>
      <sheetData sheetId="13098">
        <row r="34">
          <cell r="A34" t="str">
            <v>Investments Govt Securities</v>
          </cell>
        </row>
      </sheetData>
      <sheetData sheetId="13099">
        <row r="34">
          <cell r="A34" t="str">
            <v>Investments Govt Securities</v>
          </cell>
        </row>
      </sheetData>
      <sheetData sheetId="13100">
        <row r="34">
          <cell r="A34" t="str">
            <v>Investments Govt Securities</v>
          </cell>
        </row>
      </sheetData>
      <sheetData sheetId="13101">
        <row r="34">
          <cell r="A34" t="str">
            <v>Investments Govt Securities</v>
          </cell>
        </row>
      </sheetData>
      <sheetData sheetId="13102">
        <row r="34">
          <cell r="A34" t="str">
            <v>Investments Govt Securities</v>
          </cell>
        </row>
      </sheetData>
      <sheetData sheetId="13103">
        <row r="34">
          <cell r="A34" t="str">
            <v>Investments Govt Securities</v>
          </cell>
        </row>
      </sheetData>
      <sheetData sheetId="13104">
        <row r="34">
          <cell r="A34" t="str">
            <v>Investments Govt Securities</v>
          </cell>
        </row>
      </sheetData>
      <sheetData sheetId="13105">
        <row r="34">
          <cell r="A34" t="str">
            <v>Investments Govt Securities</v>
          </cell>
        </row>
      </sheetData>
      <sheetData sheetId="13106">
        <row r="34">
          <cell r="A34" t="str">
            <v>Investments Govt Securities</v>
          </cell>
        </row>
      </sheetData>
      <sheetData sheetId="13107">
        <row r="34">
          <cell r="A34" t="str">
            <v>Investments Govt Securities</v>
          </cell>
        </row>
      </sheetData>
      <sheetData sheetId="13108">
        <row r="34">
          <cell r="A34" t="str">
            <v>Investments Govt Securities</v>
          </cell>
        </row>
      </sheetData>
      <sheetData sheetId="13109">
        <row r="34">
          <cell r="A34" t="str">
            <v>Investments Govt Securities</v>
          </cell>
        </row>
      </sheetData>
      <sheetData sheetId="13110">
        <row r="34">
          <cell r="A34" t="str">
            <v>Investments Govt Securities</v>
          </cell>
        </row>
      </sheetData>
      <sheetData sheetId="13111">
        <row r="34">
          <cell r="A34" t="str">
            <v>Investments Govt Securities</v>
          </cell>
        </row>
      </sheetData>
      <sheetData sheetId="13112">
        <row r="34">
          <cell r="A34" t="str">
            <v>Investments Govt Securities</v>
          </cell>
        </row>
      </sheetData>
      <sheetData sheetId="13113">
        <row r="34">
          <cell r="A34" t="str">
            <v>Investments Govt Securities</v>
          </cell>
        </row>
      </sheetData>
      <sheetData sheetId="13114">
        <row r="34">
          <cell r="A34" t="str">
            <v>Investments Govt Securities</v>
          </cell>
        </row>
      </sheetData>
      <sheetData sheetId="13115">
        <row r="34">
          <cell r="A34" t="str">
            <v>Investments Govt Securities</v>
          </cell>
        </row>
      </sheetData>
      <sheetData sheetId="13116">
        <row r="34">
          <cell r="A34" t="str">
            <v>Investments Govt Securities</v>
          </cell>
        </row>
      </sheetData>
      <sheetData sheetId="13117">
        <row r="34">
          <cell r="A34" t="str">
            <v>Investments Govt Securities</v>
          </cell>
        </row>
      </sheetData>
      <sheetData sheetId="13118">
        <row r="34">
          <cell r="A34" t="str">
            <v>Investments Govt Securities</v>
          </cell>
        </row>
      </sheetData>
      <sheetData sheetId="13119">
        <row r="34">
          <cell r="A34" t="str">
            <v>Investments Govt Securities</v>
          </cell>
        </row>
      </sheetData>
      <sheetData sheetId="13120">
        <row r="34">
          <cell r="A34" t="str">
            <v>Investments Govt Securities</v>
          </cell>
        </row>
      </sheetData>
      <sheetData sheetId="13121">
        <row r="34">
          <cell r="A34" t="str">
            <v>Investments Govt Securities</v>
          </cell>
        </row>
      </sheetData>
      <sheetData sheetId="13122">
        <row r="34">
          <cell r="A34" t="str">
            <v>Investments Govt Securities</v>
          </cell>
        </row>
      </sheetData>
      <sheetData sheetId="13123">
        <row r="34">
          <cell r="A34" t="str">
            <v>Investments Govt Securities</v>
          </cell>
        </row>
      </sheetData>
      <sheetData sheetId="13124">
        <row r="34">
          <cell r="A34" t="str">
            <v>Investments Govt Securities</v>
          </cell>
        </row>
      </sheetData>
      <sheetData sheetId="13125">
        <row r="34">
          <cell r="A34" t="str">
            <v>Investments Govt Securities</v>
          </cell>
        </row>
      </sheetData>
      <sheetData sheetId="13126">
        <row r="34">
          <cell r="A34" t="str">
            <v>Investments Govt Securities</v>
          </cell>
        </row>
      </sheetData>
      <sheetData sheetId="13127">
        <row r="34">
          <cell r="A34" t="str">
            <v>Investments Govt Securities</v>
          </cell>
        </row>
      </sheetData>
      <sheetData sheetId="13128">
        <row r="34">
          <cell r="A34" t="str">
            <v>Investments Govt Securities</v>
          </cell>
        </row>
      </sheetData>
      <sheetData sheetId="13129">
        <row r="34">
          <cell r="A34" t="str">
            <v>Investments Govt Securities</v>
          </cell>
        </row>
      </sheetData>
      <sheetData sheetId="13130">
        <row r="34">
          <cell r="A34" t="str">
            <v>Investments Govt Securities</v>
          </cell>
        </row>
      </sheetData>
      <sheetData sheetId="13131">
        <row r="34">
          <cell r="A34" t="str">
            <v>Investments Govt Securities</v>
          </cell>
        </row>
      </sheetData>
      <sheetData sheetId="13132">
        <row r="34">
          <cell r="A34" t="str">
            <v>Investments Govt Securities</v>
          </cell>
        </row>
      </sheetData>
      <sheetData sheetId="13133">
        <row r="34">
          <cell r="A34" t="str">
            <v>Investments Govt Securities</v>
          </cell>
        </row>
      </sheetData>
      <sheetData sheetId="13134">
        <row r="34">
          <cell r="A34" t="str">
            <v>Investments Govt Securities</v>
          </cell>
        </row>
      </sheetData>
      <sheetData sheetId="13135">
        <row r="34">
          <cell r="A34" t="str">
            <v>Investments Govt Securities</v>
          </cell>
        </row>
      </sheetData>
      <sheetData sheetId="13136">
        <row r="34">
          <cell r="A34" t="str">
            <v>Investments Govt Securities</v>
          </cell>
        </row>
      </sheetData>
      <sheetData sheetId="13137">
        <row r="34">
          <cell r="A34" t="str">
            <v>Investments Govt Securities</v>
          </cell>
        </row>
      </sheetData>
      <sheetData sheetId="13138">
        <row r="34">
          <cell r="A34" t="str">
            <v>Investments Govt Securities</v>
          </cell>
        </row>
      </sheetData>
      <sheetData sheetId="13139">
        <row r="34">
          <cell r="A34" t="str">
            <v>Investments Govt Securities</v>
          </cell>
        </row>
      </sheetData>
      <sheetData sheetId="13140">
        <row r="34">
          <cell r="A34" t="str">
            <v>Investments Govt Securities</v>
          </cell>
        </row>
      </sheetData>
      <sheetData sheetId="13141">
        <row r="34">
          <cell r="A34" t="str">
            <v>Investments Govt Securities</v>
          </cell>
        </row>
      </sheetData>
      <sheetData sheetId="13142">
        <row r="34">
          <cell r="A34" t="str">
            <v>Investments Govt Securities</v>
          </cell>
        </row>
      </sheetData>
      <sheetData sheetId="13143">
        <row r="34">
          <cell r="A34" t="str">
            <v>Investments Govt Securities</v>
          </cell>
        </row>
      </sheetData>
      <sheetData sheetId="13144">
        <row r="34">
          <cell r="A34" t="str">
            <v>Investments Govt Securities</v>
          </cell>
        </row>
      </sheetData>
      <sheetData sheetId="13145">
        <row r="34">
          <cell r="A34" t="str">
            <v>Investments Govt Securities</v>
          </cell>
        </row>
      </sheetData>
      <sheetData sheetId="13146">
        <row r="34">
          <cell r="A34" t="str">
            <v>Investments Govt Securities</v>
          </cell>
        </row>
      </sheetData>
      <sheetData sheetId="13147">
        <row r="34">
          <cell r="A34" t="str">
            <v>Investments Govt Securities</v>
          </cell>
        </row>
      </sheetData>
      <sheetData sheetId="13148">
        <row r="34">
          <cell r="A34" t="str">
            <v>Investments Govt Securities</v>
          </cell>
        </row>
      </sheetData>
      <sheetData sheetId="13149">
        <row r="34">
          <cell r="A34" t="str">
            <v>Investments Govt Securities</v>
          </cell>
        </row>
      </sheetData>
      <sheetData sheetId="13150">
        <row r="34">
          <cell r="A34" t="str">
            <v>Investments Govt Securities</v>
          </cell>
        </row>
      </sheetData>
      <sheetData sheetId="13151">
        <row r="34">
          <cell r="A34" t="str">
            <v>Investments Govt Securities</v>
          </cell>
        </row>
      </sheetData>
      <sheetData sheetId="13152">
        <row r="34">
          <cell r="A34" t="str">
            <v>Investments Govt Securities</v>
          </cell>
        </row>
      </sheetData>
      <sheetData sheetId="13153">
        <row r="34">
          <cell r="A34" t="str">
            <v>Investments Govt Securities</v>
          </cell>
        </row>
      </sheetData>
      <sheetData sheetId="13154">
        <row r="34">
          <cell r="A34" t="str">
            <v>Investments Govt Securities</v>
          </cell>
        </row>
      </sheetData>
      <sheetData sheetId="13155">
        <row r="34">
          <cell r="A34" t="str">
            <v>Investments Govt Securities</v>
          </cell>
        </row>
      </sheetData>
      <sheetData sheetId="13156">
        <row r="34">
          <cell r="A34" t="str">
            <v>Investments Govt Securities</v>
          </cell>
        </row>
      </sheetData>
      <sheetData sheetId="13157">
        <row r="34">
          <cell r="A34" t="str">
            <v>Investments Govt Securities</v>
          </cell>
        </row>
      </sheetData>
      <sheetData sheetId="13158">
        <row r="34">
          <cell r="A34" t="str">
            <v>Investments Govt Securities</v>
          </cell>
        </row>
      </sheetData>
      <sheetData sheetId="13159">
        <row r="34">
          <cell r="A34" t="str">
            <v>Investments Govt Securities</v>
          </cell>
        </row>
      </sheetData>
      <sheetData sheetId="13160">
        <row r="34">
          <cell r="A34" t="str">
            <v>Investments Govt Securities</v>
          </cell>
        </row>
      </sheetData>
      <sheetData sheetId="13161">
        <row r="34">
          <cell r="A34" t="str">
            <v>Investments Govt Securities</v>
          </cell>
        </row>
      </sheetData>
      <sheetData sheetId="13162">
        <row r="34">
          <cell r="A34" t="str">
            <v>Investments Govt Securities</v>
          </cell>
        </row>
      </sheetData>
      <sheetData sheetId="13163">
        <row r="34">
          <cell r="A34" t="str">
            <v>Investments Govt Securities</v>
          </cell>
        </row>
      </sheetData>
      <sheetData sheetId="13164">
        <row r="34">
          <cell r="A34" t="str">
            <v>Investments Govt Securities</v>
          </cell>
        </row>
      </sheetData>
      <sheetData sheetId="13165">
        <row r="34">
          <cell r="A34" t="str">
            <v>Investments Govt Securities</v>
          </cell>
        </row>
      </sheetData>
      <sheetData sheetId="13166">
        <row r="34">
          <cell r="A34" t="str">
            <v>Investments Govt Securities</v>
          </cell>
        </row>
      </sheetData>
      <sheetData sheetId="13167">
        <row r="34">
          <cell r="A34" t="str">
            <v>Investments Govt Securities</v>
          </cell>
        </row>
      </sheetData>
      <sheetData sheetId="13168">
        <row r="34">
          <cell r="A34" t="str">
            <v>Investments Govt Securities</v>
          </cell>
        </row>
      </sheetData>
      <sheetData sheetId="13169">
        <row r="34">
          <cell r="A34" t="str">
            <v>Investments Govt Securities</v>
          </cell>
        </row>
      </sheetData>
      <sheetData sheetId="13170">
        <row r="34">
          <cell r="A34" t="str">
            <v>Investments Govt Securities</v>
          </cell>
        </row>
      </sheetData>
      <sheetData sheetId="13171">
        <row r="34">
          <cell r="A34" t="str">
            <v>Investments Govt Securities</v>
          </cell>
        </row>
      </sheetData>
      <sheetData sheetId="13172">
        <row r="34">
          <cell r="A34" t="str">
            <v>Investments Govt Securities</v>
          </cell>
        </row>
      </sheetData>
      <sheetData sheetId="13173">
        <row r="34">
          <cell r="A34" t="str">
            <v>Investments Govt Securities</v>
          </cell>
        </row>
      </sheetData>
      <sheetData sheetId="13174">
        <row r="34">
          <cell r="A34" t="str">
            <v>Investments Govt Securities</v>
          </cell>
        </row>
      </sheetData>
      <sheetData sheetId="13175">
        <row r="34">
          <cell r="A34" t="str">
            <v>Investments Govt Securities</v>
          </cell>
        </row>
      </sheetData>
      <sheetData sheetId="13176">
        <row r="34">
          <cell r="A34" t="str">
            <v>Investments Govt Securities</v>
          </cell>
        </row>
      </sheetData>
      <sheetData sheetId="13177">
        <row r="34">
          <cell r="A34" t="str">
            <v>Investments Govt Securities</v>
          </cell>
        </row>
      </sheetData>
      <sheetData sheetId="13178">
        <row r="34">
          <cell r="A34" t="str">
            <v>Investments Govt Securities</v>
          </cell>
        </row>
      </sheetData>
      <sheetData sheetId="13179">
        <row r="34">
          <cell r="A34" t="str">
            <v>Investments Govt Securities</v>
          </cell>
        </row>
      </sheetData>
      <sheetData sheetId="13180">
        <row r="34">
          <cell r="A34" t="str">
            <v>Investments Govt Securities</v>
          </cell>
        </row>
      </sheetData>
      <sheetData sheetId="13181">
        <row r="34">
          <cell r="A34" t="str">
            <v>Investments Govt Securities</v>
          </cell>
        </row>
      </sheetData>
      <sheetData sheetId="13182">
        <row r="34">
          <cell r="A34" t="str">
            <v>Investments Govt Securities</v>
          </cell>
        </row>
      </sheetData>
      <sheetData sheetId="13183">
        <row r="34">
          <cell r="A34" t="str">
            <v>Investments Govt Securities</v>
          </cell>
        </row>
      </sheetData>
      <sheetData sheetId="13184">
        <row r="34">
          <cell r="A34" t="str">
            <v>Investments Govt Securities</v>
          </cell>
        </row>
      </sheetData>
      <sheetData sheetId="13185">
        <row r="34">
          <cell r="A34" t="str">
            <v>Investments Govt Securities</v>
          </cell>
        </row>
      </sheetData>
      <sheetData sheetId="13186">
        <row r="34">
          <cell r="A34" t="str">
            <v>Investments Govt Securities</v>
          </cell>
        </row>
      </sheetData>
      <sheetData sheetId="13187">
        <row r="34">
          <cell r="A34" t="str">
            <v>Investments Govt Securities</v>
          </cell>
        </row>
      </sheetData>
      <sheetData sheetId="13188">
        <row r="34">
          <cell r="A34" t="str">
            <v>Investments Govt Securities</v>
          </cell>
        </row>
      </sheetData>
      <sheetData sheetId="13189">
        <row r="34">
          <cell r="A34" t="str">
            <v>Investments Govt Securities</v>
          </cell>
        </row>
      </sheetData>
      <sheetData sheetId="13190">
        <row r="34">
          <cell r="A34" t="str">
            <v>Investments Govt Securities</v>
          </cell>
        </row>
      </sheetData>
      <sheetData sheetId="13191">
        <row r="34">
          <cell r="A34" t="str">
            <v>Investments Govt Securities</v>
          </cell>
        </row>
      </sheetData>
      <sheetData sheetId="13192">
        <row r="34">
          <cell r="A34" t="str">
            <v>Investments Govt Securities</v>
          </cell>
        </row>
      </sheetData>
      <sheetData sheetId="13193">
        <row r="34">
          <cell r="A34" t="str">
            <v>Investments Govt Securities</v>
          </cell>
        </row>
      </sheetData>
      <sheetData sheetId="13194">
        <row r="34">
          <cell r="A34" t="str">
            <v>Investments Govt Securities</v>
          </cell>
        </row>
      </sheetData>
      <sheetData sheetId="13195">
        <row r="34">
          <cell r="A34" t="str">
            <v>Investments Govt Securities</v>
          </cell>
        </row>
      </sheetData>
      <sheetData sheetId="13196">
        <row r="34">
          <cell r="A34" t="str">
            <v>Investments Govt Securities</v>
          </cell>
        </row>
      </sheetData>
      <sheetData sheetId="13197">
        <row r="34">
          <cell r="A34" t="str">
            <v>Investments Govt Securities</v>
          </cell>
        </row>
      </sheetData>
      <sheetData sheetId="13198">
        <row r="34">
          <cell r="A34" t="str">
            <v>Investments Govt Securities</v>
          </cell>
        </row>
      </sheetData>
      <sheetData sheetId="13199">
        <row r="34">
          <cell r="A34" t="str">
            <v>Investments Govt Securities</v>
          </cell>
        </row>
      </sheetData>
      <sheetData sheetId="13200">
        <row r="34">
          <cell r="A34" t="str">
            <v>Investments Govt Securities</v>
          </cell>
        </row>
      </sheetData>
      <sheetData sheetId="13201">
        <row r="34">
          <cell r="A34" t="str">
            <v>Investments Govt Securities</v>
          </cell>
        </row>
      </sheetData>
      <sheetData sheetId="13202">
        <row r="34">
          <cell r="A34" t="str">
            <v>Investments Govt Securities</v>
          </cell>
        </row>
      </sheetData>
      <sheetData sheetId="13203">
        <row r="34">
          <cell r="A34" t="str">
            <v>Investments Govt Securities</v>
          </cell>
        </row>
      </sheetData>
      <sheetData sheetId="13204">
        <row r="34">
          <cell r="A34" t="str">
            <v>Investments Govt Securities</v>
          </cell>
        </row>
      </sheetData>
      <sheetData sheetId="13205">
        <row r="34">
          <cell r="A34" t="str">
            <v>Investments Govt Securities</v>
          </cell>
        </row>
      </sheetData>
      <sheetData sheetId="13206">
        <row r="34">
          <cell r="A34" t="str">
            <v>Investments Govt Securities</v>
          </cell>
        </row>
      </sheetData>
      <sheetData sheetId="13207">
        <row r="34">
          <cell r="A34" t="str">
            <v>Investments Govt Securities</v>
          </cell>
        </row>
      </sheetData>
      <sheetData sheetId="13208">
        <row r="34">
          <cell r="A34" t="str">
            <v>Investments Govt Securities</v>
          </cell>
        </row>
      </sheetData>
      <sheetData sheetId="13209">
        <row r="34">
          <cell r="A34" t="str">
            <v>Investments Govt Securities</v>
          </cell>
        </row>
      </sheetData>
      <sheetData sheetId="13210">
        <row r="34">
          <cell r="A34" t="str">
            <v>Investments Govt Securities</v>
          </cell>
        </row>
      </sheetData>
      <sheetData sheetId="13211">
        <row r="34">
          <cell r="A34" t="str">
            <v>Investments Govt Securities</v>
          </cell>
        </row>
      </sheetData>
      <sheetData sheetId="13212">
        <row r="34">
          <cell r="A34" t="str">
            <v>Investments Govt Securities</v>
          </cell>
        </row>
      </sheetData>
      <sheetData sheetId="13213">
        <row r="34">
          <cell r="A34" t="str">
            <v>Investments Govt Securities</v>
          </cell>
        </row>
      </sheetData>
      <sheetData sheetId="13214">
        <row r="34">
          <cell r="A34" t="str">
            <v>Investments Govt Securities</v>
          </cell>
        </row>
      </sheetData>
      <sheetData sheetId="13215">
        <row r="34">
          <cell r="A34" t="str">
            <v>Investments Govt Securities</v>
          </cell>
        </row>
      </sheetData>
      <sheetData sheetId="13216">
        <row r="34">
          <cell r="A34" t="str">
            <v>Investments Govt Securities</v>
          </cell>
        </row>
      </sheetData>
      <sheetData sheetId="13217">
        <row r="34">
          <cell r="A34" t="str">
            <v>Investments Govt Securities</v>
          </cell>
        </row>
      </sheetData>
      <sheetData sheetId="13218">
        <row r="34">
          <cell r="A34" t="str">
            <v>Investments Govt Securities</v>
          </cell>
        </row>
      </sheetData>
      <sheetData sheetId="13219">
        <row r="34">
          <cell r="A34" t="str">
            <v>Investments Govt Securities</v>
          </cell>
        </row>
      </sheetData>
      <sheetData sheetId="13220">
        <row r="34">
          <cell r="A34" t="str">
            <v>Investments Govt Securities</v>
          </cell>
        </row>
      </sheetData>
      <sheetData sheetId="13221">
        <row r="34">
          <cell r="A34" t="str">
            <v>Investments Govt Securities</v>
          </cell>
        </row>
      </sheetData>
      <sheetData sheetId="13222">
        <row r="34">
          <cell r="A34" t="str">
            <v>Investments Govt Securities</v>
          </cell>
        </row>
      </sheetData>
      <sheetData sheetId="13223">
        <row r="34">
          <cell r="A34" t="str">
            <v>Investments Govt Securities</v>
          </cell>
        </row>
      </sheetData>
      <sheetData sheetId="13224">
        <row r="34">
          <cell r="A34" t="str">
            <v>Investments Govt Securities</v>
          </cell>
        </row>
      </sheetData>
      <sheetData sheetId="13225">
        <row r="34">
          <cell r="A34" t="str">
            <v>Investments Govt Securities</v>
          </cell>
        </row>
      </sheetData>
      <sheetData sheetId="13226">
        <row r="34">
          <cell r="A34" t="str">
            <v>Investments Govt Securities</v>
          </cell>
        </row>
      </sheetData>
      <sheetData sheetId="13227">
        <row r="34">
          <cell r="A34" t="str">
            <v>Investments Govt Securities</v>
          </cell>
        </row>
      </sheetData>
      <sheetData sheetId="13228">
        <row r="34">
          <cell r="A34" t="str">
            <v>Investments Govt Securities</v>
          </cell>
        </row>
      </sheetData>
      <sheetData sheetId="13229">
        <row r="34">
          <cell r="A34" t="str">
            <v>Investments Govt Securities</v>
          </cell>
        </row>
      </sheetData>
      <sheetData sheetId="13230">
        <row r="34">
          <cell r="A34" t="str">
            <v>Investments Govt Securities</v>
          </cell>
        </row>
      </sheetData>
      <sheetData sheetId="13231">
        <row r="34">
          <cell r="A34" t="str">
            <v>Investments Govt Securities</v>
          </cell>
        </row>
      </sheetData>
      <sheetData sheetId="13232">
        <row r="34">
          <cell r="A34" t="str">
            <v>Investments Govt Securities</v>
          </cell>
        </row>
      </sheetData>
      <sheetData sheetId="13233">
        <row r="34">
          <cell r="A34" t="str">
            <v>Investments Govt Securities</v>
          </cell>
        </row>
      </sheetData>
      <sheetData sheetId="13234">
        <row r="34">
          <cell r="A34" t="str">
            <v>Investments Govt Securities</v>
          </cell>
        </row>
      </sheetData>
      <sheetData sheetId="13235">
        <row r="34">
          <cell r="A34" t="str">
            <v>Investments Govt Securities</v>
          </cell>
        </row>
      </sheetData>
      <sheetData sheetId="13236">
        <row r="34">
          <cell r="A34" t="str">
            <v>Investments Govt Securities</v>
          </cell>
        </row>
      </sheetData>
      <sheetData sheetId="13237">
        <row r="34">
          <cell r="A34" t="str">
            <v>Investments Govt Securities</v>
          </cell>
        </row>
      </sheetData>
      <sheetData sheetId="13238">
        <row r="34">
          <cell r="A34" t="str">
            <v>Investments Govt Securities</v>
          </cell>
        </row>
      </sheetData>
      <sheetData sheetId="13239">
        <row r="34">
          <cell r="A34" t="str">
            <v>Investments Govt Securities</v>
          </cell>
        </row>
      </sheetData>
      <sheetData sheetId="13240">
        <row r="34">
          <cell r="A34" t="str">
            <v>Investments Govt Securities</v>
          </cell>
        </row>
      </sheetData>
      <sheetData sheetId="13241">
        <row r="34">
          <cell r="A34" t="str">
            <v>Investments Govt Securities</v>
          </cell>
        </row>
      </sheetData>
      <sheetData sheetId="13242">
        <row r="34">
          <cell r="A34" t="str">
            <v>Investments Govt Securities</v>
          </cell>
        </row>
      </sheetData>
      <sheetData sheetId="13243">
        <row r="34">
          <cell r="A34" t="str">
            <v>Investments Govt Securities</v>
          </cell>
        </row>
      </sheetData>
      <sheetData sheetId="13244">
        <row r="34">
          <cell r="A34" t="str">
            <v>Investments Govt Securities</v>
          </cell>
        </row>
      </sheetData>
      <sheetData sheetId="13245">
        <row r="34">
          <cell r="A34" t="str">
            <v>Investments Govt Securities</v>
          </cell>
        </row>
      </sheetData>
      <sheetData sheetId="13246">
        <row r="34">
          <cell r="A34" t="str">
            <v>Investments Govt Securities</v>
          </cell>
        </row>
      </sheetData>
      <sheetData sheetId="13247">
        <row r="34">
          <cell r="A34" t="str">
            <v>Investments Govt Securities</v>
          </cell>
        </row>
      </sheetData>
      <sheetData sheetId="13248">
        <row r="34">
          <cell r="A34" t="str">
            <v>Investments Govt Securities</v>
          </cell>
        </row>
      </sheetData>
      <sheetData sheetId="13249">
        <row r="34">
          <cell r="A34" t="str">
            <v>Investments Govt Securities</v>
          </cell>
        </row>
      </sheetData>
      <sheetData sheetId="13250">
        <row r="34">
          <cell r="A34" t="str">
            <v>Investments Govt Securities</v>
          </cell>
        </row>
      </sheetData>
      <sheetData sheetId="13251">
        <row r="34">
          <cell r="A34" t="str">
            <v>Investments Govt Securities</v>
          </cell>
        </row>
      </sheetData>
      <sheetData sheetId="13252">
        <row r="34">
          <cell r="A34" t="str">
            <v>Investments Govt Securities</v>
          </cell>
        </row>
      </sheetData>
      <sheetData sheetId="13253">
        <row r="34">
          <cell r="A34" t="str">
            <v>Investments Govt Securities</v>
          </cell>
        </row>
      </sheetData>
      <sheetData sheetId="13254">
        <row r="34">
          <cell r="A34" t="str">
            <v>Investments Govt Securities</v>
          </cell>
        </row>
      </sheetData>
      <sheetData sheetId="13255">
        <row r="34">
          <cell r="A34" t="str">
            <v>Investments Govt Securities</v>
          </cell>
        </row>
      </sheetData>
      <sheetData sheetId="13256">
        <row r="34">
          <cell r="A34" t="str">
            <v>Investments Govt Securities</v>
          </cell>
        </row>
      </sheetData>
      <sheetData sheetId="13257">
        <row r="34">
          <cell r="A34" t="str">
            <v>Investments Govt Securities</v>
          </cell>
        </row>
      </sheetData>
      <sheetData sheetId="13258">
        <row r="34">
          <cell r="A34" t="str">
            <v>Investments Govt Securities</v>
          </cell>
        </row>
      </sheetData>
      <sheetData sheetId="13259">
        <row r="34">
          <cell r="A34" t="str">
            <v>Investments Govt Securities</v>
          </cell>
        </row>
      </sheetData>
      <sheetData sheetId="13260">
        <row r="34">
          <cell r="A34" t="str">
            <v>Investments Govt Securities</v>
          </cell>
        </row>
      </sheetData>
      <sheetData sheetId="13261">
        <row r="34">
          <cell r="A34" t="str">
            <v>Investments Govt Securities</v>
          </cell>
        </row>
      </sheetData>
      <sheetData sheetId="13262">
        <row r="34">
          <cell r="A34" t="str">
            <v>Investments Govt Securities</v>
          </cell>
        </row>
      </sheetData>
      <sheetData sheetId="13263">
        <row r="34">
          <cell r="A34" t="str">
            <v>Investments Govt Securities</v>
          </cell>
        </row>
      </sheetData>
      <sheetData sheetId="13264">
        <row r="34">
          <cell r="A34" t="str">
            <v>Investments Govt Securities</v>
          </cell>
        </row>
      </sheetData>
      <sheetData sheetId="13265">
        <row r="34">
          <cell r="A34" t="str">
            <v>Investments Govt Securities</v>
          </cell>
        </row>
      </sheetData>
      <sheetData sheetId="13266">
        <row r="34">
          <cell r="A34" t="str">
            <v>Investments Govt Securities</v>
          </cell>
        </row>
      </sheetData>
      <sheetData sheetId="13267">
        <row r="34">
          <cell r="A34" t="str">
            <v>Investments Govt Securities</v>
          </cell>
        </row>
      </sheetData>
      <sheetData sheetId="13268">
        <row r="34">
          <cell r="A34" t="str">
            <v>Investments Govt Securities</v>
          </cell>
        </row>
      </sheetData>
      <sheetData sheetId="13269">
        <row r="34">
          <cell r="A34" t="str">
            <v>Investments Govt Securities</v>
          </cell>
        </row>
      </sheetData>
      <sheetData sheetId="13270">
        <row r="34">
          <cell r="A34" t="str">
            <v>Investments Govt Securities</v>
          </cell>
        </row>
      </sheetData>
      <sheetData sheetId="13271">
        <row r="34">
          <cell r="A34" t="str">
            <v>Investments Govt Securities</v>
          </cell>
        </row>
      </sheetData>
      <sheetData sheetId="13272">
        <row r="34">
          <cell r="A34" t="str">
            <v>Investments Govt Securities</v>
          </cell>
        </row>
      </sheetData>
      <sheetData sheetId="13273">
        <row r="34">
          <cell r="A34" t="str">
            <v>Investments Govt Securities</v>
          </cell>
        </row>
      </sheetData>
      <sheetData sheetId="13274">
        <row r="34">
          <cell r="A34" t="str">
            <v>Investments Govt Securities</v>
          </cell>
        </row>
      </sheetData>
      <sheetData sheetId="13275">
        <row r="34">
          <cell r="A34" t="str">
            <v>Investments Govt Securities</v>
          </cell>
        </row>
      </sheetData>
      <sheetData sheetId="13276">
        <row r="34">
          <cell r="A34" t="str">
            <v>Investments Govt Securities</v>
          </cell>
        </row>
      </sheetData>
      <sheetData sheetId="13277">
        <row r="34">
          <cell r="A34" t="str">
            <v>Investments Govt Securities</v>
          </cell>
        </row>
      </sheetData>
      <sheetData sheetId="13278">
        <row r="34">
          <cell r="A34" t="str">
            <v>Investments Govt Securities</v>
          </cell>
        </row>
      </sheetData>
      <sheetData sheetId="13279">
        <row r="34">
          <cell r="A34" t="str">
            <v>Investments Govt Securities</v>
          </cell>
        </row>
      </sheetData>
      <sheetData sheetId="13280">
        <row r="34">
          <cell r="A34" t="str">
            <v>Investments Govt Securities</v>
          </cell>
        </row>
      </sheetData>
      <sheetData sheetId="13281">
        <row r="34">
          <cell r="A34" t="str">
            <v>Investments Govt Securities</v>
          </cell>
        </row>
      </sheetData>
      <sheetData sheetId="13282">
        <row r="34">
          <cell r="A34" t="str">
            <v>Investments Govt Securities</v>
          </cell>
        </row>
      </sheetData>
      <sheetData sheetId="13283">
        <row r="34">
          <cell r="A34" t="str">
            <v>Investments Govt Securities</v>
          </cell>
        </row>
      </sheetData>
      <sheetData sheetId="13284">
        <row r="34">
          <cell r="A34" t="str">
            <v>Investments Govt Securities</v>
          </cell>
        </row>
      </sheetData>
      <sheetData sheetId="13285">
        <row r="34">
          <cell r="A34" t="str">
            <v>Investments Govt Securities</v>
          </cell>
        </row>
      </sheetData>
      <sheetData sheetId="13286">
        <row r="34">
          <cell r="A34" t="str">
            <v>Investments Govt Securities</v>
          </cell>
        </row>
      </sheetData>
      <sheetData sheetId="13287">
        <row r="34">
          <cell r="A34" t="str">
            <v>Investments Govt Securities</v>
          </cell>
        </row>
      </sheetData>
      <sheetData sheetId="13288">
        <row r="34">
          <cell r="A34" t="str">
            <v>Investments Govt Securities</v>
          </cell>
        </row>
      </sheetData>
      <sheetData sheetId="13289">
        <row r="34">
          <cell r="A34" t="str">
            <v>Investments Govt Securities</v>
          </cell>
        </row>
      </sheetData>
      <sheetData sheetId="13290">
        <row r="34">
          <cell r="A34" t="str">
            <v>Investments Govt Securities</v>
          </cell>
        </row>
      </sheetData>
      <sheetData sheetId="13291">
        <row r="34">
          <cell r="A34" t="str">
            <v>Investments Govt Securities</v>
          </cell>
        </row>
      </sheetData>
      <sheetData sheetId="13292">
        <row r="34">
          <cell r="A34" t="str">
            <v>Investments Govt Securities</v>
          </cell>
        </row>
      </sheetData>
      <sheetData sheetId="13293">
        <row r="34">
          <cell r="A34" t="str">
            <v>Investments Govt Securities</v>
          </cell>
        </row>
      </sheetData>
      <sheetData sheetId="13294">
        <row r="34">
          <cell r="A34" t="str">
            <v>Investments Govt Securities</v>
          </cell>
        </row>
      </sheetData>
      <sheetData sheetId="13295">
        <row r="34">
          <cell r="A34" t="str">
            <v>Investments Govt Securities</v>
          </cell>
        </row>
      </sheetData>
      <sheetData sheetId="13296">
        <row r="34">
          <cell r="A34" t="str">
            <v>Investments Govt Securities</v>
          </cell>
        </row>
      </sheetData>
      <sheetData sheetId="13297">
        <row r="34">
          <cell r="A34" t="str">
            <v>Investments Govt Securities</v>
          </cell>
        </row>
      </sheetData>
      <sheetData sheetId="13298">
        <row r="34">
          <cell r="A34" t="str">
            <v>Investments Govt Securities</v>
          </cell>
        </row>
      </sheetData>
      <sheetData sheetId="13299">
        <row r="34">
          <cell r="A34" t="str">
            <v>Investments Govt Securities</v>
          </cell>
        </row>
      </sheetData>
      <sheetData sheetId="13300">
        <row r="34">
          <cell r="A34" t="str">
            <v>Investments Govt Securities</v>
          </cell>
        </row>
      </sheetData>
      <sheetData sheetId="13301">
        <row r="34">
          <cell r="A34" t="str">
            <v>Investments Govt Securities</v>
          </cell>
        </row>
      </sheetData>
      <sheetData sheetId="13302">
        <row r="34">
          <cell r="A34" t="str">
            <v>Investments Govt Securities</v>
          </cell>
        </row>
      </sheetData>
      <sheetData sheetId="13303">
        <row r="34">
          <cell r="A34" t="str">
            <v>Investments Govt Securities</v>
          </cell>
        </row>
      </sheetData>
      <sheetData sheetId="13304">
        <row r="34">
          <cell r="A34" t="str">
            <v>Investments Govt Securities</v>
          </cell>
        </row>
      </sheetData>
      <sheetData sheetId="13305">
        <row r="34">
          <cell r="A34" t="str">
            <v>Investments Govt Securities</v>
          </cell>
        </row>
      </sheetData>
      <sheetData sheetId="13306">
        <row r="34">
          <cell r="A34" t="str">
            <v>Investments Govt Securities</v>
          </cell>
        </row>
      </sheetData>
      <sheetData sheetId="13307">
        <row r="34">
          <cell r="A34" t="str">
            <v>Investments Govt Securities</v>
          </cell>
        </row>
      </sheetData>
      <sheetData sheetId="13308">
        <row r="34">
          <cell r="A34" t="str">
            <v>Investments Govt Securities</v>
          </cell>
        </row>
      </sheetData>
      <sheetData sheetId="13309">
        <row r="34">
          <cell r="A34" t="str">
            <v>Investments Govt Securities</v>
          </cell>
        </row>
      </sheetData>
      <sheetData sheetId="13310">
        <row r="34">
          <cell r="A34" t="str">
            <v>Investments Govt Securities</v>
          </cell>
        </row>
      </sheetData>
      <sheetData sheetId="13311">
        <row r="34">
          <cell r="A34" t="str">
            <v>Investments Govt Securities</v>
          </cell>
        </row>
      </sheetData>
      <sheetData sheetId="13312">
        <row r="34">
          <cell r="A34" t="str">
            <v>Investments Govt Securities</v>
          </cell>
        </row>
      </sheetData>
      <sheetData sheetId="13313">
        <row r="34">
          <cell r="A34" t="str">
            <v>Investments Govt Securities</v>
          </cell>
        </row>
      </sheetData>
      <sheetData sheetId="13314">
        <row r="34">
          <cell r="A34" t="str">
            <v>Investments Govt Securities</v>
          </cell>
        </row>
      </sheetData>
      <sheetData sheetId="13315">
        <row r="34">
          <cell r="A34" t="str">
            <v>Investments Govt Securities</v>
          </cell>
        </row>
      </sheetData>
      <sheetData sheetId="13316">
        <row r="34">
          <cell r="A34" t="str">
            <v>Investments Govt Securities</v>
          </cell>
        </row>
      </sheetData>
      <sheetData sheetId="13317">
        <row r="34">
          <cell r="A34" t="str">
            <v>Investments Govt Securities</v>
          </cell>
        </row>
      </sheetData>
      <sheetData sheetId="13318">
        <row r="34">
          <cell r="A34" t="str">
            <v>Investments Govt Securities</v>
          </cell>
        </row>
      </sheetData>
      <sheetData sheetId="13319">
        <row r="34">
          <cell r="A34" t="str">
            <v>Investments Govt Securities</v>
          </cell>
        </row>
      </sheetData>
      <sheetData sheetId="13320">
        <row r="34">
          <cell r="A34" t="str">
            <v>Investments Govt Securities</v>
          </cell>
        </row>
      </sheetData>
      <sheetData sheetId="13321">
        <row r="34">
          <cell r="A34" t="str">
            <v>Investments Govt Securities</v>
          </cell>
        </row>
      </sheetData>
      <sheetData sheetId="13322">
        <row r="34">
          <cell r="A34" t="str">
            <v>Investments Govt Securities</v>
          </cell>
        </row>
      </sheetData>
      <sheetData sheetId="13323">
        <row r="34">
          <cell r="A34" t="str">
            <v>Investments Govt Securities</v>
          </cell>
        </row>
      </sheetData>
      <sheetData sheetId="13324">
        <row r="34">
          <cell r="A34" t="str">
            <v>Investments Govt Securities</v>
          </cell>
        </row>
      </sheetData>
      <sheetData sheetId="13325">
        <row r="34">
          <cell r="A34" t="str">
            <v>Investments Govt Securities</v>
          </cell>
        </row>
      </sheetData>
      <sheetData sheetId="13326">
        <row r="34">
          <cell r="A34" t="str">
            <v>Investments Govt Securities</v>
          </cell>
        </row>
      </sheetData>
      <sheetData sheetId="13327">
        <row r="34">
          <cell r="A34" t="str">
            <v>Investments Govt Securities</v>
          </cell>
        </row>
      </sheetData>
      <sheetData sheetId="13328">
        <row r="34">
          <cell r="A34" t="str">
            <v>Investments Govt Securities</v>
          </cell>
        </row>
      </sheetData>
      <sheetData sheetId="13329">
        <row r="34">
          <cell r="A34" t="str">
            <v>Investments Govt Securities</v>
          </cell>
        </row>
      </sheetData>
      <sheetData sheetId="13330">
        <row r="34">
          <cell r="A34" t="str">
            <v>Investments Govt Securities</v>
          </cell>
        </row>
      </sheetData>
      <sheetData sheetId="13331">
        <row r="34">
          <cell r="A34" t="str">
            <v>Investments Govt Securities</v>
          </cell>
        </row>
      </sheetData>
      <sheetData sheetId="13332">
        <row r="34">
          <cell r="A34" t="str">
            <v>Investments Govt Securities</v>
          </cell>
        </row>
      </sheetData>
      <sheetData sheetId="13333">
        <row r="34">
          <cell r="A34" t="str">
            <v>Investments Govt Securities</v>
          </cell>
        </row>
      </sheetData>
      <sheetData sheetId="13334">
        <row r="34">
          <cell r="A34" t="str">
            <v>Investments Govt Securities</v>
          </cell>
        </row>
      </sheetData>
      <sheetData sheetId="13335">
        <row r="34">
          <cell r="A34" t="str">
            <v>Investments Govt Securities</v>
          </cell>
        </row>
      </sheetData>
      <sheetData sheetId="13336">
        <row r="34">
          <cell r="A34" t="str">
            <v>Investments Govt Securities</v>
          </cell>
        </row>
      </sheetData>
      <sheetData sheetId="13337">
        <row r="34">
          <cell r="A34" t="str">
            <v>Investments Govt Securities</v>
          </cell>
        </row>
      </sheetData>
      <sheetData sheetId="13338">
        <row r="34">
          <cell r="A34" t="str">
            <v>Investments Govt Securities</v>
          </cell>
        </row>
      </sheetData>
      <sheetData sheetId="13339">
        <row r="34">
          <cell r="A34" t="str">
            <v>Investments Govt Securities</v>
          </cell>
        </row>
      </sheetData>
      <sheetData sheetId="13340">
        <row r="34">
          <cell r="A34" t="str">
            <v>Investments Govt Securities</v>
          </cell>
        </row>
      </sheetData>
      <sheetData sheetId="13341">
        <row r="34">
          <cell r="A34" t="str">
            <v>Investments Govt Securities</v>
          </cell>
        </row>
      </sheetData>
      <sheetData sheetId="13342">
        <row r="34">
          <cell r="A34" t="str">
            <v>Investments Govt Securities</v>
          </cell>
        </row>
      </sheetData>
      <sheetData sheetId="13343">
        <row r="34">
          <cell r="A34" t="str">
            <v>Investments Govt Securities</v>
          </cell>
        </row>
      </sheetData>
      <sheetData sheetId="13344">
        <row r="34">
          <cell r="A34" t="str">
            <v>Investments Govt Securities</v>
          </cell>
        </row>
      </sheetData>
      <sheetData sheetId="13345">
        <row r="34">
          <cell r="A34" t="str">
            <v>Investments Govt Securities</v>
          </cell>
        </row>
      </sheetData>
      <sheetData sheetId="13346">
        <row r="34">
          <cell r="A34" t="str">
            <v>Investments Govt Securities</v>
          </cell>
        </row>
      </sheetData>
      <sheetData sheetId="13347">
        <row r="34">
          <cell r="A34" t="str">
            <v>Investments Govt Securities</v>
          </cell>
        </row>
      </sheetData>
      <sheetData sheetId="13348">
        <row r="34">
          <cell r="A34" t="str">
            <v>Investments Govt Securities</v>
          </cell>
        </row>
      </sheetData>
      <sheetData sheetId="13349">
        <row r="34">
          <cell r="A34" t="str">
            <v>Investments Govt Securities</v>
          </cell>
        </row>
      </sheetData>
      <sheetData sheetId="13350">
        <row r="34">
          <cell r="A34" t="str">
            <v>Investments Govt Securities</v>
          </cell>
        </row>
      </sheetData>
      <sheetData sheetId="13351">
        <row r="34">
          <cell r="A34" t="str">
            <v>Investments Govt Securities</v>
          </cell>
        </row>
      </sheetData>
      <sheetData sheetId="13352">
        <row r="34">
          <cell r="A34" t="str">
            <v>Investments Govt Securities</v>
          </cell>
        </row>
      </sheetData>
      <sheetData sheetId="13353">
        <row r="34">
          <cell r="A34" t="str">
            <v>Investments Govt Securities</v>
          </cell>
        </row>
      </sheetData>
      <sheetData sheetId="13354">
        <row r="34">
          <cell r="A34" t="str">
            <v>Investments Govt Securities</v>
          </cell>
        </row>
      </sheetData>
      <sheetData sheetId="13355">
        <row r="34">
          <cell r="A34" t="str">
            <v>Investments Govt Securities</v>
          </cell>
        </row>
      </sheetData>
      <sheetData sheetId="13356">
        <row r="34">
          <cell r="A34" t="str">
            <v>Investments Govt Securities</v>
          </cell>
        </row>
      </sheetData>
      <sheetData sheetId="13357">
        <row r="34">
          <cell r="A34" t="str">
            <v>Investments Govt Securities</v>
          </cell>
        </row>
      </sheetData>
      <sheetData sheetId="13358">
        <row r="34">
          <cell r="A34" t="str">
            <v>Investments Govt Securities</v>
          </cell>
        </row>
      </sheetData>
      <sheetData sheetId="13359">
        <row r="34">
          <cell r="A34" t="str">
            <v>Investments Govt Securities</v>
          </cell>
        </row>
      </sheetData>
      <sheetData sheetId="13360">
        <row r="34">
          <cell r="A34" t="str">
            <v>Investments Govt Securities</v>
          </cell>
        </row>
      </sheetData>
      <sheetData sheetId="13361">
        <row r="34">
          <cell r="A34" t="str">
            <v>Investments Govt Securities</v>
          </cell>
        </row>
      </sheetData>
      <sheetData sheetId="13362">
        <row r="34">
          <cell r="A34" t="str">
            <v>Investments Govt Securities</v>
          </cell>
        </row>
      </sheetData>
      <sheetData sheetId="13363">
        <row r="34">
          <cell r="A34" t="str">
            <v>Investments Govt Securities</v>
          </cell>
        </row>
      </sheetData>
      <sheetData sheetId="13364">
        <row r="34">
          <cell r="A34" t="str">
            <v>Investments Govt Securities</v>
          </cell>
        </row>
      </sheetData>
      <sheetData sheetId="13365">
        <row r="34">
          <cell r="A34" t="str">
            <v>Investments Govt Securities</v>
          </cell>
        </row>
      </sheetData>
      <sheetData sheetId="13366">
        <row r="34">
          <cell r="A34" t="str">
            <v>Investments Govt Securities</v>
          </cell>
        </row>
      </sheetData>
      <sheetData sheetId="13367">
        <row r="34">
          <cell r="A34" t="str">
            <v>Investments Govt Securities</v>
          </cell>
        </row>
      </sheetData>
      <sheetData sheetId="13368">
        <row r="34">
          <cell r="A34" t="str">
            <v>Investments Govt Securities</v>
          </cell>
        </row>
      </sheetData>
      <sheetData sheetId="13369">
        <row r="34">
          <cell r="A34" t="str">
            <v>Investments Govt Securities</v>
          </cell>
        </row>
      </sheetData>
      <sheetData sheetId="13370">
        <row r="34">
          <cell r="A34" t="str">
            <v>Investments Govt Securities</v>
          </cell>
        </row>
      </sheetData>
      <sheetData sheetId="13371">
        <row r="34">
          <cell r="A34" t="str">
            <v>Investments Govt Securities</v>
          </cell>
        </row>
      </sheetData>
      <sheetData sheetId="13372">
        <row r="34">
          <cell r="A34" t="str">
            <v>Investments Govt Securities</v>
          </cell>
        </row>
      </sheetData>
      <sheetData sheetId="13373">
        <row r="34">
          <cell r="A34" t="str">
            <v>Investments Govt Securities</v>
          </cell>
        </row>
      </sheetData>
      <sheetData sheetId="13374">
        <row r="34">
          <cell r="A34" t="str">
            <v>Investments Govt Securities</v>
          </cell>
        </row>
      </sheetData>
      <sheetData sheetId="13375">
        <row r="34">
          <cell r="A34" t="str">
            <v>Investments Govt Securities</v>
          </cell>
        </row>
      </sheetData>
      <sheetData sheetId="13376">
        <row r="34">
          <cell r="A34" t="str">
            <v>Investments Govt Securities</v>
          </cell>
        </row>
      </sheetData>
      <sheetData sheetId="13377">
        <row r="34">
          <cell r="A34" t="str">
            <v>Investments Govt Securities</v>
          </cell>
        </row>
      </sheetData>
      <sheetData sheetId="13378">
        <row r="34">
          <cell r="A34" t="str">
            <v>Investments Govt Securities</v>
          </cell>
        </row>
      </sheetData>
      <sheetData sheetId="13379">
        <row r="34">
          <cell r="A34" t="str">
            <v>Investments Govt Securities</v>
          </cell>
        </row>
      </sheetData>
      <sheetData sheetId="13380">
        <row r="34">
          <cell r="A34" t="str">
            <v>Investments Govt Securities</v>
          </cell>
        </row>
      </sheetData>
      <sheetData sheetId="13381">
        <row r="34">
          <cell r="A34" t="str">
            <v>Investments Govt Securities</v>
          </cell>
        </row>
      </sheetData>
      <sheetData sheetId="13382">
        <row r="34">
          <cell r="A34" t="str">
            <v>Investments Govt Securities</v>
          </cell>
        </row>
      </sheetData>
      <sheetData sheetId="13383">
        <row r="34">
          <cell r="A34" t="str">
            <v>Investments Govt Securities</v>
          </cell>
        </row>
      </sheetData>
      <sheetData sheetId="13384">
        <row r="34">
          <cell r="A34" t="str">
            <v>Investments Govt Securities</v>
          </cell>
        </row>
      </sheetData>
      <sheetData sheetId="13385">
        <row r="34">
          <cell r="A34" t="str">
            <v>Investments Govt Securities</v>
          </cell>
        </row>
      </sheetData>
      <sheetData sheetId="13386">
        <row r="34">
          <cell r="A34" t="str">
            <v>Investments Govt Securities</v>
          </cell>
        </row>
      </sheetData>
      <sheetData sheetId="13387">
        <row r="34">
          <cell r="A34" t="str">
            <v>Investments Govt Securities</v>
          </cell>
        </row>
      </sheetData>
      <sheetData sheetId="13388">
        <row r="34">
          <cell r="A34" t="str">
            <v>Investments Govt Securities</v>
          </cell>
        </row>
      </sheetData>
      <sheetData sheetId="13389">
        <row r="34">
          <cell r="A34" t="str">
            <v>Investments Govt Securities</v>
          </cell>
        </row>
      </sheetData>
      <sheetData sheetId="13390">
        <row r="34">
          <cell r="A34" t="str">
            <v>Investments Govt Securities</v>
          </cell>
        </row>
      </sheetData>
      <sheetData sheetId="13391">
        <row r="34">
          <cell r="A34" t="str">
            <v>Investments Govt Securities</v>
          </cell>
        </row>
      </sheetData>
      <sheetData sheetId="13392">
        <row r="34">
          <cell r="A34" t="str">
            <v>Investments Govt Securities</v>
          </cell>
        </row>
      </sheetData>
      <sheetData sheetId="13393">
        <row r="34">
          <cell r="A34" t="str">
            <v>Investments Govt Securities</v>
          </cell>
        </row>
      </sheetData>
      <sheetData sheetId="13394">
        <row r="34">
          <cell r="A34" t="str">
            <v>Investments Govt Securities</v>
          </cell>
        </row>
      </sheetData>
      <sheetData sheetId="13395">
        <row r="34">
          <cell r="A34" t="str">
            <v>Investments Govt Securities</v>
          </cell>
        </row>
      </sheetData>
      <sheetData sheetId="13396">
        <row r="34">
          <cell r="A34" t="str">
            <v>Investments Govt Securities</v>
          </cell>
        </row>
      </sheetData>
      <sheetData sheetId="13397">
        <row r="34">
          <cell r="A34" t="str">
            <v>Investments Govt Securities</v>
          </cell>
        </row>
      </sheetData>
      <sheetData sheetId="13398">
        <row r="34">
          <cell r="A34" t="str">
            <v>Investments Govt Securities</v>
          </cell>
        </row>
      </sheetData>
      <sheetData sheetId="13399">
        <row r="34">
          <cell r="A34" t="str">
            <v>Investments Govt Securities</v>
          </cell>
        </row>
      </sheetData>
      <sheetData sheetId="13400">
        <row r="34">
          <cell r="A34" t="str">
            <v>Investments Govt Securities</v>
          </cell>
        </row>
      </sheetData>
      <sheetData sheetId="13401">
        <row r="34">
          <cell r="A34" t="str">
            <v>Investments Govt Securities</v>
          </cell>
        </row>
      </sheetData>
      <sheetData sheetId="13402">
        <row r="34">
          <cell r="A34" t="str">
            <v>Investments Govt Securities</v>
          </cell>
        </row>
      </sheetData>
      <sheetData sheetId="13403">
        <row r="34">
          <cell r="A34" t="str">
            <v>Investments Govt Securities</v>
          </cell>
        </row>
      </sheetData>
      <sheetData sheetId="13404">
        <row r="34">
          <cell r="A34" t="str">
            <v>Investments Govt Securities</v>
          </cell>
        </row>
      </sheetData>
      <sheetData sheetId="13405">
        <row r="34">
          <cell r="A34" t="str">
            <v>Investments Govt Securities</v>
          </cell>
        </row>
      </sheetData>
      <sheetData sheetId="13406">
        <row r="34">
          <cell r="A34" t="str">
            <v>Investments Govt Securities</v>
          </cell>
        </row>
      </sheetData>
      <sheetData sheetId="13407">
        <row r="34">
          <cell r="A34" t="str">
            <v>Investments Govt Securities</v>
          </cell>
        </row>
      </sheetData>
      <sheetData sheetId="13408">
        <row r="34">
          <cell r="A34" t="str">
            <v>Investments Govt Securities</v>
          </cell>
        </row>
      </sheetData>
      <sheetData sheetId="13409">
        <row r="34">
          <cell r="A34" t="str">
            <v>Investments Govt Securities</v>
          </cell>
        </row>
      </sheetData>
      <sheetData sheetId="13410">
        <row r="34">
          <cell r="A34" t="str">
            <v>Investments Govt Securities</v>
          </cell>
        </row>
      </sheetData>
      <sheetData sheetId="13411">
        <row r="34">
          <cell r="A34" t="str">
            <v>Investments Govt Securities</v>
          </cell>
        </row>
      </sheetData>
      <sheetData sheetId="13412">
        <row r="34">
          <cell r="A34" t="str">
            <v>Investments Govt Securities</v>
          </cell>
        </row>
      </sheetData>
      <sheetData sheetId="13413">
        <row r="34">
          <cell r="A34" t="str">
            <v>Investments Govt Securities</v>
          </cell>
        </row>
      </sheetData>
      <sheetData sheetId="13414">
        <row r="34">
          <cell r="A34" t="str">
            <v>Investments Govt Securities</v>
          </cell>
        </row>
      </sheetData>
      <sheetData sheetId="13415">
        <row r="34">
          <cell r="A34" t="str">
            <v>Investments Govt Securities</v>
          </cell>
        </row>
      </sheetData>
      <sheetData sheetId="13416">
        <row r="34">
          <cell r="A34" t="str">
            <v>Investments Govt Securities</v>
          </cell>
        </row>
      </sheetData>
      <sheetData sheetId="13417">
        <row r="34">
          <cell r="A34" t="str">
            <v>Investments Govt Securities</v>
          </cell>
        </row>
      </sheetData>
      <sheetData sheetId="13418">
        <row r="34">
          <cell r="A34" t="str">
            <v>Investments Govt Securities</v>
          </cell>
        </row>
      </sheetData>
      <sheetData sheetId="13419">
        <row r="34">
          <cell r="A34" t="str">
            <v>Investments Govt Securities</v>
          </cell>
        </row>
      </sheetData>
      <sheetData sheetId="13420">
        <row r="34">
          <cell r="A34" t="str">
            <v>Investments Govt Securities</v>
          </cell>
        </row>
      </sheetData>
      <sheetData sheetId="13421">
        <row r="34">
          <cell r="A34" t="str">
            <v>Investments Govt Securities</v>
          </cell>
        </row>
      </sheetData>
      <sheetData sheetId="13422">
        <row r="34">
          <cell r="A34" t="str">
            <v>Investments Govt Securities</v>
          </cell>
        </row>
      </sheetData>
      <sheetData sheetId="13423">
        <row r="34">
          <cell r="A34" t="str">
            <v>Investments Govt Securities</v>
          </cell>
        </row>
      </sheetData>
      <sheetData sheetId="13424">
        <row r="34">
          <cell r="A34" t="str">
            <v>Investments Govt Securities</v>
          </cell>
        </row>
      </sheetData>
      <sheetData sheetId="13425">
        <row r="34">
          <cell r="A34" t="str">
            <v>Investments Govt Securities</v>
          </cell>
        </row>
      </sheetData>
      <sheetData sheetId="13426">
        <row r="34">
          <cell r="A34" t="str">
            <v>Investments Govt Securities</v>
          </cell>
        </row>
      </sheetData>
      <sheetData sheetId="13427">
        <row r="34">
          <cell r="A34" t="str">
            <v>Investments Govt Securities</v>
          </cell>
        </row>
      </sheetData>
      <sheetData sheetId="13428">
        <row r="34">
          <cell r="A34" t="str">
            <v>Investments Govt Securities</v>
          </cell>
        </row>
      </sheetData>
      <sheetData sheetId="13429">
        <row r="34">
          <cell r="A34" t="str">
            <v>Investments Govt Securities</v>
          </cell>
        </row>
      </sheetData>
      <sheetData sheetId="13430">
        <row r="34">
          <cell r="A34" t="str">
            <v>Investments Govt Securities</v>
          </cell>
        </row>
      </sheetData>
      <sheetData sheetId="13431">
        <row r="34">
          <cell r="A34" t="str">
            <v>Investments Govt Securities</v>
          </cell>
        </row>
      </sheetData>
      <sheetData sheetId="13432">
        <row r="34">
          <cell r="A34" t="str">
            <v>Investments Govt Securities</v>
          </cell>
        </row>
      </sheetData>
      <sheetData sheetId="13433">
        <row r="34">
          <cell r="A34" t="str">
            <v>Investments Govt Securities</v>
          </cell>
        </row>
      </sheetData>
      <sheetData sheetId="13434">
        <row r="34">
          <cell r="A34" t="str">
            <v>Investments Govt Securities</v>
          </cell>
        </row>
      </sheetData>
      <sheetData sheetId="13435">
        <row r="34">
          <cell r="A34" t="str">
            <v>Investments Govt Securities</v>
          </cell>
        </row>
      </sheetData>
      <sheetData sheetId="13436">
        <row r="34">
          <cell r="A34" t="str">
            <v>Investments Govt Securities</v>
          </cell>
        </row>
      </sheetData>
      <sheetData sheetId="13437">
        <row r="34">
          <cell r="A34" t="str">
            <v>Investments Govt Securities</v>
          </cell>
        </row>
      </sheetData>
      <sheetData sheetId="13438">
        <row r="34">
          <cell r="A34" t="str">
            <v>Investments Govt Securities</v>
          </cell>
        </row>
      </sheetData>
      <sheetData sheetId="13439">
        <row r="34">
          <cell r="A34" t="str">
            <v>Investments Govt Securities</v>
          </cell>
        </row>
      </sheetData>
      <sheetData sheetId="13440">
        <row r="34">
          <cell r="A34" t="str">
            <v>Investments Govt Securities</v>
          </cell>
        </row>
      </sheetData>
      <sheetData sheetId="13441">
        <row r="34">
          <cell r="A34" t="str">
            <v>Investments Govt Securities</v>
          </cell>
        </row>
      </sheetData>
      <sheetData sheetId="13442">
        <row r="34">
          <cell r="A34" t="str">
            <v>Investments Govt Securities</v>
          </cell>
        </row>
      </sheetData>
      <sheetData sheetId="13443">
        <row r="34">
          <cell r="A34" t="str">
            <v>Investments Govt Securities</v>
          </cell>
        </row>
      </sheetData>
      <sheetData sheetId="13444">
        <row r="34">
          <cell r="A34" t="str">
            <v>Investments Govt Securities</v>
          </cell>
        </row>
      </sheetData>
      <sheetData sheetId="13445">
        <row r="34">
          <cell r="A34" t="str">
            <v>Investments Govt Securities</v>
          </cell>
        </row>
      </sheetData>
      <sheetData sheetId="13446">
        <row r="34">
          <cell r="A34" t="str">
            <v>Investments Govt Securities</v>
          </cell>
        </row>
      </sheetData>
      <sheetData sheetId="13447">
        <row r="34">
          <cell r="A34" t="str">
            <v>Investments Govt Securities</v>
          </cell>
        </row>
      </sheetData>
      <sheetData sheetId="13448">
        <row r="34">
          <cell r="A34" t="str">
            <v>Investments Govt Securities</v>
          </cell>
        </row>
      </sheetData>
      <sheetData sheetId="13449">
        <row r="34">
          <cell r="A34" t="str">
            <v>Investments Govt Securities</v>
          </cell>
        </row>
      </sheetData>
      <sheetData sheetId="13450">
        <row r="34">
          <cell r="A34" t="str">
            <v>Investments Govt Securities</v>
          </cell>
        </row>
      </sheetData>
      <sheetData sheetId="13451">
        <row r="34">
          <cell r="A34" t="str">
            <v>Investments Govt Securities</v>
          </cell>
        </row>
      </sheetData>
      <sheetData sheetId="13452">
        <row r="34">
          <cell r="A34" t="str">
            <v>Investments Govt Securities</v>
          </cell>
        </row>
      </sheetData>
      <sheetData sheetId="13453">
        <row r="34">
          <cell r="A34" t="str">
            <v>Investments Govt Securities</v>
          </cell>
        </row>
      </sheetData>
      <sheetData sheetId="13454">
        <row r="34">
          <cell r="A34" t="str">
            <v>Investments Govt Securities</v>
          </cell>
        </row>
      </sheetData>
      <sheetData sheetId="13455">
        <row r="34">
          <cell r="A34" t="str">
            <v>Investments Govt Securities</v>
          </cell>
        </row>
      </sheetData>
      <sheetData sheetId="13456">
        <row r="34">
          <cell r="A34" t="str">
            <v>Investments Govt Securities</v>
          </cell>
        </row>
      </sheetData>
      <sheetData sheetId="13457">
        <row r="34">
          <cell r="A34" t="str">
            <v>Investments Govt Securities</v>
          </cell>
        </row>
      </sheetData>
      <sheetData sheetId="13458">
        <row r="34">
          <cell r="A34" t="str">
            <v>Investments Govt Securities</v>
          </cell>
        </row>
      </sheetData>
      <sheetData sheetId="13459">
        <row r="34">
          <cell r="A34" t="str">
            <v>Investments Govt Securities</v>
          </cell>
        </row>
      </sheetData>
      <sheetData sheetId="13460">
        <row r="34">
          <cell r="A34" t="str">
            <v>Investments Govt Securities</v>
          </cell>
        </row>
      </sheetData>
      <sheetData sheetId="13461">
        <row r="34">
          <cell r="A34" t="str">
            <v>Investments Govt Securities</v>
          </cell>
        </row>
      </sheetData>
      <sheetData sheetId="13462">
        <row r="34">
          <cell r="A34" t="str">
            <v>Investments Govt Securities</v>
          </cell>
        </row>
      </sheetData>
      <sheetData sheetId="13463">
        <row r="34">
          <cell r="A34" t="str">
            <v>Investments Govt Securities</v>
          </cell>
        </row>
      </sheetData>
      <sheetData sheetId="13464">
        <row r="34">
          <cell r="A34" t="str">
            <v>Investments Govt Securities</v>
          </cell>
        </row>
      </sheetData>
      <sheetData sheetId="13465">
        <row r="34">
          <cell r="A34" t="str">
            <v>Investments Govt Securities</v>
          </cell>
        </row>
      </sheetData>
      <sheetData sheetId="13466">
        <row r="34">
          <cell r="A34" t="str">
            <v>Investments Govt Securities</v>
          </cell>
        </row>
      </sheetData>
      <sheetData sheetId="13467">
        <row r="34">
          <cell r="A34" t="str">
            <v>Investments Govt Securities</v>
          </cell>
        </row>
      </sheetData>
      <sheetData sheetId="13468">
        <row r="34">
          <cell r="A34" t="str">
            <v>Investments Govt Securities</v>
          </cell>
        </row>
      </sheetData>
      <sheetData sheetId="13469">
        <row r="34">
          <cell r="A34" t="str">
            <v>Investments Govt Securities</v>
          </cell>
        </row>
      </sheetData>
      <sheetData sheetId="13470">
        <row r="34">
          <cell r="A34" t="str">
            <v>Investments Govt Securities</v>
          </cell>
        </row>
      </sheetData>
      <sheetData sheetId="13471">
        <row r="34">
          <cell r="A34" t="str">
            <v>Investments Govt Securities</v>
          </cell>
        </row>
      </sheetData>
      <sheetData sheetId="13472">
        <row r="34">
          <cell r="A34" t="str">
            <v>Investments Govt Securities</v>
          </cell>
        </row>
      </sheetData>
      <sheetData sheetId="13473">
        <row r="34">
          <cell r="A34" t="str">
            <v>Investments Govt Securities</v>
          </cell>
        </row>
      </sheetData>
      <sheetData sheetId="13474">
        <row r="34">
          <cell r="A34" t="str">
            <v>Investments Govt Securities</v>
          </cell>
        </row>
      </sheetData>
      <sheetData sheetId="13475">
        <row r="34">
          <cell r="A34" t="str">
            <v>Investments Govt Securities</v>
          </cell>
        </row>
      </sheetData>
      <sheetData sheetId="13476">
        <row r="34">
          <cell r="A34" t="str">
            <v>Investments Govt Securities</v>
          </cell>
        </row>
      </sheetData>
      <sheetData sheetId="13477">
        <row r="34">
          <cell r="A34" t="str">
            <v>Investments Govt Securities</v>
          </cell>
        </row>
      </sheetData>
      <sheetData sheetId="13478">
        <row r="34">
          <cell r="A34" t="str">
            <v>Investments Govt Securities</v>
          </cell>
        </row>
      </sheetData>
      <sheetData sheetId="13479">
        <row r="34">
          <cell r="A34" t="str">
            <v>Investments Govt Securities</v>
          </cell>
        </row>
      </sheetData>
      <sheetData sheetId="13480">
        <row r="34">
          <cell r="A34" t="str">
            <v>Investments Govt Securities</v>
          </cell>
        </row>
      </sheetData>
      <sheetData sheetId="13481">
        <row r="34">
          <cell r="A34" t="str">
            <v>Investments Govt Securities</v>
          </cell>
        </row>
      </sheetData>
      <sheetData sheetId="13482">
        <row r="34">
          <cell r="A34" t="str">
            <v>Investments Govt Securities</v>
          </cell>
        </row>
      </sheetData>
      <sheetData sheetId="13483">
        <row r="34">
          <cell r="A34" t="str">
            <v>Investments Govt Securities</v>
          </cell>
        </row>
      </sheetData>
      <sheetData sheetId="13484">
        <row r="34">
          <cell r="A34" t="str">
            <v>Investments Govt Securities</v>
          </cell>
        </row>
      </sheetData>
      <sheetData sheetId="13485">
        <row r="34">
          <cell r="A34" t="str">
            <v>Investments Govt Securities</v>
          </cell>
        </row>
      </sheetData>
      <sheetData sheetId="13486">
        <row r="34">
          <cell r="A34" t="str">
            <v>Investments Govt Securities</v>
          </cell>
        </row>
      </sheetData>
      <sheetData sheetId="13487">
        <row r="34">
          <cell r="A34" t="str">
            <v>Investments Govt Securities</v>
          </cell>
        </row>
      </sheetData>
      <sheetData sheetId="13488">
        <row r="34">
          <cell r="A34" t="str">
            <v>Investments Govt Securities</v>
          </cell>
        </row>
      </sheetData>
      <sheetData sheetId="13489">
        <row r="34">
          <cell r="A34" t="str">
            <v>Investments Govt Securities</v>
          </cell>
        </row>
      </sheetData>
      <sheetData sheetId="13490">
        <row r="34">
          <cell r="A34" t="str">
            <v>Investments Govt Securities</v>
          </cell>
        </row>
      </sheetData>
      <sheetData sheetId="13491">
        <row r="34">
          <cell r="A34" t="str">
            <v>Investments Govt Securities</v>
          </cell>
        </row>
      </sheetData>
      <sheetData sheetId="13492">
        <row r="34">
          <cell r="A34" t="str">
            <v>Investments Govt Securities</v>
          </cell>
        </row>
      </sheetData>
      <sheetData sheetId="13493">
        <row r="34">
          <cell r="A34" t="str">
            <v>Investments Govt Securities</v>
          </cell>
        </row>
      </sheetData>
      <sheetData sheetId="13494">
        <row r="34">
          <cell r="A34" t="str">
            <v>Investments Govt Securities</v>
          </cell>
        </row>
      </sheetData>
      <sheetData sheetId="13495">
        <row r="34">
          <cell r="A34" t="str">
            <v>Investments Govt Securities</v>
          </cell>
        </row>
      </sheetData>
      <sheetData sheetId="13496">
        <row r="34">
          <cell r="A34" t="str">
            <v>Investments Govt Securities</v>
          </cell>
        </row>
      </sheetData>
      <sheetData sheetId="13497">
        <row r="34">
          <cell r="A34" t="str">
            <v>Investments Govt Securities</v>
          </cell>
        </row>
      </sheetData>
      <sheetData sheetId="13498">
        <row r="34">
          <cell r="A34" t="str">
            <v>Investments Govt Securities</v>
          </cell>
        </row>
      </sheetData>
      <sheetData sheetId="13499">
        <row r="34">
          <cell r="A34" t="str">
            <v>Investments Govt Securities</v>
          </cell>
        </row>
      </sheetData>
      <sheetData sheetId="13500">
        <row r="34">
          <cell r="A34" t="str">
            <v>Investments Govt Securities</v>
          </cell>
        </row>
      </sheetData>
      <sheetData sheetId="13501">
        <row r="34">
          <cell r="A34" t="str">
            <v>Investments Govt Securities</v>
          </cell>
        </row>
      </sheetData>
      <sheetData sheetId="13502">
        <row r="34">
          <cell r="A34" t="str">
            <v>Investments Govt Securities</v>
          </cell>
        </row>
      </sheetData>
      <sheetData sheetId="13503">
        <row r="34">
          <cell r="A34" t="str">
            <v>Investments Govt Securities</v>
          </cell>
        </row>
      </sheetData>
      <sheetData sheetId="13504">
        <row r="34">
          <cell r="A34" t="str">
            <v>Investments Govt Securities</v>
          </cell>
        </row>
      </sheetData>
      <sheetData sheetId="13505">
        <row r="34">
          <cell r="A34" t="str">
            <v>Investments Govt Securities</v>
          </cell>
        </row>
      </sheetData>
      <sheetData sheetId="13506">
        <row r="34">
          <cell r="A34" t="str">
            <v>Investments Govt Securities</v>
          </cell>
        </row>
      </sheetData>
      <sheetData sheetId="13507">
        <row r="34">
          <cell r="A34" t="str">
            <v>Investments Govt Securities</v>
          </cell>
        </row>
      </sheetData>
      <sheetData sheetId="13508">
        <row r="34">
          <cell r="A34" t="str">
            <v>Investments Govt Securities</v>
          </cell>
        </row>
      </sheetData>
      <sheetData sheetId="13509">
        <row r="34">
          <cell r="A34" t="str">
            <v>Investments Govt Securities</v>
          </cell>
        </row>
      </sheetData>
      <sheetData sheetId="13510">
        <row r="34">
          <cell r="A34" t="str">
            <v>Investments Govt Securities</v>
          </cell>
        </row>
      </sheetData>
      <sheetData sheetId="13511">
        <row r="34">
          <cell r="A34" t="str">
            <v>Investments Govt Securities</v>
          </cell>
        </row>
      </sheetData>
      <sheetData sheetId="13512">
        <row r="34">
          <cell r="A34" t="str">
            <v>Investments Govt Securities</v>
          </cell>
        </row>
      </sheetData>
      <sheetData sheetId="13513">
        <row r="34">
          <cell r="A34" t="str">
            <v>Investments Govt Securities</v>
          </cell>
        </row>
      </sheetData>
      <sheetData sheetId="13514">
        <row r="34">
          <cell r="A34" t="str">
            <v>Investments Govt Securities</v>
          </cell>
        </row>
      </sheetData>
      <sheetData sheetId="13515">
        <row r="34">
          <cell r="A34" t="str">
            <v>Investments Govt Securities</v>
          </cell>
        </row>
      </sheetData>
      <sheetData sheetId="13516">
        <row r="34">
          <cell r="A34" t="str">
            <v>Investments Govt Securities</v>
          </cell>
        </row>
      </sheetData>
      <sheetData sheetId="13517">
        <row r="34">
          <cell r="A34" t="str">
            <v>Investments Govt Securities</v>
          </cell>
        </row>
      </sheetData>
      <sheetData sheetId="13518">
        <row r="34">
          <cell r="A34" t="str">
            <v>Investments Govt Securities</v>
          </cell>
        </row>
      </sheetData>
      <sheetData sheetId="13519">
        <row r="34">
          <cell r="A34" t="str">
            <v>Investments Govt Securities</v>
          </cell>
        </row>
      </sheetData>
      <sheetData sheetId="13520">
        <row r="34">
          <cell r="A34" t="str">
            <v>Investments Govt Securities</v>
          </cell>
        </row>
      </sheetData>
      <sheetData sheetId="13521">
        <row r="34">
          <cell r="A34" t="str">
            <v>Investments Govt Securities</v>
          </cell>
        </row>
      </sheetData>
      <sheetData sheetId="13522">
        <row r="34">
          <cell r="A34" t="str">
            <v>Investments Govt Securities</v>
          </cell>
        </row>
      </sheetData>
      <sheetData sheetId="13523">
        <row r="34">
          <cell r="A34" t="str">
            <v>Investments Govt Securities</v>
          </cell>
        </row>
      </sheetData>
      <sheetData sheetId="13524">
        <row r="34">
          <cell r="A34" t="str">
            <v>Investments Govt Securities</v>
          </cell>
        </row>
      </sheetData>
      <sheetData sheetId="13525">
        <row r="34">
          <cell r="A34" t="str">
            <v>Investments Govt Securities</v>
          </cell>
        </row>
      </sheetData>
      <sheetData sheetId="13526">
        <row r="34">
          <cell r="A34" t="str">
            <v>Investments Govt Securities</v>
          </cell>
        </row>
      </sheetData>
      <sheetData sheetId="13527">
        <row r="34">
          <cell r="A34" t="str">
            <v>Investments Govt Securities</v>
          </cell>
        </row>
      </sheetData>
      <sheetData sheetId="13528">
        <row r="34">
          <cell r="A34" t="str">
            <v>Investments Govt Securities</v>
          </cell>
        </row>
      </sheetData>
      <sheetData sheetId="13529">
        <row r="34">
          <cell r="A34" t="str">
            <v>Investments Govt Securities</v>
          </cell>
        </row>
      </sheetData>
      <sheetData sheetId="13530">
        <row r="34">
          <cell r="A34" t="str">
            <v>Investments Govt Securities</v>
          </cell>
        </row>
      </sheetData>
      <sheetData sheetId="13531">
        <row r="34">
          <cell r="A34" t="str">
            <v>Investments Govt Securities</v>
          </cell>
        </row>
      </sheetData>
      <sheetData sheetId="13532">
        <row r="34">
          <cell r="A34" t="str">
            <v>Investments Govt Securities</v>
          </cell>
        </row>
      </sheetData>
      <sheetData sheetId="13533">
        <row r="34">
          <cell r="A34" t="str">
            <v>Investments Govt Securities</v>
          </cell>
        </row>
      </sheetData>
      <sheetData sheetId="13534">
        <row r="34">
          <cell r="A34" t="str">
            <v>Investments Govt Securities</v>
          </cell>
        </row>
      </sheetData>
      <sheetData sheetId="13535">
        <row r="34">
          <cell r="A34" t="str">
            <v>Investments Govt Securities</v>
          </cell>
        </row>
      </sheetData>
      <sheetData sheetId="13536">
        <row r="34">
          <cell r="A34" t="str">
            <v>Investments Govt Securities</v>
          </cell>
        </row>
      </sheetData>
      <sheetData sheetId="13537">
        <row r="34">
          <cell r="A34" t="str">
            <v>Investments Govt Securities</v>
          </cell>
        </row>
      </sheetData>
      <sheetData sheetId="13538">
        <row r="34">
          <cell r="A34" t="str">
            <v>Investments Govt Securities</v>
          </cell>
        </row>
      </sheetData>
      <sheetData sheetId="13539">
        <row r="34">
          <cell r="A34" t="str">
            <v>Investments Govt Securities</v>
          </cell>
        </row>
      </sheetData>
      <sheetData sheetId="13540">
        <row r="34">
          <cell r="A34" t="str">
            <v>Investments Govt Securities</v>
          </cell>
        </row>
      </sheetData>
      <sheetData sheetId="13541">
        <row r="34">
          <cell r="A34" t="str">
            <v>Investments Govt Securities</v>
          </cell>
        </row>
      </sheetData>
      <sheetData sheetId="13542">
        <row r="34">
          <cell r="A34" t="str">
            <v>Investments Govt Securities</v>
          </cell>
        </row>
      </sheetData>
      <sheetData sheetId="13543">
        <row r="34">
          <cell r="A34" t="str">
            <v>Investments Govt Securities</v>
          </cell>
        </row>
      </sheetData>
      <sheetData sheetId="13544">
        <row r="34">
          <cell r="A34" t="str">
            <v>Investments Govt Securities</v>
          </cell>
        </row>
      </sheetData>
      <sheetData sheetId="13545">
        <row r="34">
          <cell r="A34" t="str">
            <v>Investments Govt Securities</v>
          </cell>
        </row>
      </sheetData>
      <sheetData sheetId="13546">
        <row r="34">
          <cell r="A34" t="str">
            <v>Investments Govt Securities</v>
          </cell>
        </row>
      </sheetData>
      <sheetData sheetId="13547">
        <row r="34">
          <cell r="A34" t="str">
            <v>Investments Govt Securities</v>
          </cell>
        </row>
      </sheetData>
      <sheetData sheetId="13548">
        <row r="34">
          <cell r="A34" t="str">
            <v>Investments Govt Securities</v>
          </cell>
        </row>
      </sheetData>
      <sheetData sheetId="13549">
        <row r="34">
          <cell r="A34" t="str">
            <v>Investments Govt Securities</v>
          </cell>
        </row>
      </sheetData>
      <sheetData sheetId="13550">
        <row r="34">
          <cell r="A34" t="str">
            <v>Investments Govt Securities</v>
          </cell>
        </row>
      </sheetData>
      <sheetData sheetId="13551">
        <row r="34">
          <cell r="A34" t="str">
            <v>Investments Govt Securities</v>
          </cell>
        </row>
      </sheetData>
      <sheetData sheetId="13552">
        <row r="34">
          <cell r="A34" t="str">
            <v>Investments Govt Securities</v>
          </cell>
        </row>
      </sheetData>
      <sheetData sheetId="13553">
        <row r="34">
          <cell r="A34" t="str">
            <v>Investments Govt Securities</v>
          </cell>
        </row>
      </sheetData>
      <sheetData sheetId="13554">
        <row r="34">
          <cell r="A34" t="str">
            <v>Investments Govt Securities</v>
          </cell>
        </row>
      </sheetData>
      <sheetData sheetId="13555">
        <row r="34">
          <cell r="A34" t="str">
            <v>Investments Govt Securities</v>
          </cell>
        </row>
      </sheetData>
      <sheetData sheetId="13556">
        <row r="34">
          <cell r="A34" t="str">
            <v>Investments Govt Securities</v>
          </cell>
        </row>
      </sheetData>
      <sheetData sheetId="13557">
        <row r="34">
          <cell r="A34" t="str">
            <v>Investments Govt Securities</v>
          </cell>
        </row>
      </sheetData>
      <sheetData sheetId="13558">
        <row r="34">
          <cell r="A34" t="str">
            <v>Investments Govt Securities</v>
          </cell>
        </row>
      </sheetData>
      <sheetData sheetId="13559">
        <row r="34">
          <cell r="A34" t="str">
            <v>Investments Govt Securities</v>
          </cell>
        </row>
      </sheetData>
      <sheetData sheetId="13560">
        <row r="34">
          <cell r="A34" t="str">
            <v>Investments Govt Securities</v>
          </cell>
        </row>
      </sheetData>
      <sheetData sheetId="13561">
        <row r="34">
          <cell r="A34" t="str">
            <v>Investments Govt Securities</v>
          </cell>
        </row>
      </sheetData>
      <sheetData sheetId="13562">
        <row r="34">
          <cell r="A34" t="str">
            <v>Investments Govt Securities</v>
          </cell>
        </row>
      </sheetData>
      <sheetData sheetId="13563">
        <row r="34">
          <cell r="A34" t="str">
            <v>Investments Govt Securities</v>
          </cell>
        </row>
      </sheetData>
      <sheetData sheetId="13564">
        <row r="34">
          <cell r="A34" t="str">
            <v>Investments Govt Securities</v>
          </cell>
        </row>
      </sheetData>
      <sheetData sheetId="13565">
        <row r="34">
          <cell r="A34" t="str">
            <v>Investments Govt Securities</v>
          </cell>
        </row>
      </sheetData>
      <sheetData sheetId="13566">
        <row r="34">
          <cell r="A34" t="str">
            <v>Investments Govt Securities</v>
          </cell>
        </row>
      </sheetData>
      <sheetData sheetId="13567">
        <row r="34">
          <cell r="A34" t="str">
            <v>Investments Govt Securities</v>
          </cell>
        </row>
      </sheetData>
      <sheetData sheetId="13568">
        <row r="34">
          <cell r="A34" t="str">
            <v>Investments Govt Securities</v>
          </cell>
        </row>
      </sheetData>
      <sheetData sheetId="13569">
        <row r="34">
          <cell r="A34" t="str">
            <v>Investments Govt Securities</v>
          </cell>
        </row>
      </sheetData>
      <sheetData sheetId="13570">
        <row r="34">
          <cell r="A34" t="str">
            <v>Investments Govt Securities</v>
          </cell>
        </row>
      </sheetData>
      <sheetData sheetId="13571">
        <row r="34">
          <cell r="A34" t="str">
            <v>Investments Govt Securities</v>
          </cell>
        </row>
      </sheetData>
      <sheetData sheetId="13572">
        <row r="34">
          <cell r="A34" t="str">
            <v>Investments Govt Securities</v>
          </cell>
        </row>
      </sheetData>
      <sheetData sheetId="13573">
        <row r="34">
          <cell r="A34" t="str">
            <v>Investments Govt Securities</v>
          </cell>
        </row>
      </sheetData>
      <sheetData sheetId="13574">
        <row r="34">
          <cell r="A34" t="str">
            <v>Investments Govt Securities</v>
          </cell>
        </row>
      </sheetData>
      <sheetData sheetId="13575">
        <row r="34">
          <cell r="A34" t="str">
            <v>Investments Govt Securities</v>
          </cell>
        </row>
      </sheetData>
      <sheetData sheetId="13576">
        <row r="34">
          <cell r="A34" t="str">
            <v>Investments Govt Securities</v>
          </cell>
        </row>
      </sheetData>
      <sheetData sheetId="13577">
        <row r="34">
          <cell r="A34" t="str">
            <v>Investments Govt Securities</v>
          </cell>
        </row>
      </sheetData>
      <sheetData sheetId="13578">
        <row r="34">
          <cell r="A34" t="str">
            <v>Investments Govt Securities</v>
          </cell>
        </row>
      </sheetData>
      <sheetData sheetId="13579">
        <row r="34">
          <cell r="A34" t="str">
            <v>Investments Govt Securities</v>
          </cell>
        </row>
      </sheetData>
      <sheetData sheetId="13580">
        <row r="34">
          <cell r="A34" t="str">
            <v>Investments Govt Securities</v>
          </cell>
        </row>
      </sheetData>
      <sheetData sheetId="13581">
        <row r="34">
          <cell r="A34" t="str">
            <v>Investments Govt Securities</v>
          </cell>
        </row>
      </sheetData>
      <sheetData sheetId="13582">
        <row r="34">
          <cell r="A34" t="str">
            <v>Investments Govt Securities</v>
          </cell>
        </row>
      </sheetData>
      <sheetData sheetId="13583">
        <row r="34">
          <cell r="A34" t="str">
            <v>Investments Govt Securities</v>
          </cell>
        </row>
      </sheetData>
      <sheetData sheetId="13584">
        <row r="34">
          <cell r="A34" t="str">
            <v>Investments Govt Securities</v>
          </cell>
        </row>
      </sheetData>
      <sheetData sheetId="13585">
        <row r="34">
          <cell r="A34" t="str">
            <v>Investments Govt Securities</v>
          </cell>
        </row>
      </sheetData>
      <sheetData sheetId="13586">
        <row r="34">
          <cell r="A34" t="str">
            <v>Investments Govt Securities</v>
          </cell>
        </row>
      </sheetData>
      <sheetData sheetId="13587">
        <row r="34">
          <cell r="A34" t="str">
            <v>Investments Govt Securities</v>
          </cell>
        </row>
      </sheetData>
      <sheetData sheetId="13588">
        <row r="34">
          <cell r="A34" t="str">
            <v>Investments Govt Securities</v>
          </cell>
        </row>
      </sheetData>
      <sheetData sheetId="13589">
        <row r="34">
          <cell r="A34" t="str">
            <v>Investments Govt Securities</v>
          </cell>
        </row>
      </sheetData>
      <sheetData sheetId="13590">
        <row r="34">
          <cell r="A34" t="str">
            <v>Investments Govt Securities</v>
          </cell>
        </row>
      </sheetData>
      <sheetData sheetId="13591">
        <row r="34">
          <cell r="A34" t="str">
            <v>Investments Govt Securities</v>
          </cell>
        </row>
      </sheetData>
      <sheetData sheetId="13592">
        <row r="34">
          <cell r="A34" t="str">
            <v>Investments Govt Securities</v>
          </cell>
        </row>
      </sheetData>
      <sheetData sheetId="13593">
        <row r="34">
          <cell r="A34" t="str">
            <v>Investments Govt Securities</v>
          </cell>
        </row>
      </sheetData>
      <sheetData sheetId="13594">
        <row r="34">
          <cell r="A34" t="str">
            <v>Investments Govt Securities</v>
          </cell>
        </row>
      </sheetData>
      <sheetData sheetId="13595">
        <row r="34">
          <cell r="A34" t="str">
            <v>Investments Govt Securities</v>
          </cell>
        </row>
      </sheetData>
      <sheetData sheetId="13596">
        <row r="34">
          <cell r="A34" t="str">
            <v>Investments Govt Securities</v>
          </cell>
        </row>
      </sheetData>
      <sheetData sheetId="13597">
        <row r="34">
          <cell r="A34" t="str">
            <v>Investments Govt Securities</v>
          </cell>
        </row>
      </sheetData>
      <sheetData sheetId="13598">
        <row r="34">
          <cell r="A34" t="str">
            <v>Investments Govt Securities</v>
          </cell>
        </row>
      </sheetData>
      <sheetData sheetId="13599">
        <row r="34">
          <cell r="A34" t="str">
            <v>Investments Govt Securities</v>
          </cell>
        </row>
      </sheetData>
      <sheetData sheetId="13600">
        <row r="34">
          <cell r="A34" t="str">
            <v>Investments Govt Securities</v>
          </cell>
        </row>
      </sheetData>
      <sheetData sheetId="13601">
        <row r="34">
          <cell r="A34" t="str">
            <v>Investments Govt Securities</v>
          </cell>
        </row>
      </sheetData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/>
      <sheetData sheetId="13609">
        <row r="34">
          <cell r="A34" t="str">
            <v>Investments Govt Securities</v>
          </cell>
        </row>
      </sheetData>
      <sheetData sheetId="13610">
        <row r="34">
          <cell r="A34" t="str">
            <v>Investments Govt Securities</v>
          </cell>
        </row>
      </sheetData>
      <sheetData sheetId="13611"/>
      <sheetData sheetId="13612">
        <row r="34">
          <cell r="A34" t="str">
            <v>Investments Govt Securities</v>
          </cell>
        </row>
      </sheetData>
      <sheetData sheetId="13613">
        <row r="34">
          <cell r="A34" t="str">
            <v>Investments Govt Securities</v>
          </cell>
        </row>
      </sheetData>
      <sheetData sheetId="13614">
        <row r="34">
          <cell r="A34" t="str">
            <v>Investments Govt Securities</v>
          </cell>
        </row>
      </sheetData>
      <sheetData sheetId="13615">
        <row r="34">
          <cell r="A34" t="str">
            <v>Investments Govt Securities</v>
          </cell>
        </row>
      </sheetData>
      <sheetData sheetId="13616">
        <row r="34">
          <cell r="A34" t="str">
            <v>Investments Govt Securities</v>
          </cell>
        </row>
      </sheetData>
      <sheetData sheetId="13617">
        <row r="34">
          <cell r="A34" t="str">
            <v>Investments Govt Securities</v>
          </cell>
        </row>
      </sheetData>
      <sheetData sheetId="13618">
        <row r="34">
          <cell r="A34" t="str">
            <v>Investments Govt Securities</v>
          </cell>
        </row>
      </sheetData>
      <sheetData sheetId="13619">
        <row r="34">
          <cell r="A34" t="str">
            <v>Investments Govt Securities</v>
          </cell>
        </row>
      </sheetData>
      <sheetData sheetId="13620">
        <row r="34">
          <cell r="A34" t="str">
            <v>Investments Govt Securities</v>
          </cell>
        </row>
      </sheetData>
      <sheetData sheetId="13621">
        <row r="34">
          <cell r="A34" t="str">
            <v>Investments Govt Securities</v>
          </cell>
        </row>
      </sheetData>
      <sheetData sheetId="13622">
        <row r="34">
          <cell r="A34" t="str">
            <v>Investments Govt Securities</v>
          </cell>
        </row>
      </sheetData>
      <sheetData sheetId="13623">
        <row r="34">
          <cell r="A34" t="str">
            <v>Investments Govt Securities</v>
          </cell>
        </row>
      </sheetData>
      <sheetData sheetId="13624">
        <row r="34">
          <cell r="A34" t="str">
            <v>Investments Govt Securities</v>
          </cell>
        </row>
      </sheetData>
      <sheetData sheetId="13625">
        <row r="34">
          <cell r="A34" t="str">
            <v>Investments Govt Securities</v>
          </cell>
        </row>
      </sheetData>
      <sheetData sheetId="13626">
        <row r="34">
          <cell r="A34" t="str">
            <v>Investments Govt Securities</v>
          </cell>
        </row>
      </sheetData>
      <sheetData sheetId="13627">
        <row r="34">
          <cell r="A34" t="str">
            <v>Investments Govt Securities</v>
          </cell>
        </row>
      </sheetData>
      <sheetData sheetId="13628">
        <row r="34">
          <cell r="A34" t="str">
            <v>Investments Govt Securities</v>
          </cell>
        </row>
      </sheetData>
      <sheetData sheetId="13629">
        <row r="34">
          <cell r="A34" t="str">
            <v>Investments Govt Securities</v>
          </cell>
        </row>
      </sheetData>
      <sheetData sheetId="13630">
        <row r="34">
          <cell r="A34" t="str">
            <v>Investments Govt Securities</v>
          </cell>
        </row>
      </sheetData>
      <sheetData sheetId="13631">
        <row r="34">
          <cell r="A34" t="str">
            <v>Investments Govt Securities</v>
          </cell>
        </row>
      </sheetData>
      <sheetData sheetId="13632">
        <row r="34">
          <cell r="A34" t="str">
            <v>Investments Govt Securities</v>
          </cell>
        </row>
      </sheetData>
      <sheetData sheetId="13633">
        <row r="34">
          <cell r="A34" t="str">
            <v>Investments Govt Securities</v>
          </cell>
        </row>
      </sheetData>
      <sheetData sheetId="13634">
        <row r="34">
          <cell r="A34" t="str">
            <v>Investments Govt Securities</v>
          </cell>
        </row>
      </sheetData>
      <sheetData sheetId="13635">
        <row r="34">
          <cell r="A34" t="str">
            <v>Investments Govt Securities</v>
          </cell>
        </row>
      </sheetData>
      <sheetData sheetId="13636">
        <row r="34">
          <cell r="A34" t="str">
            <v>Investments Govt Securities</v>
          </cell>
        </row>
      </sheetData>
      <sheetData sheetId="13637">
        <row r="34">
          <cell r="A34" t="str">
            <v>Investments Govt Securities</v>
          </cell>
        </row>
      </sheetData>
      <sheetData sheetId="13638">
        <row r="34">
          <cell r="A34" t="str">
            <v>Investments Govt Securities</v>
          </cell>
        </row>
      </sheetData>
      <sheetData sheetId="13639">
        <row r="34">
          <cell r="A34" t="str">
            <v>Investments Govt Securities</v>
          </cell>
        </row>
      </sheetData>
      <sheetData sheetId="13640">
        <row r="34">
          <cell r="A34" t="str">
            <v>Investments Govt Securities</v>
          </cell>
        </row>
      </sheetData>
      <sheetData sheetId="13641">
        <row r="34">
          <cell r="A34" t="str">
            <v>Investments Govt Securities</v>
          </cell>
        </row>
      </sheetData>
      <sheetData sheetId="13642">
        <row r="34">
          <cell r="A34" t="str">
            <v>Investments Govt Securities</v>
          </cell>
        </row>
      </sheetData>
      <sheetData sheetId="13643">
        <row r="34">
          <cell r="A34" t="str">
            <v>Investments Govt Securities</v>
          </cell>
        </row>
      </sheetData>
      <sheetData sheetId="13644">
        <row r="34">
          <cell r="A34" t="str">
            <v>Investments Govt Securities</v>
          </cell>
        </row>
      </sheetData>
      <sheetData sheetId="13645">
        <row r="34">
          <cell r="A34" t="str">
            <v>Investments Govt Securities</v>
          </cell>
        </row>
      </sheetData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>
        <row r="34">
          <cell r="A34" t="str">
            <v>Investments Govt Securities</v>
          </cell>
        </row>
      </sheetData>
      <sheetData sheetId="13756">
        <row r="34">
          <cell r="A34" t="str">
            <v>Investments Govt Securities</v>
          </cell>
        </row>
      </sheetData>
      <sheetData sheetId="13757">
        <row r="34">
          <cell r="A34" t="str">
            <v>Investments Govt Securities</v>
          </cell>
        </row>
      </sheetData>
      <sheetData sheetId="13758">
        <row r="34">
          <cell r="A34" t="str">
            <v>Investments Govt Securities</v>
          </cell>
        </row>
      </sheetData>
      <sheetData sheetId="13759">
        <row r="34">
          <cell r="A34" t="str">
            <v>Investments Govt Securities</v>
          </cell>
        </row>
      </sheetData>
      <sheetData sheetId="13760">
        <row r="34">
          <cell r="A34" t="str">
            <v>Investments Govt Securities</v>
          </cell>
        </row>
      </sheetData>
      <sheetData sheetId="13761">
        <row r="34">
          <cell r="A34" t="str">
            <v>Investments Govt Securities</v>
          </cell>
        </row>
      </sheetData>
      <sheetData sheetId="13762">
        <row r="34">
          <cell r="A34" t="str">
            <v>Investments Govt Securities</v>
          </cell>
        </row>
      </sheetData>
      <sheetData sheetId="13763">
        <row r="34">
          <cell r="A34" t="str">
            <v>Investments Govt Securities</v>
          </cell>
        </row>
      </sheetData>
      <sheetData sheetId="13764">
        <row r="34">
          <cell r="A34" t="str">
            <v>Investments Govt Securities</v>
          </cell>
        </row>
      </sheetData>
      <sheetData sheetId="13765">
        <row r="34">
          <cell r="A34" t="str">
            <v>Investments Govt Securities</v>
          </cell>
        </row>
      </sheetData>
      <sheetData sheetId="13766">
        <row r="34">
          <cell r="A34" t="str">
            <v>Investments Govt Securities</v>
          </cell>
        </row>
      </sheetData>
      <sheetData sheetId="13767">
        <row r="34">
          <cell r="A34" t="str">
            <v>Investments Govt Securities</v>
          </cell>
        </row>
      </sheetData>
      <sheetData sheetId="13768">
        <row r="34">
          <cell r="A34" t="str">
            <v>Investments Govt Securities</v>
          </cell>
        </row>
      </sheetData>
      <sheetData sheetId="13769">
        <row r="34">
          <cell r="A34" t="str">
            <v>Investments Govt Securities</v>
          </cell>
        </row>
      </sheetData>
      <sheetData sheetId="13770">
        <row r="34">
          <cell r="A34" t="str">
            <v>Investments Govt Securities</v>
          </cell>
        </row>
      </sheetData>
      <sheetData sheetId="13771">
        <row r="34">
          <cell r="A34" t="str">
            <v>Investments Govt Securities</v>
          </cell>
        </row>
      </sheetData>
      <sheetData sheetId="13772">
        <row r="34">
          <cell r="A34" t="str">
            <v>Investments Govt Securities</v>
          </cell>
        </row>
      </sheetData>
      <sheetData sheetId="13773">
        <row r="34">
          <cell r="A34" t="str">
            <v>Investments Govt Securities</v>
          </cell>
        </row>
      </sheetData>
      <sheetData sheetId="13774">
        <row r="34">
          <cell r="A34" t="str">
            <v>Investments Govt Securities</v>
          </cell>
        </row>
      </sheetData>
      <sheetData sheetId="13775">
        <row r="34">
          <cell r="A34" t="str">
            <v>Investments Govt Securities</v>
          </cell>
        </row>
      </sheetData>
      <sheetData sheetId="13776">
        <row r="34">
          <cell r="A34" t="str">
            <v>Investments Govt Securities</v>
          </cell>
        </row>
      </sheetData>
      <sheetData sheetId="13777">
        <row r="34">
          <cell r="A34" t="str">
            <v>Investments Govt Securities</v>
          </cell>
        </row>
      </sheetData>
      <sheetData sheetId="13778">
        <row r="34">
          <cell r="A34" t="str">
            <v>Investments Govt Securities</v>
          </cell>
        </row>
      </sheetData>
      <sheetData sheetId="13779">
        <row r="34">
          <cell r="A34" t="str">
            <v>Investments Govt Securities</v>
          </cell>
        </row>
      </sheetData>
      <sheetData sheetId="13780">
        <row r="34">
          <cell r="A34" t="str">
            <v>Investments Govt Securities</v>
          </cell>
        </row>
      </sheetData>
      <sheetData sheetId="13781">
        <row r="34">
          <cell r="A34" t="str">
            <v>Investments Govt Securities</v>
          </cell>
        </row>
      </sheetData>
      <sheetData sheetId="13782">
        <row r="34">
          <cell r="A34" t="str">
            <v>Investments Govt Securities</v>
          </cell>
        </row>
      </sheetData>
      <sheetData sheetId="13783">
        <row r="34">
          <cell r="A34" t="str">
            <v>Investments Govt Securities</v>
          </cell>
        </row>
      </sheetData>
      <sheetData sheetId="13784">
        <row r="34">
          <cell r="A34" t="str">
            <v>Investments Govt Securities</v>
          </cell>
        </row>
      </sheetData>
      <sheetData sheetId="13785">
        <row r="34">
          <cell r="A34" t="str">
            <v>Investments Govt Securities</v>
          </cell>
        </row>
      </sheetData>
      <sheetData sheetId="13786">
        <row r="34">
          <cell r="A34" t="str">
            <v>Investments Govt Securities</v>
          </cell>
        </row>
      </sheetData>
      <sheetData sheetId="13787">
        <row r="34">
          <cell r="A34" t="str">
            <v>Investments Govt Securities</v>
          </cell>
        </row>
      </sheetData>
      <sheetData sheetId="13788">
        <row r="34">
          <cell r="A34" t="str">
            <v>Investments Govt Securities</v>
          </cell>
        </row>
      </sheetData>
      <sheetData sheetId="13789">
        <row r="34">
          <cell r="A34" t="str">
            <v>Investments Govt Securities</v>
          </cell>
        </row>
      </sheetData>
      <sheetData sheetId="13790">
        <row r="34">
          <cell r="A34" t="str">
            <v>Investments Govt Securities</v>
          </cell>
        </row>
      </sheetData>
      <sheetData sheetId="13791">
        <row r="34">
          <cell r="A34" t="str">
            <v>Investments Govt Securities</v>
          </cell>
        </row>
      </sheetData>
      <sheetData sheetId="13792">
        <row r="34">
          <cell r="A34" t="str">
            <v>Investments Govt Securities</v>
          </cell>
        </row>
      </sheetData>
      <sheetData sheetId="13793">
        <row r="34">
          <cell r="A34" t="str">
            <v>Investments Govt Securities</v>
          </cell>
        </row>
      </sheetData>
      <sheetData sheetId="13794">
        <row r="34">
          <cell r="A34" t="str">
            <v>Investments Govt Securities</v>
          </cell>
        </row>
      </sheetData>
      <sheetData sheetId="13795">
        <row r="34">
          <cell r="A34" t="str">
            <v>Investments Govt Securities</v>
          </cell>
        </row>
      </sheetData>
      <sheetData sheetId="13796">
        <row r="34">
          <cell r="A34" t="str">
            <v>Investments Govt Securities</v>
          </cell>
        </row>
      </sheetData>
      <sheetData sheetId="13797">
        <row r="34">
          <cell r="A34" t="str">
            <v>Investments Govt Securities</v>
          </cell>
        </row>
      </sheetData>
      <sheetData sheetId="13798">
        <row r="34">
          <cell r="A34" t="str">
            <v>Investments Govt Securities</v>
          </cell>
        </row>
      </sheetData>
      <sheetData sheetId="13799">
        <row r="34">
          <cell r="A34" t="str">
            <v>Investments Govt Securities</v>
          </cell>
        </row>
      </sheetData>
      <sheetData sheetId="13800">
        <row r="34">
          <cell r="A34" t="str">
            <v>Investments Govt Securities</v>
          </cell>
        </row>
      </sheetData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>
        <row r="34">
          <cell r="A34" t="str">
            <v>Investments Govt Securities</v>
          </cell>
        </row>
      </sheetData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/>
      <sheetData sheetId="14095">
        <row r="34">
          <cell r="A34" t="str">
            <v>Investments Govt Securities</v>
          </cell>
        </row>
      </sheetData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>
        <row r="34">
          <cell r="A34" t="str">
            <v>Investments Govt Securities</v>
          </cell>
        </row>
      </sheetData>
      <sheetData sheetId="14144">
        <row r="34">
          <cell r="A34" t="str">
            <v>Investments Govt Securities</v>
          </cell>
        </row>
      </sheetData>
      <sheetData sheetId="14145">
        <row r="34">
          <cell r="A34" t="str">
            <v>Investments Govt Securities</v>
          </cell>
        </row>
      </sheetData>
      <sheetData sheetId="14146">
        <row r="34">
          <cell r="A34" t="str">
            <v>Investments Govt Securities</v>
          </cell>
        </row>
      </sheetData>
      <sheetData sheetId="14147">
        <row r="34">
          <cell r="A34" t="str">
            <v>Investments Govt Securities</v>
          </cell>
        </row>
      </sheetData>
      <sheetData sheetId="14148">
        <row r="34">
          <cell r="A34" t="str">
            <v>Investments Govt Securities</v>
          </cell>
        </row>
      </sheetData>
      <sheetData sheetId="14149">
        <row r="34">
          <cell r="A34" t="str">
            <v>Investments Govt Securities</v>
          </cell>
        </row>
      </sheetData>
      <sheetData sheetId="14150">
        <row r="34">
          <cell r="A34" t="str">
            <v>Investments Govt Securities</v>
          </cell>
        </row>
      </sheetData>
      <sheetData sheetId="14151">
        <row r="34">
          <cell r="A34" t="str">
            <v>Investments Govt Securities</v>
          </cell>
        </row>
      </sheetData>
      <sheetData sheetId="14152">
        <row r="34">
          <cell r="A34" t="str">
            <v>Investments Govt Securities</v>
          </cell>
        </row>
      </sheetData>
      <sheetData sheetId="14153">
        <row r="34">
          <cell r="A34" t="str">
            <v>Investments Govt Securities</v>
          </cell>
        </row>
      </sheetData>
      <sheetData sheetId="14154">
        <row r="34">
          <cell r="A34" t="str">
            <v>Investments Govt Securities</v>
          </cell>
        </row>
      </sheetData>
      <sheetData sheetId="14155">
        <row r="34">
          <cell r="A34" t="str">
            <v>Investments Govt Securities</v>
          </cell>
        </row>
      </sheetData>
      <sheetData sheetId="14156">
        <row r="34">
          <cell r="A34" t="str">
            <v>Investments Govt Securities</v>
          </cell>
        </row>
      </sheetData>
      <sheetData sheetId="14157">
        <row r="34">
          <cell r="A34" t="str">
            <v>Investments Govt Securities</v>
          </cell>
        </row>
      </sheetData>
      <sheetData sheetId="14158">
        <row r="34">
          <cell r="A34" t="str">
            <v>Investments Govt Securities</v>
          </cell>
        </row>
      </sheetData>
      <sheetData sheetId="14159">
        <row r="34">
          <cell r="A34" t="str">
            <v>Investments Govt Securities</v>
          </cell>
        </row>
      </sheetData>
      <sheetData sheetId="14160">
        <row r="34">
          <cell r="A34" t="str">
            <v>Investments Govt Securities</v>
          </cell>
        </row>
      </sheetData>
      <sheetData sheetId="14161">
        <row r="34">
          <cell r="A34" t="str">
            <v>Investments Govt Securities</v>
          </cell>
        </row>
      </sheetData>
      <sheetData sheetId="14162">
        <row r="34">
          <cell r="A34" t="str">
            <v>Investments Govt Securities</v>
          </cell>
        </row>
      </sheetData>
      <sheetData sheetId="14163">
        <row r="34">
          <cell r="A34" t="str">
            <v>Investments Govt Securities</v>
          </cell>
        </row>
      </sheetData>
      <sheetData sheetId="14164">
        <row r="34">
          <cell r="A34" t="str">
            <v>Investments Govt Securities</v>
          </cell>
        </row>
      </sheetData>
      <sheetData sheetId="14165">
        <row r="34">
          <cell r="A34" t="str">
            <v>Investments Govt Securities</v>
          </cell>
        </row>
      </sheetData>
      <sheetData sheetId="14166">
        <row r="34">
          <cell r="A34" t="str">
            <v>Investments Govt Securities</v>
          </cell>
        </row>
      </sheetData>
      <sheetData sheetId="14167">
        <row r="34">
          <cell r="A34" t="str">
            <v>Investments Govt Securities</v>
          </cell>
        </row>
      </sheetData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>
        <row r="34">
          <cell r="A34" t="str">
            <v>Investments Govt Securities</v>
          </cell>
        </row>
      </sheetData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>
        <row r="34">
          <cell r="A34" t="str">
            <v>Investments Govt Securities</v>
          </cell>
        </row>
      </sheetData>
      <sheetData sheetId="14227" refreshError="1"/>
      <sheetData sheetId="14228" refreshError="1"/>
      <sheetData sheetId="14229"/>
      <sheetData sheetId="14230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/>
      <sheetData sheetId="14249">
        <row r="34">
          <cell r="A34" t="str">
            <v>Investments Govt Securities</v>
          </cell>
        </row>
      </sheetData>
      <sheetData sheetId="14250">
        <row r="34">
          <cell r="A34" t="str">
            <v>Investments Govt Securities</v>
          </cell>
        </row>
      </sheetData>
      <sheetData sheetId="14251">
        <row r="34">
          <cell r="A34" t="str">
            <v>Investments Govt Securities</v>
          </cell>
        </row>
      </sheetData>
      <sheetData sheetId="14252">
        <row r="34">
          <cell r="A34" t="str">
            <v>Investments Govt Securities</v>
          </cell>
        </row>
      </sheetData>
      <sheetData sheetId="14253">
        <row r="34">
          <cell r="A34" t="str">
            <v>Investments Govt Securities</v>
          </cell>
        </row>
      </sheetData>
      <sheetData sheetId="14254">
        <row r="34">
          <cell r="A34" t="str">
            <v>Investments Govt Securities</v>
          </cell>
        </row>
      </sheetData>
      <sheetData sheetId="14255">
        <row r="34">
          <cell r="A34" t="str">
            <v>Investments Govt Securities</v>
          </cell>
        </row>
      </sheetData>
      <sheetData sheetId="14256">
        <row r="34">
          <cell r="A34" t="str">
            <v>Investments Govt Securities</v>
          </cell>
        </row>
      </sheetData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/>
      <sheetData sheetId="14285" refreshError="1"/>
      <sheetData sheetId="14286" refreshError="1"/>
      <sheetData sheetId="14287"/>
      <sheetData sheetId="14288"/>
      <sheetData sheetId="14289">
        <row r="34">
          <cell r="A34" t="str">
            <v>Investments Govt Securities</v>
          </cell>
        </row>
      </sheetData>
      <sheetData sheetId="14290">
        <row r="34">
          <cell r="A34" t="str">
            <v>Investments Govt Securities</v>
          </cell>
        </row>
      </sheetData>
      <sheetData sheetId="14291">
        <row r="34">
          <cell r="A34" t="str">
            <v>Investments Govt Securities</v>
          </cell>
        </row>
      </sheetData>
      <sheetData sheetId="14292">
        <row r="34">
          <cell r="A34" t="str">
            <v>Investments Govt Securities</v>
          </cell>
        </row>
      </sheetData>
      <sheetData sheetId="14293">
        <row r="34">
          <cell r="A34" t="str">
            <v>Investments Govt Securities</v>
          </cell>
        </row>
      </sheetData>
      <sheetData sheetId="14294">
        <row r="34">
          <cell r="A34" t="str">
            <v>Investments Govt Securities</v>
          </cell>
        </row>
      </sheetData>
      <sheetData sheetId="14295">
        <row r="34">
          <cell r="A34" t="str">
            <v>Investments Govt Securities</v>
          </cell>
        </row>
      </sheetData>
      <sheetData sheetId="14296">
        <row r="34">
          <cell r="A34" t="str">
            <v>Investments Govt Securities</v>
          </cell>
        </row>
      </sheetData>
      <sheetData sheetId="14297">
        <row r="34">
          <cell r="A34" t="str">
            <v>Investments Govt Securities</v>
          </cell>
        </row>
      </sheetData>
      <sheetData sheetId="14298">
        <row r="34">
          <cell r="A34" t="str">
            <v>Investments Govt Securities</v>
          </cell>
        </row>
      </sheetData>
      <sheetData sheetId="14299">
        <row r="34">
          <cell r="A34" t="str">
            <v>Investments Govt Securities</v>
          </cell>
        </row>
      </sheetData>
      <sheetData sheetId="14300">
        <row r="34">
          <cell r="A34" t="str">
            <v>Investments Govt Securities</v>
          </cell>
        </row>
      </sheetData>
      <sheetData sheetId="14301">
        <row r="34">
          <cell r="A34" t="str">
            <v>Investments Govt Securities</v>
          </cell>
        </row>
      </sheetData>
      <sheetData sheetId="14302">
        <row r="34">
          <cell r="A34" t="str">
            <v>Investments Govt Securities</v>
          </cell>
        </row>
      </sheetData>
      <sheetData sheetId="14303">
        <row r="34">
          <cell r="A34" t="str">
            <v>Investments Govt Securities</v>
          </cell>
        </row>
      </sheetData>
      <sheetData sheetId="14304">
        <row r="34">
          <cell r="A34" t="str">
            <v>Investments Govt Securities</v>
          </cell>
        </row>
      </sheetData>
      <sheetData sheetId="14305">
        <row r="34">
          <cell r="A34" t="str">
            <v>Investments Govt Securities</v>
          </cell>
        </row>
      </sheetData>
      <sheetData sheetId="14306">
        <row r="34">
          <cell r="A34" t="str">
            <v>Investments Govt Securities</v>
          </cell>
        </row>
      </sheetData>
      <sheetData sheetId="14307">
        <row r="34">
          <cell r="A34" t="str">
            <v>Investments Govt Securities</v>
          </cell>
        </row>
      </sheetData>
      <sheetData sheetId="14308">
        <row r="34">
          <cell r="A34" t="str">
            <v>Investments Govt Securities</v>
          </cell>
        </row>
      </sheetData>
      <sheetData sheetId="14309">
        <row r="34">
          <cell r="A34" t="str">
            <v>Investments Govt Securities</v>
          </cell>
        </row>
      </sheetData>
      <sheetData sheetId="14310">
        <row r="34">
          <cell r="A34" t="str">
            <v>Investments Govt Securities</v>
          </cell>
        </row>
      </sheetData>
      <sheetData sheetId="14311">
        <row r="34">
          <cell r="A34" t="str">
            <v>Investments Govt Securities</v>
          </cell>
        </row>
      </sheetData>
      <sheetData sheetId="14312">
        <row r="34">
          <cell r="A34" t="str">
            <v>Investments Govt Securities</v>
          </cell>
        </row>
      </sheetData>
      <sheetData sheetId="14313">
        <row r="34">
          <cell r="A34" t="str">
            <v>Investments Govt Securities</v>
          </cell>
        </row>
      </sheetData>
      <sheetData sheetId="14314">
        <row r="34">
          <cell r="A34" t="str">
            <v>Investments Govt Securities</v>
          </cell>
        </row>
      </sheetData>
      <sheetData sheetId="14315">
        <row r="34">
          <cell r="A34" t="str">
            <v>Investments Govt Securities</v>
          </cell>
        </row>
      </sheetData>
      <sheetData sheetId="14316">
        <row r="34">
          <cell r="A34" t="str">
            <v>Investments Govt Securities</v>
          </cell>
        </row>
      </sheetData>
      <sheetData sheetId="14317">
        <row r="34">
          <cell r="A34" t="str">
            <v>Investments Govt Securities</v>
          </cell>
        </row>
      </sheetData>
      <sheetData sheetId="14318"/>
      <sheetData sheetId="14319">
        <row r="34">
          <cell r="A34" t="str">
            <v>Investments Govt Securities</v>
          </cell>
        </row>
      </sheetData>
      <sheetData sheetId="14320">
        <row r="34">
          <cell r="A34" t="str">
            <v>Investments Govt Securities</v>
          </cell>
        </row>
      </sheetData>
      <sheetData sheetId="14321">
        <row r="34">
          <cell r="A34" t="str">
            <v>Investments Govt Securities</v>
          </cell>
        </row>
      </sheetData>
      <sheetData sheetId="14322">
        <row r="34">
          <cell r="A34" t="str">
            <v>Investments Govt Securities</v>
          </cell>
        </row>
      </sheetData>
      <sheetData sheetId="14323">
        <row r="34">
          <cell r="A34" t="str">
            <v>Investments Govt Securities</v>
          </cell>
        </row>
      </sheetData>
      <sheetData sheetId="14324">
        <row r="34">
          <cell r="A34" t="str">
            <v>Investments Govt Securities</v>
          </cell>
        </row>
      </sheetData>
      <sheetData sheetId="14325">
        <row r="34">
          <cell r="A34" t="str">
            <v>Investments Govt Securities</v>
          </cell>
        </row>
      </sheetData>
      <sheetData sheetId="14326">
        <row r="34">
          <cell r="A34" t="str">
            <v>Investments Govt Securities</v>
          </cell>
        </row>
      </sheetData>
      <sheetData sheetId="14327">
        <row r="34">
          <cell r="A34" t="str">
            <v>Investments Govt Securities</v>
          </cell>
        </row>
      </sheetData>
      <sheetData sheetId="14328">
        <row r="34">
          <cell r="A34" t="str">
            <v>Investments Govt Securities</v>
          </cell>
        </row>
      </sheetData>
      <sheetData sheetId="14329">
        <row r="34">
          <cell r="A34" t="str">
            <v>Investments Govt Securities</v>
          </cell>
        </row>
      </sheetData>
      <sheetData sheetId="14330">
        <row r="34">
          <cell r="A34" t="str">
            <v>Investments Govt Securities</v>
          </cell>
        </row>
      </sheetData>
      <sheetData sheetId="14331">
        <row r="34">
          <cell r="A34" t="str">
            <v>Investments Govt Securities</v>
          </cell>
        </row>
      </sheetData>
      <sheetData sheetId="14332">
        <row r="34">
          <cell r="A34" t="str">
            <v>Investments Govt Securities</v>
          </cell>
        </row>
      </sheetData>
      <sheetData sheetId="14333">
        <row r="34">
          <cell r="A34" t="str">
            <v>Investments Govt Securities</v>
          </cell>
        </row>
      </sheetData>
      <sheetData sheetId="14334">
        <row r="34">
          <cell r="A34" t="str">
            <v>Investments Govt Securities</v>
          </cell>
        </row>
      </sheetData>
      <sheetData sheetId="14335">
        <row r="34">
          <cell r="A34" t="str">
            <v>Investments Govt Securities</v>
          </cell>
        </row>
      </sheetData>
      <sheetData sheetId="14336">
        <row r="34">
          <cell r="A34" t="str">
            <v>Investments Govt Securities</v>
          </cell>
        </row>
      </sheetData>
      <sheetData sheetId="14337">
        <row r="34">
          <cell r="A34" t="str">
            <v>Investments Govt Securities</v>
          </cell>
        </row>
      </sheetData>
      <sheetData sheetId="14338">
        <row r="34">
          <cell r="A34" t="str">
            <v>Investments Govt Securities</v>
          </cell>
        </row>
      </sheetData>
      <sheetData sheetId="14339">
        <row r="34">
          <cell r="A34" t="str">
            <v>Investments Govt Securities</v>
          </cell>
        </row>
      </sheetData>
      <sheetData sheetId="14340">
        <row r="34">
          <cell r="A34" t="str">
            <v>Investments Govt Securities</v>
          </cell>
        </row>
      </sheetData>
      <sheetData sheetId="14341"/>
      <sheetData sheetId="14342">
        <row r="34">
          <cell r="A34" t="str">
            <v>Investments Govt Securities</v>
          </cell>
        </row>
      </sheetData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/>
      <sheetData sheetId="16455" refreshError="1"/>
      <sheetData sheetId="16456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>
        <row r="34">
          <cell r="A34" t="str">
            <v>Investments Govt Securities</v>
          </cell>
        </row>
      </sheetData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>
        <row r="34">
          <cell r="A34" t="str">
            <v>Investments Govt Securities</v>
          </cell>
        </row>
      </sheetData>
      <sheetData sheetId="16561" refreshError="1"/>
      <sheetData sheetId="16562" refreshError="1"/>
      <sheetData sheetId="16563" refreshError="1"/>
      <sheetData sheetId="16564" refreshError="1"/>
      <sheetData sheetId="16565">
        <row r="34">
          <cell r="A34" t="str">
            <v>Investments Govt Securities</v>
          </cell>
        </row>
      </sheetData>
      <sheetData sheetId="16566" refreshError="1"/>
      <sheetData sheetId="16567" refreshError="1"/>
      <sheetData sheetId="16568" refreshError="1"/>
      <sheetData sheetId="16569">
        <row r="34">
          <cell r="A34" t="str">
            <v>Investments Govt Securities</v>
          </cell>
        </row>
      </sheetData>
      <sheetData sheetId="16570">
        <row r="34">
          <cell r="A34" t="str">
            <v>Investments Govt Securities</v>
          </cell>
        </row>
      </sheetData>
      <sheetData sheetId="16571">
        <row r="34">
          <cell r="A34" t="str">
            <v>Investments Govt Securities</v>
          </cell>
        </row>
      </sheetData>
      <sheetData sheetId="16572"/>
      <sheetData sheetId="16573"/>
      <sheetData sheetId="16574">
        <row r="34">
          <cell r="A34" t="str">
            <v>Investments Govt Securities</v>
          </cell>
        </row>
      </sheetData>
      <sheetData sheetId="16575"/>
      <sheetData sheetId="16576"/>
      <sheetData sheetId="16577"/>
      <sheetData sheetId="16578"/>
      <sheetData sheetId="16579"/>
      <sheetData sheetId="16580"/>
      <sheetData sheetId="16581">
        <row r="34">
          <cell r="A34" t="str">
            <v>Investments Govt Securities</v>
          </cell>
        </row>
      </sheetData>
      <sheetData sheetId="16582">
        <row r="34">
          <cell r="A34" t="str">
            <v>Investments Govt Securities</v>
          </cell>
        </row>
      </sheetData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/>
      <sheetData sheetId="16612">
        <row r="34">
          <cell r="A34" t="str">
            <v>Investments Govt Securities</v>
          </cell>
        </row>
      </sheetData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>
        <row r="34">
          <cell r="A34" t="str">
            <v>Investments Govt Securities</v>
          </cell>
        </row>
      </sheetData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>
        <row r="34">
          <cell r="A34" t="str">
            <v>Investments Govt Securities</v>
          </cell>
        </row>
      </sheetData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>
        <row r="34">
          <cell r="A34" t="str">
            <v>Investments Govt Securities</v>
          </cell>
        </row>
      </sheetData>
      <sheetData sheetId="16767">
        <row r="34">
          <cell r="A34" t="str">
            <v>Investments Govt Securities</v>
          </cell>
        </row>
      </sheetData>
      <sheetData sheetId="16768">
        <row r="34">
          <cell r="A34" t="str">
            <v>Investments Govt Securities</v>
          </cell>
        </row>
      </sheetData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>
        <row r="34">
          <cell r="A34" t="str">
            <v>Investments Govt Securities</v>
          </cell>
        </row>
      </sheetData>
      <sheetData sheetId="16785"/>
      <sheetData sheetId="16786">
        <row r="34">
          <cell r="A34" t="str">
            <v>Investments Govt Securities</v>
          </cell>
        </row>
      </sheetData>
      <sheetData sheetId="16787"/>
      <sheetData sheetId="16788"/>
      <sheetData sheetId="16789"/>
      <sheetData sheetId="16790"/>
      <sheetData sheetId="16791"/>
      <sheetData sheetId="16792"/>
      <sheetData sheetId="16793"/>
      <sheetData sheetId="16794">
        <row r="34">
          <cell r="A34" t="str">
            <v>Investments Govt Securities</v>
          </cell>
        </row>
      </sheetData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>
        <row r="34">
          <cell r="A34" t="str">
            <v>Investments Govt Securities</v>
          </cell>
        </row>
      </sheetData>
      <sheetData sheetId="16836">
        <row r="34">
          <cell r="A34" t="str">
            <v>Investments Govt Securities</v>
          </cell>
        </row>
      </sheetData>
      <sheetData sheetId="16837">
        <row r="34">
          <cell r="A34" t="str">
            <v>Investments Govt Securities</v>
          </cell>
        </row>
      </sheetData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>
        <row r="34">
          <cell r="A34" t="str">
            <v>Investments Govt Securities</v>
          </cell>
        </row>
      </sheetData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>
        <row r="34">
          <cell r="A34" t="str">
            <v>Investments Govt Securities</v>
          </cell>
        </row>
      </sheetData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>
        <row r="34">
          <cell r="A34" t="str">
            <v>Investments Govt Securities</v>
          </cell>
        </row>
      </sheetData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>
        <row r="34">
          <cell r="A34" t="str">
            <v>Investments Govt Securities</v>
          </cell>
        </row>
      </sheetData>
      <sheetData sheetId="17019">
        <row r="34">
          <cell r="A34" t="str">
            <v>Investments Govt Securities</v>
          </cell>
        </row>
      </sheetData>
      <sheetData sheetId="17020">
        <row r="34">
          <cell r="A34" t="str">
            <v>Investments Govt Securities</v>
          </cell>
        </row>
      </sheetData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>
        <row r="34">
          <cell r="A34" t="str">
            <v>Investments Govt Securities</v>
          </cell>
        </row>
      </sheetData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>
        <row r="34">
          <cell r="A34" t="str">
            <v>Investments Govt Securities</v>
          </cell>
        </row>
      </sheetData>
      <sheetData sheetId="17199">
        <row r="34">
          <cell r="A34" t="str">
            <v>Investments Govt Securities</v>
          </cell>
        </row>
      </sheetData>
      <sheetData sheetId="17200">
        <row r="34">
          <cell r="A34" t="str">
            <v>Investments Govt Securities</v>
          </cell>
        </row>
      </sheetData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>
        <row r="34">
          <cell r="A34" t="str">
            <v>Investments Govt Securities</v>
          </cell>
        </row>
      </sheetData>
      <sheetData sheetId="17232"/>
      <sheetData sheetId="17233"/>
      <sheetData sheetId="17234"/>
      <sheetData sheetId="17235">
        <row r="34">
          <cell r="A34" t="str">
            <v>Investments Govt Securities</v>
          </cell>
        </row>
      </sheetData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>
        <row r="34">
          <cell r="A34" t="str">
            <v>Investments Govt Securities</v>
          </cell>
        </row>
      </sheetData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>
        <row r="34">
          <cell r="A34" t="str">
            <v>Investments Govt Securities</v>
          </cell>
        </row>
      </sheetData>
      <sheetData sheetId="17296">
        <row r="34">
          <cell r="A34" t="str">
            <v>Investments Govt Securities</v>
          </cell>
        </row>
      </sheetData>
      <sheetData sheetId="17297">
        <row r="34">
          <cell r="A34" t="str">
            <v>Investments Govt Securities</v>
          </cell>
        </row>
      </sheetData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>
        <row r="34">
          <cell r="A34" t="str">
            <v>Investments Govt Securities</v>
          </cell>
        </row>
      </sheetData>
      <sheetData sheetId="17329"/>
      <sheetData sheetId="17330"/>
      <sheetData sheetId="17331"/>
      <sheetData sheetId="17332">
        <row r="34">
          <cell r="A34" t="str">
            <v>Investments Govt Securities</v>
          </cell>
        </row>
      </sheetData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>
        <row r="34">
          <cell r="A34" t="str">
            <v>Investments Govt Securities</v>
          </cell>
        </row>
      </sheetData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>
        <row r="34">
          <cell r="A34" t="str">
            <v>Investments Govt Securities</v>
          </cell>
        </row>
      </sheetData>
      <sheetData sheetId="17397">
        <row r="34">
          <cell r="A34" t="str">
            <v>Investments Govt Securities</v>
          </cell>
        </row>
      </sheetData>
      <sheetData sheetId="17398">
        <row r="34">
          <cell r="A34" t="str">
            <v>Investments Govt Securities</v>
          </cell>
        </row>
      </sheetData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>
        <row r="34">
          <cell r="A34" t="str">
            <v>Investments Govt Securities</v>
          </cell>
        </row>
      </sheetData>
      <sheetData sheetId="17430"/>
      <sheetData sheetId="17431"/>
      <sheetData sheetId="17432"/>
      <sheetData sheetId="17433">
        <row r="34">
          <cell r="A34" t="str">
            <v>Investments Govt Securities</v>
          </cell>
        </row>
      </sheetData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>
        <row r="34">
          <cell r="A34" t="str">
            <v>Investments Govt Securities</v>
          </cell>
        </row>
      </sheetData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>
        <row r="34">
          <cell r="A34" t="str">
            <v>Investments Govt Securities</v>
          </cell>
        </row>
      </sheetData>
      <sheetData sheetId="17496">
        <row r="34">
          <cell r="A34" t="str">
            <v>Investments Govt Securities</v>
          </cell>
        </row>
      </sheetData>
      <sheetData sheetId="17497">
        <row r="34">
          <cell r="A34" t="str">
            <v>Investments Govt Securities</v>
          </cell>
        </row>
      </sheetData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>
        <row r="34">
          <cell r="A34" t="str">
            <v>Investments Govt Securities</v>
          </cell>
        </row>
      </sheetData>
      <sheetData sheetId="17529"/>
      <sheetData sheetId="17530"/>
      <sheetData sheetId="17531"/>
      <sheetData sheetId="17532">
        <row r="34">
          <cell r="A34" t="str">
            <v>Investments Govt Securities</v>
          </cell>
        </row>
      </sheetData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>
        <row r="34">
          <cell r="A34" t="str">
            <v>Investments Govt Securities</v>
          </cell>
        </row>
      </sheetData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>
        <row r="34">
          <cell r="A34" t="str">
            <v>Investments Govt Securities</v>
          </cell>
        </row>
      </sheetData>
      <sheetData sheetId="17597">
        <row r="34">
          <cell r="A34" t="str">
            <v>Investments Govt Securities</v>
          </cell>
        </row>
      </sheetData>
      <sheetData sheetId="17598">
        <row r="34">
          <cell r="A34" t="str">
            <v>Investments Govt Securities</v>
          </cell>
        </row>
      </sheetData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>
        <row r="34">
          <cell r="A34" t="str">
            <v>Investments Govt Securities</v>
          </cell>
        </row>
      </sheetData>
      <sheetData sheetId="17630"/>
      <sheetData sheetId="17631"/>
      <sheetData sheetId="17632"/>
      <sheetData sheetId="17633">
        <row r="34">
          <cell r="A34" t="str">
            <v>Investments Govt Securities</v>
          </cell>
        </row>
      </sheetData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>
        <row r="34">
          <cell r="A34" t="str">
            <v>Investments Govt Securities</v>
          </cell>
        </row>
      </sheetData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>
        <row r="34">
          <cell r="A34" t="str">
            <v>Investments Govt Securities</v>
          </cell>
        </row>
      </sheetData>
      <sheetData sheetId="17697">
        <row r="34">
          <cell r="A34" t="str">
            <v>Investments Govt Securities</v>
          </cell>
        </row>
      </sheetData>
      <sheetData sheetId="17698">
        <row r="34">
          <cell r="A34" t="str">
            <v>Investments Govt Securities</v>
          </cell>
        </row>
      </sheetData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>
        <row r="34">
          <cell r="A34" t="str">
            <v>Investments Govt Securities</v>
          </cell>
        </row>
      </sheetData>
      <sheetData sheetId="17730"/>
      <sheetData sheetId="17731"/>
      <sheetData sheetId="17732"/>
      <sheetData sheetId="17733">
        <row r="34">
          <cell r="A34" t="str">
            <v>Investments Govt Securities</v>
          </cell>
        </row>
      </sheetData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>
        <row r="34">
          <cell r="A34" t="str">
            <v>Investments Govt Securities</v>
          </cell>
        </row>
      </sheetData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>
        <row r="34">
          <cell r="A34" t="str">
            <v>Investments Govt Securities</v>
          </cell>
        </row>
      </sheetData>
      <sheetData sheetId="17801">
        <row r="34">
          <cell r="A34" t="str">
            <v>Investments Govt Securities</v>
          </cell>
        </row>
      </sheetData>
      <sheetData sheetId="17802">
        <row r="34">
          <cell r="A34" t="str">
            <v>Investments Govt Securities</v>
          </cell>
        </row>
      </sheetData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>
        <row r="34">
          <cell r="A34" t="str">
            <v>Investments Govt Securities</v>
          </cell>
        </row>
      </sheetData>
      <sheetData sheetId="17834"/>
      <sheetData sheetId="17835"/>
      <sheetData sheetId="17836"/>
      <sheetData sheetId="17837">
        <row r="34">
          <cell r="A34" t="str">
            <v>Investments Govt Securities</v>
          </cell>
        </row>
      </sheetData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>
        <row r="34">
          <cell r="A34" t="str">
            <v>Investments Govt Securities</v>
          </cell>
        </row>
      </sheetData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>
        <row r="34">
          <cell r="A34" t="str">
            <v>Investments Govt Securities</v>
          </cell>
        </row>
      </sheetData>
      <sheetData sheetId="17905">
        <row r="34">
          <cell r="A34" t="str">
            <v>Investments Govt Securities</v>
          </cell>
        </row>
      </sheetData>
      <sheetData sheetId="17906">
        <row r="34">
          <cell r="A34" t="str">
            <v>Investments Govt Securities</v>
          </cell>
        </row>
      </sheetData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>
        <row r="34">
          <cell r="A34" t="str">
            <v>Investments Govt Securities</v>
          </cell>
        </row>
      </sheetData>
      <sheetData sheetId="17938"/>
      <sheetData sheetId="17939"/>
      <sheetData sheetId="17940"/>
      <sheetData sheetId="17941">
        <row r="34">
          <cell r="A34" t="str">
            <v>Investments Govt Securities</v>
          </cell>
        </row>
      </sheetData>
      <sheetData sheetId="17942"/>
      <sheetData sheetId="17943"/>
      <sheetData sheetId="17944"/>
      <sheetData sheetId="17945"/>
      <sheetData sheetId="17946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/>
      <sheetData sheetId="18132"/>
      <sheetData sheetId="18133"/>
      <sheetData sheetId="18134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>
        <row r="34">
          <cell r="A34" t="str">
            <v>Investments Govt Securities</v>
          </cell>
        </row>
      </sheetData>
      <sheetData sheetId="18230">
        <row r="34">
          <cell r="A34" t="str">
            <v>Investments Govt Securities</v>
          </cell>
        </row>
      </sheetData>
      <sheetData sheetId="18231">
        <row r="34">
          <cell r="A34" t="str">
            <v>Investments Govt Securities</v>
          </cell>
        </row>
      </sheetData>
      <sheetData sheetId="18232">
        <row r="34">
          <cell r="A34" t="str">
            <v>Investments Govt Securities</v>
          </cell>
        </row>
      </sheetData>
      <sheetData sheetId="18233">
        <row r="34">
          <cell r="A34" t="str">
            <v>Investments Govt Securities</v>
          </cell>
        </row>
      </sheetData>
      <sheetData sheetId="18234">
        <row r="34">
          <cell r="A34" t="str">
            <v>Investments Govt Securities</v>
          </cell>
        </row>
      </sheetData>
      <sheetData sheetId="18235">
        <row r="34">
          <cell r="A34" t="str">
            <v>Investments Govt Securities</v>
          </cell>
        </row>
      </sheetData>
      <sheetData sheetId="18236">
        <row r="34">
          <cell r="A34" t="str">
            <v>Investments Govt Securities</v>
          </cell>
        </row>
      </sheetData>
      <sheetData sheetId="18237">
        <row r="34">
          <cell r="A34" t="str">
            <v>Investments Govt Securities</v>
          </cell>
        </row>
      </sheetData>
      <sheetData sheetId="18238">
        <row r="34">
          <cell r="A34" t="str">
            <v>Investments Govt Securities</v>
          </cell>
        </row>
      </sheetData>
      <sheetData sheetId="18239">
        <row r="34">
          <cell r="A34" t="str">
            <v>Investments Govt Securities</v>
          </cell>
        </row>
      </sheetData>
      <sheetData sheetId="18240">
        <row r="34">
          <cell r="A34" t="str">
            <v>Investments Govt Securities</v>
          </cell>
        </row>
      </sheetData>
      <sheetData sheetId="18241">
        <row r="34">
          <cell r="A34" t="str">
            <v>Investments Govt Securities</v>
          </cell>
        </row>
      </sheetData>
      <sheetData sheetId="18242">
        <row r="34">
          <cell r="A34" t="str">
            <v>Investments Govt Securities</v>
          </cell>
        </row>
      </sheetData>
      <sheetData sheetId="18243">
        <row r="34">
          <cell r="A34" t="str">
            <v>Investments Govt Securities</v>
          </cell>
        </row>
      </sheetData>
      <sheetData sheetId="18244">
        <row r="34">
          <cell r="A34" t="str">
            <v>Investments Govt Securities</v>
          </cell>
        </row>
      </sheetData>
      <sheetData sheetId="18245">
        <row r="34">
          <cell r="A34" t="str">
            <v>Investments Govt Securities</v>
          </cell>
        </row>
      </sheetData>
      <sheetData sheetId="18246">
        <row r="34">
          <cell r="A34" t="str">
            <v>Investments Govt Securities</v>
          </cell>
        </row>
      </sheetData>
      <sheetData sheetId="18247">
        <row r="34">
          <cell r="A34" t="str">
            <v>Investments Govt Securities</v>
          </cell>
        </row>
      </sheetData>
      <sheetData sheetId="18248">
        <row r="34">
          <cell r="A34" t="str">
            <v>Investments Govt Securities</v>
          </cell>
        </row>
      </sheetData>
      <sheetData sheetId="18249">
        <row r="34">
          <cell r="A34" t="str">
            <v>Investments Govt Securities</v>
          </cell>
        </row>
      </sheetData>
      <sheetData sheetId="18250">
        <row r="34">
          <cell r="A34" t="str">
            <v>Investments Govt Securities</v>
          </cell>
        </row>
      </sheetData>
      <sheetData sheetId="18251">
        <row r="34">
          <cell r="A34" t="str">
            <v>Investments Govt Securities</v>
          </cell>
        </row>
      </sheetData>
      <sheetData sheetId="18252">
        <row r="34">
          <cell r="A34" t="str">
            <v>Investments Govt Securities</v>
          </cell>
        </row>
      </sheetData>
      <sheetData sheetId="18253">
        <row r="34">
          <cell r="A34" t="str">
            <v>Investments Govt Securities</v>
          </cell>
        </row>
      </sheetData>
      <sheetData sheetId="18254">
        <row r="34">
          <cell r="A34" t="str">
            <v>Investments Govt Securities</v>
          </cell>
        </row>
      </sheetData>
      <sheetData sheetId="18255">
        <row r="34">
          <cell r="A34" t="str">
            <v>Investments Govt Securities</v>
          </cell>
        </row>
      </sheetData>
      <sheetData sheetId="18256">
        <row r="34">
          <cell r="A34" t="str">
            <v>Investments Govt Securities</v>
          </cell>
        </row>
      </sheetData>
      <sheetData sheetId="18257">
        <row r="34">
          <cell r="A34" t="str">
            <v>Investments Govt Securities</v>
          </cell>
        </row>
      </sheetData>
      <sheetData sheetId="18258"/>
      <sheetData sheetId="18259">
        <row r="34">
          <cell r="A34" t="str">
            <v>Investments Govt Securities</v>
          </cell>
        </row>
      </sheetData>
      <sheetData sheetId="18260">
        <row r="34">
          <cell r="A34" t="str">
            <v>Investments Govt Securities</v>
          </cell>
        </row>
      </sheetData>
      <sheetData sheetId="18261">
        <row r="34">
          <cell r="A34" t="str">
            <v>Investments Govt Securities</v>
          </cell>
        </row>
      </sheetData>
      <sheetData sheetId="18262">
        <row r="34">
          <cell r="A34" t="str">
            <v>Investments Govt Securities</v>
          </cell>
        </row>
      </sheetData>
      <sheetData sheetId="18263">
        <row r="34">
          <cell r="A34" t="str">
            <v>Investments Govt Securities</v>
          </cell>
        </row>
      </sheetData>
      <sheetData sheetId="18264">
        <row r="34">
          <cell r="A34" t="str">
            <v>Investments Govt Securities</v>
          </cell>
        </row>
      </sheetData>
      <sheetData sheetId="18265">
        <row r="34">
          <cell r="A34" t="str">
            <v>Investments Govt Securities</v>
          </cell>
        </row>
      </sheetData>
      <sheetData sheetId="18266">
        <row r="34">
          <cell r="A34" t="str">
            <v>Investments Govt Securities</v>
          </cell>
        </row>
      </sheetData>
      <sheetData sheetId="18267">
        <row r="34">
          <cell r="A34" t="str">
            <v>Investments Govt Securities</v>
          </cell>
        </row>
      </sheetData>
      <sheetData sheetId="18268">
        <row r="34">
          <cell r="A34" t="str">
            <v>Investments Govt Securities</v>
          </cell>
        </row>
      </sheetData>
      <sheetData sheetId="18269">
        <row r="34">
          <cell r="A34" t="str">
            <v>Investments Govt Securities</v>
          </cell>
        </row>
      </sheetData>
      <sheetData sheetId="18270">
        <row r="34">
          <cell r="A34" t="str">
            <v>Investments Govt Securities</v>
          </cell>
        </row>
      </sheetData>
      <sheetData sheetId="18271">
        <row r="34">
          <cell r="A34" t="str">
            <v>Investments Govt Securities</v>
          </cell>
        </row>
      </sheetData>
      <sheetData sheetId="18272">
        <row r="34">
          <cell r="A34" t="str">
            <v>Investments Govt Securities</v>
          </cell>
        </row>
      </sheetData>
      <sheetData sheetId="18273">
        <row r="34">
          <cell r="A34" t="str">
            <v>Investments Govt Securities</v>
          </cell>
        </row>
      </sheetData>
      <sheetData sheetId="18274">
        <row r="34">
          <cell r="A34" t="str">
            <v>Investments Govt Securities</v>
          </cell>
        </row>
      </sheetData>
      <sheetData sheetId="18275">
        <row r="34">
          <cell r="A34" t="str">
            <v>Investments Govt Securities</v>
          </cell>
        </row>
      </sheetData>
      <sheetData sheetId="18276">
        <row r="34">
          <cell r="A34" t="str">
            <v>Investments Govt Securities</v>
          </cell>
        </row>
      </sheetData>
      <sheetData sheetId="18277">
        <row r="34">
          <cell r="A34" t="str">
            <v>Investments Govt Securities</v>
          </cell>
        </row>
      </sheetData>
      <sheetData sheetId="18278">
        <row r="34">
          <cell r="A34" t="str">
            <v>Investments Govt Securities</v>
          </cell>
        </row>
      </sheetData>
      <sheetData sheetId="18279">
        <row r="34">
          <cell r="A34" t="str">
            <v>Investments Govt Securities</v>
          </cell>
        </row>
      </sheetData>
      <sheetData sheetId="18280">
        <row r="34">
          <cell r="A34" t="str">
            <v>Investments Govt Securities</v>
          </cell>
        </row>
      </sheetData>
      <sheetData sheetId="18281"/>
      <sheetData sheetId="18282">
        <row r="34">
          <cell r="A34" t="str">
            <v>Investments Govt Securities</v>
          </cell>
        </row>
      </sheetData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 refreshError="1"/>
      <sheetData sheetId="18582" refreshError="1"/>
      <sheetData sheetId="18583" refreshError="1"/>
      <sheetData sheetId="18584" refreshError="1"/>
      <sheetData sheetId="1858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TBAL9697 -group wise  sdpl"/>
      <sheetName val="Labor abs-NMR"/>
      <sheetName val="Labor abs-PW"/>
      <sheetName val="Rate analysis"/>
      <sheetName val="std"/>
      <sheetName val="Staff Acco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madation"/>
      <sheetName val="RENT MASTER FILE"/>
      <sheetName val="TBAL9697 -group wise  sdpl"/>
      <sheetName val="gen"/>
      <sheetName val="Break up Sheet"/>
      <sheetName val="RENT_MASTER_FILE"/>
      <sheetName val="TBAL9697_-group_wise__sdpl"/>
      <sheetName val="Break_up_Sheet"/>
      <sheetName val="RA-markate"/>
      <sheetName val="Rate analysis"/>
      <sheetName val="환율"/>
      <sheetName val="Builtup Area"/>
      <sheetName val="RENT_MASTER_FILE6"/>
      <sheetName val="TBAL9697_-group_wise__sdpl6"/>
      <sheetName val="Break_up_Sheet6"/>
      <sheetName val="Rate_analysis5"/>
      <sheetName val="RENT_MASTER_FILE4"/>
      <sheetName val="TBAL9697_-group_wise__sdpl4"/>
      <sheetName val="Break_up_Sheet4"/>
      <sheetName val="Rate_analysis3"/>
      <sheetName val="RENT_MASTER_FILE3"/>
      <sheetName val="TBAL9697_-group_wise__sdpl3"/>
      <sheetName val="Break_up_Sheet3"/>
      <sheetName val="Rate_analysis2"/>
      <sheetName val="RENT_MASTER_FILE1"/>
      <sheetName val="TBAL9697_-group_wise__sdpl1"/>
      <sheetName val="Break_up_Sheet1"/>
      <sheetName val="Rate_analysis"/>
      <sheetName val="RENT_MASTER_FILE2"/>
      <sheetName val="TBAL9697_-group_wise__sdpl2"/>
      <sheetName val="Break_up_Sheet2"/>
      <sheetName val="Rate_analysis1"/>
      <sheetName val="RENT_MASTER_FILE5"/>
      <sheetName val="TBAL9697_-group_wise__sdpl5"/>
      <sheetName val="Break_up_Sheet5"/>
      <sheetName val="Rate_analysis4"/>
      <sheetName val="Design"/>
      <sheetName val="Labor abs-NMR"/>
      <sheetName val="RENT_MASTER_FILE7"/>
      <sheetName val="TBAL9697_-group_wise__sdpl7"/>
      <sheetName val="Break_up_Sheet7"/>
      <sheetName val="Rate_analysis6"/>
      <sheetName val="Builtup_Area"/>
      <sheetName val="Labor_abs-NMR"/>
      <sheetName val="Table"/>
      <sheetName val="RENT_MASTER_FILE8"/>
      <sheetName val="TBAL9697_-group_wise__sdpl8"/>
      <sheetName val="Break_up_Sheet8"/>
      <sheetName val="Rate_analysis7"/>
      <sheetName val="Builtup_Area1"/>
      <sheetName val="Labor_abs-NMR1"/>
      <sheetName val="Database"/>
      <sheetName val="schedule nos"/>
      <sheetName val="ancillary"/>
      <sheetName val="csb(11-12,0820)"/>
      <sheetName val="Boq"/>
      <sheetName val="SRC-B3U2"/>
      <sheetName val="Basement Budget"/>
      <sheetName val="Calendar"/>
      <sheetName val="공종별_집계금액"/>
      <sheetName val="schedule_nos"/>
      <sheetName val="Basement_Budget"/>
      <sheetName val="schedule_nos1"/>
      <sheetName val="Basement_Budget1"/>
      <sheetName val="Item정리"/>
      <sheetName val="schedule_nos2"/>
      <sheetName val="Basement_Budget2"/>
      <sheetName val="AO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/>
      <sheetData sheetId="66"/>
      <sheetData sheetId="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Tracking"/>
      <sheetName val="Column schedule"/>
      <sheetName val="Typical floors"/>
      <sheetName val="Column Schedule GF to TransferF"/>
      <sheetName val="Reinforcement"/>
    </sheetNames>
    <sheetDataSet>
      <sheetData sheetId="0">
        <row r="5">
          <cell r="C5">
            <v>169.065</v>
          </cell>
        </row>
      </sheetData>
      <sheetData sheetId="1" refreshError="1"/>
      <sheetData sheetId="2" refreshError="1"/>
      <sheetData sheetId="3">
        <row r="11">
          <cell r="Q11">
            <v>40</v>
          </cell>
        </row>
      </sheetData>
      <sheetData sheetId="4" refreshError="1"/>
      <sheetData sheetId="5">
        <row r="10">
          <cell r="V10">
            <v>2587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ReportVendorwise.rpt"/>
      <sheetName val="Recon "/>
      <sheetName val="AS PER TALLY"/>
      <sheetName val="04-05"/>
      <sheetName val="04-05 Det"/>
      <sheetName val="05-06"/>
      <sheetName val="DET05-06"/>
      <sheetName val="Working sheet"/>
      <sheetName val="Macro"/>
      <sheetName val="Micro"/>
      <sheetName val="A block"/>
      <sheetName val="B block"/>
      <sheetName val="master QTY"/>
      <sheetName val="A-Class material new"/>
      <sheetName val="MS Items"/>
      <sheetName val="preliminaries"/>
      <sheetName val="Establishment ch "/>
      <sheetName val="Staff Salary"/>
      <sheetName val="Training sheet"/>
      <sheetName val="COST-SFT-SHUT"/>
      <sheetName val="Shuttering Working"/>
      <sheetName val="Shuttering"/>
      <sheetName val="Scaffolding  @ THE END"/>
      <sheetName val="Scaffolding Ch"/>
      <sheetName val="Mobalisation"/>
      <sheetName val="steel up "/>
      <sheetName val="PM CH1"/>
      <sheetName val="PM Recon"/>
      <sheetName val="PM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Safety"/>
      <sheetName val="Tools"/>
      <sheetName val="Tools new"/>
      <sheetName val="powertools"/>
      <sheetName val="Spares nw"/>
      <sheetName val="cement&amp;whitecement"/>
      <sheetName val="blockwork Qty."/>
      <sheetName val="c-classnw"/>
      <sheetName val="A_Class material new"/>
      <sheetName val="RENT MASTER FILE"/>
      <sheetName val="TBAL9697 -group wise  sdpl"/>
      <sheetName val="dBase"/>
      <sheetName val="Structure Bills Qty"/>
      <sheetName val="cutting fint_x0000_"/>
      <sheetName val="Data"/>
      <sheetName val="Lead"/>
      <sheetName val="Meas.-Hotel Part"/>
      <sheetName val="Invoice"/>
      <sheetName val="expenses up to 07-08"/>
      <sheetName val="Package split - Cost"/>
      <sheetName val="F&amp;B"/>
      <sheetName val="#REF"/>
      <sheetName val="Kitchen"/>
      <sheetName val="Housek"/>
      <sheetName val="Maint"/>
      <sheetName val="Cashflow projection"/>
      <sheetName val="Fill this out first..."/>
      <sheetName val="cutting fint"/>
      <sheetName val="concrete"/>
      <sheetName val="beam-reinft-IIInd floor"/>
      <sheetName val="cutting fint?"/>
      <sheetName val="WORK TABLE"/>
      <sheetName val="p&amp;m"/>
      <sheetName val="Inter connect Revenue"/>
      <sheetName val="cutting fint_"/>
      <sheetName val="Break up Sheet"/>
      <sheetName val="labour coeff"/>
      <sheetName val="ACS(1)"/>
      <sheetName val="FAS-C(4)"/>
      <sheetName val="CCTV(old)"/>
      <sheetName val="Sheet2"/>
      <sheetName val="Data sheet"/>
      <sheetName val="TULIP new PQS"/>
      <sheetName val="Sheet1"/>
      <sheetName val="Fin Sum"/>
      <sheetName val="girder"/>
      <sheetName val="PRECAST lightconc-II"/>
      <sheetName val="MenuData"/>
      <sheetName val="Parameter"/>
      <sheetName val="Mat_Cost"/>
      <sheetName val="factors"/>
      <sheetName val="Sheet3"/>
      <sheetName val="Sun E Type"/>
      <sheetName val="DetEst"/>
      <sheetName val="labour"/>
      <sheetName val="Shuttering analysis (2)"/>
      <sheetName val="FORM7"/>
      <sheetName val="MaterialReportVendorwise_rpt"/>
      <sheetName val="Recon_"/>
      <sheetName val="AS_PER_TALLY"/>
      <sheetName val="04-05_Det"/>
      <sheetName val="Working_sheet"/>
      <sheetName val="A_block"/>
      <sheetName val="B_block"/>
      <sheetName val="master_QTY"/>
      <sheetName val="A-Class_material_new"/>
      <sheetName val="MS_Items"/>
      <sheetName val="Establishment_ch_"/>
      <sheetName val="Staff_Salary"/>
      <sheetName val="Training_sheet"/>
      <sheetName val="Shuttering_Working"/>
      <sheetName val="Scaffolding__@_THE_END"/>
      <sheetName val="Scaffolding_Ch"/>
      <sheetName val="steel_up_"/>
      <sheetName val="PM_CH1"/>
      <sheetName val="PM_Recon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Tools_new"/>
      <sheetName val="Spares_nw"/>
      <sheetName val="blockwork_Qty_"/>
      <sheetName val="A_Class_material_new"/>
      <sheetName val="RENT_MASTER_FILE"/>
      <sheetName val="TBAL9697_-group_wise__sdpl"/>
      <sheetName val="Structure_Bills_Qty"/>
      <sheetName val="cutting_fint"/>
      <sheetName val="Meas_-Hotel_Part"/>
      <sheetName val="expenses_up_to_07-08"/>
      <sheetName val="Package_split_-_Cost"/>
      <sheetName val="Cashflow_projection"/>
      <sheetName val="Fill_this_out_first___"/>
      <sheetName val="beam-reinft-IIInd_floor"/>
      <sheetName val="cutting_fint?"/>
      <sheetName val="WORK_TABLE"/>
      <sheetName val="Inter_connect_Revenue"/>
      <sheetName val="cutting_fint_"/>
      <sheetName val="Break_up_Sheet"/>
      <sheetName val="RA-markate"/>
      <sheetName val="gen"/>
      <sheetName val="gVL"/>
      <sheetName val="Costing"/>
      <sheetName val="COST"/>
      <sheetName val="Income Statement"/>
      <sheetName val="Name List"/>
      <sheetName val="design"/>
      <sheetName val="Per Unit"/>
      <sheetName val="MaterialReportVendorwise_rpt6"/>
      <sheetName val="Recon_6"/>
      <sheetName val="AS_PER_TALLY6"/>
      <sheetName val="04-05_Det6"/>
      <sheetName val="Working_sheet6"/>
      <sheetName val="A_block6"/>
      <sheetName val="B_block6"/>
      <sheetName val="master_QTY6"/>
      <sheetName val="A-Class_material_new6"/>
      <sheetName val="MS_Items6"/>
      <sheetName val="Establishment_ch_6"/>
      <sheetName val="Staff_Salary6"/>
      <sheetName val="Training_sheet6"/>
      <sheetName val="Shuttering_Working6"/>
      <sheetName val="Scaffolding__@_THE_END6"/>
      <sheetName val="Scaffolding_Ch6"/>
      <sheetName val="steel_up_6"/>
      <sheetName val="PM_CH16"/>
      <sheetName val="PM_Recon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Tools_new6"/>
      <sheetName val="Spares_nw6"/>
      <sheetName val="blockwork_Qty_6"/>
      <sheetName val="A_Class_material_new6"/>
      <sheetName val="RENT_MASTER_FILE6"/>
      <sheetName val="TBAL9697_-group_wise__sdpl6"/>
      <sheetName val="Structure_Bills_Qty6"/>
      <sheetName val="Meas_-Hotel_Part6"/>
      <sheetName val="expenses_up_to_07-086"/>
      <sheetName val="Package_split_-_Cost6"/>
      <sheetName val="Cashflow_projection6"/>
      <sheetName val="Fill_this_out_first___6"/>
      <sheetName val="cutting_fint6"/>
      <sheetName val="beam-reinft-IIInd_floor6"/>
      <sheetName val="cutting_fint?6"/>
      <sheetName val="WORK_TABLE6"/>
      <sheetName val="Inter_connect_Revenue6"/>
      <sheetName val="cutting_fint_6"/>
      <sheetName val="Break_up_Sheet6"/>
      <sheetName val="labour_coeff5"/>
      <sheetName val="Data_sheet5"/>
      <sheetName val="TULIP_new_PQS5"/>
      <sheetName val="Fin_Sum5"/>
      <sheetName val="PRECAST_lightconc-II5"/>
      <sheetName val="Sun_E_Type5"/>
      <sheetName val="Shuttering_analysis_(2)5"/>
      <sheetName val="MaterialReportVendorwise_rpt4"/>
      <sheetName val="Recon_4"/>
      <sheetName val="AS_PER_TALLY4"/>
      <sheetName val="04-05_Det4"/>
      <sheetName val="Working_sheet4"/>
      <sheetName val="A_block4"/>
      <sheetName val="B_block4"/>
      <sheetName val="master_QTY4"/>
      <sheetName val="A-Class_material_new4"/>
      <sheetName val="MS_Items4"/>
      <sheetName val="Establishment_ch_4"/>
      <sheetName val="Staff_Salary4"/>
      <sheetName val="Training_sheet4"/>
      <sheetName val="Shuttering_Working4"/>
      <sheetName val="Scaffolding__@_THE_END4"/>
      <sheetName val="Scaffolding_Ch4"/>
      <sheetName val="steel_up_4"/>
      <sheetName val="PM_CH14"/>
      <sheetName val="PM_Recon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Tools_new4"/>
      <sheetName val="Spares_nw4"/>
      <sheetName val="blockwork_Qty_4"/>
      <sheetName val="A_Class_material_new4"/>
      <sheetName val="RENT_MASTER_FILE4"/>
      <sheetName val="TBAL9697_-group_wise__sdpl4"/>
      <sheetName val="Structure_Bills_Qty4"/>
      <sheetName val="Meas_-Hotel_Part4"/>
      <sheetName val="expenses_up_to_07-084"/>
      <sheetName val="Package_split_-_Cost4"/>
      <sheetName val="Cashflow_projection4"/>
      <sheetName val="Fill_this_out_first___4"/>
      <sheetName val="cutting_fint4"/>
      <sheetName val="beam-reinft-IIInd_floor4"/>
      <sheetName val="cutting_fint?4"/>
      <sheetName val="WORK_TABLE4"/>
      <sheetName val="Inter_connect_Revenue4"/>
      <sheetName val="cutting_fint_4"/>
      <sheetName val="Break_up_Sheet4"/>
      <sheetName val="labour_coeff3"/>
      <sheetName val="Data_sheet3"/>
      <sheetName val="TULIP_new_PQS3"/>
      <sheetName val="Fin_Sum3"/>
      <sheetName val="PRECAST_lightconc-II3"/>
      <sheetName val="Sun_E_Type3"/>
      <sheetName val="Shuttering_analysis_(2)3"/>
      <sheetName val="MaterialReportVendorwise_rpt3"/>
      <sheetName val="Recon_3"/>
      <sheetName val="AS_PER_TALLY3"/>
      <sheetName val="04-05_Det3"/>
      <sheetName val="Working_sheet3"/>
      <sheetName val="A_block3"/>
      <sheetName val="B_block3"/>
      <sheetName val="master_QTY3"/>
      <sheetName val="A-Class_material_new3"/>
      <sheetName val="MS_Items3"/>
      <sheetName val="Establishment_ch_3"/>
      <sheetName val="Staff_Salary3"/>
      <sheetName val="Training_sheet3"/>
      <sheetName val="Shuttering_Working3"/>
      <sheetName val="Scaffolding__@_THE_END3"/>
      <sheetName val="Scaffolding_Ch3"/>
      <sheetName val="steel_up_3"/>
      <sheetName val="PM_CH13"/>
      <sheetName val="PM_Recon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Tools_new3"/>
      <sheetName val="Spares_nw3"/>
      <sheetName val="blockwork_Qty_3"/>
      <sheetName val="A_Class_material_new3"/>
      <sheetName val="RENT_MASTER_FILE3"/>
      <sheetName val="TBAL9697_-group_wise__sdpl3"/>
      <sheetName val="Structure_Bills_Qty3"/>
      <sheetName val="Meas_-Hotel_Part3"/>
      <sheetName val="expenses_up_to_07-083"/>
      <sheetName val="Package_split_-_Cost3"/>
      <sheetName val="Cashflow_projection3"/>
      <sheetName val="Fill_this_out_first___3"/>
      <sheetName val="cutting_fint3"/>
      <sheetName val="beam-reinft-IIInd_floor3"/>
      <sheetName val="cutting_fint?3"/>
      <sheetName val="WORK_TABLE3"/>
      <sheetName val="Inter_connect_Revenue3"/>
      <sheetName val="cutting_fint_3"/>
      <sheetName val="Break_up_Sheet3"/>
      <sheetName val="labour_coeff2"/>
      <sheetName val="Data_sheet2"/>
      <sheetName val="TULIP_new_PQS2"/>
      <sheetName val="Fin_Sum2"/>
      <sheetName val="PRECAST_lightconc-II2"/>
      <sheetName val="Sun_E_Type2"/>
      <sheetName val="Shuttering_analysis_(2)2"/>
      <sheetName val="Income_Statement2"/>
      <sheetName val="Name_List2"/>
      <sheetName val="Per_Unit2"/>
      <sheetName val="MaterialReportVendorwise_rpt1"/>
      <sheetName val="Recon_1"/>
      <sheetName val="AS_PER_TALLY1"/>
      <sheetName val="04-05_Det1"/>
      <sheetName val="Working_sheet1"/>
      <sheetName val="A_block1"/>
      <sheetName val="B_block1"/>
      <sheetName val="master_QTY1"/>
      <sheetName val="A-Class_material_new1"/>
      <sheetName val="MS_Items1"/>
      <sheetName val="Establishment_ch_1"/>
      <sheetName val="Staff_Salary1"/>
      <sheetName val="Training_sheet1"/>
      <sheetName val="Shuttering_Working1"/>
      <sheetName val="Scaffolding__@_THE_END1"/>
      <sheetName val="Scaffolding_Ch1"/>
      <sheetName val="steel_up_1"/>
      <sheetName val="PM_CH11"/>
      <sheetName val="PM_Recon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Tools_new1"/>
      <sheetName val="Spares_nw1"/>
      <sheetName val="blockwork_Qty_1"/>
      <sheetName val="A_Class_material_new1"/>
      <sheetName val="RENT_MASTER_FILE1"/>
      <sheetName val="TBAL9697_-group_wise__sdpl1"/>
      <sheetName val="Structure_Bills_Qty1"/>
      <sheetName val="Meas_-Hotel_Part1"/>
      <sheetName val="expenses_up_to_07-081"/>
      <sheetName val="Package_split_-_Cost1"/>
      <sheetName val="Cashflow_projection1"/>
      <sheetName val="Fill_this_out_first___1"/>
      <sheetName val="cutting_fint1"/>
      <sheetName val="beam-reinft-IIInd_floor1"/>
      <sheetName val="cutting_fint?1"/>
      <sheetName val="WORK_TABLE1"/>
      <sheetName val="Inter_connect_Revenue1"/>
      <sheetName val="cutting_fint_1"/>
      <sheetName val="Break_up_Sheet1"/>
      <sheetName val="labour_coeff"/>
      <sheetName val="Data_sheet"/>
      <sheetName val="TULIP_new_PQS"/>
      <sheetName val="Fin_Sum"/>
      <sheetName val="PRECAST_lightconc-II"/>
      <sheetName val="Sun_E_Type"/>
      <sheetName val="Shuttering_analysis_(2)"/>
      <sheetName val="Income_Statement"/>
      <sheetName val="Name_List"/>
      <sheetName val="Per_Unit"/>
      <sheetName val="MaterialReportVendorwise_rpt2"/>
      <sheetName val="Recon_2"/>
      <sheetName val="AS_PER_TALLY2"/>
      <sheetName val="04-05_Det2"/>
      <sheetName val="Working_sheet2"/>
      <sheetName val="A_block2"/>
      <sheetName val="B_block2"/>
      <sheetName val="master_QTY2"/>
      <sheetName val="A-Class_material_new2"/>
      <sheetName val="MS_Items2"/>
      <sheetName val="Establishment_ch_2"/>
      <sheetName val="Staff_Salary2"/>
      <sheetName val="Training_sheet2"/>
      <sheetName val="Shuttering_Working2"/>
      <sheetName val="Scaffolding__@_THE_END2"/>
      <sheetName val="Scaffolding_Ch2"/>
      <sheetName val="steel_up_2"/>
      <sheetName val="PM_CH12"/>
      <sheetName val="PM_Recon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Tools_new2"/>
      <sheetName val="Spares_nw2"/>
      <sheetName val="blockwork_Qty_2"/>
      <sheetName val="A_Class_material_new2"/>
      <sheetName val="Slab"/>
      <sheetName val="BeamRft-Stilt 02 &amp; GF"/>
      <sheetName val="Column -Podium "/>
      <sheetName val="Beam-Stilt 02 &amp; GF"/>
      <sheetName val="Podium-Slab"/>
      <sheetName val="Column -NW 03"/>
      <sheetName val="SW -NW 03 "/>
      <sheetName val="NW03-Shear wall "/>
      <sheetName val="BeamRft Typ-NW 03"/>
      <sheetName val="Stilt 02 &amp; GF Slab"/>
      <sheetName val="Slab typ-NW 03"/>
      <sheetName val="EW01 &amp; NW03 Staircase"/>
      <sheetName val="NW03-Typ-Staircase"/>
      <sheetName val="Column -EW 01"/>
      <sheetName val="SW - EW 01"/>
      <sheetName val="EW01-Shear Wall "/>
      <sheetName val="Beam-EW01"/>
      <sheetName val="Slab typ -EW 01 "/>
      <sheetName val="Column -SW 04"/>
      <sheetName val="SW - SW 04"/>
      <sheetName val="Slab typ -SW04"/>
      <sheetName val="SW04-Typ-Staircase"/>
      <sheetName val="RENT_MASTER_FILE2"/>
      <sheetName val="TBAL9697_-group_wise__sdpl2"/>
      <sheetName val="Structure_Bills_Qty2"/>
      <sheetName val="Meas_-Hotel_Part2"/>
      <sheetName val="expenses_up_to_07-082"/>
      <sheetName val="Package_split_-_Cost2"/>
      <sheetName val="Cashflow_projection2"/>
      <sheetName val="Fill_this_out_first___2"/>
      <sheetName val="cutting_fint2"/>
      <sheetName val="beam-reinft-IIInd_floor2"/>
      <sheetName val="cutting_fint?2"/>
      <sheetName val="WORK_TABLE2"/>
      <sheetName val="Inter_connect_Revenue2"/>
      <sheetName val="cutting_fint_2"/>
      <sheetName val="Break_up_Sheet2"/>
      <sheetName val="labour_coeff1"/>
      <sheetName val="Data_sheet1"/>
      <sheetName val="TULIP_new_PQS1"/>
      <sheetName val="Fin_Sum1"/>
      <sheetName val="PRECAST_lightconc-II1"/>
      <sheetName val="Sun_E_Type1"/>
      <sheetName val="Shuttering_analysis_(2)1"/>
      <sheetName val="Income_Statement1"/>
      <sheetName val="Name_List1"/>
      <sheetName val="Per_Unit1"/>
      <sheetName val="MaterialReportVendorwise_rpt5"/>
      <sheetName val="Recon_5"/>
      <sheetName val="AS_PER_TALLY5"/>
      <sheetName val="04-05_Det5"/>
      <sheetName val="Working_sheet5"/>
      <sheetName val="A_block5"/>
      <sheetName val="B_block5"/>
      <sheetName val="master_QTY5"/>
      <sheetName val="A-Class_material_new5"/>
      <sheetName val="MS_Items5"/>
      <sheetName val="Establishment_ch_5"/>
      <sheetName val="Staff_Salary5"/>
      <sheetName val="Training_sheet5"/>
      <sheetName val="Shuttering_Working5"/>
      <sheetName val="Scaffolding__@_THE_END5"/>
      <sheetName val="Scaffolding_Ch5"/>
      <sheetName val="steel_up_5"/>
      <sheetName val="PM_CH15"/>
      <sheetName val="PM_Recon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Tools_new5"/>
      <sheetName val="Spares_nw5"/>
      <sheetName val="blockwork_Qty_5"/>
      <sheetName val="A_Class_material_new5"/>
      <sheetName val="RENT_MASTER_FILE5"/>
      <sheetName val="TBAL9697_-group_wise__sdpl5"/>
      <sheetName val="Structure_Bills_Qty5"/>
      <sheetName val="Meas_-Hotel_Part5"/>
      <sheetName val="expenses_up_to_07-085"/>
      <sheetName val="Package_split_-_Cost5"/>
      <sheetName val="Cashflow_projection5"/>
      <sheetName val="Fill_this_out_first___5"/>
      <sheetName val="cutting_fint5"/>
      <sheetName val="beam-reinft-IIInd_floor5"/>
      <sheetName val="cutting_fint?5"/>
      <sheetName val="WORK_TABLE5"/>
      <sheetName val="Inter_connect_Revenue5"/>
      <sheetName val="cutting_fint_5"/>
      <sheetName val="Break_up_Sheet5"/>
      <sheetName val="labour_coeff4"/>
      <sheetName val="Data_sheet4"/>
      <sheetName val="TULIP_new_PQS4"/>
      <sheetName val="Fin_Sum4"/>
      <sheetName val="PRECAST_lightconc-II4"/>
      <sheetName val="Sun_E_Type4"/>
      <sheetName val="Shuttering_analysis_(2)4"/>
      <sheetName val="Income_Statement3"/>
      <sheetName val="Name_List3"/>
      <sheetName val="Per_Unit3"/>
      <sheetName val="Income_Statement4"/>
      <sheetName val="Name_List4"/>
      <sheetName val="Per_Unit4"/>
      <sheetName val="Projects"/>
      <sheetName val="C_link"/>
      <sheetName val="P_link"/>
      <sheetName val="cutting fint_x005f_x0000_"/>
      <sheetName val="Builtup Area"/>
      <sheetName val="Dayworks Bill"/>
      <sheetName val="Bills of Quantities"/>
      <sheetName val="Tender Summary"/>
      <sheetName val="VCH-SLC"/>
      <sheetName val="Supplier"/>
      <sheetName val="fco"/>
      <sheetName val="MaterialReportVendorwise_rpt7"/>
      <sheetName val="Recon_7"/>
      <sheetName val="AS_PER_TALLY7"/>
      <sheetName val="04-05_Det7"/>
      <sheetName val="Working_sheet7"/>
      <sheetName val="A_block7"/>
      <sheetName val="B_block7"/>
      <sheetName val="master_QTY7"/>
      <sheetName val="A-Class_material_new7"/>
      <sheetName val="MS_Items7"/>
      <sheetName val="Establishment_ch_7"/>
      <sheetName val="Staff_Salary7"/>
      <sheetName val="Training_sheet7"/>
      <sheetName val="Shuttering_Working7"/>
      <sheetName val="Scaffolding__@_THE_END7"/>
      <sheetName val="Scaffolding_Ch7"/>
      <sheetName val="steel_up_7"/>
      <sheetName val="PM_CH17"/>
      <sheetName val="PM_Recon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Tools_new7"/>
      <sheetName val="Spares_nw7"/>
      <sheetName val="blockwork_Qty_7"/>
      <sheetName val="A_Class_material_new7"/>
      <sheetName val="RENT_MASTER_FILE7"/>
      <sheetName val="TBAL9697_-group_wise__sdpl7"/>
      <sheetName val="Structure_Bills_Qty7"/>
      <sheetName val="Meas_-Hotel_Part7"/>
      <sheetName val="expenses_up_to_07-087"/>
      <sheetName val="Package_split_-_Cost7"/>
      <sheetName val="Cashflow_projection7"/>
      <sheetName val="Fill_this_out_first___7"/>
      <sheetName val="cutting_fint7"/>
      <sheetName val="beam-reinft-IIInd_floor7"/>
      <sheetName val="cutting_fint?7"/>
      <sheetName val="WORK_TABLE7"/>
      <sheetName val="Inter_connect_Revenue7"/>
      <sheetName val="cutting_fint_7"/>
      <sheetName val="Break_up_Sheet7"/>
      <sheetName val="labour_coeff6"/>
      <sheetName val="Data_sheet6"/>
      <sheetName val="TULIP_new_PQS6"/>
      <sheetName val="Fin_Sum6"/>
      <sheetName val="PRECAST_lightconc-II6"/>
      <sheetName val="Sun_E_Type6"/>
      <sheetName val="Shuttering_analysis_(2)6"/>
      <sheetName val="Income_Statement5"/>
      <sheetName val="Name_List5"/>
      <sheetName val="Per_Unit5"/>
      <sheetName val="BeamRft-Stilt_02_&amp;_GF"/>
      <sheetName val="Column_-Podium_"/>
      <sheetName val="Beam-Stilt_02_&amp;_GF"/>
      <sheetName val="Column_-NW_03"/>
      <sheetName val="SW_-NW_03_"/>
      <sheetName val="NW03-Shear_wall_"/>
      <sheetName val="BeamRft_Typ-NW_03"/>
      <sheetName val="Stilt_02_&amp;_GF_Slab"/>
      <sheetName val="Slab_typ-NW_03"/>
      <sheetName val="EW01_&amp;_NW03_Staircase"/>
      <sheetName val="Column_-EW_01"/>
      <sheetName val="SW_-_EW_01"/>
      <sheetName val="EW01-Shear_Wall_"/>
      <sheetName val="Slab_typ_-EW_01_"/>
      <sheetName val="Column_-SW_04"/>
      <sheetName val="SW_-_SW_04"/>
      <sheetName val="Slab_typ_-SW04"/>
      <sheetName val="Assumptions"/>
      <sheetName val="Cost_Index"/>
      <sheetName val="Order Info"/>
      <sheetName val="BOQ LT"/>
      <sheetName val="Components"/>
      <sheetName val="Intro."/>
      <sheetName val="Pivots"/>
      <sheetName val="Intro"/>
      <sheetName val="Cashflow - Con"/>
      <sheetName val="inWords"/>
      <sheetName val="nanjprofit"/>
      <sheetName val="final abstract"/>
      <sheetName val="Download DATA"/>
      <sheetName val="cutting fint_x005f_x005f_x005f_x0000_"/>
      <sheetName val="Driveway Beams"/>
      <sheetName val="meas-wp"/>
      <sheetName val="Labor abs-NMR"/>
      <sheetName val="2_civil-RA"/>
      <sheetName val="2.civil-RA"/>
      <sheetName val="INDIGINEOUS ITEMS "/>
      <sheetName val="BOQ Distribution"/>
      <sheetName val="Database"/>
      <sheetName val="schedule nos"/>
      <sheetName val="Data.F8.BTR"/>
      <sheetName val="sg-clay(d)"/>
      <sheetName val="Config"/>
      <sheetName val="Break Dw"/>
      <sheetName val="Hardware"/>
      <sheetName val="Cost Index"/>
      <sheetName val="Civil Works"/>
      <sheetName val="R&amp;P"/>
      <sheetName val="NOTES"/>
      <sheetName val="PCC"/>
      <sheetName val="Budget_CF - Overall"/>
      <sheetName val="Options"/>
      <sheetName val="labour rates"/>
      <sheetName val="Index"/>
      <sheetName val="Consolidated CF"/>
      <sheetName val="St.co.91.5lvl"/>
      <sheetName val="Contract Night Staff"/>
      <sheetName val="Contract Day Staff"/>
      <sheetName val="Day Shift"/>
      <sheetName val="Night Shift"/>
      <sheetName val="Capex - Hry"/>
      <sheetName val="Design sheet"/>
      <sheetName val="BASIC MATERIALS"/>
      <sheetName val="BULook"/>
      <sheetName val="Staff Acco."/>
      <sheetName val="flooring"/>
      <sheetName val="measurements"/>
      <sheetName val="Ceilings"/>
      <sheetName val="Tables"/>
      <sheetName val="ACAD Finishes"/>
      <sheetName val="Site Details"/>
      <sheetName val="Chair"/>
      <sheetName val="Site Area Statement"/>
      <sheetName val="Doors"/>
      <sheetName val="Estimate"/>
      <sheetName val="ITB COST"/>
      <sheetName val="cutting fint_x005f_x005f_x005f_x005f_x005f_x005f_"/>
      <sheetName val="Offer"/>
      <sheetName val="cal"/>
      <sheetName val="Order_Info"/>
      <sheetName val="cutting_fint_x005f_x0000_"/>
      <sheetName val="Tender_Summary"/>
      <sheetName val="Dayworks_Bill"/>
      <sheetName val="Bills_of_Quantities"/>
      <sheetName val="Cashflow_-_Con"/>
      <sheetName val="Download_DATA"/>
      <sheetName val="BOQ_LT"/>
      <sheetName val="final_abstract"/>
      <sheetName val="cutting fint_x005f_x005f_"/>
      <sheetName val="Order_Info1"/>
      <sheetName val="cutting_fint_x005f_x0000_1"/>
      <sheetName val="Tender_Summary1"/>
      <sheetName val="Dayworks_Bill1"/>
      <sheetName val="Bills_of_Quantities1"/>
      <sheetName val="Cashflow_-_Con1"/>
      <sheetName val="Download_DATA1"/>
      <sheetName val="BOQ_LT1"/>
      <sheetName val="final_abstract1"/>
      <sheetName val="SILICATE"/>
      <sheetName val="Item- Compact"/>
      <sheetName val="calcul"/>
      <sheetName val="AREAS"/>
      <sheetName val="Service Function"/>
      <sheetName val="cutting_fint_x005f_x005f_x005f_x0000_"/>
      <sheetName val="cutting_fint_x005f_x005f_x005f_x0000_1"/>
      <sheetName val="外気負荷"/>
      <sheetName val="ANALYSIS"/>
      <sheetName val="TOS_N5"/>
      <sheetName val="RA"/>
      <sheetName val="SITE DATA"/>
      <sheetName val="Bar Budget"/>
      <sheetName val="Machine HC - 19.08 "/>
      <sheetName val="PNM Justi"/>
      <sheetName val="BOQ Backup"/>
      <sheetName val="Summary"/>
      <sheetName val="MaterialReportVendorwise_rpt10"/>
      <sheetName val="Recon_10"/>
      <sheetName val="AS_PER_TALLY10"/>
      <sheetName val="04-05_Det10"/>
      <sheetName val="Working_sheet10"/>
      <sheetName val="A_block10"/>
      <sheetName val="B_block10"/>
      <sheetName val="master_QTY10"/>
      <sheetName val="A-Class_material_new10"/>
      <sheetName val="MS_Items10"/>
      <sheetName val="Establishment_ch_10"/>
      <sheetName val="Staff_Salary10"/>
      <sheetName val="Training_sheet10"/>
      <sheetName val="Shuttering_Working10"/>
      <sheetName val="Scaffolding__@_THE_END10"/>
      <sheetName val="Scaffolding_Ch10"/>
      <sheetName val="steel_up_10"/>
      <sheetName val="PM_CH110"/>
      <sheetName val="PM_Recon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Tower_cra-det10"/>
      <sheetName val="Tower_cra_Found10"/>
      <sheetName val="Tower_Cra_Maint_&amp;_depre10"/>
      <sheetName val="GERMAN_TOOL10"/>
      <sheetName val="C_class_cumulative10"/>
      <sheetName val="Rate_analysis10"/>
      <sheetName val="Tools_new10"/>
      <sheetName val="Spares_nw10"/>
      <sheetName val="blockwork_Qty_10"/>
      <sheetName val="A_Class_material_new10"/>
      <sheetName val="RENT_MASTER_FILE10"/>
      <sheetName val="TBAL9697_-group_wise__sdpl10"/>
      <sheetName val="Structure_Bills_Qty10"/>
      <sheetName val="Meas_-Hotel_Part10"/>
      <sheetName val="Package_split_-_Cost10"/>
      <sheetName val="Cashflow_projection10"/>
      <sheetName val="Fill_this_out_first___10"/>
      <sheetName val="expenses_up_to_07-0810"/>
      <sheetName val="beam-reinft-IIInd_floor10"/>
      <sheetName val="cutting_fint10"/>
      <sheetName val="cutting_fint?10"/>
      <sheetName val="WORK_TABLE10"/>
      <sheetName val="Inter_connect_Revenue10"/>
      <sheetName val="cutting_fint_10"/>
      <sheetName val="Break_up_Sheet10"/>
      <sheetName val="labour_coeff9"/>
      <sheetName val="Data_sheet9"/>
      <sheetName val="TULIP_new_PQS9"/>
      <sheetName val="Fin_Sum9"/>
      <sheetName val="PRECAST_lightconc-II9"/>
      <sheetName val="Sun_E_Type9"/>
      <sheetName val="Shuttering_analysis_(2)9"/>
      <sheetName val="Income_Statement8"/>
      <sheetName val="Name_List8"/>
      <sheetName val="Per_Unit8"/>
      <sheetName val="BeamRft-Stilt_02_&amp;_GF3"/>
      <sheetName val="Column_-Podium_3"/>
      <sheetName val="Beam-Stilt_02_&amp;_GF3"/>
      <sheetName val="Column_-NW_033"/>
      <sheetName val="SW_-NW_03_3"/>
      <sheetName val="NW03-Shear_wall_3"/>
      <sheetName val="BeamRft_Typ-NW_033"/>
      <sheetName val="Stilt_02_&amp;_GF_Slab3"/>
      <sheetName val="Slab_typ-NW_033"/>
      <sheetName val="EW01_&amp;_NW03_Staircase3"/>
      <sheetName val="Column_-EW_013"/>
      <sheetName val="SW_-_EW_013"/>
      <sheetName val="EW01-Shear_Wall_3"/>
      <sheetName val="Slab_typ_-EW_01_3"/>
      <sheetName val="Column_-SW_043"/>
      <sheetName val="SW_-_SW_043"/>
      <sheetName val="Slab_typ_-SW043"/>
      <sheetName val="cutting_fint_x005f_x0000_4"/>
      <sheetName val="Builtup_Area2"/>
      <sheetName val="Dayworks_Bill4"/>
      <sheetName val="Bills_of_Quantities4"/>
      <sheetName val="Tender_Summary4"/>
      <sheetName val="Order_Info4"/>
      <sheetName val="BOQ_LT4"/>
      <sheetName val="Intro_2"/>
      <sheetName val="Cashflow_-_Con4"/>
      <sheetName val="final_abstract4"/>
      <sheetName val="Download_DATA4"/>
      <sheetName val="cutting_fint_x005f_x005f_x005f_x0000_4"/>
      <sheetName val="Driveway_Beams2"/>
      <sheetName val="Labor_abs-NMR2"/>
      <sheetName val="2_civil-RA3"/>
      <sheetName val="INDIGINEOUS_ITEMS_2"/>
      <sheetName val="BOQ_Distribution2"/>
      <sheetName val="schedule_nos2"/>
      <sheetName val="Data_F8_BTR2"/>
      <sheetName val="Break_Dw2"/>
      <sheetName val="Cost_Index3"/>
      <sheetName val="Civil_Works2"/>
      <sheetName val="Budget_CF_-_Overall2"/>
      <sheetName val="MaterialReportVendorwise_rpt9"/>
      <sheetName val="Recon_9"/>
      <sheetName val="AS_PER_TALLY9"/>
      <sheetName val="04-05_Det9"/>
      <sheetName val="Working_sheet9"/>
      <sheetName val="A_block9"/>
      <sheetName val="B_block9"/>
      <sheetName val="master_QTY9"/>
      <sheetName val="A-Class_material_new9"/>
      <sheetName val="MS_Items9"/>
      <sheetName val="Establishment_ch_9"/>
      <sheetName val="Staff_Salary9"/>
      <sheetName val="Training_sheet9"/>
      <sheetName val="Shuttering_Working9"/>
      <sheetName val="Scaffolding__@_THE_END9"/>
      <sheetName val="Scaffolding_Ch9"/>
      <sheetName val="steel_up_9"/>
      <sheetName val="PM_CH19"/>
      <sheetName val="PM_Recon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Tools_new9"/>
      <sheetName val="Spares_nw9"/>
      <sheetName val="blockwork_Qty_9"/>
      <sheetName val="A_Class_material_new9"/>
      <sheetName val="RENT_MASTER_FILE9"/>
      <sheetName val="TBAL9697_-group_wise__sdpl9"/>
      <sheetName val="Structure_Bills_Qty9"/>
      <sheetName val="Meas_-Hotel_Part9"/>
      <sheetName val="Package_split_-_Cost9"/>
      <sheetName val="Cashflow_projection9"/>
      <sheetName val="Fill_this_out_first___9"/>
      <sheetName val="expenses_up_to_07-089"/>
      <sheetName val="beam-reinft-IIInd_floor9"/>
      <sheetName val="cutting_fint9"/>
      <sheetName val="cutting_fint?9"/>
      <sheetName val="WORK_TABLE9"/>
      <sheetName val="Inter_connect_Revenue9"/>
      <sheetName val="cutting_fint_9"/>
      <sheetName val="Break_up_Sheet9"/>
      <sheetName val="labour_coeff8"/>
      <sheetName val="Data_sheet8"/>
      <sheetName val="TULIP_new_PQS8"/>
      <sheetName val="Fin_Sum8"/>
      <sheetName val="PRECAST_lightconc-II8"/>
      <sheetName val="Sun_E_Type8"/>
      <sheetName val="Shuttering_analysis_(2)8"/>
      <sheetName val="Income_Statement7"/>
      <sheetName val="Name_List7"/>
      <sheetName val="Per_Unit7"/>
      <sheetName val="BeamRft-Stilt_02_&amp;_GF2"/>
      <sheetName val="Column_-Podium_2"/>
      <sheetName val="Beam-Stilt_02_&amp;_GF2"/>
      <sheetName val="Column_-NW_032"/>
      <sheetName val="SW_-NW_03_2"/>
      <sheetName val="NW03-Shear_wall_2"/>
      <sheetName val="BeamRft_Typ-NW_032"/>
      <sheetName val="Stilt_02_&amp;_GF_Slab2"/>
      <sheetName val="Slab_typ-NW_032"/>
      <sheetName val="EW01_&amp;_NW03_Staircase2"/>
      <sheetName val="Column_-EW_012"/>
      <sheetName val="SW_-_EW_012"/>
      <sheetName val="EW01-Shear_Wall_2"/>
      <sheetName val="Slab_typ_-EW_01_2"/>
      <sheetName val="Column_-SW_042"/>
      <sheetName val="SW_-_SW_042"/>
      <sheetName val="Slab_typ_-SW042"/>
      <sheetName val="cutting_fint_x005f_x0000_3"/>
      <sheetName val="Builtup_Area1"/>
      <sheetName val="Dayworks_Bill3"/>
      <sheetName val="Bills_of_Quantities3"/>
      <sheetName val="Tender_Summary3"/>
      <sheetName val="Order_Info3"/>
      <sheetName val="BOQ_LT3"/>
      <sheetName val="Intro_1"/>
      <sheetName val="Cashflow_-_Con3"/>
      <sheetName val="final_abstract3"/>
      <sheetName val="Download_DATA3"/>
      <sheetName val="cutting_fint_x005f_x005f_x005f_x0000_3"/>
      <sheetName val="Driveway_Beams1"/>
      <sheetName val="Labor_abs-NMR1"/>
      <sheetName val="2_civil-RA2"/>
      <sheetName val="INDIGINEOUS_ITEMS_1"/>
      <sheetName val="BOQ_Distribution1"/>
      <sheetName val="schedule_nos1"/>
      <sheetName val="Data_F8_BTR1"/>
      <sheetName val="Break_Dw1"/>
      <sheetName val="Cost_Index2"/>
      <sheetName val="Civil_Works1"/>
      <sheetName val="Budget_CF_-_Overall1"/>
      <sheetName val="labour_rates1"/>
      <sheetName val="Consolidated_CF1"/>
      <sheetName val="St_co_91_5lvl1"/>
      <sheetName val="Contract_Night_Staff1"/>
      <sheetName val="Contract_Day_Staff1"/>
      <sheetName val="Day_Shift1"/>
      <sheetName val="Night_Shift1"/>
      <sheetName val="Capex_-_Hry1"/>
      <sheetName val="Design_sheet1"/>
      <sheetName val="BASIC_MATERIALS1"/>
      <sheetName val="Staff_Acco_1"/>
      <sheetName val="ACAD_Finishes1"/>
      <sheetName val="Site_Details1"/>
      <sheetName val="Site_Area_Statement1"/>
      <sheetName val="ITB_COST1"/>
      <sheetName val="cutting_fint_x005f_x005f_x005f_x005f_x005f1"/>
      <sheetName val="cutting_fint_x005f_x005f_1"/>
      <sheetName val="Item-_Compact1"/>
      <sheetName val="Service_Function1"/>
      <sheetName val="SITE_DATA1"/>
      <sheetName val="Bar_Budget1"/>
      <sheetName val="Machine_HC_-_19_08_1"/>
      <sheetName val="PNM_Justi1"/>
      <sheetName val="BOQ_Backup1"/>
      <sheetName val="MaterialReportVendorwise_rpt8"/>
      <sheetName val="Recon_8"/>
      <sheetName val="AS_PER_TALLY8"/>
      <sheetName val="04-05_Det8"/>
      <sheetName val="Working_sheet8"/>
      <sheetName val="A_block8"/>
      <sheetName val="B_block8"/>
      <sheetName val="master_QTY8"/>
      <sheetName val="A-Class_material_new8"/>
      <sheetName val="MS_Items8"/>
      <sheetName val="Establishment_ch_8"/>
      <sheetName val="Staff_Salary8"/>
      <sheetName val="Training_sheet8"/>
      <sheetName val="Shuttering_Working8"/>
      <sheetName val="Scaffolding__@_THE_END8"/>
      <sheetName val="Scaffolding_Ch8"/>
      <sheetName val="steel_up_8"/>
      <sheetName val="PM_CH18"/>
      <sheetName val="PM_Recon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Tools_new8"/>
      <sheetName val="Spares_nw8"/>
      <sheetName val="blockwork_Qty_8"/>
      <sheetName val="A_Class_material_new8"/>
      <sheetName val="RENT_MASTER_FILE8"/>
      <sheetName val="TBAL9697_-group_wise__sdpl8"/>
      <sheetName val="Structure_Bills_Qty8"/>
      <sheetName val="Meas_-Hotel_Part8"/>
      <sheetName val="Package_split_-_Cost8"/>
      <sheetName val="Cashflow_projection8"/>
      <sheetName val="Fill_this_out_first___8"/>
      <sheetName val="expenses_up_to_07-088"/>
      <sheetName val="beam-reinft-IIInd_floor8"/>
      <sheetName val="cutting_fint8"/>
      <sheetName val="cutting_fint?8"/>
      <sheetName val="WORK_TABLE8"/>
      <sheetName val="Inter_connect_Revenue8"/>
      <sheetName val="cutting_fint_8"/>
      <sheetName val="Break_up_Sheet8"/>
      <sheetName val="labour_coeff7"/>
      <sheetName val="Data_sheet7"/>
      <sheetName val="TULIP_new_PQS7"/>
      <sheetName val="Fin_Sum7"/>
      <sheetName val="PRECAST_lightconc-II7"/>
      <sheetName val="Sun_E_Type7"/>
      <sheetName val="Shuttering_analysis_(2)7"/>
      <sheetName val="Income_Statement6"/>
      <sheetName val="Name_List6"/>
      <sheetName val="Per_Unit6"/>
      <sheetName val="BeamRft-Stilt_02_&amp;_GF1"/>
      <sheetName val="Column_-Podium_1"/>
      <sheetName val="Beam-Stilt_02_&amp;_GF1"/>
      <sheetName val="Column_-NW_031"/>
      <sheetName val="SW_-NW_03_1"/>
      <sheetName val="NW03-Shear_wall_1"/>
      <sheetName val="BeamRft_Typ-NW_031"/>
      <sheetName val="Stilt_02_&amp;_GF_Slab1"/>
      <sheetName val="Slab_typ-NW_031"/>
      <sheetName val="EW01_&amp;_NW03_Staircase1"/>
      <sheetName val="Column_-EW_011"/>
      <sheetName val="SW_-_EW_011"/>
      <sheetName val="EW01-Shear_Wall_1"/>
      <sheetName val="Slab_typ_-EW_01_1"/>
      <sheetName val="Column_-SW_041"/>
      <sheetName val="SW_-_SW_041"/>
      <sheetName val="Slab_typ_-SW041"/>
      <sheetName val="cutting_fint_x005f_x0000_2"/>
      <sheetName val="Builtup_Area"/>
      <sheetName val="Dayworks_Bill2"/>
      <sheetName val="Bills_of_Quantities2"/>
      <sheetName val="Tender_Summary2"/>
      <sheetName val="Order_Info2"/>
      <sheetName val="BOQ_LT2"/>
      <sheetName val="Intro_"/>
      <sheetName val="Cashflow_-_Con2"/>
      <sheetName val="final_abstract2"/>
      <sheetName val="Download_DATA2"/>
      <sheetName val="cutting_fint_x005f_x005f_x005f_x0000_2"/>
      <sheetName val="Driveway_Beams"/>
      <sheetName val="Labor_abs-NMR"/>
      <sheetName val="2_civil-RA1"/>
      <sheetName val="INDIGINEOUS_ITEMS_"/>
      <sheetName val="BOQ_Distribution"/>
      <sheetName val="schedule_nos"/>
      <sheetName val="Data_F8_BTR"/>
      <sheetName val="Break_Dw"/>
      <sheetName val="Cost_Index1"/>
      <sheetName val="Civil_Works"/>
      <sheetName val="Budget_CF_-_Overall"/>
      <sheetName val="labour_rates"/>
      <sheetName val="Consolidated_CF"/>
      <sheetName val="St_co_91_5lvl"/>
      <sheetName val="Contract_Night_Staff"/>
      <sheetName val="Contract_Day_Staff"/>
      <sheetName val="Day_Shift"/>
      <sheetName val="Night_Shift"/>
      <sheetName val="Capex_-_Hry"/>
      <sheetName val="Design_sheet"/>
      <sheetName val="BASIC_MATERIALS"/>
      <sheetName val="Staff_Acco_"/>
      <sheetName val="ACAD_Finishes"/>
      <sheetName val="Site_Details"/>
      <sheetName val="Site_Area_Statement"/>
      <sheetName val="ITB_COST"/>
      <sheetName val="cutting_fint_x005f_x005f_x005f_x005f_x005f_x005f_"/>
      <sheetName val="cutting_fint_x005f_x005f_"/>
      <sheetName val="Item-_Compact"/>
      <sheetName val="Service_Function"/>
      <sheetName val="SITE_DATA"/>
      <sheetName val="Bar_Budget"/>
      <sheetName val="Machine_HC_-_19_08_"/>
      <sheetName val="PNM_Justi"/>
      <sheetName val="BOQ_Backup"/>
      <sheetName val="Sales Plan"/>
      <sheetName val="30개월기준대비표 아랍택)"/>
      <sheetName val="총괄표 (2)"/>
      <sheetName val="Project Brief"/>
      <sheetName val="slap"/>
      <sheetName val="tank"/>
      <sheetName val="Master data"/>
      <sheetName val="Sales_Plan"/>
      <sheetName val="30개월기준대비표_아랍택)"/>
      <sheetName val="총괄표_(2)"/>
      <sheetName val="Project_Brief"/>
      <sheetName val="Master_data"/>
      <sheetName val="Sales_Plan1"/>
      <sheetName val="30개월기준대비표_아랍택)1"/>
      <sheetName val="총괄표_(2)1"/>
      <sheetName val="Project_Brief1"/>
      <sheetName val="Master_data1"/>
      <sheetName val="Sales_Plan2"/>
      <sheetName val="30개월기준대비표_아랍택)2"/>
      <sheetName val="총괄표_(2)2"/>
      <sheetName val="Project_Brief2"/>
      <sheetName val="Master_data2"/>
      <sheetName val="Execution Area"/>
      <sheetName val="Cost Breakdown"/>
      <sheetName val="Sale Price"/>
      <sheetName val="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PTION"/>
      <sheetName val="IMPORTED EQUIPMENTS"/>
      <sheetName val="INDIGINEOUS ITEMS 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Rate analysis"/>
      <sheetName val="GBW"/>
      <sheetName val="Headings"/>
      <sheetName val="Names&amp;Cases"/>
      <sheetName val="MASTER_RATE ANALYSIS"/>
      <sheetName val="PRECAST lightconc-II"/>
      <sheetName val="RENT MASTER FILE"/>
      <sheetName val="Meas.-Hotel Part"/>
      <sheetName val="B.O.Q 04-05-07"/>
      <sheetName val="Cost summary"/>
      <sheetName val="Break up Sheet"/>
      <sheetName val="Budget"/>
      <sheetName val="Data sheet"/>
      <sheetName val="Per Unit"/>
      <sheetName val="1-Internal electrical"/>
      <sheetName val="3. Elemental Summary"/>
      <sheetName val="12a. CFTable"/>
      <sheetName val="SITE OVERHEADS"/>
      <sheetName val="TBAL9697 -group wise  sdpl"/>
      <sheetName val="LIST OF MAKES"/>
      <sheetName val="Lintel"/>
      <sheetName val="Labour"/>
      <sheetName val="labour coeff"/>
      <sheetName val="PRECAST lightconc_II"/>
      <sheetName val="WORKING boq"/>
      <sheetName val="S3 - Summary"/>
      <sheetName val="Chennai"/>
      <sheetName val="Input"/>
      <sheetName val="Phasing"/>
      <sheetName val="Design"/>
      <sheetName val="calcul"/>
      <sheetName val="list"/>
      <sheetName val="Analysis"/>
      <sheetName val="Cost of O &amp; O"/>
      <sheetName val="qty workout"/>
      <sheetName val="BeamRft-Stilt 02 &amp; GF"/>
      <sheetName val="Pacakges split"/>
      <sheetName val="9. Package split - Cost "/>
      <sheetName val="10. &amp; 11. Rate Code &amp; BQ"/>
      <sheetName val="Cashflow projection"/>
      <sheetName val="Summary"/>
      <sheetName val="PRELIM5"/>
      <sheetName val=" B1"/>
      <sheetName val="RA-markate"/>
      <sheetName val="F1a-Pile"/>
      <sheetName val="run"/>
      <sheetName val="product prices"/>
      <sheetName val="price"/>
      <sheetName val="07"/>
      <sheetName val="PUMP"/>
      <sheetName val=" B3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"/>
      <sheetName val="Break_Up"/>
      <sheetName val="RESULT"/>
      <sheetName val="CASHFLOWS"/>
      <sheetName val="dlvoid"/>
      <sheetName val="Sheet2"/>
      <sheetName val="PANEL ANNEXURE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INDEX"/>
      <sheetName val="AREAS"/>
      <sheetName val="Bill 1-BOQ-Civil Works"/>
      <sheetName val="ICO_budzet_97"/>
      <sheetName val="PHE"/>
      <sheetName val="A"/>
      <sheetName val="Basement"/>
      <sheetName val="External HT"/>
      <sheetName val="External LT"/>
      <sheetName val="status"/>
      <sheetName val="Meas__Hotel Part"/>
      <sheetName val="Inputs"/>
      <sheetName val="Data Input"/>
      <sheetName val="Ass4"/>
      <sheetName val="DCF"/>
      <sheetName val="Key Ass"/>
      <sheetName val="Shuttering costing-Annex-IV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Fill this out first..."/>
      <sheetName val="LCS SCHEDULE "/>
      <sheetName val="meas-wp"/>
      <sheetName val="Model"/>
      <sheetName val="CONSTRUCTION COMPONENT"/>
      <sheetName val="ELEC_BOQ"/>
      <sheetName val="currency"/>
      <sheetName val="Switch costs lookup"/>
      <sheetName val="Eqpmnt Plng"/>
      <sheetName val="환율"/>
      <sheetName val="BOQ "/>
      <sheetName val="BHANDUP"/>
      <sheetName val="Area Statement _ OPTION C"/>
      <sheetName val="Sheet 1"/>
      <sheetName val="Cover"/>
      <sheetName val="activit-graph  "/>
      <sheetName val="Driveway Beams"/>
      <sheetName val="FT-05-02IsoBOM"/>
      <sheetName val="May"/>
      <sheetName val="Lease rents"/>
      <sheetName val="Tender Summary"/>
      <sheetName val="System"/>
      <sheetName val="Background"/>
      <sheetName val="DetEst"/>
      <sheetName val="Codes"/>
      <sheetName val="HOTEL"/>
      <sheetName val="BOQ DG BQ PP"/>
      <sheetName val="ABS_"/>
      <sheetName val="SILICATE"/>
      <sheetName val="Civil Works"/>
      <sheetName val="Sheet3"/>
      <sheetName val="MB(2nd RA) -NTPC"/>
      <sheetName val="SB - reinf"/>
      <sheetName val="Assumptions"/>
      <sheetName val="SUMMARY_OPTION"/>
      <sheetName val="IMPORTED_EQUIPMENTS"/>
      <sheetName val="INDIGINEOUS_ITEMS_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MASTER_RATE_ANALYSIS"/>
      <sheetName val="PRECAST_lightconc-II"/>
      <sheetName val="Fill_this_out_first___"/>
      <sheetName val="Meas_-Hotel_Part"/>
      <sheetName val="PRECAST_lightconc_II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BOQ_"/>
      <sheetName val="INPUT_SHEET"/>
      <sheetName val="1-Internal_electrical"/>
      <sheetName val="3__Elemental_Summary"/>
      <sheetName val="12a__CFTable"/>
      <sheetName val="Data_sheet"/>
      <sheetName val="Per_Unit"/>
      <sheetName val="Cost_summary"/>
      <sheetName val="Pacakges_split"/>
      <sheetName val="9__Package_split_-_Cost_"/>
      <sheetName val="10__&amp;_11__Rate_Code_&amp;_BQ"/>
      <sheetName val="Cashflow_projection"/>
      <sheetName val="SITE_OVERHEADS"/>
      <sheetName val="SUMMARY_OPTION1"/>
      <sheetName val="IMPORTED_EQUIPMENTS1"/>
      <sheetName val="INDIGINEOUS_ITEMS_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MASTER_RATE_ANALYSIS1"/>
      <sheetName val="PRECAST_lightconc-II1"/>
      <sheetName val="Meas_-Hotel_Part1"/>
      <sheetName val="PRECAST_lightconc_II1"/>
      <sheetName val="B_O_Q_04-05-071"/>
      <sheetName val="Meas__Hotel_Part1"/>
      <sheetName val="INPUT_SHEET1"/>
      <sheetName val="Data_Input1"/>
      <sheetName val="Key_Ass1"/>
      <sheetName val="WORKING_boq1"/>
      <sheetName val="S3_-_Summary1"/>
      <sheetName val="Shuttering_costing-Annex-IV1"/>
      <sheetName val="BOQ_1"/>
      <sheetName val="1-Internal_electrical1"/>
      <sheetName val="3__Elemental_Summary1"/>
      <sheetName val="12a__CFTable1"/>
      <sheetName val="Data_sheet1"/>
      <sheetName val="Per_Unit1"/>
      <sheetName val="Cost_summary1"/>
      <sheetName val="Pacakges_split1"/>
      <sheetName val="9__Package_split_-_Cost_1"/>
      <sheetName val="10__&amp;_11__Rate_Code_&amp;_BQ1"/>
      <sheetName val="Cashflow_projection1"/>
      <sheetName val="SITE_OVERHEADS1"/>
      <sheetName val="Fill_this_out_first___1"/>
      <sheetName val="Bill_1-BOQ-Civil_Works"/>
      <sheetName val="_B1"/>
      <sheetName val="product_prices"/>
      <sheetName val="_B3"/>
      <sheetName val="ACAD_Finishes"/>
      <sheetName val="Site_Details"/>
      <sheetName val="Site_Area_Statement"/>
      <sheetName val="PANEL_ANNEXURE"/>
      <sheetName val="LIST_OF_MAKES"/>
      <sheetName val="CFForecast_detail"/>
      <sheetName val="Basement_Budget"/>
      <sheetName val="SCurv_(3)"/>
      <sheetName val="WORK_TABLE"/>
      <sheetName val="Abstract"/>
      <sheetName val="07016, Master List-Major Minor"/>
      <sheetName val="目录"/>
      <sheetName val="Q3"/>
      <sheetName val="OC 17-04-06"/>
      <sheetName val="Main Assump."/>
      <sheetName val="Sqn_Abs"/>
      <sheetName val="A.CIVIL AND INTERIOR WORKS"/>
      <sheetName val="Fin Sum"/>
      <sheetName val="Factor_sheet"/>
      <sheetName val="extra work elec bill "/>
      <sheetName val="Dels"/>
      <sheetName val="s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CIVIL"/>
      <sheetName val="Conc"/>
      <sheetName val="Micro"/>
      <sheetName val="Macro"/>
      <sheetName val="Scaff-Rose"/>
      <sheetName val="meas-wp"/>
      <sheetName val="rcc( sub)"/>
      <sheetName val="final esti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project data"/>
      <sheetName val="Prelaunch Est"/>
      <sheetName val="Cost Redn Stmnt"/>
      <sheetName val="Structure"/>
      <sheetName val="Ext Dev"/>
      <sheetName val="Arch Feat"/>
      <sheetName val="Open sch"/>
      <sheetName val="CH - Equip"/>
      <sheetName val="UG Sump"/>
      <sheetName val="STP"/>
      <sheetName val="OHT"/>
      <sheetName val="Boq"/>
      <sheetName val="PHE"/>
      <sheetName val="Interlock paver "/>
      <sheetName val="penthouse stair"/>
      <sheetName val="sales inpt"/>
      <sheetName val="Swim.pool"/>
      <sheetName val="ESTIMATE for approval"/>
      <sheetName val="final estimate"/>
      <sheetName val="Latest est"/>
      <sheetName val="Approved Estimate"/>
      <sheetName val="Basement Budget"/>
      <sheetName val="Conc"/>
      <sheetName val="Micro"/>
      <sheetName val="Macro"/>
      <sheetName val="Scaff-Ro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PCC"/>
      <sheetName val="Break up Sheet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Conc"/>
      <sheetName val="Other assumptions"/>
      <sheetName val="Builtup Area"/>
      <sheetName val="Boq - Flat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TBAL9697_-group_wise__sdpl"/>
      <sheetName val="Rate_analysis"/>
      <sheetName val="_p-NMR"/>
      <sheetName val="?_p-NMR"/>
      <sheetName val="Labor_bills_19_08_06"/>
      <sheetName val="__p-NMR"/>
      <sheetName val="Other_assumptions"/>
      <sheetName val="Builtup_Area"/>
      <sheetName val="Micro"/>
      <sheetName val="Macro"/>
      <sheetName val="Scaff-Rose"/>
      <sheetName val="BOQ Distribution"/>
      <sheetName val="AOR"/>
      <sheetName val="PROJECT BRIEF(EX.NEW)"/>
      <sheetName val="LAB"/>
      <sheetName val="site fab&amp;ernstr"/>
      <sheetName val="FORM7"/>
      <sheetName val="new tech flt bldg"/>
      <sheetName val="_x005f_x0000_._x005f_x0008_p-NMR"/>
      <sheetName val="_._x005f_x0008_p-NMR"/>
      <sheetName val="Approved MTD Proj #'s"/>
      <sheetName val="MPR_PA_1"/>
      <sheetName val="GuestProfile"/>
      <sheetName val="Services"/>
      <sheetName val="Sheet3 (2)"/>
      <sheetName val="3cd Annexure"/>
      <sheetName val="SUPPLY -Sanitary Fixtures"/>
      <sheetName val="External"/>
      <sheetName val="ITEMS FOR CIVIL TENDER"/>
      <sheetName val="August TB"/>
      <sheetName val="Kristal Court"/>
      <sheetName val="Rates"/>
      <sheetName val="Headings"/>
      <sheetName val="Variance Report"/>
      <sheetName val="BOQ"/>
      <sheetName val="Enquire"/>
      <sheetName val="#REF"/>
      <sheetName val="Basement Budget"/>
      <sheetName val="RENT MASTER FILE"/>
      <sheetName val="Pile cap"/>
      <sheetName val="Top Line - WWW"/>
      <sheetName val="Adimi bldg"/>
      <sheetName val="Pump House"/>
      <sheetName val="Fuel Regu Station"/>
      <sheetName val="XREF"/>
      <sheetName val="S1 "/>
      <sheetName val="S7B "/>
      <sheetName val="S7A"/>
      <sheetName val="S6 "/>
      <sheetName val="S3 "/>
      <sheetName val="S2 "/>
      <sheetName val="Database"/>
      <sheetName val="schedule nos"/>
      <sheetName val="Design"/>
      <sheetName val="Sheet1"/>
      <sheetName val="Formulas"/>
      <sheetName val="Costing"/>
      <sheetName val="Assumptions"/>
      <sheetName val="CABLE DATA"/>
      <sheetName val="CFForecast detail"/>
      <sheetName val="Dropdowns"/>
      <sheetName val="Actuals"/>
      <sheetName val="DATA"/>
      <sheetName val="BASIS -DEC 08"/>
      <sheetName val="Project Budget Worksheet"/>
      <sheetName val="p&amp;m"/>
      <sheetName val="Formulae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TBAL9697_-group_wise__sdpl1"/>
      <sheetName val="Rate_analysis1"/>
      <sheetName val="Labor_bills_19_08_061"/>
      <sheetName val="Other_assumptions1"/>
      <sheetName val="Builtup_Area1"/>
      <sheetName val="Boq_-_Flats"/>
      <sheetName val="BOQ_Distribution"/>
      <sheetName val="PROJECT_BRIEF(EX_NEW)"/>
      <sheetName val="site_fab&amp;ernstr"/>
      <sheetName val="new_tech_flt_bldg"/>
      <sheetName val="_x005f_x0000___x005f_x0008_p-NMR"/>
      <sheetName val="___x005f_x0008_p-NMR"/>
      <sheetName val="Approved_MTD_Proj_#'s"/>
      <sheetName val="Sheet3_(2)"/>
      <sheetName val="3cd_Annexure"/>
      <sheetName val="SUPPLY_-Sanitary_Fixtures"/>
      <sheetName val="ITEMS_FOR_CIVIL_TENDER"/>
      <sheetName val="August_TB"/>
      <sheetName val="Kristal_Court"/>
      <sheetName val="Variance_Report"/>
      <sheetName val="Basement_Budget"/>
      <sheetName val="RENT_MASTER_FILE"/>
      <sheetName val="Pile_cap"/>
      <sheetName val="Top_Line_-_WWW"/>
      <sheetName val="Adimi_bldg"/>
      <sheetName val="Pump_House"/>
      <sheetName val="Fuel_Regu_Station"/>
      <sheetName val="S1_"/>
      <sheetName val="S7B_"/>
      <sheetName val="S6_"/>
      <sheetName val="S3_"/>
      <sheetName val="S2_"/>
      <sheetName val="schedule_nos"/>
      <sheetName val="EAS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Approved_MTD_Proj_#'s1"/>
      <sheetName val="nVision"/>
      <sheetName val="COLUMN"/>
      <sheetName val="Quotation"/>
      <sheetName val="Contents"/>
      <sheetName val="_x005f_x0000_._x005f_x0008_p-NM"/>
      <sheetName val="ancillary"/>
      <sheetName val="Field Values"/>
      <sheetName val="Jams &amp; Cills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Results"/>
      <sheetName val="PLGroupings"/>
      <sheetName val="Pay_Sep06"/>
      <sheetName val="10. &amp; 11. Rate Code &amp; BQ"/>
      <sheetName val="Cable-data"/>
      <sheetName val="p1-costg"/>
      <sheetName val="RA-markate"/>
      <sheetName val="BLOCK-A (MEA.SHEET)"/>
      <sheetName val="Cash Flow Working"/>
      <sheetName val="Set"/>
      <sheetName val="BOQ_Distribution1"/>
      <sheetName val="site_fab&amp;ernstr1"/>
      <sheetName val="new_tech_flt_bldg1"/>
      <sheetName val="CFForecast_detail"/>
      <sheetName val="3"/>
      <sheetName val="MONTH"/>
      <sheetName val="Trial Bal "/>
      <sheetName val="Balance Sheet"/>
      <sheetName val="eval"/>
      <sheetName val="1. Acquisition"/>
      <sheetName val="Ref_Sheet"/>
      <sheetName val="Mico"/>
      <sheetName val="SCHEDULE"/>
      <sheetName val="INPUT SHEET"/>
      <sheetName val="RES-PLANNING"/>
      <sheetName val="13. Steel - Ratio"/>
      <sheetName val="4K - (6a) Non Manual Breakdown"/>
      <sheetName val="PRICE-COMP"/>
      <sheetName val="Comparative"/>
      <sheetName val="9. Package split - Cost "/>
      <sheetName val="beam-reinft-IIInd floor"/>
      <sheetName val="Data sheet"/>
      <sheetName val="Area Statement."/>
      <sheetName val="Definitions"/>
      <sheetName val=" "/>
      <sheetName val="HARGA MATERIAL"/>
      <sheetName val="Kitchen"/>
      <sheetName val="PROFITABILITY ANALYSIS (MONTH)"/>
      <sheetName val="PROFITABILITY ANALYSIS (YTD)"/>
      <sheetName val="Abs"/>
      <sheetName val="SW-07"/>
      <sheetName val="SW-08"/>
      <sheetName val="SW-09"/>
      <sheetName val="Slab-07 "/>
      <sheetName val="Slab-08"/>
      <sheetName val="Slab-09"/>
      <sheetName val="Slab-10"/>
      <sheetName val="Slab-11"/>
      <sheetName val="podium-slab"/>
      <sheetName val="Input"/>
      <sheetName val="IO LIST"/>
      <sheetName val="pile Fabrication"/>
      <sheetName val="Basic-Material "/>
      <sheetName val="TULIPS PHASE-2 BOQ FINAL"/>
      <sheetName val="ANN-I-DETAILS"/>
      <sheetName val="tender allowances"/>
      <sheetName val="Cashflow"/>
      <sheetName val="Occ"/>
      <sheetName val="Debits as on 12.04.08"/>
      <sheetName val="MH(on site)"/>
      <sheetName val="Intro"/>
      <sheetName val="Summary"/>
      <sheetName val="Controls"/>
      <sheetName val="CCTV KAMERE (2)"/>
      <sheetName val="old boq"/>
      <sheetName val="_"/>
      <sheetName val="PROFITABILITY_ANALYSIS_(MONTH)"/>
      <sheetName val="PROFITABILITY_ANALYSIS_(YTD)"/>
      <sheetName val="Jams_&amp;_Cills"/>
      <sheetName val="BASIS_-DEC_08"/>
      <sheetName val="Project_Budget_Worksheet"/>
      <sheetName val="Basic_Rates"/>
      <sheetName val="BUSDUCT_SUMMARY-SUBSTATION"/>
      <sheetName val="HARGA_MATERIAL"/>
      <sheetName val="_x005f_x0000___x005f_x0008_p-NM"/>
      <sheetName val="10_Linkway"/>
      <sheetName val="11_Bus_Shelter-Bay"/>
      <sheetName val="CANDY_BOQ"/>
      <sheetName val="BLOCK-A_(MEA_SHEET)"/>
      <sheetName val="Construction"/>
      <sheetName val="Portfolio Summary"/>
      <sheetName val="Fin. Assumpt. - Sensitivities"/>
      <sheetName val="Master Data Sheet"/>
      <sheetName val="_x005f_x005f_x005f_x0000_._x005f_x005f_x005f_x0008_p-NM"/>
      <sheetName val="_._x005f_x005f_x005f_x0008_p-NMR"/>
      <sheetName val="Building 1"/>
      <sheetName val="_x005f_x005f_x005f_x005f_x005f_x005f_x005f_x0000_._x005"/>
      <sheetName val="_._x005f_x005f_x005f_x005f_x005f_x005f_x005f_x0008_p-NM"/>
      <sheetName val="SILICATE"/>
      <sheetName val="?._x005f_x0008_p-NMR"/>
      <sheetName val="_x005f_x005f_x005f_x005f_x005f_x005f_x005f_x005f_x005f_x005f_"/>
      <sheetName val="_._x005f_x005f_x005f_x005f_x005f_x005f_x005f_x005f_x005"/>
      <sheetName val="INDIGINEOUS ITEMS "/>
      <sheetName val="Macro1"/>
      <sheetName val="_x005f_x005f_x005f_x0000_._x005"/>
      <sheetName val="_._x005f_x005f_x005f_x0008_p-NM"/>
      <sheetName val="?._x005f_x005f_x005f_x0008_p-NMR"/>
      <sheetName val="Load Details-220kV"/>
      <sheetName val="jobhist"/>
      <sheetName val="MH Compensate-Nov"/>
      <sheetName val="Variables_x"/>
      <sheetName val="Detail"/>
      <sheetName val="Design Sheet"/>
      <sheetName val="2.civil-RA"/>
      <sheetName val="labour coeff"/>
      <sheetName val="PX1DATA"/>
      <sheetName val="PX2DATA"/>
      <sheetName val="Summary year Plan"/>
      <sheetName val="Lead"/>
      <sheetName val="sept-plan"/>
      <sheetName val="Sheet2"/>
      <sheetName val="FitOutConfCentre"/>
      <sheetName val="Boq Block A"/>
      <sheetName val="Earthing Tower-1 Superseded"/>
      <sheetName val="Appendix 8A"/>
      <sheetName val="wordsdata"/>
      <sheetName val="Main-Material"/>
      <sheetName val="Structure Bills Qty"/>
      <sheetName val="Sheet3"/>
      <sheetName val="Material"/>
      <sheetName val="PLAN_FEB97"/>
      <sheetName val="Measurment"/>
      <sheetName val="3. Elemental Summary"/>
      <sheetName val="S2groupcode"/>
      <sheetName val="QS Name"/>
      <sheetName val="12a. CFTable"/>
      <sheetName val="총괄표 (2)"/>
      <sheetName val="Notes for BOQ"/>
      <sheetName val="Title"/>
      <sheetName val="Labour productivity"/>
      <sheetName val="General"/>
      <sheetName val="A.O.R."/>
      <sheetName val="sheeet7"/>
      <sheetName val="Hardfinishes-Contemporary"/>
      <sheetName val="Planned"/>
      <sheetName val="Quote to send"/>
      <sheetName val="Working back up"/>
      <sheetName val="Manpower cost"/>
      <sheetName val="Machinery cost"/>
      <sheetName val="공사비 내역 (가)"/>
      <sheetName val="Named ranges"/>
      <sheetName val="Notes_for_BOQ"/>
      <sheetName val="총괄표_(2)"/>
      <sheetName val="Labour_productivity"/>
      <sheetName val="A_O_R_"/>
      <sheetName val="tender_allowances"/>
      <sheetName val="Quote_to_send"/>
      <sheetName val="Working_back_up"/>
      <sheetName val="Manpower_cost"/>
      <sheetName val="Machinery_cost"/>
      <sheetName val="Cover"/>
      <sheetName val="allowances"/>
      <sheetName val="Master Equipment List"/>
      <sheetName val="except wiring"/>
      <sheetName val="MATERIALS_masterlist"/>
      <sheetName val="Overall Summary "/>
      <sheetName val="Vehicles"/>
      <sheetName val="CL MEP -VOL 3"/>
      <sheetName val="4. Capex"/>
      <sheetName val="5. Opex"/>
      <sheetName val="Info"/>
      <sheetName val="Architect Area &amp; Cost Inputs"/>
      <sheetName val="Narrative"/>
      <sheetName val="S1 new-Overall-with C8A"/>
      <sheetName val="Wood Works-R1 "/>
      <sheetName val="Aluminum"/>
      <sheetName val="Summary -New with C8A)"/>
      <sheetName val="Boq_C7+A-MEP "/>
      <sheetName val="Prelims"/>
      <sheetName val="Interim --&gt; Top"/>
      <sheetName val="OFF-TOP"/>
      <sheetName val="Details"/>
      <sheetName val="Testing"/>
      <sheetName val="beam-reinft"/>
      <sheetName val="Steel "/>
      <sheetName val="FNI_Spec"/>
      <sheetName val="定义"/>
      <sheetName val="001"/>
      <sheetName val="ESTIMATE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TBAL9697_-group_wise__sdpl3"/>
      <sheetName val="Rate_analysis3"/>
      <sheetName val="Labor_bills_19_08_062"/>
      <sheetName val="BOQ_Distribution2"/>
      <sheetName val="PROJECT_BRIEF(EX_NEW)1"/>
      <sheetName val="site_fab&amp;ernstr2"/>
      <sheetName val="new_tech_flt_bldg2"/>
      <sheetName val="Other_assumptions2"/>
      <sheetName val="Builtup_Area2"/>
      <sheetName val="Boq_-_Flats1"/>
      <sheetName val="S1_1"/>
      <sheetName val="S7B_1"/>
      <sheetName val="S6_1"/>
      <sheetName val="S3_1"/>
      <sheetName val="S2_1"/>
      <sheetName val="schedule_nos1"/>
      <sheetName val="RENT_MASTER_FILE1"/>
      <sheetName val="Approved_MTD_Proj_#'s2"/>
      <sheetName val="CFForecast_detail1"/>
      <sheetName val="Notes_for_BOQ1"/>
      <sheetName val="총괄표_(2)1"/>
      <sheetName val="Labour_productivity1"/>
      <sheetName val="_x005f_x0000___x005f_x0008_p-NMR1"/>
      <sheetName val="___x005f_x0008_p-NMR1"/>
      <sheetName val="Sheet3_(2)1"/>
      <sheetName val="3cd_Annexure1"/>
      <sheetName val="SUPPLY_-Sanitary_Fixtures1"/>
      <sheetName val="ITEMS_FOR_CIVIL_TENDER1"/>
      <sheetName val="August_TB1"/>
      <sheetName val="Kristal_Court1"/>
      <sheetName val="10_Linkway1"/>
      <sheetName val="11_Bus_Shelter-Bay1"/>
      <sheetName val="BASIS_-DEC_081"/>
      <sheetName val="A_O_R_1"/>
      <sheetName val="tender_allowances1"/>
      <sheetName val="Quote_to_send1"/>
      <sheetName val="Working_back_up1"/>
      <sheetName val="Manpower_cost1"/>
      <sheetName val="Machinery_cost1"/>
      <sheetName val="Trial_Bal_"/>
      <sheetName val="Balance_Sheet"/>
      <sheetName val="1__Acquisition"/>
      <sheetName val="공사비_내역_(가)"/>
      <sheetName val="Cash_Flow_Working"/>
      <sheetName val="Named_ranges"/>
      <sheetName val="MH(on_site)"/>
      <sheetName val="Master_Equipment_List"/>
      <sheetName val="except_wiring"/>
      <sheetName val="Overall_Summary_"/>
      <sheetName val="CL_MEP_-VOL_3"/>
      <sheetName val="4__Capex"/>
      <sheetName val="5__Opex"/>
      <sheetName val="Architect_Area_&amp;_Cost_Inputs"/>
      <sheetName val="S1_new-Overall-with_C8A"/>
      <sheetName val="Wood_Works-R1_"/>
      <sheetName val="Summary_-New_with_C8A)"/>
      <sheetName val="Boq_C7+A-MEP_"/>
      <sheetName val="Interim_--&gt;_Top"/>
      <sheetName val="Basic-Material_"/>
      <sheetName val="TULIPS_PHASE-2_BOQ_FINAL"/>
      <sheetName val="CABLE_DATA"/>
      <sheetName val="CCTV_KAMERE_(2)"/>
      <sheetName val="IO_LIST"/>
      <sheetName val="Steel_"/>
      <sheetName val="Structure_Bills_Qty"/>
      <sheetName val="_x005f_x005f_x005f_x0000___x005f_x005f_x005f_x0008_p-NM"/>
      <sheetName val="___x005f_x005f_x005f_x0008_p-NMR"/>
      <sheetName val="_x005f_x005f_x005f_x005f_x005f_x005f_x005f_x0000___x005"/>
      <sheetName val="___x005f_x005f_x005f_x005f_x005f_x005f_x005f_x0008_p-NM"/>
      <sheetName val="_x005f_x005f_x005f_x0000___x005"/>
      <sheetName val="___x005f_x005f_x005f_x0008_p-NM"/>
      <sheetName val="?__x005f_x0008_p-NMR"/>
      <sheetName val="?__x005f_x005f_x005f_x0008_p-NMR"/>
      <sheetName val="Main Sum (Model B)"/>
      <sheetName val="Main Sum"/>
      <sheetName val="③赤紙(日文)"/>
      <sheetName val="Training"/>
      <sheetName val="PERCENTAGE"/>
      <sheetName val="TIE-INS"/>
      <sheetName val="RAW DATA"/>
      <sheetName val="Comp"/>
      <sheetName val="269T(final)"/>
      <sheetName val="FedEx_Rates"/>
      <sheetName val="#511BkRec"/>
      <sheetName val="#511-DEC97"/>
      <sheetName val="Depreciation Methods"/>
      <sheetName val="cashflows &amp;IRR"/>
      <sheetName val="Assump"/>
      <sheetName val="dBase"/>
      <sheetName val="A"/>
      <sheetName val="RCC_Ret_ Wall"/>
      <sheetName val="Charge Rates"/>
      <sheetName val="Settings"/>
      <sheetName val="ridgewood"/>
      <sheetName val="Lookups"/>
      <sheetName val="Detail In Door Stad"/>
      <sheetName val="RCC,Ret. Wall"/>
      <sheetName val="Financials"/>
      <sheetName val="_x005f_x005f_x005f_x005f_"/>
      <sheetName val="_._x005f_x005f_x005f_x005f_x005"/>
      <sheetName val="SPEC"/>
      <sheetName val="Concrete measurement"/>
      <sheetName val="Model (Not Merged)"/>
      <sheetName val="BFS"/>
      <sheetName val="TOS-F"/>
      <sheetName val="GBW"/>
      <sheetName val="iNDEX"/>
      <sheetName val="BQLIST"/>
      <sheetName val="Labour &amp; Plant"/>
      <sheetName val="SCHEDULE (9)"/>
      <sheetName val="P&amp;L"/>
      <sheetName val="Vendors"/>
      <sheetName val="Materials Cost"/>
      <sheetName val="Depreciation"/>
      <sheetName val="complexall"/>
      <sheetName val="RGF-0004-1"/>
      <sheetName val="Intro."/>
      <sheetName val="1"/>
      <sheetName val="_x0000_._x0008_p-NM"/>
      <sheetName val="S &amp; A"/>
      <sheetName val="Jams_&amp;_Cills1"/>
      <sheetName val="Basement_Budget1"/>
      <sheetName val="nishanth"/>
      <sheetName val="Own summary"/>
      <sheetName val="Labour Rate "/>
      <sheetName val="Net TB"/>
      <sheetName val="doq"/>
      <sheetName val="Factors"/>
      <sheetName val="sumary"/>
      <sheetName val="TB"/>
      <sheetName val="bs"/>
      <sheetName val="Balustrade"/>
      <sheetName val="Area"/>
      <sheetName val="Purchases FWJ"/>
      <sheetName val="CASHFLOWS"/>
      <sheetName val="Cost Sheet"/>
      <sheetName val="Config"/>
      <sheetName val="MN T.B."/>
      <sheetName val="banilad"/>
      <sheetName val="Mactan"/>
      <sheetName val="Mandaue"/>
      <sheetName val="Internet"/>
      <sheetName val="sheet6"/>
      <sheetName val="wip"/>
      <sheetName val="PRMDESP"/>
      <sheetName val="Sheet3_(2)2"/>
      <sheetName val="SUPPLY_-Sanitary_Fixtures2"/>
      <sheetName val="ITEMS_FOR_CIVIL_TENDER2"/>
      <sheetName val="3cd_Annexure2"/>
      <sheetName val="August_TB2"/>
      <sheetName val="Kristal_Court2"/>
      <sheetName val="_1"/>
      <sheetName val="PROFITABILITY_ANALYSIS_(MONTH)1"/>
      <sheetName val="PROFITABILITY_ANALYSIS_(YTD)1"/>
      <sheetName val="Basement_Budget2"/>
      <sheetName val="Jams_&amp;_Cills2"/>
      <sheetName val="Project_Budget_Worksheet1"/>
      <sheetName val="Basic_Rates1"/>
      <sheetName val="BUSDUCT_SUMMARY-SUBSTATION1"/>
      <sheetName val="HARGA_MATERIAL1"/>
      <sheetName val="_x005f_x0000___x005f_x0008_p-NM1"/>
      <sheetName val="CANDY_BOQ1"/>
      <sheetName val="BLOCK-A_(MEA_SHEET)1"/>
      <sheetName val="Adimi_bldg1"/>
      <sheetName val="Pump_House1"/>
      <sheetName val="Fuel_Regu_Station1"/>
      <sheetName val="Debits_as_on_12_04_08"/>
      <sheetName val="old_boq"/>
      <sheetName val="Field_Values"/>
      <sheetName val="pile_Fabrication"/>
      <sheetName val="Master_Data_Sheet"/>
      <sheetName val="Building_1"/>
      <sheetName val="___x005f_x005f_x005f_x005f_x005f_x005f_x005f_x005f_x005"/>
      <sheetName val="INDIGINEOUS_ITEMS_"/>
      <sheetName val="10__&amp;_11__Rate_Code_&amp;_BQ"/>
      <sheetName val="Design_Sheet"/>
      <sheetName val="Portfolio_Summary"/>
      <sheetName val="Load_Details-220kV"/>
      <sheetName val="MH_Compensate-Nov"/>
      <sheetName val="RAW_DATA"/>
      <sheetName val="Intro_"/>
      <sheetName val="INPUT_SHEET"/>
      <sheetName val="13__Steel_-_Ratio"/>
      <sheetName val="4K_-_(6a)_Non_Manual_Breakdown"/>
      <sheetName val="9__Package_split_-_Cost_"/>
      <sheetName val="beam-reinft-IIInd_floor"/>
      <sheetName val="Data_sheet"/>
      <sheetName val="S_&amp;_A"/>
      <sheetName val="2_civil-RA"/>
      <sheetName val="labour_coeff"/>
      <sheetName val="Area_Statement_"/>
      <sheetName val="Fin__Assumpt__-_Sensitivities"/>
      <sheetName val="Labour_&amp;_Plant"/>
      <sheetName val="RCC_Ret__Wall"/>
      <sheetName val="Charge_Rates"/>
      <sheetName val="_p-NM"/>
      <sheetName val="Net_TB"/>
      <sheetName val="Own_summary"/>
      <sheetName val="Labour_Rate_"/>
      <sheetName val="Licences"/>
      <sheetName val="Performance Report"/>
      <sheetName val="RA"/>
      <sheetName val="Sectional  Summary"/>
      <sheetName val="final abstract"/>
      <sheetName val="Main Sheet"/>
      <sheetName val="Project Plan - WWW"/>
      <sheetName val="col-reinft1"/>
      <sheetName val="Area Statement PMO"/>
      <sheetName val="Material "/>
      <sheetName val="Indices"/>
      <sheetName val="Materials Cost(PCC)"/>
      <sheetName val="F1a-Pile"/>
      <sheetName val="Rocker"/>
      <sheetName val="girder"/>
      <sheetName val="Supplier"/>
      <sheetName val="Summary Sheets"/>
      <sheetName val="_x005f_x005f_x005F"/>
      <sheetName val="_x005f_x005f_"/>
      <sheetName val="_._x005f_x005F_x005"/>
      <sheetName val="_x005f_x0000_._x005"/>
      <sheetName val="_._x005f_x0008_p-NM"/>
      <sheetName val="Detail P&amp;L"/>
      <sheetName val="Assumption Sheet"/>
      <sheetName val="Concrete_measurement"/>
      <sheetName val="RCC,Ret__Wall"/>
      <sheetName val="Detail_In_Door_Stad"/>
      <sheetName val="___x005f_x005f_x005f_x005f_x005"/>
      <sheetName val="SCHEDULE_(9)"/>
      <sheetName val="Purchases_FWJ"/>
      <sheetName val="Cost_Sheet"/>
      <sheetName val="MN_T_B_"/>
      <sheetName val="Staircase-4"/>
      <sheetName val="labour rates"/>
      <sheetName val="Civil Boq"/>
      <sheetName val="Pay. Recom"/>
      <sheetName val="BOQ T4B"/>
      <sheetName val="CTRs (HOURS) "/>
      <sheetName val="Start"/>
      <sheetName val="Sectional__Summary"/>
      <sheetName val="Performance_Report"/>
      <sheetName val="Legal Risk Analysis"/>
      <sheetName val="strand"/>
      <sheetName val="Debtors analysis"/>
      <sheetName val="L"/>
      <sheetName val="Executive Summary"/>
      <sheetName val="BHANDUP"/>
      <sheetName val="Lagerhalle"/>
      <sheetName val="WSPOffices"/>
      <sheetName val="DSB"/>
      <sheetName val="rc0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x0000_._x005"/>
      <sheetName val="_._x0008_p-NM"/>
      <sheetName val="DATI_CONS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입찰내역 발주처 양식"/>
      <sheetName val="% prog figs -u5 and total"/>
      <sheetName val="材料"/>
      <sheetName val="AN2"/>
      <sheetName val="单位"/>
      <sheetName val="GM &amp; TA"/>
      <sheetName val="BOQ_Distribution3"/>
      <sheetName val="Labor_bills_19_08_063"/>
      <sheetName val="site_fab&amp;ernstr3"/>
      <sheetName val="new_tech_flt_bldg3"/>
      <sheetName val="Approved_MTD_Proj_#'s3"/>
      <sheetName val="CFForecast_detail2"/>
      <sheetName val="Trial_Bal_1"/>
      <sheetName val="Balance_Sheet1"/>
      <sheetName val="Cash_Flow_Working1"/>
      <sheetName val="1__Acquisition1"/>
      <sheetName val="tender_allowances2"/>
      <sheetName val="MH(on_site)1"/>
      <sheetName val="Named_ranges1"/>
      <sheetName val="Master_Equipment_List1"/>
      <sheetName val="except_wiring1"/>
      <sheetName val="Overall_Summary_1"/>
      <sheetName val="CL_MEP_-VOL_31"/>
      <sheetName val="4__Capex1"/>
      <sheetName val="5__Opex1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_x005f_x0000___x005f_x0008_p-NMR2"/>
      <sheetName val="___x005f_x0008_p-NMR2"/>
      <sheetName val="Trial_Bal_2"/>
      <sheetName val="Balance_Sheet2"/>
      <sheetName val="BASIS_-DEC_082"/>
      <sheetName val="Cash_Flow_Working2"/>
      <sheetName val="1__Acquisition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총괄표_(2)2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gso"/>
      <sheetName val="E_Summary"/>
      <sheetName val="D_Cntnts"/>
      <sheetName val="Services_InitialEst_UtilityServ"/>
      <sheetName val="Steel_1"/>
      <sheetName val="산근"/>
      <sheetName val="VC Summary"/>
      <sheetName val="VC_Summary"/>
      <sheetName val="SRC-B3U2"/>
      <sheetName val="VAL"/>
      <sheetName val="master"/>
      <sheetName val="Rate analysis civil"/>
      <sheetName val="ELEC&amp; MISC"/>
      <sheetName val="concrete"/>
      <sheetName val="inter"/>
      <sheetName val="Masters"/>
      <sheetName val="Basic Rate"/>
      <sheetName val="OpRes"/>
      <sheetName val="PRICE BID"/>
      <sheetName val="Data (adj."/>
      <sheetName val="Internal Finishes (Unit types)"/>
      <sheetName val="Fin Sum"/>
      <sheetName val="DetEst"/>
      <sheetName val="labour"/>
      <sheetName val="Cost summary"/>
      <sheetName val="APPENDIX 4.1a"/>
      <sheetName val="PRECAST lightconc-II"/>
      <sheetName val="Project ODC_NDEU"/>
      <sheetName val="Project_Budget_Worksheet2"/>
      <sheetName val="_2"/>
      <sheetName val="HARGA_MATERIAL2"/>
      <sheetName val="_x005f_x0000___x005f_x0008_p-NM2"/>
      <sheetName val="BLOCK-A_(MEA_SHEET)2"/>
      <sheetName val="PROFITABILITY_ANALYSIS_(MONTH)2"/>
      <sheetName val="PROFITABILITY_ANALYSIS_(YTD)2"/>
      <sheetName val="Adimi_bldg2"/>
      <sheetName val="Pump_House2"/>
      <sheetName val="Fuel_Regu_Station2"/>
      <sheetName val="Basic-Material_1"/>
      <sheetName val="TULIPS_PHASE-2_BOQ_FINAL1"/>
      <sheetName val="Debits_as_on_12_04_081"/>
      <sheetName val="CABLE_DATA1"/>
      <sheetName val="IO_LIST1"/>
      <sheetName val="CCTV_KAMERE_(2)1"/>
      <sheetName val="old_boq1"/>
      <sheetName val="Field_Values1"/>
      <sheetName val="Portfolio_Summary1"/>
      <sheetName val="Fin__Assumpt__-_Sensitivities1"/>
      <sheetName val="Master_Data_Sheet1"/>
      <sheetName val="_x005f_x005f_x005f_x0000___x005f_x005f_x005f_x0008_p-N1"/>
      <sheetName val="___x005f_x005f_x005f_x0008_p-NMR1"/>
      <sheetName val="Building_11"/>
      <sheetName val="_x005f_x005f_x005f_x005f_x005f_x005f_x005f_x0000___x001"/>
      <sheetName val="___x005f_x005f_x005f_x005f_x005f_x005f_x005f_x0008_p-N1"/>
      <sheetName val="?__x005f_x0008_p-NMR1"/>
      <sheetName val="___x005f_x005f_x005f_x005f_x005f_x005f_x005f_x005f_x001"/>
      <sheetName val="INDIGINEOUS_ITEMS_1"/>
      <sheetName val="10__&amp;_11__Rate_Code_&amp;_BQ1"/>
      <sheetName val="_x005f_x005f_x005f_x0000___x0051"/>
      <sheetName val="___x005f_x005f_x005f_x0008_p-NM1"/>
      <sheetName val="?__x005f_x005f_x005f_x0008_p-NMR1"/>
      <sheetName val="Load_Details-220kV1"/>
      <sheetName val="MH_Compensate-Nov1"/>
      <sheetName val="Design_Sheet1"/>
      <sheetName val="pile_Fabrication1"/>
      <sheetName val="Top_Line_-_WWW1"/>
      <sheetName val="Pile_cap1"/>
      <sheetName val="INPUT_SHEET1"/>
      <sheetName val="S_&amp;_A1"/>
      <sheetName val="13__Steel_-_Ratio1"/>
      <sheetName val="9__Package_split_-_Cost_1"/>
      <sheetName val="2_civil-RA1"/>
      <sheetName val="labour_coeff1"/>
      <sheetName val="4K_-_(6a)_Non_Manual_Breakdown1"/>
      <sheetName val="beam-reinft-IIInd_floor1"/>
      <sheetName val="Data_sheet1"/>
      <sheetName val="Area_Statement_1"/>
      <sheetName val="Variance_Report1"/>
      <sheetName val="Own_summary1"/>
      <sheetName val="Labour_Rate_1"/>
      <sheetName val="Jams_&amp;_Cills4"/>
      <sheetName val="Basement_Budget4"/>
      <sheetName val="Project_Budget_Worksheet3"/>
      <sheetName val="_3"/>
      <sheetName val="Other_assumptions4"/>
      <sheetName val="Builtup_Area4"/>
      <sheetName val="Boq_-_Flats3"/>
      <sheetName val="PROJECT_BRIEF(EX_NEW)3"/>
      <sheetName val="Basic_Rates3"/>
      <sheetName val="BUSDUCT_SUMMARY-SUBSTATION3"/>
      <sheetName val="HARGA_MATERIAL3"/>
      <sheetName val="_x005f_x0000___x005f_x0008_p-NM3"/>
      <sheetName val="10_Linkway3"/>
      <sheetName val="11_Bus_Shelter-Bay3"/>
      <sheetName val="CANDY_BOQ3"/>
      <sheetName val="BLOCK-A_(MEA_SHEET)3"/>
      <sheetName val="PROFITABILITY_ANALYSIS_(MONTH)3"/>
      <sheetName val="PROFITABILITY_ANALYSIS_(YTD)3"/>
      <sheetName val="Adimi_bldg3"/>
      <sheetName val="Pump_House3"/>
      <sheetName val="Fuel_Regu_Station3"/>
      <sheetName val="Basic-Material_2"/>
      <sheetName val="TULIPS_PHASE-2_BOQ_FINAL2"/>
      <sheetName val="Debits_as_on_12_04_082"/>
      <sheetName val="CABLE_DATA2"/>
      <sheetName val="IO_LIST2"/>
      <sheetName val="CCTV_KAMERE_(2)2"/>
      <sheetName val="old_boq2"/>
      <sheetName val="Field_Values2"/>
      <sheetName val="Portfolio_Summary2"/>
      <sheetName val="Fin__Assumpt__-_Sensitivities2"/>
      <sheetName val="Master_Data_Sheet2"/>
      <sheetName val="_x005f_x005f_x005f_x0000___x005f_x005f_x005f_x0008_p-N2"/>
      <sheetName val="___x005f_x005f_x005f_x0008_p-NMR2"/>
      <sheetName val="Building_12"/>
      <sheetName val="_x005f_x005f_x005f_x005f_x005f_x005f_x005f_x0000___x002"/>
      <sheetName val="___x005f_x005f_x005f_x005f_x005f_x005f_x005f_x0008_p-N2"/>
      <sheetName val="?__x005f_x0008_p-NMR2"/>
      <sheetName val="___x005f_x005f_x005f_x005f_x005f_x005f_x005f_x005f_x002"/>
      <sheetName val="INDIGINEOUS_ITEMS_2"/>
      <sheetName val="10__&amp;_11__Rate_Code_&amp;_BQ2"/>
      <sheetName val="_x005f_x005f_x005f_x0000___x0052"/>
      <sheetName val="___x005f_x005f_x005f_x0008_p-NM2"/>
      <sheetName val="?__x005f_x005f_x005f_x0008_p-NMR2"/>
      <sheetName val="Load_Details-220kV2"/>
      <sheetName val="MH_Compensate-Nov2"/>
      <sheetName val="Design_Sheet2"/>
      <sheetName val="pile_Fabrication2"/>
      <sheetName val="Top_Line_-_WWW2"/>
      <sheetName val="Pile_cap2"/>
      <sheetName val="INPUT_SHEET2"/>
      <sheetName val="S_&amp;_A2"/>
      <sheetName val="13__Steel_-_Ratio2"/>
      <sheetName val="9__Package_split_-_Cost_2"/>
      <sheetName val="2_civil-RA2"/>
      <sheetName val="labour_coeff2"/>
      <sheetName val="4K_-_(6a)_Non_Manual_Breakdown2"/>
      <sheetName val="beam-reinft-IIInd_floor2"/>
      <sheetName val="Data_sheet2"/>
      <sheetName val="Area_Statement_2"/>
      <sheetName val="Variance_Report2"/>
      <sheetName val="RENT_MASTER_FILE2"/>
      <sheetName val="Own_summary2"/>
      <sheetName val="Labour_Rate_2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TBAL9697_-group_wise__sdpl6"/>
      <sheetName val="Rate_analysis6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5"/>
      <sheetName val="Basement_Budget5"/>
      <sheetName val="_x005f_x0000___x005f_x0008_p-NMR4"/>
      <sheetName val="___x005f_x0008_p-NMR4"/>
      <sheetName val="BASIS_-DEC_084"/>
      <sheetName val="Project_Budget_Worksheet4"/>
      <sheetName val="_4"/>
      <sheetName val="Other_assumptions5"/>
      <sheetName val="Builtup_Area5"/>
      <sheetName val="Boq_-_Flats4"/>
      <sheetName val="PROJECT_BRIEF(EX_NEW)4"/>
      <sheetName val="Basic_Rates4"/>
      <sheetName val="BUSDUCT_SUMMARY-SUBSTATION4"/>
      <sheetName val="HARGA_MATERIAL4"/>
      <sheetName val="_x005f_x0000___x005f_x0008_p-NM4"/>
      <sheetName val="10_Linkway4"/>
      <sheetName val="11_Bus_Shelter-Bay4"/>
      <sheetName val="CANDY_BOQ4"/>
      <sheetName val="BLOCK-A_(MEA_SHEET)4"/>
      <sheetName val="PROFITABILITY_ANALYSIS_(MONTH)4"/>
      <sheetName val="PROFITABILITY_ANALYSIS_(YTD)4"/>
      <sheetName val="Adimi_bldg4"/>
      <sheetName val="Pump_House4"/>
      <sheetName val="Fuel_Regu_Station4"/>
      <sheetName val="Basic-Material_3"/>
      <sheetName val="TULIPS_PHASE-2_BOQ_FINAL3"/>
      <sheetName val="Cash_Flow_Working3"/>
      <sheetName val="Debits_as_on_12_04_083"/>
      <sheetName val="CABLE_DATA3"/>
      <sheetName val="IO_LIST3"/>
      <sheetName val="MH(on_site)3"/>
      <sheetName val="CCTV_KAMERE_(2)3"/>
      <sheetName val="old_boq3"/>
      <sheetName val="Field_Values3"/>
      <sheetName val="Portfolio_Summary3"/>
      <sheetName val="Fin__Assumpt__-_Sensitivities3"/>
      <sheetName val="Master_Data_Sheet3"/>
      <sheetName val="_x005f_x005f_x005f_x0000___x005f_x005f_x005f_x0008_p-N3"/>
      <sheetName val="___x005f_x005f_x005f_x0008_p-NMR3"/>
      <sheetName val="Building_13"/>
      <sheetName val="_x005f_x005f_x005f_x005f_x005f_x005f_x005f_x0000___x003"/>
      <sheetName val="___x005f_x005f_x005f_x005f_x005f_x005f_x005f_x0008_p-N3"/>
      <sheetName val="?__x005f_x0008_p-NMR3"/>
      <sheetName val="___x005f_x005f_x005f_x005f_x005f_x005f_x005f_x005f_x003"/>
      <sheetName val="INDIGINEOUS_ITEMS_3"/>
      <sheetName val="10__&amp;_11__Rate_Code_&amp;_BQ3"/>
      <sheetName val="_x005f_x005f_x005f_x0000___x0053"/>
      <sheetName val="___x005f_x005f_x005f_x0008_p-NM3"/>
      <sheetName val="?__x005f_x005f_x005f_x0008_p-NMR3"/>
      <sheetName val="Load_Details-220kV3"/>
      <sheetName val="schedule_nos3"/>
      <sheetName val="MH_Compensate-Nov3"/>
      <sheetName val="Design_Sheet3"/>
      <sheetName val="pile_Fabrication3"/>
      <sheetName val="Top_Line_-_WWW3"/>
      <sheetName val="Pile_cap3"/>
      <sheetName val="INPUT_SHEET3"/>
      <sheetName val="S_&amp;_A3"/>
      <sheetName val="13__Steel_-_Ratio3"/>
      <sheetName val="9__Package_split_-_Cost_3"/>
      <sheetName val="2_civil-RA3"/>
      <sheetName val="labour_coeff3"/>
      <sheetName val="4K_-_(6a)_Non_Manual_Breakdown3"/>
      <sheetName val="beam-reinft-IIInd_floor3"/>
      <sheetName val="Data_sheet3"/>
      <sheetName val="Area_Statement_3"/>
      <sheetName val="Variance_Report3"/>
      <sheetName val="RENT_MASTER_FILE3"/>
      <sheetName val="Own_summary3"/>
      <sheetName val="Labour_Rate_3"/>
      <sheetName val="Params"/>
      <sheetName val="PROG_DATA"/>
      <sheetName val="Bouclage"/>
      <sheetName val="(09)FINISHES"/>
      <sheetName val="Valorisation"/>
      <sheetName val="reference"/>
      <sheetName val="Rates Analysis"/>
      <sheetName val="1 Summary"/>
      <sheetName val="tender_allowances4"/>
      <sheetName val="Named_ranges3"/>
      <sheetName val="Master_Equipment_List3"/>
      <sheetName val="Notes_for_BOQ3"/>
      <sheetName val="A_O_R_3"/>
      <sheetName val="except_wiring3"/>
      <sheetName val="Overall_Summary_3"/>
      <sheetName val="CL_MEP_-VOL_33"/>
      <sheetName val="4__Capex3"/>
      <sheetName val="5__Opex3"/>
      <sheetName val="BOQ_Distribution6"/>
      <sheetName val="Labor_bills_19_08_066"/>
      <sheetName val="site_fab&amp;ernstr6"/>
      <sheetName val="new_tech_flt_bldg6"/>
      <sheetName val="Approved_MTD_Proj_#'s6"/>
      <sheetName val="CFForecast_detail5"/>
      <sheetName val="Trial_Bal_4"/>
      <sheetName val="Balance_Sheet4"/>
      <sheetName val="Cash_Flow_Working4"/>
      <sheetName val="1__Acquisition4"/>
      <sheetName val="tender_allowances5"/>
      <sheetName val="MH(on_site)4"/>
      <sheetName val="Named_ranges4"/>
      <sheetName val="Master_Equipment_List4"/>
      <sheetName val="Notes_for_BOQ4"/>
      <sheetName val="schedule_nos4"/>
      <sheetName val="A_O_R_4"/>
      <sheetName val="except_wiring4"/>
      <sheetName val="Overall_Summary_4"/>
      <sheetName val="CL_MEP_-VOL_34"/>
      <sheetName val="4__Capex4"/>
      <sheetName val="5__Opex4"/>
      <sheetName val="총괄표_(2)4"/>
      <sheetName val="look-dept"/>
      <sheetName val="s"/>
      <sheetName val="KP1590_E"/>
      <sheetName val="BP"/>
      <sheetName val="SC Cost FEB 03"/>
      <sheetName val="India F&amp;S Template"/>
      <sheetName val="Client Addressess"/>
      <sheetName val="Variation Statement"/>
      <sheetName val="pri-com"/>
      <sheetName val="Loads"/>
      <sheetName val="Detailed Summary (3)"/>
      <sheetName val="Options"/>
      <sheetName val="Voucher"/>
      <sheetName val="Cal"/>
      <sheetName val="BORDGC"/>
      <sheetName val="Door &amp; Window"/>
      <sheetName val="Pacakges split"/>
      <sheetName val="SITE OVERHEADS"/>
      <sheetName val="cover page"/>
      <sheetName val="8. Cover"/>
      <sheetName val="NOT FULL RESTRAINT"/>
      <sheetName val="BEARING &amp; BUCKLING"/>
      <sheetName val="PFC"/>
      <sheetName val="RSJ"/>
      <sheetName val="Block A - BOQ"/>
      <sheetName val="Cashflow projection"/>
      <sheetName val="costing_ESDV"/>
      <sheetName val="costing_FE"/>
      <sheetName val="costing_Misc"/>
      <sheetName val="costing_MOV"/>
      <sheetName val="costing_Press"/>
      <sheetName val="Form 6"/>
      <sheetName val="Consolidated"/>
      <sheetName val="NATIONAL-TIME"/>
      <sheetName val="INVOICE"/>
      <sheetName val="BOQ - Electric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RateAnalysis"/>
      <sheetName val="loadcal"/>
      <sheetName val="Fill this out first..."/>
      <sheetName val="para"/>
      <sheetName val="kppl pl"/>
      <sheetName val="Improvements"/>
      <sheetName val="ESGS Costing"/>
      <sheetName val="HR &amp; Admin - 1"/>
      <sheetName val="On Roll - Vacant"/>
      <sheetName val="HR &amp; Admin"/>
      <sheetName val="_x005f_x0000___x005"/>
      <sheetName val="___x005f_x0008_p-NM"/>
      <sheetName val="pt-cw"/>
      <sheetName val="Birla Sruya"/>
      <sheetName val="S1_2"/>
      <sheetName val="S7B_2"/>
      <sheetName val="S6_2"/>
      <sheetName val="S3_2"/>
      <sheetName val="S2_2"/>
      <sheetName val="Slab-07_"/>
      <sheetName val="Summary_year_Plan"/>
      <sheetName val="Boq_Block_A"/>
      <sheetName val="Earthing_Tower-1_Superseded"/>
      <sheetName val="Appendix_8A"/>
      <sheetName val="Structure_Bills_Qty1"/>
      <sheetName val="3__Elemental_Summary"/>
      <sheetName val="QS_Name"/>
      <sheetName val="12a__CFTable"/>
      <sheetName val="Labour_productivity2"/>
      <sheetName val="Quote_to_send2"/>
      <sheetName val="Working_back_up2"/>
      <sheetName val="Manpower_cost2"/>
      <sheetName val="Machinery_cost2"/>
      <sheetName val="공사비_내역_(가)1"/>
      <sheetName val="Architect_Area_&amp;_Cost_Inputs1"/>
      <sheetName val="S1_new-Overall-with_C8A1"/>
      <sheetName val="Wood_Works-R1_1"/>
      <sheetName val="Summary_-New_with_C8A)1"/>
      <sheetName val="Boq_C7+A-MEP_1"/>
      <sheetName val="Interim_--&gt;_Top1"/>
      <sheetName val="Main_Sum_(Model_B)"/>
      <sheetName val="Main_Sum"/>
      <sheetName val="Depreciation_Methods"/>
      <sheetName val="cashflows_&amp;IRR"/>
      <sheetName val="Plan Summary"/>
      <sheetName val="Cor Oh"/>
      <sheetName val="Wag&amp;Sal"/>
      <sheetName val="S-4 Elemental Sum"/>
      <sheetName val="_x0000___x0008_p-NMR"/>
      <sheetName val="___x0008_p-NMR"/>
      <sheetName val="_x0000___x0008_p-NM"/>
      <sheetName val="_x0000___x0008_p-NMR1"/>
      <sheetName val="___x0008_p-NMR1"/>
      <sheetName val="?__x0008_p-NMR"/>
      <sheetName val="._x0008_p-NMR"/>
      <sheetName val="._x0008_p-NM"/>
      <sheetName val="._x005"/>
      <sheetName val="__x0008_p-NMR"/>
      <sheetName val="__x0008_p-NM"/>
      <sheetName val="__x0008_p-NMR1"/>
      <sheetName val="M.S."/>
      <sheetName val="LBO"/>
      <sheetName val="Main"/>
      <sheetName val="BLK2"/>
      <sheetName val="BLK3"/>
      <sheetName val="E &amp; R"/>
      <sheetName val="radar"/>
      <sheetName val="UG"/>
      <sheetName val="Quote Sheet"/>
      <sheetName val="item"/>
      <sheetName val="SCH4"/>
      <sheetName val="MASTER_RATE ANALYSIS"/>
      <sheetName val="Lead (Final)"/>
      <sheetName val="Linked Lead"/>
      <sheetName val="OEM "/>
      <sheetName val="A4a"/>
      <sheetName val="bs BP 04 SA"/>
      <sheetName val="Attributes"/>
      <sheetName val="細目"/>
      <sheetName val="_x0000___x0008_p-NM1"/>
      <sheetName val="_x005F"/>
      <sheetName val="_x0000___x0008_p-NMR2"/>
      <sheetName val="___x0008_p-NMR2"/>
      <sheetName val="_x0000___x0008_p-NMR3"/>
      <sheetName val="___x0008_p-NMR3"/>
      <sheetName val="_x0000___x0008_p-NM2"/>
      <sheetName val="_x005f_x0000___x005f_x0008_p-N1"/>
      <sheetName val="_x005f_x005f_x005f_x0000___x001"/>
      <sheetName val="___x005f_x005f_x005f_x0008_p-N1"/>
      <sheetName val="___x005f_x005f_x005f_x005f_x001"/>
      <sheetName val="_x005f_x0000___x0051"/>
      <sheetName val="___x005f_x0008_p-NM1"/>
      <sheetName val="_x0000___x0008_p-NM3"/>
      <sheetName val="_x005f_x0000___x005f_x0008_p-N2"/>
      <sheetName val="_x005f_x005f_x005f_x0000___x002"/>
      <sheetName val="___x005f_x005f_x005f_x0008_p-N2"/>
      <sheetName val="___x005f_x005f_x005f_x005f_x002"/>
      <sheetName val="_x005f_x0000___x0052"/>
      <sheetName val="___x005f_x0008_p-NM2"/>
      <sheetName val="_x0000___x0008_p-NMR4"/>
      <sheetName val="___x0008_p-NMR4"/>
      <sheetName val="_x0000___x0008_p-NM4"/>
      <sheetName val="_x005f_x0000___x005f_x0008_p-N3"/>
      <sheetName val="_x005f_x005f_x005f_x0000___x003"/>
      <sheetName val="___x005f_x005f_x005f_x0008_p-N3"/>
      <sheetName val="___x005f_x005f_x005f_x005f_x003"/>
      <sheetName val="_x005f_x0000___x0053"/>
      <sheetName val="___x005f_x0008_p-NM3"/>
      <sheetName val="___x005f_x005f_x005"/>
      <sheetName val="Lowside"/>
      <sheetName val="Annexure A"/>
      <sheetName val="Opening Date"/>
      <sheetName val="Maping_Other"/>
      <sheetName val="Legend"/>
      <sheetName val="Cd"/>
      <sheetName val="Cs"/>
      <sheetName val="CPIPE"/>
      <sheetName val="THK"/>
      <sheetName val="CPIPE 1"/>
      <sheetName val="ABBR"/>
      <sheetName val="Scheme Area Details_Block__ C2"/>
      <sheetName val="DSLP"/>
      <sheetName val="1,2공구원가계산서"/>
      <sheetName val="2공구산출내역"/>
      <sheetName val="1공구산출내역서"/>
      <sheetName val="부대내역"/>
      <sheetName val="Demand"/>
      <sheetName val="分析"/>
      <sheetName val="Doors"/>
      <sheetName val="CASH-FLOW"/>
      <sheetName val="IGCC査定"/>
      <sheetName val="C-data"/>
      <sheetName val="Mat.-Rates"/>
      <sheetName val="Variables"/>
      <sheetName val="RAJU ASSO"/>
      <sheetName val="Abs-B3"/>
      <sheetName val="__x0008_p-NM1"/>
      <sheetName val="__x0008_p-NMR2"/>
      <sheetName val="__x0008_p-NMR3"/>
      <sheetName val="__x0008_p-NM2"/>
      <sheetName val="__x0008_p-NM3"/>
      <sheetName val="__x0008_p-NMR4"/>
      <sheetName val="__x0008_p-NM4"/>
      <sheetName val="Project_Plan_-_WWW"/>
      <sheetName val="Main_Sheet"/>
      <sheetName val="Project_Plan_-_WWW1"/>
      <sheetName val="Summary_year_Plan1"/>
      <sheetName val="Earthing_Tower-1_Superseded1"/>
      <sheetName val="Appendix_8A1"/>
      <sheetName val="Boq_Block_A1"/>
      <sheetName val="Main_Sheet1"/>
      <sheetName val="SewerCAD Pipe Data-Actual 2040"/>
      <sheetName val="ECONDATA"/>
      <sheetName val="MRATES"/>
      <sheetName val="Ele-Dep(11)"/>
      <sheetName val="Footing"/>
      <sheetName val="Elemental Buildup"/>
      <sheetName val="MSH51C"/>
      <sheetName val="Bill No 8 - A"/>
      <sheetName val="Elemental_Buildup"/>
      <sheetName val="Malaysia incl. RET"/>
      <sheetName val="Selling Price"/>
      <sheetName val="EQUIPMENT-OLD"/>
      <sheetName val="Ticket"/>
      <sheetName val="Staff JV"/>
      <sheetName val="C1 (calcolo)"/>
      <sheetName val="CONCRETE_PLANT"/>
      <sheetName val="TTL"/>
      <sheetName val="rebrand"/>
      <sheetName val="Mp-team 1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Price Groups"/>
      <sheetName val="cables"/>
      <sheetName val="综合单价组价表"/>
      <sheetName val="Bill no.8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eqpmad2"/>
      <sheetName val="Basis"/>
      <sheetName val="PE"/>
      <sheetName val="?._x0008_p-NM"/>
      <sheetName val="?._x005f_x005f_x005f_x0008_p-NM"/>
      <sheetName val="?._x005"/>
      <sheetName val="?._x005f_x005f_x005f_x005F_x005"/>
      <sheetName val="RFP002"/>
      <sheetName val="_x005f_x005f_x005F?._x005"/>
      <sheetName val="_x005f_x005f_x005F?__x005"/>
      <sheetName val="?._x005f_x005F_x005"/>
      <sheetName val="_x005f_x005f_x005F?__x001"/>
      <sheetName val="___x005f_x005F_x001"/>
      <sheetName val="_x005f_x005f_x005F?__x002"/>
      <sheetName val="___x005f_x005F_x002"/>
      <sheetName val="_x005f_x005f_x005F?__x003"/>
      <sheetName val="___x005f_x005F_x003"/>
      <sheetName val="?._x005f_x0008_p-NM"/>
      <sheetName val="LOCAL RATES"/>
      <sheetName val="Plant &amp;  Machinery"/>
      <sheetName val="upa"/>
      <sheetName val="LA- lookups"/>
      <sheetName val="Inter unit set off"/>
      <sheetName val="GF Columns"/>
      <sheetName val="Labour_&amp;_Plant3"/>
      <sheetName val="Sectional__Summary3"/>
      <sheetName val="Labour_&amp;_Plant1"/>
      <sheetName val="Sectional__Summary1"/>
      <sheetName val="Labour_&amp;_Plant2"/>
      <sheetName val="Sectional__Summary2"/>
      <sheetName val="Labor_abs-PW8"/>
      <sheetName val="Labor_abs-NMR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-_Plastering8"/>
      <sheetName val="Labor_bill_Water_proofing8"/>
      <sheetName val="Labor_bill_Hard_Finish8"/>
      <sheetName val="Labor_bill_MS_items8"/>
      <sheetName val="Break_up_Sheet8"/>
      <sheetName val="TBAL9697_-group_wise__sdpl8"/>
      <sheetName val="Rate_analysis8"/>
      <sheetName val="BOQ_Distribution7"/>
      <sheetName val="site_fab&amp;ernstr7"/>
      <sheetName val="Labor_bills_19_08_067"/>
      <sheetName val="new_tech_flt_bldg7"/>
      <sheetName val="Approved_MTD_Proj_#'s7"/>
      <sheetName val="Sheet3_(2)6"/>
      <sheetName val="SUPPLY_-Sanitary_Fixtures6"/>
      <sheetName val="ITEMS_FOR_CIVIL_TENDER6"/>
      <sheetName val="Portfolio_Summary5"/>
      <sheetName val="Kristal_Court6"/>
      <sheetName val="3cd_Annexure6"/>
      <sheetName val="August_TB6"/>
      <sheetName val="CFForecast_detail6"/>
      <sheetName val="_x005f_x0000___x005f_x0008_p-NMR5"/>
      <sheetName val="___x005f_x0008_p-NMR5"/>
      <sheetName val="Fin__Assumpt__-_Sensitivities5"/>
      <sheetName val="IO_LIST5"/>
      <sheetName val="Builtup_Area6"/>
      <sheetName val="Other_assumptions6"/>
      <sheetName val="Boq_-_Flats5"/>
      <sheetName val="PROJECT_BRIEF(EX_NEW)5"/>
      <sheetName val="Basic_Rates5"/>
      <sheetName val="BUSDUCT_SUMMARY-SUBSTATION5"/>
      <sheetName val="BASIS_-DEC_085"/>
      <sheetName val="_5"/>
      <sheetName val="HARGA_MATERIAL5"/>
      <sheetName val="_x005f_x0000___x005f_x0008_p-NM5"/>
      <sheetName val="10_Linkway5"/>
      <sheetName val="11_Bus_Shelter-Bay5"/>
      <sheetName val="CANDY_BOQ5"/>
      <sheetName val="BLOCK-A_(MEA_SHEET)5"/>
      <sheetName val="Project_Budget_Worksheet5"/>
      <sheetName val="PROFITABILITY_ANALYSIS_(MONTH)5"/>
      <sheetName val="PROFITABILITY_ANALYSIS_(YTD)5"/>
      <sheetName val="Cash_Flow_Working5"/>
      <sheetName val="Trial_Bal_5"/>
      <sheetName val="Balance_Sheet5"/>
      <sheetName val="Basic-Material_5"/>
      <sheetName val="TULIPS_PHASE-2_BOQ_FINAL5"/>
      <sheetName val="CABLE_DATA5"/>
      <sheetName val="MH(on_site)5"/>
      <sheetName val="CCTV_KAMERE_(2)5"/>
      <sheetName val="_x005f_x005f_x005f_x0000___x005f_x005f_x005f_x0008_p-N5"/>
      <sheetName val="___x005f_x005f_x005f_x0008_p-NMR5"/>
      <sheetName val="?__x005f_x0008_p-NMR5"/>
      <sheetName val="_x005f_x005f_x005f_x005f_x005f_x005f_x005f_x0000___x006"/>
      <sheetName val="___x005f_x005f_x005f_x005f_x005f_x005f_x005f_x0008_p-N5"/>
      <sheetName val="Master_Data_Sheet5"/>
      <sheetName val="Building_15"/>
      <sheetName val="___x005f_x005f_x005f_x005f_x005f_x005f_x005f_x005f_x006"/>
      <sheetName val="INDIGINEOUS_ITEMS_5"/>
      <sheetName val="Debits_as_on_12_04_085"/>
      <sheetName val="Adimi_bldg5"/>
      <sheetName val="Pump_House5"/>
      <sheetName val="Fuel_Regu_Station5"/>
      <sheetName val="1__Acquisition5"/>
      <sheetName val="Field_Values5"/>
      <sheetName val="10__&amp;_11__Rate_Code_&amp;_BQ5"/>
      <sheetName val="_x005f_x005f_x005f_x0000___x0055"/>
      <sheetName val="___x005f_x005f_x005f_x0008_p-NM5"/>
      <sheetName val="?__x005f_x005f_x005f_x0008_p-NMR5"/>
      <sheetName val="Load_Details-220kV5"/>
      <sheetName val="schedule_nos5"/>
      <sheetName val="MH_Compensate-Nov5"/>
      <sheetName val="Design_Sheet5"/>
      <sheetName val="pile_Fabrication5"/>
      <sheetName val="Top_Line_-_WWW5"/>
      <sheetName val="Pile_cap5"/>
      <sheetName val="Labour_&amp;_Plant5"/>
      <sheetName val="A_O_R_5"/>
      <sheetName val="Sectional__Summary5"/>
      <sheetName val="Labor_abs-PW7"/>
      <sheetName val="Labor_abs-NMR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-_Plastering7"/>
      <sheetName val="Labor_bill_Water_proofing7"/>
      <sheetName val="Labor_bill_Hard_Finish7"/>
      <sheetName val="Labor_bill_MS_items7"/>
      <sheetName val="Break_up_Sheet7"/>
      <sheetName val="TBAL9697_-group_wise__sdpl7"/>
      <sheetName val="Rate_analysis7"/>
      <sheetName val="Portfolio_Summary4"/>
      <sheetName val="Fin__Assumpt__-_Sensitivities4"/>
      <sheetName val="IO_LIST4"/>
      <sheetName val="Basic-Material_4"/>
      <sheetName val="TULIPS_PHASE-2_BOQ_FINAL4"/>
      <sheetName val="CABLE_DATA4"/>
      <sheetName val="CCTV_KAMERE_(2)4"/>
      <sheetName val="_x005f_x005f_x005f_x0000___x005f_x005f_x005f_x0008_p-N4"/>
      <sheetName val="___x005f_x005f_x005f_x0008_p-NMR4"/>
      <sheetName val="?__x005f_x0008_p-NMR4"/>
      <sheetName val="_x005f_x005f_x005f_x005f_x005f_x005f_x005f_x0000___x004"/>
      <sheetName val="___x005f_x005f_x005f_x005f_x005f_x005f_x005f_x0008_p-N4"/>
      <sheetName val="Master_Data_Sheet4"/>
      <sheetName val="Building_14"/>
      <sheetName val="___x005f_x005f_x005f_x005f_x005f_x005f_x005f_x005f_x004"/>
      <sheetName val="INDIGINEOUS_ITEMS_4"/>
      <sheetName val="Debits_as_on_12_04_084"/>
      <sheetName val="Field_Values4"/>
      <sheetName val="10__&amp;_11__Rate_Code_&amp;_BQ4"/>
      <sheetName val="_x005f_x005f_x005f_x0000___x0054"/>
      <sheetName val="___x005f_x005f_x005f_x0008_p-NM4"/>
      <sheetName val="?__x005f_x005f_x005f_x0008_p-NMR4"/>
      <sheetName val="Load_Details-220kV4"/>
      <sheetName val="MH_Compensate-Nov4"/>
      <sheetName val="Design_Sheet4"/>
      <sheetName val="pile_Fabrication4"/>
      <sheetName val="Top_Line_-_WWW4"/>
      <sheetName val="Pile_cap4"/>
      <sheetName val="Labour_&amp;_Plant4"/>
      <sheetName val="Sectional__Summary4"/>
      <sheetName val="Labor_abs-PW9"/>
      <sheetName val="Labor_abs-NMR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-_Plastering9"/>
      <sheetName val="Labor_bill_Water_proofing9"/>
      <sheetName val="Labor_bill_Hard_Finish9"/>
      <sheetName val="Labor_bill_MS_items9"/>
      <sheetName val="Break_up_Sheet9"/>
      <sheetName val="TBAL9697_-group_wise__sdpl9"/>
      <sheetName val="Rate_analysis9"/>
      <sheetName val="BOQ_Distribution8"/>
      <sheetName val="Labor_bills_19_08_068"/>
      <sheetName val="site_fab&amp;ernstr8"/>
      <sheetName val="new_tech_flt_bldg8"/>
      <sheetName val="Approved_MTD_Proj_#'s8"/>
      <sheetName val="Sheet3_(2)7"/>
      <sheetName val="SUPPLY_-Sanitary_Fixtures7"/>
      <sheetName val="ITEMS_FOR_CIVIL_TENDER7"/>
      <sheetName val="Portfolio_Summary6"/>
      <sheetName val="Kristal_Court7"/>
      <sheetName val="3cd_Annexure7"/>
      <sheetName val="August_TB7"/>
      <sheetName val="CFForecast_detail7"/>
      <sheetName val="Basement_Budget6"/>
      <sheetName val="Jams_&amp;_Cills6"/>
      <sheetName val="_x005f_x0000___x005f_x0008_p-NMR6"/>
      <sheetName val="___x005f_x0008_p-NMR6"/>
      <sheetName val="Fin__Assumpt__-_Sensitivities6"/>
      <sheetName val="IO_LIST6"/>
      <sheetName val="Builtup_Area7"/>
      <sheetName val="Other_assumptions7"/>
      <sheetName val="Boq_-_Flats6"/>
      <sheetName val="PROJECT_BRIEF(EX_NEW)6"/>
      <sheetName val="Basic_Rates6"/>
      <sheetName val="BUSDUCT_SUMMARY-SUBSTATION6"/>
      <sheetName val="BASIS_-DEC_086"/>
      <sheetName val="_6"/>
      <sheetName val="HARGA_MATERIAL6"/>
      <sheetName val="_x005f_x0000___x005f_x0008_p-NM6"/>
      <sheetName val="10_Linkway6"/>
      <sheetName val="11_Bus_Shelter-Bay6"/>
      <sheetName val="CANDY_BOQ6"/>
      <sheetName val="BLOCK-A_(MEA_SHEET)6"/>
      <sheetName val="Project_Budget_Worksheet6"/>
      <sheetName val="PROFITABILITY_ANALYSIS_(MONTH)6"/>
      <sheetName val="PROFITABILITY_ANALYSIS_(YTD)6"/>
      <sheetName val="Cash_Flow_Working6"/>
      <sheetName val="tender_allowances6"/>
      <sheetName val="Trial_Bal_6"/>
      <sheetName val="Balance_Sheet6"/>
      <sheetName val="Basic-Material_6"/>
      <sheetName val="TULIPS_PHASE-2_BOQ_FINAL6"/>
      <sheetName val="CABLE_DATA6"/>
      <sheetName val="MH(on_site)6"/>
      <sheetName val="CCTV_KAMERE_(2)6"/>
      <sheetName val="_x005f_x005f_x005f_x0000___x005f_x005f_x005f_x0008_p-N6"/>
      <sheetName val="___x005f_x005f_x005f_x0008_p-NMR6"/>
      <sheetName val="?__x005f_x0008_p-NMR6"/>
      <sheetName val="_x005f_x005f_x005f_x005f_x005f_x005f_x005f_x0000___x007"/>
      <sheetName val="___x005f_x005f_x005f_x005f_x005f_x005f_x005f_x0008_p-N6"/>
      <sheetName val="Master_Data_Sheet6"/>
      <sheetName val="Building_16"/>
      <sheetName val="___x005f_x005f_x005f_x005f_x005f_x005f_x005f_x005f_x007"/>
      <sheetName val="INDIGINEOUS_ITEMS_6"/>
      <sheetName val="Debits_as_on_12_04_086"/>
      <sheetName val="Adimi_bldg6"/>
      <sheetName val="Pump_House6"/>
      <sheetName val="Fuel_Regu_Station6"/>
      <sheetName val="1__Acquisition6"/>
      <sheetName val="Field_Values6"/>
      <sheetName val="10__&amp;_11__Rate_Code_&amp;_BQ6"/>
      <sheetName val="_x005f_x005f_x005f_x0000___x0056"/>
      <sheetName val="___x005f_x005f_x005f_x0008_p-NM6"/>
      <sheetName val="?__x005f_x005f_x005f_x0008_p-NMR6"/>
      <sheetName val="Load_Details-220kV6"/>
      <sheetName val="schedule_nos6"/>
      <sheetName val="MH_Compensate-Nov6"/>
      <sheetName val="Design_Sheet6"/>
      <sheetName val="pile_Fabrication6"/>
      <sheetName val="Top_Line_-_WWW6"/>
      <sheetName val="Pile_cap6"/>
      <sheetName val="Labour_&amp;_Plant6"/>
      <sheetName val="A_O_R_6"/>
      <sheetName val="Sectional__Summary6"/>
      <sheetName val="Labor_abs-PW10"/>
      <sheetName val="Labor_abs-NMR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-_Plastering10"/>
      <sheetName val="Labor_bill_Water_proofing10"/>
      <sheetName val="Labor_bill_Hard_Finish10"/>
      <sheetName val="Labor_bill_MS_items10"/>
      <sheetName val="Break_up_Sheet10"/>
      <sheetName val="TBAL9697_-group_wise__sdpl10"/>
      <sheetName val="Rate_analysis10"/>
      <sheetName val="BOQ_Distribution9"/>
      <sheetName val="Labor_bills_19_08_069"/>
      <sheetName val="site_fab&amp;ernstr9"/>
      <sheetName val="new_tech_flt_bldg9"/>
      <sheetName val="Approved_MTD_Proj_#'s9"/>
      <sheetName val="Sheet3_(2)8"/>
      <sheetName val="SUPPLY_-Sanitary_Fixtures8"/>
      <sheetName val="ITEMS_FOR_CIVIL_TENDER8"/>
      <sheetName val="Portfolio_Summary7"/>
      <sheetName val="Kristal_Court8"/>
      <sheetName val="3cd_Annexure8"/>
      <sheetName val="August_TB8"/>
      <sheetName val="CFForecast_detail8"/>
      <sheetName val="Basement_Budget7"/>
      <sheetName val="Jams_&amp;_Cills7"/>
      <sheetName val="_x005f_x0000___x005f_x0008_p-NMR7"/>
      <sheetName val="___x005f_x0008_p-NMR7"/>
      <sheetName val="Fin__Assumpt__-_Sensitivities7"/>
      <sheetName val="IO_LIST7"/>
      <sheetName val="Builtup_Area8"/>
      <sheetName val="Other_assumptions8"/>
      <sheetName val="Boq_-_Flats7"/>
      <sheetName val="PROJECT_BRIEF(EX_NEW)7"/>
      <sheetName val="Basic_Rates7"/>
      <sheetName val="BUSDUCT_SUMMARY-SUBSTATION7"/>
      <sheetName val="BASIS_-DEC_087"/>
      <sheetName val="_7"/>
      <sheetName val="HARGA_MATERIAL7"/>
      <sheetName val="_x005f_x0000___x005f_x0008_p-NM7"/>
      <sheetName val="10_Linkway7"/>
      <sheetName val="11_Bus_Shelter-Bay7"/>
      <sheetName val="CANDY_BOQ7"/>
      <sheetName val="BLOCK-A_(MEA_SHEET)7"/>
      <sheetName val="Project_Budget_Worksheet7"/>
      <sheetName val="PROFITABILITY_ANALYSIS_(MONTH)7"/>
      <sheetName val="PROFITABILITY_ANALYSIS_(YTD)7"/>
      <sheetName val="Cash_Flow_Working7"/>
      <sheetName val="tender_allowances7"/>
      <sheetName val="Trial_Bal_7"/>
      <sheetName val="Balance_Sheet7"/>
      <sheetName val="Basic-Material_7"/>
      <sheetName val="TULIPS_PHASE-2_BOQ_FINAL7"/>
      <sheetName val="CABLE_DATA7"/>
      <sheetName val="MH(on_site)7"/>
      <sheetName val="CCTV_KAMERE_(2)7"/>
      <sheetName val="_x005f_x005f_x005f_x0000___x005f_x005f_x005f_x0008_p-N7"/>
      <sheetName val="___x005f_x005f_x005f_x0008_p-NMR7"/>
      <sheetName val="?__x005f_x0008_p-NMR7"/>
      <sheetName val="_x005f_x005f_x005f_x005f_x005f_x005f_x005f_x0000___x008"/>
      <sheetName val="___x005f_x005f_x005f_x005f_x005f_x005f_x005f_x0008_p-N7"/>
      <sheetName val="Master_Data_Sheet7"/>
      <sheetName val="Building_17"/>
      <sheetName val="___x005f_x005f_x005f_x005f_x005f_x005f_x005f_x005f_x008"/>
      <sheetName val="INDIGINEOUS_ITEMS_7"/>
      <sheetName val="Debits_as_on_12_04_087"/>
      <sheetName val="Adimi_bldg7"/>
      <sheetName val="Pump_House7"/>
      <sheetName val="Fuel_Regu_Station7"/>
      <sheetName val="1__Acquisition7"/>
      <sheetName val="Field_Values7"/>
      <sheetName val="10__&amp;_11__Rate_Code_&amp;_BQ7"/>
      <sheetName val="_x005f_x005f_x005f_x0000___x0057"/>
      <sheetName val="___x005f_x005f_x005f_x0008_p-NM7"/>
      <sheetName val="?__x005f_x005f_x005f_x0008_p-NMR7"/>
      <sheetName val="Load_Details-220kV7"/>
      <sheetName val="schedule_nos7"/>
      <sheetName val="MH_Compensate-Nov7"/>
      <sheetName val="Design_Sheet7"/>
      <sheetName val="pile_Fabrication7"/>
      <sheetName val="Top_Line_-_WWW7"/>
      <sheetName val="Pile_cap7"/>
      <sheetName val="Labour_&amp;_Plant7"/>
      <sheetName val="A_O_R_7"/>
      <sheetName val="Sectional__Summary7"/>
      <sheetName val="Labor_abs-PW11"/>
      <sheetName val="Labor_abs-NMR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-_Plastering11"/>
      <sheetName val="Labor_bill_Water_proofing11"/>
      <sheetName val="Labor_bill_Hard_Finish11"/>
      <sheetName val="Labor_bill_MS_items11"/>
      <sheetName val="Break_up_Sheet11"/>
      <sheetName val="TBAL9697_-group_wise__sdpl11"/>
      <sheetName val="Rate_analysis11"/>
      <sheetName val="BOQ_Distribution10"/>
      <sheetName val="Labor_bills_19_08_0610"/>
      <sheetName val="site_fab&amp;ernstr10"/>
      <sheetName val="new_tech_flt_bldg10"/>
      <sheetName val="Approved_MTD_Proj_#'s10"/>
      <sheetName val="Sheet3_(2)9"/>
      <sheetName val="SUPPLY_-Sanitary_Fixtures9"/>
      <sheetName val="ITEMS_FOR_CIVIL_TENDER9"/>
      <sheetName val="Portfolio_Summary8"/>
      <sheetName val="Kristal_Court9"/>
      <sheetName val="3cd_Annexure9"/>
      <sheetName val="August_TB9"/>
      <sheetName val="CFForecast_detail9"/>
      <sheetName val="Basement_Budget8"/>
      <sheetName val="Jams_&amp;_Cills8"/>
      <sheetName val="_x005f_x0000___x005f_x0008_p-NMR8"/>
      <sheetName val="___x005f_x0008_p-NMR8"/>
      <sheetName val="Fin__Assumpt__-_Sensitivities8"/>
      <sheetName val="IO_LIST8"/>
      <sheetName val="Builtup_Area9"/>
      <sheetName val="Other_assumptions9"/>
      <sheetName val="Boq_-_Flats8"/>
      <sheetName val="PROJECT_BRIEF(EX_NEW)8"/>
      <sheetName val="Basic_Rates8"/>
      <sheetName val="BUSDUCT_SUMMARY-SUBSTATION8"/>
      <sheetName val="BASIS_-DEC_088"/>
      <sheetName val="_8"/>
      <sheetName val="HARGA_MATERIAL8"/>
      <sheetName val="_x005f_x0000___x005f_x0008_p-NM8"/>
      <sheetName val="10_Linkway8"/>
      <sheetName val="11_Bus_Shelter-Bay8"/>
      <sheetName val="CANDY_BOQ8"/>
      <sheetName val="BLOCK-A_(MEA_SHEET)8"/>
      <sheetName val="Project_Budget_Worksheet8"/>
      <sheetName val="PROFITABILITY_ANALYSIS_(MONTH)8"/>
      <sheetName val="PROFITABILITY_ANALYSIS_(YTD)8"/>
      <sheetName val="Cash_Flow_Working8"/>
      <sheetName val="tender_allowances8"/>
      <sheetName val="Trial_Bal_8"/>
      <sheetName val="Balance_Sheet8"/>
      <sheetName val="Basic-Material_8"/>
      <sheetName val="TULIPS_PHASE-2_BOQ_FINAL8"/>
      <sheetName val="CABLE_DATA8"/>
      <sheetName val="MH(on_site)8"/>
      <sheetName val="CCTV_KAMERE_(2)8"/>
      <sheetName val="_x005f_x005f_x005f_x0000___x005f_x005f_x005f_x0008_p-N8"/>
      <sheetName val="___x005f_x005f_x005f_x0008_p-NMR8"/>
      <sheetName val="?__x005f_x0008_p-NMR8"/>
      <sheetName val="_x005f_x005f_x005f_x005f_x005f_x005f_x005f_x0000___x009"/>
      <sheetName val="___x005f_x005f_x005f_x005f_x005f_x005f_x005f_x0008_p-N8"/>
      <sheetName val="Master_Data_Sheet8"/>
      <sheetName val="Building_18"/>
      <sheetName val="___x005f_x005f_x005f_x005f_x005f_x005f_x005f_x005f_x009"/>
      <sheetName val="INDIGINEOUS_ITEMS_8"/>
      <sheetName val="Debits_as_on_12_04_088"/>
      <sheetName val="Adimi_bldg8"/>
      <sheetName val="Pump_House8"/>
      <sheetName val="Fuel_Regu_Station8"/>
      <sheetName val="1__Acquisition8"/>
      <sheetName val="Field_Values8"/>
      <sheetName val="10__&amp;_11__Rate_Code_&amp;_BQ8"/>
      <sheetName val="_x005f_x005f_x005f_x0000___x0058"/>
      <sheetName val="___x005f_x005f_x005f_x0008_p-NM8"/>
      <sheetName val="?__x005f_x005f_x005f_x0008_p-NMR8"/>
      <sheetName val="Load_Details-220kV8"/>
      <sheetName val="schedule_nos8"/>
      <sheetName val="MH_Compensate-Nov8"/>
      <sheetName val="Design_Sheet8"/>
      <sheetName val="pile_Fabrication8"/>
      <sheetName val="Top_Line_-_WWW8"/>
      <sheetName val="Pile_cap8"/>
      <sheetName val="Labour_&amp;_Plant8"/>
      <sheetName val="A_O_R_8"/>
      <sheetName val="Sectional__Summary8"/>
      <sheetName val="Labor_abs-PW12"/>
      <sheetName val="Labor_abs-NMR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-_Plastering12"/>
      <sheetName val="Labor_bill_Water_proofing12"/>
      <sheetName val="Labor_bill_Hard_Finish12"/>
      <sheetName val="Labor_bill_MS_items12"/>
      <sheetName val="Break_up_Sheet12"/>
      <sheetName val="TBAL9697_-group_wise__sdpl12"/>
      <sheetName val="Rate_analysis12"/>
      <sheetName val="BOQ_Distribution11"/>
      <sheetName val="Labor_bills_19_08_0611"/>
      <sheetName val="site_fab&amp;ernstr11"/>
      <sheetName val="new_tech_flt_bldg11"/>
      <sheetName val="Approved_MTD_Proj_#'s11"/>
      <sheetName val="Sheet3_(2)10"/>
      <sheetName val="SUPPLY_-Sanitary_Fixtures10"/>
      <sheetName val="ITEMS_FOR_CIVIL_TENDER10"/>
      <sheetName val="Portfolio_Summary9"/>
      <sheetName val="Kristal_Court10"/>
      <sheetName val="3cd_Annexure10"/>
      <sheetName val="August_TB10"/>
      <sheetName val="CFForecast_detail10"/>
      <sheetName val="Basement_Budget9"/>
      <sheetName val="Jams_&amp;_Cills9"/>
      <sheetName val="_x005f_x0000___x005f_x0008_p-NMR9"/>
      <sheetName val="___x005f_x0008_p-NMR9"/>
      <sheetName val="Fin__Assumpt__-_Sensitivities9"/>
      <sheetName val="IO_LIST9"/>
      <sheetName val="Builtup_Area10"/>
      <sheetName val="Other_assumptions10"/>
      <sheetName val="Boq_-_Flats9"/>
      <sheetName val="PROJECT_BRIEF(EX_NEW)9"/>
      <sheetName val="Basic_Rates9"/>
      <sheetName val="BUSDUCT_SUMMARY-SUBSTATION9"/>
      <sheetName val="BASIS_-DEC_089"/>
      <sheetName val="_9"/>
      <sheetName val="HARGA_MATERIAL9"/>
      <sheetName val="_x005f_x0000___x005f_x0008_p-NM9"/>
      <sheetName val="10_Linkway9"/>
      <sheetName val="11_Bus_Shelter-Bay9"/>
      <sheetName val="CANDY_BOQ9"/>
      <sheetName val="BLOCK-A_(MEA_SHEET)9"/>
      <sheetName val="Project_Budget_Worksheet9"/>
      <sheetName val="PROFITABILITY_ANALYSIS_(MONTH)9"/>
      <sheetName val="PROFITABILITY_ANALYSIS_(YTD)9"/>
      <sheetName val="Cash_Flow_Working9"/>
      <sheetName val="tender_allowances9"/>
      <sheetName val="Trial_Bal_9"/>
      <sheetName val="Balance_Sheet9"/>
      <sheetName val="Basic-Material_9"/>
      <sheetName val="TULIPS_PHASE-2_BOQ_FINAL9"/>
      <sheetName val="CABLE_DATA9"/>
      <sheetName val="MH(on_site)9"/>
      <sheetName val="CCTV_KAMERE_(2)9"/>
      <sheetName val="_x005f_x005f_x005f_x0000___x005f_x005f_x005f_x0008_p-N9"/>
      <sheetName val="___x005f_x005f_x005f_x0008_p-NMR9"/>
      <sheetName val="?__x005f_x0008_p-NMR9"/>
      <sheetName val="_x005f_x005f_x005f_x005f_x005f_x005f_x005f_x0000___x010"/>
      <sheetName val="___x005f_x005f_x005f_x005f_x005f_x005f_x005f_x0008_p-N9"/>
      <sheetName val="Master_Data_Sheet9"/>
      <sheetName val="Building_19"/>
      <sheetName val="___x005f_x005f_x005f_x005f_x005f_x005f_x005f_x005f_x010"/>
      <sheetName val="INDIGINEOUS_ITEMS_9"/>
      <sheetName val="Debits_as_on_12_04_089"/>
      <sheetName val="Adimi_bldg9"/>
      <sheetName val="Pump_House9"/>
      <sheetName val="Fuel_Regu_Station9"/>
      <sheetName val="1__Acquisition9"/>
      <sheetName val="Field_Values9"/>
      <sheetName val="10__&amp;_11__Rate_Code_&amp;_BQ9"/>
      <sheetName val="_x005f_x005f_x005f_x0000___x0059"/>
      <sheetName val="___x005f_x005f_x005f_x0008_p-NM9"/>
      <sheetName val="?__x005f_x005f_x005f_x0008_p-NMR9"/>
      <sheetName val="Load_Details-220kV9"/>
      <sheetName val="schedule_nos9"/>
      <sheetName val="MH_Compensate-Nov9"/>
      <sheetName val="Design_Sheet9"/>
      <sheetName val="pile_Fabrication9"/>
      <sheetName val="Top_Line_-_WWW9"/>
      <sheetName val="Pile_cap9"/>
      <sheetName val="Labour_&amp;_Plant9"/>
      <sheetName val="A_O_R_9"/>
      <sheetName val="Sectional__Summary9"/>
      <sheetName val="Labor_abs-PW13"/>
      <sheetName val="Labor_abs-NMR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-_Plastering13"/>
      <sheetName val="Labor_bill_Water_proofing13"/>
      <sheetName val="Labor_bill_Hard_Finish13"/>
      <sheetName val="Labor_bill_MS_items13"/>
      <sheetName val="Break_up_Sheet13"/>
      <sheetName val="TBAL9697_-group_wise__sdpl13"/>
      <sheetName val="Rate_analysis13"/>
      <sheetName val="BOQ_Distribution12"/>
      <sheetName val="Labor_bills_19_08_0612"/>
      <sheetName val="site_fab&amp;ernstr12"/>
      <sheetName val="new_tech_flt_bldg12"/>
      <sheetName val="Approved_MTD_Proj_#'s12"/>
      <sheetName val="Sheet3_(2)11"/>
      <sheetName val="SUPPLY_-Sanitary_Fixtures11"/>
      <sheetName val="ITEMS_FOR_CIVIL_TENDER11"/>
      <sheetName val="Portfolio_Summary10"/>
      <sheetName val="Kristal_Court11"/>
      <sheetName val="3cd_Annexure11"/>
      <sheetName val="August_TB11"/>
      <sheetName val="CFForecast_detail11"/>
      <sheetName val="Basement_Budget10"/>
      <sheetName val="Jams_&amp;_Cills10"/>
      <sheetName val="_x005f_x0000___x005f_x0008_p-NMR10"/>
      <sheetName val="___x005f_x0008_p-NMR10"/>
      <sheetName val="Fin__Assumpt__-_Sensitivities10"/>
      <sheetName val="IO_LIST10"/>
      <sheetName val="Builtup_Area11"/>
      <sheetName val="Other_assumptions11"/>
      <sheetName val="Boq_-_Flats10"/>
      <sheetName val="PROJECT_BRIEF(EX_NEW)10"/>
      <sheetName val="Basic_Rates10"/>
      <sheetName val="BUSDUCT_SUMMARY-SUBSTATION10"/>
      <sheetName val="BASIS_-DEC_0810"/>
      <sheetName val="_10"/>
      <sheetName val="HARGA_MATERIAL10"/>
      <sheetName val="_x005f_x0000___x005f_x0008_p-NM10"/>
      <sheetName val="10_Linkway10"/>
      <sheetName val="11_Bus_Shelter-Bay10"/>
      <sheetName val="CANDY_BOQ10"/>
      <sheetName val="BLOCK-A_(MEA_SHEET)10"/>
      <sheetName val="Project_Budget_Worksheet10"/>
      <sheetName val="PROFITABILITY_ANALYSIS_(MONTH10"/>
      <sheetName val="PROFITABILITY_ANALYSIS_(YTD)10"/>
      <sheetName val="Cash_Flow_Working10"/>
      <sheetName val="tender_allowances10"/>
      <sheetName val="Trial_Bal_10"/>
      <sheetName val="Balance_Sheet10"/>
      <sheetName val="Basic-Material_10"/>
      <sheetName val="TULIPS_PHASE-2_BOQ_FINAL10"/>
      <sheetName val="CABLE_DATA10"/>
      <sheetName val="MH(on_site)10"/>
      <sheetName val="CCTV_KAMERE_(2)10"/>
      <sheetName val="_x005f_x005f_x005f_x0000___x005f_x005f_x005f_x0008_p-10"/>
      <sheetName val="___x005f_x005f_x005f_x0008_p-NMR10"/>
      <sheetName val="?__x005f_x0008_p-NMR10"/>
      <sheetName val="_x005f_x005f_x005f_x005f_x005f_x005f_x005f_x0000___x011"/>
      <sheetName val="___x005f_x005f_x005f_x005f_x005f_x005f_x005f_x0008_p-10"/>
      <sheetName val="Master_Data_Sheet10"/>
      <sheetName val="Building_110"/>
      <sheetName val="___x005f_x005f_x005f_x005f_x005f_x005f_x005f_x005f_x011"/>
      <sheetName val="INDIGINEOUS_ITEMS_10"/>
      <sheetName val="Debits_as_on_12_04_0810"/>
      <sheetName val="Adimi_bldg10"/>
      <sheetName val="Pump_House10"/>
      <sheetName val="Fuel_Regu_Station10"/>
      <sheetName val="1__Acquisition10"/>
      <sheetName val="Field_Values10"/>
      <sheetName val="10__&amp;_11__Rate_Code_&amp;_BQ10"/>
      <sheetName val="_x005f_x005f_x005f_x0000___x00510"/>
      <sheetName val="___x005f_x005f_x005f_x0008_p-NM10"/>
      <sheetName val="?__x005f_x005f_x005f_x0008_p-NMR10"/>
      <sheetName val="Load_Details-220kV10"/>
      <sheetName val="schedule_nos10"/>
      <sheetName val="MH_Compensate-Nov10"/>
      <sheetName val="Design_Sheet10"/>
      <sheetName val="pile_Fabrication10"/>
      <sheetName val="Top_Line_-_WWW10"/>
      <sheetName val="Pile_cap10"/>
      <sheetName val="Labour_&amp;_Plant10"/>
      <sheetName val="A_O_R_10"/>
      <sheetName val="Sectional__Summary10"/>
      <sheetName val="Labor_abs-PW14"/>
      <sheetName val="Labor_abs-NMR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-_Plastering14"/>
      <sheetName val="Labor_bill_Water_proofing14"/>
      <sheetName val="Labor_bill_Hard_Finish14"/>
      <sheetName val="Labor_bill_MS_items14"/>
      <sheetName val="Break_up_Sheet14"/>
      <sheetName val="TBAL9697_-group_wise__sdpl14"/>
      <sheetName val="Rate_analysis14"/>
      <sheetName val="BOQ_Distribution13"/>
      <sheetName val="Labor_bills_19_08_0613"/>
      <sheetName val="site_fab&amp;ernstr13"/>
      <sheetName val="new_tech_flt_bldg13"/>
      <sheetName val="Approved_MTD_Proj_#'s13"/>
      <sheetName val="Sheet3_(2)12"/>
      <sheetName val="SUPPLY_-Sanitary_Fixtures12"/>
      <sheetName val="ITEMS_FOR_CIVIL_TENDER12"/>
      <sheetName val="Portfolio_Summary11"/>
      <sheetName val="Kristal_Court12"/>
      <sheetName val="3cd_Annexure12"/>
      <sheetName val="August_TB12"/>
      <sheetName val="CFForecast_detail12"/>
      <sheetName val="Basement_Budget11"/>
      <sheetName val="Jams_&amp;_Cills11"/>
      <sheetName val="_x005f_x0000___x005f_x0008_p-NMR11"/>
      <sheetName val="___x005f_x0008_p-NMR11"/>
      <sheetName val="Fin__Assumpt__-_Sensitivities11"/>
      <sheetName val="IO_LIST11"/>
      <sheetName val="Builtup_Area12"/>
      <sheetName val="Other_assumptions12"/>
      <sheetName val="Boq_-_Flats11"/>
      <sheetName val="PROJECT_BRIEF(EX_NEW)11"/>
      <sheetName val="Basic_Rates11"/>
      <sheetName val="BUSDUCT_SUMMARY-SUBSTATION11"/>
      <sheetName val="BASIS_-DEC_0811"/>
      <sheetName val="_11"/>
      <sheetName val="HARGA_MATERIAL11"/>
      <sheetName val="_x005f_x0000___x005f_x0008_p-NM11"/>
      <sheetName val="10_Linkway11"/>
      <sheetName val="11_Bus_Shelter-Bay11"/>
      <sheetName val="CANDY_BOQ11"/>
      <sheetName val="BLOCK-A_(MEA_SHEET)11"/>
      <sheetName val="Project_Budget_Worksheet11"/>
      <sheetName val="PROFITABILITY_ANALYSIS_(MONTH11"/>
      <sheetName val="PROFITABILITY_ANALYSIS_(YTD)11"/>
      <sheetName val="Cash_Flow_Working11"/>
      <sheetName val="tender_allowances11"/>
      <sheetName val="Trial_Bal_11"/>
      <sheetName val="Balance_Sheet11"/>
      <sheetName val="Basic-Material_11"/>
      <sheetName val="TULIPS_PHASE-2_BOQ_FINAL11"/>
      <sheetName val="CABLE_DATA11"/>
      <sheetName val="MH(on_site)11"/>
      <sheetName val="CCTV_KAMERE_(2)11"/>
      <sheetName val="_x005f_x005f_x005f_x0000___x005f_x005f_x005f_x0008_p-11"/>
      <sheetName val="___x005f_x005f_x005f_x0008_p-NMR11"/>
      <sheetName val="?__x005f_x0008_p-NMR11"/>
      <sheetName val="_x005f_x005f_x005f_x005f_x005f_x005f_x005f_x0000___x012"/>
      <sheetName val="___x005f_x005f_x005f_x005f_x005f_x005f_x005f_x0008_p-11"/>
      <sheetName val="Master_Data_Sheet11"/>
      <sheetName val="Building_111"/>
      <sheetName val="___x005f_x005f_x005f_x005f_x005f_x005f_x005f_x005f_x012"/>
      <sheetName val="INDIGINEOUS_ITEMS_11"/>
      <sheetName val="Debits_as_on_12_04_0811"/>
      <sheetName val="Adimi_bldg11"/>
      <sheetName val="Pump_House11"/>
      <sheetName val="Fuel_Regu_Station11"/>
      <sheetName val="1__Acquisition11"/>
      <sheetName val="Field_Values11"/>
      <sheetName val="10__&amp;_11__Rate_Code_&amp;_BQ11"/>
      <sheetName val="_x005f_x005f_x005f_x0000___x00511"/>
      <sheetName val="___x005f_x005f_x005f_x0008_p-NM11"/>
      <sheetName val="?__x005f_x005f_x005f_x0008_p-NMR11"/>
      <sheetName val="Load_Details-220kV11"/>
      <sheetName val="schedule_nos11"/>
      <sheetName val="MH_Compensate-Nov11"/>
      <sheetName val="Design_Sheet11"/>
      <sheetName val="pile_Fabrication11"/>
      <sheetName val="Top_Line_-_WWW11"/>
      <sheetName val="Pile_cap11"/>
      <sheetName val="Labour_&amp;_Plant11"/>
      <sheetName val="A_O_R_11"/>
      <sheetName val="Sectional__Summary11"/>
      <sheetName val="Combined Results "/>
      <sheetName val="Beams "/>
      <sheetName val="Roof  PT beams "/>
      <sheetName val="Core Data"/>
      <sheetName val="Conc-BP"/>
      <sheetName val="BOQ (2)"/>
      <sheetName val="Meas.-Hotel Part"/>
      <sheetName val="공장별판관비배부"/>
      <sheetName val="Insts"/>
      <sheetName val="PriceCalculation"/>
      <sheetName val="C23"/>
      <sheetName val="31st_Oct"/>
      <sheetName val="01st_Nov"/>
      <sheetName val="BQ"/>
      <sheetName val="Opening_Date"/>
      <sheetName val="01하반기노임"/>
      <sheetName val="MT DEW AMP RELAUNCH"/>
      <sheetName val="PriceSummary"/>
      <sheetName val=" Structural"/>
      <sheetName val="OH-Recovery"/>
      <sheetName val="1-G1"/>
      <sheetName val="eqpt &amp; manpower tabulation"/>
      <sheetName val="COA"/>
      <sheetName val="Rate Analysis1"/>
      <sheetName val="Open"/>
      <sheetName val="Sch__Areas1"/>
      <sheetName val="Sch__Areas"/>
      <sheetName val="Sch__Areas2"/>
      <sheetName val="Sch__Areas3"/>
      <sheetName val="Steel_2"/>
      <sheetName val="VC_Summary1"/>
      <sheetName val="?__x005f_x005f_x005f_x005f_x005f_x005f_x005f_x0008_p-NM"/>
      <sheetName val="__x005"/>
      <sheetName val="__p-NM"/>
      <sheetName val="?__x005f_x005f_x005f_x005f_x005f_x005f_x005f_x005f_x005"/>
      <sheetName val="___x005"/>
      <sheetName val="입찰내역_발주처_양식"/>
      <sheetName val="%_prog_figs_-u5_and_total"/>
      <sheetName val="GM_&amp;_TA"/>
      <sheetName val="Sch. Areas"/>
      <sheetName val="Named_ranges5"/>
      <sheetName val="Master_Equipment_List5"/>
      <sheetName val="Notes_for_BOQ5"/>
      <sheetName val="except_wiring5"/>
      <sheetName val="Overall_Summary_5"/>
      <sheetName val="CL_MEP_-VOL_35"/>
      <sheetName val="4__Capex5"/>
      <sheetName val="5__Opex5"/>
      <sheetName val="총괄표_(2)5"/>
      <sheetName val="Steel_3"/>
      <sheetName val="VC_Summary2"/>
      <sheetName val="?__x005f_x005f_x005f_x005f_x005f_x005f_x005f_x0008_p-N1"/>
      <sheetName val="___x005f_x005f_x005f_x005f_x0051"/>
      <sheetName val="___x005f_x005f_x0051"/>
      <sheetName val="?__x005f_x005f_x005f_x005f_x005f_x005f_x005f_x005f_x001"/>
      <sheetName val="___x0051"/>
      <sheetName val="입찰내역_발주처_양식1"/>
      <sheetName val="%_prog_figs_-u5_and_total1"/>
      <sheetName val="GM_&amp;_TA1"/>
      <sheetName val="Main_Sum_(Model_B)1"/>
      <sheetName val="Main_Sum1"/>
      <sheetName val="Rates_Analysis"/>
      <sheetName val="1_Summary"/>
      <sheetName val="Staff_JV"/>
      <sheetName val="Precios"/>
      <sheetName val="Recon Template"/>
      <sheetName val="#3e1_gcr"/>
      <sheetName val="Key Assumptions"/>
      <sheetName val="Faktor"/>
      <sheetName val="DWR"/>
      <sheetName val="INTSHEET"/>
      <sheetName val="INTSHEET3"/>
      <sheetName val="6PILE  (돌출)"/>
      <sheetName val="Labour Rate"/>
      <sheetName val="FITZ MORT 94"/>
      <sheetName val="BOQ ( Only Ground floor ) "/>
      <sheetName val="Mat_Cost"/>
      <sheetName val="Projects"/>
      <sheetName val="INFLUENCES ON GM"/>
      <sheetName val="Basic"/>
      <sheetName val="L&amp;D 2015-16"/>
      <sheetName val="Annexure"/>
      <sheetName val="Excavation"/>
      <sheetName val="Ass"/>
      <sheetName val="Schedules PL"/>
      <sheetName val="Schedules BS"/>
      <sheetName val="Service Function"/>
      <sheetName val="RA_markate"/>
      <sheetName val="DMS_Configurator"/>
      <sheetName val="tie beam"/>
      <sheetName val="footings"/>
      <sheetName val="intaccrual"/>
      <sheetName val="sbu"/>
      <sheetName val="Dred_Mining"/>
      <sheetName val="OpenSched2"/>
      <sheetName val="Sheet8"/>
      <sheetName val="HYDROTEST DIAGRAM"/>
      <sheetName val="ind.prop."/>
      <sheetName val="실행철강하도"/>
      <sheetName val="words"/>
      <sheetName val="Gully"/>
      <sheetName val="office"/>
      <sheetName val="Material&amp;equipment"/>
      <sheetName val="BILL 1"/>
      <sheetName val="ind_prop_"/>
      <sheetName val="eqpt_&amp;_manpower_tabulation"/>
      <sheetName val="ind_prop_1"/>
      <sheetName val="eqpt_&amp;_manpower_tabulation1"/>
      <sheetName val="ind_prop_2"/>
      <sheetName val="eqpt_&amp;_manpower_tabulation2"/>
      <sheetName val="ind_prop_3"/>
      <sheetName val="eqpt_&amp;_manpower_tabulation3"/>
      <sheetName val="ind_prop_4"/>
      <sheetName val="eqpt_&amp;_manpower_tabulation4"/>
      <sheetName val="ind_prop_5"/>
      <sheetName val="eqpt_&amp;_manpower_tabulation5"/>
      <sheetName val="ind_prop_6"/>
      <sheetName val="eqpt_&amp;_manpower_tabulation6"/>
      <sheetName val="ind_prop_7"/>
      <sheetName val="eqpt_&amp;_manpower_tabulation7"/>
      <sheetName val="ind_prop_8"/>
      <sheetName val="eqpt_&amp;_manpower_tabulation8"/>
      <sheetName val="U.P List"/>
      <sheetName val="Price Marking"/>
      <sheetName val="manpower"/>
      <sheetName val="Materials"/>
      <sheetName val="Eqpt"/>
      <sheetName val="BILL_1"/>
      <sheetName val="HYDROTEST_DIAGRAM"/>
      <sheetName val="BILL_11"/>
      <sheetName val="HYDROTEST_DIAGRAM1"/>
      <sheetName val="4. CMA Calculations"/>
      <sheetName val="ind_prop_9"/>
      <sheetName val="eqpt_&amp;_manpower_tabulation9"/>
      <sheetName val="ind_prop_10"/>
      <sheetName val="eqpt_&amp;_manpower_tabulation10"/>
      <sheetName val="Hic_150EOffice"/>
      <sheetName val="GRSummary"/>
      <sheetName val="2 Siteworks"/>
      <sheetName val="LTR-2"/>
      <sheetName val="2018PLAN CTC"/>
      <sheetName val="2-SITE "/>
      <sheetName val="Breakdown"/>
      <sheetName val="CASH FLOW (2018 Plan)"/>
      <sheetName val="Equipt &amp; Veh (2018 Plan)"/>
      <sheetName val="TELECOM TRENCH,DUCT"/>
      <sheetName val="Naming Convention"/>
      <sheetName val="Tables"/>
      <sheetName val="U-RATE"/>
      <sheetName val="AN"/>
      <sheetName val="Phase 1"/>
      <sheetName val="Link from DS"/>
      <sheetName val="Phase_1"/>
      <sheetName val="Link_from_DS"/>
      <sheetName val="Plan"/>
      <sheetName val="12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reenSheet"/>
      <sheetName val="Flat Info _ODD"/>
      <sheetName val="OST_DATA"/>
      <sheetName val="gen"/>
      <sheetName val="Material Rate"/>
      <sheetName val="Publicbuilding"/>
      <sheetName val="TASKRSRC (2)"/>
      <sheetName val="TARGET"/>
      <sheetName val="BASELINE"/>
      <sheetName val="PC Master List"/>
      <sheetName val="Client Vs.PC"/>
      <sheetName val="Direct cost shed A-2 "/>
      <sheetName val="list"/>
      <sheetName val="재1"/>
      <sheetName val="HEAD"/>
      <sheetName val="Boq (Main Building)"/>
      <sheetName val="BOQ-Part1"/>
      <sheetName val="RCC Rates"/>
      <sheetName val="STAFFSCHED "/>
      <sheetName val="final estimate"/>
      <sheetName val="DB"/>
      <sheetName val="Abstract Sheet"/>
      <sheetName val="AutoOpen Stub Data"/>
      <sheetName val="Gen Abs"/>
      <sheetName val="사진"/>
      <sheetName val="Bill No.3"/>
      <sheetName val="BulkCheckLibrary"/>
      <sheetName val="po"/>
      <sheetName val="   T   "/>
      <sheetName val="MU-151 PPA"/>
      <sheetName val="DFC"/>
      <sheetName val="Dues"/>
      <sheetName val="수입"/>
      <sheetName val="BOQ건축"/>
      <sheetName val="ONE TIME"/>
      <sheetName val="WORKCAP1"/>
      <sheetName val="PROFIT"/>
      <sheetName val="MSM Vol"/>
      <sheetName val="Reconciliation"/>
      <sheetName val="G.1-AV SYSTEM"/>
      <sheetName val="Labor_abs-PW17"/>
      <sheetName val="Labor_abs-NMR17"/>
      <sheetName val="Labor_bill_-_Mob17"/>
      <sheetName val="Labor_bill_-_EW17"/>
      <sheetName val="Labor_bill_-_Concrete17"/>
      <sheetName val="Labor_bill_-_Shuttering17"/>
      <sheetName val="Labor_bills_-_reinf17"/>
      <sheetName val="Labor_bills_-_Block_masonry17"/>
      <sheetName val="Labor_bill_-_Plastering17"/>
      <sheetName val="Labor_bill_Water_proofing17"/>
      <sheetName val="Labor_bill_Hard_Finish17"/>
      <sheetName val="Labor_bill_MS_items17"/>
      <sheetName val="Break_up_Sheet17"/>
      <sheetName val="TBAL9697_-group_wise__sdpl17"/>
      <sheetName val="Rate_analysis17"/>
      <sheetName val="_p-NMR5"/>
      <sheetName val="?_p-NMR1"/>
      <sheetName val="__p-NMR5"/>
      <sheetName val="Labor_bills_19_08_0616"/>
      <sheetName val="Other_assumptions15"/>
      <sheetName val="Boq_-_Flats14"/>
      <sheetName val="Builtup_Area15"/>
      <sheetName val="site_fab&amp;ernstr16"/>
      <sheetName val="new_tech_flt_bldg16"/>
      <sheetName val="BOQ_Distribution16"/>
      <sheetName val="Approved_MTD_Proj_#'s16"/>
      <sheetName val="Sheet3_(2)15"/>
      <sheetName val="3cd_Annexure15"/>
      <sheetName val="SUPPLY_-Sanitary_Fixtures15"/>
      <sheetName val="ITEMS_FOR_CIVIL_TENDER15"/>
      <sheetName val="August_TB15"/>
      <sheetName val="Kristal_Court15"/>
      <sheetName val="PROJECT_BRIEF(EX_NEW)14"/>
      <sheetName val="_x005f_x0000___x005f_x0008_p-NMR14"/>
      <sheetName val="___x005f_x0008_p-NMR14"/>
      <sheetName val="Variance_Report6"/>
      <sheetName val="Pile_cap14"/>
      <sheetName val="Top_Line_-_WWW14"/>
      <sheetName val="Adimi_bldg14"/>
      <sheetName val="Pump_House14"/>
      <sheetName val="Fuel_Regu_Station14"/>
      <sheetName val="Basement_Budget14"/>
      <sheetName val="RENT_MASTER_FILE6"/>
      <sheetName val="S1_5"/>
      <sheetName val="S7B_5"/>
      <sheetName val="S6_5"/>
      <sheetName val="S3_5"/>
      <sheetName val="S2_5"/>
      <sheetName val="schedule_nos14"/>
      <sheetName val="CABLE_DATA14"/>
      <sheetName val="CFForecast_detail15"/>
      <sheetName val="BASIS_-DEC_0814"/>
      <sheetName val="Project_Budget_Worksheet14"/>
      <sheetName val="_x005f_x0000___x005f_x0008_p-NM14"/>
      <sheetName val="Field_Values14"/>
      <sheetName val="Jams_&amp;_Cills14"/>
      <sheetName val="10_Linkway14"/>
      <sheetName val="11_Bus_Shelter-Bay14"/>
      <sheetName val="CANDY_BOQ14"/>
      <sheetName val="Basic_Rates14"/>
      <sheetName val="BUSDUCT_SUMMARY-SUBSTATION14"/>
      <sheetName val="10__&amp;_11__Rate_Code_&amp;_BQ14"/>
      <sheetName val="BLOCK-A_(MEA_SHEET)14"/>
      <sheetName val="Cash_Flow_Working14"/>
      <sheetName val="Trial_Bal_14"/>
      <sheetName val="Balance_Sheet14"/>
      <sheetName val="1__Acquisition14"/>
      <sheetName val="INPUT_SHEET6"/>
      <sheetName val="13__Steel_-_Ratio6"/>
      <sheetName val="4K_-_(6a)_Non_Manual_Breakdown6"/>
      <sheetName val="9__Package_split_-_Cost_6"/>
      <sheetName val="beam-reinft-IIInd_floor6"/>
      <sheetName val="Data_sheet6"/>
      <sheetName val="Area_Statement_6"/>
      <sheetName val="_14"/>
      <sheetName val="HARGA_MATERIAL14"/>
      <sheetName val="PROFITABILITY_ANALYSIS_(MONTH14"/>
      <sheetName val="PROFITABILITY_ANALYSIS_(YTD)14"/>
      <sheetName val="Slab-07_3"/>
      <sheetName val="IO_LIST14"/>
      <sheetName val="pile_Fabrication14"/>
      <sheetName val="tender_allowances14"/>
      <sheetName val="MH(on_site)14"/>
      <sheetName val="Load_Details-220kV14"/>
      <sheetName val="2_civil-RA6"/>
      <sheetName val="labour_coeff6"/>
      <sheetName val="Summary_year_Plan4"/>
      <sheetName val="old_boq6"/>
      <sheetName val="_x005f_x005f_x005f_x0000___x005f_x005f_x005f_x0008_p-14"/>
      <sheetName val="___x005f_x005f_x005f_x0008_p-NMR14"/>
      <sheetName val="Boq_Block_A4"/>
      <sheetName val="Earthing_Tower-1_Superseded4"/>
      <sheetName val="Appendix_8A4"/>
      <sheetName val="Structure_Bills_Qty4"/>
      <sheetName val="?__x005f_x0008_p-NMR14"/>
      <sheetName val="3__Elemental_Summary3"/>
      <sheetName val="QS_Name3"/>
      <sheetName val="12a__CFTable3"/>
      <sheetName val="Basic-Material_14"/>
      <sheetName val="TULIPS_PHASE-2_BOQ_FINAL14"/>
      <sheetName val="Debits_as_on_12_04_0814"/>
      <sheetName val="CCTV_KAMERE_(2)14"/>
      <sheetName val="Portfolio_Summary14"/>
      <sheetName val="Fin__Assumpt__-_Sensitivities14"/>
      <sheetName val="Master_Data_Sheet14"/>
      <sheetName val="Building_114"/>
      <sheetName val="_x005f_x005f_x005f_x005f_x005f_x005f_x005f_x0000___x015"/>
      <sheetName val="___x005f_x005f_x005f_x005f_x005f_x005f_x005f_x0008_p-14"/>
      <sheetName val="___x005f_x005f_x005f_x005f_x005f_x005f_x005f_x005f_x015"/>
      <sheetName val="INDIGINEOUS_ITEMS_14"/>
      <sheetName val="_x005f_x005f_x005f_x0000___x00514"/>
      <sheetName val="___x005f_x005f_x005f_x0008_p-NM14"/>
      <sheetName val="?__x005f_x005f_x005f_x0008_p-NMR14"/>
      <sheetName val="MH_Compensate-Nov14"/>
      <sheetName val="Design_Sheet14"/>
      <sheetName val="총괄표_(2)8"/>
      <sheetName val="Notes_for_BOQ8"/>
      <sheetName val="Labour_productivity5"/>
      <sheetName val="A_O_R_14"/>
      <sheetName val="Quote_to_send5"/>
      <sheetName val="Working_back_up5"/>
      <sheetName val="Manpower_cost5"/>
      <sheetName val="Machinery_cost5"/>
      <sheetName val="공사비_내역_(가)4"/>
      <sheetName val="Named_ranges8"/>
      <sheetName val="Master_Equipment_List8"/>
      <sheetName val="except_wiring8"/>
      <sheetName val="Overall_Summary_8"/>
      <sheetName val="CL_MEP_-VOL_38"/>
      <sheetName val="4__Capex8"/>
      <sheetName val="5__Opex8"/>
      <sheetName val="Architect_Area_&amp;_Cost_Inputs4"/>
      <sheetName val="S1_new-Overall-with_C8A4"/>
      <sheetName val="Wood_Works-R1_4"/>
      <sheetName val="Summary_-New_with_C8A)4"/>
      <sheetName val="Boq_C7+A-MEP_4"/>
      <sheetName val="Interim_--&gt;_Top4"/>
      <sheetName val="Steel_6"/>
      <sheetName val="Main_Sum_(Model_B)4"/>
      <sheetName val="Main_Sum4"/>
      <sheetName val="RAW_DATA3"/>
      <sheetName val="Depreciation_Methods3"/>
      <sheetName val="cashflows_&amp;IRR3"/>
      <sheetName val="RCC_Ret__Wall3"/>
      <sheetName val="Charge_Rates3"/>
      <sheetName val="Detail_In_Door_Stad3"/>
      <sheetName val="RCC,Ret__Wall3"/>
      <sheetName val="___x005f_x005f_x005f_x005f_x0054"/>
      <sheetName val="Concrete_measurement3"/>
      <sheetName val="Model_(Not_Merged)2"/>
      <sheetName val="Labour_&amp;_Plant14"/>
      <sheetName val="SCHEDULE_(9)3"/>
      <sheetName val="Materials_Cost2"/>
      <sheetName val="Intro_3"/>
      <sheetName val="_p-NM5"/>
      <sheetName val="S_&amp;_A6"/>
      <sheetName val="Own_summary6"/>
      <sheetName val="Labour_Rate_6"/>
      <sheetName val="Net_TB3"/>
      <sheetName val="Purchases_FWJ3"/>
      <sheetName val="Cost_Sheet3"/>
      <sheetName val="MN_T_B_3"/>
      <sheetName val="Performance_Report3"/>
      <sheetName val="Sectional__Summary14"/>
      <sheetName val="final_abstract2"/>
      <sheetName val="Main_Sheet4"/>
      <sheetName val="Project_Plan_-_WWW4"/>
      <sheetName val="Area_Statement_PMO2"/>
      <sheetName val="Material_2"/>
      <sheetName val="Materials_Cost(PCC)2"/>
      <sheetName val="Summary_Sheets2"/>
      <sheetName val="_x005f_x0000___x0056"/>
      <sheetName val="___x005f_x0008_p-NM6"/>
      <sheetName val="Detail_P&amp;L2"/>
      <sheetName val="Assumption_Sheet2"/>
      <sheetName val="labour_rates2"/>
      <sheetName val="Civil_Boq2"/>
      <sheetName val="Pay__Recom2"/>
      <sheetName val="BOQ_T4B2"/>
      <sheetName val="CTRs_(HOURS)_2"/>
      <sheetName val="Legal_Risk_Analysis2"/>
      <sheetName val="Debtors_analysis2"/>
      <sheetName val="Executive_Summary2"/>
      <sheetName val="?__x005f_x005f_x005f_x005f_x005f_x005f_x005f_x0008_p-N4"/>
      <sheetName val="?__x005f_x005f_x005f_x005f_x005f_x005f_x005f_x005f_x004"/>
      <sheetName val="___x0054"/>
      <sheetName val="입찰내역_발주처_양식4"/>
      <sheetName val="%_prog_figs_-u5_and_total4"/>
      <sheetName val="GM_&amp;_TA4"/>
      <sheetName val="VC_Summary5"/>
      <sheetName val="Rate_analysis_civil2"/>
      <sheetName val="ELEC&amp;_MISC2"/>
      <sheetName val="Basic_Rate2"/>
      <sheetName val="PRICE_BID2"/>
      <sheetName val="Data_(adj_2"/>
      <sheetName val="Internal_Finishes_(Unit_types)2"/>
      <sheetName val="Fin_Sum2"/>
      <sheetName val="Cost_summary2"/>
      <sheetName val="APPENDIX_4_1a2"/>
      <sheetName val="PRECAST_lightconc-II2"/>
      <sheetName val="Project_ODC_NDEU2"/>
      <sheetName val="Rates_Analysis3"/>
      <sheetName val="1_Summary3"/>
      <sheetName val="_p-NMR1"/>
      <sheetName val="__p-NMR1"/>
      <sheetName val="SC_Cost_FEB_032"/>
      <sheetName val="India_F&amp;S_Template2"/>
      <sheetName val="Client_Addressess2"/>
      <sheetName val="Variation_Statement2"/>
      <sheetName val="Detailed_Summary_(3)2"/>
      <sheetName val="Door_&amp;_Window2"/>
      <sheetName val="Pacakges_split2"/>
      <sheetName val="SITE_OVERHEADS2"/>
      <sheetName val="cover_page2"/>
      <sheetName val="8__Cover2"/>
      <sheetName val="NOT_FULL_RESTRAINT2"/>
      <sheetName val="BEARING_&amp;_BUCKLING2"/>
      <sheetName val="Block_A_-_BOQ2"/>
      <sheetName val="Cashflow_projection2"/>
      <sheetName val="Form_62"/>
      <sheetName val="BOQ_-_Electrical2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Fill_this_out_first___2"/>
      <sheetName val="kppl_pl2"/>
      <sheetName val="ESGS_Costing2"/>
      <sheetName val="HR_&amp;_Admin_-_12"/>
      <sheetName val="On_Roll_-_Vacant2"/>
      <sheetName val="HR_&amp;_Admin2"/>
      <sheetName val="Birla_Sruya2"/>
      <sheetName val="Cor_Oh2"/>
      <sheetName val="S-4_Elemental_Sum2"/>
      <sheetName val="Plan_Summary2"/>
      <sheetName val="M_S_2"/>
      <sheetName val="E_&amp;_R2"/>
      <sheetName val="Quote_Sheet2"/>
      <sheetName val="__x0053"/>
      <sheetName val="MASTER_RATE_ANALYSIS2"/>
      <sheetName val="Lead_(Final)2"/>
      <sheetName val="Linked_Lead2"/>
      <sheetName val="OEM_2"/>
      <sheetName val="bs_BP_04_SA2"/>
      <sheetName val="_p-NM1"/>
      <sheetName val="_p-NMR2"/>
      <sheetName val="__p-NMR2"/>
      <sheetName val="_p-NMR3"/>
      <sheetName val="__p-NMR3"/>
      <sheetName val="_p-NM2"/>
      <sheetName val="_p-NM3"/>
      <sheetName val="_p-NMR4"/>
      <sheetName val="__p-NMR4"/>
      <sheetName val="_p-NM4"/>
      <sheetName val="Annexure_A2"/>
      <sheetName val="Opening_Date3"/>
      <sheetName val="CPIPE_12"/>
      <sheetName val="Scheme_Area_Details_Block___C22"/>
      <sheetName val="Mat_-Rates2"/>
      <sheetName val="RAJU_ASSO2"/>
      <sheetName val="SewerCAD_Pipe_Data-Actual_20402"/>
      <sheetName val="Elemental_Buildup3"/>
      <sheetName val="Bill_No_8_-_A2"/>
      <sheetName val="Malaysia_incl__RET2"/>
      <sheetName val="Selling_Price2"/>
      <sheetName val="Staff_JV3"/>
      <sheetName val="C1_(calcolo)2"/>
      <sheetName val="Mp-team_12"/>
      <sheetName val="BILL_-_1_GNRL_RMNT_(2)2"/>
      <sheetName val="BILL_-_2_CIVIL_WORKS2"/>
      <sheetName val="BILL_-_3_1_FIRE_SUP__2"/>
      <sheetName val="BILL_-_3_2_PLUMBING__(2)2"/>
      <sheetName val="BILL_-_3_3_HVAC_2"/>
      <sheetName val="BILL_-_3_4_AUTOMATION2"/>
      <sheetName val="BILL_-_4_ELEC_2"/>
      <sheetName val="BILL_5_-_PSUM2"/>
      <sheetName val="Price_Groups2"/>
      <sheetName val="Bill_no_82"/>
      <sheetName val="投标材料清单_2"/>
      <sheetName val="?_p-NM"/>
      <sheetName val="?__x005f_x005f_x005f_x0008_p-NM2"/>
      <sheetName val="?__x0052"/>
      <sheetName val="?__x005f_x005f_x005f_x005F_x0052"/>
      <sheetName val="_x005f_x005f_x005F?__x0053"/>
      <sheetName val="?__x005f_x005F_x0052"/>
      <sheetName val="?__x005f_x0008_p-NM2"/>
      <sheetName val="LOCAL_RATES2"/>
      <sheetName val="Plant_&amp;__Machinery2"/>
      <sheetName val="LA-_lookups2"/>
      <sheetName val="Inter_unit_set_off2"/>
      <sheetName val="GF_Columns2"/>
      <sheetName val="Combined_Results_2"/>
      <sheetName val="Beams_2"/>
      <sheetName val="Roof__PT_beams_2"/>
      <sheetName val="Core_Data2"/>
      <sheetName val="BOQ_(2)2"/>
      <sheetName val="Meas_-Hotel_Part2"/>
      <sheetName val="MT_DEW_AMP_RELAUNCH2"/>
      <sheetName val="Labor_abs-PW16"/>
      <sheetName val="Labor_abs-NMR16"/>
      <sheetName val="Labor_bill_-_Mob16"/>
      <sheetName val="Labor_bill_-_EW16"/>
      <sheetName val="Labor_bill_-_Concrete16"/>
      <sheetName val="Labor_bill_-_Shuttering16"/>
      <sheetName val="Labor_bills_-_reinf16"/>
      <sheetName val="Labor_bills_-_Block_masonry16"/>
      <sheetName val="Labor_bill_-_Plastering16"/>
      <sheetName val="Labor_bill_Water_proofing16"/>
      <sheetName val="Labor_bill_Hard_Finish16"/>
      <sheetName val="Labor_bill_MS_items16"/>
      <sheetName val="Break_up_Sheet16"/>
      <sheetName val="TBAL9697_-group_wise__sdpl16"/>
      <sheetName val="Rate_analysis16"/>
      <sheetName val="Labor_bills_19_08_0615"/>
      <sheetName val="Other_assumptions14"/>
      <sheetName val="Boq_-_Flats13"/>
      <sheetName val="Builtup_Area14"/>
      <sheetName val="BOQ_Distribution15"/>
      <sheetName val="PROJECT_BRIEF(EX_NEW)13"/>
      <sheetName val="site_fab&amp;ernstr15"/>
      <sheetName val="new_tech_flt_bldg15"/>
      <sheetName val="_x005f_x0000___x005f_x0008_p-NMR13"/>
      <sheetName val="___x005f_x0008_p-NMR13"/>
      <sheetName val="Approved_MTD_Proj_#'s15"/>
      <sheetName val="Sheet3_(2)14"/>
      <sheetName val="3cd_Annexure14"/>
      <sheetName val="SUPPLY_-Sanitary_Fixtures14"/>
      <sheetName val="ITEMS_FOR_CIVIL_TENDER14"/>
      <sheetName val="August_TB14"/>
      <sheetName val="Kristal_Court14"/>
      <sheetName val="Variance_Report5"/>
      <sheetName val="Pile_cap13"/>
      <sheetName val="Top_Line_-_WWW13"/>
      <sheetName val="Adimi_bldg13"/>
      <sheetName val="Pump_House13"/>
      <sheetName val="Fuel_Regu_Station13"/>
      <sheetName val="Basement_Budget13"/>
      <sheetName val="RENT_MASTER_FILE5"/>
      <sheetName val="S1_4"/>
      <sheetName val="S7B_4"/>
      <sheetName val="S6_4"/>
      <sheetName val="S3_4"/>
      <sheetName val="S2_4"/>
      <sheetName val="schedule_nos13"/>
      <sheetName val="CABLE_DATA13"/>
      <sheetName val="CFForecast_detail14"/>
      <sheetName val="BASIS_-DEC_0813"/>
      <sheetName val="Project_Budget_Worksheet13"/>
      <sheetName val="_x005f_x0000___x005f_x0008_p-NM13"/>
      <sheetName val="Field_Values13"/>
      <sheetName val="Jams_&amp;_Cills13"/>
      <sheetName val="10_Linkway13"/>
      <sheetName val="11_Bus_Shelter-Bay13"/>
      <sheetName val="CANDY_BOQ13"/>
      <sheetName val="Basic_Rates13"/>
      <sheetName val="BUSDUCT_SUMMARY-SUBSTATION13"/>
      <sheetName val="10__&amp;_11__Rate_Code_&amp;_BQ13"/>
      <sheetName val="BLOCK-A_(MEA_SHEET)13"/>
      <sheetName val="Cash_Flow_Working13"/>
      <sheetName val="Trial_Bal_13"/>
      <sheetName val="Balance_Sheet13"/>
      <sheetName val="1__Acquisition13"/>
      <sheetName val="INPUT_SHEET5"/>
      <sheetName val="13__Steel_-_Ratio5"/>
      <sheetName val="4K_-_(6a)_Non_Manual_Breakdown5"/>
      <sheetName val="9__Package_split_-_Cost_5"/>
      <sheetName val="beam-reinft-IIInd_floor5"/>
      <sheetName val="Data_sheet5"/>
      <sheetName val="Area_Statement_5"/>
      <sheetName val="_13"/>
      <sheetName val="HARGA_MATERIAL13"/>
      <sheetName val="PROFITABILITY_ANALYSIS_(MONTH13"/>
      <sheetName val="PROFITABILITY_ANALYSIS_(YTD)13"/>
      <sheetName val="Slab-07_2"/>
      <sheetName val="IO_LIST13"/>
      <sheetName val="pile_Fabrication13"/>
      <sheetName val="tender_allowances13"/>
      <sheetName val="MH(on_site)13"/>
      <sheetName val="Load_Details-220kV13"/>
      <sheetName val="2_civil-RA5"/>
      <sheetName val="labour_coeff5"/>
      <sheetName val="Summary_year_Plan3"/>
      <sheetName val="old_boq5"/>
      <sheetName val="_x005f_x005f_x005f_x0000___x005f_x005f_x005f_x0008_p-13"/>
      <sheetName val="___x005f_x005f_x005f_x0008_p-NMR13"/>
      <sheetName val="Boq_Block_A3"/>
      <sheetName val="Earthing_Tower-1_Superseded3"/>
      <sheetName val="Appendix_8A3"/>
      <sheetName val="Structure_Bills_Qty3"/>
      <sheetName val="?__x005f_x0008_p-NMR13"/>
      <sheetName val="3__Elemental_Summary2"/>
      <sheetName val="QS_Name2"/>
      <sheetName val="12a__CFTable2"/>
      <sheetName val="Basic-Material_13"/>
      <sheetName val="TULIPS_PHASE-2_BOQ_FINAL13"/>
      <sheetName val="Debits_as_on_12_04_0813"/>
      <sheetName val="CCTV_KAMERE_(2)13"/>
      <sheetName val="Portfolio_Summary13"/>
      <sheetName val="Fin__Assumpt__-_Sensitivities13"/>
      <sheetName val="Master_Data_Sheet13"/>
      <sheetName val="Building_113"/>
      <sheetName val="_x005f_x005f_x005f_x005f_x005f_x005f_x005f_x0000___x014"/>
      <sheetName val="___x005f_x005f_x005f_x005f_x005f_x005f_x005f_x0008_p-13"/>
      <sheetName val="___x005f_x005f_x005f_x005f_x005f_x005f_x005f_x005f_x014"/>
      <sheetName val="INDIGINEOUS_ITEMS_13"/>
      <sheetName val="_x005f_x005f_x005f_x0000___x00513"/>
      <sheetName val="___x005f_x005f_x005f_x0008_p-NM13"/>
      <sheetName val="?__x005f_x005f_x005f_x0008_p-NMR13"/>
      <sheetName val="MH_Compensate-Nov13"/>
      <sheetName val="Design_Sheet13"/>
      <sheetName val="총괄표_(2)7"/>
      <sheetName val="Notes_for_BOQ7"/>
      <sheetName val="Labour_productivity4"/>
      <sheetName val="A_O_R_13"/>
      <sheetName val="Quote_to_send4"/>
      <sheetName val="Working_back_up4"/>
      <sheetName val="Manpower_cost4"/>
      <sheetName val="Machinery_cost4"/>
      <sheetName val="공사비_내역_(가)3"/>
      <sheetName val="Named_ranges7"/>
      <sheetName val="Master_Equipment_List7"/>
      <sheetName val="except_wiring7"/>
      <sheetName val="Overall_Summary_7"/>
      <sheetName val="CL_MEP_-VOL_37"/>
      <sheetName val="4__Capex7"/>
      <sheetName val="5__Opex7"/>
      <sheetName val="Architect_Area_&amp;_Cost_Inputs3"/>
      <sheetName val="S1_new-Overall-with_C8A3"/>
      <sheetName val="Wood_Works-R1_3"/>
      <sheetName val="Summary_-New_with_C8A)3"/>
      <sheetName val="Boq_C7+A-MEP_3"/>
      <sheetName val="Interim_--&gt;_Top3"/>
      <sheetName val="Steel_5"/>
      <sheetName val="Main_Sum_(Model_B)3"/>
      <sheetName val="Main_Sum3"/>
      <sheetName val="RAW_DATA2"/>
      <sheetName val="Depreciation_Methods2"/>
      <sheetName val="cashflows_&amp;IRR2"/>
      <sheetName val="RCC_Ret__Wall2"/>
      <sheetName val="Charge_Rates2"/>
      <sheetName val="Detail_In_Door_Stad2"/>
      <sheetName val="RCC,Ret__Wall2"/>
      <sheetName val="___x005f_x005f_x005f_x005f_x0053"/>
      <sheetName val="Concrete_measurement2"/>
      <sheetName val="Model_(Not_Merged)1"/>
      <sheetName val="Labour_&amp;_Plant13"/>
      <sheetName val="SCHEDULE_(9)2"/>
      <sheetName val="Materials_Cost1"/>
      <sheetName val="Intro_2"/>
      <sheetName val="S_&amp;_A5"/>
      <sheetName val="Own_summary5"/>
      <sheetName val="Labour_Rate_5"/>
      <sheetName val="Net_TB2"/>
      <sheetName val="Purchases_FWJ2"/>
      <sheetName val="Cost_Sheet2"/>
      <sheetName val="MN_T_B_2"/>
      <sheetName val="Performance_Report2"/>
      <sheetName val="Sectional__Summary13"/>
      <sheetName val="final_abstract1"/>
      <sheetName val="Main_Sheet3"/>
      <sheetName val="Project_Plan_-_WWW3"/>
      <sheetName val="Area_Statement_PMO1"/>
      <sheetName val="Material_1"/>
      <sheetName val="Materials_Cost(PCC)1"/>
      <sheetName val="Summary_Sheets1"/>
      <sheetName val="_x005f_x0000___x0055"/>
      <sheetName val="___x005f_x0008_p-NM5"/>
      <sheetName val="Detail_P&amp;L1"/>
      <sheetName val="Assumption_Sheet1"/>
      <sheetName val="labour_rates1"/>
      <sheetName val="Civil_Boq1"/>
      <sheetName val="Pay__Recom1"/>
      <sheetName val="BOQ_T4B1"/>
      <sheetName val="CTRs_(HOURS)_1"/>
      <sheetName val="Legal_Risk_Analysis1"/>
      <sheetName val="Debtors_analysis1"/>
      <sheetName val="Executive_Summary1"/>
      <sheetName val="?__x005f_x005f_x005f_x005f_x005f_x005f_x005f_x0008_p-N3"/>
      <sheetName val="?__x005f_x005f_x005f_x005f_x005f_x005f_x005f_x005f_x003"/>
      <sheetName val="___x0053"/>
      <sheetName val="입찰내역_발주처_양식3"/>
      <sheetName val="%_prog_figs_-u5_and_total3"/>
      <sheetName val="GM_&amp;_TA3"/>
      <sheetName val="VC_Summary4"/>
      <sheetName val="Rate_analysis_civil1"/>
      <sheetName val="ELEC&amp;_MISC1"/>
      <sheetName val="Basic_Rate1"/>
      <sheetName val="PRICE_BID1"/>
      <sheetName val="Data_(adj_1"/>
      <sheetName val="Internal_Finishes_(Unit_types)1"/>
      <sheetName val="Fin_Sum1"/>
      <sheetName val="Cost_summary1"/>
      <sheetName val="APPENDIX_4_1a1"/>
      <sheetName val="PRECAST_lightconc-II1"/>
      <sheetName val="Project_ODC_NDEU1"/>
      <sheetName val="Rates_Analysis2"/>
      <sheetName val="1_Summary2"/>
      <sheetName val="SC_Cost_FEB_031"/>
      <sheetName val="India_F&amp;S_Template1"/>
      <sheetName val="Client_Addressess1"/>
      <sheetName val="Variation_Statement1"/>
      <sheetName val="Detailed_Summary_(3)1"/>
      <sheetName val="Door_&amp;_Window1"/>
      <sheetName val="Pacakges_split1"/>
      <sheetName val="SITE_OVERHEADS1"/>
      <sheetName val="cover_page1"/>
      <sheetName val="8__Cover1"/>
      <sheetName val="NOT_FULL_RESTRAINT1"/>
      <sheetName val="BEARING_&amp;_BUCKLING1"/>
      <sheetName val="Block_A_-_BOQ1"/>
      <sheetName val="Cashflow_projection1"/>
      <sheetName val="Form_61"/>
      <sheetName val="BOQ_-_Electrical1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Fill_this_out_first___1"/>
      <sheetName val="kppl_pl1"/>
      <sheetName val="ESGS_Costing1"/>
      <sheetName val="HR_&amp;_Admin_-_11"/>
      <sheetName val="On_Roll_-_Vacant1"/>
      <sheetName val="HR_&amp;_Admin1"/>
      <sheetName val="Birla_Sruya1"/>
      <sheetName val="Cor_Oh1"/>
      <sheetName val="S-4_Elemental_Sum1"/>
      <sheetName val="Plan_Summary1"/>
      <sheetName val="M_S_1"/>
      <sheetName val="E_&amp;_R1"/>
      <sheetName val="Quote_Sheet1"/>
      <sheetName val="__x0052"/>
      <sheetName val="MASTER_RATE_ANALYSIS1"/>
      <sheetName val="Lead_(Final)1"/>
      <sheetName val="Linked_Lead1"/>
      <sheetName val="OEM_1"/>
      <sheetName val="bs_BP_04_SA1"/>
      <sheetName val="Annexure_A1"/>
      <sheetName val="Opening_Date2"/>
      <sheetName val="CPIPE_11"/>
      <sheetName val="Scheme_Area_Details_Block___C21"/>
      <sheetName val="Mat_-Rates1"/>
      <sheetName val="RAJU_ASSO1"/>
      <sheetName val="SewerCAD_Pipe_Data-Actual_20401"/>
      <sheetName val="Elemental_Buildup2"/>
      <sheetName val="Bill_No_8_-_A1"/>
      <sheetName val="Malaysia_incl__RET1"/>
      <sheetName val="Selling_Price1"/>
      <sheetName val="Staff_JV2"/>
      <sheetName val="C1_(calcolo)1"/>
      <sheetName val="Mp-team_11"/>
      <sheetName val="BILL_-_1_GNRL_RMNT_(2)1"/>
      <sheetName val="BILL_-_2_CIVIL_WORKS1"/>
      <sheetName val="BILL_-_3_1_FIRE_SUP__1"/>
      <sheetName val="BILL_-_3_2_PLUMBING__(2)1"/>
      <sheetName val="BILL_-_3_3_HVAC_1"/>
      <sheetName val="BILL_-_3_4_AUTOMATION1"/>
      <sheetName val="BILL_-_4_ELEC_1"/>
      <sheetName val="BILL_5_-_PSUM1"/>
      <sheetName val="Price_Groups1"/>
      <sheetName val="Bill_no_81"/>
      <sheetName val="投标材料清单_1"/>
      <sheetName val="?__x005f_x005f_x005f_x0008_p-NM1"/>
      <sheetName val="?__x0051"/>
      <sheetName val="?__x005f_x005f_x005f_x005F_x0051"/>
      <sheetName val="_x005f_x005f_x005F?__x0052"/>
      <sheetName val="?__x005f_x005F_x0051"/>
      <sheetName val="?__x005f_x0008_p-NM1"/>
      <sheetName val="LOCAL_RATES1"/>
      <sheetName val="Plant_&amp;__Machinery1"/>
      <sheetName val="LA-_lookups1"/>
      <sheetName val="Inter_unit_set_off1"/>
      <sheetName val="GF_Columns1"/>
      <sheetName val="Combined_Results_1"/>
      <sheetName val="Beams_1"/>
      <sheetName val="Roof__PT_beams_1"/>
      <sheetName val="Core_Data1"/>
      <sheetName val="BOQ_(2)1"/>
      <sheetName val="Meas_-Hotel_Part1"/>
      <sheetName val="MT_DEW_AMP_RELAUNCH1"/>
      <sheetName val="6PILE__(돌출)1"/>
      <sheetName val="Labour_Rate1"/>
      <sheetName val="FITZ_MORT_941"/>
      <sheetName val="BOQ_(_Only_Ground_floor_)_1"/>
      <sheetName val="INFLUENCES_ON_GM1"/>
      <sheetName val="L&amp;D_2015-161"/>
      <sheetName val="Schedules_PL1"/>
      <sheetName val="Schedules_BS1"/>
      <sheetName val="Service_Function1"/>
      <sheetName val="tie_beam1"/>
      <sheetName val="_Structural1"/>
      <sheetName val="Sch__Areas5"/>
      <sheetName val="Recon_Template1"/>
      <sheetName val="Key_Assumptions1"/>
      <sheetName val="Labor_abs-PW15"/>
      <sheetName val="Labor_abs-NMR15"/>
      <sheetName val="Labor_bill_-_Mob15"/>
      <sheetName val="Labor_bill_-_EW15"/>
      <sheetName val="Labor_bill_-_Concrete15"/>
      <sheetName val="Labor_bill_-_Shuttering15"/>
      <sheetName val="Labor_bills_-_reinf15"/>
      <sheetName val="Labor_bills_-_Block_masonry15"/>
      <sheetName val="Labor_bill_-_Plastering15"/>
      <sheetName val="Labor_bill_Water_proofing15"/>
      <sheetName val="Labor_bill_Hard_Finish15"/>
      <sheetName val="Labor_bill_MS_items15"/>
      <sheetName val="Break_up_Sheet15"/>
      <sheetName val="TBAL9697_-group_wise__sdpl15"/>
      <sheetName val="Rate_analysis15"/>
      <sheetName val="Labor_bills_19_08_0614"/>
      <sheetName val="Other_assumptions13"/>
      <sheetName val="Boq_-_Flats12"/>
      <sheetName val="Builtup_Area13"/>
      <sheetName val="BOQ_Distribution14"/>
      <sheetName val="PROJECT_BRIEF(EX_NEW)12"/>
      <sheetName val="site_fab&amp;ernstr14"/>
      <sheetName val="new_tech_flt_bldg14"/>
      <sheetName val="_x005f_x0000___x005f_x0008_p-NMR12"/>
      <sheetName val="___x005f_x0008_p-NMR12"/>
      <sheetName val="Approved_MTD_Proj_#'s14"/>
      <sheetName val="Sheet3_(2)13"/>
      <sheetName val="3cd_Annexure13"/>
      <sheetName val="SUPPLY_-Sanitary_Fixtures13"/>
      <sheetName val="ITEMS_FOR_CIVIL_TENDER13"/>
      <sheetName val="August_TB13"/>
      <sheetName val="Kristal_Court13"/>
      <sheetName val="Variance_Report4"/>
      <sheetName val="Pile_cap12"/>
      <sheetName val="Top_Line_-_WWW12"/>
      <sheetName val="Adimi_bldg12"/>
      <sheetName val="Pump_House12"/>
      <sheetName val="Fuel_Regu_Station12"/>
      <sheetName val="Basement_Budget12"/>
      <sheetName val="RENT_MASTER_FILE4"/>
      <sheetName val="S1_3"/>
      <sheetName val="S7B_3"/>
      <sheetName val="S6_3"/>
      <sheetName val="S3_3"/>
      <sheetName val="S2_3"/>
      <sheetName val="schedule_nos12"/>
      <sheetName val="CABLE_DATA12"/>
      <sheetName val="CFForecast_detail13"/>
      <sheetName val="BASIS_-DEC_0812"/>
      <sheetName val="Project_Budget_Worksheet12"/>
      <sheetName val="_x005f_x0000___x005f_x0008_p-NM12"/>
      <sheetName val="Field_Values12"/>
      <sheetName val="Jams_&amp;_Cills12"/>
      <sheetName val="10_Linkway12"/>
      <sheetName val="11_Bus_Shelter-Bay12"/>
      <sheetName val="CANDY_BOQ12"/>
      <sheetName val="Basic_Rates12"/>
      <sheetName val="BUSDUCT_SUMMARY-SUBSTATION12"/>
      <sheetName val="10__&amp;_11__Rate_Code_&amp;_BQ12"/>
      <sheetName val="BLOCK-A_(MEA_SHEET)12"/>
      <sheetName val="Cash_Flow_Working12"/>
      <sheetName val="Trial_Bal_12"/>
      <sheetName val="Balance_Sheet12"/>
      <sheetName val="1__Acquisition12"/>
      <sheetName val="INPUT_SHEET4"/>
      <sheetName val="13__Steel_-_Ratio4"/>
      <sheetName val="4K_-_(6a)_Non_Manual_Breakdown4"/>
      <sheetName val="9__Package_split_-_Cost_4"/>
      <sheetName val="beam-reinft-IIInd_floor4"/>
      <sheetName val="Data_sheet4"/>
      <sheetName val="Area_Statement_4"/>
      <sheetName val="_12"/>
      <sheetName val="HARGA_MATERIAL12"/>
      <sheetName val="PROFITABILITY_ANALYSIS_(MONTH12"/>
      <sheetName val="PROFITABILITY_ANALYSIS_(YTD)12"/>
      <sheetName val="Slab-07_1"/>
      <sheetName val="IO_LIST12"/>
      <sheetName val="pile_Fabrication12"/>
      <sheetName val="tender_allowances12"/>
      <sheetName val="MH(on_site)12"/>
      <sheetName val="Load_Details-220kV12"/>
      <sheetName val="2_civil-RA4"/>
      <sheetName val="labour_coeff4"/>
      <sheetName val="Summary_year_Plan2"/>
      <sheetName val="old_boq4"/>
      <sheetName val="_x005f_x005f_x005f_x0000___x005f_x005f_x005f_x0008_p-12"/>
      <sheetName val="___x005f_x005f_x005f_x0008_p-NMR12"/>
      <sheetName val="Boq_Block_A2"/>
      <sheetName val="Earthing_Tower-1_Superseded2"/>
      <sheetName val="Appendix_8A2"/>
      <sheetName val="Structure_Bills_Qty2"/>
      <sheetName val="?__x005f_x0008_p-NMR12"/>
      <sheetName val="3__Elemental_Summary1"/>
      <sheetName val="QS_Name1"/>
      <sheetName val="12a__CFTable1"/>
      <sheetName val="Basic-Material_12"/>
      <sheetName val="TULIPS_PHASE-2_BOQ_FINAL12"/>
      <sheetName val="Debits_as_on_12_04_0812"/>
      <sheetName val="CCTV_KAMERE_(2)12"/>
      <sheetName val="Portfolio_Summary12"/>
      <sheetName val="Fin__Assumpt__-_Sensitivities12"/>
      <sheetName val="Master_Data_Sheet12"/>
      <sheetName val="Building_112"/>
      <sheetName val="_x005f_x005f_x005f_x005f_x005f_x005f_x005f_x0000___x013"/>
      <sheetName val="___x005f_x005f_x005f_x005f_x005f_x005f_x005f_x0008_p-12"/>
      <sheetName val="___x005f_x005f_x005f_x005f_x005f_x005f_x005f_x005f_x013"/>
      <sheetName val="INDIGINEOUS_ITEMS_12"/>
      <sheetName val="_x005f_x005f_x005f_x0000___x00512"/>
      <sheetName val="___x005f_x005f_x005f_x0008_p-NM12"/>
      <sheetName val="?__x005f_x005f_x005f_x0008_p-NMR12"/>
      <sheetName val="MH_Compensate-Nov12"/>
      <sheetName val="Design_Sheet12"/>
      <sheetName val="총괄표_(2)6"/>
      <sheetName val="Notes_for_BOQ6"/>
      <sheetName val="Labour_productivity3"/>
      <sheetName val="A_O_R_12"/>
      <sheetName val="Quote_to_send3"/>
      <sheetName val="Working_back_up3"/>
      <sheetName val="Manpower_cost3"/>
      <sheetName val="Machinery_cost3"/>
      <sheetName val="공사비_내역_(가)2"/>
      <sheetName val="Named_ranges6"/>
      <sheetName val="Master_Equipment_List6"/>
      <sheetName val="except_wiring6"/>
      <sheetName val="Overall_Summary_6"/>
      <sheetName val="CL_MEP_-VOL_36"/>
      <sheetName val="4__Capex6"/>
      <sheetName val="5__Opex6"/>
      <sheetName val="Architect_Area_&amp;_Cost_Inputs2"/>
      <sheetName val="S1_new-Overall-with_C8A2"/>
      <sheetName val="Wood_Works-R1_2"/>
      <sheetName val="Summary_-New_with_C8A)2"/>
      <sheetName val="Boq_C7+A-MEP_2"/>
      <sheetName val="Interim_--&gt;_Top2"/>
      <sheetName val="Steel_4"/>
      <sheetName val="Main_Sum_(Model_B)2"/>
      <sheetName val="Main_Sum2"/>
      <sheetName val="RAW_DATA1"/>
      <sheetName val="Depreciation_Methods1"/>
      <sheetName val="cashflows_&amp;IRR1"/>
      <sheetName val="RCC_Ret__Wall1"/>
      <sheetName val="Charge_Rates1"/>
      <sheetName val="Detail_In_Door_Stad1"/>
      <sheetName val="RCC,Ret__Wall1"/>
      <sheetName val="___x005f_x005f_x005f_x005f_x0052"/>
      <sheetName val="Concrete_measurement1"/>
      <sheetName val="Model_(Not_Merged)"/>
      <sheetName val="Labour_&amp;_Plant12"/>
      <sheetName val="SCHEDULE_(9)1"/>
      <sheetName val="Materials_Cost"/>
      <sheetName val="Intro_1"/>
      <sheetName val="S_&amp;_A4"/>
      <sheetName val="Own_summary4"/>
      <sheetName val="Labour_Rate_4"/>
      <sheetName val="Net_TB1"/>
      <sheetName val="Purchases_FWJ1"/>
      <sheetName val="Cost_Sheet1"/>
      <sheetName val="MN_T_B_1"/>
      <sheetName val="Performance_Report1"/>
      <sheetName val="Sectional__Summary12"/>
      <sheetName val="final_abstract"/>
      <sheetName val="Main_Sheet2"/>
      <sheetName val="Project_Plan_-_WWW2"/>
      <sheetName val="Area_Statement_PMO"/>
      <sheetName val="Material_"/>
      <sheetName val="Materials_Cost(PCC)"/>
      <sheetName val="Summary_Sheets"/>
      <sheetName val="_x005f_x0000___x0054"/>
      <sheetName val="___x005f_x0008_p-NM4"/>
      <sheetName val="Detail_P&amp;L"/>
      <sheetName val="Assumption_Sheet"/>
      <sheetName val="labour_rates"/>
      <sheetName val="Civil_Boq"/>
      <sheetName val="Pay__Recom"/>
      <sheetName val="BOQ_T4B"/>
      <sheetName val="CTRs_(HOURS)_"/>
      <sheetName val="Legal_Risk_Analysis"/>
      <sheetName val="Debtors_analysis"/>
      <sheetName val="Executive_Summary"/>
      <sheetName val="?__x005f_x005f_x005f_x005f_x005f_x005f_x005f_x0008_p-N2"/>
      <sheetName val="?__x005f_x005f_x005f_x005f_x005f_x005f_x005f_x005f_x002"/>
      <sheetName val="___x0052"/>
      <sheetName val="입찰내역_발주처_양식2"/>
      <sheetName val="%_prog_figs_-u5_and_total2"/>
      <sheetName val="GM_&amp;_TA2"/>
      <sheetName val="VC_Summary3"/>
      <sheetName val="Rate_analysis_civil"/>
      <sheetName val="ELEC&amp;_MISC"/>
      <sheetName val="Basic_Rate"/>
      <sheetName val="PRICE_BID"/>
      <sheetName val="Data_(adj_"/>
      <sheetName val="Internal_Finishes_(Unit_types)"/>
      <sheetName val="Fin_Sum"/>
      <sheetName val="Cost_summary"/>
      <sheetName val="APPENDIX_4_1a"/>
      <sheetName val="PRECAST_lightconc-II"/>
      <sheetName val="Project_ODC_NDEU"/>
      <sheetName val="Rates_Analysis1"/>
      <sheetName val="1_Summary1"/>
      <sheetName val="SC_Cost_FEB_03"/>
      <sheetName val="India_F&amp;S_Template"/>
      <sheetName val="Client_Addressess"/>
      <sheetName val="Variation_Statement"/>
      <sheetName val="Detailed_Summary_(3)"/>
      <sheetName val="Door_&amp;_Window"/>
      <sheetName val="Pacakges_split"/>
      <sheetName val="SITE_OVERHEADS"/>
      <sheetName val="cover_page"/>
      <sheetName val="8__Cover"/>
      <sheetName val="NOT_FULL_RESTRAINT"/>
      <sheetName val="BEARING_&amp;_BUCKLING"/>
      <sheetName val="Block_A_-_BOQ"/>
      <sheetName val="Cashflow_projection"/>
      <sheetName val="Form_6"/>
      <sheetName val="BOQ_-_Electrical"/>
      <sheetName val="Column_L1_to_L2"/>
      <sheetName val="Column_L2_to_L3"/>
      <sheetName val="RAMP_3"/>
      <sheetName val="RAMP_1"/>
      <sheetName val="Column_B1_to_L1"/>
      <sheetName val="Slab_L1"/>
      <sheetName val="Slab_L2"/>
      <sheetName val="Fill_this_out_first___"/>
      <sheetName val="kppl_pl"/>
      <sheetName val="ESGS_Costing"/>
      <sheetName val="HR_&amp;_Admin_-_1"/>
      <sheetName val="On_Roll_-_Vacant"/>
      <sheetName val="HR_&amp;_Admin"/>
      <sheetName val="Birla_Sruya"/>
      <sheetName val="Cor_Oh"/>
      <sheetName val="S-4_Elemental_Sum"/>
      <sheetName val="Plan_Summary"/>
      <sheetName val="M_S_"/>
      <sheetName val="E_&amp;_R"/>
      <sheetName val="Quote_Sheet"/>
      <sheetName val="__x0051"/>
      <sheetName val="MASTER_RATE_ANALYSIS"/>
      <sheetName val="Lead_(Final)"/>
      <sheetName val="Linked_Lead"/>
      <sheetName val="OEM_"/>
      <sheetName val="bs_BP_04_SA"/>
      <sheetName val="Annexure_A"/>
      <sheetName val="Opening_Date1"/>
      <sheetName val="CPIPE_1"/>
      <sheetName val="Scheme_Area_Details_Block___C2"/>
      <sheetName val="Mat_-Rates"/>
      <sheetName val="RAJU_ASSO"/>
      <sheetName val="SewerCAD_Pipe_Data-Actual_2040"/>
      <sheetName val="Elemental_Buildup1"/>
      <sheetName val="Bill_No_8_-_A"/>
      <sheetName val="Malaysia_incl__RET"/>
      <sheetName val="Selling_Price"/>
      <sheetName val="Staff_JV1"/>
      <sheetName val="C1_(calcolo)"/>
      <sheetName val="Mp-team_1"/>
      <sheetName val="BILL_-_1_GNRL_RMNT_(2)"/>
      <sheetName val="BILL_-_2_CIVIL_WORKS"/>
      <sheetName val="BILL_-_3_1_FIRE_SUP__"/>
      <sheetName val="BILL_-_3_2_PLUMBING__(2)"/>
      <sheetName val="BILL_-_3_3_HVAC_"/>
      <sheetName val="BILL_-_3_4_AUTOMATION"/>
      <sheetName val="BILL_-_4_ELEC_"/>
      <sheetName val="BILL_5_-_PSUM"/>
      <sheetName val="Price_Groups"/>
      <sheetName val="Bill_no_8"/>
      <sheetName val="投标材料清单_"/>
      <sheetName val="?__x005f_x005f_x005f_x0008_p-NM"/>
      <sheetName val="?__x005"/>
      <sheetName val="?__x005f_x005f_x005f_x005F_x005"/>
      <sheetName val="_x005f_x005f_x005F?__x0051"/>
      <sheetName val="?__x005f_x005F_x005"/>
      <sheetName val="?__x005f_x0008_p-NM"/>
      <sheetName val="LOCAL_RATES"/>
      <sheetName val="Plant_&amp;__Machinery"/>
      <sheetName val="LA-_lookups"/>
      <sheetName val="Inter_unit_set_off"/>
      <sheetName val="GF_Columns"/>
      <sheetName val="Combined_Results_"/>
      <sheetName val="Beams_"/>
      <sheetName val="Roof__PT_beams_"/>
      <sheetName val="Core_Data"/>
      <sheetName val="BOQ_(2)"/>
      <sheetName val="Meas_-Hotel_Part"/>
      <sheetName val="MT_DEW_AMP_RELAUNCH"/>
      <sheetName val="6PILE__(돌출)"/>
      <sheetName val="Labour_Rate"/>
      <sheetName val="FITZ_MORT_94"/>
      <sheetName val="BOQ_(_Only_Ground_floor_)_"/>
      <sheetName val="INFLUENCES_ON_GM"/>
      <sheetName val="L&amp;D_2015-16"/>
      <sheetName val="Schedules_PL"/>
      <sheetName val="Schedules_BS"/>
      <sheetName val="Service_Function"/>
      <sheetName val="tie_beam"/>
      <sheetName val="_Structural"/>
      <sheetName val="Sch__Areas4"/>
      <sheetName val="Recon_Template"/>
      <sheetName val="Key_Assumptions"/>
      <sheetName val="Staff Acco."/>
      <sheetName val="Inc.St.-Link"/>
      <sheetName val="BOQ "/>
      <sheetName val="Factor_Sheet"/>
      <sheetName val="sum-all"/>
      <sheetName val="water prop."/>
      <sheetName val="oresreqsum"/>
      <sheetName val="Per Unit"/>
      <sheetName val="Page 1A - Proposal Strategy "/>
      <sheetName val="STEEL STRUCTURE"/>
      <sheetName val="1.Civil"/>
      <sheetName val="factor"/>
      <sheetName val="SMB Type D Conduit"/>
      <sheetName val="DLC lookups"/>
      <sheetName val="L.L Rates"/>
      <sheetName val="cul-invSUBMITTED"/>
      <sheetName val="S1BOQ"/>
      <sheetName val="Detail excavation"/>
      <sheetName val="MOTOR"/>
      <sheetName val="Office Twrs"/>
      <sheetName val="Base_Data"/>
      <sheetName val="panel_list"/>
      <sheetName val="Equipment"/>
      <sheetName val="Drop Down List"/>
      <sheetName val="CABLE SIZE (2)"/>
      <sheetName val="Spread_sht"/>
      <sheetName val="Derived Rates"/>
      <sheetName val="AJMBlkWorks"/>
      <sheetName val="Details and Earnings Charts"/>
      <sheetName val="Takeoff"/>
      <sheetName val="U"/>
      <sheetName val="Sheet7"/>
      <sheetName val="RELAYS"/>
      <sheetName val="Boiler Curves"/>
      <sheetName val="Electrical"/>
      <sheetName val="Labels"/>
      <sheetName val="accom cash"/>
      <sheetName val="_x005f_x005f_x005f_x005F_._x005"/>
      <sheetName val="_x005f_x005f_x005f_x005F___x005"/>
      <sheetName val="_x005f_x005f_x005f_x005F___x001"/>
      <sheetName val="_x005f_x005f_x005f_x005F___x002"/>
      <sheetName val="_x005f_x005f_x005f_x005F___x003"/>
      <sheetName val="Background"/>
      <sheetName val="Site Dev BOQ"/>
      <sheetName val="allocation"/>
      <sheetName val="New May"/>
      <sheetName val="X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3">
          <cell r="K43">
            <v>357.72499999999991</v>
          </cell>
        </row>
      </sheetData>
      <sheetData sheetId="29">
        <row r="43">
          <cell r="K43">
            <v>357.72499999999991</v>
          </cell>
        </row>
      </sheetData>
      <sheetData sheetId="30">
        <row r="43">
          <cell r="K43">
            <v>357.72499999999991</v>
          </cell>
        </row>
      </sheetData>
      <sheetData sheetId="31">
        <row r="43">
          <cell r="K43">
            <v>357.72499999999991</v>
          </cell>
        </row>
      </sheetData>
      <sheetData sheetId="32">
        <row r="43">
          <cell r="K43">
            <v>357.72499999999991</v>
          </cell>
        </row>
      </sheetData>
      <sheetData sheetId="33">
        <row r="43">
          <cell r="K43">
            <v>357.72499999999991</v>
          </cell>
        </row>
      </sheetData>
      <sheetData sheetId="34">
        <row r="7">
          <cell r="I7" t="str">
            <v>Manpower</v>
          </cell>
        </row>
      </sheetData>
      <sheetData sheetId="35">
        <row r="43">
          <cell r="K43">
            <v>357.72499999999991</v>
          </cell>
        </row>
      </sheetData>
      <sheetData sheetId="36">
        <row r="43">
          <cell r="K43">
            <v>357.72499999999991</v>
          </cell>
        </row>
      </sheetData>
      <sheetData sheetId="37">
        <row r="7">
          <cell r="I7" t="str">
            <v>Manpower</v>
          </cell>
        </row>
      </sheetData>
      <sheetData sheetId="38">
        <row r="43">
          <cell r="K43">
            <v>357.72499999999991</v>
          </cell>
        </row>
      </sheetData>
      <sheetData sheetId="39">
        <row r="7">
          <cell r="I7" t="str">
            <v>Manpower</v>
          </cell>
        </row>
      </sheetData>
      <sheetData sheetId="40">
        <row r="7">
          <cell r="I7" t="str">
            <v>Manpower</v>
          </cell>
        </row>
      </sheetData>
      <sheetData sheetId="41">
        <row r="7">
          <cell r="I7" t="str">
            <v>Manpower</v>
          </cell>
        </row>
      </sheetData>
      <sheetData sheetId="42">
        <row r="43">
          <cell r="K43">
            <v>357.72499999999991</v>
          </cell>
        </row>
      </sheetData>
      <sheetData sheetId="43">
        <row r="43">
          <cell r="K43">
            <v>357.72499999999991</v>
          </cell>
        </row>
      </sheetData>
      <sheetData sheetId="44">
        <row r="43">
          <cell r="K43">
            <v>357.72499999999991</v>
          </cell>
        </row>
      </sheetData>
      <sheetData sheetId="45">
        <row r="7">
          <cell r="I7" t="str">
            <v>Manpower</v>
          </cell>
        </row>
      </sheetData>
      <sheetData sheetId="46">
        <row r="7">
          <cell r="I7" t="str">
            <v>Manpower</v>
          </cell>
        </row>
      </sheetData>
      <sheetData sheetId="47">
        <row r="7">
          <cell r="I7" t="str">
            <v>Manpower</v>
          </cell>
        </row>
      </sheetData>
      <sheetData sheetId="48">
        <row r="7">
          <cell r="I7" t="str">
            <v>Manpower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I7" t="str">
            <v>Manpower</v>
          </cell>
        </row>
      </sheetData>
      <sheetData sheetId="109">
        <row r="7">
          <cell r="I7" t="str">
            <v>Manpower</v>
          </cell>
        </row>
      </sheetData>
      <sheetData sheetId="110">
        <row r="7">
          <cell r="I7" t="str">
            <v>Manpower</v>
          </cell>
        </row>
      </sheetData>
      <sheetData sheetId="111">
        <row r="7">
          <cell r="I7" t="str">
            <v>Manpower</v>
          </cell>
        </row>
      </sheetData>
      <sheetData sheetId="112">
        <row r="7">
          <cell r="I7" t="str">
            <v>Manpower</v>
          </cell>
        </row>
      </sheetData>
      <sheetData sheetId="113">
        <row r="7">
          <cell r="I7" t="str">
            <v>Manpower</v>
          </cell>
        </row>
      </sheetData>
      <sheetData sheetId="114">
        <row r="7">
          <cell r="I7" t="str">
            <v>Manpower</v>
          </cell>
        </row>
      </sheetData>
      <sheetData sheetId="115">
        <row r="7">
          <cell r="I7" t="str">
            <v>Manpower</v>
          </cell>
        </row>
      </sheetData>
      <sheetData sheetId="116">
        <row r="7">
          <cell r="I7" t="str">
            <v>Manpower</v>
          </cell>
        </row>
      </sheetData>
      <sheetData sheetId="117">
        <row r="7">
          <cell r="I7" t="str">
            <v>Manpower</v>
          </cell>
        </row>
      </sheetData>
      <sheetData sheetId="118">
        <row r="7">
          <cell r="I7" t="str">
            <v>Manpower</v>
          </cell>
        </row>
      </sheetData>
      <sheetData sheetId="119">
        <row r="7">
          <cell r="I7" t="str">
            <v>Manpower</v>
          </cell>
        </row>
      </sheetData>
      <sheetData sheetId="120">
        <row r="7">
          <cell r="I7" t="str">
            <v>Manpower</v>
          </cell>
        </row>
      </sheetData>
      <sheetData sheetId="121">
        <row r="7">
          <cell r="I7" t="str">
            <v>Manpower</v>
          </cell>
        </row>
      </sheetData>
      <sheetData sheetId="122">
        <row r="7">
          <cell r="I7" t="str">
            <v>Manpower</v>
          </cell>
        </row>
      </sheetData>
      <sheetData sheetId="123">
        <row r="7">
          <cell r="I7" t="str">
            <v>Manpower</v>
          </cell>
        </row>
      </sheetData>
      <sheetData sheetId="124">
        <row r="7">
          <cell r="I7" t="str">
            <v>Manpower</v>
          </cell>
        </row>
      </sheetData>
      <sheetData sheetId="125">
        <row r="7">
          <cell r="I7" t="str">
            <v>Manpower</v>
          </cell>
        </row>
      </sheetData>
      <sheetData sheetId="126">
        <row r="7">
          <cell r="I7" t="str">
            <v>Manpower</v>
          </cell>
        </row>
      </sheetData>
      <sheetData sheetId="127">
        <row r="7">
          <cell r="I7" t="str">
            <v>Manpower</v>
          </cell>
        </row>
      </sheetData>
      <sheetData sheetId="128">
        <row r="7">
          <cell r="I7" t="str">
            <v>Manpower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7">
          <cell r="I7" t="str">
            <v>Manpower</v>
          </cell>
        </row>
      </sheetData>
      <sheetData sheetId="132">
        <row r="7">
          <cell r="I7" t="str">
            <v>Manpower</v>
          </cell>
        </row>
      </sheetData>
      <sheetData sheetId="133">
        <row r="7">
          <cell r="I7" t="str">
            <v>Manpower</v>
          </cell>
        </row>
      </sheetData>
      <sheetData sheetId="134">
        <row r="7">
          <cell r="I7" t="str">
            <v>Manpower</v>
          </cell>
        </row>
      </sheetData>
      <sheetData sheetId="135">
        <row r="7">
          <cell r="I7" t="str">
            <v>Manpower</v>
          </cell>
        </row>
      </sheetData>
      <sheetData sheetId="136">
        <row r="7">
          <cell r="I7" t="str">
            <v>Manpower</v>
          </cell>
        </row>
      </sheetData>
      <sheetData sheetId="137">
        <row r="7">
          <cell r="I7" t="str">
            <v>Manpower</v>
          </cell>
        </row>
      </sheetData>
      <sheetData sheetId="138">
        <row r="43">
          <cell r="K43">
            <v>357.72499999999991</v>
          </cell>
        </row>
      </sheetData>
      <sheetData sheetId="139">
        <row r="7">
          <cell r="I7" t="str">
            <v>Manpower</v>
          </cell>
        </row>
      </sheetData>
      <sheetData sheetId="140">
        <row r="7">
          <cell r="I7" t="str">
            <v>Manpower</v>
          </cell>
        </row>
      </sheetData>
      <sheetData sheetId="141">
        <row r="7">
          <cell r="I7" t="str">
            <v>Manpower</v>
          </cell>
        </row>
      </sheetData>
      <sheetData sheetId="142">
        <row r="7">
          <cell r="I7" t="str">
            <v>Manpower</v>
          </cell>
        </row>
      </sheetData>
      <sheetData sheetId="143">
        <row r="7">
          <cell r="I7" t="str">
            <v>Manpower</v>
          </cell>
        </row>
      </sheetData>
      <sheetData sheetId="144">
        <row r="7">
          <cell r="I7" t="str">
            <v>Manpower</v>
          </cell>
        </row>
      </sheetData>
      <sheetData sheetId="145">
        <row r="7">
          <cell r="I7" t="str">
            <v>Manpower</v>
          </cell>
        </row>
      </sheetData>
      <sheetData sheetId="146">
        <row r="7">
          <cell r="I7" t="str">
            <v>Manpower</v>
          </cell>
        </row>
      </sheetData>
      <sheetData sheetId="147">
        <row r="7">
          <cell r="I7" t="str">
            <v>Manpower</v>
          </cell>
        </row>
      </sheetData>
      <sheetData sheetId="148">
        <row r="7">
          <cell r="I7" t="str">
            <v>Manpower</v>
          </cell>
        </row>
      </sheetData>
      <sheetData sheetId="149">
        <row r="7">
          <cell r="I7" t="str">
            <v>Manpower</v>
          </cell>
        </row>
      </sheetData>
      <sheetData sheetId="150">
        <row r="7">
          <cell r="I7" t="str">
            <v>Manpower</v>
          </cell>
        </row>
      </sheetData>
      <sheetData sheetId="151">
        <row r="7">
          <cell r="I7" t="str">
            <v>Manpower</v>
          </cell>
        </row>
      </sheetData>
      <sheetData sheetId="152">
        <row r="7">
          <cell r="I7" t="str">
            <v>Manpower</v>
          </cell>
        </row>
      </sheetData>
      <sheetData sheetId="153">
        <row r="7">
          <cell r="I7" t="str">
            <v>Manpower</v>
          </cell>
        </row>
      </sheetData>
      <sheetData sheetId="154" refreshError="1"/>
      <sheetData sheetId="155">
        <row r="7">
          <cell r="I7" t="str">
            <v>Manpower</v>
          </cell>
        </row>
      </sheetData>
      <sheetData sheetId="156">
        <row r="7">
          <cell r="I7" t="str">
            <v>Manpower</v>
          </cell>
        </row>
      </sheetData>
      <sheetData sheetId="157">
        <row r="7">
          <cell r="I7" t="str">
            <v>Manpower</v>
          </cell>
        </row>
      </sheetData>
      <sheetData sheetId="158">
        <row r="7">
          <cell r="I7" t="str">
            <v>Manpower</v>
          </cell>
        </row>
      </sheetData>
      <sheetData sheetId="159">
        <row r="7">
          <cell r="I7" t="str">
            <v>Manpower</v>
          </cell>
        </row>
      </sheetData>
      <sheetData sheetId="160">
        <row r="7">
          <cell r="I7" t="str">
            <v>Manpower</v>
          </cell>
        </row>
      </sheetData>
      <sheetData sheetId="161">
        <row r="7">
          <cell r="I7" t="str">
            <v>Manpower</v>
          </cell>
        </row>
      </sheetData>
      <sheetData sheetId="162">
        <row r="7">
          <cell r="I7" t="str">
            <v>Manpower</v>
          </cell>
        </row>
      </sheetData>
      <sheetData sheetId="163">
        <row r="7">
          <cell r="I7" t="str">
            <v>Manpower</v>
          </cell>
        </row>
      </sheetData>
      <sheetData sheetId="164">
        <row r="7">
          <cell r="I7" t="str">
            <v>Manpower</v>
          </cell>
        </row>
      </sheetData>
      <sheetData sheetId="165">
        <row r="7">
          <cell r="I7" t="str">
            <v>Manpower</v>
          </cell>
        </row>
      </sheetData>
      <sheetData sheetId="166">
        <row r="7">
          <cell r="I7" t="str">
            <v>Manpower</v>
          </cell>
        </row>
      </sheetData>
      <sheetData sheetId="167">
        <row r="43">
          <cell r="K43">
            <v>357.72499999999991</v>
          </cell>
        </row>
      </sheetData>
      <sheetData sheetId="168">
        <row r="7">
          <cell r="I7" t="str">
            <v>Manpower</v>
          </cell>
        </row>
      </sheetData>
      <sheetData sheetId="169">
        <row r="7">
          <cell r="I7" t="str">
            <v>Manpower</v>
          </cell>
        </row>
      </sheetData>
      <sheetData sheetId="170">
        <row r="43">
          <cell r="K43">
            <v>357.72499999999991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3">
          <cell r="K43">
            <v>357.72499999999991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43">
          <cell r="K43">
            <v>357.72499999999991</v>
          </cell>
        </row>
      </sheetData>
      <sheetData sheetId="202">
        <row r="43">
          <cell r="K43">
            <v>357.72499999999991</v>
          </cell>
        </row>
      </sheetData>
      <sheetData sheetId="203">
        <row r="7">
          <cell r="I7" t="str">
            <v>Manpower</v>
          </cell>
        </row>
      </sheetData>
      <sheetData sheetId="204">
        <row r="43">
          <cell r="K43">
            <v>357.72499999999991</v>
          </cell>
        </row>
      </sheetData>
      <sheetData sheetId="205">
        <row r="43">
          <cell r="K43">
            <v>357.72499999999991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7">
          <cell r="I7" t="str">
            <v>Manpower</v>
          </cell>
        </row>
      </sheetData>
      <sheetData sheetId="258">
        <row r="7">
          <cell r="I7" t="str">
            <v>Manpower</v>
          </cell>
        </row>
      </sheetData>
      <sheetData sheetId="259">
        <row r="7">
          <cell r="I7" t="str">
            <v>Manpower</v>
          </cell>
        </row>
      </sheetData>
      <sheetData sheetId="260">
        <row r="7">
          <cell r="I7" t="str">
            <v>Manpower</v>
          </cell>
        </row>
      </sheetData>
      <sheetData sheetId="261">
        <row r="7">
          <cell r="I7" t="str">
            <v>Manpower</v>
          </cell>
        </row>
      </sheetData>
      <sheetData sheetId="262">
        <row r="7">
          <cell r="I7" t="str">
            <v>Manpower</v>
          </cell>
        </row>
      </sheetData>
      <sheetData sheetId="263">
        <row r="7">
          <cell r="I7" t="str">
            <v>Manpower</v>
          </cell>
        </row>
      </sheetData>
      <sheetData sheetId="264">
        <row r="7">
          <cell r="I7" t="str">
            <v>Manpower</v>
          </cell>
        </row>
      </sheetData>
      <sheetData sheetId="265">
        <row r="7">
          <cell r="I7" t="str">
            <v>Manpower</v>
          </cell>
        </row>
      </sheetData>
      <sheetData sheetId="266">
        <row r="7">
          <cell r="I7" t="str">
            <v>Manpower</v>
          </cell>
        </row>
      </sheetData>
      <sheetData sheetId="267">
        <row r="7">
          <cell r="I7" t="str">
            <v>Manpower</v>
          </cell>
        </row>
      </sheetData>
      <sheetData sheetId="268">
        <row r="7">
          <cell r="I7" t="str">
            <v>Manpower</v>
          </cell>
        </row>
      </sheetData>
      <sheetData sheetId="269">
        <row r="7">
          <cell r="I7" t="str">
            <v>Manpower</v>
          </cell>
        </row>
      </sheetData>
      <sheetData sheetId="270">
        <row r="7">
          <cell r="I7" t="str">
            <v>Manpower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7">
          <cell r="I7" t="str">
            <v>Manpower</v>
          </cell>
        </row>
      </sheetData>
      <sheetData sheetId="328">
        <row r="7">
          <cell r="I7" t="str">
            <v>Manpower</v>
          </cell>
        </row>
      </sheetData>
      <sheetData sheetId="329">
        <row r="7">
          <cell r="I7" t="str">
            <v>Manpower</v>
          </cell>
        </row>
      </sheetData>
      <sheetData sheetId="330">
        <row r="7">
          <cell r="I7" t="str">
            <v>Manpower</v>
          </cell>
        </row>
      </sheetData>
      <sheetData sheetId="331" refreshError="1"/>
      <sheetData sheetId="332" refreshError="1"/>
      <sheetData sheetId="333">
        <row r="7">
          <cell r="I7" t="str">
            <v>Manpower</v>
          </cell>
        </row>
      </sheetData>
      <sheetData sheetId="334">
        <row r="7">
          <cell r="I7" t="str">
            <v>Manpower</v>
          </cell>
        </row>
      </sheetData>
      <sheetData sheetId="335">
        <row r="7">
          <cell r="I7" t="str">
            <v>Manpower</v>
          </cell>
        </row>
      </sheetData>
      <sheetData sheetId="336">
        <row r="7">
          <cell r="I7" t="str">
            <v>Manpower</v>
          </cell>
        </row>
      </sheetData>
      <sheetData sheetId="337">
        <row r="7">
          <cell r="I7" t="str">
            <v>Manpower</v>
          </cell>
        </row>
      </sheetData>
      <sheetData sheetId="338">
        <row r="7">
          <cell r="I7" t="str">
            <v>Manpower</v>
          </cell>
        </row>
      </sheetData>
      <sheetData sheetId="339">
        <row r="7">
          <cell r="I7" t="str">
            <v>Manpower</v>
          </cell>
        </row>
      </sheetData>
      <sheetData sheetId="340">
        <row r="7">
          <cell r="I7" t="str">
            <v>Manpower</v>
          </cell>
        </row>
      </sheetData>
      <sheetData sheetId="341">
        <row r="7">
          <cell r="I7" t="str">
            <v>Manpower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7">
          <cell r="I7" t="str">
            <v>Manpower</v>
          </cell>
        </row>
      </sheetData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7">
          <cell r="I7" t="str">
            <v>Manpower</v>
          </cell>
        </row>
      </sheetData>
      <sheetData sheetId="372">
        <row r="7">
          <cell r="I7" t="str">
            <v>Manpower</v>
          </cell>
        </row>
      </sheetData>
      <sheetData sheetId="373">
        <row r="7">
          <cell r="I7" t="str">
            <v>Manpower</v>
          </cell>
        </row>
      </sheetData>
      <sheetData sheetId="374">
        <row r="7">
          <cell r="I7" t="str">
            <v>Manpower</v>
          </cell>
        </row>
      </sheetData>
      <sheetData sheetId="375">
        <row r="7">
          <cell r="I7" t="str">
            <v>Manpower</v>
          </cell>
        </row>
      </sheetData>
      <sheetData sheetId="376">
        <row r="7">
          <cell r="I7" t="str">
            <v>Manpower</v>
          </cell>
        </row>
      </sheetData>
      <sheetData sheetId="377">
        <row r="7">
          <cell r="I7" t="str">
            <v>Manpower</v>
          </cell>
        </row>
      </sheetData>
      <sheetData sheetId="378">
        <row r="7">
          <cell r="I7" t="str">
            <v>Manpower</v>
          </cell>
        </row>
      </sheetData>
      <sheetData sheetId="379">
        <row r="7">
          <cell r="I7" t="str">
            <v>Manpower</v>
          </cell>
        </row>
      </sheetData>
      <sheetData sheetId="380">
        <row r="7">
          <cell r="I7" t="str">
            <v>Manpower</v>
          </cell>
        </row>
      </sheetData>
      <sheetData sheetId="381">
        <row r="7">
          <cell r="I7" t="str">
            <v>Manpower</v>
          </cell>
        </row>
      </sheetData>
      <sheetData sheetId="382">
        <row r="7">
          <cell r="I7" t="str">
            <v>Manpower</v>
          </cell>
        </row>
      </sheetData>
      <sheetData sheetId="383">
        <row r="7">
          <cell r="I7" t="str">
            <v>Manpower</v>
          </cell>
        </row>
      </sheetData>
      <sheetData sheetId="384">
        <row r="7">
          <cell r="I7" t="str">
            <v>Manpower</v>
          </cell>
        </row>
      </sheetData>
      <sheetData sheetId="385">
        <row r="7">
          <cell r="I7" t="str">
            <v>Manpower</v>
          </cell>
        </row>
      </sheetData>
      <sheetData sheetId="386">
        <row r="7">
          <cell r="I7" t="str">
            <v>Manpower</v>
          </cell>
        </row>
      </sheetData>
      <sheetData sheetId="387">
        <row r="7">
          <cell r="I7" t="str">
            <v>Manpower</v>
          </cell>
        </row>
      </sheetData>
      <sheetData sheetId="388">
        <row r="7">
          <cell r="I7" t="str">
            <v>Manpower</v>
          </cell>
        </row>
      </sheetData>
      <sheetData sheetId="389">
        <row r="7">
          <cell r="I7" t="str">
            <v>Manpower</v>
          </cell>
        </row>
      </sheetData>
      <sheetData sheetId="390">
        <row r="7">
          <cell r="I7" t="str">
            <v>Manpower</v>
          </cell>
        </row>
      </sheetData>
      <sheetData sheetId="391">
        <row r="7">
          <cell r="I7" t="str">
            <v>Manpower</v>
          </cell>
        </row>
      </sheetData>
      <sheetData sheetId="392">
        <row r="7">
          <cell r="I7" t="str">
            <v>Manpower</v>
          </cell>
        </row>
      </sheetData>
      <sheetData sheetId="393">
        <row r="7">
          <cell r="I7" t="str">
            <v>Manpower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>
        <row r="7">
          <cell r="I7" t="str">
            <v>Manpower</v>
          </cell>
        </row>
      </sheetData>
      <sheetData sheetId="505">
        <row r="7">
          <cell r="I7" t="str">
            <v>Manpower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7">
          <cell r="I7" t="str">
            <v>Manpower</v>
          </cell>
        </row>
      </sheetData>
      <sheetData sheetId="530">
        <row r="7">
          <cell r="I7" t="str">
            <v>Manpower</v>
          </cell>
        </row>
      </sheetData>
      <sheetData sheetId="531">
        <row r="7">
          <cell r="I7" t="str">
            <v>Manpower</v>
          </cell>
        </row>
      </sheetData>
      <sheetData sheetId="532">
        <row r="7">
          <cell r="I7" t="str">
            <v>Manpower</v>
          </cell>
        </row>
      </sheetData>
      <sheetData sheetId="533">
        <row r="7">
          <cell r="I7" t="str">
            <v>Manpower</v>
          </cell>
        </row>
      </sheetData>
      <sheetData sheetId="534">
        <row r="7">
          <cell r="I7" t="str">
            <v>Manpower</v>
          </cell>
        </row>
      </sheetData>
      <sheetData sheetId="535">
        <row r="7">
          <cell r="I7" t="str">
            <v>Manpower</v>
          </cell>
        </row>
      </sheetData>
      <sheetData sheetId="536">
        <row r="7">
          <cell r="I7" t="str">
            <v>Manpower</v>
          </cell>
        </row>
      </sheetData>
      <sheetData sheetId="537">
        <row r="7">
          <cell r="I7" t="str">
            <v>Manpower</v>
          </cell>
        </row>
      </sheetData>
      <sheetData sheetId="538">
        <row r="7">
          <cell r="I7" t="str">
            <v>Manpower</v>
          </cell>
        </row>
      </sheetData>
      <sheetData sheetId="539">
        <row r="7">
          <cell r="I7" t="str">
            <v>Manpower</v>
          </cell>
        </row>
      </sheetData>
      <sheetData sheetId="540">
        <row r="7">
          <cell r="I7" t="str">
            <v>Manpower</v>
          </cell>
        </row>
      </sheetData>
      <sheetData sheetId="541">
        <row r="7">
          <cell r="I7" t="str">
            <v>Manpower</v>
          </cell>
        </row>
      </sheetData>
      <sheetData sheetId="542">
        <row r="7">
          <cell r="I7" t="str">
            <v>Manpower</v>
          </cell>
        </row>
      </sheetData>
      <sheetData sheetId="543">
        <row r="7">
          <cell r="I7" t="str">
            <v>Manpower</v>
          </cell>
        </row>
      </sheetData>
      <sheetData sheetId="544">
        <row r="7">
          <cell r="I7" t="str">
            <v>Manpower</v>
          </cell>
        </row>
      </sheetData>
      <sheetData sheetId="545">
        <row r="7">
          <cell r="I7" t="str">
            <v>Manpower</v>
          </cell>
        </row>
      </sheetData>
      <sheetData sheetId="546">
        <row r="7">
          <cell r="I7" t="str">
            <v>Manpower</v>
          </cell>
        </row>
      </sheetData>
      <sheetData sheetId="547">
        <row r="7">
          <cell r="I7" t="str">
            <v>Manpower</v>
          </cell>
        </row>
      </sheetData>
      <sheetData sheetId="548">
        <row r="7">
          <cell r="I7" t="str">
            <v>Manpower</v>
          </cell>
        </row>
      </sheetData>
      <sheetData sheetId="549">
        <row r="7">
          <cell r="I7" t="str">
            <v>Manpower</v>
          </cell>
        </row>
      </sheetData>
      <sheetData sheetId="550">
        <row r="7">
          <cell r="I7" t="str">
            <v>Manpower</v>
          </cell>
        </row>
      </sheetData>
      <sheetData sheetId="551">
        <row r="7">
          <cell r="I7" t="str">
            <v>Manpower</v>
          </cell>
        </row>
      </sheetData>
      <sheetData sheetId="552">
        <row r="7">
          <cell r="I7" t="str">
            <v>Manpower</v>
          </cell>
        </row>
      </sheetData>
      <sheetData sheetId="553">
        <row r="7">
          <cell r="I7" t="str">
            <v>Manpower</v>
          </cell>
        </row>
      </sheetData>
      <sheetData sheetId="554">
        <row r="7">
          <cell r="I7" t="str">
            <v>Manpower</v>
          </cell>
        </row>
      </sheetData>
      <sheetData sheetId="555">
        <row r="7">
          <cell r="I7" t="str">
            <v>Manpower</v>
          </cell>
        </row>
      </sheetData>
      <sheetData sheetId="556">
        <row r="7">
          <cell r="I7" t="str">
            <v>Manpower</v>
          </cell>
        </row>
      </sheetData>
      <sheetData sheetId="557">
        <row r="7">
          <cell r="I7" t="str">
            <v>Manpower</v>
          </cell>
        </row>
      </sheetData>
      <sheetData sheetId="558">
        <row r="7">
          <cell r="I7" t="str">
            <v>Manpower</v>
          </cell>
        </row>
      </sheetData>
      <sheetData sheetId="559">
        <row r="7">
          <cell r="I7" t="str">
            <v>Manpower</v>
          </cell>
        </row>
      </sheetData>
      <sheetData sheetId="560">
        <row r="7">
          <cell r="I7" t="str">
            <v>Manpower</v>
          </cell>
        </row>
      </sheetData>
      <sheetData sheetId="561">
        <row r="7">
          <cell r="I7" t="str">
            <v>Manpower</v>
          </cell>
        </row>
      </sheetData>
      <sheetData sheetId="562">
        <row r="7">
          <cell r="I7" t="str">
            <v>Manpower</v>
          </cell>
        </row>
      </sheetData>
      <sheetData sheetId="563">
        <row r="7">
          <cell r="I7" t="str">
            <v>Manpower</v>
          </cell>
        </row>
      </sheetData>
      <sheetData sheetId="564">
        <row r="7">
          <cell r="I7" t="str">
            <v>Manpower</v>
          </cell>
        </row>
      </sheetData>
      <sheetData sheetId="565">
        <row r="7">
          <cell r="I7" t="str">
            <v>Manpower</v>
          </cell>
        </row>
      </sheetData>
      <sheetData sheetId="566">
        <row r="7">
          <cell r="I7" t="str">
            <v>Manpower</v>
          </cell>
        </row>
      </sheetData>
      <sheetData sheetId="567">
        <row r="7">
          <cell r="I7" t="str">
            <v>Manpower</v>
          </cell>
        </row>
      </sheetData>
      <sheetData sheetId="568">
        <row r="7">
          <cell r="I7" t="str">
            <v>Manpower</v>
          </cell>
        </row>
      </sheetData>
      <sheetData sheetId="569">
        <row r="7">
          <cell r="I7" t="str">
            <v>Manpower</v>
          </cell>
        </row>
      </sheetData>
      <sheetData sheetId="570">
        <row r="7">
          <cell r="I7" t="str">
            <v>Manpower</v>
          </cell>
        </row>
      </sheetData>
      <sheetData sheetId="571">
        <row r="7">
          <cell r="I7" t="str">
            <v>Manpower</v>
          </cell>
        </row>
      </sheetData>
      <sheetData sheetId="572">
        <row r="7">
          <cell r="I7" t="str">
            <v>Manpower</v>
          </cell>
        </row>
      </sheetData>
      <sheetData sheetId="573">
        <row r="7">
          <cell r="I7" t="str">
            <v>Manpower</v>
          </cell>
        </row>
      </sheetData>
      <sheetData sheetId="574">
        <row r="7">
          <cell r="I7" t="str">
            <v>Manpower</v>
          </cell>
        </row>
      </sheetData>
      <sheetData sheetId="575">
        <row r="7">
          <cell r="I7" t="str">
            <v>Manpower</v>
          </cell>
        </row>
      </sheetData>
      <sheetData sheetId="576">
        <row r="7">
          <cell r="I7" t="str">
            <v>Manpower</v>
          </cell>
        </row>
      </sheetData>
      <sheetData sheetId="577">
        <row r="7">
          <cell r="I7" t="str">
            <v>Manpower</v>
          </cell>
        </row>
      </sheetData>
      <sheetData sheetId="578">
        <row r="7">
          <cell r="I7" t="str">
            <v>Manpower</v>
          </cell>
        </row>
      </sheetData>
      <sheetData sheetId="579">
        <row r="7">
          <cell r="I7" t="str">
            <v>Manpower</v>
          </cell>
        </row>
      </sheetData>
      <sheetData sheetId="580">
        <row r="7">
          <cell r="I7" t="str">
            <v>Manpower</v>
          </cell>
        </row>
      </sheetData>
      <sheetData sheetId="581">
        <row r="7">
          <cell r="I7" t="str">
            <v>Manpower</v>
          </cell>
        </row>
      </sheetData>
      <sheetData sheetId="582">
        <row r="7">
          <cell r="I7" t="str">
            <v>Manpower</v>
          </cell>
        </row>
      </sheetData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>
        <row r="7">
          <cell r="I7" t="str">
            <v>Manpower</v>
          </cell>
        </row>
      </sheetData>
      <sheetData sheetId="601">
        <row r="7">
          <cell r="I7" t="str">
            <v>Manpower</v>
          </cell>
        </row>
      </sheetData>
      <sheetData sheetId="602">
        <row r="7">
          <cell r="I7" t="str">
            <v>Manpower</v>
          </cell>
        </row>
      </sheetData>
      <sheetData sheetId="603">
        <row r="7">
          <cell r="I7" t="str">
            <v>Manpower</v>
          </cell>
        </row>
      </sheetData>
      <sheetData sheetId="604">
        <row r="7">
          <cell r="I7" t="str">
            <v>Manpower</v>
          </cell>
        </row>
      </sheetData>
      <sheetData sheetId="605" refreshError="1"/>
      <sheetData sheetId="606" refreshError="1"/>
      <sheetData sheetId="607">
        <row r="7">
          <cell r="I7" t="str">
            <v>Manpower</v>
          </cell>
        </row>
      </sheetData>
      <sheetData sheetId="608">
        <row r="7">
          <cell r="I7" t="str">
            <v>Manpower</v>
          </cell>
        </row>
      </sheetData>
      <sheetData sheetId="609">
        <row r="7">
          <cell r="I7" t="str">
            <v>Manpower</v>
          </cell>
        </row>
      </sheetData>
      <sheetData sheetId="610">
        <row r="7">
          <cell r="I7" t="str">
            <v>Manpower</v>
          </cell>
        </row>
      </sheetData>
      <sheetData sheetId="611">
        <row r="7">
          <cell r="I7" t="str">
            <v>Manpower</v>
          </cell>
        </row>
      </sheetData>
      <sheetData sheetId="612">
        <row r="7">
          <cell r="I7" t="str">
            <v>Manpower</v>
          </cell>
        </row>
      </sheetData>
      <sheetData sheetId="613">
        <row r="7">
          <cell r="I7" t="str">
            <v>Manpower</v>
          </cell>
        </row>
      </sheetData>
      <sheetData sheetId="614">
        <row r="7">
          <cell r="I7" t="str">
            <v>Manpower</v>
          </cell>
        </row>
      </sheetData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7">
          <cell r="I7" t="str">
            <v>Manpower</v>
          </cell>
        </row>
      </sheetData>
      <sheetData sheetId="623">
        <row r="7">
          <cell r="I7" t="str">
            <v>Manpower</v>
          </cell>
        </row>
      </sheetData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7">
          <cell r="I7" t="str">
            <v>Manpower</v>
          </cell>
        </row>
      </sheetData>
      <sheetData sheetId="662">
        <row r="7">
          <cell r="I7" t="str">
            <v>Manpower</v>
          </cell>
        </row>
      </sheetData>
      <sheetData sheetId="663">
        <row r="7">
          <cell r="I7" t="str">
            <v>Manpower</v>
          </cell>
        </row>
      </sheetData>
      <sheetData sheetId="664">
        <row r="7">
          <cell r="I7" t="str">
            <v>Manpower</v>
          </cell>
        </row>
      </sheetData>
      <sheetData sheetId="665">
        <row r="7">
          <cell r="I7" t="str">
            <v>Manpower</v>
          </cell>
        </row>
      </sheetData>
      <sheetData sheetId="666">
        <row r="7">
          <cell r="I7" t="str">
            <v>Manpower</v>
          </cell>
        </row>
      </sheetData>
      <sheetData sheetId="667">
        <row r="7">
          <cell r="I7" t="str">
            <v>Manpower</v>
          </cell>
        </row>
      </sheetData>
      <sheetData sheetId="668">
        <row r="7">
          <cell r="I7" t="str">
            <v>Manpower</v>
          </cell>
        </row>
      </sheetData>
      <sheetData sheetId="669">
        <row r="7">
          <cell r="I7" t="str">
            <v>Manpower</v>
          </cell>
        </row>
      </sheetData>
      <sheetData sheetId="670">
        <row r="7">
          <cell r="I7" t="str">
            <v>Manpower</v>
          </cell>
        </row>
      </sheetData>
      <sheetData sheetId="671">
        <row r="7">
          <cell r="I7" t="str">
            <v>Manpower</v>
          </cell>
        </row>
      </sheetData>
      <sheetData sheetId="672">
        <row r="7">
          <cell r="I7" t="str">
            <v>Manpower</v>
          </cell>
        </row>
      </sheetData>
      <sheetData sheetId="673">
        <row r="7">
          <cell r="I7" t="str">
            <v>Manpower</v>
          </cell>
        </row>
      </sheetData>
      <sheetData sheetId="674">
        <row r="7">
          <cell r="I7" t="str">
            <v>Manpower</v>
          </cell>
        </row>
      </sheetData>
      <sheetData sheetId="675">
        <row r="7">
          <cell r="I7" t="str">
            <v>Manpower</v>
          </cell>
        </row>
      </sheetData>
      <sheetData sheetId="676">
        <row r="7">
          <cell r="I7" t="str">
            <v>Manpower</v>
          </cell>
        </row>
      </sheetData>
      <sheetData sheetId="677">
        <row r="7">
          <cell r="I7" t="str">
            <v>Manpower</v>
          </cell>
        </row>
      </sheetData>
      <sheetData sheetId="678">
        <row r="7">
          <cell r="I7" t="str">
            <v>Manpower</v>
          </cell>
        </row>
      </sheetData>
      <sheetData sheetId="679">
        <row r="7">
          <cell r="I7" t="str">
            <v>Manpower</v>
          </cell>
        </row>
      </sheetData>
      <sheetData sheetId="680">
        <row r="7">
          <cell r="I7" t="str">
            <v>Manpower</v>
          </cell>
        </row>
      </sheetData>
      <sheetData sheetId="681">
        <row r="7">
          <cell r="I7" t="str">
            <v>Manpower</v>
          </cell>
        </row>
      </sheetData>
      <sheetData sheetId="682">
        <row r="7">
          <cell r="I7" t="str">
            <v>Manpower</v>
          </cell>
        </row>
      </sheetData>
      <sheetData sheetId="683">
        <row r="7">
          <cell r="I7" t="str">
            <v>Manpower</v>
          </cell>
        </row>
      </sheetData>
      <sheetData sheetId="684">
        <row r="7">
          <cell r="I7" t="str">
            <v>Manpower</v>
          </cell>
        </row>
      </sheetData>
      <sheetData sheetId="685">
        <row r="7">
          <cell r="I7" t="str">
            <v>Manpower</v>
          </cell>
        </row>
      </sheetData>
      <sheetData sheetId="686">
        <row r="7">
          <cell r="I7" t="str">
            <v>Manpower</v>
          </cell>
        </row>
      </sheetData>
      <sheetData sheetId="687">
        <row r="7">
          <cell r="I7" t="str">
            <v>Manpower</v>
          </cell>
        </row>
      </sheetData>
      <sheetData sheetId="688">
        <row r="7">
          <cell r="I7" t="str">
            <v>Manpower</v>
          </cell>
        </row>
      </sheetData>
      <sheetData sheetId="689">
        <row r="7">
          <cell r="I7" t="str">
            <v>Manpower</v>
          </cell>
        </row>
      </sheetData>
      <sheetData sheetId="690">
        <row r="7">
          <cell r="I7" t="str">
            <v>Manpower</v>
          </cell>
        </row>
      </sheetData>
      <sheetData sheetId="691">
        <row r="7">
          <cell r="I7" t="str">
            <v>Manpower</v>
          </cell>
        </row>
      </sheetData>
      <sheetData sheetId="692">
        <row r="7">
          <cell r="I7" t="str">
            <v>Manpower</v>
          </cell>
        </row>
      </sheetData>
      <sheetData sheetId="693">
        <row r="7">
          <cell r="I7" t="str">
            <v>Manpower</v>
          </cell>
        </row>
      </sheetData>
      <sheetData sheetId="694">
        <row r="7">
          <cell r="I7" t="str">
            <v>Manpower</v>
          </cell>
        </row>
      </sheetData>
      <sheetData sheetId="695">
        <row r="7">
          <cell r="I7" t="str">
            <v>Manpower</v>
          </cell>
        </row>
      </sheetData>
      <sheetData sheetId="696">
        <row r="7">
          <cell r="I7" t="str">
            <v>Manpower</v>
          </cell>
        </row>
      </sheetData>
      <sheetData sheetId="697">
        <row r="7">
          <cell r="I7" t="str">
            <v>Manpower</v>
          </cell>
        </row>
      </sheetData>
      <sheetData sheetId="698">
        <row r="7">
          <cell r="I7" t="str">
            <v>Manpower</v>
          </cell>
        </row>
      </sheetData>
      <sheetData sheetId="699">
        <row r="7">
          <cell r="I7" t="str">
            <v>Manpower</v>
          </cell>
        </row>
      </sheetData>
      <sheetData sheetId="700">
        <row r="7">
          <cell r="I7" t="str">
            <v>Manpower</v>
          </cell>
        </row>
      </sheetData>
      <sheetData sheetId="701">
        <row r="7">
          <cell r="I7" t="str">
            <v>Manpower</v>
          </cell>
        </row>
      </sheetData>
      <sheetData sheetId="702">
        <row r="7">
          <cell r="I7" t="str">
            <v>Manpower</v>
          </cell>
        </row>
      </sheetData>
      <sheetData sheetId="703">
        <row r="7">
          <cell r="I7" t="str">
            <v>Manpower</v>
          </cell>
        </row>
      </sheetData>
      <sheetData sheetId="704">
        <row r="7">
          <cell r="I7" t="str">
            <v>Manpower</v>
          </cell>
        </row>
      </sheetData>
      <sheetData sheetId="705">
        <row r="7">
          <cell r="I7" t="str">
            <v>Manpower</v>
          </cell>
        </row>
      </sheetData>
      <sheetData sheetId="706">
        <row r="7">
          <cell r="I7" t="str">
            <v>Manpower</v>
          </cell>
        </row>
      </sheetData>
      <sheetData sheetId="707">
        <row r="7">
          <cell r="I7" t="str">
            <v>Manpower</v>
          </cell>
        </row>
      </sheetData>
      <sheetData sheetId="708">
        <row r="7">
          <cell r="I7" t="str">
            <v>Manpower</v>
          </cell>
        </row>
      </sheetData>
      <sheetData sheetId="709">
        <row r="7">
          <cell r="I7" t="str">
            <v>Manpower</v>
          </cell>
        </row>
      </sheetData>
      <sheetData sheetId="710">
        <row r="7">
          <cell r="I7" t="str">
            <v>Manpower</v>
          </cell>
        </row>
      </sheetData>
      <sheetData sheetId="711">
        <row r="7">
          <cell r="I7" t="str">
            <v>Manpower</v>
          </cell>
        </row>
      </sheetData>
      <sheetData sheetId="712">
        <row r="7">
          <cell r="I7" t="str">
            <v>Manpower</v>
          </cell>
        </row>
      </sheetData>
      <sheetData sheetId="713">
        <row r="7">
          <cell r="I7" t="str">
            <v>Manpower</v>
          </cell>
        </row>
      </sheetData>
      <sheetData sheetId="714">
        <row r="7">
          <cell r="I7" t="str">
            <v>Manpower</v>
          </cell>
        </row>
      </sheetData>
      <sheetData sheetId="715">
        <row r="7">
          <cell r="I7" t="str">
            <v>Manpower</v>
          </cell>
        </row>
      </sheetData>
      <sheetData sheetId="716">
        <row r="7">
          <cell r="I7" t="str">
            <v>Manpower</v>
          </cell>
        </row>
      </sheetData>
      <sheetData sheetId="717">
        <row r="7">
          <cell r="I7" t="str">
            <v>Manpower</v>
          </cell>
        </row>
      </sheetData>
      <sheetData sheetId="718">
        <row r="7">
          <cell r="I7" t="str">
            <v>Manpower</v>
          </cell>
        </row>
      </sheetData>
      <sheetData sheetId="719">
        <row r="7">
          <cell r="I7" t="str">
            <v>Manpower</v>
          </cell>
        </row>
      </sheetData>
      <sheetData sheetId="720">
        <row r="7">
          <cell r="I7" t="str">
            <v>Manpower</v>
          </cell>
        </row>
      </sheetData>
      <sheetData sheetId="721">
        <row r="7">
          <cell r="I7" t="str">
            <v>Manpower</v>
          </cell>
        </row>
      </sheetData>
      <sheetData sheetId="722">
        <row r="7">
          <cell r="I7" t="str">
            <v>Manpower</v>
          </cell>
        </row>
      </sheetData>
      <sheetData sheetId="723">
        <row r="7">
          <cell r="I7" t="str">
            <v>Manpower</v>
          </cell>
        </row>
      </sheetData>
      <sheetData sheetId="724">
        <row r="7">
          <cell r="I7" t="str">
            <v>Manpower</v>
          </cell>
        </row>
      </sheetData>
      <sheetData sheetId="725">
        <row r="7">
          <cell r="I7" t="str">
            <v>Manpower</v>
          </cell>
        </row>
      </sheetData>
      <sheetData sheetId="726">
        <row r="7">
          <cell r="I7" t="str">
            <v>Manpower</v>
          </cell>
        </row>
      </sheetData>
      <sheetData sheetId="727">
        <row r="7">
          <cell r="I7" t="str">
            <v>Manpower</v>
          </cell>
        </row>
      </sheetData>
      <sheetData sheetId="728">
        <row r="7">
          <cell r="I7" t="str">
            <v>Manpower</v>
          </cell>
        </row>
      </sheetData>
      <sheetData sheetId="729">
        <row r="7">
          <cell r="I7" t="str">
            <v>Manpower</v>
          </cell>
        </row>
      </sheetData>
      <sheetData sheetId="730">
        <row r="7">
          <cell r="I7" t="str">
            <v>Manpower</v>
          </cell>
        </row>
      </sheetData>
      <sheetData sheetId="731">
        <row r="7">
          <cell r="I7" t="str">
            <v>Manpower</v>
          </cell>
        </row>
      </sheetData>
      <sheetData sheetId="732">
        <row r="7">
          <cell r="I7" t="str">
            <v>Manpower</v>
          </cell>
        </row>
      </sheetData>
      <sheetData sheetId="733">
        <row r="7">
          <cell r="I7" t="str">
            <v>Manpower</v>
          </cell>
        </row>
      </sheetData>
      <sheetData sheetId="734">
        <row r="7">
          <cell r="I7" t="str">
            <v>Manpower</v>
          </cell>
        </row>
      </sheetData>
      <sheetData sheetId="735">
        <row r="7">
          <cell r="I7" t="str">
            <v>Manpower</v>
          </cell>
        </row>
      </sheetData>
      <sheetData sheetId="736">
        <row r="7">
          <cell r="I7" t="str">
            <v>Manpower</v>
          </cell>
        </row>
      </sheetData>
      <sheetData sheetId="737">
        <row r="7">
          <cell r="I7" t="str">
            <v>Manpower</v>
          </cell>
        </row>
      </sheetData>
      <sheetData sheetId="738">
        <row r="7">
          <cell r="I7" t="str">
            <v>Manpower</v>
          </cell>
        </row>
      </sheetData>
      <sheetData sheetId="739">
        <row r="7">
          <cell r="I7" t="str">
            <v>Manpower</v>
          </cell>
        </row>
      </sheetData>
      <sheetData sheetId="740">
        <row r="7">
          <cell r="I7" t="str">
            <v>Manpower</v>
          </cell>
        </row>
      </sheetData>
      <sheetData sheetId="741">
        <row r="7">
          <cell r="I7" t="str">
            <v>Manpower</v>
          </cell>
        </row>
      </sheetData>
      <sheetData sheetId="742">
        <row r="7">
          <cell r="I7" t="str">
            <v>Manpower</v>
          </cell>
        </row>
      </sheetData>
      <sheetData sheetId="743">
        <row r="7">
          <cell r="I7" t="str">
            <v>Manpower</v>
          </cell>
        </row>
      </sheetData>
      <sheetData sheetId="744">
        <row r="7">
          <cell r="I7" t="str">
            <v>Manpower</v>
          </cell>
        </row>
      </sheetData>
      <sheetData sheetId="745">
        <row r="7">
          <cell r="I7" t="str">
            <v>Manpower</v>
          </cell>
        </row>
      </sheetData>
      <sheetData sheetId="746">
        <row r="7">
          <cell r="I7" t="str">
            <v>Manpower</v>
          </cell>
        </row>
      </sheetData>
      <sheetData sheetId="747">
        <row r="7">
          <cell r="I7" t="str">
            <v>Manpower</v>
          </cell>
        </row>
      </sheetData>
      <sheetData sheetId="748">
        <row r="7">
          <cell r="I7" t="str">
            <v>Manpower</v>
          </cell>
        </row>
      </sheetData>
      <sheetData sheetId="749">
        <row r="7">
          <cell r="I7" t="str">
            <v>Manpower</v>
          </cell>
        </row>
      </sheetData>
      <sheetData sheetId="750">
        <row r="7">
          <cell r="I7" t="str">
            <v>Manpower</v>
          </cell>
        </row>
      </sheetData>
      <sheetData sheetId="751">
        <row r="7">
          <cell r="I7" t="str">
            <v>Manpower</v>
          </cell>
        </row>
      </sheetData>
      <sheetData sheetId="752">
        <row r="7">
          <cell r="I7" t="str">
            <v>Manpower</v>
          </cell>
        </row>
      </sheetData>
      <sheetData sheetId="753">
        <row r="7">
          <cell r="I7" t="str">
            <v>Manpower</v>
          </cell>
        </row>
      </sheetData>
      <sheetData sheetId="754">
        <row r="7">
          <cell r="I7" t="str">
            <v>Manpower</v>
          </cell>
        </row>
      </sheetData>
      <sheetData sheetId="755">
        <row r="7">
          <cell r="I7" t="str">
            <v>Manpower</v>
          </cell>
        </row>
      </sheetData>
      <sheetData sheetId="756">
        <row r="7">
          <cell r="I7" t="str">
            <v>Manpower</v>
          </cell>
        </row>
      </sheetData>
      <sheetData sheetId="757">
        <row r="7">
          <cell r="I7" t="str">
            <v>Manpower</v>
          </cell>
        </row>
      </sheetData>
      <sheetData sheetId="758">
        <row r="7">
          <cell r="I7" t="str">
            <v>Manpower</v>
          </cell>
        </row>
      </sheetData>
      <sheetData sheetId="759">
        <row r="7">
          <cell r="I7" t="str">
            <v>Manpower</v>
          </cell>
        </row>
      </sheetData>
      <sheetData sheetId="760">
        <row r="7">
          <cell r="I7" t="str">
            <v>Manpower</v>
          </cell>
        </row>
      </sheetData>
      <sheetData sheetId="761">
        <row r="7">
          <cell r="I7" t="str">
            <v>Manpower</v>
          </cell>
        </row>
      </sheetData>
      <sheetData sheetId="762">
        <row r="7">
          <cell r="I7" t="str">
            <v>Manpower</v>
          </cell>
        </row>
      </sheetData>
      <sheetData sheetId="763">
        <row r="7">
          <cell r="I7" t="str">
            <v>Manpower</v>
          </cell>
        </row>
      </sheetData>
      <sheetData sheetId="764">
        <row r="7">
          <cell r="I7" t="str">
            <v>Manpower</v>
          </cell>
        </row>
      </sheetData>
      <sheetData sheetId="765">
        <row r="7">
          <cell r="I7" t="str">
            <v>Manpower</v>
          </cell>
        </row>
      </sheetData>
      <sheetData sheetId="766">
        <row r="7">
          <cell r="I7" t="str">
            <v>Manpower</v>
          </cell>
        </row>
      </sheetData>
      <sheetData sheetId="767">
        <row r="7">
          <cell r="I7" t="str">
            <v>Manpower</v>
          </cell>
        </row>
      </sheetData>
      <sheetData sheetId="768">
        <row r="7">
          <cell r="I7" t="str">
            <v>Manpower</v>
          </cell>
        </row>
      </sheetData>
      <sheetData sheetId="769">
        <row r="7">
          <cell r="I7" t="str">
            <v>Manpower</v>
          </cell>
        </row>
      </sheetData>
      <sheetData sheetId="770">
        <row r="7">
          <cell r="I7" t="str">
            <v>Manpower</v>
          </cell>
        </row>
      </sheetData>
      <sheetData sheetId="771">
        <row r="7">
          <cell r="I7" t="str">
            <v>Manpower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7">
          <cell r="I7" t="str">
            <v>Manpower</v>
          </cell>
        </row>
      </sheetData>
      <sheetData sheetId="777" refreshError="1"/>
      <sheetData sheetId="778" refreshError="1"/>
      <sheetData sheetId="779">
        <row r="7">
          <cell r="I7" t="str">
            <v>Manpower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>
        <row r="7">
          <cell r="I7" t="str">
            <v>Manpower</v>
          </cell>
        </row>
      </sheetData>
      <sheetData sheetId="801">
        <row r="7">
          <cell r="I7" t="str">
            <v>Manpower</v>
          </cell>
        </row>
      </sheetData>
      <sheetData sheetId="802">
        <row r="7">
          <cell r="I7" t="str">
            <v>Manpower</v>
          </cell>
        </row>
      </sheetData>
      <sheetData sheetId="803">
        <row r="7">
          <cell r="I7" t="str">
            <v>Manpower</v>
          </cell>
        </row>
      </sheetData>
      <sheetData sheetId="804">
        <row r="7">
          <cell r="I7" t="str">
            <v>Manpower</v>
          </cell>
        </row>
      </sheetData>
      <sheetData sheetId="805">
        <row r="7">
          <cell r="I7" t="str">
            <v>Manpower</v>
          </cell>
        </row>
      </sheetData>
      <sheetData sheetId="806">
        <row r="7">
          <cell r="I7" t="str">
            <v>Manpower</v>
          </cell>
        </row>
      </sheetData>
      <sheetData sheetId="807">
        <row r="7">
          <cell r="I7" t="str">
            <v>Manpower</v>
          </cell>
        </row>
      </sheetData>
      <sheetData sheetId="808">
        <row r="7">
          <cell r="I7" t="str">
            <v>Manpower</v>
          </cell>
        </row>
      </sheetData>
      <sheetData sheetId="809">
        <row r="7">
          <cell r="I7" t="str">
            <v>Manpower</v>
          </cell>
        </row>
      </sheetData>
      <sheetData sheetId="810">
        <row r="7">
          <cell r="I7" t="str">
            <v>Manpower</v>
          </cell>
        </row>
      </sheetData>
      <sheetData sheetId="811">
        <row r="7">
          <cell r="I7" t="str">
            <v>Manpower</v>
          </cell>
        </row>
      </sheetData>
      <sheetData sheetId="812">
        <row r="7">
          <cell r="I7" t="str">
            <v>Manpower</v>
          </cell>
        </row>
      </sheetData>
      <sheetData sheetId="813">
        <row r="7">
          <cell r="I7" t="str">
            <v>Manpower</v>
          </cell>
        </row>
      </sheetData>
      <sheetData sheetId="814">
        <row r="7">
          <cell r="I7" t="str">
            <v>Manpower</v>
          </cell>
        </row>
      </sheetData>
      <sheetData sheetId="815">
        <row r="7">
          <cell r="I7" t="str">
            <v>Manpower</v>
          </cell>
        </row>
      </sheetData>
      <sheetData sheetId="816">
        <row r="7">
          <cell r="I7" t="str">
            <v>Manpower</v>
          </cell>
        </row>
      </sheetData>
      <sheetData sheetId="817">
        <row r="7">
          <cell r="I7" t="str">
            <v>Manpower</v>
          </cell>
        </row>
      </sheetData>
      <sheetData sheetId="818">
        <row r="7">
          <cell r="I7" t="str">
            <v>Manpower</v>
          </cell>
        </row>
      </sheetData>
      <sheetData sheetId="819">
        <row r="7">
          <cell r="I7" t="str">
            <v>Manpower</v>
          </cell>
        </row>
      </sheetData>
      <sheetData sheetId="820">
        <row r="7">
          <cell r="I7" t="str">
            <v>Manpower</v>
          </cell>
        </row>
      </sheetData>
      <sheetData sheetId="821">
        <row r="7">
          <cell r="I7" t="str">
            <v>Manpower</v>
          </cell>
        </row>
      </sheetData>
      <sheetData sheetId="822">
        <row r="7">
          <cell r="I7" t="str">
            <v>Manpower</v>
          </cell>
        </row>
      </sheetData>
      <sheetData sheetId="823">
        <row r="7">
          <cell r="I7" t="str">
            <v>Manpower</v>
          </cell>
        </row>
      </sheetData>
      <sheetData sheetId="824">
        <row r="7">
          <cell r="I7" t="str">
            <v>Manpower</v>
          </cell>
        </row>
      </sheetData>
      <sheetData sheetId="825">
        <row r="7">
          <cell r="I7" t="str">
            <v>Manpower</v>
          </cell>
        </row>
      </sheetData>
      <sheetData sheetId="826">
        <row r="7">
          <cell r="I7" t="str">
            <v>Manpower</v>
          </cell>
        </row>
      </sheetData>
      <sheetData sheetId="827">
        <row r="7">
          <cell r="I7" t="str">
            <v>Manpower</v>
          </cell>
        </row>
      </sheetData>
      <sheetData sheetId="828">
        <row r="7">
          <cell r="I7" t="str">
            <v>Manpower</v>
          </cell>
        </row>
      </sheetData>
      <sheetData sheetId="829">
        <row r="7">
          <cell r="I7" t="str">
            <v>Manpower</v>
          </cell>
        </row>
      </sheetData>
      <sheetData sheetId="830">
        <row r="7">
          <cell r="I7" t="str">
            <v>Manpower</v>
          </cell>
        </row>
      </sheetData>
      <sheetData sheetId="831">
        <row r="7">
          <cell r="I7" t="str">
            <v>Manpower</v>
          </cell>
        </row>
      </sheetData>
      <sheetData sheetId="832">
        <row r="7">
          <cell r="I7" t="str">
            <v>Manpower</v>
          </cell>
        </row>
      </sheetData>
      <sheetData sheetId="833">
        <row r="7">
          <cell r="I7" t="str">
            <v>Manpower</v>
          </cell>
        </row>
      </sheetData>
      <sheetData sheetId="834">
        <row r="7">
          <cell r="I7" t="str">
            <v>Manpower</v>
          </cell>
        </row>
      </sheetData>
      <sheetData sheetId="835">
        <row r="7">
          <cell r="I7" t="str">
            <v>Manpower</v>
          </cell>
        </row>
      </sheetData>
      <sheetData sheetId="836">
        <row r="7">
          <cell r="I7" t="str">
            <v>Manpower</v>
          </cell>
        </row>
      </sheetData>
      <sheetData sheetId="837">
        <row r="7">
          <cell r="I7" t="str">
            <v>Manpower</v>
          </cell>
        </row>
      </sheetData>
      <sheetData sheetId="838">
        <row r="7">
          <cell r="I7" t="str">
            <v>Manpower</v>
          </cell>
        </row>
      </sheetData>
      <sheetData sheetId="839">
        <row r="43">
          <cell r="K43">
            <v>357.72499999999991</v>
          </cell>
        </row>
      </sheetData>
      <sheetData sheetId="840">
        <row r="7">
          <cell r="I7" t="str">
            <v>Manpower</v>
          </cell>
        </row>
      </sheetData>
      <sheetData sheetId="841">
        <row r="7">
          <cell r="I7" t="str">
            <v>Manpower</v>
          </cell>
        </row>
      </sheetData>
      <sheetData sheetId="842">
        <row r="43">
          <cell r="K43">
            <v>357.72499999999991</v>
          </cell>
        </row>
      </sheetData>
      <sheetData sheetId="843">
        <row r="43">
          <cell r="K43">
            <v>357.72499999999991</v>
          </cell>
        </row>
      </sheetData>
      <sheetData sheetId="844">
        <row r="7">
          <cell r="I7" t="str">
            <v>Manpower</v>
          </cell>
        </row>
      </sheetData>
      <sheetData sheetId="845">
        <row r="7">
          <cell r="I7" t="str">
            <v>Manpower</v>
          </cell>
        </row>
      </sheetData>
      <sheetData sheetId="846">
        <row r="7">
          <cell r="I7" t="str">
            <v>Manpower</v>
          </cell>
        </row>
      </sheetData>
      <sheetData sheetId="847">
        <row r="7">
          <cell r="I7" t="str">
            <v>Manpower</v>
          </cell>
        </row>
      </sheetData>
      <sheetData sheetId="848">
        <row r="7">
          <cell r="I7" t="str">
            <v>Manpower</v>
          </cell>
        </row>
      </sheetData>
      <sheetData sheetId="849">
        <row r="7">
          <cell r="I7" t="str">
            <v>Manpower</v>
          </cell>
        </row>
      </sheetData>
      <sheetData sheetId="850">
        <row r="7">
          <cell r="I7" t="str">
            <v>Manpower</v>
          </cell>
        </row>
      </sheetData>
      <sheetData sheetId="851">
        <row r="7">
          <cell r="I7" t="str">
            <v>Manpower</v>
          </cell>
        </row>
      </sheetData>
      <sheetData sheetId="852">
        <row r="7">
          <cell r="I7" t="str">
            <v>Manpower</v>
          </cell>
        </row>
      </sheetData>
      <sheetData sheetId="853">
        <row r="7">
          <cell r="I7" t="str">
            <v>Manpower</v>
          </cell>
        </row>
      </sheetData>
      <sheetData sheetId="854">
        <row r="7">
          <cell r="I7" t="str">
            <v>Manpower</v>
          </cell>
        </row>
      </sheetData>
      <sheetData sheetId="855">
        <row r="7">
          <cell r="I7" t="str">
            <v>Manpower</v>
          </cell>
        </row>
      </sheetData>
      <sheetData sheetId="856">
        <row r="7">
          <cell r="I7" t="str">
            <v>Manpower</v>
          </cell>
        </row>
      </sheetData>
      <sheetData sheetId="857">
        <row r="7">
          <cell r="I7" t="str">
            <v>Manpower</v>
          </cell>
        </row>
      </sheetData>
      <sheetData sheetId="858">
        <row r="7">
          <cell r="I7" t="str">
            <v>Manpower</v>
          </cell>
        </row>
      </sheetData>
      <sheetData sheetId="859">
        <row r="7">
          <cell r="I7" t="str">
            <v>Manpower</v>
          </cell>
        </row>
      </sheetData>
      <sheetData sheetId="860">
        <row r="7">
          <cell r="I7" t="str">
            <v>Manpower</v>
          </cell>
        </row>
      </sheetData>
      <sheetData sheetId="861">
        <row r="7">
          <cell r="I7" t="str">
            <v>Manpower</v>
          </cell>
        </row>
      </sheetData>
      <sheetData sheetId="862">
        <row r="43">
          <cell r="K43">
            <v>357.72499999999991</v>
          </cell>
        </row>
      </sheetData>
      <sheetData sheetId="863">
        <row r="7">
          <cell r="I7" t="str">
            <v>Manpower</v>
          </cell>
        </row>
      </sheetData>
      <sheetData sheetId="864">
        <row r="7">
          <cell r="I7" t="str">
            <v>Manpower</v>
          </cell>
        </row>
      </sheetData>
      <sheetData sheetId="865">
        <row r="7">
          <cell r="I7" t="str">
            <v>Manpower</v>
          </cell>
        </row>
      </sheetData>
      <sheetData sheetId="866">
        <row r="7">
          <cell r="I7" t="str">
            <v>Manpower</v>
          </cell>
        </row>
      </sheetData>
      <sheetData sheetId="867">
        <row r="7">
          <cell r="I7" t="str">
            <v>Manpower</v>
          </cell>
        </row>
      </sheetData>
      <sheetData sheetId="868">
        <row r="7">
          <cell r="I7" t="str">
            <v>Manpower</v>
          </cell>
        </row>
      </sheetData>
      <sheetData sheetId="869">
        <row r="7">
          <cell r="I7" t="str">
            <v>Manpower</v>
          </cell>
        </row>
      </sheetData>
      <sheetData sheetId="870">
        <row r="7">
          <cell r="I7" t="str">
            <v>Manpower</v>
          </cell>
        </row>
      </sheetData>
      <sheetData sheetId="871">
        <row r="7">
          <cell r="I7" t="str">
            <v>Manpower</v>
          </cell>
        </row>
      </sheetData>
      <sheetData sheetId="872">
        <row r="7">
          <cell r="I7" t="str">
            <v>Manpower</v>
          </cell>
        </row>
      </sheetData>
      <sheetData sheetId="873">
        <row r="7">
          <cell r="I7" t="str">
            <v>Manpower</v>
          </cell>
        </row>
      </sheetData>
      <sheetData sheetId="874">
        <row r="7">
          <cell r="I7" t="str">
            <v>Manpower</v>
          </cell>
        </row>
      </sheetData>
      <sheetData sheetId="875">
        <row r="7">
          <cell r="I7" t="str">
            <v>Manpower</v>
          </cell>
        </row>
      </sheetData>
      <sheetData sheetId="876">
        <row r="7">
          <cell r="I7" t="str">
            <v>Manpower</v>
          </cell>
        </row>
      </sheetData>
      <sheetData sheetId="877">
        <row r="7">
          <cell r="I7" t="str">
            <v>Manpower</v>
          </cell>
        </row>
      </sheetData>
      <sheetData sheetId="878">
        <row r="7">
          <cell r="I7" t="str">
            <v>Manpower</v>
          </cell>
        </row>
      </sheetData>
      <sheetData sheetId="879">
        <row r="43">
          <cell r="K43">
            <v>357.72499999999991</v>
          </cell>
        </row>
      </sheetData>
      <sheetData sheetId="880">
        <row r="7">
          <cell r="I7" t="str">
            <v>Manpower</v>
          </cell>
        </row>
      </sheetData>
      <sheetData sheetId="881">
        <row r="7">
          <cell r="I7" t="str">
            <v>Manpower</v>
          </cell>
        </row>
      </sheetData>
      <sheetData sheetId="882">
        <row r="7">
          <cell r="I7" t="str">
            <v>Manpower</v>
          </cell>
        </row>
      </sheetData>
      <sheetData sheetId="883">
        <row r="7">
          <cell r="I7" t="str">
            <v>Manpower</v>
          </cell>
        </row>
      </sheetData>
      <sheetData sheetId="884">
        <row r="7">
          <cell r="I7" t="str">
            <v>Manpower</v>
          </cell>
        </row>
      </sheetData>
      <sheetData sheetId="885">
        <row r="7">
          <cell r="I7" t="str">
            <v>Manpower</v>
          </cell>
        </row>
      </sheetData>
      <sheetData sheetId="886">
        <row r="7">
          <cell r="I7" t="str">
            <v>Manpower</v>
          </cell>
        </row>
      </sheetData>
      <sheetData sheetId="887">
        <row r="7">
          <cell r="I7" t="str">
            <v>Manpower</v>
          </cell>
        </row>
      </sheetData>
      <sheetData sheetId="888">
        <row r="7">
          <cell r="I7" t="str">
            <v>Manpower</v>
          </cell>
        </row>
      </sheetData>
      <sheetData sheetId="889">
        <row r="7">
          <cell r="I7" t="str">
            <v>Manpower</v>
          </cell>
        </row>
      </sheetData>
      <sheetData sheetId="890">
        <row r="7">
          <cell r="I7" t="str">
            <v>Manpower</v>
          </cell>
        </row>
      </sheetData>
      <sheetData sheetId="891">
        <row r="7">
          <cell r="I7" t="str">
            <v>Manpower</v>
          </cell>
        </row>
      </sheetData>
      <sheetData sheetId="892">
        <row r="7">
          <cell r="I7" t="str">
            <v>Manpower</v>
          </cell>
        </row>
      </sheetData>
      <sheetData sheetId="893">
        <row r="7">
          <cell r="I7" t="str">
            <v>Manpower</v>
          </cell>
        </row>
      </sheetData>
      <sheetData sheetId="894">
        <row r="7">
          <cell r="I7" t="str">
            <v>Manpower</v>
          </cell>
        </row>
      </sheetData>
      <sheetData sheetId="895">
        <row r="7">
          <cell r="I7" t="str">
            <v>Manpower</v>
          </cell>
        </row>
      </sheetData>
      <sheetData sheetId="896">
        <row r="7">
          <cell r="I7" t="str">
            <v>Manpower</v>
          </cell>
        </row>
      </sheetData>
      <sheetData sheetId="897">
        <row r="7">
          <cell r="I7" t="str">
            <v>Manpower</v>
          </cell>
        </row>
      </sheetData>
      <sheetData sheetId="898">
        <row r="7">
          <cell r="I7" t="str">
            <v>Manpower</v>
          </cell>
        </row>
      </sheetData>
      <sheetData sheetId="899">
        <row r="7">
          <cell r="I7" t="str">
            <v>Manpower</v>
          </cell>
        </row>
      </sheetData>
      <sheetData sheetId="900">
        <row r="7">
          <cell r="I7" t="str">
            <v>Manpower</v>
          </cell>
        </row>
      </sheetData>
      <sheetData sheetId="901">
        <row r="7">
          <cell r="I7" t="str">
            <v>Manpower</v>
          </cell>
        </row>
      </sheetData>
      <sheetData sheetId="902">
        <row r="7">
          <cell r="I7" t="str">
            <v>Manpower</v>
          </cell>
        </row>
      </sheetData>
      <sheetData sheetId="903">
        <row r="7">
          <cell r="I7" t="str">
            <v>Manpower</v>
          </cell>
        </row>
      </sheetData>
      <sheetData sheetId="904">
        <row r="7">
          <cell r="I7" t="str">
            <v>Manpower</v>
          </cell>
        </row>
      </sheetData>
      <sheetData sheetId="905">
        <row r="43">
          <cell r="K43">
            <v>357.72499999999991</v>
          </cell>
        </row>
      </sheetData>
      <sheetData sheetId="906">
        <row r="7">
          <cell r="I7" t="str">
            <v>Manpower</v>
          </cell>
        </row>
      </sheetData>
      <sheetData sheetId="907">
        <row r="7">
          <cell r="I7" t="str">
            <v>Manpower</v>
          </cell>
        </row>
      </sheetData>
      <sheetData sheetId="908">
        <row r="7">
          <cell r="I7" t="str">
            <v>Manpower</v>
          </cell>
        </row>
      </sheetData>
      <sheetData sheetId="909">
        <row r="7">
          <cell r="I7" t="str">
            <v>Manpower</v>
          </cell>
        </row>
      </sheetData>
      <sheetData sheetId="910">
        <row r="7">
          <cell r="I7" t="str">
            <v>Manpower</v>
          </cell>
        </row>
      </sheetData>
      <sheetData sheetId="911">
        <row r="7">
          <cell r="I7" t="str">
            <v>Manpower</v>
          </cell>
        </row>
      </sheetData>
      <sheetData sheetId="912">
        <row r="7">
          <cell r="I7" t="str">
            <v>Manpower</v>
          </cell>
        </row>
      </sheetData>
      <sheetData sheetId="913">
        <row r="7">
          <cell r="I7" t="str">
            <v>Manpower</v>
          </cell>
        </row>
      </sheetData>
      <sheetData sheetId="914">
        <row r="7">
          <cell r="I7" t="str">
            <v>Manpower</v>
          </cell>
        </row>
      </sheetData>
      <sheetData sheetId="915">
        <row r="7">
          <cell r="I7" t="str">
            <v>Manpower</v>
          </cell>
        </row>
      </sheetData>
      <sheetData sheetId="916">
        <row r="7">
          <cell r="I7" t="str">
            <v>Manpower</v>
          </cell>
        </row>
      </sheetData>
      <sheetData sheetId="917">
        <row r="7">
          <cell r="I7" t="str">
            <v>Manpower</v>
          </cell>
        </row>
      </sheetData>
      <sheetData sheetId="918">
        <row r="7">
          <cell r="I7" t="str">
            <v>Manpower</v>
          </cell>
        </row>
      </sheetData>
      <sheetData sheetId="919">
        <row r="7">
          <cell r="I7" t="str">
            <v>Manpower</v>
          </cell>
        </row>
      </sheetData>
      <sheetData sheetId="920">
        <row r="7">
          <cell r="I7" t="str">
            <v>Manpower</v>
          </cell>
        </row>
      </sheetData>
      <sheetData sheetId="921">
        <row r="7">
          <cell r="I7" t="str">
            <v>Manpower</v>
          </cell>
        </row>
      </sheetData>
      <sheetData sheetId="922">
        <row r="7">
          <cell r="I7" t="str">
            <v>Manpower</v>
          </cell>
        </row>
      </sheetData>
      <sheetData sheetId="923">
        <row r="7">
          <cell r="I7" t="str">
            <v>Manpower</v>
          </cell>
        </row>
      </sheetData>
      <sheetData sheetId="924">
        <row r="7">
          <cell r="I7" t="str">
            <v>Manpower</v>
          </cell>
        </row>
      </sheetData>
      <sheetData sheetId="925">
        <row r="7">
          <cell r="I7" t="str">
            <v>Manpower</v>
          </cell>
        </row>
      </sheetData>
      <sheetData sheetId="926">
        <row r="7">
          <cell r="I7" t="str">
            <v>Manpower</v>
          </cell>
        </row>
      </sheetData>
      <sheetData sheetId="927">
        <row r="7">
          <cell r="I7" t="str">
            <v>Manpower</v>
          </cell>
        </row>
      </sheetData>
      <sheetData sheetId="928">
        <row r="7">
          <cell r="I7" t="str">
            <v>Manpower</v>
          </cell>
        </row>
      </sheetData>
      <sheetData sheetId="929">
        <row r="7">
          <cell r="I7" t="str">
            <v>Manpower</v>
          </cell>
        </row>
      </sheetData>
      <sheetData sheetId="930">
        <row r="7">
          <cell r="I7" t="str">
            <v>Manpower</v>
          </cell>
        </row>
      </sheetData>
      <sheetData sheetId="931">
        <row r="7">
          <cell r="I7" t="str">
            <v>Manpower</v>
          </cell>
        </row>
      </sheetData>
      <sheetData sheetId="932">
        <row r="7">
          <cell r="I7" t="str">
            <v>Manpower</v>
          </cell>
        </row>
      </sheetData>
      <sheetData sheetId="933">
        <row r="7">
          <cell r="I7" t="str">
            <v>Manpower</v>
          </cell>
        </row>
      </sheetData>
      <sheetData sheetId="934">
        <row r="7">
          <cell r="I7" t="str">
            <v>Manpower</v>
          </cell>
        </row>
      </sheetData>
      <sheetData sheetId="935">
        <row r="7">
          <cell r="I7" t="str">
            <v>Manpower</v>
          </cell>
        </row>
      </sheetData>
      <sheetData sheetId="936">
        <row r="7">
          <cell r="I7" t="str">
            <v>Manpower</v>
          </cell>
        </row>
      </sheetData>
      <sheetData sheetId="937">
        <row r="7">
          <cell r="I7" t="str">
            <v>Manpower</v>
          </cell>
        </row>
      </sheetData>
      <sheetData sheetId="938">
        <row r="7">
          <cell r="I7" t="str">
            <v>Manpower</v>
          </cell>
        </row>
      </sheetData>
      <sheetData sheetId="939">
        <row r="7">
          <cell r="I7" t="str">
            <v>Manpower</v>
          </cell>
        </row>
      </sheetData>
      <sheetData sheetId="940">
        <row r="7">
          <cell r="I7" t="str">
            <v>Manpower</v>
          </cell>
        </row>
      </sheetData>
      <sheetData sheetId="941">
        <row r="7">
          <cell r="I7" t="str">
            <v>Manpower</v>
          </cell>
        </row>
      </sheetData>
      <sheetData sheetId="942">
        <row r="7">
          <cell r="I7" t="str">
            <v>Manpower</v>
          </cell>
        </row>
      </sheetData>
      <sheetData sheetId="943">
        <row r="7">
          <cell r="I7" t="str">
            <v>Manpower</v>
          </cell>
        </row>
      </sheetData>
      <sheetData sheetId="944">
        <row r="7">
          <cell r="I7" t="str">
            <v>Manpower</v>
          </cell>
        </row>
      </sheetData>
      <sheetData sheetId="945">
        <row r="7">
          <cell r="I7" t="str">
            <v>Manpower</v>
          </cell>
        </row>
      </sheetData>
      <sheetData sheetId="946">
        <row r="7">
          <cell r="I7" t="str">
            <v>Manpower</v>
          </cell>
        </row>
      </sheetData>
      <sheetData sheetId="947">
        <row r="7">
          <cell r="I7" t="str">
            <v>Manpower</v>
          </cell>
        </row>
      </sheetData>
      <sheetData sheetId="948">
        <row r="7">
          <cell r="I7" t="str">
            <v>Manpower</v>
          </cell>
        </row>
      </sheetData>
      <sheetData sheetId="949">
        <row r="7">
          <cell r="I7" t="str">
            <v>Manpower</v>
          </cell>
        </row>
      </sheetData>
      <sheetData sheetId="950">
        <row r="7">
          <cell r="I7" t="str">
            <v>Manpower</v>
          </cell>
        </row>
      </sheetData>
      <sheetData sheetId="951">
        <row r="7">
          <cell r="I7" t="str">
            <v>Manpower</v>
          </cell>
        </row>
      </sheetData>
      <sheetData sheetId="952">
        <row r="7">
          <cell r="I7" t="str">
            <v>Manpower</v>
          </cell>
        </row>
      </sheetData>
      <sheetData sheetId="953">
        <row r="7">
          <cell r="I7" t="str">
            <v>Manpower</v>
          </cell>
        </row>
      </sheetData>
      <sheetData sheetId="954">
        <row r="7">
          <cell r="I7" t="str">
            <v>Manpower</v>
          </cell>
        </row>
      </sheetData>
      <sheetData sheetId="955">
        <row r="7">
          <cell r="I7" t="str">
            <v>Manpower</v>
          </cell>
        </row>
      </sheetData>
      <sheetData sheetId="956">
        <row r="7">
          <cell r="I7" t="str">
            <v>Manpower</v>
          </cell>
        </row>
      </sheetData>
      <sheetData sheetId="957">
        <row r="7">
          <cell r="I7" t="str">
            <v>Manpower</v>
          </cell>
        </row>
      </sheetData>
      <sheetData sheetId="958">
        <row r="7">
          <cell r="I7" t="str">
            <v>Manpower</v>
          </cell>
        </row>
      </sheetData>
      <sheetData sheetId="959">
        <row r="7">
          <cell r="I7" t="str">
            <v>Manpower</v>
          </cell>
        </row>
      </sheetData>
      <sheetData sheetId="960">
        <row r="7">
          <cell r="I7" t="str">
            <v>Manpower</v>
          </cell>
        </row>
      </sheetData>
      <sheetData sheetId="961">
        <row r="7">
          <cell r="I7" t="str">
            <v>Manpower</v>
          </cell>
        </row>
      </sheetData>
      <sheetData sheetId="962">
        <row r="7">
          <cell r="I7" t="str">
            <v>Manpower</v>
          </cell>
        </row>
      </sheetData>
      <sheetData sheetId="963">
        <row r="7">
          <cell r="I7" t="str">
            <v>Manpower</v>
          </cell>
        </row>
      </sheetData>
      <sheetData sheetId="964">
        <row r="7">
          <cell r="I7" t="str">
            <v>Manpower</v>
          </cell>
        </row>
      </sheetData>
      <sheetData sheetId="965">
        <row r="7">
          <cell r="I7" t="str">
            <v>Manpower</v>
          </cell>
        </row>
      </sheetData>
      <sheetData sheetId="966">
        <row r="7">
          <cell r="I7" t="str">
            <v>Manpower</v>
          </cell>
        </row>
      </sheetData>
      <sheetData sheetId="967">
        <row r="7">
          <cell r="I7" t="str">
            <v>Manpower</v>
          </cell>
        </row>
      </sheetData>
      <sheetData sheetId="968">
        <row r="7">
          <cell r="I7" t="str">
            <v>Manpower</v>
          </cell>
        </row>
      </sheetData>
      <sheetData sheetId="969">
        <row r="7">
          <cell r="I7" t="str">
            <v>Manpower</v>
          </cell>
        </row>
      </sheetData>
      <sheetData sheetId="970">
        <row r="7">
          <cell r="I7" t="str">
            <v>Manpower</v>
          </cell>
        </row>
      </sheetData>
      <sheetData sheetId="971">
        <row r="7">
          <cell r="I7" t="str">
            <v>Manpower</v>
          </cell>
        </row>
      </sheetData>
      <sheetData sheetId="972">
        <row r="7">
          <cell r="I7" t="str">
            <v>Manpower</v>
          </cell>
        </row>
      </sheetData>
      <sheetData sheetId="973">
        <row r="7">
          <cell r="I7" t="str">
            <v>Manpower</v>
          </cell>
        </row>
      </sheetData>
      <sheetData sheetId="974">
        <row r="7">
          <cell r="I7" t="str">
            <v>Manpower</v>
          </cell>
        </row>
      </sheetData>
      <sheetData sheetId="975">
        <row r="7">
          <cell r="I7" t="str">
            <v>Manpower</v>
          </cell>
        </row>
      </sheetData>
      <sheetData sheetId="976">
        <row r="7">
          <cell r="I7" t="str">
            <v>Manpower</v>
          </cell>
        </row>
      </sheetData>
      <sheetData sheetId="977">
        <row r="7">
          <cell r="I7" t="str">
            <v>Manpower</v>
          </cell>
        </row>
      </sheetData>
      <sheetData sheetId="978">
        <row r="7">
          <cell r="I7" t="str">
            <v>Manpower</v>
          </cell>
        </row>
      </sheetData>
      <sheetData sheetId="979">
        <row r="7">
          <cell r="I7" t="str">
            <v>Manpower</v>
          </cell>
        </row>
      </sheetData>
      <sheetData sheetId="980">
        <row r="7">
          <cell r="I7" t="str">
            <v>Manpower</v>
          </cell>
        </row>
      </sheetData>
      <sheetData sheetId="981">
        <row r="7">
          <cell r="I7" t="str">
            <v>Manpower</v>
          </cell>
        </row>
      </sheetData>
      <sheetData sheetId="982">
        <row r="7">
          <cell r="I7" t="str">
            <v>Manpower</v>
          </cell>
        </row>
      </sheetData>
      <sheetData sheetId="983">
        <row r="7">
          <cell r="I7" t="str">
            <v>Manpower</v>
          </cell>
        </row>
      </sheetData>
      <sheetData sheetId="984">
        <row r="7">
          <cell r="I7" t="str">
            <v>Manpower</v>
          </cell>
        </row>
      </sheetData>
      <sheetData sheetId="985">
        <row r="7">
          <cell r="I7" t="str">
            <v>Manpower</v>
          </cell>
        </row>
      </sheetData>
      <sheetData sheetId="986">
        <row r="7">
          <cell r="I7" t="str">
            <v>Manpower</v>
          </cell>
        </row>
      </sheetData>
      <sheetData sheetId="987">
        <row r="7">
          <cell r="I7" t="str">
            <v>Manpower</v>
          </cell>
        </row>
      </sheetData>
      <sheetData sheetId="988">
        <row r="7">
          <cell r="I7" t="str">
            <v>Manpower</v>
          </cell>
        </row>
      </sheetData>
      <sheetData sheetId="989">
        <row r="7">
          <cell r="I7" t="str">
            <v>Manpower</v>
          </cell>
        </row>
      </sheetData>
      <sheetData sheetId="990">
        <row r="7">
          <cell r="I7" t="str">
            <v>Manpower</v>
          </cell>
        </row>
      </sheetData>
      <sheetData sheetId="991">
        <row r="7">
          <cell r="I7" t="str">
            <v>Manpower</v>
          </cell>
        </row>
      </sheetData>
      <sheetData sheetId="992">
        <row r="7">
          <cell r="I7" t="str">
            <v>Manpower</v>
          </cell>
        </row>
      </sheetData>
      <sheetData sheetId="993">
        <row r="7">
          <cell r="I7" t="str">
            <v>Manpower</v>
          </cell>
        </row>
      </sheetData>
      <sheetData sheetId="994">
        <row r="7">
          <cell r="I7" t="str">
            <v>Manpower</v>
          </cell>
        </row>
      </sheetData>
      <sheetData sheetId="995">
        <row r="7">
          <cell r="I7" t="str">
            <v>Manpower</v>
          </cell>
        </row>
      </sheetData>
      <sheetData sheetId="996">
        <row r="43">
          <cell r="K43">
            <v>357.72499999999991</v>
          </cell>
        </row>
      </sheetData>
      <sheetData sheetId="997">
        <row r="7">
          <cell r="I7" t="str">
            <v>Manpower</v>
          </cell>
        </row>
      </sheetData>
      <sheetData sheetId="998">
        <row r="7">
          <cell r="I7" t="str">
            <v>Manpower</v>
          </cell>
        </row>
      </sheetData>
      <sheetData sheetId="999">
        <row r="43">
          <cell r="K43">
            <v>357.72499999999991</v>
          </cell>
        </row>
      </sheetData>
      <sheetData sheetId="1000">
        <row r="43">
          <cell r="K43">
            <v>357.72499999999991</v>
          </cell>
        </row>
      </sheetData>
      <sheetData sheetId="1001">
        <row r="43">
          <cell r="K43">
            <v>357.72499999999991</v>
          </cell>
        </row>
      </sheetData>
      <sheetData sheetId="1002">
        <row r="7">
          <cell r="I7" t="str">
            <v>Manpower</v>
          </cell>
        </row>
      </sheetData>
      <sheetData sheetId="1003">
        <row r="43">
          <cell r="K43">
            <v>357.72499999999991</v>
          </cell>
        </row>
      </sheetData>
      <sheetData sheetId="1004">
        <row r="43">
          <cell r="K43">
            <v>357.72499999999991</v>
          </cell>
        </row>
      </sheetData>
      <sheetData sheetId="1005">
        <row r="43">
          <cell r="K43">
            <v>357.72499999999991</v>
          </cell>
        </row>
      </sheetData>
      <sheetData sheetId="1006">
        <row r="43">
          <cell r="K43">
            <v>357.72499999999991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>
        <row r="7">
          <cell r="I7" t="str">
            <v>Manpower</v>
          </cell>
        </row>
      </sheetData>
      <sheetData sheetId="1016">
        <row r="7">
          <cell r="I7" t="str">
            <v>Manpower</v>
          </cell>
        </row>
      </sheetData>
      <sheetData sheetId="1017">
        <row r="7">
          <cell r="I7" t="str">
            <v>Manpower</v>
          </cell>
        </row>
      </sheetData>
      <sheetData sheetId="1018">
        <row r="7">
          <cell r="I7" t="str">
            <v>Manpower</v>
          </cell>
        </row>
      </sheetData>
      <sheetData sheetId="1019">
        <row r="7">
          <cell r="I7" t="str">
            <v>Manpower</v>
          </cell>
        </row>
      </sheetData>
      <sheetData sheetId="1020">
        <row r="7">
          <cell r="I7" t="str">
            <v>Manpower</v>
          </cell>
        </row>
      </sheetData>
      <sheetData sheetId="1021">
        <row r="7">
          <cell r="I7" t="str">
            <v>Manpower</v>
          </cell>
        </row>
      </sheetData>
      <sheetData sheetId="1022">
        <row r="7">
          <cell r="I7" t="str">
            <v>Manpower</v>
          </cell>
        </row>
      </sheetData>
      <sheetData sheetId="1023">
        <row r="7">
          <cell r="I7" t="str">
            <v>Manpower</v>
          </cell>
        </row>
      </sheetData>
      <sheetData sheetId="1024">
        <row r="7">
          <cell r="I7" t="str">
            <v>Manpower</v>
          </cell>
        </row>
      </sheetData>
      <sheetData sheetId="1025">
        <row r="7">
          <cell r="I7" t="str">
            <v>Manpower</v>
          </cell>
        </row>
      </sheetData>
      <sheetData sheetId="1026">
        <row r="7">
          <cell r="I7" t="str">
            <v>Manpower</v>
          </cell>
        </row>
      </sheetData>
      <sheetData sheetId="1027">
        <row r="7">
          <cell r="I7" t="str">
            <v>Manpower</v>
          </cell>
        </row>
      </sheetData>
      <sheetData sheetId="1028">
        <row r="7">
          <cell r="I7" t="str">
            <v>Manpower</v>
          </cell>
        </row>
      </sheetData>
      <sheetData sheetId="1029">
        <row r="7">
          <cell r="I7" t="str">
            <v>Manpower</v>
          </cell>
        </row>
      </sheetData>
      <sheetData sheetId="1030">
        <row r="7">
          <cell r="I7" t="str">
            <v>Manpower</v>
          </cell>
        </row>
      </sheetData>
      <sheetData sheetId="1031">
        <row r="7">
          <cell r="I7" t="str">
            <v>Manpower</v>
          </cell>
        </row>
      </sheetData>
      <sheetData sheetId="1032">
        <row r="7">
          <cell r="I7" t="str">
            <v>Manpower</v>
          </cell>
        </row>
      </sheetData>
      <sheetData sheetId="1033">
        <row r="7">
          <cell r="I7" t="str">
            <v>Manpower</v>
          </cell>
        </row>
      </sheetData>
      <sheetData sheetId="1034">
        <row r="7">
          <cell r="I7" t="str">
            <v>Manpower</v>
          </cell>
        </row>
      </sheetData>
      <sheetData sheetId="1035">
        <row r="7">
          <cell r="I7" t="str">
            <v>Manpower</v>
          </cell>
        </row>
      </sheetData>
      <sheetData sheetId="1036">
        <row r="7">
          <cell r="I7" t="str">
            <v>Manpower</v>
          </cell>
        </row>
      </sheetData>
      <sheetData sheetId="1037">
        <row r="7">
          <cell r="I7" t="str">
            <v>Manpower</v>
          </cell>
        </row>
      </sheetData>
      <sheetData sheetId="1038">
        <row r="7">
          <cell r="I7" t="str">
            <v>Manpower</v>
          </cell>
        </row>
      </sheetData>
      <sheetData sheetId="1039">
        <row r="7">
          <cell r="I7" t="str">
            <v>Manpower</v>
          </cell>
        </row>
      </sheetData>
      <sheetData sheetId="1040">
        <row r="7">
          <cell r="I7" t="str">
            <v>Manpower</v>
          </cell>
        </row>
      </sheetData>
      <sheetData sheetId="1041">
        <row r="7">
          <cell r="I7" t="str">
            <v>Manpower</v>
          </cell>
        </row>
      </sheetData>
      <sheetData sheetId="1042">
        <row r="7">
          <cell r="I7" t="str">
            <v>Manpower</v>
          </cell>
        </row>
      </sheetData>
      <sheetData sheetId="1043">
        <row r="7">
          <cell r="I7" t="str">
            <v>Manpower</v>
          </cell>
        </row>
      </sheetData>
      <sheetData sheetId="1044">
        <row r="7">
          <cell r="I7" t="str">
            <v>Manpower</v>
          </cell>
        </row>
      </sheetData>
      <sheetData sheetId="1045">
        <row r="7">
          <cell r="I7" t="str">
            <v>Manpower</v>
          </cell>
        </row>
      </sheetData>
      <sheetData sheetId="1046">
        <row r="7">
          <cell r="I7" t="str">
            <v>Manpower</v>
          </cell>
        </row>
      </sheetData>
      <sheetData sheetId="1047">
        <row r="7">
          <cell r="I7" t="str">
            <v>Manpower</v>
          </cell>
        </row>
      </sheetData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7">
          <cell r="I7" t="str">
            <v>Manpower</v>
          </cell>
        </row>
      </sheetData>
      <sheetData sheetId="1105">
        <row r="7">
          <cell r="I7" t="str">
            <v>Manpower</v>
          </cell>
        </row>
      </sheetData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>
        <row r="7">
          <cell r="I7" t="str">
            <v>Manpower</v>
          </cell>
        </row>
      </sheetData>
      <sheetData sheetId="1128"/>
      <sheetData sheetId="1129">
        <row r="7">
          <cell r="I7" t="str">
            <v>Manpower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>
        <row r="43">
          <cell r="K43">
            <v>357.72499999999991</v>
          </cell>
        </row>
      </sheetData>
      <sheetData sheetId="1246">
        <row r="43">
          <cell r="K43">
            <v>357.72499999999991</v>
          </cell>
        </row>
      </sheetData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>
        <row r="43">
          <cell r="K43">
            <v>357.72499999999991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>
        <row r="43">
          <cell r="K43">
            <v>357.72499999999991</v>
          </cell>
        </row>
      </sheetData>
      <sheetData sheetId="1296">
        <row r="43">
          <cell r="K43">
            <v>357.72499999999991</v>
          </cell>
        </row>
      </sheetData>
      <sheetData sheetId="1297">
        <row r="43">
          <cell r="K43">
            <v>357.72499999999991</v>
          </cell>
        </row>
      </sheetData>
      <sheetData sheetId="1298">
        <row r="43">
          <cell r="K43">
            <v>357.72499999999991</v>
          </cell>
        </row>
      </sheetData>
      <sheetData sheetId="1299">
        <row r="43">
          <cell r="K43">
            <v>357.72499999999991</v>
          </cell>
        </row>
      </sheetData>
      <sheetData sheetId="1300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>
        <row r="43">
          <cell r="K43">
            <v>357.72499999999991</v>
          </cell>
        </row>
      </sheetData>
      <sheetData sheetId="1311">
        <row r="43">
          <cell r="K43">
            <v>357.72499999999991</v>
          </cell>
        </row>
      </sheetData>
      <sheetData sheetId="1312"/>
      <sheetData sheetId="1313"/>
      <sheetData sheetId="1314"/>
      <sheetData sheetId="1315"/>
      <sheetData sheetId="1316"/>
      <sheetData sheetId="1317">
        <row r="43">
          <cell r="K43">
            <v>357.72499999999991</v>
          </cell>
        </row>
      </sheetData>
      <sheetData sheetId="1318">
        <row r="43">
          <cell r="K43">
            <v>357.72499999999991</v>
          </cell>
        </row>
      </sheetData>
      <sheetData sheetId="1319"/>
      <sheetData sheetId="1320"/>
      <sheetData sheetId="1321"/>
      <sheetData sheetId="1322"/>
      <sheetData sheetId="1323"/>
      <sheetData sheetId="1324"/>
      <sheetData sheetId="1325">
        <row r="43">
          <cell r="K43">
            <v>357.72499999999991</v>
          </cell>
        </row>
      </sheetData>
      <sheetData sheetId="1326"/>
      <sheetData sheetId="1327"/>
      <sheetData sheetId="1328"/>
      <sheetData sheetId="1329"/>
      <sheetData sheetId="1330"/>
      <sheetData sheetId="1331">
        <row r="43">
          <cell r="K43">
            <v>357.72499999999991</v>
          </cell>
        </row>
      </sheetData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>
        <row r="43">
          <cell r="K43">
            <v>357.72499999999991</v>
          </cell>
        </row>
      </sheetData>
      <sheetData sheetId="1343">
        <row r="43">
          <cell r="K43">
            <v>357.72499999999991</v>
          </cell>
        </row>
      </sheetData>
      <sheetData sheetId="1344"/>
      <sheetData sheetId="1345"/>
      <sheetData sheetId="1346"/>
      <sheetData sheetId="1347">
        <row r="43">
          <cell r="K43">
            <v>357.72499999999991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>
        <row r="43">
          <cell r="K43">
            <v>357.72499999999991</v>
          </cell>
        </row>
      </sheetData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43">
          <cell r="K43">
            <v>357.72499999999991</v>
          </cell>
        </row>
      </sheetData>
      <sheetData sheetId="1365"/>
      <sheetData sheetId="1366"/>
      <sheetData sheetId="1367"/>
      <sheetData sheetId="1368"/>
      <sheetData sheetId="1369"/>
      <sheetData sheetId="1370">
        <row r="43">
          <cell r="K43">
            <v>357.72499999999991</v>
          </cell>
        </row>
      </sheetData>
      <sheetData sheetId="1371">
        <row r="43">
          <cell r="K43">
            <v>357.72499999999991</v>
          </cell>
        </row>
      </sheetData>
      <sheetData sheetId="1372">
        <row r="43">
          <cell r="K43">
            <v>357.72499999999991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>
        <row r="43">
          <cell r="K43">
            <v>357.72499999999991</v>
          </cell>
        </row>
      </sheetData>
      <sheetData sheetId="1381">
        <row r="43">
          <cell r="K43">
            <v>357.72499999999991</v>
          </cell>
        </row>
      </sheetData>
      <sheetData sheetId="1382"/>
      <sheetData sheetId="1383"/>
      <sheetData sheetId="1384"/>
      <sheetData sheetId="1385"/>
      <sheetData sheetId="1386"/>
      <sheetData sheetId="1387">
        <row r="43">
          <cell r="K43">
            <v>357.72499999999991</v>
          </cell>
        </row>
      </sheetData>
      <sheetData sheetId="1388"/>
      <sheetData sheetId="1389">
        <row r="43">
          <cell r="K43">
            <v>357.72499999999991</v>
          </cell>
        </row>
      </sheetData>
      <sheetData sheetId="1390"/>
      <sheetData sheetId="1391"/>
      <sheetData sheetId="1392"/>
      <sheetData sheetId="1393"/>
      <sheetData sheetId="1394">
        <row r="43">
          <cell r="K43">
            <v>357.72499999999991</v>
          </cell>
        </row>
      </sheetData>
      <sheetData sheetId="1395">
        <row r="43">
          <cell r="K43">
            <v>357.72499999999991</v>
          </cell>
        </row>
      </sheetData>
      <sheetData sheetId="1396">
        <row r="43">
          <cell r="K43">
            <v>357.72499999999991</v>
          </cell>
        </row>
      </sheetData>
      <sheetData sheetId="1397">
        <row r="43">
          <cell r="K43">
            <v>357.72499999999991</v>
          </cell>
        </row>
      </sheetData>
      <sheetData sheetId="1398"/>
      <sheetData sheetId="1399"/>
      <sheetData sheetId="1400">
        <row r="43">
          <cell r="K43">
            <v>357.72499999999991</v>
          </cell>
        </row>
      </sheetData>
      <sheetData sheetId="1401">
        <row r="43">
          <cell r="K43">
            <v>357.72499999999991</v>
          </cell>
        </row>
      </sheetData>
      <sheetData sheetId="1402">
        <row r="43">
          <cell r="K43">
            <v>357.72499999999991</v>
          </cell>
        </row>
      </sheetData>
      <sheetData sheetId="1403">
        <row r="43">
          <cell r="K43">
            <v>357.72499999999991</v>
          </cell>
        </row>
      </sheetData>
      <sheetData sheetId="1404"/>
      <sheetData sheetId="1405">
        <row r="43">
          <cell r="K43">
            <v>357.72499999999991</v>
          </cell>
        </row>
      </sheetData>
      <sheetData sheetId="1406">
        <row r="43">
          <cell r="K43">
            <v>357.72499999999991</v>
          </cell>
        </row>
      </sheetData>
      <sheetData sheetId="1407">
        <row r="43">
          <cell r="K43">
            <v>357.72499999999991</v>
          </cell>
        </row>
      </sheetData>
      <sheetData sheetId="1408"/>
      <sheetData sheetId="1409">
        <row r="43">
          <cell r="K43">
            <v>357.72499999999991</v>
          </cell>
        </row>
      </sheetData>
      <sheetData sheetId="1410"/>
      <sheetData sheetId="1411"/>
      <sheetData sheetId="1412">
        <row r="43">
          <cell r="K43">
            <v>357.72499999999991</v>
          </cell>
        </row>
      </sheetData>
      <sheetData sheetId="1413">
        <row r="43">
          <cell r="K43">
            <v>357.72499999999991</v>
          </cell>
        </row>
      </sheetData>
      <sheetData sheetId="1414">
        <row r="43">
          <cell r="K43">
            <v>357.72499999999991</v>
          </cell>
        </row>
      </sheetData>
      <sheetData sheetId="1415">
        <row r="43">
          <cell r="K43">
            <v>357.72499999999991</v>
          </cell>
        </row>
      </sheetData>
      <sheetData sheetId="1416"/>
      <sheetData sheetId="1417">
        <row r="43">
          <cell r="K43">
            <v>357.72499999999991</v>
          </cell>
        </row>
      </sheetData>
      <sheetData sheetId="1418"/>
      <sheetData sheetId="1419"/>
      <sheetData sheetId="1420">
        <row r="43">
          <cell r="K43">
            <v>357.72499999999991</v>
          </cell>
        </row>
      </sheetData>
      <sheetData sheetId="1421">
        <row r="43">
          <cell r="K43">
            <v>357.72499999999991</v>
          </cell>
        </row>
      </sheetData>
      <sheetData sheetId="1422"/>
      <sheetData sheetId="1423"/>
      <sheetData sheetId="1424"/>
      <sheetData sheetId="1425"/>
      <sheetData sheetId="1426">
        <row r="43">
          <cell r="K43">
            <v>357.72499999999991</v>
          </cell>
        </row>
      </sheetData>
      <sheetData sheetId="1427"/>
      <sheetData sheetId="1428"/>
      <sheetData sheetId="1429"/>
      <sheetData sheetId="1430">
        <row r="43">
          <cell r="K43">
            <v>357.72499999999991</v>
          </cell>
        </row>
      </sheetData>
      <sheetData sheetId="1431"/>
      <sheetData sheetId="1432">
        <row r="43">
          <cell r="K43">
            <v>357.72499999999991</v>
          </cell>
        </row>
      </sheetData>
      <sheetData sheetId="1433"/>
      <sheetData sheetId="1434"/>
      <sheetData sheetId="1435">
        <row r="43">
          <cell r="K43">
            <v>357.72499999999991</v>
          </cell>
        </row>
      </sheetData>
      <sheetData sheetId="1436">
        <row r="43">
          <cell r="K43">
            <v>357.72499999999991</v>
          </cell>
        </row>
      </sheetData>
      <sheetData sheetId="1437"/>
      <sheetData sheetId="1438"/>
      <sheetData sheetId="1439"/>
      <sheetData sheetId="1440"/>
      <sheetData sheetId="1441">
        <row r="43">
          <cell r="K43">
            <v>357.72499999999991</v>
          </cell>
        </row>
      </sheetData>
      <sheetData sheetId="1442">
        <row r="43">
          <cell r="K43">
            <v>357.72499999999991</v>
          </cell>
        </row>
      </sheetData>
      <sheetData sheetId="1443"/>
      <sheetData sheetId="1444">
        <row r="43">
          <cell r="K43">
            <v>357.72499999999991</v>
          </cell>
        </row>
      </sheetData>
      <sheetData sheetId="1445">
        <row r="43">
          <cell r="K43">
            <v>357.72499999999991</v>
          </cell>
        </row>
      </sheetData>
      <sheetData sheetId="1446"/>
      <sheetData sheetId="1447">
        <row r="43">
          <cell r="K43">
            <v>357.72499999999991</v>
          </cell>
        </row>
      </sheetData>
      <sheetData sheetId="1448"/>
      <sheetData sheetId="1449"/>
      <sheetData sheetId="1450">
        <row r="43">
          <cell r="K43">
            <v>357.72499999999991</v>
          </cell>
        </row>
      </sheetData>
      <sheetData sheetId="1451">
        <row r="43">
          <cell r="K43">
            <v>357.72499999999991</v>
          </cell>
        </row>
      </sheetData>
      <sheetData sheetId="1452"/>
      <sheetData sheetId="1453">
        <row r="43">
          <cell r="K43">
            <v>357.72499999999991</v>
          </cell>
        </row>
      </sheetData>
      <sheetData sheetId="1454">
        <row r="43">
          <cell r="K43">
            <v>357.72499999999991</v>
          </cell>
        </row>
      </sheetData>
      <sheetData sheetId="1455"/>
      <sheetData sheetId="1456">
        <row r="43">
          <cell r="K43">
            <v>357.72499999999991</v>
          </cell>
        </row>
      </sheetData>
      <sheetData sheetId="1457">
        <row r="43">
          <cell r="K43">
            <v>357.72499999999991</v>
          </cell>
        </row>
      </sheetData>
      <sheetData sheetId="1458"/>
      <sheetData sheetId="1459">
        <row r="43">
          <cell r="K43">
            <v>357.72499999999991</v>
          </cell>
        </row>
      </sheetData>
      <sheetData sheetId="1460">
        <row r="43">
          <cell r="K43">
            <v>357.72499999999991</v>
          </cell>
        </row>
      </sheetData>
      <sheetData sheetId="1461">
        <row r="43">
          <cell r="K43">
            <v>357.72499999999991</v>
          </cell>
        </row>
      </sheetData>
      <sheetData sheetId="1462"/>
      <sheetData sheetId="1463"/>
      <sheetData sheetId="1464"/>
      <sheetData sheetId="1465"/>
      <sheetData sheetId="1466">
        <row r="43">
          <cell r="K43">
            <v>357.72499999999991</v>
          </cell>
        </row>
      </sheetData>
      <sheetData sheetId="1467">
        <row r="43">
          <cell r="K43">
            <v>357.72499999999991</v>
          </cell>
        </row>
      </sheetData>
      <sheetData sheetId="1468">
        <row r="43">
          <cell r="K43">
            <v>357.72499999999991</v>
          </cell>
        </row>
      </sheetData>
      <sheetData sheetId="1469">
        <row r="43">
          <cell r="K43">
            <v>357.72499999999991</v>
          </cell>
        </row>
      </sheetData>
      <sheetData sheetId="1470">
        <row r="43">
          <cell r="K43">
            <v>357.72499999999991</v>
          </cell>
        </row>
      </sheetData>
      <sheetData sheetId="1471"/>
      <sheetData sheetId="1472">
        <row r="43">
          <cell r="K43">
            <v>357.72499999999991</v>
          </cell>
        </row>
      </sheetData>
      <sheetData sheetId="1473">
        <row r="43">
          <cell r="K43">
            <v>357.72499999999991</v>
          </cell>
        </row>
      </sheetData>
      <sheetData sheetId="1474">
        <row r="43">
          <cell r="K43">
            <v>357.72499999999991</v>
          </cell>
        </row>
      </sheetData>
      <sheetData sheetId="1475">
        <row r="43">
          <cell r="K43">
            <v>357.72499999999991</v>
          </cell>
        </row>
      </sheetData>
      <sheetData sheetId="1476">
        <row r="43">
          <cell r="K43">
            <v>357.72499999999991</v>
          </cell>
        </row>
      </sheetData>
      <sheetData sheetId="1477"/>
      <sheetData sheetId="1478">
        <row r="43">
          <cell r="K43">
            <v>357.72499999999991</v>
          </cell>
        </row>
      </sheetData>
      <sheetData sheetId="1479">
        <row r="43">
          <cell r="K43">
            <v>357.72499999999991</v>
          </cell>
        </row>
      </sheetData>
      <sheetData sheetId="1480">
        <row r="43">
          <cell r="K43">
            <v>357.72499999999991</v>
          </cell>
        </row>
      </sheetData>
      <sheetData sheetId="1481">
        <row r="43">
          <cell r="K43">
            <v>357.72499999999991</v>
          </cell>
        </row>
      </sheetData>
      <sheetData sheetId="1482">
        <row r="43">
          <cell r="K43">
            <v>357.72499999999991</v>
          </cell>
        </row>
      </sheetData>
      <sheetData sheetId="1483">
        <row r="43">
          <cell r="K43">
            <v>357.72499999999991</v>
          </cell>
        </row>
      </sheetData>
      <sheetData sheetId="1484">
        <row r="43">
          <cell r="K43">
            <v>357.72499999999991</v>
          </cell>
        </row>
      </sheetData>
      <sheetData sheetId="1485">
        <row r="43">
          <cell r="K43">
            <v>357.72499999999991</v>
          </cell>
        </row>
      </sheetData>
      <sheetData sheetId="1486">
        <row r="43">
          <cell r="K43">
            <v>357.72499999999991</v>
          </cell>
        </row>
      </sheetData>
      <sheetData sheetId="1487">
        <row r="43">
          <cell r="K43">
            <v>357.72499999999991</v>
          </cell>
        </row>
      </sheetData>
      <sheetData sheetId="1488">
        <row r="43">
          <cell r="K43">
            <v>357.72499999999991</v>
          </cell>
        </row>
      </sheetData>
      <sheetData sheetId="1489">
        <row r="43">
          <cell r="K43">
            <v>357.72499999999991</v>
          </cell>
        </row>
      </sheetData>
      <sheetData sheetId="1490">
        <row r="43">
          <cell r="K43">
            <v>357.72499999999991</v>
          </cell>
        </row>
      </sheetData>
      <sheetData sheetId="1491">
        <row r="43">
          <cell r="K43">
            <v>357.72499999999991</v>
          </cell>
        </row>
      </sheetData>
      <sheetData sheetId="1492">
        <row r="43">
          <cell r="K43">
            <v>357.72499999999991</v>
          </cell>
        </row>
      </sheetData>
      <sheetData sheetId="1493">
        <row r="43">
          <cell r="K43">
            <v>357.72499999999991</v>
          </cell>
        </row>
      </sheetData>
      <sheetData sheetId="1494">
        <row r="43">
          <cell r="K43">
            <v>357.72499999999991</v>
          </cell>
        </row>
      </sheetData>
      <sheetData sheetId="1495">
        <row r="43">
          <cell r="K43">
            <v>357.72499999999991</v>
          </cell>
        </row>
      </sheetData>
      <sheetData sheetId="1496">
        <row r="43">
          <cell r="K43">
            <v>357.72499999999991</v>
          </cell>
        </row>
      </sheetData>
      <sheetData sheetId="1497">
        <row r="43">
          <cell r="K43">
            <v>357.72499999999991</v>
          </cell>
        </row>
      </sheetData>
      <sheetData sheetId="1498">
        <row r="43">
          <cell r="K43">
            <v>357.72499999999991</v>
          </cell>
        </row>
      </sheetData>
      <sheetData sheetId="1499"/>
      <sheetData sheetId="1500">
        <row r="43">
          <cell r="K43">
            <v>357.72499999999991</v>
          </cell>
        </row>
      </sheetData>
      <sheetData sheetId="1501">
        <row r="43">
          <cell r="K43">
            <v>357.72499999999991</v>
          </cell>
        </row>
      </sheetData>
      <sheetData sheetId="1502">
        <row r="43">
          <cell r="K43">
            <v>357.72499999999991</v>
          </cell>
        </row>
      </sheetData>
      <sheetData sheetId="1503">
        <row r="43">
          <cell r="K43">
            <v>357.72499999999991</v>
          </cell>
        </row>
      </sheetData>
      <sheetData sheetId="1504">
        <row r="43">
          <cell r="K43">
            <v>357.72499999999991</v>
          </cell>
        </row>
      </sheetData>
      <sheetData sheetId="1505"/>
      <sheetData sheetId="1506">
        <row r="43">
          <cell r="K43">
            <v>357.72499999999991</v>
          </cell>
        </row>
      </sheetData>
      <sheetData sheetId="1507"/>
      <sheetData sheetId="1508"/>
      <sheetData sheetId="1509">
        <row r="43">
          <cell r="K43">
            <v>357.72499999999991</v>
          </cell>
        </row>
      </sheetData>
      <sheetData sheetId="1510">
        <row r="43">
          <cell r="K43">
            <v>357.72499999999991</v>
          </cell>
        </row>
      </sheetData>
      <sheetData sheetId="1511"/>
      <sheetData sheetId="1512"/>
      <sheetData sheetId="1513">
        <row r="43">
          <cell r="K43">
            <v>357.72499999999991</v>
          </cell>
        </row>
      </sheetData>
      <sheetData sheetId="1514">
        <row r="43">
          <cell r="K43">
            <v>357.72499999999991</v>
          </cell>
        </row>
      </sheetData>
      <sheetData sheetId="1515">
        <row r="43">
          <cell r="K43">
            <v>357.72499999999991</v>
          </cell>
        </row>
      </sheetData>
      <sheetData sheetId="1516"/>
      <sheetData sheetId="1517"/>
      <sheetData sheetId="1518"/>
      <sheetData sheetId="1519">
        <row r="43">
          <cell r="K43">
            <v>357.72499999999991</v>
          </cell>
        </row>
      </sheetData>
      <sheetData sheetId="1520">
        <row r="43">
          <cell r="K43">
            <v>357.72499999999991</v>
          </cell>
        </row>
      </sheetData>
      <sheetData sheetId="1521">
        <row r="43">
          <cell r="K43">
            <v>357.72499999999991</v>
          </cell>
        </row>
      </sheetData>
      <sheetData sheetId="1522">
        <row r="43">
          <cell r="K43">
            <v>357.72499999999991</v>
          </cell>
        </row>
      </sheetData>
      <sheetData sheetId="1523"/>
      <sheetData sheetId="1524">
        <row r="43">
          <cell r="K43">
            <v>357.72499999999991</v>
          </cell>
        </row>
      </sheetData>
      <sheetData sheetId="1525">
        <row r="43">
          <cell r="K43">
            <v>357.72499999999991</v>
          </cell>
        </row>
      </sheetData>
      <sheetData sheetId="1526"/>
      <sheetData sheetId="1527"/>
      <sheetData sheetId="1528">
        <row r="43">
          <cell r="K43">
            <v>357.72499999999991</v>
          </cell>
        </row>
      </sheetData>
      <sheetData sheetId="1529"/>
      <sheetData sheetId="1530">
        <row r="43">
          <cell r="K43">
            <v>357.72499999999991</v>
          </cell>
        </row>
      </sheetData>
      <sheetData sheetId="1531">
        <row r="43">
          <cell r="K43">
            <v>357.72499999999991</v>
          </cell>
        </row>
      </sheetData>
      <sheetData sheetId="1532"/>
      <sheetData sheetId="1533">
        <row r="43">
          <cell r="K43">
            <v>357.72499999999991</v>
          </cell>
        </row>
      </sheetData>
      <sheetData sheetId="1534">
        <row r="43">
          <cell r="K43">
            <v>357.72499999999991</v>
          </cell>
        </row>
      </sheetData>
      <sheetData sheetId="1535"/>
      <sheetData sheetId="1536">
        <row r="43">
          <cell r="K43">
            <v>357.72499999999991</v>
          </cell>
        </row>
      </sheetData>
      <sheetData sheetId="1537"/>
      <sheetData sheetId="1538"/>
      <sheetData sheetId="1539">
        <row r="43">
          <cell r="K43">
            <v>357.72499999999991</v>
          </cell>
        </row>
      </sheetData>
      <sheetData sheetId="1540">
        <row r="43">
          <cell r="K43">
            <v>357.72499999999991</v>
          </cell>
        </row>
      </sheetData>
      <sheetData sheetId="1541">
        <row r="43">
          <cell r="K43">
            <v>357.72499999999991</v>
          </cell>
        </row>
      </sheetData>
      <sheetData sheetId="1542">
        <row r="43">
          <cell r="K43">
            <v>357.72499999999991</v>
          </cell>
        </row>
      </sheetData>
      <sheetData sheetId="1543">
        <row r="43">
          <cell r="K43">
            <v>357.72499999999991</v>
          </cell>
        </row>
      </sheetData>
      <sheetData sheetId="1544">
        <row r="43">
          <cell r="K43">
            <v>357.72499999999991</v>
          </cell>
        </row>
      </sheetData>
      <sheetData sheetId="1545">
        <row r="43">
          <cell r="K43">
            <v>357.72499999999991</v>
          </cell>
        </row>
      </sheetData>
      <sheetData sheetId="1546">
        <row r="43">
          <cell r="K43">
            <v>357.72499999999991</v>
          </cell>
        </row>
      </sheetData>
      <sheetData sheetId="1547">
        <row r="43">
          <cell r="K43">
            <v>357.72499999999991</v>
          </cell>
        </row>
      </sheetData>
      <sheetData sheetId="1548">
        <row r="43">
          <cell r="K43">
            <v>357.72499999999991</v>
          </cell>
        </row>
      </sheetData>
      <sheetData sheetId="1549">
        <row r="43">
          <cell r="K43">
            <v>357.72499999999991</v>
          </cell>
        </row>
      </sheetData>
      <sheetData sheetId="1550">
        <row r="43">
          <cell r="K43">
            <v>357.72499999999991</v>
          </cell>
        </row>
      </sheetData>
      <sheetData sheetId="1551"/>
      <sheetData sheetId="1552"/>
      <sheetData sheetId="1553">
        <row r="43">
          <cell r="K43">
            <v>357.72499999999991</v>
          </cell>
        </row>
      </sheetData>
      <sheetData sheetId="1554"/>
      <sheetData sheetId="1555">
        <row r="43">
          <cell r="K43">
            <v>357.72499999999991</v>
          </cell>
        </row>
      </sheetData>
      <sheetData sheetId="1556">
        <row r="43">
          <cell r="K43">
            <v>357.72499999999991</v>
          </cell>
        </row>
      </sheetData>
      <sheetData sheetId="1557">
        <row r="43">
          <cell r="K43">
            <v>357.72499999999991</v>
          </cell>
        </row>
      </sheetData>
      <sheetData sheetId="1558">
        <row r="43">
          <cell r="K43">
            <v>357.72499999999991</v>
          </cell>
        </row>
      </sheetData>
      <sheetData sheetId="1559">
        <row r="43">
          <cell r="K43">
            <v>357.72499999999991</v>
          </cell>
        </row>
      </sheetData>
      <sheetData sheetId="1560"/>
      <sheetData sheetId="1561">
        <row r="43">
          <cell r="K43">
            <v>357.72499999999991</v>
          </cell>
        </row>
      </sheetData>
      <sheetData sheetId="1562">
        <row r="43">
          <cell r="K43">
            <v>357.72499999999991</v>
          </cell>
        </row>
      </sheetData>
      <sheetData sheetId="1563">
        <row r="43">
          <cell r="K43">
            <v>357.72499999999991</v>
          </cell>
        </row>
      </sheetData>
      <sheetData sheetId="1564">
        <row r="43">
          <cell r="K43">
            <v>357.72499999999991</v>
          </cell>
        </row>
      </sheetData>
      <sheetData sheetId="1565">
        <row r="43">
          <cell r="K43">
            <v>357.72499999999991</v>
          </cell>
        </row>
      </sheetData>
      <sheetData sheetId="1566"/>
      <sheetData sheetId="1567">
        <row r="43">
          <cell r="K43">
            <v>357.72499999999991</v>
          </cell>
        </row>
      </sheetData>
      <sheetData sheetId="1568">
        <row r="43">
          <cell r="K43">
            <v>357.72499999999991</v>
          </cell>
        </row>
      </sheetData>
      <sheetData sheetId="1569">
        <row r="43">
          <cell r="K43">
            <v>357.72499999999991</v>
          </cell>
        </row>
      </sheetData>
      <sheetData sheetId="1570">
        <row r="43">
          <cell r="K43">
            <v>357.72499999999991</v>
          </cell>
        </row>
      </sheetData>
      <sheetData sheetId="1571">
        <row r="43">
          <cell r="K43">
            <v>357.72499999999991</v>
          </cell>
        </row>
      </sheetData>
      <sheetData sheetId="1572">
        <row r="43">
          <cell r="K43">
            <v>357.72499999999991</v>
          </cell>
        </row>
      </sheetData>
      <sheetData sheetId="1573">
        <row r="43">
          <cell r="K43">
            <v>357.72499999999991</v>
          </cell>
        </row>
      </sheetData>
      <sheetData sheetId="1574">
        <row r="43">
          <cell r="K43">
            <v>357.72499999999991</v>
          </cell>
        </row>
      </sheetData>
      <sheetData sheetId="1575">
        <row r="43">
          <cell r="K43">
            <v>357.72499999999991</v>
          </cell>
        </row>
      </sheetData>
      <sheetData sheetId="1576">
        <row r="43">
          <cell r="K43">
            <v>357.72499999999991</v>
          </cell>
        </row>
      </sheetData>
      <sheetData sheetId="1577">
        <row r="43">
          <cell r="K43">
            <v>357.72499999999991</v>
          </cell>
        </row>
      </sheetData>
      <sheetData sheetId="1578">
        <row r="43">
          <cell r="K43">
            <v>357.72499999999991</v>
          </cell>
        </row>
      </sheetData>
      <sheetData sheetId="1579">
        <row r="43">
          <cell r="K43">
            <v>357.72499999999991</v>
          </cell>
        </row>
      </sheetData>
      <sheetData sheetId="1580">
        <row r="43">
          <cell r="K43">
            <v>357.72499999999991</v>
          </cell>
        </row>
      </sheetData>
      <sheetData sheetId="1581">
        <row r="43">
          <cell r="K43">
            <v>357.72499999999991</v>
          </cell>
        </row>
      </sheetData>
      <sheetData sheetId="1582">
        <row r="43">
          <cell r="K43">
            <v>357.72499999999991</v>
          </cell>
        </row>
      </sheetData>
      <sheetData sheetId="1583">
        <row r="43">
          <cell r="K43">
            <v>357.72499999999991</v>
          </cell>
        </row>
      </sheetData>
      <sheetData sheetId="1584">
        <row r="43">
          <cell r="K43">
            <v>357.72499999999991</v>
          </cell>
        </row>
      </sheetData>
      <sheetData sheetId="1585">
        <row r="43">
          <cell r="K43">
            <v>357.72499999999991</v>
          </cell>
        </row>
      </sheetData>
      <sheetData sheetId="1586">
        <row r="43">
          <cell r="K43">
            <v>357.72499999999991</v>
          </cell>
        </row>
      </sheetData>
      <sheetData sheetId="1587">
        <row r="43">
          <cell r="K43">
            <v>357.72499999999991</v>
          </cell>
        </row>
      </sheetData>
      <sheetData sheetId="1588"/>
      <sheetData sheetId="1589">
        <row r="43">
          <cell r="K43">
            <v>357.72499999999991</v>
          </cell>
        </row>
      </sheetData>
      <sheetData sheetId="1590">
        <row r="43">
          <cell r="K43">
            <v>357.72499999999991</v>
          </cell>
        </row>
      </sheetData>
      <sheetData sheetId="1591">
        <row r="43">
          <cell r="K43">
            <v>357.72499999999991</v>
          </cell>
        </row>
      </sheetData>
      <sheetData sheetId="1592">
        <row r="43">
          <cell r="K43">
            <v>357.72499999999991</v>
          </cell>
        </row>
      </sheetData>
      <sheetData sheetId="1593">
        <row r="43">
          <cell r="K43">
            <v>357.72499999999991</v>
          </cell>
        </row>
      </sheetData>
      <sheetData sheetId="1594"/>
      <sheetData sheetId="1595">
        <row r="43">
          <cell r="K43">
            <v>357.72499999999991</v>
          </cell>
        </row>
      </sheetData>
      <sheetData sheetId="1596"/>
      <sheetData sheetId="1597"/>
      <sheetData sheetId="1598">
        <row r="43">
          <cell r="K43">
            <v>357.72499999999991</v>
          </cell>
        </row>
      </sheetData>
      <sheetData sheetId="1599">
        <row r="43">
          <cell r="K43">
            <v>357.72499999999991</v>
          </cell>
        </row>
      </sheetData>
      <sheetData sheetId="1600"/>
      <sheetData sheetId="1601"/>
      <sheetData sheetId="1602">
        <row r="43">
          <cell r="K43">
            <v>357.72499999999991</v>
          </cell>
        </row>
      </sheetData>
      <sheetData sheetId="1603">
        <row r="43">
          <cell r="K43">
            <v>357.72499999999991</v>
          </cell>
        </row>
      </sheetData>
      <sheetData sheetId="1604">
        <row r="43">
          <cell r="K43">
            <v>357.72499999999991</v>
          </cell>
        </row>
      </sheetData>
      <sheetData sheetId="1605"/>
      <sheetData sheetId="1606"/>
      <sheetData sheetId="1607"/>
      <sheetData sheetId="1608">
        <row r="43">
          <cell r="K43">
            <v>357.72499999999991</v>
          </cell>
        </row>
      </sheetData>
      <sheetData sheetId="1609">
        <row r="43">
          <cell r="K43">
            <v>357.72499999999991</v>
          </cell>
        </row>
      </sheetData>
      <sheetData sheetId="1610">
        <row r="43">
          <cell r="K43">
            <v>357.72499999999991</v>
          </cell>
        </row>
      </sheetData>
      <sheetData sheetId="1611">
        <row r="43">
          <cell r="K43">
            <v>357.72499999999991</v>
          </cell>
        </row>
      </sheetData>
      <sheetData sheetId="1612"/>
      <sheetData sheetId="1613">
        <row r="43">
          <cell r="K43">
            <v>357.72499999999991</v>
          </cell>
        </row>
      </sheetData>
      <sheetData sheetId="1614">
        <row r="43">
          <cell r="K43">
            <v>357.72499999999991</v>
          </cell>
        </row>
      </sheetData>
      <sheetData sheetId="1615"/>
      <sheetData sheetId="1616"/>
      <sheetData sheetId="1617">
        <row r="43">
          <cell r="K43">
            <v>357.72499999999991</v>
          </cell>
        </row>
      </sheetData>
      <sheetData sheetId="1618"/>
      <sheetData sheetId="1619">
        <row r="43">
          <cell r="K43">
            <v>357.72499999999991</v>
          </cell>
        </row>
      </sheetData>
      <sheetData sheetId="1620">
        <row r="43">
          <cell r="K43">
            <v>357.72499999999991</v>
          </cell>
        </row>
      </sheetData>
      <sheetData sheetId="1621"/>
      <sheetData sheetId="1622">
        <row r="43">
          <cell r="K43">
            <v>357.72499999999991</v>
          </cell>
        </row>
      </sheetData>
      <sheetData sheetId="1623">
        <row r="43">
          <cell r="K43">
            <v>357.72499999999991</v>
          </cell>
        </row>
      </sheetData>
      <sheetData sheetId="1624"/>
      <sheetData sheetId="1625">
        <row r="43">
          <cell r="K43">
            <v>357.72499999999991</v>
          </cell>
        </row>
      </sheetData>
      <sheetData sheetId="1626"/>
      <sheetData sheetId="1627"/>
      <sheetData sheetId="1628">
        <row r="43">
          <cell r="K43">
            <v>357.72499999999991</v>
          </cell>
        </row>
      </sheetData>
      <sheetData sheetId="1629">
        <row r="43">
          <cell r="K43">
            <v>357.72499999999991</v>
          </cell>
        </row>
      </sheetData>
      <sheetData sheetId="1630">
        <row r="43">
          <cell r="K43">
            <v>357.72499999999991</v>
          </cell>
        </row>
      </sheetData>
      <sheetData sheetId="1631">
        <row r="43">
          <cell r="K43">
            <v>357.72499999999991</v>
          </cell>
        </row>
      </sheetData>
      <sheetData sheetId="1632">
        <row r="43">
          <cell r="K43">
            <v>357.72499999999991</v>
          </cell>
        </row>
      </sheetData>
      <sheetData sheetId="1633">
        <row r="43">
          <cell r="K43">
            <v>357.72499999999991</v>
          </cell>
        </row>
      </sheetData>
      <sheetData sheetId="1634">
        <row r="43">
          <cell r="K43">
            <v>357.72499999999991</v>
          </cell>
        </row>
      </sheetData>
      <sheetData sheetId="1635">
        <row r="43">
          <cell r="K43">
            <v>357.72499999999991</v>
          </cell>
        </row>
      </sheetData>
      <sheetData sheetId="1636">
        <row r="43">
          <cell r="K43">
            <v>357.72499999999991</v>
          </cell>
        </row>
      </sheetData>
      <sheetData sheetId="1637">
        <row r="43">
          <cell r="K43">
            <v>357.72499999999991</v>
          </cell>
        </row>
      </sheetData>
      <sheetData sheetId="1638">
        <row r="43">
          <cell r="K43">
            <v>357.72499999999991</v>
          </cell>
        </row>
      </sheetData>
      <sheetData sheetId="1639">
        <row r="43">
          <cell r="K43">
            <v>357.72499999999991</v>
          </cell>
        </row>
      </sheetData>
      <sheetData sheetId="1640"/>
      <sheetData sheetId="1641"/>
      <sheetData sheetId="1642">
        <row r="43">
          <cell r="K43">
            <v>357.72499999999991</v>
          </cell>
        </row>
      </sheetData>
      <sheetData sheetId="1643"/>
      <sheetData sheetId="1644">
        <row r="43">
          <cell r="K43">
            <v>357.72499999999991</v>
          </cell>
        </row>
      </sheetData>
      <sheetData sheetId="1645">
        <row r="43">
          <cell r="K43">
            <v>357.72499999999991</v>
          </cell>
        </row>
      </sheetData>
      <sheetData sheetId="1646">
        <row r="43">
          <cell r="K43">
            <v>357.72499999999991</v>
          </cell>
        </row>
      </sheetData>
      <sheetData sheetId="1647">
        <row r="43">
          <cell r="K43">
            <v>357.72499999999991</v>
          </cell>
        </row>
      </sheetData>
      <sheetData sheetId="1648">
        <row r="43">
          <cell r="K43">
            <v>357.72499999999991</v>
          </cell>
        </row>
      </sheetData>
      <sheetData sheetId="1649"/>
      <sheetData sheetId="1650">
        <row r="43">
          <cell r="K43">
            <v>357.72499999999991</v>
          </cell>
        </row>
      </sheetData>
      <sheetData sheetId="1651">
        <row r="43">
          <cell r="K43">
            <v>357.72499999999991</v>
          </cell>
        </row>
      </sheetData>
      <sheetData sheetId="1652">
        <row r="43">
          <cell r="K43">
            <v>357.72499999999991</v>
          </cell>
        </row>
      </sheetData>
      <sheetData sheetId="1653">
        <row r="43">
          <cell r="K43">
            <v>357.72499999999991</v>
          </cell>
        </row>
      </sheetData>
      <sheetData sheetId="1654">
        <row r="43">
          <cell r="K43">
            <v>357.72499999999991</v>
          </cell>
        </row>
      </sheetData>
      <sheetData sheetId="1655"/>
      <sheetData sheetId="1656">
        <row r="43">
          <cell r="K43">
            <v>357.72499999999991</v>
          </cell>
        </row>
      </sheetData>
      <sheetData sheetId="1657">
        <row r="43">
          <cell r="K43">
            <v>357.72499999999991</v>
          </cell>
        </row>
      </sheetData>
      <sheetData sheetId="1658">
        <row r="43">
          <cell r="K43">
            <v>357.72499999999991</v>
          </cell>
        </row>
      </sheetData>
      <sheetData sheetId="1659">
        <row r="43">
          <cell r="K43">
            <v>357.72499999999991</v>
          </cell>
        </row>
      </sheetData>
      <sheetData sheetId="1660">
        <row r="43">
          <cell r="K43">
            <v>357.72499999999991</v>
          </cell>
        </row>
      </sheetData>
      <sheetData sheetId="1661">
        <row r="43">
          <cell r="K43">
            <v>357.72499999999991</v>
          </cell>
        </row>
      </sheetData>
      <sheetData sheetId="1662">
        <row r="43">
          <cell r="K43">
            <v>357.72499999999991</v>
          </cell>
        </row>
      </sheetData>
      <sheetData sheetId="1663">
        <row r="43">
          <cell r="K43">
            <v>357.72499999999991</v>
          </cell>
        </row>
      </sheetData>
      <sheetData sheetId="1664">
        <row r="43">
          <cell r="K43">
            <v>357.72499999999991</v>
          </cell>
        </row>
      </sheetData>
      <sheetData sheetId="1665">
        <row r="43">
          <cell r="K43">
            <v>357.72499999999991</v>
          </cell>
        </row>
      </sheetData>
      <sheetData sheetId="1666">
        <row r="43">
          <cell r="K43">
            <v>357.72499999999991</v>
          </cell>
        </row>
      </sheetData>
      <sheetData sheetId="1667">
        <row r="43">
          <cell r="K43">
            <v>357.72499999999991</v>
          </cell>
        </row>
      </sheetData>
      <sheetData sheetId="1668">
        <row r="43">
          <cell r="K43">
            <v>357.72499999999991</v>
          </cell>
        </row>
      </sheetData>
      <sheetData sheetId="1669">
        <row r="43">
          <cell r="K43">
            <v>357.72499999999991</v>
          </cell>
        </row>
      </sheetData>
      <sheetData sheetId="1670">
        <row r="43">
          <cell r="K43">
            <v>357.72499999999991</v>
          </cell>
        </row>
      </sheetData>
      <sheetData sheetId="1671">
        <row r="43">
          <cell r="K43">
            <v>357.72499999999991</v>
          </cell>
        </row>
      </sheetData>
      <sheetData sheetId="1672">
        <row r="43">
          <cell r="K43">
            <v>357.72499999999991</v>
          </cell>
        </row>
      </sheetData>
      <sheetData sheetId="1673">
        <row r="43">
          <cell r="K43">
            <v>357.72499999999991</v>
          </cell>
        </row>
      </sheetData>
      <sheetData sheetId="1674">
        <row r="43">
          <cell r="K43">
            <v>357.72499999999991</v>
          </cell>
        </row>
      </sheetData>
      <sheetData sheetId="1675">
        <row r="43">
          <cell r="K43">
            <v>357.72499999999991</v>
          </cell>
        </row>
      </sheetData>
      <sheetData sheetId="1676">
        <row r="43">
          <cell r="K43">
            <v>357.72499999999991</v>
          </cell>
        </row>
      </sheetData>
      <sheetData sheetId="1677"/>
      <sheetData sheetId="1678">
        <row r="43">
          <cell r="K43">
            <v>357.72499999999991</v>
          </cell>
        </row>
      </sheetData>
      <sheetData sheetId="1679">
        <row r="43">
          <cell r="K43">
            <v>357.72499999999991</v>
          </cell>
        </row>
      </sheetData>
      <sheetData sheetId="1680">
        <row r="43">
          <cell r="K43">
            <v>357.72499999999991</v>
          </cell>
        </row>
      </sheetData>
      <sheetData sheetId="1681">
        <row r="43">
          <cell r="K43">
            <v>357.72499999999991</v>
          </cell>
        </row>
      </sheetData>
      <sheetData sheetId="1682">
        <row r="43">
          <cell r="K43">
            <v>357.72499999999991</v>
          </cell>
        </row>
      </sheetData>
      <sheetData sheetId="1683"/>
      <sheetData sheetId="1684">
        <row r="43">
          <cell r="K43">
            <v>357.72499999999991</v>
          </cell>
        </row>
      </sheetData>
      <sheetData sheetId="1685"/>
      <sheetData sheetId="1686"/>
      <sheetData sheetId="1687">
        <row r="43">
          <cell r="K43">
            <v>357.72499999999991</v>
          </cell>
        </row>
      </sheetData>
      <sheetData sheetId="1688">
        <row r="43">
          <cell r="K43">
            <v>357.72499999999991</v>
          </cell>
        </row>
      </sheetData>
      <sheetData sheetId="1689"/>
      <sheetData sheetId="1690"/>
      <sheetData sheetId="1691">
        <row r="43">
          <cell r="K43">
            <v>357.72499999999991</v>
          </cell>
        </row>
      </sheetData>
      <sheetData sheetId="1692">
        <row r="43">
          <cell r="K43">
            <v>357.72499999999991</v>
          </cell>
        </row>
      </sheetData>
      <sheetData sheetId="1693">
        <row r="43">
          <cell r="K43">
            <v>357.72499999999991</v>
          </cell>
        </row>
      </sheetData>
      <sheetData sheetId="1694"/>
      <sheetData sheetId="1695"/>
      <sheetData sheetId="1696"/>
      <sheetData sheetId="1697">
        <row r="43">
          <cell r="K43">
            <v>357.72499999999991</v>
          </cell>
        </row>
      </sheetData>
      <sheetData sheetId="1698">
        <row r="43">
          <cell r="K43">
            <v>357.72499999999991</v>
          </cell>
        </row>
      </sheetData>
      <sheetData sheetId="1699">
        <row r="43">
          <cell r="K43">
            <v>357.72499999999991</v>
          </cell>
        </row>
      </sheetData>
      <sheetData sheetId="1700">
        <row r="43">
          <cell r="K43">
            <v>357.72499999999991</v>
          </cell>
        </row>
      </sheetData>
      <sheetData sheetId="1701"/>
      <sheetData sheetId="1702">
        <row r="43">
          <cell r="K43">
            <v>357.72499999999991</v>
          </cell>
        </row>
      </sheetData>
      <sheetData sheetId="1703">
        <row r="43">
          <cell r="K43">
            <v>357.72499999999991</v>
          </cell>
        </row>
      </sheetData>
      <sheetData sheetId="1704"/>
      <sheetData sheetId="1705"/>
      <sheetData sheetId="1706">
        <row r="43">
          <cell r="K43">
            <v>357.72499999999991</v>
          </cell>
        </row>
      </sheetData>
      <sheetData sheetId="1707"/>
      <sheetData sheetId="1708">
        <row r="43">
          <cell r="K43">
            <v>357.72499999999991</v>
          </cell>
        </row>
      </sheetData>
      <sheetData sheetId="1709">
        <row r="43">
          <cell r="K43">
            <v>357.72499999999991</v>
          </cell>
        </row>
      </sheetData>
      <sheetData sheetId="1710"/>
      <sheetData sheetId="1711">
        <row r="43">
          <cell r="K43">
            <v>357.72499999999991</v>
          </cell>
        </row>
      </sheetData>
      <sheetData sheetId="1712"/>
      <sheetData sheetId="1713"/>
      <sheetData sheetId="1714">
        <row r="43">
          <cell r="K43">
            <v>357.72499999999991</v>
          </cell>
        </row>
      </sheetData>
      <sheetData sheetId="1715"/>
      <sheetData sheetId="1716"/>
      <sheetData sheetId="1717">
        <row r="43">
          <cell r="K43">
            <v>357.72499999999991</v>
          </cell>
        </row>
      </sheetData>
      <sheetData sheetId="1718">
        <row r="43">
          <cell r="K43">
            <v>357.72499999999991</v>
          </cell>
        </row>
      </sheetData>
      <sheetData sheetId="1719">
        <row r="43">
          <cell r="K43">
            <v>357.72499999999991</v>
          </cell>
        </row>
      </sheetData>
      <sheetData sheetId="1720">
        <row r="43">
          <cell r="K43">
            <v>357.72499999999991</v>
          </cell>
        </row>
      </sheetData>
      <sheetData sheetId="1721">
        <row r="43">
          <cell r="K43">
            <v>357.72499999999991</v>
          </cell>
        </row>
      </sheetData>
      <sheetData sheetId="1722">
        <row r="43">
          <cell r="K43">
            <v>357.72499999999991</v>
          </cell>
        </row>
      </sheetData>
      <sheetData sheetId="1723">
        <row r="43">
          <cell r="K43">
            <v>357.72499999999991</v>
          </cell>
        </row>
      </sheetData>
      <sheetData sheetId="1724">
        <row r="43">
          <cell r="K43">
            <v>357.72499999999991</v>
          </cell>
        </row>
      </sheetData>
      <sheetData sheetId="1725">
        <row r="43">
          <cell r="K43">
            <v>357.72499999999991</v>
          </cell>
        </row>
      </sheetData>
      <sheetData sheetId="1726">
        <row r="43">
          <cell r="K43">
            <v>357.72499999999991</v>
          </cell>
        </row>
      </sheetData>
      <sheetData sheetId="1727">
        <row r="43">
          <cell r="K43">
            <v>357.72499999999991</v>
          </cell>
        </row>
      </sheetData>
      <sheetData sheetId="1728">
        <row r="43">
          <cell r="K43">
            <v>357.72499999999991</v>
          </cell>
        </row>
      </sheetData>
      <sheetData sheetId="1729"/>
      <sheetData sheetId="1730"/>
      <sheetData sheetId="1731">
        <row r="43">
          <cell r="K43">
            <v>357.72499999999991</v>
          </cell>
        </row>
      </sheetData>
      <sheetData sheetId="1732"/>
      <sheetData sheetId="1733">
        <row r="43">
          <cell r="K43">
            <v>357.72499999999991</v>
          </cell>
        </row>
      </sheetData>
      <sheetData sheetId="1734">
        <row r="43">
          <cell r="K43">
            <v>357.72499999999991</v>
          </cell>
        </row>
      </sheetData>
      <sheetData sheetId="1735">
        <row r="43">
          <cell r="K43">
            <v>357.72499999999991</v>
          </cell>
        </row>
      </sheetData>
      <sheetData sheetId="1736">
        <row r="43">
          <cell r="K43">
            <v>357.72499999999991</v>
          </cell>
        </row>
      </sheetData>
      <sheetData sheetId="1737">
        <row r="43">
          <cell r="K43">
            <v>357.72499999999991</v>
          </cell>
        </row>
      </sheetData>
      <sheetData sheetId="1738"/>
      <sheetData sheetId="1739">
        <row r="43">
          <cell r="K43">
            <v>357.72499999999991</v>
          </cell>
        </row>
      </sheetData>
      <sheetData sheetId="1740">
        <row r="43">
          <cell r="K43">
            <v>357.72499999999991</v>
          </cell>
        </row>
      </sheetData>
      <sheetData sheetId="1741">
        <row r="43">
          <cell r="K43">
            <v>357.72499999999991</v>
          </cell>
        </row>
      </sheetData>
      <sheetData sheetId="1742">
        <row r="43">
          <cell r="K43">
            <v>357.72499999999991</v>
          </cell>
        </row>
      </sheetData>
      <sheetData sheetId="1743">
        <row r="43">
          <cell r="K43">
            <v>357.72499999999991</v>
          </cell>
        </row>
      </sheetData>
      <sheetData sheetId="1744"/>
      <sheetData sheetId="1745">
        <row r="43">
          <cell r="K43">
            <v>357.72499999999991</v>
          </cell>
        </row>
      </sheetData>
      <sheetData sheetId="1746">
        <row r="43">
          <cell r="K43">
            <v>357.72499999999991</v>
          </cell>
        </row>
      </sheetData>
      <sheetData sheetId="1747">
        <row r="43">
          <cell r="K43">
            <v>357.72499999999991</v>
          </cell>
        </row>
      </sheetData>
      <sheetData sheetId="1748">
        <row r="43">
          <cell r="K43">
            <v>357.72499999999991</v>
          </cell>
        </row>
      </sheetData>
      <sheetData sheetId="1749">
        <row r="43">
          <cell r="K43">
            <v>357.72499999999991</v>
          </cell>
        </row>
      </sheetData>
      <sheetData sheetId="1750">
        <row r="43">
          <cell r="K43">
            <v>357.72499999999991</v>
          </cell>
        </row>
      </sheetData>
      <sheetData sheetId="1751">
        <row r="43">
          <cell r="K43">
            <v>357.72499999999991</v>
          </cell>
        </row>
      </sheetData>
      <sheetData sheetId="1752">
        <row r="43">
          <cell r="K43">
            <v>357.72499999999991</v>
          </cell>
        </row>
      </sheetData>
      <sheetData sheetId="1753"/>
      <sheetData sheetId="1754">
        <row r="43">
          <cell r="K43">
            <v>357.72499999999991</v>
          </cell>
        </row>
      </sheetData>
      <sheetData sheetId="1755">
        <row r="43">
          <cell r="K43">
            <v>357.72499999999991</v>
          </cell>
        </row>
      </sheetData>
      <sheetData sheetId="1756"/>
      <sheetData sheetId="1757">
        <row r="43">
          <cell r="K43">
            <v>357.72499999999991</v>
          </cell>
        </row>
      </sheetData>
      <sheetData sheetId="1758">
        <row r="43">
          <cell r="K43">
            <v>357.72499999999991</v>
          </cell>
        </row>
      </sheetData>
      <sheetData sheetId="1759"/>
      <sheetData sheetId="1760">
        <row r="43">
          <cell r="K43">
            <v>357.72499999999991</v>
          </cell>
        </row>
      </sheetData>
      <sheetData sheetId="1761">
        <row r="43">
          <cell r="K43">
            <v>357.72499999999991</v>
          </cell>
        </row>
      </sheetData>
      <sheetData sheetId="1762">
        <row r="43">
          <cell r="K43">
            <v>357.72499999999991</v>
          </cell>
        </row>
      </sheetData>
      <sheetData sheetId="1763"/>
      <sheetData sheetId="1764">
        <row r="43">
          <cell r="K43">
            <v>357.72499999999991</v>
          </cell>
        </row>
      </sheetData>
      <sheetData sheetId="1765">
        <row r="43">
          <cell r="K43">
            <v>357.72499999999991</v>
          </cell>
        </row>
      </sheetData>
      <sheetData sheetId="1766"/>
      <sheetData sheetId="1767">
        <row r="43">
          <cell r="K43">
            <v>357.72499999999991</v>
          </cell>
        </row>
      </sheetData>
      <sheetData sheetId="1768"/>
      <sheetData sheetId="1769"/>
      <sheetData sheetId="1770">
        <row r="43">
          <cell r="K43">
            <v>357.72499999999991</v>
          </cell>
        </row>
      </sheetData>
      <sheetData sheetId="1771"/>
      <sheetData sheetId="1772"/>
      <sheetData sheetId="1773">
        <row r="43">
          <cell r="K43">
            <v>357.72499999999991</v>
          </cell>
        </row>
      </sheetData>
      <sheetData sheetId="1774"/>
      <sheetData sheetId="1775"/>
      <sheetData sheetId="1776">
        <row r="43">
          <cell r="K43">
            <v>357.72499999999991</v>
          </cell>
        </row>
      </sheetData>
      <sheetData sheetId="1777"/>
      <sheetData sheetId="1778"/>
      <sheetData sheetId="1779"/>
      <sheetData sheetId="1780">
        <row r="43">
          <cell r="K43">
            <v>357.72499999999991</v>
          </cell>
        </row>
      </sheetData>
      <sheetData sheetId="1781">
        <row r="43">
          <cell r="K43">
            <v>357.72499999999991</v>
          </cell>
        </row>
      </sheetData>
      <sheetData sheetId="1782"/>
      <sheetData sheetId="1783"/>
      <sheetData sheetId="1784"/>
      <sheetData sheetId="1785"/>
      <sheetData sheetId="1786">
        <row r="43">
          <cell r="K43">
            <v>357.72499999999991</v>
          </cell>
        </row>
      </sheetData>
      <sheetData sheetId="1787">
        <row r="43">
          <cell r="K43">
            <v>357.72499999999991</v>
          </cell>
        </row>
      </sheetData>
      <sheetData sheetId="1788"/>
      <sheetData sheetId="1789">
        <row r="43">
          <cell r="K43">
            <v>357.72499999999991</v>
          </cell>
        </row>
      </sheetData>
      <sheetData sheetId="1790"/>
      <sheetData sheetId="1791"/>
      <sheetData sheetId="1792">
        <row r="43">
          <cell r="K43">
            <v>357.72499999999991</v>
          </cell>
        </row>
      </sheetData>
      <sheetData sheetId="1793"/>
      <sheetData sheetId="1794"/>
      <sheetData sheetId="1795">
        <row r="43">
          <cell r="K43">
            <v>357.72499999999991</v>
          </cell>
        </row>
      </sheetData>
      <sheetData sheetId="1796"/>
      <sheetData sheetId="1797"/>
      <sheetData sheetId="1798">
        <row r="43">
          <cell r="K43">
            <v>357.72499999999991</v>
          </cell>
        </row>
      </sheetData>
      <sheetData sheetId="1799"/>
      <sheetData sheetId="1800"/>
      <sheetData sheetId="1801">
        <row r="43">
          <cell r="K43">
            <v>357.72499999999991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>
        <row r="43">
          <cell r="K43">
            <v>357.72499999999991</v>
          </cell>
        </row>
      </sheetData>
      <sheetData sheetId="1809">
        <row r="43">
          <cell r="K43">
            <v>357.72499999999991</v>
          </cell>
        </row>
      </sheetData>
      <sheetData sheetId="1810"/>
      <sheetData sheetId="1811">
        <row r="43">
          <cell r="K43">
            <v>357.72499999999991</v>
          </cell>
        </row>
      </sheetData>
      <sheetData sheetId="1812"/>
      <sheetData sheetId="1813"/>
      <sheetData sheetId="1814">
        <row r="43">
          <cell r="K43">
            <v>357.72499999999991</v>
          </cell>
        </row>
      </sheetData>
      <sheetData sheetId="1815">
        <row r="43">
          <cell r="K43">
            <v>357.72499999999991</v>
          </cell>
        </row>
      </sheetData>
      <sheetData sheetId="1816">
        <row r="43">
          <cell r="K43">
            <v>357.72499999999991</v>
          </cell>
        </row>
      </sheetData>
      <sheetData sheetId="1817">
        <row r="43">
          <cell r="K43">
            <v>357.72499999999991</v>
          </cell>
        </row>
      </sheetData>
      <sheetData sheetId="1818"/>
      <sheetData sheetId="1819"/>
      <sheetData sheetId="1820">
        <row r="43">
          <cell r="K43">
            <v>357.72499999999991</v>
          </cell>
        </row>
      </sheetData>
      <sheetData sheetId="1821"/>
      <sheetData sheetId="1822"/>
      <sheetData sheetId="1823">
        <row r="43">
          <cell r="K43">
            <v>357.72499999999991</v>
          </cell>
        </row>
      </sheetData>
      <sheetData sheetId="1824"/>
      <sheetData sheetId="1825">
        <row r="43">
          <cell r="K43">
            <v>357.72499999999991</v>
          </cell>
        </row>
      </sheetData>
      <sheetData sheetId="1826">
        <row r="43">
          <cell r="K43">
            <v>357.72499999999991</v>
          </cell>
        </row>
      </sheetData>
      <sheetData sheetId="1827"/>
      <sheetData sheetId="1828"/>
      <sheetData sheetId="1829">
        <row r="43">
          <cell r="K43">
            <v>357.72499999999991</v>
          </cell>
        </row>
      </sheetData>
      <sheetData sheetId="1830"/>
      <sheetData sheetId="1831"/>
      <sheetData sheetId="1832">
        <row r="43">
          <cell r="K43">
            <v>357.72499999999991</v>
          </cell>
        </row>
      </sheetData>
      <sheetData sheetId="1833"/>
      <sheetData sheetId="1834">
        <row r="43">
          <cell r="K43">
            <v>357.72499999999991</v>
          </cell>
        </row>
      </sheetData>
      <sheetData sheetId="1835"/>
      <sheetData sheetId="1836"/>
      <sheetData sheetId="1837"/>
      <sheetData sheetId="1838"/>
      <sheetData sheetId="1839">
        <row r="43">
          <cell r="K43">
            <v>357.72499999999991</v>
          </cell>
        </row>
      </sheetData>
      <sheetData sheetId="1840">
        <row r="43">
          <cell r="K43">
            <v>357.72499999999991</v>
          </cell>
        </row>
      </sheetData>
      <sheetData sheetId="1841">
        <row r="43">
          <cell r="K43">
            <v>357.72499999999991</v>
          </cell>
        </row>
      </sheetData>
      <sheetData sheetId="1842">
        <row r="43">
          <cell r="K43">
            <v>357.72499999999991</v>
          </cell>
        </row>
      </sheetData>
      <sheetData sheetId="1843"/>
      <sheetData sheetId="1844"/>
      <sheetData sheetId="1845">
        <row r="43">
          <cell r="K43">
            <v>357.72499999999991</v>
          </cell>
        </row>
      </sheetData>
      <sheetData sheetId="1846">
        <row r="43">
          <cell r="K43">
            <v>357.72499999999991</v>
          </cell>
        </row>
      </sheetData>
      <sheetData sheetId="1847">
        <row r="43">
          <cell r="K43">
            <v>357.72499999999991</v>
          </cell>
        </row>
      </sheetData>
      <sheetData sheetId="1848">
        <row r="43">
          <cell r="K43">
            <v>357.72499999999991</v>
          </cell>
        </row>
      </sheetData>
      <sheetData sheetId="1849"/>
      <sheetData sheetId="1850">
        <row r="43">
          <cell r="K43">
            <v>357.72499999999991</v>
          </cell>
        </row>
      </sheetData>
      <sheetData sheetId="1851">
        <row r="43">
          <cell r="K43">
            <v>357.72499999999991</v>
          </cell>
        </row>
      </sheetData>
      <sheetData sheetId="1852">
        <row r="43">
          <cell r="K43">
            <v>357.72499999999991</v>
          </cell>
        </row>
      </sheetData>
      <sheetData sheetId="1853"/>
      <sheetData sheetId="1854">
        <row r="43">
          <cell r="K43">
            <v>357.72499999999991</v>
          </cell>
        </row>
      </sheetData>
      <sheetData sheetId="1855"/>
      <sheetData sheetId="1856"/>
      <sheetData sheetId="1857">
        <row r="43">
          <cell r="K43">
            <v>357.72499999999991</v>
          </cell>
        </row>
      </sheetData>
      <sheetData sheetId="1858">
        <row r="43">
          <cell r="K43">
            <v>357.72499999999991</v>
          </cell>
        </row>
      </sheetData>
      <sheetData sheetId="1859"/>
      <sheetData sheetId="1860">
        <row r="43">
          <cell r="K43">
            <v>357.72499999999991</v>
          </cell>
        </row>
      </sheetData>
      <sheetData sheetId="1861"/>
      <sheetData sheetId="1862"/>
      <sheetData sheetId="1863"/>
      <sheetData sheetId="1864"/>
      <sheetData sheetId="1865"/>
      <sheetData sheetId="1866">
        <row r="43">
          <cell r="K43">
            <v>357.72499999999991</v>
          </cell>
        </row>
      </sheetData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>
        <row r="43">
          <cell r="K43">
            <v>357.72499999999991</v>
          </cell>
        </row>
      </sheetData>
      <sheetData sheetId="1876"/>
      <sheetData sheetId="1877">
        <row r="43">
          <cell r="K43">
            <v>357.72499999999991</v>
          </cell>
        </row>
      </sheetData>
      <sheetData sheetId="1878"/>
      <sheetData sheetId="1879"/>
      <sheetData sheetId="1880">
        <row r="43">
          <cell r="K43">
            <v>357.72499999999991</v>
          </cell>
        </row>
      </sheetData>
      <sheetData sheetId="1881">
        <row r="43">
          <cell r="K43">
            <v>357.72499999999991</v>
          </cell>
        </row>
      </sheetData>
      <sheetData sheetId="1882"/>
      <sheetData sheetId="1883"/>
      <sheetData sheetId="1884"/>
      <sheetData sheetId="1885"/>
      <sheetData sheetId="1886">
        <row r="43">
          <cell r="K43">
            <v>357.72499999999991</v>
          </cell>
        </row>
      </sheetData>
      <sheetData sheetId="1887">
        <row r="43">
          <cell r="K43">
            <v>357.72499999999991</v>
          </cell>
        </row>
      </sheetData>
      <sheetData sheetId="1888"/>
      <sheetData sheetId="1889">
        <row r="43">
          <cell r="K43">
            <v>357.72499999999991</v>
          </cell>
        </row>
      </sheetData>
      <sheetData sheetId="1890"/>
      <sheetData sheetId="1891"/>
      <sheetData sheetId="1892">
        <row r="43">
          <cell r="K43">
            <v>357.72499999999991</v>
          </cell>
        </row>
      </sheetData>
      <sheetData sheetId="1893"/>
      <sheetData sheetId="1894"/>
      <sheetData sheetId="1895"/>
      <sheetData sheetId="1896">
        <row r="43">
          <cell r="K43">
            <v>357.72499999999991</v>
          </cell>
        </row>
      </sheetData>
      <sheetData sheetId="1897">
        <row r="43">
          <cell r="K43">
            <v>357.72499999999991</v>
          </cell>
        </row>
      </sheetData>
      <sheetData sheetId="1898">
        <row r="43">
          <cell r="K43">
            <v>357.72499999999991</v>
          </cell>
        </row>
      </sheetData>
      <sheetData sheetId="1899">
        <row r="43">
          <cell r="K43">
            <v>357.72499999999991</v>
          </cell>
        </row>
      </sheetData>
      <sheetData sheetId="1900"/>
      <sheetData sheetId="1901">
        <row r="43">
          <cell r="K43">
            <v>357.72499999999991</v>
          </cell>
        </row>
      </sheetData>
      <sheetData sheetId="1902"/>
      <sheetData sheetId="1903"/>
      <sheetData sheetId="1904">
        <row r="43">
          <cell r="K43">
            <v>357.72499999999991</v>
          </cell>
        </row>
      </sheetData>
      <sheetData sheetId="1905"/>
      <sheetData sheetId="1906">
        <row r="43">
          <cell r="K43">
            <v>357.72499999999991</v>
          </cell>
        </row>
      </sheetData>
      <sheetData sheetId="1907"/>
      <sheetData sheetId="1908"/>
      <sheetData sheetId="1909"/>
      <sheetData sheetId="1910"/>
      <sheetData sheetId="1911">
        <row r="43">
          <cell r="K43">
            <v>357.72499999999991</v>
          </cell>
        </row>
      </sheetData>
      <sheetData sheetId="1912">
        <row r="43">
          <cell r="K43">
            <v>357.72499999999991</v>
          </cell>
        </row>
      </sheetData>
      <sheetData sheetId="1913">
        <row r="43">
          <cell r="K43">
            <v>357.72499999999991</v>
          </cell>
        </row>
      </sheetData>
      <sheetData sheetId="1914">
        <row r="43">
          <cell r="K43">
            <v>357.72499999999991</v>
          </cell>
        </row>
      </sheetData>
      <sheetData sheetId="1915"/>
      <sheetData sheetId="1916"/>
      <sheetData sheetId="1917">
        <row r="43">
          <cell r="K43">
            <v>357.72499999999991</v>
          </cell>
        </row>
      </sheetData>
      <sheetData sheetId="1918">
        <row r="43">
          <cell r="K43">
            <v>357.72499999999991</v>
          </cell>
        </row>
      </sheetData>
      <sheetData sheetId="1919">
        <row r="43">
          <cell r="K43">
            <v>357.72499999999991</v>
          </cell>
        </row>
      </sheetData>
      <sheetData sheetId="1920">
        <row r="43">
          <cell r="K43">
            <v>357.72499999999991</v>
          </cell>
        </row>
      </sheetData>
      <sheetData sheetId="1921">
        <row r="43">
          <cell r="K43">
            <v>357.72499999999991</v>
          </cell>
        </row>
      </sheetData>
      <sheetData sheetId="1922"/>
      <sheetData sheetId="1923">
        <row r="43">
          <cell r="K43">
            <v>357.72499999999991</v>
          </cell>
        </row>
      </sheetData>
      <sheetData sheetId="1924">
        <row r="43">
          <cell r="K43">
            <v>357.72499999999991</v>
          </cell>
        </row>
      </sheetData>
      <sheetData sheetId="1925">
        <row r="43">
          <cell r="K43">
            <v>357.72499999999991</v>
          </cell>
        </row>
      </sheetData>
      <sheetData sheetId="1926">
        <row r="43">
          <cell r="K43">
            <v>357.72499999999991</v>
          </cell>
        </row>
      </sheetData>
      <sheetData sheetId="1927">
        <row r="43">
          <cell r="K43">
            <v>357.72499999999991</v>
          </cell>
        </row>
      </sheetData>
      <sheetData sheetId="1928">
        <row r="43">
          <cell r="K43">
            <v>357.72499999999991</v>
          </cell>
        </row>
      </sheetData>
      <sheetData sheetId="1929">
        <row r="43">
          <cell r="K43">
            <v>357.72499999999991</v>
          </cell>
        </row>
      </sheetData>
      <sheetData sheetId="1930">
        <row r="43">
          <cell r="K43">
            <v>357.72499999999991</v>
          </cell>
        </row>
      </sheetData>
      <sheetData sheetId="1931"/>
      <sheetData sheetId="1932">
        <row r="43">
          <cell r="K43">
            <v>357.72499999999991</v>
          </cell>
        </row>
      </sheetData>
      <sheetData sheetId="1933">
        <row r="43">
          <cell r="K43">
            <v>357.72499999999991</v>
          </cell>
        </row>
      </sheetData>
      <sheetData sheetId="1934"/>
      <sheetData sheetId="1935"/>
      <sheetData sheetId="1936"/>
      <sheetData sheetId="1937"/>
      <sheetData sheetId="1938">
        <row r="43">
          <cell r="K43">
            <v>357.72499999999991</v>
          </cell>
        </row>
      </sheetData>
      <sheetData sheetId="1939">
        <row r="43">
          <cell r="K43">
            <v>357.72499999999991</v>
          </cell>
        </row>
      </sheetData>
      <sheetData sheetId="1940"/>
      <sheetData sheetId="1941"/>
      <sheetData sheetId="1942">
        <row r="43">
          <cell r="K43">
            <v>357.72499999999991</v>
          </cell>
        </row>
      </sheetData>
      <sheetData sheetId="1943"/>
      <sheetData sheetId="1944"/>
      <sheetData sheetId="1945">
        <row r="43">
          <cell r="K43">
            <v>357.72499999999991</v>
          </cell>
        </row>
      </sheetData>
      <sheetData sheetId="1946">
        <row r="43">
          <cell r="K43">
            <v>357.72499999999991</v>
          </cell>
        </row>
      </sheetData>
      <sheetData sheetId="1947">
        <row r="43">
          <cell r="K43">
            <v>357.72499999999991</v>
          </cell>
        </row>
      </sheetData>
      <sheetData sheetId="1948">
        <row r="43">
          <cell r="K43">
            <v>357.72499999999991</v>
          </cell>
        </row>
      </sheetData>
      <sheetData sheetId="1949"/>
      <sheetData sheetId="1950"/>
      <sheetData sheetId="1951"/>
      <sheetData sheetId="1952"/>
      <sheetData sheetId="1953"/>
      <sheetData sheetId="1954">
        <row r="43">
          <cell r="K43">
            <v>357.72499999999991</v>
          </cell>
        </row>
      </sheetData>
      <sheetData sheetId="1955">
        <row r="43">
          <cell r="K43">
            <v>357.72499999999991</v>
          </cell>
        </row>
      </sheetData>
      <sheetData sheetId="1956"/>
      <sheetData sheetId="1957"/>
      <sheetData sheetId="1958"/>
      <sheetData sheetId="1959">
        <row r="43">
          <cell r="K43">
            <v>357.72499999999991</v>
          </cell>
        </row>
      </sheetData>
      <sheetData sheetId="1960"/>
      <sheetData sheetId="1961"/>
      <sheetData sheetId="1962"/>
      <sheetData sheetId="1963"/>
      <sheetData sheetId="1964">
        <row r="43">
          <cell r="K43">
            <v>357.72499999999991</v>
          </cell>
        </row>
      </sheetData>
      <sheetData sheetId="1965">
        <row r="43">
          <cell r="K43">
            <v>357.72499999999991</v>
          </cell>
        </row>
      </sheetData>
      <sheetData sheetId="1966"/>
      <sheetData sheetId="1967"/>
      <sheetData sheetId="1968"/>
      <sheetData sheetId="1969"/>
      <sheetData sheetId="1970">
        <row r="43">
          <cell r="K43">
            <v>357.72499999999991</v>
          </cell>
        </row>
      </sheetData>
      <sheetData sheetId="1971"/>
      <sheetData sheetId="1972"/>
      <sheetData sheetId="1973"/>
      <sheetData sheetId="1974"/>
      <sheetData sheetId="1975"/>
      <sheetData sheetId="1976">
        <row r="43">
          <cell r="K43">
            <v>357.72499999999991</v>
          </cell>
        </row>
      </sheetData>
      <sheetData sheetId="1977"/>
      <sheetData sheetId="1978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>
        <row r="7">
          <cell r="I7" t="str">
            <v>Manpower</v>
          </cell>
        </row>
      </sheetData>
      <sheetData sheetId="2036">
        <row r="7">
          <cell r="I7" t="str">
            <v>Manpower</v>
          </cell>
        </row>
      </sheetData>
      <sheetData sheetId="2037">
        <row r="7">
          <cell r="I7" t="str">
            <v>Manpower</v>
          </cell>
        </row>
      </sheetData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 refreshError="1"/>
      <sheetData sheetId="2072"/>
      <sheetData sheetId="2073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/>
      <sheetData sheetId="2109" refreshError="1"/>
      <sheetData sheetId="2110" refreshError="1"/>
      <sheetData sheetId="2111" refreshError="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 refreshError="1"/>
      <sheetData sheetId="2179" refreshError="1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>
        <row r="43">
          <cell r="K43">
            <v>357.72499999999991</v>
          </cell>
        </row>
      </sheetData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>
        <row r="43">
          <cell r="K43">
            <v>357.72499999999991</v>
          </cell>
        </row>
      </sheetData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>
        <row r="7">
          <cell r="I7" t="str">
            <v>Manpower</v>
          </cell>
        </row>
      </sheetData>
      <sheetData sheetId="2310">
        <row r="7">
          <cell r="I7" t="str">
            <v>Manpower</v>
          </cell>
        </row>
      </sheetData>
      <sheetData sheetId="2311">
        <row r="7">
          <cell r="I7" t="str">
            <v>Manpower</v>
          </cell>
        </row>
      </sheetData>
      <sheetData sheetId="2312">
        <row r="7">
          <cell r="I7" t="str">
            <v>Manpower</v>
          </cell>
        </row>
      </sheetData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>
        <row r="7">
          <cell r="I7" t="str">
            <v>Manpower</v>
          </cell>
        </row>
      </sheetData>
      <sheetData sheetId="2323">
        <row r="7">
          <cell r="I7" t="str">
            <v>Manpower</v>
          </cell>
        </row>
      </sheetData>
      <sheetData sheetId="2324">
        <row r="7">
          <cell r="I7" t="str">
            <v>Manpower</v>
          </cell>
        </row>
      </sheetData>
      <sheetData sheetId="2325">
        <row r="7">
          <cell r="I7" t="str">
            <v>Manpower</v>
          </cell>
        </row>
      </sheetData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>
        <row r="43">
          <cell r="K43">
            <v>357.72499999999991</v>
          </cell>
        </row>
      </sheetData>
      <sheetData sheetId="2362">
        <row r="43">
          <cell r="K43">
            <v>357.72499999999991</v>
          </cell>
        </row>
      </sheetData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>
        <row r="43">
          <cell r="K43">
            <v>357.72499999999991</v>
          </cell>
        </row>
      </sheetData>
      <sheetData sheetId="2375">
        <row r="43">
          <cell r="K43">
            <v>357.72499999999991</v>
          </cell>
        </row>
      </sheetData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Labor abs-NMR"/>
      <sheetName val="Dels"/>
      <sheetName val="Rate analysi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Labor_abs-NMR"/>
      <sheetName val="concrete"/>
      <sheetName val="RA-markate"/>
      <sheetName val="HF Blk 1"/>
      <sheetName val="Builtup Area"/>
      <sheetName val="RENT MASTER FILE"/>
      <sheetName val="Batching plant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Labor_abs-NMR1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Labor_abs-NMR2"/>
      <sheetName val="lookup"/>
      <sheetName val="Rate_analysis"/>
      <sheetName val="Civil "/>
      <sheetName val="RCC,Ret. Wall"/>
      <sheetName val="RA_markate"/>
      <sheetName val="Inc.St.-Link"/>
      <sheetName val="MASTER WORK SHEET - ESTIMATE HI"/>
      <sheetName val="Data"/>
      <sheetName val="POWER"/>
      <sheetName val="PROJECT BRIEF"/>
      <sheetName val="Batching_plant"/>
      <sheetName val="PROJECT_BRIEF"/>
      <sheetName val="Batching_plant1"/>
      <sheetName val="Rate_analysis1"/>
      <sheetName val="PROJECT_BRIEF1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Labor_abs-NMR3"/>
      <sheetName val="Batching_plant2"/>
      <sheetName val="Rate_analysis2"/>
      <sheetName val="PROJECT_BRIEF2"/>
      <sheetName val="Approved MTD Proj #'s"/>
      <sheetName val="Field Values"/>
      <sheetName val="Meas.-Hotel Part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Labor_abs-NMR6"/>
      <sheetName val="Rate_analysis5"/>
      <sheetName val="HF_Blk_12"/>
      <sheetName val="Builtup_Area2"/>
      <sheetName val="RENT_MASTER_FILE2"/>
      <sheetName val="Batching_plant5"/>
      <sheetName val="Civil_2"/>
      <sheetName val="RCC,Ret__Wall2"/>
      <sheetName val="Inc_St_-Link2"/>
      <sheetName val="MASTER_WORK_SHEET_-_ESTIMATE_H2"/>
      <sheetName val="PROJECT_BRIEF5"/>
      <sheetName val="Approved_MTD_Proj_#'s2"/>
      <sheetName val="Field_Values2"/>
      <sheetName val="Meas_-Hotel_Part2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Labor_abs-NMR5"/>
      <sheetName val="Rate_analysis4"/>
      <sheetName val="HF_Blk_11"/>
      <sheetName val="Builtup_Area1"/>
      <sheetName val="RENT_MASTER_FILE1"/>
      <sheetName val="Batching_plant4"/>
      <sheetName val="Civil_1"/>
      <sheetName val="RCC,Ret__Wall1"/>
      <sheetName val="Inc_St_-Link1"/>
      <sheetName val="MASTER_WORK_SHEET_-_ESTIMATE_H1"/>
      <sheetName val="PROJECT_BRIEF4"/>
      <sheetName val="Approved_MTD_Proj_#'s1"/>
      <sheetName val="Field_Values1"/>
      <sheetName val="Meas_-Hotel_Part1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Labor_abs-NMR4"/>
      <sheetName val="Rate_analysis3"/>
      <sheetName val="HF_Blk_1"/>
      <sheetName val="Builtup_Area"/>
      <sheetName val="RENT_MASTER_FILE"/>
      <sheetName val="Batching_plant3"/>
      <sheetName val="Civil_"/>
      <sheetName val="RCC,Ret__Wall"/>
      <sheetName val="Inc_St_-Link"/>
      <sheetName val="MASTER_WORK_SHEET_-_ESTIMATE_HI"/>
      <sheetName val="PROJECT_BRIEF3"/>
      <sheetName val="Approved_MTD_Proj_#'s"/>
      <sheetName val="Field_Values"/>
      <sheetName val="Meas_-Hotel_Part"/>
      <sheetName val="Categories"/>
      <sheetName val="Elemental Build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"/>
      <sheetName val="04-05(detailed)"/>
      <sheetName val="05-06"/>
      <sheetName val="05-06 (Detailed)"/>
      <sheetName val="Scaffolding "/>
      <sheetName val="RECONCI lATION"/>
      <sheetName val="AS PER TALL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COLUMN"/>
      <sheetName val="Sheet1"/>
      <sheetName val="Break up Sheet"/>
      <sheetName val="Rate anaR_x0000_tÛs"/>
      <sheetName val="0_x0000_-&gt;6 (Detailed)"/>
      <sheetName val="Main-Material"/>
      <sheetName val="Rate anaR?tÛs"/>
      <sheetName val="Rate anaR"/>
      <sheetName val="0"/>
      <sheetName val="Rate anaR_tÛs"/>
      <sheetName val="PC Master List"/>
      <sheetName val="0?-&gt;6 (Detailed)"/>
      <sheetName val="0_-&gt;6 (Detailed)"/>
      <sheetName val="Notes"/>
      <sheetName val="NRC Rationalisation"/>
      <sheetName val="05-06_(Detailed)"/>
      <sheetName val="Scaffolding_"/>
      <sheetName val="RECONCI_lATION"/>
      <sheetName val="AS_PER_TALLY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Rate_anaR?tÛs"/>
      <sheetName val="0?-&gt;6_(Detailed)"/>
      <sheetName val="Rate_anaR"/>
      <sheetName val="Rate_anaR_tÛs"/>
      <sheetName val="PC_Master_List"/>
      <sheetName val="Rate_anaRtÛs"/>
      <sheetName val="0-&gt;6_(Detailed)"/>
      <sheetName val="0_-&gt;6_(Detailed)"/>
      <sheetName val="NRC_Rationalisation"/>
      <sheetName val="CABLE DATA"/>
      <sheetName val="RMZ Summary"/>
      <sheetName val="Footings"/>
      <sheetName val="horizontal"/>
      <sheetName val="BOQ_Direct_selling cost"/>
      <sheetName val="sept-plan"/>
      <sheetName val="LOCAL RATES"/>
      <sheetName val="Aseet1998"/>
      <sheetName val="RA-markate"/>
      <sheetName val="10. &amp; 11. Rate Code &amp; BQ"/>
      <sheetName val="Field Values"/>
      <sheetName val="RCC,Ret. Wall"/>
      <sheetName val="05-06_(Detailed)1"/>
      <sheetName val="Scaffolding_1"/>
      <sheetName val="RECONCI_lATION1"/>
      <sheetName val="AS_PER_TALLY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Rate_anaR?tÛs1"/>
      <sheetName val="Rate_anaR1"/>
      <sheetName val="Rate_anaR_tÛs1"/>
      <sheetName val="PC_Master_List1"/>
      <sheetName val="0?-&gt;6_(Detailed)1"/>
      <sheetName val="0_-&gt;6_(Detailed)1"/>
      <sheetName val="NRC_Rationalisation1"/>
      <sheetName val="CABLE_DATA"/>
      <sheetName val="RMZ_Summary"/>
      <sheetName val="BOQ_Direct_selling_cost"/>
      <sheetName val="LOCAL_RATES"/>
      <sheetName val="10__&amp;_11__Rate_Code_&amp;_BQ"/>
      <sheetName val="Field_Values"/>
      <sheetName val="RCC,Ret__Wall"/>
      <sheetName val="RA_markate"/>
      <sheetName val="BOQ-Tower"/>
      <sheetName val="ANALYSIS"/>
      <sheetName val="RECAPITULATION"/>
      <sheetName val="std.wt."/>
      <sheetName val="Assumptions"/>
      <sheetName val="boq"/>
      <sheetName val="Exp"/>
      <sheetName val="Sheet2"/>
      <sheetName val="Rate anaR_x005f_x0000_tÛs"/>
      <sheetName val="0_x005f_x0000_-&gt;6 (Detailed)"/>
      <sheetName val="Plant Cost"/>
      <sheetName val="Rates"/>
      <sheetName val="Rate anaRtÛs"/>
      <sheetName val="0-&gt;6 (Detailed)"/>
      <sheetName val="Tulip Recon"/>
      <sheetName val="Cable-data"/>
      <sheetName val="Boq - Flats"/>
      <sheetName val="p&amp;m"/>
      <sheetName val="concrete"/>
      <sheetName val="05-06_(Detailed)7"/>
      <sheetName val="Scaffolding_7"/>
      <sheetName val="RECONCI_lATION7"/>
      <sheetName val="AS_PER_TALLY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Rate_anaR?tÛs7"/>
      <sheetName val="Rate_anaR7"/>
      <sheetName val="Rate_anaR_tÛs7"/>
      <sheetName val="PC_Master_List7"/>
      <sheetName val="0?-&gt;6_(Detailed)7"/>
      <sheetName val="0_-&gt;6_(Detailed)7"/>
      <sheetName val="NRC_Rationalisation7"/>
      <sheetName val="CABLE_DATA6"/>
      <sheetName val="RMZ_Summary6"/>
      <sheetName val="BOQ_Direct_selling_cost6"/>
      <sheetName val="LOCAL_RATES6"/>
      <sheetName val="10__&amp;_11__Rate_Code_&amp;_BQ6"/>
      <sheetName val="Field_Values6"/>
      <sheetName val="RCC,Ret__Wall6"/>
      <sheetName val="std_wt_5"/>
      <sheetName val="Rate_anaR_x005f_x0000_tÛs5"/>
      <sheetName val="0_x005f_x0000_-&gt;6_(Detailed)5"/>
      <sheetName val="Plant_Cost5"/>
      <sheetName val="Tulip_Recon5"/>
      <sheetName val="Boq_-_Flats5"/>
      <sheetName val="05-06_(Detailed)5"/>
      <sheetName val="Scaffolding_5"/>
      <sheetName val="RECONCI_lATION5"/>
      <sheetName val="AS_PER_TALLY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Rate_anaR?tÛs5"/>
      <sheetName val="Rate_anaR5"/>
      <sheetName val="Rate_anaR_tÛs5"/>
      <sheetName val="PC_Master_List5"/>
      <sheetName val="0?-&gt;6_(Detailed)5"/>
      <sheetName val="0_-&gt;6_(Detailed)5"/>
      <sheetName val="NRC_Rationalisation5"/>
      <sheetName val="CABLE_DATA4"/>
      <sheetName val="RMZ_Summary4"/>
      <sheetName val="BOQ_Direct_selling_cost4"/>
      <sheetName val="LOCAL_RATES4"/>
      <sheetName val="10__&amp;_11__Rate_Code_&amp;_BQ4"/>
      <sheetName val="Field_Values4"/>
      <sheetName val="RCC,Ret__Wall4"/>
      <sheetName val="std_wt_3"/>
      <sheetName val="Rate_anaR_x005f_x0000_tÛs3"/>
      <sheetName val="0_x005f_x0000_-&gt;6_(Detailed)3"/>
      <sheetName val="Plant_Cost3"/>
      <sheetName val="05-06_(Detailed)4"/>
      <sheetName val="Scaffolding_4"/>
      <sheetName val="RECONCI_lATION4"/>
      <sheetName val="AS_PER_TALLY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Rate_anaR?tÛs4"/>
      <sheetName val="Rate_anaR4"/>
      <sheetName val="Rate_anaR_tÛs4"/>
      <sheetName val="PC_Master_List4"/>
      <sheetName val="0?-&gt;6_(Detailed)4"/>
      <sheetName val="0_-&gt;6_(Detailed)4"/>
      <sheetName val="NRC_Rationalisation4"/>
      <sheetName val="CABLE_DATA3"/>
      <sheetName val="RMZ_Summary3"/>
      <sheetName val="BOQ_Direct_selling_cost3"/>
      <sheetName val="LOCAL_RATES3"/>
      <sheetName val="10__&amp;_11__Rate_Code_&amp;_BQ3"/>
      <sheetName val="Field_Values3"/>
      <sheetName val="RCC,Ret__Wall3"/>
      <sheetName val="std_wt_2"/>
      <sheetName val="Rate_anaR_x005f_x0000_tÛs2"/>
      <sheetName val="0_x005f_x0000_-&gt;6_(Detailed)2"/>
      <sheetName val="Plant_Cost2"/>
      <sheetName val="Tulip_Recon2"/>
      <sheetName val="Boq_-_Flats2"/>
      <sheetName val="05-06_(Detailed)2"/>
      <sheetName val="Scaffolding_2"/>
      <sheetName val="RECONCI_lATION2"/>
      <sheetName val="AS_PER_TALLY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Rate_anaR?tÛs2"/>
      <sheetName val="Rate_anaR2"/>
      <sheetName val="Rate_anaR_tÛs2"/>
      <sheetName val="PC_Master_List2"/>
      <sheetName val="0?-&gt;6_(Detailed)2"/>
      <sheetName val="0_-&gt;6_(Detailed)2"/>
      <sheetName val="NRC_Rationalisation2"/>
      <sheetName val="CABLE_DATA1"/>
      <sheetName val="RMZ_Summary1"/>
      <sheetName val="BOQ_Direct_selling_cost1"/>
      <sheetName val="LOCAL_RATES1"/>
      <sheetName val="10__&amp;_11__Rate_Code_&amp;_BQ1"/>
      <sheetName val="Field_Values1"/>
      <sheetName val="RCC,Ret__Wall1"/>
      <sheetName val="std_wt_"/>
      <sheetName val="Rate_anaR_x005f_x0000_tÛs"/>
      <sheetName val="0_x005f_x0000_-&gt;6_(Detailed)"/>
      <sheetName val="Plant_Cost"/>
      <sheetName val="Tulip_Recon"/>
      <sheetName val="Boq_-_Flats"/>
      <sheetName val="05-06_(Detailed)3"/>
      <sheetName val="Scaffolding_3"/>
      <sheetName val="RECONCI_lATION3"/>
      <sheetName val="AS_PER_TALLY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Rate_anaR?tÛs3"/>
      <sheetName val="Rate_anaR3"/>
      <sheetName val="Rate_anaR_tÛs3"/>
      <sheetName val="PC_Master_List3"/>
      <sheetName val="0?-&gt;6_(Detailed)3"/>
      <sheetName val="0_-&gt;6_(Detailed)3"/>
      <sheetName val="NRC_Rationalisation3"/>
      <sheetName val="CABLE_DATA2"/>
      <sheetName val="RMZ_Summary2"/>
      <sheetName val="BOQ_Direct_selling_cost2"/>
      <sheetName val="LOCAL_RATES2"/>
      <sheetName val="10__&amp;_11__Rate_Code_&amp;_BQ2"/>
      <sheetName val="Field_Values2"/>
      <sheetName val="RCC,Ret__Wall2"/>
      <sheetName val="std_wt_1"/>
      <sheetName val="Rate_anaR_x005f_x0000_tÛs1"/>
      <sheetName val="0_x005f_x0000_-&gt;6_(Detailed)1"/>
      <sheetName val="Plant_Cost1"/>
      <sheetName val="Tulip_Recon1"/>
      <sheetName val="Boq_-_Flats1"/>
      <sheetName val="Tulip_Recon3"/>
      <sheetName val="Boq_-_Flats3"/>
      <sheetName val="05-06_(Detailed)6"/>
      <sheetName val="Scaffolding_6"/>
      <sheetName val="RECONCI_lATION6"/>
      <sheetName val="AS_PER_TALLY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Rate_anaR?tÛs6"/>
      <sheetName val="Rate_anaR6"/>
      <sheetName val="Rate_anaR_tÛs6"/>
      <sheetName val="PC_Master_List6"/>
      <sheetName val="0?-&gt;6_(Detailed)6"/>
      <sheetName val="0_-&gt;6_(Detailed)6"/>
      <sheetName val="NRC_Rationalisation6"/>
      <sheetName val="CABLE_DATA5"/>
      <sheetName val="RMZ_Summary5"/>
      <sheetName val="BOQ_Direct_selling_cost5"/>
      <sheetName val="LOCAL_RATES5"/>
      <sheetName val="10__&amp;_11__Rate_Code_&amp;_BQ5"/>
      <sheetName val="Field_Values5"/>
      <sheetName val="RCC,Ret__Wall5"/>
      <sheetName val="std_wt_4"/>
      <sheetName val="Rate_anaR_x005f_x0000_tÛs4"/>
      <sheetName val="0_x005f_x0000_-&gt;6_(Detailed)4"/>
      <sheetName val="Plant_Cost4"/>
      <sheetName val="Tulip_Recon4"/>
      <sheetName val="Boq_-_Flats4"/>
      <sheetName val="M.S."/>
      <sheetName val="lookup"/>
      <sheetName val="E1"/>
      <sheetName val="05-06_(Detailed)8"/>
      <sheetName val="Scaffolding_8"/>
      <sheetName val="RECONCI_lATION8"/>
      <sheetName val="AS_PER_TALLY8"/>
      <sheetName val="steel_8"/>
      <sheetName val="MS_Items8"/>
      <sheetName val="Cover"/>
      <sheetName val="Project Budget Worksheet"/>
      <sheetName val="HF Blk 1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Rate_anaR?tÛs8"/>
      <sheetName val="Rate_anaR8"/>
      <sheetName val="Rate_anaR_tÛs8"/>
      <sheetName val="PC_Master_List8"/>
      <sheetName val="0?-&gt;6_(Detailed)8"/>
      <sheetName val="0_-&gt;6_(Detailed)8"/>
      <sheetName val="NRC_Rationalisation8"/>
      <sheetName val="CABLE_DATA7"/>
      <sheetName val="RMZ_Summary7"/>
      <sheetName val="BOQ_Direct_selling_cost7"/>
      <sheetName val="LOCAL_RATES7"/>
      <sheetName val="10__&amp;_11__Rate_Code_&amp;_BQ7"/>
      <sheetName val="Field_Values7"/>
      <sheetName val="RCC,Ret__Wall7"/>
      <sheetName val="std_wt_6"/>
      <sheetName val="Rate_anaR_x005f_x0000_tÛs6"/>
      <sheetName val="0_x005f_x0000_-&gt;6_(Detailed)6"/>
      <sheetName val="Plant_Cost6"/>
      <sheetName val="Tulip_Recon6"/>
      <sheetName val="Boq_-_Flats6"/>
      <sheetName val="M_S_"/>
      <sheetName val="P&amp;L-BDMC"/>
      <sheetName val="conc-foot-gradeslab"/>
      <sheetName val="Abstract Sheet"/>
      <sheetName val="Cd"/>
      <sheetName val="Cs"/>
      <sheetName val="CPIPE"/>
      <sheetName val="THK"/>
      <sheetName val="CPIPE 1"/>
      <sheetName val="PCC"/>
      <sheetName val="final abstract"/>
      <sheetName val="mem-property"/>
      <sheetName val="Project Details.."/>
      <sheetName val="Top Line - WWW"/>
      <sheetName val="Validation"/>
      <sheetName val="Comparative"/>
      <sheetName val="Labor abs-NMR"/>
      <sheetName val="Base data Security Procedures"/>
      <sheetName val="data"/>
      <sheetName val="Lookup data"/>
      <sheetName val="Lookup Tables"/>
      <sheetName val="Rate anaR_x005f_x005f_x005f_x0000_tÛs"/>
      <sheetName val="0_x005f_x005f_x005f_x0000_-&gt;6 (Detailed)"/>
      <sheetName val="trial flow sheet"/>
      <sheetName val="d-safe DELUXE"/>
      <sheetName val="2.대외공문"/>
      <sheetName val="Input"/>
      <sheetName val="Rate anaR_x005f_x005f_x005f_x005f_x005f_x005f_x00"/>
      <sheetName val="0_x005f_x005f_x005f_x005f_x005f_x005f_x005f_x0000_-&gt;6 ("/>
      <sheetName val="WWR"/>
      <sheetName val="cubes_M20"/>
      <sheetName val="Project_Budget_Worksheet"/>
      <sheetName val="Abstract_Sheet"/>
      <sheetName val="CPIPE_1"/>
      <sheetName val="Rate_anaRtÛs5"/>
      <sheetName val="0-&gt;6_(Detailed)5"/>
      <sheetName val="Rate_anaRtÛs3"/>
      <sheetName val="0-&gt;6_(Detailed)3"/>
      <sheetName val="Rate_anaRtÛs2"/>
      <sheetName val="0-&gt;6_(Detailed)2"/>
      <sheetName val="Rate_anaRtÛs1"/>
      <sheetName val="0-&gt;6_(Detailed)1"/>
      <sheetName val="Rate_anaRtÛs4"/>
      <sheetName val="0-&gt;6_(Detailed)4"/>
      <sheetName val="Rate_anaRtÛs6"/>
      <sheetName val="0-&gt;6_(Detailed)6"/>
      <sheetName val="Rate anaR_x005f_x005f_x00"/>
      <sheetName val="0_x005f_x005f_x005f_x0000_-&gt;6 ("/>
      <sheetName val="Tender Summary"/>
      <sheetName val="Rate_anaR_x0000_tÛs5"/>
      <sheetName val="0_x0000_-&gt;6_(Detailed)5"/>
      <sheetName val="Rate_anaR_x0000_tÛs3"/>
      <sheetName val="0_x0000_-&gt;6_(Detailed)3"/>
      <sheetName val="Rate_anaR_x0000_tÛs2"/>
      <sheetName val="0_x0000_-&gt;6_(Detailed)2"/>
      <sheetName val="Rate_anaR_x0000_tÛs"/>
      <sheetName val="0_x0000_-&gt;6_(Detailed)"/>
      <sheetName val="Rate_anaR_x0000_tÛs1"/>
      <sheetName val="0_x0000_-&gt;6_(Detailed)1"/>
      <sheetName val="Rate_anaR_x0000_tÛs4"/>
      <sheetName val="0_x0000_-&gt;6_(Detailed)4"/>
      <sheetName val="Rate_anaR_x0000_tÛs6"/>
      <sheetName val="0_x0000_-&gt;6_(Detailed)6"/>
      <sheetName val="Query Results ALL"/>
      <sheetName val="Dels"/>
      <sheetName val="PO"/>
      <sheetName val="Codes"/>
      <sheetName val="RAJU ASSO"/>
      <sheetName val="Summary"/>
      <sheetName val="Batching plant"/>
      <sheetName val="Builtup Area"/>
      <sheetName val="Portfolio Summary"/>
      <sheetName val="Factor Sheet"/>
      <sheetName val="P1-1(1)"/>
      <sheetName val="細目"/>
      <sheetName val="CFForecast detail"/>
      <sheetName val="Fin Sum"/>
      <sheetName val="AD ST"/>
      <sheetName val="Dep"/>
      <sheetName val="Sheet3 (2)"/>
      <sheetName val="Formulas"/>
      <sheetName val="Approved MTD Proj #'s"/>
      <sheetName val="estimate"/>
      <sheetName val="Rollup Summary"/>
      <sheetName val="3cd Annexure"/>
      <sheetName val="Measurment"/>
      <sheetName val="2000 MOR"/>
      <sheetName val="BRD"/>
      <sheetName val="Summary_BRD"/>
      <sheetName val="Sheet3"/>
      <sheetName val="Lookup_Tables"/>
      <sheetName val="trial_flow_sheet"/>
      <sheetName val="d-safe_DELUXE"/>
      <sheetName val="Abstract_Sheet1"/>
      <sheetName val="CPIPE_11"/>
      <sheetName val="Lookup_Tables1"/>
      <sheetName val="trial_flow_sheet1"/>
      <sheetName val="d-safe_DELUXE1"/>
      <sheetName val="final_abstract"/>
      <sheetName val="2_대외공문"/>
      <sheetName val="final_abstract1"/>
      <sheetName val="2_대외공문1"/>
      <sheetName val="Rate_anaR_x005f_x005f_x005f_x0000_tÛs"/>
      <sheetName val="0_x005f_x005f_x005f_x0000_-&gt;6_(Detailed)"/>
      <sheetName val="Rate_anaR_x005f_x005f_x005f_x0000_tÛs1"/>
      <sheetName val="0_x005f_x005f_x005f_x0000_-&gt;6_(Detailed)1"/>
      <sheetName val="GENERAL Beam  (B)"/>
      <sheetName val="INPUT SHEET"/>
      <sheetName val="MPR_PA_1"/>
      <sheetName val="Attributes"/>
      <sheetName val="99 조정금액"/>
      <sheetName val="AREA"/>
      <sheetName val="HEAD"/>
      <sheetName val="Labour"/>
      <sheetName val="factors"/>
      <sheetName val="Design sheet"/>
      <sheetName val="Rate Analysis "/>
      <sheetName val="std_wt_7"/>
      <sheetName val="05-06_(Detailed)15"/>
      <sheetName val="Scaffolding_15"/>
      <sheetName val="RECONCI_lATION15"/>
      <sheetName val="AS_PER_TALLY15"/>
      <sheetName val="steel_15"/>
      <sheetName val="MS_Items15"/>
      <sheetName val="Tower_Crane_Operation15"/>
      <sheetName val="_NET_ADDITONAL_C_(10years))15"/>
      <sheetName val="TOWER_CRANE_COST_15"/>
      <sheetName val="Mobi_(estimation)15"/>
      <sheetName val="Preliminaries_(estimation)15"/>
      <sheetName val="Abs_pile_15"/>
      <sheetName val="costing_pile_15"/>
      <sheetName val="cutting_final15"/>
      <sheetName val="Block_B15"/>
      <sheetName val="Block_A_15"/>
      <sheetName val="GERMAN_TOOL15"/>
      <sheetName val="C_class_cumulative15"/>
      <sheetName val="Tower_cra-det15"/>
      <sheetName val="Tower_cra_Found15"/>
      <sheetName val="Tower_Crane_Final15"/>
      <sheetName val="Staff_Salary15"/>
      <sheetName val="safety_items__15"/>
      <sheetName val="Tools_15"/>
      <sheetName val="Rate_analysis15"/>
      <sheetName val="RMC10_15"/>
      <sheetName val="RMC_7_5_15"/>
      <sheetName val="RMC40_15"/>
      <sheetName val="RMC25_15"/>
      <sheetName val="Abs_sheet15"/>
      <sheetName val="Break_up_Sheet15"/>
      <sheetName val="Rate_anaR?tÛs15"/>
      <sheetName val="Rate_anaR15"/>
      <sheetName val="Rate_anaR_tÛs15"/>
      <sheetName val="PC_Master_List15"/>
      <sheetName val="CABLE_DATA15"/>
      <sheetName val="RMZ_Summary15"/>
      <sheetName val="GL SLAB"/>
      <sheetName val="RW (B1 to GL)"/>
      <sheetName val="AoR Finishing"/>
      <sheetName val="strain"/>
      <sheetName val="05-06_(Detailed)11"/>
      <sheetName val="Scaffolding_11"/>
      <sheetName val="RECONCI_lATION11"/>
      <sheetName val="AS_PER_TALLY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Rate_anaRtÛs7"/>
      <sheetName val="0-&gt;6_(Detailed)7"/>
      <sheetName val="Rate_anaR?tÛs11"/>
      <sheetName val="Rate_anaR11"/>
      <sheetName val="Rate_anaR_tÛs11"/>
      <sheetName val="PC_Master_List11"/>
      <sheetName val="0?-&gt;6_(Detailed)11"/>
      <sheetName val="0_-&gt;6_(Detailed)11"/>
      <sheetName val="NRC_Rationalisation11"/>
      <sheetName val="CABLE_DATA10"/>
      <sheetName val="RMZ_Summary10"/>
      <sheetName val="BOQ_Direct_selling_cost10"/>
      <sheetName val="LOCAL_RATES10"/>
      <sheetName val="10__&amp;_11__Rate_Code_&amp;_BQ10"/>
      <sheetName val="Field_Values10"/>
      <sheetName val="RCC,Ret__Wall10"/>
      <sheetName val="std_wt_10"/>
      <sheetName val="Rate_anaR_x005f_x0000_tÛs9"/>
      <sheetName val="0_x005f_x0000_-&gt;6_(Detailed)9"/>
      <sheetName val="Plant_Cost9"/>
      <sheetName val="Tulip_Recon9"/>
      <sheetName val="Boq_-_Flats9"/>
      <sheetName val="M_S_3"/>
      <sheetName val="Project_Budget_Worksheet3"/>
      <sheetName val="Abstract_Sheet4"/>
      <sheetName val="CPIPE_14"/>
      <sheetName val="final_abstract4"/>
      <sheetName val="HF_Blk_12"/>
      <sheetName val="Project_Details__2"/>
      <sheetName val="Top_Line_-_WWW2"/>
      <sheetName val="Labor_abs-NMR2"/>
      <sheetName val="Base_data_Security_Procedures2"/>
      <sheetName val="Lookup_data2"/>
      <sheetName val="Lookup_Tables4"/>
      <sheetName val="Rate_anaR_x005f_x005f_x005f_x0000_tÛs4"/>
      <sheetName val="0_x005f_x005f_x005f_x0000_-&gt;6_(Detailed)4"/>
      <sheetName val="trial_flow_sheet4"/>
      <sheetName val="d-safe_DELUXE4"/>
      <sheetName val="2_대외공문4"/>
      <sheetName val="Rate_anaR_x005f_x005f_x005f_x005f_x005f_x005f_x02"/>
      <sheetName val="0_x005f_x005f_x005f_x005f_x005f_x005f_x005f_x0000_-&gt;6_2"/>
      <sheetName val="Rate_anaR_x005f_x005f_x002"/>
      <sheetName val="0_x005f_x005f_x005f_x0000_-&gt;6_(2"/>
      <sheetName val="Tender_Summary2"/>
      <sheetName val="Rate_anaRtÛs9"/>
      <sheetName val="0-&gt;6_(Detailed)9"/>
      <sheetName val="05-06_(Detailed)10"/>
      <sheetName val="Scaffolding_10"/>
      <sheetName val="RECONCI_lATION10"/>
      <sheetName val="AS_PER_TALLY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Rate_anaR?tÛs10"/>
      <sheetName val="Rate_anaR10"/>
      <sheetName val="Rate_anaR_tÛs10"/>
      <sheetName val="PC_Master_List10"/>
      <sheetName val="0?-&gt;6_(Detailed)10"/>
      <sheetName val="0_-&gt;6_(Detailed)10"/>
      <sheetName val="NRC_Rationalisation10"/>
      <sheetName val="CABLE_DATA9"/>
      <sheetName val="RMZ_Summary9"/>
      <sheetName val="BOQ_Direct_selling_cost9"/>
      <sheetName val="LOCAL_RATES9"/>
      <sheetName val="10__&amp;_11__Rate_Code_&amp;_BQ9"/>
      <sheetName val="Field_Values9"/>
      <sheetName val="RCC,Ret__Wall9"/>
      <sheetName val="std_wt_9"/>
      <sheetName val="Rate_anaR_x005f_x0000_tÛs8"/>
      <sheetName val="0_x005f_x0000_-&gt;6_(Detailed)8"/>
      <sheetName val="Plant_Cost8"/>
      <sheetName val="Tulip_Recon8"/>
      <sheetName val="Boq_-_Flats8"/>
      <sheetName val="M_S_2"/>
      <sheetName val="Project_Budget_Worksheet2"/>
      <sheetName val="Abstract_Sheet3"/>
      <sheetName val="CPIPE_13"/>
      <sheetName val="final_abstract3"/>
      <sheetName val="HF_Blk_11"/>
      <sheetName val="Project_Details__1"/>
      <sheetName val="Top_Line_-_WWW1"/>
      <sheetName val="Labor_abs-NMR1"/>
      <sheetName val="Base_data_Security_Procedures1"/>
      <sheetName val="Lookup_data1"/>
      <sheetName val="Lookup_Tables3"/>
      <sheetName val="Rate_anaR_x005f_x005f_x005f_x0000_tÛs3"/>
      <sheetName val="0_x005f_x005f_x005f_x0000_-&gt;6_(Detailed)3"/>
      <sheetName val="trial_flow_sheet3"/>
      <sheetName val="d-safe_DELUXE3"/>
      <sheetName val="2_대외공문3"/>
      <sheetName val="Rate_anaR_x005f_x005f_x005f_x005f_x005f_x005f_x01"/>
      <sheetName val="0_x005f_x005f_x005f_x005f_x005f_x005f_x005f_x0000_-&gt;6_1"/>
      <sheetName val="Rate_anaR_x005f_x005f_x001"/>
      <sheetName val="0_x005f_x005f_x005f_x0000_-&gt;6_(1"/>
      <sheetName val="Tender_Summary1"/>
      <sheetName val="Rate_anaRtÛs8"/>
      <sheetName val="0-&gt;6_(Detailed)8"/>
      <sheetName val="Query_Results_ALL1"/>
      <sheetName val="RAJU_ASSO1"/>
      <sheetName val="Batching_plant1"/>
      <sheetName val="Builtup_Area1"/>
      <sheetName val="Portfolio_Summary1"/>
      <sheetName val="Factor_Sheet1"/>
      <sheetName val="CFForecast_detail1"/>
      <sheetName val="Fin_Sum1"/>
      <sheetName val="AD_ST1"/>
      <sheetName val="Sheet3_(2)1"/>
      <sheetName val="Approved_MTD_Proj_#'s1"/>
      <sheetName val="Rollup_Summary1"/>
      <sheetName val="3cd_Annexure1"/>
      <sheetName val="2000_MOR1"/>
      <sheetName val="GENERAL_Beam__(B)1"/>
      <sheetName val="INPUT_SHEET1"/>
      <sheetName val="99_조정금액1"/>
      <sheetName val="Design_sheet1"/>
      <sheetName val="Rate_Analysis_1"/>
      <sheetName val="GL_SLAB1"/>
      <sheetName val="RW_(B1_to_GL)1"/>
      <sheetName val="AoR_Finishing1"/>
      <sheetName val="05-06_(Detailed)9"/>
      <sheetName val="Scaffolding_9"/>
      <sheetName val="RECONCI_lATION9"/>
      <sheetName val="AS_PER_TALLY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Rate_anaR?tÛs9"/>
      <sheetName val="Rate_anaR9"/>
      <sheetName val="Rate_anaR_tÛs9"/>
      <sheetName val="PC_Master_List9"/>
      <sheetName val="0?-&gt;6_(Detailed)9"/>
      <sheetName val="0_-&gt;6_(Detailed)9"/>
      <sheetName val="NRC_Rationalisation9"/>
      <sheetName val="CABLE_DATA8"/>
      <sheetName val="RMZ_Summary8"/>
      <sheetName val="BOQ_Direct_selling_cost8"/>
      <sheetName val="LOCAL_RATES8"/>
      <sheetName val="10__&amp;_11__Rate_Code_&amp;_BQ8"/>
      <sheetName val="Field_Values8"/>
      <sheetName val="RCC,Ret__Wall8"/>
      <sheetName val="std_wt_8"/>
      <sheetName val="Rate_anaR_x005f_x0000_tÛs7"/>
      <sheetName val="0_x005f_x0000_-&gt;6_(Detailed)7"/>
      <sheetName val="Plant_Cost7"/>
      <sheetName val="Tulip_Recon7"/>
      <sheetName val="Boq_-_Flats7"/>
      <sheetName val="M_S_1"/>
      <sheetName val="Project_Budget_Worksheet1"/>
      <sheetName val="Abstract_Sheet2"/>
      <sheetName val="CPIPE_12"/>
      <sheetName val="final_abstract2"/>
      <sheetName val="HF_Blk_1"/>
      <sheetName val="Project_Details__"/>
      <sheetName val="Top_Line_-_WWW"/>
      <sheetName val="Labor_abs-NMR"/>
      <sheetName val="Base_data_Security_Procedures"/>
      <sheetName val="Lookup_data"/>
      <sheetName val="Lookup_Tables2"/>
      <sheetName val="Rate_anaR_x005f_x005f_x005f_x0000_tÛs2"/>
      <sheetName val="0_x005f_x005f_x005f_x0000_-&gt;6_(Detailed)2"/>
      <sheetName val="trial_flow_sheet2"/>
      <sheetName val="d-safe_DELUXE2"/>
      <sheetName val="2_대외공문2"/>
      <sheetName val="Rate_anaR_x005f_x005f_x005f_x005f_x005f_x005f_x00"/>
      <sheetName val="0_x005f_x005f_x005f_x005f_x005f_x005f_x005f_x0000_-&gt;6_("/>
      <sheetName val="Rate_anaR_x005f_x005f_x00"/>
      <sheetName val="0_x005f_x005f_x005f_x0000_-&gt;6_("/>
      <sheetName val="Tender_Summary"/>
      <sheetName val="Query_Results_ALL"/>
      <sheetName val="RAJU_ASSO"/>
      <sheetName val="Batching_plant"/>
      <sheetName val="Builtup_Area"/>
      <sheetName val="Portfolio_Summary"/>
      <sheetName val="Factor_Sheet"/>
      <sheetName val="CFForecast_detail"/>
      <sheetName val="Fin_Sum"/>
      <sheetName val="AD_ST"/>
      <sheetName val="Sheet3_(2)"/>
      <sheetName val="Approved_MTD_Proj_#'s"/>
      <sheetName val="Rollup_Summary"/>
      <sheetName val="3cd_Annexure"/>
      <sheetName val="2000_MOR"/>
      <sheetName val="GENERAL_Beam__(B)"/>
      <sheetName val="INPUT_SHEET"/>
      <sheetName val="99_조정금액"/>
      <sheetName val="Design_sheet"/>
      <sheetName val="Rate_Analysis_"/>
      <sheetName val="GL_SLAB"/>
      <sheetName val="RW_(B1_to_GL)"/>
      <sheetName val="AoR_Finishing"/>
      <sheetName val="shuttering"/>
      <sheetName val="Pile cap"/>
      <sheetName val="CTC"/>
      <sheetName val="Rates_PVC"/>
      <sheetName val="C7B"/>
      <sheetName val="C8A"/>
      <sheetName val="M7B"/>
      <sheetName val="A7B"/>
      <sheetName val="A8B"/>
      <sheetName val="POWER"/>
      <sheetName val="REDUCER"/>
      <sheetName val="WE'T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HF Blk 1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HF_Blk_1"/>
      <sheetName val="MASTER WORK SHEET - ESTIMATE HI"/>
      <sheetName val="Basement Budget"/>
      <sheetName val="Headings"/>
      <sheetName val="ESTIMATE for approval"/>
      <sheetName val="Base Data"/>
      <sheetName val="Terrace"/>
      <sheetName val="Staircase"/>
      <sheetName val="Shear Wall "/>
      <sheetName val="Chejja ,Lintel &amp; Sill"/>
      <sheetName val="Abstract-finishes"/>
      <sheetName val="Data"/>
      <sheetName val="final estimate"/>
      <sheetName val="Proj.Info"/>
      <sheetName val="Estimate"/>
      <sheetName val="Material"/>
      <sheetName val="Tiles Budget"/>
      <sheetName val="Other - Quantity"/>
      <sheetName val="Other RA"/>
      <sheetName val="Terrace Floor Additional materi"/>
      <sheetName val="Scaffolding"/>
      <sheetName val="Piling - GFC"/>
      <sheetName val="Gym"/>
      <sheetName val="SGML"/>
      <sheetName val="R1 BOQ"/>
      <sheetName val="steel abs"/>
      <sheetName val="SIL"/>
      <sheetName val="Piling"/>
      <sheetName val="SLR-R1"/>
      <sheetName val="SLR"/>
      <sheetName val="Sheet3"/>
      <sheetName val="Latest PO report"/>
      <sheetName val="Backfilling using quary dust"/>
      <sheetName val="QTY"/>
      <sheetName val="Labor charges"/>
      <sheetName val="Technician wage"/>
      <sheetName val="Tiling &amp; Granite labor"/>
      <sheetName val="Core cutting"/>
      <sheetName val="Labour cess"/>
      <sheetName val="Budgetary BOQ"/>
      <sheetName val="EST-CIVIL"/>
      <sheetName val="External works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HF_Blk_16"/>
      <sheetName val="MASTER_WORK_SHEET_-_ESTIMATE_H5"/>
      <sheetName val="Basement_Budget5"/>
      <sheetName val="ESTIMATE_for_approval5"/>
      <sheetName val="Base_Data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HF_Blk_14"/>
      <sheetName val="MASTER_WORK_SHEET_-_ESTIMATE_H3"/>
      <sheetName val="Basement_Budget3"/>
      <sheetName val="ESTIMATE_for_approva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HF_Blk_13"/>
      <sheetName val="MASTER_WORK_SHEET_-_ESTIMATE_H2"/>
      <sheetName val="Basement_Budget2"/>
      <sheetName val="ESTIMATE_for_approval2"/>
      <sheetName val="Base_Data2"/>
      <sheetName val="Shear_Wall_2"/>
      <sheetName val="Chejja_,Lintel_&amp;_Sill2"/>
      <sheetName val="final_estimate2"/>
      <sheetName val="Proj_Info2"/>
      <sheetName val="Tiles_Budget2"/>
      <sheetName val="Other_-_Quantity2"/>
      <sheetName val="Other_RA2"/>
      <sheetName val="Terrace_Floor_Additional_mater2"/>
      <sheetName val="Piling_-_GFC2"/>
      <sheetName val="R1_BOQ2"/>
      <sheetName val="steel_abs2"/>
      <sheetName val="Latest_PO_report2"/>
      <sheetName val="Backfilling_using_quary_dust2"/>
      <sheetName val="Labor_charges2"/>
      <sheetName val="Technician_wage2"/>
      <sheetName val="Tiling_&amp;_Granite_labor2"/>
      <sheetName val="Core_cutting2"/>
      <sheetName val="Labour_cess2"/>
      <sheetName val="Budgetary_BOQ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HF_Blk_11"/>
      <sheetName val="MASTER_WORK_SHEET_-_ESTIMATE_HI"/>
      <sheetName val="Basement_Budget"/>
      <sheetName val="ESTIMATE_for_approval"/>
      <sheetName val="Base_Data"/>
      <sheetName val="Shear_Wall_"/>
      <sheetName val="Chejja_,Lintel_&amp;_Sill"/>
      <sheetName val="final_estimate"/>
      <sheetName val="Proj_Info"/>
      <sheetName val="Tiles_Budget"/>
      <sheetName val="Other_-_Quantity"/>
      <sheetName val="Other_RA"/>
      <sheetName val="Terrace_Floor_Additional_materi"/>
      <sheetName val="Piling_-_GFC"/>
      <sheetName val="R1_BOQ"/>
      <sheetName val="steel_abs"/>
      <sheetName val="Latest_PO_report"/>
      <sheetName val="Backfilling_using_quary_dust"/>
      <sheetName val="Labor_charges"/>
      <sheetName val="Technician_wage"/>
      <sheetName val="Tiling_&amp;_Granite_labor"/>
      <sheetName val="Core_cutting"/>
      <sheetName val="Labour_cess"/>
      <sheetName val="Budgetary_BOQ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HF_Blk_12"/>
      <sheetName val="MASTER_WORK_SHEET_-_ESTIMATE_H1"/>
      <sheetName val="Basement_Budget1"/>
      <sheetName val="ESTIMATE_for_approval1"/>
      <sheetName val="Base_Data1"/>
      <sheetName val="Shear_Wall_1"/>
      <sheetName val="Chejja_,Lintel_&amp;_Sill1"/>
      <sheetName val="final_estimate1"/>
      <sheetName val="Proj_Info1"/>
      <sheetName val="Tiles_Budget1"/>
      <sheetName val="Other_-_Quantity1"/>
      <sheetName val="Other_RA1"/>
      <sheetName val="Terrace_Floor_Additional_mater1"/>
      <sheetName val="Piling_-_GFC1"/>
      <sheetName val="R1_BOQ1"/>
      <sheetName val="steel_abs1"/>
      <sheetName val="Latest_PO_report1"/>
      <sheetName val="Backfilling_using_quary_dust1"/>
      <sheetName val="Labor_charges1"/>
      <sheetName val="Technician_wage1"/>
      <sheetName val="Tiling_&amp;_Granite_labor1"/>
      <sheetName val="Core_cutting1"/>
      <sheetName val="Labour_cess1"/>
      <sheetName val="Budgetary_BOQ1"/>
      <sheetName val="Base_Data3"/>
      <sheetName val="Shear_Wall_3"/>
      <sheetName val="Chejja_,Lintel_&amp;_Sill3"/>
      <sheetName val="final_estimate3"/>
      <sheetName val="Proj_Info3"/>
      <sheetName val="Tiles_Budget3"/>
      <sheetName val="Other_-_Quantity3"/>
      <sheetName val="Other_RA3"/>
      <sheetName val="Terrace_Floor_Additional_mater3"/>
      <sheetName val="Piling_-_GFC3"/>
      <sheetName val="R1_BOQ3"/>
      <sheetName val="steel_abs3"/>
      <sheetName val="Latest_PO_report3"/>
      <sheetName val="Backfilling_using_quary_dust3"/>
      <sheetName val="Labor_charges3"/>
      <sheetName val="Technician_wage3"/>
      <sheetName val="Tiling_&amp;_Granite_labor3"/>
      <sheetName val="Core_cutting3"/>
      <sheetName val="Labour_cess3"/>
      <sheetName val="Budgetary_BOQ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HF_Blk_15"/>
      <sheetName val="MASTER_WORK_SHEET_-_ESTIMATE_H4"/>
      <sheetName val="Basement_Budget4"/>
      <sheetName val="ESTIMATE_for_approval4"/>
      <sheetName val="Base_Data4"/>
      <sheetName val="Shear_Wall_4"/>
      <sheetName val="Chejja_,Lintel_&amp;_Sill4"/>
      <sheetName val="final_estimate4"/>
      <sheetName val="Proj_Info4"/>
      <sheetName val="Tiles_Budget4"/>
      <sheetName val="Other_-_Quantity4"/>
      <sheetName val="Other_RA4"/>
      <sheetName val="Terrace_Floor_Additional_mater4"/>
      <sheetName val="Piling_-_GFC4"/>
      <sheetName val="R1_BOQ4"/>
      <sheetName val="steel_abs4"/>
      <sheetName val="Latest_PO_report4"/>
      <sheetName val="Backfilling_using_quary_dust4"/>
      <sheetName val="Labor_charges4"/>
      <sheetName val="Technician_wage4"/>
      <sheetName val="Tiling_&amp;_Granite_labor4"/>
      <sheetName val="Core_cutting4"/>
      <sheetName val="Labour_cess4"/>
      <sheetName val="Budgetary_BOQ4"/>
      <sheetName val="Shear_Wall_5"/>
      <sheetName val="Chejja_,Lintel_&amp;_Sill5"/>
      <sheetName val="final_estimate5"/>
      <sheetName val="Proj_Info5"/>
      <sheetName val="Tiles_Budget5"/>
      <sheetName val="Other_-_Quantity5"/>
      <sheetName val="Other_RA5"/>
      <sheetName val="Terrace_Floor_Additional_mater5"/>
      <sheetName val="Piling_-_GFC5"/>
      <sheetName val="R1_BOQ5"/>
      <sheetName val="steel_abs5"/>
      <sheetName val="Latest_PO_report5"/>
      <sheetName val="Backfilling_using_quary_dust5"/>
      <sheetName val="Labor_charges5"/>
      <sheetName val="Technician_wage5"/>
      <sheetName val="Tiling_&amp;_Granite_labor5"/>
      <sheetName val="Core_cutting5"/>
      <sheetName val="Labour_cess5"/>
      <sheetName val="Budgetary_BOQ5"/>
      <sheetName val="lintels Costing "/>
      <sheetName val="Shear Wall"/>
      <sheetName val="OS-Tower-1A &amp; 1B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HF_Blk_17"/>
      <sheetName val="MASTER_WORK_SHEET_-_ESTIMATE_H6"/>
      <sheetName val="Basement_Budget6"/>
      <sheetName val="ESTIMATE_for_approval6"/>
      <sheetName val="Base_Data6"/>
      <sheetName val="Shear_Wall_6"/>
      <sheetName val="Chejja_,Lintel_&amp;_Sill6"/>
      <sheetName val="final_estimate6"/>
      <sheetName val="Proj_Info6"/>
      <sheetName val="Tiles_Budget6"/>
      <sheetName val="Other_-_Quantity6"/>
      <sheetName val="Other_RA6"/>
      <sheetName val="Terrace_Floor_Additional_mater6"/>
      <sheetName val="Piling_-_GFC6"/>
      <sheetName val="R1_BOQ6"/>
      <sheetName val="steel_abs6"/>
      <sheetName val="Latest_PO_report6"/>
      <sheetName val="Backfilling_using_quary_dust6"/>
      <sheetName val="Labor_charges6"/>
      <sheetName val="Technician_wage6"/>
      <sheetName val="Tiling_&amp;_Granite_labor6"/>
      <sheetName val="Core_cutting6"/>
      <sheetName val="Labour_cess6"/>
      <sheetName val="Budgetary_BOQ6"/>
      <sheetName val="External_works"/>
      <sheetName val="lintels_Costing_"/>
      <sheetName val="Shear_Wall"/>
      <sheetName val="OS-Tower-1A_&amp;_1B"/>
      <sheetName val="Lists"/>
      <sheetName val="Vasanth"/>
      <sheetName val="MECH-1"/>
      <sheetName val="COLUMN"/>
      <sheetName val="RECAPITULATION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HF_Blk_18"/>
      <sheetName val="MASTER_WORK_SHEET_-_ESTIMATE_H7"/>
      <sheetName val="Basement_Budget7"/>
      <sheetName val="ESTIMATE_for_approval7"/>
      <sheetName val="Base_Data7"/>
      <sheetName val="Shear_Wall_7"/>
      <sheetName val="Chejja_,Lintel_&amp;_Sill7"/>
      <sheetName val="final_estimate7"/>
      <sheetName val="Proj_Info7"/>
      <sheetName val="Tiles_Budget7"/>
      <sheetName val="Other_-_Quantity7"/>
      <sheetName val="Other_RA7"/>
      <sheetName val="Terrace_Floor_Additional_mater7"/>
      <sheetName val="Piling_-_GFC7"/>
      <sheetName val="R1_BOQ7"/>
      <sheetName val="steel_abs7"/>
      <sheetName val="Latest_PO_report7"/>
      <sheetName val="Backfilling_using_quary_dust7"/>
      <sheetName val="Labor_charges7"/>
      <sheetName val="Technician_wage7"/>
      <sheetName val="Tiling_&amp;_Granite_labor7"/>
      <sheetName val="Core_cutting7"/>
      <sheetName val="Labour_cess7"/>
      <sheetName val="Budgetary_BOQ7"/>
      <sheetName val="External_works1"/>
      <sheetName val="lintels_Costing_1"/>
      <sheetName val="Shear_Wall1"/>
      <sheetName val="OS-Tower-1A_&amp;_1B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HF_Blk_19"/>
      <sheetName val="MASTER_WORK_SHEET_-_ESTIMATE_H8"/>
      <sheetName val="Basement_Budget8"/>
      <sheetName val="ESTIMATE_for_approval8"/>
      <sheetName val="Base_Data8"/>
      <sheetName val="Shear_Wall_8"/>
      <sheetName val="Chejja_,Lintel_&amp;_Sill8"/>
      <sheetName val="final_estimate8"/>
      <sheetName val="Proj_Info8"/>
      <sheetName val="Tiles_Budget8"/>
      <sheetName val="Other_-_Quantity8"/>
      <sheetName val="Other_RA8"/>
      <sheetName val="Terrace_Floor_Additional_mater8"/>
      <sheetName val="Piling_-_GFC8"/>
      <sheetName val="R1_BOQ8"/>
      <sheetName val="steel_abs8"/>
      <sheetName val="Latest_PO_report8"/>
      <sheetName val="Backfilling_using_quary_dust8"/>
      <sheetName val="Labor_charges8"/>
      <sheetName val="Technician_wage8"/>
      <sheetName val="Tiling_&amp;_Granite_labor8"/>
      <sheetName val="Core_cutting8"/>
      <sheetName val="Labour_cess8"/>
      <sheetName val="Budgetary_BOQ8"/>
      <sheetName val="External_works2"/>
      <sheetName val="lintels_Costing_2"/>
      <sheetName val="Shear_Wall2"/>
      <sheetName val="OS-Tower-1A_&amp;_1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in Drawing1"/>
      <sheetName val="Abstract"/>
      <sheetName val="Footing"/>
      <sheetName val="Pedestal &amp; Column"/>
      <sheetName val="Floor Slab - B2"/>
      <sheetName val="Slab-B2(B1 Floor)"/>
      <sheetName val="Retaining Wall"/>
      <sheetName val="UGR"/>
      <sheetName val="STP"/>
      <sheetName val="Staircase-1-4"/>
    </sheetNames>
    <definedNames>
      <definedName name="Loan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-I (2)"/>
      <sheetName val="ANALY-BOQ"/>
      <sheetName val="ANALYS-LS"/>
      <sheetName val="BOQ"/>
      <sheetName val="PART-I"/>
      <sheetName val="I-11"/>
      <sheetName val="I-15"/>
      <sheetName val="sumps"/>
      <sheetName val="GATES(21,22)"/>
      <sheetName val="final abstract"/>
      <sheetName val="Basement Budget"/>
      <sheetName val="RECAPITULATION"/>
      <sheetName val="Rate analysis"/>
      <sheetName val="Break up Sheet"/>
      <sheetName val="B &amp; C - M - ccp"/>
      <sheetName val="Fee Rate Summary"/>
      <sheetName val="Old"/>
      <sheetName val="Materials Cost"/>
      <sheetName val="10. &amp; 11. Rate Code &amp; BQ"/>
      <sheetName val="Main-Material"/>
      <sheetName val="COLUMN"/>
      <sheetName val="RES STEEL TO"/>
      <sheetName val="SUmmary-RMZ"/>
      <sheetName val="RMZ Summary"/>
      <sheetName val="Fill this out first..."/>
      <sheetName val="Micro"/>
      <sheetName val="Macro"/>
      <sheetName val="Scaff-Rose"/>
      <sheetName val="sept-plan"/>
      <sheetName val="Cop -VGN"/>
      <sheetName val="Field Values"/>
      <sheetName val="Fin Sum"/>
      <sheetName val="CASHFLOWS"/>
      <sheetName val="SUMMARY"/>
      <sheetName val="Materials "/>
      <sheetName val="RA-markate"/>
      <sheetName val="Structure Bills Qty"/>
      <sheetName val="Builtup Area"/>
      <sheetName val="analysis"/>
      <sheetName val="Headings"/>
      <sheetName val="MASTER_RATE ANALYSIS"/>
      <sheetName val="cubes_M20"/>
      <sheetName val="A"/>
      <sheetName val="SPT vs PHI"/>
      <sheetName val="PART-I_(2)"/>
      <sheetName val="final_abstract"/>
      <sheetName val="Basement_Budget"/>
      <sheetName val="Rate_analysis"/>
      <sheetName val="Break_up_Sheet"/>
      <sheetName val="B_&amp;_C_-_M_-_ccp"/>
      <sheetName val="Fee_Rate_Summary"/>
      <sheetName val="Materials_Cost"/>
      <sheetName val="10__&amp;_11__Rate_Code_&amp;_BQ"/>
      <sheetName val="RES_STEEL_TO"/>
      <sheetName val="RMZ_Summary"/>
      <sheetName val="Fill_this_out_first___"/>
      <sheetName val="Cop_-VGN"/>
      <sheetName val="Field_Values"/>
      <sheetName val="Fin_Sum"/>
      <sheetName val="Materials_"/>
      <sheetName val="Structure_Bills_Qty"/>
      <sheetName val="Builtup_Area"/>
      <sheetName val="MASTER_RATE_ANALYSIS"/>
      <sheetName val="SPT_vs_PHI"/>
      <sheetName val="Sheet1"/>
      <sheetName val="Delhi"/>
      <sheetName val="Site Dev BOQ"/>
      <sheetName val="Staff Forecast spread"/>
      <sheetName val="Sheet2"/>
      <sheetName val="dyes"/>
      <sheetName val="Sheet3"/>
      <sheetName val="UTILITY"/>
      <sheetName val="경비공통"/>
      <sheetName val="Input"/>
      <sheetName val="Activity"/>
      <sheetName val="Crew"/>
      <sheetName val="Piping"/>
      <sheetName val="Pipe Supports"/>
      <sheetName val="S1BOQ"/>
      <sheetName val="2gii"/>
      <sheetName val="Manpower"/>
      <sheetName val="HPL"/>
      <sheetName val="월선수금"/>
      <sheetName val="strand"/>
      <sheetName val="Costing"/>
      <sheetName val="BOQ_Direct_selling cost"/>
      <sheetName val="Stress Calculation"/>
      <sheetName val="VIWSCo1"/>
      <sheetName val="IO List"/>
      <sheetName val="MN T.B."/>
      <sheetName val="database"/>
      <sheetName val="Coalmine"/>
      <sheetName val="A1-Continuous"/>
      <sheetName val="Design"/>
      <sheetName val="starter"/>
      <sheetName val="BLK2"/>
      <sheetName val="BLK3"/>
      <sheetName val="E &amp; R"/>
      <sheetName val="radar"/>
      <sheetName val="UG"/>
      <sheetName val="Civil Boq"/>
      <sheetName val="Preside"/>
      <sheetName val="Summary_Local"/>
      <sheetName val="factor sheet"/>
      <sheetName val="RA"/>
      <sheetName val="Factor_Sheet"/>
      <sheetName val="Exp."/>
      <sheetName val="Factors"/>
      <sheetName val="INDIGINEOUS ITEMS "/>
      <sheetName val="TBAL9697 -group wise  sdpl"/>
      <sheetName val="Load Details(B1)"/>
      <sheetName val="Config"/>
      <sheetName val="Break Dw"/>
      <sheetName val="Desgn(zone I)"/>
      <sheetName val="PA- Consutant "/>
      <sheetName val="Debits as on 12.04.08"/>
      <sheetName val="THK"/>
      <sheetName val="Data"/>
      <sheetName val="Lead"/>
      <sheetName val="Analy_7-10"/>
      <sheetName val="INDORAMA Group June 02"/>
      <sheetName val="FitOutConfCentre"/>
      <sheetName val="MES-SEC"/>
      <sheetName val="INPUT-DATA1"/>
      <sheetName val="VCH-SLC"/>
      <sheetName val="Supplier"/>
      <sheetName val="BOQ (2)"/>
      <sheetName val="GBW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대외공문"/>
      <sheetName val="Build-up"/>
      <sheetName val="FORM7"/>
      <sheetName val="RCC,Ret. Wall"/>
      <sheetName val="RA 4 Challan Summary "/>
      <sheetName val="p&amp;m"/>
      <sheetName val="Labour productivity"/>
      <sheetName val="labour coeff"/>
      <sheetName val="COST"/>
      <sheetName val="Formulas"/>
      <sheetName val="Sheet3 (2)"/>
      <sheetName val="For Bill-04 PS"/>
      <sheetName val="Bed Class"/>
      <sheetName val="Cd"/>
      <sheetName val="M B-QtyRecn"/>
      <sheetName val="Rates"/>
      <sheetName val="PH data"/>
      <sheetName val="labour"/>
      <sheetName val="Details (3)"/>
      <sheetName val="Site_Dev_BOQ"/>
      <sheetName val="Staff_Forecast_spread"/>
      <sheetName val="INDORAMA_Group_June_02"/>
      <sheetName val="Pipe_Supports"/>
      <sheetName val="RCC,Ret__Wall"/>
      <sheetName val="RA_4_Challan_Summary_"/>
      <sheetName val="Labour_productivity"/>
      <sheetName val="labour_coeff"/>
      <sheetName val="PART-I_(2)1"/>
      <sheetName val="final_abstract1"/>
      <sheetName val="Fee_Rate_Summary1"/>
      <sheetName val="Basement_Budget1"/>
      <sheetName val="Rate_analysis1"/>
      <sheetName val="Materials_Cost1"/>
      <sheetName val="Break_up_Sheet1"/>
      <sheetName val="RES_STEEL_TO1"/>
      <sheetName val="10__&amp;_11__Rate_Code_&amp;_BQ1"/>
      <sheetName val="B_&amp;_C_-_M_-_ccp1"/>
      <sheetName val="RMZ_Summary1"/>
      <sheetName val="Fin_Sum1"/>
      <sheetName val="Fill_this_out_first___1"/>
      <sheetName val="Site_Dev_BOQ1"/>
      <sheetName val="Staff_Forecast_spread1"/>
      <sheetName val="Field_Values1"/>
      <sheetName val="INDORAMA_Group_June_021"/>
      <sheetName val="Pipe_Supports1"/>
      <sheetName val="RCC,Ret__Wall1"/>
      <sheetName val="RA_4_Challan_Summary_1"/>
      <sheetName val="Labour_productivity1"/>
      <sheetName val="labour_coeff1"/>
      <sheetName val="BOQ_Direct_selling_cost"/>
      <sheetName val="Stress_Calculation"/>
      <sheetName val="IO_List"/>
      <sheetName val="MN_T_B_"/>
      <sheetName val="Exp_"/>
      <sheetName val="INDIGINEOUS_ITEMS_"/>
      <sheetName val="E_&amp;_R"/>
      <sheetName val="Civil_Boq"/>
      <sheetName val="col-reinft1"/>
      <sheetName val="beam-reinft-IIInd floor"/>
      <sheetName val="Quotation"/>
      <sheetName val="Sqn _Main_ Abs"/>
      <sheetName val="ORDER BOOKING"/>
      <sheetName val="Mat.Cost"/>
      <sheetName val="lookup"/>
      <sheetName val="Staff Acco."/>
      <sheetName val="Section Catalogue"/>
      <sheetName val="Approved MTD Proj #'s"/>
      <sheetName val="#REF!"/>
      <sheetName val="Lowside"/>
      <sheetName val="gen"/>
      <sheetName val="CABLE DATA"/>
      <sheetName val="目录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선수금"/>
      <sheetName val="jobhist"/>
      <sheetName val="Code"/>
      <sheetName val="Set"/>
      <sheetName val="Summary_Bank"/>
      <sheetName val="GR.slab-reinft"/>
      <sheetName val="SCHEDULE"/>
      <sheetName val="Interior"/>
      <sheetName val="parametry"/>
      <sheetName val="Aseet1998"/>
      <sheetName val="VARIABLE"/>
      <sheetName val="#REF"/>
      <sheetName val="Voucher"/>
      <sheetName val="M-Book for Conc"/>
      <sheetName val="M-Book for FW"/>
      <sheetName val="BOQ-Tower"/>
      <sheetName val="concrete"/>
      <sheetName val="Rates-May-14"/>
      <sheetName val="RES-PLANNING"/>
      <sheetName val="Staircase "/>
      <sheetName val="TBAL9697_-group_wise__sdpl"/>
      <sheetName val="Break_Dw"/>
      <sheetName val="Load_Details(B1)"/>
      <sheetName val="PA-_Consutant_"/>
      <sheetName val="Debits_as_on_12_04_08"/>
      <sheetName val="Desgn(zone_I)"/>
      <sheetName val="Bed_Class"/>
      <sheetName val="PART-I_(2)2"/>
      <sheetName val="final_abstract2"/>
      <sheetName val="Structure_Bills_Qty1"/>
      <sheetName val="Builtup_Area1"/>
      <sheetName val="MASTER_RATE_ANALYSIS1"/>
      <sheetName val="Cop_-VGN1"/>
      <sheetName val="Materials_1"/>
      <sheetName val="MN_T_B_1"/>
      <sheetName val="BOQ_Direct_selling_cost1"/>
      <sheetName val="Stress_Calculation1"/>
      <sheetName val="IO_List1"/>
      <sheetName val="E_&amp;_R1"/>
      <sheetName val="Exp_1"/>
      <sheetName val="INDIGINEOUS_ITEMS_1"/>
      <sheetName val="TBAL9697_-group_wise__sdpl1"/>
      <sheetName val="Break_Dw1"/>
      <sheetName val="Load_Details(B1)1"/>
      <sheetName val="SPT_vs_PHI1"/>
      <sheetName val="Civil_Boq1"/>
      <sheetName val="PA-_Consutant_1"/>
      <sheetName val="Debits_as_on_12_04_081"/>
      <sheetName val="Desgn(zone_I)1"/>
      <sheetName val="Bed_Class1"/>
      <sheetName val="PART-I_(2)3"/>
      <sheetName val="final_abstract3"/>
      <sheetName val="Fee_Rate_Summary2"/>
      <sheetName val="Basement_Budget2"/>
      <sheetName val="Rate_analysis2"/>
      <sheetName val="Materials_Cost2"/>
      <sheetName val="10__&amp;_11__Rate_Code_&amp;_BQ2"/>
      <sheetName val="Break_up_Sheet2"/>
      <sheetName val="B_&amp;_C_-_M_-_ccp2"/>
      <sheetName val="RES_STEEL_TO2"/>
      <sheetName val="RMZ_Summary2"/>
      <sheetName val="Pipe_Supports2"/>
      <sheetName val="Field_Values2"/>
      <sheetName val="Fin_Sum2"/>
      <sheetName val="Fill_this_out_first___2"/>
      <sheetName val="Site_Dev_BOQ2"/>
      <sheetName val="Staff_Forecast_spread2"/>
      <sheetName val="Structure_Bills_Qty2"/>
      <sheetName val="Builtup_Area2"/>
      <sheetName val="MASTER_RATE_ANALYSIS2"/>
      <sheetName val="Cop_-VGN2"/>
      <sheetName val="Materials_2"/>
      <sheetName val="MN_T_B_2"/>
      <sheetName val="BOQ_Direct_selling_cost2"/>
      <sheetName val="Stress_Calculation2"/>
      <sheetName val="IO_List2"/>
      <sheetName val="E_&amp;_R2"/>
      <sheetName val="factor_sheet1"/>
      <sheetName val="Exp_2"/>
      <sheetName val="INDIGINEOUS_ITEMS_2"/>
      <sheetName val="TBAL9697_-group_wise__sdpl2"/>
      <sheetName val="Break_Dw2"/>
      <sheetName val="Load_Details(B1)2"/>
      <sheetName val="SPT_vs_PHI2"/>
      <sheetName val="Civil_Boq2"/>
      <sheetName val="PA-_Consutant_2"/>
      <sheetName val="Debits_as_on_12_04_082"/>
      <sheetName val="INDORAMA_Group_June_022"/>
      <sheetName val="Desgn(zone_I)2"/>
      <sheetName val="Bed_Class2"/>
      <sheetName val="PART-I_(2)4"/>
      <sheetName val="final_abstract4"/>
      <sheetName val="Fee_Rate_Summary3"/>
      <sheetName val="Basement_Budget3"/>
      <sheetName val="Rate_analysis3"/>
      <sheetName val="Materials_Cost3"/>
      <sheetName val="10__&amp;_11__Rate_Code_&amp;_BQ3"/>
      <sheetName val="Break_up_Sheet3"/>
      <sheetName val="B_&amp;_C_-_M_-_ccp3"/>
      <sheetName val="RES_STEEL_TO3"/>
      <sheetName val="RMZ_Summary3"/>
      <sheetName val="Pipe_Supports3"/>
      <sheetName val="Field_Values3"/>
      <sheetName val="Fin_Sum3"/>
      <sheetName val="Fill_this_out_first___3"/>
      <sheetName val="Site_Dev_BOQ3"/>
      <sheetName val="Staff_Forecast_spread3"/>
      <sheetName val="Structure_Bills_Qty3"/>
      <sheetName val="Builtup_Area3"/>
      <sheetName val="MASTER_RATE_ANALYSIS3"/>
      <sheetName val="Cop_-VGN3"/>
      <sheetName val="Materials_3"/>
      <sheetName val="MN_T_B_3"/>
      <sheetName val="BOQ_Direct_selling_cost3"/>
      <sheetName val="Stress_Calculation3"/>
      <sheetName val="IO_List3"/>
      <sheetName val="E_&amp;_R3"/>
      <sheetName val="Exp_3"/>
      <sheetName val="INDIGINEOUS_ITEMS_3"/>
      <sheetName val="TBAL9697_-group_wise__sdpl3"/>
      <sheetName val="Break_Dw3"/>
      <sheetName val="Load_Details(B1)3"/>
      <sheetName val="SPT_vs_PHI3"/>
      <sheetName val="Civil_Boq3"/>
      <sheetName val="PA-_Consutant_3"/>
      <sheetName val="Debits_as_on_12_04_083"/>
      <sheetName val="INDORAMA_Group_June_023"/>
      <sheetName val="Desgn(zone_I)3"/>
      <sheetName val="Bed_Class3"/>
      <sheetName val="M_B-QtyRecn"/>
      <sheetName val="PART-I_(2)5"/>
      <sheetName val="final_abstract5"/>
      <sheetName val="Fee_Rate_Summary4"/>
      <sheetName val="Basement_Budget4"/>
      <sheetName val="Rate_analysis4"/>
      <sheetName val="Materials_Cost4"/>
      <sheetName val="10__&amp;_11__Rate_Code_&amp;_BQ4"/>
      <sheetName val="Break_up_Sheet4"/>
      <sheetName val="B_&amp;_C_-_M_-_ccp4"/>
      <sheetName val="RES_STEEL_TO4"/>
      <sheetName val="RMZ_Summary4"/>
      <sheetName val="Pipe_Supports4"/>
      <sheetName val="Field_Values4"/>
      <sheetName val="Fin_Sum4"/>
      <sheetName val="Fill_this_out_first___4"/>
      <sheetName val="Site_Dev_BOQ4"/>
      <sheetName val="Staff_Forecast_spread4"/>
      <sheetName val="Structure_Bills_Qty4"/>
      <sheetName val="Builtup_Area4"/>
      <sheetName val="MASTER_RATE_ANALYSIS4"/>
      <sheetName val="Cop_-VGN4"/>
      <sheetName val="Materials_4"/>
      <sheetName val="MN_T_B_4"/>
      <sheetName val="BOQ_Direct_selling_cost4"/>
      <sheetName val="Stress_Calculation4"/>
      <sheetName val="IO_List4"/>
      <sheetName val="E_&amp;_R4"/>
      <sheetName val="factor_sheet2"/>
      <sheetName val="Exp_4"/>
      <sheetName val="INDIGINEOUS_ITEMS_4"/>
      <sheetName val="TBAL9697_-group_wise__sdpl4"/>
      <sheetName val="Break_Dw4"/>
      <sheetName val="Load_Details(B1)4"/>
      <sheetName val="SPT_vs_PHI4"/>
      <sheetName val="Civil_Boq4"/>
      <sheetName val="PA-_Consutant_4"/>
      <sheetName val="Debits_as_on_12_04_084"/>
      <sheetName val="INDORAMA_Group_June_024"/>
      <sheetName val="Desgn(zone_I)4"/>
      <sheetName val="Bed_Class4"/>
      <sheetName val="M_B-QtyRecn1"/>
      <sheetName val="det_est"/>
      <sheetName val="PACK (B)"/>
      <sheetName val="Material "/>
      <sheetName val="협조전"/>
      <sheetName val="CPIPE"/>
      <sheetName val="BOQ civil"/>
      <sheetName val="NLD - Assum"/>
      <sheetName val="Capex-fixed"/>
      <sheetName val="schedule nos"/>
      <sheetName val="rdamdata"/>
      <sheetName val="Estimate "/>
      <sheetName val="HDPE"/>
      <sheetName val="Usage"/>
      <sheetName val="Common "/>
      <sheetName val="General"/>
      <sheetName val="office"/>
      <sheetName val="Lab"/>
      <sheetName val="Material&amp;equipment"/>
      <sheetName val="train cash"/>
      <sheetName val="accom cash"/>
      <sheetName val="bill 2"/>
      <sheetName val="SOR"/>
      <sheetName val="INPUT SHEET"/>
      <sheetName val="WORK TABLE"/>
      <sheetName val="220 11  BS "/>
      <sheetName val="Intro."/>
      <sheetName val="Column Steel-R2"/>
      <sheetName val="std.wt."/>
      <sheetName val="AK-Offertstammblatt"/>
      <sheetName val="beam-reinft-machine rm"/>
      <sheetName val="QS Name"/>
      <sheetName val="CANDY BOQ"/>
      <sheetName val="BOQ_(2)"/>
      <sheetName val="ACAD_Finishes"/>
      <sheetName val="Site_Details"/>
      <sheetName val="Site_Area_Statement"/>
      <sheetName val="purpose&amp;input"/>
      <sheetName val="Form 6"/>
      <sheetName val="lead-st"/>
      <sheetName val="B3-B4-B5-B6"/>
      <sheetName val="intr stool brkup"/>
      <sheetName val="Cable-data"/>
      <sheetName val="newsales"/>
      <sheetName val="Meas.-Hotel Part"/>
      <sheetName val="Pay_Sep06"/>
      <sheetName val="Register"/>
      <sheetName val="EDWise"/>
      <sheetName val="d-safe specs"/>
      <sheetName val="d-safe DELUXE"/>
      <sheetName val="Diawise steel abstract"/>
      <sheetName val="SUMMARY-client"/>
      <sheetName val="Rising Main"/>
      <sheetName val="LTG-STG"/>
      <sheetName val="CCTV_EST1"/>
      <sheetName val="Detail"/>
      <sheetName val="B1"/>
      <sheetName val="01"/>
      <sheetName val="Balustrade"/>
      <sheetName val="CFForecast detail"/>
      <sheetName val="Model (Not Merged)"/>
      <sheetName val="P4-BOQ"/>
      <sheetName val="IS"/>
      <sheetName val="SGS ACQ"/>
      <sheetName val="Version"/>
      <sheetName val="BOM"/>
      <sheetName val="Price Schedule"/>
      <sheetName val="Mat_Cost"/>
      <sheetName val="Cost_Any."/>
      <sheetName val="Ratio"/>
      <sheetName val="S &amp; A"/>
      <sheetName val="Mat_Cost1"/>
      <sheetName val="Price_Schedule"/>
      <sheetName val="S_&amp;_A"/>
      <sheetName val="Cost_Any_"/>
      <sheetName val="PointNo.5"/>
      <sheetName val="Mat_Cost2"/>
      <sheetName val="Price_Schedule1"/>
      <sheetName val="S_&amp;_A1"/>
      <sheetName val="Cost_Any_1"/>
      <sheetName val="Cost_any"/>
      <sheetName val="환율"/>
      <sheetName val="discounts_XP140"/>
      <sheetName val="BOQ Distribution"/>
      <sheetName val="B"/>
      <sheetName val="Internet"/>
      <sheetName val="Introduction"/>
      <sheetName val="Operating Statistics"/>
      <sheetName val="Financials"/>
      <sheetName val="QCEQPT-owned"/>
      <sheetName val="Vind - BtB"/>
      <sheetName val="Tender Summary"/>
      <sheetName val="Cash Flows &amp; IRR"/>
      <sheetName val="MFG"/>
      <sheetName val="1"/>
      <sheetName val="PriceSummary"/>
      <sheetName val="A.O.R."/>
      <sheetName val="PRECAST lightconc-II"/>
      <sheetName val="sheeet7"/>
      <sheetName val="Material Rate"/>
      <sheetName val="Conc_Analysis"/>
      <sheetName val="upa"/>
      <sheetName val="NRC Rationalisation"/>
      <sheetName val="소상 &quot;1&quot;"/>
      <sheetName val="Discount &amp; Margin"/>
      <sheetName val="RAJU ASSO"/>
      <sheetName val="inWords"/>
      <sheetName val="Detail In Door Stad"/>
      <sheetName val="Notes"/>
      <sheetName val="Mar Roster"/>
      <sheetName val="Branch Power"/>
      <sheetName val="Distrib"/>
      <sheetName val="Emergency"/>
      <sheetName val="Equipment"/>
      <sheetName val="Lighting"/>
      <sheetName val="BHANDUP"/>
      <sheetName val="3. Elemental Summary"/>
      <sheetName val="Retaing wall"/>
      <sheetName val="TS-TC"/>
      <sheetName val="대비표"/>
      <sheetName val="except wiring"/>
      <sheetName val="Cs"/>
      <sheetName val="CPIPE 1"/>
      <sheetName val="Assumptions"/>
      <sheetName val="PART-I_(2)6"/>
      <sheetName val="final_abstract6"/>
      <sheetName val="Pipe_Supports5"/>
      <sheetName val="Basement_Budget5"/>
      <sheetName val="Rate_analysis5"/>
      <sheetName val="Break_up_Sheet5"/>
      <sheetName val="B_&amp;_C_-_M_-_ccp5"/>
      <sheetName val="Fee_Rate_Summary5"/>
      <sheetName val="Materials_Cost5"/>
      <sheetName val="10__&amp;_11__Rate_Code_&amp;_BQ5"/>
      <sheetName val="RES_STEEL_TO5"/>
      <sheetName val="RMZ_Summary5"/>
      <sheetName val="Fill_this_out_first___5"/>
      <sheetName val="Cop_-VGN5"/>
      <sheetName val="Field_Values5"/>
      <sheetName val="Materials_5"/>
      <sheetName val="Fin_Sum5"/>
      <sheetName val="Site_Dev_BOQ5"/>
      <sheetName val="Staff_Forecast_spread5"/>
      <sheetName val="Structure_Bills_Qty5"/>
      <sheetName val="Builtup_Area5"/>
      <sheetName val="MASTER_RATE_ANALYSIS5"/>
      <sheetName val="BOQ_Direct_selling_cost5"/>
      <sheetName val="Stress_Calculation5"/>
      <sheetName val="IO_List5"/>
      <sheetName val="MN_T_B_5"/>
      <sheetName val="E_&amp;_R5"/>
      <sheetName val="SPT_vs_PHI5"/>
      <sheetName val="Civil_Boq5"/>
      <sheetName val="Exp_5"/>
      <sheetName val="INDIGINEOUS_ITEMS_5"/>
      <sheetName val="TBAL9697_-group_wise__sdpl5"/>
      <sheetName val="RA_4_Challan_Summary_2"/>
      <sheetName val="Labour_productivity2"/>
      <sheetName val="labour_coeff2"/>
      <sheetName val="RCC,Ret__Wall2"/>
      <sheetName val="Load_Details(B1)5"/>
      <sheetName val="Break_Dw5"/>
      <sheetName val="Desgn(zone_I)5"/>
      <sheetName val="PA-_Consutant_5"/>
      <sheetName val="Debits_as_on_12_04_085"/>
      <sheetName val="INDORAMA_Group_June_025"/>
      <sheetName val="Sheet3_(2)"/>
      <sheetName val="INPUT_SHEET"/>
      <sheetName val="beam-reinft-IIInd_floor"/>
      <sheetName val="CABLE_DATA"/>
      <sheetName val="Bed_Class5"/>
      <sheetName val="M_B-QtyRecn2"/>
      <sheetName val="d-safe_specs"/>
      <sheetName val="d-safe_DELUXE"/>
      <sheetName val="Diawise_steel_abstract"/>
      <sheetName val="Rising_Main"/>
      <sheetName val="ORDER_BOOKING"/>
      <sheetName val="For_Bill-04_PS"/>
      <sheetName val="M-Book_for_Conc"/>
      <sheetName val="M-Book_for_FW"/>
      <sheetName val="PH_data"/>
      <sheetName val="Details_(3)"/>
      <sheetName val="BOQ_(2)1"/>
      <sheetName val="Sqn__Main__Abs"/>
      <sheetName val="ACAD_Finishes1"/>
      <sheetName val="Site_Details1"/>
      <sheetName val="Site_Area_Statement1"/>
      <sheetName val="Approved_MTD_Proj_#'s"/>
      <sheetName val="Staff_Acco_"/>
      <sheetName val="Section_Catalogue"/>
      <sheetName val="Staircase_"/>
      <sheetName val="PACK_(B)"/>
      <sheetName val="BOQ_civil"/>
      <sheetName val="GR_slab-reinft"/>
      <sheetName val="Material_"/>
      <sheetName val="Estimate_"/>
      <sheetName val="NLD_-_Assum"/>
      <sheetName val="schedule_nos"/>
      <sheetName val="train_cash"/>
      <sheetName val="accom_cash"/>
      <sheetName val="bill_2"/>
      <sheetName val="Common_"/>
      <sheetName val="Column_Steel-R2"/>
      <sheetName val="std_wt_"/>
      <sheetName val="WORK_TABLE"/>
      <sheetName val="220_11__BS_"/>
      <sheetName val="Intro_"/>
      <sheetName val="beam-reinft-machine_rm"/>
      <sheetName val="QS_Name"/>
      <sheetName val="CANDY_BOQ"/>
      <sheetName val="Meas_-Hotel_Part"/>
      <sheetName val="BOQ_Distribution"/>
      <sheetName val="horizontal"/>
      <sheetName val="Baricading"/>
      <sheetName val="PC Master List"/>
      <sheetName val="Cleaning &amp; Grubbing"/>
      <sheetName val="Occ, Other Rev, Exp, Dispo"/>
      <sheetName val="Labor abs-NMR"/>
      <sheetName val="water prop."/>
      <sheetName val="Name List"/>
      <sheetName val="PRELIM5"/>
      <sheetName val="Abs PMRL"/>
      <sheetName val="ICO_budzet_97"/>
      <sheetName val="DetEst"/>
      <sheetName val="basdat"/>
      <sheetName val="beam-reinft"/>
      <sheetName val="GM &amp; TA"/>
      <sheetName val="Qty-UG"/>
      <sheetName val="M.S."/>
      <sheetName val="Project Details.."/>
      <sheetName val="TOS-F"/>
      <sheetName val="Vind_-_BtB"/>
      <sheetName val="Tender_Summary"/>
      <sheetName val="Cash_Flows_&amp;_IRR"/>
      <sheetName val="SGS_ACQ"/>
      <sheetName val="CFForecast_detail"/>
      <sheetName val="Model_(Not_Merged)"/>
      <sheetName val="Form_6"/>
      <sheetName val="Operating_Statistics"/>
      <sheetName val="DOOR-WINDOW SCHEDULE"/>
      <sheetName val="BLOCK WORK-GRD FLR"/>
      <sheetName val="INFRA-CONTRACOR"/>
      <sheetName val="Excavation"/>
      <sheetName val="RCC"/>
      <sheetName val=" Block work"/>
      <sheetName val="Plaster"/>
      <sheetName val="Flooring &amp; Road"/>
      <sheetName val="CHintamani"/>
      <sheetName val="SSF"/>
      <sheetName val="Plumbing"/>
      <sheetName val="Cement"/>
      <sheetName val="BOM "/>
      <sheetName val="SUBMITED bISS"/>
      <sheetName val="TOTAL SUMMARY"/>
      <sheetName val="QTY"/>
      <sheetName val="P.Well( RCC)"/>
      <sheetName val="Template4444"/>
      <sheetName val="CONNECT"/>
      <sheetName val="PO Summary"/>
      <sheetName val="BOQ Summary"/>
      <sheetName val="Sec 1 Loose Furniture 18% GST"/>
      <sheetName val="Sec 1 Loose Furniture 12% GST"/>
      <sheetName val="Sec 1 Loose Furniture 5% GST"/>
      <sheetName val="Sec 2 Cafeteria Tables"/>
      <sheetName val="Sec 3 Cafeteria Chairs"/>
      <sheetName val="Sec 4 Work Floors - NT "/>
      <sheetName val="Sec 5 LGF Chairs-NT"/>
      <sheetName val="Sec 6 Additional 18% GST "/>
      <sheetName val="Sec 6 Additional 12% GST "/>
      <sheetName val="Sec 11-NT set 3"/>
      <sheetName val="DC Summary"/>
      <sheetName val="M Sheet"/>
      <sheetName val="RA4 Checklist"/>
      <sheetName val="P-Ins &amp; Bonds"/>
      <sheetName val="ecc_res"/>
      <sheetName val="project"/>
      <sheetName val="Japan Reco"/>
      <sheetName val="look-dept"/>
      <sheetName val="P&amp;L-BDMC"/>
      <sheetName val="Source Ref."/>
      <sheetName val="costing sheet"/>
      <sheetName val="PCC"/>
      <sheetName val="NEW-IDs Fun &amp; Group"/>
      <sheetName val="Values"/>
      <sheetName val="2.대외공문"/>
      <sheetName val="pvc"/>
      <sheetName val="DATA-2005-06"/>
      <sheetName val="Labour &amp; Plant"/>
      <sheetName val="ssr-rates"/>
      <sheetName val="leads"/>
      <sheetName val="BS"/>
      <sheetName val="Capex"/>
      <sheetName val="Control"/>
      <sheetName val="PROG_DATA"/>
      <sheetName val="PRSH"/>
      <sheetName val="List"/>
      <sheetName val="ANNEXURE-A"/>
      <sheetName val="FINOLEX"/>
      <sheetName val="Price Comparison"/>
      <sheetName val="BLOCK-A (MEA.SHEET)"/>
      <sheetName val="Insts"/>
      <sheetName val="220Kv (2)"/>
      <sheetName val="COMPLEXALL"/>
      <sheetName val="sheet6"/>
      <sheetName val="Costing-blk-B"/>
      <sheetName val="Master"/>
      <sheetName val="PRICE-COMP"/>
      <sheetName val="India F&amp;S Template"/>
      <sheetName val="DETAILED  BOQ"/>
      <sheetName val="R20_R30_work"/>
      <sheetName val="Results"/>
      <sheetName val="PLGroupings"/>
      <sheetName val="BASIS -DEC 08"/>
      <sheetName val=" "/>
      <sheetName val="Transfer"/>
      <sheetName val="4 Annex 1 Basic rate"/>
      <sheetName val="Door Qty"/>
      <sheetName val="Win Qty"/>
      <sheetName val="detail'02"/>
      <sheetName val="Basic"/>
      <sheetName val="Capital Structure"/>
      <sheetName val="Actuals_by_Job"/>
      <sheetName val="Outlook"/>
      <sheetName val="compare"/>
      <sheetName val=""/>
      <sheetName val="except_wiring"/>
      <sheetName val="CPIPE_1"/>
      <sheetName val="M_S_"/>
      <sheetName val="PART-I_(2)28"/>
      <sheetName val="final_abstract28"/>
      <sheetName val="Basement_Budget27"/>
      <sheetName val="Rate_analysis27"/>
      <sheetName val="Fee_Rate_Summary27"/>
      <sheetName val="Materials_Cost27"/>
      <sheetName val="10__&amp;_11__Rate_Code_&amp;_BQ27"/>
      <sheetName val="Break_up_Sheet27"/>
      <sheetName val="B_&amp;_C_-_M_-_ccp27"/>
      <sheetName val="RES_STEEL_TO27"/>
      <sheetName val="RMZ_Summary27"/>
      <sheetName val="Materials_27"/>
      <sheetName val="Field_Values27"/>
      <sheetName val="Fin_Sum27"/>
      <sheetName val="Fill_this_out_first___27"/>
      <sheetName val="Site_Dev_BOQ27"/>
      <sheetName val="Staff_Forecast_spread27"/>
      <sheetName val="Structure_Bills_Qty27"/>
      <sheetName val="Builtup_Area27"/>
      <sheetName val="MASTER_RATE_ANALYSIS27"/>
      <sheetName val="Cop_-VGN27"/>
      <sheetName val="Pipe_Supports27"/>
      <sheetName val="MN_T_B_27"/>
      <sheetName val="BOQ_Direct_selling_cost27"/>
      <sheetName val="Stress_Calculation27"/>
      <sheetName val="IO_List27"/>
      <sheetName val="TBAL9697_-group_wise__sdpl27"/>
      <sheetName val="Exp_27"/>
      <sheetName val="INDIGINEOUS_ITEMS_27"/>
      <sheetName val="E_&amp;_R27"/>
      <sheetName val="Load_Details(B1)27"/>
      <sheetName val="Break_Dw27"/>
      <sheetName val="SPT_vs_PHI27"/>
      <sheetName val="Civil_Boq27"/>
      <sheetName val="PA-_Consutant_27"/>
      <sheetName val="Debits_as_on_12_04_0827"/>
      <sheetName val="Sheet3_(2)27"/>
      <sheetName val="INDORAMA_Group_June_0227"/>
      <sheetName val="Sheet3_(2)1"/>
      <sheetName val="Sheet3_(2)2"/>
      <sheetName val="Sheet3_(2)3"/>
      <sheetName val="Sheet3_(2)5"/>
      <sheetName val="Sheet3_(2)4"/>
      <sheetName val="PART-I_(2)7"/>
      <sheetName val="final_abstract7"/>
      <sheetName val="Basement_Budget6"/>
      <sheetName val="Rate_analysis6"/>
      <sheetName val="Fee_Rate_Summary6"/>
      <sheetName val="Materials_Cost6"/>
      <sheetName val="10__&amp;_11__Rate_Code_&amp;_BQ6"/>
      <sheetName val="Break_up_Sheet6"/>
      <sheetName val="B_&amp;_C_-_M_-_ccp6"/>
      <sheetName val="RES_STEEL_TO6"/>
      <sheetName val="RMZ_Summary6"/>
      <sheetName val="Materials_6"/>
      <sheetName val="Field_Values6"/>
      <sheetName val="Fin_Sum6"/>
      <sheetName val="Fill_this_out_first___6"/>
      <sheetName val="Site_Dev_BOQ6"/>
      <sheetName val="Staff_Forecast_spread6"/>
      <sheetName val="Structure_Bills_Qty6"/>
      <sheetName val="Builtup_Area6"/>
      <sheetName val="MASTER_RATE_ANALYSIS6"/>
      <sheetName val="Cop_-VGN6"/>
      <sheetName val="Pipe_Supports6"/>
      <sheetName val="MN_T_B_6"/>
      <sheetName val="BOQ_Direct_selling_cost6"/>
      <sheetName val="Stress_Calculation6"/>
      <sheetName val="IO_List6"/>
      <sheetName val="TBAL9697_-group_wise__sdpl6"/>
      <sheetName val="Exp_6"/>
      <sheetName val="INDIGINEOUS_ITEMS_6"/>
      <sheetName val="E_&amp;_R6"/>
      <sheetName val="Load_Details(B1)6"/>
      <sheetName val="Break_Dw6"/>
      <sheetName val="SPT_vs_PHI6"/>
      <sheetName val="Civil_Boq6"/>
      <sheetName val="PA-_Consutant_6"/>
      <sheetName val="Debits_as_on_12_04_086"/>
      <sheetName val="Sheet3_(2)6"/>
      <sheetName val="INDORAMA_Group_June_026"/>
      <sheetName val="PART-I_(2)8"/>
      <sheetName val="final_abstract8"/>
      <sheetName val="Basement_Budget7"/>
      <sheetName val="Rate_analysis7"/>
      <sheetName val="Fee_Rate_Summary7"/>
      <sheetName val="Materials_Cost7"/>
      <sheetName val="10__&amp;_11__Rate_Code_&amp;_BQ7"/>
      <sheetName val="Break_up_Sheet7"/>
      <sheetName val="B_&amp;_C_-_M_-_ccp7"/>
      <sheetName val="RES_STEEL_TO7"/>
      <sheetName val="RMZ_Summary7"/>
      <sheetName val="Materials_7"/>
      <sheetName val="Field_Values7"/>
      <sheetName val="Fin_Sum7"/>
      <sheetName val="Fill_this_out_first___7"/>
      <sheetName val="Site_Dev_BOQ7"/>
      <sheetName val="Staff_Forecast_spread7"/>
      <sheetName val="Structure_Bills_Qty7"/>
      <sheetName val="Builtup_Area7"/>
      <sheetName val="MASTER_RATE_ANALYSIS7"/>
      <sheetName val="Cop_-VGN7"/>
      <sheetName val="Pipe_Supports7"/>
      <sheetName val="MN_T_B_7"/>
      <sheetName val="BOQ_Direct_selling_cost7"/>
      <sheetName val="Stress_Calculation7"/>
      <sheetName val="IO_List7"/>
      <sheetName val="TBAL9697_-group_wise__sdpl7"/>
      <sheetName val="Exp_7"/>
      <sheetName val="INDIGINEOUS_ITEMS_7"/>
      <sheetName val="E_&amp;_R7"/>
      <sheetName val="Load_Details(B1)7"/>
      <sheetName val="Break_Dw7"/>
      <sheetName val="SPT_vs_PHI7"/>
      <sheetName val="Civil_Boq7"/>
      <sheetName val="PA-_Consutant_7"/>
      <sheetName val="Debits_as_on_12_04_087"/>
      <sheetName val="Sheet3_(2)7"/>
      <sheetName val="INDORAMA_Group_June_027"/>
      <sheetName val="PART-I_(2)12"/>
      <sheetName val="final_abstract12"/>
      <sheetName val="Basement_Budget11"/>
      <sheetName val="Rate_analysis11"/>
      <sheetName val="Fee_Rate_Summary11"/>
      <sheetName val="Materials_Cost11"/>
      <sheetName val="10__&amp;_11__Rate_Code_&amp;_BQ11"/>
      <sheetName val="Break_up_Sheet11"/>
      <sheetName val="B_&amp;_C_-_M_-_ccp11"/>
      <sheetName val="RES_STEEL_TO11"/>
      <sheetName val="RMZ_Summary11"/>
      <sheetName val="Materials_11"/>
      <sheetName val="Field_Values11"/>
      <sheetName val="Fin_Sum11"/>
      <sheetName val="Fill_this_out_first___11"/>
      <sheetName val="Site_Dev_BOQ11"/>
      <sheetName val="Staff_Forecast_spread11"/>
      <sheetName val="Structure_Bills_Qty11"/>
      <sheetName val="Builtup_Area11"/>
      <sheetName val="MASTER_RATE_ANALYSIS11"/>
      <sheetName val="Cop_-VGN11"/>
      <sheetName val="Pipe_Supports11"/>
      <sheetName val="MN_T_B_11"/>
      <sheetName val="BOQ_Direct_selling_cost11"/>
      <sheetName val="Stress_Calculation11"/>
      <sheetName val="IO_List11"/>
      <sheetName val="TBAL9697_-group_wise__sdpl11"/>
      <sheetName val="Exp_11"/>
      <sheetName val="INDIGINEOUS_ITEMS_11"/>
      <sheetName val="E_&amp;_R11"/>
      <sheetName val="Load_Details(B1)11"/>
      <sheetName val="Break_Dw11"/>
      <sheetName val="SPT_vs_PHI11"/>
      <sheetName val="Civil_Boq11"/>
      <sheetName val="PA-_Consutant_11"/>
      <sheetName val="Debits_as_on_12_04_0811"/>
      <sheetName val="Sheet3_(2)11"/>
      <sheetName val="INDORAMA_Group_June_0211"/>
      <sheetName val="PART-I_(2)9"/>
      <sheetName val="final_abstract9"/>
      <sheetName val="Basement_Budget8"/>
      <sheetName val="Rate_analysis8"/>
      <sheetName val="Fee_Rate_Summary8"/>
      <sheetName val="Materials_Cost8"/>
      <sheetName val="10__&amp;_11__Rate_Code_&amp;_BQ8"/>
      <sheetName val="Break_up_Sheet8"/>
      <sheetName val="B_&amp;_C_-_M_-_ccp8"/>
      <sheetName val="RES_STEEL_TO8"/>
      <sheetName val="RMZ_Summary8"/>
      <sheetName val="Materials_8"/>
      <sheetName val="Field_Values8"/>
      <sheetName val="Fin_Sum8"/>
      <sheetName val="Fill_this_out_first___8"/>
      <sheetName val="Site_Dev_BOQ8"/>
      <sheetName val="Staff_Forecast_spread8"/>
      <sheetName val="Structure_Bills_Qty8"/>
      <sheetName val="Builtup_Area8"/>
      <sheetName val="MASTER_RATE_ANALYSIS8"/>
      <sheetName val="Cop_-VGN8"/>
      <sheetName val="Pipe_Supports8"/>
      <sheetName val="MN_T_B_8"/>
      <sheetName val="BOQ_Direct_selling_cost8"/>
      <sheetName val="Stress_Calculation8"/>
      <sheetName val="IO_List8"/>
      <sheetName val="TBAL9697_-group_wise__sdpl8"/>
      <sheetName val="Exp_8"/>
      <sheetName val="INDIGINEOUS_ITEMS_8"/>
      <sheetName val="E_&amp;_R8"/>
      <sheetName val="Load_Details(B1)8"/>
      <sheetName val="Break_Dw8"/>
      <sheetName val="SPT_vs_PHI8"/>
      <sheetName val="Civil_Boq8"/>
      <sheetName val="PA-_Consutant_8"/>
      <sheetName val="Debits_as_on_12_04_088"/>
      <sheetName val="Sheet3_(2)8"/>
      <sheetName val="INDORAMA_Group_June_028"/>
      <sheetName val="PART-I_(2)10"/>
      <sheetName val="final_abstract10"/>
      <sheetName val="Basement_Budget9"/>
      <sheetName val="Rate_analysis9"/>
      <sheetName val="Fee_Rate_Summary9"/>
      <sheetName val="Materials_Cost9"/>
      <sheetName val="10__&amp;_11__Rate_Code_&amp;_BQ9"/>
      <sheetName val="Break_up_Sheet9"/>
      <sheetName val="B_&amp;_C_-_M_-_ccp9"/>
      <sheetName val="RES_STEEL_TO9"/>
      <sheetName val="RMZ_Summary9"/>
      <sheetName val="Materials_9"/>
      <sheetName val="Field_Values9"/>
      <sheetName val="Fin_Sum9"/>
      <sheetName val="Fill_this_out_first___9"/>
      <sheetName val="Site_Dev_BOQ9"/>
      <sheetName val="Staff_Forecast_spread9"/>
      <sheetName val="Structure_Bills_Qty9"/>
      <sheetName val="Builtup_Area9"/>
      <sheetName val="MASTER_RATE_ANALYSIS9"/>
      <sheetName val="Cop_-VGN9"/>
      <sheetName val="Pipe_Supports9"/>
      <sheetName val="MN_T_B_9"/>
      <sheetName val="BOQ_Direct_selling_cost9"/>
      <sheetName val="Stress_Calculation9"/>
      <sheetName val="IO_List9"/>
      <sheetName val="TBAL9697_-group_wise__sdpl9"/>
      <sheetName val="Exp_9"/>
      <sheetName val="INDIGINEOUS_ITEMS_9"/>
      <sheetName val="E_&amp;_R9"/>
      <sheetName val="Load_Details(B1)9"/>
      <sheetName val="Break_Dw9"/>
      <sheetName val="SPT_vs_PHI9"/>
      <sheetName val="Civil_Boq9"/>
      <sheetName val="PA-_Consutant_9"/>
      <sheetName val="Debits_as_on_12_04_089"/>
      <sheetName val="Sheet3_(2)9"/>
      <sheetName val="INDORAMA_Group_June_029"/>
      <sheetName val="PART-I_(2)11"/>
      <sheetName val="final_abstract11"/>
      <sheetName val="Basement_Budget10"/>
      <sheetName val="Rate_analysis10"/>
      <sheetName val="Fee_Rate_Summary10"/>
      <sheetName val="Materials_Cost10"/>
      <sheetName val="10__&amp;_11__Rate_Code_&amp;_BQ10"/>
      <sheetName val="Break_up_Sheet10"/>
      <sheetName val="B_&amp;_C_-_M_-_ccp10"/>
      <sheetName val="RES_STEEL_TO10"/>
      <sheetName val="RMZ_Summary10"/>
      <sheetName val="Materials_10"/>
      <sheetName val="Field_Values10"/>
      <sheetName val="Fin_Sum10"/>
      <sheetName val="Fill_this_out_first___10"/>
      <sheetName val="Site_Dev_BOQ10"/>
      <sheetName val="Staff_Forecast_spread10"/>
      <sheetName val="Structure_Bills_Qty10"/>
      <sheetName val="Builtup_Area10"/>
      <sheetName val="MASTER_RATE_ANALYSIS10"/>
      <sheetName val="Cop_-VGN10"/>
      <sheetName val="Pipe_Supports10"/>
      <sheetName val="MN_T_B_10"/>
      <sheetName val="BOQ_Direct_selling_cost10"/>
      <sheetName val="Stress_Calculation10"/>
      <sheetName val="IO_List10"/>
      <sheetName val="TBAL9697_-group_wise__sdpl10"/>
      <sheetName val="Exp_10"/>
      <sheetName val="INDIGINEOUS_ITEMS_10"/>
      <sheetName val="E_&amp;_R10"/>
      <sheetName val="Load_Details(B1)10"/>
      <sheetName val="Break_Dw10"/>
      <sheetName val="SPT_vs_PHI10"/>
      <sheetName val="Civil_Boq10"/>
      <sheetName val="PA-_Consutant_10"/>
      <sheetName val="Debits_as_on_12_04_0810"/>
      <sheetName val="Sheet3_(2)10"/>
      <sheetName val="INDORAMA_Group_June_0210"/>
      <sheetName val="PART-I_(2)13"/>
      <sheetName val="final_abstract13"/>
      <sheetName val="Basement_Budget12"/>
      <sheetName val="Rate_analysis12"/>
      <sheetName val="Fee_Rate_Summary12"/>
      <sheetName val="Materials_Cost12"/>
      <sheetName val="10__&amp;_11__Rate_Code_&amp;_BQ12"/>
      <sheetName val="Break_up_Sheet12"/>
      <sheetName val="B_&amp;_C_-_M_-_ccp12"/>
      <sheetName val="RES_STEEL_TO12"/>
      <sheetName val="RMZ_Summary12"/>
      <sheetName val="Materials_12"/>
      <sheetName val="Fill_this_out_first___12"/>
      <sheetName val="Cop_-VGN12"/>
      <sheetName val="Field_Values12"/>
      <sheetName val="Fin_Sum12"/>
      <sheetName val="Site_Dev_BOQ12"/>
      <sheetName val="Staff_Forecast_spread12"/>
      <sheetName val="Structure_Bills_Qty12"/>
      <sheetName val="Builtup_Area12"/>
      <sheetName val="MASTER_RATE_ANALYSIS12"/>
      <sheetName val="Pipe_Supports12"/>
      <sheetName val="MN_T_B_12"/>
      <sheetName val="BOQ_Direct_selling_cost12"/>
      <sheetName val="Stress_Calculation12"/>
      <sheetName val="IO_List12"/>
      <sheetName val="TBAL9697_-group_wise__sdpl12"/>
      <sheetName val="Exp_12"/>
      <sheetName val="INDIGINEOUS_ITEMS_12"/>
      <sheetName val="E_&amp;_R12"/>
      <sheetName val="Load_Details(B1)12"/>
      <sheetName val="Break_Dw12"/>
      <sheetName val="SPT_vs_PHI12"/>
      <sheetName val="Civil_Boq12"/>
      <sheetName val="PA-_Consutant_12"/>
      <sheetName val="Debits_as_on_12_04_0812"/>
      <sheetName val="Sheet3_(2)12"/>
      <sheetName val="INDORAMA_Group_June_0212"/>
      <sheetName val="PART-I_(2)16"/>
      <sheetName val="final_abstract16"/>
      <sheetName val="Basement_Budget15"/>
      <sheetName val="Rate_analysis15"/>
      <sheetName val="Fee_Rate_Summary15"/>
      <sheetName val="Materials_Cost15"/>
      <sheetName val="10__&amp;_11__Rate_Code_&amp;_BQ15"/>
      <sheetName val="Break_up_Sheet15"/>
      <sheetName val="B_&amp;_C_-_M_-_ccp15"/>
      <sheetName val="RES_STEEL_TO15"/>
      <sheetName val="RMZ_Summary15"/>
      <sheetName val="Materials_15"/>
      <sheetName val="Field_Values15"/>
      <sheetName val="Fin_Sum15"/>
      <sheetName val="Fill_this_out_first___15"/>
      <sheetName val="Site_Dev_BOQ15"/>
      <sheetName val="Staff_Forecast_spread15"/>
      <sheetName val="Structure_Bills_Qty15"/>
      <sheetName val="Builtup_Area15"/>
      <sheetName val="MASTER_RATE_ANALYSIS15"/>
      <sheetName val="Cop_-VGN15"/>
      <sheetName val="Pipe_Supports15"/>
      <sheetName val="MN_T_B_15"/>
      <sheetName val="BOQ_Direct_selling_cost15"/>
      <sheetName val="Stress_Calculation15"/>
      <sheetName val="IO_List15"/>
      <sheetName val="TBAL9697_-group_wise__sdpl15"/>
      <sheetName val="Exp_15"/>
      <sheetName val="INDIGINEOUS_ITEMS_15"/>
      <sheetName val="E_&amp;_R15"/>
      <sheetName val="Load_Details(B1)15"/>
      <sheetName val="Break_Dw15"/>
      <sheetName val="SPT_vs_PHI15"/>
      <sheetName val="Civil_Boq15"/>
      <sheetName val="PA-_Consutant_15"/>
      <sheetName val="Debits_as_on_12_04_0815"/>
      <sheetName val="Sheet3_(2)15"/>
      <sheetName val="INDORAMA_Group_June_0215"/>
      <sheetName val="PART-I_(2)14"/>
      <sheetName val="final_abstract14"/>
      <sheetName val="Basement_Budget13"/>
      <sheetName val="Rate_analysis13"/>
      <sheetName val="Fee_Rate_Summary13"/>
      <sheetName val="Materials_Cost13"/>
      <sheetName val="10__&amp;_11__Rate_Code_&amp;_BQ13"/>
      <sheetName val="Break_up_Sheet13"/>
      <sheetName val="B_&amp;_C_-_M_-_ccp13"/>
      <sheetName val="RES_STEEL_TO13"/>
      <sheetName val="RMZ_Summary13"/>
      <sheetName val="Materials_13"/>
      <sheetName val="Field_Values13"/>
      <sheetName val="Fin_Sum13"/>
      <sheetName val="Fill_this_out_first___13"/>
      <sheetName val="Site_Dev_BOQ13"/>
      <sheetName val="Staff_Forecast_spread13"/>
      <sheetName val="Structure_Bills_Qty13"/>
      <sheetName val="Builtup_Area13"/>
      <sheetName val="MASTER_RATE_ANALYSIS13"/>
      <sheetName val="Cop_-VGN13"/>
      <sheetName val="Pipe_Supports13"/>
      <sheetName val="MN_T_B_13"/>
      <sheetName val="BOQ_Direct_selling_cost13"/>
      <sheetName val="Stress_Calculation13"/>
      <sheetName val="IO_List13"/>
      <sheetName val="TBAL9697_-group_wise__sdpl13"/>
      <sheetName val="Exp_13"/>
      <sheetName val="INDIGINEOUS_ITEMS_13"/>
      <sheetName val="E_&amp;_R13"/>
      <sheetName val="Load_Details(B1)13"/>
      <sheetName val="Break_Dw13"/>
      <sheetName val="SPT_vs_PHI13"/>
      <sheetName val="Civil_Boq13"/>
      <sheetName val="PA-_Consutant_13"/>
      <sheetName val="Debits_as_on_12_04_0813"/>
      <sheetName val="Sheet3_(2)13"/>
      <sheetName val="INDORAMA_Group_June_0213"/>
      <sheetName val="PART-I_(2)15"/>
      <sheetName val="final_abstract15"/>
      <sheetName val="Basement_Budget14"/>
      <sheetName val="Rate_analysis14"/>
      <sheetName val="Fee_Rate_Summary14"/>
      <sheetName val="Materials_Cost14"/>
      <sheetName val="10__&amp;_11__Rate_Code_&amp;_BQ14"/>
      <sheetName val="Break_up_Sheet14"/>
      <sheetName val="B_&amp;_C_-_M_-_ccp14"/>
      <sheetName val="RES_STEEL_TO14"/>
      <sheetName val="RMZ_Summary14"/>
      <sheetName val="Materials_14"/>
      <sheetName val="Field_Values14"/>
      <sheetName val="Fin_Sum14"/>
      <sheetName val="Fill_this_out_first___14"/>
      <sheetName val="Site_Dev_BOQ14"/>
      <sheetName val="Staff_Forecast_spread14"/>
      <sheetName val="Structure_Bills_Qty14"/>
      <sheetName val="Builtup_Area14"/>
      <sheetName val="MASTER_RATE_ANALYSIS14"/>
      <sheetName val="Cop_-VGN14"/>
      <sheetName val="Pipe_Supports14"/>
      <sheetName val="MN_T_B_14"/>
      <sheetName val="BOQ_Direct_selling_cost14"/>
      <sheetName val="Stress_Calculation14"/>
      <sheetName val="IO_List14"/>
      <sheetName val="TBAL9697_-group_wise__sdpl14"/>
      <sheetName val="Exp_14"/>
      <sheetName val="INDIGINEOUS_ITEMS_14"/>
      <sheetName val="E_&amp;_R14"/>
      <sheetName val="Load_Details(B1)14"/>
      <sheetName val="Break_Dw14"/>
      <sheetName val="SPT_vs_PHI14"/>
      <sheetName val="Civil_Boq14"/>
      <sheetName val="PA-_Consutant_14"/>
      <sheetName val="Debits_as_on_12_04_0814"/>
      <sheetName val="Sheet3_(2)14"/>
      <sheetName val="INDORAMA_Group_June_0214"/>
      <sheetName val="PART-I_(2)17"/>
      <sheetName val="final_abstract17"/>
      <sheetName val="Rate_analysis16"/>
      <sheetName val="Fee_Rate_Summary16"/>
      <sheetName val="Basement_Budget16"/>
      <sheetName val="Materials_Cost16"/>
      <sheetName val="10__&amp;_11__Rate_Code_&amp;_BQ16"/>
      <sheetName val="Break_up_Sheet16"/>
      <sheetName val="B_&amp;_C_-_M_-_ccp16"/>
      <sheetName val="RES_STEEL_TO16"/>
      <sheetName val="RMZ_Summary16"/>
      <sheetName val="Field_Values16"/>
      <sheetName val="Fin_Sum16"/>
      <sheetName val="Fill_this_out_first___16"/>
      <sheetName val="Site_Dev_BOQ16"/>
      <sheetName val="Staff_Forecast_spread16"/>
      <sheetName val="Structure_Bills_Qty16"/>
      <sheetName val="Builtup_Area16"/>
      <sheetName val="MASTER_RATE_ANALYSIS16"/>
      <sheetName val="Cop_-VGN16"/>
      <sheetName val="Pipe_Supports16"/>
      <sheetName val="Materials_16"/>
      <sheetName val="MN_T_B_16"/>
      <sheetName val="BOQ_Direct_selling_cost16"/>
      <sheetName val="Stress_Calculation16"/>
      <sheetName val="IO_List16"/>
      <sheetName val="TBAL9697_-group_wise__sdpl16"/>
      <sheetName val="Exp_16"/>
      <sheetName val="INDIGINEOUS_ITEMS_16"/>
      <sheetName val="E_&amp;_R16"/>
      <sheetName val="Load_Details(B1)16"/>
      <sheetName val="Break_Dw16"/>
      <sheetName val="SPT_vs_PHI16"/>
      <sheetName val="Civil_Boq16"/>
      <sheetName val="PA-_Consutant_16"/>
      <sheetName val="Debits_as_on_12_04_0816"/>
      <sheetName val="Sheet3_(2)16"/>
      <sheetName val="INDORAMA_Group_June_0216"/>
      <sheetName val="PART-I_(2)22"/>
      <sheetName val="final_abstract22"/>
      <sheetName val="Basement_Budget21"/>
      <sheetName val="Rate_analysis21"/>
      <sheetName val="Fee_Rate_Summary21"/>
      <sheetName val="Materials_Cost21"/>
      <sheetName val="10__&amp;_11__Rate_Code_&amp;_BQ21"/>
      <sheetName val="Break_up_Sheet21"/>
      <sheetName val="B_&amp;_C_-_M_-_ccp21"/>
      <sheetName val="RES_STEEL_TO21"/>
      <sheetName val="RMZ_Summary21"/>
      <sheetName val="Materials_21"/>
      <sheetName val="Field_Values21"/>
      <sheetName val="Fin_Sum21"/>
      <sheetName val="Fill_this_out_first___21"/>
      <sheetName val="Site_Dev_BOQ21"/>
      <sheetName val="Staff_Forecast_spread21"/>
      <sheetName val="Structure_Bills_Qty21"/>
      <sheetName val="Builtup_Area21"/>
      <sheetName val="MASTER_RATE_ANALYSIS21"/>
      <sheetName val="Cop_-VGN21"/>
      <sheetName val="Pipe_Supports21"/>
      <sheetName val="MN_T_B_21"/>
      <sheetName val="BOQ_Direct_selling_cost21"/>
      <sheetName val="Stress_Calculation21"/>
      <sheetName val="IO_List21"/>
      <sheetName val="TBAL9697_-group_wise__sdpl21"/>
      <sheetName val="Exp_21"/>
      <sheetName val="INDIGINEOUS_ITEMS_21"/>
      <sheetName val="E_&amp;_R21"/>
      <sheetName val="Load_Details(B1)21"/>
      <sheetName val="Break_Dw21"/>
      <sheetName val="SPT_vs_PHI21"/>
      <sheetName val="Civil_Boq21"/>
      <sheetName val="PA-_Consutant_21"/>
      <sheetName val="Debits_as_on_12_04_0821"/>
      <sheetName val="Sheet3_(2)21"/>
      <sheetName val="INDORAMA_Group_June_0221"/>
      <sheetName val="PART-I_(2)19"/>
      <sheetName val="final_abstract19"/>
      <sheetName val="Rate_analysis18"/>
      <sheetName val="Fee_Rate_Summary18"/>
      <sheetName val="Basement_Budget18"/>
      <sheetName val="Materials_Cost18"/>
      <sheetName val="10__&amp;_11__Rate_Code_&amp;_BQ18"/>
      <sheetName val="Break_up_Sheet18"/>
      <sheetName val="B_&amp;_C_-_M_-_ccp18"/>
      <sheetName val="RES_STEEL_TO18"/>
      <sheetName val="RMZ_Summary18"/>
      <sheetName val="Field_Values18"/>
      <sheetName val="Fin_Sum18"/>
      <sheetName val="Fill_this_out_first___18"/>
      <sheetName val="Site_Dev_BOQ18"/>
      <sheetName val="Staff_Forecast_spread18"/>
      <sheetName val="Structure_Bills_Qty18"/>
      <sheetName val="Builtup_Area18"/>
      <sheetName val="MASTER_RATE_ANALYSIS18"/>
      <sheetName val="Cop_-VGN18"/>
      <sheetName val="Pipe_Supports18"/>
      <sheetName val="Materials_18"/>
      <sheetName val="MN_T_B_18"/>
      <sheetName val="BOQ_Direct_selling_cost18"/>
      <sheetName val="Stress_Calculation18"/>
      <sheetName val="IO_List18"/>
      <sheetName val="TBAL9697_-group_wise__sdpl18"/>
      <sheetName val="Exp_18"/>
      <sheetName val="INDIGINEOUS_ITEMS_18"/>
      <sheetName val="E_&amp;_R18"/>
      <sheetName val="Load_Details(B1)18"/>
      <sheetName val="Break_Dw18"/>
      <sheetName val="SPT_vs_PHI18"/>
      <sheetName val="Civil_Boq18"/>
      <sheetName val="PA-_Consutant_18"/>
      <sheetName val="Debits_as_on_12_04_0818"/>
      <sheetName val="Sheet3_(2)18"/>
      <sheetName val="INDORAMA_Group_June_0218"/>
      <sheetName val="PART-I_(2)18"/>
      <sheetName val="final_abstract18"/>
      <sheetName val="Rate_analysis17"/>
      <sheetName val="Fee_Rate_Summary17"/>
      <sheetName val="Basement_Budget17"/>
      <sheetName val="Materials_Cost17"/>
      <sheetName val="10__&amp;_11__Rate_Code_&amp;_BQ17"/>
      <sheetName val="Break_up_Sheet17"/>
      <sheetName val="B_&amp;_C_-_M_-_ccp17"/>
      <sheetName val="RES_STEEL_TO17"/>
      <sheetName val="RMZ_Summary17"/>
      <sheetName val="Field_Values17"/>
      <sheetName val="Fin_Sum17"/>
      <sheetName val="Fill_this_out_first___17"/>
      <sheetName val="Site_Dev_BOQ17"/>
      <sheetName val="Staff_Forecast_spread17"/>
      <sheetName val="Structure_Bills_Qty17"/>
      <sheetName val="Builtup_Area17"/>
      <sheetName val="MASTER_RATE_ANALYSIS17"/>
      <sheetName val="Cop_-VGN17"/>
      <sheetName val="Pipe_Supports17"/>
      <sheetName val="Materials_17"/>
      <sheetName val="MN_T_B_17"/>
      <sheetName val="BOQ_Direct_selling_cost17"/>
      <sheetName val="Stress_Calculation17"/>
      <sheetName val="IO_List17"/>
      <sheetName val="TBAL9697_-group_wise__sdpl17"/>
      <sheetName val="Exp_17"/>
      <sheetName val="INDIGINEOUS_ITEMS_17"/>
      <sheetName val="E_&amp;_R17"/>
      <sheetName val="Load_Details(B1)17"/>
      <sheetName val="Break_Dw17"/>
      <sheetName val="SPT_vs_PHI17"/>
      <sheetName val="Civil_Boq17"/>
      <sheetName val="PA-_Consutant_17"/>
      <sheetName val="Debits_as_on_12_04_0817"/>
      <sheetName val="Sheet3_(2)17"/>
      <sheetName val="INDORAMA_Group_June_0217"/>
      <sheetName val="PART-I_(2)20"/>
      <sheetName val="final_abstract20"/>
      <sheetName val="Rate_analysis19"/>
      <sheetName val="Fee_Rate_Summary19"/>
      <sheetName val="Basement_Budget19"/>
      <sheetName val="Materials_Cost19"/>
      <sheetName val="10__&amp;_11__Rate_Code_&amp;_BQ19"/>
      <sheetName val="Break_up_Sheet19"/>
      <sheetName val="B_&amp;_C_-_M_-_ccp19"/>
      <sheetName val="RES_STEEL_TO19"/>
      <sheetName val="RMZ_Summary19"/>
      <sheetName val="Field_Values19"/>
      <sheetName val="Fin_Sum19"/>
      <sheetName val="Fill_this_out_first___19"/>
      <sheetName val="Site_Dev_BOQ19"/>
      <sheetName val="Staff_Forecast_spread19"/>
      <sheetName val="Structure_Bills_Qty19"/>
      <sheetName val="Builtup_Area19"/>
      <sheetName val="MASTER_RATE_ANALYSIS19"/>
      <sheetName val="Cop_-VGN19"/>
      <sheetName val="Pipe_Supports19"/>
      <sheetName val="Materials_19"/>
      <sheetName val="MN_T_B_19"/>
      <sheetName val="BOQ_Direct_selling_cost19"/>
      <sheetName val="Stress_Calculation19"/>
      <sheetName val="IO_List19"/>
      <sheetName val="TBAL9697_-group_wise__sdpl19"/>
      <sheetName val="Exp_19"/>
      <sheetName val="INDIGINEOUS_ITEMS_19"/>
      <sheetName val="E_&amp;_R19"/>
      <sheetName val="Load_Details(B1)19"/>
      <sheetName val="Break_Dw19"/>
      <sheetName val="SPT_vs_PHI19"/>
      <sheetName val="Civil_Boq19"/>
      <sheetName val="PA-_Consutant_19"/>
      <sheetName val="Debits_as_on_12_04_0819"/>
      <sheetName val="Sheet3_(2)19"/>
      <sheetName val="INDORAMA_Group_June_0219"/>
      <sheetName val="PART-I_(2)21"/>
      <sheetName val="final_abstract21"/>
      <sheetName val="Basement_Budget20"/>
      <sheetName val="Rate_analysis20"/>
      <sheetName val="Fee_Rate_Summary20"/>
      <sheetName val="Materials_Cost20"/>
      <sheetName val="10__&amp;_11__Rate_Code_&amp;_BQ20"/>
      <sheetName val="Break_up_Sheet20"/>
      <sheetName val="B_&amp;_C_-_M_-_ccp20"/>
      <sheetName val="RES_STEEL_TO20"/>
      <sheetName val="RMZ_Summary20"/>
      <sheetName val="Materials_20"/>
      <sheetName val="Field_Values20"/>
      <sheetName val="Fin_Sum20"/>
      <sheetName val="Fill_this_out_first___20"/>
      <sheetName val="Site_Dev_BOQ20"/>
      <sheetName val="Staff_Forecast_spread20"/>
      <sheetName val="Structure_Bills_Qty20"/>
      <sheetName val="Builtup_Area20"/>
      <sheetName val="MASTER_RATE_ANALYSIS20"/>
      <sheetName val="Cop_-VGN20"/>
      <sheetName val="Pipe_Supports20"/>
      <sheetName val="MN_T_B_20"/>
      <sheetName val="BOQ_Direct_selling_cost20"/>
      <sheetName val="Stress_Calculation20"/>
      <sheetName val="IO_List20"/>
      <sheetName val="TBAL9697_-group_wise__sdpl20"/>
      <sheetName val="Exp_20"/>
      <sheetName val="INDIGINEOUS_ITEMS_20"/>
      <sheetName val="E_&amp;_R20"/>
      <sheetName val="Load_Details(B1)20"/>
      <sheetName val="Break_Dw20"/>
      <sheetName val="SPT_vs_PHI20"/>
      <sheetName val="Civil_Boq20"/>
      <sheetName val="PA-_Consutant_20"/>
      <sheetName val="Debits_as_on_12_04_0820"/>
      <sheetName val="Sheet3_(2)20"/>
      <sheetName val="INDORAMA_Group_June_0220"/>
      <sheetName val="PART-I_(2)23"/>
      <sheetName val="final_abstract23"/>
      <sheetName val="Basement_Budget22"/>
      <sheetName val="Rate_analysis22"/>
      <sheetName val="Fee_Rate_Summary22"/>
      <sheetName val="Materials_Cost22"/>
      <sheetName val="10__&amp;_11__Rate_Code_&amp;_BQ22"/>
      <sheetName val="Break_up_Sheet22"/>
      <sheetName val="B_&amp;_C_-_M_-_ccp22"/>
      <sheetName val="RES_STEEL_TO22"/>
      <sheetName val="RMZ_Summary22"/>
      <sheetName val="Materials_22"/>
      <sheetName val="Field_Values22"/>
      <sheetName val="Fin_Sum22"/>
      <sheetName val="Fill_this_out_first___22"/>
      <sheetName val="Site_Dev_BOQ22"/>
      <sheetName val="Staff_Forecast_spread22"/>
      <sheetName val="Structure_Bills_Qty22"/>
      <sheetName val="Builtup_Area22"/>
      <sheetName val="MASTER_RATE_ANALYSIS22"/>
      <sheetName val="Cop_-VGN22"/>
      <sheetName val="Pipe_Supports22"/>
      <sheetName val="MN_T_B_22"/>
      <sheetName val="BOQ_Direct_selling_cost22"/>
      <sheetName val="Stress_Calculation22"/>
      <sheetName val="IO_List22"/>
      <sheetName val="TBAL9697_-group_wise__sdpl22"/>
      <sheetName val="Exp_22"/>
      <sheetName val="INDIGINEOUS_ITEMS_22"/>
      <sheetName val="E_&amp;_R22"/>
      <sheetName val="Load_Details(B1)22"/>
      <sheetName val="Break_Dw22"/>
      <sheetName val="SPT_vs_PHI22"/>
      <sheetName val="Civil_Boq22"/>
      <sheetName val="PA-_Consutant_22"/>
      <sheetName val="Debits_as_on_12_04_0822"/>
      <sheetName val="Sheet3_(2)22"/>
      <sheetName val="INDORAMA_Group_June_0222"/>
      <sheetName val="PART-I_(2)24"/>
      <sheetName val="final_abstract24"/>
      <sheetName val="Basement_Budget23"/>
      <sheetName val="Rate_analysis23"/>
      <sheetName val="Fee_Rate_Summary23"/>
      <sheetName val="Materials_Cost23"/>
      <sheetName val="10__&amp;_11__Rate_Code_&amp;_BQ23"/>
      <sheetName val="Break_up_Sheet23"/>
      <sheetName val="B_&amp;_C_-_M_-_ccp23"/>
      <sheetName val="RES_STEEL_TO23"/>
      <sheetName val="RMZ_Summary23"/>
      <sheetName val="Materials_23"/>
      <sheetName val="Field_Values23"/>
      <sheetName val="Fin_Sum23"/>
      <sheetName val="Fill_this_out_first___23"/>
      <sheetName val="Site_Dev_BOQ23"/>
      <sheetName val="Staff_Forecast_spread23"/>
      <sheetName val="Structure_Bills_Qty23"/>
      <sheetName val="Builtup_Area23"/>
      <sheetName val="MASTER_RATE_ANALYSIS23"/>
      <sheetName val="Cop_-VGN23"/>
      <sheetName val="Pipe_Supports23"/>
      <sheetName val="MN_T_B_23"/>
      <sheetName val="BOQ_Direct_selling_cost23"/>
      <sheetName val="Stress_Calculation23"/>
      <sheetName val="IO_List23"/>
      <sheetName val="TBAL9697_-group_wise__sdpl23"/>
      <sheetName val="Exp_23"/>
      <sheetName val="INDIGINEOUS_ITEMS_23"/>
      <sheetName val="E_&amp;_R23"/>
      <sheetName val="Load_Details(B1)23"/>
      <sheetName val="Break_Dw23"/>
      <sheetName val="SPT_vs_PHI23"/>
      <sheetName val="Civil_Boq23"/>
      <sheetName val="PA-_Consutant_23"/>
      <sheetName val="Debits_as_on_12_04_0823"/>
      <sheetName val="Sheet3_(2)23"/>
      <sheetName val="INDORAMA_Group_June_0223"/>
      <sheetName val="PART-I_(2)25"/>
      <sheetName val="final_abstract25"/>
      <sheetName val="Basement_Budget24"/>
      <sheetName val="Rate_analysis24"/>
      <sheetName val="Fee_Rate_Summary24"/>
      <sheetName val="Materials_Cost24"/>
      <sheetName val="10__&amp;_11__Rate_Code_&amp;_BQ24"/>
      <sheetName val="Break_up_Sheet24"/>
      <sheetName val="B_&amp;_C_-_M_-_ccp24"/>
      <sheetName val="RES_STEEL_TO24"/>
      <sheetName val="RMZ_Summary24"/>
      <sheetName val="Materials_24"/>
      <sheetName val="Field_Values24"/>
      <sheetName val="Fin_Sum24"/>
      <sheetName val="Fill_this_out_first___24"/>
      <sheetName val="Site_Dev_BOQ24"/>
      <sheetName val="Staff_Forecast_spread24"/>
      <sheetName val="Structure_Bills_Qty24"/>
      <sheetName val="Builtup_Area24"/>
      <sheetName val="MASTER_RATE_ANALYSIS24"/>
      <sheetName val="Cop_-VGN24"/>
      <sheetName val="Pipe_Supports24"/>
      <sheetName val="MN_T_B_24"/>
      <sheetName val="BOQ_Direct_selling_cost24"/>
      <sheetName val="Stress_Calculation24"/>
      <sheetName val="IO_List24"/>
      <sheetName val="TBAL9697_-group_wise__sdpl24"/>
      <sheetName val="Exp_24"/>
      <sheetName val="INDIGINEOUS_ITEMS_24"/>
      <sheetName val="E_&amp;_R24"/>
      <sheetName val="Load_Details(B1)24"/>
      <sheetName val="Break_Dw24"/>
      <sheetName val="SPT_vs_PHI24"/>
      <sheetName val="Civil_Boq24"/>
      <sheetName val="PA-_Consutant_24"/>
      <sheetName val="Debits_as_on_12_04_0824"/>
      <sheetName val="Sheet3_(2)24"/>
      <sheetName val="INDORAMA_Group_June_0224"/>
      <sheetName val="PART-I_(2)26"/>
      <sheetName val="final_abstract26"/>
      <sheetName val="Basement_Budget25"/>
      <sheetName val="Rate_analysis25"/>
      <sheetName val="Fee_Rate_Summary25"/>
      <sheetName val="Materials_Cost25"/>
      <sheetName val="10__&amp;_11__Rate_Code_&amp;_BQ25"/>
      <sheetName val="Break_up_Sheet25"/>
      <sheetName val="B_&amp;_C_-_M_-_ccp25"/>
      <sheetName val="RES_STEEL_TO25"/>
      <sheetName val="RMZ_Summary25"/>
      <sheetName val="Materials_25"/>
      <sheetName val="Field_Values25"/>
      <sheetName val="Fin_Sum25"/>
      <sheetName val="Fill_this_out_first___25"/>
      <sheetName val="Site_Dev_BOQ25"/>
      <sheetName val="Staff_Forecast_spread25"/>
      <sheetName val="Structure_Bills_Qty25"/>
      <sheetName val="Builtup_Area25"/>
      <sheetName val="MASTER_RATE_ANALYSIS25"/>
      <sheetName val="Cop_-VGN25"/>
      <sheetName val="Pipe_Supports25"/>
      <sheetName val="MN_T_B_25"/>
      <sheetName val="BOQ_Direct_selling_cost25"/>
      <sheetName val="Stress_Calculation25"/>
      <sheetName val="IO_List25"/>
      <sheetName val="TBAL9697_-group_wise__sdpl25"/>
      <sheetName val="Exp_25"/>
      <sheetName val="INDIGINEOUS_ITEMS_25"/>
      <sheetName val="E_&amp;_R25"/>
      <sheetName val="Load_Details(B1)25"/>
      <sheetName val="Break_Dw25"/>
      <sheetName val="SPT_vs_PHI25"/>
      <sheetName val="Civil_Boq25"/>
      <sheetName val="PA-_Consutant_25"/>
      <sheetName val="Debits_as_on_12_04_0825"/>
      <sheetName val="Sheet3_(2)25"/>
      <sheetName val="INDORAMA_Group_June_0225"/>
      <sheetName val="PART-I_(2)27"/>
      <sheetName val="final_abstract27"/>
      <sheetName val="Basement_Budget26"/>
      <sheetName val="Rate_analysis26"/>
      <sheetName val="Fee_Rate_Summary26"/>
      <sheetName val="Materials_Cost26"/>
      <sheetName val="10__&amp;_11__Rate_Code_&amp;_BQ26"/>
      <sheetName val="Break_up_Sheet26"/>
      <sheetName val="B_&amp;_C_-_M_-_ccp26"/>
      <sheetName val="RES_STEEL_TO26"/>
      <sheetName val="RMZ_Summary26"/>
      <sheetName val="Materials_26"/>
      <sheetName val="Fill_this_out_first___26"/>
      <sheetName val="Cop_-VGN26"/>
      <sheetName val="Field_Values26"/>
      <sheetName val="Fin_Sum26"/>
      <sheetName val="Site_Dev_BOQ26"/>
      <sheetName val="Staff_Forecast_spread26"/>
      <sheetName val="Structure_Bills_Qty26"/>
      <sheetName val="Builtup_Area26"/>
      <sheetName val="MASTER_RATE_ANALYSIS26"/>
      <sheetName val="Pipe_Supports26"/>
      <sheetName val="MN_T_B_26"/>
      <sheetName val="BOQ_Direct_selling_cost26"/>
      <sheetName val="Stress_Calculation26"/>
      <sheetName val="IO_List26"/>
      <sheetName val="TBAL9697_-group_wise__sdpl26"/>
      <sheetName val="factor_sheet3"/>
      <sheetName val="Exp_26"/>
      <sheetName val="INDIGINEOUS_ITEMS_26"/>
      <sheetName val="E_&amp;_R26"/>
      <sheetName val="Load_Details(B1)26"/>
      <sheetName val="Break_Dw26"/>
      <sheetName val="SPT_vs_PHI26"/>
      <sheetName val="Civil_Boq26"/>
      <sheetName val="PA-_Consutant_26"/>
      <sheetName val="Debits_as_on_12_04_0826"/>
      <sheetName val="Sheet3_(2)26"/>
      <sheetName val="INDORAMA_Group_June_0226"/>
      <sheetName val="PART-I_(2)38"/>
      <sheetName val="final_abstract38"/>
      <sheetName val="Basement_Budget37"/>
      <sheetName val="Rate_analysis37"/>
      <sheetName val="Fee_Rate_Summary37"/>
      <sheetName val="Materials_Cost37"/>
      <sheetName val="10__&amp;_11__Rate_Code_&amp;_BQ37"/>
      <sheetName val="Break_up_Sheet37"/>
      <sheetName val="B_&amp;_C_-_M_-_ccp37"/>
      <sheetName val="RES_STEEL_TO37"/>
      <sheetName val="RMZ_Summary37"/>
      <sheetName val="Materials_37"/>
      <sheetName val="Field_Values37"/>
      <sheetName val="Fin_Sum37"/>
      <sheetName val="Fill_this_out_first___37"/>
      <sheetName val="Site_Dev_BOQ37"/>
      <sheetName val="Staff_Forecast_spread37"/>
      <sheetName val="Structure_Bills_Qty37"/>
      <sheetName val="Builtup_Area37"/>
      <sheetName val="MASTER_RATE_ANALYSIS37"/>
      <sheetName val="Cop_-VGN37"/>
      <sheetName val="Pipe_Supports37"/>
      <sheetName val="MN_T_B_37"/>
      <sheetName val="BOQ_Direct_selling_cost37"/>
      <sheetName val="Stress_Calculation37"/>
      <sheetName val="IO_List37"/>
      <sheetName val="TBAL9697_-group_wise__sdpl37"/>
      <sheetName val="factor_sheet12"/>
      <sheetName val="Exp_37"/>
      <sheetName val="INDIGINEOUS_ITEMS_37"/>
      <sheetName val="E_&amp;_R37"/>
      <sheetName val="Load_Details(B1)37"/>
      <sheetName val="Break_Dw37"/>
      <sheetName val="SPT_vs_PHI37"/>
      <sheetName val="Civil_Boq37"/>
      <sheetName val="PA-_Consutant_37"/>
      <sheetName val="Debits_as_on_12_04_0837"/>
      <sheetName val="Sheet3_(2)37"/>
      <sheetName val="INDORAMA_Group_June_0237"/>
      <sheetName val="PART-I_(2)29"/>
      <sheetName val="final_abstract29"/>
      <sheetName val="Basement_Budget28"/>
      <sheetName val="Rate_analysis28"/>
      <sheetName val="Fee_Rate_Summary28"/>
      <sheetName val="Materials_Cost28"/>
      <sheetName val="10__&amp;_11__Rate_Code_&amp;_BQ28"/>
      <sheetName val="Break_up_Sheet28"/>
      <sheetName val="B_&amp;_C_-_M_-_ccp28"/>
      <sheetName val="RES_STEEL_TO28"/>
      <sheetName val="RMZ_Summary28"/>
      <sheetName val="Materials_28"/>
      <sheetName val="Field_Values28"/>
      <sheetName val="Fin_Sum28"/>
      <sheetName val="Fill_this_out_first___28"/>
      <sheetName val="Site_Dev_BOQ28"/>
      <sheetName val="Staff_Forecast_spread28"/>
      <sheetName val="Structure_Bills_Qty28"/>
      <sheetName val="Builtup_Area28"/>
      <sheetName val="MASTER_RATE_ANALYSIS28"/>
      <sheetName val="Cop_-VGN28"/>
      <sheetName val="Pipe_Supports28"/>
      <sheetName val="MN_T_B_28"/>
      <sheetName val="BOQ_Direct_selling_cost28"/>
      <sheetName val="Stress_Calculation28"/>
      <sheetName val="IO_List28"/>
      <sheetName val="TBAL9697_-group_wise__sdpl28"/>
      <sheetName val="factor_sheet4"/>
      <sheetName val="Exp_28"/>
      <sheetName val="INDIGINEOUS_ITEMS_28"/>
      <sheetName val="E_&amp;_R28"/>
      <sheetName val="Load_Details(B1)28"/>
      <sheetName val="Break_Dw28"/>
      <sheetName val="SPT_vs_PHI28"/>
      <sheetName val="Civil_Boq28"/>
      <sheetName val="PA-_Consutant_28"/>
      <sheetName val="Debits_as_on_12_04_0828"/>
      <sheetName val="Sheet3_(2)28"/>
      <sheetName val="INDORAMA_Group_June_0228"/>
      <sheetName val="PART-I_(2)30"/>
      <sheetName val="final_abstract30"/>
      <sheetName val="Basement_Budget29"/>
      <sheetName val="Rate_analysis29"/>
      <sheetName val="Fee_Rate_Summary29"/>
      <sheetName val="Materials_Cost29"/>
      <sheetName val="10__&amp;_11__Rate_Code_&amp;_BQ29"/>
      <sheetName val="Break_up_Sheet29"/>
      <sheetName val="B_&amp;_C_-_M_-_ccp29"/>
      <sheetName val="RES_STEEL_TO29"/>
      <sheetName val="RMZ_Summary29"/>
      <sheetName val="Materials_29"/>
      <sheetName val="Field_Values29"/>
      <sheetName val="Fin_Sum29"/>
      <sheetName val="Fill_this_out_first___29"/>
      <sheetName val="Site_Dev_BOQ29"/>
      <sheetName val="Staff_Forecast_spread29"/>
      <sheetName val="Structure_Bills_Qty29"/>
      <sheetName val="Builtup_Area29"/>
      <sheetName val="MASTER_RATE_ANALYSIS29"/>
      <sheetName val="Cop_-VGN29"/>
      <sheetName val="Pipe_Supports29"/>
      <sheetName val="MN_T_B_29"/>
      <sheetName val="BOQ_Direct_selling_cost29"/>
      <sheetName val="Stress_Calculation29"/>
      <sheetName val="IO_List29"/>
      <sheetName val="TBAL9697_-group_wise__sdpl29"/>
      <sheetName val="factor_sheet5"/>
      <sheetName val="Exp_29"/>
      <sheetName val="INDIGINEOUS_ITEMS_29"/>
      <sheetName val="E_&amp;_R29"/>
      <sheetName val="Load_Details(B1)29"/>
      <sheetName val="Break_Dw29"/>
      <sheetName val="SPT_vs_PHI29"/>
      <sheetName val="Civil_Boq29"/>
      <sheetName val="PA-_Consutant_29"/>
      <sheetName val="Debits_as_on_12_04_0829"/>
      <sheetName val="Sheet3_(2)29"/>
      <sheetName val="INDORAMA_Group_June_0229"/>
      <sheetName val="PART-I_(2)31"/>
      <sheetName val="final_abstract31"/>
      <sheetName val="Basement_Budget30"/>
      <sheetName val="Rate_analysis30"/>
      <sheetName val="Fee_Rate_Summary30"/>
      <sheetName val="Materials_Cost30"/>
      <sheetName val="10__&amp;_11__Rate_Code_&amp;_BQ30"/>
      <sheetName val="Break_up_Sheet30"/>
      <sheetName val="B_&amp;_C_-_M_-_ccp30"/>
      <sheetName val="RES_STEEL_TO30"/>
      <sheetName val="RMZ_Summary30"/>
      <sheetName val="Materials_30"/>
      <sheetName val="Field_Values30"/>
      <sheetName val="Fin_Sum30"/>
      <sheetName val="Fill_this_out_first___30"/>
      <sheetName val="Site_Dev_BOQ30"/>
      <sheetName val="Staff_Forecast_spread30"/>
      <sheetName val="Structure_Bills_Qty30"/>
      <sheetName val="Builtup_Area30"/>
      <sheetName val="MASTER_RATE_ANALYSIS30"/>
      <sheetName val="Cop_-VGN30"/>
      <sheetName val="Pipe_Supports30"/>
      <sheetName val="MN_T_B_30"/>
      <sheetName val="BOQ_Direct_selling_cost30"/>
      <sheetName val="Stress_Calculation30"/>
      <sheetName val="IO_List30"/>
      <sheetName val="TBAL9697_-group_wise__sdpl30"/>
      <sheetName val="factor_sheet6"/>
      <sheetName val="Exp_30"/>
      <sheetName val="INDIGINEOUS_ITEMS_30"/>
      <sheetName val="E_&amp;_R30"/>
      <sheetName val="Load_Details(B1)30"/>
      <sheetName val="Break_Dw30"/>
      <sheetName val="SPT_vs_PHI30"/>
      <sheetName val="Civil_Boq30"/>
      <sheetName val="PA-_Consutant_30"/>
      <sheetName val="Debits_as_on_12_04_0830"/>
      <sheetName val="Sheet3_(2)30"/>
      <sheetName val="INDORAMA_Group_June_0230"/>
      <sheetName val="PART-I_(2)32"/>
      <sheetName val="final_abstract32"/>
      <sheetName val="Basement_Budget31"/>
      <sheetName val="Rate_analysis31"/>
      <sheetName val="Fee_Rate_Summary31"/>
      <sheetName val="Materials_Cost31"/>
      <sheetName val="10__&amp;_11__Rate_Code_&amp;_BQ31"/>
      <sheetName val="Break_up_Sheet31"/>
      <sheetName val="B_&amp;_C_-_M_-_ccp31"/>
      <sheetName val="RES_STEEL_TO31"/>
      <sheetName val="RMZ_Summary31"/>
      <sheetName val="Materials_31"/>
      <sheetName val="Field_Values31"/>
      <sheetName val="Fin_Sum31"/>
      <sheetName val="Fill_this_out_first___31"/>
      <sheetName val="Site_Dev_BOQ31"/>
      <sheetName val="Staff_Forecast_spread31"/>
      <sheetName val="Structure_Bills_Qty31"/>
      <sheetName val="Builtup_Area31"/>
      <sheetName val="MASTER_RATE_ANALYSIS31"/>
      <sheetName val="Cop_-VGN31"/>
      <sheetName val="Pipe_Supports31"/>
      <sheetName val="MN_T_B_31"/>
      <sheetName val="BOQ_Direct_selling_cost31"/>
      <sheetName val="Stress_Calculation31"/>
      <sheetName val="IO_List31"/>
      <sheetName val="TBAL9697_-group_wise__sdpl31"/>
      <sheetName val="factor_sheet7"/>
      <sheetName val="Exp_31"/>
      <sheetName val="INDIGINEOUS_ITEMS_31"/>
      <sheetName val="E_&amp;_R31"/>
      <sheetName val="Load_Details(B1)31"/>
      <sheetName val="Break_Dw31"/>
      <sheetName val="SPT_vs_PHI31"/>
      <sheetName val="Civil_Boq31"/>
      <sheetName val="PA-_Consutant_31"/>
      <sheetName val="Debits_as_on_12_04_0831"/>
      <sheetName val="Sheet3_(2)31"/>
      <sheetName val="INDORAMA_Group_June_0231"/>
      <sheetName val="PART-I_(2)34"/>
      <sheetName val="final_abstract34"/>
      <sheetName val="Basement_Budget33"/>
      <sheetName val="Rate_analysis33"/>
      <sheetName val="Fee_Rate_Summary33"/>
      <sheetName val="Materials_Cost33"/>
      <sheetName val="10__&amp;_11__Rate_Code_&amp;_BQ33"/>
      <sheetName val="Break_up_Sheet33"/>
      <sheetName val="B_&amp;_C_-_M_-_ccp33"/>
      <sheetName val="RES_STEEL_TO33"/>
      <sheetName val="RMZ_Summary33"/>
      <sheetName val="Materials_33"/>
      <sheetName val="Field_Values33"/>
      <sheetName val="Fin_Sum33"/>
      <sheetName val="Fill_this_out_first___33"/>
      <sheetName val="Site_Dev_BOQ33"/>
      <sheetName val="Staff_Forecast_spread33"/>
      <sheetName val="Structure_Bills_Qty33"/>
      <sheetName val="Builtup_Area33"/>
      <sheetName val="MASTER_RATE_ANALYSIS33"/>
      <sheetName val="Cop_-VGN33"/>
      <sheetName val="Pipe_Supports33"/>
      <sheetName val="MN_T_B_33"/>
      <sheetName val="BOQ_Direct_selling_cost33"/>
      <sheetName val="Stress_Calculation33"/>
      <sheetName val="IO_List33"/>
      <sheetName val="TBAL9697_-group_wise__sdpl33"/>
      <sheetName val="Exp_33"/>
      <sheetName val="INDIGINEOUS_ITEMS_33"/>
      <sheetName val="E_&amp;_R33"/>
      <sheetName val="Load_Details(B1)33"/>
      <sheetName val="Break_Dw33"/>
      <sheetName val="SPT_vs_PHI33"/>
      <sheetName val="Civil_Boq33"/>
      <sheetName val="PA-_Consutant_33"/>
      <sheetName val="Debits_as_on_12_04_0833"/>
      <sheetName val="Sheet3_(2)33"/>
      <sheetName val="INDORAMA_Group_June_0233"/>
      <sheetName val="PART-I_(2)33"/>
      <sheetName val="final_abstract33"/>
      <sheetName val="Basement_Budget32"/>
      <sheetName val="Rate_analysis32"/>
      <sheetName val="Fee_Rate_Summary32"/>
      <sheetName val="Materials_Cost32"/>
      <sheetName val="10__&amp;_11__Rate_Code_&amp;_BQ32"/>
      <sheetName val="Break_up_Sheet32"/>
      <sheetName val="B_&amp;_C_-_M_-_ccp32"/>
      <sheetName val="RES_STEEL_TO32"/>
      <sheetName val="RMZ_Summary32"/>
      <sheetName val="Materials_32"/>
      <sheetName val="Field_Values32"/>
      <sheetName val="Fin_Sum32"/>
      <sheetName val="Fill_this_out_first___32"/>
      <sheetName val="Site_Dev_BOQ32"/>
      <sheetName val="Staff_Forecast_spread32"/>
      <sheetName val="Structure_Bills_Qty32"/>
      <sheetName val="Builtup_Area32"/>
      <sheetName val="MASTER_RATE_ANALYSIS32"/>
      <sheetName val="Cop_-VGN32"/>
      <sheetName val="Pipe_Supports32"/>
      <sheetName val="MN_T_B_32"/>
      <sheetName val="BOQ_Direct_selling_cost32"/>
      <sheetName val="Stress_Calculation32"/>
      <sheetName val="IO_List32"/>
      <sheetName val="TBAL9697_-group_wise__sdpl32"/>
      <sheetName val="factor_sheet8"/>
      <sheetName val="Exp_32"/>
      <sheetName val="INDIGINEOUS_ITEMS_32"/>
      <sheetName val="E_&amp;_R32"/>
      <sheetName val="Load_Details(B1)32"/>
      <sheetName val="Break_Dw32"/>
      <sheetName val="SPT_vs_PHI32"/>
      <sheetName val="Civil_Boq32"/>
      <sheetName val="PA-_Consutant_32"/>
      <sheetName val="Debits_as_on_12_04_0832"/>
      <sheetName val="Sheet3_(2)32"/>
      <sheetName val="INDORAMA_Group_June_0232"/>
      <sheetName val="PART-I_(2)35"/>
      <sheetName val="final_abstract35"/>
      <sheetName val="Basement_Budget34"/>
      <sheetName val="Rate_analysis34"/>
      <sheetName val="Fee_Rate_Summary34"/>
      <sheetName val="Materials_Cost34"/>
      <sheetName val="10__&amp;_11__Rate_Code_&amp;_BQ34"/>
      <sheetName val="Break_up_Sheet34"/>
      <sheetName val="B_&amp;_C_-_M_-_ccp34"/>
      <sheetName val="RES_STEEL_TO34"/>
      <sheetName val="RMZ_Summary34"/>
      <sheetName val="Materials_34"/>
      <sheetName val="Field_Values34"/>
      <sheetName val="Fin_Sum34"/>
      <sheetName val="Fill_this_out_first___34"/>
      <sheetName val="Site_Dev_BOQ34"/>
      <sheetName val="Staff_Forecast_spread34"/>
      <sheetName val="Structure_Bills_Qty34"/>
      <sheetName val="Builtup_Area34"/>
      <sheetName val="MASTER_RATE_ANALYSIS34"/>
      <sheetName val="Cop_-VGN34"/>
      <sheetName val="Pipe_Supports34"/>
      <sheetName val="MN_T_B_34"/>
      <sheetName val="BOQ_Direct_selling_cost34"/>
      <sheetName val="Stress_Calculation34"/>
      <sheetName val="IO_List34"/>
      <sheetName val="TBAL9697_-group_wise__sdpl34"/>
      <sheetName val="factor_sheet9"/>
      <sheetName val="Exp_34"/>
      <sheetName val="INDIGINEOUS_ITEMS_34"/>
      <sheetName val="E_&amp;_R34"/>
      <sheetName val="Load_Details(B1)34"/>
      <sheetName val="Break_Dw34"/>
      <sheetName val="SPT_vs_PHI34"/>
      <sheetName val="Civil_Boq34"/>
      <sheetName val="PA-_Consutant_34"/>
      <sheetName val="Debits_as_on_12_04_0834"/>
      <sheetName val="Sheet3_(2)34"/>
      <sheetName val="INDORAMA_Group_June_0234"/>
      <sheetName val="PART-I_(2)36"/>
      <sheetName val="final_abstract36"/>
      <sheetName val="Basement_Budget35"/>
      <sheetName val="Rate_analysis35"/>
      <sheetName val="Fee_Rate_Summary35"/>
      <sheetName val="Materials_Cost35"/>
      <sheetName val="10__&amp;_11__Rate_Code_&amp;_BQ35"/>
      <sheetName val="Break_up_Sheet35"/>
      <sheetName val="B_&amp;_C_-_M_-_ccp35"/>
      <sheetName val="RES_STEEL_TO35"/>
      <sheetName val="RMZ_Summary35"/>
      <sheetName val="Materials_35"/>
      <sheetName val="Field_Values35"/>
      <sheetName val="Fin_Sum35"/>
      <sheetName val="Fill_this_out_first___35"/>
      <sheetName val="Site_Dev_BOQ35"/>
      <sheetName val="Staff_Forecast_spread35"/>
      <sheetName val="Structure_Bills_Qty35"/>
      <sheetName val="Builtup_Area35"/>
      <sheetName val="MASTER_RATE_ANALYSIS35"/>
      <sheetName val="Cop_-VGN35"/>
      <sheetName val="Pipe_Supports35"/>
      <sheetName val="MN_T_B_35"/>
      <sheetName val="BOQ_Direct_selling_cost35"/>
      <sheetName val="Stress_Calculation35"/>
      <sheetName val="IO_List35"/>
      <sheetName val="TBAL9697_-group_wise__sdpl35"/>
      <sheetName val="factor_sheet10"/>
      <sheetName val="Exp_35"/>
      <sheetName val="INDIGINEOUS_ITEMS_35"/>
      <sheetName val="E_&amp;_R35"/>
      <sheetName val="Load_Details(B1)35"/>
      <sheetName val="Break_Dw35"/>
      <sheetName val="SPT_vs_PHI35"/>
      <sheetName val="Civil_Boq35"/>
      <sheetName val="PA-_Consutant_35"/>
      <sheetName val="Debits_as_on_12_04_0835"/>
      <sheetName val="Sheet3_(2)35"/>
      <sheetName val="INDORAMA_Group_June_0235"/>
      <sheetName val="PART-I_(2)37"/>
      <sheetName val="final_abstract37"/>
      <sheetName val="Basement_Budget36"/>
      <sheetName val="Rate_analysis36"/>
      <sheetName val="Fee_Rate_Summary36"/>
      <sheetName val="Materials_Cost36"/>
      <sheetName val="10__&amp;_11__Rate_Code_&amp;_BQ36"/>
      <sheetName val="Break_up_Sheet36"/>
      <sheetName val="B_&amp;_C_-_M_-_ccp36"/>
      <sheetName val="RES_STEEL_TO36"/>
      <sheetName val="RMZ_Summary36"/>
      <sheetName val="Materials_36"/>
      <sheetName val="Field_Values36"/>
      <sheetName val="Fin_Sum36"/>
      <sheetName val="Fill_this_out_first___36"/>
      <sheetName val="Site_Dev_BOQ36"/>
      <sheetName val="Staff_Forecast_spread36"/>
      <sheetName val="Structure_Bills_Qty36"/>
      <sheetName val="Builtup_Area36"/>
      <sheetName val="MASTER_RATE_ANALYSIS36"/>
      <sheetName val="Cop_-VGN36"/>
      <sheetName val="Pipe_Supports36"/>
      <sheetName val="MN_T_B_36"/>
      <sheetName val="BOQ_Direct_selling_cost36"/>
      <sheetName val="Stress_Calculation36"/>
      <sheetName val="IO_List36"/>
      <sheetName val="TBAL9697_-group_wise__sdpl36"/>
      <sheetName val="factor_sheet11"/>
      <sheetName val="Exp_36"/>
      <sheetName val="INDIGINEOUS_ITEMS_36"/>
      <sheetName val="E_&amp;_R36"/>
      <sheetName val="Load_Details(B1)36"/>
      <sheetName val="Break_Dw36"/>
      <sheetName val="SPT_vs_PHI36"/>
      <sheetName val="Civil_Boq36"/>
      <sheetName val="PA-_Consutant_36"/>
      <sheetName val="Debits_as_on_12_04_0836"/>
      <sheetName val="Sheet3_(2)36"/>
      <sheetName val="INDORAMA_Group_June_0236"/>
      <sheetName val="PART-I_(2)44"/>
      <sheetName val="final_abstract44"/>
      <sheetName val="Basement_Budget43"/>
      <sheetName val="Rate_analysis43"/>
      <sheetName val="Fee_Rate_Summary43"/>
      <sheetName val="Materials_Cost43"/>
      <sheetName val="10__&amp;_11__Rate_Code_&amp;_BQ43"/>
      <sheetName val="Break_up_Sheet43"/>
      <sheetName val="B_&amp;_C_-_M_-_ccp43"/>
      <sheetName val="RES_STEEL_TO43"/>
      <sheetName val="RMZ_Summary43"/>
      <sheetName val="Materials_43"/>
      <sheetName val="Field_Values43"/>
      <sheetName val="Fin_Sum43"/>
      <sheetName val="Fill_this_out_first___43"/>
      <sheetName val="Site_Dev_BOQ43"/>
      <sheetName val="Staff_Forecast_spread43"/>
      <sheetName val="Structure_Bills_Qty43"/>
      <sheetName val="Builtup_Area43"/>
      <sheetName val="MASTER_RATE_ANALYSIS43"/>
      <sheetName val="Cop_-VGN43"/>
      <sheetName val="Pipe_Supports43"/>
      <sheetName val="MN_T_B_43"/>
      <sheetName val="BOQ_Direct_selling_cost43"/>
      <sheetName val="Stress_Calculation43"/>
      <sheetName val="IO_List43"/>
      <sheetName val="TBAL9697_-group_wise__sdpl43"/>
      <sheetName val="factor_sheet16"/>
      <sheetName val="Exp_43"/>
      <sheetName val="INDIGINEOUS_ITEMS_43"/>
      <sheetName val="E_&amp;_R43"/>
      <sheetName val="Load_Details(B1)43"/>
      <sheetName val="Break_Dw43"/>
      <sheetName val="SPT_vs_PHI43"/>
      <sheetName val="Civil_Boq43"/>
      <sheetName val="PA-_Consutant_43"/>
      <sheetName val="Debits_as_on_12_04_0843"/>
      <sheetName val="Sheet3_(2)43"/>
      <sheetName val="INDORAMA_Group_June_0243"/>
      <sheetName val="PART-I_(2)39"/>
      <sheetName val="final_abstract39"/>
      <sheetName val="Basement_Budget38"/>
      <sheetName val="Rate_analysis38"/>
      <sheetName val="Fee_Rate_Summary38"/>
      <sheetName val="Materials_Cost38"/>
      <sheetName val="10__&amp;_11__Rate_Code_&amp;_BQ38"/>
      <sheetName val="Break_up_Sheet38"/>
      <sheetName val="B_&amp;_C_-_M_-_ccp38"/>
      <sheetName val="RES_STEEL_TO38"/>
      <sheetName val="RMZ_Summary38"/>
      <sheetName val="Materials_38"/>
      <sheetName val="Field_Values38"/>
      <sheetName val="Fin_Sum38"/>
      <sheetName val="Fill_this_out_first___38"/>
      <sheetName val="Site_Dev_BOQ38"/>
      <sheetName val="Staff_Forecast_spread38"/>
      <sheetName val="Structure_Bills_Qty38"/>
      <sheetName val="Builtup_Area38"/>
      <sheetName val="MASTER_RATE_ANALYSIS38"/>
      <sheetName val="Cop_-VGN38"/>
      <sheetName val="Pipe_Supports38"/>
      <sheetName val="MN_T_B_38"/>
      <sheetName val="BOQ_Direct_selling_cost38"/>
      <sheetName val="Stress_Calculation38"/>
      <sheetName val="IO_List38"/>
      <sheetName val="TBAL9697_-group_wise__sdpl38"/>
      <sheetName val="Exp_38"/>
      <sheetName val="INDIGINEOUS_ITEMS_38"/>
      <sheetName val="E_&amp;_R38"/>
      <sheetName val="Load_Details(B1)38"/>
      <sheetName val="Break_Dw38"/>
      <sheetName val="SPT_vs_PHI38"/>
      <sheetName val="Civil_Boq38"/>
      <sheetName val="PA-_Consutant_38"/>
      <sheetName val="Debits_as_on_12_04_0838"/>
      <sheetName val="Sheet3_(2)38"/>
      <sheetName val="INDORAMA_Group_June_0238"/>
      <sheetName val="PART-I_(2)40"/>
      <sheetName val="final_abstract40"/>
      <sheetName val="Basement_Budget39"/>
      <sheetName val="Rate_analysis39"/>
      <sheetName val="Fee_Rate_Summary39"/>
      <sheetName val="Materials_Cost39"/>
      <sheetName val="10__&amp;_11__Rate_Code_&amp;_BQ39"/>
      <sheetName val="Break_up_Sheet39"/>
      <sheetName val="B_&amp;_C_-_M_-_ccp39"/>
      <sheetName val="RES_STEEL_TO39"/>
      <sheetName val="RMZ_Summary39"/>
      <sheetName val="Materials_39"/>
      <sheetName val="Field_Values39"/>
      <sheetName val="Fin_Sum39"/>
      <sheetName val="Fill_this_out_first___39"/>
      <sheetName val="Site_Dev_BOQ39"/>
      <sheetName val="Staff_Forecast_spread39"/>
      <sheetName val="Structure_Bills_Qty39"/>
      <sheetName val="Builtup_Area39"/>
      <sheetName val="MASTER_RATE_ANALYSIS39"/>
      <sheetName val="Cop_-VGN39"/>
      <sheetName val="Pipe_Supports39"/>
      <sheetName val="MN_T_B_39"/>
      <sheetName val="BOQ_Direct_selling_cost39"/>
      <sheetName val="Stress_Calculation39"/>
      <sheetName val="IO_List39"/>
      <sheetName val="TBAL9697_-group_wise__sdpl39"/>
      <sheetName val="Exp_39"/>
      <sheetName val="INDIGINEOUS_ITEMS_39"/>
      <sheetName val="E_&amp;_R39"/>
      <sheetName val="Load_Details(B1)39"/>
      <sheetName val="Break_Dw39"/>
      <sheetName val="SPT_vs_PHI39"/>
      <sheetName val="Civil_Boq39"/>
      <sheetName val="PA-_Consutant_39"/>
      <sheetName val="Debits_as_on_12_04_0839"/>
      <sheetName val="Sheet3_(2)39"/>
      <sheetName val="INDORAMA_Group_June_0239"/>
      <sheetName val="PART-I_(2)42"/>
      <sheetName val="final_abstract42"/>
      <sheetName val="Basement_Budget41"/>
      <sheetName val="Rate_analysis41"/>
      <sheetName val="Fee_Rate_Summary41"/>
      <sheetName val="Materials_Cost41"/>
      <sheetName val="10__&amp;_11__Rate_Code_&amp;_BQ41"/>
      <sheetName val="Break_up_Sheet41"/>
      <sheetName val="B_&amp;_C_-_M_-_ccp41"/>
      <sheetName val="RES_STEEL_TO41"/>
      <sheetName val="RMZ_Summary41"/>
      <sheetName val="Materials_41"/>
      <sheetName val="Field_Values41"/>
      <sheetName val="Fin_Sum41"/>
      <sheetName val="Fill_this_out_first___41"/>
      <sheetName val="Site_Dev_BOQ41"/>
      <sheetName val="Staff_Forecast_spread41"/>
      <sheetName val="Structure_Bills_Qty41"/>
      <sheetName val="Builtup_Area41"/>
      <sheetName val="MASTER_RATE_ANALYSIS41"/>
      <sheetName val="Cop_-VGN41"/>
      <sheetName val="Pipe_Supports41"/>
      <sheetName val="MN_T_B_41"/>
      <sheetName val="BOQ_Direct_selling_cost41"/>
      <sheetName val="Stress_Calculation41"/>
      <sheetName val="IO_List41"/>
      <sheetName val="TBAL9697_-group_wise__sdpl41"/>
      <sheetName val="factor_sheet14"/>
      <sheetName val="Exp_41"/>
      <sheetName val="INDIGINEOUS_ITEMS_41"/>
      <sheetName val="E_&amp;_R41"/>
      <sheetName val="Load_Details(B1)41"/>
      <sheetName val="Break_Dw41"/>
      <sheetName val="SPT_vs_PHI41"/>
      <sheetName val="Civil_Boq41"/>
      <sheetName val="PA-_Consutant_41"/>
      <sheetName val="Debits_as_on_12_04_0841"/>
      <sheetName val="Sheet3_(2)41"/>
      <sheetName val="INDORAMA_Group_June_0241"/>
      <sheetName val="PART-I_(2)41"/>
      <sheetName val="final_abstract41"/>
      <sheetName val="Basement_Budget40"/>
      <sheetName val="Rate_analysis40"/>
      <sheetName val="Fee_Rate_Summary40"/>
      <sheetName val="Materials_Cost40"/>
      <sheetName val="10__&amp;_11__Rate_Code_&amp;_BQ40"/>
      <sheetName val="Break_up_Sheet40"/>
      <sheetName val="B_&amp;_C_-_M_-_ccp40"/>
      <sheetName val="RES_STEEL_TO40"/>
      <sheetName val="RMZ_Summary40"/>
      <sheetName val="Materials_40"/>
      <sheetName val="Field_Values40"/>
      <sheetName val="Fin_Sum40"/>
      <sheetName val="Fill_this_out_first___40"/>
      <sheetName val="Site_Dev_BOQ40"/>
      <sheetName val="Staff_Forecast_spread40"/>
      <sheetName val="Structure_Bills_Qty40"/>
      <sheetName val="Builtup_Area40"/>
      <sheetName val="MASTER_RATE_ANALYSIS40"/>
      <sheetName val="Cop_-VGN40"/>
      <sheetName val="Pipe_Supports40"/>
      <sheetName val="MN_T_B_40"/>
      <sheetName val="BOQ_Direct_selling_cost40"/>
      <sheetName val="Stress_Calculation40"/>
      <sheetName val="IO_List40"/>
      <sheetName val="TBAL9697_-group_wise__sdpl40"/>
      <sheetName val="factor_sheet13"/>
      <sheetName val="Exp_40"/>
      <sheetName val="INDIGINEOUS_ITEMS_40"/>
      <sheetName val="E_&amp;_R40"/>
      <sheetName val="Load_Details(B1)40"/>
      <sheetName val="Break_Dw40"/>
      <sheetName val="SPT_vs_PHI40"/>
      <sheetName val="Civil_Boq40"/>
      <sheetName val="PA-_Consutant_40"/>
      <sheetName val="Debits_as_on_12_04_0840"/>
      <sheetName val="Sheet3_(2)40"/>
      <sheetName val="INDORAMA_Group_June_0240"/>
      <sheetName val="PART-I_(2)43"/>
      <sheetName val="final_abstract43"/>
      <sheetName val="Basement_Budget42"/>
      <sheetName val="Rate_analysis42"/>
      <sheetName val="Fee_Rate_Summary42"/>
      <sheetName val="Materials_Cost42"/>
      <sheetName val="10__&amp;_11__Rate_Code_&amp;_BQ42"/>
      <sheetName val="Break_up_Sheet42"/>
      <sheetName val="B_&amp;_C_-_M_-_ccp42"/>
      <sheetName val="RES_STEEL_TO42"/>
      <sheetName val="RMZ_Summary42"/>
      <sheetName val="Materials_42"/>
      <sheetName val="Field_Values42"/>
      <sheetName val="Fin_Sum42"/>
      <sheetName val="Fill_this_out_first___42"/>
      <sheetName val="Site_Dev_BOQ42"/>
      <sheetName val="Staff_Forecast_spread42"/>
      <sheetName val="Structure_Bills_Qty42"/>
      <sheetName val="Builtup_Area42"/>
      <sheetName val="MASTER_RATE_ANALYSIS42"/>
      <sheetName val="Cop_-VGN42"/>
      <sheetName val="Pipe_Supports42"/>
      <sheetName val="MN_T_B_42"/>
      <sheetName val="BOQ_Direct_selling_cost42"/>
      <sheetName val="Stress_Calculation42"/>
      <sheetName val="IO_List42"/>
      <sheetName val="TBAL9697_-group_wise__sdpl42"/>
      <sheetName val="factor_sheet15"/>
      <sheetName val="Exp_42"/>
      <sheetName val="INDIGINEOUS_ITEMS_42"/>
      <sheetName val="E_&amp;_R42"/>
      <sheetName val="Load_Details(B1)42"/>
      <sheetName val="Break_Dw42"/>
      <sheetName val="SPT_vs_PHI42"/>
      <sheetName val="Civil_Boq42"/>
      <sheetName val="PA-_Consutant_42"/>
      <sheetName val="Debits_as_on_12_04_0842"/>
      <sheetName val="Sheet3_(2)42"/>
      <sheetName val="INDORAMA_Group_June_0242"/>
      <sheetName val="PART-I_(2)45"/>
      <sheetName val="final_abstract45"/>
      <sheetName val="Basement_Budget44"/>
      <sheetName val="Rate_analysis44"/>
      <sheetName val="Fee_Rate_Summary44"/>
      <sheetName val="Materials_Cost44"/>
      <sheetName val="10__&amp;_11__Rate_Code_&amp;_BQ44"/>
      <sheetName val="Break_up_Sheet44"/>
      <sheetName val="B_&amp;_C_-_M_-_ccp44"/>
      <sheetName val="RES_STEEL_TO44"/>
      <sheetName val="RMZ_Summary44"/>
      <sheetName val="Materials_44"/>
      <sheetName val="Field_Values44"/>
      <sheetName val="Fin_Sum44"/>
      <sheetName val="Fill_this_out_first___44"/>
      <sheetName val="Site_Dev_BOQ44"/>
      <sheetName val="Staff_Forecast_spread44"/>
      <sheetName val="Structure_Bills_Qty44"/>
      <sheetName val="Builtup_Area44"/>
      <sheetName val="MASTER_RATE_ANALYSIS44"/>
      <sheetName val="Cop_-VGN44"/>
      <sheetName val="Pipe_Supports44"/>
      <sheetName val="MN_T_B_44"/>
      <sheetName val="BOQ_Direct_selling_cost44"/>
      <sheetName val="Stress_Calculation44"/>
      <sheetName val="IO_List44"/>
      <sheetName val="TBAL9697_-group_wise__sdpl44"/>
      <sheetName val="factor_sheet17"/>
      <sheetName val="Exp_44"/>
      <sheetName val="INDIGINEOUS_ITEMS_44"/>
      <sheetName val="E_&amp;_R44"/>
      <sheetName val="Load_Details(B1)44"/>
      <sheetName val="Break_Dw44"/>
      <sheetName val="SPT_vs_PHI44"/>
      <sheetName val="Civil_Boq44"/>
      <sheetName val="PA-_Consutant_44"/>
      <sheetName val="Debits_as_on_12_04_0844"/>
      <sheetName val="Sheet3_(2)44"/>
      <sheetName val="INDORAMA_Group_June_0244"/>
      <sheetName val="PART-I_(2)58"/>
      <sheetName val="final_abstract58"/>
      <sheetName val="Basement_Budget57"/>
      <sheetName val="Rate_analysis57"/>
      <sheetName val="Fee_Rate_Summary57"/>
      <sheetName val="Materials_Cost57"/>
      <sheetName val="10__&amp;_11__Rate_Code_&amp;_BQ57"/>
      <sheetName val="Break_up_Sheet57"/>
      <sheetName val="B_&amp;_C_-_M_-_ccp57"/>
      <sheetName val="RES_STEEL_TO57"/>
      <sheetName val="RMZ_Summary57"/>
      <sheetName val="Materials_57"/>
      <sheetName val="Field_Values57"/>
      <sheetName val="Fin_Sum57"/>
      <sheetName val="Fill_this_out_first___57"/>
      <sheetName val="Site_Dev_BOQ57"/>
      <sheetName val="Staff_Forecast_spread57"/>
      <sheetName val="Structure_Bills_Qty57"/>
      <sheetName val="Builtup_Area57"/>
      <sheetName val="MASTER_RATE_ANALYSIS57"/>
      <sheetName val="Cop_-VGN57"/>
      <sheetName val="Pipe_Supports57"/>
      <sheetName val="MN_T_B_57"/>
      <sheetName val="BOQ_Direct_selling_cost57"/>
      <sheetName val="Stress_Calculation57"/>
      <sheetName val="IO_List57"/>
      <sheetName val="TBAL9697_-group_wise__sdpl57"/>
      <sheetName val="factor_sheet30"/>
      <sheetName val="Exp_57"/>
      <sheetName val="INDIGINEOUS_ITEMS_57"/>
      <sheetName val="E_&amp;_R57"/>
      <sheetName val="Load_Details(B1)57"/>
      <sheetName val="Break_Dw57"/>
      <sheetName val="SPT_vs_PHI57"/>
      <sheetName val="Civil_Boq57"/>
      <sheetName val="PA-_Consutant_57"/>
      <sheetName val="Debits_as_on_12_04_0857"/>
      <sheetName val="Sheet3_(2)57"/>
      <sheetName val="INDORAMA_Group_June_0257"/>
      <sheetName val="PART-I_(2)46"/>
      <sheetName val="final_abstract46"/>
      <sheetName val="Basement_Budget45"/>
      <sheetName val="Rate_analysis45"/>
      <sheetName val="Fee_Rate_Summary45"/>
      <sheetName val="Materials_Cost45"/>
      <sheetName val="10__&amp;_11__Rate_Code_&amp;_BQ45"/>
      <sheetName val="Break_up_Sheet45"/>
      <sheetName val="B_&amp;_C_-_M_-_ccp45"/>
      <sheetName val="RES_STEEL_TO45"/>
      <sheetName val="RMZ_Summary45"/>
      <sheetName val="Materials_45"/>
      <sheetName val="Field_Values45"/>
      <sheetName val="Fin_Sum45"/>
      <sheetName val="Fill_this_out_first___45"/>
      <sheetName val="Site_Dev_BOQ45"/>
      <sheetName val="Staff_Forecast_spread45"/>
      <sheetName val="Structure_Bills_Qty45"/>
      <sheetName val="Builtup_Area45"/>
      <sheetName val="MASTER_RATE_ANALYSIS45"/>
      <sheetName val="Cop_-VGN45"/>
      <sheetName val="Pipe_Supports45"/>
      <sheetName val="MN_T_B_45"/>
      <sheetName val="BOQ_Direct_selling_cost45"/>
      <sheetName val="Stress_Calculation45"/>
      <sheetName val="IO_List45"/>
      <sheetName val="TBAL9697_-group_wise__sdpl45"/>
      <sheetName val="factor_sheet18"/>
      <sheetName val="Exp_45"/>
      <sheetName val="INDIGINEOUS_ITEMS_45"/>
      <sheetName val="E_&amp;_R45"/>
      <sheetName val="Load_Details(B1)45"/>
      <sheetName val="Break_Dw45"/>
      <sheetName val="SPT_vs_PHI45"/>
      <sheetName val="Civil_Boq45"/>
      <sheetName val="PA-_Consutant_45"/>
      <sheetName val="Debits_as_on_12_04_0845"/>
      <sheetName val="Sheet3_(2)45"/>
      <sheetName val="INDORAMA_Group_June_0245"/>
      <sheetName val="PART-I_(2)47"/>
      <sheetName val="final_abstract47"/>
      <sheetName val="Basement_Budget46"/>
      <sheetName val="Rate_analysis46"/>
      <sheetName val="Fee_Rate_Summary46"/>
      <sheetName val="Materials_Cost46"/>
      <sheetName val="10__&amp;_11__Rate_Code_&amp;_BQ46"/>
      <sheetName val="Break_up_Sheet46"/>
      <sheetName val="B_&amp;_C_-_M_-_ccp46"/>
      <sheetName val="RES_STEEL_TO46"/>
      <sheetName val="RMZ_Summary46"/>
      <sheetName val="Materials_46"/>
      <sheetName val="Field_Values46"/>
      <sheetName val="Fin_Sum46"/>
      <sheetName val="Fill_this_out_first___46"/>
      <sheetName val="Site_Dev_BOQ46"/>
      <sheetName val="Staff_Forecast_spread46"/>
      <sheetName val="Structure_Bills_Qty46"/>
      <sheetName val="Builtup_Area46"/>
      <sheetName val="MASTER_RATE_ANALYSIS46"/>
      <sheetName val="Cop_-VGN46"/>
      <sheetName val="Pipe_Supports46"/>
      <sheetName val="MN_T_B_46"/>
      <sheetName val="BOQ_Direct_selling_cost46"/>
      <sheetName val="Stress_Calculation46"/>
      <sheetName val="IO_List46"/>
      <sheetName val="TBAL9697_-group_wise__sdpl46"/>
      <sheetName val="factor_sheet19"/>
      <sheetName val="Exp_46"/>
      <sheetName val="INDIGINEOUS_ITEMS_46"/>
      <sheetName val="E_&amp;_R46"/>
      <sheetName val="Load_Details(B1)46"/>
      <sheetName val="Break_Dw46"/>
      <sheetName val="SPT_vs_PHI46"/>
      <sheetName val="Civil_Boq46"/>
      <sheetName val="PA-_Consutant_46"/>
      <sheetName val="Debits_as_on_12_04_0846"/>
      <sheetName val="Sheet3_(2)46"/>
      <sheetName val="INDORAMA_Group_June_0246"/>
      <sheetName val="PART-I_(2)50"/>
      <sheetName val="final_abstract50"/>
      <sheetName val="Basement_Budget49"/>
      <sheetName val="Rate_analysis49"/>
      <sheetName val="Fee_Rate_Summary49"/>
      <sheetName val="Materials_Cost49"/>
      <sheetName val="10__&amp;_11__Rate_Code_&amp;_BQ49"/>
      <sheetName val="Break_up_Sheet49"/>
      <sheetName val="B_&amp;_C_-_M_-_ccp49"/>
      <sheetName val="RES_STEEL_TO49"/>
      <sheetName val="RMZ_Summary49"/>
      <sheetName val="Materials_49"/>
      <sheetName val="Field_Values49"/>
      <sheetName val="Fin_Sum49"/>
      <sheetName val="Fill_this_out_first___49"/>
      <sheetName val="Site_Dev_BOQ49"/>
      <sheetName val="Staff_Forecast_spread49"/>
      <sheetName val="Structure_Bills_Qty49"/>
      <sheetName val="Builtup_Area49"/>
      <sheetName val="MASTER_RATE_ANALYSIS49"/>
      <sheetName val="Cop_-VGN49"/>
      <sheetName val="Pipe_Supports49"/>
      <sheetName val="MN_T_B_49"/>
      <sheetName val="BOQ_Direct_selling_cost49"/>
      <sheetName val="Stress_Calculation49"/>
      <sheetName val="IO_List49"/>
      <sheetName val="TBAL9697_-group_wise__sdpl49"/>
      <sheetName val="factor_sheet22"/>
      <sheetName val="Exp_49"/>
      <sheetName val="INDIGINEOUS_ITEMS_49"/>
      <sheetName val="E_&amp;_R49"/>
      <sheetName val="Load_Details(B1)49"/>
      <sheetName val="Break_Dw49"/>
      <sheetName val="SPT_vs_PHI49"/>
      <sheetName val="Civil_Boq49"/>
      <sheetName val="PA-_Consutant_49"/>
      <sheetName val="Debits_as_on_12_04_0849"/>
      <sheetName val="Sheet3_(2)49"/>
      <sheetName val="INDORAMA_Group_June_0249"/>
      <sheetName val="PART-I_(2)48"/>
      <sheetName val="final_abstract48"/>
      <sheetName val="Basement_Budget47"/>
      <sheetName val="Rate_analysis47"/>
      <sheetName val="Fee_Rate_Summary47"/>
      <sheetName val="Materials_Cost47"/>
      <sheetName val="10__&amp;_11__Rate_Code_&amp;_BQ47"/>
      <sheetName val="Break_up_Sheet47"/>
      <sheetName val="B_&amp;_C_-_M_-_ccp47"/>
      <sheetName val="RES_STEEL_TO47"/>
      <sheetName val="RMZ_Summary47"/>
      <sheetName val="Materials_47"/>
      <sheetName val="Field_Values47"/>
      <sheetName val="Fin_Sum47"/>
      <sheetName val="Fill_this_out_first___47"/>
      <sheetName val="Site_Dev_BOQ47"/>
      <sheetName val="Staff_Forecast_spread47"/>
      <sheetName val="Structure_Bills_Qty47"/>
      <sheetName val="Builtup_Area47"/>
      <sheetName val="MASTER_RATE_ANALYSIS47"/>
      <sheetName val="Cop_-VGN47"/>
      <sheetName val="Pipe_Supports47"/>
      <sheetName val="MN_T_B_47"/>
      <sheetName val="BOQ_Direct_selling_cost47"/>
      <sheetName val="Stress_Calculation47"/>
      <sheetName val="IO_List47"/>
      <sheetName val="TBAL9697_-group_wise__sdpl47"/>
      <sheetName val="factor_sheet20"/>
      <sheetName val="Exp_47"/>
      <sheetName val="INDIGINEOUS_ITEMS_47"/>
      <sheetName val="E_&amp;_R47"/>
      <sheetName val="Load_Details(B1)47"/>
      <sheetName val="Break_Dw47"/>
      <sheetName val="SPT_vs_PHI47"/>
      <sheetName val="Civil_Boq47"/>
      <sheetName val="PA-_Consutant_47"/>
      <sheetName val="Debits_as_on_12_04_0847"/>
      <sheetName val="Sheet3_(2)47"/>
      <sheetName val="INDORAMA_Group_June_0247"/>
      <sheetName val="PART-I_(2)49"/>
      <sheetName val="final_abstract49"/>
      <sheetName val="Basement_Budget48"/>
      <sheetName val="Rate_analysis48"/>
      <sheetName val="Fee_Rate_Summary48"/>
      <sheetName val="Materials_Cost48"/>
      <sheetName val="10__&amp;_11__Rate_Code_&amp;_BQ48"/>
      <sheetName val="Break_up_Sheet48"/>
      <sheetName val="B_&amp;_C_-_M_-_ccp48"/>
      <sheetName val="RES_STEEL_TO48"/>
      <sheetName val="RMZ_Summary48"/>
      <sheetName val="Materials_48"/>
      <sheetName val="Field_Values48"/>
      <sheetName val="Fin_Sum48"/>
      <sheetName val="Fill_this_out_first___48"/>
      <sheetName val="Site_Dev_BOQ48"/>
      <sheetName val="Staff_Forecast_spread48"/>
      <sheetName val="Structure_Bills_Qty48"/>
      <sheetName val="Builtup_Area48"/>
      <sheetName val="MASTER_RATE_ANALYSIS48"/>
      <sheetName val="Cop_-VGN48"/>
      <sheetName val="Pipe_Supports48"/>
      <sheetName val="MN_T_B_48"/>
      <sheetName val="BOQ_Direct_selling_cost48"/>
      <sheetName val="Stress_Calculation48"/>
      <sheetName val="IO_List48"/>
      <sheetName val="TBAL9697_-group_wise__sdpl48"/>
      <sheetName val="factor_sheet21"/>
      <sheetName val="Exp_48"/>
      <sheetName val="INDIGINEOUS_ITEMS_48"/>
      <sheetName val="E_&amp;_R48"/>
      <sheetName val="Load_Details(B1)48"/>
      <sheetName val="Break_Dw48"/>
      <sheetName val="SPT_vs_PHI48"/>
      <sheetName val="Civil_Boq48"/>
      <sheetName val="PA-_Consutant_48"/>
      <sheetName val="Debits_as_on_12_04_0848"/>
      <sheetName val="Sheet3_(2)48"/>
      <sheetName val="INDORAMA_Group_June_0248"/>
      <sheetName val="PART-I_(2)51"/>
      <sheetName val="final_abstract51"/>
      <sheetName val="Basement_Budget50"/>
      <sheetName val="Rate_analysis50"/>
      <sheetName val="Fee_Rate_Summary50"/>
      <sheetName val="Materials_Cost50"/>
      <sheetName val="10__&amp;_11__Rate_Code_&amp;_BQ50"/>
      <sheetName val="Break_up_Sheet50"/>
      <sheetName val="B_&amp;_C_-_M_-_ccp50"/>
      <sheetName val="RES_STEEL_TO50"/>
      <sheetName val="RMZ_Summary50"/>
      <sheetName val="Materials_50"/>
      <sheetName val="Field_Values50"/>
      <sheetName val="Fin_Sum50"/>
      <sheetName val="Fill_this_out_first___50"/>
      <sheetName val="Site_Dev_BOQ50"/>
      <sheetName val="Staff_Forecast_spread50"/>
      <sheetName val="Structure_Bills_Qty50"/>
      <sheetName val="Builtup_Area50"/>
      <sheetName val="MASTER_RATE_ANALYSIS50"/>
      <sheetName val="Cop_-VGN50"/>
      <sheetName val="Pipe_Supports50"/>
      <sheetName val="MN_T_B_50"/>
      <sheetName val="BOQ_Direct_selling_cost50"/>
      <sheetName val="Stress_Calculation50"/>
      <sheetName val="IO_List50"/>
      <sheetName val="TBAL9697_-group_wise__sdpl50"/>
      <sheetName val="factor_sheet23"/>
      <sheetName val="Exp_50"/>
      <sheetName val="INDIGINEOUS_ITEMS_50"/>
      <sheetName val="E_&amp;_R50"/>
      <sheetName val="Load_Details(B1)50"/>
      <sheetName val="Break_Dw50"/>
      <sheetName val="SPT_vs_PHI50"/>
      <sheetName val="Civil_Boq50"/>
      <sheetName val="PA-_Consutant_50"/>
      <sheetName val="Debits_as_on_12_04_0850"/>
      <sheetName val="Sheet3_(2)50"/>
      <sheetName val="INDORAMA_Group_June_0250"/>
      <sheetName val="PART-I_(2)52"/>
      <sheetName val="final_abstract52"/>
      <sheetName val="Basement_Budget51"/>
      <sheetName val="Rate_analysis51"/>
      <sheetName val="Fee_Rate_Summary51"/>
      <sheetName val="Materials_Cost51"/>
      <sheetName val="10__&amp;_11__Rate_Code_&amp;_BQ51"/>
      <sheetName val="Break_up_Sheet51"/>
      <sheetName val="B_&amp;_C_-_M_-_ccp51"/>
      <sheetName val="RES_STEEL_TO51"/>
      <sheetName val="RMZ_Summary51"/>
      <sheetName val="Materials_51"/>
      <sheetName val="Field_Values51"/>
      <sheetName val="Fin_Sum51"/>
      <sheetName val="Fill_this_out_first___51"/>
      <sheetName val="Site_Dev_BOQ51"/>
      <sheetName val="Staff_Forecast_spread51"/>
      <sheetName val="Structure_Bills_Qty51"/>
      <sheetName val="Builtup_Area51"/>
      <sheetName val="MASTER_RATE_ANALYSIS51"/>
      <sheetName val="Cop_-VGN51"/>
      <sheetName val="Pipe_Supports51"/>
      <sheetName val="MN_T_B_51"/>
      <sheetName val="BOQ_Direct_selling_cost51"/>
      <sheetName val="Stress_Calculation51"/>
      <sheetName val="IO_List51"/>
      <sheetName val="TBAL9697_-group_wise__sdpl51"/>
      <sheetName val="factor_sheet24"/>
      <sheetName val="Exp_51"/>
      <sheetName val="INDIGINEOUS_ITEMS_51"/>
      <sheetName val="E_&amp;_R51"/>
      <sheetName val="Load_Details(B1)51"/>
      <sheetName val="Break_Dw51"/>
      <sheetName val="SPT_vs_PHI51"/>
      <sheetName val="Civil_Boq51"/>
      <sheetName val="PA-_Consutant_51"/>
      <sheetName val="Debits_as_on_12_04_0851"/>
      <sheetName val="Sheet3_(2)51"/>
      <sheetName val="INDORAMA_Group_June_0251"/>
      <sheetName val="PART-I_(2)53"/>
      <sheetName val="final_abstract53"/>
      <sheetName val="Basement_Budget52"/>
      <sheetName val="Rate_analysis52"/>
      <sheetName val="Fee_Rate_Summary52"/>
      <sheetName val="Materials_Cost52"/>
      <sheetName val="10__&amp;_11__Rate_Code_&amp;_BQ52"/>
      <sheetName val="Break_up_Sheet52"/>
      <sheetName val="B_&amp;_C_-_M_-_ccp52"/>
      <sheetName val="RES_STEEL_TO52"/>
      <sheetName val="RMZ_Summary52"/>
      <sheetName val="Materials_52"/>
      <sheetName val="Field_Values52"/>
      <sheetName val="Fin_Sum52"/>
      <sheetName val="Fill_this_out_first___52"/>
      <sheetName val="Site_Dev_BOQ52"/>
      <sheetName val="Staff_Forecast_spread52"/>
      <sheetName val="Structure_Bills_Qty52"/>
      <sheetName val="Builtup_Area52"/>
      <sheetName val="MASTER_RATE_ANALYSIS52"/>
      <sheetName val="Cop_-VGN52"/>
      <sheetName val="Pipe_Supports52"/>
      <sheetName val="MN_T_B_52"/>
      <sheetName val="BOQ_Direct_selling_cost52"/>
      <sheetName val="Stress_Calculation52"/>
      <sheetName val="IO_List52"/>
      <sheetName val="TBAL9697_-group_wise__sdpl52"/>
      <sheetName val="factor_sheet25"/>
      <sheetName val="Exp_52"/>
      <sheetName val="INDIGINEOUS_ITEMS_52"/>
      <sheetName val="E_&amp;_R52"/>
      <sheetName val="Load_Details(B1)52"/>
      <sheetName val="Break_Dw52"/>
      <sheetName val="SPT_vs_PHI52"/>
      <sheetName val="Civil_Boq52"/>
      <sheetName val="PA-_Consutant_52"/>
      <sheetName val="Debits_as_on_12_04_0852"/>
      <sheetName val="Sheet3_(2)52"/>
      <sheetName val="INDORAMA_Group_June_0252"/>
      <sheetName val="PART-I_(2)54"/>
      <sheetName val="final_abstract54"/>
      <sheetName val="Basement_Budget53"/>
      <sheetName val="Rate_analysis53"/>
      <sheetName val="Fee_Rate_Summary53"/>
      <sheetName val="Materials_Cost53"/>
      <sheetName val="10__&amp;_11__Rate_Code_&amp;_BQ53"/>
      <sheetName val="Break_up_Sheet53"/>
      <sheetName val="B_&amp;_C_-_M_-_ccp53"/>
      <sheetName val="RES_STEEL_TO53"/>
      <sheetName val="RMZ_Summary53"/>
      <sheetName val="Materials_53"/>
      <sheetName val="Field_Values53"/>
      <sheetName val="Fin_Sum53"/>
      <sheetName val="Fill_this_out_first___53"/>
      <sheetName val="Site_Dev_BOQ53"/>
      <sheetName val="Staff_Forecast_spread53"/>
      <sheetName val="Structure_Bills_Qty53"/>
      <sheetName val="Builtup_Area53"/>
      <sheetName val="MASTER_RATE_ANALYSIS53"/>
      <sheetName val="Cop_-VGN53"/>
      <sheetName val="Pipe_Supports53"/>
      <sheetName val="MN_T_B_53"/>
      <sheetName val="BOQ_Direct_selling_cost53"/>
      <sheetName val="Stress_Calculation53"/>
      <sheetName val="IO_List53"/>
      <sheetName val="TBAL9697_-group_wise__sdpl53"/>
      <sheetName val="factor_sheet26"/>
      <sheetName val="Exp_53"/>
      <sheetName val="INDIGINEOUS_ITEMS_53"/>
      <sheetName val="E_&amp;_R53"/>
      <sheetName val="Load_Details(B1)53"/>
      <sheetName val="Break_Dw53"/>
      <sheetName val="SPT_vs_PHI53"/>
      <sheetName val="Civil_Boq53"/>
      <sheetName val="PA-_Consutant_53"/>
      <sheetName val="Debits_as_on_12_04_0853"/>
      <sheetName val="Sheet3_(2)53"/>
      <sheetName val="INDORAMA_Group_June_0253"/>
      <sheetName val="PART-I_(2)55"/>
      <sheetName val="final_abstract55"/>
      <sheetName val="Basement_Budget54"/>
      <sheetName val="Rate_analysis54"/>
      <sheetName val="Fee_Rate_Summary54"/>
      <sheetName val="Materials_Cost54"/>
      <sheetName val="10__&amp;_11__Rate_Code_&amp;_BQ54"/>
      <sheetName val="Break_up_Sheet54"/>
      <sheetName val="B_&amp;_C_-_M_-_ccp54"/>
      <sheetName val="RES_STEEL_TO54"/>
      <sheetName val="RMZ_Summary54"/>
      <sheetName val="Materials_54"/>
      <sheetName val="Field_Values54"/>
      <sheetName val="Fin_Sum54"/>
      <sheetName val="Fill_this_out_first___54"/>
      <sheetName val="Site_Dev_BOQ54"/>
      <sheetName val="Staff_Forecast_spread54"/>
      <sheetName val="Structure_Bills_Qty54"/>
      <sheetName val="Builtup_Area54"/>
      <sheetName val="MASTER_RATE_ANALYSIS54"/>
      <sheetName val="Cop_-VGN54"/>
      <sheetName val="Pipe_Supports54"/>
      <sheetName val="MN_T_B_54"/>
      <sheetName val="BOQ_Direct_selling_cost54"/>
      <sheetName val="Stress_Calculation54"/>
      <sheetName val="IO_List54"/>
      <sheetName val="TBAL9697_-group_wise__sdpl54"/>
      <sheetName val="factor_sheet27"/>
      <sheetName val="Exp_54"/>
      <sheetName val="INDIGINEOUS_ITEMS_54"/>
      <sheetName val="E_&amp;_R54"/>
      <sheetName val="Load_Details(B1)54"/>
      <sheetName val="Break_Dw54"/>
      <sheetName val="SPT_vs_PHI54"/>
      <sheetName val="Civil_Boq54"/>
      <sheetName val="PA-_Consutant_54"/>
      <sheetName val="Debits_as_on_12_04_0854"/>
      <sheetName val="Sheet3_(2)54"/>
      <sheetName val="INDORAMA_Group_June_0254"/>
      <sheetName val="PART-I_(2)57"/>
      <sheetName val="final_abstract57"/>
      <sheetName val="Basement_Budget56"/>
      <sheetName val="Rate_analysis56"/>
      <sheetName val="Fee_Rate_Summary56"/>
      <sheetName val="Materials_Cost56"/>
      <sheetName val="10__&amp;_11__Rate_Code_&amp;_BQ56"/>
      <sheetName val="Break_up_Sheet56"/>
      <sheetName val="B_&amp;_C_-_M_-_ccp56"/>
      <sheetName val="RES_STEEL_TO56"/>
      <sheetName val="RMZ_Summary56"/>
      <sheetName val="Materials_56"/>
      <sheetName val="Field_Values56"/>
      <sheetName val="Fin_Sum56"/>
      <sheetName val="Fill_this_out_first___56"/>
      <sheetName val="Site_Dev_BOQ56"/>
      <sheetName val="Staff_Forecast_spread56"/>
      <sheetName val="Structure_Bills_Qty56"/>
      <sheetName val="Builtup_Area56"/>
      <sheetName val="MASTER_RATE_ANALYSIS56"/>
      <sheetName val="Cop_-VGN56"/>
      <sheetName val="Pipe_Supports56"/>
      <sheetName val="MN_T_B_56"/>
      <sheetName val="BOQ_Direct_selling_cost56"/>
      <sheetName val="Stress_Calculation56"/>
      <sheetName val="IO_List56"/>
      <sheetName val="TBAL9697_-group_wise__sdpl56"/>
      <sheetName val="factor_sheet29"/>
      <sheetName val="Exp_56"/>
      <sheetName val="INDIGINEOUS_ITEMS_56"/>
      <sheetName val="E_&amp;_R56"/>
      <sheetName val="Load_Details(B1)56"/>
      <sheetName val="Break_Dw56"/>
      <sheetName val="SPT_vs_PHI56"/>
      <sheetName val="Civil_Boq56"/>
      <sheetName val="PA-_Consutant_56"/>
      <sheetName val="Debits_as_on_12_04_0856"/>
      <sheetName val="Sheet3_(2)56"/>
      <sheetName val="INDORAMA_Group_June_0256"/>
      <sheetName val="PART-I_(2)56"/>
      <sheetName val="final_abstract56"/>
      <sheetName val="Basement_Budget55"/>
      <sheetName val="Rate_analysis55"/>
      <sheetName val="Fee_Rate_Summary55"/>
      <sheetName val="Materials_Cost55"/>
      <sheetName val="10__&amp;_11__Rate_Code_&amp;_BQ55"/>
      <sheetName val="Break_up_Sheet55"/>
      <sheetName val="B_&amp;_C_-_M_-_ccp55"/>
      <sheetName val="RES_STEEL_TO55"/>
      <sheetName val="RMZ_Summary55"/>
      <sheetName val="Materials_55"/>
      <sheetName val="Field_Values55"/>
      <sheetName val="Fin_Sum55"/>
      <sheetName val="Fill_this_out_first___55"/>
      <sheetName val="Site_Dev_BOQ55"/>
      <sheetName val="Staff_Forecast_spread55"/>
      <sheetName val="Structure_Bills_Qty55"/>
      <sheetName val="Builtup_Area55"/>
      <sheetName val="MASTER_RATE_ANALYSIS55"/>
      <sheetName val="Cop_-VGN55"/>
      <sheetName val="Pipe_Supports55"/>
      <sheetName val="MN_T_B_55"/>
      <sheetName val="BOQ_Direct_selling_cost55"/>
      <sheetName val="Stress_Calculation55"/>
      <sheetName val="IO_List55"/>
      <sheetName val="TBAL9697_-group_wise__sdpl55"/>
      <sheetName val="factor_sheet28"/>
      <sheetName val="Exp_55"/>
      <sheetName val="INDIGINEOUS_ITEMS_55"/>
      <sheetName val="E_&amp;_R55"/>
      <sheetName val="Load_Details(B1)55"/>
      <sheetName val="Break_Dw55"/>
      <sheetName val="SPT_vs_PHI55"/>
      <sheetName val="Civil_Boq55"/>
      <sheetName val="PA-_Consutant_55"/>
      <sheetName val="Debits_as_on_12_04_0855"/>
      <sheetName val="Sheet3_(2)55"/>
      <sheetName val="INDORAMA_Group_June_0255"/>
      <sheetName val="PART-I_(2)59"/>
      <sheetName val="final_abstract59"/>
      <sheetName val="Basement_Budget58"/>
      <sheetName val="Rate_analysis58"/>
      <sheetName val="Fee_Rate_Summary58"/>
      <sheetName val="Materials_Cost58"/>
      <sheetName val="10__&amp;_11__Rate_Code_&amp;_BQ58"/>
      <sheetName val="Break_up_Sheet58"/>
      <sheetName val="B_&amp;_C_-_M_-_ccp58"/>
      <sheetName val="RES_STEEL_TO58"/>
      <sheetName val="RMZ_Summary58"/>
      <sheetName val="Materials_58"/>
      <sheetName val="Field_Values58"/>
      <sheetName val="Fin_Sum58"/>
      <sheetName val="Fill_this_out_first___58"/>
      <sheetName val="Site_Dev_BOQ58"/>
      <sheetName val="Staff_Forecast_spread58"/>
      <sheetName val="Structure_Bills_Qty58"/>
      <sheetName val="Builtup_Area58"/>
      <sheetName val="MASTER_RATE_ANALYSIS58"/>
      <sheetName val="Cop_-VGN58"/>
      <sheetName val="Pipe_Supports58"/>
      <sheetName val="MN_T_B_58"/>
      <sheetName val="BOQ_Direct_selling_cost58"/>
      <sheetName val="Stress_Calculation58"/>
      <sheetName val="IO_List58"/>
      <sheetName val="TBAL9697_-group_wise__sdpl58"/>
      <sheetName val="factor_sheet31"/>
      <sheetName val="Exp_58"/>
      <sheetName val="INDIGINEOUS_ITEMS_58"/>
      <sheetName val="E_&amp;_R58"/>
      <sheetName val="Load_Details(B1)58"/>
      <sheetName val="Break_Dw58"/>
      <sheetName val="SPT_vs_PHI58"/>
      <sheetName val="Civil_Boq58"/>
      <sheetName val="PA-_Consutant_58"/>
      <sheetName val="Debits_as_on_12_04_0858"/>
      <sheetName val="Sheet3_(2)58"/>
      <sheetName val="INDORAMA_Group_June_0258"/>
      <sheetName val="PART-I_(2)60"/>
      <sheetName val="final_abstract60"/>
      <sheetName val="Basement_Budget59"/>
      <sheetName val="Rate_analysis59"/>
      <sheetName val="Fee_Rate_Summary59"/>
      <sheetName val="Materials_Cost59"/>
      <sheetName val="10__&amp;_11__Rate_Code_&amp;_BQ59"/>
      <sheetName val="Break_up_Sheet59"/>
      <sheetName val="B_&amp;_C_-_M_-_ccp59"/>
      <sheetName val="RES_STEEL_TO59"/>
      <sheetName val="RMZ_Summary59"/>
      <sheetName val="Materials_59"/>
      <sheetName val="Field_Values59"/>
      <sheetName val="Fin_Sum59"/>
      <sheetName val="Fill_this_out_first___59"/>
      <sheetName val="Site_Dev_BOQ59"/>
      <sheetName val="Staff_Forecast_spread59"/>
      <sheetName val="Structure_Bills_Qty59"/>
      <sheetName val="Builtup_Area59"/>
      <sheetName val="MASTER_RATE_ANALYSIS59"/>
      <sheetName val="Cop_-VGN59"/>
      <sheetName val="Pipe_Supports59"/>
      <sheetName val="MN_T_B_59"/>
      <sheetName val="BOQ_Direct_selling_cost59"/>
      <sheetName val="Stress_Calculation59"/>
      <sheetName val="IO_List59"/>
      <sheetName val="TBAL9697_-group_wise__sdpl59"/>
      <sheetName val="factor_sheet32"/>
      <sheetName val="Exp_59"/>
      <sheetName val="INDIGINEOUS_ITEMS_59"/>
      <sheetName val="E_&amp;_R59"/>
      <sheetName val="Load_Details(B1)59"/>
      <sheetName val="Break_Dw59"/>
      <sheetName val="SPT_vs_PHI59"/>
      <sheetName val="Civil_Boq59"/>
      <sheetName val="PA-_Consutant_59"/>
      <sheetName val="Debits_as_on_12_04_0859"/>
      <sheetName val="Sheet3_(2)59"/>
      <sheetName val="INDORAMA_Group_June_0259"/>
      <sheetName val="PART-I_(2)61"/>
      <sheetName val="final_abstract61"/>
      <sheetName val="Basement_Budget60"/>
      <sheetName val="Rate_analysis60"/>
      <sheetName val="Fee_Rate_Summary60"/>
      <sheetName val="Materials_Cost60"/>
      <sheetName val="10__&amp;_11__Rate_Code_&amp;_BQ60"/>
      <sheetName val="Break_up_Sheet60"/>
      <sheetName val="B_&amp;_C_-_M_-_ccp60"/>
      <sheetName val="RES_STEEL_TO60"/>
      <sheetName val="RMZ_Summary60"/>
      <sheetName val="Materials_60"/>
      <sheetName val="Field_Values60"/>
      <sheetName val="Fin_Sum60"/>
      <sheetName val="Fill_this_out_first___60"/>
      <sheetName val="Site_Dev_BOQ60"/>
      <sheetName val="Staff_Forecast_spread60"/>
      <sheetName val="Structure_Bills_Qty60"/>
      <sheetName val="Builtup_Area60"/>
      <sheetName val="MASTER_RATE_ANALYSIS60"/>
      <sheetName val="Cop_-VGN60"/>
      <sheetName val="Pipe_Supports60"/>
      <sheetName val="MN_T_B_60"/>
      <sheetName val="BOQ_Direct_selling_cost60"/>
      <sheetName val="Stress_Calculation60"/>
      <sheetName val="IO_List60"/>
      <sheetName val="TBAL9697_-group_wise__sdpl60"/>
      <sheetName val="factor_sheet33"/>
      <sheetName val="Exp_60"/>
      <sheetName val="INDIGINEOUS_ITEMS_60"/>
      <sheetName val="E_&amp;_R60"/>
      <sheetName val="Load_Details(B1)60"/>
      <sheetName val="Break_Dw60"/>
      <sheetName val="SPT_vs_PHI60"/>
      <sheetName val="Civil_Boq60"/>
      <sheetName val="PA-_Consutant_60"/>
      <sheetName val="Debits_as_on_12_04_0860"/>
      <sheetName val="Sheet3_(2)60"/>
      <sheetName val="INDORAMA_Group_June_0260"/>
      <sheetName val="s"/>
      <sheetName val="TEXT"/>
      <sheetName val="PART-I_(2)62"/>
      <sheetName val="final_abstract62"/>
      <sheetName val="Basement_Budget61"/>
      <sheetName val="Rate_analysis61"/>
      <sheetName val="Fee_Rate_Summary61"/>
      <sheetName val="Materials_Cost61"/>
      <sheetName val="10__&amp;_11__Rate_Code_&amp;_BQ61"/>
      <sheetName val="Break_up_Sheet61"/>
      <sheetName val="B_&amp;_C_-_M_-_ccp61"/>
      <sheetName val="RES_STEEL_TO61"/>
      <sheetName val="RMZ_Summary61"/>
      <sheetName val="Materials_61"/>
      <sheetName val="Field_Values61"/>
      <sheetName val="Fin_Sum61"/>
      <sheetName val="Fill_this_out_first___61"/>
      <sheetName val="Site_Dev_BOQ61"/>
      <sheetName val="Staff_Forecast_spread61"/>
      <sheetName val="Structure_Bills_Qty61"/>
      <sheetName val="Builtup_Area61"/>
      <sheetName val="MASTER_RATE_ANALYSIS61"/>
      <sheetName val="Cop_-VGN61"/>
      <sheetName val="Pipe_Supports61"/>
      <sheetName val="MN_T_B_61"/>
      <sheetName val="BOQ_Direct_selling_cost61"/>
      <sheetName val="Stress_Calculation61"/>
      <sheetName val="IO_List61"/>
      <sheetName val="TBAL9697_-group_wise__sdpl61"/>
      <sheetName val="factor_sheet34"/>
      <sheetName val="Exp_61"/>
      <sheetName val="INDIGINEOUS_ITEMS_61"/>
      <sheetName val="E_&amp;_R61"/>
      <sheetName val="Load_Details(B1)61"/>
      <sheetName val="Break_Dw61"/>
      <sheetName val="SPT_vs_PHI61"/>
      <sheetName val="Civil_Boq61"/>
      <sheetName val="PA-_Consutant_61"/>
      <sheetName val="Debits_as_on_12_04_0861"/>
      <sheetName val="Sheet3_(2)61"/>
      <sheetName val="INDORAMA_Group_June_0261"/>
      <sheetName val="RP2"/>
      <sheetName val="Quantity"/>
      <sheetName val="Param"/>
      <sheetName val="Project Budget Worksheet"/>
      <sheetName val="All Components Report"/>
      <sheetName val="R.A."/>
      <sheetName val="Recap."/>
      <sheetName val="Abstract"/>
      <sheetName val="Schedule A1"/>
      <sheetName val="Abstract (Buyback)"/>
      <sheetName val="Civil RA"/>
      <sheetName val="Plumbing RA"/>
      <sheetName val="Electrical  RA"/>
      <sheetName val="ELV RA"/>
      <sheetName val="FFTG RA"/>
      <sheetName val="HVAC RA"/>
      <sheetName val="Furniture RA"/>
      <sheetName val="Kichen Equi. RA"/>
      <sheetName val="Assumptions-Input"/>
      <sheetName val="Intro"/>
      <sheetName val="Names&amp;Cases"/>
      <sheetName val="Process"/>
      <sheetName val="Bill 1-BOQ-Civil Works"/>
      <sheetName val="Amort"/>
      <sheetName val="AmortRef"/>
      <sheetName val="old boq"/>
      <sheetName val="Labels"/>
      <sheetName val="dummy"/>
      <sheetName val="UNP-NCW "/>
      <sheetName val="drg"/>
      <sheetName val="0"/>
      <sheetName val="CUM-Mar07"/>
      <sheetName val="CRM"/>
      <sheetName val="A3"/>
      <sheetName val="BUD 07-08"/>
      <sheetName val="HIDE"/>
      <sheetName val="XL"/>
      <sheetName val="Vind-BtB"/>
      <sheetName val="ENCL9"/>
      <sheetName val="intr_stool_brkup"/>
      <sheetName val="Elect."/>
      <sheetName val="Works - Quote Sheet"/>
      <sheetName val="Lead statement"/>
      <sheetName val="Flight-1"/>
      <sheetName val="Data.F8.BTR"/>
      <sheetName val="r"/>
      <sheetName val="mlead"/>
      <sheetName val="RMR"/>
      <sheetName val="MA"/>
      <sheetName val="Sectors"/>
      <sheetName val="Site"/>
      <sheetName val="2.1 受電設備棟"/>
      <sheetName val="2.2 受・防火水槽"/>
      <sheetName val="2.3 排水処理設備棟"/>
      <sheetName val="2.4 倉庫棟"/>
      <sheetName val="2.5 守衛棟"/>
      <sheetName val="Global Assmptions"/>
      <sheetName val="Footings"/>
      <sheetName val="9. Package split - Cost "/>
      <sheetName val="FITZ MORT 94"/>
      <sheetName val="Inc.St.-Link"/>
      <sheetName val="공장별판관비배부"/>
      <sheetName val="UNIT2"/>
      <sheetName val="98Price"/>
      <sheetName val="girder"/>
      <sheetName val="SECPROP"/>
      <sheetName val="CABLENOS."/>
      <sheetName val="Sales &amp; Prod"/>
      <sheetName val="Codes"/>
      <sheetName val="Final Basic rate"/>
      <sheetName val="pri-com"/>
      <sheetName val="Step 1"/>
      <sheetName val="Labour Rate "/>
      <sheetName val="Material List "/>
      <sheetName val="SUMM"/>
      <sheetName val="Tower-B(Abstract)"/>
      <sheetName val="terrace parapet block work"/>
      <sheetName val="Canopy-2 RCC1"/>
      <sheetName val="Canopy-2 BBS"/>
      <sheetName val="Canopy-1 RCC1"/>
      <sheetName val="Canopy-1 BBS"/>
      <sheetName val="Above terrace columns RCC"/>
      <sheetName val="Above terrace columns BBS"/>
      <sheetName val="Parapet wall RCC"/>
      <sheetName val="Parapet wall BBS"/>
      <sheetName val="OHWT RCC"/>
      <sheetName val="OHWT Slab BBS"/>
      <sheetName val="OHWT Beams  BBS"/>
      <sheetName val="Columns"/>
      <sheetName val="Lifts"/>
      <sheetName val="Staircases"/>
      <sheetName val="Slab &amp; Beam @ 0.00 Lvl"/>
      <sheetName val="Slab &amp; Beam"/>
      <sheetName val="Lintels &amp; Window"/>
      <sheetName val="Column Steel (UBF)"/>
      <sheetName val="Column Steel (SF)"/>
      <sheetName val="Column Steel (1F)"/>
      <sheetName val="Column Steel (2F)"/>
      <sheetName val="Column Steel (3F)"/>
      <sheetName val="Column Steel (4F-6F)"/>
      <sheetName val="Column Steel (7F-9F)"/>
      <sheetName val="Column Steel (10F-12F)"/>
      <sheetName val="Column Steel (13F-15F)"/>
      <sheetName val="Column Steel (16F-17F)"/>
      <sheetName val="Column Steel (18F)"/>
      <sheetName val="Lift Steel (UBF)"/>
      <sheetName val="Lift Steel (SF)"/>
      <sheetName val="Lift Steel (1F-6F)"/>
      <sheetName val="Lift Steel (7F-12F)"/>
      <sheetName val="Lift Steel (13F-18F)"/>
      <sheetName val=" Staircase Steel (UBF)"/>
      <sheetName val=" Staircase Steel (SF)"/>
      <sheetName val=" Staircase Steel (1F-7F)"/>
      <sheetName val=" Staircase Steel (8F-18F)"/>
      <sheetName val="Beams Steel (SF)"/>
      <sheetName val="Slab Steel (SF)"/>
      <sheetName val="Beams Steel (1F)"/>
      <sheetName val="Slab Steel (1F)"/>
      <sheetName val="Beams Steel (2F&amp;3F)"/>
      <sheetName val="Slab Steel (2F&amp;3F)"/>
      <sheetName val="Beams Steel (4F)"/>
      <sheetName val="Slab Steel (4F)"/>
      <sheetName val="Beams Steel (5F-7F)"/>
      <sheetName val="Slab Steel (5F-7F)"/>
      <sheetName val="Beams Steel (8F-15F&amp;18F)"/>
      <sheetName val="Slab Steel (8F-15F&amp;18F)"/>
      <sheetName val="Beams Steel (16F&amp;17F)"/>
      <sheetName val="Slab Steel (16F&amp;17F)"/>
      <sheetName val="Beams Steel (TF)"/>
      <sheetName val="Slab Steel (TF)"/>
      <sheetName val="100mm Block Work"/>
      <sheetName val="150mm BLOCKS"/>
      <sheetName val="200mm BLOCKS"/>
      <sheetName val="Internal Walls Plastering"/>
      <sheetName val="Internal Ceiling Plastering"/>
      <sheetName val="External plaster"/>
      <sheetName val="Tower- A (Abstract)"/>
      <sheetName val="Canopy-2 RCC"/>
      <sheetName val="Canopy -1 RCC"/>
      <sheetName val="Canaopy-2 steel"/>
      <sheetName val="Canopy-1 steel"/>
      <sheetName val="Columns above terrace"/>
      <sheetName val="OHT bottom &amp; walls "/>
      <sheetName val="Slab &amp; Beam at 0.00lvl"/>
      <sheetName val="Slab &amp; Beam at +3.25lvl"/>
      <sheetName val="Parapet slab&amp;beams"/>
      <sheetName val="Column Steel(SF to TF)"/>
      <sheetName val="Above terrace column steel"/>
      <sheetName val="Lift Wall - Stilt Floor"/>
      <sheetName val="Lift Wall 1F-6F"/>
      <sheetName val="Lift Wall 7F-12F"/>
      <sheetName val="Lift Wall 13F-18F"/>
      <sheetName val="Lift wall terrace floor"/>
      <sheetName val="Staircase - UBF"/>
      <sheetName val="Staircase - SF"/>
      <sheetName val="Staircase - 1F-7F"/>
      <sheetName val="Staircase - 8F-18F"/>
      <sheetName val="Beam Steel - SF"/>
      <sheetName val="Slab Steel - SF"/>
      <sheetName val="Beam Steel- 1F"/>
      <sheetName val="Slab Steel - 1F"/>
      <sheetName val="Beams Steel 2F"/>
      <sheetName val="Slab steel 2F"/>
      <sheetName val="Beams Steel 3F"/>
      <sheetName val="Slab steel 3F"/>
      <sheetName val="Beams Steel - 4F"/>
      <sheetName val="Slab steel 4F"/>
      <sheetName val="Beam steel 5F-7F"/>
      <sheetName val="Slab steel 5F-7F"/>
      <sheetName val="Beam steel 8F-15F &amp; 18F"/>
      <sheetName val="Slab steel 8F-15F&amp; 18F"/>
      <sheetName val="Beam steel 16F - 17F"/>
      <sheetName val="Slab steel 16F - 17F"/>
      <sheetName val="Beam steel TF"/>
      <sheetName val="Slab steel TF"/>
      <sheetName val="OHT Slab steel "/>
      <sheetName val="OHT beam steel "/>
      <sheetName val="A- terrace coping BBS"/>
      <sheetName val="Copping beam BBS A terrace"/>
      <sheetName val="150 mm BLOCKS"/>
      <sheetName val="200 mm BLOCKS"/>
      <sheetName val="Amendments"/>
      <sheetName val="Bld.SSR"/>
      <sheetName val="SSR -Sani "/>
      <sheetName val="Elec.SSR"/>
      <sheetName val="Irri-SSR"/>
      <sheetName val="PH- SSR"/>
      <sheetName val="R &amp; B.SSR"/>
      <sheetName val="RCC Pipes"/>
      <sheetName val="PH-HDPE"/>
      <sheetName val="PH-PVC"/>
      <sheetName val="DI-Pipes &amp; Spe"/>
      <sheetName val="CI.Spe"/>
      <sheetName val="DI-Valves"/>
      <sheetName val="CI-Valves"/>
      <sheetName val="Bolts&amp; rings"/>
      <sheetName val="MH-Covers"/>
      <sheetName val="Dist.Lines-150-old"/>
      <sheetName val="NW-GA"/>
      <sheetName val="GA-GVMC -NW(Com) "/>
      <sheetName val="GA-GVMC -NW "/>
      <sheetName val="Dist.Lines-100"/>
      <sheetName val="Dist-Lines -500"/>
      <sheetName val="Dist-Lines"/>
      <sheetName val="Dist.Lines-150"/>
      <sheetName val="GA-GVMC -NW  (2)"/>
      <sheetName val="GA-GVMC -NW. "/>
      <sheetName val="Dist-Lines B-1 "/>
      <sheetName val="Dist-Lines-Final checked"/>
      <sheetName val="Pumping mains-"/>
      <sheetName val="Feeder main-old"/>
      <sheetName val="Dist-Lines -B-2"/>
      <sheetName val="Dist-Lines -B-3"/>
      <sheetName val="Dist-Lines B-4"/>
      <sheetName val="Dist-Lines B-5"/>
      <sheetName val="Dist-Lines -B-6"/>
      <sheetName val="Dist-Lines -B-7"/>
      <sheetName val="Dist-Lines -B-8"/>
      <sheetName val="Dist-Lines -B-9"/>
      <sheetName val="Dist-Lines -B-10"/>
      <sheetName val="Dist-Lines -B-11"/>
      <sheetName val="Dist-Lines -B-12"/>
      <sheetName val="Dist-Lines -B-13"/>
      <sheetName val="Dist-Lines -B-14"/>
      <sheetName val="Dist-Lines -B-15"/>
      <sheetName val="Dist-Lines -B-16"/>
      <sheetName val="Feeder mains- 1"/>
      <sheetName val="Feeder mains- 2"/>
      <sheetName val="Feeder mains- (1)"/>
      <sheetName val="Feeder mains-up to 800"/>
      <sheetName val="Pumping Main-800mm"/>
      <sheetName val="ELSR-600 KL-Z-2"/>
      <sheetName val="750 KL GLSR-Z-3"/>
      <sheetName val="ELSR-750 KL-Z-3"/>
      <sheetName val="ELSR-500 KL-Z-4"/>
      <sheetName val="500 KL GLSR-Z-4"/>
      <sheetName val="ELSR-200KL-Z-7"/>
      <sheetName val="ELSR-1850 KL-Z-8"/>
      <sheetName val="1850 KL GLSR-Z-8"/>
      <sheetName val="ELSR-200KL-Z-9"/>
      <sheetName val="800 KL GLSR-Z-11"/>
      <sheetName val="900 KL GLSR-Z-12"/>
      <sheetName val="ELSR-2500 KL-Z-13"/>
      <sheetName val="ELSR-2400 KL-Z-14"/>
      <sheetName val="ELSR-1200 KL-Z-15"/>
      <sheetName val="ELSR-2000 KL-Z-16"/>
      <sheetName val="Pumping Main-500mm-(2)"/>
      <sheetName val="Pumping Main-450mm-(3)"/>
      <sheetName val="Pumping Main-(4)"/>
      <sheetName val="350 KL GLSR"/>
      <sheetName val="1000 KL Sump-"/>
      <sheetName val="1000 KL MBR"/>
      <sheetName val="MBR-1000 KL"/>
      <sheetName val="Pump room-12x8"/>
      <sheetName val="HSC"/>
      <sheetName val="B.F.Meters"/>
      <sheetName val="pvc_basic"/>
      <sheetName val="Estimate 10.00 Lakhs "/>
      <sheetName val="abs road"/>
      <sheetName val="coverpage"/>
      <sheetName val="Road data"/>
      <sheetName val="R_Det"/>
      <sheetName val="Pump sets"/>
      <sheetName val="Pump sets (2)"/>
      <sheetName val="Gen sets"/>
      <sheetName val="PR Valves"/>
      <sheetName val="W.man.Qrt-"/>
      <sheetName val="O &amp;M"/>
      <sheetName val="Generator Room-1"/>
      <sheetName val="200 KL GLSR-6 (2)"/>
      <sheetName val="500 KL Sump-(1)"/>
      <sheetName val="250 KL Sump-(3)"/>
      <sheetName val="Office - MBR"/>
      <sheetName val="HSC (2)"/>
      <sheetName val="O&amp;M"/>
      <sheetName val="Gen sets (2)"/>
      <sheetName val="Transfarmer"/>
      <sheetName val="C-Mat-Gen"/>
      <sheetName val="Convey"/>
      <sheetName val="Sheet1 (2)"/>
      <sheetName val="Hire"/>
      <sheetName val="Mortars,"/>
      <sheetName val="Cent'g-1"/>
      <sheetName val="Cent'g-2"/>
      <sheetName val="Loading"/>
      <sheetName val="Dismantling"/>
      <sheetName val="DI pipes"/>
      <sheetName val="DI-Spe-1"/>
      <sheetName val="Wt.of DI Spe."/>
      <sheetName val="HDPE pipes"/>
      <sheetName val="HDPE-Spe"/>
      <sheetName val="RCC-PE"/>
      <sheetName val="RCC SS"/>
      <sheetName val="CI Spe."/>
      <sheetName val="PVC-WS"/>
      <sheetName val="ELSR-2"/>
      <sheetName val="data-ELSR "/>
      <sheetName val="Lowering"/>
      <sheetName val="data-Water Supply"/>
      <sheetName val="Sump &amp; ST"/>
      <sheetName val="Chamber-1"/>
      <sheetName val="Bld.Stnd,Data"/>
      <sheetName val="Bld up to 3F"/>
      <sheetName val="CC road"/>
      <sheetName val="EWE-Roads"/>
      <sheetName val="Dist Lines"/>
      <sheetName val="Feeder mains-2"/>
      <sheetName val="Gravity Main-900mm"/>
      <sheetName val="550 KL Sump-1"/>
      <sheetName val="550 KL Sump-2"/>
      <sheetName val="ELSR-1200 KL"/>
      <sheetName val="650 KL GLSR (2)"/>
      <sheetName val="850 KL GLSR "/>
      <sheetName val="500 KL sump"/>
      <sheetName val="200 KL- ELSR Yelluru"/>
      <sheetName val="Dist-Zone-below 50000"/>
      <sheetName val="Data -O&amp;M"/>
      <sheetName val="Lengths-Tandur"/>
      <sheetName val="Bld-Total"/>
      <sheetName val="Pumping main-350mm"/>
      <sheetName val="Details"/>
      <sheetName val="Dist-est"/>
      <sheetName val="info-1"/>
      <sheetName val="Inf.Well"/>
      <sheetName val="Approah road to MBR"/>
      <sheetName val="Approach Roads-Source"/>
      <sheetName val="Dist-Zone-1"/>
      <sheetName val="400mm-P.Main"/>
      <sheetName val="Rates-ELSR,Filters"/>
      <sheetName val="13 Mld-WTP"/>
      <sheetName val="data-Intake well"/>
      <sheetName val="data-ELSR-"/>
      <sheetName val="Valves"/>
      <sheetName val="Model GLSR-"/>
      <sheetName val="Feeder main-1 (2)"/>
      <sheetName val="Dist &amp; Feeder mains  (2)"/>
      <sheetName val="BFlow meters"/>
      <sheetName val="DI-100-900"/>
      <sheetName val="O Nd M"/>
      <sheetName val="Pump room-6.59x6.00m"/>
      <sheetName val="data-MS-pipe"/>
      <sheetName val="GA-GVMC -Raiwada-BWSC"/>
      <sheetName val="BWSC-Pumping Main-1200mm"/>
      <sheetName val="GA-GVMC -Raiwada"/>
      <sheetName val="MS-Pumping Main-1300mm"/>
      <sheetName val="Thurst-F.mains"/>
      <sheetName val="Thrust-P.mains"/>
      <sheetName val="CI weights"/>
      <sheetName val="PH-BWSC"/>
      <sheetName val="BWSC-Rate"/>
      <sheetName val="BWSC-Cal"/>
      <sheetName val="Proforma -II "/>
      <sheetName val="conc-foot-gradeslab"/>
      <sheetName val="Parameter"/>
      <sheetName val="site fab&amp;ernstr"/>
      <sheetName val="Material"/>
      <sheetName val="Main Sheet"/>
      <sheetName val="Lookup data"/>
      <sheetName val="13. Steel - Ratio"/>
      <sheetName val="CIV INV&amp;EXP"/>
      <sheetName val="MRATES"/>
      <sheetName val="Cover"/>
      <sheetName val="DATA-BASE"/>
      <sheetName val="DATA-ABSTRACT"/>
      <sheetName val="v"/>
      <sheetName val="For_Bill-04_PS1"/>
      <sheetName val="RCC,Ret__Wall3"/>
      <sheetName val="RA_4_Challan_Summary_3"/>
      <sheetName val="Labour_productivity3"/>
      <sheetName val="labour_coeff3"/>
      <sheetName val="BOQ_(2)2"/>
      <sheetName val="ORDER_BOOKING1"/>
      <sheetName val="beam-reinft-IIInd_floor1"/>
      <sheetName val="Staff_Acco_1"/>
      <sheetName val="Section_Catalogue1"/>
      <sheetName val="Approved_MTD_Proj_#'s1"/>
      <sheetName val="M_B-QtyRecn3"/>
      <sheetName val="Mat_Cost3"/>
      <sheetName val="GR_slab-reinft1"/>
      <sheetName val="CABLE_DATA1"/>
      <sheetName val="Bed_Class6"/>
      <sheetName val="PH_data1"/>
      <sheetName val="Details_(3)1"/>
      <sheetName val="Desgn(zone_I)6"/>
      <sheetName val="NLD_-_Assum1"/>
      <sheetName val="schedule_nos1"/>
      <sheetName val="Sqn__Main__Abs1"/>
      <sheetName val="ACAD_Finishes2"/>
      <sheetName val="Site_Details2"/>
      <sheetName val="Site_Area_Statement2"/>
      <sheetName val="M-Book_for_Conc1"/>
      <sheetName val="M-Book_for_FW1"/>
      <sheetName val="INPUT_SHEET1"/>
      <sheetName val="PACK_(B)1"/>
      <sheetName val="BOQ_civil1"/>
      <sheetName val="Staircase_1"/>
      <sheetName val="bill_21"/>
      <sheetName val="Column_Steel-R21"/>
      <sheetName val="std_wt_1"/>
      <sheetName val="d-safe_specs1"/>
      <sheetName val="d-safe_DELUXE1"/>
      <sheetName val="Diawise_steel_abstract1"/>
      <sheetName val="Rising_Main1"/>
      <sheetName val="Material_1"/>
      <sheetName val="Estimate_1"/>
      <sheetName val="QS_Name1"/>
      <sheetName val="CANDY_BOQ1"/>
      <sheetName val="CFForecast_detail1"/>
      <sheetName val="Cash_Flows_&amp;_IRR1"/>
      <sheetName val="train_cash1"/>
      <sheetName val="accom_cash1"/>
      <sheetName val="Common_1"/>
      <sheetName val="Meas_-Hotel_Part1"/>
      <sheetName val="WORK_TABLE1"/>
      <sheetName val="220_11__BS_1"/>
      <sheetName val="Intro_1"/>
      <sheetName val="beam-reinft-machine_rm1"/>
      <sheetName val="Model_(Not_Merged)1"/>
      <sheetName val="Form_61"/>
      <sheetName val="SGS_ACQ1"/>
      <sheetName val="Price_Schedule2"/>
      <sheetName val="Cost_Any_2"/>
      <sheetName val="S_&amp;_A2"/>
      <sheetName val="PointNo_5"/>
      <sheetName val="A_O_R_"/>
      <sheetName val="PRECAST_lightconc-II"/>
      <sheetName val="Tender_Summary1"/>
      <sheetName val="Operating_Statistics1"/>
      <sheetName val="Material_Rate"/>
      <sheetName val="Retaing_wall"/>
      <sheetName val="3__Elemental_Summary"/>
      <sheetName val="RAJU_ASSO"/>
      <sheetName val="Vind_-_BtB1"/>
      <sheetName val="Branch_Power"/>
      <sheetName val="P_Well(_RCC)"/>
      <sheetName val="Detail_In_Door_Stad"/>
      <sheetName val="P-Ins_&amp;_Bonds"/>
      <sheetName val="Occ,_Other_Rev,_Exp,_Dispo"/>
      <sheetName val="소상_&quot;1&quot;"/>
      <sheetName val="Discount_&amp;_Margin"/>
      <sheetName val="PO_Summary"/>
      <sheetName val="BOQ_Summary"/>
      <sheetName val="Sec_1_Loose_Furniture_18%_GST"/>
      <sheetName val="Sec_1_Loose_Furniture_12%_GST"/>
      <sheetName val="Sec_1_Loose_Furniture_5%_GST"/>
      <sheetName val="Sec_2_Cafeteria_Tables"/>
      <sheetName val="Sec_3_Cafeteria_Chairs"/>
      <sheetName val="Sec_4_Work_Floors_-_NT_"/>
      <sheetName val="Sec_5_LGF_Chairs-NT"/>
      <sheetName val="Sec_6_Additional_18%_GST_"/>
      <sheetName val="Sec_6_Additional_12%_GST_"/>
      <sheetName val="Sec_11-NT_set_3"/>
      <sheetName val="DC_Summary"/>
      <sheetName val="M_Sheet"/>
      <sheetName val="RA4_Checklist"/>
      <sheetName val="Labor_abs-NMR"/>
      <sheetName val="2_대외공문"/>
      <sheetName val="NEW-IDs_Fun_&amp;_Group"/>
      <sheetName val="PC_Master_List"/>
      <sheetName val="Project_Details__"/>
      <sheetName val="RCC,Ret__Wall4"/>
      <sheetName val="RA_4_Challan_Summary_4"/>
      <sheetName val="Labour_productivity4"/>
      <sheetName val="labour_coeff4"/>
      <sheetName val="M_B-QtyRecn4"/>
      <sheetName val="BOQ_(2)3"/>
      <sheetName val="Desgn(zone_I)7"/>
      <sheetName val="beam-reinft-IIInd_floor2"/>
      <sheetName val="For_Bill-04_PS2"/>
      <sheetName val="ORDER_BOOKING2"/>
      <sheetName val="CABLE_DATA2"/>
      <sheetName val="Bed_Class7"/>
      <sheetName val="PH_data2"/>
      <sheetName val="Details_(3)2"/>
      <sheetName val="Sqn__Main__Abs2"/>
      <sheetName val="Mat_Cost4"/>
      <sheetName val="ACAD_Finishes3"/>
      <sheetName val="Site_Details3"/>
      <sheetName val="Site_Area_Statement3"/>
      <sheetName val="M-Book_for_Conc2"/>
      <sheetName val="M-Book_for_FW2"/>
      <sheetName val="Staff_Acco_2"/>
      <sheetName val="Section_Catalogue2"/>
      <sheetName val="Approved_MTD_Proj_#'s2"/>
      <sheetName val="Staircase_2"/>
      <sheetName val="PACK_(B)2"/>
      <sheetName val="GR_slab-reinft2"/>
      <sheetName val="INPUT_SHEET2"/>
      <sheetName val="Estimate_2"/>
      <sheetName val="Material_2"/>
      <sheetName val="NLD_-_Assum2"/>
      <sheetName val="schedule_nos2"/>
      <sheetName val="BOQ_civil2"/>
      <sheetName val="Column_Steel-R22"/>
      <sheetName val="std_wt_2"/>
      <sheetName val="train_cash2"/>
      <sheetName val="accom_cash2"/>
      <sheetName val="bill_22"/>
      <sheetName val="Common_2"/>
      <sheetName val="beam-reinft-machine_rm2"/>
      <sheetName val="QS_Name2"/>
      <sheetName val="CANDY_BOQ2"/>
      <sheetName val="Meas_-Hotel_Part2"/>
      <sheetName val="WORK_TABLE2"/>
      <sheetName val="220_11__BS_2"/>
      <sheetName val="Intro_2"/>
      <sheetName val="intr_stool_brkup1"/>
      <sheetName val="d-safe_specs2"/>
      <sheetName val="d-safe_DELUXE2"/>
      <sheetName val="Diawise_steel_abstract2"/>
      <sheetName val="Rising_Main2"/>
      <sheetName val="CFForecast_detail2"/>
      <sheetName val="Cash_Flows_&amp;_IRR2"/>
      <sheetName val="Model_(Not_Merged)2"/>
      <sheetName val="Tender_Summary2"/>
      <sheetName val="Operating_Statistics2"/>
      <sheetName val="Material_Rate1"/>
      <sheetName val="Retaing_wall1"/>
      <sheetName val="except_wiring1"/>
      <sheetName val="CPIPE_11"/>
      <sheetName val="3__Elemental_Summary1"/>
      <sheetName val="Vind_-_BtB2"/>
      <sheetName val="SGS_ACQ2"/>
      <sheetName val="Form_62"/>
      <sheetName val="Price_Schedule3"/>
      <sheetName val="Cost_Any_3"/>
      <sheetName val="S_&amp;_A3"/>
      <sheetName val="PointNo_51"/>
      <sheetName val="소상_&quot;1&quot;1"/>
      <sheetName val="Discount_&amp;_Margin1"/>
      <sheetName val="A_O_R_1"/>
      <sheetName val="PRECAST_lightconc-II1"/>
      <sheetName val="P-Ins_&amp;_Bonds1"/>
      <sheetName val="Branch_Power1"/>
      <sheetName val="P_Well(_RCC)1"/>
      <sheetName val="Detail_In_Door_Stad1"/>
      <sheetName val="BOQ_Distribution1"/>
      <sheetName val="RAJU_ASSO1"/>
      <sheetName val="Occ,_Other_Rev,_Exp,_Dispo1"/>
      <sheetName val="PO_Summary1"/>
      <sheetName val="BOQ_Summary1"/>
      <sheetName val="Sec_1_Loose_Furniture_18%_GST1"/>
      <sheetName val="Sec_1_Loose_Furniture_12%_GST1"/>
      <sheetName val="Sec_1_Loose_Furniture_5%_GST1"/>
      <sheetName val="Sec_2_Cafeteria_Tables1"/>
      <sheetName val="Sec_3_Cafeteria_Chairs1"/>
      <sheetName val="Sec_4_Work_Floors_-_NT_1"/>
      <sheetName val="Sec_5_LGF_Chairs-NT1"/>
      <sheetName val="Sec_6_Additional_18%_GST_1"/>
      <sheetName val="Sec_6_Additional_12%_GST_1"/>
      <sheetName val="Sec_11-NT_set_31"/>
      <sheetName val="DC_Summary1"/>
      <sheetName val="M_Sheet1"/>
      <sheetName val="RA4_Checklist1"/>
      <sheetName val="M_S_1"/>
      <sheetName val="Labor_abs-NMR1"/>
      <sheetName val="2_대외공문1"/>
      <sheetName val="NEW-IDs_Fun_&amp;_Group1"/>
      <sheetName val="PC_Master_List1"/>
      <sheetName val="Project_Details__1"/>
      <sheetName val="Consumer Fraud"/>
      <sheetName val="Avoidance "/>
      <sheetName val="Cons Recov Rates"/>
      <sheetName val="Consumer Supps"/>
      <sheetName val="Variance"/>
      <sheetName val="Consumer Outbound"/>
      <sheetName val="FY Loss Frcst"/>
      <sheetName val="Exempt"/>
      <sheetName val="LIST OF MAKES"/>
      <sheetName val="April Analysts"/>
      <sheetName val="Basic Rate"/>
      <sheetName val="RCC,Ret__Wall5"/>
      <sheetName val="RA_4_Challan_Summary_5"/>
      <sheetName val="Labour_productivity5"/>
      <sheetName val="labour_coeff5"/>
      <sheetName val="RCC,Ret__Wall6"/>
      <sheetName val="RA_4_Challan_Summary_6"/>
      <sheetName val="Labour_productivity6"/>
      <sheetName val="labour_coeff6"/>
      <sheetName val="RCC,Ret__Wall12"/>
      <sheetName val="RA_4_Challan_Summary_12"/>
      <sheetName val="Labour_productivity12"/>
      <sheetName val="labour_coeff12"/>
      <sheetName val="RCC,Ret__Wall7"/>
      <sheetName val="RA_4_Challan_Summary_7"/>
      <sheetName val="Labour_productivity7"/>
      <sheetName val="labour_coeff7"/>
      <sheetName val="RCC,Ret__Wall11"/>
      <sheetName val="RA_4_Challan_Summary_11"/>
      <sheetName val="Labour_productivity11"/>
      <sheetName val="labour_coeff11"/>
      <sheetName val="RCC,Ret__Wall8"/>
      <sheetName val="RA_4_Challan_Summary_8"/>
      <sheetName val="Labour_productivity8"/>
      <sheetName val="labour_coeff8"/>
      <sheetName val="RCC,Ret__Wall9"/>
      <sheetName val="RA_4_Challan_Summary_9"/>
      <sheetName val="Labour_productivity9"/>
      <sheetName val="labour_coeff9"/>
      <sheetName val="RCC,Ret__Wall10"/>
      <sheetName val="RA_4_Challan_Summary_10"/>
      <sheetName val="Labour_productivity10"/>
      <sheetName val="labour_coeff10"/>
      <sheetName val="RCC,Ret__Wall13"/>
      <sheetName val="RA_4_Challan_Summary_13"/>
      <sheetName val="Labour_productivity13"/>
      <sheetName val="labour_coeff13"/>
      <sheetName val="RCC,Ret__Wall14"/>
      <sheetName val="RA_4_Challan_Summary_14"/>
      <sheetName val="Labour_productivity14"/>
      <sheetName val="labour_coeff14"/>
      <sheetName val="RCC,Ret__Wall15"/>
      <sheetName val="RA_4_Challan_Summary_15"/>
      <sheetName val="Labour_productivity15"/>
      <sheetName val="labour_coeff15"/>
      <sheetName val="RCC,Ret__Wall16"/>
      <sheetName val="RA_4_Challan_Summary_16"/>
      <sheetName val="Labour_productivity16"/>
      <sheetName val="labour_coeff16"/>
      <sheetName val="RCC,Ret__Wall18"/>
      <sheetName val="RA_4_Challan_Summary_18"/>
      <sheetName val="Labour_productivity18"/>
      <sheetName val="labour_coeff18"/>
      <sheetName val="RCC,Ret__Wall17"/>
      <sheetName val="RA_4_Challan_Summary_17"/>
      <sheetName val="Labour_productivity17"/>
      <sheetName val="labour_coeff17"/>
      <sheetName val="RCC,Ret__Wall20"/>
      <sheetName val="RA_4_Challan_Summary_20"/>
      <sheetName val="Labour_productivity20"/>
      <sheetName val="labour_coeff20"/>
      <sheetName val="RCC,Ret__Wall19"/>
      <sheetName val="RA_4_Challan_Summary_19"/>
      <sheetName val="Labour_productivity19"/>
      <sheetName val="labour_coeff19"/>
      <sheetName val="RCC,Ret__Wall21"/>
      <sheetName val="RA_4_Challan_Summary_21"/>
      <sheetName val="Labour_productivity21"/>
      <sheetName val="labour_coeff21"/>
      <sheetName val="RCC,Ret__Wall22"/>
      <sheetName val="RA_4_Challan_Summary_22"/>
      <sheetName val="Labour_productivity22"/>
      <sheetName val="labour_coeff22"/>
      <sheetName val="RCC,Ret__Wall23"/>
      <sheetName val="RA_4_Challan_Summary_23"/>
      <sheetName val="Labour_productivity23"/>
      <sheetName val="labour_coeff23"/>
      <sheetName val="RCC,Ret__Wall24"/>
      <sheetName val="RA_4_Challan_Summary_24"/>
      <sheetName val="Labour_productivity24"/>
      <sheetName val="labour_coeff24"/>
      <sheetName val="RCC,Ret__Wall26"/>
      <sheetName val="RA_4_Challan_Summary_26"/>
      <sheetName val="Labour_productivity26"/>
      <sheetName val="labour_coeff26"/>
      <sheetName val="RCC,Ret__Wall25"/>
      <sheetName val="RA_4_Challan_Summary_25"/>
      <sheetName val="Labour_productivity25"/>
      <sheetName val="labour_coeff25"/>
      <sheetName val="RCC,Ret__Wall29"/>
      <sheetName val="RA_4_Challan_Summary_29"/>
      <sheetName val="Labour_productivity29"/>
      <sheetName val="labour_coeff29"/>
      <sheetName val="RCC,Ret__Wall28"/>
      <sheetName val="RA_4_Challan_Summary_28"/>
      <sheetName val="Labour_productivity28"/>
      <sheetName val="labour_coeff28"/>
      <sheetName val="RCC,Ret__Wall27"/>
      <sheetName val="RA_4_Challan_Summary_27"/>
      <sheetName val="Labour_productivity27"/>
      <sheetName val="labour_coeff27"/>
      <sheetName val="RCC,Ret__Wall30"/>
      <sheetName val="RA_4_Challan_Summary_30"/>
      <sheetName val="Labour_productivity30"/>
      <sheetName val="labour_coeff30"/>
      <sheetName val="RCC,Ret__Wall31"/>
      <sheetName val="RA_4_Challan_Summary_31"/>
      <sheetName val="Labour_productivity31"/>
      <sheetName val="labour_coeff31"/>
      <sheetName val="RCC,Ret__Wall33"/>
      <sheetName val="RA_4_Challan_Summary_33"/>
      <sheetName val="Labour_productivity33"/>
      <sheetName val="labour_coeff33"/>
      <sheetName val="RCC,Ret__Wall32"/>
      <sheetName val="RA_4_Challan_Summary_32"/>
      <sheetName val="Labour_productivity32"/>
      <sheetName val="labour_coeff32"/>
      <sheetName val="RCC,Ret__Wall36"/>
      <sheetName val="RA_4_Challan_Summary_36"/>
      <sheetName val="Labour_productivity36"/>
      <sheetName val="labour_coeff36"/>
      <sheetName val="RCC,Ret__Wall35"/>
      <sheetName val="RA_4_Challan_Summary_35"/>
      <sheetName val="Labour_productivity35"/>
      <sheetName val="labour_coeff35"/>
      <sheetName val="RCC,Ret__Wall34"/>
      <sheetName val="RA_4_Challan_Summary_34"/>
      <sheetName val="Labour_productivity34"/>
      <sheetName val="labour_coeff34"/>
      <sheetName val="RCC,Ret__Wall37"/>
      <sheetName val="RA_4_Challan_Summary_37"/>
      <sheetName val="Labour_productivity37"/>
      <sheetName val="labour_coeff37"/>
      <sheetName val="Sum1"/>
      <sheetName val="BFS"/>
      <sheetName val="foot-slab reinft"/>
      <sheetName val="SPEC SHEET"/>
      <sheetName val="Demand"/>
      <sheetName val="Occ"/>
      <sheetName val="CFS3"/>
      <sheetName val="pt-cw"/>
      <sheetName val="AD ST"/>
      <sheetName val="Master Info"/>
      <sheetName val="PART-I_(2)63"/>
      <sheetName val="final_abstract63"/>
      <sheetName val="Basement_Budget62"/>
      <sheetName val="Rate_analysis62"/>
      <sheetName val="Break_up_Sheet62"/>
      <sheetName val="TBAL9697_-group_wise__sdpl62"/>
      <sheetName val="B_&amp;_C_-_M_-_ccp62"/>
      <sheetName val="Fee_Rate_Summary62"/>
      <sheetName val="Materials_Cost62"/>
      <sheetName val="RES_STEEL_TO62"/>
      <sheetName val="10__&amp;_11__Rate_Code_&amp;_BQ62"/>
      <sheetName val="RMZ_Summary62"/>
      <sheetName val="Site_Dev_BOQ62"/>
      <sheetName val="Staff_Forecast_spread62"/>
      <sheetName val="Fin_Sum62"/>
      <sheetName val="Fill_this_out_first___62"/>
      <sheetName val="Field_Values62"/>
      <sheetName val="Break_Dw62"/>
      <sheetName val="Structure_Bills_Qty62"/>
      <sheetName val="Builtup_Area62"/>
      <sheetName val="MASTER_RATE_ANALYSIS62"/>
      <sheetName val="Cop_-VGN62"/>
      <sheetName val="Pipe_Supports62"/>
      <sheetName val="Materials_62"/>
      <sheetName val="BOQ_Direct_selling_cost62"/>
      <sheetName val="Stress_Calculation62"/>
      <sheetName val="IO_List62"/>
      <sheetName val="MN_T_B_62"/>
      <sheetName val="RCC,Ret__Wall38"/>
      <sheetName val="RA_4_Challan_Summary_38"/>
      <sheetName val="Labour_productivity38"/>
      <sheetName val="labour_coeff38"/>
      <sheetName val="Partitions"/>
      <sheetName val="banilad"/>
      <sheetName val="Mactan"/>
      <sheetName val="Mandaue"/>
      <sheetName val="M- Rate"/>
      <sheetName val="Data sheet"/>
      <sheetName val="Core Data"/>
      <sheetName val="August Construction Planning  "/>
      <sheetName val="Internal Planning"/>
      <sheetName val="July'2019 Weekly"/>
      <sheetName val="Wag&amp;Sal"/>
      <sheetName val="RA 1"/>
      <sheetName val="Civil Works"/>
      <sheetName val="Consolidated"/>
      <sheetName val="2000 MOR"/>
      <sheetName val="inter"/>
      <sheetName val="LABOUR SALARY "/>
      <sheetName val="Brickwork "/>
      <sheetName val="Finishing items"/>
      <sheetName val="Indices"/>
      <sheetName val="REFERANCE DATA"/>
      <sheetName val="DOOR WINDOW"/>
      <sheetName val="SALE"/>
      <sheetName val="iD"/>
      <sheetName val="triggers"/>
      <sheetName val="Vol"/>
      <sheetName val="KWM"/>
      <sheetName val="simulations"/>
      <sheetName val="INDORAMA_Group_June_0262"/>
      <sheetName val="E_&amp;_R62"/>
      <sheetName val="Exp_62"/>
      <sheetName val="INDIGINEOUS_ITEMS_62"/>
      <sheetName val="Load_Details(B1)62"/>
      <sheetName val="SPT_vs_PHI62"/>
      <sheetName val="Civil_Boq62"/>
      <sheetName val="Debits_as_on_12_04_0862"/>
      <sheetName val="PA-_Consutant_62"/>
      <sheetName val="Sheet3_(2)62"/>
      <sheetName val="_Block_work"/>
      <sheetName val="Flooring_&amp;_Road"/>
      <sheetName val="BOM_"/>
      <sheetName val="SUBMITED_bISS"/>
      <sheetName val="TOTAL_SUMMARY"/>
      <sheetName val="DOOR-WINDOW_SCHEDULE"/>
      <sheetName val="BLOCK_WORK-GRD_FLR"/>
      <sheetName val="Cleaning_&amp;_Grubbing"/>
      <sheetName val="Name_List"/>
      <sheetName val="Abs_PMRL"/>
      <sheetName val="Price_Comparison"/>
      <sheetName val="BLOCK-A_(MEA_SHEET)"/>
      <sheetName val="220Kv_(2)"/>
      <sheetName val="India_F&amp;S_Template"/>
      <sheetName val="DETAILED__BOQ"/>
      <sheetName val="BASIS_-DEC_08"/>
      <sheetName val="_"/>
      <sheetName val="Labour_&amp;_Plant"/>
      <sheetName val="Japan_Reco"/>
      <sheetName val="water_prop_"/>
      <sheetName val="4_Annex_1_Basic_rate"/>
      <sheetName val="Door_Qty"/>
      <sheetName val="Win_Qty"/>
      <sheetName val="costing_sheet"/>
      <sheetName val="Capital_Structure"/>
      <sheetName val="Mar_Roster"/>
      <sheetName val="Project_Budget_Worksheet"/>
      <sheetName val="All_Components_Report"/>
      <sheetName val="R_A_"/>
      <sheetName val="Recap_"/>
      <sheetName val="Schedule_A1"/>
      <sheetName val="Abstract_(Buyback)"/>
      <sheetName val="Civil_RA"/>
      <sheetName val="Plumbing_RA"/>
      <sheetName val="Electrical__RA"/>
      <sheetName val="ELV_RA"/>
      <sheetName val="FFTG_RA"/>
      <sheetName val="HVAC_RA"/>
      <sheetName val="Furniture_RA"/>
      <sheetName val="Kichen_Equi__RA"/>
      <sheetName val="UNP-NCW_"/>
      <sheetName val="BUD_07-08"/>
      <sheetName val="Global_Assmptions"/>
      <sheetName val="Data_sheet"/>
      <sheetName val="Sheet1_(2)"/>
      <sheetName val="site_fab&amp;ernstr"/>
      <sheetName val="Source_Ref_"/>
      <sheetName val="NRC_Rationalisation"/>
      <sheetName val="CABLENOS_"/>
      <sheetName val="Final_Basic_rate"/>
      <sheetName val="Elect_"/>
      <sheetName val="2_1_受電設備棟"/>
      <sheetName val="2_2_受・防火水槽"/>
      <sheetName val="2_3_排水処理設備棟"/>
      <sheetName val="2_4_倉庫棟"/>
      <sheetName val="2_5_守衛棟"/>
      <sheetName val="Bill_1-BOQ-Civil_Works"/>
      <sheetName val="old_boq"/>
      <sheetName val="Step_1"/>
      <sheetName val="foot-slab_reinft"/>
      <sheetName val="FLCB List"/>
      <sheetName val="Mth-Vana"/>
      <sheetName val="footing for SP"/>
      <sheetName val="August TB"/>
      <sheetName val="Keyword"/>
      <sheetName val="Fx DATA"/>
      <sheetName val="Works_-_Quote_Sheet"/>
      <sheetName val="Lead_statement"/>
      <sheetName val="Data_F8_BTR"/>
      <sheetName val="Labour_Rate_"/>
      <sheetName val="Material_List_"/>
      <sheetName val="Auswahl"/>
      <sheetName val="Pump se"/>
      <sheetName val="Pump se_x0000_Ñ"/>
      <sheetName val="DATA_PRG"/>
      <sheetName val="Ellis &amp; WS&amp;S"/>
      <sheetName val="Drip mould &amp; Elevation"/>
      <sheetName val="Trussess"/>
      <sheetName val="not req 3"/>
      <sheetName val="Lead statement ss5"/>
      <sheetName val="Mater_x0000_fÙ_x0002_G"/>
      <sheetName val="Mater"/>
      <sheetName val="MRoad data"/>
      <sheetName val="MH(on site)"/>
      <sheetName val="PRECAST lightconc_II"/>
      <sheetName val="Roof  PT beams "/>
      <sheetName val="Client Addressess "/>
      <sheetName val="Basic Rates"/>
      <sheetName val="SP Break Up"/>
      <sheetName val="ridgewood"/>
      <sheetName val="TBEAM"/>
      <sheetName val="Measurment"/>
      <sheetName val="INDEX"/>
      <sheetName val="AREAS"/>
      <sheetName val="Plant &amp;  Machinery"/>
      <sheetName val="11-hsd"/>
      <sheetName val="13-septic"/>
      <sheetName val="7-ug"/>
      <sheetName val="2-utility"/>
      <sheetName val="RA_1"/>
      <sheetName val="boq lt"/>
      <sheetName val="EqpPerfJun08"/>
      <sheetName val="02.10.06"/>
      <sheetName val="ORDER-3"/>
      <sheetName val="DATA INPU KN (1)"/>
      <sheetName val="DATA INPU KN"/>
      <sheetName val="TORRENT CEMENT"/>
      <sheetName val="집계표(OPTION)"/>
      <sheetName val="PMV Data"/>
      <sheetName val="Exim FCL"/>
      <sheetName val="ABS_Sec C"/>
      <sheetName val="Cash Flow Working"/>
      <sheetName val="factor_sheet35"/>
      <sheetName val="PART-I_(2)64"/>
      <sheetName val="final_abstract64"/>
      <sheetName val="Basement_Budget63"/>
      <sheetName val="Rate_analysis63"/>
      <sheetName val="Fee_Rate_Summary63"/>
      <sheetName val="Materials_Cost63"/>
      <sheetName val="10__&amp;_11__Rate_Code_&amp;_BQ63"/>
      <sheetName val="Break_up_Sheet63"/>
      <sheetName val="B_&amp;_C_-_M_-_ccp63"/>
      <sheetName val="RES_STEEL_TO63"/>
      <sheetName val="RMZ_Summary63"/>
      <sheetName val="Materials_63"/>
      <sheetName val="Field_Values63"/>
      <sheetName val="Fin_Sum63"/>
      <sheetName val="Fill_this_out_first___63"/>
      <sheetName val="Site_Dev_BOQ63"/>
      <sheetName val="Staff_Forecast_spread63"/>
      <sheetName val="Structure_Bills_Qty63"/>
      <sheetName val="Builtup_Area63"/>
      <sheetName val="MASTER_RATE_ANALYSIS63"/>
      <sheetName val="Cop_-VGN63"/>
      <sheetName val="Pipe_Supports63"/>
      <sheetName val="MN_T_B_63"/>
      <sheetName val="BOQ_Direct_selling_cost63"/>
      <sheetName val="Stress_Calculation63"/>
      <sheetName val="IO_List63"/>
      <sheetName val="TBAL9697_-group_wise__sdpl63"/>
      <sheetName val="factor_sheet36"/>
      <sheetName val="Exp_63"/>
      <sheetName val="INDIGINEOUS_ITEMS_63"/>
      <sheetName val="E_&amp;_R63"/>
      <sheetName val="Load_Details(B1)63"/>
      <sheetName val="Break_Dw63"/>
      <sheetName val="SPT_vs_PHI63"/>
      <sheetName val="Civil_Boq63"/>
      <sheetName val="PA-_Consutant_63"/>
      <sheetName val="Debits_as_on_12_04_0863"/>
      <sheetName val="Sheet3_(2)63"/>
      <sheetName val="INDORAMA_Group_June_0263"/>
      <sheetName val="Data-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>
        <row r="52">
          <cell r="B52" t="str">
            <v>Main Panel</v>
          </cell>
        </row>
      </sheetData>
      <sheetData sheetId="252"/>
      <sheetData sheetId="253">
        <row r="52">
          <cell r="B52" t="str">
            <v>Main Panel</v>
          </cell>
        </row>
      </sheetData>
      <sheetData sheetId="254">
        <row r="52">
          <cell r="B52" t="str">
            <v>Main Panel</v>
          </cell>
        </row>
      </sheetData>
      <sheetData sheetId="255">
        <row r="52">
          <cell r="B52" t="str">
            <v>Main Panel</v>
          </cell>
        </row>
      </sheetData>
      <sheetData sheetId="256"/>
      <sheetData sheetId="257">
        <row r="52">
          <cell r="B52" t="str">
            <v>Main Panel</v>
          </cell>
        </row>
      </sheetData>
      <sheetData sheetId="258">
        <row r="52">
          <cell r="B52" t="str">
            <v>Main Panel</v>
          </cell>
        </row>
      </sheetData>
      <sheetData sheetId="259"/>
      <sheetData sheetId="260"/>
      <sheetData sheetId="261">
        <row r="52">
          <cell r="B52" t="str">
            <v>Main Panel</v>
          </cell>
        </row>
      </sheetData>
      <sheetData sheetId="262">
        <row r="52">
          <cell r="B52" t="str">
            <v>Main Panel</v>
          </cell>
        </row>
      </sheetData>
      <sheetData sheetId="263"/>
      <sheetData sheetId="264">
        <row r="52">
          <cell r="B52" t="str">
            <v>Main Panel</v>
          </cell>
        </row>
      </sheetData>
      <sheetData sheetId="265">
        <row r="52">
          <cell r="B52" t="str">
            <v>Main Panel</v>
          </cell>
        </row>
      </sheetData>
      <sheetData sheetId="266"/>
      <sheetData sheetId="267">
        <row r="52">
          <cell r="B52" t="str">
            <v>Main Panel</v>
          </cell>
        </row>
      </sheetData>
      <sheetData sheetId="268"/>
      <sheetData sheetId="269"/>
      <sheetData sheetId="270"/>
      <sheetData sheetId="271"/>
      <sheetData sheetId="272"/>
      <sheetData sheetId="273">
        <row r="52">
          <cell r="B52" t="str">
            <v>Main Panel</v>
          </cell>
        </row>
      </sheetData>
      <sheetData sheetId="274">
        <row r="52">
          <cell r="B52" t="str">
            <v>Main Panel</v>
          </cell>
        </row>
      </sheetData>
      <sheetData sheetId="275">
        <row r="52">
          <cell r="B52" t="str">
            <v>Main Panel</v>
          </cell>
        </row>
      </sheetData>
      <sheetData sheetId="276">
        <row r="52">
          <cell r="B52" t="str">
            <v>Main Panel</v>
          </cell>
        </row>
      </sheetData>
      <sheetData sheetId="277">
        <row r="52">
          <cell r="B52" t="str">
            <v>Main Panel</v>
          </cell>
        </row>
      </sheetData>
      <sheetData sheetId="278">
        <row r="52">
          <cell r="B52" t="str">
            <v>Main Panel</v>
          </cell>
        </row>
      </sheetData>
      <sheetData sheetId="279">
        <row r="52">
          <cell r="B52" t="str">
            <v>Main Panel</v>
          </cell>
        </row>
      </sheetData>
      <sheetData sheetId="280">
        <row r="52">
          <cell r="B52" t="str">
            <v>Main Panel</v>
          </cell>
        </row>
      </sheetData>
      <sheetData sheetId="281">
        <row r="52">
          <cell r="B52" t="str">
            <v>Main Panel</v>
          </cell>
        </row>
      </sheetData>
      <sheetData sheetId="282">
        <row r="52">
          <cell r="B52" t="str">
            <v>Main Panel</v>
          </cell>
        </row>
      </sheetData>
      <sheetData sheetId="283">
        <row r="52">
          <cell r="B52" t="str">
            <v>Main Panel</v>
          </cell>
        </row>
      </sheetData>
      <sheetData sheetId="284">
        <row r="52">
          <cell r="B52" t="str">
            <v>Main Panel</v>
          </cell>
        </row>
      </sheetData>
      <sheetData sheetId="285"/>
      <sheetData sheetId="286"/>
      <sheetData sheetId="287"/>
      <sheetData sheetId="288">
        <row r="52">
          <cell r="B52" t="str">
            <v>Main Panel</v>
          </cell>
        </row>
      </sheetData>
      <sheetData sheetId="289"/>
      <sheetData sheetId="290"/>
      <sheetData sheetId="291">
        <row r="52">
          <cell r="B52" t="str">
            <v>Main Panel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>
        <row r="52">
          <cell r="B52" t="str">
            <v>Main Panel</v>
          </cell>
        </row>
      </sheetData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>
        <row r="52">
          <cell r="B52" t="str">
            <v>Main Panel</v>
          </cell>
        </row>
      </sheetData>
      <sheetData sheetId="477">
        <row r="52">
          <cell r="B52" t="str">
            <v>Main Panel</v>
          </cell>
        </row>
      </sheetData>
      <sheetData sheetId="478">
        <row r="52">
          <cell r="B52" t="str">
            <v>Main Panel</v>
          </cell>
        </row>
      </sheetData>
      <sheetData sheetId="479">
        <row r="52">
          <cell r="B52" t="str">
            <v>Main Panel</v>
          </cell>
        </row>
      </sheetData>
      <sheetData sheetId="480">
        <row r="52">
          <cell r="B52" t="str">
            <v>Main Panel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>
        <row r="52">
          <cell r="B52" t="str">
            <v>Main Panel</v>
          </cell>
        </row>
      </sheetData>
      <sheetData sheetId="575">
        <row r="52">
          <cell r="B52" t="str">
            <v>Main Panel</v>
          </cell>
        </row>
      </sheetData>
      <sheetData sheetId="576">
        <row r="52">
          <cell r="B52" t="str">
            <v>Main Panel</v>
          </cell>
        </row>
      </sheetData>
      <sheetData sheetId="577">
        <row r="52">
          <cell r="B52" t="str">
            <v>Main Panel</v>
          </cell>
        </row>
      </sheetData>
      <sheetData sheetId="578">
        <row r="52">
          <cell r="B52" t="str">
            <v>Main Panel</v>
          </cell>
        </row>
      </sheetData>
      <sheetData sheetId="579">
        <row r="52">
          <cell r="B52" t="str">
            <v>Main Panel</v>
          </cell>
        </row>
      </sheetData>
      <sheetData sheetId="580">
        <row r="52">
          <cell r="B52" t="str">
            <v>Main Panel</v>
          </cell>
        </row>
      </sheetData>
      <sheetData sheetId="581">
        <row r="52">
          <cell r="B52" t="str">
            <v>Main Panel</v>
          </cell>
        </row>
      </sheetData>
      <sheetData sheetId="582">
        <row r="52">
          <cell r="B52" t="str">
            <v>Main Panel</v>
          </cell>
        </row>
      </sheetData>
      <sheetData sheetId="583">
        <row r="52">
          <cell r="B52" t="str">
            <v>Main Panel</v>
          </cell>
        </row>
      </sheetData>
      <sheetData sheetId="584">
        <row r="52">
          <cell r="B52" t="str">
            <v>Main Panel</v>
          </cell>
        </row>
      </sheetData>
      <sheetData sheetId="585">
        <row r="52">
          <cell r="B52" t="str">
            <v>Main Panel</v>
          </cell>
        </row>
      </sheetData>
      <sheetData sheetId="586">
        <row r="52">
          <cell r="B52" t="str">
            <v>Main Panel</v>
          </cell>
        </row>
      </sheetData>
      <sheetData sheetId="587">
        <row r="52">
          <cell r="B52" t="str">
            <v>Main Panel</v>
          </cell>
        </row>
      </sheetData>
      <sheetData sheetId="588">
        <row r="52">
          <cell r="B52" t="str">
            <v>Main Panel</v>
          </cell>
        </row>
      </sheetData>
      <sheetData sheetId="589">
        <row r="52">
          <cell r="B52" t="str">
            <v>Main Panel</v>
          </cell>
        </row>
      </sheetData>
      <sheetData sheetId="590">
        <row r="52">
          <cell r="B52" t="str">
            <v>Main Panel</v>
          </cell>
        </row>
      </sheetData>
      <sheetData sheetId="591">
        <row r="52">
          <cell r="B52" t="str">
            <v>Main Panel</v>
          </cell>
        </row>
      </sheetData>
      <sheetData sheetId="592">
        <row r="52">
          <cell r="B52" t="str">
            <v>Main Panel</v>
          </cell>
        </row>
      </sheetData>
      <sheetData sheetId="593">
        <row r="52">
          <cell r="B52" t="str">
            <v>Main Panel</v>
          </cell>
        </row>
      </sheetData>
      <sheetData sheetId="594">
        <row r="52">
          <cell r="B52" t="str">
            <v>Main Panel</v>
          </cell>
        </row>
      </sheetData>
      <sheetData sheetId="595">
        <row r="52">
          <cell r="B52" t="str">
            <v>Main Panel</v>
          </cell>
        </row>
      </sheetData>
      <sheetData sheetId="596">
        <row r="52">
          <cell r="B52" t="str">
            <v>Main Panel</v>
          </cell>
        </row>
      </sheetData>
      <sheetData sheetId="597">
        <row r="52">
          <cell r="B52" t="str">
            <v>Main Panel</v>
          </cell>
        </row>
      </sheetData>
      <sheetData sheetId="598">
        <row r="52">
          <cell r="B52" t="str">
            <v>Main Panel</v>
          </cell>
        </row>
      </sheetData>
      <sheetData sheetId="599">
        <row r="52">
          <cell r="B52" t="str">
            <v>Main Panel</v>
          </cell>
        </row>
      </sheetData>
      <sheetData sheetId="600">
        <row r="52">
          <cell r="B52" t="str">
            <v>Main Panel</v>
          </cell>
        </row>
      </sheetData>
      <sheetData sheetId="601">
        <row r="52">
          <cell r="B52" t="str">
            <v>Main Panel</v>
          </cell>
        </row>
      </sheetData>
      <sheetData sheetId="602">
        <row r="52">
          <cell r="B52" t="str">
            <v>Main Panel</v>
          </cell>
        </row>
      </sheetData>
      <sheetData sheetId="603">
        <row r="52">
          <cell r="B52" t="str">
            <v>Main Panel</v>
          </cell>
        </row>
      </sheetData>
      <sheetData sheetId="604">
        <row r="52">
          <cell r="B52" t="str">
            <v>Main Panel</v>
          </cell>
        </row>
      </sheetData>
      <sheetData sheetId="605">
        <row r="52">
          <cell r="B52" t="str">
            <v>Main Panel</v>
          </cell>
        </row>
      </sheetData>
      <sheetData sheetId="606">
        <row r="52">
          <cell r="B52" t="str">
            <v>Main Panel</v>
          </cell>
        </row>
      </sheetData>
      <sheetData sheetId="607">
        <row r="52">
          <cell r="B52" t="str">
            <v>Main Panel</v>
          </cell>
        </row>
      </sheetData>
      <sheetData sheetId="608">
        <row r="52">
          <cell r="B52" t="str">
            <v>Main Panel</v>
          </cell>
        </row>
      </sheetData>
      <sheetData sheetId="609">
        <row r="52">
          <cell r="B52" t="str">
            <v>Main Panel</v>
          </cell>
        </row>
      </sheetData>
      <sheetData sheetId="610">
        <row r="52">
          <cell r="B52" t="str">
            <v>Main Panel</v>
          </cell>
        </row>
      </sheetData>
      <sheetData sheetId="611">
        <row r="52">
          <cell r="B52" t="str">
            <v>Main Panel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52">
          <cell r="B52" t="str">
            <v>Main Panel</v>
          </cell>
        </row>
      </sheetData>
      <sheetData sheetId="632">
        <row r="52">
          <cell r="B52" t="str">
            <v>Main Panel</v>
          </cell>
        </row>
      </sheetData>
      <sheetData sheetId="633">
        <row r="52">
          <cell r="B52" t="str">
            <v>Main Panel</v>
          </cell>
        </row>
      </sheetData>
      <sheetData sheetId="634">
        <row r="52">
          <cell r="B52" t="str">
            <v>Main Panel</v>
          </cell>
        </row>
      </sheetData>
      <sheetData sheetId="635">
        <row r="52">
          <cell r="B52" t="str">
            <v>Main Panel</v>
          </cell>
        </row>
      </sheetData>
      <sheetData sheetId="636">
        <row r="52">
          <cell r="B52" t="str">
            <v>Main Panel</v>
          </cell>
        </row>
      </sheetData>
      <sheetData sheetId="637">
        <row r="52">
          <cell r="B52" t="str">
            <v>Main Panel</v>
          </cell>
        </row>
      </sheetData>
      <sheetData sheetId="638">
        <row r="52">
          <cell r="B52" t="str">
            <v>Main Panel</v>
          </cell>
        </row>
      </sheetData>
      <sheetData sheetId="639" refreshError="1"/>
      <sheetData sheetId="640" refreshError="1"/>
      <sheetData sheetId="641" refreshError="1"/>
      <sheetData sheetId="642" refreshError="1"/>
      <sheetData sheetId="643">
        <row r="52">
          <cell r="B52" t="str">
            <v>Main Panel</v>
          </cell>
        </row>
      </sheetData>
      <sheetData sheetId="644">
        <row r="52">
          <cell r="B52" t="str">
            <v>Main Panel</v>
          </cell>
        </row>
      </sheetData>
      <sheetData sheetId="645">
        <row r="52">
          <cell r="B52" t="str">
            <v>Main Panel</v>
          </cell>
        </row>
      </sheetData>
      <sheetData sheetId="646">
        <row r="52">
          <cell r="B52" t="str">
            <v>Main Panel</v>
          </cell>
        </row>
      </sheetData>
      <sheetData sheetId="647">
        <row r="52">
          <cell r="B52" t="str">
            <v>Main Panel</v>
          </cell>
        </row>
      </sheetData>
      <sheetData sheetId="648">
        <row r="52">
          <cell r="B52" t="str">
            <v>Main Panel</v>
          </cell>
        </row>
      </sheetData>
      <sheetData sheetId="649">
        <row r="52">
          <cell r="B52" t="str">
            <v>Main Panel</v>
          </cell>
        </row>
      </sheetData>
      <sheetData sheetId="650">
        <row r="52">
          <cell r="B52" t="str">
            <v>Main Panel</v>
          </cell>
        </row>
      </sheetData>
      <sheetData sheetId="651">
        <row r="52">
          <cell r="B52" t="str">
            <v>Main Panel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>
        <row r="52">
          <cell r="B52" t="str">
            <v>Main Panel</v>
          </cell>
        </row>
      </sheetData>
      <sheetData sheetId="659">
        <row r="52">
          <cell r="B52" t="str">
            <v>Main Panel</v>
          </cell>
        </row>
      </sheetData>
      <sheetData sheetId="660">
        <row r="52">
          <cell r="B52" t="str">
            <v>Main Panel</v>
          </cell>
        </row>
      </sheetData>
      <sheetData sheetId="661">
        <row r="52">
          <cell r="B52" t="str">
            <v>Main Panel</v>
          </cell>
        </row>
      </sheetData>
      <sheetData sheetId="662">
        <row r="52">
          <cell r="B52" t="str">
            <v>Main Panel</v>
          </cell>
        </row>
      </sheetData>
      <sheetData sheetId="663">
        <row r="52">
          <cell r="B52" t="str">
            <v>Main Panel</v>
          </cell>
        </row>
      </sheetData>
      <sheetData sheetId="664">
        <row r="52">
          <cell r="B52" t="str">
            <v>Main Panel</v>
          </cell>
        </row>
      </sheetData>
      <sheetData sheetId="665">
        <row r="52">
          <cell r="B52" t="str">
            <v>Main Panel</v>
          </cell>
        </row>
      </sheetData>
      <sheetData sheetId="666">
        <row r="52">
          <cell r="B52" t="str">
            <v>Main Panel</v>
          </cell>
        </row>
      </sheetData>
      <sheetData sheetId="667">
        <row r="52">
          <cell r="B52" t="str">
            <v>Main Panel</v>
          </cell>
        </row>
      </sheetData>
      <sheetData sheetId="668">
        <row r="52">
          <cell r="B52" t="str">
            <v>Main Panel</v>
          </cell>
        </row>
      </sheetData>
      <sheetData sheetId="669">
        <row r="52">
          <cell r="B52" t="str">
            <v>Main Panel</v>
          </cell>
        </row>
      </sheetData>
      <sheetData sheetId="670">
        <row r="52">
          <cell r="B52" t="str">
            <v>Main Panel</v>
          </cell>
        </row>
      </sheetData>
      <sheetData sheetId="671">
        <row r="52">
          <cell r="B52" t="str">
            <v>Main Panel</v>
          </cell>
        </row>
      </sheetData>
      <sheetData sheetId="672">
        <row r="52">
          <cell r="B52" t="str">
            <v>Main Panel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>
        <row r="52">
          <cell r="B52" t="str">
            <v>Main Panel</v>
          </cell>
        </row>
      </sheetData>
      <sheetData sheetId="687">
        <row r="52">
          <cell r="B52" t="str">
            <v>Main Panel</v>
          </cell>
        </row>
      </sheetData>
      <sheetData sheetId="688">
        <row r="52">
          <cell r="B52" t="str">
            <v>Main Panel</v>
          </cell>
        </row>
      </sheetData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>
        <row r="52">
          <cell r="B52" t="str">
            <v>Main Panel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>
        <row r="52">
          <cell r="B52" t="str">
            <v>Main Panel</v>
          </cell>
        </row>
      </sheetData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>
        <row r="52">
          <cell r="B52" t="str">
            <v>Main Panel</v>
          </cell>
        </row>
      </sheetData>
      <sheetData sheetId="767">
        <row r="52">
          <cell r="B52" t="str">
            <v>Main Panel</v>
          </cell>
        </row>
      </sheetData>
      <sheetData sheetId="768">
        <row r="52">
          <cell r="B52" t="str">
            <v>Main Panel</v>
          </cell>
        </row>
      </sheetData>
      <sheetData sheetId="769">
        <row r="52">
          <cell r="B52" t="str">
            <v>Main Panel</v>
          </cell>
        </row>
      </sheetData>
      <sheetData sheetId="770"/>
      <sheetData sheetId="771">
        <row r="52">
          <cell r="B52" t="str">
            <v>Main Panel</v>
          </cell>
        </row>
      </sheetData>
      <sheetData sheetId="772">
        <row r="52">
          <cell r="B52" t="str">
            <v>Main Panel</v>
          </cell>
        </row>
      </sheetData>
      <sheetData sheetId="773">
        <row r="52">
          <cell r="B52" t="str">
            <v>Main Panel</v>
          </cell>
        </row>
      </sheetData>
      <sheetData sheetId="774">
        <row r="52">
          <cell r="B52" t="str">
            <v>Main Panel</v>
          </cell>
        </row>
      </sheetData>
      <sheetData sheetId="775">
        <row r="52">
          <cell r="B52" t="str">
            <v>Main Panel</v>
          </cell>
        </row>
      </sheetData>
      <sheetData sheetId="776"/>
      <sheetData sheetId="777"/>
      <sheetData sheetId="778"/>
      <sheetData sheetId="779">
        <row r="52">
          <cell r="B52" t="str">
            <v>Main Panel</v>
          </cell>
        </row>
      </sheetData>
      <sheetData sheetId="780">
        <row r="52">
          <cell r="B52" t="str">
            <v>Main Panel</v>
          </cell>
        </row>
      </sheetData>
      <sheetData sheetId="781">
        <row r="52">
          <cell r="B52" t="str">
            <v>Main Panel</v>
          </cell>
        </row>
      </sheetData>
      <sheetData sheetId="782">
        <row r="52">
          <cell r="B52" t="str">
            <v>Main Panel</v>
          </cell>
        </row>
      </sheetData>
      <sheetData sheetId="783">
        <row r="52">
          <cell r="B52" t="str">
            <v>Main Panel</v>
          </cell>
        </row>
      </sheetData>
      <sheetData sheetId="784">
        <row r="52">
          <cell r="B52" t="str">
            <v>Main Panel</v>
          </cell>
        </row>
      </sheetData>
      <sheetData sheetId="785">
        <row r="52">
          <cell r="B52" t="str">
            <v>Main Panel</v>
          </cell>
        </row>
      </sheetData>
      <sheetData sheetId="786">
        <row r="52">
          <cell r="B52" t="str">
            <v>Main Panel</v>
          </cell>
        </row>
      </sheetData>
      <sheetData sheetId="787">
        <row r="52">
          <cell r="B52" t="str">
            <v>Main Panel</v>
          </cell>
        </row>
      </sheetData>
      <sheetData sheetId="788">
        <row r="52">
          <cell r="B52" t="str">
            <v>Main Panel</v>
          </cell>
        </row>
      </sheetData>
      <sheetData sheetId="789">
        <row r="52">
          <cell r="B52" t="str">
            <v>Main Panel</v>
          </cell>
        </row>
      </sheetData>
      <sheetData sheetId="790">
        <row r="52">
          <cell r="B52" t="str">
            <v>Main Panel</v>
          </cell>
        </row>
      </sheetData>
      <sheetData sheetId="791">
        <row r="52">
          <cell r="B52" t="str">
            <v>Main Panel</v>
          </cell>
        </row>
      </sheetData>
      <sheetData sheetId="792">
        <row r="52">
          <cell r="B52" t="str">
            <v>Main Panel</v>
          </cell>
        </row>
      </sheetData>
      <sheetData sheetId="793">
        <row r="52">
          <cell r="B52" t="str">
            <v>Main Panel</v>
          </cell>
        </row>
      </sheetData>
      <sheetData sheetId="794">
        <row r="52">
          <cell r="B52" t="str">
            <v>Main Panel</v>
          </cell>
        </row>
      </sheetData>
      <sheetData sheetId="795">
        <row r="52">
          <cell r="B52" t="str">
            <v>Main Panel</v>
          </cell>
        </row>
      </sheetData>
      <sheetData sheetId="796">
        <row r="52">
          <cell r="B52" t="str">
            <v>Main Panel</v>
          </cell>
        </row>
      </sheetData>
      <sheetData sheetId="797">
        <row r="52">
          <cell r="B52" t="str">
            <v>Main Panel</v>
          </cell>
        </row>
      </sheetData>
      <sheetData sheetId="798">
        <row r="52">
          <cell r="B52" t="str">
            <v>Main Panel</v>
          </cell>
        </row>
      </sheetData>
      <sheetData sheetId="799">
        <row r="52">
          <cell r="B52" t="str">
            <v>Main Panel</v>
          </cell>
        </row>
      </sheetData>
      <sheetData sheetId="800">
        <row r="52">
          <cell r="B52" t="str">
            <v>Main Panel</v>
          </cell>
        </row>
      </sheetData>
      <sheetData sheetId="801">
        <row r="52">
          <cell r="B52" t="str">
            <v>Main Panel</v>
          </cell>
        </row>
      </sheetData>
      <sheetData sheetId="802">
        <row r="52">
          <cell r="B52" t="str">
            <v>Main Panel</v>
          </cell>
        </row>
      </sheetData>
      <sheetData sheetId="803">
        <row r="52">
          <cell r="B52" t="str">
            <v>Main Panel</v>
          </cell>
        </row>
      </sheetData>
      <sheetData sheetId="804">
        <row r="52">
          <cell r="B52" t="str">
            <v>Main Panel</v>
          </cell>
        </row>
      </sheetData>
      <sheetData sheetId="805">
        <row r="52">
          <cell r="B52" t="str">
            <v>Main Panel</v>
          </cell>
        </row>
      </sheetData>
      <sheetData sheetId="806">
        <row r="52">
          <cell r="B52" t="str">
            <v>Main Panel</v>
          </cell>
        </row>
      </sheetData>
      <sheetData sheetId="807"/>
      <sheetData sheetId="808">
        <row r="52">
          <cell r="B52" t="str">
            <v>Main Panel</v>
          </cell>
        </row>
      </sheetData>
      <sheetData sheetId="809">
        <row r="52">
          <cell r="B52" t="str">
            <v>Main Panel</v>
          </cell>
        </row>
      </sheetData>
      <sheetData sheetId="810"/>
      <sheetData sheetId="811">
        <row r="52">
          <cell r="B52" t="str">
            <v>Main Panel</v>
          </cell>
        </row>
      </sheetData>
      <sheetData sheetId="812"/>
      <sheetData sheetId="813"/>
      <sheetData sheetId="814"/>
      <sheetData sheetId="815"/>
      <sheetData sheetId="816"/>
      <sheetData sheetId="817">
        <row r="52">
          <cell r="B52" t="str">
            <v>Main Panel</v>
          </cell>
        </row>
      </sheetData>
      <sheetData sheetId="818"/>
      <sheetData sheetId="819"/>
      <sheetData sheetId="820"/>
      <sheetData sheetId="821"/>
      <sheetData sheetId="822">
        <row r="52">
          <cell r="B52" t="str">
            <v>Main Panel</v>
          </cell>
        </row>
      </sheetData>
      <sheetData sheetId="823"/>
      <sheetData sheetId="824"/>
      <sheetData sheetId="825"/>
      <sheetData sheetId="826">
        <row r="52">
          <cell r="B52" t="str">
            <v>Main Panel</v>
          </cell>
        </row>
      </sheetData>
      <sheetData sheetId="827"/>
      <sheetData sheetId="828"/>
      <sheetData sheetId="829"/>
      <sheetData sheetId="830"/>
      <sheetData sheetId="831"/>
      <sheetData sheetId="832"/>
      <sheetData sheetId="833">
        <row r="52">
          <cell r="B52" t="str">
            <v>Main Panel</v>
          </cell>
        </row>
      </sheetData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>
        <row r="52">
          <cell r="B52" t="str">
            <v>Main Panel</v>
          </cell>
        </row>
      </sheetData>
      <sheetData sheetId="1290">
        <row r="52">
          <cell r="B52" t="str">
            <v>Main Panel</v>
          </cell>
        </row>
      </sheetData>
      <sheetData sheetId="1291"/>
      <sheetData sheetId="1292"/>
      <sheetData sheetId="1293"/>
      <sheetData sheetId="1294"/>
      <sheetData sheetId="1295">
        <row r="52">
          <cell r="B52" t="str">
            <v>Main Panel</v>
          </cell>
        </row>
      </sheetData>
      <sheetData sheetId="1296">
        <row r="52">
          <cell r="B52" t="str">
            <v>Main Panel</v>
          </cell>
        </row>
      </sheetData>
      <sheetData sheetId="1297"/>
      <sheetData sheetId="1298">
        <row r="52">
          <cell r="B52" t="str">
            <v>Main Panel</v>
          </cell>
        </row>
      </sheetData>
      <sheetData sheetId="1299">
        <row r="52">
          <cell r="B52" t="str">
            <v>Main Panel</v>
          </cell>
        </row>
      </sheetData>
      <sheetData sheetId="1300"/>
      <sheetData sheetId="1301"/>
      <sheetData sheetId="1302"/>
      <sheetData sheetId="1303"/>
      <sheetData sheetId="1304">
        <row r="52">
          <cell r="B52" t="str">
            <v>Main Panel</v>
          </cell>
        </row>
      </sheetData>
      <sheetData sheetId="1305">
        <row r="52">
          <cell r="B52" t="str">
            <v>Main Panel</v>
          </cell>
        </row>
      </sheetData>
      <sheetData sheetId="1306"/>
      <sheetData sheetId="1307"/>
      <sheetData sheetId="1308"/>
      <sheetData sheetId="1309"/>
      <sheetData sheetId="1310"/>
      <sheetData sheetId="1311">
        <row r="52">
          <cell r="B52" t="str">
            <v>Main Panel</v>
          </cell>
        </row>
      </sheetData>
      <sheetData sheetId="1312">
        <row r="52">
          <cell r="B52" t="str">
            <v>Main Panel</v>
          </cell>
        </row>
      </sheetData>
      <sheetData sheetId="1313"/>
      <sheetData sheetId="1314">
        <row r="52">
          <cell r="B52" t="str">
            <v>Main Panel</v>
          </cell>
        </row>
      </sheetData>
      <sheetData sheetId="1315">
        <row r="52">
          <cell r="B52" t="str">
            <v>Main Panel</v>
          </cell>
        </row>
      </sheetData>
      <sheetData sheetId="1316"/>
      <sheetData sheetId="1317">
        <row r="52">
          <cell r="B52" t="str">
            <v>Main Panel</v>
          </cell>
        </row>
      </sheetData>
      <sheetData sheetId="1318">
        <row r="52">
          <cell r="B52" t="str">
            <v>Main Panel</v>
          </cell>
        </row>
      </sheetData>
      <sheetData sheetId="1319"/>
      <sheetData sheetId="1320">
        <row r="52">
          <cell r="B52" t="str">
            <v>Main Panel</v>
          </cell>
        </row>
      </sheetData>
      <sheetData sheetId="1321">
        <row r="52">
          <cell r="B52" t="str">
            <v>Main Panel</v>
          </cell>
        </row>
      </sheetData>
      <sheetData sheetId="1322"/>
      <sheetData sheetId="1323">
        <row r="52">
          <cell r="B52" t="str">
            <v>Main Panel</v>
          </cell>
        </row>
      </sheetData>
      <sheetData sheetId="1324">
        <row r="52">
          <cell r="B52" t="str">
            <v>Main Panel</v>
          </cell>
        </row>
      </sheetData>
      <sheetData sheetId="1325">
        <row r="52">
          <cell r="B52" t="str">
            <v>Main Panel</v>
          </cell>
        </row>
      </sheetData>
      <sheetData sheetId="1326">
        <row r="52">
          <cell r="B52" t="str">
            <v>Main Panel</v>
          </cell>
        </row>
      </sheetData>
      <sheetData sheetId="1327">
        <row r="52">
          <cell r="B52" t="str">
            <v>Main Panel</v>
          </cell>
        </row>
      </sheetData>
      <sheetData sheetId="1328">
        <row r="52">
          <cell r="B52" t="str">
            <v>Main Panel</v>
          </cell>
        </row>
      </sheetData>
      <sheetData sheetId="1329">
        <row r="52">
          <cell r="B52" t="str">
            <v>Main Panel</v>
          </cell>
        </row>
      </sheetData>
      <sheetData sheetId="1330">
        <row r="52">
          <cell r="B52" t="str">
            <v>Main Panel</v>
          </cell>
        </row>
      </sheetData>
      <sheetData sheetId="1331">
        <row r="52">
          <cell r="B52" t="str">
            <v>Main Panel</v>
          </cell>
        </row>
      </sheetData>
      <sheetData sheetId="1332">
        <row r="52">
          <cell r="B52" t="str">
            <v>Main Panel</v>
          </cell>
        </row>
      </sheetData>
      <sheetData sheetId="1333">
        <row r="52">
          <cell r="B52" t="str">
            <v>Main Panel</v>
          </cell>
        </row>
      </sheetData>
      <sheetData sheetId="1334">
        <row r="52">
          <cell r="B52" t="str">
            <v>Main Panel</v>
          </cell>
        </row>
      </sheetData>
      <sheetData sheetId="1335">
        <row r="52">
          <cell r="B52" t="str">
            <v>Main Panel</v>
          </cell>
        </row>
      </sheetData>
      <sheetData sheetId="1336">
        <row r="52">
          <cell r="B52" t="str">
            <v>Main Panel</v>
          </cell>
        </row>
      </sheetData>
      <sheetData sheetId="1337">
        <row r="52">
          <cell r="B52" t="str">
            <v>Main Panel</v>
          </cell>
        </row>
      </sheetData>
      <sheetData sheetId="1338">
        <row r="52">
          <cell r="B52" t="str">
            <v>Main Panel</v>
          </cell>
        </row>
      </sheetData>
      <sheetData sheetId="1339"/>
      <sheetData sheetId="1340">
        <row r="52">
          <cell r="B52" t="str">
            <v>Main Panel</v>
          </cell>
        </row>
      </sheetData>
      <sheetData sheetId="1341">
        <row r="52">
          <cell r="B52" t="str">
            <v>Main Panel</v>
          </cell>
        </row>
      </sheetData>
      <sheetData sheetId="1342">
        <row r="52">
          <cell r="B52" t="str">
            <v>Main Panel</v>
          </cell>
        </row>
      </sheetData>
      <sheetData sheetId="1343">
        <row r="52">
          <cell r="B52" t="str">
            <v>Main Panel</v>
          </cell>
        </row>
      </sheetData>
      <sheetData sheetId="1344"/>
      <sheetData sheetId="1345"/>
      <sheetData sheetId="1346">
        <row r="52">
          <cell r="B52" t="str">
            <v>Main Panel</v>
          </cell>
        </row>
      </sheetData>
      <sheetData sheetId="1347">
        <row r="52">
          <cell r="B52" t="str">
            <v>Main Panel</v>
          </cell>
        </row>
      </sheetData>
      <sheetData sheetId="1348">
        <row r="52">
          <cell r="B52" t="str">
            <v>Main Panel</v>
          </cell>
        </row>
      </sheetData>
      <sheetData sheetId="1349">
        <row r="52">
          <cell r="B52" t="str">
            <v>Main Panel</v>
          </cell>
        </row>
      </sheetData>
      <sheetData sheetId="1350">
        <row r="52">
          <cell r="B52" t="str">
            <v>Main Panel</v>
          </cell>
        </row>
      </sheetData>
      <sheetData sheetId="1351">
        <row r="52">
          <cell r="B52" t="str">
            <v>Main Panel</v>
          </cell>
        </row>
      </sheetData>
      <sheetData sheetId="1352">
        <row r="52">
          <cell r="B52" t="str">
            <v>Main Panel</v>
          </cell>
        </row>
      </sheetData>
      <sheetData sheetId="1353">
        <row r="52">
          <cell r="B52" t="str">
            <v>Main Panel</v>
          </cell>
        </row>
      </sheetData>
      <sheetData sheetId="1354">
        <row r="52">
          <cell r="B52" t="str">
            <v>Main Panel</v>
          </cell>
        </row>
      </sheetData>
      <sheetData sheetId="1355">
        <row r="52">
          <cell r="B52" t="str">
            <v>Main Panel</v>
          </cell>
        </row>
      </sheetData>
      <sheetData sheetId="1356">
        <row r="52">
          <cell r="B52" t="str">
            <v>Main Panel</v>
          </cell>
        </row>
      </sheetData>
      <sheetData sheetId="1357">
        <row r="52">
          <cell r="B52" t="str">
            <v>Main Panel</v>
          </cell>
        </row>
      </sheetData>
      <sheetData sheetId="1358">
        <row r="52">
          <cell r="B52" t="str">
            <v>Main Panel</v>
          </cell>
        </row>
      </sheetData>
      <sheetData sheetId="1359">
        <row r="52">
          <cell r="B52" t="str">
            <v>Main Panel</v>
          </cell>
        </row>
      </sheetData>
      <sheetData sheetId="1360">
        <row r="52">
          <cell r="B52" t="str">
            <v>Main Panel</v>
          </cell>
        </row>
      </sheetData>
      <sheetData sheetId="1361">
        <row r="52">
          <cell r="B52" t="str">
            <v>Main Panel</v>
          </cell>
        </row>
      </sheetData>
      <sheetData sheetId="1362">
        <row r="52">
          <cell r="B52" t="str">
            <v>Main Panel</v>
          </cell>
        </row>
      </sheetData>
      <sheetData sheetId="1363">
        <row r="52">
          <cell r="B52" t="str">
            <v>Main Panel</v>
          </cell>
        </row>
      </sheetData>
      <sheetData sheetId="1364">
        <row r="52">
          <cell r="B52" t="str">
            <v>Main Panel</v>
          </cell>
        </row>
      </sheetData>
      <sheetData sheetId="1365">
        <row r="52">
          <cell r="B52" t="str">
            <v>Main Panel</v>
          </cell>
        </row>
      </sheetData>
      <sheetData sheetId="1366">
        <row r="52">
          <cell r="B52" t="str">
            <v>Main Panel</v>
          </cell>
        </row>
      </sheetData>
      <sheetData sheetId="1367">
        <row r="52">
          <cell r="B52" t="str">
            <v>Main Panel</v>
          </cell>
        </row>
      </sheetData>
      <sheetData sheetId="1368">
        <row r="52">
          <cell r="B52" t="str">
            <v>Main Panel</v>
          </cell>
        </row>
      </sheetData>
      <sheetData sheetId="1369">
        <row r="52">
          <cell r="B52" t="str">
            <v>Main Panel</v>
          </cell>
        </row>
      </sheetData>
      <sheetData sheetId="1370">
        <row r="52">
          <cell r="B52" t="str">
            <v>Main Panel</v>
          </cell>
        </row>
      </sheetData>
      <sheetData sheetId="1371">
        <row r="52">
          <cell r="B52" t="str">
            <v>Main Panel</v>
          </cell>
        </row>
      </sheetData>
      <sheetData sheetId="1372">
        <row r="52">
          <cell r="B52" t="str">
            <v>Main Panel</v>
          </cell>
        </row>
      </sheetData>
      <sheetData sheetId="1373">
        <row r="52">
          <cell r="B52" t="str">
            <v>Main Panel</v>
          </cell>
        </row>
      </sheetData>
      <sheetData sheetId="1374">
        <row r="52">
          <cell r="B52" t="str">
            <v>Main Panel</v>
          </cell>
        </row>
      </sheetData>
      <sheetData sheetId="1375">
        <row r="52">
          <cell r="B52" t="str">
            <v>Main Panel</v>
          </cell>
        </row>
      </sheetData>
      <sheetData sheetId="1376">
        <row r="52">
          <cell r="B52" t="str">
            <v>Main Panel</v>
          </cell>
        </row>
      </sheetData>
      <sheetData sheetId="1377">
        <row r="52">
          <cell r="B52" t="str">
            <v>Main Panel</v>
          </cell>
        </row>
      </sheetData>
      <sheetData sheetId="1378">
        <row r="52">
          <cell r="B52" t="str">
            <v>Main Panel</v>
          </cell>
        </row>
      </sheetData>
      <sheetData sheetId="1379">
        <row r="52">
          <cell r="B52" t="str">
            <v>Main Panel</v>
          </cell>
        </row>
      </sheetData>
      <sheetData sheetId="1380">
        <row r="52">
          <cell r="B52" t="str">
            <v>Main Panel</v>
          </cell>
        </row>
      </sheetData>
      <sheetData sheetId="1381">
        <row r="52">
          <cell r="B52" t="str">
            <v>Main Panel</v>
          </cell>
        </row>
      </sheetData>
      <sheetData sheetId="1382"/>
      <sheetData sheetId="1383">
        <row r="52">
          <cell r="B52" t="str">
            <v>Main Panel</v>
          </cell>
        </row>
      </sheetData>
      <sheetData sheetId="1384">
        <row r="52">
          <cell r="B52" t="str">
            <v>Main Panel</v>
          </cell>
        </row>
      </sheetData>
      <sheetData sheetId="1385">
        <row r="52">
          <cell r="B52" t="str">
            <v>Main Panel</v>
          </cell>
        </row>
      </sheetData>
      <sheetData sheetId="1386">
        <row r="52">
          <cell r="B52" t="str">
            <v>Main Panel</v>
          </cell>
        </row>
      </sheetData>
      <sheetData sheetId="1387">
        <row r="52">
          <cell r="B52" t="str">
            <v>Main Panel</v>
          </cell>
        </row>
      </sheetData>
      <sheetData sheetId="1388">
        <row r="52">
          <cell r="B52" t="str">
            <v>Main Panel</v>
          </cell>
        </row>
      </sheetData>
      <sheetData sheetId="1389">
        <row r="52">
          <cell r="B52" t="str">
            <v>Main Panel</v>
          </cell>
        </row>
      </sheetData>
      <sheetData sheetId="1390">
        <row r="52">
          <cell r="B52" t="str">
            <v>Main Panel</v>
          </cell>
        </row>
      </sheetData>
      <sheetData sheetId="1391">
        <row r="52">
          <cell r="B52" t="str">
            <v>Main Panel</v>
          </cell>
        </row>
      </sheetData>
      <sheetData sheetId="1392">
        <row r="52">
          <cell r="B52" t="str">
            <v>Main Panel</v>
          </cell>
        </row>
      </sheetData>
      <sheetData sheetId="1393">
        <row r="52">
          <cell r="B52" t="str">
            <v>Main Panel</v>
          </cell>
        </row>
      </sheetData>
      <sheetData sheetId="1394">
        <row r="52">
          <cell r="B52" t="str">
            <v>Main Panel</v>
          </cell>
        </row>
      </sheetData>
      <sheetData sheetId="1395">
        <row r="52">
          <cell r="B52" t="str">
            <v>Main Panel</v>
          </cell>
        </row>
      </sheetData>
      <sheetData sheetId="1396">
        <row r="52">
          <cell r="B52" t="str">
            <v>Main Panel</v>
          </cell>
        </row>
      </sheetData>
      <sheetData sheetId="1397">
        <row r="52">
          <cell r="B52" t="str">
            <v>Main Panel</v>
          </cell>
        </row>
      </sheetData>
      <sheetData sheetId="1398">
        <row r="52">
          <cell r="B52" t="str">
            <v>Main Panel</v>
          </cell>
        </row>
      </sheetData>
      <sheetData sheetId="1399">
        <row r="52">
          <cell r="B52" t="str">
            <v>Main Panel</v>
          </cell>
        </row>
      </sheetData>
      <sheetData sheetId="1400">
        <row r="52">
          <cell r="B52" t="str">
            <v>Main Panel</v>
          </cell>
        </row>
      </sheetData>
      <sheetData sheetId="1401">
        <row r="52">
          <cell r="B52" t="str">
            <v>Main Panel</v>
          </cell>
        </row>
      </sheetData>
      <sheetData sheetId="1402">
        <row r="52">
          <cell r="B52" t="str">
            <v>Main Panel</v>
          </cell>
        </row>
      </sheetData>
      <sheetData sheetId="1403">
        <row r="52">
          <cell r="B52" t="str">
            <v>Main Panel</v>
          </cell>
        </row>
      </sheetData>
      <sheetData sheetId="1404">
        <row r="52">
          <cell r="B52" t="str">
            <v>Main Panel</v>
          </cell>
        </row>
      </sheetData>
      <sheetData sheetId="1405">
        <row r="52">
          <cell r="B52" t="str">
            <v>Main Panel</v>
          </cell>
        </row>
      </sheetData>
      <sheetData sheetId="1406">
        <row r="52">
          <cell r="B52" t="str">
            <v>Main Panel</v>
          </cell>
        </row>
      </sheetData>
      <sheetData sheetId="1407">
        <row r="52">
          <cell r="B52" t="str">
            <v>Main Panel</v>
          </cell>
        </row>
      </sheetData>
      <sheetData sheetId="1408">
        <row r="52">
          <cell r="B52" t="str">
            <v>Main Panel</v>
          </cell>
        </row>
      </sheetData>
      <sheetData sheetId="1409">
        <row r="52">
          <cell r="B52" t="str">
            <v>Main Panel</v>
          </cell>
        </row>
      </sheetData>
      <sheetData sheetId="1410"/>
      <sheetData sheetId="1411"/>
      <sheetData sheetId="1412">
        <row r="52">
          <cell r="B52" t="str">
            <v>Main Panel</v>
          </cell>
        </row>
      </sheetData>
      <sheetData sheetId="1413">
        <row r="52">
          <cell r="B52" t="str">
            <v>Main Panel</v>
          </cell>
        </row>
      </sheetData>
      <sheetData sheetId="1414">
        <row r="52">
          <cell r="B52" t="str">
            <v>Main Panel</v>
          </cell>
        </row>
      </sheetData>
      <sheetData sheetId="1415">
        <row r="52">
          <cell r="B52" t="str">
            <v>Main Panel</v>
          </cell>
        </row>
      </sheetData>
      <sheetData sheetId="1416">
        <row r="52">
          <cell r="B52" t="str">
            <v>Main Panel</v>
          </cell>
        </row>
      </sheetData>
      <sheetData sheetId="1417">
        <row r="52">
          <cell r="B52" t="str">
            <v>Main Panel</v>
          </cell>
        </row>
      </sheetData>
      <sheetData sheetId="1418">
        <row r="52">
          <cell r="B52" t="str">
            <v>Main Panel</v>
          </cell>
        </row>
      </sheetData>
      <sheetData sheetId="1419">
        <row r="52">
          <cell r="B52" t="str">
            <v>Main Panel</v>
          </cell>
        </row>
      </sheetData>
      <sheetData sheetId="1420"/>
      <sheetData sheetId="1421">
        <row r="52">
          <cell r="B52" t="str">
            <v>Main Panel</v>
          </cell>
        </row>
      </sheetData>
      <sheetData sheetId="1422">
        <row r="52">
          <cell r="B52" t="str">
            <v>Main Panel</v>
          </cell>
        </row>
      </sheetData>
      <sheetData sheetId="1423">
        <row r="52">
          <cell r="B52" t="str">
            <v>Main Panel</v>
          </cell>
        </row>
      </sheetData>
      <sheetData sheetId="1424"/>
      <sheetData sheetId="1425"/>
      <sheetData sheetId="1426">
        <row r="52">
          <cell r="B52" t="str">
            <v>Main Panel</v>
          </cell>
        </row>
      </sheetData>
      <sheetData sheetId="1427"/>
      <sheetData sheetId="1428">
        <row r="52">
          <cell r="B52" t="str">
            <v>Main Panel</v>
          </cell>
        </row>
      </sheetData>
      <sheetData sheetId="1429">
        <row r="52">
          <cell r="B52" t="str">
            <v>Main Panel</v>
          </cell>
        </row>
      </sheetData>
      <sheetData sheetId="1430">
        <row r="52">
          <cell r="B52" t="str">
            <v>Main Panel</v>
          </cell>
        </row>
      </sheetData>
      <sheetData sheetId="1431"/>
      <sheetData sheetId="1432"/>
      <sheetData sheetId="1433"/>
      <sheetData sheetId="1434">
        <row r="52">
          <cell r="B52" t="str">
            <v>Main Panel</v>
          </cell>
        </row>
      </sheetData>
      <sheetData sheetId="1435">
        <row r="52">
          <cell r="B52" t="str">
            <v>Main Panel</v>
          </cell>
        </row>
      </sheetData>
      <sheetData sheetId="1436">
        <row r="52">
          <cell r="B52" t="str">
            <v>Main Panel</v>
          </cell>
        </row>
      </sheetData>
      <sheetData sheetId="1437">
        <row r="52">
          <cell r="B52" t="str">
            <v>Main Panel</v>
          </cell>
        </row>
      </sheetData>
      <sheetData sheetId="1438">
        <row r="52">
          <cell r="B52" t="str">
            <v>Main Panel</v>
          </cell>
        </row>
      </sheetData>
      <sheetData sheetId="1439"/>
      <sheetData sheetId="1440"/>
      <sheetData sheetId="1441">
        <row r="52">
          <cell r="B52" t="str">
            <v>Main Panel</v>
          </cell>
        </row>
      </sheetData>
      <sheetData sheetId="1442">
        <row r="52">
          <cell r="B52" t="str">
            <v>Main Panel</v>
          </cell>
        </row>
      </sheetData>
      <sheetData sheetId="1443">
        <row r="52">
          <cell r="B52" t="str">
            <v>Main Panel</v>
          </cell>
        </row>
      </sheetData>
      <sheetData sheetId="1444">
        <row r="52">
          <cell r="B52" t="str">
            <v>Main Panel</v>
          </cell>
        </row>
      </sheetData>
      <sheetData sheetId="1445"/>
      <sheetData sheetId="1446">
        <row r="52">
          <cell r="B52" t="str">
            <v>Main Panel</v>
          </cell>
        </row>
      </sheetData>
      <sheetData sheetId="1447">
        <row r="52">
          <cell r="B52" t="str">
            <v>Main Panel</v>
          </cell>
        </row>
      </sheetData>
      <sheetData sheetId="1448"/>
      <sheetData sheetId="1449"/>
      <sheetData sheetId="1450"/>
      <sheetData sheetId="1451"/>
      <sheetData sheetId="1452">
        <row r="52">
          <cell r="B52" t="str">
            <v>Main Panel</v>
          </cell>
        </row>
      </sheetData>
      <sheetData sheetId="1453">
        <row r="52">
          <cell r="B52" t="str">
            <v>Main Panel</v>
          </cell>
        </row>
      </sheetData>
      <sheetData sheetId="1454">
        <row r="52">
          <cell r="B52" t="str">
            <v>Main Panel</v>
          </cell>
        </row>
      </sheetData>
      <sheetData sheetId="1455" refreshError="1"/>
      <sheetData sheetId="1456"/>
      <sheetData sheetId="1457"/>
      <sheetData sheetId="1458">
        <row r="52">
          <cell r="B52" t="str">
            <v>Main Panel</v>
          </cell>
        </row>
      </sheetData>
      <sheetData sheetId="1459">
        <row r="52">
          <cell r="B52" t="str">
            <v>Main Panel</v>
          </cell>
        </row>
      </sheetData>
      <sheetData sheetId="1460">
        <row r="52">
          <cell r="B52" t="str">
            <v>Main Panel</v>
          </cell>
        </row>
      </sheetData>
      <sheetData sheetId="1461"/>
      <sheetData sheetId="1462"/>
      <sheetData sheetId="1463"/>
      <sheetData sheetId="1464"/>
      <sheetData sheetId="1465">
        <row r="52">
          <cell r="B52" t="str">
            <v>Main Panel</v>
          </cell>
        </row>
      </sheetData>
      <sheetData sheetId="1466">
        <row r="52">
          <cell r="B52" t="str">
            <v>Main Panel</v>
          </cell>
        </row>
      </sheetData>
      <sheetData sheetId="1467">
        <row r="52">
          <cell r="B52" t="str">
            <v>Main Panel</v>
          </cell>
        </row>
      </sheetData>
      <sheetData sheetId="1468"/>
      <sheetData sheetId="1469"/>
      <sheetData sheetId="1470"/>
      <sheetData sheetId="1471">
        <row r="52">
          <cell r="B52" t="str">
            <v>Main Panel</v>
          </cell>
        </row>
      </sheetData>
      <sheetData sheetId="1472">
        <row r="52">
          <cell r="B52" t="str">
            <v>Main Panel</v>
          </cell>
        </row>
      </sheetData>
      <sheetData sheetId="1473">
        <row r="52">
          <cell r="B52" t="str">
            <v>Main Panel</v>
          </cell>
        </row>
      </sheetData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>
        <row r="52">
          <cell r="B52" t="str">
            <v>Main Panel</v>
          </cell>
        </row>
      </sheetData>
      <sheetData sheetId="1843">
        <row r="52">
          <cell r="B52" t="str">
            <v>Main Panel</v>
          </cell>
        </row>
      </sheetData>
      <sheetData sheetId="1844">
        <row r="52">
          <cell r="B52" t="str">
            <v>Main Panel</v>
          </cell>
        </row>
      </sheetData>
      <sheetData sheetId="1845">
        <row r="52">
          <cell r="B52" t="str">
            <v>Main Panel</v>
          </cell>
        </row>
      </sheetData>
      <sheetData sheetId="1846">
        <row r="52">
          <cell r="B52" t="str">
            <v>Main Panel</v>
          </cell>
        </row>
      </sheetData>
      <sheetData sheetId="1847">
        <row r="52">
          <cell r="B52" t="str">
            <v>Main Panel</v>
          </cell>
        </row>
      </sheetData>
      <sheetData sheetId="1848">
        <row r="52">
          <cell r="B52" t="str">
            <v>Main Panel</v>
          </cell>
        </row>
      </sheetData>
      <sheetData sheetId="1849">
        <row r="52">
          <cell r="B52" t="str">
            <v>Main Panel</v>
          </cell>
        </row>
      </sheetData>
      <sheetData sheetId="1850">
        <row r="52">
          <cell r="B52" t="str">
            <v>Main Panel</v>
          </cell>
        </row>
      </sheetData>
      <sheetData sheetId="1851">
        <row r="52">
          <cell r="B52" t="str">
            <v>Main Panel</v>
          </cell>
        </row>
      </sheetData>
      <sheetData sheetId="1852">
        <row r="52">
          <cell r="B52" t="str">
            <v>Main Panel</v>
          </cell>
        </row>
      </sheetData>
      <sheetData sheetId="1853">
        <row r="52">
          <cell r="B52" t="str">
            <v>Main Panel</v>
          </cell>
        </row>
      </sheetData>
      <sheetData sheetId="1854">
        <row r="52">
          <cell r="B52" t="str">
            <v>Main Panel</v>
          </cell>
        </row>
      </sheetData>
      <sheetData sheetId="1855"/>
      <sheetData sheetId="1856">
        <row r="52">
          <cell r="B52" t="str">
            <v>Main Panel</v>
          </cell>
        </row>
      </sheetData>
      <sheetData sheetId="1857">
        <row r="52">
          <cell r="B52" t="str">
            <v>Main Panel</v>
          </cell>
        </row>
      </sheetData>
      <sheetData sheetId="1858">
        <row r="52">
          <cell r="B52" t="str">
            <v>Main Panel</v>
          </cell>
        </row>
      </sheetData>
      <sheetData sheetId="1859">
        <row r="52">
          <cell r="B52" t="str">
            <v>Main Panel</v>
          </cell>
        </row>
      </sheetData>
      <sheetData sheetId="1860">
        <row r="52">
          <cell r="B52" t="str">
            <v>Main Panel</v>
          </cell>
        </row>
      </sheetData>
      <sheetData sheetId="1861"/>
      <sheetData sheetId="1862">
        <row r="52">
          <cell r="B52" t="str">
            <v>Main Panel</v>
          </cell>
        </row>
      </sheetData>
      <sheetData sheetId="1863">
        <row r="52">
          <cell r="B52" t="str">
            <v>Main Panel</v>
          </cell>
        </row>
      </sheetData>
      <sheetData sheetId="1864">
        <row r="52">
          <cell r="B52" t="str">
            <v>Main Panel</v>
          </cell>
        </row>
      </sheetData>
      <sheetData sheetId="1865">
        <row r="52">
          <cell r="B52" t="str">
            <v>Main Panel</v>
          </cell>
        </row>
      </sheetData>
      <sheetData sheetId="1866">
        <row r="52">
          <cell r="B52" t="str">
            <v>Main Panel</v>
          </cell>
        </row>
      </sheetData>
      <sheetData sheetId="1867">
        <row r="52">
          <cell r="B52" t="str">
            <v>Main Panel</v>
          </cell>
        </row>
      </sheetData>
      <sheetData sheetId="1868">
        <row r="52">
          <cell r="B52" t="str">
            <v>Main Panel</v>
          </cell>
        </row>
      </sheetData>
      <sheetData sheetId="1869">
        <row r="52">
          <cell r="B52" t="str">
            <v>Main Panel</v>
          </cell>
        </row>
      </sheetData>
      <sheetData sheetId="1870">
        <row r="52">
          <cell r="B52" t="str">
            <v>Main Panel</v>
          </cell>
        </row>
      </sheetData>
      <sheetData sheetId="1871">
        <row r="52">
          <cell r="B52" t="str">
            <v>Main Panel</v>
          </cell>
        </row>
      </sheetData>
      <sheetData sheetId="1872"/>
      <sheetData sheetId="1873">
        <row r="52">
          <cell r="B52" t="str">
            <v>Main Panel</v>
          </cell>
        </row>
      </sheetData>
      <sheetData sheetId="1874">
        <row r="52">
          <cell r="B52" t="str">
            <v>Main Panel</v>
          </cell>
        </row>
      </sheetData>
      <sheetData sheetId="1875"/>
      <sheetData sheetId="1876">
        <row r="52">
          <cell r="B52" t="str">
            <v>Main Panel</v>
          </cell>
        </row>
      </sheetData>
      <sheetData sheetId="1877">
        <row r="52">
          <cell r="B52" t="str">
            <v>Main Panel</v>
          </cell>
        </row>
      </sheetData>
      <sheetData sheetId="1878">
        <row r="52">
          <cell r="B52" t="str">
            <v>Main Panel</v>
          </cell>
        </row>
      </sheetData>
      <sheetData sheetId="1879">
        <row r="52">
          <cell r="B52" t="str">
            <v>Main Panel</v>
          </cell>
        </row>
      </sheetData>
      <sheetData sheetId="1880">
        <row r="52">
          <cell r="B52" t="str">
            <v>Main Panel</v>
          </cell>
        </row>
      </sheetData>
      <sheetData sheetId="1881">
        <row r="52">
          <cell r="B52" t="str">
            <v>Main Panel</v>
          </cell>
        </row>
      </sheetData>
      <sheetData sheetId="1882">
        <row r="52">
          <cell r="B52" t="str">
            <v>Main Panel</v>
          </cell>
        </row>
      </sheetData>
      <sheetData sheetId="1883"/>
      <sheetData sheetId="1884">
        <row r="52">
          <cell r="B52" t="str">
            <v>Main Panel</v>
          </cell>
        </row>
      </sheetData>
      <sheetData sheetId="1885">
        <row r="52">
          <cell r="B52" t="str">
            <v>Main Panel</v>
          </cell>
        </row>
      </sheetData>
      <sheetData sheetId="1886">
        <row r="52">
          <cell r="B52" t="str">
            <v>Main Panel</v>
          </cell>
        </row>
      </sheetData>
      <sheetData sheetId="1887">
        <row r="52">
          <cell r="B52" t="str">
            <v>Main Panel</v>
          </cell>
        </row>
      </sheetData>
      <sheetData sheetId="1888">
        <row r="52">
          <cell r="B52" t="str">
            <v>Main Panel</v>
          </cell>
        </row>
      </sheetData>
      <sheetData sheetId="1889">
        <row r="52">
          <cell r="B52" t="str">
            <v>Main Panel</v>
          </cell>
        </row>
      </sheetData>
      <sheetData sheetId="1890">
        <row r="52">
          <cell r="B52" t="str">
            <v>Main Panel</v>
          </cell>
        </row>
      </sheetData>
      <sheetData sheetId="1891"/>
      <sheetData sheetId="1892">
        <row r="52">
          <cell r="B52" t="str">
            <v>Main Panel</v>
          </cell>
        </row>
      </sheetData>
      <sheetData sheetId="1893">
        <row r="52">
          <cell r="B52" t="str">
            <v>Main Panel</v>
          </cell>
        </row>
      </sheetData>
      <sheetData sheetId="1894">
        <row r="52">
          <cell r="B52" t="str">
            <v>Main Panel</v>
          </cell>
        </row>
      </sheetData>
      <sheetData sheetId="1895">
        <row r="52">
          <cell r="B52" t="str">
            <v>Main Panel</v>
          </cell>
        </row>
      </sheetData>
      <sheetData sheetId="1896"/>
      <sheetData sheetId="1897"/>
      <sheetData sheetId="1898">
        <row r="52">
          <cell r="B52" t="str">
            <v>Main Panel</v>
          </cell>
        </row>
      </sheetData>
      <sheetData sheetId="1899">
        <row r="52">
          <cell r="B52" t="str">
            <v>Main Panel</v>
          </cell>
        </row>
      </sheetData>
      <sheetData sheetId="1900">
        <row r="52">
          <cell r="B52" t="str">
            <v>Main Panel</v>
          </cell>
        </row>
      </sheetData>
      <sheetData sheetId="1901">
        <row r="52">
          <cell r="B52" t="str">
            <v>Main Panel</v>
          </cell>
        </row>
      </sheetData>
      <sheetData sheetId="1902"/>
      <sheetData sheetId="1903"/>
      <sheetData sheetId="1904"/>
      <sheetData sheetId="1905">
        <row r="52">
          <cell r="B52" t="str">
            <v>Main Panel</v>
          </cell>
        </row>
      </sheetData>
      <sheetData sheetId="1906">
        <row r="52">
          <cell r="B52" t="str">
            <v>Main Panel</v>
          </cell>
        </row>
      </sheetData>
      <sheetData sheetId="1907">
        <row r="52">
          <cell r="B52" t="str">
            <v>Main Panel</v>
          </cell>
        </row>
      </sheetData>
      <sheetData sheetId="1908"/>
      <sheetData sheetId="1909"/>
      <sheetData sheetId="1910"/>
      <sheetData sheetId="1911">
        <row r="52">
          <cell r="B52" t="str">
            <v>Main Panel</v>
          </cell>
        </row>
      </sheetData>
      <sheetData sheetId="1912"/>
      <sheetData sheetId="1913">
        <row r="52">
          <cell r="B52" t="str">
            <v>Main Panel</v>
          </cell>
        </row>
      </sheetData>
      <sheetData sheetId="1914"/>
      <sheetData sheetId="1915"/>
      <sheetData sheetId="1916">
        <row r="52">
          <cell r="B52" t="str">
            <v>Main Panel</v>
          </cell>
        </row>
      </sheetData>
      <sheetData sheetId="1917"/>
      <sheetData sheetId="1918">
        <row r="52">
          <cell r="B52" t="str">
            <v>Main Panel</v>
          </cell>
        </row>
      </sheetData>
      <sheetData sheetId="1919">
        <row r="52">
          <cell r="B52" t="str">
            <v>Main Panel</v>
          </cell>
        </row>
      </sheetData>
      <sheetData sheetId="1920"/>
      <sheetData sheetId="1921"/>
      <sheetData sheetId="1922">
        <row r="52">
          <cell r="B52" t="str">
            <v>Main Panel</v>
          </cell>
        </row>
      </sheetData>
      <sheetData sheetId="1923"/>
      <sheetData sheetId="1924">
        <row r="52">
          <cell r="B52" t="str">
            <v>Main Panel</v>
          </cell>
        </row>
      </sheetData>
      <sheetData sheetId="1925">
        <row r="52">
          <cell r="B52" t="str">
            <v>Main Panel</v>
          </cell>
        </row>
      </sheetData>
      <sheetData sheetId="1926">
        <row r="52">
          <cell r="B52" t="str">
            <v>Main Panel</v>
          </cell>
        </row>
      </sheetData>
      <sheetData sheetId="1927"/>
      <sheetData sheetId="1928"/>
      <sheetData sheetId="1929">
        <row r="52">
          <cell r="B52" t="str">
            <v>Main Panel</v>
          </cell>
        </row>
      </sheetData>
      <sheetData sheetId="1930">
        <row r="52">
          <cell r="B52" t="str">
            <v>Main Panel</v>
          </cell>
        </row>
      </sheetData>
      <sheetData sheetId="1931">
        <row r="52">
          <cell r="B52" t="str">
            <v>Main Panel</v>
          </cell>
        </row>
      </sheetData>
      <sheetData sheetId="1932">
        <row r="52">
          <cell r="B52" t="str">
            <v>Main Panel</v>
          </cell>
        </row>
      </sheetData>
      <sheetData sheetId="1933"/>
      <sheetData sheetId="1934">
        <row r="52">
          <cell r="B52" t="str">
            <v>Main Panel</v>
          </cell>
        </row>
      </sheetData>
      <sheetData sheetId="1935">
        <row r="52">
          <cell r="B52" t="str">
            <v>Main Panel</v>
          </cell>
        </row>
      </sheetData>
      <sheetData sheetId="1936"/>
      <sheetData sheetId="1937">
        <row r="52">
          <cell r="B52" t="str">
            <v>Main Panel</v>
          </cell>
        </row>
      </sheetData>
      <sheetData sheetId="1938"/>
      <sheetData sheetId="1939"/>
      <sheetData sheetId="1940">
        <row r="52">
          <cell r="B52" t="str">
            <v>Main Panel</v>
          </cell>
        </row>
      </sheetData>
      <sheetData sheetId="1941"/>
      <sheetData sheetId="1942"/>
      <sheetData sheetId="1943">
        <row r="52">
          <cell r="B52" t="str">
            <v>Main Panel</v>
          </cell>
        </row>
      </sheetData>
      <sheetData sheetId="1944"/>
      <sheetData sheetId="1945">
        <row r="52">
          <cell r="B52" t="str">
            <v>Main Panel</v>
          </cell>
        </row>
      </sheetData>
      <sheetData sheetId="1946">
        <row r="52">
          <cell r="B52" t="str">
            <v>Main Panel</v>
          </cell>
        </row>
      </sheetData>
      <sheetData sheetId="1947">
        <row r="52">
          <cell r="B52" t="str">
            <v>Main Panel</v>
          </cell>
        </row>
      </sheetData>
      <sheetData sheetId="1948">
        <row r="52">
          <cell r="B52" t="str">
            <v>Main Panel</v>
          </cell>
        </row>
      </sheetData>
      <sheetData sheetId="1949">
        <row r="52">
          <cell r="B52" t="str">
            <v>Main Panel</v>
          </cell>
        </row>
      </sheetData>
      <sheetData sheetId="1950">
        <row r="52">
          <cell r="B52" t="str">
            <v>Main Panel</v>
          </cell>
        </row>
      </sheetData>
      <sheetData sheetId="1951">
        <row r="52">
          <cell r="B52" t="str">
            <v>Main Panel</v>
          </cell>
        </row>
      </sheetData>
      <sheetData sheetId="1952">
        <row r="52">
          <cell r="B52" t="str">
            <v>Main Panel</v>
          </cell>
        </row>
      </sheetData>
      <sheetData sheetId="1953">
        <row r="52">
          <cell r="B52" t="str">
            <v>Main Panel</v>
          </cell>
        </row>
      </sheetData>
      <sheetData sheetId="1954">
        <row r="52">
          <cell r="B52" t="str">
            <v>Main Panel</v>
          </cell>
        </row>
      </sheetData>
      <sheetData sheetId="1955"/>
      <sheetData sheetId="1956">
        <row r="52">
          <cell r="B52" t="str">
            <v>Main Panel</v>
          </cell>
        </row>
      </sheetData>
      <sheetData sheetId="1957">
        <row r="52">
          <cell r="B52" t="str">
            <v>Main Panel</v>
          </cell>
        </row>
      </sheetData>
      <sheetData sheetId="1958">
        <row r="52">
          <cell r="B52" t="str">
            <v>Main Panel</v>
          </cell>
        </row>
      </sheetData>
      <sheetData sheetId="1959">
        <row r="52">
          <cell r="B52" t="str">
            <v>Main Panel</v>
          </cell>
        </row>
      </sheetData>
      <sheetData sheetId="1960">
        <row r="52">
          <cell r="B52" t="str">
            <v>Main Panel</v>
          </cell>
        </row>
      </sheetData>
      <sheetData sheetId="1961">
        <row r="52">
          <cell r="B52" t="str">
            <v>Main Panel</v>
          </cell>
        </row>
      </sheetData>
      <sheetData sheetId="1962">
        <row r="52">
          <cell r="B52" t="str">
            <v>Main Panel</v>
          </cell>
        </row>
      </sheetData>
      <sheetData sheetId="1963"/>
      <sheetData sheetId="1964"/>
      <sheetData sheetId="1965"/>
      <sheetData sheetId="1966">
        <row r="52">
          <cell r="B52" t="str">
            <v>Main Panel</v>
          </cell>
        </row>
      </sheetData>
      <sheetData sheetId="1967">
        <row r="52">
          <cell r="B52" t="str">
            <v>Main Panel</v>
          </cell>
        </row>
      </sheetData>
      <sheetData sheetId="1968">
        <row r="52">
          <cell r="B52" t="str">
            <v>Main Panel</v>
          </cell>
        </row>
      </sheetData>
      <sheetData sheetId="1969"/>
      <sheetData sheetId="1970">
        <row r="52">
          <cell r="B52" t="str">
            <v>Main Panel</v>
          </cell>
        </row>
      </sheetData>
      <sheetData sheetId="1971">
        <row r="52">
          <cell r="B52" t="str">
            <v>Main Panel</v>
          </cell>
        </row>
      </sheetData>
      <sheetData sheetId="1972">
        <row r="52">
          <cell r="B52" t="str">
            <v>Main Panel</v>
          </cell>
        </row>
      </sheetData>
      <sheetData sheetId="1973">
        <row r="52">
          <cell r="B52" t="str">
            <v>Main Panel</v>
          </cell>
        </row>
      </sheetData>
      <sheetData sheetId="1974"/>
      <sheetData sheetId="1975">
        <row r="52">
          <cell r="B52" t="str">
            <v>Main Panel</v>
          </cell>
        </row>
      </sheetData>
      <sheetData sheetId="1976">
        <row r="52">
          <cell r="B52" t="str">
            <v>Main Panel</v>
          </cell>
        </row>
      </sheetData>
      <sheetData sheetId="1977">
        <row r="52">
          <cell r="B52" t="str">
            <v>Main Panel</v>
          </cell>
        </row>
      </sheetData>
      <sheetData sheetId="1978">
        <row r="52">
          <cell r="B52" t="str">
            <v>Main Panel</v>
          </cell>
        </row>
      </sheetData>
      <sheetData sheetId="1979">
        <row r="52">
          <cell r="B52" t="str">
            <v>Main Panel</v>
          </cell>
        </row>
      </sheetData>
      <sheetData sheetId="1980">
        <row r="52">
          <cell r="B52" t="str">
            <v>Main Panel</v>
          </cell>
        </row>
      </sheetData>
      <sheetData sheetId="1981">
        <row r="52">
          <cell r="B52" t="str">
            <v>Main Panel</v>
          </cell>
        </row>
      </sheetData>
      <sheetData sheetId="1982">
        <row r="52">
          <cell r="B52" t="str">
            <v>Main Panel</v>
          </cell>
        </row>
      </sheetData>
      <sheetData sheetId="1983">
        <row r="52">
          <cell r="B52" t="str">
            <v>Main Panel</v>
          </cell>
        </row>
      </sheetData>
      <sheetData sheetId="1984">
        <row r="52">
          <cell r="B52" t="str">
            <v>Main Panel</v>
          </cell>
        </row>
      </sheetData>
      <sheetData sheetId="1985">
        <row r="52">
          <cell r="B52" t="str">
            <v>Main Panel</v>
          </cell>
        </row>
      </sheetData>
      <sheetData sheetId="1986">
        <row r="52">
          <cell r="B52" t="str">
            <v>Main Panel</v>
          </cell>
        </row>
      </sheetData>
      <sheetData sheetId="1987">
        <row r="52">
          <cell r="B52" t="str">
            <v>Main Panel</v>
          </cell>
        </row>
      </sheetData>
      <sheetData sheetId="1988">
        <row r="52">
          <cell r="B52" t="str">
            <v>Main Panel</v>
          </cell>
        </row>
      </sheetData>
      <sheetData sheetId="1989">
        <row r="52">
          <cell r="B52" t="str">
            <v>Main Panel</v>
          </cell>
        </row>
      </sheetData>
      <sheetData sheetId="1990">
        <row r="52">
          <cell r="B52" t="str">
            <v>Main Panel</v>
          </cell>
        </row>
      </sheetData>
      <sheetData sheetId="1991">
        <row r="52">
          <cell r="B52" t="str">
            <v>Main Panel</v>
          </cell>
        </row>
      </sheetData>
      <sheetData sheetId="1992">
        <row r="52">
          <cell r="B52" t="str">
            <v>Main Panel</v>
          </cell>
        </row>
      </sheetData>
      <sheetData sheetId="1993">
        <row r="52">
          <cell r="B52" t="str">
            <v>Main Panel</v>
          </cell>
        </row>
      </sheetData>
      <sheetData sheetId="1994">
        <row r="52">
          <cell r="B52" t="str">
            <v>Main Panel</v>
          </cell>
        </row>
      </sheetData>
      <sheetData sheetId="1995">
        <row r="52">
          <cell r="B52" t="str">
            <v>Main Panel</v>
          </cell>
        </row>
      </sheetData>
      <sheetData sheetId="1996">
        <row r="52">
          <cell r="B52" t="str">
            <v>Main Panel</v>
          </cell>
        </row>
      </sheetData>
      <sheetData sheetId="1997">
        <row r="52">
          <cell r="B52" t="str">
            <v>Main Panel</v>
          </cell>
        </row>
      </sheetData>
      <sheetData sheetId="1998">
        <row r="52">
          <cell r="B52" t="str">
            <v>Main Panel</v>
          </cell>
        </row>
      </sheetData>
      <sheetData sheetId="1999">
        <row r="52">
          <cell r="B52" t="str">
            <v>Main Panel</v>
          </cell>
        </row>
      </sheetData>
      <sheetData sheetId="2000">
        <row r="52">
          <cell r="B52" t="str">
            <v>Main Panel</v>
          </cell>
        </row>
      </sheetData>
      <sheetData sheetId="2001">
        <row r="52">
          <cell r="B52" t="str">
            <v>Main Panel</v>
          </cell>
        </row>
      </sheetData>
      <sheetData sheetId="2002">
        <row r="52">
          <cell r="B52" t="str">
            <v>Main Panel</v>
          </cell>
        </row>
      </sheetData>
      <sheetData sheetId="2003">
        <row r="52">
          <cell r="B52" t="str">
            <v>Main Panel</v>
          </cell>
        </row>
      </sheetData>
      <sheetData sheetId="2004">
        <row r="52">
          <cell r="B52" t="str">
            <v>Main Panel</v>
          </cell>
        </row>
      </sheetData>
      <sheetData sheetId="2005">
        <row r="52">
          <cell r="B52" t="str">
            <v>Main Panel</v>
          </cell>
        </row>
      </sheetData>
      <sheetData sheetId="2006">
        <row r="52">
          <cell r="B52" t="str">
            <v>Main Panel</v>
          </cell>
        </row>
      </sheetData>
      <sheetData sheetId="2007">
        <row r="52">
          <cell r="B52" t="str">
            <v>Main Panel</v>
          </cell>
        </row>
      </sheetData>
      <sheetData sheetId="2008">
        <row r="52">
          <cell r="B52" t="str">
            <v>Main Panel</v>
          </cell>
        </row>
      </sheetData>
      <sheetData sheetId="2009">
        <row r="52">
          <cell r="B52" t="str">
            <v>Main Panel</v>
          </cell>
        </row>
      </sheetData>
      <sheetData sheetId="2010">
        <row r="52">
          <cell r="B52" t="str">
            <v>Main Panel</v>
          </cell>
        </row>
      </sheetData>
      <sheetData sheetId="2011">
        <row r="52">
          <cell r="B52" t="str">
            <v>Main Panel</v>
          </cell>
        </row>
      </sheetData>
      <sheetData sheetId="2012">
        <row r="52">
          <cell r="B52" t="str">
            <v>Main Panel</v>
          </cell>
        </row>
      </sheetData>
      <sheetData sheetId="2013">
        <row r="52">
          <cell r="B52" t="str">
            <v>Main Panel</v>
          </cell>
        </row>
      </sheetData>
      <sheetData sheetId="2014">
        <row r="52">
          <cell r="B52" t="str">
            <v>Main Panel</v>
          </cell>
        </row>
      </sheetData>
      <sheetData sheetId="2015">
        <row r="52">
          <cell r="B52" t="str">
            <v>Main Panel</v>
          </cell>
        </row>
      </sheetData>
      <sheetData sheetId="2016">
        <row r="52">
          <cell r="B52" t="str">
            <v>Main Panel</v>
          </cell>
        </row>
      </sheetData>
      <sheetData sheetId="2017">
        <row r="52">
          <cell r="B52" t="str">
            <v>Main Panel</v>
          </cell>
        </row>
      </sheetData>
      <sheetData sheetId="2018">
        <row r="52">
          <cell r="B52" t="str">
            <v>Main Panel</v>
          </cell>
        </row>
      </sheetData>
      <sheetData sheetId="2019">
        <row r="52">
          <cell r="B52" t="str">
            <v>Main Panel</v>
          </cell>
        </row>
      </sheetData>
      <sheetData sheetId="2020">
        <row r="52">
          <cell r="B52" t="str">
            <v>Main Panel</v>
          </cell>
        </row>
      </sheetData>
      <sheetData sheetId="2021">
        <row r="52">
          <cell r="B52" t="str">
            <v>Main Panel</v>
          </cell>
        </row>
      </sheetData>
      <sheetData sheetId="2022">
        <row r="52">
          <cell r="B52" t="str">
            <v>Main Panel</v>
          </cell>
        </row>
      </sheetData>
      <sheetData sheetId="2023">
        <row r="52">
          <cell r="B52" t="str">
            <v>Main Panel</v>
          </cell>
        </row>
      </sheetData>
      <sheetData sheetId="2024">
        <row r="52">
          <cell r="B52" t="str">
            <v>Main Panel</v>
          </cell>
        </row>
      </sheetData>
      <sheetData sheetId="2025">
        <row r="52">
          <cell r="B52" t="str">
            <v>Main Panel</v>
          </cell>
        </row>
      </sheetData>
      <sheetData sheetId="2026">
        <row r="52">
          <cell r="B52" t="str">
            <v>Main Panel</v>
          </cell>
        </row>
      </sheetData>
      <sheetData sheetId="2027">
        <row r="52">
          <cell r="B52" t="str">
            <v>Main Panel</v>
          </cell>
        </row>
      </sheetData>
      <sheetData sheetId="2028">
        <row r="52">
          <cell r="B52" t="str">
            <v>Main Panel</v>
          </cell>
        </row>
      </sheetData>
      <sheetData sheetId="2029">
        <row r="52">
          <cell r="B52" t="str">
            <v>Main Panel</v>
          </cell>
        </row>
      </sheetData>
      <sheetData sheetId="2030">
        <row r="52">
          <cell r="B52" t="str">
            <v>Main Panel</v>
          </cell>
        </row>
      </sheetData>
      <sheetData sheetId="2031">
        <row r="52">
          <cell r="B52" t="str">
            <v>Main Panel</v>
          </cell>
        </row>
      </sheetData>
      <sheetData sheetId="2032">
        <row r="52">
          <cell r="B52" t="str">
            <v>Main Panel</v>
          </cell>
        </row>
      </sheetData>
      <sheetData sheetId="2033">
        <row r="52">
          <cell r="B52" t="str">
            <v>Main Panel</v>
          </cell>
        </row>
      </sheetData>
      <sheetData sheetId="2034">
        <row r="52">
          <cell r="B52" t="str">
            <v>Main Panel</v>
          </cell>
        </row>
      </sheetData>
      <sheetData sheetId="2035">
        <row r="52">
          <cell r="B52" t="str">
            <v>Main Panel</v>
          </cell>
        </row>
      </sheetData>
      <sheetData sheetId="2036">
        <row r="52">
          <cell r="B52" t="str">
            <v>Main Panel</v>
          </cell>
        </row>
      </sheetData>
      <sheetData sheetId="2037">
        <row r="52">
          <cell r="B52" t="str">
            <v>Main Panel</v>
          </cell>
        </row>
      </sheetData>
      <sheetData sheetId="2038">
        <row r="52">
          <cell r="B52" t="str">
            <v>Main Panel</v>
          </cell>
        </row>
      </sheetData>
      <sheetData sheetId="2039">
        <row r="52">
          <cell r="B52" t="str">
            <v>Main Panel</v>
          </cell>
        </row>
      </sheetData>
      <sheetData sheetId="2040">
        <row r="52">
          <cell r="B52" t="str">
            <v>Main Panel</v>
          </cell>
        </row>
      </sheetData>
      <sheetData sheetId="2041">
        <row r="52">
          <cell r="B52" t="str">
            <v>Main Panel</v>
          </cell>
        </row>
      </sheetData>
      <sheetData sheetId="2042">
        <row r="52">
          <cell r="B52" t="str">
            <v>Main Panel</v>
          </cell>
        </row>
      </sheetData>
      <sheetData sheetId="2043">
        <row r="52">
          <cell r="B52" t="str">
            <v>Main Panel</v>
          </cell>
        </row>
      </sheetData>
      <sheetData sheetId="2044">
        <row r="52">
          <cell r="B52" t="str">
            <v>Main Panel</v>
          </cell>
        </row>
      </sheetData>
      <sheetData sheetId="2045">
        <row r="52">
          <cell r="B52" t="str">
            <v>Main Panel</v>
          </cell>
        </row>
      </sheetData>
      <sheetData sheetId="2046">
        <row r="52">
          <cell r="B52" t="str">
            <v>Main Panel</v>
          </cell>
        </row>
      </sheetData>
      <sheetData sheetId="2047">
        <row r="52">
          <cell r="B52" t="str">
            <v>Main Panel</v>
          </cell>
        </row>
      </sheetData>
      <sheetData sheetId="2048">
        <row r="52">
          <cell r="B52" t="str">
            <v>Main Panel</v>
          </cell>
        </row>
      </sheetData>
      <sheetData sheetId="2049">
        <row r="52">
          <cell r="B52" t="str">
            <v>Main Panel</v>
          </cell>
        </row>
      </sheetData>
      <sheetData sheetId="2050">
        <row r="52">
          <cell r="B52" t="str">
            <v>Main Panel</v>
          </cell>
        </row>
      </sheetData>
      <sheetData sheetId="2051">
        <row r="52">
          <cell r="B52" t="str">
            <v>Main Panel</v>
          </cell>
        </row>
      </sheetData>
      <sheetData sheetId="2052">
        <row r="52">
          <cell r="B52" t="str">
            <v>Main Panel</v>
          </cell>
        </row>
      </sheetData>
      <sheetData sheetId="2053">
        <row r="52">
          <cell r="B52" t="str">
            <v>Main Panel</v>
          </cell>
        </row>
      </sheetData>
      <sheetData sheetId="2054">
        <row r="52">
          <cell r="B52" t="str">
            <v>Main Panel</v>
          </cell>
        </row>
      </sheetData>
      <sheetData sheetId="2055"/>
      <sheetData sheetId="2056">
        <row r="52">
          <cell r="B52" t="str">
            <v>Main Panel</v>
          </cell>
        </row>
      </sheetData>
      <sheetData sheetId="2057">
        <row r="52">
          <cell r="B52" t="str">
            <v>Main Panel</v>
          </cell>
        </row>
      </sheetData>
      <sheetData sheetId="2058">
        <row r="52">
          <cell r="B52" t="str">
            <v>Main Panel</v>
          </cell>
        </row>
      </sheetData>
      <sheetData sheetId="2059">
        <row r="52">
          <cell r="B52" t="str">
            <v>Main Panel</v>
          </cell>
        </row>
      </sheetData>
      <sheetData sheetId="2060">
        <row r="52">
          <cell r="B52" t="str">
            <v>Main Panel</v>
          </cell>
        </row>
      </sheetData>
      <sheetData sheetId="2061">
        <row r="52">
          <cell r="B52" t="str">
            <v>Main Panel</v>
          </cell>
        </row>
      </sheetData>
      <sheetData sheetId="2062">
        <row r="52">
          <cell r="B52" t="str">
            <v>Main Panel</v>
          </cell>
        </row>
      </sheetData>
      <sheetData sheetId="2063">
        <row r="52">
          <cell r="B52" t="str">
            <v>Main Panel</v>
          </cell>
        </row>
      </sheetData>
      <sheetData sheetId="2064">
        <row r="52">
          <cell r="B52" t="str">
            <v>Main Panel</v>
          </cell>
        </row>
      </sheetData>
      <sheetData sheetId="2065">
        <row r="52">
          <cell r="B52" t="str">
            <v>Main Panel</v>
          </cell>
        </row>
      </sheetData>
      <sheetData sheetId="2066">
        <row r="52">
          <cell r="B52" t="str">
            <v>Main Panel</v>
          </cell>
        </row>
      </sheetData>
      <sheetData sheetId="2067">
        <row r="52">
          <cell r="B52" t="str">
            <v>Main Panel</v>
          </cell>
        </row>
      </sheetData>
      <sheetData sheetId="2068">
        <row r="52">
          <cell r="B52" t="str">
            <v>Main Panel</v>
          </cell>
        </row>
      </sheetData>
      <sheetData sheetId="2069">
        <row r="52">
          <cell r="B52" t="str">
            <v>Main Panel</v>
          </cell>
        </row>
      </sheetData>
      <sheetData sheetId="2070">
        <row r="52">
          <cell r="B52" t="str">
            <v>Main Panel</v>
          </cell>
        </row>
      </sheetData>
      <sheetData sheetId="2071">
        <row r="52">
          <cell r="B52" t="str">
            <v>Main Panel</v>
          </cell>
        </row>
      </sheetData>
      <sheetData sheetId="2072">
        <row r="52">
          <cell r="B52" t="str">
            <v>Main Panel</v>
          </cell>
        </row>
      </sheetData>
      <sheetData sheetId="2073">
        <row r="52">
          <cell r="B52" t="str">
            <v>Main Panel</v>
          </cell>
        </row>
      </sheetData>
      <sheetData sheetId="2074">
        <row r="52">
          <cell r="B52" t="str">
            <v>Main Panel</v>
          </cell>
        </row>
      </sheetData>
      <sheetData sheetId="2075">
        <row r="52">
          <cell r="B52" t="str">
            <v>Main Panel</v>
          </cell>
        </row>
      </sheetData>
      <sheetData sheetId="2076">
        <row r="52">
          <cell r="B52" t="str">
            <v>Main Panel</v>
          </cell>
        </row>
      </sheetData>
      <sheetData sheetId="2077">
        <row r="52">
          <cell r="B52" t="str">
            <v>Main Panel</v>
          </cell>
        </row>
      </sheetData>
      <sheetData sheetId="2078">
        <row r="52">
          <cell r="B52" t="str">
            <v>Main Panel</v>
          </cell>
        </row>
      </sheetData>
      <sheetData sheetId="2079"/>
      <sheetData sheetId="2080">
        <row r="52">
          <cell r="B52" t="str">
            <v>Main Panel</v>
          </cell>
        </row>
      </sheetData>
      <sheetData sheetId="2081">
        <row r="52">
          <cell r="B52" t="str">
            <v>Main Panel</v>
          </cell>
        </row>
      </sheetData>
      <sheetData sheetId="2082">
        <row r="52">
          <cell r="B52" t="str">
            <v>Main Panel</v>
          </cell>
        </row>
      </sheetData>
      <sheetData sheetId="2083">
        <row r="52">
          <cell r="B52" t="str">
            <v>Main Panel</v>
          </cell>
        </row>
      </sheetData>
      <sheetData sheetId="2084">
        <row r="52">
          <cell r="B52" t="str">
            <v>Main Panel</v>
          </cell>
        </row>
      </sheetData>
      <sheetData sheetId="2085">
        <row r="52">
          <cell r="B52" t="str">
            <v>Main Panel</v>
          </cell>
        </row>
      </sheetData>
      <sheetData sheetId="2086">
        <row r="52">
          <cell r="B52" t="str">
            <v>Main Panel</v>
          </cell>
        </row>
      </sheetData>
      <sheetData sheetId="2087">
        <row r="52">
          <cell r="B52" t="str">
            <v>Main Panel</v>
          </cell>
        </row>
      </sheetData>
      <sheetData sheetId="2088">
        <row r="52">
          <cell r="B52" t="str">
            <v>Main Panel</v>
          </cell>
        </row>
      </sheetData>
      <sheetData sheetId="2089">
        <row r="52">
          <cell r="B52" t="str">
            <v>Main Panel</v>
          </cell>
        </row>
      </sheetData>
      <sheetData sheetId="2090">
        <row r="52">
          <cell r="B52" t="str">
            <v>Main Panel</v>
          </cell>
        </row>
      </sheetData>
      <sheetData sheetId="2091">
        <row r="52">
          <cell r="B52" t="str">
            <v>Main Panel</v>
          </cell>
        </row>
      </sheetData>
      <sheetData sheetId="2092">
        <row r="52">
          <cell r="B52" t="str">
            <v>Main Panel</v>
          </cell>
        </row>
      </sheetData>
      <sheetData sheetId="2093">
        <row r="52">
          <cell r="B52" t="str">
            <v>Main Panel</v>
          </cell>
        </row>
      </sheetData>
      <sheetData sheetId="2094">
        <row r="52">
          <cell r="B52" t="str">
            <v>Main Panel</v>
          </cell>
        </row>
      </sheetData>
      <sheetData sheetId="2095">
        <row r="52">
          <cell r="B52" t="str">
            <v>Main Panel</v>
          </cell>
        </row>
      </sheetData>
      <sheetData sheetId="2096">
        <row r="52">
          <cell r="B52" t="str">
            <v>Main Panel</v>
          </cell>
        </row>
      </sheetData>
      <sheetData sheetId="2097">
        <row r="52">
          <cell r="B52" t="str">
            <v>Main Panel</v>
          </cell>
        </row>
      </sheetData>
      <sheetData sheetId="2098">
        <row r="52">
          <cell r="B52" t="str">
            <v>Main Panel</v>
          </cell>
        </row>
      </sheetData>
      <sheetData sheetId="2099">
        <row r="52">
          <cell r="B52" t="str">
            <v>Main Panel</v>
          </cell>
        </row>
      </sheetData>
      <sheetData sheetId="2100">
        <row r="52">
          <cell r="B52" t="str">
            <v>Main Panel</v>
          </cell>
        </row>
      </sheetData>
      <sheetData sheetId="2101">
        <row r="52">
          <cell r="B52" t="str">
            <v>Main Panel</v>
          </cell>
        </row>
      </sheetData>
      <sheetData sheetId="2102">
        <row r="52">
          <cell r="B52" t="str">
            <v>Main Panel</v>
          </cell>
        </row>
      </sheetData>
      <sheetData sheetId="2103"/>
      <sheetData sheetId="2104"/>
      <sheetData sheetId="2105"/>
      <sheetData sheetId="2106">
        <row r="52">
          <cell r="B52" t="str">
            <v>Main Panel</v>
          </cell>
        </row>
      </sheetData>
      <sheetData sheetId="2107"/>
      <sheetData sheetId="2108"/>
      <sheetData sheetId="2109"/>
      <sheetData sheetId="2110">
        <row r="52">
          <cell r="B52" t="str">
            <v>Main Panel</v>
          </cell>
        </row>
      </sheetData>
      <sheetData sheetId="2111"/>
      <sheetData sheetId="2112">
        <row r="52">
          <cell r="B52" t="str">
            <v>Main Panel</v>
          </cell>
        </row>
      </sheetData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>
        <row r="52">
          <cell r="B52" t="str">
            <v>Main Panel</v>
          </cell>
        </row>
      </sheetData>
      <sheetData sheetId="2153">
        <row r="52">
          <cell r="B52" t="str">
            <v>Main Panel</v>
          </cell>
        </row>
      </sheetData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>
        <row r="52">
          <cell r="B52" t="str">
            <v>Main Panel</v>
          </cell>
        </row>
      </sheetData>
      <sheetData sheetId="2164"/>
      <sheetData sheetId="2165"/>
      <sheetData sheetId="2166"/>
      <sheetData sheetId="2167"/>
      <sheetData sheetId="2168"/>
      <sheetData sheetId="2169"/>
      <sheetData sheetId="2170">
        <row r="52">
          <cell r="B52" t="str">
            <v>Main Panel</v>
          </cell>
        </row>
      </sheetData>
      <sheetData sheetId="2171"/>
      <sheetData sheetId="2172"/>
      <sheetData sheetId="2173"/>
      <sheetData sheetId="2174"/>
      <sheetData sheetId="2175"/>
      <sheetData sheetId="2176">
        <row r="52">
          <cell r="B52" t="str">
            <v>Main Panel</v>
          </cell>
        </row>
      </sheetData>
      <sheetData sheetId="2177"/>
      <sheetData sheetId="2178"/>
      <sheetData sheetId="2179"/>
      <sheetData sheetId="2180">
        <row r="52">
          <cell r="B52" t="str">
            <v>Main Panel</v>
          </cell>
        </row>
      </sheetData>
      <sheetData sheetId="2181">
        <row r="52">
          <cell r="B52" t="str">
            <v>Main Panel</v>
          </cell>
        </row>
      </sheetData>
      <sheetData sheetId="2182">
        <row r="52">
          <cell r="B52" t="str">
            <v>Main Panel</v>
          </cell>
        </row>
      </sheetData>
      <sheetData sheetId="2183">
        <row r="52">
          <cell r="B52" t="str">
            <v>Main Panel</v>
          </cell>
        </row>
      </sheetData>
      <sheetData sheetId="2184">
        <row r="52">
          <cell r="B52" t="str">
            <v>Main Panel</v>
          </cell>
        </row>
      </sheetData>
      <sheetData sheetId="2185">
        <row r="52">
          <cell r="B52" t="str">
            <v>Main Panel</v>
          </cell>
        </row>
      </sheetData>
      <sheetData sheetId="2186">
        <row r="52">
          <cell r="B52" t="str">
            <v>Main Panel</v>
          </cell>
        </row>
      </sheetData>
      <sheetData sheetId="2187">
        <row r="52">
          <cell r="B52" t="str">
            <v>Main Panel</v>
          </cell>
        </row>
      </sheetData>
      <sheetData sheetId="2188">
        <row r="52">
          <cell r="B52" t="str">
            <v>Main Panel</v>
          </cell>
        </row>
      </sheetData>
      <sheetData sheetId="2189">
        <row r="52">
          <cell r="B52" t="str">
            <v>Main Panel</v>
          </cell>
        </row>
      </sheetData>
      <sheetData sheetId="2190">
        <row r="52">
          <cell r="B52" t="str">
            <v>Main Panel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>
        <row r="52">
          <cell r="B52" t="str">
            <v>Main Panel</v>
          </cell>
        </row>
      </sheetData>
      <sheetData sheetId="2270">
        <row r="52">
          <cell r="B52" t="str">
            <v>Main Panel</v>
          </cell>
        </row>
      </sheetData>
      <sheetData sheetId="2271">
        <row r="52">
          <cell r="B52" t="str">
            <v>Main Panel</v>
          </cell>
        </row>
      </sheetData>
      <sheetData sheetId="2272">
        <row r="52">
          <cell r="B52" t="str">
            <v>Main Panel</v>
          </cell>
        </row>
      </sheetData>
      <sheetData sheetId="2273">
        <row r="52">
          <cell r="B52" t="str">
            <v>Main Panel</v>
          </cell>
        </row>
      </sheetData>
      <sheetData sheetId="2274">
        <row r="52">
          <cell r="B52" t="str">
            <v>Main Panel</v>
          </cell>
        </row>
      </sheetData>
      <sheetData sheetId="2275">
        <row r="52">
          <cell r="B52" t="str">
            <v>Main Panel</v>
          </cell>
        </row>
      </sheetData>
      <sheetData sheetId="2276">
        <row r="52">
          <cell r="B52" t="str">
            <v>Main Panel</v>
          </cell>
        </row>
      </sheetData>
      <sheetData sheetId="2277">
        <row r="52">
          <cell r="B52" t="str">
            <v>Main Panel</v>
          </cell>
        </row>
      </sheetData>
      <sheetData sheetId="2278">
        <row r="52">
          <cell r="B52" t="str">
            <v>Main Panel</v>
          </cell>
        </row>
      </sheetData>
      <sheetData sheetId="2279">
        <row r="52">
          <cell r="B52" t="str">
            <v>Main Panel</v>
          </cell>
        </row>
      </sheetData>
      <sheetData sheetId="2280">
        <row r="52">
          <cell r="B52" t="str">
            <v>Main Panel</v>
          </cell>
        </row>
      </sheetData>
      <sheetData sheetId="2281">
        <row r="52">
          <cell r="B52" t="str">
            <v>Main Panel</v>
          </cell>
        </row>
      </sheetData>
      <sheetData sheetId="2282">
        <row r="52">
          <cell r="B52" t="str">
            <v>Main Panel</v>
          </cell>
        </row>
      </sheetData>
      <sheetData sheetId="2283">
        <row r="52">
          <cell r="B52" t="str">
            <v>Main Panel</v>
          </cell>
        </row>
      </sheetData>
      <sheetData sheetId="2284">
        <row r="52">
          <cell r="B52" t="str">
            <v>Main Panel</v>
          </cell>
        </row>
      </sheetData>
      <sheetData sheetId="2285">
        <row r="52">
          <cell r="B52" t="str">
            <v>Main Panel</v>
          </cell>
        </row>
      </sheetData>
      <sheetData sheetId="2286">
        <row r="52">
          <cell r="B52" t="str">
            <v>Main Panel</v>
          </cell>
        </row>
      </sheetData>
      <sheetData sheetId="2287">
        <row r="52">
          <cell r="B52" t="str">
            <v>Main Panel</v>
          </cell>
        </row>
      </sheetData>
      <sheetData sheetId="2288">
        <row r="52">
          <cell r="B52" t="str">
            <v>Main Panel</v>
          </cell>
        </row>
      </sheetData>
      <sheetData sheetId="2289">
        <row r="52">
          <cell r="B52" t="str">
            <v>Main Panel</v>
          </cell>
        </row>
      </sheetData>
      <sheetData sheetId="2290">
        <row r="52">
          <cell r="B52" t="str">
            <v>Main Panel</v>
          </cell>
        </row>
      </sheetData>
      <sheetData sheetId="2291">
        <row r="52">
          <cell r="B52" t="str">
            <v>Main Panel</v>
          </cell>
        </row>
      </sheetData>
      <sheetData sheetId="2292">
        <row r="52">
          <cell r="B52" t="str">
            <v>Main Panel</v>
          </cell>
        </row>
      </sheetData>
      <sheetData sheetId="2293">
        <row r="52">
          <cell r="B52" t="str">
            <v>Main Panel</v>
          </cell>
        </row>
      </sheetData>
      <sheetData sheetId="2294">
        <row r="52">
          <cell r="B52" t="str">
            <v>Main Panel</v>
          </cell>
        </row>
      </sheetData>
      <sheetData sheetId="2295">
        <row r="52">
          <cell r="B52" t="str">
            <v>Main Panel</v>
          </cell>
        </row>
      </sheetData>
      <sheetData sheetId="2296">
        <row r="52">
          <cell r="B52" t="str">
            <v>Main Panel</v>
          </cell>
        </row>
      </sheetData>
      <sheetData sheetId="2297">
        <row r="52">
          <cell r="B52" t="str">
            <v>Main Panel</v>
          </cell>
        </row>
      </sheetData>
      <sheetData sheetId="2298">
        <row r="52">
          <cell r="B52" t="str">
            <v>Main Panel</v>
          </cell>
        </row>
      </sheetData>
      <sheetData sheetId="2299">
        <row r="52">
          <cell r="B52" t="str">
            <v>Main Panel</v>
          </cell>
        </row>
      </sheetData>
      <sheetData sheetId="2300">
        <row r="52">
          <cell r="B52" t="str">
            <v>Main Panel</v>
          </cell>
        </row>
      </sheetData>
      <sheetData sheetId="2301">
        <row r="52">
          <cell r="B52" t="str">
            <v>Main Panel</v>
          </cell>
        </row>
      </sheetData>
      <sheetData sheetId="2302">
        <row r="52">
          <cell r="B52" t="str">
            <v>Main Panel</v>
          </cell>
        </row>
      </sheetData>
      <sheetData sheetId="2303">
        <row r="52">
          <cell r="B52" t="str">
            <v>Main Panel</v>
          </cell>
        </row>
      </sheetData>
      <sheetData sheetId="2304">
        <row r="52">
          <cell r="B52" t="str">
            <v>Main Panel</v>
          </cell>
        </row>
      </sheetData>
      <sheetData sheetId="2305">
        <row r="52">
          <cell r="B52" t="str">
            <v>Main Panel</v>
          </cell>
        </row>
      </sheetData>
      <sheetData sheetId="2306">
        <row r="52">
          <cell r="B52" t="str">
            <v>Main Panel</v>
          </cell>
        </row>
      </sheetData>
      <sheetData sheetId="2307">
        <row r="52">
          <cell r="B52" t="str">
            <v>Main Panel</v>
          </cell>
        </row>
      </sheetData>
      <sheetData sheetId="2308">
        <row r="52">
          <cell r="B52" t="str">
            <v>Main Panel</v>
          </cell>
        </row>
      </sheetData>
      <sheetData sheetId="2309">
        <row r="52">
          <cell r="B52" t="str">
            <v>Main Panel</v>
          </cell>
        </row>
      </sheetData>
      <sheetData sheetId="2310">
        <row r="52">
          <cell r="B52" t="str">
            <v>Main Panel</v>
          </cell>
        </row>
      </sheetData>
      <sheetData sheetId="2311">
        <row r="52">
          <cell r="B52" t="str">
            <v>Main Panel</v>
          </cell>
        </row>
      </sheetData>
      <sheetData sheetId="2312">
        <row r="52">
          <cell r="B52" t="str">
            <v>Main Panel</v>
          </cell>
        </row>
      </sheetData>
      <sheetData sheetId="2313">
        <row r="52">
          <cell r="B52" t="str">
            <v>Main Panel</v>
          </cell>
        </row>
      </sheetData>
      <sheetData sheetId="2314">
        <row r="52">
          <cell r="B52" t="str">
            <v>Main Panel</v>
          </cell>
        </row>
      </sheetData>
      <sheetData sheetId="2315">
        <row r="52">
          <cell r="B52" t="str">
            <v>Main Panel</v>
          </cell>
        </row>
      </sheetData>
      <sheetData sheetId="2316">
        <row r="52">
          <cell r="B52" t="str">
            <v>Main Panel</v>
          </cell>
        </row>
      </sheetData>
      <sheetData sheetId="2317">
        <row r="52">
          <cell r="B52" t="str">
            <v>Main Panel</v>
          </cell>
        </row>
      </sheetData>
      <sheetData sheetId="2318">
        <row r="52">
          <cell r="B52" t="str">
            <v>Main Panel</v>
          </cell>
        </row>
      </sheetData>
      <sheetData sheetId="2319">
        <row r="52">
          <cell r="B52" t="str">
            <v>Main Panel</v>
          </cell>
        </row>
      </sheetData>
      <sheetData sheetId="2320">
        <row r="52">
          <cell r="B52" t="str">
            <v>Main Panel</v>
          </cell>
        </row>
      </sheetData>
      <sheetData sheetId="2321">
        <row r="52">
          <cell r="B52" t="str">
            <v>Main Panel</v>
          </cell>
        </row>
      </sheetData>
      <sheetData sheetId="2322">
        <row r="52">
          <cell r="B52" t="str">
            <v>Main Panel</v>
          </cell>
        </row>
      </sheetData>
      <sheetData sheetId="2323">
        <row r="52">
          <cell r="B52" t="str">
            <v>Main Panel</v>
          </cell>
        </row>
      </sheetData>
      <sheetData sheetId="2324">
        <row r="52">
          <cell r="B52" t="str">
            <v>Main Panel</v>
          </cell>
        </row>
      </sheetData>
      <sheetData sheetId="2325">
        <row r="52">
          <cell r="B52" t="str">
            <v>Main Panel</v>
          </cell>
        </row>
      </sheetData>
      <sheetData sheetId="2326">
        <row r="52">
          <cell r="B52" t="str">
            <v>Main Panel</v>
          </cell>
        </row>
      </sheetData>
      <sheetData sheetId="2327">
        <row r="52">
          <cell r="B52" t="str">
            <v>Main Panel</v>
          </cell>
        </row>
      </sheetData>
      <sheetData sheetId="2328">
        <row r="52">
          <cell r="B52" t="str">
            <v>Main Panel</v>
          </cell>
        </row>
      </sheetData>
      <sheetData sheetId="2329">
        <row r="52">
          <cell r="B52" t="str">
            <v>Main Panel</v>
          </cell>
        </row>
      </sheetData>
      <sheetData sheetId="2330">
        <row r="52">
          <cell r="B52" t="str">
            <v>Main Panel</v>
          </cell>
        </row>
      </sheetData>
      <sheetData sheetId="2331">
        <row r="52">
          <cell r="B52" t="str">
            <v>Main Panel</v>
          </cell>
        </row>
      </sheetData>
      <sheetData sheetId="2332">
        <row r="52">
          <cell r="B52" t="str">
            <v>Main Panel</v>
          </cell>
        </row>
      </sheetData>
      <sheetData sheetId="2333">
        <row r="52">
          <cell r="B52" t="str">
            <v>Main Panel</v>
          </cell>
        </row>
      </sheetData>
      <sheetData sheetId="2334">
        <row r="52">
          <cell r="B52" t="str">
            <v>Main Panel</v>
          </cell>
        </row>
      </sheetData>
      <sheetData sheetId="2335">
        <row r="52">
          <cell r="B52" t="str">
            <v>Main Panel</v>
          </cell>
        </row>
      </sheetData>
      <sheetData sheetId="2336">
        <row r="52">
          <cell r="B52" t="str">
            <v>Main Panel</v>
          </cell>
        </row>
      </sheetData>
      <sheetData sheetId="2337">
        <row r="52">
          <cell r="B52" t="str">
            <v>Main Panel</v>
          </cell>
        </row>
      </sheetData>
      <sheetData sheetId="2338">
        <row r="52">
          <cell r="B52" t="str">
            <v>Main Panel</v>
          </cell>
        </row>
      </sheetData>
      <sheetData sheetId="2339">
        <row r="52">
          <cell r="B52" t="str">
            <v>Main Panel</v>
          </cell>
        </row>
      </sheetData>
      <sheetData sheetId="2340">
        <row r="52">
          <cell r="B52" t="str">
            <v>Main Panel</v>
          </cell>
        </row>
      </sheetData>
      <sheetData sheetId="2341">
        <row r="52">
          <cell r="B52" t="str">
            <v>Main Panel</v>
          </cell>
        </row>
      </sheetData>
      <sheetData sheetId="2342">
        <row r="52">
          <cell r="B52" t="str">
            <v>Main Panel</v>
          </cell>
        </row>
      </sheetData>
      <sheetData sheetId="2343">
        <row r="52">
          <cell r="B52" t="str">
            <v>Main Panel</v>
          </cell>
        </row>
      </sheetData>
      <sheetData sheetId="2344">
        <row r="52">
          <cell r="B52" t="str">
            <v>Main Panel</v>
          </cell>
        </row>
      </sheetData>
      <sheetData sheetId="2345">
        <row r="52">
          <cell r="B52" t="str">
            <v>Main Panel</v>
          </cell>
        </row>
      </sheetData>
      <sheetData sheetId="2346">
        <row r="52">
          <cell r="B52" t="str">
            <v>Main Panel</v>
          </cell>
        </row>
      </sheetData>
      <sheetData sheetId="2347">
        <row r="52">
          <cell r="B52" t="str">
            <v>Main Panel</v>
          </cell>
        </row>
      </sheetData>
      <sheetData sheetId="2348">
        <row r="52">
          <cell r="B52" t="str">
            <v>Main Panel</v>
          </cell>
        </row>
      </sheetData>
      <sheetData sheetId="2349">
        <row r="52">
          <cell r="B52" t="str">
            <v>Main Panel</v>
          </cell>
        </row>
      </sheetData>
      <sheetData sheetId="2350">
        <row r="52">
          <cell r="B52" t="str">
            <v>Main Panel</v>
          </cell>
        </row>
      </sheetData>
      <sheetData sheetId="2351">
        <row r="52">
          <cell r="B52" t="str">
            <v>Main Panel</v>
          </cell>
        </row>
      </sheetData>
      <sheetData sheetId="2352">
        <row r="52">
          <cell r="B52" t="str">
            <v>Main Panel</v>
          </cell>
        </row>
      </sheetData>
      <sheetData sheetId="2353">
        <row r="52">
          <cell r="B52" t="str">
            <v>Main Panel</v>
          </cell>
        </row>
      </sheetData>
      <sheetData sheetId="2354">
        <row r="52">
          <cell r="B52" t="str">
            <v>Main Panel</v>
          </cell>
        </row>
      </sheetData>
      <sheetData sheetId="2355">
        <row r="52">
          <cell r="B52" t="str">
            <v>Main Panel</v>
          </cell>
        </row>
      </sheetData>
      <sheetData sheetId="2356">
        <row r="52">
          <cell r="B52" t="str">
            <v>Main Panel</v>
          </cell>
        </row>
      </sheetData>
      <sheetData sheetId="2357">
        <row r="52">
          <cell r="B52" t="str">
            <v>Main Panel</v>
          </cell>
        </row>
      </sheetData>
      <sheetData sheetId="2358">
        <row r="52">
          <cell r="B52" t="str">
            <v>Main Panel</v>
          </cell>
        </row>
      </sheetData>
      <sheetData sheetId="2359">
        <row r="52">
          <cell r="B52" t="str">
            <v>Main Panel</v>
          </cell>
        </row>
      </sheetData>
      <sheetData sheetId="2360">
        <row r="52">
          <cell r="B52" t="str">
            <v>Main Panel</v>
          </cell>
        </row>
      </sheetData>
      <sheetData sheetId="2361">
        <row r="52">
          <cell r="B52" t="str">
            <v>Main Panel</v>
          </cell>
        </row>
      </sheetData>
      <sheetData sheetId="2362">
        <row r="52">
          <cell r="B52" t="str">
            <v>Main Panel</v>
          </cell>
        </row>
      </sheetData>
      <sheetData sheetId="2363">
        <row r="52">
          <cell r="B52" t="str">
            <v>Main Panel</v>
          </cell>
        </row>
      </sheetData>
      <sheetData sheetId="2364">
        <row r="52">
          <cell r="B52" t="str">
            <v>Main Panel</v>
          </cell>
        </row>
      </sheetData>
      <sheetData sheetId="2365">
        <row r="52">
          <cell r="B52" t="str">
            <v>Main Panel</v>
          </cell>
        </row>
      </sheetData>
      <sheetData sheetId="2366">
        <row r="52">
          <cell r="B52" t="str">
            <v>Main Panel</v>
          </cell>
        </row>
      </sheetData>
      <sheetData sheetId="2367">
        <row r="52">
          <cell r="B52" t="str">
            <v>Main Panel</v>
          </cell>
        </row>
      </sheetData>
      <sheetData sheetId="2368">
        <row r="52">
          <cell r="B52" t="str">
            <v>Main Panel</v>
          </cell>
        </row>
      </sheetData>
      <sheetData sheetId="2369">
        <row r="52">
          <cell r="B52" t="str">
            <v>Main Panel</v>
          </cell>
        </row>
      </sheetData>
      <sheetData sheetId="2370">
        <row r="52">
          <cell r="B52" t="str">
            <v>Main Panel</v>
          </cell>
        </row>
      </sheetData>
      <sheetData sheetId="2371">
        <row r="52">
          <cell r="B52" t="str">
            <v>Main Panel</v>
          </cell>
        </row>
      </sheetData>
      <sheetData sheetId="2372">
        <row r="52">
          <cell r="B52" t="str">
            <v>Main Panel</v>
          </cell>
        </row>
      </sheetData>
      <sheetData sheetId="2373">
        <row r="52">
          <cell r="B52" t="str">
            <v>Main Panel</v>
          </cell>
        </row>
      </sheetData>
      <sheetData sheetId="2374">
        <row r="52">
          <cell r="B52" t="str">
            <v>Main Panel</v>
          </cell>
        </row>
      </sheetData>
      <sheetData sheetId="2375">
        <row r="52">
          <cell r="B52" t="str">
            <v>Main Panel</v>
          </cell>
        </row>
      </sheetData>
      <sheetData sheetId="2376">
        <row r="52">
          <cell r="B52" t="str">
            <v>Main Panel</v>
          </cell>
        </row>
      </sheetData>
      <sheetData sheetId="2377">
        <row r="52">
          <cell r="B52" t="str">
            <v>Main Panel</v>
          </cell>
        </row>
      </sheetData>
      <sheetData sheetId="2378">
        <row r="52">
          <cell r="B52" t="str">
            <v>Main Panel</v>
          </cell>
        </row>
      </sheetData>
      <sheetData sheetId="2379">
        <row r="52">
          <cell r="B52" t="str">
            <v>Main Panel</v>
          </cell>
        </row>
      </sheetData>
      <sheetData sheetId="2380">
        <row r="52">
          <cell r="B52" t="str">
            <v>Main Panel</v>
          </cell>
        </row>
      </sheetData>
      <sheetData sheetId="2381">
        <row r="52">
          <cell r="B52" t="str">
            <v>Main Panel</v>
          </cell>
        </row>
      </sheetData>
      <sheetData sheetId="2382">
        <row r="52">
          <cell r="B52" t="str">
            <v>Main Panel</v>
          </cell>
        </row>
      </sheetData>
      <sheetData sheetId="2383">
        <row r="52">
          <cell r="B52" t="str">
            <v>Main Panel</v>
          </cell>
        </row>
      </sheetData>
      <sheetData sheetId="2384">
        <row r="52">
          <cell r="B52" t="str">
            <v>Main Panel</v>
          </cell>
        </row>
      </sheetData>
      <sheetData sheetId="2385">
        <row r="52">
          <cell r="B52" t="str">
            <v>Main Panel</v>
          </cell>
        </row>
      </sheetData>
      <sheetData sheetId="2386">
        <row r="52">
          <cell r="B52" t="str">
            <v>Main Panel</v>
          </cell>
        </row>
      </sheetData>
      <sheetData sheetId="2387">
        <row r="52">
          <cell r="B52" t="str">
            <v>Main Panel</v>
          </cell>
        </row>
      </sheetData>
      <sheetData sheetId="2388">
        <row r="52">
          <cell r="B52" t="str">
            <v>Main Panel</v>
          </cell>
        </row>
      </sheetData>
      <sheetData sheetId="2389">
        <row r="52">
          <cell r="B52" t="str">
            <v>Main Panel</v>
          </cell>
        </row>
      </sheetData>
      <sheetData sheetId="2390">
        <row r="52">
          <cell r="B52" t="str">
            <v>Main Panel</v>
          </cell>
        </row>
      </sheetData>
      <sheetData sheetId="2391">
        <row r="52">
          <cell r="B52" t="str">
            <v>Main Panel</v>
          </cell>
        </row>
      </sheetData>
      <sheetData sheetId="2392">
        <row r="52">
          <cell r="B52" t="str">
            <v>Main Panel</v>
          </cell>
        </row>
      </sheetData>
      <sheetData sheetId="2393">
        <row r="52">
          <cell r="B52" t="str">
            <v>Main Panel</v>
          </cell>
        </row>
      </sheetData>
      <sheetData sheetId="2394">
        <row r="52">
          <cell r="B52" t="str">
            <v>Main Panel</v>
          </cell>
        </row>
      </sheetData>
      <sheetData sheetId="2395">
        <row r="52">
          <cell r="B52" t="str">
            <v>Main Panel</v>
          </cell>
        </row>
      </sheetData>
      <sheetData sheetId="2396">
        <row r="52">
          <cell r="B52" t="str">
            <v>Main Panel</v>
          </cell>
        </row>
      </sheetData>
      <sheetData sheetId="2397">
        <row r="52">
          <cell r="B52" t="str">
            <v>Main Panel</v>
          </cell>
        </row>
      </sheetData>
      <sheetData sheetId="2398">
        <row r="52">
          <cell r="B52" t="str">
            <v>Main Panel</v>
          </cell>
        </row>
      </sheetData>
      <sheetData sheetId="2399">
        <row r="52">
          <cell r="B52" t="str">
            <v>Main Panel</v>
          </cell>
        </row>
      </sheetData>
      <sheetData sheetId="2400">
        <row r="52">
          <cell r="B52" t="str">
            <v>Main Panel</v>
          </cell>
        </row>
      </sheetData>
      <sheetData sheetId="2401">
        <row r="52">
          <cell r="B52" t="str">
            <v>Main Panel</v>
          </cell>
        </row>
      </sheetData>
      <sheetData sheetId="2402">
        <row r="52">
          <cell r="B52" t="str">
            <v>Main Panel</v>
          </cell>
        </row>
      </sheetData>
      <sheetData sheetId="2403">
        <row r="52">
          <cell r="B52" t="str">
            <v>Main Panel</v>
          </cell>
        </row>
      </sheetData>
      <sheetData sheetId="2404">
        <row r="52">
          <cell r="B52" t="str">
            <v>Main Panel</v>
          </cell>
        </row>
      </sheetData>
      <sheetData sheetId="2405">
        <row r="52">
          <cell r="B52" t="str">
            <v>Main Panel</v>
          </cell>
        </row>
      </sheetData>
      <sheetData sheetId="2406">
        <row r="52">
          <cell r="B52" t="str">
            <v>Main Panel</v>
          </cell>
        </row>
      </sheetData>
      <sheetData sheetId="2407">
        <row r="52">
          <cell r="B52" t="str">
            <v>Main Panel</v>
          </cell>
        </row>
      </sheetData>
      <sheetData sheetId="2408">
        <row r="52">
          <cell r="B52" t="str">
            <v>Main Panel</v>
          </cell>
        </row>
      </sheetData>
      <sheetData sheetId="2409">
        <row r="52">
          <cell r="B52" t="str">
            <v>Main Panel</v>
          </cell>
        </row>
      </sheetData>
      <sheetData sheetId="2410">
        <row r="52">
          <cell r="B52" t="str">
            <v>Main Panel</v>
          </cell>
        </row>
      </sheetData>
      <sheetData sheetId="2411">
        <row r="52">
          <cell r="B52" t="str">
            <v>Main Panel</v>
          </cell>
        </row>
      </sheetData>
      <sheetData sheetId="2412">
        <row r="52">
          <cell r="B52" t="str">
            <v>Main Panel</v>
          </cell>
        </row>
      </sheetData>
      <sheetData sheetId="2413">
        <row r="52">
          <cell r="B52" t="str">
            <v>Main Panel</v>
          </cell>
        </row>
      </sheetData>
      <sheetData sheetId="2414">
        <row r="52">
          <cell r="B52" t="str">
            <v>Main Panel</v>
          </cell>
        </row>
      </sheetData>
      <sheetData sheetId="2415">
        <row r="52">
          <cell r="B52" t="str">
            <v>Main Panel</v>
          </cell>
        </row>
      </sheetData>
      <sheetData sheetId="2416">
        <row r="52">
          <cell r="B52" t="str">
            <v>Main Panel</v>
          </cell>
        </row>
      </sheetData>
      <sheetData sheetId="2417">
        <row r="52">
          <cell r="B52" t="str">
            <v>Main Panel</v>
          </cell>
        </row>
      </sheetData>
      <sheetData sheetId="2418">
        <row r="52">
          <cell r="B52" t="str">
            <v>Main Panel</v>
          </cell>
        </row>
      </sheetData>
      <sheetData sheetId="2419">
        <row r="52">
          <cell r="B52" t="str">
            <v>Main Panel</v>
          </cell>
        </row>
      </sheetData>
      <sheetData sheetId="2420">
        <row r="52">
          <cell r="B52" t="str">
            <v>Main Panel</v>
          </cell>
        </row>
      </sheetData>
      <sheetData sheetId="2421">
        <row r="52">
          <cell r="B52" t="str">
            <v>Main Panel</v>
          </cell>
        </row>
      </sheetData>
      <sheetData sheetId="2422">
        <row r="52">
          <cell r="B52" t="str">
            <v>Main Panel</v>
          </cell>
        </row>
      </sheetData>
      <sheetData sheetId="2423">
        <row r="52">
          <cell r="B52" t="str">
            <v>Main Panel</v>
          </cell>
        </row>
      </sheetData>
      <sheetData sheetId="2424">
        <row r="52">
          <cell r="B52" t="str">
            <v>Main Panel</v>
          </cell>
        </row>
      </sheetData>
      <sheetData sheetId="2425">
        <row r="52">
          <cell r="B52" t="str">
            <v>Main Panel</v>
          </cell>
        </row>
      </sheetData>
      <sheetData sheetId="2426">
        <row r="52">
          <cell r="B52" t="str">
            <v>Main Panel</v>
          </cell>
        </row>
      </sheetData>
      <sheetData sheetId="2427">
        <row r="52">
          <cell r="B52" t="str">
            <v>Main Panel</v>
          </cell>
        </row>
      </sheetData>
      <sheetData sheetId="2428">
        <row r="52">
          <cell r="B52" t="str">
            <v>Main Panel</v>
          </cell>
        </row>
      </sheetData>
      <sheetData sheetId="2429">
        <row r="52">
          <cell r="B52" t="str">
            <v>Main Panel</v>
          </cell>
        </row>
      </sheetData>
      <sheetData sheetId="2430">
        <row r="52">
          <cell r="B52" t="str">
            <v>Main Panel</v>
          </cell>
        </row>
      </sheetData>
      <sheetData sheetId="2431">
        <row r="52">
          <cell r="B52" t="str">
            <v>Main Panel</v>
          </cell>
        </row>
      </sheetData>
      <sheetData sheetId="2432">
        <row r="52">
          <cell r="B52" t="str">
            <v>Main Panel</v>
          </cell>
        </row>
      </sheetData>
      <sheetData sheetId="2433">
        <row r="52">
          <cell r="B52" t="str">
            <v>Main Panel</v>
          </cell>
        </row>
      </sheetData>
      <sheetData sheetId="2434">
        <row r="52">
          <cell r="B52" t="str">
            <v>Main Panel</v>
          </cell>
        </row>
      </sheetData>
      <sheetData sheetId="2435">
        <row r="52">
          <cell r="B52" t="str">
            <v>Main Panel</v>
          </cell>
        </row>
      </sheetData>
      <sheetData sheetId="2436">
        <row r="52">
          <cell r="B52" t="str">
            <v>Main Panel</v>
          </cell>
        </row>
      </sheetData>
      <sheetData sheetId="2437">
        <row r="52">
          <cell r="B52" t="str">
            <v>Main Panel</v>
          </cell>
        </row>
      </sheetData>
      <sheetData sheetId="2438">
        <row r="52">
          <cell r="B52" t="str">
            <v>Main Panel</v>
          </cell>
        </row>
      </sheetData>
      <sheetData sheetId="2439">
        <row r="52">
          <cell r="B52" t="str">
            <v>Main Panel</v>
          </cell>
        </row>
      </sheetData>
      <sheetData sheetId="2440">
        <row r="52">
          <cell r="B52" t="str">
            <v>Main Panel</v>
          </cell>
        </row>
      </sheetData>
      <sheetData sheetId="2441">
        <row r="52">
          <cell r="B52" t="str">
            <v>Main Panel</v>
          </cell>
        </row>
      </sheetData>
      <sheetData sheetId="2442">
        <row r="52">
          <cell r="B52" t="str">
            <v>Main Panel</v>
          </cell>
        </row>
      </sheetData>
      <sheetData sheetId="2443">
        <row r="52">
          <cell r="B52" t="str">
            <v>Main Panel</v>
          </cell>
        </row>
      </sheetData>
      <sheetData sheetId="2444">
        <row r="52">
          <cell r="B52" t="str">
            <v>Main Panel</v>
          </cell>
        </row>
      </sheetData>
      <sheetData sheetId="2445">
        <row r="52">
          <cell r="B52" t="str">
            <v>Main Panel</v>
          </cell>
        </row>
      </sheetData>
      <sheetData sheetId="2446">
        <row r="52">
          <cell r="B52" t="str">
            <v>Main Panel</v>
          </cell>
        </row>
      </sheetData>
      <sheetData sheetId="2447">
        <row r="52">
          <cell r="B52" t="str">
            <v>Main Panel</v>
          </cell>
        </row>
      </sheetData>
      <sheetData sheetId="2448">
        <row r="52">
          <cell r="B52" t="str">
            <v>Main Panel</v>
          </cell>
        </row>
      </sheetData>
      <sheetData sheetId="2449">
        <row r="52">
          <cell r="B52" t="str">
            <v>Main Panel</v>
          </cell>
        </row>
      </sheetData>
      <sheetData sheetId="2450">
        <row r="52">
          <cell r="B52" t="str">
            <v>Main Panel</v>
          </cell>
        </row>
      </sheetData>
      <sheetData sheetId="2451">
        <row r="52">
          <cell r="B52" t="str">
            <v>Main Panel</v>
          </cell>
        </row>
      </sheetData>
      <sheetData sheetId="2452">
        <row r="52">
          <cell r="B52" t="str">
            <v>Main Panel</v>
          </cell>
        </row>
      </sheetData>
      <sheetData sheetId="2453">
        <row r="52">
          <cell r="B52" t="str">
            <v>Main Panel</v>
          </cell>
        </row>
      </sheetData>
      <sheetData sheetId="2454">
        <row r="52">
          <cell r="B52" t="str">
            <v>Main Panel</v>
          </cell>
        </row>
      </sheetData>
      <sheetData sheetId="2455">
        <row r="52">
          <cell r="B52" t="str">
            <v>Main Panel</v>
          </cell>
        </row>
      </sheetData>
      <sheetData sheetId="2456">
        <row r="52">
          <cell r="B52" t="str">
            <v>Main Panel</v>
          </cell>
        </row>
      </sheetData>
      <sheetData sheetId="2457">
        <row r="52">
          <cell r="B52" t="str">
            <v>Main Panel</v>
          </cell>
        </row>
      </sheetData>
      <sheetData sheetId="2458">
        <row r="52">
          <cell r="B52" t="str">
            <v>Main Panel</v>
          </cell>
        </row>
      </sheetData>
      <sheetData sheetId="2459">
        <row r="52">
          <cell r="B52" t="str">
            <v>Main Panel</v>
          </cell>
        </row>
      </sheetData>
      <sheetData sheetId="2460">
        <row r="52">
          <cell r="B52" t="str">
            <v>Main Panel</v>
          </cell>
        </row>
      </sheetData>
      <sheetData sheetId="2461">
        <row r="52">
          <cell r="B52" t="str">
            <v>Main Panel</v>
          </cell>
        </row>
      </sheetData>
      <sheetData sheetId="2462">
        <row r="52">
          <cell r="B52" t="str">
            <v>Main Panel</v>
          </cell>
        </row>
      </sheetData>
      <sheetData sheetId="2463">
        <row r="52">
          <cell r="B52" t="str">
            <v>Main Panel</v>
          </cell>
        </row>
      </sheetData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>
        <row r="52">
          <cell r="B52" t="str">
            <v>Main Panel</v>
          </cell>
        </row>
      </sheetData>
      <sheetData sheetId="2504">
        <row r="52">
          <cell r="B52" t="str">
            <v>Main Panel</v>
          </cell>
        </row>
      </sheetData>
      <sheetData sheetId="2505">
        <row r="52">
          <cell r="B52" t="str">
            <v>Main Panel</v>
          </cell>
        </row>
      </sheetData>
      <sheetData sheetId="2506">
        <row r="52">
          <cell r="B52" t="str">
            <v>Main Panel</v>
          </cell>
        </row>
      </sheetData>
      <sheetData sheetId="2507">
        <row r="52">
          <cell r="B52" t="str">
            <v>Main Panel</v>
          </cell>
        </row>
      </sheetData>
      <sheetData sheetId="2508">
        <row r="52">
          <cell r="B52" t="str">
            <v>Main Panel</v>
          </cell>
        </row>
      </sheetData>
      <sheetData sheetId="2509">
        <row r="52">
          <cell r="B52" t="str">
            <v>Main Panel</v>
          </cell>
        </row>
      </sheetData>
      <sheetData sheetId="2510">
        <row r="52">
          <cell r="B52" t="str">
            <v>Main Panel</v>
          </cell>
        </row>
      </sheetData>
      <sheetData sheetId="2511">
        <row r="52">
          <cell r="B52" t="str">
            <v>Main Panel</v>
          </cell>
        </row>
      </sheetData>
      <sheetData sheetId="2512">
        <row r="52">
          <cell r="B52" t="str">
            <v>Main Panel</v>
          </cell>
        </row>
      </sheetData>
      <sheetData sheetId="2513">
        <row r="52">
          <cell r="B52" t="str">
            <v>Main Panel</v>
          </cell>
        </row>
      </sheetData>
      <sheetData sheetId="2514">
        <row r="52">
          <cell r="B52" t="str">
            <v>Main Panel</v>
          </cell>
        </row>
      </sheetData>
      <sheetData sheetId="2515">
        <row r="52">
          <cell r="B52" t="str">
            <v>Main Panel</v>
          </cell>
        </row>
      </sheetData>
      <sheetData sheetId="2516">
        <row r="52">
          <cell r="B52" t="str">
            <v>Main Panel</v>
          </cell>
        </row>
      </sheetData>
      <sheetData sheetId="2517">
        <row r="52">
          <cell r="B52" t="str">
            <v>Main Panel</v>
          </cell>
        </row>
      </sheetData>
      <sheetData sheetId="2518">
        <row r="52">
          <cell r="B52" t="str">
            <v>Main Panel</v>
          </cell>
        </row>
      </sheetData>
      <sheetData sheetId="2519">
        <row r="52">
          <cell r="B52" t="str">
            <v>Main Panel</v>
          </cell>
        </row>
      </sheetData>
      <sheetData sheetId="2520">
        <row r="52">
          <cell r="B52" t="str">
            <v>Main Panel</v>
          </cell>
        </row>
      </sheetData>
      <sheetData sheetId="2521">
        <row r="52">
          <cell r="B52" t="str">
            <v>Main Panel</v>
          </cell>
        </row>
      </sheetData>
      <sheetData sheetId="2522">
        <row r="52">
          <cell r="B52" t="str">
            <v>Main Panel</v>
          </cell>
        </row>
      </sheetData>
      <sheetData sheetId="2523">
        <row r="52">
          <cell r="B52" t="str">
            <v>Main Panel</v>
          </cell>
        </row>
      </sheetData>
      <sheetData sheetId="2524">
        <row r="52">
          <cell r="B52" t="str">
            <v>Main Panel</v>
          </cell>
        </row>
      </sheetData>
      <sheetData sheetId="2525">
        <row r="52">
          <cell r="B52" t="str">
            <v>Main Panel</v>
          </cell>
        </row>
      </sheetData>
      <sheetData sheetId="2526">
        <row r="52">
          <cell r="B52" t="str">
            <v>Main Panel</v>
          </cell>
        </row>
      </sheetData>
      <sheetData sheetId="2527">
        <row r="52">
          <cell r="B52" t="str">
            <v>Main Panel</v>
          </cell>
        </row>
      </sheetData>
      <sheetData sheetId="2528">
        <row r="52">
          <cell r="B52" t="str">
            <v>Main Panel</v>
          </cell>
        </row>
      </sheetData>
      <sheetData sheetId="2529">
        <row r="52">
          <cell r="B52" t="str">
            <v>Main Panel</v>
          </cell>
        </row>
      </sheetData>
      <sheetData sheetId="2530">
        <row r="52">
          <cell r="B52" t="str">
            <v>Main Panel</v>
          </cell>
        </row>
      </sheetData>
      <sheetData sheetId="2531">
        <row r="52">
          <cell r="B52" t="str">
            <v>Main Panel</v>
          </cell>
        </row>
      </sheetData>
      <sheetData sheetId="2532">
        <row r="52">
          <cell r="B52" t="str">
            <v>Main Panel</v>
          </cell>
        </row>
      </sheetData>
      <sheetData sheetId="2533">
        <row r="52">
          <cell r="B52" t="str">
            <v>Main Panel</v>
          </cell>
        </row>
      </sheetData>
      <sheetData sheetId="2534">
        <row r="52">
          <cell r="B52" t="str">
            <v>Main Panel</v>
          </cell>
        </row>
      </sheetData>
      <sheetData sheetId="2535">
        <row r="52">
          <cell r="B52" t="str">
            <v>Main Panel</v>
          </cell>
        </row>
      </sheetData>
      <sheetData sheetId="2536">
        <row r="52">
          <cell r="B52" t="str">
            <v>Main Panel</v>
          </cell>
        </row>
      </sheetData>
      <sheetData sheetId="2537">
        <row r="52">
          <cell r="B52" t="str">
            <v>Main Panel</v>
          </cell>
        </row>
      </sheetData>
      <sheetData sheetId="2538">
        <row r="52">
          <cell r="B52" t="str">
            <v>Main Panel</v>
          </cell>
        </row>
      </sheetData>
      <sheetData sheetId="2539">
        <row r="52">
          <cell r="B52" t="str">
            <v>Main Panel</v>
          </cell>
        </row>
      </sheetData>
      <sheetData sheetId="2540">
        <row r="52">
          <cell r="B52" t="str">
            <v>Main Panel</v>
          </cell>
        </row>
      </sheetData>
      <sheetData sheetId="2541">
        <row r="52">
          <cell r="B52" t="str">
            <v>Main Panel</v>
          </cell>
        </row>
      </sheetData>
      <sheetData sheetId="2542">
        <row r="52">
          <cell r="B52" t="str">
            <v>Main Panel</v>
          </cell>
        </row>
      </sheetData>
      <sheetData sheetId="2543">
        <row r="52">
          <cell r="B52" t="str">
            <v>Main Panel</v>
          </cell>
        </row>
      </sheetData>
      <sheetData sheetId="2544">
        <row r="52">
          <cell r="B52" t="str">
            <v>Main Panel</v>
          </cell>
        </row>
      </sheetData>
      <sheetData sheetId="2545">
        <row r="52">
          <cell r="B52" t="str">
            <v>Main Panel</v>
          </cell>
        </row>
      </sheetData>
      <sheetData sheetId="2546">
        <row r="52">
          <cell r="B52" t="str">
            <v>Main Panel</v>
          </cell>
        </row>
      </sheetData>
      <sheetData sheetId="2547">
        <row r="52">
          <cell r="B52" t="str">
            <v>Main Panel</v>
          </cell>
        </row>
      </sheetData>
      <sheetData sheetId="2548">
        <row r="52">
          <cell r="B52" t="str">
            <v>Main Panel</v>
          </cell>
        </row>
      </sheetData>
      <sheetData sheetId="2549">
        <row r="52">
          <cell r="B52" t="str">
            <v>Main Panel</v>
          </cell>
        </row>
      </sheetData>
      <sheetData sheetId="2550">
        <row r="52">
          <cell r="B52" t="str">
            <v>Main Panel</v>
          </cell>
        </row>
      </sheetData>
      <sheetData sheetId="2551">
        <row r="52">
          <cell r="B52" t="str">
            <v>Main Panel</v>
          </cell>
        </row>
      </sheetData>
      <sheetData sheetId="2552">
        <row r="52">
          <cell r="B52" t="str">
            <v>Main Panel</v>
          </cell>
        </row>
      </sheetData>
      <sheetData sheetId="2553">
        <row r="52">
          <cell r="B52" t="str">
            <v>Main Panel</v>
          </cell>
        </row>
      </sheetData>
      <sheetData sheetId="2554">
        <row r="52">
          <cell r="B52" t="str">
            <v>Main Panel</v>
          </cell>
        </row>
      </sheetData>
      <sheetData sheetId="2555">
        <row r="52">
          <cell r="B52" t="str">
            <v>Main Panel</v>
          </cell>
        </row>
      </sheetData>
      <sheetData sheetId="2556">
        <row r="52">
          <cell r="B52" t="str">
            <v>Main Panel</v>
          </cell>
        </row>
      </sheetData>
      <sheetData sheetId="2557">
        <row r="52">
          <cell r="B52" t="str">
            <v>Main Panel</v>
          </cell>
        </row>
      </sheetData>
      <sheetData sheetId="2558">
        <row r="52">
          <cell r="B52" t="str">
            <v>Main Panel</v>
          </cell>
        </row>
      </sheetData>
      <sheetData sheetId="2559">
        <row r="52">
          <cell r="B52" t="str">
            <v>Main Panel</v>
          </cell>
        </row>
      </sheetData>
      <sheetData sheetId="2560">
        <row r="52">
          <cell r="B52" t="str">
            <v>Main Panel</v>
          </cell>
        </row>
      </sheetData>
      <sheetData sheetId="2561">
        <row r="52">
          <cell r="B52" t="str">
            <v>Main Panel</v>
          </cell>
        </row>
      </sheetData>
      <sheetData sheetId="2562">
        <row r="52">
          <cell r="B52" t="str">
            <v>Main Panel</v>
          </cell>
        </row>
      </sheetData>
      <sheetData sheetId="2563">
        <row r="52">
          <cell r="B52" t="str">
            <v>Main Panel</v>
          </cell>
        </row>
      </sheetData>
      <sheetData sheetId="2564">
        <row r="52">
          <cell r="B52" t="str">
            <v>Main Panel</v>
          </cell>
        </row>
      </sheetData>
      <sheetData sheetId="2565">
        <row r="52">
          <cell r="B52" t="str">
            <v>Main Panel</v>
          </cell>
        </row>
      </sheetData>
      <sheetData sheetId="2566">
        <row r="52">
          <cell r="B52" t="str">
            <v>Main Panel</v>
          </cell>
        </row>
      </sheetData>
      <sheetData sheetId="2567">
        <row r="52">
          <cell r="B52" t="str">
            <v>Main Panel</v>
          </cell>
        </row>
      </sheetData>
      <sheetData sheetId="2568">
        <row r="52">
          <cell r="B52" t="str">
            <v>Main Panel</v>
          </cell>
        </row>
      </sheetData>
      <sheetData sheetId="2569">
        <row r="52">
          <cell r="B52" t="str">
            <v>Main Panel</v>
          </cell>
        </row>
      </sheetData>
      <sheetData sheetId="2570">
        <row r="52">
          <cell r="B52" t="str">
            <v>Main Panel</v>
          </cell>
        </row>
      </sheetData>
      <sheetData sheetId="2571">
        <row r="52">
          <cell r="B52" t="str">
            <v>Main Panel</v>
          </cell>
        </row>
      </sheetData>
      <sheetData sheetId="2572">
        <row r="52">
          <cell r="B52" t="str">
            <v>Main Panel</v>
          </cell>
        </row>
      </sheetData>
      <sheetData sheetId="2573">
        <row r="52">
          <cell r="B52" t="str">
            <v>Main Panel</v>
          </cell>
        </row>
      </sheetData>
      <sheetData sheetId="2574">
        <row r="52">
          <cell r="B52" t="str">
            <v>Main Panel</v>
          </cell>
        </row>
      </sheetData>
      <sheetData sheetId="2575">
        <row r="52">
          <cell r="B52" t="str">
            <v>Main Panel</v>
          </cell>
        </row>
      </sheetData>
      <sheetData sheetId="2576">
        <row r="52">
          <cell r="B52" t="str">
            <v>Main Panel</v>
          </cell>
        </row>
      </sheetData>
      <sheetData sheetId="2577">
        <row r="52">
          <cell r="B52" t="str">
            <v>Main Panel</v>
          </cell>
        </row>
      </sheetData>
      <sheetData sheetId="2578">
        <row r="52">
          <cell r="B52" t="str">
            <v>Main Panel</v>
          </cell>
        </row>
      </sheetData>
      <sheetData sheetId="2579">
        <row r="52">
          <cell r="B52" t="str">
            <v>Main Panel</v>
          </cell>
        </row>
      </sheetData>
      <sheetData sheetId="2580">
        <row r="52">
          <cell r="B52" t="str">
            <v>Main Panel</v>
          </cell>
        </row>
      </sheetData>
      <sheetData sheetId="2581">
        <row r="52">
          <cell r="B52" t="str">
            <v>Main Panel</v>
          </cell>
        </row>
      </sheetData>
      <sheetData sheetId="2582">
        <row r="52">
          <cell r="B52" t="str">
            <v>Main Panel</v>
          </cell>
        </row>
      </sheetData>
      <sheetData sheetId="2583">
        <row r="52">
          <cell r="B52" t="str">
            <v>Main Panel</v>
          </cell>
        </row>
      </sheetData>
      <sheetData sheetId="2584">
        <row r="52">
          <cell r="B52" t="str">
            <v>Main Panel</v>
          </cell>
        </row>
      </sheetData>
      <sheetData sheetId="2585">
        <row r="52">
          <cell r="B52" t="str">
            <v>Main Panel</v>
          </cell>
        </row>
      </sheetData>
      <sheetData sheetId="2586">
        <row r="52">
          <cell r="B52" t="str">
            <v>Main Panel</v>
          </cell>
        </row>
      </sheetData>
      <sheetData sheetId="2587">
        <row r="52">
          <cell r="B52" t="str">
            <v>Main Panel</v>
          </cell>
        </row>
      </sheetData>
      <sheetData sheetId="2588">
        <row r="52">
          <cell r="B52" t="str">
            <v>Main Panel</v>
          </cell>
        </row>
      </sheetData>
      <sheetData sheetId="2589">
        <row r="52">
          <cell r="B52" t="str">
            <v>Main Panel</v>
          </cell>
        </row>
      </sheetData>
      <sheetData sheetId="2590">
        <row r="52">
          <cell r="B52" t="str">
            <v>Main Panel</v>
          </cell>
        </row>
      </sheetData>
      <sheetData sheetId="2591">
        <row r="52">
          <cell r="B52" t="str">
            <v>Main Panel</v>
          </cell>
        </row>
      </sheetData>
      <sheetData sheetId="2592">
        <row r="52">
          <cell r="B52" t="str">
            <v>Main Panel</v>
          </cell>
        </row>
      </sheetData>
      <sheetData sheetId="2593">
        <row r="52">
          <cell r="B52" t="str">
            <v>Main Panel</v>
          </cell>
        </row>
      </sheetData>
      <sheetData sheetId="2594">
        <row r="52">
          <cell r="B52" t="str">
            <v>Main Panel</v>
          </cell>
        </row>
      </sheetData>
      <sheetData sheetId="2595">
        <row r="52">
          <cell r="B52" t="str">
            <v>Main Panel</v>
          </cell>
        </row>
      </sheetData>
      <sheetData sheetId="2596">
        <row r="52">
          <cell r="B52" t="str">
            <v>Main Panel</v>
          </cell>
        </row>
      </sheetData>
      <sheetData sheetId="2597">
        <row r="52">
          <cell r="B52" t="str">
            <v>Main Panel</v>
          </cell>
        </row>
      </sheetData>
      <sheetData sheetId="2598">
        <row r="52">
          <cell r="B52" t="str">
            <v>Main Panel</v>
          </cell>
        </row>
      </sheetData>
      <sheetData sheetId="2599">
        <row r="52">
          <cell r="B52" t="str">
            <v>Main Panel</v>
          </cell>
        </row>
      </sheetData>
      <sheetData sheetId="2600">
        <row r="52">
          <cell r="B52" t="str">
            <v>Main Panel</v>
          </cell>
        </row>
      </sheetData>
      <sheetData sheetId="2601">
        <row r="52">
          <cell r="B52" t="str">
            <v>Main Panel</v>
          </cell>
        </row>
      </sheetData>
      <sheetData sheetId="2602">
        <row r="52">
          <cell r="B52" t="str">
            <v>Main Panel</v>
          </cell>
        </row>
      </sheetData>
      <sheetData sheetId="2603">
        <row r="52">
          <cell r="B52" t="str">
            <v>Main Panel</v>
          </cell>
        </row>
      </sheetData>
      <sheetData sheetId="2604">
        <row r="52">
          <cell r="B52" t="str">
            <v>Main Panel</v>
          </cell>
        </row>
      </sheetData>
      <sheetData sheetId="2605">
        <row r="52">
          <cell r="B52" t="str">
            <v>Main Panel</v>
          </cell>
        </row>
      </sheetData>
      <sheetData sheetId="2606">
        <row r="52">
          <cell r="B52" t="str">
            <v>Main Panel</v>
          </cell>
        </row>
      </sheetData>
      <sheetData sheetId="2607">
        <row r="52">
          <cell r="B52" t="str">
            <v>Main Panel</v>
          </cell>
        </row>
      </sheetData>
      <sheetData sheetId="2608">
        <row r="52">
          <cell r="B52" t="str">
            <v>Main Panel</v>
          </cell>
        </row>
      </sheetData>
      <sheetData sheetId="2609">
        <row r="52">
          <cell r="B52" t="str">
            <v>Main Panel</v>
          </cell>
        </row>
      </sheetData>
      <sheetData sheetId="2610">
        <row r="52">
          <cell r="B52" t="str">
            <v>Main Panel</v>
          </cell>
        </row>
      </sheetData>
      <sheetData sheetId="2611">
        <row r="52">
          <cell r="B52" t="str">
            <v>Main Panel</v>
          </cell>
        </row>
      </sheetData>
      <sheetData sheetId="2612">
        <row r="52">
          <cell r="B52" t="str">
            <v>Main Panel</v>
          </cell>
        </row>
      </sheetData>
      <sheetData sheetId="2613">
        <row r="52">
          <cell r="B52" t="str">
            <v>Main Panel</v>
          </cell>
        </row>
      </sheetData>
      <sheetData sheetId="2614">
        <row r="52">
          <cell r="B52" t="str">
            <v>Main Panel</v>
          </cell>
        </row>
      </sheetData>
      <sheetData sheetId="2615">
        <row r="52">
          <cell r="B52" t="str">
            <v>Main Panel</v>
          </cell>
        </row>
      </sheetData>
      <sheetData sheetId="2616">
        <row r="52">
          <cell r="B52" t="str">
            <v>Main Panel</v>
          </cell>
        </row>
      </sheetData>
      <sheetData sheetId="2617">
        <row r="52">
          <cell r="B52" t="str">
            <v>Main Panel</v>
          </cell>
        </row>
      </sheetData>
      <sheetData sheetId="2618">
        <row r="52">
          <cell r="B52" t="str">
            <v>Main Panel</v>
          </cell>
        </row>
      </sheetData>
      <sheetData sheetId="2619">
        <row r="52">
          <cell r="B52" t="str">
            <v>Main Panel</v>
          </cell>
        </row>
      </sheetData>
      <sheetData sheetId="2620">
        <row r="52">
          <cell r="B52" t="str">
            <v>Main Panel</v>
          </cell>
        </row>
      </sheetData>
      <sheetData sheetId="2621">
        <row r="52">
          <cell r="B52" t="str">
            <v>Main Panel</v>
          </cell>
        </row>
      </sheetData>
      <sheetData sheetId="2622">
        <row r="52">
          <cell r="B52" t="str">
            <v>Main Panel</v>
          </cell>
        </row>
      </sheetData>
      <sheetData sheetId="2623">
        <row r="52">
          <cell r="B52" t="str">
            <v>Main Panel</v>
          </cell>
        </row>
      </sheetData>
      <sheetData sheetId="2624">
        <row r="52">
          <cell r="B52" t="str">
            <v>Main Panel</v>
          </cell>
        </row>
      </sheetData>
      <sheetData sheetId="2625">
        <row r="52">
          <cell r="B52" t="str">
            <v>Main Panel</v>
          </cell>
        </row>
      </sheetData>
      <sheetData sheetId="2626">
        <row r="52">
          <cell r="B52" t="str">
            <v>Main Panel</v>
          </cell>
        </row>
      </sheetData>
      <sheetData sheetId="2627">
        <row r="52">
          <cell r="B52" t="str">
            <v>Main Panel</v>
          </cell>
        </row>
      </sheetData>
      <sheetData sheetId="2628">
        <row r="52">
          <cell r="B52" t="str">
            <v>Main Panel</v>
          </cell>
        </row>
      </sheetData>
      <sheetData sheetId="2629">
        <row r="52">
          <cell r="B52" t="str">
            <v>Main Panel</v>
          </cell>
        </row>
      </sheetData>
      <sheetData sheetId="2630">
        <row r="52">
          <cell r="B52" t="str">
            <v>Main Panel</v>
          </cell>
        </row>
      </sheetData>
      <sheetData sheetId="2631">
        <row r="52">
          <cell r="B52" t="str">
            <v>Main Panel</v>
          </cell>
        </row>
      </sheetData>
      <sheetData sheetId="2632">
        <row r="52">
          <cell r="B52" t="str">
            <v>Main Panel</v>
          </cell>
        </row>
      </sheetData>
      <sheetData sheetId="2633">
        <row r="52">
          <cell r="B52" t="str">
            <v>Main Panel</v>
          </cell>
        </row>
      </sheetData>
      <sheetData sheetId="2634">
        <row r="52">
          <cell r="B52" t="str">
            <v>Main Panel</v>
          </cell>
        </row>
      </sheetData>
      <sheetData sheetId="2635">
        <row r="52">
          <cell r="B52" t="str">
            <v>Main Panel</v>
          </cell>
        </row>
      </sheetData>
      <sheetData sheetId="2636">
        <row r="52">
          <cell r="B52" t="str">
            <v>Main Panel</v>
          </cell>
        </row>
      </sheetData>
      <sheetData sheetId="2637">
        <row r="52">
          <cell r="B52" t="str">
            <v>Main Panel</v>
          </cell>
        </row>
      </sheetData>
      <sheetData sheetId="2638">
        <row r="52">
          <cell r="B52" t="str">
            <v>Main Panel</v>
          </cell>
        </row>
      </sheetData>
      <sheetData sheetId="2639">
        <row r="52">
          <cell r="B52" t="str">
            <v>Main Panel</v>
          </cell>
        </row>
      </sheetData>
      <sheetData sheetId="2640">
        <row r="52">
          <cell r="B52" t="str">
            <v>Main Panel</v>
          </cell>
        </row>
      </sheetData>
      <sheetData sheetId="2641">
        <row r="52">
          <cell r="B52" t="str">
            <v>Main Panel</v>
          </cell>
        </row>
      </sheetData>
      <sheetData sheetId="2642">
        <row r="52">
          <cell r="B52" t="str">
            <v>Main Panel</v>
          </cell>
        </row>
      </sheetData>
      <sheetData sheetId="2643">
        <row r="52">
          <cell r="B52" t="str">
            <v>Main Panel</v>
          </cell>
        </row>
      </sheetData>
      <sheetData sheetId="2644">
        <row r="52">
          <cell r="B52" t="str">
            <v>Main Panel</v>
          </cell>
        </row>
      </sheetData>
      <sheetData sheetId="2645">
        <row r="52">
          <cell r="B52" t="str">
            <v>Main Panel</v>
          </cell>
        </row>
      </sheetData>
      <sheetData sheetId="2646">
        <row r="52">
          <cell r="B52" t="str">
            <v>Main Panel</v>
          </cell>
        </row>
      </sheetData>
      <sheetData sheetId="2647">
        <row r="52">
          <cell r="B52" t="str">
            <v>Main Panel</v>
          </cell>
        </row>
      </sheetData>
      <sheetData sheetId="2648">
        <row r="52">
          <cell r="B52" t="str">
            <v>Main Panel</v>
          </cell>
        </row>
      </sheetData>
      <sheetData sheetId="2649">
        <row r="52">
          <cell r="B52" t="str">
            <v>Main Panel</v>
          </cell>
        </row>
      </sheetData>
      <sheetData sheetId="2650">
        <row r="52">
          <cell r="B52" t="str">
            <v>Main Panel</v>
          </cell>
        </row>
      </sheetData>
      <sheetData sheetId="2651">
        <row r="52">
          <cell r="B52" t="str">
            <v>Main Panel</v>
          </cell>
        </row>
      </sheetData>
      <sheetData sheetId="2652">
        <row r="52">
          <cell r="B52" t="str">
            <v>Main Panel</v>
          </cell>
        </row>
      </sheetData>
      <sheetData sheetId="2653">
        <row r="52">
          <cell r="B52" t="str">
            <v>Main Panel</v>
          </cell>
        </row>
      </sheetData>
      <sheetData sheetId="2654">
        <row r="52">
          <cell r="B52" t="str">
            <v>Main Panel</v>
          </cell>
        </row>
      </sheetData>
      <sheetData sheetId="2655">
        <row r="52">
          <cell r="B52" t="str">
            <v>Main Panel</v>
          </cell>
        </row>
      </sheetData>
      <sheetData sheetId="2656">
        <row r="52">
          <cell r="B52" t="str">
            <v>Main Panel</v>
          </cell>
        </row>
      </sheetData>
      <sheetData sheetId="2657">
        <row r="52">
          <cell r="B52" t="str">
            <v>Main Panel</v>
          </cell>
        </row>
      </sheetData>
      <sheetData sheetId="2658">
        <row r="52">
          <cell r="B52" t="str">
            <v>Main Panel</v>
          </cell>
        </row>
      </sheetData>
      <sheetData sheetId="2659">
        <row r="52">
          <cell r="B52" t="str">
            <v>Main Panel</v>
          </cell>
        </row>
      </sheetData>
      <sheetData sheetId="2660">
        <row r="52">
          <cell r="B52" t="str">
            <v>Main Panel</v>
          </cell>
        </row>
      </sheetData>
      <sheetData sheetId="2661">
        <row r="52">
          <cell r="B52" t="str">
            <v>Main Panel</v>
          </cell>
        </row>
      </sheetData>
      <sheetData sheetId="2662">
        <row r="52">
          <cell r="B52" t="str">
            <v>Main Panel</v>
          </cell>
        </row>
      </sheetData>
      <sheetData sheetId="2663">
        <row r="52">
          <cell r="B52" t="str">
            <v>Main Panel</v>
          </cell>
        </row>
      </sheetData>
      <sheetData sheetId="2664">
        <row r="52">
          <cell r="B52" t="str">
            <v>Main Panel</v>
          </cell>
        </row>
      </sheetData>
      <sheetData sheetId="2665">
        <row r="52">
          <cell r="B52" t="str">
            <v>Main Panel</v>
          </cell>
        </row>
      </sheetData>
      <sheetData sheetId="2666">
        <row r="52">
          <cell r="B52" t="str">
            <v>Main Panel</v>
          </cell>
        </row>
      </sheetData>
      <sheetData sheetId="2667">
        <row r="52">
          <cell r="B52" t="str">
            <v>Main Panel</v>
          </cell>
        </row>
      </sheetData>
      <sheetData sheetId="2668">
        <row r="52">
          <cell r="B52" t="str">
            <v>Main Panel</v>
          </cell>
        </row>
      </sheetData>
      <sheetData sheetId="2669">
        <row r="52">
          <cell r="B52" t="str">
            <v>Main Panel</v>
          </cell>
        </row>
      </sheetData>
      <sheetData sheetId="2670">
        <row r="52">
          <cell r="B52" t="str">
            <v>Main Panel</v>
          </cell>
        </row>
      </sheetData>
      <sheetData sheetId="2671">
        <row r="52">
          <cell r="B52" t="str">
            <v>Main Panel</v>
          </cell>
        </row>
      </sheetData>
      <sheetData sheetId="2672">
        <row r="52">
          <cell r="B52" t="str">
            <v>Main Panel</v>
          </cell>
        </row>
      </sheetData>
      <sheetData sheetId="2673">
        <row r="52">
          <cell r="B52" t="str">
            <v>Main Panel</v>
          </cell>
        </row>
      </sheetData>
      <sheetData sheetId="2674">
        <row r="52">
          <cell r="B52" t="str">
            <v>Main Panel</v>
          </cell>
        </row>
      </sheetData>
      <sheetData sheetId="2675">
        <row r="52">
          <cell r="B52" t="str">
            <v>Main Panel</v>
          </cell>
        </row>
      </sheetData>
      <sheetData sheetId="2676">
        <row r="52">
          <cell r="B52" t="str">
            <v>Main Panel</v>
          </cell>
        </row>
      </sheetData>
      <sheetData sheetId="2677">
        <row r="52">
          <cell r="B52" t="str">
            <v>Main Panel</v>
          </cell>
        </row>
      </sheetData>
      <sheetData sheetId="2678">
        <row r="52">
          <cell r="B52" t="str">
            <v>Main Panel</v>
          </cell>
        </row>
      </sheetData>
      <sheetData sheetId="2679">
        <row r="52">
          <cell r="B52" t="str">
            <v>Main Panel</v>
          </cell>
        </row>
      </sheetData>
      <sheetData sheetId="2680">
        <row r="52">
          <cell r="B52" t="str">
            <v>Main Panel</v>
          </cell>
        </row>
      </sheetData>
      <sheetData sheetId="2681">
        <row r="52">
          <cell r="B52" t="str">
            <v>Main Panel</v>
          </cell>
        </row>
      </sheetData>
      <sheetData sheetId="2682">
        <row r="52">
          <cell r="B52" t="str">
            <v>Main Panel</v>
          </cell>
        </row>
      </sheetData>
      <sheetData sheetId="2683">
        <row r="52">
          <cell r="B52" t="str">
            <v>Main Panel</v>
          </cell>
        </row>
      </sheetData>
      <sheetData sheetId="2684">
        <row r="52">
          <cell r="B52" t="str">
            <v>Main Panel</v>
          </cell>
        </row>
      </sheetData>
      <sheetData sheetId="2685">
        <row r="52">
          <cell r="B52" t="str">
            <v>Main Panel</v>
          </cell>
        </row>
      </sheetData>
      <sheetData sheetId="2686">
        <row r="52">
          <cell r="B52" t="str">
            <v>Main Panel</v>
          </cell>
        </row>
      </sheetData>
      <sheetData sheetId="2687">
        <row r="52">
          <cell r="B52" t="str">
            <v>Main Panel</v>
          </cell>
        </row>
      </sheetData>
      <sheetData sheetId="2688">
        <row r="52">
          <cell r="B52" t="str">
            <v>Main Panel</v>
          </cell>
        </row>
      </sheetData>
      <sheetData sheetId="2689">
        <row r="52">
          <cell r="B52" t="str">
            <v>Main Panel</v>
          </cell>
        </row>
      </sheetData>
      <sheetData sheetId="2690">
        <row r="52">
          <cell r="B52" t="str">
            <v>Main Panel</v>
          </cell>
        </row>
      </sheetData>
      <sheetData sheetId="2691">
        <row r="52">
          <cell r="B52" t="str">
            <v>Main Panel</v>
          </cell>
        </row>
      </sheetData>
      <sheetData sheetId="2692">
        <row r="52">
          <cell r="B52" t="str">
            <v>Main Panel</v>
          </cell>
        </row>
      </sheetData>
      <sheetData sheetId="2693">
        <row r="52">
          <cell r="B52" t="str">
            <v>Main Panel</v>
          </cell>
        </row>
      </sheetData>
      <sheetData sheetId="2694">
        <row r="52">
          <cell r="B52" t="str">
            <v>Main Panel</v>
          </cell>
        </row>
      </sheetData>
      <sheetData sheetId="2695">
        <row r="52">
          <cell r="B52" t="str">
            <v>Main Panel</v>
          </cell>
        </row>
      </sheetData>
      <sheetData sheetId="2696">
        <row r="52">
          <cell r="B52" t="str">
            <v>Main Panel</v>
          </cell>
        </row>
      </sheetData>
      <sheetData sheetId="2697">
        <row r="52">
          <cell r="B52" t="str">
            <v>Main Panel</v>
          </cell>
        </row>
      </sheetData>
      <sheetData sheetId="2698">
        <row r="52">
          <cell r="B52" t="str">
            <v>Main Panel</v>
          </cell>
        </row>
      </sheetData>
      <sheetData sheetId="2699">
        <row r="52">
          <cell r="B52" t="str">
            <v>Main Panel</v>
          </cell>
        </row>
      </sheetData>
      <sheetData sheetId="2700">
        <row r="52">
          <cell r="B52" t="str">
            <v>Main Panel</v>
          </cell>
        </row>
      </sheetData>
      <sheetData sheetId="2701">
        <row r="52">
          <cell r="B52" t="str">
            <v>Main Panel</v>
          </cell>
        </row>
      </sheetData>
      <sheetData sheetId="2702">
        <row r="52">
          <cell r="B52" t="str">
            <v>Main Panel</v>
          </cell>
        </row>
      </sheetData>
      <sheetData sheetId="2703">
        <row r="52">
          <cell r="B52" t="str">
            <v>Main Panel</v>
          </cell>
        </row>
      </sheetData>
      <sheetData sheetId="2704">
        <row r="52">
          <cell r="B52" t="str">
            <v>Main Panel</v>
          </cell>
        </row>
      </sheetData>
      <sheetData sheetId="2705">
        <row r="52">
          <cell r="B52" t="str">
            <v>Main Panel</v>
          </cell>
        </row>
      </sheetData>
      <sheetData sheetId="2706">
        <row r="52">
          <cell r="B52" t="str">
            <v>Main Panel</v>
          </cell>
        </row>
      </sheetData>
      <sheetData sheetId="2707">
        <row r="52">
          <cell r="B52" t="str">
            <v>Main Panel</v>
          </cell>
        </row>
      </sheetData>
      <sheetData sheetId="2708">
        <row r="52">
          <cell r="B52" t="str">
            <v>Main Panel</v>
          </cell>
        </row>
      </sheetData>
      <sheetData sheetId="2709">
        <row r="52">
          <cell r="B52" t="str">
            <v>Main Panel</v>
          </cell>
        </row>
      </sheetData>
      <sheetData sheetId="2710">
        <row r="52">
          <cell r="B52" t="str">
            <v>Main Panel</v>
          </cell>
        </row>
      </sheetData>
      <sheetData sheetId="2711">
        <row r="52">
          <cell r="B52" t="str">
            <v>Main Panel</v>
          </cell>
        </row>
      </sheetData>
      <sheetData sheetId="2712">
        <row r="52">
          <cell r="B52" t="str">
            <v>Main Panel</v>
          </cell>
        </row>
      </sheetData>
      <sheetData sheetId="2713">
        <row r="52">
          <cell r="B52" t="str">
            <v>Main Panel</v>
          </cell>
        </row>
      </sheetData>
      <sheetData sheetId="2714">
        <row r="52">
          <cell r="B52" t="str">
            <v>Main Panel</v>
          </cell>
        </row>
      </sheetData>
      <sheetData sheetId="2715">
        <row r="52">
          <cell r="B52" t="str">
            <v>Main Panel</v>
          </cell>
        </row>
      </sheetData>
      <sheetData sheetId="2716">
        <row r="52">
          <cell r="B52" t="str">
            <v>Main Panel</v>
          </cell>
        </row>
      </sheetData>
      <sheetData sheetId="2717">
        <row r="52">
          <cell r="B52" t="str">
            <v>Main Panel</v>
          </cell>
        </row>
      </sheetData>
      <sheetData sheetId="2718">
        <row r="52">
          <cell r="B52" t="str">
            <v>Main Panel</v>
          </cell>
        </row>
      </sheetData>
      <sheetData sheetId="2719">
        <row r="52">
          <cell r="B52" t="str">
            <v>Main Panel</v>
          </cell>
        </row>
      </sheetData>
      <sheetData sheetId="2720">
        <row r="52">
          <cell r="B52" t="str">
            <v>Main Panel</v>
          </cell>
        </row>
      </sheetData>
      <sheetData sheetId="2721">
        <row r="52">
          <cell r="B52" t="str">
            <v>Main Panel</v>
          </cell>
        </row>
      </sheetData>
      <sheetData sheetId="2722">
        <row r="52">
          <cell r="B52" t="str">
            <v>Main Panel</v>
          </cell>
        </row>
      </sheetData>
      <sheetData sheetId="2723">
        <row r="52">
          <cell r="B52" t="str">
            <v>Main Panel</v>
          </cell>
        </row>
      </sheetData>
      <sheetData sheetId="2724">
        <row r="52">
          <cell r="B52" t="str">
            <v>Main Panel</v>
          </cell>
        </row>
      </sheetData>
      <sheetData sheetId="2725">
        <row r="52">
          <cell r="B52" t="str">
            <v>Main Panel</v>
          </cell>
        </row>
      </sheetData>
      <sheetData sheetId="2726">
        <row r="52">
          <cell r="B52" t="str">
            <v>Main Panel</v>
          </cell>
        </row>
      </sheetData>
      <sheetData sheetId="2727">
        <row r="52">
          <cell r="B52" t="str">
            <v>Main Panel</v>
          </cell>
        </row>
      </sheetData>
      <sheetData sheetId="2728">
        <row r="52">
          <cell r="B52" t="str">
            <v>Main Panel</v>
          </cell>
        </row>
      </sheetData>
      <sheetData sheetId="2729">
        <row r="52">
          <cell r="B52" t="str">
            <v>Main Panel</v>
          </cell>
        </row>
      </sheetData>
      <sheetData sheetId="2730">
        <row r="52">
          <cell r="B52" t="str">
            <v>Main Panel</v>
          </cell>
        </row>
      </sheetData>
      <sheetData sheetId="2731">
        <row r="52">
          <cell r="B52" t="str">
            <v>Main Panel</v>
          </cell>
        </row>
      </sheetData>
      <sheetData sheetId="2732">
        <row r="52">
          <cell r="B52" t="str">
            <v>Main Panel</v>
          </cell>
        </row>
      </sheetData>
      <sheetData sheetId="2733">
        <row r="52">
          <cell r="B52" t="str">
            <v>Main Panel</v>
          </cell>
        </row>
      </sheetData>
      <sheetData sheetId="2734">
        <row r="52">
          <cell r="B52" t="str">
            <v>Main Panel</v>
          </cell>
        </row>
      </sheetData>
      <sheetData sheetId="2735">
        <row r="52">
          <cell r="B52" t="str">
            <v>Main Panel</v>
          </cell>
        </row>
      </sheetData>
      <sheetData sheetId="2736">
        <row r="52">
          <cell r="B52" t="str">
            <v>Main Panel</v>
          </cell>
        </row>
      </sheetData>
      <sheetData sheetId="2737">
        <row r="52">
          <cell r="B52" t="str">
            <v>Main Panel</v>
          </cell>
        </row>
      </sheetData>
      <sheetData sheetId="2738">
        <row r="52">
          <cell r="B52" t="str">
            <v>Main Panel</v>
          </cell>
        </row>
      </sheetData>
      <sheetData sheetId="2739">
        <row r="52">
          <cell r="B52" t="str">
            <v>Main Panel</v>
          </cell>
        </row>
      </sheetData>
      <sheetData sheetId="2740">
        <row r="52">
          <cell r="B52" t="str">
            <v>Main Panel</v>
          </cell>
        </row>
      </sheetData>
      <sheetData sheetId="2741">
        <row r="52">
          <cell r="B52" t="str">
            <v>Main Panel</v>
          </cell>
        </row>
      </sheetData>
      <sheetData sheetId="2742">
        <row r="52">
          <cell r="B52" t="str">
            <v>Main Panel</v>
          </cell>
        </row>
      </sheetData>
      <sheetData sheetId="2743">
        <row r="52">
          <cell r="B52" t="str">
            <v>Main Panel</v>
          </cell>
        </row>
      </sheetData>
      <sheetData sheetId="2744">
        <row r="52">
          <cell r="B52" t="str">
            <v>Main Panel</v>
          </cell>
        </row>
      </sheetData>
      <sheetData sheetId="2745">
        <row r="52">
          <cell r="B52" t="str">
            <v>Main Panel</v>
          </cell>
        </row>
      </sheetData>
      <sheetData sheetId="2746">
        <row r="52">
          <cell r="B52" t="str">
            <v>Main Panel</v>
          </cell>
        </row>
      </sheetData>
      <sheetData sheetId="2747">
        <row r="52">
          <cell r="B52" t="str">
            <v>Main Panel</v>
          </cell>
        </row>
      </sheetData>
      <sheetData sheetId="2748">
        <row r="52">
          <cell r="B52" t="str">
            <v>Main Panel</v>
          </cell>
        </row>
      </sheetData>
      <sheetData sheetId="2749">
        <row r="52">
          <cell r="B52" t="str">
            <v>Main Panel</v>
          </cell>
        </row>
      </sheetData>
      <sheetData sheetId="2750">
        <row r="52">
          <cell r="B52" t="str">
            <v>Main Panel</v>
          </cell>
        </row>
      </sheetData>
      <sheetData sheetId="2751">
        <row r="52">
          <cell r="B52" t="str">
            <v>Main Panel</v>
          </cell>
        </row>
      </sheetData>
      <sheetData sheetId="2752">
        <row r="52">
          <cell r="B52" t="str">
            <v>Main Panel</v>
          </cell>
        </row>
      </sheetData>
      <sheetData sheetId="2753">
        <row r="52">
          <cell r="B52" t="str">
            <v>Main Panel</v>
          </cell>
        </row>
      </sheetData>
      <sheetData sheetId="2754">
        <row r="52">
          <cell r="B52" t="str">
            <v>Main Panel</v>
          </cell>
        </row>
      </sheetData>
      <sheetData sheetId="2755">
        <row r="52">
          <cell r="B52" t="str">
            <v>Main Panel</v>
          </cell>
        </row>
      </sheetData>
      <sheetData sheetId="2756">
        <row r="52">
          <cell r="B52" t="str">
            <v>Main Panel</v>
          </cell>
        </row>
      </sheetData>
      <sheetData sheetId="2757">
        <row r="52">
          <cell r="B52" t="str">
            <v>Main Panel</v>
          </cell>
        </row>
      </sheetData>
      <sheetData sheetId="2758">
        <row r="52">
          <cell r="B52" t="str">
            <v>Main Panel</v>
          </cell>
        </row>
      </sheetData>
      <sheetData sheetId="2759">
        <row r="52">
          <cell r="B52" t="str">
            <v>Main Panel</v>
          </cell>
        </row>
      </sheetData>
      <sheetData sheetId="2760">
        <row r="52">
          <cell r="B52" t="str">
            <v>Main Panel</v>
          </cell>
        </row>
      </sheetData>
      <sheetData sheetId="2761">
        <row r="52">
          <cell r="B52" t="str">
            <v>Main Panel</v>
          </cell>
        </row>
      </sheetData>
      <sheetData sheetId="2762">
        <row r="52">
          <cell r="B52" t="str">
            <v>Main Panel</v>
          </cell>
        </row>
      </sheetData>
      <sheetData sheetId="2763">
        <row r="52">
          <cell r="B52" t="str">
            <v>Main Panel</v>
          </cell>
        </row>
      </sheetData>
      <sheetData sheetId="2764">
        <row r="52">
          <cell r="B52" t="str">
            <v>Main Panel</v>
          </cell>
        </row>
      </sheetData>
      <sheetData sheetId="2765">
        <row r="52">
          <cell r="B52" t="str">
            <v>Main Panel</v>
          </cell>
        </row>
      </sheetData>
      <sheetData sheetId="2766">
        <row r="52">
          <cell r="B52" t="str">
            <v>Main Panel</v>
          </cell>
        </row>
      </sheetData>
      <sheetData sheetId="2767">
        <row r="52">
          <cell r="B52" t="str">
            <v>Main Panel</v>
          </cell>
        </row>
      </sheetData>
      <sheetData sheetId="2768">
        <row r="52">
          <cell r="B52" t="str">
            <v>Main Panel</v>
          </cell>
        </row>
      </sheetData>
      <sheetData sheetId="2769">
        <row r="52">
          <cell r="B52" t="str">
            <v>Main Panel</v>
          </cell>
        </row>
      </sheetData>
      <sheetData sheetId="2770">
        <row r="52">
          <cell r="B52" t="str">
            <v>Main Panel</v>
          </cell>
        </row>
      </sheetData>
      <sheetData sheetId="2771">
        <row r="52">
          <cell r="B52" t="str">
            <v>Main Panel</v>
          </cell>
        </row>
      </sheetData>
      <sheetData sheetId="2772">
        <row r="52">
          <cell r="B52" t="str">
            <v>Main Panel</v>
          </cell>
        </row>
      </sheetData>
      <sheetData sheetId="2773">
        <row r="52">
          <cell r="B52" t="str">
            <v>Main Panel</v>
          </cell>
        </row>
      </sheetData>
      <sheetData sheetId="2774">
        <row r="52">
          <cell r="B52" t="str">
            <v>Main Panel</v>
          </cell>
        </row>
      </sheetData>
      <sheetData sheetId="2775">
        <row r="52">
          <cell r="B52" t="str">
            <v>Main Panel</v>
          </cell>
        </row>
      </sheetData>
      <sheetData sheetId="2776">
        <row r="52">
          <cell r="B52" t="str">
            <v>Main Panel</v>
          </cell>
        </row>
      </sheetData>
      <sheetData sheetId="2777">
        <row r="52">
          <cell r="B52" t="str">
            <v>Main Panel</v>
          </cell>
        </row>
      </sheetData>
      <sheetData sheetId="2778">
        <row r="52">
          <cell r="B52" t="str">
            <v>Main Panel</v>
          </cell>
        </row>
      </sheetData>
      <sheetData sheetId="2779">
        <row r="52">
          <cell r="B52" t="str">
            <v>Main Panel</v>
          </cell>
        </row>
      </sheetData>
      <sheetData sheetId="2780">
        <row r="52">
          <cell r="B52" t="str">
            <v>Main Panel</v>
          </cell>
        </row>
      </sheetData>
      <sheetData sheetId="2781">
        <row r="52">
          <cell r="B52" t="str">
            <v>Main Panel</v>
          </cell>
        </row>
      </sheetData>
      <sheetData sheetId="2782">
        <row r="52">
          <cell r="B52" t="str">
            <v>Main Panel</v>
          </cell>
        </row>
      </sheetData>
      <sheetData sheetId="2783">
        <row r="52">
          <cell r="B52" t="str">
            <v>Main Panel</v>
          </cell>
        </row>
      </sheetData>
      <sheetData sheetId="2784">
        <row r="52">
          <cell r="B52" t="str">
            <v>Main Panel</v>
          </cell>
        </row>
      </sheetData>
      <sheetData sheetId="2785">
        <row r="52">
          <cell r="B52" t="str">
            <v>Main Panel</v>
          </cell>
        </row>
      </sheetData>
      <sheetData sheetId="2786">
        <row r="52">
          <cell r="B52" t="str">
            <v>Main Panel</v>
          </cell>
        </row>
      </sheetData>
      <sheetData sheetId="2787">
        <row r="52">
          <cell r="B52" t="str">
            <v>Main Panel</v>
          </cell>
        </row>
      </sheetData>
      <sheetData sheetId="2788">
        <row r="52">
          <cell r="B52" t="str">
            <v>Main Panel</v>
          </cell>
        </row>
      </sheetData>
      <sheetData sheetId="2789">
        <row r="52">
          <cell r="B52" t="str">
            <v>Main Panel</v>
          </cell>
        </row>
      </sheetData>
      <sheetData sheetId="2790">
        <row r="52">
          <cell r="B52" t="str">
            <v>Main Panel</v>
          </cell>
        </row>
      </sheetData>
      <sheetData sheetId="2791">
        <row r="52">
          <cell r="B52" t="str">
            <v>Main Panel</v>
          </cell>
        </row>
      </sheetData>
      <sheetData sheetId="2792">
        <row r="52">
          <cell r="B52" t="str">
            <v>Main Panel</v>
          </cell>
        </row>
      </sheetData>
      <sheetData sheetId="2793">
        <row r="52">
          <cell r="B52" t="str">
            <v>Main Panel</v>
          </cell>
        </row>
      </sheetData>
      <sheetData sheetId="2794">
        <row r="52">
          <cell r="B52" t="str">
            <v>Main Panel</v>
          </cell>
        </row>
      </sheetData>
      <sheetData sheetId="2795">
        <row r="52">
          <cell r="B52" t="str">
            <v>Main Panel</v>
          </cell>
        </row>
      </sheetData>
      <sheetData sheetId="2796">
        <row r="52">
          <cell r="B52" t="str">
            <v>Main Panel</v>
          </cell>
        </row>
      </sheetData>
      <sheetData sheetId="2797">
        <row r="52">
          <cell r="B52" t="str">
            <v>Main Panel</v>
          </cell>
        </row>
      </sheetData>
      <sheetData sheetId="2798">
        <row r="52">
          <cell r="B52" t="str">
            <v>Main Panel</v>
          </cell>
        </row>
      </sheetData>
      <sheetData sheetId="2799">
        <row r="52">
          <cell r="B52" t="str">
            <v>Main Panel</v>
          </cell>
        </row>
      </sheetData>
      <sheetData sheetId="2800">
        <row r="52">
          <cell r="B52" t="str">
            <v>Main Panel</v>
          </cell>
        </row>
      </sheetData>
      <sheetData sheetId="2801">
        <row r="52">
          <cell r="B52" t="str">
            <v>Main Panel</v>
          </cell>
        </row>
      </sheetData>
      <sheetData sheetId="2802">
        <row r="52">
          <cell r="B52" t="str">
            <v>Main Panel</v>
          </cell>
        </row>
      </sheetData>
      <sheetData sheetId="2803">
        <row r="52">
          <cell r="B52" t="str">
            <v>Main Panel</v>
          </cell>
        </row>
      </sheetData>
      <sheetData sheetId="2804">
        <row r="52">
          <cell r="B52" t="str">
            <v>Main Panel</v>
          </cell>
        </row>
      </sheetData>
      <sheetData sheetId="2805">
        <row r="52">
          <cell r="B52" t="str">
            <v>Main Panel</v>
          </cell>
        </row>
      </sheetData>
      <sheetData sheetId="2806">
        <row r="52">
          <cell r="B52" t="str">
            <v>Main Panel</v>
          </cell>
        </row>
      </sheetData>
      <sheetData sheetId="2807">
        <row r="52">
          <cell r="B52" t="str">
            <v>Main Panel</v>
          </cell>
        </row>
      </sheetData>
      <sheetData sheetId="2808">
        <row r="52">
          <cell r="B52" t="str">
            <v>Main Panel</v>
          </cell>
        </row>
      </sheetData>
      <sheetData sheetId="2809">
        <row r="52">
          <cell r="B52" t="str">
            <v>Main Panel</v>
          </cell>
        </row>
      </sheetData>
      <sheetData sheetId="2810">
        <row r="52">
          <cell r="B52" t="str">
            <v>Main Panel</v>
          </cell>
        </row>
      </sheetData>
      <sheetData sheetId="2811">
        <row r="52">
          <cell r="B52" t="str">
            <v>Main Panel</v>
          </cell>
        </row>
      </sheetData>
      <sheetData sheetId="2812">
        <row r="52">
          <cell r="B52" t="str">
            <v>Main Panel</v>
          </cell>
        </row>
      </sheetData>
      <sheetData sheetId="2813">
        <row r="52">
          <cell r="B52" t="str">
            <v>Main Panel</v>
          </cell>
        </row>
      </sheetData>
      <sheetData sheetId="2814">
        <row r="52">
          <cell r="B52" t="str">
            <v>Main Panel</v>
          </cell>
        </row>
      </sheetData>
      <sheetData sheetId="2815">
        <row r="52">
          <cell r="B52" t="str">
            <v>Main Panel</v>
          </cell>
        </row>
      </sheetData>
      <sheetData sheetId="2816">
        <row r="52">
          <cell r="B52" t="str">
            <v>Main Panel</v>
          </cell>
        </row>
      </sheetData>
      <sheetData sheetId="2817">
        <row r="52">
          <cell r="B52" t="str">
            <v>Main Panel</v>
          </cell>
        </row>
      </sheetData>
      <sheetData sheetId="2818">
        <row r="52">
          <cell r="B52" t="str">
            <v>Main Panel</v>
          </cell>
        </row>
      </sheetData>
      <sheetData sheetId="2819">
        <row r="52">
          <cell r="B52" t="str">
            <v>Main Panel</v>
          </cell>
        </row>
      </sheetData>
      <sheetData sheetId="2820">
        <row r="52">
          <cell r="B52" t="str">
            <v>Main Panel</v>
          </cell>
        </row>
      </sheetData>
      <sheetData sheetId="2821">
        <row r="52">
          <cell r="B52" t="str">
            <v>Main Panel</v>
          </cell>
        </row>
      </sheetData>
      <sheetData sheetId="2822">
        <row r="52">
          <cell r="B52" t="str">
            <v>Main Panel</v>
          </cell>
        </row>
      </sheetData>
      <sheetData sheetId="2823">
        <row r="52">
          <cell r="B52" t="str">
            <v>Main Panel</v>
          </cell>
        </row>
      </sheetData>
      <sheetData sheetId="2824">
        <row r="52">
          <cell r="B52" t="str">
            <v>Main Panel</v>
          </cell>
        </row>
      </sheetData>
      <sheetData sheetId="2825">
        <row r="52">
          <cell r="B52" t="str">
            <v>Main Panel</v>
          </cell>
        </row>
      </sheetData>
      <sheetData sheetId="2826">
        <row r="52">
          <cell r="B52" t="str">
            <v>Main Panel</v>
          </cell>
        </row>
      </sheetData>
      <sheetData sheetId="2827">
        <row r="52">
          <cell r="B52" t="str">
            <v>Main Panel</v>
          </cell>
        </row>
      </sheetData>
      <sheetData sheetId="2828">
        <row r="52">
          <cell r="B52" t="str">
            <v>Main Panel</v>
          </cell>
        </row>
      </sheetData>
      <sheetData sheetId="2829">
        <row r="52">
          <cell r="B52" t="str">
            <v>Main Panel</v>
          </cell>
        </row>
      </sheetData>
      <sheetData sheetId="2830">
        <row r="52">
          <cell r="B52" t="str">
            <v>Main Panel</v>
          </cell>
        </row>
      </sheetData>
      <sheetData sheetId="2831">
        <row r="52">
          <cell r="B52" t="str">
            <v>Main Panel</v>
          </cell>
        </row>
      </sheetData>
      <sheetData sheetId="2832">
        <row r="52">
          <cell r="B52" t="str">
            <v>Main Panel</v>
          </cell>
        </row>
      </sheetData>
      <sheetData sheetId="2833">
        <row r="52">
          <cell r="B52" t="str">
            <v>Main Panel</v>
          </cell>
        </row>
      </sheetData>
      <sheetData sheetId="2834">
        <row r="52">
          <cell r="B52" t="str">
            <v>Main Panel</v>
          </cell>
        </row>
      </sheetData>
      <sheetData sheetId="2835">
        <row r="52">
          <cell r="B52" t="str">
            <v>Main Panel</v>
          </cell>
        </row>
      </sheetData>
      <sheetData sheetId="2836">
        <row r="52">
          <cell r="B52" t="str">
            <v>Main Panel</v>
          </cell>
        </row>
      </sheetData>
      <sheetData sheetId="2837">
        <row r="52">
          <cell r="B52" t="str">
            <v>Main Panel</v>
          </cell>
        </row>
      </sheetData>
      <sheetData sheetId="2838">
        <row r="52">
          <cell r="B52" t="str">
            <v>Main Panel</v>
          </cell>
        </row>
      </sheetData>
      <sheetData sheetId="2839">
        <row r="52">
          <cell r="B52" t="str">
            <v>Main Panel</v>
          </cell>
        </row>
      </sheetData>
      <sheetData sheetId="2840">
        <row r="52">
          <cell r="B52" t="str">
            <v>Main Panel</v>
          </cell>
        </row>
      </sheetData>
      <sheetData sheetId="2841">
        <row r="52">
          <cell r="B52" t="str">
            <v>Main Panel</v>
          </cell>
        </row>
      </sheetData>
      <sheetData sheetId="2842">
        <row r="52">
          <cell r="B52" t="str">
            <v>Main Panel</v>
          </cell>
        </row>
      </sheetData>
      <sheetData sheetId="2843">
        <row r="52">
          <cell r="B52" t="str">
            <v>Main Panel</v>
          </cell>
        </row>
      </sheetData>
      <sheetData sheetId="2844">
        <row r="52">
          <cell r="B52" t="str">
            <v>Main Panel</v>
          </cell>
        </row>
      </sheetData>
      <sheetData sheetId="2845">
        <row r="52">
          <cell r="B52" t="str">
            <v>Main Panel</v>
          </cell>
        </row>
      </sheetData>
      <sheetData sheetId="2846">
        <row r="52">
          <cell r="B52" t="str">
            <v>Main Panel</v>
          </cell>
        </row>
      </sheetData>
      <sheetData sheetId="2847">
        <row r="52">
          <cell r="B52" t="str">
            <v>Main Panel</v>
          </cell>
        </row>
      </sheetData>
      <sheetData sheetId="2848">
        <row r="52">
          <cell r="B52" t="str">
            <v>Main Panel</v>
          </cell>
        </row>
      </sheetData>
      <sheetData sheetId="2849">
        <row r="52">
          <cell r="B52" t="str">
            <v>Main Panel</v>
          </cell>
        </row>
      </sheetData>
      <sheetData sheetId="2850">
        <row r="52">
          <cell r="B52" t="str">
            <v>Main Panel</v>
          </cell>
        </row>
      </sheetData>
      <sheetData sheetId="2851">
        <row r="52">
          <cell r="B52" t="str">
            <v>Main Panel</v>
          </cell>
        </row>
      </sheetData>
      <sheetData sheetId="2852">
        <row r="52">
          <cell r="B52" t="str">
            <v>Main Panel</v>
          </cell>
        </row>
      </sheetData>
      <sheetData sheetId="2853">
        <row r="52">
          <cell r="B52" t="str">
            <v>Main Panel</v>
          </cell>
        </row>
      </sheetData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>
        <row r="52">
          <cell r="B52" t="str">
            <v>Main Panel</v>
          </cell>
        </row>
      </sheetData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>
        <row r="52">
          <cell r="B52" t="str">
            <v>Main Panel</v>
          </cell>
        </row>
      </sheetData>
      <sheetData sheetId="2971">
        <row r="52">
          <cell r="B52" t="str">
            <v>Main Panel</v>
          </cell>
        </row>
      </sheetData>
      <sheetData sheetId="2972"/>
      <sheetData sheetId="2973">
        <row r="52">
          <cell r="B52" t="str">
            <v>Main Panel</v>
          </cell>
        </row>
      </sheetData>
      <sheetData sheetId="2974">
        <row r="52">
          <cell r="B52" t="str">
            <v>Main Panel</v>
          </cell>
        </row>
      </sheetData>
      <sheetData sheetId="2975">
        <row r="52">
          <cell r="B52" t="str">
            <v>Main Panel</v>
          </cell>
        </row>
      </sheetData>
      <sheetData sheetId="2976">
        <row r="52">
          <cell r="B52" t="str">
            <v>Main Panel</v>
          </cell>
        </row>
      </sheetData>
      <sheetData sheetId="2977">
        <row r="52">
          <cell r="B52" t="str">
            <v>Main Panel</v>
          </cell>
        </row>
      </sheetData>
      <sheetData sheetId="2978">
        <row r="52">
          <cell r="B52" t="str">
            <v>Main Panel</v>
          </cell>
        </row>
      </sheetData>
      <sheetData sheetId="2979">
        <row r="52">
          <cell r="B52" t="str">
            <v>Main Panel</v>
          </cell>
        </row>
      </sheetData>
      <sheetData sheetId="2980">
        <row r="52">
          <cell r="B52" t="str">
            <v>Main Panel</v>
          </cell>
        </row>
      </sheetData>
      <sheetData sheetId="2981">
        <row r="52">
          <cell r="B52" t="str">
            <v>Main Panel</v>
          </cell>
        </row>
      </sheetData>
      <sheetData sheetId="2982">
        <row r="52">
          <cell r="B52" t="str">
            <v>Main Panel</v>
          </cell>
        </row>
      </sheetData>
      <sheetData sheetId="2983">
        <row r="52">
          <cell r="B52" t="str">
            <v>Main Panel</v>
          </cell>
        </row>
      </sheetData>
      <sheetData sheetId="2984">
        <row r="52">
          <cell r="B52" t="str">
            <v>Main Panel</v>
          </cell>
        </row>
      </sheetData>
      <sheetData sheetId="2985">
        <row r="52">
          <cell r="B52" t="str">
            <v>Main Panel</v>
          </cell>
        </row>
      </sheetData>
      <sheetData sheetId="2986">
        <row r="52">
          <cell r="B52" t="str">
            <v>Main Panel</v>
          </cell>
        </row>
      </sheetData>
      <sheetData sheetId="2987">
        <row r="52">
          <cell r="B52" t="str">
            <v>Main Panel</v>
          </cell>
        </row>
      </sheetData>
      <sheetData sheetId="2988">
        <row r="52">
          <cell r="B52" t="str">
            <v>Main Panel</v>
          </cell>
        </row>
      </sheetData>
      <sheetData sheetId="2989">
        <row r="52">
          <cell r="B52" t="str">
            <v>Main Panel</v>
          </cell>
        </row>
      </sheetData>
      <sheetData sheetId="2990">
        <row r="52">
          <cell r="B52" t="str">
            <v>Main Panel</v>
          </cell>
        </row>
      </sheetData>
      <sheetData sheetId="2991">
        <row r="52">
          <cell r="B52" t="str">
            <v>Main Panel</v>
          </cell>
        </row>
      </sheetData>
      <sheetData sheetId="2992">
        <row r="52">
          <cell r="B52" t="str">
            <v>Main Panel</v>
          </cell>
        </row>
      </sheetData>
      <sheetData sheetId="2993">
        <row r="52">
          <cell r="B52" t="str">
            <v>Main Panel</v>
          </cell>
        </row>
      </sheetData>
      <sheetData sheetId="2994">
        <row r="52">
          <cell r="B52" t="str">
            <v>Main Panel</v>
          </cell>
        </row>
      </sheetData>
      <sheetData sheetId="2995">
        <row r="52">
          <cell r="B52" t="str">
            <v>Main Panel</v>
          </cell>
        </row>
      </sheetData>
      <sheetData sheetId="2996">
        <row r="52">
          <cell r="B52" t="str">
            <v>Main Panel</v>
          </cell>
        </row>
      </sheetData>
      <sheetData sheetId="2997">
        <row r="52">
          <cell r="B52" t="str">
            <v>Main Panel</v>
          </cell>
        </row>
      </sheetData>
      <sheetData sheetId="2998">
        <row r="52">
          <cell r="B52" t="str">
            <v>Main Panel</v>
          </cell>
        </row>
      </sheetData>
      <sheetData sheetId="2999">
        <row r="52">
          <cell r="B52" t="str">
            <v>Main Panel</v>
          </cell>
        </row>
      </sheetData>
      <sheetData sheetId="3000">
        <row r="52">
          <cell r="B52" t="str">
            <v>Main Panel</v>
          </cell>
        </row>
      </sheetData>
      <sheetData sheetId="3001">
        <row r="52">
          <cell r="B52" t="str">
            <v>Main Panel</v>
          </cell>
        </row>
      </sheetData>
      <sheetData sheetId="3002">
        <row r="52">
          <cell r="B52" t="str">
            <v>Main Panel</v>
          </cell>
        </row>
      </sheetData>
      <sheetData sheetId="3003">
        <row r="52">
          <cell r="B52" t="str">
            <v>Main Panel</v>
          </cell>
        </row>
      </sheetData>
      <sheetData sheetId="3004">
        <row r="52">
          <cell r="B52" t="str">
            <v>Main Panel</v>
          </cell>
        </row>
      </sheetData>
      <sheetData sheetId="3005">
        <row r="52">
          <cell r="B52" t="str">
            <v>Main Panel</v>
          </cell>
        </row>
      </sheetData>
      <sheetData sheetId="3006">
        <row r="52">
          <cell r="B52" t="str">
            <v>Main Panel</v>
          </cell>
        </row>
      </sheetData>
      <sheetData sheetId="3007">
        <row r="52">
          <cell r="B52" t="str">
            <v>Main Panel</v>
          </cell>
        </row>
      </sheetData>
      <sheetData sheetId="3008">
        <row r="52">
          <cell r="B52" t="str">
            <v>Main Panel</v>
          </cell>
        </row>
      </sheetData>
      <sheetData sheetId="3009">
        <row r="52">
          <cell r="B52" t="str">
            <v>Main Panel</v>
          </cell>
        </row>
      </sheetData>
      <sheetData sheetId="3010">
        <row r="52">
          <cell r="B52" t="str">
            <v>Main Panel</v>
          </cell>
        </row>
      </sheetData>
      <sheetData sheetId="3011">
        <row r="52">
          <cell r="B52" t="str">
            <v>Main Panel</v>
          </cell>
        </row>
      </sheetData>
      <sheetData sheetId="3012">
        <row r="52">
          <cell r="B52" t="str">
            <v>Main Panel</v>
          </cell>
        </row>
      </sheetData>
      <sheetData sheetId="3013">
        <row r="52">
          <cell r="B52" t="str">
            <v>Main Panel</v>
          </cell>
        </row>
      </sheetData>
      <sheetData sheetId="3014">
        <row r="52">
          <cell r="B52" t="str">
            <v>Main Panel</v>
          </cell>
        </row>
      </sheetData>
      <sheetData sheetId="3015">
        <row r="52">
          <cell r="B52" t="str">
            <v>Main Panel</v>
          </cell>
        </row>
      </sheetData>
      <sheetData sheetId="3016">
        <row r="52">
          <cell r="B52" t="str">
            <v>Main Panel</v>
          </cell>
        </row>
      </sheetData>
      <sheetData sheetId="3017">
        <row r="52">
          <cell r="B52" t="str">
            <v>Main Panel</v>
          </cell>
        </row>
      </sheetData>
      <sheetData sheetId="3018">
        <row r="52">
          <cell r="B52" t="str">
            <v>Main Panel</v>
          </cell>
        </row>
      </sheetData>
      <sheetData sheetId="3019">
        <row r="52">
          <cell r="B52" t="str">
            <v>Main Panel</v>
          </cell>
        </row>
      </sheetData>
      <sheetData sheetId="3020">
        <row r="52">
          <cell r="B52" t="str">
            <v>Main Panel</v>
          </cell>
        </row>
      </sheetData>
      <sheetData sheetId="3021">
        <row r="52">
          <cell r="B52" t="str">
            <v>Main Panel</v>
          </cell>
        </row>
      </sheetData>
      <sheetData sheetId="3022">
        <row r="52">
          <cell r="B52" t="str">
            <v>Main Panel</v>
          </cell>
        </row>
      </sheetData>
      <sheetData sheetId="3023">
        <row r="52">
          <cell r="B52" t="str">
            <v>Main Panel</v>
          </cell>
        </row>
      </sheetData>
      <sheetData sheetId="3024">
        <row r="52">
          <cell r="B52" t="str">
            <v>Main Panel</v>
          </cell>
        </row>
      </sheetData>
      <sheetData sheetId="3025">
        <row r="52">
          <cell r="B52" t="str">
            <v>Main Panel</v>
          </cell>
        </row>
      </sheetData>
      <sheetData sheetId="3026">
        <row r="52">
          <cell r="B52" t="str">
            <v>Main Panel</v>
          </cell>
        </row>
      </sheetData>
      <sheetData sheetId="3027">
        <row r="52">
          <cell r="B52" t="str">
            <v>Main Panel</v>
          </cell>
        </row>
      </sheetData>
      <sheetData sheetId="3028">
        <row r="52">
          <cell r="B52" t="str">
            <v>Main Panel</v>
          </cell>
        </row>
      </sheetData>
      <sheetData sheetId="3029">
        <row r="52">
          <cell r="B52" t="str">
            <v>Main Panel</v>
          </cell>
        </row>
      </sheetData>
      <sheetData sheetId="3030">
        <row r="52">
          <cell r="B52" t="str">
            <v>Main Panel</v>
          </cell>
        </row>
      </sheetData>
      <sheetData sheetId="3031">
        <row r="52">
          <cell r="B52" t="str">
            <v>Main Panel</v>
          </cell>
        </row>
      </sheetData>
      <sheetData sheetId="3032">
        <row r="52">
          <cell r="B52" t="str">
            <v>Main Panel</v>
          </cell>
        </row>
      </sheetData>
      <sheetData sheetId="3033"/>
      <sheetData sheetId="3034"/>
      <sheetData sheetId="3035"/>
      <sheetData sheetId="3036"/>
      <sheetData sheetId="3037">
        <row r="52">
          <cell r="B52" t="str">
            <v>Main Panel</v>
          </cell>
        </row>
      </sheetData>
      <sheetData sheetId="3038">
        <row r="52">
          <cell r="B52" t="str">
            <v>Main Panel</v>
          </cell>
        </row>
      </sheetData>
      <sheetData sheetId="3039">
        <row r="52">
          <cell r="B52" t="str">
            <v>Main Panel</v>
          </cell>
        </row>
      </sheetData>
      <sheetData sheetId="3040">
        <row r="52">
          <cell r="B52" t="str">
            <v>Main Panel</v>
          </cell>
        </row>
      </sheetData>
      <sheetData sheetId="3041">
        <row r="52">
          <cell r="B52" t="str">
            <v>Main Panel</v>
          </cell>
        </row>
      </sheetData>
      <sheetData sheetId="3042">
        <row r="52">
          <cell r="B52" t="str">
            <v>Main Panel</v>
          </cell>
        </row>
      </sheetData>
      <sheetData sheetId="3043">
        <row r="52">
          <cell r="B52" t="str">
            <v>Main Panel</v>
          </cell>
        </row>
      </sheetData>
      <sheetData sheetId="3044">
        <row r="52">
          <cell r="B52" t="str">
            <v>Main Panel</v>
          </cell>
        </row>
      </sheetData>
      <sheetData sheetId="3045">
        <row r="52">
          <cell r="B52" t="str">
            <v>Main Panel</v>
          </cell>
        </row>
      </sheetData>
      <sheetData sheetId="3046">
        <row r="52">
          <cell r="B52" t="str">
            <v>Main Panel</v>
          </cell>
        </row>
      </sheetData>
      <sheetData sheetId="3047">
        <row r="52">
          <cell r="B52" t="str">
            <v>Main Panel</v>
          </cell>
        </row>
      </sheetData>
      <sheetData sheetId="3048">
        <row r="52">
          <cell r="B52" t="str">
            <v>Main Panel</v>
          </cell>
        </row>
      </sheetData>
      <sheetData sheetId="3049">
        <row r="52">
          <cell r="B52" t="str">
            <v>Main Panel</v>
          </cell>
        </row>
      </sheetData>
      <sheetData sheetId="3050">
        <row r="52">
          <cell r="B52" t="str">
            <v>Main Panel</v>
          </cell>
        </row>
      </sheetData>
      <sheetData sheetId="3051">
        <row r="52">
          <cell r="B52" t="str">
            <v>Main Panel</v>
          </cell>
        </row>
      </sheetData>
      <sheetData sheetId="3052">
        <row r="52">
          <cell r="B52" t="str">
            <v>Main Panel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>
        <row r="52">
          <cell r="B52" t="str">
            <v>Main Panel</v>
          </cell>
        </row>
      </sheetData>
      <sheetData sheetId="3060">
        <row r="52">
          <cell r="B52" t="str">
            <v>Main Panel</v>
          </cell>
        </row>
      </sheetData>
      <sheetData sheetId="3061">
        <row r="52">
          <cell r="B52" t="str">
            <v>Main Panel</v>
          </cell>
        </row>
      </sheetData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>
        <row r="52">
          <cell r="B52" t="str">
            <v>Main Panel</v>
          </cell>
        </row>
      </sheetData>
      <sheetData sheetId="3074">
        <row r="52">
          <cell r="B52" t="str">
            <v>Main Panel</v>
          </cell>
        </row>
      </sheetData>
      <sheetData sheetId="3075">
        <row r="52">
          <cell r="B52" t="str">
            <v>Main Panel</v>
          </cell>
        </row>
      </sheetData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>
        <row r="52">
          <cell r="B52" t="str">
            <v>Main Panel</v>
          </cell>
        </row>
      </sheetData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>
        <row r="52">
          <cell r="B52" t="str">
            <v>Main Panel</v>
          </cell>
        </row>
      </sheetData>
      <sheetData sheetId="3261">
        <row r="52">
          <cell r="B52" t="str">
            <v>Main Panel</v>
          </cell>
        </row>
      </sheetData>
      <sheetData sheetId="3262">
        <row r="52">
          <cell r="B52" t="str">
            <v>Main Panel</v>
          </cell>
        </row>
      </sheetData>
      <sheetData sheetId="3263">
        <row r="52">
          <cell r="B52" t="str">
            <v>Main Panel</v>
          </cell>
        </row>
      </sheetData>
      <sheetData sheetId="3264">
        <row r="52">
          <cell r="B52" t="str">
            <v>Main Panel</v>
          </cell>
        </row>
      </sheetData>
      <sheetData sheetId="3265">
        <row r="52">
          <cell r="B52" t="str">
            <v>Main Panel</v>
          </cell>
        </row>
      </sheetData>
      <sheetData sheetId="3266">
        <row r="52">
          <cell r="B52" t="str">
            <v>Main Panel</v>
          </cell>
        </row>
      </sheetData>
      <sheetData sheetId="3267">
        <row r="52">
          <cell r="B52" t="str">
            <v>Main Panel</v>
          </cell>
        </row>
      </sheetData>
      <sheetData sheetId="3268">
        <row r="52">
          <cell r="B52" t="str">
            <v>Main Panel</v>
          </cell>
        </row>
      </sheetData>
      <sheetData sheetId="3269">
        <row r="52">
          <cell r="B52" t="str">
            <v>Main Panel</v>
          </cell>
        </row>
      </sheetData>
      <sheetData sheetId="3270">
        <row r="52">
          <cell r="B52" t="str">
            <v>Main Panel</v>
          </cell>
        </row>
      </sheetData>
      <sheetData sheetId="3271">
        <row r="52">
          <cell r="B52" t="str">
            <v>Main Panel</v>
          </cell>
        </row>
      </sheetData>
      <sheetData sheetId="3272">
        <row r="52">
          <cell r="B52" t="str">
            <v>Main Panel</v>
          </cell>
        </row>
      </sheetData>
      <sheetData sheetId="3273">
        <row r="52">
          <cell r="B52" t="str">
            <v>Main Panel</v>
          </cell>
        </row>
      </sheetData>
      <sheetData sheetId="3274">
        <row r="52">
          <cell r="B52" t="str">
            <v>Main Panel</v>
          </cell>
        </row>
      </sheetData>
      <sheetData sheetId="3275">
        <row r="52">
          <cell r="B52" t="str">
            <v>Main Panel</v>
          </cell>
        </row>
      </sheetData>
      <sheetData sheetId="3276">
        <row r="52">
          <cell r="B52" t="str">
            <v>Main Panel</v>
          </cell>
        </row>
      </sheetData>
      <sheetData sheetId="3277">
        <row r="52">
          <cell r="B52" t="str">
            <v>Main Panel</v>
          </cell>
        </row>
      </sheetData>
      <sheetData sheetId="3278">
        <row r="52">
          <cell r="B52" t="str">
            <v>Main Panel</v>
          </cell>
        </row>
      </sheetData>
      <sheetData sheetId="3279">
        <row r="52">
          <cell r="B52" t="str">
            <v>Main Panel</v>
          </cell>
        </row>
      </sheetData>
      <sheetData sheetId="3280">
        <row r="52">
          <cell r="B52" t="str">
            <v>Main Panel</v>
          </cell>
        </row>
      </sheetData>
      <sheetData sheetId="3281">
        <row r="52">
          <cell r="B52" t="str">
            <v>Main Panel</v>
          </cell>
        </row>
      </sheetData>
      <sheetData sheetId="3282">
        <row r="52">
          <cell r="B52" t="str">
            <v>Main Panel</v>
          </cell>
        </row>
      </sheetData>
      <sheetData sheetId="3283">
        <row r="52">
          <cell r="B52" t="str">
            <v>Main Panel</v>
          </cell>
        </row>
      </sheetData>
      <sheetData sheetId="3284">
        <row r="52">
          <cell r="B52" t="str">
            <v>Main Panel</v>
          </cell>
        </row>
      </sheetData>
      <sheetData sheetId="3285">
        <row r="52">
          <cell r="B52" t="str">
            <v>Main Panel</v>
          </cell>
        </row>
      </sheetData>
      <sheetData sheetId="3286">
        <row r="52">
          <cell r="B52" t="str">
            <v>Main Panel</v>
          </cell>
        </row>
      </sheetData>
      <sheetData sheetId="3287">
        <row r="52">
          <cell r="B52" t="str">
            <v>Main Panel</v>
          </cell>
        </row>
      </sheetData>
      <sheetData sheetId="3288">
        <row r="52">
          <cell r="B52" t="str">
            <v>Main Panel</v>
          </cell>
        </row>
      </sheetData>
      <sheetData sheetId="3289">
        <row r="52">
          <cell r="B52" t="str">
            <v>Main Panel</v>
          </cell>
        </row>
      </sheetData>
      <sheetData sheetId="3290">
        <row r="52">
          <cell r="B52" t="str">
            <v>Main Panel</v>
          </cell>
        </row>
      </sheetData>
      <sheetData sheetId="3291">
        <row r="52">
          <cell r="B52" t="str">
            <v>Main Panel</v>
          </cell>
        </row>
      </sheetData>
      <sheetData sheetId="3292">
        <row r="52">
          <cell r="B52" t="str">
            <v>Main Panel</v>
          </cell>
        </row>
      </sheetData>
      <sheetData sheetId="3293">
        <row r="52">
          <cell r="B52" t="str">
            <v>Main Panel</v>
          </cell>
        </row>
      </sheetData>
      <sheetData sheetId="3294">
        <row r="52">
          <cell r="B52" t="str">
            <v>Main Panel</v>
          </cell>
        </row>
      </sheetData>
      <sheetData sheetId="3295">
        <row r="52">
          <cell r="B52" t="str">
            <v>Main Panel</v>
          </cell>
        </row>
      </sheetData>
      <sheetData sheetId="3296">
        <row r="52">
          <cell r="B52" t="str">
            <v>Main Panel</v>
          </cell>
        </row>
      </sheetData>
      <sheetData sheetId="3297">
        <row r="52">
          <cell r="B52" t="str">
            <v>Main Panel</v>
          </cell>
        </row>
      </sheetData>
      <sheetData sheetId="3298">
        <row r="52">
          <cell r="B52" t="str">
            <v>Main Panel</v>
          </cell>
        </row>
      </sheetData>
      <sheetData sheetId="3299">
        <row r="52">
          <cell r="B52" t="str">
            <v>Main Panel</v>
          </cell>
        </row>
      </sheetData>
      <sheetData sheetId="3300">
        <row r="52">
          <cell r="B52" t="str">
            <v>Main Panel</v>
          </cell>
        </row>
      </sheetData>
      <sheetData sheetId="3301">
        <row r="52">
          <cell r="B52" t="str">
            <v>Main Panel</v>
          </cell>
        </row>
      </sheetData>
      <sheetData sheetId="3302">
        <row r="52">
          <cell r="B52" t="str">
            <v>Main Panel</v>
          </cell>
        </row>
      </sheetData>
      <sheetData sheetId="3303">
        <row r="52">
          <cell r="B52" t="str">
            <v>Main Panel</v>
          </cell>
        </row>
      </sheetData>
      <sheetData sheetId="3304">
        <row r="52">
          <cell r="B52" t="str">
            <v>Main Panel</v>
          </cell>
        </row>
      </sheetData>
      <sheetData sheetId="3305">
        <row r="52">
          <cell r="B52" t="str">
            <v>Main Panel</v>
          </cell>
        </row>
      </sheetData>
      <sheetData sheetId="3306">
        <row r="52">
          <cell r="B52" t="str">
            <v>Main Panel</v>
          </cell>
        </row>
      </sheetData>
      <sheetData sheetId="3307">
        <row r="52">
          <cell r="B52" t="str">
            <v>Main Panel</v>
          </cell>
        </row>
      </sheetData>
      <sheetData sheetId="3308">
        <row r="52">
          <cell r="B52" t="str">
            <v>Main Panel</v>
          </cell>
        </row>
      </sheetData>
      <sheetData sheetId="3309">
        <row r="52">
          <cell r="B52" t="str">
            <v>Main Panel</v>
          </cell>
        </row>
      </sheetData>
      <sheetData sheetId="3310">
        <row r="52">
          <cell r="B52" t="str">
            <v>Main Panel</v>
          </cell>
        </row>
      </sheetData>
      <sheetData sheetId="3311">
        <row r="52">
          <cell r="B52" t="str">
            <v>Main Panel</v>
          </cell>
        </row>
      </sheetData>
      <sheetData sheetId="3312">
        <row r="52">
          <cell r="B52" t="str">
            <v>Main Panel</v>
          </cell>
        </row>
      </sheetData>
      <sheetData sheetId="3313">
        <row r="52">
          <cell r="B52" t="str">
            <v>Main Panel</v>
          </cell>
        </row>
      </sheetData>
      <sheetData sheetId="3314">
        <row r="52">
          <cell r="B52" t="str">
            <v>Main Panel</v>
          </cell>
        </row>
      </sheetData>
      <sheetData sheetId="3315">
        <row r="52">
          <cell r="B52" t="str">
            <v>Main Panel</v>
          </cell>
        </row>
      </sheetData>
      <sheetData sheetId="3316">
        <row r="52">
          <cell r="B52" t="str">
            <v>Main Panel</v>
          </cell>
        </row>
      </sheetData>
      <sheetData sheetId="3317">
        <row r="52">
          <cell r="B52" t="str">
            <v>Main Panel</v>
          </cell>
        </row>
      </sheetData>
      <sheetData sheetId="3318">
        <row r="52">
          <cell r="B52" t="str">
            <v>Main Panel</v>
          </cell>
        </row>
      </sheetData>
      <sheetData sheetId="3319">
        <row r="52">
          <cell r="B52" t="str">
            <v>Main Panel</v>
          </cell>
        </row>
      </sheetData>
      <sheetData sheetId="3320">
        <row r="52">
          <cell r="B52" t="str">
            <v>Main Panel</v>
          </cell>
        </row>
      </sheetData>
      <sheetData sheetId="3321">
        <row r="52">
          <cell r="B52" t="str">
            <v>Main Panel</v>
          </cell>
        </row>
      </sheetData>
      <sheetData sheetId="3322">
        <row r="52">
          <cell r="B52" t="str">
            <v>Main Panel</v>
          </cell>
        </row>
      </sheetData>
      <sheetData sheetId="3323">
        <row r="52">
          <cell r="B52" t="str">
            <v>Main Panel</v>
          </cell>
        </row>
      </sheetData>
      <sheetData sheetId="3324">
        <row r="52">
          <cell r="B52" t="str">
            <v>Main Panel</v>
          </cell>
        </row>
      </sheetData>
      <sheetData sheetId="3325">
        <row r="52">
          <cell r="B52" t="str">
            <v>Main Panel</v>
          </cell>
        </row>
      </sheetData>
      <sheetData sheetId="3326">
        <row r="52">
          <cell r="B52" t="str">
            <v>Main Panel</v>
          </cell>
        </row>
      </sheetData>
      <sheetData sheetId="3327">
        <row r="52">
          <cell r="B52" t="str">
            <v>Main Panel</v>
          </cell>
        </row>
      </sheetData>
      <sheetData sheetId="3328">
        <row r="52">
          <cell r="B52" t="str">
            <v>Main Panel</v>
          </cell>
        </row>
      </sheetData>
      <sheetData sheetId="3329">
        <row r="52">
          <cell r="B52" t="str">
            <v>Main Panel</v>
          </cell>
        </row>
      </sheetData>
      <sheetData sheetId="3330">
        <row r="52">
          <cell r="B52" t="str">
            <v>Main Panel</v>
          </cell>
        </row>
      </sheetData>
      <sheetData sheetId="3331">
        <row r="52">
          <cell r="B52" t="str">
            <v>Main Panel</v>
          </cell>
        </row>
      </sheetData>
      <sheetData sheetId="3332">
        <row r="52">
          <cell r="B52" t="str">
            <v>Main Panel</v>
          </cell>
        </row>
      </sheetData>
      <sheetData sheetId="3333">
        <row r="52">
          <cell r="B52" t="str">
            <v>Main Panel</v>
          </cell>
        </row>
      </sheetData>
      <sheetData sheetId="3334">
        <row r="52">
          <cell r="B52" t="str">
            <v>Main Panel</v>
          </cell>
        </row>
      </sheetData>
      <sheetData sheetId="3335">
        <row r="52">
          <cell r="B52" t="str">
            <v>Main Panel</v>
          </cell>
        </row>
      </sheetData>
      <sheetData sheetId="3336">
        <row r="52">
          <cell r="B52" t="str">
            <v>Main Panel</v>
          </cell>
        </row>
      </sheetData>
      <sheetData sheetId="3337">
        <row r="52">
          <cell r="B52" t="str">
            <v>Main Panel</v>
          </cell>
        </row>
      </sheetData>
      <sheetData sheetId="3338">
        <row r="52">
          <cell r="B52" t="str">
            <v>Main Panel</v>
          </cell>
        </row>
      </sheetData>
      <sheetData sheetId="3339">
        <row r="52">
          <cell r="B52" t="str">
            <v>Main Panel</v>
          </cell>
        </row>
      </sheetData>
      <sheetData sheetId="3340">
        <row r="52">
          <cell r="B52" t="str">
            <v>Main Panel</v>
          </cell>
        </row>
      </sheetData>
      <sheetData sheetId="3341">
        <row r="52">
          <cell r="B52" t="str">
            <v>Main Panel</v>
          </cell>
        </row>
      </sheetData>
      <sheetData sheetId="3342">
        <row r="52">
          <cell r="B52" t="str">
            <v>Main Panel</v>
          </cell>
        </row>
      </sheetData>
      <sheetData sheetId="3343">
        <row r="52">
          <cell r="B52" t="str">
            <v>Main Panel</v>
          </cell>
        </row>
      </sheetData>
      <sheetData sheetId="3344">
        <row r="52">
          <cell r="B52" t="str">
            <v>Main Panel</v>
          </cell>
        </row>
      </sheetData>
      <sheetData sheetId="3345">
        <row r="52">
          <cell r="B52" t="str">
            <v>Main Panel</v>
          </cell>
        </row>
      </sheetData>
      <sheetData sheetId="3346">
        <row r="52">
          <cell r="B52" t="str">
            <v>Main Panel</v>
          </cell>
        </row>
      </sheetData>
      <sheetData sheetId="3347">
        <row r="52">
          <cell r="B52" t="str">
            <v>Main Panel</v>
          </cell>
        </row>
      </sheetData>
      <sheetData sheetId="3348">
        <row r="52">
          <cell r="B52" t="str">
            <v>Main Panel</v>
          </cell>
        </row>
      </sheetData>
      <sheetData sheetId="3349">
        <row r="52">
          <cell r="B52" t="str">
            <v>Main Panel</v>
          </cell>
        </row>
      </sheetData>
      <sheetData sheetId="3350">
        <row r="52">
          <cell r="B52" t="str">
            <v>Main Panel</v>
          </cell>
        </row>
      </sheetData>
      <sheetData sheetId="3351">
        <row r="52">
          <cell r="B52" t="str">
            <v>Main Panel</v>
          </cell>
        </row>
      </sheetData>
      <sheetData sheetId="3352">
        <row r="52">
          <cell r="B52" t="str">
            <v>Main Panel</v>
          </cell>
        </row>
      </sheetData>
      <sheetData sheetId="3353">
        <row r="52">
          <cell r="B52" t="str">
            <v>Main Panel</v>
          </cell>
        </row>
      </sheetData>
      <sheetData sheetId="3354">
        <row r="52">
          <cell r="B52" t="str">
            <v>Main Panel</v>
          </cell>
        </row>
      </sheetData>
      <sheetData sheetId="3355">
        <row r="52">
          <cell r="B52" t="str">
            <v>Main Panel</v>
          </cell>
        </row>
      </sheetData>
      <sheetData sheetId="3356">
        <row r="52">
          <cell r="B52" t="str">
            <v>Main Panel</v>
          </cell>
        </row>
      </sheetData>
      <sheetData sheetId="3357">
        <row r="52">
          <cell r="B52" t="str">
            <v>Main Panel</v>
          </cell>
        </row>
      </sheetData>
      <sheetData sheetId="3358">
        <row r="52">
          <cell r="B52" t="str">
            <v>Main Panel</v>
          </cell>
        </row>
      </sheetData>
      <sheetData sheetId="3359">
        <row r="52">
          <cell r="B52" t="str">
            <v>Main Panel</v>
          </cell>
        </row>
      </sheetData>
      <sheetData sheetId="3360">
        <row r="52">
          <cell r="B52" t="str">
            <v>Main Panel</v>
          </cell>
        </row>
      </sheetData>
      <sheetData sheetId="3361">
        <row r="52">
          <cell r="B52" t="str">
            <v>Main Panel</v>
          </cell>
        </row>
      </sheetData>
      <sheetData sheetId="3362">
        <row r="52">
          <cell r="B52" t="str">
            <v>Main Panel</v>
          </cell>
        </row>
      </sheetData>
      <sheetData sheetId="3363">
        <row r="52">
          <cell r="B52" t="str">
            <v>Main Panel</v>
          </cell>
        </row>
      </sheetData>
      <sheetData sheetId="3364">
        <row r="52">
          <cell r="B52" t="str">
            <v>Main Panel</v>
          </cell>
        </row>
      </sheetData>
      <sheetData sheetId="3365">
        <row r="52">
          <cell r="B52" t="str">
            <v>Main Panel</v>
          </cell>
        </row>
      </sheetData>
      <sheetData sheetId="3366">
        <row r="52">
          <cell r="B52" t="str">
            <v>Main Panel</v>
          </cell>
        </row>
      </sheetData>
      <sheetData sheetId="3367">
        <row r="52">
          <cell r="B52" t="str">
            <v>Main Panel</v>
          </cell>
        </row>
      </sheetData>
      <sheetData sheetId="3368">
        <row r="52">
          <cell r="B52" t="str">
            <v>Main Panel</v>
          </cell>
        </row>
      </sheetData>
      <sheetData sheetId="3369">
        <row r="52">
          <cell r="B52" t="str">
            <v>Main Panel</v>
          </cell>
        </row>
      </sheetData>
      <sheetData sheetId="3370">
        <row r="52">
          <cell r="B52" t="str">
            <v>Main Panel</v>
          </cell>
        </row>
      </sheetData>
      <sheetData sheetId="3371">
        <row r="52">
          <cell r="B52" t="str">
            <v>Main Panel</v>
          </cell>
        </row>
      </sheetData>
      <sheetData sheetId="3372">
        <row r="52">
          <cell r="B52" t="str">
            <v>Main Panel</v>
          </cell>
        </row>
      </sheetData>
      <sheetData sheetId="3373">
        <row r="52">
          <cell r="B52" t="str">
            <v>Main Panel</v>
          </cell>
        </row>
      </sheetData>
      <sheetData sheetId="3374">
        <row r="52">
          <cell r="B52" t="str">
            <v>Main Panel</v>
          </cell>
        </row>
      </sheetData>
      <sheetData sheetId="3375">
        <row r="52">
          <cell r="B52" t="str">
            <v>Main Panel</v>
          </cell>
        </row>
      </sheetData>
      <sheetData sheetId="3376">
        <row r="52">
          <cell r="B52" t="str">
            <v>Main Panel</v>
          </cell>
        </row>
      </sheetData>
      <sheetData sheetId="3377">
        <row r="52">
          <cell r="B52" t="str">
            <v>Main Panel</v>
          </cell>
        </row>
      </sheetData>
      <sheetData sheetId="3378">
        <row r="52">
          <cell r="B52" t="str">
            <v>Main Panel</v>
          </cell>
        </row>
      </sheetData>
      <sheetData sheetId="3379">
        <row r="52">
          <cell r="B52" t="str">
            <v>Main Panel</v>
          </cell>
        </row>
      </sheetData>
      <sheetData sheetId="3380">
        <row r="52">
          <cell r="B52" t="str">
            <v>Main Panel</v>
          </cell>
        </row>
      </sheetData>
      <sheetData sheetId="3381">
        <row r="52">
          <cell r="B52" t="str">
            <v>Main Panel</v>
          </cell>
        </row>
      </sheetData>
      <sheetData sheetId="3382">
        <row r="52">
          <cell r="B52" t="str">
            <v>Main Panel</v>
          </cell>
        </row>
      </sheetData>
      <sheetData sheetId="3383">
        <row r="52">
          <cell r="B52" t="str">
            <v>Main Panel</v>
          </cell>
        </row>
      </sheetData>
      <sheetData sheetId="3384">
        <row r="52">
          <cell r="B52" t="str">
            <v>Main Panel</v>
          </cell>
        </row>
      </sheetData>
      <sheetData sheetId="3385">
        <row r="52">
          <cell r="B52" t="str">
            <v>Main Panel</v>
          </cell>
        </row>
      </sheetData>
      <sheetData sheetId="3386">
        <row r="52">
          <cell r="B52" t="str">
            <v>Main Panel</v>
          </cell>
        </row>
      </sheetData>
      <sheetData sheetId="3387">
        <row r="52">
          <cell r="B52" t="str">
            <v>Main Panel</v>
          </cell>
        </row>
      </sheetData>
      <sheetData sheetId="3388">
        <row r="52">
          <cell r="B52" t="str">
            <v>Main Panel</v>
          </cell>
        </row>
      </sheetData>
      <sheetData sheetId="3389">
        <row r="52">
          <cell r="B52" t="str">
            <v>Main Panel</v>
          </cell>
        </row>
      </sheetData>
      <sheetData sheetId="3390">
        <row r="52">
          <cell r="B52" t="str">
            <v>Main Panel</v>
          </cell>
        </row>
      </sheetData>
      <sheetData sheetId="3391">
        <row r="52">
          <cell r="B52" t="str">
            <v>Main Panel</v>
          </cell>
        </row>
      </sheetData>
      <sheetData sheetId="3392">
        <row r="52">
          <cell r="B52" t="str">
            <v>Main Panel</v>
          </cell>
        </row>
      </sheetData>
      <sheetData sheetId="3393">
        <row r="52">
          <cell r="B52" t="str">
            <v>Main Panel</v>
          </cell>
        </row>
      </sheetData>
      <sheetData sheetId="3394">
        <row r="52">
          <cell r="B52" t="str">
            <v>Main Panel</v>
          </cell>
        </row>
      </sheetData>
      <sheetData sheetId="3395">
        <row r="52">
          <cell r="B52" t="str">
            <v>Main Panel</v>
          </cell>
        </row>
      </sheetData>
      <sheetData sheetId="3396">
        <row r="52">
          <cell r="B52" t="str">
            <v>Main Panel</v>
          </cell>
        </row>
      </sheetData>
      <sheetData sheetId="3397">
        <row r="52">
          <cell r="B52" t="str">
            <v>Main Panel</v>
          </cell>
        </row>
      </sheetData>
      <sheetData sheetId="3398">
        <row r="52">
          <cell r="B52" t="str">
            <v>Main Panel</v>
          </cell>
        </row>
      </sheetData>
      <sheetData sheetId="3399">
        <row r="52">
          <cell r="B52" t="str">
            <v>Main Panel</v>
          </cell>
        </row>
      </sheetData>
      <sheetData sheetId="3400">
        <row r="52">
          <cell r="B52" t="str">
            <v>Main Panel</v>
          </cell>
        </row>
      </sheetData>
      <sheetData sheetId="3401">
        <row r="52">
          <cell r="B52" t="str">
            <v>Main Panel</v>
          </cell>
        </row>
      </sheetData>
      <sheetData sheetId="3402">
        <row r="52">
          <cell r="B52" t="str">
            <v>Main Panel</v>
          </cell>
        </row>
      </sheetData>
      <sheetData sheetId="3403">
        <row r="52">
          <cell r="B52" t="str">
            <v>Main Panel</v>
          </cell>
        </row>
      </sheetData>
      <sheetData sheetId="3404">
        <row r="52">
          <cell r="B52" t="str">
            <v>Main Panel</v>
          </cell>
        </row>
      </sheetData>
      <sheetData sheetId="3405">
        <row r="52">
          <cell r="B52" t="str">
            <v>Main Panel</v>
          </cell>
        </row>
      </sheetData>
      <sheetData sheetId="3406">
        <row r="52">
          <cell r="B52" t="str">
            <v>Main Panel</v>
          </cell>
        </row>
      </sheetData>
      <sheetData sheetId="3407">
        <row r="52">
          <cell r="B52" t="str">
            <v>Main Panel</v>
          </cell>
        </row>
      </sheetData>
      <sheetData sheetId="3408">
        <row r="52">
          <cell r="B52" t="str">
            <v>Main Panel</v>
          </cell>
        </row>
      </sheetData>
      <sheetData sheetId="3409">
        <row r="52">
          <cell r="B52" t="str">
            <v>Main Panel</v>
          </cell>
        </row>
      </sheetData>
      <sheetData sheetId="3410">
        <row r="52">
          <cell r="B52" t="str">
            <v>Main Panel</v>
          </cell>
        </row>
      </sheetData>
      <sheetData sheetId="3411">
        <row r="52">
          <cell r="B52" t="str">
            <v>Main Panel</v>
          </cell>
        </row>
      </sheetData>
      <sheetData sheetId="3412">
        <row r="52">
          <cell r="B52" t="str">
            <v>Main Panel</v>
          </cell>
        </row>
      </sheetData>
      <sheetData sheetId="3413">
        <row r="52">
          <cell r="B52" t="str">
            <v>Main Panel</v>
          </cell>
        </row>
      </sheetData>
      <sheetData sheetId="3414">
        <row r="52">
          <cell r="B52" t="str">
            <v>Main Panel</v>
          </cell>
        </row>
      </sheetData>
      <sheetData sheetId="3415">
        <row r="52">
          <cell r="B52" t="str">
            <v>Main Panel</v>
          </cell>
        </row>
      </sheetData>
      <sheetData sheetId="3416">
        <row r="52">
          <cell r="B52" t="str">
            <v>Main Panel</v>
          </cell>
        </row>
      </sheetData>
      <sheetData sheetId="3417">
        <row r="52">
          <cell r="B52" t="str">
            <v>Main Panel</v>
          </cell>
        </row>
      </sheetData>
      <sheetData sheetId="3418">
        <row r="52">
          <cell r="B52" t="str">
            <v>Main Panel</v>
          </cell>
        </row>
      </sheetData>
      <sheetData sheetId="3419">
        <row r="52">
          <cell r="B52" t="str">
            <v>Main Panel</v>
          </cell>
        </row>
      </sheetData>
      <sheetData sheetId="3420">
        <row r="52">
          <cell r="B52" t="str">
            <v>Main Panel</v>
          </cell>
        </row>
      </sheetData>
      <sheetData sheetId="3421">
        <row r="52">
          <cell r="B52" t="str">
            <v>Main Panel</v>
          </cell>
        </row>
      </sheetData>
      <sheetData sheetId="3422">
        <row r="52">
          <cell r="B52" t="str">
            <v>Main Panel</v>
          </cell>
        </row>
      </sheetData>
      <sheetData sheetId="3423">
        <row r="52">
          <cell r="B52" t="str">
            <v>Main Panel</v>
          </cell>
        </row>
      </sheetData>
      <sheetData sheetId="3424">
        <row r="52">
          <cell r="B52" t="str">
            <v>Main Panel</v>
          </cell>
        </row>
      </sheetData>
      <sheetData sheetId="3425">
        <row r="52">
          <cell r="B52" t="str">
            <v>Main Panel</v>
          </cell>
        </row>
      </sheetData>
      <sheetData sheetId="3426">
        <row r="52">
          <cell r="B52" t="str">
            <v>Main Panel</v>
          </cell>
        </row>
      </sheetData>
      <sheetData sheetId="3427">
        <row r="52">
          <cell r="B52" t="str">
            <v>Main Panel</v>
          </cell>
        </row>
      </sheetData>
      <sheetData sheetId="3428">
        <row r="52">
          <cell r="B52" t="str">
            <v>Main Panel</v>
          </cell>
        </row>
      </sheetData>
      <sheetData sheetId="3429">
        <row r="52">
          <cell r="B52" t="str">
            <v>Main Panel</v>
          </cell>
        </row>
      </sheetData>
      <sheetData sheetId="3430">
        <row r="52">
          <cell r="B52" t="str">
            <v>Main Panel</v>
          </cell>
        </row>
      </sheetData>
      <sheetData sheetId="3431">
        <row r="52">
          <cell r="B52" t="str">
            <v>Main Panel</v>
          </cell>
        </row>
      </sheetData>
      <sheetData sheetId="3432">
        <row r="52">
          <cell r="B52" t="str">
            <v>Main Panel</v>
          </cell>
        </row>
      </sheetData>
      <sheetData sheetId="3433">
        <row r="52">
          <cell r="B52" t="str">
            <v>Main Panel</v>
          </cell>
        </row>
      </sheetData>
      <sheetData sheetId="3434">
        <row r="52">
          <cell r="B52" t="str">
            <v>Main Panel</v>
          </cell>
        </row>
      </sheetData>
      <sheetData sheetId="3435">
        <row r="52">
          <cell r="B52" t="str">
            <v>Main Panel</v>
          </cell>
        </row>
      </sheetData>
      <sheetData sheetId="3436">
        <row r="52">
          <cell r="B52" t="str">
            <v>Main Panel</v>
          </cell>
        </row>
      </sheetData>
      <sheetData sheetId="3437">
        <row r="52">
          <cell r="B52" t="str">
            <v>Main Panel</v>
          </cell>
        </row>
      </sheetData>
      <sheetData sheetId="3438">
        <row r="52">
          <cell r="B52" t="str">
            <v>Main Panel</v>
          </cell>
        </row>
      </sheetData>
      <sheetData sheetId="3439">
        <row r="52">
          <cell r="B52" t="str">
            <v>Main Panel</v>
          </cell>
        </row>
      </sheetData>
      <sheetData sheetId="3440">
        <row r="52">
          <cell r="B52" t="str">
            <v>Main Panel</v>
          </cell>
        </row>
      </sheetData>
      <sheetData sheetId="3441">
        <row r="52">
          <cell r="B52" t="str">
            <v>Main Panel</v>
          </cell>
        </row>
      </sheetData>
      <sheetData sheetId="3442">
        <row r="52">
          <cell r="B52" t="str">
            <v>Main Panel</v>
          </cell>
        </row>
      </sheetData>
      <sheetData sheetId="3443">
        <row r="52">
          <cell r="B52" t="str">
            <v>Main Panel</v>
          </cell>
        </row>
      </sheetData>
      <sheetData sheetId="3444">
        <row r="52">
          <cell r="B52" t="str">
            <v>Main Panel</v>
          </cell>
        </row>
      </sheetData>
      <sheetData sheetId="3445">
        <row r="52">
          <cell r="B52" t="str">
            <v>Main Panel</v>
          </cell>
        </row>
      </sheetData>
      <sheetData sheetId="3446">
        <row r="52">
          <cell r="B52" t="str">
            <v>Main Panel</v>
          </cell>
        </row>
      </sheetData>
      <sheetData sheetId="3447">
        <row r="52">
          <cell r="B52" t="str">
            <v>Main Panel</v>
          </cell>
        </row>
      </sheetData>
      <sheetData sheetId="3448">
        <row r="52">
          <cell r="B52" t="str">
            <v>Main Panel</v>
          </cell>
        </row>
      </sheetData>
      <sheetData sheetId="3449">
        <row r="52">
          <cell r="B52" t="str">
            <v>Main Panel</v>
          </cell>
        </row>
      </sheetData>
      <sheetData sheetId="3450">
        <row r="52">
          <cell r="B52" t="str">
            <v>Main Panel</v>
          </cell>
        </row>
      </sheetData>
      <sheetData sheetId="3451">
        <row r="52">
          <cell r="B52" t="str">
            <v>Main Panel</v>
          </cell>
        </row>
      </sheetData>
      <sheetData sheetId="3452">
        <row r="52">
          <cell r="B52" t="str">
            <v>Main Panel</v>
          </cell>
        </row>
      </sheetData>
      <sheetData sheetId="3453">
        <row r="52">
          <cell r="B52" t="str">
            <v>Main Panel</v>
          </cell>
        </row>
      </sheetData>
      <sheetData sheetId="3454">
        <row r="52">
          <cell r="B52" t="str">
            <v>Main Panel</v>
          </cell>
        </row>
      </sheetData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>
        <row r="52">
          <cell r="B52" t="str">
            <v>Main Panel</v>
          </cell>
        </row>
      </sheetData>
      <sheetData sheetId="3467">
        <row r="52">
          <cell r="B52" t="str">
            <v>Main Panel</v>
          </cell>
        </row>
      </sheetData>
      <sheetData sheetId="3468">
        <row r="52">
          <cell r="B52" t="str">
            <v>Main Panel</v>
          </cell>
        </row>
      </sheetData>
      <sheetData sheetId="3469">
        <row r="52">
          <cell r="B52" t="str">
            <v>Main Panel</v>
          </cell>
        </row>
      </sheetData>
      <sheetData sheetId="3470">
        <row r="52">
          <cell r="B52" t="str">
            <v>Main Panel</v>
          </cell>
        </row>
      </sheetData>
      <sheetData sheetId="3471">
        <row r="52">
          <cell r="B52" t="str">
            <v>Main Panel</v>
          </cell>
        </row>
      </sheetData>
      <sheetData sheetId="3472">
        <row r="52">
          <cell r="B52" t="str">
            <v>Main Panel</v>
          </cell>
        </row>
      </sheetData>
      <sheetData sheetId="3473">
        <row r="52">
          <cell r="B52" t="str">
            <v>Main Panel</v>
          </cell>
        </row>
      </sheetData>
      <sheetData sheetId="3474">
        <row r="52">
          <cell r="B52" t="str">
            <v>Main Panel</v>
          </cell>
        </row>
      </sheetData>
      <sheetData sheetId="3475">
        <row r="52">
          <cell r="B52" t="str">
            <v>Main Panel</v>
          </cell>
        </row>
      </sheetData>
      <sheetData sheetId="3476">
        <row r="52">
          <cell r="B52" t="str">
            <v>Main Panel</v>
          </cell>
        </row>
      </sheetData>
      <sheetData sheetId="3477">
        <row r="52">
          <cell r="B52" t="str">
            <v>Main Panel</v>
          </cell>
        </row>
      </sheetData>
      <sheetData sheetId="3478">
        <row r="52">
          <cell r="B52" t="str">
            <v>Main Panel</v>
          </cell>
        </row>
      </sheetData>
      <sheetData sheetId="3479">
        <row r="52">
          <cell r="B52" t="str">
            <v>Main Panel</v>
          </cell>
        </row>
      </sheetData>
      <sheetData sheetId="3480">
        <row r="52">
          <cell r="B52" t="str">
            <v>Main Panel</v>
          </cell>
        </row>
      </sheetData>
      <sheetData sheetId="3481">
        <row r="52">
          <cell r="B52" t="str">
            <v>Main Panel</v>
          </cell>
        </row>
      </sheetData>
      <sheetData sheetId="3482">
        <row r="52">
          <cell r="B52" t="str">
            <v>Main Panel</v>
          </cell>
        </row>
      </sheetData>
      <sheetData sheetId="3483">
        <row r="52">
          <cell r="B52" t="str">
            <v>Main Panel</v>
          </cell>
        </row>
      </sheetData>
      <sheetData sheetId="3484">
        <row r="52">
          <cell r="B52" t="str">
            <v>Main Panel</v>
          </cell>
        </row>
      </sheetData>
      <sheetData sheetId="3485">
        <row r="52">
          <cell r="B52" t="str">
            <v>Main Panel</v>
          </cell>
        </row>
      </sheetData>
      <sheetData sheetId="3486">
        <row r="52">
          <cell r="B52" t="str">
            <v>Main Panel</v>
          </cell>
        </row>
      </sheetData>
      <sheetData sheetId="3487">
        <row r="52">
          <cell r="B52" t="str">
            <v>Main Panel</v>
          </cell>
        </row>
      </sheetData>
      <sheetData sheetId="3488">
        <row r="52">
          <cell r="B52" t="str">
            <v>Main Panel</v>
          </cell>
        </row>
      </sheetData>
      <sheetData sheetId="3489">
        <row r="52">
          <cell r="B52" t="str">
            <v>Main Panel</v>
          </cell>
        </row>
      </sheetData>
      <sheetData sheetId="3490">
        <row r="52">
          <cell r="B52" t="str">
            <v>Main Panel</v>
          </cell>
        </row>
      </sheetData>
      <sheetData sheetId="3491">
        <row r="52">
          <cell r="B52" t="str">
            <v>Main Panel</v>
          </cell>
        </row>
      </sheetData>
      <sheetData sheetId="3492">
        <row r="52">
          <cell r="B52" t="str">
            <v>Main Panel</v>
          </cell>
        </row>
      </sheetData>
      <sheetData sheetId="3493">
        <row r="52">
          <cell r="B52" t="str">
            <v>Main Panel</v>
          </cell>
        </row>
      </sheetData>
      <sheetData sheetId="3494">
        <row r="52">
          <cell r="B52" t="str">
            <v>Main Panel</v>
          </cell>
        </row>
      </sheetData>
      <sheetData sheetId="3495">
        <row r="52">
          <cell r="B52" t="str">
            <v>Main Panel</v>
          </cell>
        </row>
      </sheetData>
      <sheetData sheetId="3496">
        <row r="52">
          <cell r="B52" t="str">
            <v>Main Panel</v>
          </cell>
        </row>
      </sheetData>
      <sheetData sheetId="3497">
        <row r="52">
          <cell r="B52" t="str">
            <v>Main Panel</v>
          </cell>
        </row>
      </sheetData>
      <sheetData sheetId="3498">
        <row r="52">
          <cell r="B52" t="str">
            <v>Main Panel</v>
          </cell>
        </row>
      </sheetData>
      <sheetData sheetId="3499">
        <row r="52">
          <cell r="B52" t="str">
            <v>Main Panel</v>
          </cell>
        </row>
      </sheetData>
      <sheetData sheetId="3500">
        <row r="52">
          <cell r="B52" t="str">
            <v>Main Panel</v>
          </cell>
        </row>
      </sheetData>
      <sheetData sheetId="3501">
        <row r="52">
          <cell r="B52" t="str">
            <v>Main Panel</v>
          </cell>
        </row>
      </sheetData>
      <sheetData sheetId="3502">
        <row r="52">
          <cell r="B52" t="str">
            <v>Main Panel</v>
          </cell>
        </row>
      </sheetData>
      <sheetData sheetId="3503">
        <row r="52">
          <cell r="B52" t="str">
            <v>Main Panel</v>
          </cell>
        </row>
      </sheetData>
      <sheetData sheetId="3504">
        <row r="52">
          <cell r="B52" t="str">
            <v>Main Panel</v>
          </cell>
        </row>
      </sheetData>
      <sheetData sheetId="3505">
        <row r="52">
          <cell r="B52" t="str">
            <v>Main Panel</v>
          </cell>
        </row>
      </sheetData>
      <sheetData sheetId="3506">
        <row r="52">
          <cell r="B52" t="str">
            <v>Main Panel</v>
          </cell>
        </row>
      </sheetData>
      <sheetData sheetId="3507">
        <row r="52">
          <cell r="B52" t="str">
            <v>Main Panel</v>
          </cell>
        </row>
      </sheetData>
      <sheetData sheetId="3508">
        <row r="52">
          <cell r="B52" t="str">
            <v>Main Panel</v>
          </cell>
        </row>
      </sheetData>
      <sheetData sheetId="3509">
        <row r="52">
          <cell r="B52" t="str">
            <v>Main Panel</v>
          </cell>
        </row>
      </sheetData>
      <sheetData sheetId="3510">
        <row r="52">
          <cell r="B52" t="str">
            <v>Main Panel</v>
          </cell>
        </row>
      </sheetData>
      <sheetData sheetId="3511">
        <row r="52">
          <cell r="B52" t="str">
            <v>Main Panel</v>
          </cell>
        </row>
      </sheetData>
      <sheetData sheetId="3512">
        <row r="52">
          <cell r="B52" t="str">
            <v>Main Panel</v>
          </cell>
        </row>
      </sheetData>
      <sheetData sheetId="3513">
        <row r="52">
          <cell r="B52" t="str">
            <v>Main Panel</v>
          </cell>
        </row>
      </sheetData>
      <sheetData sheetId="3514">
        <row r="52">
          <cell r="B52" t="str">
            <v>Main Panel</v>
          </cell>
        </row>
      </sheetData>
      <sheetData sheetId="3515">
        <row r="52">
          <cell r="B52" t="str">
            <v>Main Panel</v>
          </cell>
        </row>
      </sheetData>
      <sheetData sheetId="3516">
        <row r="52">
          <cell r="B52" t="str">
            <v>Main Panel</v>
          </cell>
        </row>
      </sheetData>
      <sheetData sheetId="3517">
        <row r="52">
          <cell r="B52" t="str">
            <v>Main Panel</v>
          </cell>
        </row>
      </sheetData>
      <sheetData sheetId="3518">
        <row r="52">
          <cell r="B52" t="str">
            <v>Main Panel</v>
          </cell>
        </row>
      </sheetData>
      <sheetData sheetId="3519">
        <row r="52">
          <cell r="B52" t="str">
            <v>Main Panel</v>
          </cell>
        </row>
      </sheetData>
      <sheetData sheetId="3520">
        <row r="52">
          <cell r="B52" t="str">
            <v>Main Panel</v>
          </cell>
        </row>
      </sheetData>
      <sheetData sheetId="3521">
        <row r="52">
          <cell r="B52" t="str">
            <v>Main Panel</v>
          </cell>
        </row>
      </sheetData>
      <sheetData sheetId="3522">
        <row r="52">
          <cell r="B52" t="str">
            <v>Main Panel</v>
          </cell>
        </row>
      </sheetData>
      <sheetData sheetId="3523">
        <row r="52">
          <cell r="B52" t="str">
            <v>Main Panel</v>
          </cell>
        </row>
      </sheetData>
      <sheetData sheetId="3524">
        <row r="52">
          <cell r="B52" t="str">
            <v>Main Panel</v>
          </cell>
        </row>
      </sheetData>
      <sheetData sheetId="3525">
        <row r="52">
          <cell r="B52" t="str">
            <v>Main Panel</v>
          </cell>
        </row>
      </sheetData>
      <sheetData sheetId="3526" refreshError="1"/>
      <sheetData sheetId="3527" refreshError="1"/>
      <sheetData sheetId="3528" refreshError="1"/>
      <sheetData sheetId="3529" refreshError="1"/>
      <sheetData sheetId="3530">
        <row r="52">
          <cell r="B52" t="str">
            <v>Main Panel</v>
          </cell>
        </row>
      </sheetData>
      <sheetData sheetId="3531">
        <row r="52">
          <cell r="B52" t="str">
            <v>Main Panel</v>
          </cell>
        </row>
      </sheetData>
      <sheetData sheetId="3532">
        <row r="52">
          <cell r="B52" t="str">
            <v>Main Panel</v>
          </cell>
        </row>
      </sheetData>
      <sheetData sheetId="3533">
        <row r="52">
          <cell r="B52" t="str">
            <v>Main Panel</v>
          </cell>
        </row>
      </sheetData>
      <sheetData sheetId="3534">
        <row r="52">
          <cell r="B52" t="str">
            <v>Main Panel</v>
          </cell>
        </row>
      </sheetData>
      <sheetData sheetId="3535">
        <row r="52">
          <cell r="B52" t="str">
            <v>Main Panel</v>
          </cell>
        </row>
      </sheetData>
      <sheetData sheetId="3536">
        <row r="52">
          <cell r="B52" t="str">
            <v>Main Panel</v>
          </cell>
        </row>
      </sheetData>
      <sheetData sheetId="3537">
        <row r="52">
          <cell r="B52" t="str">
            <v>Main Panel</v>
          </cell>
        </row>
      </sheetData>
      <sheetData sheetId="3538">
        <row r="52">
          <cell r="B52" t="str">
            <v>Main Panel</v>
          </cell>
        </row>
      </sheetData>
      <sheetData sheetId="3539">
        <row r="52">
          <cell r="B52" t="str">
            <v>Main Panel</v>
          </cell>
        </row>
      </sheetData>
      <sheetData sheetId="3540">
        <row r="52">
          <cell r="B52" t="str">
            <v>Main Panel</v>
          </cell>
        </row>
      </sheetData>
      <sheetData sheetId="3541">
        <row r="52">
          <cell r="B52" t="str">
            <v>Main Panel</v>
          </cell>
        </row>
      </sheetData>
      <sheetData sheetId="3542">
        <row r="52">
          <cell r="B52" t="str">
            <v>Main Panel</v>
          </cell>
        </row>
      </sheetData>
      <sheetData sheetId="3543">
        <row r="52">
          <cell r="B52" t="str">
            <v>Main Panel</v>
          </cell>
        </row>
      </sheetData>
      <sheetData sheetId="3544">
        <row r="52">
          <cell r="B52" t="str">
            <v>Main Panel</v>
          </cell>
        </row>
      </sheetData>
      <sheetData sheetId="3545">
        <row r="52">
          <cell r="B52" t="str">
            <v>Main Panel</v>
          </cell>
        </row>
      </sheetData>
      <sheetData sheetId="3546">
        <row r="52">
          <cell r="B52" t="str">
            <v>Main Panel</v>
          </cell>
        </row>
      </sheetData>
      <sheetData sheetId="3547">
        <row r="52">
          <cell r="B52" t="str">
            <v>Main Panel</v>
          </cell>
        </row>
      </sheetData>
      <sheetData sheetId="3548">
        <row r="52">
          <cell r="B52" t="str">
            <v>Main Panel</v>
          </cell>
        </row>
      </sheetData>
      <sheetData sheetId="3549">
        <row r="52">
          <cell r="B52" t="str">
            <v>Main Panel</v>
          </cell>
        </row>
      </sheetData>
      <sheetData sheetId="3550">
        <row r="52">
          <cell r="B52" t="str">
            <v>Main Panel</v>
          </cell>
        </row>
      </sheetData>
      <sheetData sheetId="3551">
        <row r="52">
          <cell r="B52" t="str">
            <v>Main Panel</v>
          </cell>
        </row>
      </sheetData>
      <sheetData sheetId="3552">
        <row r="52">
          <cell r="B52" t="str">
            <v>Main Panel</v>
          </cell>
        </row>
      </sheetData>
      <sheetData sheetId="3553">
        <row r="52">
          <cell r="B52" t="str">
            <v>Main Panel</v>
          </cell>
        </row>
      </sheetData>
      <sheetData sheetId="3554">
        <row r="52">
          <cell r="B52" t="str">
            <v>Main Panel</v>
          </cell>
        </row>
      </sheetData>
      <sheetData sheetId="3555">
        <row r="52">
          <cell r="B52" t="str">
            <v>Main Panel</v>
          </cell>
        </row>
      </sheetData>
      <sheetData sheetId="3556">
        <row r="52">
          <cell r="B52" t="str">
            <v>Main Panel</v>
          </cell>
        </row>
      </sheetData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>
        <row r="52">
          <cell r="B52" t="str">
            <v>Main Panel</v>
          </cell>
        </row>
      </sheetData>
      <sheetData sheetId="3567">
        <row r="52">
          <cell r="B52" t="str">
            <v>Main Panel</v>
          </cell>
        </row>
      </sheetData>
      <sheetData sheetId="3568">
        <row r="52">
          <cell r="B52" t="str">
            <v>Main Panel</v>
          </cell>
        </row>
      </sheetData>
      <sheetData sheetId="3569">
        <row r="52">
          <cell r="B52" t="str">
            <v>Main Panel</v>
          </cell>
        </row>
      </sheetData>
      <sheetData sheetId="3570">
        <row r="52">
          <cell r="B52" t="str">
            <v>Main Panel</v>
          </cell>
        </row>
      </sheetData>
      <sheetData sheetId="3571">
        <row r="52">
          <cell r="B52" t="str">
            <v>Main Panel</v>
          </cell>
        </row>
      </sheetData>
      <sheetData sheetId="3572">
        <row r="52">
          <cell r="B52" t="str">
            <v>Main Panel</v>
          </cell>
        </row>
      </sheetData>
      <sheetData sheetId="3573">
        <row r="52">
          <cell r="B52" t="str">
            <v>Main Panel</v>
          </cell>
        </row>
      </sheetData>
      <sheetData sheetId="3574">
        <row r="52">
          <cell r="B52" t="str">
            <v>Main Panel</v>
          </cell>
        </row>
      </sheetData>
      <sheetData sheetId="3575">
        <row r="52">
          <cell r="B52" t="str">
            <v>Main Panel</v>
          </cell>
        </row>
      </sheetData>
      <sheetData sheetId="3576">
        <row r="52">
          <cell r="B52" t="str">
            <v>Main Panel</v>
          </cell>
        </row>
      </sheetData>
      <sheetData sheetId="3577">
        <row r="52">
          <cell r="B52" t="str">
            <v>Main Panel</v>
          </cell>
        </row>
      </sheetData>
      <sheetData sheetId="3578">
        <row r="52">
          <cell r="B52" t="str">
            <v>Main Panel</v>
          </cell>
        </row>
      </sheetData>
      <sheetData sheetId="3579">
        <row r="52">
          <cell r="B52" t="str">
            <v>Main Panel</v>
          </cell>
        </row>
      </sheetData>
      <sheetData sheetId="3580">
        <row r="52">
          <cell r="B52" t="str">
            <v>Main Panel</v>
          </cell>
        </row>
      </sheetData>
      <sheetData sheetId="3581">
        <row r="52">
          <cell r="B52" t="str">
            <v>Main Panel</v>
          </cell>
        </row>
      </sheetData>
      <sheetData sheetId="3582">
        <row r="52">
          <cell r="B52" t="str">
            <v>Main Panel</v>
          </cell>
        </row>
      </sheetData>
      <sheetData sheetId="3583">
        <row r="52">
          <cell r="B52" t="str">
            <v>Main Panel</v>
          </cell>
        </row>
      </sheetData>
      <sheetData sheetId="3584">
        <row r="52">
          <cell r="B52" t="str">
            <v>Main Panel</v>
          </cell>
        </row>
      </sheetData>
      <sheetData sheetId="3585">
        <row r="52">
          <cell r="B52" t="str">
            <v>Main Panel</v>
          </cell>
        </row>
      </sheetData>
      <sheetData sheetId="3586">
        <row r="52">
          <cell r="B52" t="str">
            <v>Main Panel</v>
          </cell>
        </row>
      </sheetData>
      <sheetData sheetId="3587">
        <row r="52">
          <cell r="B52" t="str">
            <v>Main Panel</v>
          </cell>
        </row>
      </sheetData>
      <sheetData sheetId="3588">
        <row r="52">
          <cell r="B52" t="str">
            <v>Main Panel</v>
          </cell>
        </row>
      </sheetData>
      <sheetData sheetId="3589">
        <row r="52">
          <cell r="B52" t="str">
            <v>Main Panel</v>
          </cell>
        </row>
      </sheetData>
      <sheetData sheetId="3590">
        <row r="52">
          <cell r="B52" t="str">
            <v>Main Panel</v>
          </cell>
        </row>
      </sheetData>
      <sheetData sheetId="3591">
        <row r="52">
          <cell r="B52" t="str">
            <v>Main Panel</v>
          </cell>
        </row>
      </sheetData>
      <sheetData sheetId="3592">
        <row r="52">
          <cell r="B52" t="str">
            <v>Main Panel</v>
          </cell>
        </row>
      </sheetData>
      <sheetData sheetId="3593">
        <row r="52">
          <cell r="B52" t="str">
            <v>Main Panel</v>
          </cell>
        </row>
      </sheetData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/>
      <sheetData sheetId="3605" refreshError="1"/>
      <sheetData sheetId="3606" refreshError="1"/>
      <sheetData sheetId="3607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>
        <row r="52">
          <cell r="B52" t="str">
            <v>Main Panel</v>
          </cell>
        </row>
      </sheetData>
      <sheetData sheetId="3669">
        <row r="52">
          <cell r="B52" t="str">
            <v>Main Panel</v>
          </cell>
        </row>
      </sheetData>
      <sheetData sheetId="3670">
        <row r="52">
          <cell r="B52" t="str">
            <v>Main Panel</v>
          </cell>
        </row>
      </sheetData>
      <sheetData sheetId="3671">
        <row r="52">
          <cell r="B52" t="str">
            <v>Main Panel</v>
          </cell>
        </row>
      </sheetData>
      <sheetData sheetId="3672">
        <row r="52">
          <cell r="B52" t="str">
            <v>Main Panel</v>
          </cell>
        </row>
      </sheetData>
      <sheetData sheetId="3673">
        <row r="52">
          <cell r="B52" t="str">
            <v>Main Panel</v>
          </cell>
        </row>
      </sheetData>
      <sheetData sheetId="3674">
        <row r="52">
          <cell r="B52" t="str">
            <v>Main Panel</v>
          </cell>
        </row>
      </sheetData>
      <sheetData sheetId="3675">
        <row r="52">
          <cell r="B52" t="str">
            <v>Main Panel</v>
          </cell>
        </row>
      </sheetData>
      <sheetData sheetId="3676">
        <row r="52">
          <cell r="B52" t="str">
            <v>Main Panel</v>
          </cell>
        </row>
      </sheetData>
      <sheetData sheetId="3677">
        <row r="52">
          <cell r="B52" t="str">
            <v>Main Panel</v>
          </cell>
        </row>
      </sheetData>
      <sheetData sheetId="3678">
        <row r="52">
          <cell r="B52" t="str">
            <v>Main Panel</v>
          </cell>
        </row>
      </sheetData>
      <sheetData sheetId="3679">
        <row r="52">
          <cell r="B52" t="str">
            <v>Main Panel</v>
          </cell>
        </row>
      </sheetData>
      <sheetData sheetId="3680">
        <row r="52">
          <cell r="B52" t="str">
            <v>Main Panel</v>
          </cell>
        </row>
      </sheetData>
      <sheetData sheetId="3681">
        <row r="52">
          <cell r="B52" t="str">
            <v>Main Panel</v>
          </cell>
        </row>
      </sheetData>
      <sheetData sheetId="3682">
        <row r="52">
          <cell r="B52" t="str">
            <v>Main Panel</v>
          </cell>
        </row>
      </sheetData>
      <sheetData sheetId="3683">
        <row r="52">
          <cell r="B52" t="str">
            <v>Main Panel</v>
          </cell>
        </row>
      </sheetData>
      <sheetData sheetId="3684">
        <row r="52">
          <cell r="B52" t="str">
            <v>Main Panel</v>
          </cell>
        </row>
      </sheetData>
      <sheetData sheetId="3685">
        <row r="52">
          <cell r="B52" t="str">
            <v>Main Panel</v>
          </cell>
        </row>
      </sheetData>
      <sheetData sheetId="3686">
        <row r="52">
          <cell r="B52" t="str">
            <v>Main Panel</v>
          </cell>
        </row>
      </sheetData>
      <sheetData sheetId="3687">
        <row r="52">
          <cell r="B52" t="str">
            <v>Main Panel</v>
          </cell>
        </row>
      </sheetData>
      <sheetData sheetId="3688">
        <row r="52">
          <cell r="B52" t="str">
            <v>Main Panel</v>
          </cell>
        </row>
      </sheetData>
      <sheetData sheetId="3689"/>
      <sheetData sheetId="3690">
        <row r="52">
          <cell r="B52" t="str">
            <v>Main Panel</v>
          </cell>
        </row>
      </sheetData>
      <sheetData sheetId="3691">
        <row r="52">
          <cell r="B52" t="str">
            <v>Main Panel</v>
          </cell>
        </row>
      </sheetData>
      <sheetData sheetId="3692">
        <row r="52">
          <cell r="B52" t="str">
            <v>Main Panel</v>
          </cell>
        </row>
      </sheetData>
      <sheetData sheetId="3693">
        <row r="52">
          <cell r="B52" t="str">
            <v>Main Panel</v>
          </cell>
        </row>
      </sheetData>
      <sheetData sheetId="3694">
        <row r="52">
          <cell r="B52" t="str">
            <v>Main Panel</v>
          </cell>
        </row>
      </sheetData>
      <sheetData sheetId="3695">
        <row r="52">
          <cell r="B52" t="str">
            <v>Main Panel</v>
          </cell>
        </row>
      </sheetData>
      <sheetData sheetId="3696">
        <row r="52">
          <cell r="B52" t="str">
            <v>Main Panel</v>
          </cell>
        </row>
      </sheetData>
      <sheetData sheetId="3697">
        <row r="52">
          <cell r="B52" t="str">
            <v>Main Panel</v>
          </cell>
        </row>
      </sheetData>
      <sheetData sheetId="3698">
        <row r="52">
          <cell r="B52" t="str">
            <v>Main Panel</v>
          </cell>
        </row>
      </sheetData>
      <sheetData sheetId="3699">
        <row r="52">
          <cell r="B52" t="str">
            <v>Main Panel</v>
          </cell>
        </row>
      </sheetData>
      <sheetData sheetId="3700">
        <row r="52">
          <cell r="B52" t="str">
            <v>Main Panel</v>
          </cell>
        </row>
      </sheetData>
      <sheetData sheetId="3701">
        <row r="52">
          <cell r="B52" t="str">
            <v>Main Panel</v>
          </cell>
        </row>
      </sheetData>
      <sheetData sheetId="3702">
        <row r="52">
          <cell r="B52" t="str">
            <v>Main Panel</v>
          </cell>
        </row>
      </sheetData>
      <sheetData sheetId="3703">
        <row r="52">
          <cell r="B52" t="str">
            <v>Main Panel</v>
          </cell>
        </row>
      </sheetData>
      <sheetData sheetId="3704">
        <row r="52">
          <cell r="B52" t="str">
            <v>Main Panel</v>
          </cell>
        </row>
      </sheetData>
      <sheetData sheetId="3705">
        <row r="52">
          <cell r="B52" t="str">
            <v>Main Panel</v>
          </cell>
        </row>
      </sheetData>
      <sheetData sheetId="3706">
        <row r="52">
          <cell r="B52" t="str">
            <v>Main Panel</v>
          </cell>
        </row>
      </sheetData>
      <sheetData sheetId="3707">
        <row r="52">
          <cell r="B52" t="str">
            <v>Main Panel</v>
          </cell>
        </row>
      </sheetData>
      <sheetData sheetId="3708">
        <row r="52">
          <cell r="B52" t="str">
            <v>Main Panel</v>
          </cell>
        </row>
      </sheetData>
      <sheetData sheetId="3709">
        <row r="52">
          <cell r="B52" t="str">
            <v>Main Panel</v>
          </cell>
        </row>
      </sheetData>
      <sheetData sheetId="3710">
        <row r="52">
          <cell r="B52" t="str">
            <v>Main Panel</v>
          </cell>
        </row>
      </sheetData>
      <sheetData sheetId="3711">
        <row r="52">
          <cell r="B52" t="str">
            <v>Main Panel</v>
          </cell>
        </row>
      </sheetData>
      <sheetData sheetId="3712">
        <row r="52">
          <cell r="B52" t="str">
            <v>Main Panel</v>
          </cell>
        </row>
      </sheetData>
      <sheetData sheetId="3713">
        <row r="52">
          <cell r="B52" t="str">
            <v>Main Panel</v>
          </cell>
        </row>
      </sheetData>
      <sheetData sheetId="3714">
        <row r="52">
          <cell r="B52" t="str">
            <v>Main Panel</v>
          </cell>
        </row>
      </sheetData>
      <sheetData sheetId="3715">
        <row r="52">
          <cell r="B52" t="str">
            <v>Main Panel</v>
          </cell>
        </row>
      </sheetData>
      <sheetData sheetId="3716">
        <row r="52">
          <cell r="B52" t="str">
            <v>Main Panel</v>
          </cell>
        </row>
      </sheetData>
      <sheetData sheetId="3717">
        <row r="52">
          <cell r="B52" t="str">
            <v>Main Panel</v>
          </cell>
        </row>
      </sheetData>
      <sheetData sheetId="3718">
        <row r="52">
          <cell r="B52" t="str">
            <v>Main Panel</v>
          </cell>
        </row>
      </sheetData>
      <sheetData sheetId="3719">
        <row r="52">
          <cell r="B52" t="str">
            <v>Main Panel</v>
          </cell>
        </row>
      </sheetData>
      <sheetData sheetId="3720">
        <row r="52">
          <cell r="B52" t="str">
            <v>Main Panel</v>
          </cell>
        </row>
      </sheetData>
      <sheetData sheetId="3721">
        <row r="52">
          <cell r="B52" t="str">
            <v>Main Panel</v>
          </cell>
        </row>
      </sheetData>
      <sheetData sheetId="3722">
        <row r="52">
          <cell r="B52" t="str">
            <v>Main Panel</v>
          </cell>
        </row>
      </sheetData>
      <sheetData sheetId="3723">
        <row r="52">
          <cell r="B52" t="str">
            <v>Main Panel</v>
          </cell>
        </row>
      </sheetData>
      <sheetData sheetId="3724">
        <row r="52">
          <cell r="B52" t="str">
            <v>Main Panel</v>
          </cell>
        </row>
      </sheetData>
      <sheetData sheetId="3725">
        <row r="52">
          <cell r="B52" t="str">
            <v>Main Panel</v>
          </cell>
        </row>
      </sheetData>
      <sheetData sheetId="3726">
        <row r="52">
          <cell r="B52" t="str">
            <v>Main Panel</v>
          </cell>
        </row>
      </sheetData>
      <sheetData sheetId="3727">
        <row r="52">
          <cell r="B52" t="str">
            <v>Main Panel</v>
          </cell>
        </row>
      </sheetData>
      <sheetData sheetId="3728">
        <row r="52">
          <cell r="B52" t="str">
            <v>Main Panel</v>
          </cell>
        </row>
      </sheetData>
      <sheetData sheetId="3729">
        <row r="52">
          <cell r="B52" t="str">
            <v>Main Panel</v>
          </cell>
        </row>
      </sheetData>
      <sheetData sheetId="3730">
        <row r="52">
          <cell r="B52" t="str">
            <v>Main Panel</v>
          </cell>
        </row>
      </sheetData>
      <sheetData sheetId="3731">
        <row r="52">
          <cell r="B52" t="str">
            <v>Main Panel</v>
          </cell>
        </row>
      </sheetData>
      <sheetData sheetId="3732">
        <row r="52">
          <cell r="B52" t="str">
            <v>Main Panel</v>
          </cell>
        </row>
      </sheetData>
      <sheetData sheetId="3733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/>
      <sheetData sheetId="3745"/>
      <sheetData sheetId="3746"/>
      <sheetData sheetId="3747"/>
      <sheetData sheetId="3748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stract"/>
      <sheetName val="Retaining Wall"/>
      <sheetName val="Transfer Floor"/>
      <sheetName val="column-qty-podium"/>
      <sheetName val="Podium-Working"/>
      <sheetName val="Footing Final"/>
      <sheetName val="Wall-Tower"/>
      <sheetName val="Stair-below podium"/>
      <sheetName val="Slab-Tower&amp;podium"/>
      <sheetName val="Lintel &amp; SIll"/>
      <sheetName val="Shear Wall - Wing 01 to 05"/>
      <sheetName val="Retaining wall -Assumption"/>
      <sheetName val="Footing-1&amp;2"/>
      <sheetName val="Slab - Tower Wing 01 to 05"/>
      <sheetName val="Slab - Parking Level"/>
      <sheetName val="Beam - Tower - Wing-01 to 05"/>
      <sheetName val="Shear wall -Parking Floors"/>
      <sheetName val="Shear wall- Wing-01 &amp; 02"/>
      <sheetName val="Terrace Floor"/>
      <sheetName val="Sheet1"/>
      <sheetName val="Shear wall wing - 03"/>
      <sheetName val="Shear Wall wing-05"/>
      <sheetName val="Chejja &amp; Upstand"/>
      <sheetName val="Staircase- Typ"/>
      <sheetName val="Above Terrace"/>
      <sheetName val="Slab - Tower Wing 04"/>
      <sheetName val="Beam - Tower - W 04"/>
      <sheetName val="Chejja &amp; Upstand-Wing 04"/>
      <sheetName val="Staircase-wing 04"/>
      <sheetName val="Terrace Floor W4"/>
      <sheetName val="Shear Wall - Wing 04"/>
      <sheetName val="shear wall-wing-1-new"/>
      <sheetName val="Club House Beam"/>
      <sheetName val="Club House Slab"/>
      <sheetName val="need to delete"/>
      <sheetName val="Shear Wall - Wing 1 &amp; 5"/>
      <sheetName val="Sheet2"/>
      <sheetName val="Upstand"/>
      <sheetName val="Column qty (2)"/>
      <sheetName val="Footing (2)"/>
      <sheetName val="Staircase (2)"/>
      <sheetName val="Chejja"/>
      <sheetName val="Flat Slab &amp; Column Drop"/>
      <sheetName val="Plinth beam"/>
      <sheetName val="Beams basement 01 &amp; GF, FF &amp; SF"/>
      <sheetName val="Slabs basement 01 &amp; GF &amp; FF"/>
      <sheetName val="Slab - Tower "/>
      <sheetName val="Beam - Tower "/>
      <sheetName val="Staircase (3)"/>
      <sheetName val="Shear wall wing - 03 &amp; 04"/>
      <sheetName val="Terrace Floor (2)"/>
    </sheetNames>
    <sheetDataSet>
      <sheetData sheetId="0">
        <row r="10">
          <cell r="I10">
            <v>66.185100000000006</v>
          </cell>
        </row>
      </sheetData>
      <sheetData sheetId="1">
        <row r="8">
          <cell r="D8">
            <v>633.36389500000007</v>
          </cell>
        </row>
      </sheetData>
      <sheetData sheetId="2" refreshError="1"/>
      <sheetData sheetId="3" refreshError="1"/>
      <sheetData sheetId="4">
        <row r="1">
          <cell r="Q1">
            <v>260.16300000000001</v>
          </cell>
        </row>
      </sheetData>
      <sheetData sheetId="5">
        <row r="5">
          <cell r="F5">
            <v>1.4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05-06"/>
      <sheetName val="06-07"/>
      <sheetName val="0708"/>
      <sheetName val="Sheet1"/>
      <sheetName val="Sheet11"/>
      <sheetName val="Break up Sheet"/>
    </sheetNames>
    <sheetDataSet>
      <sheetData sheetId="0" refreshError="1">
        <row r="3">
          <cell r="D3" t="str">
            <v>Particulars</v>
          </cell>
        </row>
        <row r="5">
          <cell r="D5" t="str">
            <v>Civil Materials-</v>
          </cell>
        </row>
        <row r="6">
          <cell r="D6" t="str">
            <v>Algiproof, Cerabond, Cerafill etc</v>
          </cell>
          <cell r="J6">
            <v>179039.24</v>
          </cell>
          <cell r="K6">
            <v>29398.75</v>
          </cell>
        </row>
        <row r="7">
          <cell r="D7" t="str">
            <v>Antitermite Treatment</v>
          </cell>
          <cell r="J7">
            <v>3520</v>
          </cell>
        </row>
        <row r="8">
          <cell r="D8" t="str">
            <v>Bolts/nut/washer</v>
          </cell>
          <cell r="J8">
            <v>13019</v>
          </cell>
        </row>
        <row r="9">
          <cell r="D9" t="str">
            <v>Bricks</v>
          </cell>
        </row>
        <row r="10">
          <cell r="D10" t="str">
            <v>Cash Discount Allowed</v>
          </cell>
        </row>
        <row r="11">
          <cell r="D11" t="str">
            <v>Cement</v>
          </cell>
          <cell r="I11">
            <v>24354.25</v>
          </cell>
          <cell r="J11">
            <v>12801517.040000001</v>
          </cell>
          <cell r="K11">
            <v>1685933.8</v>
          </cell>
        </row>
        <row r="12">
          <cell r="D12" t="str">
            <v>Civil Materials</v>
          </cell>
          <cell r="I12">
            <v>8851231.0600000005</v>
          </cell>
          <cell r="J12">
            <v>13831639.68</v>
          </cell>
          <cell r="K12">
            <v>2046844.56</v>
          </cell>
        </row>
        <row r="13">
          <cell r="D13" t="str">
            <v>Civil Materials Expenses</v>
          </cell>
          <cell r="K13">
            <v>4568312.6900000004</v>
          </cell>
        </row>
        <row r="14">
          <cell r="D14" t="str">
            <v>Engg.Hollow Block</v>
          </cell>
        </row>
        <row r="15">
          <cell r="D15" t="str">
            <v>Freight / Transportation Charges</v>
          </cell>
          <cell r="I15">
            <v>57290</v>
          </cell>
          <cell r="J15">
            <v>426345</v>
          </cell>
          <cell r="K15">
            <v>622438</v>
          </cell>
        </row>
        <row r="16">
          <cell r="D16" t="str">
            <v>Freight Charges</v>
          </cell>
          <cell r="I16">
            <v>13400</v>
          </cell>
          <cell r="J16">
            <v>721926</v>
          </cell>
          <cell r="K16">
            <v>3540</v>
          </cell>
        </row>
        <row r="17">
          <cell r="D17" t="str">
            <v>Loading And Unloading Charges</v>
          </cell>
        </row>
        <row r="18">
          <cell r="D18" t="str">
            <v xml:space="preserve">Material Transfer (Site To Site) </v>
          </cell>
          <cell r="I18">
            <v>132565</v>
          </cell>
        </row>
        <row r="19">
          <cell r="D19" t="str">
            <v>Purchases  Hardware</v>
          </cell>
        </row>
        <row r="20">
          <cell r="D20" t="str">
            <v>Quarry Dust</v>
          </cell>
          <cell r="I20">
            <v>16894.88</v>
          </cell>
        </row>
        <row r="21">
          <cell r="D21" t="str">
            <v>Ready Mix Concrete</v>
          </cell>
          <cell r="I21">
            <v>1181967.81</v>
          </cell>
          <cell r="J21">
            <v>1294454.52</v>
          </cell>
          <cell r="K21">
            <v>817856.8</v>
          </cell>
        </row>
        <row r="22">
          <cell r="D22" t="str">
            <v>Rounded Off Difference Amount</v>
          </cell>
        </row>
        <row r="23">
          <cell r="D23" t="str">
            <v>Safety Measure Items</v>
          </cell>
        </row>
        <row r="24">
          <cell r="D24" t="str">
            <v>Sand</v>
          </cell>
          <cell r="I24">
            <v>84828.5</v>
          </cell>
          <cell r="J24">
            <v>3916491.75</v>
          </cell>
          <cell r="K24">
            <v>893404.41</v>
          </cell>
        </row>
        <row r="25">
          <cell r="D25" t="str">
            <v>Screws</v>
          </cell>
        </row>
        <row r="26">
          <cell r="D26" t="str">
            <v>Size Stones</v>
          </cell>
        </row>
        <row r="27">
          <cell r="D27" t="str">
            <v>Steel</v>
          </cell>
          <cell r="I27">
            <v>9342640</v>
          </cell>
          <cell r="J27">
            <v>41270252.090000004</v>
          </cell>
        </row>
        <row r="28">
          <cell r="D28" t="str">
            <v>Swimming Pool Materials</v>
          </cell>
        </row>
        <row r="29">
          <cell r="D29" t="str">
            <v>Tools - Civil</v>
          </cell>
          <cell r="I29">
            <v>38782.76</v>
          </cell>
          <cell r="K29">
            <v>9752.6200000000008</v>
          </cell>
        </row>
        <row r="30">
          <cell r="D30" t="str">
            <v>White Cement</v>
          </cell>
        </row>
        <row r="31">
          <cell r="D31" t="str">
            <v>Wood Work Purchases</v>
          </cell>
          <cell r="I31">
            <v>2581094.9700000002</v>
          </cell>
          <cell r="J31">
            <v>6306401.1399999997</v>
          </cell>
          <cell r="K31">
            <v>189360</v>
          </cell>
        </row>
        <row r="32">
          <cell r="D32" t="str">
            <v>Painting Materials</v>
          </cell>
        </row>
        <row r="33">
          <cell r="D33" t="str">
            <v>Paints</v>
          </cell>
          <cell r="J33">
            <v>548.64</v>
          </cell>
        </row>
        <row r="34">
          <cell r="D34" t="str">
            <v>Plumbing Material Purchases</v>
          </cell>
          <cell r="I34">
            <v>344071.62999999995</v>
          </cell>
          <cell r="J34">
            <v>-101382.31</v>
          </cell>
          <cell r="K34">
            <v>220</v>
          </cell>
        </row>
        <row r="35">
          <cell r="D35" t="str">
            <v>Electrical Materials</v>
          </cell>
          <cell r="I35">
            <v>502962.31</v>
          </cell>
          <cell r="J35">
            <v>725927.44</v>
          </cell>
          <cell r="K35">
            <v>74093</v>
          </cell>
        </row>
        <row r="36">
          <cell r="D36" t="str">
            <v>Cash Discount Availed (Materials)</v>
          </cell>
          <cell r="I36">
            <v>-731</v>
          </cell>
          <cell r="J36">
            <v>-773</v>
          </cell>
        </row>
        <row r="37">
          <cell r="D37" t="str">
            <v>Materials For Interior Works</v>
          </cell>
        </row>
        <row r="38">
          <cell r="D38" t="str">
            <v>Materials For Metal &amp; Glazing Works</v>
          </cell>
        </row>
        <row r="39">
          <cell r="D39" t="str">
            <v>Waterproofing Material</v>
          </cell>
        </row>
        <row r="40">
          <cell r="D40" t="str">
            <v>Excise Duty Expense Account</v>
          </cell>
          <cell r="I40">
            <v>953642</v>
          </cell>
          <cell r="J40">
            <v>121693</v>
          </cell>
        </row>
        <row r="41">
          <cell r="D41" t="str">
            <v>Input Tax (VAT)</v>
          </cell>
          <cell r="I41">
            <v>0</v>
          </cell>
          <cell r="J41">
            <v>5880529.5</v>
          </cell>
          <cell r="K41">
            <v>660490.10999999964</v>
          </cell>
        </row>
        <row r="42">
          <cell r="D42" t="str">
            <v>Hardware Purchase</v>
          </cell>
          <cell r="J42">
            <v>1962</v>
          </cell>
        </row>
        <row r="44">
          <cell r="D44" t="str">
            <v>Labour Charges and Wages</v>
          </cell>
        </row>
        <row r="45">
          <cell r="D45" t="str">
            <v>Wages -  Others</v>
          </cell>
        </row>
        <row r="46">
          <cell r="D46" t="str">
            <v>Wages - Aluminium Worker</v>
          </cell>
        </row>
        <row r="47">
          <cell r="D47" t="str">
            <v>Wages - Drivers - Office Boys</v>
          </cell>
        </row>
        <row r="48">
          <cell r="D48" t="str">
            <v>Wages - Granite Mason</v>
          </cell>
          <cell r="K48">
            <v>288607</v>
          </cell>
        </row>
        <row r="49">
          <cell r="D49" t="str">
            <v>Wages - Machine Operators</v>
          </cell>
          <cell r="I49">
            <v>8067</v>
          </cell>
          <cell r="J49">
            <v>1123555</v>
          </cell>
          <cell r="K49">
            <v>430501</v>
          </cell>
        </row>
        <row r="50">
          <cell r="D50" t="str">
            <v>Wages - Others - Site</v>
          </cell>
          <cell r="I50">
            <v>51583</v>
          </cell>
          <cell r="J50">
            <v>219259</v>
          </cell>
          <cell r="K50">
            <v>29274</v>
          </cell>
        </row>
        <row r="51">
          <cell r="D51" t="str">
            <v>Wages - Pme</v>
          </cell>
        </row>
        <row r="52">
          <cell r="D52" t="str">
            <v>Wages - Pop Workers</v>
          </cell>
        </row>
        <row r="53">
          <cell r="D53" t="str">
            <v>Wages - Tile Mason</v>
          </cell>
        </row>
        <row r="54">
          <cell r="D54" t="str">
            <v>Wages - Waterproofing</v>
          </cell>
        </row>
        <row r="55">
          <cell r="D55" t="str">
            <v>Wages Block Works</v>
          </cell>
        </row>
        <row r="56">
          <cell r="D56" t="str">
            <v>Wages Carpenters(Shuttering)</v>
          </cell>
          <cell r="J56">
            <v>45701</v>
          </cell>
          <cell r="K56">
            <v>16075</v>
          </cell>
        </row>
        <row r="57">
          <cell r="D57" t="str">
            <v>Wages Fabrication Works</v>
          </cell>
          <cell r="J57">
            <v>26626</v>
          </cell>
        </row>
        <row r="58">
          <cell r="D58" t="str">
            <v>Wages Landscaping</v>
          </cell>
        </row>
        <row r="59">
          <cell r="D59" t="str">
            <v>Wages Mason</v>
          </cell>
          <cell r="I59">
            <v>56339</v>
          </cell>
          <cell r="J59">
            <v>253954</v>
          </cell>
        </row>
        <row r="60">
          <cell r="D60" t="str">
            <v>Wages Painters</v>
          </cell>
          <cell r="K60">
            <v>4575</v>
          </cell>
        </row>
        <row r="61">
          <cell r="D61" t="str">
            <v>Wages - Plumber</v>
          </cell>
        </row>
        <row r="62">
          <cell r="D62" t="str">
            <v>Wages - Electrician</v>
          </cell>
          <cell r="I62">
            <v>14124</v>
          </cell>
          <cell r="J62">
            <v>261293</v>
          </cell>
          <cell r="K62">
            <v>153383</v>
          </cell>
        </row>
        <row r="63">
          <cell r="D63" t="str">
            <v>Labour Charges - Electrical</v>
          </cell>
        </row>
        <row r="64">
          <cell r="D64" t="str">
            <v>Labour - False Ceiling Charges</v>
          </cell>
        </row>
        <row r="65">
          <cell r="D65" t="str">
            <v>Labour - Glazing Works</v>
          </cell>
        </row>
        <row r="66">
          <cell r="D66" t="str">
            <v>Labour - Granite Works</v>
          </cell>
        </row>
        <row r="67">
          <cell r="D67" t="str">
            <v>Labour Charges - Civil</v>
          </cell>
          <cell r="I67">
            <v>970800</v>
          </cell>
          <cell r="J67">
            <v>11635042.300000001</v>
          </cell>
          <cell r="K67">
            <v>5437059</v>
          </cell>
        </row>
        <row r="68">
          <cell r="D68" t="str">
            <v>Labour Charges - Others</v>
          </cell>
          <cell r="I68">
            <v>350</v>
          </cell>
          <cell r="J68">
            <v>6400</v>
          </cell>
        </row>
        <row r="69">
          <cell r="D69" t="str">
            <v>Labour Charges - Painting</v>
          </cell>
        </row>
        <row r="71">
          <cell r="D71" t="str">
            <v>Salaries and others</v>
          </cell>
        </row>
        <row r="72">
          <cell r="D72" t="str">
            <v>Allocated Expense - Coh</v>
          </cell>
          <cell r="I72">
            <v>598595</v>
          </cell>
          <cell r="J72">
            <v>3221792</v>
          </cell>
          <cell r="K72">
            <v>1085100</v>
          </cell>
        </row>
        <row r="73">
          <cell r="D73" t="str">
            <v>Labour - Welfare Expenses</v>
          </cell>
        </row>
        <row r="74">
          <cell r="D74" t="str">
            <v>Esi Contribution</v>
          </cell>
          <cell r="K74">
            <v>9768</v>
          </cell>
        </row>
        <row r="75">
          <cell r="D75" t="str">
            <v>Exgratia</v>
          </cell>
          <cell r="I75">
            <v>10442</v>
          </cell>
          <cell r="J75">
            <v>618110</v>
          </cell>
          <cell r="K75">
            <v>125950</v>
          </cell>
        </row>
        <row r="76">
          <cell r="D76" t="str">
            <v>Gifts Awards &amp; Compliments-Staff</v>
          </cell>
          <cell r="J76">
            <v>116900</v>
          </cell>
        </row>
        <row r="77">
          <cell r="D77" t="str">
            <v>Gratuity</v>
          </cell>
          <cell r="J77">
            <v>0</v>
          </cell>
        </row>
        <row r="78">
          <cell r="D78" t="str">
            <v>Leave Salary</v>
          </cell>
          <cell r="J78">
            <v>210772</v>
          </cell>
          <cell r="K78">
            <v>250910</v>
          </cell>
        </row>
        <row r="79">
          <cell r="D79" t="str">
            <v>Leave Travel Allowance</v>
          </cell>
        </row>
        <row r="80">
          <cell r="D80" t="str">
            <v>Medical Expenses ( Site/Accidents)</v>
          </cell>
          <cell r="I80">
            <v>1818</v>
          </cell>
          <cell r="J80">
            <v>48241</v>
          </cell>
          <cell r="K80">
            <v>27685.85</v>
          </cell>
        </row>
        <row r="81">
          <cell r="D81" t="str">
            <v>Medical reimbursment- staff</v>
          </cell>
        </row>
        <row r="82">
          <cell r="D82" t="str">
            <v>Other Allowance</v>
          </cell>
          <cell r="J82">
            <v>-14222</v>
          </cell>
          <cell r="K82">
            <v>-34200</v>
          </cell>
        </row>
        <row r="83">
          <cell r="D83" t="str">
            <v>P.F. Administration</v>
          </cell>
          <cell r="I83">
            <v>63512</v>
          </cell>
          <cell r="J83">
            <v>224701</v>
          </cell>
          <cell r="K83">
            <v>72645</v>
          </cell>
        </row>
        <row r="84">
          <cell r="D84" t="str">
            <v>Salaries And Allowances</v>
          </cell>
          <cell r="I84">
            <v>1141310</v>
          </cell>
          <cell r="J84">
            <v>4262909.5</v>
          </cell>
          <cell r="K84">
            <v>1117614</v>
          </cell>
        </row>
        <row r="85">
          <cell r="D85" t="str">
            <v>Staff Outstation Allowance</v>
          </cell>
        </row>
        <row r="86">
          <cell r="D86" t="str">
            <v>Staff Training -fees</v>
          </cell>
        </row>
        <row r="87">
          <cell r="D87" t="str">
            <v>Staff Welfare - Entertainement Exp</v>
          </cell>
          <cell r="J87">
            <v>32760</v>
          </cell>
        </row>
        <row r="88">
          <cell r="D88" t="str">
            <v>Staff Welfare - Household Articles,</v>
          </cell>
        </row>
        <row r="89">
          <cell r="D89" t="str">
            <v>Staff Welfare - Medical Expenses</v>
          </cell>
        </row>
        <row r="90">
          <cell r="D90" t="str">
            <v>Staff Welfare - Tea &amp; Refreshment E</v>
          </cell>
          <cell r="J90">
            <v>23734</v>
          </cell>
        </row>
        <row r="91">
          <cell r="D91" t="str">
            <v>Staff Welfare - Uniform &amp; Shoes</v>
          </cell>
        </row>
        <row r="93">
          <cell r="D93" t="str">
            <v>Plan and Architectural Fees</v>
          </cell>
        </row>
        <row r="94">
          <cell r="D94" t="str">
            <v>Architectural Fees (Internal expens</v>
          </cell>
        </row>
        <row r="95">
          <cell r="D95" t="str">
            <v>Noc - Bwssb</v>
          </cell>
        </row>
        <row r="96">
          <cell r="D96" t="str">
            <v>Noc - Fire Force</v>
          </cell>
          <cell r="J96">
            <v>0</v>
          </cell>
        </row>
        <row r="97">
          <cell r="D97" t="str">
            <v>Land Rev/NOC &amp; Plan App Fees</v>
          </cell>
        </row>
        <row r="98">
          <cell r="D98" t="str">
            <v>Noc - Forest Dept</v>
          </cell>
        </row>
        <row r="99">
          <cell r="D99" t="str">
            <v>Noc - Keb Inspection Charges</v>
          </cell>
        </row>
        <row r="100">
          <cell r="D100" t="str">
            <v>Noc - Pollution Control Board</v>
          </cell>
        </row>
        <row r="101">
          <cell r="D101" t="str">
            <v>Noc- Airporth Authority</v>
          </cell>
        </row>
        <row r="102">
          <cell r="D102" t="str">
            <v>Noc- Dept. Of Communications</v>
          </cell>
        </row>
        <row r="103">
          <cell r="D103" t="str">
            <v>Plan Approval And Occupancy Fees</v>
          </cell>
        </row>
        <row r="104">
          <cell r="D104" t="str">
            <v>Profession Charges (Project Exp)</v>
          </cell>
        </row>
        <row r="105">
          <cell r="D105" t="str">
            <v>BESCOM Deposits and Inspection Char</v>
          </cell>
        </row>
        <row r="106">
          <cell r="D106" t="str">
            <v>Professional Charges</v>
          </cell>
        </row>
        <row r="107">
          <cell r="D107" t="str">
            <v>Structural Consultancy Fees (Intern</v>
          </cell>
        </row>
        <row r="109">
          <cell r="D109" t="str">
            <v>Admin Expenses</v>
          </cell>
        </row>
        <row r="110">
          <cell r="D110" t="str">
            <v>Advertisement - Coh</v>
          </cell>
        </row>
        <row r="111">
          <cell r="D111" t="str">
            <v>Boarding &amp; Lodging Expenses</v>
          </cell>
          <cell r="J111">
            <v>2000</v>
          </cell>
        </row>
        <row r="112">
          <cell r="D112" t="str">
            <v>Bpcl Petro Card ( Car's Petrol &amp; Di</v>
          </cell>
        </row>
        <row r="113">
          <cell r="D113" t="str">
            <v>Bpcl Petro Card ( Project Diesel/pe</v>
          </cell>
          <cell r="I113">
            <v>142856</v>
          </cell>
          <cell r="J113">
            <v>928239</v>
          </cell>
        </row>
        <row r="114">
          <cell r="D114" t="str">
            <v>Car Hire Charges</v>
          </cell>
        </row>
        <row r="115">
          <cell r="D115" t="str">
            <v>Conveyance</v>
          </cell>
          <cell r="I115">
            <v>29783</v>
          </cell>
          <cell r="J115">
            <v>198707</v>
          </cell>
          <cell r="K115">
            <v>67573</v>
          </cell>
        </row>
        <row r="116">
          <cell r="D116" t="str">
            <v>Creche Expenses</v>
          </cell>
        </row>
        <row r="117">
          <cell r="D117" t="str">
            <v>Diesel</v>
          </cell>
        </row>
        <row r="118">
          <cell r="D118" t="str">
            <v>Diesel ( Project &amp; Generator)</v>
          </cell>
          <cell r="I118">
            <v>63706</v>
          </cell>
          <cell r="J118">
            <v>55739</v>
          </cell>
        </row>
        <row r="119">
          <cell r="D119" t="str">
            <v>Diesel Expenses - Vehicle</v>
          </cell>
        </row>
        <row r="120">
          <cell r="D120" t="str">
            <v>Electricity Charges</v>
          </cell>
          <cell r="I120">
            <v>2470</v>
          </cell>
          <cell r="J120">
            <v>5401</v>
          </cell>
          <cell r="K120">
            <v>5491</v>
          </cell>
        </row>
        <row r="121">
          <cell r="D121" t="str">
            <v>First Aid Expenses</v>
          </cell>
        </row>
        <row r="122">
          <cell r="D122" t="str">
            <v>Food &amp; other Expences</v>
          </cell>
          <cell r="J122">
            <v>10710</v>
          </cell>
          <cell r="K122">
            <v>26734</v>
          </cell>
        </row>
        <row r="123">
          <cell r="D123" t="str">
            <v>Food Expenses At Site</v>
          </cell>
          <cell r="I123">
            <v>17462</v>
          </cell>
          <cell r="J123">
            <v>136602</v>
          </cell>
          <cell r="K123">
            <v>35072</v>
          </cell>
        </row>
        <row r="124">
          <cell r="D124" t="str">
            <v>Insurance Accident Policy</v>
          </cell>
          <cell r="J124">
            <v>4392</v>
          </cell>
        </row>
        <row r="125">
          <cell r="D125" t="str">
            <v>Insurance</v>
          </cell>
          <cell r="I125">
            <v>688435</v>
          </cell>
        </row>
        <row r="126">
          <cell r="D126" t="str">
            <v>Insurance- C.A.R/Cash risk/Equipmen</v>
          </cell>
          <cell r="J126">
            <v>353918</v>
          </cell>
        </row>
        <row r="127">
          <cell r="D127" t="str">
            <v>Internet Charges</v>
          </cell>
          <cell r="I127">
            <v>135</v>
          </cell>
          <cell r="K127">
            <v>32774</v>
          </cell>
        </row>
        <row r="128">
          <cell r="D128" t="str">
            <v>Kerosene</v>
          </cell>
        </row>
        <row r="129">
          <cell r="D129" t="str">
            <v>Petrol  ( project)</v>
          </cell>
          <cell r="I129">
            <v>13073</v>
          </cell>
          <cell r="J129">
            <v>503</v>
          </cell>
        </row>
        <row r="130">
          <cell r="D130" t="str">
            <v>Petrol Expenses</v>
          </cell>
          <cell r="I130">
            <v>110</v>
          </cell>
        </row>
        <row r="131">
          <cell r="D131" t="str">
            <v>Petrol Expenses - Vehicle</v>
          </cell>
        </row>
        <row r="132">
          <cell r="D132" t="str">
            <v>Photography &amp; Video Expenses</v>
          </cell>
        </row>
        <row r="133">
          <cell r="D133" t="str">
            <v>Pooja Expenses</v>
          </cell>
          <cell r="I133">
            <v>1168</v>
          </cell>
          <cell r="J133">
            <v>10129</v>
          </cell>
          <cell r="K133">
            <v>1617</v>
          </cell>
        </row>
        <row r="134">
          <cell r="D134" t="str">
            <v>Postage Charges</v>
          </cell>
        </row>
        <row r="135">
          <cell r="D135" t="str">
            <v>Printing &amp; Stationary</v>
          </cell>
          <cell r="I135">
            <v>26291</v>
          </cell>
          <cell r="J135">
            <v>88870</v>
          </cell>
          <cell r="K135">
            <v>59950.3</v>
          </cell>
        </row>
        <row r="136">
          <cell r="D136" t="str">
            <v>Project Launch Expenses</v>
          </cell>
        </row>
        <row r="137">
          <cell r="D137" t="str">
            <v>Refreshment Expenses</v>
          </cell>
          <cell r="I137">
            <v>23409</v>
          </cell>
          <cell r="J137">
            <v>70237</v>
          </cell>
          <cell r="K137">
            <v>39081</v>
          </cell>
        </row>
        <row r="138">
          <cell r="D138" t="str">
            <v>Rent</v>
          </cell>
          <cell r="I138">
            <v>231527</v>
          </cell>
          <cell r="J138">
            <v>523605.5</v>
          </cell>
          <cell r="K138">
            <v>317510</v>
          </cell>
        </row>
        <row r="139">
          <cell r="D139" t="str">
            <v>Security Charges</v>
          </cell>
          <cell r="I139">
            <v>192782</v>
          </cell>
          <cell r="J139">
            <v>506778</v>
          </cell>
          <cell r="K139">
            <v>190299</v>
          </cell>
        </row>
        <row r="140">
          <cell r="D140" t="str">
            <v>Stationery Purchase</v>
          </cell>
          <cell r="J140">
            <v>1347.51</v>
          </cell>
        </row>
        <row r="141">
          <cell r="D141" t="str">
            <v>Sundry Expenses</v>
          </cell>
          <cell r="I141">
            <v>44221</v>
          </cell>
          <cell r="J141">
            <v>6702</v>
          </cell>
        </row>
        <row r="142">
          <cell r="D142" t="str">
            <v>Service Tax-Paid  on Abetted Servic</v>
          </cell>
          <cell r="J142">
            <v>12835</v>
          </cell>
        </row>
        <row r="143">
          <cell r="D143" t="str">
            <v>Telephone Expenses</v>
          </cell>
          <cell r="I143">
            <v>33811</v>
          </cell>
          <cell r="J143">
            <v>1383</v>
          </cell>
          <cell r="K143">
            <v>2389</v>
          </cell>
        </row>
        <row r="144">
          <cell r="D144" t="str">
            <v>Temporary Electricity Connection Ch</v>
          </cell>
          <cell r="I144">
            <v>160460</v>
          </cell>
          <cell r="J144">
            <v>1178105</v>
          </cell>
          <cell r="K144">
            <v>188626</v>
          </cell>
        </row>
        <row r="145">
          <cell r="D145" t="str">
            <v>Testing &amp; Laboratory Charges</v>
          </cell>
          <cell r="I145">
            <v>3306</v>
          </cell>
          <cell r="J145">
            <v>31891</v>
          </cell>
          <cell r="K145">
            <v>5397</v>
          </cell>
        </row>
        <row r="146">
          <cell r="D146" t="str">
            <v>Travel Expenses -  Others</v>
          </cell>
        </row>
        <row r="147">
          <cell r="D147" t="str">
            <v>Travelling Expenses - Local</v>
          </cell>
          <cell r="J147">
            <v>3441</v>
          </cell>
        </row>
        <row r="148">
          <cell r="D148" t="str">
            <v>Vehicle Hire Charges</v>
          </cell>
          <cell r="J148">
            <v>11962</v>
          </cell>
        </row>
        <row r="149">
          <cell r="D149" t="str">
            <v>Water Charges - Drinking water</v>
          </cell>
          <cell r="I149">
            <v>8666</v>
          </cell>
          <cell r="J149">
            <v>39258</v>
          </cell>
          <cell r="K149">
            <v>16377</v>
          </cell>
        </row>
        <row r="150">
          <cell r="D150" t="str">
            <v>Water Supply Charges</v>
          </cell>
          <cell r="J150">
            <v>-100</v>
          </cell>
        </row>
        <row r="151">
          <cell r="D151" t="str">
            <v>Xeroxing &amp; Typing</v>
          </cell>
        </row>
        <row r="152">
          <cell r="D152" t="str">
            <v>Soil Test Expenses</v>
          </cell>
        </row>
        <row r="154">
          <cell r="D154" t="str">
            <v>SUB CONTRACTORS AND OTHERS</v>
          </cell>
        </row>
        <row r="155">
          <cell r="D155" t="str">
            <v>Borewell Expenses</v>
          </cell>
        </row>
        <row r="156">
          <cell r="D156" t="str">
            <v>Hoarding Expenses</v>
          </cell>
        </row>
        <row r="157">
          <cell r="D157" t="str">
            <v>Clubhouse Items</v>
          </cell>
          <cell r="J157">
            <v>55360</v>
          </cell>
        </row>
        <row r="158">
          <cell r="D158" t="str">
            <v>Earth Works</v>
          </cell>
          <cell r="I158">
            <v>152553</v>
          </cell>
          <cell r="J158">
            <v>1448641</v>
          </cell>
          <cell r="K158">
            <v>38571</v>
          </cell>
        </row>
        <row r="159">
          <cell r="D159" t="str">
            <v>Expansion Joint Items</v>
          </cell>
          <cell r="J159">
            <v>85817.3</v>
          </cell>
        </row>
        <row r="160">
          <cell r="D160" t="str">
            <v>Fabrication - M S Works</v>
          </cell>
          <cell r="I160">
            <v>184423</v>
          </cell>
          <cell r="J160">
            <v>574860</v>
          </cell>
          <cell r="K160">
            <v>8610</v>
          </cell>
        </row>
        <row r="161">
          <cell r="D161" t="str">
            <v>Fire Fighting works</v>
          </cell>
        </row>
        <row r="162">
          <cell r="D162" t="str">
            <v>Granite Works</v>
          </cell>
        </row>
        <row r="163">
          <cell r="D163" t="str">
            <v>Landscape  Purchase</v>
          </cell>
        </row>
        <row r="164">
          <cell r="D164" t="str">
            <v>Lift Works</v>
          </cell>
        </row>
        <row r="165">
          <cell r="D165" t="str">
            <v>M S - Works</v>
          </cell>
          <cell r="I165">
            <v>596422</v>
          </cell>
          <cell r="J165">
            <v>60246</v>
          </cell>
        </row>
        <row r="166">
          <cell r="D166" t="str">
            <v>Masonry Works</v>
          </cell>
        </row>
        <row r="167">
          <cell r="D167" t="str">
            <v>Miscellaneous Works</v>
          </cell>
          <cell r="I167">
            <v>9000</v>
          </cell>
          <cell r="J167">
            <v>27065</v>
          </cell>
          <cell r="K167">
            <v>5460</v>
          </cell>
        </row>
        <row r="168">
          <cell r="D168" t="str">
            <v>Water Proofing Works</v>
          </cell>
          <cell r="J168">
            <v>236173</v>
          </cell>
          <cell r="K168">
            <v>389251</v>
          </cell>
        </row>
        <row r="169">
          <cell r="D169" t="str">
            <v>Painting Job Work /subcontract</v>
          </cell>
          <cell r="I169">
            <v>22029</v>
          </cell>
        </row>
        <row r="170">
          <cell r="D170" t="str">
            <v>Electrical Works</v>
          </cell>
          <cell r="J170">
            <v>1000</v>
          </cell>
        </row>
        <row r="171">
          <cell r="D171" t="str">
            <v>Glazing Works</v>
          </cell>
        </row>
        <row r="172">
          <cell r="D172" t="str">
            <v>Plumbing Works</v>
          </cell>
          <cell r="J172">
            <v>446165</v>
          </cell>
        </row>
        <row r="173">
          <cell r="D173" t="str">
            <v>Internal Plumbing Works</v>
          </cell>
        </row>
        <row r="175">
          <cell r="D175" t="str">
            <v>MAINTENANCE</v>
          </cell>
        </row>
        <row r="176">
          <cell r="D176" t="str">
            <v>Plant And Machinery Consumables</v>
          </cell>
          <cell r="I176">
            <v>536687.49</v>
          </cell>
          <cell r="J176">
            <v>1867423.17</v>
          </cell>
          <cell r="K176">
            <v>85010.84</v>
          </cell>
        </row>
        <row r="177">
          <cell r="D177" t="str">
            <v>Repaires &amp; Maintenance - Buildings</v>
          </cell>
        </row>
        <row r="178">
          <cell r="D178" t="str">
            <v>Repaires &amp; Maintenance - Machinary</v>
          </cell>
        </row>
        <row r="179">
          <cell r="D179" t="str">
            <v>Repaires &amp; Maintenance - Others</v>
          </cell>
          <cell r="I179">
            <v>563</v>
          </cell>
          <cell r="J179">
            <v>1880</v>
          </cell>
          <cell r="K179">
            <v>1134</v>
          </cell>
        </row>
        <row r="180">
          <cell r="D180" t="str">
            <v>Repairs &amp; Maintenance - Computers</v>
          </cell>
          <cell r="J180">
            <v>1872</v>
          </cell>
        </row>
        <row r="181">
          <cell r="D181" t="str">
            <v>Repairs &amp; Maintenance - General</v>
          </cell>
        </row>
        <row r="182">
          <cell r="D182" t="str">
            <v>Repairs &amp; Maintenance - Office Equi</v>
          </cell>
        </row>
        <row r="183">
          <cell r="D183" t="str">
            <v>Repairs &amp; Maintenance - Site</v>
          </cell>
          <cell r="J183">
            <v>13814</v>
          </cell>
          <cell r="K183">
            <v>915</v>
          </cell>
        </row>
        <row r="184">
          <cell r="D184" t="str">
            <v>Machinery Hire Charges</v>
          </cell>
          <cell r="I184">
            <v>248385</v>
          </cell>
          <cell r="J184">
            <v>728761</v>
          </cell>
          <cell r="K184">
            <v>130316</v>
          </cell>
        </row>
        <row r="185">
          <cell r="D185" t="str">
            <v>Maintenance Works.</v>
          </cell>
        </row>
        <row r="187">
          <cell r="D187" t="str">
            <v>TOTAL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30475667.659999996</v>
          </cell>
          <cell r="J187">
            <v>119442371.01000001</v>
          </cell>
          <cell r="K187">
            <v>22264749.730000004</v>
          </cell>
        </row>
        <row r="190">
          <cell r="D190" t="str">
            <v>Legal Expenses</v>
          </cell>
        </row>
        <row r="191">
          <cell r="D191" t="str">
            <v>Maintenance - Completed Projects</v>
          </cell>
        </row>
        <row r="192">
          <cell r="D192" t="str">
            <v>Medical Expenses</v>
          </cell>
        </row>
        <row r="193">
          <cell r="D193" t="str">
            <v>Nails</v>
          </cell>
        </row>
        <row r="194">
          <cell r="D194" t="str">
            <v>Petrol</v>
          </cell>
        </row>
        <row r="195">
          <cell r="D195" t="str">
            <v>Plan Approval / Occupancy Fees</v>
          </cell>
        </row>
        <row r="196">
          <cell r="D196" t="str">
            <v>Award To Employees</v>
          </cell>
        </row>
        <row r="197">
          <cell r="D197" t="str">
            <v>Core Drilling Works</v>
          </cell>
        </row>
        <row r="198">
          <cell r="D198" t="str">
            <v>Household Articles/blankets</v>
          </cell>
          <cell r="K198">
            <v>1381</v>
          </cell>
        </row>
        <row r="199">
          <cell r="D199" t="str">
            <v>Labour - Food  Expenses -Site</v>
          </cell>
        </row>
        <row r="200">
          <cell r="D200" t="str">
            <v>Material Transfer (Site To Site)</v>
          </cell>
        </row>
        <row r="201">
          <cell r="D201" t="str">
            <v>Mep Fees (Internal Expenses)</v>
          </cell>
        </row>
        <row r="202">
          <cell r="D202" t="str">
            <v>Rounding Off Difference Amount</v>
          </cell>
          <cell r="I202">
            <v>22</v>
          </cell>
          <cell r="K202">
            <v>150</v>
          </cell>
        </row>
        <row r="203">
          <cell r="D203" t="str">
            <v>Advertisement  Marketing</v>
          </cell>
        </row>
        <row r="204">
          <cell r="D204" t="str">
            <v>Gifts &amp; Compliments</v>
          </cell>
        </row>
        <row r="205">
          <cell r="D205" t="str">
            <v>Recrutment &amp; Training Expenses</v>
          </cell>
        </row>
        <row r="206">
          <cell r="D206" t="str">
            <v>Sales Tax Paid Ac - [Karnataka Expe</v>
          </cell>
        </row>
        <row r="207">
          <cell r="D207" t="str">
            <v>Water For Civil Works  - Not to use</v>
          </cell>
        </row>
        <row r="208">
          <cell r="D208" t="str">
            <v>Travel Expenses - Domestic</v>
          </cell>
        </row>
        <row r="209">
          <cell r="D209" t="str">
            <v>Cash Discount Availed (Expenses)</v>
          </cell>
        </row>
        <row r="210">
          <cell r="D210" t="str">
            <v>Sales Promotion Expenses</v>
          </cell>
        </row>
        <row r="211">
          <cell r="D211" t="str">
            <v>Bescom Deposits &amp; Inspection Charge</v>
          </cell>
          <cell r="J211">
            <v>8000</v>
          </cell>
        </row>
        <row r="212">
          <cell r="D212" t="str">
            <v>Art Work Charges</v>
          </cell>
        </row>
        <row r="213">
          <cell r="D213" t="str">
            <v>Concrete Work</v>
          </cell>
          <cell r="J213">
            <v>44742</v>
          </cell>
        </row>
        <row r="214">
          <cell r="D214" t="str">
            <v>Newspapers &amp; Periodicals</v>
          </cell>
          <cell r="I214">
            <v>202</v>
          </cell>
        </row>
        <row r="215">
          <cell r="D215" t="str">
            <v>Sales Tax -expenses</v>
          </cell>
          <cell r="I215">
            <v>899252</v>
          </cell>
          <cell r="K215">
            <v>1615231</v>
          </cell>
        </row>
        <row r="216">
          <cell r="D216" t="str">
            <v>Purchases [gmw] - Aluminium</v>
          </cell>
          <cell r="J216">
            <v>219.5</v>
          </cell>
          <cell r="K216">
            <v>360</v>
          </cell>
        </row>
        <row r="217">
          <cell r="D217" t="str">
            <v>Office Expenses</v>
          </cell>
          <cell r="J217">
            <v>7031.75</v>
          </cell>
        </row>
        <row r="218">
          <cell r="D218" t="str">
            <v>Donation</v>
          </cell>
          <cell r="J218">
            <v>200</v>
          </cell>
        </row>
        <row r="219">
          <cell r="D219" t="str">
            <v>Bpcl Petro Card ( Project Diesel/petrol)</v>
          </cell>
          <cell r="K219">
            <v>124538.5</v>
          </cell>
        </row>
        <row r="220">
          <cell r="D220" t="str">
            <v>Diesel - Expenses</v>
          </cell>
          <cell r="K220">
            <v>2990</v>
          </cell>
        </row>
        <row r="221">
          <cell r="D221" t="str">
            <v>Gas Filling Charges</v>
          </cell>
          <cell r="K221">
            <v>600</v>
          </cell>
        </row>
        <row r="222">
          <cell r="D222" t="str">
            <v>Insurance- C.A.R/Cash risk/Equipments/other policies</v>
          </cell>
          <cell r="K222">
            <v>62885</v>
          </cell>
        </row>
        <row r="223">
          <cell r="D223" t="str">
            <v>Misc. expenses</v>
          </cell>
          <cell r="K223">
            <v>14962</v>
          </cell>
        </row>
        <row r="228">
          <cell r="D228" t="str">
            <v>Total</v>
          </cell>
          <cell r="H228">
            <v>0</v>
          </cell>
          <cell r="I228">
            <v>899476</v>
          </cell>
          <cell r="J228">
            <v>60193.25</v>
          </cell>
          <cell r="K228">
            <v>1823097.5</v>
          </cell>
        </row>
        <row r="230">
          <cell r="D230" t="str">
            <v>Grand Total</v>
          </cell>
          <cell r="H230">
            <v>0</v>
          </cell>
          <cell r="I230">
            <v>31375143.659999996</v>
          </cell>
          <cell r="J230">
            <v>119502564.26000001</v>
          </cell>
          <cell r="K230">
            <v>24087847.230000004</v>
          </cell>
        </row>
        <row r="231">
          <cell r="D231" t="str">
            <v>Check---------&gt;&gt;&gt;&gt;&gt;</v>
          </cell>
          <cell r="I231">
            <v>0</v>
          </cell>
          <cell r="J2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19.08.11"/>
      <sheetName val="Sheet1"/>
      <sheetName val="Abstract"/>
      <sheetName val="Ch. List (2)"/>
      <sheetName val="Ch. List"/>
      <sheetName val="ASSUMPTIONS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ESTIMATE"/>
      <sheetName val="Preliminaries -Cleaning Labour"/>
      <sheetName val="bASIC rATES OTHERS"/>
      <sheetName val="Rate analysis"/>
      <sheetName val="Establishment ch  "/>
      <sheetName val="Petty cash-Abstract_x0000_뗨_x0004_xls]ASSUM"/>
      <sheetName val=""/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meas-Masonry"/>
      <sheetName val="meas-plaster"/>
      <sheetName val="meas-wp"/>
      <sheetName val="GENABST"/>
      <sheetName val="PEA "/>
      <sheetName val="Indirect Cost"/>
      <sheetName val="RATE LIST CUM BOM"/>
      <sheetName val="Direct Cost A1 "/>
      <sheetName val="Direct cost shed A-2 "/>
      <sheetName val="Direct cost shed A-3 Reservoirs"/>
      <sheetName val="shed A-4 Ancillary civil works"/>
      <sheetName val="she A-5 tools"/>
      <sheetName val="she A-6 sPARES"/>
      <sheetName val="price B(O&amp;M)"/>
      <sheetName val="Bill of Resources"/>
      <sheetName val="Assets "/>
      <sheetName val="Electrical items-FROM SERVI.."/>
      <sheetName val="Sluice valve chambers"/>
      <sheetName val=" pump houses"/>
      <sheetName val="OHSR-cost analysis"/>
      <sheetName val="OHSR-analysis"/>
      <sheetName val="Air valve chambers"/>
      <sheetName val="Scour valve chambers"/>
      <sheetName val="Drainage-workings"/>
      <sheetName val="Transfer chamber-type B "/>
      <sheetName val="Transfer chamber-type A"/>
      <sheetName val="Electrical items"/>
      <sheetName val="Staff quarters"/>
      <sheetName val="internal roads"/>
      <sheetName val="Cost analysis for roads"/>
      <sheetName val=" Esti. of compound"/>
      <sheetName val="Cost analysis of compound"/>
      <sheetName val="Pipe Rates"/>
      <sheetName val="Rate list"/>
      <sheetName val="Index"/>
      <sheetName val="Consolidated"/>
      <sheetName val="Top Line - WWW"/>
      <sheetName val="Top Line - BUILDINGS"/>
      <sheetName val="Top Line - ROADS"/>
      <sheetName val="Top Line - POWER"/>
      <sheetName val="Top Line - INDUSTRIAL"/>
      <sheetName val="Top Line - IRRIGATION"/>
      <sheetName val="Cash Flow - WWW"/>
      <sheetName val="Cash Flow - BUILDINGS"/>
      <sheetName val="Cash Flow - ROADS"/>
      <sheetName val="Cash Flow - POWER"/>
      <sheetName val="Cash Flow - INDUSTRIAL"/>
      <sheetName val="Cash Flow - IRRIGATION"/>
      <sheetName val="Fund Requirement"/>
      <sheetName val="Business Development &amp; Orders"/>
      <sheetName val="Capital Expenses"/>
      <sheetName val="Overheads"/>
      <sheetName val="Organisation Chart"/>
      <sheetName val="Manpower Requirement"/>
      <sheetName val="Conversions"/>
      <sheetName val="C.L"/>
      <sheetName val="Report"/>
      <sheetName val="Part II Complnce.Reass Tech"/>
      <sheetName val="Part I Assessmnt rept Tech"/>
      <sheetName val="Systemic (Annex 2.01)"/>
      <sheetName val="Steel reconci (Annex 2.02)"/>
      <sheetName val="material rec Annex 2.03"/>
      <sheetName val="RMC rec Annex 2.04"/>
      <sheetName val="material rate comp annex 2.05"/>
      <sheetName val="WO Annex 2.06"/>
      <sheetName val="C L"/>
      <sheetName val="AMC Tech"/>
      <sheetName val="Finance Annex"/>
      <sheetName val="Reassess Techn"/>
      <sheetName val="Tech "/>
      <sheetName val="VO"/>
      <sheetName val="CASH CONTRACTS"/>
      <sheetName val="B2B &amp; OWN"/>
      <sheetName val="ZONE WISE"/>
      <sheetName val="S - Cash"/>
      <sheetName val="Gr Co Works"/>
      <sheetName val="Subsidiary Works"/>
      <sheetName val="Top Line"/>
      <sheetName val="Business Development"/>
      <sheetName val="Status of Works Quoted"/>
      <sheetName val="New Order Booking"/>
      <sheetName val="Order Book Status"/>
      <sheetName val="POWERPOINT BACKUP"/>
      <sheetName val="Cash Flows"/>
      <sheetName val="Fund"/>
      <sheetName val="Fund Support"/>
      <sheetName val="Lookahead"/>
      <sheetName val="Bottom Lines"/>
      <sheetName val="EVM"/>
      <sheetName val="Charts"/>
      <sheetName val="Chart"/>
      <sheetName val="Monthly MIS - B2B Contracts"/>
      <sheetName val="Job Exp Qtd Next month"/>
      <sheetName val="Job exp qtd rest of yr."/>
      <sheetName val="Fund Supports"/>
      <sheetName val="EVM x"/>
      <sheetName val="CS"/>
      <sheetName val="CS (3)"/>
      <sheetName val="CS (2)"/>
      <sheetName val="Sheet2"/>
      <sheetName val="Sheet3"/>
      <sheetName val="Annex 4.01"/>
      <sheetName val="DAR"/>
      <sheetName val="Expenditure plan"/>
      <sheetName val="PRECAST lightconc-II"/>
      <sheetName val="Project Details.."/>
      <sheetName val="Status of work quoted"/>
      <sheetName val="ORDER BOOKING"/>
      <sheetName val="ASSESS TECH Q1"/>
      <sheetName val="Systemic (2.01)"/>
      <sheetName val="Measurement sampling (2.02)"/>
      <sheetName val="REPAIRABLE P&amp;M(2.03)"/>
      <sheetName val="IDLE P&amp;M(2.04)"/>
      <sheetName val="Assessment Report SCM"/>
      <sheetName val="Report "/>
      <sheetName val="IAFR Tech REASSESS Q1 "/>
      <sheetName val="IAFR Tech ASSESS REG Q2"/>
      <sheetName val="RMC rec Annex 2.02"/>
      <sheetName val="Labour  rate comp annex 2.03"/>
      <sheetName val="material rate comp annex 2.04"/>
      <sheetName val="Steel recon Annex2.05"/>
      <sheetName val="List of Non repair(2.06)"/>
      <sheetName val="List of Repair(Annex 2.07) "/>
      <sheetName val="P &amp; M Utilize(2.08)"/>
      <sheetName val="client corres(Annex2.09)"/>
      <sheetName val="WO1(Annex2.10a)"/>
      <sheetName val="WO2(Annex2.10 b)"/>
      <sheetName val="DAR  Vs ERP (Annex 2.11)"/>
      <sheetName val="Mat Reco (2.12)"/>
      <sheetName val="qty recon(Annex2.13a)"/>
      <sheetName val="qty recon(Annex2.13b) STEEL"/>
      <sheetName val="qty reco(Annex2.13c) BLOCK WORK"/>
      <sheetName val="St"/>
      <sheetName val="total"/>
      <sheetName val="Abs JR"/>
      <sheetName val="PCC "/>
      <sheetName val="Earthwork Excavation"/>
      <sheetName val="Abs  Pravin"/>
      <sheetName val="Abs JR cum"/>
      <sheetName val="Abs Subbaiah"/>
      <sheetName val="Abs gupta"/>
      <sheetName val="Abs Madhu"/>
      <sheetName val="Abs par"/>
      <sheetName val="Abs bhas"/>
      <sheetName val="Abs Elumalai"/>
      <sheetName val="Abs  Bed"/>
      <sheetName val="Abs Hari"/>
      <sheetName val="Abs ram"/>
      <sheetName val="Break up-labour bill"/>
      <sheetName val="Abs Han "/>
      <sheetName val="Abs Balu"/>
      <sheetName val="Abs peri"/>
      <sheetName val="Abs ck"/>
      <sheetName val="Abs Murugan"/>
      <sheetName val="Abs Rainbow"/>
      <sheetName val="Abs Tammana"/>
      <sheetName val="Abs Vavi"/>
      <sheetName val="Blank"/>
      <sheetName val="Abs Srinivasu"/>
      <sheetName val="Abs SP"/>
      <sheetName val="Abs RR"/>
      <sheetName val="Ab Ga"/>
      <sheetName val="Final"/>
      <sheetName val="bill period wise"/>
      <sheetName val="EW"/>
      <sheetName val="Rectified Report HR"/>
      <sheetName val="Dummy"/>
      <sheetName val="Dummy (2)"/>
      <sheetName val="C. L"/>
      <sheetName val="Part I  Assessment FINANCE"/>
      <sheetName val="Annexure 1.01"/>
      <sheetName val="Part-II Reassessment Technical"/>
      <sheetName val="Part-I Assessment Technical "/>
      <sheetName val="Systemic Annex 2.01"/>
      <sheetName val="Drws Details.lAnnexure 2.02"/>
      <sheetName val="Steel reconci (Annex 2.03)"/>
      <sheetName val="RMC10(Annex2.04)"/>
      <sheetName val="RMC20(Annex2.05)"/>
      <sheetName val="RMC35(Annex2.06)"/>
      <sheetName val="MATERIAL RATE COM(Annex 2.07"/>
      <sheetName val="WO1(Annex2.08a) (2)"/>
      <sheetName val="WO2(Annex2.08b) (2)"/>
      <sheetName val="client corres(Annex2.08)1"/>
      <sheetName val="WO1(Annex2.08a)"/>
      <sheetName val="WO2(Annex2.08b)"/>
      <sheetName val="client corres(Annex2.08)"/>
      <sheetName val="Part I - Assessment Material"/>
      <sheetName val="Annex. 3.01"/>
      <sheetName val="Part-I Assessment Rept  HR"/>
      <sheetName val="Annexure 4.02"/>
      <sheetName val="Annex. 4.03"/>
      <sheetName val="WO1(Annex2.08a)POR"/>
      <sheetName val="WO2(Annex2.08b) POR"/>
      <sheetName val="WIP"/>
      <sheetName val="Indirect Expenses"/>
      <sheetName val="Budget"/>
      <sheetName val="SP"/>
      <sheetName val="RP"/>
      <sheetName val="DCP"/>
      <sheetName val="ICP"/>
      <sheetName val="CF"/>
      <sheetName val="FP"/>
      <sheetName val="RESP"/>
      <sheetName val="EP"/>
      <sheetName val="ORG"/>
      <sheetName val="STFP"/>
      <sheetName val="EQPP"/>
      <sheetName val="MP"/>
      <sheetName val="BCWP"/>
      <sheetName val="Subcontracting"/>
      <sheetName val="Client Bill "/>
      <sheetName val="Scope Variations"/>
      <sheetName val="WORK ORDERS"/>
      <sheetName val="Quantity Reconciliation (2)"/>
      <sheetName val="Material reconcilliation"/>
      <sheetName val="Material Consumption"/>
      <sheetName val="Reg Q2 Tech"/>
      <sheetName val="LAND AQUI (Annex-2.02)"/>
      <sheetName val="client corres(Annex2.03)"/>
      <sheetName val="WO1(Annex2.04a)"/>
      <sheetName val="WO2(Annex2.04b)"/>
      <sheetName val="Annex 4.01(site)"/>
      <sheetName val="R.O &amp; BD"/>
      <sheetName val="CL"/>
      <sheetName val="ASSESSMENT FINANCEPORBANDAR"/>
      <sheetName val="PRIORITY"/>
      <sheetName val="BOQ"/>
      <sheetName val="Project cost"/>
      <sheetName val="comparision statement"/>
      <sheetName val="Rate analysis 1"/>
      <sheetName val=" Rates 1"/>
      <sheetName val="Rate Analysis 2"/>
      <sheetName val="Rate 2"/>
      <sheetName val="Comparison"/>
      <sheetName val="Quantity"/>
      <sheetName val="BOQ1"/>
      <sheetName val="Consolidate"/>
      <sheetName val="Indirect Expenditure"/>
      <sheetName val="P&amp;L CUM"/>
      <sheetName val="Consolidate1"/>
      <sheetName val="Direct Expenses (2)"/>
      <sheetName val="Sheet4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 14"/>
      <sheetName val="Bill-14"/>
      <sheetName val="Estimate Toll Plaza"/>
      <sheetName val="LOT 8"/>
      <sheetName val="1A"/>
      <sheetName val="2A"/>
      <sheetName val="3A"/>
      <sheetName val="4A"/>
      <sheetName val="5A"/>
      <sheetName val="6A"/>
      <sheetName val="7A"/>
      <sheetName val="8A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20A"/>
      <sheetName val="21A"/>
      <sheetName val="22A"/>
      <sheetName val="23A"/>
      <sheetName val="24A"/>
      <sheetName val="TQS-4_plants"/>
      <sheetName val="discount_small_plants"/>
      <sheetName val="0.42 MLD"/>
      <sheetName val="0.71 MLD"/>
      <sheetName val="1.00 MLD"/>
      <sheetName val="5 MLD"/>
      <sheetName val="O&amp;M_5 MLD"/>
      <sheetName val="O&amp;M_1MLD"/>
      <sheetName val="O&amp;M_0.71 MLD"/>
      <sheetName val="O&amp;M_0.42 MLD"/>
      <sheetName val="BillofQty"/>
      <sheetName val="GENABST "/>
      <sheetName val="PEA"/>
      <sheetName val="Ten vs Budget"/>
      <sheetName val="Budget Summary-new"/>
      <sheetName val="TQS"/>
      <sheetName val="Budget-Summary -old"/>
      <sheetName val="BOR"/>
      <sheetName val="A1 OW"/>
      <sheetName val="A2 IG"/>
      <sheetName val="A2 annex"/>
      <sheetName val="A3 conn"/>
      <sheetName val="A4 sump"/>
      <sheetName val="A5 feeder"/>
      <sheetName val="A6 pumproom"/>
      <sheetName val="A7 PSET"/>
      <sheetName val="A8 TPSET"/>
      <sheetName val="A9 sr"/>
      <sheetName val="A9 annex"/>
      <sheetName val="A10dsy"/>
      <sheetName val="A11 comp"/>
      <sheetName val="A12 weir"/>
      <sheetName val="A 13 maint"/>
      <sheetName val="valvesannex"/>
      <sheetName val="Cover letter"/>
      <sheetName val="REASSESS TECH Q1"/>
      <sheetName val="REGULAR TECH Q2"/>
      <sheetName val="Planning 2.01 A"/>
      <sheetName val="Planning 2.01 B"/>
      <sheetName val="Planning 2.01 C"/>
      <sheetName val="BD &amp; OB  WWW (Annex 2.02)"/>
      <sheetName val="MUMBAI RO - EMDs Annex 2.03 "/>
      <sheetName val="WIP (Annex 2.04)"/>
      <sheetName val="Annexure-2.05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Non CPA Rates"/>
      <sheetName val="Line formulas"/>
      <sheetName val="Data base (2)"/>
      <sheetName val="Comparision of CD Nov 07 Feb 08"/>
      <sheetName val="Rate Comparision Dec 07 July 08"/>
      <sheetName val="Rate Comparision Feb 06 Jul 08"/>
      <sheetName val="#REF"/>
      <sheetName val="ORDER BOOKING1"/>
      <sheetName val="Status of works Quoted."/>
      <sheetName val="BUSINESS  DEVELOPMENT"/>
      <sheetName val="PPT SLIDES"/>
      <sheetName val="WC ASSESSMENT"/>
      <sheetName val="3.01(b)"/>
      <sheetName val="Civil Work-building"/>
      <sheetName val="Analysis."/>
      <sheetName val="Elect."/>
      <sheetName val="DC"/>
      <sheetName val="T Vs B Shuttering in DC"/>
      <sheetName val="T Vs B Shuttering in IDC"/>
      <sheetName val="Tender Vs Budget Comp"/>
      <sheetName val="major variation"/>
      <sheetName val="Complete BOQ"/>
      <sheetName val="Tender rates"/>
      <sheetName val="Tender Analysis"/>
      <sheetName val="Capex"/>
      <sheetName val="Shuttering materials"/>
      <sheetName val="RMC analysis"/>
      <sheetName val="Overview"/>
      <sheetName val="COST SUMMARY"/>
      <sheetName val="CIVIL"/>
      <sheetName val="Plumb"/>
      <sheetName val="Electrical"/>
      <sheetName val="Tender Study"/>
      <sheetName val="RA-Civil,plumb"/>
      <sheetName val="Labour"/>
      <sheetName val="Resource List"/>
      <sheetName val="CM &amp; RMC"/>
      <sheetName val="RA- Civil  "/>
      <sheetName val="Major Qty"/>
      <sheetName val="Panelled door"/>
      <sheetName val="PMV"/>
      <sheetName val="Site Super"/>
      <sheetName val="Civil BOQ"/>
      <sheetName val="Analysis"/>
      <sheetName val="4 Plumbing"/>
      <sheetName val="BP"/>
      <sheetName val="Changed Analysis"/>
      <sheetName val="AutoOpen Stub Data"/>
      <sheetName val="Design"/>
      <sheetName val="Guidelines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PT vs PHI"/>
      <sheetName val="planning"/>
      <sheetName val="mantri synergy"/>
      <sheetName val="Milestone"/>
      <sheetName val="Synergy_pricestrategy"/>
      <sheetName val="Synergy Sales Budget"/>
      <sheetName val="Synergy Collection Schedule"/>
      <sheetName val="ABP inputs"/>
      <sheetName val="Quarterly Collections"/>
      <sheetName val="A. Progress Summary-Bill Status"/>
      <sheetName val="B. Executive Summary"/>
      <sheetName val="C. Project Status (CMD)"/>
      <sheetName val="D. Approved Ball Park"/>
      <sheetName val="E.Stat.Approvals"/>
      <sheetName val="F. Mat Proc "/>
      <sheetName val="G. Proj Photos-K,L &amp; DEVPMENT"/>
      <sheetName val="H. DEVT-Progress"/>
      <sheetName val="I.Civil-Bills Processed"/>
      <sheetName val="G.Procurement programme"/>
      <sheetName val=" CMD"/>
      <sheetName val="pg-1"/>
      <sheetName val="Approval"/>
      <sheetName val="Annx"/>
      <sheetName val="Annx 1"/>
      <sheetName val="Qty"/>
      <sheetName val="Proj Cost"/>
      <sheetName val="Mat Proc "/>
      <sheetName val="BLOCK WORK"/>
      <sheetName val="INT.PLASTERING"/>
      <sheetName val="EXT.PLASTRING"/>
      <sheetName val="STAIRCASE"/>
      <sheetName val="ARPITHA MESH"/>
      <sheetName val="PERGOLA-CON &amp; FORM"/>
      <sheetName val="PERGOLA STEEL"/>
      <sheetName val="LMR-OHT STEEL"/>
      <sheetName val="LMR-OHT CONC &amp; FORM"/>
      <sheetName val="POP-CORNICE"/>
      <sheetName val="PLASTER BAND"/>
      <sheetName val="sum"/>
      <sheetName val="1"/>
      <sheetName val="2B"/>
      <sheetName val="2C"/>
      <sheetName val="2D"/>
      <sheetName val="2E"/>
      <sheetName val="2F"/>
      <sheetName val="2G"/>
      <sheetName val="2H"/>
      <sheetName val="3B"/>
      <sheetName val="4"/>
      <sheetName val="5"/>
      <sheetName val="6B"/>
      <sheetName val="7B"/>
      <sheetName val="8B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B "/>
      <sheetName val="12B"/>
      <sheetName val="13"/>
      <sheetName val="14"/>
      <sheetName val="sc"/>
      <sheetName val="ACHIEVED"/>
      <sheetName val="plan-achieved"/>
      <sheetName val="INPUT SHEET"/>
      <sheetName val="RES-PLANNING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Headings"/>
      <sheetName val="RecoveredExternalLink1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Site Dev BOQ"/>
      <sheetName val="oresreqsum"/>
      <sheetName val="1. Pay Rec"/>
      <sheetName val="2. Abs"/>
      <sheetName val="Notes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1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est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crete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Steel"/>
      <sheetName val="Bitumen"/>
      <sheetName val="Bitumen-Consumption"/>
      <sheetName val="Prime Coat"/>
      <sheetName val="Tack Coat"/>
      <sheetName val="BM"/>
      <sheetName val="DBM"/>
      <sheetName val="Gate Pass"/>
      <sheetName val="print"/>
      <sheetName val="Bill"/>
      <sheetName val="SEP-08(34)"/>
      <sheetName val="SEP-08 (5-9)"/>
      <sheetName val="___ ._"/>
      <sheetName val="Meas"/>
      <sheetName val="CJPC (2)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inter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AOC"/>
      <sheetName val="01"/>
      <sheetName val="02"/>
      <sheetName val="03"/>
      <sheetName val="04"/>
      <sheetName val="05"/>
      <sheetName val="06"/>
      <sheetName val="Estimate Abstract"/>
      <sheetName val="Marvella"/>
      <sheetName val="PRELIMS"/>
      <sheetName val="Staff"/>
      <sheetName val="Mobilisation"/>
      <sheetName val="FIXED ASSETS"/>
      <sheetName val="Site Operating Exp"/>
      <sheetName val="A Class Abstract"/>
      <sheetName val="Stock @ Site"/>
      <sheetName val="EXTERNAL AGENCY BILLS"/>
      <sheetName val="stock-updated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13"/>
      <sheetName val="Sheet1 (2)"/>
      <sheetName val="Copy of Prog"/>
      <sheetName val="salient feature"/>
      <sheetName val="Brief Scope of work"/>
      <sheetName val="PVC"/>
      <sheetName val="Insurance"/>
      <sheetName val="BG"/>
      <sheetName val="Payment"/>
      <sheetName val="Norms "/>
      <sheetName val="Eqpt Nos"/>
      <sheetName val="Cycle Time"/>
      <sheetName val="GC"/>
      <sheetName val="M.Qty"/>
      <sheetName val="Subcon Master"/>
      <sheetName val="Subcon"/>
      <sheetName val="Equipment Hr"/>
      <sheetName val="Material (2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Site &amp; Administration Cost"/>
      <sheetName val="EVM1"/>
      <sheetName val="EVM2"/>
      <sheetName val="EVM4A"/>
      <sheetName val="EVM5"/>
      <sheetName val="EVM5- Revised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1 Labour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Project Data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Cash Flow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Balance Sheet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foundation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Admin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Misc"/>
      <sheetName val="Revenue Share"/>
      <sheetName val="Profit &amp; Loss"/>
      <sheetName val="Ratio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Compa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Sumary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ACL"/>
      <sheetName val="Grouping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Variation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Coal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Electricity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Graph Data"/>
      <sheetName val="Raw Data"/>
      <sheetName val="Layer Table"/>
      <sheetName val="WORKED OGL"/>
      <sheetName val="FRL"/>
      <sheetName val="COLUMN"/>
      <sheetName val="Voucher"/>
      <sheetName val="Data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입출재고현황_(2)"/>
      <sheetName val="3_공통공사대비"/>
      <sheetName val="간접비_총괄"/>
      <sheetName val="내역ࠜĀM4)"/>
      <sheetName val="Price_Schedule"/>
      <sheetName val="6PILE__(돌출)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단면_(2)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Opex"/>
      <sheetName val="IntlCmprPwr"/>
      <sheetName val="BoostrPwr"/>
      <sheetName val="LastBoostrPwr"/>
      <sheetName val="CapexBasis"/>
      <sheetName val="Graph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Dialog2"/>
      <sheetName val="Module3"/>
      <sheetName val="Module4"/>
      <sheetName val="Module5"/>
      <sheetName val="Module6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dIFFERENCE"/>
      <sheetName val="Rock level (Parag)"/>
      <sheetName val="O.R.R.(ROCK1)"/>
      <sheetName val="DEPTH CHART (ORR) L.S. (2)"/>
      <sheetName val="DEPTH CHART (ORR) R.S. (2)"/>
      <sheetName val="co_5"/>
      <sheetName val="Rate"/>
      <sheetName val="SOR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trans"/>
      <sheetName val="mes-fb"/>
      <sheetName val="mes-pl"/>
      <sheetName val="XL4Test5"/>
      <sheetName val="inWords"/>
      <sheetName val="Mat_Cost"/>
      <sheetName val="MASTER_RATE ANALYSIS"/>
      <sheetName val="typical_subminor"/>
      <sheetName val="MASTER_RATE_ANALYSIS"/>
      <sheetName val="Expenditure_Plan"/>
      <sheetName val="SPT_vs_PHI"/>
      <sheetName val="typical_subminor1"/>
      <sheetName val="MASTER_RATE_ANALYSIS1"/>
      <sheetName val="Expenditure_Plan1"/>
      <sheetName val="SPT_vs_PHI1"/>
      <sheetName val="MACHINERY"/>
      <sheetName val="MATERIAL-MACHINERY-LABOUR"/>
      <sheetName val="INPUT"/>
      <sheetName val="DIR USED ITEMS"/>
      <sheetName val="2"/>
      <sheetName val="3"/>
      <sheetName val="6"/>
      <sheetName val="7"/>
      <sheetName val="8"/>
      <sheetName val="9"/>
      <sheetName val="11"/>
      <sheetName val="12"/>
      <sheetName val="15"/>
      <sheetName val="16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DATA SHEET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Payment Summary"/>
      <sheetName val="Abstract-BOQ"/>
      <sheetName val="Pg No"/>
      <sheetName val="Consumption"/>
      <sheetName val="Consump %"/>
      <sheetName val="B&amp;U Abs"/>
      <sheetName val="Royalty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Basic"/>
      <sheetName val="Conc rate analysisa"/>
      <sheetName val="Conc rate analysis (Dust)"/>
      <sheetName val="Shear at Sections"/>
      <sheetName val="FENCING"/>
      <sheetName val="19-PERF"/>
      <sheetName val="Z- GENERAL PRICE SUMMARY"/>
      <sheetName val=" Estimate  "/>
      <sheetName val="갑지1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당초내역서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Int"/>
      <sheetName val="BG Prepaid"/>
      <sheetName val="PILE COMP."/>
      <sheetName val=" ESC"/>
      <sheetName val="Tax-Mat"/>
      <sheetName val="Tax-Total"/>
      <sheetName val="Summary (2)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Ins"/>
      <sheetName val="IT"/>
      <sheetName val="SHE"/>
      <sheetName val="Sal"/>
      <sheetName val="Sch D,E,G"/>
      <sheetName val="Fire Fightin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Finishing"/>
      <sheetName val="Plant Hire Pile"/>
      <sheetName val="Rate Analysis-Pile"/>
      <sheetName val="SoA Breakup"/>
      <sheetName val="SoA"/>
      <sheetName val="Rate Analysis- Concrete"/>
      <sheetName val=" summary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page 1 of 2"/>
      <sheetName val="page 2 of 2"/>
      <sheetName val="Explanation"/>
      <sheetName val="QMM-Graph"/>
      <sheetName val="More Exp.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"/>
      <sheetName val="CoA Breakup"/>
      <sheetName val="Content-Technical"/>
      <sheetName val="Org-Chart"/>
      <sheetName val="Manpower Sche"/>
      <sheetName val="equipment Sche"/>
      <sheetName val="Tools"/>
      <sheetName val="Cover "/>
      <sheetName val="Separator Sheet"/>
      <sheetName val="Conc-Site"/>
      <sheetName val="Shut"/>
      <sheetName val="T Crane"/>
      <sheetName val="OH"/>
      <sheetName val="TS"/>
      <sheetName val="SDF I"/>
      <sheetName val="OH's"/>
      <sheetName val="Top sheet"/>
      <sheetName val="BOQ P-N"/>
      <sheetName val="Site Plan"/>
      <sheetName val="Elect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Excavato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pLUMBING"/>
      <sheetName val="List of Items"/>
      <sheetName val="Major Quantities"/>
      <sheetName val="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CASHFLOW"/>
      <sheetName val="QTY Plan_Prime cost"/>
      <sheetName val="Itemwise Qty plan &amp; Gross Bill"/>
      <sheetName val="Summary 1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Site overheads"/>
      <sheetName val="Escalation"/>
      <sheetName val="PMC BP"/>
      <sheetName val="PMC Mach"/>
      <sheetName val="Drain calculations"/>
      <sheetName val="Con Pro.I"/>
      <sheetName val="Con Pro.II"/>
      <sheetName val="Escl"/>
      <sheetName val="Layout"/>
      <sheetName val="Elec Items"/>
      <sheetName val="Synops"/>
      <sheetName val="Abstract ( Depre)"/>
      <sheetName val="C.P. BOQ"/>
      <sheetName val="BitAll"/>
      <sheetName val="A17"/>
      <sheetName val="ANNX A 17"/>
      <sheetName val="A18"/>
      <sheetName val="ANNX A 18"/>
      <sheetName val="A19"/>
      <sheetName val="ANNX A 19"/>
      <sheetName val="A20"/>
      <sheetName val="ANNX A 20"/>
      <sheetName val="A21"/>
      <sheetName val="ANNX A 21"/>
      <sheetName val="A 22"/>
      <sheetName val="A 23"/>
      <sheetName val="Revised"/>
      <sheetName val="Revised (2)"/>
      <sheetName val="S-Curve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Topsheet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Sheet5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Database"/>
      <sheetName val="E-Core version"/>
      <sheetName val="list"/>
      <sheetName val="Laptop Loan Req Form"/>
      <sheetName val="Laptop Release Form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change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Lead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Salaries"/>
      <sheetName val="Off-Veh Exp"/>
      <sheetName val="BOQ 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DPR"/>
      <sheetName val="11 KV MAIN LINE 05.02.06"/>
      <sheetName val="s6 05.02.06"/>
      <sheetName val="Trans main"/>
      <sheetName val="Piling-Quot"/>
      <sheetName val="Piling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Stock Statement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Check List"/>
      <sheetName val="Site Visit Report"/>
      <sheetName val="ANALSIS"/>
      <sheetName val="rev.boq"/>
      <sheetName val="Summary "/>
      <sheetName val="Ana=Civ"/>
      <sheetName val="ANa=Str"/>
      <sheetName val="Ana=SW"/>
      <sheetName val="Mat"/>
      <sheetName val="PH"/>
      <sheetName val=" BoQ"/>
      <sheetName val="TUGSS3-549"/>
      <sheetName val="Trial Balance"/>
      <sheetName val="MRate"/>
      <sheetName val="PRELIM5"/>
      <sheetName val="Monthly Billing"/>
      <sheetName val="MPS R-1 (2)"/>
      <sheetName val="Annexure"/>
      <sheetName val="MPS R-1"/>
      <sheetName val="Level-3 MPS"/>
      <sheetName val="Old working"/>
      <sheetName val="SIL File"/>
      <sheetName val="DT"/>
      <sheetName val="FACTORS"/>
      <sheetName val="GIFT"/>
      <sheetName val="chart as per norms"/>
      <sheetName val="Officer"/>
      <sheetName val="staff &amp; DP"/>
      <sheetName val="Working 1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P-8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XXXXX"/>
      <sheetName val="XXXX0"/>
      <sheetName val="PRELIM"/>
      <sheetName val="EQPTS LIST"/>
      <sheetName val="RESOURCE"/>
      <sheetName val="DESIGN MIX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Profitability"/>
      <sheetName val="D2&amp;3-PRELIMINARY-ITEMWISE"/>
      <sheetName val="D4&amp;5-PRILIMINARY-EXP"/>
      <sheetName val="REVENUE"/>
      <sheetName val="Exp-details"/>
      <sheetName val="BOQ lot IV A"/>
      <sheetName val="BOQ  lot IV B"/>
      <sheetName val="Comp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Group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Sheet1 (3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DPR -Permanent Works"/>
      <sheetName val="CP FEB 03"/>
      <sheetName val="CWCO FEB 03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CP MAR 03"/>
      <sheetName val="CWCO MAR 03"/>
      <sheetName val="MAR03 LEDGER"/>
      <sheetName val="MAR03 LEDGER (2)"/>
      <sheetName val=" _x0000__x001b__x0000__x0006__x0000__x0006__x0000__x0008__x0000_ _x0000__x0000_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132 kV Roikbha"/>
      <sheetName val="OPGW Quantity summary"/>
      <sheetName val="recap generale"/>
      <sheetName val="bord prix fourniture"/>
      <sheetName val="Détail Rechanges Client"/>
      <sheetName val="outillage"/>
      <sheetName val="sous traitance"/>
      <sheetName val="liste ANDI"/>
      <sheetName val="PV devinet"/>
      <sheetName val="PDRA devinet"/>
      <sheetName val="synthesis"/>
      <sheetName val="export coeff"/>
      <sheetName val="p.sch.coeff"/>
      <sheetName val="result"/>
      <sheetName val="RecettesUsinesClient"/>
      <sheetName val="RécapCoachingGre"/>
      <sheetName val="Estim"/>
      <sheetName val="Training"/>
      <sheetName val="aide"/>
      <sheetName val="400kV GIS"/>
      <sheetName val="400kV AIS"/>
      <sheetName val="EA Sheet"/>
      <sheetName val="Internal Summary"/>
      <sheetName val="Supply - ETC"/>
      <sheetName val="SUM CE"/>
      <sheetName val="GIS"/>
      <sheetName val="Revised ANNEX-1"/>
      <sheetName val="ANNEX2"/>
      <sheetName val="VAT on Civil"/>
      <sheetName val="Receipt - Payment"/>
      <sheetName val="CF Statement"/>
      <sheetName val="OWC"/>
      <sheetName val="Curve"/>
      <sheetName val="Bank Charges"/>
      <sheetName val="ROR"/>
      <sheetName val="Scope &amp; Exclusion"/>
      <sheetName val="Tech. com"/>
      <sheetName val="EquipEarthing"/>
      <sheetName val="ESTDGRIDrev0"/>
      <sheetName val="DCPowerCables"/>
      <sheetName val="ACpowercables"/>
      <sheetName val="ControlCable"/>
      <sheetName val="Lighting"/>
      <sheetName val="Cantilever Strength"/>
      <sheetName val="TBB"/>
      <sheetName val="72.5EquipEarthing"/>
      <sheetName val="36EquipEarthing"/>
      <sheetName val="DPR-JBRP"/>
      <sheetName val="DATA-JMEC(0-13)"/>
      <sheetName val="DATA-DEP.(13-17)"/>
      <sheetName val="DATA-KBPL(17-25)"/>
      <sheetName val="DATA-GCC(25-34.7)"/>
      <sheetName val="St.-Con(0-17)"/>
      <sheetName val="St.-Con.(17-34)"/>
      <sheetName val="St.-Others"/>
      <sheetName val="DEPLOY"/>
      <sheetName val="CALCULATION"/>
      <sheetName val="XXXXXXXX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Loan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414000 UPDATED INSURANCE"/>
      <sheetName val="fixed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C"/>
      <sheetName val="PROF"/>
      <sheetName val="D"/>
      <sheetName val="JUNE   "/>
      <sheetName val="E"/>
      <sheetName val="425230 june"/>
      <sheetName val="F"/>
      <sheetName val="G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1"/>
      <sheetName val="E.2"/>
      <sheetName val="E.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H"/>
      <sheetName val="425229 apr may 01"/>
      <sheetName val="415030(APR01)"/>
      <sheetName val="410010"/>
      <sheetName val="PROFIT &amp; LOSS ACC"/>
      <sheetName val="SCHEDULES"/>
      <sheetName val="Details of Closing Stock"/>
      <sheetName val="Details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Creditors"/>
      <sheetName val="Advances"/>
      <sheetName val="Sundry Debtors"/>
      <sheetName val="Advance from Customer"/>
      <sheetName val="Subsidies"/>
      <sheetName val="Detail of Cr"/>
      <sheetName val="SUMM"/>
      <sheetName val="BS"/>
      <sheetName val="P&amp;L"/>
      <sheetName val="Notes1"/>
      <sheetName val="Notes2"/>
      <sheetName val="Deferred Tax"/>
      <sheetName val="80IB (2)"/>
      <sheetName val="Computation"/>
      <sheetName val="Wealth Tax"/>
      <sheetName val="80IB"/>
      <sheetName val="Annexure 1"/>
      <sheetName val="Unsold Construction"/>
      <sheetName val="Finished Goods"/>
      <sheetName val="GP"/>
      <sheetName val="Ratio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Sec 212"/>
      <sheetName val="I.T. Act (2)"/>
      <sheetName val="Companies Act (2)"/>
      <sheetName val="Salary &amp; Wages"/>
      <sheetName val="Creditors (Cr.)"/>
      <sheetName val="Creditors (Dr.)"/>
      <sheetName val="Gratuity"/>
      <sheetName val="REPAYMENT"/>
      <sheetName val="DSCR"/>
      <sheetName val="PROJECT REPORT"/>
      <sheetName val="CMA DATA"/>
      <sheetName val="B&amp;S"/>
      <sheetName val="Schedule BS"/>
      <sheetName val="Note 8-Non Current Investments"/>
      <sheetName val="P &amp; L."/>
      <sheetName val="Schedule to P&amp;L"/>
      <sheetName val="capital account"/>
      <sheetName val="Depreciation"/>
      <sheetName val="Computation-Old"/>
      <sheetName val="Soul - Trial Balances "/>
      <sheetName val="P &amp; L"/>
      <sheetName val="Banjara"/>
      <sheetName val="Jubilee"/>
      <sheetName val="Yoga"/>
      <sheetName val="Avasa"/>
      <sheetName val="Jubilee P &amp; L"/>
      <sheetName val="Banjara P &amp; L"/>
      <sheetName val="Avasa P &amp; L"/>
      <sheetName val="Yoga Studio P &amp; L"/>
      <sheetName val="BS - Yoga"/>
      <sheetName val="BS - Jubilee"/>
      <sheetName val="BS - Avasa"/>
      <sheetName val="BS - Banjara"/>
      <sheetName val="Income Statement"/>
      <sheetName val="Invest-EQ"/>
      <sheetName val="Invest-MF"/>
      <sheetName val="PL"/>
      <sheetName val="Mapping_31-03-05"/>
      <sheetName val="Notes to P&amp;L"/>
      <sheetName val="Abstrtact"/>
      <sheetName val="Notes to P&amp;L2"/>
      <sheetName val="Related parties"/>
      <sheetName val="Segment_Final"/>
      <sheetName val="Segment"/>
      <sheetName val="212 (3)"/>
      <sheetName val="Segment workings"/>
      <sheetName val="IEL trial-05"/>
      <sheetName val="IEL Mar 05"/>
      <sheetName val="IES Mar 05"/>
      <sheetName val="Tax"/>
      <sheetName val="Prov for Tax"/>
      <sheetName val="Income Tax-Assmt position"/>
      <sheetName val="Interest on Bank Borrowings"/>
      <sheetName val="Hire Purchase &amp; Interest"/>
      <sheetName val="Orix 1.1"/>
      <sheetName val="Orix 1.2"/>
      <sheetName val="Orix2"/>
      <sheetName val="Orix3"/>
      <sheetName val="Orix 4"/>
      <sheetName val="Orix 5"/>
      <sheetName val="Orix 6"/>
      <sheetName val="Orix 7"/>
      <sheetName val="Orix 8"/>
      <sheetName val="Orix 9"/>
      <sheetName val="Orix 10"/>
      <sheetName val="Orix 11"/>
      <sheetName val="Orix 12"/>
      <sheetName val="ICICI(1)"/>
      <sheetName val="ICICI (3)"/>
      <sheetName val="ICICI (4)"/>
      <sheetName val="ICICI (5)"/>
      <sheetName val="ICICI (6)"/>
      <sheetName val="ICICI (7)"/>
      <sheetName val="ICICI (10)"/>
      <sheetName val="ICICI (11)"/>
      <sheetName val="ICICI(12)"/>
      <sheetName val="ICICI(13)"/>
      <sheetName val="ICICI(14)"/>
      <sheetName val="ICICI(15)"/>
      <sheetName val="HDFC 1"/>
      <sheetName val="HDFC (2)"/>
      <sheetName val="Kotak(1)"/>
      <sheetName val="Kotak(2)"/>
      <sheetName val="Kotak(3)"/>
      <sheetName val="Cash Flow "/>
      <sheetName val="NOTE 2.1 "/>
      <sheetName val="NOTE 2.2 TO 2.14"/>
      <sheetName val="note 2.15 - 2.20"/>
      <sheetName val="note 2.8 (1)"/>
      <sheetName val="Note 2.8"/>
      <sheetName val="Note 2.11"/>
      <sheetName val="working 2015 -16"/>
      <sheetName val="working 2015"/>
      <sheetName val="Lead Schedule"/>
      <sheetName val="N1.1"/>
      <sheetName val="N1.3"/>
      <sheetName val="N1.6"/>
      <sheetName val="N.2.13"/>
      <sheetName val="N1.8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Markup"/>
      <sheetName val="CCS"/>
      <sheetName val="Non-Rec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Construction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Capital work in Progress"/>
      <sheetName val="CAPTLISATION OF INTEREST"/>
      <sheetName val="Consolidation Cash Flow"/>
      <sheetName val="Capital Commitment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adjustment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Daily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Sheet7"/>
      <sheetName val="adjust"/>
      <sheetName val="Creditor Ageing"/>
      <sheetName val="reqt"/>
      <sheetName val="unsec Loan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FLOP+ Other Add On"/>
      <sheetName val="Missl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Top-sheet "/>
      <sheetName val="con-99"/>
      <sheetName val="P&amp;L-6"/>
      <sheetName val="Sheet10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Security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Master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Labour Chart"/>
      <sheetName val="Subcon - JAN 05"/>
      <sheetName val="Notes - Plant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SCH 1-5"/>
      <sheetName val="SCH  6-7"/>
      <sheetName val="Trial 31.03.10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JV"/>
      <sheetName val="Ramco Data TB dump"/>
      <sheetName val="Ramco TB dump"/>
      <sheetName val="Trial-Balance"/>
      <sheetName val="B S "/>
      <sheetName val="Sch 1-3"/>
      <sheetName val="Sch-4-15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appendix 2.2 variances"/>
      <sheetName val="appendix 2.8 provisions"/>
      <sheetName val="ANAL"/>
      <sheetName val="contract"/>
      <sheetName val="invoice"/>
      <sheetName val="1,4,13-.scope"/>
      <sheetName val="scurve"/>
      <sheetName val="Plant maint"/>
      <sheetName val="Alimak"/>
      <sheetName val="S22 PRW"/>
      <sheetName val="Bac-Sum"/>
      <sheetName val="Summary of amend"/>
      <sheetName val="D.Wall Rate"/>
      <sheetName val="Sheetpile-HCC&amp; RH (Tender) "/>
      <sheetName val="Sheetpile-HCC&amp; RH (Market)"/>
      <sheetName val="Comparative Statement (Tender)"/>
      <sheetName val="Comparative Statement (market)"/>
      <sheetName val="Manpower detail"/>
      <sheetName val="Measurement"/>
      <sheetName val="DWall BOQ (Monthwise)"/>
      <sheetName val="SP BOQ (Market)"/>
      <sheetName val="ESCALATION for DW"/>
      <sheetName val="S3workplanqty R"/>
      <sheetName val="S3workplanamt R"/>
      <sheetName val="S3workplanqty E"/>
      <sheetName val="S3workplanamt E"/>
      <sheetName val="Refurbishment Outside"/>
      <sheetName val="S44 Depreciation"/>
      <sheetName val="S45 Refurbishment"/>
      <sheetName val=" BOQ - comparison"/>
      <sheetName val="RE䁖ENUE"/>
      <sheetName val="Ex⁰-detail졳"/>
      <sheetName val="BOቑ  lot Iᙖ B"/>
      <sheetName val="All RA's L䁏T A"/>
      <sheetName val=" (၁nnexure䈠1)"/>
      <sheetName val="UG䄠Exv 3.1"/>
      <sheetName val="Wiꡲemesh 4ꄮ7.2"/>
      <sheetName val="S0̠Keydateͳ"/>
      <sheetName val="S4 CycleTi葭e"/>
      <sheetName val="Wo恲king-shꡥet"/>
      <sheetName val="Wo恲k Programm"/>
      <sheetName val="MI腓 (VI)"/>
      <sheetName val="ApⱰroach"/>
      <sheetName val="S0-KEYDATE㕓"/>
      <sheetName val="Pi色 VA (2)"/>
      <sheetName val="MIこ MODULE III"/>
      <sheetName val="MI॓ MODULE†IV"/>
      <sheetName val="MI䙓 MODULE䌠VI"/>
      <sheetName val="MIS MODULE갠VII"/>
      <sheetName val="MI MODULEଠX"/>
      <sheetName val="An䁡l.Profit"/>
      <sheetName val="Caalog Suꡭm"/>
      <sheetName val="FU⑎D INDENє"/>
      <sheetName val="MI酓 MOD-II"/>
      <sheetName val="BA啓IC RATE酓"/>
      <sheetName val="Budget Notť"/>
      <sheetName val="CSꁒ expens腥s"/>
      <sheetName val="S4䁴imecycle "/>
      <sheetName val="S5쁥scalati⁯n "/>
      <sheetName val="??-BLDG"/>
      <sheetName val="drg"/>
      <sheetName val="Slab Blk-02"/>
      <sheetName val="OLD PRILIMS"/>
      <sheetName val="MS ITEMS"/>
      <sheetName val="PLANT &amp; MACHINERY"/>
      <sheetName val="RENT MASTER FILE"/>
      <sheetName val="Basement Budget"/>
      <sheetName val="final abstract"/>
      <sheetName val="Micro"/>
      <sheetName val="Macro"/>
      <sheetName val="Scaff-Rose"/>
      <sheetName val="PRW"/>
      <sheetName val="Precalculation"/>
      <sheetName val="Cost Cutting Opportunities"/>
      <sheetName val="IDC"/>
      <sheetName val="Misc. points"/>
      <sheetName val="qty abst"/>
      <sheetName val="Programe"/>
      <sheetName val="basic "/>
      <sheetName val="bua"/>
      <sheetName val="Iron Steel &amp; handrails"/>
      <sheetName val="Publicbuilding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CVF SHEET"/>
      <sheetName val="Test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INDEX "/>
      <sheetName val="MOEF Deviation"/>
      <sheetName val="Top-sheet 09.09.09"/>
      <sheetName val="Service tax"/>
      <sheetName val="Service tax (red)"/>
      <sheetName val="Reasons wrt SECTOR 90 STR."/>
      <sheetName val="structure boq "/>
      <sheetName val="DSR Chennai Dec 08"/>
      <sheetName val="BASIS -DEC 08"/>
      <sheetName val="WORKDONE TILL 06-07-2009"/>
      <sheetName val="SHORT ANALYSIS"/>
      <sheetName val="PRW-DEC 08 "/>
      <sheetName val="Wastage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FinDSR JAN'09"/>
      <sheetName val="FinRate Analysis"/>
      <sheetName val="FinMaterial analysis"/>
      <sheetName val="FinPRW analysis"/>
      <sheetName val="plumbing &amp; fire"/>
      <sheetName val="plumbing &amp; fire (red)"/>
      <sheetName val="SERVICES "/>
      <sheetName val="SERVICES  (RED)"/>
      <sheetName val="OMR consultanCy"/>
      <sheetName val="budget analysis_tender "/>
      <sheetName val="budget analysis"/>
      <sheetName val="Refs"/>
      <sheetName val="boq_b2b_tender"/>
      <sheetName val="boq_b2b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Finishing Dec'08"/>
      <sheetName val="FINISHING BOQ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SERVICES"/>
      <sheetName val="Day Shift"/>
      <sheetName val="Night Shift"/>
      <sheetName val="Contract Day Staff"/>
      <sheetName val="Contract Night Staff"/>
      <sheetName val="Rates"/>
      <sheetName val="BoQ_DLF (2)"/>
      <sheetName val="BoQ_DLF"/>
      <sheetName val="Cost-Sqft"/>
      <sheetName val="Bill of Quantities"/>
      <sheetName val="P&amp;E Dep"/>
      <sheetName val="Staff Schedule"/>
      <sheetName val="HSE"/>
      <sheetName val="Lab Equp"/>
      <sheetName val="Travel"/>
      <sheetName val="Site facilities"/>
      <sheetName val="Site office &amp; Infra"/>
      <sheetName val="Preisblatt Lot B"/>
      <sheetName val="Inner Parts stock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Aseet1998"/>
      <sheetName val="PC Master List"/>
      <sheetName val="Certificate-A Main contrcat -40"/>
      <sheetName val="certi-ra13"/>
      <sheetName val="Payment tracker"/>
      <sheetName val="Service tax diff-May 2013"/>
      <sheetName val="Abstract - A - WO 40 "/>
      <sheetName val="NT &amp; RA4-ABSTRACT- WO 98"/>
      <sheetName val="Abstract -final cement -# 169"/>
      <sheetName val="Phase 2-I tower"/>
      <sheetName val="pHASE 1--RA12"/>
      <sheetName val="PHASE 2-RA12"/>
      <sheetName val="I TOWER-RA12"/>
      <sheetName val="Abstract - B - WO 331"/>
      <sheetName val="Summary- Qty-till RA21"/>
      <sheetName val="Mobilisation Rec-21"/>
      <sheetName val="Steel Recovery -RA21"/>
      <sheetName val=" Tiles-RA21 "/>
      <sheetName val="Summary RAB 19 - Sub Struc"/>
      <sheetName val="Summary RAB 19 - Super struc"/>
      <sheetName val="Steel Summary"/>
      <sheetName val="labor"/>
      <sheetName val="upa"/>
      <sheetName val="Unit Price"/>
      <sheetName val="Intro."/>
      <sheetName val="wordsdata"/>
      <sheetName val="DetEst"/>
      <sheetName val="DetEstimates"/>
      <sheetName val="CshFlw"/>
      <sheetName val="DirIndLabor"/>
      <sheetName val="BoQ Covanta"/>
      <sheetName val="Codes"/>
      <sheetName val="CIVIL WORK"/>
      <sheetName val="STEEL STRUCTURE"/>
      <sheetName val="Pur"/>
      <sheetName val="Fin Sum"/>
      <sheetName val="Floor&amp;Ceiling Finishes"/>
      <sheetName val="Wall Finishes"/>
      <sheetName val="Wall"/>
      <sheetName val="Other Items"/>
      <sheetName val="Doors"/>
      <sheetName val="InputPO_Del"/>
      <sheetName val="Footings"/>
      <sheetName val="Pay_Sep06"/>
      <sheetName val="Project Budget Worksheet"/>
      <sheetName val="IO LIST"/>
      <sheetName val="13. Steel - Ratio"/>
      <sheetName val="Material "/>
      <sheetName val="Window"/>
      <sheetName val="analysis-superstructure"/>
      <sheetName val="SBI(Siliguri)"/>
      <sheetName val="APPENDIX-I"/>
      <sheetName val="Corr-spt"/>
      <sheetName val="Obs-spt"/>
      <sheetName val="Indices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ept-plan"/>
      <sheetName val="#REF!"/>
      <sheetName val="Summary 0506"/>
      <sheetName val="Summary 0607- 31.MAR"/>
      <sheetName val="Spt-BH"/>
      <sheetName val="BH 12-11-10-13"/>
      <sheetName val="BH 12-11-10-9"/>
      <sheetName val="BH 36-15-37"/>
      <sheetName val="BH 16-35-25-17"/>
      <sheetName val="BH 35-25-17"/>
      <sheetName val="glass_project_concrete"/>
      <sheetName val="glass_project_reift"/>
      <sheetName val="glass_project_indices"/>
      <sheetName val="Fill this out first..."/>
      <sheetName val="Table10"/>
      <sheetName val="Table12"/>
      <sheetName val="Table9"/>
      <sheetName val="FitOutConfCentre"/>
      <sheetName val="REVISED4A PROG PERF-SITE 1"/>
      <sheetName val="Pile cap"/>
      <sheetName val="glass_project_concrete1"/>
      <sheetName val="glass_project_reift1"/>
      <sheetName val="glass_project_indices1"/>
      <sheetName val="SBC-BH_19"/>
      <sheetName val="BH_12-11-10-13"/>
      <sheetName val="BH_12-11-10-9"/>
      <sheetName val="BH_36-15-37"/>
      <sheetName val="BH_16-35-25-17"/>
      <sheetName val="BH_35-25-17"/>
      <sheetName val="d-safe DELUXE"/>
      <sheetName val="Mix Design"/>
      <sheetName val="std-rates"/>
      <sheetName val="RCC,Ret. Wall"/>
      <sheetName val="BOQ (2)"/>
      <sheetName val="PointNo.5"/>
      <sheetName val="TBAL9697 -group wise  sdpl"/>
      <sheetName val="Abstract Sheet"/>
      <sheetName val="V.O.4 - PCC Qty"/>
      <sheetName val="Legal Risk Analysis"/>
      <sheetName val="WWR"/>
      <sheetName val="Activity"/>
      <sheetName val="Staff Acco."/>
      <sheetName val="Crew"/>
      <sheetName val="Piping"/>
      <sheetName val="Pipe Supports"/>
      <sheetName val="BOQ_Direct_selling cost"/>
      <sheetName val="CABLE DATA"/>
      <sheetName val="Stock-II"/>
      <sheetName val="R20_R30_work"/>
      <sheetName val="M-Book for Conc"/>
      <sheetName val="M-Book for FW"/>
      <sheetName val="GBW"/>
      <sheetName val="Flight-1"/>
      <sheetName val="FT-05-02IsoBOM"/>
      <sheetName val="Rev S1 Abstract"/>
      <sheetName val="Quantity Abstract"/>
      <sheetName val="Parapet"/>
      <sheetName val="Load Details-220kV"/>
      <sheetName val="beam-reinft-IIInd floor"/>
      <sheetName val="B@__x005f_x0000__x005f_x0004_@_x005f_x0000__x0000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except wiring"/>
      <sheetName val="Sump"/>
      <sheetName val="cubes_M20"/>
      <sheetName val="Summary_0506"/>
      <sheetName val="Summary_0607-_31_MAR"/>
      <sheetName val="rate anal"/>
      <sheetName val="BLOCK MASONARY"/>
      <sheetName val="Lead splm"/>
      <sheetName val="SLP Data"/>
      <sheetName val="Lead SLPM."/>
      <sheetName val="SLPM Data"/>
      <sheetName val="PRECAST-conc-II"/>
      <sheetName val="Miscellaneous-civil"/>
      <sheetName val="GN-ST-10"/>
      <sheetName val="Cleaning &amp; Grubbing"/>
      <sheetName val="CF-det"/>
      <sheetName val="PRECAST lightconc_II"/>
      <sheetName val="GN_ST_10"/>
      <sheetName val="Friends"/>
      <sheetName val="College Details"/>
      <sheetName val="Personal 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PTB (IO)"/>
      <sheetName val="BMS "/>
      <sheetName val="OVER HEADS"/>
      <sheetName val="八幡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TBAL9697_-group_wise__sdpl"/>
      <sheetName val="labour coeff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jan"/>
      <sheetName val="fefb"/>
      <sheetName val="puch order"/>
      <sheetName val="decm"/>
      <sheetName val="SILICATE"/>
      <sheetName val="Costing Upto Mar'11 (2)"/>
      <sheetName val="zone-8"/>
      <sheetName val="MHNO_LEV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22.12.2011"/>
      <sheetName val="2gii"/>
      <sheetName val="Ave.wtd.rates"/>
      <sheetName val="Labour &amp; Plant"/>
      <sheetName val="Cashflow projection"/>
      <sheetName val="beam-reinft"/>
      <sheetName val="Prelims Breakup"/>
      <sheetName val="B3-B4-B5-B6"/>
      <sheetName val="Graph Cumulative"/>
      <sheetName val="ABS"/>
      <sheetName val="acevsSp"/>
      <sheetName val="Bid Items"/>
      <sheetName val="acevsSp (ABC)"/>
      <sheetName val="INFLUENCES ON GM"/>
      <sheetName val="Matl Cons"/>
      <sheetName val="Basic Cost"/>
      <sheetName val="RECON"/>
      <sheetName val="Matl. Req."/>
      <sheetName val="Form Work"/>
      <sheetName val="Deptitemc"/>
      <sheetName val="deptlc"/>
      <sheetName val="Dept break"/>
      <sheetName val="P&amp;M ITEMCOST"/>
      <sheetName val="PMbreak"/>
      <sheetName val="PMbreak%"/>
      <sheetName val="PMabs"/>
      <sheetName val="PMCOSTa"/>
      <sheetName val="PMCOSTb"/>
      <sheetName val="PMCOSTc"/>
      <sheetName val="PMCOSTd"/>
      <sheetName val="FUEL NORMS (RPLM)"/>
      <sheetName val="GEODESIC"/>
      <sheetName val="IDC.1010,1030,1100,1180"/>
      <sheetName val="IDC.1020"/>
      <sheetName val="IDC.1040 "/>
      <sheetName val="IDC.1200"/>
      <sheetName val="ROADS"/>
      <sheetName val="Clients Facilities"/>
      <sheetName val="Clts Fac Tender Vs Actuals"/>
      <sheetName val="NL-Field Lab Equipment SVD"/>
      <sheetName val="CF-Fur-Det"/>
      <sheetName val="Safety"/>
      <sheetName val="BG Det"/>
      <sheetName val="TAXES"/>
      <sheetName val="TAXES (2)"/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L_Oth Bo"/>
      <sheetName val="Project-Material "/>
      <sheetName val="1. PayRec"/>
      <sheetName val="TBL9798_x0010_DPL03"/>
      <sheetName val="CORPN O"/>
      <sheetName val="ino4t conso,-nov"/>
      <sheetName val="(nout co,sol (2)"/>
      <sheetName val="Actuals"/>
      <sheetName val="Main-Material"/>
      <sheetName val="template"/>
      <sheetName val="R2"/>
      <sheetName val="Blr hire"/>
      <sheetName val="Sun E Type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-�"/>
      <sheetName val="3�AL9697 -group wise  onpl"/>
      <sheetName val="目录"/>
      <sheetName val="FORM7"/>
      <sheetName val="PCC"/>
      <sheetName val="G_1_obpl_x005f_x000b_Wori"/>
      <sheetName val="_x005f_x0003_dpl_oth Lia`"/>
      <sheetName val="TBAL9697 _x005f_x000d_grotp wise "/>
      <sheetName val="St.co.91.5lvl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INTSHEET"/>
      <sheetName val="INTSHEET3"/>
      <sheetName val="A.O.R."/>
      <sheetName val="_x0004__x000d__x0003__x0004__x0016__x000d__x0004_"/>
      <sheetName val="_x000a__x001b__x0006__x0006__x0008__x000a_"/>
      <sheetName val=" _x001b__x0006__x0006__x0008_ "/>
      <sheetName val="Petty cash-Abstract"/>
      <sheetName val="내역서 (∮ἀ嘆ɶ"/>
      <sheetName val="_x0004_"/>
      <sheetName val="_x000a_"/>
      <sheetName val=" "/>
      <sheetName val="Fin"/>
      <sheetName val="Intro"/>
      <sheetName val="Sheet3 (2)"/>
      <sheetName val="Inc.St.-Link"/>
      <sheetName val="Portfolio Summary"/>
      <sheetName val="BLOCK-A (MEA.SHEET)"/>
      <sheetName val="MM"/>
      <sheetName val="Occ, Other Rev, Exp, Dispo"/>
      <sheetName val="10. &amp; 11. Rate Code &amp; BQ"/>
      <sheetName val="INDIGINEOUS ITEMS "/>
      <sheetName val="Staff OH facility &amp; Maint(A1-6)"/>
      <sheetName val="Admin,survy,test(A7-9)"/>
      <sheetName val="Insurance &amp; Taxes(B1-2)"/>
      <sheetName val="Temp &amp; Misc VOP(B3-6)"/>
      <sheetName val="P&amp;M(B7)"/>
      <sheetName val="PMC REQ(C)"/>
      <sheetName val="Phase 1 details"/>
      <sheetName val="Apt.Ind. Details"/>
      <sheetName val="19thk Granite wash Counter"/>
      <sheetName val="Vitrified Skirting"/>
      <sheetName val="Vitrified bands"/>
      <sheetName val="Rain water recharge pit"/>
      <sheetName val="Cinder"/>
      <sheetName val="200mm Corecutting"/>
      <sheetName val="Italian band"/>
      <sheetName val="Granite Band"/>
      <sheetName val="Bore packing"/>
      <sheetName val="C I Cover"/>
      <sheetName val="POP"/>
      <sheetName val="Masonry Chipping"/>
      <sheetName val="Puddle Flanges"/>
      <sheetName val="9th Floor"/>
      <sheetName val="Ceramic Dadoo "/>
      <sheetName val="BlockAbstract"/>
      <sheetName val="Block A"/>
      <sheetName val="Block B"/>
      <sheetName val="Block C"/>
      <sheetName val="Block D"/>
      <sheetName val="Block E"/>
      <sheetName val="Block F"/>
      <sheetName val="Block G"/>
      <sheetName val="Block H"/>
      <sheetName val="Block I"/>
      <sheetName val="Block J"/>
      <sheetName val="Block K"/>
      <sheetName val="Block L"/>
      <sheetName val="Block M"/>
      <sheetName val="Block N"/>
      <sheetName val="Salient Features"/>
      <sheetName val="BOQ-CIvil"/>
      <sheetName val="BOQ-Finish"/>
      <sheetName val="boq - ELE"/>
      <sheetName val="BOQ-PHE"/>
      <sheetName val="BOQ - WTP"/>
      <sheetName val="Rev Front"/>
      <sheetName val="Grand Sum"/>
      <sheetName val="Sum-PHE"/>
      <sheetName val="Sum-ELE"/>
      <sheetName val="Sum-Finish"/>
      <sheetName val="Sum- Civil"/>
      <sheetName val="Con"/>
      <sheetName val="mas plas"/>
      <sheetName val="Floor"/>
      <sheetName val="Mat Rates"/>
      <sheetName val="Maj qty"/>
      <sheetName val="Mob "/>
      <sheetName val="Per"/>
      <sheetName val="Ind"/>
      <sheetName val="Scaff"/>
      <sheetName val="Coeff"/>
      <sheetName val="COMBINED BOQ"/>
      <sheetName val="Total Summary"/>
      <sheetName val="Material List"/>
      <sheetName val="Civil Summary"/>
      <sheetName val="Civil and Structural work"/>
      <sheetName val="Site Development work"/>
      <sheetName val="Inside-FF "/>
      <sheetName val="Inside-GF"/>
      <sheetName val="Rough "/>
      <sheetName val="RCC Plastering"/>
      <sheetName val="External"/>
      <sheetName val="월선수금"/>
      <sheetName val="Assumption &amp; Exclusion"/>
      <sheetName val="Electrical Submitted BOQ _revis"/>
      <sheetName val="Avg Rates- detail"/>
      <sheetName val="Avg Rates- sumry"/>
      <sheetName val="Mas Plast"/>
      <sheetName val="FLR"/>
      <sheetName val="Flat details"/>
      <sheetName val="Area Statement-old"/>
      <sheetName val="Area Statement-rev"/>
      <sheetName val="Mjr Qty"/>
      <sheetName val="Method Stmnt"/>
      <sheetName val="Mob"/>
      <sheetName val="Per Exp"/>
      <sheetName val="Hire"/>
      <sheetName val="Ind Exp"/>
      <sheetName val="MIVAN"/>
      <sheetName val="Cost Summary-Brief"/>
      <sheetName val="Main Summary"/>
      <sheetName val="Staff Salaries"/>
      <sheetName val="Staff Facilities Cl 6.6"/>
      <sheetName val="Ambulance &amp; First Aid"/>
      <sheetName val="Details of Bond &amp; Insu"/>
      <sheetName val="Ins &amp; Bonds"/>
      <sheetName val="Finance"/>
      <sheetName val="Site office"/>
      <sheetName val="Clients Requirements"/>
      <sheetName val="Admn"/>
      <sheetName val="(lab eqp)Cl 1.1.4"/>
      <sheetName val="Cashflow &amp; Finance"/>
      <sheetName val="PRICE ESCL."/>
      <sheetName val="Current"/>
      <sheetName val="Price Index"/>
      <sheetName val="Escalation Part"/>
      <sheetName val="Orgo"/>
      <sheetName val="Survey Equipment"/>
      <sheetName val="Temp-Rds&amp;Drng  Cl 4.11"/>
      <sheetName val="Ins _ Bonds"/>
      <sheetName val="LAB SUMMARY"/>
      <sheetName val="LAB BLOCK"/>
      <sheetName val="CABLE TRENCH"/>
      <sheetName val="SWD"/>
      <sheetName val="GATES"/>
      <sheetName val="COMPOUND_WALL BOQ"/>
      <sheetName val="ROAD &amp; PARKING"/>
      <sheetName val="Fire Door"/>
      <sheetName val="Hardwares"/>
      <sheetName val="Supply"/>
      <sheetName val="Installation"/>
      <sheetName val="Approved Makes"/>
      <sheetName val="ABSTRACT (ALL)"/>
      <sheetName val="Sum R&amp;D"/>
      <sheetName val="Mas flooring Plas"/>
      <sheetName val="detail'02"/>
      <sheetName val="FrontAbstract"/>
      <sheetName val="Cement Escltn"/>
      <sheetName val="RAB RMC Cement Consumed"/>
      <sheetName val="Iron mongry"/>
      <sheetName val="Material supply"/>
      <sheetName val="Details reqd"/>
      <sheetName val="Driveway Beams"/>
      <sheetName val="F&amp;B"/>
      <sheetName val="Kitchen"/>
      <sheetName val="Housek"/>
      <sheetName val="Structure Bills Qty"/>
      <sheetName val="HVAC-BOQ"/>
      <sheetName val="Nitrile Ins for CHW Pipe &amp; Duct"/>
      <sheetName val="DUCT INSULATION"/>
      <sheetName val="COSMOS"/>
      <sheetName val="Caryaire"/>
      <sheetName val="Fire Damper"/>
      <sheetName val="Lock Former Ducting"/>
      <sheetName val="경비공통"/>
      <sheetName val="9. Package split - Cost "/>
      <sheetName val="Boq (Main Building)"/>
      <sheetName val="Booking Form"/>
      <sheetName val="EST-CIVIL"/>
      <sheetName val="HEAD"/>
      <sheetName val="재1"/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Meas.-FIN"/>
      <sheetName val="Meas.-STRUCT"/>
      <sheetName val="PILING-11.12.07"/>
      <sheetName val="SUB-STRUCT-11.12.07"/>
      <sheetName val="SUPER-STRUCT-11.12.07"/>
      <sheetName val="BOQ-Part1"/>
      <sheetName val="VI Floor Beam "/>
      <sheetName val="Weight"/>
      <sheetName val="CEMENT RECEIPT - 2"/>
      <sheetName val="CONSUMPTION OF CEMENT - 2"/>
      <sheetName val="STEEL RECEIPT - 2"/>
      <sheetName val="STEEL RECONCILLATION - 2"/>
      <sheetName val="STEEL ADVANCE - 2"/>
      <sheetName val="STEEL ADVANCE 02"/>
      <sheetName val="ABSTRACT-1"/>
      <sheetName val="SUM-1"/>
      <sheetName val="ABS-1"/>
      <sheetName val="PAY-1"/>
      <sheetName val="PV-1"/>
      <sheetName val="CEMENT-1"/>
      <sheetName val="TOR-1"/>
      <sheetName val="MATERIAL ADV.-1"/>
      <sheetName val="Main Asset Summary"/>
      <sheetName val="material and Labour rate"/>
      <sheetName val="Asset, overheads"/>
      <sheetName val="shuttering investment"/>
      <sheetName val="Labour Rate"/>
      <sheetName val="Material Rate"/>
      <sheetName val="Rate analysis civil"/>
      <sheetName val="Glazing"/>
      <sheetName val="BBM &amp; Plaster"/>
      <sheetName val="Excavation"/>
      <sheetName val="Concret"/>
      <sheetName val="Misc....."/>
      <sheetName val="Road "/>
      <sheetName val="B.O.Q.of elec. work ( contr.)"/>
      <sheetName val="B.O.Q.of civil work"/>
      <sheetName val="BOQ plumbing &amp; sanitary "/>
      <sheetName val="Rate Analysis C.P &amp; Sanitary"/>
      <sheetName val="Rate Annalysis G.I.plumbing"/>
      <sheetName val="Plumbing Rate"/>
      <sheetName val="BOQ qty"/>
      <sheetName val="Arch. Eleve."/>
      <sheetName val="L.R.List"/>
      <sheetName val="Staff Salary "/>
      <sheetName val="M.R.List (2)"/>
      <sheetName val="Abstract C bld"/>
      <sheetName val="Abstract ABDE Bld "/>
      <sheetName val="Labour rate "/>
      <sheetName val="Rate Analysis "/>
      <sheetName val="Stilt Floor "/>
      <sheetName val="First Floor"/>
      <sheetName val="Terrace"/>
      <sheetName val="Door &amp; Window"/>
      <sheetName val="External Plaster"/>
      <sheetName val="tie beam"/>
      <sheetName val="Exca, backfilling &amp; Soling"/>
      <sheetName val="Electrification"/>
      <sheetName val="Final Summary (1)"/>
      <sheetName val="Prelimanaries "/>
      <sheetName val="Infrastructure(12)"/>
      <sheetName val="Landscaping(10)"/>
      <sheetName val="MISC 1(13)"/>
      <sheetName val="MISC 2(14)"/>
      <sheetName val="Consultancy(12)"/>
      <sheetName val="infra 1 (Rev)"/>
      <sheetName val="Security cabin"/>
      <sheetName val="Gas bank"/>
      <sheetName val="UGWT 1"/>
      <sheetName val="UGWT 2"/>
      <sheetName val="DG Room"/>
      <sheetName val="Chember"/>
      <sheetName val="MSEB room"/>
      <sheetName val="Steel Break up"/>
      <sheetName val="windows"/>
      <sheetName val="Steel Avarage Rate "/>
      <sheetName val="qUICK SUMMARY(R3) "/>
      <sheetName val="sUMMARY LAST ( R3)"/>
      <sheetName val="Quick Summary Compar"/>
      <sheetName val="Quick Summary "/>
      <sheetName val="Concrte Analy 2"/>
      <sheetName val="Consultancy"/>
      <sheetName val="For Parking "/>
      <sheetName val="Consultancy "/>
      <sheetName val="XENON ( R3 )"/>
      <sheetName val="Quick Summary(R2) "/>
      <sheetName val="Summaey last(R2) "/>
      <sheetName val="Xenon(R2)"/>
      <sheetName val="4 heads summary"/>
      <sheetName val="name "/>
      <sheetName val="Abstract-SANSARA"/>
      <sheetName val="Slab Area"/>
      <sheetName val="Summary Masonry"/>
      <sheetName val="Summary Internal Plaster"/>
      <sheetName val="Internal Plaster"/>
      <sheetName val="Railing"/>
      <sheetName val="Doors &amp; Windows"/>
      <sheetName val="Shuttering Abstract"/>
      <sheetName val="P2-Engr"/>
      <sheetName val="P3-T &amp; E"/>
      <sheetName val="P4-BOQ"/>
      <sheetName val="Compliance"/>
      <sheetName val="Zan-Jim"/>
      <sheetName val="1.01-flooring (Aug)"/>
      <sheetName val="1.04(SLT) (aug)"/>
      <sheetName val="1.09-(pop) (aug)"/>
      <sheetName val="  2.02-rise-(prima-aug)"/>
      <sheetName val="2.01-staircase (prima)-aug"/>
      <sheetName val="2.03-rawsilk(aug)"/>
      <sheetName val="2.04-Staircase(aug)rise"/>
      <sheetName val="3.01-Skirting (aug)"/>
      <sheetName val="4.05-dadoing (aug)"/>
      <sheetName val="5.01 Gypsum false ceiling (aug)"/>
      <sheetName val="7.03-Gypsum band (aug)"/>
      <sheetName val="7.07-threshold (aug)"/>
      <sheetName val="7.02-W.Coping(Aug)"/>
      <sheetName val="1.00"/>
      <sheetName val="1.01 soft soil"/>
      <sheetName val="1.01 soft soil (2)"/>
      <sheetName val="1.02 Soft Rock-SR"/>
      <sheetName val="A2-Filling"/>
      <sheetName val="Filling Above NGL"/>
      <sheetName val="1.04 GEC"/>
      <sheetName val="1.05"/>
      <sheetName val="Mass exca"/>
      <sheetName val="Kurkumbh BOQ"/>
      <sheetName val="PA- Consutant "/>
      <sheetName val="Materials Cost"/>
      <sheetName val="970121 fee rates"/>
      <sheetName val="A1-Continuous"/>
      <sheetName val="PPA Summary"/>
      <sheetName val="India F&amp;S Template"/>
      <sheetName val="TBEAM"/>
      <sheetName val="Tax Invoice"/>
      <sheetName val="Crash anad corner Guard"/>
      <sheetName val="JOINERY &amp; ALLIED WORKS "/>
      <sheetName val="Reasons"/>
      <sheetName val="Flash "/>
      <sheetName val="high"/>
      <sheetName val="PL 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Balance Sheet 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EPS"/>
      <sheetName val="Tax Computation"/>
      <sheetName val="IT Depn "/>
      <sheetName val="depre logic"/>
      <sheetName val="far pivot"/>
      <sheetName val="Fareg"/>
      <sheetName val="cap commitment"/>
      <sheetName val="DF"/>
      <sheetName val="AR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Contents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N"/>
      <sheetName val="U"/>
      <sheetName val="U-100"/>
      <sheetName val="FF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dr"/>
      <sheetName val="Statement"/>
      <sheetName val="auditor"/>
      <sheetName val="acs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1"/>
      <sheetName val="E3 Recoverability"/>
      <sheetName val="E-1_Recoverability"/>
      <sheetName val="E-2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P"/>
      <sheetName val="P-1"/>
      <sheetName val="P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B-4"/>
      <sheetName val="U-disc"/>
      <sheetName val="BB-5"/>
      <sheetName val="CC-3"/>
      <sheetName val="20 30"/>
      <sheetName val="70 "/>
      <sheetName val="MCMD95"/>
      <sheetName val="Instructions"/>
      <sheetName val="GL --&gt; Interim"/>
      <sheetName val="Top Summary"/>
      <sheetName val="GL Input Validations"/>
      <sheetName val="Scratchpad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A2l2"/>
      <sheetName val="Q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1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FA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BS-ARP"/>
      <sheetName val=" -P&amp;L -ARP"/>
      <sheetName val="P&amp;L-ARP"/>
      <sheetName val="Deprn -reasonability"/>
      <sheetName val="FA Schedule"/>
      <sheetName val="P&amp;L Schedules"/>
      <sheetName val="Sub-Schedules"/>
      <sheetName val="TB Dec 2003"/>
      <sheetName val="Audit Entries"/>
      <sheetName val="TB Dec 2002"/>
      <sheetName val="IS-BS-FF-FY09"/>
      <sheetName val="IS-BS-FF -FY10"/>
      <sheetName val="IS-DIvwise"/>
      <sheetName val="FA Register "/>
      <sheetName val="Cash flow for Apr to Jul"/>
      <sheetName val="FY11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TB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Directors"/>
      <sheetName val="Page1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ontrol"/>
      <sheetName val="CDR"/>
      <sheetName val="STAT"/>
      <sheetName val="Write Offs"/>
      <sheetName val="Snap shot - Guideline value"/>
      <sheetName val="WT_Laibility"/>
      <sheetName val="AIWO"/>
      <sheetName val="HTHL"/>
      <sheetName val="HPDEL"/>
      <sheetName val="S.N"/>
      <sheetName val="SBAPL"/>
      <sheetName val="SHMPL"/>
      <sheetName val="SCL(corrected)"/>
      <sheetName val="SVL"/>
      <sheetName val="SAPPL"/>
      <sheetName val="SAPPPL"/>
      <sheetName val="SCLM"/>
      <sheetName val="SFHL"/>
      <sheetName val="SIHL"/>
      <sheetName val="sihl (2)"/>
      <sheetName val="SLPPL"/>
      <sheetName val="SSPl"/>
      <sheetName val="VRPL"/>
      <sheetName val="VSN"/>
      <sheetName val="Senthil Product"/>
      <sheetName val="Siva Telesat"/>
      <sheetName val="Hi Tech Traders"/>
      <sheetName val="SCL"/>
      <sheetName val="**_x0000__x0000_"/>
      <sheetName val="Labor abs-PW"/>
      <sheetName val="Labor abs-NMR"/>
      <sheetName val="7 Other Costs"/>
      <sheetName val="CCTV_EST1"/>
      <sheetName val="Service Function"/>
      <sheetName val="lineby line consolidation"/>
      <sheetName val="_x0004_ _x0003__x0004__x0016_ _x0004_"/>
      <sheetName val="TBAL9697  grotp wise "/>
      <sheetName val="cvc"/>
      <sheetName val="tra-vat-lieu"/>
      <sheetName val="PTDG(gia tri cu)"/>
      <sheetName val="PTDG (phan dieu chinh)"/>
      <sheetName val="dtct_GD1 (tong hop)"/>
      <sheetName val="dtct_GD1 (phan dieu chinh tang)"/>
      <sheetName val="dtct_GD1 (phan dieu chinh giam"/>
      <sheetName val="GTXL(P dieu chinh tang)"/>
      <sheetName val="GTXL(P dieu chinh giam)"/>
      <sheetName val="THGD1(P dieu chinh)"/>
      <sheetName val="THGD1(P dieu chinh) (2)"/>
      <sheetName val="kstk"/>
      <sheetName val="dtct_GD1"/>
      <sheetName val="GTXL. "/>
      <sheetName val="THGD1"/>
      <sheetName val="Tra_bang"/>
      <sheetName val="CPkhaithacdat"/>
      <sheetName val="DGKSKTTC"/>
      <sheetName val="DgiaksatDHC4,"/>
      <sheetName val="dongia"/>
      <sheetName val="dgGPMB"/>
      <sheetName val="KSGPMB"/>
      <sheetName val="DGKSKTTC (2)"/>
      <sheetName val="kstk (2)"/>
      <sheetName val="dongia (2)"/>
      <sheetName val="giaithich"/>
      <sheetName val="XL4Poppy"/>
      <sheetName val="Discount"/>
      <sheetName val="Declaration Of Bid"/>
      <sheetName val="01 Bid Price summary"/>
      <sheetName val="02 Bid Price Schedule"/>
      <sheetName val="03 Detailed"/>
      <sheetName val="A (Wages)"/>
      <sheetName val="(B) Equipment"/>
      <sheetName val="(C) Material"/>
      <sheetName val="(C1) Material Analysis"/>
      <sheetName val="Interim payment"/>
      <sheetName val="CP vua"/>
      <sheetName val="共機J"/>
      <sheetName val="PhaDoMong"/>
      <sheetName val="A6"/>
      <sheetName val="Edited at H O"/>
      <sheetName val="Tunnel &amp; SS (2)"/>
      <sheetName val="106CSSHP"/>
      <sheetName val="Canteen Building (107)"/>
      <sheetName val="103 Admin"/>
      <sheetName val="Others"/>
      <sheetName val="Training Center"/>
      <sheetName val="bill abstract"/>
      <sheetName val="Admin Reinforcement"/>
      <sheetName val="Training Cent Reinforcement"/>
      <sheetName val="steel New"/>
      <sheetName val="new sheet"/>
      <sheetName val="WAre House"/>
      <sheetName val="Sub Abstract"/>
      <sheetName val="S3 Road Works"/>
      <sheetName val="Road Work quantity"/>
      <sheetName val="Emb in NCOD"/>
      <sheetName val="Emb in Bypass"/>
      <sheetName val="Bypass Ground improvement"/>
      <sheetName val="GEOGRID"/>
      <sheetName val="Kerb Casting"/>
      <sheetName val="Chainages"/>
      <sheetName val="Ch. 191+700 Km to 194+510 Km"/>
      <sheetName val="Ch. 195+888 Km to 202+500 Km "/>
      <sheetName val="MTO-BREAKUP"/>
      <sheetName val="MTO-BREAKUP (2)"/>
      <sheetName val="cavi e terminali"/>
      <sheetName val="Compare ANX3A80old"/>
      <sheetName val="Compare ANX3A80"/>
      <sheetName val="BILAL2"/>
      <sheetName val="Ele-Ins"/>
      <sheetName val="Status"/>
      <sheetName val="Weekly Progress "/>
      <sheetName val="Cards"/>
      <sheetName val="Job Cards Rep"/>
      <sheetName val="SPDC-Saipem"/>
      <sheetName val="Updated Qty"/>
      <sheetName val="CHECK PROGRESS"/>
      <sheetName val="P3"/>
      <sheetName val="Progress Summary"/>
      <sheetName val="Progress report"/>
      <sheetName val="S-Curve-Unit-1"/>
      <sheetName val="Manpower report"/>
      <sheetName val="Prog_item"/>
      <sheetName val="Elec."/>
      <sheetName val="Direct Manhours"/>
      <sheetName val="Indirect Manhours"/>
      <sheetName val="Rev.1 Plant Eqpt &amp; Vehicles "/>
      <sheetName val="SUPPLY ITEMS REPORT"/>
      <sheetName val="Single sheet report"/>
      <sheetName val="Coversheet"/>
      <sheetName val="Contents_HO"/>
      <sheetName val="Progress sheet-Sub. WTG"/>
      <sheetName val="Break-up sheet-Rev.02"/>
      <sheetName val="Steel calculations"/>
      <sheetName val="Areawise-Progress"/>
      <sheetName val="SVW"/>
      <sheetName val="Constraints electrical"/>
      <sheetName val="DPR-PSK"/>
      <sheetName val="PROGRESS SUMMARY "/>
      <sheetName val="Progress sheet-Sub. -Unit 1"/>
      <sheetName val="Break-up sheet-Unit 1"/>
      <sheetName val="Areawise-Progress-Unit1"/>
      <sheetName val="SVW-Unit1"/>
      <sheetName val="Progress sheet-UNIT 2"/>
      <sheetName val="Break-up sheet-Unit 2"/>
      <sheetName val="Elec.Matrix pp"/>
      <sheetName val="Elec.Matrix PE 1"/>
      <sheetName val="ELE.MATRIX PE2"/>
      <sheetName val="MTO"/>
      <sheetName val="Insul"/>
      <sheetName val="Pain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>
        <row r="5">
          <cell r="A5" t="str">
            <v>CLEARING &amp; GRUBBING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">
          <cell r="A1" t="str">
            <v>Tender No. 41031044/00 : 132 kV OHTL Najran (EAST )- Roikbha - Najran University</v>
          </cell>
        </row>
      </sheetData>
      <sheetData sheetId="559">
        <row r="1">
          <cell r="A1" t="str">
            <v>Tender No. 41031044/00 : 132 kV OHTL Najran (EAST )- Roikbha - Najran University</v>
          </cell>
        </row>
      </sheetData>
      <sheetData sheetId="560">
        <row r="4">
          <cell r="A4" t="str">
            <v>Sr.No.</v>
          </cell>
        </row>
      </sheetData>
      <sheetData sheetId="561">
        <row r="4">
          <cell r="A4" t="str">
            <v>Sr.No.</v>
          </cell>
        </row>
      </sheetData>
      <sheetData sheetId="562">
        <row r="179">
          <cell r="D179">
            <v>1.0469849986653041</v>
          </cell>
        </row>
      </sheetData>
      <sheetData sheetId="563">
        <row r="5">
          <cell r="U5">
            <v>1</v>
          </cell>
        </row>
      </sheetData>
      <sheetData sheetId="564">
        <row r="5">
          <cell r="U5">
            <v>1</v>
          </cell>
        </row>
      </sheetData>
      <sheetData sheetId="565">
        <row r="5">
          <cell r="U5">
            <v>1</v>
          </cell>
        </row>
      </sheetData>
      <sheetData sheetId="566">
        <row r="5">
          <cell r="U5">
            <v>1</v>
          </cell>
        </row>
      </sheetData>
      <sheetData sheetId="567">
        <row r="4">
          <cell r="A4" t="str">
            <v>Sr.No.</v>
          </cell>
        </row>
      </sheetData>
      <sheetData sheetId="568">
        <row r="4">
          <cell r="A4" t="str">
            <v>Sr.No.</v>
          </cell>
        </row>
      </sheetData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>
        <row r="2">
          <cell r="A2" t="str">
            <v>C.M. 1:1</v>
          </cell>
        </row>
      </sheetData>
      <sheetData sheetId="426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/>
      <sheetData sheetId="4276" refreshError="1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/>
      <sheetData sheetId="4360" refreshError="1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/>
      <sheetData sheetId="4373" refreshError="1"/>
      <sheetData sheetId="4374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/>
      <sheetData sheetId="4492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/>
      <sheetData sheetId="4503"/>
      <sheetData sheetId="4504" refreshError="1"/>
      <sheetData sheetId="4505" refreshError="1"/>
      <sheetData sheetId="4506"/>
      <sheetData sheetId="4507"/>
      <sheetData sheetId="4508"/>
      <sheetData sheetId="4509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/>
      <sheetData sheetId="5113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 refreshError="1"/>
      <sheetData sheetId="5147" refreshError="1"/>
      <sheetData sheetId="5148"/>
      <sheetData sheetId="5149"/>
      <sheetData sheetId="5150" refreshError="1"/>
      <sheetData sheetId="5151" refreshError="1"/>
      <sheetData sheetId="5152"/>
      <sheetData sheetId="5153" refreshError="1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 refreshError="1"/>
      <sheetData sheetId="5183"/>
      <sheetData sheetId="5184"/>
      <sheetData sheetId="5185"/>
      <sheetData sheetId="5186"/>
      <sheetData sheetId="5187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/>
      <sheetData sheetId="5197"/>
      <sheetData sheetId="5198"/>
      <sheetData sheetId="5199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>
        <row r="66">
          <cell r="G66">
            <v>0</v>
          </cell>
        </row>
      </sheetData>
      <sheetData sheetId="5223">
        <row r="6">
          <cell r="E6">
            <v>247.45000000000002</v>
          </cell>
        </row>
      </sheetData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>
        <row r="66">
          <cell r="G66">
            <v>0</v>
          </cell>
        </row>
      </sheetData>
      <sheetData sheetId="5239">
        <row r="6">
          <cell r="E6">
            <v>247.45000000000002</v>
          </cell>
        </row>
      </sheetData>
      <sheetData sheetId="5240">
        <row r="8">
          <cell r="C8">
            <v>1265.747676</v>
          </cell>
        </row>
      </sheetData>
      <sheetData sheetId="5241"/>
      <sheetData sheetId="5242">
        <row r="5">
          <cell r="C5">
            <v>583.03886925795052</v>
          </cell>
        </row>
      </sheetData>
      <sheetData sheetId="5243"/>
      <sheetData sheetId="5244">
        <row r="3">
          <cell r="F3">
            <v>0.18</v>
          </cell>
        </row>
      </sheetData>
      <sheetData sheetId="5245"/>
      <sheetData sheetId="5246">
        <row r="8">
          <cell r="C8">
            <v>1265.747676</v>
          </cell>
        </row>
      </sheetData>
      <sheetData sheetId="5247"/>
      <sheetData sheetId="5248">
        <row r="3">
          <cell r="F3">
            <v>0.18</v>
          </cell>
        </row>
      </sheetData>
      <sheetData sheetId="5249"/>
      <sheetData sheetId="5250">
        <row r="3">
          <cell r="F3">
            <v>0.18</v>
          </cell>
        </row>
      </sheetData>
      <sheetData sheetId="5251">
        <row r="4">
          <cell r="C4">
            <v>44865</v>
          </cell>
        </row>
      </sheetData>
      <sheetData sheetId="5252">
        <row r="66">
          <cell r="G66">
            <v>0</v>
          </cell>
        </row>
      </sheetData>
      <sheetData sheetId="5253">
        <row r="6">
          <cell r="E6">
            <v>247.45000000000002</v>
          </cell>
        </row>
      </sheetData>
      <sheetData sheetId="5254">
        <row r="8">
          <cell r="C8">
            <v>1265.747676</v>
          </cell>
        </row>
      </sheetData>
      <sheetData sheetId="5255"/>
      <sheetData sheetId="5256">
        <row r="5">
          <cell r="C5">
            <v>583.03886925795052</v>
          </cell>
        </row>
      </sheetData>
      <sheetData sheetId="5257"/>
      <sheetData sheetId="5258" refreshError="1"/>
      <sheetData sheetId="5259">
        <row r="4">
          <cell r="C4">
            <v>44865</v>
          </cell>
        </row>
      </sheetData>
      <sheetData sheetId="5260" refreshError="1"/>
      <sheetData sheetId="5261" refreshError="1"/>
      <sheetData sheetId="5262" refreshError="1"/>
      <sheetData sheetId="5263"/>
      <sheetData sheetId="5264">
        <row r="3">
          <cell r="F3">
            <v>0.18</v>
          </cell>
        </row>
      </sheetData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>
        <row r="5">
          <cell r="C5">
            <v>583.03886925795052</v>
          </cell>
        </row>
      </sheetData>
      <sheetData sheetId="5272">
        <row r="4">
          <cell r="C4">
            <v>44865</v>
          </cell>
        </row>
      </sheetData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 refreshError="1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 refreshError="1"/>
      <sheetData sheetId="5508" refreshError="1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/>
      <sheetData sheetId="5678"/>
      <sheetData sheetId="5679"/>
      <sheetData sheetId="5680"/>
      <sheetData sheetId="5681"/>
      <sheetData sheetId="5682"/>
      <sheetData sheetId="5683"/>
      <sheetData sheetId="5684" refreshError="1"/>
      <sheetData sheetId="5685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/>
      <sheetData sheetId="5898"/>
      <sheetData sheetId="5899"/>
      <sheetData sheetId="5900"/>
      <sheetData sheetId="5901"/>
      <sheetData sheetId="5902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 refreshError="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/>
      <sheetData sheetId="5986" refreshError="1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 refreshError="1"/>
      <sheetData sheetId="6132" refreshError="1"/>
      <sheetData sheetId="6133" refreshError="1"/>
      <sheetData sheetId="6134" refreshError="1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 refreshError="1"/>
      <sheetData sheetId="6200" refreshError="1"/>
      <sheetData sheetId="620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 refreshError="1"/>
      <sheetData sheetId="6293" refreshError="1"/>
      <sheetData sheetId="6294"/>
      <sheetData sheetId="6295"/>
      <sheetData sheetId="6296"/>
      <sheetData sheetId="6297"/>
      <sheetData sheetId="6298" refreshError="1"/>
      <sheetData sheetId="6299" refreshError="1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 refreshError="1"/>
      <sheetData sheetId="6424" refreshError="1"/>
      <sheetData sheetId="6425" refreshError="1"/>
      <sheetData sheetId="6426" refreshError="1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/>
      <sheetData sheetId="6512"/>
      <sheetData sheetId="6513"/>
      <sheetData sheetId="6514"/>
      <sheetData sheetId="6515">
        <row r="18">
          <cell r="D18">
            <v>82234826363.800003</v>
          </cell>
        </row>
      </sheetData>
      <sheetData sheetId="6516"/>
      <sheetData sheetId="6517">
        <row r="15">
          <cell r="I15">
            <v>0</v>
          </cell>
        </row>
      </sheetData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/>
      <sheetData sheetId="6579"/>
      <sheetData sheetId="6580"/>
      <sheetData sheetId="6581"/>
      <sheetData sheetId="6582"/>
      <sheetData sheetId="6583"/>
      <sheetData sheetId="6584" refreshError="1"/>
      <sheetData sheetId="6585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>
        <row r="7">
          <cell r="E7" t="str">
            <v>TAG. NO</v>
          </cell>
        </row>
      </sheetData>
      <sheetData sheetId="6593" refreshError="1"/>
      <sheetData sheetId="6594"/>
      <sheetData sheetId="6595"/>
      <sheetData sheetId="6596"/>
      <sheetData sheetId="6597"/>
      <sheetData sheetId="6598" refreshError="1"/>
      <sheetData sheetId="6599" refreshError="1"/>
      <sheetData sheetId="6600" refreshError="1"/>
      <sheetData sheetId="6601" refreshError="1"/>
      <sheetData sheetId="6602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T SLAB- BLK 01"/>
      <sheetName val="FLAT SLAB- BLK 02"/>
      <sheetName val="ABS-SLAB"/>
      <sheetName val="Slab Blk-01From 2 nd floor"/>
      <sheetName val="Slab - Blk 01"/>
      <sheetName val="Slab Blk-02"/>
      <sheetName val="Slab Blk-03"/>
      <sheetName val="SLAB BLK 04 from 1st floor"/>
      <sheetName val="Slab - Blk 04"/>
    </sheetNames>
    <sheetDataSet>
      <sheetData sheetId="0"/>
      <sheetData sheetId="1"/>
      <sheetData sheetId="2"/>
      <sheetData sheetId="3">
        <row r="34">
          <cell r="F34">
            <v>2.3372773375999985</v>
          </cell>
        </row>
      </sheetData>
      <sheetData sheetId="4">
        <row r="7">
          <cell r="D7">
            <v>48.497320000000002</v>
          </cell>
        </row>
      </sheetData>
      <sheetData sheetId="5">
        <row r="8">
          <cell r="B8" t="str">
            <v>SE-214B</v>
          </cell>
        </row>
      </sheetData>
      <sheetData sheetId="6">
        <row r="31">
          <cell r="D31">
            <v>134.09337250499999</v>
          </cell>
        </row>
      </sheetData>
      <sheetData sheetId="7">
        <row r="32">
          <cell r="D32">
            <v>59.867593452975001</v>
          </cell>
        </row>
      </sheetData>
      <sheetData sheetId="8">
        <row r="12">
          <cell r="D12">
            <v>160.45036240000005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Micro"/>
      <sheetName val="Macro"/>
      <sheetName val="Scaff-Rose"/>
      <sheetName val="Notes"/>
      <sheetName val="final abstract"/>
      <sheetName val="Rate analysis"/>
      <sheetName val="Structure Bills Qty"/>
      <sheetName val="beam-reinft"/>
      <sheetName val="sept-plan"/>
      <sheetName val="Civil Boq"/>
      <sheetName val="Delhi"/>
      <sheetName val="TBAL9697 -group wise  sdpl"/>
      <sheetName val="Main-Material"/>
      <sheetName val="Design"/>
      <sheetName val="Approved MTD Proj #'s"/>
      <sheetName val="CABLE DATA"/>
      <sheetName val="RES-PLANNING"/>
      <sheetName val="RA-markate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final_abstract"/>
      <sheetName val="Rate_analysis"/>
      <sheetName val="Structure_Bills_Qty"/>
      <sheetName val="Civil_Boq"/>
      <sheetName val="TBAL9697_-group_wise__sdpl"/>
      <sheetName val="Approved_MTD_Proj_#'s"/>
      <sheetName val="CABLE_DATA"/>
      <sheetName val="Detailed Summary (5)"/>
      <sheetName val="factors"/>
      <sheetName val="Analy_7-10"/>
      <sheetName val="monitoring-breakup Feb02"/>
      <sheetName val="Input"/>
      <sheetName val="BOQ"/>
      <sheetName val="switch"/>
      <sheetName val="wordsdata"/>
      <sheetName val="유통망계획"/>
      <sheetName val="Abstract Sheet"/>
      <sheetName val="AK-Offertstammblatt"/>
      <sheetName val="7 Other Costs"/>
      <sheetName val="Labor abs-NMR"/>
      <sheetName val="Settings"/>
      <sheetName val="COLUMN"/>
      <sheetName val="b.s.-p.l.-sch."/>
      <sheetName val="21"/>
      <sheetName val="Orig SG&amp;A Corp"/>
      <sheetName val="CFForecast detail"/>
      <sheetName val="Lead"/>
      <sheetName val="fa"/>
      <sheetName val="Income Statement"/>
      <sheetName val="Field Values"/>
      <sheetName val="Legend"/>
      <sheetName val="Plant Cost"/>
      <sheetName val="Fill this out first..."/>
      <sheetName val="Basement Budget"/>
      <sheetName val="PCC"/>
      <sheetName val="concrete"/>
      <sheetName val="MASTER WORK SHEET - ESTIMATE HI"/>
      <sheetName val="BS, PL, SCH 96"/>
      <sheetName val="trial flow sheet"/>
      <sheetName val="SBI(Siliguri)"/>
      <sheetName val="Data sheet"/>
      <sheetName val="tables"/>
      <sheetName val="Summary year Plan"/>
      <sheetName val="MASTER%20WORK%20SHEET%20-%20EST"/>
      <sheetName val="#REF"/>
      <sheetName val="XREF"/>
      <sheetName val="BOQ_Direct_selling cost"/>
      <sheetName val="est"/>
      <sheetName val="149"/>
      <sheetName val="Aseet1998"/>
      <sheetName val="Summary"/>
      <sheetName val="Tender Summary"/>
      <sheetName val="Calc_ISC"/>
      <sheetName val="Staff Forecast spread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final_abstract6"/>
      <sheetName val="Rate_analysis6"/>
      <sheetName val="Structure_Bills_Qty6"/>
      <sheetName val="Civil_Boq6"/>
      <sheetName val="TBAL9697_-group_wise__sdpl6"/>
      <sheetName val="Approved_MTD_Proj_#'s6"/>
      <sheetName val="CABLE_DATA6"/>
      <sheetName val="Detailed_Summary_(5)5"/>
      <sheetName val="monitoring-breakup_Feb025"/>
      <sheetName val="Abstract_Sheet5"/>
      <sheetName val="7_Other_Costs5"/>
      <sheetName val="Labor_abs-NMR5"/>
      <sheetName val="b_s_-p_l_-sch_5"/>
      <sheetName val="Orig_SG&amp;A_Corp5"/>
      <sheetName val="CFForecast_detail5"/>
      <sheetName val="Income_Statement5"/>
      <sheetName val="Field_Values5"/>
      <sheetName val="Plant_Cost5"/>
      <sheetName val="Fill_this_out_first___5"/>
      <sheetName val="Basement_Budget5"/>
      <sheetName val="MASTER_WORK_SHEET_-_ESTIMATE_H5"/>
      <sheetName val="BS,_PL,_SCH_965"/>
      <sheetName val="trial_flow_sheet5"/>
      <sheetName val="Data_sheet5"/>
      <sheetName val="Summary_year_Plan5"/>
      <sheetName val="BOQ_Direct_selling_co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final_abstract4"/>
      <sheetName val="Rate_analysis4"/>
      <sheetName val="Structure_Bills_Qty4"/>
      <sheetName val="Civil_Boq4"/>
      <sheetName val="TBAL9697_-group_wise__sdpl4"/>
      <sheetName val="Approved_MTD_Proj_#'s4"/>
      <sheetName val="CABLE_DATA4"/>
      <sheetName val="Detailed_Summary_(5)3"/>
      <sheetName val="monitoring-breakup_Feb023"/>
      <sheetName val="Abstract_Sheet3"/>
      <sheetName val="7_Other_Costs3"/>
      <sheetName val="Labor_abs-NMR3"/>
      <sheetName val="b_s_-p_l_-sch_3"/>
      <sheetName val="Orig_SG&amp;A_Corp3"/>
      <sheetName val="CFForecast_detail3"/>
      <sheetName val="Income_Statement3"/>
      <sheetName val="Field_Values3"/>
      <sheetName val="Plant_Cost3"/>
      <sheetName val="Fill_this_out_first___3"/>
      <sheetName val="Basement_Budget3"/>
      <sheetName val="MASTER_WORK_SHEET_-_ESTIMATE_H3"/>
      <sheetName val="BS,_PL,_SCH_963"/>
      <sheetName val="trial_flow_sheet3"/>
      <sheetName val="Data_sheet3"/>
      <sheetName val="Summary_year_Plan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final_abstract3"/>
      <sheetName val="Rate_analysis3"/>
      <sheetName val="Structure_Bills_Qty3"/>
      <sheetName val="Civil_Boq3"/>
      <sheetName val="TBAL9697_-group_wise__sdpl3"/>
      <sheetName val="Approved_MTD_Proj_#'s3"/>
      <sheetName val="CABLE_DATA3"/>
      <sheetName val="Detailed_Summary_(5)2"/>
      <sheetName val="monitoring-breakup_Feb022"/>
      <sheetName val="Abstract_Sheet2"/>
      <sheetName val="7_Other_Costs2"/>
      <sheetName val="Labor_abs-NMR2"/>
      <sheetName val="b_s_-p_l_-sch_2"/>
      <sheetName val="Orig_SG&amp;A_Corp2"/>
      <sheetName val="CFForecast_detail2"/>
      <sheetName val="Income_Statement2"/>
      <sheetName val="Field_Values2"/>
      <sheetName val="Plant_Cost2"/>
      <sheetName val="Fill_this_out_first___2"/>
      <sheetName val="Basement_Budget2"/>
      <sheetName val="MASTER_WORK_SHEET_-_ESTIMATE_H2"/>
      <sheetName val="BS,_PL,_SCH_962"/>
      <sheetName val="trial_flow_sheet2"/>
      <sheetName val="Data_sheet2"/>
      <sheetName val="Summary_year_Plan2"/>
      <sheetName val="BOQ_Direct_selling_cost2"/>
      <sheetName val="Tender_Summary2"/>
      <sheetName val="Staff_Forecast_spread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final_abstract1"/>
      <sheetName val="Rate_analysis1"/>
      <sheetName val="Structure_Bills_Qty1"/>
      <sheetName val="Civil_Boq1"/>
      <sheetName val="TBAL9697_-group_wise__sdpl1"/>
      <sheetName val="Approved_MTD_Proj_#'s1"/>
      <sheetName val="CABLE_DATA1"/>
      <sheetName val="Detailed_Summary_(5)"/>
      <sheetName val="monitoring-breakup_Feb02"/>
      <sheetName val="Abstract_Sheet"/>
      <sheetName val="7_Other_Costs"/>
      <sheetName val="Labor_abs-NMR"/>
      <sheetName val="b_s_-p_l_-sch_"/>
      <sheetName val="Orig_SG&amp;A_Corp"/>
      <sheetName val="CFForecast_detail"/>
      <sheetName val="Income_Statement"/>
      <sheetName val="Field_Values"/>
      <sheetName val="Plant_Cost"/>
      <sheetName val="Fill_this_out_first___"/>
      <sheetName val="Basement_Budget"/>
      <sheetName val="MASTER_WORK_SHEET_-_ESTIMATE_HI"/>
      <sheetName val="BS,_PL,_SCH_96"/>
      <sheetName val="trial_flow_sheet"/>
      <sheetName val="Data_sheet"/>
      <sheetName val="Summary_year_Plan"/>
      <sheetName val="BOQ_Direct_selling_cost"/>
      <sheetName val="Tender_Summary"/>
      <sheetName val="Staff_Forecast_spread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final_abstract2"/>
      <sheetName val="Rate_analysis2"/>
      <sheetName val="Structure_Bills_Qty2"/>
      <sheetName val="Civil_Boq2"/>
      <sheetName val="TBAL9697_-group_wise__sdpl2"/>
      <sheetName val="Approved_MTD_Proj_#'s2"/>
      <sheetName val="CABLE_DATA2"/>
      <sheetName val="Detailed_Summary_(5)1"/>
      <sheetName val="monitoring-breakup_Feb021"/>
      <sheetName val="Abstract_Sheet1"/>
      <sheetName val="7_Other_Costs1"/>
      <sheetName val="Labor_abs-NMR1"/>
      <sheetName val="b_s_-p_l_-sch_1"/>
      <sheetName val="Orig_SG&amp;A_Corp1"/>
      <sheetName val="CFForecast_detail1"/>
      <sheetName val="Income_Statement1"/>
      <sheetName val="Field_Values1"/>
      <sheetName val="Plant_Cost1"/>
      <sheetName val="Fill_this_out_first___1"/>
      <sheetName val="Basement_Budget1"/>
      <sheetName val="MASTER_WORK_SHEET_-_ESTIMATE_H1"/>
      <sheetName val="BS,_PL,_SCH_961"/>
      <sheetName val="trial_flow_sheet1"/>
      <sheetName val="Data_sheet1"/>
      <sheetName val="Summary_year_Plan1"/>
      <sheetName val="BOQ_Direct_selling_cost1"/>
      <sheetName val="Tender_Summary1"/>
      <sheetName val="Staff_Forecast_spread1"/>
      <sheetName val="BOQ_Direct_selling_co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final_abstract5"/>
      <sheetName val="Rate_analysis5"/>
      <sheetName val="Structure_Bills_Qty5"/>
      <sheetName val="Civil_Boq5"/>
      <sheetName val="TBAL9697_-group_wise__sdpl5"/>
      <sheetName val="Approved_MTD_Proj_#'s5"/>
      <sheetName val="CABLE_DATA5"/>
      <sheetName val="Detailed_Summary_(5)4"/>
      <sheetName val="monitoring-breakup_Feb024"/>
      <sheetName val="Abstract_Sheet4"/>
      <sheetName val="7_Other_Costs4"/>
      <sheetName val="Labor_abs-NMR4"/>
      <sheetName val="b_s_-p_l_-sch_4"/>
      <sheetName val="Orig_SG&amp;A_Corp4"/>
      <sheetName val="CFForecast_detail4"/>
      <sheetName val="Income_Statement4"/>
      <sheetName val="Field_Values4"/>
      <sheetName val="Plant_Cost4"/>
      <sheetName val="Fill_this_out_first___4"/>
      <sheetName val="Basement_Budget4"/>
      <sheetName val="MASTER_WORK_SHEET_-_ESTIMATE_H4"/>
      <sheetName val="BS,_PL,_SCH_964"/>
      <sheetName val="trial_flow_sheet4"/>
      <sheetName val="Data_sheet4"/>
      <sheetName val="Summary_year_Plan4"/>
      <sheetName val="BOQ_Direct_selling_cost4"/>
      <sheetName val="Tender_Summary3"/>
      <sheetName val="Staff_Forecast_spread3"/>
      <sheetName val="Tender_Summary4"/>
      <sheetName val="Staff_Forecast_spread4"/>
      <sheetName val="Slab Blk-02"/>
      <sheetName val="Quote Sheet"/>
      <sheetName val="GM &amp; TA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final_abstract7"/>
      <sheetName val="Rate_analysis7"/>
      <sheetName val="Structure_Bills_Qty7"/>
      <sheetName val="Civil_Boq7"/>
      <sheetName val="TBAL9697_-group_wise__sdpl7"/>
      <sheetName val="Approved_MTD_Proj_#'s7"/>
      <sheetName val="CABLE_DATA7"/>
      <sheetName val="Detailed_Summary_(5)6"/>
      <sheetName val="monitoring-breakup_Feb026"/>
      <sheetName val="Abstract_Sheet6"/>
      <sheetName val="7_Other_Costs6"/>
      <sheetName val="Labor_abs-NMR6"/>
      <sheetName val="b_s_-p_l_-sch_6"/>
      <sheetName val="Orig_SG&amp;A_Corp6"/>
      <sheetName val="CFForecast_detail6"/>
      <sheetName val="Income_Statement6"/>
      <sheetName val="Field_Values6"/>
      <sheetName val="Plant_Cost6"/>
      <sheetName val="Fill_this_out_first___6"/>
      <sheetName val="Basement_Budget6"/>
      <sheetName val="MASTER_WORK_SHEET_-_ESTIMATE_H6"/>
      <sheetName val="BS,_PL,_SCH_966"/>
      <sheetName val="trial_flow_sheet6"/>
      <sheetName val="Data_sheet6"/>
      <sheetName val="Summary_year_Plan6"/>
      <sheetName val="BOQ_Direct_selling_cost6"/>
      <sheetName val="Tender_Summary5"/>
      <sheetName val="Staff_Forecast_spread5"/>
      <sheetName val="Slab_Blk-02"/>
      <sheetName val="Quote_Sheet"/>
      <sheetName val="GM_&amp;_TA"/>
      <sheetName val="PURCHASING SCHEDULE"/>
      <sheetName val="Mar Roster"/>
      <sheetName val="p&amp;m"/>
      <sheetName val="dummy"/>
      <sheetName val="d-safe DELUXE"/>
      <sheetName val="allocation"/>
      <sheetName val="ORDER BOOKING"/>
      <sheetName val="Sheet2"/>
      <sheetName val="IBASE"/>
      <sheetName val="Electrical"/>
      <sheetName val="Fin Sum"/>
      <sheetName val="定额"/>
      <sheetName val="建筑定额"/>
      <sheetName val="Estimate"/>
      <sheetName val="std.wt."/>
      <sheetName val="purpose&amp;input"/>
      <sheetName val="Unit cost- Drain-Protection-2"/>
      <sheetName val="Unit cost- Drain-Protection-1 "/>
      <sheetName val="PointNo.5"/>
      <sheetName val="Labour"/>
      <sheetName val="cubes_M20"/>
      <sheetName val="Legal Risk Analysis"/>
      <sheetName val="nglrpt042964858"/>
      <sheetName val="Pile cap"/>
      <sheetName val="factor"/>
      <sheetName val="A.O.R."/>
      <sheetName val="Sheet3 (2)"/>
      <sheetName val="ACS(1)"/>
      <sheetName val="COST"/>
      <sheetName val="Controls"/>
      <sheetName val="기계내역서"/>
      <sheetName val="steam outlet"/>
      <sheetName val="NON-TOWER WATER TANK"/>
      <sheetName val="FCCB "/>
      <sheetName val="RECAPITULATION"/>
      <sheetName val="ICO_budzet_97"/>
      <sheetName val="InputPO_Del"/>
      <sheetName val="master"/>
      <sheetName val="19-PERF"/>
      <sheetName val="BOQ Distribution"/>
      <sheetName val="대외공문"/>
      <sheetName val="TCS_IBMS_R2 2016 08 31"/>
      <sheetName val="PC Master List"/>
      <sheetName val="Data"/>
      <sheetName val="seT"/>
      <sheetName val="Master Info"/>
      <sheetName val="SALE"/>
      <sheetName val="Ref"/>
      <sheetName val="Staff Acco."/>
      <sheetName val="Consolidated"/>
      <sheetName val="GD"/>
      <sheetName val="경비공통"/>
      <sheetName val="99 조정금액"/>
      <sheetName val="HARGA MATERIAL"/>
      <sheetName val="Sheet3"/>
      <sheetName val="Costing"/>
      <sheetName val="PLAN_FEB97"/>
      <sheetName val="Load Details(B1)"/>
      <sheetName val="Menu"/>
      <sheetName val="electr_ work CA "/>
      <sheetName val="Window"/>
      <sheetName val="THK"/>
      <sheetName val="1.01 (a)"/>
      <sheetName val="keyword"/>
      <sheetName val="PURCHASE REQUISITION STATUS"/>
      <sheetName val="Ave.wtd.rates"/>
      <sheetName val="Material "/>
      <sheetName val="Labour &amp; Plant"/>
      <sheetName val="LEVEL SHEET"/>
      <sheetName val="B1"/>
      <sheetName val="Detail"/>
      <sheetName val="Footings"/>
      <sheetName val="RA_MKT_QUOTE"/>
      <sheetName val="RA_markate"/>
      <sheetName val="PURCHASING_SCHEDULE"/>
      <sheetName val="d-safe_DELUXE"/>
      <sheetName val="std_wt_"/>
      <sheetName val="PURCHASING_SCHEDULE1"/>
      <sheetName val="d-safe_DELUXE1"/>
      <sheetName val="GM_&amp;_TA1"/>
      <sheetName val="std_wt_1"/>
      <sheetName val="macros"/>
      <sheetName val="Boq - Flats"/>
      <sheetName val="Lookup Tables"/>
      <sheetName val="Design of Isolated Footing"/>
      <sheetName val="Drawing status-1"/>
      <sheetName val="inWords"/>
      <sheetName val="細目"/>
      <sheetName val="                               "/>
      <sheetName val="Cover"/>
      <sheetName val="conc-foot-gradeslab"/>
      <sheetName val="Area Statement_BHUB_Consultant"/>
      <sheetName val="ridgewood"/>
      <sheetName val="Totowa commitment"/>
      <sheetName val="Ward areas"/>
      <sheetName val="Mat.-Rates"/>
      <sheetName val="Doors"/>
      <sheetName val="labour coeff"/>
      <sheetName val="Weightage-Sub Sht"/>
      <sheetName val="Drawing status"/>
      <sheetName val="Catch Basin "/>
      <sheetName val="PT - B1 - Pour 1"/>
      <sheetName val="Cement Recon"/>
      <sheetName val="COL 2nd F - 3rd F"/>
      <sheetName val="Col 4F to 5F"/>
      <sheetName val="Column - B1 to GF"/>
      <sheetName val="Column - B2 to B1"/>
      <sheetName val="Core FF-5F "/>
      <sheetName val="CW &amp; SW - B1-GF"/>
      <sheetName val="RCC,Ret. Wall"/>
      <sheetName val="Debits as on 12.04.08"/>
      <sheetName val="Server Conf By Name"/>
      <sheetName val="품의서(TL)"/>
      <sheetName val="RMR"/>
      <sheetName val="Mar_Roster"/>
      <sheetName val="ORDER_BOOKING"/>
      <sheetName val="TCS_IBMS_R2_2016_08_31"/>
      <sheetName val="Fin_Sum"/>
      <sheetName val="Pile_cap"/>
      <sheetName val="Master_Info"/>
      <sheetName val="steam_outlet"/>
      <sheetName val="Unit_cost-_Drain-Protection-2"/>
      <sheetName val="Unit_cost-_Drain-Protection-1_"/>
      <sheetName val="PointNo_5"/>
      <sheetName val="Legal_Risk_Analysis"/>
      <sheetName val="7.0 CLIENT TEMPLATE CAPEX"/>
      <sheetName val="VCH-SLC"/>
      <sheetName val="Supplier"/>
      <sheetName val="Performance Report"/>
      <sheetName val="Mar03Atp"/>
      <sheetName val="Quote_Sheet1"/>
      <sheetName val="Mar_Roster1"/>
      <sheetName val="ORDER_BOOKING1"/>
      <sheetName val="Virtified Wooden Tiles"/>
      <sheetName val="GUT"/>
      <sheetName val="Basis"/>
      <sheetName val="Branch Power"/>
      <sheetName val="Distrib"/>
      <sheetName val="Emergency"/>
      <sheetName val="Equipment"/>
      <sheetName val="Lighting"/>
      <sheetName val="Intro"/>
      <sheetName val="Wag&amp;Sal"/>
      <sheetName val="A"/>
      <sheetName val="d-safe specs"/>
      <sheetName val="GE"/>
      <sheetName val="ABB"/>
      <sheetName val="10. &amp; 11. Rate Code &amp; BQ"/>
      <sheetName val="VAL"/>
      <sheetName val="Project Budget Worksheet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Introduction"/>
      <sheetName val="Opdata (2)"/>
      <sheetName val="p1-costg"/>
      <sheetName val="Register"/>
      <sheetName val="ABBR"/>
      <sheetName val="PRICE COMP"/>
      <sheetName val="9. Package split - Cost "/>
      <sheetName val="Price Comparison"/>
      <sheetName val="Leg 1-1"/>
      <sheetName val="PriceSummary"/>
      <sheetName val="Cable-data"/>
      <sheetName val="List Content"/>
      <sheetName val="ELECT"/>
      <sheetName val="Area Ananlysis(v1)"/>
      <sheetName val="Page 2"/>
      <sheetName val="Civil Meas"/>
      <sheetName val="pol-60"/>
      <sheetName val="Allg. Angaben"/>
      <sheetName val="Auswahl"/>
      <sheetName val="RateAnalysis"/>
      <sheetName val="1"/>
      <sheetName val="Markup"/>
      <sheetName val="BLK2"/>
      <sheetName val="BLK3"/>
      <sheetName val="SUmmary-RMZ"/>
      <sheetName val="Parametry"/>
      <sheetName val="CASHFLOWS"/>
      <sheetName val="Headings"/>
      <sheetName val="Fee Rate Summary"/>
      <sheetName val="Default Values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Basic Rates"/>
      <sheetName val="13. Steel - Ratio"/>
      <sheetName val="zone-2"/>
      <sheetName val="Publicbuilding"/>
      <sheetName val="GF Columns"/>
      <sheetName val="FITZ MORT 94"/>
      <sheetName val="&quot;S&quot; Curve"/>
      <sheetName val="NEWtrn"/>
      <sheetName val="Trend"/>
      <sheetName val="WPC"/>
      <sheetName val=""/>
      <sheetName val="Steel"/>
      <sheetName val="ETC Plant Cost"/>
      <sheetName val="MTTR-Headend"/>
      <sheetName val="PM_Action "/>
      <sheetName val="Headend Provisioning Report"/>
      <sheetName val="PE Status"/>
      <sheetName val="Inventory"/>
      <sheetName val="Crtitical Issues"/>
      <sheetName val="RIP"/>
      <sheetName val="Fault Statistics"/>
      <sheetName val="SA faults-Headend "/>
      <sheetName val="Ageing_Pending_ CLeared"/>
      <sheetName val="Fault Cleared After 24Hrs"/>
      <sheetName val="OST_DATA"/>
      <sheetName val="Diawise steel abstract"/>
      <sheetName val="Anlysis"/>
      <sheetName val="Pur"/>
      <sheetName val="Rate An"/>
      <sheetName val="Query Results ALL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0"/>
      <sheetName val="final_abstract10"/>
      <sheetName val="Rate_analysis10"/>
      <sheetName val="Structure_Bills_Qty10"/>
      <sheetName val="Civil_Boq10"/>
      <sheetName val="Abstract_Sheet9"/>
      <sheetName val="7_Other_Costs9"/>
      <sheetName val="Labor_abs-NMR9"/>
      <sheetName val="Approved_MTD_Proj_#'s10"/>
      <sheetName val="TBAL9697_-group_wise__sdpl10"/>
      <sheetName val="CABLE_DATA10"/>
      <sheetName val="Fill_this_out_first___9"/>
      <sheetName val="b_s_-p_l_-sch_9"/>
      <sheetName val="Orig_SG&amp;A_Corp9"/>
      <sheetName val="CFForecast_detail9"/>
      <sheetName val="Income_Statement9"/>
      <sheetName val="Field_Values9"/>
      <sheetName val="Plant_Cost9"/>
      <sheetName val="Basement_Budget9"/>
      <sheetName val="MASTER_WORK_SHEET_-_ESTIMATE_H9"/>
      <sheetName val="BS,_PL,_SCH_969"/>
      <sheetName val="trial_flow_sheet9"/>
      <sheetName val="Data_sheet9"/>
      <sheetName val="Summary_year_Plan9"/>
      <sheetName val="monitoring-breakup_Feb029"/>
      <sheetName val="Tender_Summary8"/>
      <sheetName val="Staff_Forecast_spread8"/>
      <sheetName val="Detailed_Summary_(5)9"/>
      <sheetName val="Quote_Sheet4"/>
      <sheetName val="GM_&amp;_TA4"/>
      <sheetName val="PURCHASING_SCHEDULE4"/>
      <sheetName val="Fin_Sum3"/>
      <sheetName val="BOQ_Direct_selling_cost9"/>
      <sheetName val="Mar_Roster4"/>
      <sheetName val="ORDER_BOOKING4"/>
      <sheetName val="d-safe_DELUXE4"/>
      <sheetName val="std_wt_4"/>
      <sheetName val="Unit_cost-_Drain-Protection-23"/>
      <sheetName val="Unit_cost-_Drain-Protection-1_3"/>
      <sheetName val="PointNo_53"/>
      <sheetName val="steam_outlet3"/>
      <sheetName val="Pile_cap3"/>
      <sheetName val="TCS_IBMS_R2_2016_08_313"/>
      <sheetName val="Master_Info3"/>
      <sheetName val="A_O_R_2"/>
      <sheetName val="Sheet3_(2)2"/>
      <sheetName val="99_조정금액2"/>
      <sheetName val="HARGA_MATERIAL2"/>
      <sheetName val="Legal_Risk_Analysis3"/>
      <sheetName val="Staff_Acco_2"/>
      <sheetName val="Slab_Blk-023"/>
      <sheetName val="Load_Details(B1)2"/>
      <sheetName val="1_01_(a)2"/>
      <sheetName val="PURCHASE_REQUISITION_STATUS2"/>
      <sheetName val="electr__work_CA_2"/>
      <sheetName val="NON-TOWER_WATER_TANK2"/>
      <sheetName val="FCCB_2"/>
      <sheetName val="______________________________2"/>
      <sheetName val="Area_Statement_BHUB_Consultant2"/>
      <sheetName val="BOQ_Distribution2"/>
      <sheetName val="PC_Master_List2"/>
      <sheetName val="Ave_wtd_rates2"/>
      <sheetName val="Material_2"/>
      <sheetName val="Labour_&amp;_Plant2"/>
      <sheetName val="LEVEL_SHEET2"/>
      <sheetName val="Boq_-_Flats2"/>
      <sheetName val="Lookup_Tables2"/>
      <sheetName val="Design_of_Isolated_Footing2"/>
      <sheetName val="Drawing_status-12"/>
      <sheetName val="Totowa_commitment2"/>
      <sheetName val="Ward_areas2"/>
      <sheetName val="Mat_-Rates2"/>
      <sheetName val="labour_coeff2"/>
      <sheetName val="Weightage-Sub_Sht2"/>
      <sheetName val="Drawing_status2"/>
      <sheetName val="Catch_Basin_2"/>
      <sheetName val="PT_-_B1_-_Pour_12"/>
      <sheetName val="Cement_Recon2"/>
      <sheetName val="COL_2nd_F_-_3rd_F2"/>
      <sheetName val="Col_4F_to_5F2"/>
      <sheetName val="Column_-_B1_to_GF2"/>
      <sheetName val="Column_-_B2_to_B12"/>
      <sheetName val="Core_FF-5F_2"/>
      <sheetName val="CW_&amp;_SW_-_B1-GF2"/>
      <sheetName val="RCC,Ret__Wall2"/>
      <sheetName val="Debits_as_on_12_04_082"/>
      <sheetName val="Server_Conf_By_Name2"/>
      <sheetName val="7_0_CLIENT_TEMPLATE_CAPEX2"/>
      <sheetName val="Performance_Report2"/>
      <sheetName val="Virtified_Wooden_Tiles2"/>
      <sheetName val="Branch_Power2"/>
      <sheetName val="d-safe_specs2"/>
      <sheetName val="10__&amp;_11__Rate_Code_&amp;_BQ2"/>
      <sheetName val="Project_Budget_Worksheet2"/>
      <sheetName val="List_Content2"/>
      <sheetName val="Opdata_(2)2"/>
      <sheetName val="Area_Ananlysis(v1)2"/>
      <sheetName val="Page_22"/>
      <sheetName val="Civil_Meas2"/>
      <sheetName val="Fee_Rate_Summary2"/>
      <sheetName val="Default_Values2"/>
      <sheetName val="Basic_Rates2"/>
      <sheetName val="13__Steel_-_Ratio2"/>
      <sheetName val="GF_Columns2"/>
      <sheetName val="PRICE_COMP2"/>
      <sheetName val="9__Package_split_-_Cost_2"/>
      <sheetName val="Price_Comparison2"/>
      <sheetName val="Leg_1-12"/>
      <sheetName val="FITZ_MORT_942"/>
      <sheetName val="&quot;S&quot;_Curve2"/>
      <sheetName val="Allg__Angaben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9"/>
      <sheetName val="final_abstract9"/>
      <sheetName val="Rate_analysis9"/>
      <sheetName val="Structure_Bills_Qty9"/>
      <sheetName val="Civil_Boq9"/>
      <sheetName val="TBAL9697_-group_wise__sdpl9"/>
      <sheetName val="Approved_MTD_Proj_#'s9"/>
      <sheetName val="CABLE_DATA9"/>
      <sheetName val="Detailed_Summary_(5)8"/>
      <sheetName val="monitoring-breakup_Feb028"/>
      <sheetName val="Abstract_Sheet8"/>
      <sheetName val="7_Other_Costs8"/>
      <sheetName val="Labor_abs-NMR8"/>
      <sheetName val="b_s_-p_l_-sch_8"/>
      <sheetName val="Orig_SG&amp;A_Corp8"/>
      <sheetName val="CFForecast_detail8"/>
      <sheetName val="Income_Statement8"/>
      <sheetName val="Field_Values8"/>
      <sheetName val="Plant_Cost8"/>
      <sheetName val="Fill_this_out_first___8"/>
      <sheetName val="Basement_Budget8"/>
      <sheetName val="MASTER_WORK_SHEET_-_ESTIMATE_H8"/>
      <sheetName val="BS,_PL,_SCH_968"/>
      <sheetName val="trial_flow_sheet8"/>
      <sheetName val="Data_sheet8"/>
      <sheetName val="Summary_year_Plan8"/>
      <sheetName val="BOQ_Direct_selling_cost8"/>
      <sheetName val="Tender_Summary7"/>
      <sheetName val="Staff_Forecast_spread7"/>
      <sheetName val="Slab_Blk-022"/>
      <sheetName val="Quote_Sheet3"/>
      <sheetName val="GM_&amp;_TA3"/>
      <sheetName val="PURCHASING_SCHEDULE3"/>
      <sheetName val="Mar_Roster3"/>
      <sheetName val="d-safe_DELUXE3"/>
      <sheetName val="ORDER_BOOKING3"/>
      <sheetName val="Fin_Sum2"/>
      <sheetName val="std_wt_3"/>
      <sheetName val="Unit_cost-_Drain-Protection-22"/>
      <sheetName val="Unit_cost-_Drain-Protection-1_2"/>
      <sheetName val="PointNo_52"/>
      <sheetName val="steam_outlet2"/>
      <sheetName val="NON-TOWER_WATER_TANK1"/>
      <sheetName val="FCCB_1"/>
      <sheetName val="Legal_Risk_Analysis2"/>
      <sheetName val="Pile_cap2"/>
      <sheetName val="A_O_R_1"/>
      <sheetName val="Sheet3_(2)1"/>
      <sheetName val="BOQ_Distribution1"/>
      <sheetName val="TCS_IBMS_R2_2016_08_312"/>
      <sheetName val="PC_Master_List1"/>
      <sheetName val="Master_Info2"/>
      <sheetName val="Staff_Acco_1"/>
      <sheetName val="99_조정금액1"/>
      <sheetName val="HARGA_MATERIAL1"/>
      <sheetName val="Load_Details(B1)1"/>
      <sheetName val="electr__work_CA_1"/>
      <sheetName val="1_01_(a)1"/>
      <sheetName val="PURCHASE_REQUISITION_STATUS1"/>
      <sheetName val="Ave_wtd_rates1"/>
      <sheetName val="Material_1"/>
      <sheetName val="Labour_&amp;_Plant1"/>
      <sheetName val="LEVEL_SHEET1"/>
      <sheetName val="Boq_-_Flats1"/>
      <sheetName val="Lookup_Tables1"/>
      <sheetName val="Design_of_Isolated_Footing1"/>
      <sheetName val="Drawing_status-11"/>
      <sheetName val="______________________________1"/>
      <sheetName val="Area_Statement_BHUB_Consultant1"/>
      <sheetName val="Totowa_commitment1"/>
      <sheetName val="Ward_areas1"/>
      <sheetName val="Mat_-Rates1"/>
      <sheetName val="labour_coeff1"/>
      <sheetName val="Weightage-Sub_Sht1"/>
      <sheetName val="Drawing_status1"/>
      <sheetName val="Catch_Basin_1"/>
      <sheetName val="PT_-_B1_-_Pour_11"/>
      <sheetName val="Cement_Recon1"/>
      <sheetName val="COL_2nd_F_-_3rd_F1"/>
      <sheetName val="Col_4F_to_5F1"/>
      <sheetName val="Column_-_B1_to_GF1"/>
      <sheetName val="Column_-_B2_to_B11"/>
      <sheetName val="Core_FF-5F_1"/>
      <sheetName val="CW_&amp;_SW_-_B1-GF1"/>
      <sheetName val="RCC,Ret__Wall1"/>
      <sheetName val="Debits_as_on_12_04_081"/>
      <sheetName val="Server_Conf_By_Name1"/>
      <sheetName val="7_0_CLIENT_TEMPLATE_CAPEX1"/>
      <sheetName val="Performance_Report1"/>
      <sheetName val="Virtified_Wooden_Tiles1"/>
      <sheetName val="Branch_Power1"/>
      <sheetName val="d-safe_specs1"/>
      <sheetName val="10__&amp;_11__Rate_Code_&amp;_BQ1"/>
      <sheetName val="Project_Budget_Worksheet1"/>
      <sheetName val="List_Content1"/>
      <sheetName val="Opdata_(2)1"/>
      <sheetName val="Area_Ananlysis(v1)1"/>
      <sheetName val="Page_21"/>
      <sheetName val="Civil_Meas1"/>
      <sheetName val="Fee_Rate_Summary1"/>
      <sheetName val="Default_Values1"/>
      <sheetName val="Basic_Rates1"/>
      <sheetName val="13__Steel_-_Ratio1"/>
      <sheetName val="GF_Columns1"/>
      <sheetName val="PRICE_COMP1"/>
      <sheetName val="9__Package_split_-_Cost_1"/>
      <sheetName val="Price_Comparison1"/>
      <sheetName val="Leg_1-11"/>
      <sheetName val="FITZ_MORT_941"/>
      <sheetName val="&quot;S&quot;_Curve1"/>
      <sheetName val="Allg__Angaben1"/>
      <sheetName val="ETC_Plant_Cost1"/>
      <sheetName val="PM_Action_1"/>
      <sheetName val="Headend_Provisioning_Report1"/>
      <sheetName val="PE_Status1"/>
      <sheetName val="Crtitical_Issues1"/>
      <sheetName val="Fault_Statistics1"/>
      <sheetName val="SA_faults-Headend_1"/>
      <sheetName val="Ageing_Pending__CLeared1"/>
      <sheetName val="Fault_Cleared_After_24Hrs1"/>
      <sheetName val="Diawise_steel_abstract1"/>
      <sheetName val="Rate_An1"/>
      <sheetName val="Query_Results_ALL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8"/>
      <sheetName val="final_abstract8"/>
      <sheetName val="Rate_analysis8"/>
      <sheetName val="Structure_Bills_Qty8"/>
      <sheetName val="Civil_Boq8"/>
      <sheetName val="TBAL9697_-group_wise__sdpl8"/>
      <sheetName val="Approved_MTD_Proj_#'s8"/>
      <sheetName val="CABLE_DATA8"/>
      <sheetName val="Detailed_Summary_(5)7"/>
      <sheetName val="monitoring-breakup_Feb027"/>
      <sheetName val="Abstract_Sheet7"/>
      <sheetName val="7_Other_Costs7"/>
      <sheetName val="Labor_abs-NMR7"/>
      <sheetName val="b_s_-p_l_-sch_7"/>
      <sheetName val="Orig_SG&amp;A_Corp7"/>
      <sheetName val="CFForecast_detail7"/>
      <sheetName val="Income_Statement7"/>
      <sheetName val="Field_Values7"/>
      <sheetName val="Plant_Cost7"/>
      <sheetName val="Fill_this_out_first___7"/>
      <sheetName val="Basement_Budget7"/>
      <sheetName val="MASTER_WORK_SHEET_-_ESTIMATE_H7"/>
      <sheetName val="BS,_PL,_SCH_967"/>
      <sheetName val="trial_flow_sheet7"/>
      <sheetName val="Data_sheet7"/>
      <sheetName val="Summary_year_Plan7"/>
      <sheetName val="BOQ_Direct_selling_cost7"/>
      <sheetName val="Tender_Summary6"/>
      <sheetName val="Staff_Forecast_spread6"/>
      <sheetName val="Slab_Blk-021"/>
      <sheetName val="Quote_Sheet2"/>
      <sheetName val="GM_&amp;_TA2"/>
      <sheetName val="PURCHASING_SCHEDULE2"/>
      <sheetName val="Mar_Roster2"/>
      <sheetName val="d-safe_DELUXE2"/>
      <sheetName val="ORDER_BOOKING2"/>
      <sheetName val="Fin_Sum1"/>
      <sheetName val="std_wt_2"/>
      <sheetName val="Unit_cost-_Drain-Protection-21"/>
      <sheetName val="Unit_cost-_Drain-Protection-1_1"/>
      <sheetName val="PointNo_51"/>
      <sheetName val="steam_outlet1"/>
      <sheetName val="NON-TOWER_WATER_TANK"/>
      <sheetName val="FCCB_"/>
      <sheetName val="Legal_Risk_Analysis1"/>
      <sheetName val="Pile_cap1"/>
      <sheetName val="A_O_R_"/>
      <sheetName val="Sheet3_(2)"/>
      <sheetName val="BOQ_Distribution"/>
      <sheetName val="TCS_IBMS_R2_2016_08_311"/>
      <sheetName val="PC_Master_List"/>
      <sheetName val="Master_Info1"/>
      <sheetName val="Staff_Acco_"/>
      <sheetName val="99_조정금액"/>
      <sheetName val="HARGA_MATERIAL"/>
      <sheetName val="Load_Details(B1)"/>
      <sheetName val="electr__work_CA_"/>
      <sheetName val="1_01_(a)"/>
      <sheetName val="PURCHASE_REQUISITION_STATUS"/>
      <sheetName val="Ave_wtd_rates"/>
      <sheetName val="Material_"/>
      <sheetName val="Labour_&amp;_Plant"/>
      <sheetName val="LEVEL_SHEET"/>
      <sheetName val="Boq_-_Flats"/>
      <sheetName val="Lookup_Tables"/>
      <sheetName val="Design_of_Isolated_Footing"/>
      <sheetName val="Drawing_status-1"/>
      <sheetName val="_______________________________"/>
      <sheetName val="Area_Statement_BHUB_Consultant"/>
      <sheetName val="Totowa_commitment"/>
      <sheetName val="Ward_areas"/>
      <sheetName val="Mat_-Rates"/>
      <sheetName val="labour_coeff"/>
      <sheetName val="Weightage-Sub_Sht"/>
      <sheetName val="Drawing_status"/>
      <sheetName val="Catch_Basin_"/>
      <sheetName val="PT_-_B1_-_Pour_1"/>
      <sheetName val="Cement_Recon"/>
      <sheetName val="COL_2nd_F_-_3rd_F"/>
      <sheetName val="Col_4F_to_5F"/>
      <sheetName val="Column_-_B1_to_GF"/>
      <sheetName val="Column_-_B2_to_B1"/>
      <sheetName val="Core_FF-5F_"/>
      <sheetName val="CW_&amp;_SW_-_B1-GF"/>
      <sheetName val="RCC,Ret__Wall"/>
      <sheetName val="Debits_as_on_12_04_08"/>
      <sheetName val="Server_Conf_By_Name"/>
      <sheetName val="7_0_CLIENT_TEMPLATE_CAPEX"/>
      <sheetName val="Performance_Report"/>
      <sheetName val="Virtified_Wooden_Tiles"/>
      <sheetName val="Branch_Power"/>
      <sheetName val="d-safe_specs"/>
      <sheetName val="10__&amp;_11__Rate_Code_&amp;_BQ"/>
      <sheetName val="Project_Budget_Worksheet"/>
      <sheetName val="List_Content"/>
      <sheetName val="Opdata_(2)"/>
      <sheetName val="Area_Ananlysis(v1)"/>
      <sheetName val="Page_2"/>
      <sheetName val="Civil_Meas"/>
      <sheetName val="Fee_Rate_Summary"/>
      <sheetName val="Default_Values"/>
      <sheetName val="Basic_Rates"/>
      <sheetName val="13__Steel_-_Ratio"/>
      <sheetName val="GF_Columns"/>
      <sheetName val="PRICE_COMP"/>
      <sheetName val="9__Package_split_-_Cost_"/>
      <sheetName val="Price_Comparison"/>
      <sheetName val="Leg_1-1"/>
      <sheetName val="FITZ_MORT_94"/>
      <sheetName val="&quot;S&quot;_Curve"/>
      <sheetName val="Allg__Angaben"/>
      <sheetName val="ETC_Plant_Cost"/>
      <sheetName val="PM_Action_"/>
      <sheetName val="Headend_Provisioning_Report"/>
      <sheetName val="PE_Status"/>
      <sheetName val="Crtitical_Issues"/>
      <sheetName val="Fault_Statistics"/>
      <sheetName val="SA_faults-Headend_"/>
      <sheetName val="Ageing_Pending__CLeared"/>
      <sheetName val="Fault_Cleared_After_24Hrs"/>
      <sheetName val="Diawise_steel_abstract"/>
      <sheetName val="Rate_An"/>
      <sheetName val="Query_Results_ALL"/>
      <sheetName val="Futura"/>
      <sheetName val="2nd "/>
      <sheetName val="Operating Statistics"/>
      <sheetName val="Summ"/>
      <sheetName val="REF DATA"/>
      <sheetName val="girder"/>
      <sheetName val="cul-invSUBMITTED"/>
      <sheetName val="UNIT2"/>
      <sheetName val="AOR"/>
      <sheetName val="Measurment"/>
      <sheetName val="Client Vs.PC"/>
      <sheetName val="FORM7"/>
      <sheetName val="S2groupcode"/>
      <sheetName val="Build-up"/>
      <sheetName val="Boq Block A"/>
      <sheetName val="Item- Compact"/>
      <sheetName val="8"/>
      <sheetName val="BOQ-Part1"/>
      <sheetName val="IO LIST"/>
      <sheetName val="Sub-str."/>
      <sheetName val="Location"/>
      <sheetName val="D2_CO"/>
      <sheetName val="costing sheet"/>
      <sheetName val="Fill this out first___"/>
      <sheetName val="Sectors"/>
      <sheetName val="New May"/>
      <sheetName val="BS - L+OE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CPIPE 1"/>
      <sheetName val="Material"/>
      <sheetName val="Plant &amp;  Machinery"/>
      <sheetName val="Insurance &amp; Taxes(B1-2)"/>
      <sheetName val="Co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ering-CH"/>
      <sheetName val="CH Estimate Abstract"/>
      <sheetName val="Tiles"/>
      <sheetName val="BOQ Spider"/>
      <sheetName val="BOQ Patch Door"/>
      <sheetName val="BOQ"/>
      <sheetName val="Abstract-Finishes"/>
      <sheetName val="DW"/>
      <sheetName val="Masonary"/>
      <sheetName val="WP"/>
      <sheetName val="HF"/>
      <sheetName val="Painting - CH"/>
      <sheetName val="Abstract-Structure"/>
      <sheetName val="Footing"/>
      <sheetName val="Column"/>
      <sheetName val="Beam"/>
      <sheetName val="Beam shuttering"/>
      <sheetName val="Slab"/>
      <sheetName val="Staircase"/>
      <sheetName val="Lift Core wall"/>
      <sheetName val="Car wash Sump &amp; SCS"/>
      <sheetName val="Painting-CH"/>
      <sheetName val="Sheet1"/>
      <sheetName val="149"/>
      <sheetName val="Civi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Boq"/>
      <sheetName val="Micro"/>
      <sheetName val="Macro"/>
      <sheetName val="Scaff-Rose"/>
      <sheetName val="E UP SHEET_x000e__x0000__x0000_Break up Sheet_x0008__x0000__x0000_P"/>
      <sheetName val="Civil Boq"/>
      <sheetName val="Rate analysis"/>
      <sheetName val="RA-markate"/>
      <sheetName val="E UP SHEET_x000e_??Break up Sheet_x0008_??P"/>
      <sheetName val="E UP SHEET_x000e_"/>
      <sheetName val="SBI(Siliguri)"/>
      <sheetName val="Structure Bills Qty"/>
      <sheetName val="Data sheet"/>
      <sheetName val="E UP SHEET_x000e___Break up Sheet_x0008___P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E_UP_SHEETBreak_up_SheetP"/>
      <sheetName val="Civil_Boq"/>
      <sheetName val="Rate_analysis"/>
      <sheetName val="E_UP_SHEET??Break_up_Sheet??P"/>
      <sheetName val="E_UP_SHEET"/>
      <sheetName val="Structure_Bills_Qty"/>
      <sheetName val="Data_sheet"/>
      <sheetName val="E_UP_SHEET__Break_up_Sheet__P"/>
      <sheetName val="Ward areas"/>
      <sheetName val="Staff"/>
      <sheetName val="XL4Poppy"/>
      <sheetName val="E UP SHEET_x000e_Break up Sheet_x0008_P"/>
      <sheetName val="Summary 0506"/>
      <sheetName val="Summary 0607- 31.MAR"/>
      <sheetName val="149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Civil_Boq6"/>
      <sheetName val="Rate_analysis6"/>
      <sheetName val="Structure_Bills_Qty6"/>
      <sheetName val="Data_sheet6"/>
      <sheetName val="Ward_areas5"/>
      <sheetName val="Summary_05065"/>
      <sheetName val="Summary_0607-_31_MAR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Civil_Boq4"/>
      <sheetName val="Rate_analysis4"/>
      <sheetName val="Structure_Bills_Qty4"/>
      <sheetName val="Data_sheet4"/>
      <sheetName val="Ward_area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Civil_Boq3"/>
      <sheetName val="Rate_analysis3"/>
      <sheetName val="Structure_Bills_Qty3"/>
      <sheetName val="Data_sheet3"/>
      <sheetName val="Ward_areas2"/>
      <sheetName val="Summary_05062"/>
      <sheetName val="Summary_0607-_31_MAR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Civil_Boq1"/>
      <sheetName val="Rate_analysis1"/>
      <sheetName val="Structure_Bills_Qty1"/>
      <sheetName val="Data_sheet1"/>
      <sheetName val="Ward_areas"/>
      <sheetName val="Summary_0506"/>
      <sheetName val="Summary_0607-_31_MAR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Civil_Boq2"/>
      <sheetName val="Rate_analysis2"/>
      <sheetName val="Structure_Bills_Qty2"/>
      <sheetName val="Data_sheet2"/>
      <sheetName val="Ward_areas1"/>
      <sheetName val="Summary_05061"/>
      <sheetName val="Summary_0607-_31_MAR1"/>
      <sheetName val="Summary_05063"/>
      <sheetName val="Summary_0607-_31_MAR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Civil_Boq5"/>
      <sheetName val="Rate_analysis5"/>
      <sheetName val="Structure_Bills_Qty5"/>
      <sheetName val="Data_sheet5"/>
      <sheetName val="Ward_areas4"/>
      <sheetName val="Summary_05064"/>
      <sheetName val="Summary_0607-_31_MAR4"/>
      <sheetName val="PURCHASE REQUISITION STATUS"/>
      <sheetName val="UNIT2"/>
      <sheetName val="Staff Forecast spread"/>
      <sheetName val="wordsdata"/>
      <sheetName val="CLform"/>
      <sheetName val="RateAnalysis"/>
      <sheetName val="monitoring-breakup Feb02"/>
      <sheetName val="Input"/>
      <sheetName val="Abstract Sheet"/>
      <sheetName val="analysis-superstructure"/>
      <sheetName val="Window"/>
      <sheetName val="Fin Sum"/>
      <sheetName val="Field Values"/>
      <sheetName val="Legend"/>
      <sheetName val="Plant Cost"/>
      <sheetName val="Fill this out first..."/>
      <sheetName val="Basement Budget"/>
      <sheetName val="Labor abs-NMR"/>
      <sheetName val="PCC"/>
      <sheetName val="concrete"/>
      <sheetName val="MASTER WORK SHEET - ESTIMATE HI"/>
      <sheetName val="BS, PL, SCH 96"/>
      <sheetName val="RCC,Ret. Wall"/>
      <sheetName val="Package split - Cost"/>
      <sheetName val="Summary year Plan"/>
      <sheetName val="COST"/>
      <sheetName val="PRECAST lightconc-II"/>
      <sheetName val="intr stool brkup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Civil_Boq7"/>
      <sheetName val="Rate_analysis7"/>
      <sheetName val="Structure_Bills_Qty7"/>
      <sheetName val="Data_sheet7"/>
      <sheetName val="Ward_areas6"/>
      <sheetName val="Summary_05066"/>
      <sheetName val="Summary_0607-_31_MAR6"/>
      <sheetName val="PURCHASE_REQUISITION_STATUS"/>
      <sheetName val="Staff_Forecast_spread"/>
      <sheetName val="monitoring-breakup_Feb02"/>
      <sheetName val="Abstract_Sheet"/>
      <sheetName val="Notes"/>
      <sheetName val="organi synthesis lab"/>
      <sheetName val="Material "/>
      <sheetName val="Design"/>
      <sheetName val="L.B.D"/>
      <sheetName val="switch"/>
      <sheetName val="tables"/>
      <sheetName val="p&amp;m"/>
      <sheetName val="ELECT"/>
      <sheetName val="계정"/>
      <sheetName val="girder"/>
      <sheetName val="E UP SHEET_x005f_x000e__x005f_x0000__x005f_x0000_"/>
      <sheetName val="E UP SHEET_x005f_x000e_"/>
      <sheetName val="Civil Interiors"/>
      <sheetName val="Quote Sheet"/>
      <sheetName val="Inputs"/>
      <sheetName val="Mar03Atp"/>
      <sheetName val="경비공통"/>
      <sheetName val="est"/>
      <sheetName val="final abstract"/>
      <sheetName val="d-safe DELUXE"/>
      <sheetName val="PRL"/>
      <sheetName val="Project Brief"/>
      <sheetName val="Contents"/>
      <sheetName val="Worksheet"/>
      <sheetName val="MECH-1"/>
      <sheetName val="Calc1"/>
      <sheetName val="Project_Brief"/>
      <sheetName val="Summary_year_Plan"/>
      <sheetName val="PRECAST_lightconc-II"/>
      <sheetName val="MASTER_WORK_SHEET_-_ESTIMATE_HI"/>
      <sheetName val="Project_Brief1"/>
      <sheetName val="Summary_year_Plan1"/>
      <sheetName val="PRECAST_lightconc-II1"/>
      <sheetName val="MASTER_WORK_SHEET_-_ESTIMATE_H1"/>
      <sheetName val="E_UP_SHEET_x005f_x000e__x005f_x0000__x005f_x0000_"/>
      <sheetName val="E_UP_SHEET_x005f_x000e_"/>
      <sheetName val="Civil_Interiors"/>
      <sheetName val="Quote_Sheet"/>
      <sheetName val="Fin_Sum"/>
      <sheetName val="Field_Values"/>
      <sheetName val="Plant_Cost"/>
      <sheetName val="Fill_this_out_first___"/>
      <sheetName val="Basement_Budget"/>
      <sheetName val="Labor_abs-NMR"/>
      <sheetName val="BS,_PL,_SCH_96"/>
      <sheetName val="RCC,Ret__Wall"/>
      <sheetName val="Package_split_-_Cost"/>
      <sheetName val="Bill No.01"/>
      <sheetName val="MAT.ATSITE"/>
      <sheetName val="Project_Brief2"/>
      <sheetName val="Summary_year_Plan2"/>
      <sheetName val="PRECAST_lightconc-II2"/>
      <sheetName val="MASTER_WORK_SHEET_-_ESTIMATE_H2"/>
      <sheetName val="E_UP_SHEET_x005f_x000e__x005f_x0000__x00001"/>
      <sheetName val="E_UP_SHEET_x005f_x000e_1"/>
      <sheetName val="Civil_Interiors1"/>
      <sheetName val="Quote_Sheet1"/>
      <sheetName val="Fin_Sum1"/>
      <sheetName val="Field_Values1"/>
      <sheetName val="Plant_Cost1"/>
      <sheetName val="Fill_this_out_first___1"/>
      <sheetName val="Basement_Budget1"/>
      <sheetName val="Labor_abs-NMR1"/>
      <sheetName val="BS,_PL,_SCH_961"/>
      <sheetName val="RCC,Ret__Wall1"/>
      <sheetName val="Package_split_-_Cost1"/>
      <sheetName val="monitoring-breakup_Feb021"/>
      <sheetName val="Staff_Forecast_spread1"/>
      <sheetName val="Bill_No_01"/>
      <sheetName val="MAT_ATSITE"/>
      <sheetName val="GUT"/>
      <sheetName val="PointNo.5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Civil_Boq8"/>
      <sheetName val="Rate_analysis8"/>
      <sheetName val="Data_sheet8"/>
      <sheetName val="Structure_Bills_Qty8"/>
      <sheetName val="Ward_areas7"/>
      <sheetName val="Summary_05067"/>
      <sheetName val="Summary_0607-_31_MAR7"/>
      <sheetName val="PURCHASE_REQUISITION_STATUS1"/>
      <sheetName val="Staff_Forecast_spread2"/>
      <sheetName val="monitoring-breakup_Feb022"/>
      <sheetName val="Abstract_Sheet1"/>
      <sheetName val="intr_stool_brkup"/>
      <sheetName val="Fin_Sum2"/>
      <sheetName val="Field_Values2"/>
      <sheetName val="Plant_Cost2"/>
      <sheetName val="Fill_this_out_first___2"/>
      <sheetName val="Basement_Budget2"/>
      <sheetName val="Labor_abs-NMR2"/>
      <sheetName val="MASTER_WORK_SHEET_-_ESTIMATE_H3"/>
      <sheetName val="BS,_PL,_SCH_962"/>
      <sheetName val="RCC,Ret__Wall2"/>
      <sheetName val="Package_split_-_Cost2"/>
      <sheetName val="Summary_year_Plan3"/>
      <sheetName val="PRECAST_lightconc-II3"/>
      <sheetName val="organi_synthesis_lab"/>
      <sheetName val="Material_"/>
      <sheetName val="L_B_D"/>
      <sheetName val="E_UP_SHEET_x005f_x000e__x005f_x0000__x00002"/>
      <sheetName val="E_UP_SHEET_x005f_x000e_2"/>
      <sheetName val="Civil_Interiors2"/>
      <sheetName val="Quote_Sheet2"/>
      <sheetName val="final_abstract"/>
      <sheetName val="d-safe_DELUXE"/>
      <sheetName val="Project_Brief3"/>
      <sheetName val="Bill_No_011"/>
      <sheetName val="MAT_ATSITE1"/>
      <sheetName val="E UP SHEET_x000e__x0000__x0000_"/>
      <sheetName val="E_UP_SHEET___Break_up_Sheet___2"/>
      <sheetName val="E_UP_SHEET___Break_up_Sheet___3"/>
      <sheetName val="Aseet1998"/>
      <sheetName val="PC Master List"/>
      <sheetName val="Query Results ALL"/>
      <sheetName val="Supplier"/>
      <sheetName val="Construction"/>
      <sheetName val="Measurment"/>
      <sheetName val="77S(O)"/>
      <sheetName val="exp-ded-jan' 06"/>
      <sheetName val="master"/>
      <sheetName val="Cover"/>
      <sheetName val="Outgoing"/>
      <sheetName val="Incoming"/>
      <sheetName val="E UP SHEET_x005f_x005f_x005f_x000e__x005f_x005f_x"/>
      <sheetName val="RAJU ASSO"/>
      <sheetName val="Portfolio Summary"/>
      <sheetName val="PO"/>
      <sheetName val="E UP SHEET_x005f_x005f_x005f_x000e_"/>
      <sheetName val="PFF-est"/>
      <sheetName val="E UP SHEET_x005f_x000e__x"/>
      <sheetName val="총괄표"/>
      <sheetName val="E UP SHEET_x000e_??"/>
      <sheetName val="품의서(TL)"/>
      <sheetName val="E UP SHEET_x005f_x000e_??Break up She"/>
      <sheetName val="E UP SHEET_x005f_x005f_x005f_x005f_x005f_x005f_x0"/>
      <sheetName val="E UP SHEET_x005f_x000e___Break up She"/>
      <sheetName val="E UP SHEET_x005f_x005f_x005f_x000e__x"/>
      <sheetName val="E UP SHEET_x005f_x000e_??"/>
      <sheetName val="GM &amp; TA"/>
      <sheetName val="E UP SHEET_x000e___"/>
      <sheetName val="細目"/>
      <sheetName val="E UP SHEET_x005f_x000e___"/>
      <sheetName val="Cd"/>
      <sheetName val="THK"/>
      <sheetName val="CPIPE 1"/>
      <sheetName val="E UP SHEET_x000e__x"/>
      <sheetName val="COLUMN"/>
      <sheetName val="Data"/>
      <sheetName val="Lead"/>
      <sheetName val="WXY"/>
      <sheetName val="Cashflows"/>
      <sheetName val="Labour"/>
      <sheetName val="cubes_M20"/>
      <sheetName val="RECAPITULATION"/>
      <sheetName val="E UP SHEET_x005f_x000e__x005f_x005f_x"/>
      <sheetName val="E_UP_SHEET_x005f_x000e__x005f_x005f_x"/>
      <sheetName val="E_UP_SHEET_x005f_x000e__x"/>
      <sheetName val="E UP SHEET_x005f_x005f_x0"/>
      <sheetName val="E_UP_SHEET_x005f_x000e__x005f_x005f_1"/>
      <sheetName val="E_UP_SHEET_x005f_x000e__x1"/>
      <sheetName val="Material_1"/>
      <sheetName val="L_B_D1"/>
      <sheetName val="E_UP_SHEET??"/>
      <sheetName val="E_UP_SHEET_x005f_x005f_x005f_x000e__x005f_x005f_x"/>
      <sheetName val="E_UP_SHEET_x005f_x005f_x005f_x000e_"/>
      <sheetName val="E_UP_SHEET_x005f_x005f_x005f_x000e__x005f_x005f_1"/>
      <sheetName val="E_UP_SHEET_x005f_x005f_x005f_x000e_1"/>
      <sheetName val="GL SLAB"/>
      <sheetName val="RW (B1 to GL)"/>
      <sheetName val="costing sheet"/>
      <sheetName val="Dels"/>
      <sheetName val="Plastering-CH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Civil_Boq11"/>
      <sheetName val="Rate_analysis11"/>
      <sheetName val="Data_sheet11"/>
      <sheetName val="Structure_Bills_Qty11"/>
      <sheetName val="Ward_areas10"/>
      <sheetName val="Summary_050610"/>
      <sheetName val="Summary_0607-_31_MAR10"/>
      <sheetName val="PURCHASE_REQUISITION_STATUS4"/>
      <sheetName val="Staff_Forecast_spread5"/>
      <sheetName val="monitoring-breakup_Feb025"/>
      <sheetName val="Abstract_Sheet4"/>
      <sheetName val="intr_stool_brkup3"/>
      <sheetName val="Fin_Sum5"/>
      <sheetName val="Field_Values5"/>
      <sheetName val="Plant_Cost5"/>
      <sheetName val="Fill_this_out_first___5"/>
      <sheetName val="Basement_Budget5"/>
      <sheetName val="Labor_abs-NMR5"/>
      <sheetName val="MASTER_WORK_SHEET_-_ESTIMATE_H6"/>
      <sheetName val="BS,_PL,_SCH_965"/>
      <sheetName val="RCC,Ret__Wall5"/>
      <sheetName val="Package_split_-_Cost5"/>
      <sheetName val="Summary_year_Plan6"/>
      <sheetName val="PRECAST_lightconc-II6"/>
      <sheetName val="organi_synthesis_lab3"/>
      <sheetName val="Material_4"/>
      <sheetName val="L_B_D4"/>
      <sheetName val="E_UP_SHEET_x005f_x000e__x005f_x0000__x00005"/>
      <sheetName val="E_UP_SHEET_x005f_x000e_5"/>
      <sheetName val="Civil_Interiors5"/>
      <sheetName val="Quote_Sheet5"/>
      <sheetName val="final_abstract3"/>
      <sheetName val="d-safe_DELUXE3"/>
      <sheetName val="Project_Brief6"/>
      <sheetName val="Bill_No_014"/>
      <sheetName val="MAT_ATSITE4"/>
      <sheetName val="PointNo_5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Civil_Boq10"/>
      <sheetName val="Rate_analysis10"/>
      <sheetName val="Data_sheet10"/>
      <sheetName val="Structure_Bills_Qty10"/>
      <sheetName val="Ward_areas9"/>
      <sheetName val="Summary_05069"/>
      <sheetName val="Summary_0607-_31_MAR9"/>
      <sheetName val="PURCHASE_REQUISITION_STATUS3"/>
      <sheetName val="Staff_Forecast_spread4"/>
      <sheetName val="monitoring-breakup_Feb024"/>
      <sheetName val="Abstract_Sheet3"/>
      <sheetName val="intr_stool_brkup2"/>
      <sheetName val="Fin_Sum4"/>
      <sheetName val="Field_Values4"/>
      <sheetName val="Plant_Cost4"/>
      <sheetName val="Fill_this_out_first___4"/>
      <sheetName val="Basement_Budget4"/>
      <sheetName val="Labor_abs-NMR4"/>
      <sheetName val="MASTER_WORK_SHEET_-_ESTIMATE_H5"/>
      <sheetName val="BS,_PL,_SCH_964"/>
      <sheetName val="RCC,Ret__Wall4"/>
      <sheetName val="Package_split_-_Cost4"/>
      <sheetName val="Summary_year_Plan5"/>
      <sheetName val="PRECAST_lightconc-II5"/>
      <sheetName val="organi_synthesis_lab2"/>
      <sheetName val="Material_3"/>
      <sheetName val="L_B_D3"/>
      <sheetName val="E_UP_SHEET_x005f_x000e__x005f_x0000__x00004"/>
      <sheetName val="E_UP_SHEET_x005f_x000e_4"/>
      <sheetName val="Civil_Interiors4"/>
      <sheetName val="Quote_Sheet4"/>
      <sheetName val="final_abstract2"/>
      <sheetName val="d-safe_DELUXE2"/>
      <sheetName val="Project_Brief5"/>
      <sheetName val="Bill_No_013"/>
      <sheetName val="MAT_ATSITE3"/>
      <sheetName val="PointNo_51"/>
      <sheetName val="PC_Master_List1"/>
      <sheetName val="Query_Results_ALL1"/>
      <sheetName val="exp-ded-jan'_061"/>
      <sheetName val="E_UP_SHEET_x005f_x005f_x005f_x000e__x005f_x005f_3"/>
      <sheetName val="RAJU_ASSO1"/>
      <sheetName val="Portfolio_Summary1"/>
      <sheetName val="E_UP_SHEET_x005f_x005f_x005f_x000e_3"/>
      <sheetName val="E_UP_SHEET_x005f_x000e__x3"/>
      <sheetName val="E_UP_SHEET_x005f_x000e_??Break_up_Sh1"/>
      <sheetName val="E_UP_SHEET_x005f_x005f_x005f_x005f_x005f_x005f_x1"/>
      <sheetName val="E_UP_SHEET_x005f_x000e___Break_up_Sh1"/>
      <sheetName val="E_UP_SHEET_x005f_x005f_x005f_x000e__x1"/>
      <sheetName val="E_UP_SHEET_x005f_x000e_??1"/>
      <sheetName val="GM_&amp;_TA1"/>
      <sheetName val="E_UP_SHEET__"/>
      <sheetName val="E_UP_SHEET_x005f_x000e___1"/>
      <sheetName val="CPIPE_11"/>
      <sheetName val="E_UP_SHEET_x"/>
      <sheetName val="E_UP_SHEET_x005f_x000e__x005f_x005f_x2"/>
      <sheetName val="E_UP_SHEET_x005f_x005f_x01"/>
      <sheetName val="GL_SLAB1"/>
      <sheetName val="RW_(B1_to_GL)1"/>
      <sheetName val="costing_sheet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Civil_Boq9"/>
      <sheetName val="Rate_analysis9"/>
      <sheetName val="Data_sheet9"/>
      <sheetName val="Structure_Bills_Qty9"/>
      <sheetName val="Ward_areas8"/>
      <sheetName val="Summary_05068"/>
      <sheetName val="Summary_0607-_31_MAR8"/>
      <sheetName val="PURCHASE_REQUISITION_STATUS2"/>
      <sheetName val="Staff_Forecast_spread3"/>
      <sheetName val="monitoring-breakup_Feb023"/>
      <sheetName val="Abstract_Sheet2"/>
      <sheetName val="intr_stool_brkup1"/>
      <sheetName val="Fin_Sum3"/>
      <sheetName val="Field_Values3"/>
      <sheetName val="Plant_Cost3"/>
      <sheetName val="Fill_this_out_first___3"/>
      <sheetName val="Basement_Budget3"/>
      <sheetName val="Labor_abs-NMR3"/>
      <sheetName val="MASTER_WORK_SHEET_-_ESTIMATE_H4"/>
      <sheetName val="BS,_PL,_SCH_963"/>
      <sheetName val="RCC,Ret__Wall3"/>
      <sheetName val="Package_split_-_Cost3"/>
      <sheetName val="Summary_year_Plan4"/>
      <sheetName val="PRECAST_lightconc-II4"/>
      <sheetName val="organi_synthesis_lab1"/>
      <sheetName val="Material_2"/>
      <sheetName val="L_B_D2"/>
      <sheetName val="E_UP_SHEET_x005f_x000e__x005f_x0000__x00003"/>
      <sheetName val="E_UP_SHEET_x005f_x000e_3"/>
      <sheetName val="Civil_Interiors3"/>
      <sheetName val="Quote_Sheet3"/>
      <sheetName val="final_abstract1"/>
      <sheetName val="d-safe_DELUXE1"/>
      <sheetName val="Project_Brief4"/>
      <sheetName val="Bill_No_012"/>
      <sheetName val="MAT_ATSITE2"/>
      <sheetName val="PointNo_5"/>
      <sheetName val="PC_Master_List"/>
      <sheetName val="Query_Results_ALL"/>
      <sheetName val="exp-ded-jan'_06"/>
      <sheetName val="E_UP_SHEET_x005f_x005f_x005f_x000e__x005f_x005f_2"/>
      <sheetName val="RAJU_ASSO"/>
      <sheetName val="Portfolio_Summary"/>
      <sheetName val="E_UP_SHEET_x005f_x005f_x005f_x000e_2"/>
      <sheetName val="E_UP_SHEET_x005f_x000e__x2"/>
      <sheetName val="E_UP_SHEET_x005f_x000e_??Break_up_She"/>
      <sheetName val="E_UP_SHEET_x005f_x005f_x005f_x005f_x005f_x005f_x0"/>
      <sheetName val="E_UP_SHEET_x005f_x000e___Break_up_She"/>
      <sheetName val="E_UP_SHEET_x005f_x005f_x005f_x000e__x"/>
      <sheetName val="E_UP_SHEET_x005f_x000e_??"/>
      <sheetName val="GM_&amp;_TA"/>
      <sheetName val="E_UP_SHEET_x005f_x000e___"/>
      <sheetName val="CPIPE_1"/>
      <sheetName val="E_UP_SHEET_x005f_x000e__x005f_x005f_x1"/>
      <sheetName val="E_UP_SHEET_x005f_x005f_x0"/>
      <sheetName val="GL_SLAB"/>
      <sheetName val="RW_(B1_to_GL)"/>
      <sheetName val="costing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121B-E657-4024-B016-3265413B5A9C}">
  <dimension ref="A1:AF556"/>
  <sheetViews>
    <sheetView tabSelected="1" zoomScaleNormal="100" workbookViewId="0">
      <selection activeCell="M31" sqref="M31"/>
    </sheetView>
  </sheetViews>
  <sheetFormatPr defaultColWidth="9.109375" defaultRowHeight="13.2" x14ac:dyDescent="0.25"/>
  <cols>
    <col min="1" max="1" width="9.5546875" style="1" customWidth="1"/>
    <col min="2" max="2" width="8.109375" style="1" customWidth="1"/>
    <col min="3" max="3" width="36.44140625" style="1" customWidth="1"/>
    <col min="4" max="4" width="9.6640625" style="2" customWidth="1"/>
    <col min="5" max="5" width="11.44140625" style="2" customWidth="1"/>
    <col min="6" max="6" width="10.6640625" style="2" customWidth="1"/>
    <col min="7" max="12" width="10.6640625" style="1" customWidth="1"/>
    <col min="13" max="13" width="9.33203125" style="1" customWidth="1"/>
    <col min="14" max="14" width="12.88671875" style="1" customWidth="1"/>
    <col min="15" max="15" width="16.6640625" style="1" customWidth="1"/>
    <col min="16" max="16" width="12.5546875" style="1" customWidth="1"/>
    <col min="17" max="23" width="9.33203125" style="1" bestFit="1" customWidth="1"/>
    <col min="24" max="24" width="14" style="1" customWidth="1"/>
    <col min="25" max="25" width="13.44140625" style="1" customWidth="1"/>
    <col min="26" max="16384" width="9.109375" style="1"/>
  </cols>
  <sheetData>
    <row r="1" spans="1:25" s="5" customFormat="1" x14ac:dyDescent="0.25">
      <c r="A1" s="89" t="s">
        <v>129</v>
      </c>
      <c r="B1" s="89"/>
      <c r="C1" s="89" t="s">
        <v>128</v>
      </c>
      <c r="D1" s="12"/>
      <c r="E1" s="12"/>
      <c r="F1" s="12"/>
    </row>
    <row r="2" spans="1:25" s="5" customFormat="1" x14ac:dyDescent="0.25">
      <c r="A2" s="89" t="s">
        <v>127</v>
      </c>
      <c r="B2" s="89"/>
      <c r="C2" s="89">
        <v>286216.53999999998</v>
      </c>
      <c r="D2" s="12"/>
      <c r="E2" s="12"/>
      <c r="F2" s="12"/>
    </row>
    <row r="3" spans="1:25" s="5" customFormat="1" x14ac:dyDescent="0.25">
      <c r="A3" s="89" t="s">
        <v>126</v>
      </c>
      <c r="B3" s="89"/>
      <c r="D3" s="12"/>
      <c r="E3" s="12"/>
      <c r="F3" s="12"/>
    </row>
    <row r="4" spans="1:25" s="5" customFormat="1" x14ac:dyDescent="0.25">
      <c r="D4" s="12"/>
      <c r="E4" s="12"/>
      <c r="F4" s="12"/>
    </row>
    <row r="5" spans="1:25" s="5" customFormat="1" x14ac:dyDescent="0.25">
      <c r="A5" s="102" t="s">
        <v>88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</row>
    <row r="6" spans="1:25" s="5" customFormat="1" ht="13.8" thickBot="1" x14ac:dyDescent="0.3">
      <c r="A6" s="103" t="s">
        <v>125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</row>
    <row r="7" spans="1:25" s="5" customFormat="1" ht="26.4" x14ac:dyDescent="0.25">
      <c r="A7" s="106" t="s">
        <v>86</v>
      </c>
      <c r="B7" s="27"/>
      <c r="C7" s="108" t="s">
        <v>85</v>
      </c>
      <c r="D7" s="110" t="s">
        <v>84</v>
      </c>
      <c r="E7" s="108" t="s">
        <v>83</v>
      </c>
      <c r="F7" s="108" t="s">
        <v>124</v>
      </c>
      <c r="G7" s="26" t="s">
        <v>81</v>
      </c>
      <c r="H7" s="26" t="s">
        <v>80</v>
      </c>
      <c r="I7" s="26" t="s">
        <v>79</v>
      </c>
      <c r="J7" s="112" t="s">
        <v>78</v>
      </c>
      <c r="K7" s="108" t="s">
        <v>77</v>
      </c>
      <c r="L7" s="108"/>
      <c r="M7" s="108"/>
      <c r="N7" s="108"/>
      <c r="O7" s="112" t="s">
        <v>76</v>
      </c>
      <c r="P7" s="108" t="s">
        <v>75</v>
      </c>
      <c r="Q7" s="25">
        <v>8</v>
      </c>
      <c r="R7" s="25">
        <v>10</v>
      </c>
      <c r="S7" s="25">
        <v>12</v>
      </c>
      <c r="T7" s="25">
        <v>16</v>
      </c>
      <c r="U7" s="25">
        <v>20</v>
      </c>
      <c r="V7" s="25">
        <v>25</v>
      </c>
      <c r="W7" s="25">
        <v>32</v>
      </c>
      <c r="X7" s="114" t="s">
        <v>74</v>
      </c>
      <c r="Y7" s="116" t="s">
        <v>73</v>
      </c>
    </row>
    <row r="8" spans="1:25" s="5" customFormat="1" ht="30" customHeight="1" thickBot="1" x14ac:dyDescent="0.3">
      <c r="A8" s="107"/>
      <c r="B8" s="24"/>
      <c r="C8" s="109"/>
      <c r="D8" s="111"/>
      <c r="E8" s="109"/>
      <c r="F8" s="109"/>
      <c r="G8" s="23" t="s">
        <v>72</v>
      </c>
      <c r="H8" s="23" t="s">
        <v>71</v>
      </c>
      <c r="I8" s="23" t="s">
        <v>70</v>
      </c>
      <c r="J8" s="113"/>
      <c r="K8" s="23" t="s">
        <v>69</v>
      </c>
      <c r="L8" s="23" t="s">
        <v>68</v>
      </c>
      <c r="M8" s="23" t="s">
        <v>67</v>
      </c>
      <c r="N8" s="23" t="s">
        <v>66</v>
      </c>
      <c r="O8" s="113"/>
      <c r="P8" s="109"/>
      <c r="Q8" s="22">
        <f t="shared" ref="Q8:W8" si="0">22/7/4/1000/1000*7850*Q7*Q7</f>
        <v>0.39474285714285717</v>
      </c>
      <c r="R8" s="22">
        <f t="shared" si="0"/>
        <v>0.61678571428571427</v>
      </c>
      <c r="S8" s="22">
        <f t="shared" si="0"/>
        <v>0.88817142857142872</v>
      </c>
      <c r="T8" s="22">
        <f t="shared" si="0"/>
        <v>1.5789714285714287</v>
      </c>
      <c r="U8" s="22">
        <f t="shared" si="0"/>
        <v>2.4671428571428571</v>
      </c>
      <c r="V8" s="22">
        <f t="shared" si="0"/>
        <v>3.8549107142857149</v>
      </c>
      <c r="W8" s="22">
        <f t="shared" si="0"/>
        <v>6.3158857142857148</v>
      </c>
      <c r="X8" s="115"/>
      <c r="Y8" s="117"/>
    </row>
    <row r="9" spans="1:25" s="5" customFormat="1" x14ac:dyDescent="0.25">
      <c r="D9" s="12"/>
      <c r="E9" s="12"/>
      <c r="F9" s="12"/>
    </row>
    <row r="10" spans="1:25" s="5" customFormat="1" ht="12.75" customHeight="1" x14ac:dyDescent="0.25">
      <c r="C10" s="89" t="s">
        <v>123</v>
      </c>
      <c r="D10" s="12"/>
      <c r="E10" s="12"/>
      <c r="F10" s="12"/>
      <c r="L10" s="118" t="s">
        <v>122</v>
      </c>
      <c r="M10" s="119"/>
      <c r="N10" s="119"/>
      <c r="O10" s="120"/>
    </row>
    <row r="11" spans="1:25" s="5" customFormat="1" ht="52.8" x14ac:dyDescent="0.25">
      <c r="A11" s="5">
        <v>1</v>
      </c>
      <c r="C11" s="5" t="s">
        <v>121</v>
      </c>
      <c r="D11" s="6">
        <f>30/1000</f>
        <v>0.03</v>
      </c>
      <c r="E11" s="12"/>
      <c r="F11" s="12"/>
      <c r="L11" s="88" t="s">
        <v>120</v>
      </c>
      <c r="M11" s="87" t="s">
        <v>119</v>
      </c>
      <c r="N11" s="87" t="s">
        <v>118</v>
      </c>
      <c r="O11" s="86" t="s">
        <v>117</v>
      </c>
    </row>
    <row r="12" spans="1:25" s="5" customFormat="1" x14ac:dyDescent="0.25">
      <c r="A12" s="5">
        <v>2</v>
      </c>
      <c r="C12" s="5" t="s">
        <v>116</v>
      </c>
      <c r="D12" s="12">
        <v>0.15</v>
      </c>
      <c r="E12" s="85">
        <v>0.17499999999999999</v>
      </c>
      <c r="F12" s="12"/>
      <c r="L12" s="77">
        <f>0.1</f>
        <v>0.1</v>
      </c>
      <c r="M12" s="76">
        <v>20</v>
      </c>
      <c r="N12" s="76">
        <f>1</f>
        <v>1</v>
      </c>
      <c r="O12" s="75">
        <f t="shared" ref="O12:O24" si="1">(L12/SIN(45*(3.14/180)))-2*$J$11</f>
        <v>0.1414776986915143</v>
      </c>
    </row>
    <row r="13" spans="1:25" s="5" customFormat="1" x14ac:dyDescent="0.25">
      <c r="A13" s="5">
        <v>3</v>
      </c>
      <c r="C13" s="5" t="s">
        <v>94</v>
      </c>
      <c r="D13" s="6" t="s">
        <v>89</v>
      </c>
      <c r="E13" s="12"/>
      <c r="F13" s="12"/>
      <c r="L13" s="77">
        <f>0.15</f>
        <v>0.15</v>
      </c>
      <c r="M13" s="76">
        <v>20</v>
      </c>
      <c r="N13" s="76">
        <f>1</f>
        <v>1</v>
      </c>
      <c r="O13" s="75">
        <f t="shared" si="1"/>
        <v>0.21221654803727141</v>
      </c>
    </row>
    <row r="14" spans="1:25" s="5" customFormat="1" x14ac:dyDescent="0.25">
      <c r="A14" s="5">
        <v>4</v>
      </c>
      <c r="C14" s="5" t="s">
        <v>115</v>
      </c>
      <c r="D14" s="6" t="s">
        <v>114</v>
      </c>
      <c r="E14" s="12"/>
      <c r="F14" s="12"/>
      <c r="L14" s="77">
        <v>0.2</v>
      </c>
      <c r="M14" s="76">
        <v>20</v>
      </c>
      <c r="N14" s="76">
        <f>1</f>
        <v>1</v>
      </c>
      <c r="O14" s="75">
        <f t="shared" si="1"/>
        <v>0.28295539738302861</v>
      </c>
    </row>
    <row r="15" spans="1:25" s="5" customFormat="1" x14ac:dyDescent="0.25">
      <c r="A15" s="5">
        <v>5</v>
      </c>
      <c r="C15" s="5" t="s">
        <v>113</v>
      </c>
      <c r="D15" s="12">
        <v>25</v>
      </c>
      <c r="E15" s="12">
        <v>1</v>
      </c>
      <c r="F15" s="84">
        <f>0.25-2*D11</f>
        <v>0.19</v>
      </c>
      <c r="L15" s="77">
        <v>0.2</v>
      </c>
      <c r="M15" s="76">
        <v>20</v>
      </c>
      <c r="N15" s="76">
        <f>1</f>
        <v>1</v>
      </c>
      <c r="O15" s="75">
        <f t="shared" si="1"/>
        <v>0.28295539738302861</v>
      </c>
    </row>
    <row r="16" spans="1:25" s="5" customFormat="1" x14ac:dyDescent="0.25">
      <c r="D16" s="12"/>
      <c r="E16" s="12"/>
      <c r="F16" s="12"/>
      <c r="L16" s="77">
        <v>0.3</v>
      </c>
      <c r="M16" s="76">
        <v>20</v>
      </c>
      <c r="N16" s="76">
        <f>1</f>
        <v>1</v>
      </c>
      <c r="O16" s="75">
        <f t="shared" si="1"/>
        <v>0.42443309607454283</v>
      </c>
    </row>
    <row r="17" spans="1:28" s="5" customFormat="1" x14ac:dyDescent="0.25">
      <c r="D17" s="12"/>
      <c r="E17" s="12"/>
      <c r="F17" s="12"/>
      <c r="L17" s="77">
        <v>0.35</v>
      </c>
      <c r="M17" s="76">
        <v>20</v>
      </c>
      <c r="N17" s="76">
        <f>1</f>
        <v>1</v>
      </c>
      <c r="O17" s="75">
        <f t="shared" si="1"/>
        <v>0.49517194542029996</v>
      </c>
    </row>
    <row r="18" spans="1:28" s="5" customFormat="1" ht="15" customHeight="1" x14ac:dyDescent="0.25">
      <c r="A18" s="102" t="s">
        <v>112</v>
      </c>
      <c r="B18" s="102"/>
      <c r="C18" s="102"/>
      <c r="D18" s="121" t="s">
        <v>111</v>
      </c>
      <c r="E18" s="121"/>
      <c r="F18" s="121"/>
      <c r="G18" s="121"/>
      <c r="H18" s="121"/>
      <c r="L18" s="77">
        <v>0.4</v>
      </c>
      <c r="M18" s="76">
        <v>20</v>
      </c>
      <c r="N18" s="76">
        <f>1</f>
        <v>1</v>
      </c>
      <c r="O18" s="75">
        <f t="shared" si="1"/>
        <v>0.56591079476605721</v>
      </c>
    </row>
    <row r="19" spans="1:28" s="5" customFormat="1" x14ac:dyDescent="0.25">
      <c r="A19" s="83" t="s">
        <v>86</v>
      </c>
      <c r="B19" s="82"/>
      <c r="C19" s="79" t="s">
        <v>110</v>
      </c>
      <c r="D19" s="81" t="s">
        <v>109</v>
      </c>
      <c r="E19" s="80" t="s">
        <v>89</v>
      </c>
      <c r="F19" s="79" t="s">
        <v>108</v>
      </c>
      <c r="G19" s="79" t="s">
        <v>107</v>
      </c>
      <c r="H19" s="78" t="s">
        <v>106</v>
      </c>
      <c r="L19" s="77">
        <v>0.45</v>
      </c>
      <c r="M19" s="76">
        <v>20</v>
      </c>
      <c r="N19" s="76">
        <f>1</f>
        <v>1</v>
      </c>
      <c r="O19" s="75">
        <f t="shared" si="1"/>
        <v>0.63664964411181435</v>
      </c>
    </row>
    <row r="20" spans="1:28" s="5" customFormat="1" x14ac:dyDescent="0.25">
      <c r="A20" s="74">
        <v>1</v>
      </c>
      <c r="B20" s="73"/>
      <c r="C20" s="72">
        <v>8</v>
      </c>
      <c r="D20" s="64">
        <v>0.5</v>
      </c>
      <c r="E20" s="65">
        <v>0.4</v>
      </c>
      <c r="F20" s="63">
        <v>0.42499999999999999</v>
      </c>
      <c r="G20" s="64">
        <v>0.35</v>
      </c>
      <c r="H20" s="63">
        <v>0.32500000000000001</v>
      </c>
      <c r="L20" s="77">
        <v>0.5</v>
      </c>
      <c r="M20" s="76">
        <v>20</v>
      </c>
      <c r="N20" s="76">
        <f>1</f>
        <v>1</v>
      </c>
      <c r="O20" s="75">
        <f t="shared" si="1"/>
        <v>0.70738849345757149</v>
      </c>
    </row>
    <row r="21" spans="1:28" s="5" customFormat="1" x14ac:dyDescent="0.25">
      <c r="A21" s="74">
        <v>2</v>
      </c>
      <c r="B21" s="73"/>
      <c r="C21" s="72">
        <v>10</v>
      </c>
      <c r="D21" s="64">
        <v>0.625</v>
      </c>
      <c r="E21" s="65">
        <v>0.5</v>
      </c>
      <c r="F21" s="63">
        <v>0.55000000000000004</v>
      </c>
      <c r="G21" s="64">
        <v>0.45</v>
      </c>
      <c r="H21" s="63">
        <v>0.4</v>
      </c>
      <c r="L21" s="77">
        <v>0.6</v>
      </c>
      <c r="M21" s="76">
        <v>20</v>
      </c>
      <c r="N21" s="76">
        <f>1</f>
        <v>1</v>
      </c>
      <c r="O21" s="75">
        <f t="shared" si="1"/>
        <v>0.84886619214908565</v>
      </c>
    </row>
    <row r="22" spans="1:28" s="5" customFormat="1" x14ac:dyDescent="0.25">
      <c r="A22" s="74">
        <v>3</v>
      </c>
      <c r="B22" s="73"/>
      <c r="C22" s="72">
        <v>12</v>
      </c>
      <c r="D22" s="64">
        <v>0.75</v>
      </c>
      <c r="E22" s="65">
        <v>0.6</v>
      </c>
      <c r="F22" s="63">
        <v>0.65</v>
      </c>
      <c r="G22" s="64">
        <v>0.52500000000000002</v>
      </c>
      <c r="H22" s="63">
        <v>0.47499999999999998</v>
      </c>
      <c r="L22" s="77">
        <v>0.8</v>
      </c>
      <c r="M22" s="76">
        <v>20</v>
      </c>
      <c r="N22" s="76">
        <f>1</f>
        <v>1</v>
      </c>
      <c r="O22" s="75">
        <f t="shared" si="1"/>
        <v>1.1318215895321144</v>
      </c>
    </row>
    <row r="23" spans="1:28" s="5" customFormat="1" x14ac:dyDescent="0.25">
      <c r="A23" s="74">
        <v>4</v>
      </c>
      <c r="B23" s="73"/>
      <c r="C23" s="72">
        <v>16</v>
      </c>
      <c r="D23" s="64">
        <v>1</v>
      </c>
      <c r="E23" s="65">
        <v>0.8</v>
      </c>
      <c r="F23" s="63">
        <v>0.85</v>
      </c>
      <c r="G23" s="64">
        <v>0.7</v>
      </c>
      <c r="H23" s="63">
        <v>0.625</v>
      </c>
      <c r="L23" s="77">
        <v>1</v>
      </c>
      <c r="M23" s="76">
        <v>20</v>
      </c>
      <c r="N23" s="76">
        <f>1</f>
        <v>1</v>
      </c>
      <c r="O23" s="75">
        <f t="shared" si="1"/>
        <v>1.414776986915143</v>
      </c>
    </row>
    <row r="24" spans="1:28" s="5" customFormat="1" x14ac:dyDescent="0.25">
      <c r="A24" s="74">
        <v>5</v>
      </c>
      <c r="B24" s="73"/>
      <c r="C24" s="72">
        <v>20</v>
      </c>
      <c r="D24" s="64">
        <v>1.25</v>
      </c>
      <c r="E24" s="65">
        <v>1</v>
      </c>
      <c r="F24" s="63">
        <v>1.05</v>
      </c>
      <c r="G24" s="64">
        <v>0.875</v>
      </c>
      <c r="H24" s="63">
        <v>0.8</v>
      </c>
      <c r="L24" s="77">
        <v>1.2</v>
      </c>
      <c r="M24" s="76">
        <v>20</v>
      </c>
      <c r="N24" s="76">
        <f>1</f>
        <v>1</v>
      </c>
      <c r="O24" s="75">
        <f t="shared" si="1"/>
        <v>1.6977323842981713</v>
      </c>
    </row>
    <row r="25" spans="1:28" s="5" customFormat="1" x14ac:dyDescent="0.25">
      <c r="A25" s="74">
        <v>6</v>
      </c>
      <c r="B25" s="73"/>
      <c r="C25" s="72">
        <v>25</v>
      </c>
      <c r="D25" s="64">
        <v>1.55</v>
      </c>
      <c r="E25" s="65">
        <v>1.25</v>
      </c>
      <c r="F25" s="63">
        <v>1.35</v>
      </c>
      <c r="G25" s="64">
        <v>1.1000000000000001</v>
      </c>
      <c r="H25" s="63">
        <v>1</v>
      </c>
      <c r="L25" s="71"/>
      <c r="M25" s="70"/>
      <c r="N25" s="70"/>
      <c r="O25" s="69"/>
    </row>
    <row r="26" spans="1:28" s="5" customFormat="1" x14ac:dyDescent="0.25">
      <c r="A26" s="68">
        <v>7</v>
      </c>
      <c r="B26" s="67"/>
      <c r="C26" s="66">
        <v>32</v>
      </c>
      <c r="D26" s="64">
        <v>2</v>
      </c>
      <c r="E26" s="65">
        <v>1.6</v>
      </c>
      <c r="F26" s="63">
        <v>1.7</v>
      </c>
      <c r="G26" s="64">
        <v>1.4</v>
      </c>
      <c r="H26" s="63">
        <v>1.25</v>
      </c>
    </row>
    <row r="27" spans="1:28" s="5" customFormat="1" x14ac:dyDescent="0.25">
      <c r="D27" s="12"/>
      <c r="E27" s="12"/>
      <c r="F27" s="12"/>
    </row>
    <row r="28" spans="1:28" s="28" customFormat="1" ht="20.100000000000001" customHeight="1" x14ac:dyDescent="0.3">
      <c r="A28" s="62" t="s">
        <v>105</v>
      </c>
      <c r="B28" s="61"/>
      <c r="C28" s="60"/>
      <c r="D28" s="59"/>
      <c r="E28" s="52"/>
      <c r="F28" s="58"/>
      <c r="G28" s="57"/>
      <c r="H28" s="56"/>
      <c r="I28" s="57"/>
      <c r="J28" s="56" t="s">
        <v>151</v>
      </c>
      <c r="K28" s="56"/>
      <c r="L28" s="56"/>
      <c r="M28" s="56"/>
      <c r="N28" s="55"/>
      <c r="O28" s="54"/>
      <c r="P28" s="53"/>
      <c r="Q28" s="52"/>
      <c r="R28" s="51"/>
      <c r="S28" s="122"/>
      <c r="T28" s="122"/>
      <c r="U28" s="122"/>
      <c r="V28" s="122"/>
      <c r="W28" s="122"/>
      <c r="X28" s="122"/>
      <c r="Y28" s="122"/>
      <c r="Z28" s="122"/>
      <c r="AA28" s="122"/>
    </row>
    <row r="29" spans="1:28" s="40" customFormat="1" ht="20.100000000000001" customHeight="1" x14ac:dyDescent="0.3">
      <c r="A29" s="50"/>
      <c r="B29" s="50"/>
      <c r="C29" s="49"/>
      <c r="D29" s="123" t="s">
        <v>104</v>
      </c>
      <c r="E29" s="125" t="s">
        <v>103</v>
      </c>
      <c r="F29" s="127" t="s">
        <v>102</v>
      </c>
      <c r="G29" s="127" t="s">
        <v>101</v>
      </c>
      <c r="H29" s="128" t="s">
        <v>100</v>
      </c>
      <c r="I29" s="128" t="s">
        <v>99</v>
      </c>
      <c r="J29" s="128" t="s">
        <v>98</v>
      </c>
      <c r="K29" s="129" t="s">
        <v>97</v>
      </c>
      <c r="L29" s="128" t="s">
        <v>96</v>
      </c>
      <c r="M29" s="130" t="s">
        <v>95</v>
      </c>
      <c r="N29" s="30" t="s">
        <v>152</v>
      </c>
      <c r="O29" s="48" t="s">
        <v>94</v>
      </c>
      <c r="P29" s="45" t="s">
        <v>93</v>
      </c>
      <c r="Q29" s="44" t="s">
        <v>92</v>
      </c>
      <c r="R29" s="47" t="s">
        <v>91</v>
      </c>
    </row>
    <row r="30" spans="1:28" s="28" customFormat="1" ht="20.100000000000001" customHeight="1" x14ac:dyDescent="0.3">
      <c r="A30" s="46"/>
      <c r="B30" s="46"/>
      <c r="C30" s="31" t="s">
        <v>90</v>
      </c>
      <c r="D30" s="124"/>
      <c r="E30" s="126"/>
      <c r="F30" s="127"/>
      <c r="G30" s="127"/>
      <c r="H30" s="128"/>
      <c r="I30" s="128"/>
      <c r="J30" s="128"/>
      <c r="K30" s="129"/>
      <c r="L30" s="128"/>
      <c r="M30" s="131"/>
      <c r="N30" s="43"/>
      <c r="O30" s="42"/>
      <c r="P30" s="41"/>
      <c r="Q30" s="41"/>
      <c r="R30" s="41"/>
      <c r="S30" s="21"/>
      <c r="T30" s="21"/>
      <c r="U30" s="21"/>
      <c r="V30" s="21"/>
      <c r="W30" s="40"/>
      <c r="X30" s="40"/>
      <c r="Y30" s="40"/>
      <c r="Z30" s="40"/>
      <c r="AA30" s="40"/>
    </row>
    <row r="31" spans="1:28" s="28" customFormat="1" ht="20.100000000000001" customHeight="1" x14ac:dyDescent="0.3">
      <c r="A31" s="39">
        <v>1</v>
      </c>
      <c r="B31" s="39"/>
      <c r="C31" s="38" t="s">
        <v>130</v>
      </c>
      <c r="D31" s="37">
        <f>+I39</f>
        <v>97.916190000000014</v>
      </c>
      <c r="E31" s="37">
        <f>+J39</f>
        <v>444.71600000000001</v>
      </c>
      <c r="F31" s="36">
        <f t="shared" ref="F31:L31" si="2">+Q39</f>
        <v>1.4992862669714289</v>
      </c>
      <c r="G31" s="36">
        <f t="shared" si="2"/>
        <v>3.1000846564285713</v>
      </c>
      <c r="H31" s="36">
        <f t="shared" si="2"/>
        <v>1.700405976342857</v>
      </c>
      <c r="I31" s="36">
        <f t="shared" si="2"/>
        <v>2.8607283282285731</v>
      </c>
      <c r="J31" s="36">
        <f t="shared" si="2"/>
        <v>4.3730674585714286</v>
      </c>
      <c r="K31" s="36">
        <f t="shared" si="2"/>
        <v>2.512576834821429</v>
      </c>
      <c r="L31" s="36">
        <f t="shared" si="2"/>
        <v>0</v>
      </c>
      <c r="M31" s="35">
        <f t="shared" ref="M31" si="3">SUM(F31:L31)</f>
        <v>16.046149521364288</v>
      </c>
      <c r="N31" s="35">
        <f>M31*1000</f>
        <v>16046.149521364288</v>
      </c>
      <c r="O31" s="34" t="s">
        <v>89</v>
      </c>
      <c r="P31" s="33"/>
      <c r="Q31" s="33"/>
      <c r="R31" s="33"/>
      <c r="S31" s="32"/>
      <c r="T31" s="32"/>
      <c r="U31" s="32"/>
      <c r="V31" s="32"/>
      <c r="W31" s="32"/>
      <c r="X31" s="32"/>
      <c r="Y31" s="32"/>
      <c r="Z31" s="32"/>
      <c r="AA31" s="32"/>
      <c r="AB31" s="29"/>
    </row>
    <row r="32" spans="1:28" s="5" customFormat="1" x14ac:dyDescent="0.25">
      <c r="D32" s="12"/>
      <c r="E32" s="12"/>
      <c r="F32" s="12"/>
    </row>
    <row r="33" spans="1:32" s="5" customFormat="1" x14ac:dyDescent="0.25">
      <c r="D33" s="12"/>
      <c r="E33" s="12"/>
      <c r="F33" s="12"/>
    </row>
    <row r="34" spans="1:32" s="5" customFormat="1" x14ac:dyDescent="0.25">
      <c r="A34" s="102" t="s">
        <v>88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</row>
    <row r="35" spans="1:32" s="5" customFormat="1" ht="13.8" thickBot="1" x14ac:dyDescent="0.3">
      <c r="A35" s="103" t="s">
        <v>87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5"/>
    </row>
    <row r="36" spans="1:32" s="5" customFormat="1" ht="26.4" x14ac:dyDescent="0.25">
      <c r="A36" s="106" t="s">
        <v>86</v>
      </c>
      <c r="B36" s="27"/>
      <c r="C36" s="108" t="s">
        <v>85</v>
      </c>
      <c r="D36" s="110" t="s">
        <v>84</v>
      </c>
      <c r="E36" s="108" t="s">
        <v>83</v>
      </c>
      <c r="F36" s="108" t="s">
        <v>82</v>
      </c>
      <c r="G36" s="26" t="s">
        <v>81</v>
      </c>
      <c r="H36" s="26" t="s">
        <v>80</v>
      </c>
      <c r="I36" s="26" t="s">
        <v>79</v>
      </c>
      <c r="J36" s="112" t="s">
        <v>78</v>
      </c>
      <c r="K36" s="108" t="s">
        <v>77</v>
      </c>
      <c r="L36" s="108"/>
      <c r="M36" s="108"/>
      <c r="N36" s="108"/>
      <c r="O36" s="112" t="s">
        <v>76</v>
      </c>
      <c r="P36" s="108" t="s">
        <v>75</v>
      </c>
      <c r="Q36" s="25">
        <v>8</v>
      </c>
      <c r="R36" s="25">
        <v>10</v>
      </c>
      <c r="S36" s="25">
        <v>12</v>
      </c>
      <c r="T36" s="25">
        <v>16</v>
      </c>
      <c r="U36" s="25">
        <v>20</v>
      </c>
      <c r="V36" s="25">
        <v>25</v>
      </c>
      <c r="W36" s="25">
        <v>32</v>
      </c>
      <c r="X36" s="114" t="s">
        <v>153</v>
      </c>
      <c r="Y36" s="116" t="s">
        <v>73</v>
      </c>
    </row>
    <row r="37" spans="1:32" s="5" customFormat="1" ht="30" customHeight="1" thickBot="1" x14ac:dyDescent="0.3">
      <c r="A37" s="107"/>
      <c r="B37" s="24"/>
      <c r="C37" s="109"/>
      <c r="D37" s="111"/>
      <c r="E37" s="109"/>
      <c r="F37" s="109"/>
      <c r="G37" s="23" t="s">
        <v>72</v>
      </c>
      <c r="H37" s="23" t="s">
        <v>71</v>
      </c>
      <c r="I37" s="23" t="s">
        <v>70</v>
      </c>
      <c r="J37" s="113"/>
      <c r="K37" s="23" t="s">
        <v>69</v>
      </c>
      <c r="L37" s="23" t="s">
        <v>68</v>
      </c>
      <c r="M37" s="23" t="s">
        <v>67</v>
      </c>
      <c r="N37" s="23" t="s">
        <v>66</v>
      </c>
      <c r="O37" s="113"/>
      <c r="P37" s="109"/>
      <c r="Q37" s="22">
        <f t="shared" ref="Q37:W37" si="4">22/7/4/1000/1000*7850*Q36*Q36</f>
        <v>0.39474285714285717</v>
      </c>
      <c r="R37" s="22">
        <f t="shared" si="4"/>
        <v>0.61678571428571427</v>
      </c>
      <c r="S37" s="22">
        <f t="shared" si="4"/>
        <v>0.88817142857142872</v>
      </c>
      <c r="T37" s="22">
        <f t="shared" si="4"/>
        <v>1.5789714285714287</v>
      </c>
      <c r="U37" s="22">
        <f t="shared" si="4"/>
        <v>2.4671428571428571</v>
      </c>
      <c r="V37" s="22">
        <f t="shared" si="4"/>
        <v>3.8549107142857149</v>
      </c>
      <c r="W37" s="22">
        <f t="shared" si="4"/>
        <v>6.3158857142857148</v>
      </c>
      <c r="X37" s="115"/>
      <c r="Y37" s="117"/>
    </row>
    <row r="38" spans="1:32" ht="20.100000000000001" customHeight="1" x14ac:dyDescent="0.25">
      <c r="A38" s="20"/>
      <c r="B38" s="20"/>
      <c r="C38" s="19"/>
      <c r="D38" s="20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8"/>
      <c r="R38" s="18"/>
      <c r="S38" s="18"/>
      <c r="T38" s="18"/>
      <c r="U38" s="18"/>
      <c r="V38" s="18"/>
      <c r="W38" s="18"/>
      <c r="X38" s="18"/>
      <c r="Y38" s="17"/>
    </row>
    <row r="39" spans="1:32" ht="20.100000000000001" customHeight="1" x14ac:dyDescent="0.25">
      <c r="A39" s="21"/>
      <c r="B39" s="21"/>
      <c r="C39" s="21" t="s">
        <v>138</v>
      </c>
      <c r="D39" s="21"/>
      <c r="E39" s="21"/>
      <c r="F39" s="19"/>
      <c r="G39" s="19"/>
      <c r="H39" s="21"/>
      <c r="I39" s="21">
        <f>SUM(I40:I551)</f>
        <v>97.916190000000014</v>
      </c>
      <c r="J39" s="21">
        <f>SUM(J40:J551)</f>
        <v>444.71600000000001</v>
      </c>
      <c r="K39" s="21">
        <f>SUM(K40:K551)</f>
        <v>0.39</v>
      </c>
      <c r="L39" s="21">
        <f>SUM(L40:L551)</f>
        <v>2.6229999999999998</v>
      </c>
      <c r="M39" s="21">
        <f>SUM(M40:M551)</f>
        <v>4.4449500000000004</v>
      </c>
      <c r="N39" s="21">
        <f>SUM(N40:N551)</f>
        <v>436.37779999999998</v>
      </c>
      <c r="O39" s="21">
        <f>SUM(O40:O551)</f>
        <v>1527.7569999999967</v>
      </c>
      <c r="P39" s="21">
        <f>SUM(P40:P551)</f>
        <v>14974.905999999999</v>
      </c>
      <c r="Q39" s="21">
        <f>SUM(Q40:Q551)/1000</f>
        <v>1.4992862669714289</v>
      </c>
      <c r="R39" s="21">
        <f>SUM(R40:R551)/1000</f>
        <v>3.1000846564285713</v>
      </c>
      <c r="S39" s="21">
        <f>SUM(S40:S551)/1000</f>
        <v>1.700405976342857</v>
      </c>
      <c r="T39" s="21">
        <f>SUM(T40:T551)/1000</f>
        <v>2.8607283282285731</v>
      </c>
      <c r="U39" s="21">
        <f>SUM(U40:U551)/1000</f>
        <v>4.3730674585714286</v>
      </c>
      <c r="V39" s="21">
        <f>SUM(V40:V551)/1000</f>
        <v>2.512576834821429</v>
      </c>
      <c r="W39" s="21">
        <f>SUM(W40:W551)/1000</f>
        <v>0</v>
      </c>
      <c r="X39" s="21">
        <f>SUM(X40:X551)/1000</f>
        <v>32.092299042728563</v>
      </c>
      <c r="Y39" s="21">
        <f>X39*1000/I39</f>
        <v>327.7527346879873</v>
      </c>
    </row>
    <row r="40" spans="1:32" ht="20.100000000000001" customHeight="1" x14ac:dyDescent="0.25">
      <c r="A40" s="20"/>
      <c r="B40" s="20"/>
      <c r="C40" s="19"/>
      <c r="D40" s="20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8"/>
      <c r="R40" s="18"/>
      <c r="S40" s="18"/>
      <c r="T40" s="18"/>
      <c r="U40" s="18"/>
      <c r="V40" s="18"/>
      <c r="W40" s="18"/>
      <c r="X40" s="18"/>
      <c r="Y40" s="17"/>
    </row>
    <row r="41" spans="1:32" s="5" customFormat="1" ht="20.100000000000001" customHeight="1" x14ac:dyDescent="0.25">
      <c r="A41" s="7"/>
      <c r="B41" s="7"/>
      <c r="C41" s="16" t="s">
        <v>139</v>
      </c>
      <c r="D41" s="15"/>
      <c r="E41" s="1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8"/>
      <c r="W41" s="8"/>
      <c r="X41" s="6"/>
      <c r="Y41" s="6"/>
      <c r="Z41" s="6"/>
      <c r="AA41" s="6"/>
      <c r="AB41" s="6"/>
      <c r="AC41" s="6"/>
      <c r="AD41" s="6"/>
      <c r="AE41" s="6"/>
    </row>
    <row r="42" spans="1:32" s="5" customFormat="1" ht="21" customHeight="1" x14ac:dyDescent="0.25">
      <c r="A42" s="14">
        <v>1</v>
      </c>
      <c r="B42" s="6" t="s">
        <v>140</v>
      </c>
      <c r="C42" s="11" t="s">
        <v>65</v>
      </c>
      <c r="D42" s="11">
        <v>1</v>
      </c>
      <c r="E42" s="11">
        <v>4.7569999999999997</v>
      </c>
      <c r="F42" s="11">
        <v>0.4</v>
      </c>
      <c r="G42" s="11">
        <v>0.75</v>
      </c>
      <c r="H42" s="6">
        <f>G42-0.2</f>
        <v>0.55000000000000004</v>
      </c>
      <c r="I42" s="6">
        <f>E42*F42*G42*D42</f>
        <v>1.4271</v>
      </c>
      <c r="J42" s="6">
        <f>(2*(E42)*H42*D42)+(E42*F42)</f>
        <v>7.1355000000000004</v>
      </c>
      <c r="K42" s="10">
        <f>IF(E42=0.3,J42,0)</f>
        <v>0</v>
      </c>
      <c r="L42" s="10">
        <f>IF(AND(E42&gt;0.3,E42&lt;=0.75),J42,0)</f>
        <v>0</v>
      </c>
      <c r="M42" s="10">
        <f>IF(AND(E42&gt;0.75,E42&lt;=1.2),J42,0)</f>
        <v>0</v>
      </c>
      <c r="N42" s="10">
        <f>IF(E42&gt;1.2,J42,0)</f>
        <v>7.1355000000000004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7">
        <f>SUM(X43:X49)/I42</f>
        <v>148.85954442075337</v>
      </c>
      <c r="Z42" s="6"/>
      <c r="AA42" s="6"/>
      <c r="AB42" s="6"/>
      <c r="AC42" s="6"/>
      <c r="AD42" s="6"/>
      <c r="AE42" s="6"/>
      <c r="AF42" s="6"/>
    </row>
    <row r="43" spans="1:32" s="5" customFormat="1" ht="20.100000000000001" customHeight="1" x14ac:dyDescent="0.25">
      <c r="A43" s="7"/>
      <c r="B43" s="6" t="s">
        <v>140</v>
      </c>
      <c r="C43" s="9" t="s">
        <v>2</v>
      </c>
      <c r="D43" s="6">
        <v>16</v>
      </c>
      <c r="E43" s="6"/>
      <c r="F43" s="6">
        <v>4</v>
      </c>
      <c r="G43" s="8">
        <f>VLOOKUP(D43,$C$20:$F$26,3,0)</f>
        <v>0.8</v>
      </c>
      <c r="H43" s="8"/>
      <c r="I43" s="6"/>
      <c r="J43" s="6"/>
      <c r="K43" s="6"/>
      <c r="L43" s="6"/>
      <c r="M43" s="6"/>
      <c r="N43" s="6"/>
      <c r="O43" s="6">
        <f>+E42+0.75+0.75</f>
        <v>6.2569999999999997</v>
      </c>
      <c r="P43" s="6">
        <f t="shared" ref="P43:P45" si="5">O43*F43</f>
        <v>25.027999999999999</v>
      </c>
      <c r="Q43" s="6">
        <f t="shared" ref="Q43:W58" si="6">IF($D43=Q$36,$P43*Q$37,0)</f>
        <v>0</v>
      </c>
      <c r="R43" s="6">
        <f t="shared" si="6"/>
        <v>0</v>
      </c>
      <c r="S43" s="6">
        <f t="shared" si="6"/>
        <v>0</v>
      </c>
      <c r="T43" s="6">
        <f t="shared" si="6"/>
        <v>39.518496914285713</v>
      </c>
      <c r="U43" s="6">
        <f t="shared" si="6"/>
        <v>0</v>
      </c>
      <c r="V43" s="6">
        <f t="shared" si="6"/>
        <v>0</v>
      </c>
      <c r="W43" s="6">
        <f t="shared" si="6"/>
        <v>0</v>
      </c>
      <c r="X43" s="6">
        <f t="shared" ref="X43:X106" si="7">SUM(Q43:W43)</f>
        <v>39.518496914285713</v>
      </c>
      <c r="Y43" s="6"/>
      <c r="Z43" s="6"/>
      <c r="AA43" s="6"/>
      <c r="AB43" s="6"/>
      <c r="AC43" s="6"/>
      <c r="AD43" s="6"/>
      <c r="AE43" s="6"/>
    </row>
    <row r="44" spans="1:32" s="5" customFormat="1" ht="20.100000000000001" customHeight="1" x14ac:dyDescent="0.25">
      <c r="A44" s="7"/>
      <c r="B44" s="6" t="s">
        <v>140</v>
      </c>
      <c r="C44" s="9" t="s">
        <v>26</v>
      </c>
      <c r="D44" s="6">
        <v>20</v>
      </c>
      <c r="E44" s="6"/>
      <c r="F44" s="6">
        <v>2</v>
      </c>
      <c r="G44" s="8">
        <f>VLOOKUP(D44,$C$20:$F$26,3,0)</f>
        <v>1</v>
      </c>
      <c r="H44" s="8"/>
      <c r="I44" s="6"/>
      <c r="J44" s="6"/>
      <c r="K44" s="6"/>
      <c r="L44" s="6"/>
      <c r="M44" s="6"/>
      <c r="N44" s="6"/>
      <c r="O44" s="6">
        <f>1.4+0.75</f>
        <v>2.15</v>
      </c>
      <c r="P44" s="6">
        <f t="shared" si="5"/>
        <v>4.3</v>
      </c>
      <c r="Q44" s="6">
        <f t="shared" si="6"/>
        <v>0</v>
      </c>
      <c r="R44" s="6">
        <f t="shared" si="6"/>
        <v>0</v>
      </c>
      <c r="S44" s="6">
        <f t="shared" si="6"/>
        <v>0</v>
      </c>
      <c r="T44" s="6">
        <f t="shared" si="6"/>
        <v>0</v>
      </c>
      <c r="U44" s="6">
        <f t="shared" si="6"/>
        <v>10.608714285714285</v>
      </c>
      <c r="V44" s="6">
        <f t="shared" si="6"/>
        <v>0</v>
      </c>
      <c r="W44" s="6">
        <f t="shared" si="6"/>
        <v>0</v>
      </c>
      <c r="X44" s="6">
        <f t="shared" si="7"/>
        <v>10.608714285714285</v>
      </c>
      <c r="Y44" s="6"/>
      <c r="Z44" s="6"/>
      <c r="AA44" s="6"/>
      <c r="AB44" s="6"/>
      <c r="AC44" s="6"/>
      <c r="AD44" s="6"/>
      <c r="AE44" s="6"/>
    </row>
    <row r="45" spans="1:32" s="5" customFormat="1" ht="20.100000000000001" customHeight="1" x14ac:dyDescent="0.25">
      <c r="A45" s="7"/>
      <c r="B45" s="6" t="s">
        <v>140</v>
      </c>
      <c r="C45" s="9" t="s">
        <v>1</v>
      </c>
      <c r="D45" s="6">
        <v>20</v>
      </c>
      <c r="E45" s="6"/>
      <c r="F45" s="6">
        <v>4</v>
      </c>
      <c r="G45" s="8">
        <f>VLOOKUP(D45,$C$20:$F$26,3,0)</f>
        <v>1</v>
      </c>
      <c r="H45" s="6"/>
      <c r="I45" s="6"/>
      <c r="J45" s="6"/>
      <c r="K45" s="6"/>
      <c r="L45" s="6"/>
      <c r="M45" s="6"/>
      <c r="N45" s="6"/>
      <c r="O45" s="6">
        <f>+O43</f>
        <v>6.2569999999999997</v>
      </c>
      <c r="P45" s="6">
        <f t="shared" si="5"/>
        <v>25.027999999999999</v>
      </c>
      <c r="Q45" s="6">
        <f t="shared" si="6"/>
        <v>0</v>
      </c>
      <c r="R45" s="6">
        <f t="shared" si="6"/>
        <v>0</v>
      </c>
      <c r="S45" s="6">
        <f t="shared" si="6"/>
        <v>0</v>
      </c>
      <c r="T45" s="6">
        <f t="shared" si="6"/>
        <v>0</v>
      </c>
      <c r="U45" s="6">
        <f t="shared" si="6"/>
        <v>61.747651428571423</v>
      </c>
      <c r="V45" s="6">
        <f t="shared" si="6"/>
        <v>0</v>
      </c>
      <c r="W45" s="6">
        <f t="shared" si="6"/>
        <v>0</v>
      </c>
      <c r="X45" s="6">
        <f t="shared" si="7"/>
        <v>61.747651428571423</v>
      </c>
      <c r="Y45" s="6"/>
      <c r="Z45" s="6"/>
      <c r="AA45" s="6"/>
      <c r="AB45" s="6"/>
      <c r="AC45" s="6"/>
      <c r="AD45" s="6"/>
      <c r="AE45" s="6"/>
    </row>
    <row r="46" spans="1:32" s="5" customFormat="1" ht="20.100000000000001" customHeight="1" x14ac:dyDescent="0.25">
      <c r="A46" s="7"/>
      <c r="B46" s="6" t="s">
        <v>140</v>
      </c>
      <c r="C46" s="9" t="s">
        <v>0</v>
      </c>
      <c r="D46" s="6">
        <v>10</v>
      </c>
      <c r="E46" s="6">
        <v>0.15</v>
      </c>
      <c r="F46" s="6">
        <f>+ROUND(E42/E46,0)+1</f>
        <v>33</v>
      </c>
      <c r="H46" s="6"/>
      <c r="I46" s="6"/>
      <c r="J46" s="6"/>
      <c r="K46" s="6"/>
      <c r="L46" s="6"/>
      <c r="M46" s="6"/>
      <c r="N46" s="6"/>
      <c r="O46" s="6">
        <f>(2*((G42-(2*$D$11))+(F42-(2*$D$11)))+((2*10)*D46/1000))*D42</f>
        <v>2.2600000000000002</v>
      </c>
      <c r="P46" s="6">
        <f>O46*F46</f>
        <v>74.580000000000013</v>
      </c>
      <c r="Q46" s="6">
        <f t="shared" si="6"/>
        <v>0</v>
      </c>
      <c r="R46" s="6">
        <f t="shared" si="6"/>
        <v>45.999878571428575</v>
      </c>
      <c r="S46" s="6">
        <f t="shared" si="6"/>
        <v>0</v>
      </c>
      <c r="T46" s="6">
        <f t="shared" si="6"/>
        <v>0</v>
      </c>
      <c r="U46" s="6">
        <f t="shared" si="6"/>
        <v>0</v>
      </c>
      <c r="V46" s="6">
        <f t="shared" si="6"/>
        <v>0</v>
      </c>
      <c r="W46" s="6">
        <f t="shared" si="6"/>
        <v>0</v>
      </c>
      <c r="X46" s="6">
        <f t="shared" si="7"/>
        <v>45.999878571428575</v>
      </c>
      <c r="Y46" s="6"/>
      <c r="Z46" s="6"/>
      <c r="AA46" s="6"/>
      <c r="AB46" s="6"/>
      <c r="AC46" s="6"/>
      <c r="AD46" s="6"/>
      <c r="AE46" s="6"/>
    </row>
    <row r="47" spans="1:32" s="12" customFormat="1" ht="20.100000000000001" customHeight="1" x14ac:dyDescent="0.25">
      <c r="B47" s="6" t="s">
        <v>140</v>
      </c>
      <c r="C47" s="9" t="s">
        <v>25</v>
      </c>
      <c r="D47" s="6">
        <f>+D46</f>
        <v>10</v>
      </c>
      <c r="E47" s="6">
        <f>+E46</f>
        <v>0.15</v>
      </c>
      <c r="F47" s="12">
        <f>+F46</f>
        <v>33</v>
      </c>
      <c r="G47" s="5"/>
      <c r="O47" s="3">
        <f>((((G42-(2*$D$11))+(2*10*D47/1000))*D42))*2</f>
        <v>1.7799999999999998</v>
      </c>
      <c r="P47" s="6">
        <f>O47*F47</f>
        <v>58.739999999999995</v>
      </c>
      <c r="Q47" s="6">
        <f t="shared" si="6"/>
        <v>0</v>
      </c>
      <c r="R47" s="6">
        <f t="shared" si="6"/>
        <v>36.229992857142854</v>
      </c>
      <c r="S47" s="6">
        <f t="shared" si="6"/>
        <v>0</v>
      </c>
      <c r="T47" s="6">
        <f t="shared" si="6"/>
        <v>0</v>
      </c>
      <c r="U47" s="6">
        <f t="shared" si="6"/>
        <v>0</v>
      </c>
      <c r="V47" s="6">
        <f t="shared" si="6"/>
        <v>0</v>
      </c>
      <c r="W47" s="6">
        <f t="shared" si="6"/>
        <v>0</v>
      </c>
      <c r="X47" s="6">
        <f t="shared" si="7"/>
        <v>36.229992857142854</v>
      </c>
    </row>
    <row r="48" spans="1:32" s="5" customFormat="1" ht="20.100000000000001" customHeight="1" x14ac:dyDescent="0.25">
      <c r="A48" s="7"/>
      <c r="B48" s="6" t="s">
        <v>140</v>
      </c>
      <c r="C48" s="9" t="s">
        <v>17</v>
      </c>
      <c r="D48" s="6">
        <f>+$D$15</f>
        <v>25</v>
      </c>
      <c r="E48" s="6">
        <f>+$E$15</f>
        <v>1</v>
      </c>
      <c r="F48" s="6">
        <f>ROUNDUP((1.4)/E48,0)+1</f>
        <v>3</v>
      </c>
      <c r="G48" s="8"/>
      <c r="H48" s="8"/>
      <c r="I48" s="6"/>
      <c r="J48" s="6"/>
      <c r="K48" s="6"/>
      <c r="L48" s="6"/>
      <c r="M48" s="6"/>
      <c r="N48" s="6"/>
      <c r="O48" s="6">
        <f>+F42-(2*$D$11)</f>
        <v>0.34</v>
      </c>
      <c r="P48" s="6">
        <f t="shared" ref="P48:P49" si="8">O48*F48</f>
        <v>1.02</v>
      </c>
      <c r="Q48" s="6">
        <f t="shared" si="6"/>
        <v>0</v>
      </c>
      <c r="R48" s="6">
        <f t="shared" si="6"/>
        <v>0</v>
      </c>
      <c r="S48" s="6">
        <f t="shared" si="6"/>
        <v>0</v>
      </c>
      <c r="T48" s="6">
        <f t="shared" si="6"/>
        <v>0</v>
      </c>
      <c r="U48" s="6">
        <f t="shared" si="6"/>
        <v>0</v>
      </c>
      <c r="V48" s="6">
        <f t="shared" si="6"/>
        <v>3.9320089285714293</v>
      </c>
      <c r="W48" s="6">
        <f t="shared" si="6"/>
        <v>0</v>
      </c>
      <c r="X48" s="6">
        <f t="shared" si="7"/>
        <v>3.9320089285714293</v>
      </c>
      <c r="Y48" s="6"/>
      <c r="Z48" s="6"/>
      <c r="AA48" s="6"/>
      <c r="AB48" s="6"/>
      <c r="AC48" s="6"/>
      <c r="AD48" s="6"/>
      <c r="AE48" s="6"/>
    </row>
    <row r="49" spans="1:32" s="5" customFormat="1" ht="20.100000000000001" customHeight="1" x14ac:dyDescent="0.25">
      <c r="A49" s="7"/>
      <c r="B49" s="6" t="s">
        <v>131</v>
      </c>
      <c r="C49" s="9" t="s">
        <v>6</v>
      </c>
      <c r="D49" s="6">
        <v>10</v>
      </c>
      <c r="E49" s="6"/>
      <c r="F49" s="6">
        <v>4</v>
      </c>
      <c r="G49" s="8">
        <f>VLOOKUP(D49,$C$20:$F$26,3,0)</f>
        <v>0.5</v>
      </c>
      <c r="H49" s="6"/>
      <c r="I49" s="6"/>
      <c r="J49" s="6"/>
      <c r="K49" s="6"/>
      <c r="L49" s="6"/>
      <c r="M49" s="6"/>
      <c r="N49" s="6"/>
      <c r="O49" s="6">
        <f>(E42+2*(G49+(10*D49/1000*F42))*D42)</f>
        <v>5.8369999999999997</v>
      </c>
      <c r="P49" s="6">
        <f t="shared" si="8"/>
        <v>23.347999999999999</v>
      </c>
      <c r="Q49" s="6">
        <f t="shared" si="6"/>
        <v>0</v>
      </c>
      <c r="R49" s="6">
        <f t="shared" si="6"/>
        <v>14.400712857142857</v>
      </c>
      <c r="S49" s="6">
        <f t="shared" si="6"/>
        <v>0</v>
      </c>
      <c r="T49" s="6">
        <f t="shared" si="6"/>
        <v>0</v>
      </c>
      <c r="U49" s="6">
        <f t="shared" si="6"/>
        <v>0</v>
      </c>
      <c r="V49" s="6">
        <f t="shared" si="6"/>
        <v>0</v>
      </c>
      <c r="W49" s="6">
        <f t="shared" si="6"/>
        <v>0</v>
      </c>
      <c r="X49" s="6">
        <f t="shared" si="7"/>
        <v>14.400712857142857</v>
      </c>
      <c r="Y49" s="6"/>
      <c r="Z49" s="6"/>
      <c r="AA49" s="6"/>
      <c r="AB49" s="6"/>
      <c r="AC49" s="6"/>
      <c r="AD49" s="6"/>
      <c r="AE49" s="6"/>
    </row>
    <row r="50" spans="1:32" s="5" customFormat="1" ht="20.100000000000001" customHeight="1" x14ac:dyDescent="0.25">
      <c r="A50" s="6">
        <f>A42+1</f>
        <v>2</v>
      </c>
      <c r="B50" s="6" t="s">
        <v>140</v>
      </c>
      <c r="C50" s="11" t="s">
        <v>23</v>
      </c>
      <c r="D50" s="11">
        <v>1</v>
      </c>
      <c r="E50" s="11">
        <v>4.25</v>
      </c>
      <c r="F50" s="11">
        <v>0.4</v>
      </c>
      <c r="G50" s="11">
        <v>0.75</v>
      </c>
      <c r="H50" s="6">
        <f>G50-0.2</f>
        <v>0.55000000000000004</v>
      </c>
      <c r="I50" s="6">
        <f>E50*F50*G50*D50</f>
        <v>1.2750000000000001</v>
      </c>
      <c r="J50" s="6">
        <f>(2*(E50)*H50*D50)+(E50*F50)</f>
        <v>6.3750000000000009</v>
      </c>
      <c r="K50" s="10">
        <f>IF(E50=0.3,J50,0)</f>
        <v>0</v>
      </c>
      <c r="L50" s="10">
        <f>IF(AND(E50&gt;0.3,E50&lt;=0.75),J50,0)</f>
        <v>0</v>
      </c>
      <c r="M50" s="10">
        <f>IF(AND(E50&gt;0.75,E50&lt;=1.2),J50,0)</f>
        <v>0</v>
      </c>
      <c r="N50" s="10">
        <f>IF(E50&gt;1.2,J50,0)</f>
        <v>6.3750000000000009</v>
      </c>
      <c r="O50" s="6"/>
      <c r="P50" s="6"/>
      <c r="Q50" s="6">
        <f t="shared" si="6"/>
        <v>0</v>
      </c>
      <c r="R50" s="6">
        <f t="shared" si="6"/>
        <v>0</v>
      </c>
      <c r="S50" s="6">
        <f t="shared" si="6"/>
        <v>0</v>
      </c>
      <c r="T50" s="6">
        <f t="shared" si="6"/>
        <v>0</v>
      </c>
      <c r="U50" s="6">
        <f t="shared" si="6"/>
        <v>0</v>
      </c>
      <c r="V50" s="6">
        <f t="shared" si="6"/>
        <v>0</v>
      </c>
      <c r="W50" s="6">
        <f t="shared" si="6"/>
        <v>0</v>
      </c>
      <c r="X50" s="6">
        <f t="shared" si="7"/>
        <v>0</v>
      </c>
      <c r="Y50" s="7">
        <f>SUM(X51:X59)/I50</f>
        <v>190.78079021848737</v>
      </c>
      <c r="Z50" s="6"/>
      <c r="AA50" s="6"/>
      <c r="AB50" s="6"/>
      <c r="AC50" s="6"/>
      <c r="AD50" s="6"/>
      <c r="AE50" s="6"/>
      <c r="AF50" s="6"/>
    </row>
    <row r="51" spans="1:32" s="5" customFormat="1" ht="20.100000000000001" customHeight="1" x14ac:dyDescent="0.25">
      <c r="A51" s="7"/>
      <c r="B51" s="6" t="s">
        <v>140</v>
      </c>
      <c r="C51" s="9" t="s">
        <v>2</v>
      </c>
      <c r="D51" s="6">
        <v>16</v>
      </c>
      <c r="E51" s="6"/>
      <c r="F51" s="6">
        <v>4</v>
      </c>
      <c r="G51" s="8">
        <f>VLOOKUP(D51,$C$20:$F$26,3,0)</f>
        <v>0.8</v>
      </c>
      <c r="H51" s="8"/>
      <c r="I51" s="6"/>
      <c r="J51" s="6"/>
      <c r="K51" s="6"/>
      <c r="L51" s="6"/>
      <c r="M51" s="6"/>
      <c r="N51" s="6"/>
      <c r="O51" s="6">
        <f>(E50+1*(G51+(2*D51/1000)))*D50</f>
        <v>5.0819999999999999</v>
      </c>
      <c r="P51" s="6">
        <f t="shared" ref="P51:P59" si="9">O51*F51</f>
        <v>20.327999999999999</v>
      </c>
      <c r="Q51" s="6">
        <f t="shared" si="6"/>
        <v>0</v>
      </c>
      <c r="R51" s="6">
        <f t="shared" si="6"/>
        <v>0</v>
      </c>
      <c r="S51" s="6">
        <f t="shared" si="6"/>
        <v>0</v>
      </c>
      <c r="T51" s="6">
        <f t="shared" si="6"/>
        <v>32.097331199999999</v>
      </c>
      <c r="U51" s="6">
        <f t="shared" si="6"/>
        <v>0</v>
      </c>
      <c r="V51" s="6">
        <f t="shared" si="6"/>
        <v>0</v>
      </c>
      <c r="W51" s="6">
        <f t="shared" si="6"/>
        <v>0</v>
      </c>
      <c r="X51" s="6">
        <f t="shared" si="7"/>
        <v>32.097331199999999</v>
      </c>
      <c r="Y51" s="6"/>
      <c r="Z51" s="6"/>
      <c r="AA51" s="6"/>
      <c r="AB51" s="6"/>
      <c r="AC51" s="6"/>
      <c r="AD51" s="6"/>
      <c r="AE51" s="6"/>
    </row>
    <row r="52" spans="1:32" s="5" customFormat="1" ht="20.100000000000001" customHeight="1" x14ac:dyDescent="0.25">
      <c r="A52" s="7"/>
      <c r="B52" s="6" t="s">
        <v>140</v>
      </c>
      <c r="C52" s="9" t="s">
        <v>26</v>
      </c>
      <c r="D52" s="6">
        <v>16</v>
      </c>
      <c r="E52" s="6"/>
      <c r="F52" s="6">
        <v>4</v>
      </c>
      <c r="G52" s="8">
        <f>VLOOKUP(D52,$C$20:$F$26,3,0)</f>
        <v>0.8</v>
      </c>
      <c r="H52" s="8"/>
      <c r="I52" s="6"/>
      <c r="J52" s="6"/>
      <c r="K52" s="6"/>
      <c r="L52" s="6"/>
      <c r="M52" s="6"/>
      <c r="N52" s="6"/>
      <c r="O52" s="6">
        <f>1.4+0.75+1.25</f>
        <v>3.4</v>
      </c>
      <c r="P52" s="6">
        <f t="shared" si="9"/>
        <v>13.6</v>
      </c>
      <c r="Q52" s="6">
        <f t="shared" si="6"/>
        <v>0</v>
      </c>
      <c r="R52" s="6">
        <f t="shared" si="6"/>
        <v>0</v>
      </c>
      <c r="S52" s="6">
        <f t="shared" si="6"/>
        <v>0</v>
      </c>
      <c r="T52" s="6">
        <f t="shared" si="6"/>
        <v>21.47401142857143</v>
      </c>
      <c r="U52" s="6">
        <f t="shared" si="6"/>
        <v>0</v>
      </c>
      <c r="V52" s="6">
        <f t="shared" si="6"/>
        <v>0</v>
      </c>
      <c r="W52" s="6">
        <f t="shared" si="6"/>
        <v>0</v>
      </c>
      <c r="X52" s="6">
        <f t="shared" si="7"/>
        <v>21.47401142857143</v>
      </c>
      <c r="Y52" s="6"/>
      <c r="Z52" s="6"/>
      <c r="AA52" s="6"/>
      <c r="AB52" s="6"/>
      <c r="AC52" s="6"/>
      <c r="AD52" s="6"/>
      <c r="AE52" s="6"/>
    </row>
    <row r="53" spans="1:32" s="5" customFormat="1" ht="20.100000000000001" customHeight="1" x14ac:dyDescent="0.25">
      <c r="A53" s="7"/>
      <c r="B53" s="6" t="s">
        <v>140</v>
      </c>
      <c r="C53" s="9" t="s">
        <v>26</v>
      </c>
      <c r="D53" s="6">
        <v>20</v>
      </c>
      <c r="E53" s="6"/>
      <c r="F53" s="6">
        <v>4</v>
      </c>
      <c r="G53" s="8">
        <f>VLOOKUP(D53,$C$20:$F$26,3,0)</f>
        <v>1</v>
      </c>
      <c r="H53" s="8"/>
      <c r="I53" s="6"/>
      <c r="J53" s="6"/>
      <c r="K53" s="6"/>
      <c r="L53" s="6"/>
      <c r="M53" s="6"/>
      <c r="N53" s="6"/>
      <c r="O53" s="6">
        <f>(1.25+1*(G53+(2*D53/1000)))*D50</f>
        <v>2.29</v>
      </c>
      <c r="P53" s="6">
        <f t="shared" si="9"/>
        <v>9.16</v>
      </c>
      <c r="Q53" s="6">
        <f t="shared" si="6"/>
        <v>0</v>
      </c>
      <c r="R53" s="6">
        <f t="shared" si="6"/>
        <v>0</v>
      </c>
      <c r="S53" s="6">
        <f t="shared" si="6"/>
        <v>0</v>
      </c>
      <c r="T53" s="6">
        <f t="shared" si="6"/>
        <v>0</v>
      </c>
      <c r="U53" s="6">
        <f t="shared" si="6"/>
        <v>22.599028571428573</v>
      </c>
      <c r="V53" s="6">
        <f t="shared" si="6"/>
        <v>0</v>
      </c>
      <c r="W53" s="6">
        <f t="shared" si="6"/>
        <v>0</v>
      </c>
      <c r="X53" s="6">
        <f t="shared" si="7"/>
        <v>22.599028571428573</v>
      </c>
      <c r="Y53" s="6"/>
      <c r="Z53" s="6"/>
      <c r="AA53" s="6"/>
      <c r="AB53" s="6"/>
      <c r="AC53" s="6"/>
      <c r="AD53" s="6"/>
      <c r="AE53" s="6"/>
    </row>
    <row r="54" spans="1:32" s="5" customFormat="1" ht="20.100000000000001" customHeight="1" x14ac:dyDescent="0.25">
      <c r="A54" s="7"/>
      <c r="B54" s="6" t="s">
        <v>140</v>
      </c>
      <c r="C54" s="9" t="s">
        <v>1</v>
      </c>
      <c r="D54" s="6">
        <v>16</v>
      </c>
      <c r="E54" s="6"/>
      <c r="F54" s="6">
        <v>4</v>
      </c>
      <c r="G54" s="8">
        <f>VLOOKUP(D54,$C$20:$F$26,3,0)</f>
        <v>0.8</v>
      </c>
      <c r="H54" s="6"/>
      <c r="I54" s="6"/>
      <c r="J54" s="6"/>
      <c r="K54" s="6"/>
      <c r="L54" s="6"/>
      <c r="M54" s="6"/>
      <c r="N54" s="6"/>
      <c r="O54" s="6">
        <f>(E50+1*(G54+(2*D54/1000)))*D50</f>
        <v>5.0819999999999999</v>
      </c>
      <c r="P54" s="6">
        <f t="shared" si="9"/>
        <v>20.327999999999999</v>
      </c>
      <c r="Q54" s="6">
        <f t="shared" si="6"/>
        <v>0</v>
      </c>
      <c r="R54" s="6">
        <f t="shared" si="6"/>
        <v>0</v>
      </c>
      <c r="S54" s="6">
        <f t="shared" si="6"/>
        <v>0</v>
      </c>
      <c r="T54" s="6">
        <f t="shared" si="6"/>
        <v>32.097331199999999</v>
      </c>
      <c r="U54" s="6">
        <f t="shared" si="6"/>
        <v>0</v>
      </c>
      <c r="V54" s="6">
        <f t="shared" si="6"/>
        <v>0</v>
      </c>
      <c r="W54" s="6">
        <f t="shared" si="6"/>
        <v>0</v>
      </c>
      <c r="X54" s="6">
        <f t="shared" si="7"/>
        <v>32.097331199999999</v>
      </c>
      <c r="Y54" s="6"/>
      <c r="Z54" s="6"/>
      <c r="AA54" s="6"/>
      <c r="AB54" s="6"/>
      <c r="AC54" s="6"/>
      <c r="AD54" s="6"/>
      <c r="AE54" s="6"/>
    </row>
    <row r="55" spans="1:32" s="5" customFormat="1" ht="20.100000000000001" customHeight="1" x14ac:dyDescent="0.25">
      <c r="A55" s="7"/>
      <c r="B55" s="6" t="s">
        <v>140</v>
      </c>
      <c r="C55" s="9" t="s">
        <v>18</v>
      </c>
      <c r="D55" s="6">
        <v>16</v>
      </c>
      <c r="E55" s="6"/>
      <c r="F55" s="6">
        <v>4</v>
      </c>
      <c r="G55" s="8">
        <f>VLOOKUP(D55,$C$20:$F$26,3,0)</f>
        <v>0.8</v>
      </c>
      <c r="H55" s="6"/>
      <c r="I55" s="6"/>
      <c r="J55" s="6"/>
      <c r="K55" s="6"/>
      <c r="L55" s="6"/>
      <c r="M55" s="6"/>
      <c r="N55" s="6"/>
      <c r="O55" s="6">
        <f>(E50+0.75+1.4+1*(G55+(2*D55/1000)))*D50</f>
        <v>7.2320000000000002</v>
      </c>
      <c r="P55" s="6">
        <f t="shared" si="9"/>
        <v>28.928000000000001</v>
      </c>
      <c r="Q55" s="6">
        <f t="shared" si="6"/>
        <v>0</v>
      </c>
      <c r="R55" s="6">
        <f t="shared" si="6"/>
        <v>0</v>
      </c>
      <c r="S55" s="6">
        <f t="shared" si="6"/>
        <v>0</v>
      </c>
      <c r="T55" s="6">
        <f t="shared" si="6"/>
        <v>45.676485485714288</v>
      </c>
      <c r="U55" s="6">
        <f t="shared" si="6"/>
        <v>0</v>
      </c>
      <c r="V55" s="6">
        <f t="shared" si="6"/>
        <v>0</v>
      </c>
      <c r="W55" s="6">
        <f t="shared" si="6"/>
        <v>0</v>
      </c>
      <c r="X55" s="6">
        <f t="shared" si="7"/>
        <v>45.676485485714288</v>
      </c>
      <c r="Y55" s="6"/>
      <c r="Z55" s="6"/>
      <c r="AA55" s="6"/>
      <c r="AB55" s="6"/>
      <c r="AC55" s="6"/>
      <c r="AD55" s="6"/>
      <c r="AE55" s="6"/>
    </row>
    <row r="56" spans="1:32" s="5" customFormat="1" ht="20.100000000000001" customHeight="1" x14ac:dyDescent="0.25">
      <c r="A56" s="7"/>
      <c r="B56" s="6" t="s">
        <v>140</v>
      </c>
      <c r="C56" s="9" t="s">
        <v>0</v>
      </c>
      <c r="D56" s="6">
        <v>10</v>
      </c>
      <c r="E56" s="6">
        <v>0.15</v>
      </c>
      <c r="F56" s="6">
        <f>+ROUND(E50/E56,0)+1</f>
        <v>29</v>
      </c>
      <c r="H56" s="6"/>
      <c r="I56" s="6"/>
      <c r="J56" s="6"/>
      <c r="K56" s="6"/>
      <c r="L56" s="6"/>
      <c r="M56" s="6"/>
      <c r="N56" s="6"/>
      <c r="O56" s="6">
        <f>(2*((G50-(2*$D$11))+(F50-(2*$D$11)))+(2*10*D56/1000))*D50</f>
        <v>2.2600000000000002</v>
      </c>
      <c r="P56" s="6">
        <f t="shared" si="9"/>
        <v>65.540000000000006</v>
      </c>
      <c r="Q56" s="6">
        <f t="shared" si="6"/>
        <v>0</v>
      </c>
      <c r="R56" s="6">
        <f t="shared" si="6"/>
        <v>40.424135714285718</v>
      </c>
      <c r="S56" s="6">
        <f t="shared" si="6"/>
        <v>0</v>
      </c>
      <c r="T56" s="6">
        <f t="shared" si="6"/>
        <v>0</v>
      </c>
      <c r="U56" s="6">
        <f t="shared" si="6"/>
        <v>0</v>
      </c>
      <c r="V56" s="6">
        <f t="shared" si="6"/>
        <v>0</v>
      </c>
      <c r="W56" s="6">
        <f t="shared" si="6"/>
        <v>0</v>
      </c>
      <c r="X56" s="6">
        <f t="shared" si="7"/>
        <v>40.424135714285718</v>
      </c>
      <c r="Y56" s="6"/>
      <c r="Z56" s="6"/>
      <c r="AA56" s="6"/>
      <c r="AB56" s="6"/>
      <c r="AC56" s="6"/>
      <c r="AD56" s="6"/>
      <c r="AE56" s="6"/>
    </row>
    <row r="57" spans="1:32" s="12" customFormat="1" ht="20.100000000000001" customHeight="1" x14ac:dyDescent="0.25">
      <c r="B57" s="6" t="s">
        <v>140</v>
      </c>
      <c r="C57" s="9" t="s">
        <v>25</v>
      </c>
      <c r="D57" s="6">
        <f>+D56</f>
        <v>10</v>
      </c>
      <c r="E57" s="6">
        <f>+E56</f>
        <v>0.15</v>
      </c>
      <c r="F57" s="12">
        <f>+F56</f>
        <v>29</v>
      </c>
      <c r="G57" s="5"/>
      <c r="O57" s="3">
        <f>((((G50-(2*$D$11))+(2*10*D57/1000))*D50))*2</f>
        <v>1.7799999999999998</v>
      </c>
      <c r="P57" s="6">
        <f>O57*F57</f>
        <v>51.62</v>
      </c>
      <c r="Q57" s="6">
        <f t="shared" si="6"/>
        <v>0</v>
      </c>
      <c r="R57" s="6">
        <f t="shared" si="6"/>
        <v>31.838478571428571</v>
      </c>
      <c r="S57" s="6">
        <f t="shared" si="6"/>
        <v>0</v>
      </c>
      <c r="T57" s="6">
        <f t="shared" si="6"/>
        <v>0</v>
      </c>
      <c r="U57" s="6">
        <f t="shared" si="6"/>
        <v>0</v>
      </c>
      <c r="V57" s="6">
        <f t="shared" si="6"/>
        <v>0</v>
      </c>
      <c r="W57" s="6">
        <f t="shared" si="6"/>
        <v>0</v>
      </c>
      <c r="X57" s="6">
        <f t="shared" si="7"/>
        <v>31.838478571428571</v>
      </c>
    </row>
    <row r="58" spans="1:32" s="5" customFormat="1" ht="20.100000000000001" customHeight="1" x14ac:dyDescent="0.25">
      <c r="A58" s="7"/>
      <c r="B58" s="6" t="s">
        <v>140</v>
      </c>
      <c r="C58" s="9" t="s">
        <v>17</v>
      </c>
      <c r="D58" s="6">
        <f>+$D$15</f>
        <v>25</v>
      </c>
      <c r="E58" s="6">
        <f>+$E$15</f>
        <v>1</v>
      </c>
      <c r="F58" s="6">
        <f>ROUNDUP((1.4+1.25+1.25)/E58,0)+1</f>
        <v>5</v>
      </c>
      <c r="G58" s="8"/>
      <c r="H58" s="8"/>
      <c r="I58" s="6"/>
      <c r="J58" s="6"/>
      <c r="K58" s="6"/>
      <c r="L58" s="6"/>
      <c r="M58" s="6"/>
      <c r="N58" s="6"/>
      <c r="O58" s="6">
        <f>+F50-(2*$D$11)</f>
        <v>0.34</v>
      </c>
      <c r="P58" s="6">
        <f>O58*F58</f>
        <v>1.7000000000000002</v>
      </c>
      <c r="Q58" s="6">
        <f t="shared" si="6"/>
        <v>0</v>
      </c>
      <c r="R58" s="6">
        <f t="shared" si="6"/>
        <v>0</v>
      </c>
      <c r="S58" s="6">
        <f t="shared" si="6"/>
        <v>0</v>
      </c>
      <c r="T58" s="6">
        <f t="shared" si="6"/>
        <v>0</v>
      </c>
      <c r="U58" s="6">
        <f t="shared" si="6"/>
        <v>0</v>
      </c>
      <c r="V58" s="6">
        <f t="shared" si="6"/>
        <v>6.553348214285716</v>
      </c>
      <c r="W58" s="6">
        <f t="shared" si="6"/>
        <v>0</v>
      </c>
      <c r="X58" s="6">
        <f t="shared" si="7"/>
        <v>6.553348214285716</v>
      </c>
      <c r="Y58" s="6"/>
      <c r="Z58" s="6"/>
      <c r="AA58" s="6"/>
      <c r="AB58" s="6"/>
      <c r="AC58" s="6"/>
      <c r="AD58" s="6"/>
      <c r="AE58" s="6"/>
    </row>
    <row r="59" spans="1:32" s="5" customFormat="1" ht="20.100000000000001" customHeight="1" x14ac:dyDescent="0.25">
      <c r="A59" s="7"/>
      <c r="B59" s="6" t="s">
        <v>140</v>
      </c>
      <c r="C59" s="9" t="s">
        <v>17</v>
      </c>
      <c r="D59" s="6">
        <f>+$D$15</f>
        <v>25</v>
      </c>
      <c r="E59" s="6">
        <f>+$E$15</f>
        <v>1</v>
      </c>
      <c r="F59" s="6">
        <f>ROUNDUP((E50+0.75+1.4)/E59,0)+1</f>
        <v>8</v>
      </c>
      <c r="G59" s="8"/>
      <c r="H59" s="8"/>
      <c r="I59" s="6"/>
      <c r="J59" s="6"/>
      <c r="K59" s="6"/>
      <c r="L59" s="6"/>
      <c r="M59" s="6"/>
      <c r="N59" s="6"/>
      <c r="O59" s="6">
        <f>+F50-(2*$D$11)</f>
        <v>0.34</v>
      </c>
      <c r="P59" s="6">
        <f t="shared" si="9"/>
        <v>2.72</v>
      </c>
      <c r="Q59" s="6">
        <f t="shared" ref="Q59:W95" si="10">IF($D59=Q$36,$P59*Q$37,0)</f>
        <v>0</v>
      </c>
      <c r="R59" s="6">
        <f t="shared" si="10"/>
        <v>0</v>
      </c>
      <c r="S59" s="6">
        <f t="shared" si="10"/>
        <v>0</v>
      </c>
      <c r="T59" s="6">
        <f t="shared" si="10"/>
        <v>0</v>
      </c>
      <c r="U59" s="6">
        <f t="shared" si="10"/>
        <v>0</v>
      </c>
      <c r="V59" s="6">
        <f t="shared" si="10"/>
        <v>10.485357142857145</v>
      </c>
      <c r="W59" s="6">
        <f t="shared" si="10"/>
        <v>0</v>
      </c>
      <c r="X59" s="6">
        <f t="shared" si="7"/>
        <v>10.485357142857145</v>
      </c>
      <c r="Y59" s="6"/>
      <c r="Z59" s="6"/>
      <c r="AA59" s="6"/>
      <c r="AB59" s="6"/>
      <c r="AC59" s="6"/>
      <c r="AD59" s="6"/>
      <c r="AE59" s="6"/>
    </row>
    <row r="60" spans="1:32" s="5" customFormat="1" ht="20.100000000000001" customHeight="1" x14ac:dyDescent="0.25">
      <c r="A60" s="92">
        <f>A50+1</f>
        <v>3</v>
      </c>
      <c r="B60" s="6" t="s">
        <v>140</v>
      </c>
      <c r="C60" s="11" t="s">
        <v>22</v>
      </c>
      <c r="D60" s="11">
        <v>1</v>
      </c>
      <c r="E60" s="11">
        <v>7.95</v>
      </c>
      <c r="F60" s="11">
        <v>0.4</v>
      </c>
      <c r="G60" s="11">
        <v>0.75</v>
      </c>
      <c r="H60" s="6">
        <f>G60-0.2</f>
        <v>0.55000000000000004</v>
      </c>
      <c r="I60" s="6">
        <f>E60*F60*G60*D60</f>
        <v>2.3850000000000002</v>
      </c>
      <c r="J60" s="6">
        <f>(2*(E60)*H60*D60)+(E60*F60)</f>
        <v>11.925000000000001</v>
      </c>
      <c r="K60" s="10">
        <f>IF(E60=0.3,J60,0)</f>
        <v>0</v>
      </c>
      <c r="L60" s="10">
        <f>IF(AND(E60&gt;0.3,E60&lt;=0.75),J60,0)</f>
        <v>0</v>
      </c>
      <c r="M60" s="10">
        <f>IF(AND(E60&gt;0.75,E60&lt;=1.2),J60,0)</f>
        <v>0</v>
      </c>
      <c r="N60" s="10">
        <f>IF(E60&gt;1.2,J60,0)</f>
        <v>11.925000000000001</v>
      </c>
      <c r="O60" s="6"/>
      <c r="P60" s="6"/>
      <c r="Q60" s="6">
        <f t="shared" si="10"/>
        <v>0</v>
      </c>
      <c r="R60" s="6">
        <f t="shared" si="10"/>
        <v>0</v>
      </c>
      <c r="S60" s="6">
        <f t="shared" si="10"/>
        <v>0</v>
      </c>
      <c r="T60" s="6">
        <f t="shared" si="10"/>
        <v>0</v>
      </c>
      <c r="U60" s="6">
        <f t="shared" si="10"/>
        <v>0</v>
      </c>
      <c r="V60" s="6">
        <f t="shared" si="10"/>
        <v>0</v>
      </c>
      <c r="W60" s="6">
        <f t="shared" si="10"/>
        <v>0</v>
      </c>
      <c r="X60" s="6">
        <f t="shared" si="7"/>
        <v>0</v>
      </c>
      <c r="Y60" s="7">
        <f>SUM(X61:X70)/I60</f>
        <v>213.5102771907757</v>
      </c>
      <c r="Z60" s="6"/>
      <c r="AA60" s="6"/>
      <c r="AB60" s="6"/>
      <c r="AC60" s="6"/>
      <c r="AD60" s="6"/>
      <c r="AE60" s="6"/>
      <c r="AF60" s="6"/>
    </row>
    <row r="61" spans="1:32" s="5" customFormat="1" ht="20.100000000000001" customHeight="1" x14ac:dyDescent="0.25">
      <c r="A61" s="7"/>
      <c r="B61" s="6" t="s">
        <v>140</v>
      </c>
      <c r="C61" s="9" t="s">
        <v>2</v>
      </c>
      <c r="D61" s="6">
        <v>16</v>
      </c>
      <c r="E61" s="6"/>
      <c r="F61" s="6">
        <v>4</v>
      </c>
      <c r="G61" s="8">
        <f>VLOOKUP(D61,$C$20:$F$26,3,0)</f>
        <v>0.8</v>
      </c>
      <c r="H61" s="8"/>
      <c r="I61" s="6"/>
      <c r="J61" s="6"/>
      <c r="K61" s="6"/>
      <c r="L61" s="6"/>
      <c r="M61" s="6"/>
      <c r="N61" s="6"/>
      <c r="O61" s="6">
        <f>(E60+2*(G61+(2*D61/1000)))*D60</f>
        <v>9.6140000000000008</v>
      </c>
      <c r="P61" s="6">
        <f t="shared" ref="P61:P70" si="11">O61*F61</f>
        <v>38.456000000000003</v>
      </c>
      <c r="Q61" s="6">
        <f t="shared" si="10"/>
        <v>0</v>
      </c>
      <c r="R61" s="6">
        <f t="shared" si="10"/>
        <v>0</v>
      </c>
      <c r="S61" s="6">
        <f t="shared" si="10"/>
        <v>0</v>
      </c>
      <c r="T61" s="6">
        <f t="shared" si="10"/>
        <v>60.720925257142866</v>
      </c>
      <c r="U61" s="6">
        <f t="shared" si="10"/>
        <v>0</v>
      </c>
      <c r="V61" s="6">
        <f t="shared" si="10"/>
        <v>0</v>
      </c>
      <c r="W61" s="6">
        <f t="shared" si="10"/>
        <v>0</v>
      </c>
      <c r="X61" s="6">
        <f t="shared" si="7"/>
        <v>60.720925257142866</v>
      </c>
      <c r="Y61" s="6"/>
      <c r="Z61" s="6"/>
      <c r="AA61" s="6"/>
      <c r="AB61" s="6"/>
      <c r="AC61" s="6"/>
      <c r="AD61" s="6"/>
      <c r="AE61" s="6"/>
    </row>
    <row r="62" spans="1:32" s="5" customFormat="1" ht="20.100000000000001" customHeight="1" x14ac:dyDescent="0.25">
      <c r="A62" s="7"/>
      <c r="B62" s="6" t="s">
        <v>140</v>
      </c>
      <c r="C62" s="9" t="s">
        <v>14</v>
      </c>
      <c r="D62" s="6">
        <v>16</v>
      </c>
      <c r="E62" s="6"/>
      <c r="F62" s="6">
        <v>4</v>
      </c>
      <c r="G62" s="8">
        <f>VLOOKUP(D62,$C$20:$F$26,3,0)</f>
        <v>0.8</v>
      </c>
      <c r="H62" s="8"/>
      <c r="I62" s="6"/>
      <c r="J62" s="6"/>
      <c r="K62" s="6"/>
      <c r="L62" s="6"/>
      <c r="M62" s="6"/>
      <c r="N62" s="6"/>
      <c r="O62" s="6">
        <f>(2.1+1*(G62+(2*D62/1000)))*D60</f>
        <v>2.9320000000000004</v>
      </c>
      <c r="P62" s="6">
        <f t="shared" si="11"/>
        <v>11.728000000000002</v>
      </c>
      <c r="Q62" s="6">
        <f t="shared" si="10"/>
        <v>0</v>
      </c>
      <c r="R62" s="6">
        <f t="shared" si="10"/>
        <v>0</v>
      </c>
      <c r="S62" s="6">
        <f t="shared" si="10"/>
        <v>0</v>
      </c>
      <c r="T62" s="6">
        <f t="shared" si="10"/>
        <v>18.518176914285718</v>
      </c>
      <c r="U62" s="6">
        <f t="shared" si="10"/>
        <v>0</v>
      </c>
      <c r="V62" s="6">
        <f t="shared" si="10"/>
        <v>0</v>
      </c>
      <c r="W62" s="6">
        <f t="shared" si="10"/>
        <v>0</v>
      </c>
      <c r="X62" s="6">
        <f t="shared" si="7"/>
        <v>18.518176914285718</v>
      </c>
      <c r="Y62" s="6"/>
      <c r="Z62" s="6"/>
      <c r="AA62" s="6"/>
      <c r="AB62" s="6"/>
      <c r="AC62" s="6"/>
      <c r="AD62" s="6"/>
      <c r="AE62" s="6"/>
    </row>
    <row r="63" spans="1:32" s="5" customFormat="1" ht="20.100000000000001" customHeight="1" x14ac:dyDescent="0.25">
      <c r="A63" s="7"/>
      <c r="B63" s="6" t="s">
        <v>140</v>
      </c>
      <c r="C63" s="9" t="s">
        <v>1</v>
      </c>
      <c r="D63" s="6">
        <v>25</v>
      </c>
      <c r="E63" s="6"/>
      <c r="F63" s="6">
        <v>4</v>
      </c>
      <c r="G63" s="8">
        <f>VLOOKUP(D63,$C$20:$F$26,3,0)</f>
        <v>1.25</v>
      </c>
      <c r="H63" s="6"/>
      <c r="I63" s="6"/>
      <c r="J63" s="6"/>
      <c r="K63" s="6"/>
      <c r="L63" s="6"/>
      <c r="M63" s="6"/>
      <c r="N63" s="6"/>
      <c r="O63" s="6">
        <f>(E60+2*(G63+(2*D63/1000)))*D60</f>
        <v>10.55</v>
      </c>
      <c r="P63" s="6">
        <f t="shared" si="11"/>
        <v>42.2</v>
      </c>
      <c r="Q63" s="6">
        <f t="shared" si="10"/>
        <v>0</v>
      </c>
      <c r="R63" s="6">
        <f t="shared" si="10"/>
        <v>0</v>
      </c>
      <c r="S63" s="6">
        <f t="shared" si="10"/>
        <v>0</v>
      </c>
      <c r="T63" s="6">
        <f t="shared" si="10"/>
        <v>0</v>
      </c>
      <c r="U63" s="6">
        <f t="shared" si="10"/>
        <v>0</v>
      </c>
      <c r="V63" s="6">
        <f t="shared" si="10"/>
        <v>162.67723214285718</v>
      </c>
      <c r="W63" s="6">
        <f t="shared" si="10"/>
        <v>0</v>
      </c>
      <c r="X63" s="6">
        <f t="shared" si="7"/>
        <v>162.67723214285718</v>
      </c>
      <c r="Y63" s="6"/>
      <c r="Z63" s="6"/>
      <c r="AA63" s="6"/>
      <c r="AB63" s="6"/>
      <c r="AC63" s="6"/>
      <c r="AD63" s="6"/>
      <c r="AE63" s="6"/>
    </row>
    <row r="64" spans="1:32" s="5" customFormat="1" ht="20.100000000000001" customHeight="1" x14ac:dyDescent="0.25">
      <c r="A64" s="7"/>
      <c r="B64" s="6" t="s">
        <v>140</v>
      </c>
      <c r="C64" s="9" t="s">
        <v>18</v>
      </c>
      <c r="D64" s="6">
        <v>20</v>
      </c>
      <c r="E64" s="6"/>
      <c r="F64" s="6">
        <v>4</v>
      </c>
      <c r="G64" s="8">
        <f>VLOOKUP(D64,$C$20:$F$26,3,0)</f>
        <v>1</v>
      </c>
      <c r="H64" s="6"/>
      <c r="I64" s="6"/>
      <c r="J64" s="6"/>
      <c r="K64" s="6"/>
      <c r="L64" s="6"/>
      <c r="M64" s="6"/>
      <c r="N64" s="6"/>
      <c r="O64" s="6">
        <f>(E60-0.6-0.2+1*(G64+(2*D64/1000)))*D60</f>
        <v>8.1900000000000013</v>
      </c>
      <c r="P64" s="6">
        <f t="shared" si="11"/>
        <v>32.760000000000005</v>
      </c>
      <c r="Q64" s="6">
        <f t="shared" si="10"/>
        <v>0</v>
      </c>
      <c r="R64" s="6">
        <f t="shared" si="10"/>
        <v>0</v>
      </c>
      <c r="S64" s="6">
        <f t="shared" si="10"/>
        <v>0</v>
      </c>
      <c r="T64" s="6">
        <f t="shared" si="10"/>
        <v>0</v>
      </c>
      <c r="U64" s="6">
        <f t="shared" si="10"/>
        <v>80.823600000000013</v>
      </c>
      <c r="V64" s="6">
        <f t="shared" si="10"/>
        <v>0</v>
      </c>
      <c r="W64" s="6">
        <f t="shared" si="10"/>
        <v>0</v>
      </c>
      <c r="X64" s="6">
        <f t="shared" si="7"/>
        <v>80.823600000000013</v>
      </c>
      <c r="Y64" s="6"/>
      <c r="Z64" s="6"/>
      <c r="AA64" s="6"/>
      <c r="AB64" s="6"/>
      <c r="AC64" s="6"/>
      <c r="AD64" s="6"/>
      <c r="AE64" s="6"/>
    </row>
    <row r="65" spans="1:32" s="5" customFormat="1" ht="20.100000000000001" customHeight="1" x14ac:dyDescent="0.25">
      <c r="A65" s="7"/>
      <c r="B65" s="6" t="s">
        <v>140</v>
      </c>
      <c r="C65" s="9" t="s">
        <v>0</v>
      </c>
      <c r="D65" s="6">
        <v>10</v>
      </c>
      <c r="E65" s="6">
        <v>0.1</v>
      </c>
      <c r="F65" s="6">
        <f>ROUND(IF(E60/3&gt;(2*G60),(E60/3)/E65,(2*G60)/E65),0)*2+1</f>
        <v>55</v>
      </c>
      <c r="G65" s="8"/>
      <c r="H65" s="6"/>
      <c r="I65" s="6"/>
      <c r="J65" s="6"/>
      <c r="K65" s="6"/>
      <c r="L65" s="6"/>
      <c r="M65" s="6"/>
      <c r="N65" s="6"/>
      <c r="O65" s="6">
        <f>(2*((G60-(2*$D$11))+(F60-(2*$D$11)))+(2*10*D65/1000))*D60</f>
        <v>2.2600000000000002</v>
      </c>
      <c r="P65" s="6">
        <f t="shared" si="11"/>
        <v>124.30000000000001</v>
      </c>
      <c r="Q65" s="6">
        <f t="shared" si="10"/>
        <v>0</v>
      </c>
      <c r="R65" s="6">
        <f t="shared" si="10"/>
        <v>76.666464285714284</v>
      </c>
      <c r="S65" s="6">
        <f t="shared" si="10"/>
        <v>0</v>
      </c>
      <c r="T65" s="6">
        <f t="shared" si="10"/>
        <v>0</v>
      </c>
      <c r="U65" s="6">
        <f t="shared" si="10"/>
        <v>0</v>
      </c>
      <c r="V65" s="6">
        <f t="shared" si="10"/>
        <v>0</v>
      </c>
      <c r="W65" s="6">
        <f t="shared" si="10"/>
        <v>0</v>
      </c>
      <c r="X65" s="6">
        <f t="shared" si="7"/>
        <v>76.666464285714284</v>
      </c>
      <c r="Y65" s="6"/>
      <c r="Z65" s="6"/>
      <c r="AA65" s="6"/>
      <c r="AB65" s="6"/>
      <c r="AC65" s="6"/>
      <c r="AD65" s="6"/>
      <c r="AE65" s="6"/>
    </row>
    <row r="66" spans="1:32" s="12" customFormat="1" ht="20.100000000000001" customHeight="1" x14ac:dyDescent="0.25">
      <c r="B66" s="6" t="s">
        <v>140</v>
      </c>
      <c r="C66" s="9" t="s">
        <v>25</v>
      </c>
      <c r="D66" s="6">
        <f>+D65</f>
        <v>10</v>
      </c>
      <c r="E66" s="6">
        <f>+E65</f>
        <v>0.1</v>
      </c>
      <c r="F66" s="12">
        <f>+F65</f>
        <v>55</v>
      </c>
      <c r="G66" s="5"/>
      <c r="O66" s="3">
        <f>((((G60-(2*$D$11))+(2*10*D66/1000))*D60))*2</f>
        <v>1.7799999999999998</v>
      </c>
      <c r="P66" s="6">
        <f>O66*F66</f>
        <v>97.899999999999991</v>
      </c>
      <c r="Q66" s="6">
        <f t="shared" si="10"/>
        <v>0</v>
      </c>
      <c r="R66" s="6">
        <f t="shared" si="10"/>
        <v>60.383321428571421</v>
      </c>
      <c r="S66" s="6">
        <f t="shared" si="10"/>
        <v>0</v>
      </c>
      <c r="T66" s="6">
        <f t="shared" si="10"/>
        <v>0</v>
      </c>
      <c r="U66" s="6">
        <f t="shared" si="10"/>
        <v>0</v>
      </c>
      <c r="V66" s="6">
        <f t="shared" si="10"/>
        <v>0</v>
      </c>
      <c r="W66" s="6">
        <f t="shared" si="10"/>
        <v>0</v>
      </c>
      <c r="X66" s="6">
        <f t="shared" si="7"/>
        <v>60.383321428571421</v>
      </c>
    </row>
    <row r="67" spans="1:32" s="12" customFormat="1" ht="20.100000000000001" customHeight="1" x14ac:dyDescent="0.3">
      <c r="B67" s="6" t="s">
        <v>140</v>
      </c>
      <c r="C67" s="9" t="s">
        <v>0</v>
      </c>
      <c r="D67" s="12">
        <v>10</v>
      </c>
      <c r="E67" s="12">
        <v>0.2</v>
      </c>
      <c r="F67" s="12">
        <f>ROUND((E60-(IF(E60/3&gt;2*G60,E60/3*2,G60*2*2)))/E67,0)</f>
        <v>13</v>
      </c>
      <c r="O67" s="6">
        <f>(2*((G60-(2*$D$11))+(F60-(2*$D$11)))+(2*10*D67/1000))*D60</f>
        <v>2.2600000000000002</v>
      </c>
      <c r="P67" s="6">
        <f t="shared" si="11"/>
        <v>29.380000000000003</v>
      </c>
      <c r="Q67" s="6">
        <f t="shared" si="10"/>
        <v>0</v>
      </c>
      <c r="R67" s="6">
        <f t="shared" si="10"/>
        <v>18.121164285714286</v>
      </c>
      <c r="S67" s="6">
        <f t="shared" si="10"/>
        <v>0</v>
      </c>
      <c r="T67" s="6">
        <f t="shared" si="10"/>
        <v>0</v>
      </c>
      <c r="U67" s="6">
        <f t="shared" si="10"/>
        <v>0</v>
      </c>
      <c r="V67" s="6">
        <f t="shared" si="10"/>
        <v>0</v>
      </c>
      <c r="W67" s="6">
        <f t="shared" si="10"/>
        <v>0</v>
      </c>
      <c r="X67" s="6">
        <f t="shared" si="7"/>
        <v>18.121164285714286</v>
      </c>
    </row>
    <row r="68" spans="1:32" s="12" customFormat="1" ht="20.100000000000001" customHeight="1" x14ac:dyDescent="0.25">
      <c r="B68" s="6" t="s">
        <v>140</v>
      </c>
      <c r="C68" s="9" t="s">
        <v>25</v>
      </c>
      <c r="D68" s="6">
        <f>+D67</f>
        <v>10</v>
      </c>
      <c r="E68" s="6">
        <f>+E67</f>
        <v>0.2</v>
      </c>
      <c r="F68" s="12">
        <f>+F67</f>
        <v>13</v>
      </c>
      <c r="G68" s="5"/>
      <c r="O68" s="3">
        <f>((((G60-(2*$D$11))+(2*10*D68/1000))*D60))*2</f>
        <v>1.7799999999999998</v>
      </c>
      <c r="P68" s="6">
        <f>O68*F68</f>
        <v>23.139999999999997</v>
      </c>
      <c r="Q68" s="6">
        <f t="shared" si="10"/>
        <v>0</v>
      </c>
      <c r="R68" s="6">
        <f t="shared" si="10"/>
        <v>14.272421428571427</v>
      </c>
      <c r="S68" s="6">
        <f t="shared" si="10"/>
        <v>0</v>
      </c>
      <c r="T68" s="6">
        <f t="shared" si="10"/>
        <v>0</v>
      </c>
      <c r="U68" s="6">
        <f t="shared" si="10"/>
        <v>0</v>
      </c>
      <c r="V68" s="6">
        <f t="shared" si="10"/>
        <v>0</v>
      </c>
      <c r="W68" s="6">
        <f t="shared" si="10"/>
        <v>0</v>
      </c>
      <c r="X68" s="6">
        <f t="shared" si="7"/>
        <v>14.272421428571427</v>
      </c>
    </row>
    <row r="69" spans="1:32" s="5" customFormat="1" ht="20.100000000000001" customHeight="1" x14ac:dyDescent="0.25">
      <c r="A69" s="7"/>
      <c r="B69" s="6" t="s">
        <v>140</v>
      </c>
      <c r="C69" s="9" t="s">
        <v>17</v>
      </c>
      <c r="D69" s="6">
        <f>+$D$15</f>
        <v>25</v>
      </c>
      <c r="E69" s="6">
        <f>+$E$15</f>
        <v>1</v>
      </c>
      <c r="F69" s="6">
        <f>ROUNDUP((2.1)/E69,0)+1</f>
        <v>4</v>
      </c>
      <c r="G69" s="8"/>
      <c r="H69" s="8"/>
      <c r="I69" s="6"/>
      <c r="J69" s="6"/>
      <c r="K69" s="6"/>
      <c r="L69" s="6"/>
      <c r="M69" s="6"/>
      <c r="N69" s="6"/>
      <c r="O69" s="6">
        <f>+F60-(2*$D$11)</f>
        <v>0.34</v>
      </c>
      <c r="P69" s="6">
        <f t="shared" si="11"/>
        <v>1.36</v>
      </c>
      <c r="Q69" s="6">
        <f t="shared" si="10"/>
        <v>0</v>
      </c>
      <c r="R69" s="6">
        <f t="shared" si="10"/>
        <v>0</v>
      </c>
      <c r="S69" s="6">
        <f t="shared" si="10"/>
        <v>0</v>
      </c>
      <c r="T69" s="6">
        <f t="shared" si="10"/>
        <v>0</v>
      </c>
      <c r="U69" s="6">
        <f t="shared" si="10"/>
        <v>0</v>
      </c>
      <c r="V69" s="6">
        <f t="shared" si="10"/>
        <v>5.2426785714285726</v>
      </c>
      <c r="W69" s="6">
        <f t="shared" si="10"/>
        <v>0</v>
      </c>
      <c r="X69" s="6">
        <f t="shared" si="7"/>
        <v>5.2426785714285726</v>
      </c>
      <c r="Y69" s="6"/>
      <c r="Z69" s="6"/>
      <c r="AA69" s="6"/>
      <c r="AB69" s="6"/>
      <c r="AC69" s="6"/>
      <c r="AD69" s="6"/>
      <c r="AE69" s="6"/>
    </row>
    <row r="70" spans="1:32" s="5" customFormat="1" ht="20.100000000000001" customHeight="1" x14ac:dyDescent="0.25">
      <c r="A70" s="7"/>
      <c r="B70" s="6" t="s">
        <v>140</v>
      </c>
      <c r="C70" s="9" t="s">
        <v>17</v>
      </c>
      <c r="D70" s="6">
        <f>+$D$15</f>
        <v>25</v>
      </c>
      <c r="E70" s="6">
        <f>+$E$15</f>
        <v>1</v>
      </c>
      <c r="F70" s="6">
        <f>ROUNDUP((E60-0.6)/E70,0)+1</f>
        <v>9</v>
      </c>
      <c r="G70" s="8"/>
      <c r="H70" s="8"/>
      <c r="I70" s="6"/>
      <c r="J70" s="6"/>
      <c r="K70" s="6"/>
      <c r="L70" s="6"/>
      <c r="M70" s="6"/>
      <c r="N70" s="6"/>
      <c r="O70" s="6">
        <f>+F60-(2*$D$11)</f>
        <v>0.34</v>
      </c>
      <c r="P70" s="6">
        <f t="shared" si="11"/>
        <v>3.06</v>
      </c>
      <c r="Q70" s="6">
        <f t="shared" si="10"/>
        <v>0</v>
      </c>
      <c r="R70" s="6">
        <f t="shared" si="10"/>
        <v>0</v>
      </c>
      <c r="S70" s="6">
        <f t="shared" si="10"/>
        <v>0</v>
      </c>
      <c r="T70" s="6">
        <f t="shared" si="10"/>
        <v>0</v>
      </c>
      <c r="U70" s="6">
        <f t="shared" si="10"/>
        <v>0</v>
      </c>
      <c r="V70" s="6">
        <f t="shared" si="10"/>
        <v>11.796026785714288</v>
      </c>
      <c r="W70" s="6">
        <f t="shared" si="10"/>
        <v>0</v>
      </c>
      <c r="X70" s="6">
        <f t="shared" si="7"/>
        <v>11.796026785714288</v>
      </c>
      <c r="Y70" s="6"/>
      <c r="Z70" s="6"/>
      <c r="AA70" s="6"/>
      <c r="AB70" s="6"/>
      <c r="AC70" s="6"/>
      <c r="AD70" s="6"/>
      <c r="AE70" s="6"/>
    </row>
    <row r="71" spans="1:32" s="5" customFormat="1" ht="20.100000000000001" customHeight="1" x14ac:dyDescent="0.25">
      <c r="A71" s="6">
        <f>A60+1</f>
        <v>4</v>
      </c>
      <c r="B71" s="6" t="s">
        <v>140</v>
      </c>
      <c r="C71" s="11" t="s">
        <v>21</v>
      </c>
      <c r="D71" s="11">
        <v>1</v>
      </c>
      <c r="E71" s="11">
        <v>7.95</v>
      </c>
      <c r="F71" s="11">
        <v>0.75</v>
      </c>
      <c r="G71" s="11">
        <v>0.75</v>
      </c>
      <c r="H71" s="6">
        <f>G71-0.2</f>
        <v>0.55000000000000004</v>
      </c>
      <c r="I71" s="6">
        <f>E71*F71*G71*D71</f>
        <v>4.4718750000000007</v>
      </c>
      <c r="J71" s="6">
        <f>(2*(E71)*H71*D71)+(E71*F71)</f>
        <v>14.707500000000001</v>
      </c>
      <c r="K71" s="10">
        <f>IF(E71=0.3,J71,0)</f>
        <v>0</v>
      </c>
      <c r="L71" s="10">
        <f>IF(AND(E71&gt;0.3,E71&lt;=0.75),J71,0)</f>
        <v>0</v>
      </c>
      <c r="M71" s="10">
        <f>IF(AND(E71&gt;0.75,E71&lt;=1.2),J71,0)</f>
        <v>0</v>
      </c>
      <c r="N71" s="10">
        <f>IF(E71&gt;1.2,J71,0)</f>
        <v>14.707500000000001</v>
      </c>
      <c r="O71" s="6"/>
      <c r="P71" s="6"/>
      <c r="Q71" s="6">
        <f t="shared" si="10"/>
        <v>0</v>
      </c>
      <c r="R71" s="6">
        <f t="shared" si="10"/>
        <v>0</v>
      </c>
      <c r="S71" s="6">
        <f t="shared" si="10"/>
        <v>0</v>
      </c>
      <c r="T71" s="6">
        <f t="shared" si="10"/>
        <v>0</v>
      </c>
      <c r="U71" s="6">
        <f t="shared" si="10"/>
        <v>0</v>
      </c>
      <c r="V71" s="6">
        <f t="shared" si="10"/>
        <v>0</v>
      </c>
      <c r="W71" s="6">
        <f t="shared" si="10"/>
        <v>0</v>
      </c>
      <c r="X71" s="6">
        <f t="shared" si="7"/>
        <v>0</v>
      </c>
      <c r="Y71" s="7">
        <f>SUM(X72:X81)/I71</f>
        <v>166.79373654866725</v>
      </c>
      <c r="Z71" s="6"/>
      <c r="AA71" s="6"/>
      <c r="AB71" s="6"/>
      <c r="AC71" s="6"/>
      <c r="AD71" s="6"/>
      <c r="AE71" s="6"/>
      <c r="AF71" s="6"/>
    </row>
    <row r="72" spans="1:32" s="5" customFormat="1" ht="20.100000000000001" customHeight="1" x14ac:dyDescent="0.25">
      <c r="A72" s="7"/>
      <c r="B72" s="6" t="s">
        <v>140</v>
      </c>
      <c r="C72" s="9" t="s">
        <v>2</v>
      </c>
      <c r="D72" s="6">
        <v>16</v>
      </c>
      <c r="E72" s="6"/>
      <c r="F72" s="6">
        <v>6</v>
      </c>
      <c r="G72" s="8">
        <f>VLOOKUP(D72,$C$20:$F$26,3,0)</f>
        <v>0.8</v>
      </c>
      <c r="H72" s="8"/>
      <c r="I72" s="6"/>
      <c r="J72" s="6"/>
      <c r="K72" s="6"/>
      <c r="L72" s="6"/>
      <c r="M72" s="6"/>
      <c r="N72" s="6"/>
      <c r="O72" s="6">
        <f>(E71+2*(G72+(2*D72/1000)))*D71</f>
        <v>9.6140000000000008</v>
      </c>
      <c r="P72" s="6">
        <f>O72*F72</f>
        <v>57.684000000000005</v>
      </c>
      <c r="Q72" s="6">
        <f t="shared" si="10"/>
        <v>0</v>
      </c>
      <c r="R72" s="6">
        <f t="shared" si="10"/>
        <v>0</v>
      </c>
      <c r="S72" s="6">
        <f t="shared" si="10"/>
        <v>0</v>
      </c>
      <c r="T72" s="6">
        <f t="shared" si="10"/>
        <v>91.081387885714307</v>
      </c>
      <c r="U72" s="6">
        <f t="shared" si="10"/>
        <v>0</v>
      </c>
      <c r="V72" s="6">
        <f t="shared" si="10"/>
        <v>0</v>
      </c>
      <c r="W72" s="6">
        <f t="shared" si="10"/>
        <v>0</v>
      </c>
      <c r="X72" s="6">
        <f t="shared" si="7"/>
        <v>91.081387885714307</v>
      </c>
      <c r="Y72" s="6"/>
      <c r="Z72" s="6"/>
      <c r="AA72" s="6"/>
      <c r="AB72" s="6"/>
      <c r="AC72" s="6"/>
      <c r="AD72" s="6"/>
      <c r="AE72" s="6"/>
    </row>
    <row r="73" spans="1:32" s="5" customFormat="1" ht="20.100000000000001" customHeight="1" x14ac:dyDescent="0.25">
      <c r="A73" s="7"/>
      <c r="B73" s="6" t="s">
        <v>140</v>
      </c>
      <c r="C73" s="9" t="s">
        <v>26</v>
      </c>
      <c r="D73" s="6">
        <v>16</v>
      </c>
      <c r="E73" s="6"/>
      <c r="F73" s="6">
        <v>2</v>
      </c>
      <c r="G73" s="8">
        <f>VLOOKUP(D73,$C$20:$F$26,3,0)</f>
        <v>0.8</v>
      </c>
      <c r="H73" s="8"/>
      <c r="I73" s="6"/>
      <c r="J73" s="6"/>
      <c r="K73" s="6"/>
      <c r="L73" s="6"/>
      <c r="M73" s="6"/>
      <c r="N73" s="6"/>
      <c r="O73" s="6">
        <f>(2.1+1*(G73+(2*D73/1000)))*D71</f>
        <v>2.9320000000000004</v>
      </c>
      <c r="P73" s="6">
        <f>O73*F73</f>
        <v>5.8640000000000008</v>
      </c>
      <c r="Q73" s="6">
        <f t="shared" si="10"/>
        <v>0</v>
      </c>
      <c r="R73" s="6">
        <f t="shared" si="10"/>
        <v>0</v>
      </c>
      <c r="S73" s="6">
        <f t="shared" si="10"/>
        <v>0</v>
      </c>
      <c r="T73" s="6">
        <f t="shared" si="10"/>
        <v>9.2590884571428589</v>
      </c>
      <c r="U73" s="6">
        <f t="shared" si="10"/>
        <v>0</v>
      </c>
      <c r="V73" s="6">
        <f t="shared" si="10"/>
        <v>0</v>
      </c>
      <c r="W73" s="6">
        <f t="shared" si="10"/>
        <v>0</v>
      </c>
      <c r="X73" s="6">
        <f t="shared" si="7"/>
        <v>9.2590884571428589</v>
      </c>
      <c r="Y73" s="6"/>
      <c r="Z73" s="6"/>
      <c r="AA73" s="6"/>
      <c r="AB73" s="6"/>
      <c r="AC73" s="6"/>
      <c r="AD73" s="6"/>
      <c r="AE73" s="6"/>
    </row>
    <row r="74" spans="1:32" s="5" customFormat="1" ht="20.100000000000001" customHeight="1" x14ac:dyDescent="0.25">
      <c r="A74" s="7"/>
      <c r="B74" s="6" t="s">
        <v>140</v>
      </c>
      <c r="C74" s="9" t="s">
        <v>26</v>
      </c>
      <c r="D74" s="6">
        <v>20</v>
      </c>
      <c r="E74" s="6"/>
      <c r="F74" s="6">
        <v>6</v>
      </c>
      <c r="G74" s="8">
        <f>VLOOKUP(D74,$C$20:$F$26,3,0)</f>
        <v>1</v>
      </c>
      <c r="H74" s="8"/>
      <c r="I74" s="6"/>
      <c r="J74" s="6"/>
      <c r="K74" s="6"/>
      <c r="L74" s="6"/>
      <c r="M74" s="6"/>
      <c r="N74" s="6"/>
      <c r="O74" s="6">
        <f>(2.1+1*(G74+(2*D74/1000)))*D71</f>
        <v>3.14</v>
      </c>
      <c r="P74" s="6">
        <f>O74*F74</f>
        <v>18.84</v>
      </c>
      <c r="Q74" s="6">
        <f t="shared" si="10"/>
        <v>0</v>
      </c>
      <c r="R74" s="6">
        <f t="shared" si="10"/>
        <v>0</v>
      </c>
      <c r="S74" s="6">
        <f t="shared" si="10"/>
        <v>0</v>
      </c>
      <c r="T74" s="6">
        <f t="shared" si="10"/>
        <v>0</v>
      </c>
      <c r="U74" s="6">
        <f t="shared" si="10"/>
        <v>46.480971428571429</v>
      </c>
      <c r="V74" s="6">
        <f t="shared" si="10"/>
        <v>0</v>
      </c>
      <c r="W74" s="6">
        <f t="shared" si="10"/>
        <v>0</v>
      </c>
      <c r="X74" s="6">
        <f t="shared" si="7"/>
        <v>46.480971428571429</v>
      </c>
      <c r="Y74" s="6"/>
      <c r="Z74" s="6"/>
      <c r="AA74" s="6"/>
      <c r="AB74" s="6"/>
      <c r="AC74" s="6"/>
      <c r="AD74" s="6"/>
      <c r="AE74" s="6"/>
    </row>
    <row r="75" spans="1:32" s="5" customFormat="1" ht="20.100000000000001" customHeight="1" x14ac:dyDescent="0.25">
      <c r="A75" s="7"/>
      <c r="B75" s="6" t="s">
        <v>140</v>
      </c>
      <c r="C75" s="9" t="s">
        <v>1</v>
      </c>
      <c r="D75" s="6">
        <v>25</v>
      </c>
      <c r="E75" s="6"/>
      <c r="F75" s="6">
        <v>6</v>
      </c>
      <c r="G75" s="8">
        <f>VLOOKUP(D75,$C$20:$F$26,3,0)</f>
        <v>1.25</v>
      </c>
      <c r="H75" s="6"/>
      <c r="I75" s="6"/>
      <c r="J75" s="6"/>
      <c r="K75" s="6"/>
      <c r="L75" s="6"/>
      <c r="M75" s="6"/>
      <c r="N75" s="6"/>
      <c r="O75" s="6">
        <f>(E71+2*(G75+(2*D75/1000)))*D71</f>
        <v>10.55</v>
      </c>
      <c r="P75" s="6">
        <f>O75*F75</f>
        <v>63.300000000000004</v>
      </c>
      <c r="Q75" s="6">
        <f t="shared" si="10"/>
        <v>0</v>
      </c>
      <c r="R75" s="6">
        <f t="shared" si="10"/>
        <v>0</v>
      </c>
      <c r="S75" s="6">
        <f t="shared" si="10"/>
        <v>0</v>
      </c>
      <c r="T75" s="6">
        <f t="shared" si="10"/>
        <v>0</v>
      </c>
      <c r="U75" s="6">
        <f t="shared" si="10"/>
        <v>0</v>
      </c>
      <c r="V75" s="6">
        <f t="shared" si="10"/>
        <v>244.01584821428577</v>
      </c>
      <c r="W75" s="6">
        <f t="shared" si="10"/>
        <v>0</v>
      </c>
      <c r="X75" s="6">
        <f t="shared" si="7"/>
        <v>244.01584821428577</v>
      </c>
      <c r="Y75" s="6"/>
      <c r="Z75" s="6"/>
      <c r="AA75" s="6"/>
      <c r="AB75" s="6"/>
      <c r="AC75" s="6"/>
      <c r="AD75" s="6"/>
      <c r="AE75" s="6"/>
    </row>
    <row r="76" spans="1:32" s="5" customFormat="1" ht="20.100000000000001" customHeight="1" x14ac:dyDescent="0.25">
      <c r="A76" s="7"/>
      <c r="B76" s="6" t="s">
        <v>140</v>
      </c>
      <c r="C76" s="9" t="s">
        <v>64</v>
      </c>
      <c r="D76" s="6">
        <v>20</v>
      </c>
      <c r="E76" s="6"/>
      <c r="F76" s="6">
        <v>4</v>
      </c>
      <c r="G76" s="8">
        <f>VLOOKUP(D76,$C$20:$F$26,3,0)</f>
        <v>1</v>
      </c>
      <c r="H76" s="6"/>
      <c r="I76" s="6"/>
      <c r="J76" s="6"/>
      <c r="K76" s="6"/>
      <c r="L76" s="6"/>
      <c r="M76" s="6"/>
      <c r="N76" s="6"/>
      <c r="O76" s="6">
        <f>+E71-0.65-0.65</f>
        <v>6.6499999999999995</v>
      </c>
      <c r="P76" s="6">
        <f>O76*F76</f>
        <v>26.599999999999998</v>
      </c>
      <c r="Q76" s="6">
        <f t="shared" si="10"/>
        <v>0</v>
      </c>
      <c r="R76" s="6">
        <f t="shared" si="10"/>
        <v>0</v>
      </c>
      <c r="S76" s="6">
        <f t="shared" si="10"/>
        <v>0</v>
      </c>
      <c r="T76" s="6">
        <f t="shared" si="10"/>
        <v>0</v>
      </c>
      <c r="U76" s="6">
        <f t="shared" si="10"/>
        <v>65.625999999999991</v>
      </c>
      <c r="V76" s="6">
        <f t="shared" si="10"/>
        <v>0</v>
      </c>
      <c r="W76" s="6">
        <f t="shared" si="10"/>
        <v>0</v>
      </c>
      <c r="X76" s="6">
        <f t="shared" si="7"/>
        <v>65.625999999999991</v>
      </c>
      <c r="Y76" s="6"/>
      <c r="Z76" s="6"/>
      <c r="AA76" s="6"/>
      <c r="AB76" s="6"/>
      <c r="AC76" s="6"/>
      <c r="AD76" s="6"/>
      <c r="AE76" s="6"/>
    </row>
    <row r="77" spans="1:32" s="5" customFormat="1" ht="20.100000000000001" customHeight="1" x14ac:dyDescent="0.25">
      <c r="A77" s="7"/>
      <c r="B77" s="6" t="s">
        <v>140</v>
      </c>
      <c r="C77" s="9" t="s">
        <v>0</v>
      </c>
      <c r="D77" s="6">
        <v>10</v>
      </c>
      <c r="E77" s="6">
        <v>0.1</v>
      </c>
      <c r="F77" s="6">
        <f>ROUND(IF(E71/3&gt;(2*G71),(E71/3)/E77,(2*G71)/E77),0)*2+1</f>
        <v>55</v>
      </c>
      <c r="G77" s="8"/>
      <c r="H77" s="6"/>
      <c r="I77" s="6"/>
      <c r="J77" s="6"/>
      <c r="K77" s="6"/>
      <c r="L77" s="6"/>
      <c r="M77" s="6"/>
      <c r="N77" s="6"/>
      <c r="O77" s="6">
        <f>(2*((G71-(2*$D$11))+(F71-(2*$D$11)))+(2*10*D77/1000))*D71</f>
        <v>2.96</v>
      </c>
      <c r="P77" s="6">
        <f t="shared" ref="P77:P81" si="12">O77*F77</f>
        <v>162.80000000000001</v>
      </c>
      <c r="Q77" s="6">
        <f t="shared" si="10"/>
        <v>0</v>
      </c>
      <c r="R77" s="6">
        <f t="shared" si="10"/>
        <v>100.41271428571429</v>
      </c>
      <c r="S77" s="6">
        <f t="shared" si="10"/>
        <v>0</v>
      </c>
      <c r="T77" s="6">
        <f t="shared" si="10"/>
        <v>0</v>
      </c>
      <c r="U77" s="6">
        <f t="shared" si="10"/>
        <v>0</v>
      </c>
      <c r="V77" s="6">
        <f t="shared" si="10"/>
        <v>0</v>
      </c>
      <c r="W77" s="6">
        <f t="shared" si="10"/>
        <v>0</v>
      </c>
      <c r="X77" s="6">
        <f t="shared" si="7"/>
        <v>100.41271428571429</v>
      </c>
      <c r="Y77" s="6"/>
      <c r="Z77" s="6"/>
      <c r="AA77" s="6"/>
      <c r="AB77" s="6"/>
      <c r="AC77" s="6"/>
      <c r="AD77" s="6"/>
      <c r="AE77" s="6"/>
    </row>
    <row r="78" spans="1:32" s="12" customFormat="1" ht="20.100000000000001" customHeight="1" x14ac:dyDescent="0.25">
      <c r="B78" s="6" t="s">
        <v>140</v>
      </c>
      <c r="C78" s="9" t="s">
        <v>25</v>
      </c>
      <c r="D78" s="6">
        <f>+D77</f>
        <v>10</v>
      </c>
      <c r="E78" s="6">
        <f>+E77</f>
        <v>0.1</v>
      </c>
      <c r="F78" s="12">
        <f>+F77</f>
        <v>55</v>
      </c>
      <c r="G78" s="5"/>
      <c r="O78" s="3">
        <f>((((G71-(2*$D$11))+(2*10*D78/1000))*D71))*2*2</f>
        <v>3.5599999999999996</v>
      </c>
      <c r="P78" s="6">
        <f>O78*F78</f>
        <v>195.79999999999998</v>
      </c>
      <c r="Q78" s="6">
        <f t="shared" si="10"/>
        <v>0</v>
      </c>
      <c r="R78" s="6">
        <f t="shared" si="10"/>
        <v>120.76664285714284</v>
      </c>
      <c r="S78" s="6">
        <f t="shared" si="10"/>
        <v>0</v>
      </c>
      <c r="T78" s="6">
        <f t="shared" si="10"/>
        <v>0</v>
      </c>
      <c r="U78" s="6">
        <f t="shared" si="10"/>
        <v>0</v>
      </c>
      <c r="V78" s="6">
        <f t="shared" si="10"/>
        <v>0</v>
      </c>
      <c r="W78" s="6">
        <f t="shared" si="10"/>
        <v>0</v>
      </c>
      <c r="X78" s="6">
        <f t="shared" si="7"/>
        <v>120.76664285714284</v>
      </c>
    </row>
    <row r="79" spans="1:32" s="12" customFormat="1" ht="20.100000000000001" customHeight="1" x14ac:dyDescent="0.3">
      <c r="B79" s="6" t="s">
        <v>140</v>
      </c>
      <c r="C79" s="9" t="s">
        <v>0</v>
      </c>
      <c r="D79" s="12">
        <v>10</v>
      </c>
      <c r="E79" s="12">
        <v>0.2</v>
      </c>
      <c r="F79" s="12">
        <f>ROUND((E71-(IF(E71/3&gt;2*G71,E71/3*2,G71*2*2)))/E79,0)</f>
        <v>13</v>
      </c>
      <c r="O79" s="6">
        <f>(2*((G71-(2*$D$11))+(F71-(2*$D$11)))+(2*10*D79/1000))*D71</f>
        <v>2.96</v>
      </c>
      <c r="P79" s="6">
        <f t="shared" si="12"/>
        <v>38.479999999999997</v>
      </c>
      <c r="Q79" s="6">
        <f t="shared" si="10"/>
        <v>0</v>
      </c>
      <c r="R79" s="6">
        <f t="shared" si="10"/>
        <v>23.733914285714285</v>
      </c>
      <c r="S79" s="6">
        <f t="shared" si="10"/>
        <v>0</v>
      </c>
      <c r="T79" s="6">
        <f t="shared" si="10"/>
        <v>0</v>
      </c>
      <c r="U79" s="6">
        <f t="shared" si="10"/>
        <v>0</v>
      </c>
      <c r="V79" s="6">
        <f t="shared" si="10"/>
        <v>0</v>
      </c>
      <c r="W79" s="6">
        <f t="shared" si="10"/>
        <v>0</v>
      </c>
      <c r="X79" s="6">
        <f t="shared" si="7"/>
        <v>23.733914285714285</v>
      </c>
    </row>
    <row r="80" spans="1:32" s="12" customFormat="1" ht="20.100000000000001" customHeight="1" x14ac:dyDescent="0.25">
      <c r="B80" s="6" t="s">
        <v>140</v>
      </c>
      <c r="C80" s="9" t="s">
        <v>25</v>
      </c>
      <c r="D80" s="6">
        <f>+D79</f>
        <v>10</v>
      </c>
      <c r="E80" s="6">
        <f>+E79</f>
        <v>0.2</v>
      </c>
      <c r="F80" s="12">
        <f>+F79</f>
        <v>13</v>
      </c>
      <c r="G80" s="5"/>
      <c r="O80" s="3">
        <f>((((G71-(2*$D$11))+(2*10*D80/1000))*D71))*2*2</f>
        <v>3.5599999999999996</v>
      </c>
      <c r="P80" s="6">
        <f>O80*F80</f>
        <v>46.279999999999994</v>
      </c>
      <c r="Q80" s="6">
        <f t="shared" si="10"/>
        <v>0</v>
      </c>
      <c r="R80" s="6">
        <f t="shared" si="10"/>
        <v>28.544842857142854</v>
      </c>
      <c r="S80" s="6">
        <f t="shared" si="10"/>
        <v>0</v>
      </c>
      <c r="T80" s="6">
        <f t="shared" si="10"/>
        <v>0</v>
      </c>
      <c r="U80" s="6">
        <f t="shared" si="10"/>
        <v>0</v>
      </c>
      <c r="V80" s="6">
        <f t="shared" si="10"/>
        <v>0</v>
      </c>
      <c r="W80" s="6">
        <f t="shared" si="10"/>
        <v>0</v>
      </c>
      <c r="X80" s="6">
        <f t="shared" si="7"/>
        <v>28.544842857142854</v>
      </c>
    </row>
    <row r="81" spans="1:32" s="5" customFormat="1" ht="20.100000000000001" customHeight="1" x14ac:dyDescent="0.25">
      <c r="A81" s="7"/>
      <c r="B81" s="6" t="s">
        <v>140</v>
      </c>
      <c r="C81" s="9" t="s">
        <v>17</v>
      </c>
      <c r="D81" s="6">
        <f>+$D$15</f>
        <v>25</v>
      </c>
      <c r="E81" s="6">
        <f>+$E$15</f>
        <v>1</v>
      </c>
      <c r="F81" s="6">
        <f>ROUNDUP((2.1+2.1)/E81,0)+1</f>
        <v>6</v>
      </c>
      <c r="G81" s="8"/>
      <c r="H81" s="8"/>
      <c r="I81" s="6"/>
      <c r="J81" s="6"/>
      <c r="K81" s="6"/>
      <c r="L81" s="6"/>
      <c r="M81" s="6"/>
      <c r="N81" s="6"/>
      <c r="O81" s="6">
        <f>+F71-(2*$D$11)</f>
        <v>0.69</v>
      </c>
      <c r="P81" s="6">
        <f t="shared" si="12"/>
        <v>4.1399999999999997</v>
      </c>
      <c r="Q81" s="6">
        <f t="shared" si="10"/>
        <v>0</v>
      </c>
      <c r="R81" s="6">
        <f t="shared" si="10"/>
        <v>0</v>
      </c>
      <c r="S81" s="6">
        <f t="shared" si="10"/>
        <v>0</v>
      </c>
      <c r="T81" s="6">
        <f t="shared" si="10"/>
        <v>0</v>
      </c>
      <c r="U81" s="6">
        <f t="shared" si="10"/>
        <v>0</v>
      </c>
      <c r="V81" s="6">
        <f t="shared" si="10"/>
        <v>15.959330357142859</v>
      </c>
      <c r="W81" s="6">
        <f t="shared" si="10"/>
        <v>0</v>
      </c>
      <c r="X81" s="6">
        <f t="shared" si="7"/>
        <v>15.959330357142859</v>
      </c>
      <c r="Y81" s="6"/>
      <c r="Z81" s="6"/>
      <c r="AA81" s="6"/>
      <c r="AB81" s="6"/>
      <c r="AC81" s="6"/>
      <c r="AD81" s="6"/>
      <c r="AE81" s="6"/>
    </row>
    <row r="82" spans="1:32" s="5" customFormat="1" ht="20.100000000000001" customHeight="1" x14ac:dyDescent="0.25">
      <c r="A82" s="3">
        <f>+A71+1</f>
        <v>5</v>
      </c>
      <c r="B82" s="6" t="s">
        <v>140</v>
      </c>
      <c r="C82" s="11" t="s">
        <v>20</v>
      </c>
      <c r="D82" s="11">
        <v>1</v>
      </c>
      <c r="E82" s="11">
        <v>3.1230000000000002</v>
      </c>
      <c r="F82" s="11">
        <v>0.2</v>
      </c>
      <c r="G82" s="11">
        <v>0.75</v>
      </c>
      <c r="H82" s="6">
        <f>G82-0.2</f>
        <v>0.55000000000000004</v>
      </c>
      <c r="I82" s="6">
        <f>E82*F82*G82*D82</f>
        <v>0.46845000000000003</v>
      </c>
      <c r="J82" s="6">
        <f>(2*(E82)*H82*D82)+(E82*F82)</f>
        <v>4.0599000000000007</v>
      </c>
      <c r="K82" s="10">
        <f>IF(E82=0.3,J82,0)</f>
        <v>0</v>
      </c>
      <c r="L82" s="10">
        <f>IF(AND(E82&gt;0.3,E82&lt;=0.75),J82,0)</f>
        <v>0</v>
      </c>
      <c r="M82" s="10">
        <f>IF(AND(E82&gt;0.75,E82&lt;=1.2),J82,0)</f>
        <v>0</v>
      </c>
      <c r="N82" s="10">
        <f>IF(E82&gt;1.2,J82,0)</f>
        <v>4.0599000000000007</v>
      </c>
      <c r="O82" s="6"/>
      <c r="P82" s="6"/>
      <c r="Q82" s="6">
        <f t="shared" si="10"/>
        <v>0</v>
      </c>
      <c r="R82" s="6">
        <f t="shared" si="10"/>
        <v>0</v>
      </c>
      <c r="S82" s="6">
        <f t="shared" si="10"/>
        <v>0</v>
      </c>
      <c r="T82" s="6">
        <f t="shared" si="10"/>
        <v>0</v>
      </c>
      <c r="U82" s="6">
        <f t="shared" si="10"/>
        <v>0</v>
      </c>
      <c r="V82" s="6">
        <f t="shared" si="10"/>
        <v>0</v>
      </c>
      <c r="W82" s="6">
        <f t="shared" si="10"/>
        <v>0</v>
      </c>
      <c r="X82" s="6">
        <f t="shared" si="7"/>
        <v>0</v>
      </c>
      <c r="Y82" s="7">
        <f>SUM(X83:X87)/I82</f>
        <v>302.46002241434519</v>
      </c>
      <c r="Z82" s="6"/>
      <c r="AA82" s="6"/>
      <c r="AB82" s="6"/>
      <c r="AC82" s="6"/>
      <c r="AD82" s="6"/>
      <c r="AE82" s="6"/>
      <c r="AF82" s="6"/>
    </row>
    <row r="83" spans="1:32" s="5" customFormat="1" ht="20.100000000000001" customHeight="1" x14ac:dyDescent="0.25">
      <c r="A83" s="7"/>
      <c r="B83" s="6" t="s">
        <v>140</v>
      </c>
      <c r="C83" s="9" t="s">
        <v>2</v>
      </c>
      <c r="D83" s="6">
        <v>25</v>
      </c>
      <c r="E83" s="6"/>
      <c r="F83" s="6">
        <v>2</v>
      </c>
      <c r="G83" s="8">
        <f>VLOOKUP(D83,$C$20:$F$26,3,0)</f>
        <v>1.25</v>
      </c>
      <c r="H83" s="8"/>
      <c r="I83" s="6"/>
      <c r="J83" s="6"/>
      <c r="K83" s="6"/>
      <c r="L83" s="6"/>
      <c r="M83" s="6"/>
      <c r="N83" s="6"/>
      <c r="O83" s="6">
        <f>(E82+2*(G83+(2*D83/1000)))*D82</f>
        <v>5.7230000000000008</v>
      </c>
      <c r="P83" s="6">
        <f>O83*F83</f>
        <v>11.446000000000002</v>
      </c>
      <c r="Q83" s="6">
        <f t="shared" si="10"/>
        <v>0</v>
      </c>
      <c r="R83" s="6">
        <f t="shared" si="10"/>
        <v>0</v>
      </c>
      <c r="S83" s="6">
        <f t="shared" si="10"/>
        <v>0</v>
      </c>
      <c r="T83" s="6">
        <f t="shared" si="10"/>
        <v>0</v>
      </c>
      <c r="U83" s="6">
        <f t="shared" si="10"/>
        <v>0</v>
      </c>
      <c r="V83" s="6">
        <f t="shared" si="10"/>
        <v>44.123308035714295</v>
      </c>
      <c r="W83" s="6">
        <f t="shared" si="10"/>
        <v>0</v>
      </c>
      <c r="X83" s="6">
        <f t="shared" si="7"/>
        <v>44.123308035714295</v>
      </c>
      <c r="Y83" s="6"/>
      <c r="Z83" s="6"/>
      <c r="AA83" s="6"/>
      <c r="AB83" s="6"/>
      <c r="AC83" s="6"/>
      <c r="AD83" s="6"/>
      <c r="AE83" s="6"/>
    </row>
    <row r="84" spans="1:32" s="5" customFormat="1" ht="20.100000000000001" customHeight="1" x14ac:dyDescent="0.25">
      <c r="A84" s="7"/>
      <c r="B84" s="6" t="s">
        <v>140</v>
      </c>
      <c r="C84" s="9" t="s">
        <v>2</v>
      </c>
      <c r="D84" s="6">
        <v>25</v>
      </c>
      <c r="E84" s="6"/>
      <c r="F84" s="6">
        <v>2</v>
      </c>
      <c r="G84" s="8">
        <f>VLOOKUP(D84,$C$20:$F$26,3,0)</f>
        <v>1.25</v>
      </c>
      <c r="H84" s="8"/>
      <c r="I84" s="6"/>
      <c r="J84" s="6"/>
      <c r="K84" s="6"/>
      <c r="L84" s="6"/>
      <c r="M84" s="6"/>
      <c r="N84" s="6"/>
      <c r="O84" s="6">
        <f>(E82+1*(G84+(2*D84/1000)))*D82</f>
        <v>4.423</v>
      </c>
      <c r="P84" s="6">
        <f>O84*F84</f>
        <v>8.8460000000000001</v>
      </c>
      <c r="Q84" s="6">
        <f t="shared" si="10"/>
        <v>0</v>
      </c>
      <c r="R84" s="6">
        <f t="shared" si="10"/>
        <v>0</v>
      </c>
      <c r="S84" s="6">
        <f t="shared" si="10"/>
        <v>0</v>
      </c>
      <c r="T84" s="6">
        <f t="shared" si="10"/>
        <v>0</v>
      </c>
      <c r="U84" s="6">
        <f t="shared" si="10"/>
        <v>0</v>
      </c>
      <c r="V84" s="6">
        <f t="shared" si="10"/>
        <v>34.100540178571435</v>
      </c>
      <c r="W84" s="6">
        <f t="shared" si="10"/>
        <v>0</v>
      </c>
      <c r="X84" s="6">
        <f t="shared" si="7"/>
        <v>34.100540178571435</v>
      </c>
      <c r="Y84" s="6"/>
      <c r="Z84" s="6"/>
      <c r="AA84" s="6"/>
      <c r="AB84" s="6"/>
      <c r="AC84" s="6"/>
      <c r="AD84" s="6"/>
      <c r="AE84" s="6"/>
    </row>
    <row r="85" spans="1:32" s="5" customFormat="1" ht="20.100000000000001" customHeight="1" x14ac:dyDescent="0.25">
      <c r="A85" s="7"/>
      <c r="B85" s="6" t="s">
        <v>140</v>
      </c>
      <c r="C85" s="9" t="s">
        <v>1</v>
      </c>
      <c r="D85" s="6">
        <v>20</v>
      </c>
      <c r="E85" s="6"/>
      <c r="F85" s="6">
        <v>2</v>
      </c>
      <c r="G85" s="8">
        <f>VLOOKUP(D85,$C$20:$F$26,3,0)</f>
        <v>1</v>
      </c>
      <c r="H85" s="6"/>
      <c r="I85" s="6"/>
      <c r="J85" s="6"/>
      <c r="K85" s="6"/>
      <c r="L85" s="6"/>
      <c r="M85" s="6"/>
      <c r="N85" s="6"/>
      <c r="O85" s="6">
        <f>(E82+2*(G85+(2*D85/1000)))*D82</f>
        <v>5.2030000000000003</v>
      </c>
      <c r="P85" s="6">
        <f>O85*F85</f>
        <v>10.406000000000001</v>
      </c>
      <c r="Q85" s="6">
        <f t="shared" si="10"/>
        <v>0</v>
      </c>
      <c r="R85" s="6">
        <f t="shared" si="10"/>
        <v>0</v>
      </c>
      <c r="S85" s="6">
        <f t="shared" si="10"/>
        <v>0</v>
      </c>
      <c r="T85" s="6">
        <f t="shared" si="10"/>
        <v>0</v>
      </c>
      <c r="U85" s="6">
        <f t="shared" si="10"/>
        <v>25.673088571428572</v>
      </c>
      <c r="V85" s="6">
        <f t="shared" si="10"/>
        <v>0</v>
      </c>
      <c r="W85" s="6">
        <f t="shared" si="10"/>
        <v>0</v>
      </c>
      <c r="X85" s="6">
        <f t="shared" si="7"/>
        <v>25.673088571428572</v>
      </c>
      <c r="Y85" s="6"/>
      <c r="Z85" s="6"/>
      <c r="AA85" s="6"/>
      <c r="AB85" s="6"/>
      <c r="AC85" s="6"/>
      <c r="AD85" s="6"/>
      <c r="AE85" s="6"/>
    </row>
    <row r="86" spans="1:32" s="5" customFormat="1" ht="20.100000000000001" customHeight="1" x14ac:dyDescent="0.25">
      <c r="A86" s="7"/>
      <c r="B86" s="6" t="s">
        <v>140</v>
      </c>
      <c r="C86" s="9" t="s">
        <v>0</v>
      </c>
      <c r="D86" s="6">
        <v>10</v>
      </c>
      <c r="E86" s="6">
        <v>0.1</v>
      </c>
      <c r="F86" s="6">
        <f>+ROUND(E82/E86,0)+1</f>
        <v>32</v>
      </c>
      <c r="H86" s="6"/>
      <c r="I86" s="6"/>
      <c r="J86" s="6"/>
      <c r="K86" s="6"/>
      <c r="L86" s="6"/>
      <c r="M86" s="6"/>
      <c r="N86" s="6"/>
      <c r="O86" s="6">
        <f>(2*((G82-(2*$D$11))+(F82-(2*$D$11)))+(2*10*D86/1000))*D82</f>
        <v>1.8599999999999999</v>
      </c>
      <c r="P86" s="6">
        <f>O86*F86</f>
        <v>59.519999999999996</v>
      </c>
      <c r="Q86" s="6">
        <f t="shared" si="10"/>
        <v>0</v>
      </c>
      <c r="R86" s="6">
        <f t="shared" si="10"/>
        <v>36.711085714285709</v>
      </c>
      <c r="S86" s="6">
        <f t="shared" si="10"/>
        <v>0</v>
      </c>
      <c r="T86" s="6">
        <f t="shared" si="10"/>
        <v>0</v>
      </c>
      <c r="U86" s="6">
        <f t="shared" si="10"/>
        <v>0</v>
      </c>
      <c r="V86" s="6">
        <f t="shared" si="10"/>
        <v>0</v>
      </c>
      <c r="W86" s="6">
        <f t="shared" si="10"/>
        <v>0</v>
      </c>
      <c r="X86" s="6">
        <f t="shared" si="7"/>
        <v>36.711085714285709</v>
      </c>
      <c r="Y86" s="6"/>
      <c r="Z86" s="6"/>
      <c r="AA86" s="6"/>
      <c r="AB86" s="6"/>
      <c r="AC86" s="6"/>
      <c r="AD86" s="6"/>
      <c r="AE86" s="6"/>
    </row>
    <row r="87" spans="1:32" s="5" customFormat="1" ht="20.100000000000001" customHeight="1" x14ac:dyDescent="0.25">
      <c r="A87" s="7"/>
      <c r="B87" s="6" t="s">
        <v>140</v>
      </c>
      <c r="C87" s="9" t="s">
        <v>17</v>
      </c>
      <c r="D87" s="6">
        <f>+$D$15</f>
        <v>25</v>
      </c>
      <c r="E87" s="6">
        <f>+$E$15</f>
        <v>1</v>
      </c>
      <c r="F87" s="6">
        <f>ROUNDUP((0.9)/E87,0)+1</f>
        <v>2</v>
      </c>
      <c r="G87" s="8"/>
      <c r="H87" s="8"/>
      <c r="I87" s="6"/>
      <c r="J87" s="6"/>
      <c r="K87" s="6"/>
      <c r="L87" s="6"/>
      <c r="M87" s="6"/>
      <c r="N87" s="6"/>
      <c r="O87" s="6">
        <f>+F82-(2*$D$11)</f>
        <v>0.14000000000000001</v>
      </c>
      <c r="P87" s="6">
        <f>O87*F87</f>
        <v>0.28000000000000003</v>
      </c>
      <c r="Q87" s="6">
        <f t="shared" si="10"/>
        <v>0</v>
      </c>
      <c r="R87" s="6">
        <f t="shared" si="10"/>
        <v>0</v>
      </c>
      <c r="S87" s="6">
        <f t="shared" si="10"/>
        <v>0</v>
      </c>
      <c r="T87" s="6">
        <f t="shared" si="10"/>
        <v>0</v>
      </c>
      <c r="U87" s="6">
        <f t="shared" si="10"/>
        <v>0</v>
      </c>
      <c r="V87" s="6">
        <f t="shared" si="10"/>
        <v>1.0793750000000002</v>
      </c>
      <c r="W87" s="6">
        <f t="shared" si="10"/>
        <v>0</v>
      </c>
      <c r="X87" s="6">
        <f t="shared" si="7"/>
        <v>1.0793750000000002</v>
      </c>
      <c r="Y87" s="6"/>
      <c r="Z87" s="6"/>
      <c r="AA87" s="6"/>
      <c r="AB87" s="6"/>
      <c r="AC87" s="6"/>
      <c r="AD87" s="6"/>
      <c r="AE87" s="6"/>
    </row>
    <row r="88" spans="1:32" s="5" customFormat="1" ht="21" customHeight="1" x14ac:dyDescent="0.25">
      <c r="A88" s="3">
        <f>+A82+1</f>
        <v>6</v>
      </c>
      <c r="B88" s="6" t="s">
        <v>140</v>
      </c>
      <c r="C88" s="11" t="s">
        <v>19</v>
      </c>
      <c r="D88" s="11">
        <v>1</v>
      </c>
      <c r="E88" s="11">
        <v>3.4359999999999999</v>
      </c>
      <c r="F88" s="11">
        <v>0.2</v>
      </c>
      <c r="G88" s="11">
        <v>0.75</v>
      </c>
      <c r="H88" s="6">
        <f>G88-0.2</f>
        <v>0.55000000000000004</v>
      </c>
      <c r="I88" s="6">
        <f>E88*F88*G88*D88</f>
        <v>0.51540000000000008</v>
      </c>
      <c r="J88" s="6">
        <f>(2*(E88)*H88*D88)+(E88*F88)</f>
        <v>4.4668000000000001</v>
      </c>
      <c r="K88" s="10">
        <f>IF(E88=0.3,J88,0)</f>
        <v>0</v>
      </c>
      <c r="L88" s="10">
        <f>IF(AND(E88&gt;0.3,E88&lt;=0.75),J88,0)</f>
        <v>0</v>
      </c>
      <c r="M88" s="10">
        <f>IF(AND(E88&gt;0.75,E88&lt;=1.2),J88,0)</f>
        <v>0</v>
      </c>
      <c r="N88" s="10">
        <f>IF(E88&gt;1.2,J88,0)</f>
        <v>4.4668000000000001</v>
      </c>
      <c r="O88" s="6"/>
      <c r="P88" s="6"/>
      <c r="Q88" s="6">
        <f t="shared" si="10"/>
        <v>0</v>
      </c>
      <c r="R88" s="6">
        <f t="shared" si="10"/>
        <v>0</v>
      </c>
      <c r="S88" s="6">
        <f t="shared" si="10"/>
        <v>0</v>
      </c>
      <c r="T88" s="6">
        <f t="shared" si="10"/>
        <v>0</v>
      </c>
      <c r="U88" s="6">
        <f t="shared" si="10"/>
        <v>0</v>
      </c>
      <c r="V88" s="6">
        <f t="shared" si="10"/>
        <v>0</v>
      </c>
      <c r="W88" s="6">
        <f t="shared" si="10"/>
        <v>0</v>
      </c>
      <c r="X88" s="6">
        <f t="shared" si="7"/>
        <v>0</v>
      </c>
      <c r="Y88" s="7">
        <f>SUM(X89:X93)/I88</f>
        <v>237.94458373524026</v>
      </c>
      <c r="Z88" s="6"/>
      <c r="AA88" s="6"/>
      <c r="AB88" s="6"/>
      <c r="AC88" s="6"/>
      <c r="AD88" s="6"/>
      <c r="AE88" s="6"/>
      <c r="AF88" s="6"/>
    </row>
    <row r="89" spans="1:32" s="5" customFormat="1" ht="20.100000000000001" customHeight="1" x14ac:dyDescent="0.25">
      <c r="A89" s="7"/>
      <c r="B89" s="6" t="s">
        <v>140</v>
      </c>
      <c r="C89" s="9" t="s">
        <v>2</v>
      </c>
      <c r="D89" s="6">
        <v>20</v>
      </c>
      <c r="E89" s="6"/>
      <c r="F89" s="6">
        <v>2</v>
      </c>
      <c r="G89" s="8">
        <f>VLOOKUP(D89,$C$20:$F$26,3,0)</f>
        <v>1</v>
      </c>
      <c r="H89" s="8"/>
      <c r="I89" s="6"/>
      <c r="J89" s="6"/>
      <c r="K89" s="6"/>
      <c r="L89" s="6"/>
      <c r="M89" s="6"/>
      <c r="N89" s="6"/>
      <c r="O89" s="6">
        <f>(E88+2*(G89+(2*D89/1000)))*D88</f>
        <v>5.516</v>
      </c>
      <c r="P89" s="6">
        <f t="shared" ref="P89:P90" si="13">O89*F89</f>
        <v>11.032</v>
      </c>
      <c r="Q89" s="6">
        <f t="shared" si="10"/>
        <v>0</v>
      </c>
      <c r="R89" s="6">
        <f t="shared" si="10"/>
        <v>0</v>
      </c>
      <c r="S89" s="6">
        <f t="shared" si="10"/>
        <v>0</v>
      </c>
      <c r="T89" s="6">
        <f t="shared" si="10"/>
        <v>0</v>
      </c>
      <c r="U89" s="6">
        <f t="shared" si="10"/>
        <v>27.21752</v>
      </c>
      <c r="V89" s="6">
        <f t="shared" si="10"/>
        <v>0</v>
      </c>
      <c r="W89" s="6">
        <f t="shared" si="10"/>
        <v>0</v>
      </c>
      <c r="X89" s="6">
        <f t="shared" si="7"/>
        <v>27.21752</v>
      </c>
      <c r="Y89" s="6"/>
      <c r="Z89" s="6"/>
      <c r="AA89" s="6"/>
      <c r="AB89" s="6"/>
      <c r="AC89" s="6"/>
      <c r="AD89" s="6"/>
      <c r="AE89" s="6"/>
    </row>
    <row r="90" spans="1:32" s="5" customFormat="1" ht="20.100000000000001" customHeight="1" x14ac:dyDescent="0.25">
      <c r="A90" s="7"/>
      <c r="B90" s="6" t="s">
        <v>140</v>
      </c>
      <c r="C90" s="9" t="s">
        <v>2</v>
      </c>
      <c r="D90" s="6">
        <v>16</v>
      </c>
      <c r="E90" s="6"/>
      <c r="F90" s="6">
        <v>2</v>
      </c>
      <c r="G90" s="8">
        <f>VLOOKUP(D90,$C$20:$F$26,3,0)</f>
        <v>0.8</v>
      </c>
      <c r="H90" s="8"/>
      <c r="I90" s="6"/>
      <c r="J90" s="6"/>
      <c r="K90" s="6"/>
      <c r="L90" s="6"/>
      <c r="M90" s="6"/>
      <c r="N90" s="6"/>
      <c r="O90" s="6">
        <f>(E88+2*(G90+(2*D90/1000)))*D88</f>
        <v>5.0999999999999996</v>
      </c>
      <c r="P90" s="6">
        <f t="shared" si="13"/>
        <v>10.199999999999999</v>
      </c>
      <c r="Q90" s="6">
        <f t="shared" si="10"/>
        <v>0</v>
      </c>
      <c r="R90" s="6">
        <f t="shared" si="10"/>
        <v>0</v>
      </c>
      <c r="S90" s="6">
        <f t="shared" si="10"/>
        <v>0</v>
      </c>
      <c r="T90" s="6">
        <f t="shared" si="10"/>
        <v>16.105508571428572</v>
      </c>
      <c r="U90" s="6">
        <f t="shared" si="10"/>
        <v>0</v>
      </c>
      <c r="V90" s="6">
        <f t="shared" si="10"/>
        <v>0</v>
      </c>
      <c r="W90" s="6">
        <f t="shared" si="10"/>
        <v>0</v>
      </c>
      <c r="X90" s="6">
        <f t="shared" si="7"/>
        <v>16.105508571428572</v>
      </c>
      <c r="Y90" s="6"/>
      <c r="Z90" s="6"/>
      <c r="AA90" s="6"/>
      <c r="AB90" s="6"/>
      <c r="AC90" s="6"/>
      <c r="AD90" s="6"/>
      <c r="AE90" s="6"/>
    </row>
    <row r="91" spans="1:32" s="5" customFormat="1" ht="20.100000000000001" customHeight="1" x14ac:dyDescent="0.25">
      <c r="A91" s="7"/>
      <c r="B91" s="6" t="s">
        <v>140</v>
      </c>
      <c r="C91" s="9" t="s">
        <v>1</v>
      </c>
      <c r="D91" s="6">
        <v>20</v>
      </c>
      <c r="E91" s="6"/>
      <c r="F91" s="6">
        <v>2</v>
      </c>
      <c r="G91" s="8">
        <f>VLOOKUP(D91,$C$20:$F$26,3,0)</f>
        <v>1</v>
      </c>
      <c r="H91" s="6"/>
      <c r="I91" s="6"/>
      <c r="J91" s="6"/>
      <c r="K91" s="6"/>
      <c r="L91" s="6"/>
      <c r="M91" s="6"/>
      <c r="N91" s="6"/>
      <c r="O91" s="6">
        <f>(E88+2*(G91+(2*D91/1000)))*D88</f>
        <v>5.516</v>
      </c>
      <c r="P91" s="6">
        <f>O91*F91</f>
        <v>11.032</v>
      </c>
      <c r="Q91" s="6">
        <f t="shared" si="10"/>
        <v>0</v>
      </c>
      <c r="R91" s="6">
        <f t="shared" si="10"/>
        <v>0</v>
      </c>
      <c r="S91" s="6">
        <f t="shared" si="10"/>
        <v>0</v>
      </c>
      <c r="T91" s="6">
        <f t="shared" si="10"/>
        <v>0</v>
      </c>
      <c r="U91" s="6">
        <f t="shared" si="10"/>
        <v>27.21752</v>
      </c>
      <c r="V91" s="6">
        <f t="shared" si="10"/>
        <v>0</v>
      </c>
      <c r="W91" s="6">
        <f t="shared" si="10"/>
        <v>0</v>
      </c>
      <c r="X91" s="6">
        <f t="shared" si="7"/>
        <v>27.21752</v>
      </c>
      <c r="Y91" s="6"/>
      <c r="Z91" s="6"/>
      <c r="AA91" s="6"/>
      <c r="AB91" s="6"/>
      <c r="AC91" s="6"/>
      <c r="AD91" s="6"/>
      <c r="AE91" s="6"/>
    </row>
    <row r="92" spans="1:32" s="5" customFormat="1" ht="20.100000000000001" customHeight="1" x14ac:dyDescent="0.25">
      <c r="A92" s="7"/>
      <c r="B92" s="6" t="s">
        <v>140</v>
      </c>
      <c r="C92" s="9" t="s">
        <v>64</v>
      </c>
      <c r="D92" s="6">
        <v>16</v>
      </c>
      <c r="E92" s="6"/>
      <c r="F92" s="6">
        <v>2</v>
      </c>
      <c r="G92" s="8">
        <f>VLOOKUP(D92,$C$20:$F$26,3,0)</f>
        <v>0.8</v>
      </c>
      <c r="H92" s="6"/>
      <c r="I92" s="6"/>
      <c r="J92" s="6"/>
      <c r="K92" s="6"/>
      <c r="L92" s="6"/>
      <c r="M92" s="6"/>
      <c r="N92" s="6"/>
      <c r="O92" s="6">
        <f>+E88+0.346</f>
        <v>3.782</v>
      </c>
      <c r="P92" s="6">
        <f>O92*F92</f>
        <v>7.5640000000000001</v>
      </c>
      <c r="Q92" s="6">
        <f t="shared" si="10"/>
        <v>0</v>
      </c>
      <c r="R92" s="6">
        <f t="shared" si="10"/>
        <v>0</v>
      </c>
      <c r="S92" s="6">
        <f t="shared" si="10"/>
        <v>0</v>
      </c>
      <c r="T92" s="6">
        <f t="shared" si="10"/>
        <v>11.943339885714286</v>
      </c>
      <c r="U92" s="6">
        <f t="shared" si="10"/>
        <v>0</v>
      </c>
      <c r="V92" s="6">
        <f t="shared" si="10"/>
        <v>0</v>
      </c>
      <c r="W92" s="6">
        <f t="shared" si="10"/>
        <v>0</v>
      </c>
      <c r="X92" s="6">
        <f t="shared" si="7"/>
        <v>11.943339885714286</v>
      </c>
      <c r="Y92" s="6"/>
      <c r="Z92" s="6"/>
      <c r="AA92" s="6"/>
      <c r="AB92" s="6"/>
      <c r="AC92" s="6"/>
      <c r="AD92" s="6"/>
      <c r="AE92" s="6"/>
    </row>
    <row r="93" spans="1:32" s="5" customFormat="1" ht="20.100000000000001" customHeight="1" x14ac:dyDescent="0.25">
      <c r="A93" s="7"/>
      <c r="B93" s="6" t="s">
        <v>140</v>
      </c>
      <c r="C93" s="9" t="s">
        <v>0</v>
      </c>
      <c r="D93" s="6">
        <v>10</v>
      </c>
      <c r="E93" s="6">
        <v>0.1</v>
      </c>
      <c r="F93" s="6">
        <f>+ROUND(E88/E93,0)+1</f>
        <v>35</v>
      </c>
      <c r="H93" s="6"/>
      <c r="I93" s="6"/>
      <c r="J93" s="6"/>
      <c r="K93" s="6"/>
      <c r="L93" s="6"/>
      <c r="M93" s="6"/>
      <c r="N93" s="6"/>
      <c r="O93" s="6">
        <f>(2*((G88-(2*$D$11))+(F88-(2*$D$11)))+(2*10*D93/1000))*D88</f>
        <v>1.8599999999999999</v>
      </c>
      <c r="P93" s="6">
        <f>O93*F93</f>
        <v>65.099999999999994</v>
      </c>
      <c r="Q93" s="6">
        <f t="shared" si="10"/>
        <v>0</v>
      </c>
      <c r="R93" s="6">
        <f t="shared" si="10"/>
        <v>40.152749999999997</v>
      </c>
      <c r="S93" s="6">
        <f t="shared" si="10"/>
        <v>0</v>
      </c>
      <c r="T93" s="6">
        <f t="shared" si="10"/>
        <v>0</v>
      </c>
      <c r="U93" s="6">
        <f t="shared" si="10"/>
        <v>0</v>
      </c>
      <c r="V93" s="6">
        <f t="shared" si="10"/>
        <v>0</v>
      </c>
      <c r="W93" s="6">
        <f t="shared" si="10"/>
        <v>0</v>
      </c>
      <c r="X93" s="6">
        <f t="shared" si="7"/>
        <v>40.152749999999997</v>
      </c>
      <c r="Y93" s="6"/>
      <c r="Z93" s="6"/>
      <c r="AA93" s="6"/>
      <c r="AB93" s="6"/>
      <c r="AC93" s="6"/>
      <c r="AD93" s="6"/>
      <c r="AE93" s="6"/>
    </row>
    <row r="94" spans="1:32" s="5" customFormat="1" ht="21" customHeight="1" x14ac:dyDescent="0.25">
      <c r="A94" s="6">
        <f>+A88+1</f>
        <v>7</v>
      </c>
      <c r="B94" s="6" t="s">
        <v>140</v>
      </c>
      <c r="C94" s="11" t="s">
        <v>16</v>
      </c>
      <c r="D94" s="11">
        <v>1</v>
      </c>
      <c r="E94" s="11">
        <v>3.0880000000000001</v>
      </c>
      <c r="F94" s="11">
        <v>0.2</v>
      </c>
      <c r="G94" s="11">
        <v>0.75</v>
      </c>
      <c r="H94" s="6">
        <f>G94-0.2</f>
        <v>0.55000000000000004</v>
      </c>
      <c r="I94" s="6">
        <f>E94*F94*G94*D94</f>
        <v>0.46320000000000006</v>
      </c>
      <c r="J94" s="6">
        <f>(2*(E94)*H94*D94)+(E94*F94)</f>
        <v>4.0144000000000002</v>
      </c>
      <c r="K94" s="10">
        <f>IF(E94=0.3,J94,0)</f>
        <v>0</v>
      </c>
      <c r="L94" s="10">
        <f>IF(AND(E94&gt;0.3,E94&lt;=0.75),J94,0)</f>
        <v>0</v>
      </c>
      <c r="M94" s="10">
        <f>IF(AND(E94&gt;0.75,E94&lt;=1.2),J94,0)</f>
        <v>0</v>
      </c>
      <c r="N94" s="10">
        <f>IF(E94&gt;1.2,J94,0)</f>
        <v>4.0144000000000002</v>
      </c>
      <c r="O94" s="6"/>
      <c r="P94" s="6"/>
      <c r="Q94" s="6">
        <f t="shared" si="10"/>
        <v>0</v>
      </c>
      <c r="R94" s="6">
        <f t="shared" si="10"/>
        <v>0</v>
      </c>
      <c r="S94" s="6">
        <f t="shared" si="10"/>
        <v>0</v>
      </c>
      <c r="T94" s="6">
        <f t="shared" si="10"/>
        <v>0</v>
      </c>
      <c r="U94" s="6">
        <f t="shared" si="10"/>
        <v>0</v>
      </c>
      <c r="V94" s="6">
        <f t="shared" si="10"/>
        <v>0</v>
      </c>
      <c r="W94" s="6">
        <f t="shared" si="10"/>
        <v>0</v>
      </c>
      <c r="X94" s="6">
        <f t="shared" si="7"/>
        <v>0</v>
      </c>
      <c r="Y94" s="7">
        <f>SUM(X95:X97)/I94</f>
        <v>224.53300962250182</v>
      </c>
      <c r="Z94" s="6"/>
      <c r="AA94" s="6"/>
      <c r="AB94" s="6"/>
      <c r="AC94" s="6"/>
      <c r="AD94" s="6"/>
      <c r="AE94" s="6"/>
      <c r="AF94" s="6"/>
    </row>
    <row r="95" spans="1:32" s="5" customFormat="1" ht="20.100000000000001" customHeight="1" x14ac:dyDescent="0.25">
      <c r="A95" s="7"/>
      <c r="B95" s="6" t="s">
        <v>140</v>
      </c>
      <c r="C95" s="9" t="s">
        <v>2</v>
      </c>
      <c r="D95" s="6">
        <v>16</v>
      </c>
      <c r="E95" s="6"/>
      <c r="F95" s="6">
        <v>4</v>
      </c>
      <c r="G95" s="8">
        <f>VLOOKUP(D95,$C$20:$F$26,3,0)</f>
        <v>0.8</v>
      </c>
      <c r="H95" s="8"/>
      <c r="I95" s="6"/>
      <c r="J95" s="6"/>
      <c r="K95" s="6"/>
      <c r="L95" s="6"/>
      <c r="M95" s="6"/>
      <c r="N95" s="6"/>
      <c r="O95" s="6">
        <f>(E94+2*(G95+(2*D95/1000)))*D94</f>
        <v>4.7520000000000007</v>
      </c>
      <c r="P95" s="6">
        <f t="shared" ref="P95" si="14">O95*F95</f>
        <v>19.008000000000003</v>
      </c>
      <c r="Q95" s="6">
        <f t="shared" si="10"/>
        <v>0</v>
      </c>
      <c r="R95" s="6">
        <f t="shared" si="10"/>
        <v>0</v>
      </c>
      <c r="S95" s="6">
        <f t="shared" si="10"/>
        <v>0</v>
      </c>
      <c r="T95" s="6">
        <f t="shared" ref="Q95:W131" si="15">IF($D95=T$36,$P95*T$37,0)</f>
        <v>30.013088914285721</v>
      </c>
      <c r="U95" s="6">
        <f t="shared" si="15"/>
        <v>0</v>
      </c>
      <c r="V95" s="6">
        <f t="shared" si="15"/>
        <v>0</v>
      </c>
      <c r="W95" s="6">
        <f t="shared" si="15"/>
        <v>0</v>
      </c>
      <c r="X95" s="6">
        <f t="shared" si="7"/>
        <v>30.013088914285721</v>
      </c>
      <c r="Y95" s="6"/>
      <c r="Z95" s="6"/>
      <c r="AA95" s="6"/>
      <c r="AB95" s="6"/>
      <c r="AC95" s="6"/>
      <c r="AD95" s="6"/>
      <c r="AE95" s="6"/>
    </row>
    <row r="96" spans="1:32" s="5" customFormat="1" ht="20.100000000000001" customHeight="1" x14ac:dyDescent="0.25">
      <c r="A96" s="7"/>
      <c r="B96" s="6" t="s">
        <v>140</v>
      </c>
      <c r="C96" s="9" t="s">
        <v>1</v>
      </c>
      <c r="D96" s="6">
        <v>20</v>
      </c>
      <c r="E96" s="6"/>
      <c r="F96" s="6">
        <v>4</v>
      </c>
      <c r="G96" s="8">
        <f>VLOOKUP(D96,$C$20:$F$26,3,0)</f>
        <v>1</v>
      </c>
      <c r="H96" s="6"/>
      <c r="I96" s="6"/>
      <c r="J96" s="6"/>
      <c r="K96" s="6"/>
      <c r="L96" s="6"/>
      <c r="M96" s="6"/>
      <c r="N96" s="6"/>
      <c r="O96" s="6">
        <f>(E94+2*(G96+(2*D96/1000)))*D94</f>
        <v>5.1680000000000001</v>
      </c>
      <c r="P96" s="6">
        <f>O96*F96</f>
        <v>20.672000000000001</v>
      </c>
      <c r="Q96" s="6">
        <f t="shared" si="15"/>
        <v>0</v>
      </c>
      <c r="R96" s="6">
        <f t="shared" si="15"/>
        <v>0</v>
      </c>
      <c r="S96" s="6">
        <f t="shared" si="15"/>
        <v>0</v>
      </c>
      <c r="T96" s="6">
        <f t="shared" si="15"/>
        <v>0</v>
      </c>
      <c r="U96" s="6">
        <f t="shared" si="15"/>
        <v>51.000777142857146</v>
      </c>
      <c r="V96" s="6">
        <f t="shared" si="15"/>
        <v>0</v>
      </c>
      <c r="W96" s="6">
        <f t="shared" si="15"/>
        <v>0</v>
      </c>
      <c r="X96" s="6">
        <f t="shared" si="7"/>
        <v>51.000777142857146</v>
      </c>
      <c r="Y96" s="6"/>
      <c r="Z96" s="6"/>
      <c r="AA96" s="6"/>
      <c r="AB96" s="6"/>
      <c r="AC96" s="6"/>
      <c r="AD96" s="6"/>
      <c r="AE96" s="6"/>
    </row>
    <row r="97" spans="1:32" s="5" customFormat="1" ht="20.100000000000001" customHeight="1" x14ac:dyDescent="0.25">
      <c r="A97" s="7"/>
      <c r="B97" s="6" t="s">
        <v>140</v>
      </c>
      <c r="C97" s="9" t="s">
        <v>0</v>
      </c>
      <c r="D97" s="6">
        <v>8</v>
      </c>
      <c r="E97" s="6">
        <v>0.1</v>
      </c>
      <c r="F97" s="6">
        <f>+ROUND(E94/E97,0)+1</f>
        <v>32</v>
      </c>
      <c r="H97" s="6"/>
      <c r="I97" s="6"/>
      <c r="J97" s="6"/>
      <c r="K97" s="6"/>
      <c r="L97" s="6"/>
      <c r="M97" s="6"/>
      <c r="N97" s="6"/>
      <c r="O97" s="6">
        <f>(2*((G94-(2*$D$11))+(F94-(2*$D$11)))+(2*10*D97/1000))*D94</f>
        <v>1.8199999999999998</v>
      </c>
      <c r="P97" s="6">
        <f>O97*F97</f>
        <v>58.239999999999995</v>
      </c>
      <c r="Q97" s="6">
        <f t="shared" si="15"/>
        <v>22.989823999999999</v>
      </c>
      <c r="R97" s="6">
        <f t="shared" si="15"/>
        <v>0</v>
      </c>
      <c r="S97" s="6">
        <f t="shared" si="15"/>
        <v>0</v>
      </c>
      <c r="T97" s="6">
        <f t="shared" si="15"/>
        <v>0</v>
      </c>
      <c r="U97" s="6">
        <f t="shared" si="15"/>
        <v>0</v>
      </c>
      <c r="V97" s="6">
        <f t="shared" si="15"/>
        <v>0</v>
      </c>
      <c r="W97" s="6">
        <f t="shared" si="15"/>
        <v>0</v>
      </c>
      <c r="X97" s="6">
        <f t="shared" si="7"/>
        <v>22.989823999999999</v>
      </c>
      <c r="Y97" s="6"/>
      <c r="Z97" s="6"/>
      <c r="AA97" s="6"/>
      <c r="AB97" s="6"/>
      <c r="AC97" s="6"/>
      <c r="AD97" s="6"/>
      <c r="AE97" s="6"/>
    </row>
    <row r="98" spans="1:32" s="12" customFormat="1" ht="20.100000000000001" customHeight="1" x14ac:dyDescent="0.25">
      <c r="B98" s="6" t="s">
        <v>140</v>
      </c>
      <c r="C98" s="9" t="s">
        <v>25</v>
      </c>
      <c r="D98" s="6">
        <f>+D97</f>
        <v>8</v>
      </c>
      <c r="E98" s="6">
        <f>+E97</f>
        <v>0.1</v>
      </c>
      <c r="F98" s="12">
        <f>+F97</f>
        <v>32</v>
      </c>
      <c r="G98" s="5"/>
      <c r="O98" s="3">
        <f>((((G94-(2*$D$11))+(2*10*D98/1000))*D94))*2</f>
        <v>1.7</v>
      </c>
      <c r="P98" s="6">
        <f>O98*F98</f>
        <v>54.4</v>
      </c>
      <c r="Q98" s="6">
        <f t="shared" si="15"/>
        <v>21.47401142857143</v>
      </c>
      <c r="R98" s="6">
        <f t="shared" si="15"/>
        <v>0</v>
      </c>
      <c r="S98" s="6">
        <f t="shared" si="15"/>
        <v>0</v>
      </c>
      <c r="T98" s="6">
        <f t="shared" si="15"/>
        <v>0</v>
      </c>
      <c r="U98" s="6">
        <f t="shared" si="15"/>
        <v>0</v>
      </c>
      <c r="V98" s="6">
        <f t="shared" si="15"/>
        <v>0</v>
      </c>
      <c r="W98" s="6">
        <f t="shared" si="15"/>
        <v>0</v>
      </c>
      <c r="X98" s="6">
        <f t="shared" si="7"/>
        <v>21.47401142857143</v>
      </c>
    </row>
    <row r="99" spans="1:32" s="5" customFormat="1" ht="21" customHeight="1" x14ac:dyDescent="0.25">
      <c r="A99" s="3">
        <f>+A94+1</f>
        <v>8</v>
      </c>
      <c r="B99" s="6" t="s">
        <v>140</v>
      </c>
      <c r="C99" s="11" t="s">
        <v>15</v>
      </c>
      <c r="D99" s="11">
        <v>1</v>
      </c>
      <c r="E99" s="11">
        <v>6.9</v>
      </c>
      <c r="F99" s="11">
        <v>0.4</v>
      </c>
      <c r="G99" s="11">
        <v>0.75</v>
      </c>
      <c r="H99" s="6">
        <f>G99-0.2</f>
        <v>0.55000000000000004</v>
      </c>
      <c r="I99" s="6">
        <f>E99*F99*G99*D99</f>
        <v>2.0700000000000003</v>
      </c>
      <c r="J99" s="6">
        <f>(2*(E99)*H99*D99)+(E99*F99)</f>
        <v>10.350000000000001</v>
      </c>
      <c r="K99" s="10">
        <f>IF(E99=0.3,J99,0)</f>
        <v>0</v>
      </c>
      <c r="L99" s="10">
        <f>IF(AND(E99&gt;0.3,E99&lt;=0.75),J99,0)</f>
        <v>0</v>
      </c>
      <c r="M99" s="10">
        <f>IF(AND(E99&gt;0.75,E99&lt;=1.2),J99,0)</f>
        <v>0</v>
      </c>
      <c r="N99" s="10">
        <f>IF(E99&gt;1.2,J99,0)</f>
        <v>10.350000000000001</v>
      </c>
      <c r="O99" s="6"/>
      <c r="P99" s="6"/>
      <c r="Q99" s="6">
        <f t="shared" si="15"/>
        <v>0</v>
      </c>
      <c r="R99" s="6">
        <f t="shared" si="15"/>
        <v>0</v>
      </c>
      <c r="S99" s="6">
        <f t="shared" si="15"/>
        <v>0</v>
      </c>
      <c r="T99" s="6">
        <f t="shared" si="15"/>
        <v>0</v>
      </c>
      <c r="U99" s="6">
        <f t="shared" si="15"/>
        <v>0</v>
      </c>
      <c r="V99" s="6">
        <f t="shared" si="15"/>
        <v>0</v>
      </c>
      <c r="W99" s="6">
        <f t="shared" si="15"/>
        <v>0</v>
      </c>
      <c r="X99" s="6">
        <f t="shared" si="7"/>
        <v>0</v>
      </c>
      <c r="Y99" s="7">
        <f>SUM(X100:X108)/I99</f>
        <v>167.28600398205654</v>
      </c>
      <c r="Z99" s="6"/>
      <c r="AA99" s="6"/>
      <c r="AB99" s="6"/>
      <c r="AC99" s="6"/>
      <c r="AD99" s="6"/>
      <c r="AE99" s="6"/>
      <c r="AF99" s="6"/>
    </row>
    <row r="100" spans="1:32" s="5" customFormat="1" ht="20.100000000000001" customHeight="1" x14ac:dyDescent="0.25">
      <c r="A100" s="7"/>
      <c r="B100" s="6" t="s">
        <v>140</v>
      </c>
      <c r="C100" s="9" t="s">
        <v>2</v>
      </c>
      <c r="D100" s="6">
        <v>16</v>
      </c>
      <c r="E100" s="6"/>
      <c r="F100" s="6">
        <v>4</v>
      </c>
      <c r="G100" s="8">
        <f>VLOOKUP(D100,$C$20:$F$26,3,0)</f>
        <v>0.8</v>
      </c>
      <c r="H100" s="8"/>
      <c r="I100" s="6"/>
      <c r="J100" s="6"/>
      <c r="K100" s="6"/>
      <c r="L100" s="6"/>
      <c r="M100" s="6"/>
      <c r="N100" s="6"/>
      <c r="O100" s="6">
        <f>(E99+2*(G100+(2*D100/1000)))*D99</f>
        <v>8.5640000000000001</v>
      </c>
      <c r="P100" s="6">
        <f t="shared" ref="P100:P106" si="16">O100*F100</f>
        <v>34.256</v>
      </c>
      <c r="Q100" s="6">
        <f t="shared" si="15"/>
        <v>0</v>
      </c>
      <c r="R100" s="6">
        <f t="shared" si="15"/>
        <v>0</v>
      </c>
      <c r="S100" s="6">
        <f t="shared" si="15"/>
        <v>0</v>
      </c>
      <c r="T100" s="6">
        <f t="shared" si="15"/>
        <v>54.089245257142863</v>
      </c>
      <c r="U100" s="6">
        <f t="shared" si="15"/>
        <v>0</v>
      </c>
      <c r="V100" s="6">
        <f t="shared" si="15"/>
        <v>0</v>
      </c>
      <c r="W100" s="6">
        <f t="shared" si="15"/>
        <v>0</v>
      </c>
      <c r="X100" s="6">
        <f t="shared" si="7"/>
        <v>54.089245257142863</v>
      </c>
      <c r="Y100" s="6"/>
      <c r="Z100" s="6"/>
      <c r="AA100" s="6"/>
      <c r="AB100" s="6"/>
      <c r="AC100" s="6"/>
      <c r="AD100" s="6"/>
      <c r="AE100" s="6"/>
    </row>
    <row r="101" spans="1:32" s="5" customFormat="1" ht="20.100000000000001" customHeight="1" x14ac:dyDescent="0.25">
      <c r="A101" s="7"/>
      <c r="B101" s="6" t="s">
        <v>140</v>
      </c>
      <c r="C101" s="9" t="s">
        <v>2</v>
      </c>
      <c r="D101" s="6">
        <v>16</v>
      </c>
      <c r="E101" s="6"/>
      <c r="F101" s="6">
        <v>4</v>
      </c>
      <c r="G101" s="8">
        <f>VLOOKUP(D101,$C$20:$F$26,3,0)</f>
        <v>0.8</v>
      </c>
      <c r="H101" s="8"/>
      <c r="I101" s="6"/>
      <c r="J101" s="6"/>
      <c r="K101" s="6"/>
      <c r="L101" s="6"/>
      <c r="M101" s="6"/>
      <c r="N101" s="6"/>
      <c r="O101" s="6">
        <f>(1.8+1*(G101+(2*D101/1000)))*D99</f>
        <v>2.6320000000000001</v>
      </c>
      <c r="P101" s="6">
        <f t="shared" si="16"/>
        <v>10.528</v>
      </c>
      <c r="Q101" s="6">
        <f t="shared" si="15"/>
        <v>0</v>
      </c>
      <c r="R101" s="6">
        <f t="shared" si="15"/>
        <v>0</v>
      </c>
      <c r="S101" s="6">
        <f t="shared" si="15"/>
        <v>0</v>
      </c>
      <c r="T101" s="6">
        <f t="shared" si="15"/>
        <v>16.623411200000003</v>
      </c>
      <c r="U101" s="6">
        <f t="shared" si="15"/>
        <v>0</v>
      </c>
      <c r="V101" s="6">
        <f t="shared" si="15"/>
        <v>0</v>
      </c>
      <c r="W101" s="6">
        <f t="shared" si="15"/>
        <v>0</v>
      </c>
      <c r="X101" s="6">
        <f t="shared" si="7"/>
        <v>16.623411200000003</v>
      </c>
      <c r="Y101" s="6"/>
      <c r="Z101" s="6"/>
      <c r="AA101" s="6"/>
      <c r="AB101" s="6"/>
      <c r="AC101" s="6"/>
      <c r="AD101" s="6"/>
      <c r="AE101" s="6"/>
    </row>
    <row r="102" spans="1:32" s="5" customFormat="1" ht="20.100000000000001" customHeight="1" x14ac:dyDescent="0.25">
      <c r="A102" s="7"/>
      <c r="B102" s="6" t="s">
        <v>140</v>
      </c>
      <c r="C102" s="9" t="s">
        <v>1</v>
      </c>
      <c r="D102" s="6">
        <v>20</v>
      </c>
      <c r="E102" s="6"/>
      <c r="F102" s="6">
        <v>4</v>
      </c>
      <c r="G102" s="8">
        <f>VLOOKUP(D102,$C$20:$F$26,3,0)</f>
        <v>1</v>
      </c>
      <c r="H102" s="6"/>
      <c r="I102" s="6"/>
      <c r="J102" s="6"/>
      <c r="K102" s="6"/>
      <c r="L102" s="6"/>
      <c r="M102" s="6"/>
      <c r="N102" s="6"/>
      <c r="O102" s="6">
        <f>(E99+2*(G102+(2*D102/1000)))*D99</f>
        <v>8.98</v>
      </c>
      <c r="P102" s="6">
        <f t="shared" si="16"/>
        <v>35.92</v>
      </c>
      <c r="Q102" s="6">
        <f t="shared" si="15"/>
        <v>0</v>
      </c>
      <c r="R102" s="6">
        <f t="shared" si="15"/>
        <v>0</v>
      </c>
      <c r="S102" s="6">
        <f t="shared" si="15"/>
        <v>0</v>
      </c>
      <c r="T102" s="6">
        <f t="shared" si="15"/>
        <v>0</v>
      </c>
      <c r="U102" s="6">
        <f t="shared" si="15"/>
        <v>88.619771428571426</v>
      </c>
      <c r="V102" s="6">
        <f t="shared" si="15"/>
        <v>0</v>
      </c>
      <c r="W102" s="6">
        <f t="shared" si="15"/>
        <v>0</v>
      </c>
      <c r="X102" s="6">
        <f t="shared" si="7"/>
        <v>88.619771428571426</v>
      </c>
      <c r="Y102" s="6"/>
      <c r="Z102" s="6"/>
      <c r="AA102" s="6"/>
      <c r="AB102" s="6"/>
      <c r="AC102" s="6"/>
      <c r="AD102" s="6"/>
      <c r="AE102" s="6"/>
    </row>
    <row r="103" spans="1:32" s="5" customFormat="1" ht="20.100000000000001" customHeight="1" x14ac:dyDescent="0.25">
      <c r="A103" s="7"/>
      <c r="B103" s="6" t="s">
        <v>140</v>
      </c>
      <c r="C103" s="9" t="s">
        <v>64</v>
      </c>
      <c r="D103" s="6">
        <v>16</v>
      </c>
      <c r="E103" s="6"/>
      <c r="F103" s="6">
        <v>4</v>
      </c>
      <c r="G103" s="8">
        <f>VLOOKUP(D103,$C$20:$F$26,3,0)</f>
        <v>0.8</v>
      </c>
      <c r="H103" s="6"/>
      <c r="I103" s="6"/>
      <c r="J103" s="6"/>
      <c r="K103" s="6"/>
      <c r="L103" s="6"/>
      <c r="M103" s="6"/>
      <c r="N103" s="6"/>
      <c r="O103" s="6">
        <f>+E99-0.6-0.6</f>
        <v>5.7000000000000011</v>
      </c>
      <c r="P103" s="6">
        <f t="shared" si="16"/>
        <v>22.800000000000004</v>
      </c>
      <c r="Q103" s="6">
        <f t="shared" si="15"/>
        <v>0</v>
      </c>
      <c r="R103" s="6">
        <f t="shared" si="15"/>
        <v>0</v>
      </c>
      <c r="S103" s="6">
        <f t="shared" si="15"/>
        <v>0</v>
      </c>
      <c r="T103" s="6">
        <f t="shared" si="15"/>
        <v>36.000548571428581</v>
      </c>
      <c r="U103" s="6">
        <f t="shared" si="15"/>
        <v>0</v>
      </c>
      <c r="V103" s="6">
        <f t="shared" si="15"/>
        <v>0</v>
      </c>
      <c r="W103" s="6">
        <f t="shared" si="15"/>
        <v>0</v>
      </c>
      <c r="X103" s="6">
        <f t="shared" si="7"/>
        <v>36.000548571428581</v>
      </c>
      <c r="Y103" s="6"/>
      <c r="Z103" s="6"/>
      <c r="AA103" s="6"/>
      <c r="AB103" s="6"/>
      <c r="AC103" s="6"/>
      <c r="AD103" s="6"/>
      <c r="AE103" s="6"/>
    </row>
    <row r="104" spans="1:32" s="5" customFormat="1" ht="20.100000000000001" customHeight="1" x14ac:dyDescent="0.25">
      <c r="A104" s="7"/>
      <c r="B104" s="6" t="s">
        <v>140</v>
      </c>
      <c r="C104" s="9" t="s">
        <v>0</v>
      </c>
      <c r="D104" s="6">
        <v>10</v>
      </c>
      <c r="E104" s="6">
        <v>0.1</v>
      </c>
      <c r="F104" s="6">
        <f>ROUND(IF(E99/3&gt;(2*G99),(E99/3)/E104,(2*G99)/E104),0)*2+1</f>
        <v>47</v>
      </c>
      <c r="G104" s="8"/>
      <c r="H104" s="6"/>
      <c r="I104" s="6"/>
      <c r="J104" s="6"/>
      <c r="K104" s="6"/>
      <c r="L104" s="6"/>
      <c r="M104" s="6"/>
      <c r="N104" s="6"/>
      <c r="O104" s="6">
        <f>(2*((G99-(2*$D$11))+(F99-(2*$D$11)))+(2*10*D104/1000))*D99</f>
        <v>2.2600000000000002</v>
      </c>
      <c r="P104" s="6">
        <f t="shared" si="16"/>
        <v>106.22000000000001</v>
      </c>
      <c r="Q104" s="6">
        <f t="shared" si="15"/>
        <v>0</v>
      </c>
      <c r="R104" s="6">
        <f t="shared" si="15"/>
        <v>65.514978571428571</v>
      </c>
      <c r="S104" s="6">
        <f t="shared" si="15"/>
        <v>0</v>
      </c>
      <c r="T104" s="6">
        <f t="shared" si="15"/>
        <v>0</v>
      </c>
      <c r="U104" s="6">
        <f t="shared" si="15"/>
        <v>0</v>
      </c>
      <c r="V104" s="6">
        <f t="shared" si="15"/>
        <v>0</v>
      </c>
      <c r="W104" s="6">
        <f t="shared" si="15"/>
        <v>0</v>
      </c>
      <c r="X104" s="6">
        <f t="shared" si="7"/>
        <v>65.514978571428571</v>
      </c>
      <c r="Y104" s="6"/>
      <c r="Z104" s="6"/>
      <c r="AA104" s="6"/>
      <c r="AB104" s="6"/>
      <c r="AC104" s="6"/>
      <c r="AD104" s="6"/>
      <c r="AE104" s="6"/>
    </row>
    <row r="105" spans="1:32" s="12" customFormat="1" ht="20.100000000000001" customHeight="1" x14ac:dyDescent="0.25">
      <c r="B105" s="6" t="s">
        <v>140</v>
      </c>
      <c r="C105" s="9" t="s">
        <v>25</v>
      </c>
      <c r="D105" s="6">
        <f>+D104</f>
        <v>10</v>
      </c>
      <c r="E105" s="6">
        <f>+E104</f>
        <v>0.1</v>
      </c>
      <c r="F105" s="12">
        <f>+F104</f>
        <v>47</v>
      </c>
      <c r="G105" s="5"/>
      <c r="O105" s="3">
        <f>((((G99-(2*$D$11))+(2*10*D105/1000))*D99))*2</f>
        <v>1.7799999999999998</v>
      </c>
      <c r="P105" s="6">
        <f>O105*F105</f>
        <v>83.66</v>
      </c>
      <c r="Q105" s="6">
        <f t="shared" si="15"/>
        <v>0</v>
      </c>
      <c r="R105" s="6">
        <f t="shared" si="15"/>
        <v>51.600292857142854</v>
      </c>
      <c r="S105" s="6">
        <f t="shared" si="15"/>
        <v>0</v>
      </c>
      <c r="T105" s="6">
        <f t="shared" si="15"/>
        <v>0</v>
      </c>
      <c r="U105" s="6">
        <f t="shared" si="15"/>
        <v>0</v>
      </c>
      <c r="V105" s="6">
        <f t="shared" si="15"/>
        <v>0</v>
      </c>
      <c r="W105" s="6">
        <f t="shared" si="15"/>
        <v>0</v>
      </c>
      <c r="X105" s="6">
        <f t="shared" si="7"/>
        <v>51.600292857142854</v>
      </c>
    </row>
    <row r="106" spans="1:32" s="12" customFormat="1" ht="20.100000000000001" customHeight="1" x14ac:dyDescent="0.3">
      <c r="B106" s="6" t="s">
        <v>140</v>
      </c>
      <c r="C106" s="9" t="s">
        <v>0</v>
      </c>
      <c r="D106" s="12">
        <v>10</v>
      </c>
      <c r="E106" s="12">
        <v>0.2</v>
      </c>
      <c r="F106" s="12">
        <f>ROUND((E99-(IF(E99/3&gt;2*G99,E99/3*2,G99*2*2)))/E106,0)</f>
        <v>12</v>
      </c>
      <c r="O106" s="6">
        <f>(2*((G99-(2*$D$11))+(F99-(2*$D$11)))+(2*10*D106/1000))*D99</f>
        <v>2.2600000000000002</v>
      </c>
      <c r="P106" s="6">
        <f t="shared" si="16"/>
        <v>27.120000000000005</v>
      </c>
      <c r="Q106" s="6">
        <f t="shared" si="15"/>
        <v>0</v>
      </c>
      <c r="R106" s="6">
        <f t="shared" si="15"/>
        <v>16.727228571428572</v>
      </c>
      <c r="S106" s="6">
        <f t="shared" si="15"/>
        <v>0</v>
      </c>
      <c r="T106" s="6">
        <f t="shared" si="15"/>
        <v>0</v>
      </c>
      <c r="U106" s="6">
        <f t="shared" si="15"/>
        <v>0</v>
      </c>
      <c r="V106" s="6">
        <f t="shared" si="15"/>
        <v>0</v>
      </c>
      <c r="W106" s="6">
        <f t="shared" si="15"/>
        <v>0</v>
      </c>
      <c r="X106" s="6">
        <f t="shared" si="7"/>
        <v>16.727228571428572</v>
      </c>
    </row>
    <row r="107" spans="1:32" s="12" customFormat="1" ht="20.100000000000001" customHeight="1" x14ac:dyDescent="0.25">
      <c r="B107" s="6" t="s">
        <v>140</v>
      </c>
      <c r="C107" s="9" t="s">
        <v>25</v>
      </c>
      <c r="D107" s="6">
        <f>+D106</f>
        <v>10</v>
      </c>
      <c r="E107" s="6">
        <f>+E106</f>
        <v>0.2</v>
      </c>
      <c r="F107" s="12">
        <f>+F106</f>
        <v>12</v>
      </c>
      <c r="G107" s="5"/>
      <c r="O107" s="3">
        <f>((((G99-(2*$D$11))+(2*10*D107/1000))*D99))*2</f>
        <v>1.7799999999999998</v>
      </c>
      <c r="P107" s="6">
        <f>O107*F107</f>
        <v>21.36</v>
      </c>
      <c r="Q107" s="6">
        <f t="shared" si="15"/>
        <v>0</v>
      </c>
      <c r="R107" s="6">
        <f t="shared" si="15"/>
        <v>13.174542857142857</v>
      </c>
      <c r="S107" s="6">
        <f t="shared" si="15"/>
        <v>0</v>
      </c>
      <c r="T107" s="6">
        <f t="shared" si="15"/>
        <v>0</v>
      </c>
      <c r="U107" s="6">
        <f t="shared" si="15"/>
        <v>0</v>
      </c>
      <c r="V107" s="6">
        <f t="shared" si="15"/>
        <v>0</v>
      </c>
      <c r="W107" s="6">
        <f t="shared" si="15"/>
        <v>0</v>
      </c>
      <c r="X107" s="6">
        <f t="shared" ref="X107:X170" si="17">SUM(Q107:W107)</f>
        <v>13.174542857142857</v>
      </c>
    </row>
    <row r="108" spans="1:32" s="5" customFormat="1" ht="20.100000000000001" customHeight="1" x14ac:dyDescent="0.25">
      <c r="A108" s="7"/>
      <c r="B108" s="6" t="s">
        <v>140</v>
      </c>
      <c r="C108" s="9" t="s">
        <v>17</v>
      </c>
      <c r="D108" s="6">
        <f>+$D$15</f>
        <v>25</v>
      </c>
      <c r="E108" s="6">
        <f>+$E$15</f>
        <v>1</v>
      </c>
      <c r="F108" s="6">
        <f>ROUNDUP((1.8)/E108,0)+1</f>
        <v>3</v>
      </c>
      <c r="G108" s="8"/>
      <c r="H108" s="8"/>
      <c r="I108" s="6"/>
      <c r="J108" s="6"/>
      <c r="K108" s="6"/>
      <c r="L108" s="6"/>
      <c r="M108" s="6"/>
      <c r="N108" s="6"/>
      <c r="O108" s="6">
        <f>+F99-(2*$D$11)</f>
        <v>0.34</v>
      </c>
      <c r="P108" s="6">
        <f>O108*F108</f>
        <v>1.02</v>
      </c>
      <c r="Q108" s="6">
        <f t="shared" si="15"/>
        <v>0</v>
      </c>
      <c r="R108" s="6">
        <f t="shared" si="15"/>
        <v>0</v>
      </c>
      <c r="S108" s="6">
        <f t="shared" si="15"/>
        <v>0</v>
      </c>
      <c r="T108" s="6">
        <f t="shared" si="15"/>
        <v>0</v>
      </c>
      <c r="U108" s="6">
        <f t="shared" si="15"/>
        <v>0</v>
      </c>
      <c r="V108" s="6">
        <f t="shared" si="15"/>
        <v>3.9320089285714293</v>
      </c>
      <c r="W108" s="6">
        <f t="shared" si="15"/>
        <v>0</v>
      </c>
      <c r="X108" s="6">
        <f t="shared" si="17"/>
        <v>3.9320089285714293</v>
      </c>
      <c r="Y108" s="6"/>
      <c r="Z108" s="6"/>
      <c r="AA108" s="6"/>
      <c r="AB108" s="6"/>
      <c r="AC108" s="6"/>
      <c r="AD108" s="6"/>
      <c r="AE108" s="6"/>
    </row>
    <row r="109" spans="1:32" s="5" customFormat="1" ht="20.100000000000001" customHeight="1" x14ac:dyDescent="0.25">
      <c r="A109" s="6">
        <f>A99+1</f>
        <v>9</v>
      </c>
      <c r="B109" s="6" t="s">
        <v>140</v>
      </c>
      <c r="C109" s="11" t="s">
        <v>11</v>
      </c>
      <c r="D109" s="11">
        <v>1</v>
      </c>
      <c r="E109" s="11">
        <v>4.25</v>
      </c>
      <c r="F109" s="11">
        <v>0.7</v>
      </c>
      <c r="G109" s="11">
        <v>1.2</v>
      </c>
      <c r="H109" s="6">
        <f>G109-0.2</f>
        <v>1</v>
      </c>
      <c r="I109" s="6">
        <f>E109*F109*G109*D109</f>
        <v>3.5699999999999994</v>
      </c>
      <c r="J109" s="6">
        <f>(2*(E109)*H109*D109)+(E109*F109)</f>
        <v>11.475</v>
      </c>
      <c r="K109" s="10">
        <f>IF(E109=0.3,J109,0)</f>
        <v>0</v>
      </c>
      <c r="L109" s="10">
        <f>IF(AND(E109&gt;0.3,E109&lt;=0.75),J109,0)</f>
        <v>0</v>
      </c>
      <c r="M109" s="10">
        <f>IF(AND(E109&gt;0.75,E109&lt;=1.2),J109,0)</f>
        <v>0</v>
      </c>
      <c r="N109" s="10">
        <f>IF(E109&gt;1.2,J109,0)</f>
        <v>11.475</v>
      </c>
      <c r="O109" s="6"/>
      <c r="P109" s="6"/>
      <c r="Q109" s="6">
        <f t="shared" si="15"/>
        <v>0</v>
      </c>
      <c r="R109" s="6">
        <f t="shared" si="15"/>
        <v>0</v>
      </c>
      <c r="S109" s="6">
        <f t="shared" si="15"/>
        <v>0</v>
      </c>
      <c r="T109" s="6">
        <f t="shared" si="15"/>
        <v>0</v>
      </c>
      <c r="U109" s="6">
        <f t="shared" si="15"/>
        <v>0</v>
      </c>
      <c r="V109" s="6">
        <f t="shared" si="15"/>
        <v>0</v>
      </c>
      <c r="W109" s="6">
        <f t="shared" si="15"/>
        <v>0</v>
      </c>
      <c r="X109" s="6">
        <f t="shared" si="17"/>
        <v>0</v>
      </c>
      <c r="Y109" s="7">
        <f>SUM(X110:X117)/I109</f>
        <v>112.79586405762308</v>
      </c>
      <c r="Z109" s="6"/>
      <c r="AA109" s="6"/>
      <c r="AB109" s="6"/>
      <c r="AC109" s="6"/>
      <c r="AD109" s="6"/>
      <c r="AE109" s="6"/>
      <c r="AF109" s="6"/>
    </row>
    <row r="110" spans="1:32" s="5" customFormat="1" ht="20.100000000000001" customHeight="1" x14ac:dyDescent="0.25">
      <c r="A110" s="7"/>
      <c r="B110" s="6" t="s">
        <v>140</v>
      </c>
      <c r="C110" s="9" t="s">
        <v>2</v>
      </c>
      <c r="D110" s="6">
        <v>16</v>
      </c>
      <c r="E110" s="6"/>
      <c r="F110" s="6">
        <v>4</v>
      </c>
      <c r="G110" s="8">
        <f>VLOOKUP(D110,$C$20:$F$26,3,0)</f>
        <v>0.8</v>
      </c>
      <c r="H110" s="8"/>
      <c r="I110" s="6"/>
      <c r="J110" s="6"/>
      <c r="K110" s="6"/>
      <c r="L110" s="6"/>
      <c r="M110" s="6"/>
      <c r="N110" s="6"/>
      <c r="O110" s="6">
        <f>(E109+2*(G110+(2*D110/1000)))*D109</f>
        <v>5.9139999999999997</v>
      </c>
      <c r="P110" s="6">
        <f t="shared" ref="P110:P112" si="18">O110*F110</f>
        <v>23.655999999999999</v>
      </c>
      <c r="Q110" s="6">
        <f t="shared" si="15"/>
        <v>0</v>
      </c>
      <c r="R110" s="6">
        <f t="shared" si="15"/>
        <v>0</v>
      </c>
      <c r="S110" s="6">
        <f t="shared" si="15"/>
        <v>0</v>
      </c>
      <c r="T110" s="6">
        <f t="shared" si="15"/>
        <v>37.352148114285718</v>
      </c>
      <c r="U110" s="6">
        <f t="shared" si="15"/>
        <v>0</v>
      </c>
      <c r="V110" s="6">
        <f t="shared" si="15"/>
        <v>0</v>
      </c>
      <c r="W110" s="6">
        <f t="shared" si="15"/>
        <v>0</v>
      </c>
      <c r="X110" s="6">
        <f t="shared" si="17"/>
        <v>37.352148114285718</v>
      </c>
      <c r="Y110" s="6"/>
      <c r="Z110" s="6"/>
      <c r="AA110" s="6"/>
      <c r="AB110" s="6"/>
      <c r="AC110" s="6"/>
      <c r="AD110" s="6"/>
      <c r="AE110" s="6"/>
    </row>
    <row r="111" spans="1:32" s="5" customFormat="1" ht="20.100000000000001" customHeight="1" x14ac:dyDescent="0.25">
      <c r="A111" s="7"/>
      <c r="B111" s="6" t="s">
        <v>140</v>
      </c>
      <c r="C111" s="9" t="s">
        <v>14</v>
      </c>
      <c r="D111" s="6">
        <v>20</v>
      </c>
      <c r="E111" s="6"/>
      <c r="F111" s="6">
        <v>2</v>
      </c>
      <c r="G111" s="8">
        <f>VLOOKUP(D111,$C$20:$F$26,3,0)</f>
        <v>1</v>
      </c>
      <c r="H111" s="8"/>
      <c r="I111" s="6"/>
      <c r="J111" s="6"/>
      <c r="K111" s="6"/>
      <c r="L111" s="6"/>
      <c r="M111" s="6"/>
      <c r="N111" s="6"/>
      <c r="O111" s="6">
        <f>(E109+2*(G111+(2*D111/1000)))*D109</f>
        <v>6.33</v>
      </c>
      <c r="P111" s="6">
        <f t="shared" si="18"/>
        <v>12.66</v>
      </c>
      <c r="Q111" s="6">
        <f t="shared" si="15"/>
        <v>0</v>
      </c>
      <c r="R111" s="6">
        <f t="shared" si="15"/>
        <v>0</v>
      </c>
      <c r="S111" s="6">
        <f t="shared" si="15"/>
        <v>0</v>
      </c>
      <c r="T111" s="6">
        <f t="shared" si="15"/>
        <v>0</v>
      </c>
      <c r="U111" s="6">
        <f t="shared" si="15"/>
        <v>31.234028571428571</v>
      </c>
      <c r="V111" s="6">
        <f t="shared" si="15"/>
        <v>0</v>
      </c>
      <c r="W111" s="6">
        <f t="shared" si="15"/>
        <v>0</v>
      </c>
      <c r="X111" s="6">
        <f t="shared" si="17"/>
        <v>31.234028571428571</v>
      </c>
      <c r="Y111" s="6"/>
      <c r="Z111" s="6"/>
      <c r="AA111" s="6"/>
      <c r="AB111" s="6"/>
      <c r="AC111" s="6"/>
      <c r="AD111" s="6"/>
      <c r="AE111" s="6"/>
    </row>
    <row r="112" spans="1:32" s="5" customFormat="1" ht="20.100000000000001" customHeight="1" x14ac:dyDescent="0.25">
      <c r="A112" s="7"/>
      <c r="B112" s="6" t="s">
        <v>140</v>
      </c>
      <c r="C112" s="9" t="s">
        <v>1</v>
      </c>
      <c r="D112" s="6">
        <v>20</v>
      </c>
      <c r="E112" s="6"/>
      <c r="F112" s="6">
        <v>6</v>
      </c>
      <c r="G112" s="8">
        <f>VLOOKUP(D112,$C$20:$F$26,3,0)</f>
        <v>1</v>
      </c>
      <c r="H112" s="6"/>
      <c r="I112" s="6"/>
      <c r="J112" s="6"/>
      <c r="K112" s="6"/>
      <c r="L112" s="6"/>
      <c r="M112" s="6"/>
      <c r="N112" s="6"/>
      <c r="O112" s="6">
        <f>(E109+2*(G112+(2*D112/1000)))*D109</f>
        <v>6.33</v>
      </c>
      <c r="P112" s="6">
        <f t="shared" si="18"/>
        <v>37.980000000000004</v>
      </c>
      <c r="Q112" s="6">
        <f t="shared" si="15"/>
        <v>0</v>
      </c>
      <c r="R112" s="6">
        <f t="shared" si="15"/>
        <v>0</v>
      </c>
      <c r="S112" s="6">
        <f t="shared" si="15"/>
        <v>0</v>
      </c>
      <c r="T112" s="6">
        <f t="shared" si="15"/>
        <v>0</v>
      </c>
      <c r="U112" s="6">
        <f t="shared" si="15"/>
        <v>93.702085714285715</v>
      </c>
      <c r="V112" s="6">
        <f t="shared" si="15"/>
        <v>0</v>
      </c>
      <c r="W112" s="6">
        <f t="shared" si="15"/>
        <v>0</v>
      </c>
      <c r="X112" s="6">
        <f t="shared" si="17"/>
        <v>93.702085714285715</v>
      </c>
      <c r="Y112" s="6"/>
      <c r="Z112" s="6"/>
      <c r="AA112" s="6"/>
      <c r="AB112" s="6"/>
      <c r="AC112" s="6"/>
      <c r="AD112" s="6"/>
      <c r="AE112" s="6"/>
    </row>
    <row r="113" spans="1:32" s="5" customFormat="1" ht="20.100000000000001" customHeight="1" x14ac:dyDescent="0.25">
      <c r="A113" s="7"/>
      <c r="B113" s="6" t="s">
        <v>140</v>
      </c>
      <c r="C113" s="9" t="s">
        <v>132</v>
      </c>
      <c r="D113" s="6">
        <v>16</v>
      </c>
      <c r="E113" s="6"/>
      <c r="F113" s="6">
        <v>4</v>
      </c>
      <c r="G113" s="8">
        <f>VLOOKUP(D113,$C$20:$F$26,3,0)</f>
        <v>0.8</v>
      </c>
      <c r="H113" s="6"/>
      <c r="I113" s="6"/>
      <c r="J113" s="6"/>
      <c r="K113" s="6"/>
      <c r="L113" s="6"/>
      <c r="M113" s="6"/>
      <c r="N113" s="6"/>
      <c r="O113" s="6">
        <f>+E109</f>
        <v>4.25</v>
      </c>
      <c r="P113" s="6">
        <f>O113*F113</f>
        <v>17</v>
      </c>
      <c r="Q113" s="6">
        <f t="shared" si="15"/>
        <v>0</v>
      </c>
      <c r="R113" s="6">
        <f t="shared" si="15"/>
        <v>0</v>
      </c>
      <c r="S113" s="6">
        <f t="shared" si="15"/>
        <v>0</v>
      </c>
      <c r="T113" s="6">
        <f t="shared" si="15"/>
        <v>26.842514285714287</v>
      </c>
      <c r="U113" s="6">
        <f t="shared" si="15"/>
        <v>0</v>
      </c>
      <c r="V113" s="6">
        <f t="shared" si="15"/>
        <v>0</v>
      </c>
      <c r="W113" s="6">
        <f t="shared" si="15"/>
        <v>0</v>
      </c>
      <c r="X113" s="6">
        <f t="shared" si="17"/>
        <v>26.842514285714287</v>
      </c>
      <c r="Y113" s="6"/>
      <c r="Z113" s="6"/>
      <c r="AA113" s="6"/>
      <c r="AB113" s="6"/>
      <c r="AC113" s="6"/>
      <c r="AD113" s="6"/>
      <c r="AE113" s="6"/>
    </row>
    <row r="114" spans="1:32" s="5" customFormat="1" ht="20.100000000000001" customHeight="1" x14ac:dyDescent="0.25">
      <c r="A114" s="7"/>
      <c r="B114" s="6" t="s">
        <v>140</v>
      </c>
      <c r="C114" s="9" t="s">
        <v>0</v>
      </c>
      <c r="D114" s="6">
        <v>8</v>
      </c>
      <c r="E114" s="6">
        <v>0.1</v>
      </c>
      <c r="F114" s="6">
        <f>ROUND(IF(E109/3&gt;(2*G109),(E109/3)/E114,(2*G109)/E114),0)*2+1</f>
        <v>49</v>
      </c>
      <c r="G114" s="8"/>
      <c r="H114" s="6"/>
      <c r="I114" s="6"/>
      <c r="J114" s="6"/>
      <c r="K114" s="6"/>
      <c r="L114" s="6"/>
      <c r="M114" s="6"/>
      <c r="N114" s="6"/>
      <c r="O114" s="6">
        <f>(2*((G109-(2*$D$11))+(F109-(2*$D$11)))+(2*10*D114/1000))*D109</f>
        <v>3.7199999999999998</v>
      </c>
      <c r="P114" s="6">
        <f t="shared" ref="P114:P117" si="19">O114*F114</f>
        <v>182.28</v>
      </c>
      <c r="Q114" s="6">
        <f t="shared" si="15"/>
        <v>71.953728000000012</v>
      </c>
      <c r="R114" s="6">
        <f t="shared" si="15"/>
        <v>0</v>
      </c>
      <c r="S114" s="6">
        <f t="shared" si="15"/>
        <v>0</v>
      </c>
      <c r="T114" s="6">
        <f t="shared" si="15"/>
        <v>0</v>
      </c>
      <c r="U114" s="6">
        <f t="shared" si="15"/>
        <v>0</v>
      </c>
      <c r="V114" s="6">
        <f t="shared" si="15"/>
        <v>0</v>
      </c>
      <c r="W114" s="6">
        <f t="shared" si="15"/>
        <v>0</v>
      </c>
      <c r="X114" s="6">
        <f t="shared" si="17"/>
        <v>71.953728000000012</v>
      </c>
      <c r="Y114" s="6"/>
      <c r="Z114" s="6"/>
      <c r="AA114" s="6"/>
      <c r="AB114" s="6"/>
      <c r="AC114" s="6"/>
      <c r="AD114" s="6"/>
      <c r="AE114" s="6"/>
    </row>
    <row r="115" spans="1:32" s="12" customFormat="1" ht="20.100000000000001" customHeight="1" x14ac:dyDescent="0.25">
      <c r="B115" s="6" t="s">
        <v>140</v>
      </c>
      <c r="C115" s="9" t="s">
        <v>25</v>
      </c>
      <c r="D115" s="6">
        <f>+D114</f>
        <v>8</v>
      </c>
      <c r="E115" s="6">
        <f>+E114</f>
        <v>0.1</v>
      </c>
      <c r="F115" s="12">
        <f>+F114</f>
        <v>49</v>
      </c>
      <c r="G115" s="5"/>
      <c r="O115" s="3">
        <f>((((G109-(2*$D$11))+(2*10*D115/1000))*D109))*2*2</f>
        <v>5.1999999999999993</v>
      </c>
      <c r="P115" s="6">
        <f>O115*F115</f>
        <v>254.79999999999995</v>
      </c>
      <c r="Q115" s="6">
        <f t="shared" si="15"/>
        <v>100.58047999999999</v>
      </c>
      <c r="R115" s="6">
        <f t="shared" si="15"/>
        <v>0</v>
      </c>
      <c r="S115" s="6">
        <f t="shared" si="15"/>
        <v>0</v>
      </c>
      <c r="T115" s="6">
        <f t="shared" si="15"/>
        <v>0</v>
      </c>
      <c r="U115" s="6">
        <f t="shared" si="15"/>
        <v>0</v>
      </c>
      <c r="V115" s="6">
        <f t="shared" si="15"/>
        <v>0</v>
      </c>
      <c r="W115" s="6">
        <f t="shared" si="15"/>
        <v>0</v>
      </c>
      <c r="X115" s="6">
        <f t="shared" si="17"/>
        <v>100.58047999999999</v>
      </c>
    </row>
    <row r="116" spans="1:32" s="5" customFormat="1" ht="20.100000000000001" customHeight="1" x14ac:dyDescent="0.25">
      <c r="A116" s="7"/>
      <c r="B116" s="6" t="s">
        <v>131</v>
      </c>
      <c r="C116" s="9" t="s">
        <v>6</v>
      </c>
      <c r="D116" s="6">
        <v>10</v>
      </c>
      <c r="E116" s="6"/>
      <c r="F116" s="6">
        <f>5*2</f>
        <v>10</v>
      </c>
      <c r="G116" s="8">
        <f>VLOOKUP(D116,$C$20:$F$26,3,0)</f>
        <v>0.5</v>
      </c>
      <c r="H116" s="6"/>
      <c r="I116" s="6"/>
      <c r="J116" s="6"/>
      <c r="K116" s="6"/>
      <c r="L116" s="6"/>
      <c r="M116" s="6"/>
      <c r="N116" s="6"/>
      <c r="O116" s="6">
        <f>+E109</f>
        <v>4.25</v>
      </c>
      <c r="P116" s="6">
        <f t="shared" si="19"/>
        <v>42.5</v>
      </c>
      <c r="Q116" s="6">
        <f t="shared" si="15"/>
        <v>0</v>
      </c>
      <c r="R116" s="6">
        <f t="shared" si="15"/>
        <v>26.213392857142857</v>
      </c>
      <c r="S116" s="6">
        <f t="shared" si="15"/>
        <v>0</v>
      </c>
      <c r="T116" s="6">
        <f t="shared" si="15"/>
        <v>0</v>
      </c>
      <c r="U116" s="6">
        <f t="shared" si="15"/>
        <v>0</v>
      </c>
      <c r="V116" s="6">
        <f t="shared" si="15"/>
        <v>0</v>
      </c>
      <c r="W116" s="6">
        <f t="shared" si="15"/>
        <v>0</v>
      </c>
      <c r="X116" s="6">
        <f t="shared" si="17"/>
        <v>26.213392857142857</v>
      </c>
      <c r="Y116" s="6"/>
      <c r="Z116" s="6"/>
      <c r="AA116" s="6"/>
      <c r="AB116" s="6"/>
      <c r="AC116" s="6"/>
      <c r="AD116" s="6"/>
      <c r="AE116" s="6"/>
    </row>
    <row r="117" spans="1:32" s="5" customFormat="1" ht="20.100000000000001" customHeight="1" x14ac:dyDescent="0.25">
      <c r="A117" s="7"/>
      <c r="B117" s="6" t="s">
        <v>140</v>
      </c>
      <c r="C117" s="9" t="s">
        <v>17</v>
      </c>
      <c r="D117" s="6">
        <f>+$D$15</f>
        <v>25</v>
      </c>
      <c r="E117" s="6">
        <f>+$E$15</f>
        <v>1</v>
      </c>
      <c r="F117" s="6">
        <f>ROUNDUP((E109)/E117,0)+1</f>
        <v>6</v>
      </c>
      <c r="G117" s="8"/>
      <c r="H117" s="8"/>
      <c r="I117" s="6"/>
      <c r="J117" s="6"/>
      <c r="K117" s="6"/>
      <c r="L117" s="6"/>
      <c r="M117" s="6"/>
      <c r="N117" s="6"/>
      <c r="O117" s="6">
        <f>+F109-(2*$D$11)</f>
        <v>0.6399999999999999</v>
      </c>
      <c r="P117" s="6">
        <f t="shared" si="19"/>
        <v>3.8399999999999994</v>
      </c>
      <c r="Q117" s="6">
        <f t="shared" si="15"/>
        <v>0</v>
      </c>
      <c r="R117" s="6">
        <f t="shared" si="15"/>
        <v>0</v>
      </c>
      <c r="S117" s="6">
        <f t="shared" si="15"/>
        <v>0</v>
      </c>
      <c r="T117" s="6">
        <f t="shared" si="15"/>
        <v>0</v>
      </c>
      <c r="U117" s="6">
        <f t="shared" si="15"/>
        <v>0</v>
      </c>
      <c r="V117" s="6">
        <f t="shared" si="15"/>
        <v>14.802857142857142</v>
      </c>
      <c r="W117" s="6">
        <f t="shared" si="15"/>
        <v>0</v>
      </c>
      <c r="X117" s="6">
        <f t="shared" si="17"/>
        <v>14.802857142857142</v>
      </c>
      <c r="Y117" s="6"/>
      <c r="Z117" s="6"/>
      <c r="AA117" s="6"/>
      <c r="AB117" s="6"/>
      <c r="AC117" s="6"/>
      <c r="AD117" s="6"/>
      <c r="AE117" s="6"/>
    </row>
    <row r="118" spans="1:32" s="5" customFormat="1" ht="21" customHeight="1" x14ac:dyDescent="0.25">
      <c r="A118" s="6">
        <f>+A109+1</f>
        <v>10</v>
      </c>
      <c r="B118" s="6" t="s">
        <v>140</v>
      </c>
      <c r="C118" s="11" t="s">
        <v>13</v>
      </c>
      <c r="D118" s="11">
        <v>1</v>
      </c>
      <c r="E118" s="11">
        <v>3.7250000000000001</v>
      </c>
      <c r="F118" s="11">
        <v>0.75</v>
      </c>
      <c r="G118" s="11">
        <v>0.75</v>
      </c>
      <c r="H118" s="6">
        <f>G118-0.2</f>
        <v>0.55000000000000004</v>
      </c>
      <c r="I118" s="6">
        <f>E118*F118*G118*D118</f>
        <v>2.0953125000000004</v>
      </c>
      <c r="J118" s="6">
        <f>(2*(E118)*H118*D118)+(E118*F118)</f>
        <v>6.8912500000000003</v>
      </c>
      <c r="K118" s="10">
        <f>IF(E118=0.3,J118,0)</f>
        <v>0</v>
      </c>
      <c r="L118" s="10">
        <f>IF(AND(E118&gt;0.3,E118&lt;=0.75),J118,0)</f>
        <v>0</v>
      </c>
      <c r="M118" s="10">
        <f>IF(AND(E118&gt;0.75,E118&lt;=1.2),J118,0)</f>
        <v>0</v>
      </c>
      <c r="N118" s="10">
        <f>IF(E118&gt;1.2,J118,0)</f>
        <v>6.8912500000000003</v>
      </c>
      <c r="O118" s="6"/>
      <c r="P118" s="6"/>
      <c r="Q118" s="6">
        <f t="shared" si="15"/>
        <v>0</v>
      </c>
      <c r="R118" s="6">
        <f t="shared" si="15"/>
        <v>0</v>
      </c>
      <c r="S118" s="6">
        <f t="shared" si="15"/>
        <v>0</v>
      </c>
      <c r="T118" s="6">
        <f t="shared" si="15"/>
        <v>0</v>
      </c>
      <c r="U118" s="6">
        <f t="shared" si="15"/>
        <v>0</v>
      </c>
      <c r="V118" s="6">
        <f t="shared" si="15"/>
        <v>0</v>
      </c>
      <c r="W118" s="6">
        <f t="shared" si="15"/>
        <v>0</v>
      </c>
      <c r="X118" s="6">
        <f t="shared" si="17"/>
        <v>0</v>
      </c>
      <c r="Y118" s="7">
        <f>SUM(X119:X122)/I118</f>
        <v>82.635334306594217</v>
      </c>
      <c r="Z118" s="6"/>
      <c r="AA118" s="6"/>
      <c r="AB118" s="6"/>
      <c r="AC118" s="6"/>
      <c r="AD118" s="6"/>
      <c r="AE118" s="6"/>
      <c r="AF118" s="6"/>
    </row>
    <row r="119" spans="1:32" s="5" customFormat="1" ht="20.100000000000001" customHeight="1" x14ac:dyDescent="0.25">
      <c r="A119" s="7"/>
      <c r="B119" s="6" t="s">
        <v>140</v>
      </c>
      <c r="C119" s="9" t="s">
        <v>2</v>
      </c>
      <c r="D119" s="6">
        <v>16</v>
      </c>
      <c r="E119" s="6"/>
      <c r="F119" s="6">
        <v>6</v>
      </c>
      <c r="G119" s="8">
        <f>VLOOKUP(D119,$C$20:$F$26,3,0)</f>
        <v>0.8</v>
      </c>
      <c r="H119" s="8"/>
      <c r="I119" s="6"/>
      <c r="J119" s="6"/>
      <c r="K119" s="6"/>
      <c r="L119" s="6"/>
      <c r="M119" s="6"/>
      <c r="N119" s="6"/>
      <c r="O119" s="6">
        <f>(E118+2*(G119+(2*D119/1000)))*D118</f>
        <v>5.3890000000000002</v>
      </c>
      <c r="P119" s="6">
        <f t="shared" ref="P119:P122" si="20">O119*F119</f>
        <v>32.334000000000003</v>
      </c>
      <c r="Q119" s="6">
        <f t="shared" si="15"/>
        <v>0</v>
      </c>
      <c r="R119" s="6">
        <f t="shared" si="15"/>
        <v>0</v>
      </c>
      <c r="S119" s="6">
        <f t="shared" si="15"/>
        <v>0</v>
      </c>
      <c r="T119" s="6">
        <f t="shared" si="15"/>
        <v>51.054462171428582</v>
      </c>
      <c r="U119" s="6">
        <f t="shared" si="15"/>
        <v>0</v>
      </c>
      <c r="V119" s="6">
        <f t="shared" si="15"/>
        <v>0</v>
      </c>
      <c r="W119" s="6">
        <f t="shared" si="15"/>
        <v>0</v>
      </c>
      <c r="X119" s="6">
        <f t="shared" si="17"/>
        <v>51.054462171428582</v>
      </c>
      <c r="Y119" s="6"/>
      <c r="Z119" s="6"/>
      <c r="AA119" s="6"/>
      <c r="AB119" s="6"/>
      <c r="AC119" s="6"/>
      <c r="AD119" s="6"/>
      <c r="AE119" s="6"/>
    </row>
    <row r="120" spans="1:32" s="5" customFormat="1" ht="20.100000000000001" customHeight="1" x14ac:dyDescent="0.25">
      <c r="A120" s="7"/>
      <c r="B120" s="6" t="s">
        <v>140</v>
      </c>
      <c r="C120" s="9" t="s">
        <v>2</v>
      </c>
      <c r="D120" s="6">
        <v>20</v>
      </c>
      <c r="E120" s="6"/>
      <c r="F120" s="6">
        <v>6</v>
      </c>
      <c r="G120" s="8">
        <f>VLOOKUP(D120,$C$20:$F$26,3,0)</f>
        <v>1</v>
      </c>
      <c r="H120" s="8"/>
      <c r="I120" s="6"/>
      <c r="J120" s="6"/>
      <c r="K120" s="6"/>
      <c r="L120" s="6"/>
      <c r="M120" s="6"/>
      <c r="N120" s="6"/>
      <c r="O120" s="6">
        <f>(0.8+1*(G120+(2*D120/1000)))*D118</f>
        <v>1.84</v>
      </c>
      <c r="P120" s="6">
        <f t="shared" si="20"/>
        <v>11.040000000000001</v>
      </c>
      <c r="Q120" s="6">
        <f t="shared" si="15"/>
        <v>0</v>
      </c>
      <c r="R120" s="6">
        <f t="shared" si="15"/>
        <v>0</v>
      </c>
      <c r="S120" s="6">
        <f t="shared" si="15"/>
        <v>0</v>
      </c>
      <c r="T120" s="6">
        <f t="shared" si="15"/>
        <v>0</v>
      </c>
      <c r="U120" s="6">
        <f t="shared" si="15"/>
        <v>27.237257142857146</v>
      </c>
      <c r="V120" s="6">
        <f t="shared" si="15"/>
        <v>0</v>
      </c>
      <c r="W120" s="6">
        <f t="shared" si="15"/>
        <v>0</v>
      </c>
      <c r="X120" s="6">
        <f t="shared" si="17"/>
        <v>27.237257142857146</v>
      </c>
      <c r="Y120" s="6"/>
      <c r="Z120" s="6"/>
      <c r="AA120" s="6"/>
      <c r="AB120" s="6"/>
      <c r="AC120" s="6"/>
      <c r="AD120" s="6"/>
      <c r="AE120" s="6"/>
    </row>
    <row r="121" spans="1:32" s="5" customFormat="1" ht="20.100000000000001" customHeight="1" x14ac:dyDescent="0.25">
      <c r="A121" s="7"/>
      <c r="B121" s="6" t="s">
        <v>140</v>
      </c>
      <c r="C121" s="9" t="s">
        <v>1</v>
      </c>
      <c r="D121" s="6">
        <v>16</v>
      </c>
      <c r="E121" s="6"/>
      <c r="F121" s="6">
        <v>6</v>
      </c>
      <c r="G121" s="8">
        <f>VLOOKUP(D121,$C$20:$F$26,3,0)</f>
        <v>0.8</v>
      </c>
      <c r="H121" s="6"/>
      <c r="I121" s="6"/>
      <c r="J121" s="6"/>
      <c r="K121" s="6"/>
      <c r="L121" s="6"/>
      <c r="M121" s="6"/>
      <c r="N121" s="6"/>
      <c r="O121" s="6">
        <f>(E118+2*(G121+(2*D121/1000)))*D118</f>
        <v>5.3890000000000002</v>
      </c>
      <c r="P121" s="6">
        <f t="shared" si="20"/>
        <v>32.334000000000003</v>
      </c>
      <c r="Q121" s="6">
        <f t="shared" si="15"/>
        <v>0</v>
      </c>
      <c r="R121" s="6">
        <f t="shared" si="15"/>
        <v>0</v>
      </c>
      <c r="S121" s="6">
        <f t="shared" si="15"/>
        <v>0</v>
      </c>
      <c r="T121" s="6">
        <f t="shared" si="15"/>
        <v>51.054462171428582</v>
      </c>
      <c r="U121" s="6">
        <f t="shared" si="15"/>
        <v>0</v>
      </c>
      <c r="V121" s="6">
        <f t="shared" si="15"/>
        <v>0</v>
      </c>
      <c r="W121" s="6">
        <f t="shared" si="15"/>
        <v>0</v>
      </c>
      <c r="X121" s="6">
        <f t="shared" si="17"/>
        <v>51.054462171428582</v>
      </c>
      <c r="Y121" s="6"/>
      <c r="Z121" s="6"/>
      <c r="AA121" s="6"/>
      <c r="AB121" s="6"/>
      <c r="AC121" s="6"/>
      <c r="AD121" s="6"/>
      <c r="AE121" s="6"/>
    </row>
    <row r="122" spans="1:32" s="5" customFormat="1" ht="20.100000000000001" customHeight="1" x14ac:dyDescent="0.25">
      <c r="A122" s="7"/>
      <c r="B122" s="6" t="s">
        <v>140</v>
      </c>
      <c r="C122" s="9" t="s">
        <v>0</v>
      </c>
      <c r="D122" s="6">
        <v>8</v>
      </c>
      <c r="E122" s="6">
        <v>0.1</v>
      </c>
      <c r="F122" s="6">
        <f>+ROUND(E118/E122,0)+1</f>
        <v>38</v>
      </c>
      <c r="H122" s="6"/>
      <c r="I122" s="6"/>
      <c r="J122" s="6"/>
      <c r="K122" s="6"/>
      <c r="L122" s="6"/>
      <c r="M122" s="6"/>
      <c r="N122" s="6"/>
      <c r="O122" s="6">
        <f>(2*((G118-(2*$D$11))+(F118-(2*$D$11)))+((2*10)*D122/1000))*D118</f>
        <v>2.92</v>
      </c>
      <c r="P122" s="6">
        <f t="shared" si="20"/>
        <v>110.96</v>
      </c>
      <c r="Q122" s="6">
        <f t="shared" si="15"/>
        <v>43.80066742857143</v>
      </c>
      <c r="R122" s="6">
        <f t="shared" si="15"/>
        <v>0</v>
      </c>
      <c r="S122" s="6">
        <f t="shared" si="15"/>
        <v>0</v>
      </c>
      <c r="T122" s="6">
        <f t="shared" si="15"/>
        <v>0</v>
      </c>
      <c r="U122" s="6">
        <f t="shared" si="15"/>
        <v>0</v>
      </c>
      <c r="V122" s="6">
        <f t="shared" si="15"/>
        <v>0</v>
      </c>
      <c r="W122" s="6">
        <f t="shared" si="15"/>
        <v>0</v>
      </c>
      <c r="X122" s="6">
        <f t="shared" si="17"/>
        <v>43.80066742857143</v>
      </c>
      <c r="Y122" s="6"/>
      <c r="Z122" s="6"/>
      <c r="AA122" s="6"/>
      <c r="AB122" s="6"/>
      <c r="AC122" s="6"/>
      <c r="AD122" s="6"/>
      <c r="AE122" s="6"/>
    </row>
    <row r="123" spans="1:32" s="12" customFormat="1" ht="20.100000000000001" customHeight="1" x14ac:dyDescent="0.25">
      <c r="B123" s="6" t="s">
        <v>140</v>
      </c>
      <c r="C123" s="9" t="s">
        <v>25</v>
      </c>
      <c r="D123" s="6">
        <f>+D122</f>
        <v>8</v>
      </c>
      <c r="E123" s="6">
        <f>+E122</f>
        <v>0.1</v>
      </c>
      <c r="F123" s="12">
        <f>+F122</f>
        <v>38</v>
      </c>
      <c r="G123" s="5"/>
      <c r="O123" s="3">
        <f>((((G118-(2*$D$11))+(2*10*D123/1000))*D118))*2</f>
        <v>1.7</v>
      </c>
      <c r="P123" s="6">
        <f>O123*F123</f>
        <v>64.599999999999994</v>
      </c>
      <c r="Q123" s="6">
        <f t="shared" si="15"/>
        <v>25.500388571428569</v>
      </c>
      <c r="R123" s="6">
        <f t="shared" si="15"/>
        <v>0</v>
      </c>
      <c r="S123" s="6">
        <f t="shared" si="15"/>
        <v>0</v>
      </c>
      <c r="T123" s="6">
        <f t="shared" si="15"/>
        <v>0</v>
      </c>
      <c r="U123" s="6">
        <f t="shared" si="15"/>
        <v>0</v>
      </c>
      <c r="V123" s="6">
        <f t="shared" si="15"/>
        <v>0</v>
      </c>
      <c r="W123" s="6">
        <f t="shared" si="15"/>
        <v>0</v>
      </c>
      <c r="X123" s="6">
        <f t="shared" si="17"/>
        <v>25.500388571428569</v>
      </c>
    </row>
    <row r="124" spans="1:32" s="5" customFormat="1" ht="21" customHeight="1" x14ac:dyDescent="0.25">
      <c r="A124" s="6">
        <f>+A118+1</f>
        <v>11</v>
      </c>
      <c r="B124" s="6" t="s">
        <v>140</v>
      </c>
      <c r="C124" s="11" t="s">
        <v>12</v>
      </c>
      <c r="D124" s="11">
        <v>1</v>
      </c>
      <c r="E124" s="11">
        <v>6.9</v>
      </c>
      <c r="F124" s="11">
        <v>0.75</v>
      </c>
      <c r="G124" s="11">
        <f>+(0.75+0.75)/2</f>
        <v>0.75</v>
      </c>
      <c r="H124" s="6">
        <f>G124-0.2</f>
        <v>0.55000000000000004</v>
      </c>
      <c r="I124" s="6">
        <f>E124*F124*G124*D124</f>
        <v>3.8812500000000005</v>
      </c>
      <c r="J124" s="6">
        <f>(2*(E124)*H124*D124)+(E124*F124)</f>
        <v>12.765000000000001</v>
      </c>
      <c r="K124" s="10">
        <f>IF(E124=0.3,J124,0)</f>
        <v>0</v>
      </c>
      <c r="L124" s="10">
        <f>IF(AND(E124&gt;0.3,E124&lt;=0.75),J124,0)</f>
        <v>0</v>
      </c>
      <c r="M124" s="10">
        <f>IF(AND(E124&gt;0.75,E124&lt;=1.2),J124,0)</f>
        <v>0</v>
      </c>
      <c r="N124" s="10">
        <f>IF(E124&gt;1.2,J124,0)</f>
        <v>12.765000000000001</v>
      </c>
      <c r="O124" s="6"/>
      <c r="P124" s="6"/>
      <c r="Q124" s="6">
        <f t="shared" si="15"/>
        <v>0</v>
      </c>
      <c r="R124" s="6">
        <f t="shared" si="15"/>
        <v>0</v>
      </c>
      <c r="S124" s="6">
        <f t="shared" si="15"/>
        <v>0</v>
      </c>
      <c r="T124" s="6">
        <f t="shared" si="15"/>
        <v>0</v>
      </c>
      <c r="U124" s="6">
        <f t="shared" si="15"/>
        <v>0</v>
      </c>
      <c r="V124" s="6">
        <f t="shared" si="15"/>
        <v>0</v>
      </c>
      <c r="W124" s="6">
        <f t="shared" si="15"/>
        <v>0</v>
      </c>
      <c r="X124" s="6">
        <f t="shared" si="17"/>
        <v>0</v>
      </c>
      <c r="Y124" s="7">
        <f>SUM(X125:X134)/I124</f>
        <v>220.81189826363013</v>
      </c>
      <c r="Z124" s="6"/>
      <c r="AA124" s="6"/>
      <c r="AB124" s="6"/>
      <c r="AC124" s="6"/>
      <c r="AD124" s="6"/>
      <c r="AE124" s="6"/>
      <c r="AF124" s="6"/>
    </row>
    <row r="125" spans="1:32" s="5" customFormat="1" ht="20.100000000000001" customHeight="1" x14ac:dyDescent="0.25">
      <c r="A125" s="7"/>
      <c r="B125" s="6" t="s">
        <v>140</v>
      </c>
      <c r="C125" s="9" t="s">
        <v>2</v>
      </c>
      <c r="D125" s="6">
        <v>20</v>
      </c>
      <c r="E125" s="6"/>
      <c r="F125" s="6">
        <v>6</v>
      </c>
      <c r="G125" s="8">
        <f>VLOOKUP(D125,$C$20:$F$26,3,0)</f>
        <v>1</v>
      </c>
      <c r="H125" s="8"/>
      <c r="I125" s="6"/>
      <c r="J125" s="6"/>
      <c r="K125" s="6"/>
      <c r="L125" s="6"/>
      <c r="M125" s="6"/>
      <c r="N125" s="6"/>
      <c r="O125" s="6">
        <f>(E124+2*(G125+(2*D125/1000)))*D124</f>
        <v>8.98</v>
      </c>
      <c r="P125" s="6">
        <f t="shared" ref="P125:P134" si="21">O125*F125</f>
        <v>53.88</v>
      </c>
      <c r="Q125" s="6">
        <f t="shared" si="15"/>
        <v>0</v>
      </c>
      <c r="R125" s="6">
        <f t="shared" si="15"/>
        <v>0</v>
      </c>
      <c r="S125" s="6">
        <f t="shared" si="15"/>
        <v>0</v>
      </c>
      <c r="T125" s="6">
        <f t="shared" si="15"/>
        <v>0</v>
      </c>
      <c r="U125" s="6">
        <f t="shared" si="15"/>
        <v>132.92965714285714</v>
      </c>
      <c r="V125" s="6">
        <f t="shared" si="15"/>
        <v>0</v>
      </c>
      <c r="W125" s="6">
        <f t="shared" si="15"/>
        <v>0</v>
      </c>
      <c r="X125" s="6">
        <f t="shared" si="17"/>
        <v>132.92965714285714</v>
      </c>
      <c r="Y125" s="6"/>
      <c r="Z125" s="6"/>
      <c r="AA125" s="6"/>
      <c r="AB125" s="6"/>
      <c r="AC125" s="6"/>
      <c r="AD125" s="6"/>
      <c r="AE125" s="6"/>
    </row>
    <row r="126" spans="1:32" s="5" customFormat="1" ht="20.100000000000001" customHeight="1" x14ac:dyDescent="0.25">
      <c r="A126" s="7"/>
      <c r="B126" s="6" t="s">
        <v>140</v>
      </c>
      <c r="C126" s="9" t="s">
        <v>26</v>
      </c>
      <c r="D126" s="6">
        <v>25</v>
      </c>
      <c r="E126" s="6"/>
      <c r="F126" s="6">
        <v>6</v>
      </c>
      <c r="G126" s="8">
        <f>VLOOKUP(D126,$C$20:$F$26,3,0)</f>
        <v>1.25</v>
      </c>
      <c r="H126" s="8"/>
      <c r="I126" s="6"/>
      <c r="J126" s="6"/>
      <c r="K126" s="6"/>
      <c r="L126" s="6"/>
      <c r="M126" s="6"/>
      <c r="N126" s="6"/>
      <c r="O126" s="6">
        <f>(1.6+1*(G126+(2*D126/1000)))*D124</f>
        <v>2.9000000000000004</v>
      </c>
      <c r="P126" s="6">
        <f t="shared" si="21"/>
        <v>17.400000000000002</v>
      </c>
      <c r="Q126" s="6">
        <f t="shared" si="15"/>
        <v>0</v>
      </c>
      <c r="R126" s="6">
        <f t="shared" si="15"/>
        <v>0</v>
      </c>
      <c r="S126" s="6">
        <f t="shared" si="15"/>
        <v>0</v>
      </c>
      <c r="T126" s="6">
        <f t="shared" si="15"/>
        <v>0</v>
      </c>
      <c r="U126" s="6">
        <f t="shared" si="15"/>
        <v>0</v>
      </c>
      <c r="V126" s="6">
        <f t="shared" si="15"/>
        <v>67.075446428571453</v>
      </c>
      <c r="W126" s="6">
        <f t="shared" si="15"/>
        <v>0</v>
      </c>
      <c r="X126" s="6">
        <f t="shared" si="17"/>
        <v>67.075446428571453</v>
      </c>
      <c r="Y126" s="6"/>
      <c r="Z126" s="6"/>
      <c r="AA126" s="6"/>
      <c r="AB126" s="6"/>
      <c r="AC126" s="6"/>
      <c r="AD126" s="6"/>
      <c r="AE126" s="6"/>
    </row>
    <row r="127" spans="1:32" s="5" customFormat="1" ht="20.100000000000001" customHeight="1" x14ac:dyDescent="0.25">
      <c r="A127" s="7"/>
      <c r="B127" s="6" t="s">
        <v>140</v>
      </c>
      <c r="C127" s="9" t="s">
        <v>26</v>
      </c>
      <c r="D127" s="6">
        <v>12</v>
      </c>
      <c r="E127" s="6"/>
      <c r="F127" s="6">
        <v>4</v>
      </c>
      <c r="G127" s="8">
        <f>VLOOKUP(D127,$C$20:$F$26,3,0)</f>
        <v>0.6</v>
      </c>
      <c r="H127" s="8"/>
      <c r="I127" s="6"/>
      <c r="J127" s="6"/>
      <c r="K127" s="6"/>
      <c r="L127" s="6"/>
      <c r="M127" s="6"/>
      <c r="N127" s="6"/>
      <c r="O127" s="6">
        <f>(2.1+1*(G127+(2*D127/1000)))*D124</f>
        <v>2.7240000000000002</v>
      </c>
      <c r="P127" s="6">
        <f t="shared" si="21"/>
        <v>10.896000000000001</v>
      </c>
      <c r="Q127" s="6">
        <f t="shared" si="15"/>
        <v>0</v>
      </c>
      <c r="R127" s="6">
        <f t="shared" si="15"/>
        <v>0</v>
      </c>
      <c r="S127" s="6">
        <f t="shared" si="15"/>
        <v>9.6775158857142873</v>
      </c>
      <c r="T127" s="6">
        <f t="shared" si="15"/>
        <v>0</v>
      </c>
      <c r="U127" s="6">
        <f t="shared" si="15"/>
        <v>0</v>
      </c>
      <c r="V127" s="6">
        <f t="shared" si="15"/>
        <v>0</v>
      </c>
      <c r="W127" s="6">
        <f t="shared" si="15"/>
        <v>0</v>
      </c>
      <c r="X127" s="6">
        <f t="shared" si="17"/>
        <v>9.6775158857142873</v>
      </c>
      <c r="Y127" s="6"/>
      <c r="Z127" s="6"/>
      <c r="AA127" s="6"/>
      <c r="AB127" s="6"/>
      <c r="AC127" s="6"/>
      <c r="AD127" s="6"/>
      <c r="AE127" s="6"/>
    </row>
    <row r="128" spans="1:32" s="5" customFormat="1" ht="20.100000000000001" customHeight="1" x14ac:dyDescent="0.25">
      <c r="A128" s="7"/>
      <c r="B128" s="6" t="s">
        <v>140</v>
      </c>
      <c r="C128" s="9" t="s">
        <v>1</v>
      </c>
      <c r="D128" s="6">
        <v>25</v>
      </c>
      <c r="E128" s="6"/>
      <c r="F128" s="6">
        <v>6</v>
      </c>
      <c r="G128" s="8">
        <f>VLOOKUP(D128,$C$20:$F$26,3,0)</f>
        <v>1.25</v>
      </c>
      <c r="H128" s="8"/>
      <c r="I128" s="6"/>
      <c r="J128" s="6"/>
      <c r="K128" s="6"/>
      <c r="L128" s="6"/>
      <c r="M128" s="6"/>
      <c r="N128" s="6"/>
      <c r="O128" s="6">
        <f>(E124+2*(G128+(2*D128/1000)))*D124</f>
        <v>9.5</v>
      </c>
      <c r="P128" s="6">
        <f t="shared" si="21"/>
        <v>57</v>
      </c>
      <c r="Q128" s="6">
        <f t="shared" si="15"/>
        <v>0</v>
      </c>
      <c r="R128" s="6">
        <f t="shared" si="15"/>
        <v>0</v>
      </c>
      <c r="S128" s="6">
        <f t="shared" si="15"/>
        <v>0</v>
      </c>
      <c r="T128" s="6">
        <f t="shared" si="15"/>
        <v>0</v>
      </c>
      <c r="U128" s="6">
        <f t="shared" si="15"/>
        <v>0</v>
      </c>
      <c r="V128" s="6">
        <f t="shared" si="15"/>
        <v>219.72991071428575</v>
      </c>
      <c r="W128" s="6">
        <f t="shared" si="15"/>
        <v>0</v>
      </c>
      <c r="X128" s="6">
        <f t="shared" si="17"/>
        <v>219.72991071428575</v>
      </c>
      <c r="Y128" s="6"/>
      <c r="Z128" s="6"/>
      <c r="AA128" s="6"/>
      <c r="AB128" s="6"/>
      <c r="AC128" s="6"/>
      <c r="AD128" s="6"/>
      <c r="AE128" s="6"/>
    </row>
    <row r="129" spans="1:32" s="5" customFormat="1" ht="20.100000000000001" customHeight="1" x14ac:dyDescent="0.25">
      <c r="A129" s="7"/>
      <c r="B129" s="6" t="s">
        <v>140</v>
      </c>
      <c r="C129" s="9" t="s">
        <v>1</v>
      </c>
      <c r="D129" s="6">
        <v>20</v>
      </c>
      <c r="E129" s="6"/>
      <c r="F129" s="6">
        <v>4</v>
      </c>
      <c r="G129" s="8">
        <f>VLOOKUP(D129,$C$20:$F$26,3,0)</f>
        <v>1</v>
      </c>
      <c r="H129" s="8"/>
      <c r="I129" s="6"/>
      <c r="J129" s="6"/>
      <c r="K129" s="6"/>
      <c r="L129" s="6"/>
      <c r="M129" s="6"/>
      <c r="N129" s="6"/>
      <c r="O129" s="6">
        <f>+E124-0.6</f>
        <v>6.3000000000000007</v>
      </c>
      <c r="P129" s="6">
        <f t="shared" si="21"/>
        <v>25.200000000000003</v>
      </c>
      <c r="Q129" s="6">
        <f t="shared" si="15"/>
        <v>0</v>
      </c>
      <c r="R129" s="6">
        <f t="shared" si="15"/>
        <v>0</v>
      </c>
      <c r="S129" s="6">
        <f t="shared" si="15"/>
        <v>0</v>
      </c>
      <c r="T129" s="6">
        <f t="shared" si="15"/>
        <v>0</v>
      </c>
      <c r="U129" s="6">
        <f t="shared" si="15"/>
        <v>62.172000000000004</v>
      </c>
      <c r="V129" s="6">
        <f t="shared" si="15"/>
        <v>0</v>
      </c>
      <c r="W129" s="6">
        <f t="shared" si="15"/>
        <v>0</v>
      </c>
      <c r="X129" s="6">
        <f t="shared" si="17"/>
        <v>62.172000000000004</v>
      </c>
      <c r="Y129" s="6"/>
      <c r="Z129" s="6"/>
      <c r="AA129" s="6"/>
      <c r="AB129" s="6"/>
      <c r="AC129" s="6"/>
      <c r="AD129" s="6"/>
      <c r="AE129" s="6"/>
    </row>
    <row r="130" spans="1:32" s="5" customFormat="1" ht="20.100000000000001" customHeight="1" x14ac:dyDescent="0.25">
      <c r="A130" s="7"/>
      <c r="B130" s="6" t="s">
        <v>140</v>
      </c>
      <c r="C130" s="9" t="s">
        <v>0</v>
      </c>
      <c r="D130" s="6">
        <v>12</v>
      </c>
      <c r="E130" s="6">
        <v>0.1</v>
      </c>
      <c r="F130" s="6">
        <f>ROUND(IF(E124/3&gt;(2*G124),(E124/3)/E130,(2*G124)/E130),0)*2+1</f>
        <v>47</v>
      </c>
      <c r="G130" s="8"/>
      <c r="H130" s="6"/>
      <c r="I130" s="6"/>
      <c r="J130" s="6"/>
      <c r="K130" s="6"/>
      <c r="L130" s="6"/>
      <c r="M130" s="6"/>
      <c r="N130" s="6"/>
      <c r="O130" s="6">
        <f>(2*((G124-(2*$D$11))+(F124-(2*$D$11)))+(2*10*D130/1000))*D124</f>
        <v>3</v>
      </c>
      <c r="P130" s="6">
        <f t="shared" si="21"/>
        <v>141</v>
      </c>
      <c r="Q130" s="6">
        <f t="shared" si="15"/>
        <v>0</v>
      </c>
      <c r="R130" s="6">
        <f t="shared" si="15"/>
        <v>0</v>
      </c>
      <c r="S130" s="6">
        <f t="shared" si="15"/>
        <v>125.23217142857145</v>
      </c>
      <c r="T130" s="6">
        <f t="shared" si="15"/>
        <v>0</v>
      </c>
      <c r="U130" s="6">
        <f t="shared" si="15"/>
        <v>0</v>
      </c>
      <c r="V130" s="6">
        <f t="shared" si="15"/>
        <v>0</v>
      </c>
      <c r="W130" s="6">
        <f t="shared" si="15"/>
        <v>0</v>
      </c>
      <c r="X130" s="6">
        <f t="shared" si="17"/>
        <v>125.23217142857145</v>
      </c>
      <c r="Y130" s="6"/>
      <c r="Z130" s="6"/>
      <c r="AA130" s="6"/>
      <c r="AB130" s="6"/>
      <c r="AC130" s="6"/>
      <c r="AD130" s="6"/>
      <c r="AE130" s="6"/>
    </row>
    <row r="131" spans="1:32" s="12" customFormat="1" ht="20.100000000000001" customHeight="1" x14ac:dyDescent="0.25">
      <c r="B131" s="6" t="s">
        <v>140</v>
      </c>
      <c r="C131" s="9" t="s">
        <v>25</v>
      </c>
      <c r="D131" s="6">
        <f>+D130</f>
        <v>12</v>
      </c>
      <c r="E131" s="6">
        <f>+E130</f>
        <v>0.1</v>
      </c>
      <c r="F131" s="12">
        <f>+F130</f>
        <v>47</v>
      </c>
      <c r="G131" s="5"/>
      <c r="O131" s="3">
        <f>((((G124-(2*$D$11))+(2*10*D131/1000))*D124))*2*2</f>
        <v>3.7199999999999998</v>
      </c>
      <c r="P131" s="6">
        <f>O131*F131</f>
        <v>174.83999999999997</v>
      </c>
      <c r="Q131" s="6">
        <f t="shared" si="15"/>
        <v>0</v>
      </c>
      <c r="R131" s="6">
        <f t="shared" si="15"/>
        <v>0</v>
      </c>
      <c r="S131" s="6">
        <f t="shared" si="15"/>
        <v>155.28789257142859</v>
      </c>
      <c r="T131" s="6">
        <f t="shared" si="15"/>
        <v>0</v>
      </c>
      <c r="U131" s="6">
        <f t="shared" si="15"/>
        <v>0</v>
      </c>
      <c r="V131" s="6">
        <f t="shared" si="15"/>
        <v>0</v>
      </c>
      <c r="W131" s="6">
        <f t="shared" ref="Q131:W168" si="22">IF($D131=W$36,$P131*W$37,0)</f>
        <v>0</v>
      </c>
      <c r="X131" s="6">
        <f t="shared" si="17"/>
        <v>155.28789257142859</v>
      </c>
    </row>
    <row r="132" spans="1:32" s="12" customFormat="1" ht="20.100000000000001" customHeight="1" x14ac:dyDescent="0.3">
      <c r="B132" s="6" t="s">
        <v>140</v>
      </c>
      <c r="C132" s="9" t="s">
        <v>0</v>
      </c>
      <c r="D132" s="12">
        <v>12</v>
      </c>
      <c r="E132" s="12">
        <v>0.2</v>
      </c>
      <c r="F132" s="12">
        <f>ROUND((E124-(IF(E124/3&gt;2*G124,E124/3*2,G124*2*2)))/E132,0)</f>
        <v>12</v>
      </c>
      <c r="O132" s="6">
        <f>(2*((G124-(2*$D$11))+(F124-(2*$D$11)))+(2*10*D132/1000))*D124</f>
        <v>3</v>
      </c>
      <c r="P132" s="6">
        <f t="shared" si="21"/>
        <v>36</v>
      </c>
      <c r="Q132" s="6">
        <f t="shared" si="22"/>
        <v>0</v>
      </c>
      <c r="R132" s="6">
        <f t="shared" si="22"/>
        <v>0</v>
      </c>
      <c r="S132" s="6">
        <f t="shared" si="22"/>
        <v>31.974171428571434</v>
      </c>
      <c r="T132" s="6">
        <f t="shared" si="22"/>
        <v>0</v>
      </c>
      <c r="U132" s="6">
        <f t="shared" si="22"/>
        <v>0</v>
      </c>
      <c r="V132" s="6">
        <f t="shared" si="22"/>
        <v>0</v>
      </c>
      <c r="W132" s="6">
        <f t="shared" si="22"/>
        <v>0</v>
      </c>
      <c r="X132" s="6">
        <f t="shared" si="17"/>
        <v>31.974171428571434</v>
      </c>
    </row>
    <row r="133" spans="1:32" s="12" customFormat="1" ht="20.100000000000001" customHeight="1" x14ac:dyDescent="0.25">
      <c r="B133" s="6" t="s">
        <v>140</v>
      </c>
      <c r="C133" s="9" t="s">
        <v>25</v>
      </c>
      <c r="D133" s="6">
        <f>+D132</f>
        <v>12</v>
      </c>
      <c r="E133" s="6">
        <f>+E132</f>
        <v>0.2</v>
      </c>
      <c r="F133" s="12">
        <f>+F132</f>
        <v>12</v>
      </c>
      <c r="G133" s="5"/>
      <c r="O133" s="3">
        <f>((((G124-(2*$D$11))+(2*10*D133/1000))*D124))*2*2</f>
        <v>3.7199999999999998</v>
      </c>
      <c r="P133" s="6">
        <f>O133*F133</f>
        <v>44.64</v>
      </c>
      <c r="Q133" s="6">
        <f t="shared" si="22"/>
        <v>0</v>
      </c>
      <c r="R133" s="6">
        <f t="shared" si="22"/>
        <v>0</v>
      </c>
      <c r="S133" s="6">
        <f t="shared" si="22"/>
        <v>39.647972571428582</v>
      </c>
      <c r="T133" s="6">
        <f t="shared" si="22"/>
        <v>0</v>
      </c>
      <c r="U133" s="6">
        <f t="shared" si="22"/>
        <v>0</v>
      </c>
      <c r="V133" s="6">
        <f t="shared" si="22"/>
        <v>0</v>
      </c>
      <c r="W133" s="6">
        <f t="shared" si="22"/>
        <v>0</v>
      </c>
      <c r="X133" s="6">
        <f t="shared" si="17"/>
        <v>39.647972571428582</v>
      </c>
    </row>
    <row r="134" spans="1:32" s="5" customFormat="1" ht="20.100000000000001" customHeight="1" x14ac:dyDescent="0.25">
      <c r="A134" s="7"/>
      <c r="B134" s="6" t="s">
        <v>140</v>
      </c>
      <c r="C134" s="9" t="s">
        <v>17</v>
      </c>
      <c r="D134" s="6">
        <f>+$D$15</f>
        <v>25</v>
      </c>
      <c r="E134" s="6">
        <f>+$E$15</f>
        <v>1</v>
      </c>
      <c r="F134" s="6">
        <f>ROUNDUP((2.1+1.6)/E134,0)+1</f>
        <v>5</v>
      </c>
      <c r="G134" s="8"/>
      <c r="H134" s="8"/>
      <c r="I134" s="6"/>
      <c r="J134" s="6"/>
      <c r="K134" s="6"/>
      <c r="L134" s="6"/>
      <c r="M134" s="6"/>
      <c r="N134" s="6"/>
      <c r="O134" s="6">
        <f>+F124-(2*$D$11)</f>
        <v>0.69</v>
      </c>
      <c r="P134" s="6">
        <f t="shared" si="21"/>
        <v>3.4499999999999997</v>
      </c>
      <c r="Q134" s="6">
        <f t="shared" si="22"/>
        <v>0</v>
      </c>
      <c r="R134" s="6">
        <f t="shared" si="22"/>
        <v>0</v>
      </c>
      <c r="S134" s="6">
        <f t="shared" si="22"/>
        <v>0</v>
      </c>
      <c r="T134" s="6">
        <f t="shared" si="22"/>
        <v>0</v>
      </c>
      <c r="U134" s="6">
        <f t="shared" si="22"/>
        <v>0</v>
      </c>
      <c r="V134" s="6">
        <f t="shared" si="22"/>
        <v>13.299441964285716</v>
      </c>
      <c r="W134" s="6">
        <f t="shared" si="22"/>
        <v>0</v>
      </c>
      <c r="X134" s="6">
        <f t="shared" si="17"/>
        <v>13.299441964285716</v>
      </c>
      <c r="Y134" s="6"/>
      <c r="Z134" s="6"/>
      <c r="AA134" s="6"/>
      <c r="AB134" s="6"/>
      <c r="AC134" s="6"/>
      <c r="AD134" s="6"/>
      <c r="AE134" s="6"/>
    </row>
    <row r="135" spans="1:32" s="5" customFormat="1" ht="21" customHeight="1" x14ac:dyDescent="0.25">
      <c r="A135" s="6">
        <f>+A124+1</f>
        <v>12</v>
      </c>
      <c r="B135" s="6" t="s">
        <v>140</v>
      </c>
      <c r="C135" s="11" t="s">
        <v>10</v>
      </c>
      <c r="D135" s="11">
        <v>1</v>
      </c>
      <c r="E135" s="11">
        <v>8.1059999999999999</v>
      </c>
      <c r="F135" s="11">
        <v>0.4</v>
      </c>
      <c r="G135" s="11">
        <v>0.75</v>
      </c>
      <c r="H135" s="6">
        <f>G135-0.2</f>
        <v>0.55000000000000004</v>
      </c>
      <c r="I135" s="6">
        <f>E135*F135*G135*D135</f>
        <v>2.4318</v>
      </c>
      <c r="J135" s="6">
        <f>(2*(E135)*H135*D135)+(E135*F135)</f>
        <v>12.159000000000001</v>
      </c>
      <c r="K135" s="10">
        <f>IF(E135=0.3,J135,0)</f>
        <v>0</v>
      </c>
      <c r="L135" s="10">
        <f>IF(AND(E135&gt;0.3,E135&lt;=0.75),J135,0)</f>
        <v>0</v>
      </c>
      <c r="M135" s="10">
        <f>IF(AND(E135&gt;0.75,E135&lt;=1.2),J135,0)</f>
        <v>0</v>
      </c>
      <c r="N135" s="10">
        <f>IF(E135&gt;1.2,J135,0)</f>
        <v>12.159000000000001</v>
      </c>
      <c r="O135" s="6"/>
      <c r="P135" s="6"/>
      <c r="Q135" s="6">
        <f t="shared" si="22"/>
        <v>0</v>
      </c>
      <c r="R135" s="6">
        <f t="shared" si="22"/>
        <v>0</v>
      </c>
      <c r="S135" s="6">
        <f t="shared" si="22"/>
        <v>0</v>
      </c>
      <c r="T135" s="6">
        <f t="shared" si="22"/>
        <v>0</v>
      </c>
      <c r="U135" s="6">
        <f t="shared" si="22"/>
        <v>0</v>
      </c>
      <c r="V135" s="6">
        <f t="shared" si="22"/>
        <v>0</v>
      </c>
      <c r="W135" s="6">
        <f t="shared" si="22"/>
        <v>0</v>
      </c>
      <c r="X135" s="6">
        <f t="shared" si="17"/>
        <v>0</v>
      </c>
      <c r="Y135" s="7">
        <f>SUM(X136:X145)/I135</f>
        <v>206.72930406635885</v>
      </c>
      <c r="Z135" s="6"/>
      <c r="AA135" s="6"/>
      <c r="AB135" s="6"/>
      <c r="AC135" s="6"/>
      <c r="AD135" s="6"/>
      <c r="AE135" s="6"/>
      <c r="AF135" s="6"/>
    </row>
    <row r="136" spans="1:32" s="5" customFormat="1" ht="20.100000000000001" customHeight="1" x14ac:dyDescent="0.25">
      <c r="A136" s="7"/>
      <c r="B136" s="6" t="s">
        <v>140</v>
      </c>
      <c r="C136" s="9" t="s">
        <v>2</v>
      </c>
      <c r="D136" s="6">
        <v>16</v>
      </c>
      <c r="E136" s="6"/>
      <c r="F136" s="6">
        <v>4</v>
      </c>
      <c r="G136" s="8">
        <f>VLOOKUP(D136,$C$20:$F$26,3,0)</f>
        <v>0.8</v>
      </c>
      <c r="H136" s="8"/>
      <c r="I136" s="6"/>
      <c r="J136" s="6"/>
      <c r="K136" s="6"/>
      <c r="L136" s="6"/>
      <c r="M136" s="6"/>
      <c r="N136" s="6"/>
      <c r="O136" s="6">
        <f>(E135+2*(G136+(2*D136/1000)))*D135</f>
        <v>9.77</v>
      </c>
      <c r="P136" s="6">
        <f t="shared" ref="P136:P145" si="23">O136*F136</f>
        <v>39.08</v>
      </c>
      <c r="Q136" s="6">
        <f t="shared" si="22"/>
        <v>0</v>
      </c>
      <c r="R136" s="6">
        <f t="shared" si="22"/>
        <v>0</v>
      </c>
      <c r="S136" s="6">
        <f t="shared" si="22"/>
        <v>0</v>
      </c>
      <c r="T136" s="6">
        <f t="shared" si="22"/>
        <v>61.706203428571428</v>
      </c>
      <c r="U136" s="6">
        <f t="shared" si="22"/>
        <v>0</v>
      </c>
      <c r="V136" s="6">
        <f t="shared" si="22"/>
        <v>0</v>
      </c>
      <c r="W136" s="6">
        <f t="shared" si="22"/>
        <v>0</v>
      </c>
      <c r="X136" s="6">
        <f t="shared" si="17"/>
        <v>61.706203428571428</v>
      </c>
      <c r="Y136" s="6"/>
      <c r="Z136" s="6"/>
      <c r="AA136" s="6"/>
      <c r="AB136" s="6"/>
      <c r="AC136" s="6"/>
      <c r="AD136" s="6"/>
      <c r="AE136" s="6"/>
    </row>
    <row r="137" spans="1:32" s="5" customFormat="1" ht="20.100000000000001" customHeight="1" x14ac:dyDescent="0.25">
      <c r="A137" s="7"/>
      <c r="B137" s="6" t="s">
        <v>140</v>
      </c>
      <c r="C137" s="9" t="s">
        <v>14</v>
      </c>
      <c r="D137" s="6">
        <v>12</v>
      </c>
      <c r="E137" s="6"/>
      <c r="F137" s="6">
        <v>4</v>
      </c>
      <c r="G137" s="8">
        <f>VLOOKUP(D137,$C$20:$F$26,3,0)</f>
        <v>0.6</v>
      </c>
      <c r="H137" s="8"/>
      <c r="I137" s="6"/>
      <c r="J137" s="6"/>
      <c r="K137" s="6"/>
      <c r="L137" s="6"/>
      <c r="M137" s="6"/>
      <c r="N137" s="6"/>
      <c r="O137" s="6">
        <f>(2.1+1*(G137+(2*D137/1000)))*D135</f>
        <v>2.7240000000000002</v>
      </c>
      <c r="P137" s="6">
        <f t="shared" si="23"/>
        <v>10.896000000000001</v>
      </c>
      <c r="Q137" s="6">
        <f t="shared" si="22"/>
        <v>0</v>
      </c>
      <c r="R137" s="6">
        <f t="shared" si="22"/>
        <v>0</v>
      </c>
      <c r="S137" s="6">
        <f t="shared" si="22"/>
        <v>9.6775158857142873</v>
      </c>
      <c r="T137" s="6">
        <f t="shared" si="22"/>
        <v>0</v>
      </c>
      <c r="U137" s="6">
        <f t="shared" si="22"/>
        <v>0</v>
      </c>
      <c r="V137" s="6">
        <f t="shared" si="22"/>
        <v>0</v>
      </c>
      <c r="W137" s="6">
        <f t="shared" si="22"/>
        <v>0</v>
      </c>
      <c r="X137" s="6">
        <f t="shared" si="17"/>
        <v>9.6775158857142873</v>
      </c>
      <c r="Y137" s="6"/>
      <c r="Z137" s="6"/>
      <c r="AA137" s="6"/>
      <c r="AB137" s="6"/>
      <c r="AC137" s="6"/>
      <c r="AD137" s="6"/>
      <c r="AE137" s="6"/>
    </row>
    <row r="138" spans="1:32" s="5" customFormat="1" ht="20.100000000000001" customHeight="1" x14ac:dyDescent="0.25">
      <c r="A138" s="7"/>
      <c r="B138" s="6" t="s">
        <v>140</v>
      </c>
      <c r="C138" s="9" t="s">
        <v>14</v>
      </c>
      <c r="D138" s="6">
        <v>12</v>
      </c>
      <c r="E138" s="6"/>
      <c r="F138" s="6">
        <v>4</v>
      </c>
      <c r="G138" s="8">
        <f>VLOOKUP(D138,$C$20:$F$26,3,0)</f>
        <v>0.6</v>
      </c>
      <c r="H138" s="8"/>
      <c r="I138" s="6"/>
      <c r="J138" s="6"/>
      <c r="K138" s="6"/>
      <c r="L138" s="6"/>
      <c r="M138" s="6"/>
      <c r="N138" s="6"/>
      <c r="O138" s="6">
        <f>(0.6+3+1*(G138+(2*D138/1000)))*D135</f>
        <v>4.2240000000000002</v>
      </c>
      <c r="P138" s="6">
        <f t="shared" si="23"/>
        <v>16.896000000000001</v>
      </c>
      <c r="Q138" s="6">
        <f t="shared" si="22"/>
        <v>0</v>
      </c>
      <c r="R138" s="6">
        <f t="shared" si="22"/>
        <v>0</v>
      </c>
      <c r="S138" s="6">
        <f t="shared" si="22"/>
        <v>15.00654445714286</v>
      </c>
      <c r="T138" s="6">
        <f t="shared" si="22"/>
        <v>0</v>
      </c>
      <c r="U138" s="6">
        <f t="shared" si="22"/>
        <v>0</v>
      </c>
      <c r="V138" s="6">
        <f t="shared" si="22"/>
        <v>0</v>
      </c>
      <c r="W138" s="6">
        <f t="shared" si="22"/>
        <v>0</v>
      </c>
      <c r="X138" s="6">
        <f t="shared" si="17"/>
        <v>15.00654445714286</v>
      </c>
      <c r="Y138" s="6"/>
      <c r="Z138" s="6"/>
      <c r="AA138" s="6"/>
      <c r="AB138" s="6"/>
      <c r="AC138" s="6"/>
      <c r="AD138" s="6"/>
      <c r="AE138" s="6"/>
    </row>
    <row r="139" spans="1:32" s="5" customFormat="1" ht="20.100000000000001" customHeight="1" x14ac:dyDescent="0.25">
      <c r="A139" s="7"/>
      <c r="B139" s="6" t="s">
        <v>140</v>
      </c>
      <c r="C139" s="9" t="s">
        <v>1</v>
      </c>
      <c r="D139" s="6">
        <v>25</v>
      </c>
      <c r="E139" s="6"/>
      <c r="F139" s="6">
        <v>4</v>
      </c>
      <c r="G139" s="8">
        <f>VLOOKUP(D139,$C$20:$F$26,3,0)</f>
        <v>1.25</v>
      </c>
      <c r="H139" s="8"/>
      <c r="I139" s="6"/>
      <c r="J139" s="6"/>
      <c r="K139" s="6"/>
      <c r="L139" s="6"/>
      <c r="M139" s="6"/>
      <c r="N139" s="6"/>
      <c r="O139" s="6">
        <f>(E135+2*(G139+(2*D139/1000)))*D135</f>
        <v>10.706</v>
      </c>
      <c r="P139" s="6">
        <f t="shared" si="23"/>
        <v>42.823999999999998</v>
      </c>
      <c r="Q139" s="6">
        <f t="shared" si="22"/>
        <v>0</v>
      </c>
      <c r="R139" s="6">
        <f t="shared" si="22"/>
        <v>0</v>
      </c>
      <c r="S139" s="6">
        <f t="shared" si="22"/>
        <v>0</v>
      </c>
      <c r="T139" s="6">
        <f t="shared" si="22"/>
        <v>0</v>
      </c>
      <c r="U139" s="6">
        <f t="shared" si="22"/>
        <v>0</v>
      </c>
      <c r="V139" s="6">
        <f t="shared" si="22"/>
        <v>165.08269642857144</v>
      </c>
      <c r="W139" s="6">
        <f t="shared" si="22"/>
        <v>0</v>
      </c>
      <c r="X139" s="6">
        <f t="shared" si="17"/>
        <v>165.08269642857144</v>
      </c>
      <c r="Y139" s="6"/>
      <c r="Z139" s="6"/>
      <c r="AA139" s="6"/>
      <c r="AB139" s="6"/>
      <c r="AC139" s="6"/>
      <c r="AD139" s="6"/>
      <c r="AE139" s="6"/>
    </row>
    <row r="140" spans="1:32" s="5" customFormat="1" ht="20.100000000000001" customHeight="1" x14ac:dyDescent="0.25">
      <c r="A140" s="7"/>
      <c r="B140" s="6" t="s">
        <v>140</v>
      </c>
      <c r="C140" s="9" t="s">
        <v>1</v>
      </c>
      <c r="D140" s="6">
        <v>20</v>
      </c>
      <c r="E140" s="6"/>
      <c r="F140" s="6">
        <v>4</v>
      </c>
      <c r="G140" s="8">
        <f>VLOOKUP(D140,$C$20:$F$26,3,0)</f>
        <v>1</v>
      </c>
      <c r="H140" s="8"/>
      <c r="I140" s="6"/>
      <c r="J140" s="6"/>
      <c r="K140" s="6"/>
      <c r="L140" s="6"/>
      <c r="M140" s="6"/>
      <c r="N140" s="6"/>
      <c r="O140" s="6">
        <f>+E135-0.6</f>
        <v>7.5060000000000002</v>
      </c>
      <c r="P140" s="6">
        <f t="shared" si="23"/>
        <v>30.024000000000001</v>
      </c>
      <c r="Q140" s="6">
        <f t="shared" si="22"/>
        <v>0</v>
      </c>
      <c r="R140" s="6">
        <f t="shared" si="22"/>
        <v>0</v>
      </c>
      <c r="S140" s="6">
        <f t="shared" si="22"/>
        <v>0</v>
      </c>
      <c r="T140" s="6">
        <f t="shared" si="22"/>
        <v>0</v>
      </c>
      <c r="U140" s="6">
        <f t="shared" si="22"/>
        <v>74.07349714285715</v>
      </c>
      <c r="V140" s="6">
        <f t="shared" si="22"/>
        <v>0</v>
      </c>
      <c r="W140" s="6">
        <f t="shared" si="22"/>
        <v>0</v>
      </c>
      <c r="X140" s="6">
        <f t="shared" si="17"/>
        <v>74.07349714285715</v>
      </c>
      <c r="Y140" s="6"/>
      <c r="Z140" s="6"/>
      <c r="AA140" s="6"/>
      <c r="AB140" s="6"/>
      <c r="AC140" s="6"/>
      <c r="AD140" s="6"/>
      <c r="AE140" s="6"/>
    </row>
    <row r="141" spans="1:32" s="5" customFormat="1" ht="20.100000000000001" customHeight="1" x14ac:dyDescent="0.25">
      <c r="A141" s="7"/>
      <c r="B141" s="6" t="s">
        <v>140</v>
      </c>
      <c r="C141" s="9" t="s">
        <v>0</v>
      </c>
      <c r="D141" s="6">
        <v>10</v>
      </c>
      <c r="E141" s="6">
        <v>0.1</v>
      </c>
      <c r="F141" s="6">
        <f>ROUND(IF(E135/3&gt;(2*G135),(E135/3)/E141,(2*G135)/E141),0)*2+1</f>
        <v>55</v>
      </c>
      <c r="G141" s="8"/>
      <c r="H141" s="6"/>
      <c r="I141" s="6"/>
      <c r="J141" s="6"/>
      <c r="K141" s="6"/>
      <c r="L141" s="6"/>
      <c r="M141" s="6"/>
      <c r="N141" s="6"/>
      <c r="O141" s="6">
        <f>(2*((G135-(2*$D$11))+(F135-(2*$D$11)))+(2*10*D141/1000))*D135</f>
        <v>2.2600000000000002</v>
      </c>
      <c r="P141" s="6">
        <f t="shared" si="23"/>
        <v>124.30000000000001</v>
      </c>
      <c r="Q141" s="6">
        <f t="shared" si="22"/>
        <v>0</v>
      </c>
      <c r="R141" s="6">
        <f t="shared" si="22"/>
        <v>76.666464285714284</v>
      </c>
      <c r="S141" s="6">
        <f t="shared" si="22"/>
        <v>0</v>
      </c>
      <c r="T141" s="6">
        <f t="shared" si="22"/>
        <v>0</v>
      </c>
      <c r="U141" s="6">
        <f t="shared" si="22"/>
        <v>0</v>
      </c>
      <c r="V141" s="6">
        <f t="shared" si="22"/>
        <v>0</v>
      </c>
      <c r="W141" s="6">
        <f t="shared" si="22"/>
        <v>0</v>
      </c>
      <c r="X141" s="6">
        <f t="shared" si="17"/>
        <v>76.666464285714284</v>
      </c>
      <c r="Y141" s="6"/>
      <c r="Z141" s="6"/>
      <c r="AA141" s="6"/>
      <c r="AB141" s="6"/>
      <c r="AC141" s="6"/>
      <c r="AD141" s="6"/>
      <c r="AE141" s="6"/>
    </row>
    <row r="142" spans="1:32" s="12" customFormat="1" ht="20.100000000000001" customHeight="1" x14ac:dyDescent="0.25">
      <c r="B142" s="6" t="s">
        <v>140</v>
      </c>
      <c r="C142" s="9" t="s">
        <v>25</v>
      </c>
      <c r="D142" s="6">
        <f>+D141</f>
        <v>10</v>
      </c>
      <c r="E142" s="6">
        <f>+E141</f>
        <v>0.1</v>
      </c>
      <c r="F142" s="12">
        <f>+F141</f>
        <v>55</v>
      </c>
      <c r="G142" s="5"/>
      <c r="O142" s="3">
        <f>((((G135-(2*$D$11))+(2*10*D142/1000))*D135))*2</f>
        <v>1.7799999999999998</v>
      </c>
      <c r="P142" s="6">
        <f>O142*F142</f>
        <v>97.899999999999991</v>
      </c>
      <c r="Q142" s="6">
        <f t="shared" si="22"/>
        <v>0</v>
      </c>
      <c r="R142" s="6">
        <f t="shared" si="22"/>
        <v>60.383321428571421</v>
      </c>
      <c r="S142" s="6">
        <f t="shared" si="22"/>
        <v>0</v>
      </c>
      <c r="T142" s="6">
        <f t="shared" si="22"/>
        <v>0</v>
      </c>
      <c r="U142" s="6">
        <f t="shared" si="22"/>
        <v>0</v>
      </c>
      <c r="V142" s="6">
        <f t="shared" si="22"/>
        <v>0</v>
      </c>
      <c r="W142" s="6">
        <f t="shared" si="22"/>
        <v>0</v>
      </c>
      <c r="X142" s="6">
        <f t="shared" si="17"/>
        <v>60.383321428571421</v>
      </c>
    </row>
    <row r="143" spans="1:32" s="12" customFormat="1" ht="20.100000000000001" customHeight="1" x14ac:dyDescent="0.3">
      <c r="B143" s="6" t="s">
        <v>140</v>
      </c>
      <c r="C143" s="9" t="s">
        <v>0</v>
      </c>
      <c r="D143" s="12">
        <v>10</v>
      </c>
      <c r="E143" s="12">
        <v>0.2</v>
      </c>
      <c r="F143" s="12">
        <f>ROUND((E135-(IF(E135/3&gt;2*G135,E135/3*2,G135*2*2)))/E143,0)</f>
        <v>14</v>
      </c>
      <c r="O143" s="6">
        <f>(2*((G135-(2*$D$11))+(F135-(2*$D$11)))+(2*10*D143/1000))*D135</f>
        <v>2.2600000000000002</v>
      </c>
      <c r="P143" s="6">
        <f t="shared" si="23"/>
        <v>31.640000000000004</v>
      </c>
      <c r="Q143" s="6">
        <f t="shared" si="22"/>
        <v>0</v>
      </c>
      <c r="R143" s="6">
        <f t="shared" si="22"/>
        <v>19.5151</v>
      </c>
      <c r="S143" s="6">
        <f t="shared" si="22"/>
        <v>0</v>
      </c>
      <c r="T143" s="6">
        <f t="shared" si="22"/>
        <v>0</v>
      </c>
      <c r="U143" s="6">
        <f t="shared" si="22"/>
        <v>0</v>
      </c>
      <c r="V143" s="6">
        <f t="shared" si="22"/>
        <v>0</v>
      </c>
      <c r="W143" s="6">
        <f t="shared" si="22"/>
        <v>0</v>
      </c>
      <c r="X143" s="6">
        <f t="shared" si="17"/>
        <v>19.5151</v>
      </c>
    </row>
    <row r="144" spans="1:32" s="12" customFormat="1" ht="20.100000000000001" customHeight="1" x14ac:dyDescent="0.25">
      <c r="B144" s="6" t="s">
        <v>140</v>
      </c>
      <c r="C144" s="9" t="s">
        <v>25</v>
      </c>
      <c r="D144" s="6">
        <f>+D143</f>
        <v>10</v>
      </c>
      <c r="E144" s="6">
        <f>+E143</f>
        <v>0.2</v>
      </c>
      <c r="F144" s="12">
        <f>+F143</f>
        <v>14</v>
      </c>
      <c r="G144" s="5"/>
      <c r="O144" s="3">
        <f>((((G135-(2*$D$11))+(2*10*D144/1000))*D135))*2</f>
        <v>1.7799999999999998</v>
      </c>
      <c r="P144" s="6">
        <f>O144*F144</f>
        <v>24.919999999999998</v>
      </c>
      <c r="Q144" s="6">
        <f t="shared" si="22"/>
        <v>0</v>
      </c>
      <c r="R144" s="6">
        <f t="shared" si="22"/>
        <v>15.370299999999999</v>
      </c>
      <c r="S144" s="6">
        <f t="shared" si="22"/>
        <v>0</v>
      </c>
      <c r="T144" s="6">
        <f t="shared" si="22"/>
        <v>0</v>
      </c>
      <c r="U144" s="6">
        <f t="shared" si="22"/>
        <v>0</v>
      </c>
      <c r="V144" s="6">
        <f t="shared" si="22"/>
        <v>0</v>
      </c>
      <c r="W144" s="6">
        <f t="shared" si="22"/>
        <v>0</v>
      </c>
      <c r="X144" s="6">
        <f t="shared" si="17"/>
        <v>15.370299999999999</v>
      </c>
    </row>
    <row r="145" spans="1:32" s="5" customFormat="1" ht="20.100000000000001" customHeight="1" x14ac:dyDescent="0.25">
      <c r="A145" s="7"/>
      <c r="B145" s="6" t="s">
        <v>140</v>
      </c>
      <c r="C145" s="9" t="s">
        <v>17</v>
      </c>
      <c r="D145" s="6">
        <f>+$D$15</f>
        <v>25</v>
      </c>
      <c r="E145" s="6">
        <f>+$E$15</f>
        <v>1</v>
      </c>
      <c r="F145" s="6">
        <f>ROUNDUP((2.1)/E145,0)+1</f>
        <v>4</v>
      </c>
      <c r="G145" s="8"/>
      <c r="H145" s="8"/>
      <c r="I145" s="6"/>
      <c r="J145" s="6"/>
      <c r="K145" s="6"/>
      <c r="L145" s="6"/>
      <c r="M145" s="6"/>
      <c r="N145" s="6"/>
      <c r="O145" s="6">
        <f>+F135-(2*$D$11)</f>
        <v>0.34</v>
      </c>
      <c r="P145" s="6">
        <f t="shared" si="23"/>
        <v>1.36</v>
      </c>
      <c r="Q145" s="6">
        <f t="shared" si="22"/>
        <v>0</v>
      </c>
      <c r="R145" s="6">
        <f t="shared" si="22"/>
        <v>0</v>
      </c>
      <c r="S145" s="6">
        <f t="shared" si="22"/>
        <v>0</v>
      </c>
      <c r="T145" s="6">
        <f t="shared" si="22"/>
        <v>0</v>
      </c>
      <c r="U145" s="6">
        <f t="shared" si="22"/>
        <v>0</v>
      </c>
      <c r="V145" s="6">
        <f t="shared" si="22"/>
        <v>5.2426785714285726</v>
      </c>
      <c r="W145" s="6">
        <f t="shared" si="22"/>
        <v>0</v>
      </c>
      <c r="X145" s="6">
        <f t="shared" si="17"/>
        <v>5.2426785714285726</v>
      </c>
      <c r="Y145" s="6"/>
      <c r="Z145" s="6"/>
      <c r="AA145" s="6"/>
      <c r="AB145" s="6"/>
      <c r="AC145" s="6"/>
      <c r="AD145" s="6"/>
      <c r="AE145" s="6"/>
    </row>
    <row r="146" spans="1:32" s="5" customFormat="1" ht="21" customHeight="1" x14ac:dyDescent="0.25">
      <c r="A146" s="6">
        <f>+A135+1</f>
        <v>13</v>
      </c>
      <c r="B146" s="6" t="s">
        <v>140</v>
      </c>
      <c r="C146" s="11" t="s">
        <v>9</v>
      </c>
      <c r="D146" s="11">
        <v>1</v>
      </c>
      <c r="E146" s="11">
        <v>7.95</v>
      </c>
      <c r="F146" s="11">
        <v>0.7</v>
      </c>
      <c r="G146" s="11">
        <v>0.75</v>
      </c>
      <c r="H146" s="6">
        <f>G146-0.2</f>
        <v>0.55000000000000004</v>
      </c>
      <c r="I146" s="6">
        <f>E146*F146*G146*D146</f>
        <v>4.1737500000000001</v>
      </c>
      <c r="J146" s="6">
        <f>(2*(E146)*H146*D146)+(E146*F146)</f>
        <v>14.31</v>
      </c>
      <c r="K146" s="10">
        <f>IF(E146=0.3,J146,0)</f>
        <v>0</v>
      </c>
      <c r="L146" s="10">
        <f>IF(AND(E146&gt;0.3,E146&lt;=0.75),J146,0)</f>
        <v>0</v>
      </c>
      <c r="M146" s="10">
        <f>IF(AND(E146&gt;0.75,E146&lt;=1.2),J146,0)</f>
        <v>0</v>
      </c>
      <c r="N146" s="10">
        <f>IF(E146&gt;1.2,J146,0)</f>
        <v>14.31</v>
      </c>
      <c r="O146" s="6"/>
      <c r="P146" s="6"/>
      <c r="Q146" s="6">
        <f t="shared" si="22"/>
        <v>0</v>
      </c>
      <c r="R146" s="6">
        <f t="shared" si="22"/>
        <v>0</v>
      </c>
      <c r="S146" s="6">
        <f t="shared" si="22"/>
        <v>0</v>
      </c>
      <c r="T146" s="6">
        <f t="shared" si="22"/>
        <v>0</v>
      </c>
      <c r="U146" s="6">
        <f t="shared" si="22"/>
        <v>0</v>
      </c>
      <c r="V146" s="6">
        <f t="shared" si="22"/>
        <v>0</v>
      </c>
      <c r="W146" s="6">
        <f t="shared" si="22"/>
        <v>0</v>
      </c>
      <c r="X146" s="6">
        <f t="shared" si="17"/>
        <v>0</v>
      </c>
      <c r="Y146" s="7">
        <f>SUM(X147:X155)/I146</f>
        <v>113.73437245026314</v>
      </c>
      <c r="Z146" s="6"/>
      <c r="AA146" s="6"/>
      <c r="AB146" s="6"/>
      <c r="AC146" s="6"/>
      <c r="AD146" s="6"/>
      <c r="AE146" s="6"/>
      <c r="AF146" s="6"/>
    </row>
    <row r="147" spans="1:32" s="5" customFormat="1" ht="20.100000000000001" customHeight="1" x14ac:dyDescent="0.25">
      <c r="A147" s="7"/>
      <c r="B147" s="6" t="s">
        <v>140</v>
      </c>
      <c r="C147" s="9" t="s">
        <v>2</v>
      </c>
      <c r="D147" s="6">
        <v>16</v>
      </c>
      <c r="E147" s="6"/>
      <c r="F147" s="6">
        <v>6</v>
      </c>
      <c r="G147" s="8">
        <f>VLOOKUP(D147,$C$20:$F$26,3,0)</f>
        <v>0.8</v>
      </c>
      <c r="H147" s="8"/>
      <c r="I147" s="6"/>
      <c r="J147" s="6"/>
      <c r="K147" s="6"/>
      <c r="L147" s="6"/>
      <c r="M147" s="6"/>
      <c r="N147" s="6"/>
      <c r="O147" s="6">
        <f>(E146+2*(G147+(2*D147/1000)))*D146</f>
        <v>9.6140000000000008</v>
      </c>
      <c r="P147" s="6">
        <f t="shared" ref="P147:P148" si="24">O147*F147</f>
        <v>57.684000000000005</v>
      </c>
      <c r="Q147" s="6">
        <f t="shared" si="22"/>
        <v>0</v>
      </c>
      <c r="R147" s="6">
        <f t="shared" si="22"/>
        <v>0</v>
      </c>
      <c r="S147" s="6">
        <f t="shared" si="22"/>
        <v>0</v>
      </c>
      <c r="T147" s="6">
        <f t="shared" si="22"/>
        <v>91.081387885714307</v>
      </c>
      <c r="U147" s="6">
        <f t="shared" si="22"/>
        <v>0</v>
      </c>
      <c r="V147" s="6">
        <f t="shared" si="22"/>
        <v>0</v>
      </c>
      <c r="W147" s="6">
        <f t="shared" si="22"/>
        <v>0</v>
      </c>
      <c r="X147" s="6">
        <f t="shared" si="17"/>
        <v>91.081387885714307</v>
      </c>
      <c r="Y147" s="6"/>
      <c r="Z147" s="6"/>
      <c r="AA147" s="6"/>
      <c r="AB147" s="6"/>
      <c r="AC147" s="6"/>
      <c r="AD147" s="6"/>
      <c r="AE147" s="6"/>
    </row>
    <row r="148" spans="1:32" s="5" customFormat="1" ht="20.100000000000001" customHeight="1" x14ac:dyDescent="0.25">
      <c r="A148" s="7"/>
      <c r="B148" s="6" t="s">
        <v>140</v>
      </c>
      <c r="C148" s="9" t="s">
        <v>14</v>
      </c>
      <c r="D148" s="6">
        <v>16</v>
      </c>
      <c r="E148" s="6"/>
      <c r="F148" s="6">
        <v>4</v>
      </c>
      <c r="G148" s="8">
        <f>VLOOKUP(D148,$C$20:$F$26,3,0)</f>
        <v>0.8</v>
      </c>
      <c r="H148" s="8"/>
      <c r="I148" s="6"/>
      <c r="J148" s="6"/>
      <c r="K148" s="6"/>
      <c r="L148" s="6"/>
      <c r="M148" s="6"/>
      <c r="N148" s="6"/>
      <c r="O148" s="6">
        <f>(2.2+1*(G148+(2*D148/1000)))*D146</f>
        <v>3.032</v>
      </c>
      <c r="P148" s="6">
        <f t="shared" si="24"/>
        <v>12.128</v>
      </c>
      <c r="Q148" s="6">
        <f t="shared" si="22"/>
        <v>0</v>
      </c>
      <c r="R148" s="6">
        <f t="shared" si="22"/>
        <v>0</v>
      </c>
      <c r="S148" s="6">
        <f t="shared" si="22"/>
        <v>0</v>
      </c>
      <c r="T148" s="6">
        <f t="shared" si="22"/>
        <v>19.149765485714287</v>
      </c>
      <c r="U148" s="6">
        <f t="shared" si="22"/>
        <v>0</v>
      </c>
      <c r="V148" s="6">
        <f t="shared" si="22"/>
        <v>0</v>
      </c>
      <c r="W148" s="6">
        <f t="shared" si="22"/>
        <v>0</v>
      </c>
      <c r="X148" s="6">
        <f t="shared" si="17"/>
        <v>19.149765485714287</v>
      </c>
      <c r="Y148" s="6"/>
      <c r="Z148" s="6"/>
      <c r="AA148" s="6"/>
      <c r="AB148" s="6"/>
      <c r="AC148" s="6"/>
      <c r="AD148" s="6"/>
      <c r="AE148" s="6"/>
    </row>
    <row r="149" spans="1:32" s="5" customFormat="1" ht="20.100000000000001" customHeight="1" x14ac:dyDescent="0.25">
      <c r="A149" s="7"/>
      <c r="B149" s="6" t="s">
        <v>140</v>
      </c>
      <c r="C149" s="9" t="s">
        <v>1</v>
      </c>
      <c r="D149" s="6">
        <v>25</v>
      </c>
      <c r="E149" s="6"/>
      <c r="F149" s="6">
        <v>6</v>
      </c>
      <c r="G149" s="8">
        <f>VLOOKUP(D149,$C$20:$F$26,3,0)</f>
        <v>1.25</v>
      </c>
      <c r="H149" s="6"/>
      <c r="I149" s="6"/>
      <c r="J149" s="6"/>
      <c r="K149" s="6"/>
      <c r="L149" s="6"/>
      <c r="M149" s="6"/>
      <c r="N149" s="6"/>
      <c r="O149" s="6">
        <f>(E146+2*(G149+(2*D149/1000)))*D146</f>
        <v>10.55</v>
      </c>
      <c r="P149" s="6">
        <f>O149*F149</f>
        <v>63.300000000000004</v>
      </c>
      <c r="Q149" s="6">
        <f t="shared" si="22"/>
        <v>0</v>
      </c>
      <c r="R149" s="6">
        <f t="shared" si="22"/>
        <v>0</v>
      </c>
      <c r="S149" s="6">
        <f t="shared" si="22"/>
        <v>0</v>
      </c>
      <c r="T149" s="6">
        <f t="shared" si="22"/>
        <v>0</v>
      </c>
      <c r="U149" s="6">
        <f t="shared" si="22"/>
        <v>0</v>
      </c>
      <c r="V149" s="6">
        <f t="shared" si="22"/>
        <v>244.01584821428577</v>
      </c>
      <c r="W149" s="6">
        <f t="shared" si="22"/>
        <v>0</v>
      </c>
      <c r="X149" s="6">
        <f t="shared" si="17"/>
        <v>244.01584821428577</v>
      </c>
      <c r="Y149" s="6"/>
      <c r="Z149" s="6"/>
      <c r="AA149" s="6"/>
      <c r="AB149" s="6"/>
      <c r="AC149" s="6"/>
      <c r="AD149" s="6"/>
      <c r="AE149" s="6"/>
    </row>
    <row r="150" spans="1:32" s="5" customFormat="1" ht="20.100000000000001" customHeight="1" x14ac:dyDescent="0.25">
      <c r="A150" s="7"/>
      <c r="B150" s="6" t="s">
        <v>140</v>
      </c>
      <c r="C150" s="9" t="s">
        <v>64</v>
      </c>
      <c r="D150" s="6">
        <v>20</v>
      </c>
      <c r="E150" s="6"/>
      <c r="F150" s="6">
        <v>4</v>
      </c>
      <c r="G150" s="8">
        <f>VLOOKUP(D150,$C$20:$F$26,3,0)</f>
        <v>1</v>
      </c>
      <c r="H150" s="6"/>
      <c r="I150" s="6"/>
      <c r="J150" s="6"/>
      <c r="K150" s="6"/>
      <c r="L150" s="6"/>
      <c r="M150" s="6"/>
      <c r="N150" s="6"/>
      <c r="O150" s="6">
        <f>+E146-0.6</f>
        <v>7.3500000000000005</v>
      </c>
      <c r="P150" s="6">
        <f>O150*F150</f>
        <v>29.400000000000002</v>
      </c>
      <c r="Q150" s="6">
        <f t="shared" si="22"/>
        <v>0</v>
      </c>
      <c r="R150" s="6">
        <f t="shared" si="22"/>
        <v>0</v>
      </c>
      <c r="S150" s="6">
        <f t="shared" si="22"/>
        <v>0</v>
      </c>
      <c r="T150" s="6">
        <f t="shared" si="22"/>
        <v>0</v>
      </c>
      <c r="U150" s="6">
        <f t="shared" si="22"/>
        <v>72.534000000000006</v>
      </c>
      <c r="V150" s="6">
        <f t="shared" si="22"/>
        <v>0</v>
      </c>
      <c r="W150" s="6">
        <f t="shared" si="22"/>
        <v>0</v>
      </c>
      <c r="X150" s="6">
        <f t="shared" si="17"/>
        <v>72.534000000000006</v>
      </c>
      <c r="Y150" s="6"/>
      <c r="Z150" s="6"/>
      <c r="AA150" s="6"/>
      <c r="AB150" s="6"/>
      <c r="AC150" s="6"/>
      <c r="AD150" s="6"/>
      <c r="AE150" s="6"/>
    </row>
    <row r="151" spans="1:32" s="5" customFormat="1" ht="20.100000000000001" customHeight="1" x14ac:dyDescent="0.25">
      <c r="A151" s="7"/>
      <c r="B151" s="6" t="s">
        <v>140</v>
      </c>
      <c r="C151" s="9" t="s">
        <v>0</v>
      </c>
      <c r="D151" s="6">
        <v>12</v>
      </c>
      <c r="E151" s="6">
        <v>0.1</v>
      </c>
      <c r="F151" s="6">
        <f>ROUND(IF(E145/3&gt;(2*G145),(E145/3)/E151,(2*G145)/E151),0)*2+1</f>
        <v>7</v>
      </c>
      <c r="G151" s="8"/>
      <c r="H151" s="6"/>
      <c r="I151" s="6"/>
      <c r="J151" s="6"/>
      <c r="K151" s="6"/>
      <c r="L151" s="6"/>
      <c r="M151" s="6"/>
      <c r="N151" s="6"/>
      <c r="O151" s="6">
        <f>(2*((G146-(2*$D$11))+(F146-(2*$D$11)))+(2*10*D151/1000))*D146</f>
        <v>2.8999999999999995</v>
      </c>
      <c r="P151" s="6">
        <f t="shared" ref="P151:P155" si="25">O151*F151</f>
        <v>20.299999999999997</v>
      </c>
      <c r="Q151" s="6">
        <f t="shared" si="22"/>
        <v>0</v>
      </c>
      <c r="R151" s="6">
        <f t="shared" si="22"/>
        <v>0</v>
      </c>
      <c r="S151" s="6">
        <f t="shared" si="22"/>
        <v>18.029880000000002</v>
      </c>
      <c r="T151" s="6">
        <f t="shared" si="22"/>
        <v>0</v>
      </c>
      <c r="U151" s="6">
        <f t="shared" si="22"/>
        <v>0</v>
      </c>
      <c r="V151" s="6">
        <f t="shared" si="22"/>
        <v>0</v>
      </c>
      <c r="W151" s="6">
        <f t="shared" si="22"/>
        <v>0</v>
      </c>
      <c r="X151" s="6">
        <f t="shared" si="17"/>
        <v>18.029880000000002</v>
      </c>
      <c r="Y151" s="6"/>
      <c r="Z151" s="6"/>
      <c r="AA151" s="6"/>
      <c r="AB151" s="6"/>
      <c r="AC151" s="6"/>
      <c r="AD151" s="6"/>
      <c r="AE151" s="6"/>
    </row>
    <row r="152" spans="1:32" s="12" customFormat="1" ht="20.100000000000001" customHeight="1" x14ac:dyDescent="0.25">
      <c r="B152" s="6" t="s">
        <v>140</v>
      </c>
      <c r="C152" s="9" t="s">
        <v>25</v>
      </c>
      <c r="D152" s="6">
        <f>+D151</f>
        <v>12</v>
      </c>
      <c r="E152" s="6">
        <f>+E151</f>
        <v>0.1</v>
      </c>
      <c r="F152" s="12">
        <f>+F151</f>
        <v>7</v>
      </c>
      <c r="G152" s="5"/>
      <c r="O152" s="3">
        <f>((((G146-(2*$D$11))+(2*10*D152/1000))*D146))*2</f>
        <v>1.8599999999999999</v>
      </c>
      <c r="P152" s="6">
        <f>O152*F152</f>
        <v>13.02</v>
      </c>
      <c r="Q152" s="6">
        <f t="shared" si="22"/>
        <v>0</v>
      </c>
      <c r="R152" s="6">
        <f t="shared" si="22"/>
        <v>0</v>
      </c>
      <c r="S152" s="6">
        <f t="shared" si="22"/>
        <v>11.563992000000001</v>
      </c>
      <c r="T152" s="6">
        <f t="shared" si="22"/>
        <v>0</v>
      </c>
      <c r="U152" s="6">
        <f t="shared" si="22"/>
        <v>0</v>
      </c>
      <c r="V152" s="6">
        <f t="shared" si="22"/>
        <v>0</v>
      </c>
      <c r="W152" s="6">
        <f t="shared" si="22"/>
        <v>0</v>
      </c>
      <c r="X152" s="6">
        <f t="shared" si="17"/>
        <v>11.563992000000001</v>
      </c>
    </row>
    <row r="153" spans="1:32" s="12" customFormat="1" ht="20.100000000000001" customHeight="1" x14ac:dyDescent="0.3">
      <c r="B153" s="6" t="s">
        <v>140</v>
      </c>
      <c r="C153" s="9" t="s">
        <v>0</v>
      </c>
      <c r="D153" s="12">
        <v>12</v>
      </c>
      <c r="E153" s="12">
        <v>0.15</v>
      </c>
      <c r="F153" s="12">
        <f>ROUND((E145-(IF(E145/3&gt;2*G145,E145/3*2,G145*2*2)))/E153,0)</f>
        <v>2</v>
      </c>
      <c r="O153" s="6">
        <f>(2*((G146-(2*$D$11))+(F146-(2*$D$11)))+(2*10*D153/1000))*D146</f>
        <v>2.8999999999999995</v>
      </c>
      <c r="P153" s="6">
        <f t="shared" si="25"/>
        <v>5.7999999999999989</v>
      </c>
      <c r="Q153" s="6">
        <f t="shared" si="22"/>
        <v>0</v>
      </c>
      <c r="R153" s="6">
        <f t="shared" si="22"/>
        <v>0</v>
      </c>
      <c r="S153" s="6">
        <f t="shared" si="22"/>
        <v>5.1513942857142858</v>
      </c>
      <c r="T153" s="6">
        <f t="shared" si="22"/>
        <v>0</v>
      </c>
      <c r="U153" s="6">
        <f t="shared" si="22"/>
        <v>0</v>
      </c>
      <c r="V153" s="6">
        <f t="shared" si="22"/>
        <v>0</v>
      </c>
      <c r="W153" s="6">
        <f t="shared" si="22"/>
        <v>0</v>
      </c>
      <c r="X153" s="6">
        <f t="shared" si="17"/>
        <v>5.1513942857142858</v>
      </c>
    </row>
    <row r="154" spans="1:32" s="12" customFormat="1" ht="20.100000000000001" customHeight="1" x14ac:dyDescent="0.25">
      <c r="B154" s="6" t="s">
        <v>140</v>
      </c>
      <c r="C154" s="9" t="s">
        <v>25</v>
      </c>
      <c r="D154" s="6">
        <f>+D153</f>
        <v>12</v>
      </c>
      <c r="E154" s="6">
        <f>+E153</f>
        <v>0.15</v>
      </c>
      <c r="F154" s="12">
        <f>+F153</f>
        <v>2</v>
      </c>
      <c r="G154" s="5"/>
      <c r="O154" s="3">
        <f>((((G146-(2*$D$11))+(2*10*D154/1000))*D146))*2</f>
        <v>1.8599999999999999</v>
      </c>
      <c r="P154" s="6">
        <f>O154*F154</f>
        <v>3.7199999999999998</v>
      </c>
      <c r="Q154" s="6">
        <f t="shared" si="22"/>
        <v>0</v>
      </c>
      <c r="R154" s="6">
        <f t="shared" si="22"/>
        <v>0</v>
      </c>
      <c r="S154" s="6">
        <f t="shared" si="22"/>
        <v>3.3039977142857144</v>
      </c>
      <c r="T154" s="6">
        <f t="shared" si="22"/>
        <v>0</v>
      </c>
      <c r="U154" s="6">
        <f t="shared" si="22"/>
        <v>0</v>
      </c>
      <c r="V154" s="6">
        <f t="shared" si="22"/>
        <v>0</v>
      </c>
      <c r="W154" s="6">
        <f t="shared" si="22"/>
        <v>0</v>
      </c>
      <c r="X154" s="6">
        <f t="shared" si="17"/>
        <v>3.3039977142857144</v>
      </c>
    </row>
    <row r="155" spans="1:32" s="5" customFormat="1" ht="20.100000000000001" customHeight="1" x14ac:dyDescent="0.25">
      <c r="A155" s="7"/>
      <c r="B155" s="6" t="s">
        <v>140</v>
      </c>
      <c r="C155" s="9" t="s">
        <v>17</v>
      </c>
      <c r="D155" s="6">
        <f>+$D$15</f>
        <v>25</v>
      </c>
      <c r="E155" s="6">
        <f>+$E$15</f>
        <v>1</v>
      </c>
      <c r="F155" s="6">
        <f>ROUNDUP((2.2)/E155,0)+1</f>
        <v>4</v>
      </c>
      <c r="G155" s="8"/>
      <c r="H155" s="8"/>
      <c r="I155" s="6"/>
      <c r="J155" s="6"/>
      <c r="K155" s="6"/>
      <c r="L155" s="6"/>
      <c r="M155" s="6"/>
      <c r="N155" s="6"/>
      <c r="O155" s="6">
        <f>+F146-(2*$D$11)</f>
        <v>0.6399999999999999</v>
      </c>
      <c r="P155" s="6">
        <f t="shared" si="25"/>
        <v>2.5599999999999996</v>
      </c>
      <c r="Q155" s="6">
        <f t="shared" si="22"/>
        <v>0</v>
      </c>
      <c r="R155" s="6">
        <f t="shared" si="22"/>
        <v>0</v>
      </c>
      <c r="S155" s="6">
        <f t="shared" si="22"/>
        <v>0</v>
      </c>
      <c r="T155" s="6">
        <f t="shared" si="22"/>
        <v>0</v>
      </c>
      <c r="U155" s="6">
        <f t="shared" si="22"/>
        <v>0</v>
      </c>
      <c r="V155" s="6">
        <f t="shared" si="22"/>
        <v>9.8685714285714283</v>
      </c>
      <c r="W155" s="6">
        <f t="shared" si="22"/>
        <v>0</v>
      </c>
      <c r="X155" s="6">
        <f t="shared" si="17"/>
        <v>9.8685714285714283</v>
      </c>
      <c r="Y155" s="6"/>
      <c r="Z155" s="6"/>
      <c r="AA155" s="6"/>
      <c r="AB155" s="6"/>
      <c r="AC155" s="6"/>
      <c r="AD155" s="6"/>
      <c r="AE155" s="6"/>
    </row>
    <row r="156" spans="1:32" s="5" customFormat="1" ht="21" customHeight="1" x14ac:dyDescent="0.25">
      <c r="A156" s="6">
        <f>+A146+1</f>
        <v>14</v>
      </c>
      <c r="B156" s="6" t="s">
        <v>140</v>
      </c>
      <c r="C156" s="11" t="s">
        <v>8</v>
      </c>
      <c r="D156" s="11">
        <v>1</v>
      </c>
      <c r="E156" s="11">
        <v>2.13</v>
      </c>
      <c r="F156" s="11">
        <v>0.4</v>
      </c>
      <c r="G156" s="11">
        <v>0.75</v>
      </c>
      <c r="H156" s="6">
        <f>G156-0.2</f>
        <v>0.55000000000000004</v>
      </c>
      <c r="I156" s="6">
        <f>E156*F156*G156*D156</f>
        <v>0.63900000000000001</v>
      </c>
      <c r="J156" s="6">
        <f>(2*(E156)*H156*D156)+(E156*F156)</f>
        <v>3.1949999999999998</v>
      </c>
      <c r="K156" s="10">
        <f>IF(E156=0.3,J156,0)</f>
        <v>0</v>
      </c>
      <c r="L156" s="10">
        <f>IF(AND(E156&gt;0.3,E156&lt;=0.75),J156,0)</f>
        <v>0</v>
      </c>
      <c r="M156" s="10">
        <f>IF(AND(E156&gt;0.75,E156&lt;=1.2),J156,0)</f>
        <v>0</v>
      </c>
      <c r="N156" s="10">
        <f>IF(E156&gt;1.2,J156,0)</f>
        <v>3.1949999999999998</v>
      </c>
      <c r="O156" s="6"/>
      <c r="P156" s="6"/>
      <c r="Q156" s="6">
        <f t="shared" si="22"/>
        <v>0</v>
      </c>
      <c r="R156" s="6">
        <f t="shared" si="22"/>
        <v>0</v>
      </c>
      <c r="S156" s="6">
        <f t="shared" si="22"/>
        <v>0</v>
      </c>
      <c r="T156" s="6">
        <f t="shared" si="22"/>
        <v>0</v>
      </c>
      <c r="U156" s="6">
        <f t="shared" si="22"/>
        <v>0</v>
      </c>
      <c r="V156" s="6">
        <f t="shared" si="22"/>
        <v>0</v>
      </c>
      <c r="W156" s="6">
        <f t="shared" si="22"/>
        <v>0</v>
      </c>
      <c r="X156" s="6">
        <f t="shared" si="17"/>
        <v>0</v>
      </c>
      <c r="Y156" s="7">
        <f>SUM(X157:X160)/I156</f>
        <v>142.67081743796112</v>
      </c>
      <c r="Z156" s="6"/>
      <c r="AA156" s="6"/>
      <c r="AB156" s="6"/>
      <c r="AC156" s="6"/>
      <c r="AD156" s="6"/>
      <c r="AE156" s="6"/>
      <c r="AF156" s="6"/>
    </row>
    <row r="157" spans="1:32" s="5" customFormat="1" ht="20.100000000000001" customHeight="1" x14ac:dyDescent="0.25">
      <c r="A157" s="7"/>
      <c r="B157" s="6" t="s">
        <v>140</v>
      </c>
      <c r="C157" s="9" t="s">
        <v>2</v>
      </c>
      <c r="D157" s="6">
        <v>16</v>
      </c>
      <c r="E157" s="6"/>
      <c r="F157" s="6">
        <v>4</v>
      </c>
      <c r="G157" s="8">
        <f>VLOOKUP(D157,$C$20:$F$26,3,0)</f>
        <v>0.8</v>
      </c>
      <c r="H157" s="8"/>
      <c r="I157" s="6"/>
      <c r="J157" s="6"/>
      <c r="K157" s="6"/>
      <c r="L157" s="6"/>
      <c r="M157" s="6"/>
      <c r="N157" s="6"/>
      <c r="O157" s="6">
        <f>(E156+2*(G157+(2*D157/1000)))*D156</f>
        <v>3.794</v>
      </c>
      <c r="P157" s="6">
        <f t="shared" ref="P157:P158" si="26">O157*F157</f>
        <v>15.176</v>
      </c>
      <c r="Q157" s="6">
        <f t="shared" si="22"/>
        <v>0</v>
      </c>
      <c r="R157" s="6">
        <f t="shared" si="22"/>
        <v>0</v>
      </c>
      <c r="S157" s="6">
        <f t="shared" si="22"/>
        <v>0</v>
      </c>
      <c r="T157" s="6">
        <f t="shared" si="22"/>
        <v>23.962470400000001</v>
      </c>
      <c r="U157" s="6">
        <f t="shared" si="22"/>
        <v>0</v>
      </c>
      <c r="V157" s="6">
        <f t="shared" si="22"/>
        <v>0</v>
      </c>
      <c r="W157" s="6">
        <f t="shared" si="22"/>
        <v>0</v>
      </c>
      <c r="X157" s="6">
        <f t="shared" si="17"/>
        <v>23.962470400000001</v>
      </c>
      <c r="Y157" s="6"/>
      <c r="Z157" s="6"/>
      <c r="AA157" s="6"/>
      <c r="AB157" s="6"/>
      <c r="AC157" s="6"/>
      <c r="AD157" s="6"/>
      <c r="AE157" s="6"/>
    </row>
    <row r="158" spans="1:32" s="5" customFormat="1" ht="20.100000000000001" customHeight="1" x14ac:dyDescent="0.25">
      <c r="A158" s="7"/>
      <c r="B158" s="6" t="s">
        <v>140</v>
      </c>
      <c r="C158" s="9" t="s">
        <v>14</v>
      </c>
      <c r="D158" s="6">
        <v>16</v>
      </c>
      <c r="E158" s="6"/>
      <c r="F158" s="6">
        <v>4</v>
      </c>
      <c r="G158" s="8">
        <f>VLOOKUP(D158,$C$20:$F$26,3,0)</f>
        <v>0.8</v>
      </c>
      <c r="H158" s="8"/>
      <c r="I158" s="6"/>
      <c r="J158" s="6"/>
      <c r="K158" s="6"/>
      <c r="L158" s="6"/>
      <c r="M158" s="6"/>
      <c r="N158" s="6"/>
      <c r="O158" s="6">
        <f>(E156+2*(G158+(2*D158/1000)))*D156</f>
        <v>3.794</v>
      </c>
      <c r="P158" s="6">
        <f t="shared" si="26"/>
        <v>15.176</v>
      </c>
      <c r="Q158" s="6">
        <f t="shared" si="22"/>
        <v>0</v>
      </c>
      <c r="R158" s="6">
        <f t="shared" si="22"/>
        <v>0</v>
      </c>
      <c r="S158" s="6">
        <f t="shared" si="22"/>
        <v>0</v>
      </c>
      <c r="T158" s="6">
        <f t="shared" si="22"/>
        <v>23.962470400000001</v>
      </c>
      <c r="U158" s="6">
        <f t="shared" si="22"/>
        <v>0</v>
      </c>
      <c r="V158" s="6">
        <f t="shared" si="22"/>
        <v>0</v>
      </c>
      <c r="W158" s="6">
        <f t="shared" si="22"/>
        <v>0</v>
      </c>
      <c r="X158" s="6">
        <f t="shared" si="17"/>
        <v>23.962470400000001</v>
      </c>
      <c r="Y158" s="6"/>
      <c r="Z158" s="6"/>
      <c r="AA158" s="6"/>
      <c r="AB158" s="6"/>
      <c r="AC158" s="6"/>
      <c r="AD158" s="6"/>
      <c r="AE158" s="6"/>
    </row>
    <row r="159" spans="1:32" s="5" customFormat="1" ht="20.100000000000001" customHeight="1" x14ac:dyDescent="0.25">
      <c r="A159" s="7"/>
      <c r="B159" s="6" t="s">
        <v>140</v>
      </c>
      <c r="C159" s="9" t="s">
        <v>1</v>
      </c>
      <c r="D159" s="6">
        <v>16</v>
      </c>
      <c r="E159" s="6"/>
      <c r="F159" s="6">
        <v>4</v>
      </c>
      <c r="G159" s="8">
        <f>VLOOKUP(D159,$C$20:$F$26,3,0)</f>
        <v>0.8</v>
      </c>
      <c r="H159" s="6"/>
      <c r="I159" s="6"/>
      <c r="J159" s="6"/>
      <c r="K159" s="6"/>
      <c r="L159" s="6"/>
      <c r="M159" s="6"/>
      <c r="N159" s="6"/>
      <c r="O159" s="6">
        <f>(E156+2*(G159+(2*D159/1000)))*D156</f>
        <v>3.794</v>
      </c>
      <c r="P159" s="6">
        <f>O159*F159</f>
        <v>15.176</v>
      </c>
      <c r="Q159" s="6">
        <f t="shared" si="22"/>
        <v>0</v>
      </c>
      <c r="R159" s="6">
        <f t="shared" si="22"/>
        <v>0</v>
      </c>
      <c r="S159" s="6">
        <f t="shared" si="22"/>
        <v>0</v>
      </c>
      <c r="T159" s="6">
        <f t="shared" si="22"/>
        <v>23.962470400000001</v>
      </c>
      <c r="U159" s="6">
        <f t="shared" si="22"/>
        <v>0</v>
      </c>
      <c r="V159" s="6">
        <f t="shared" si="22"/>
        <v>0</v>
      </c>
      <c r="W159" s="6">
        <f t="shared" si="22"/>
        <v>0</v>
      </c>
      <c r="X159" s="6">
        <f t="shared" si="17"/>
        <v>23.962470400000001</v>
      </c>
      <c r="Y159" s="6"/>
      <c r="Z159" s="6"/>
      <c r="AA159" s="6"/>
      <c r="AB159" s="6"/>
      <c r="AC159" s="6"/>
      <c r="AD159" s="6"/>
      <c r="AE159" s="6"/>
    </row>
    <row r="160" spans="1:32" s="5" customFormat="1" ht="20.100000000000001" customHeight="1" x14ac:dyDescent="0.25">
      <c r="A160" s="7"/>
      <c r="B160" s="6" t="s">
        <v>140</v>
      </c>
      <c r="C160" s="9" t="s">
        <v>0</v>
      </c>
      <c r="D160" s="6">
        <v>8</v>
      </c>
      <c r="E160" s="6">
        <v>0.1</v>
      </c>
      <c r="F160" s="6">
        <f>+ROUND(E156/E160,0)+1</f>
        <v>22</v>
      </c>
      <c r="H160" s="6"/>
      <c r="I160" s="6"/>
      <c r="J160" s="6"/>
      <c r="K160" s="6"/>
      <c r="L160" s="6"/>
      <c r="M160" s="6"/>
      <c r="N160" s="6"/>
      <c r="O160" s="6">
        <f>(2*((G156-(2*$D$11))+(F156-(2*$D$11)))+(2*10*D160/1000))*D156</f>
        <v>2.2200000000000002</v>
      </c>
      <c r="P160" s="6">
        <f>O160*F160</f>
        <v>48.84</v>
      </c>
      <c r="Q160" s="6">
        <f t="shared" si="22"/>
        <v>19.279241142857146</v>
      </c>
      <c r="R160" s="6">
        <f t="shared" si="22"/>
        <v>0</v>
      </c>
      <c r="S160" s="6">
        <f t="shared" si="22"/>
        <v>0</v>
      </c>
      <c r="T160" s="6">
        <f t="shared" si="22"/>
        <v>0</v>
      </c>
      <c r="U160" s="6">
        <f t="shared" si="22"/>
        <v>0</v>
      </c>
      <c r="V160" s="6">
        <f t="shared" si="22"/>
        <v>0</v>
      </c>
      <c r="W160" s="6">
        <f t="shared" si="22"/>
        <v>0</v>
      </c>
      <c r="X160" s="6">
        <f t="shared" si="17"/>
        <v>19.279241142857146</v>
      </c>
      <c r="Y160" s="6"/>
      <c r="Z160" s="6"/>
      <c r="AA160" s="6"/>
      <c r="AB160" s="6"/>
      <c r="AC160" s="6"/>
      <c r="AD160" s="6"/>
      <c r="AE160" s="6"/>
    </row>
    <row r="161" spans="1:32" s="12" customFormat="1" ht="20.100000000000001" customHeight="1" x14ac:dyDescent="0.25">
      <c r="B161" s="6" t="s">
        <v>140</v>
      </c>
      <c r="C161" s="9" t="s">
        <v>25</v>
      </c>
      <c r="D161" s="6">
        <f>+D160</f>
        <v>8</v>
      </c>
      <c r="E161" s="6">
        <f>+E160</f>
        <v>0.1</v>
      </c>
      <c r="F161" s="12">
        <f>+F160</f>
        <v>22</v>
      </c>
      <c r="G161" s="5"/>
      <c r="O161" s="3">
        <f>((((G156-(2*$D$11))+(2*10*D161/1000))*D156))*2</f>
        <v>1.7</v>
      </c>
      <c r="P161" s="6">
        <f>O161*F161</f>
        <v>37.4</v>
      </c>
      <c r="Q161" s="6">
        <f t="shared" si="22"/>
        <v>14.763382857142858</v>
      </c>
      <c r="R161" s="6">
        <f t="shared" si="22"/>
        <v>0</v>
      </c>
      <c r="S161" s="6">
        <f t="shared" si="22"/>
        <v>0</v>
      </c>
      <c r="T161" s="6">
        <f t="shared" si="22"/>
        <v>0</v>
      </c>
      <c r="U161" s="6">
        <f t="shared" si="22"/>
        <v>0</v>
      </c>
      <c r="V161" s="6">
        <f t="shared" si="22"/>
        <v>0</v>
      </c>
      <c r="W161" s="6">
        <f t="shared" si="22"/>
        <v>0</v>
      </c>
      <c r="X161" s="6">
        <f t="shared" si="17"/>
        <v>14.763382857142858</v>
      </c>
    </row>
    <row r="162" spans="1:32" s="5" customFormat="1" ht="21" customHeight="1" x14ac:dyDescent="0.25">
      <c r="A162" s="6">
        <f>+A156+1</f>
        <v>15</v>
      </c>
      <c r="B162" s="6" t="s">
        <v>140</v>
      </c>
      <c r="C162" s="11" t="s">
        <v>7</v>
      </c>
      <c r="D162" s="11">
        <v>1</v>
      </c>
      <c r="E162" s="11">
        <v>7.95</v>
      </c>
      <c r="F162" s="11">
        <v>0.4</v>
      </c>
      <c r="G162" s="11">
        <v>0.75</v>
      </c>
      <c r="H162" s="6">
        <f>G162-0.2</f>
        <v>0.55000000000000004</v>
      </c>
      <c r="I162" s="6">
        <f>E162*F162*G162*D162</f>
        <v>2.3850000000000002</v>
      </c>
      <c r="J162" s="6">
        <f>(2*(E162)*H162*D162)+(E162*F162)</f>
        <v>11.925000000000001</v>
      </c>
      <c r="K162" s="10">
        <f>IF(E162=0.3,J162,0)</f>
        <v>0</v>
      </c>
      <c r="L162" s="10">
        <f>IF(AND(E162&gt;0.3,E162&lt;=0.75),J162,0)</f>
        <v>0</v>
      </c>
      <c r="M162" s="10">
        <f>IF(AND(E162&gt;0.75,E162&lt;=1.2),J162,0)</f>
        <v>0</v>
      </c>
      <c r="N162" s="10">
        <f>IF(E162&gt;1.2,J162,0)</f>
        <v>11.925000000000001</v>
      </c>
      <c r="O162" s="6"/>
      <c r="P162" s="6"/>
      <c r="Q162" s="6">
        <f t="shared" si="22"/>
        <v>0</v>
      </c>
      <c r="R162" s="6">
        <f t="shared" si="22"/>
        <v>0</v>
      </c>
      <c r="S162" s="6">
        <f t="shared" si="22"/>
        <v>0</v>
      </c>
      <c r="T162" s="6">
        <f t="shared" si="22"/>
        <v>0</v>
      </c>
      <c r="U162" s="6">
        <f t="shared" si="22"/>
        <v>0</v>
      </c>
      <c r="V162" s="6">
        <f t="shared" si="22"/>
        <v>0</v>
      </c>
      <c r="W162" s="6">
        <f t="shared" si="22"/>
        <v>0</v>
      </c>
      <c r="X162" s="6">
        <f t="shared" si="17"/>
        <v>0</v>
      </c>
      <c r="Y162" s="7">
        <f>SUM(X163:X172)/I162</f>
        <v>189.63312379754419</v>
      </c>
      <c r="Z162" s="6"/>
      <c r="AA162" s="6"/>
      <c r="AB162" s="6"/>
      <c r="AC162" s="6"/>
      <c r="AD162" s="6"/>
      <c r="AE162" s="6"/>
      <c r="AF162" s="6"/>
    </row>
    <row r="163" spans="1:32" s="5" customFormat="1" ht="20.100000000000001" customHeight="1" x14ac:dyDescent="0.25">
      <c r="A163" s="7"/>
      <c r="B163" s="6" t="s">
        <v>140</v>
      </c>
      <c r="C163" s="9" t="s">
        <v>2</v>
      </c>
      <c r="D163" s="6">
        <v>16</v>
      </c>
      <c r="E163" s="6"/>
      <c r="F163" s="6">
        <v>4</v>
      </c>
      <c r="G163" s="8">
        <f>VLOOKUP(D163,$C$20:$F$26,3,0)</f>
        <v>0.8</v>
      </c>
      <c r="H163" s="8"/>
      <c r="I163" s="6"/>
      <c r="J163" s="6"/>
      <c r="K163" s="6"/>
      <c r="L163" s="6"/>
      <c r="M163" s="6"/>
      <c r="N163" s="6"/>
      <c r="O163" s="6">
        <f>(E162+2*(G163+(2*D163/1000)))*D162</f>
        <v>9.6140000000000008</v>
      </c>
      <c r="P163" s="6">
        <f t="shared" ref="P163:P165" si="27">O163*F163</f>
        <v>38.456000000000003</v>
      </c>
      <c r="Q163" s="6">
        <f t="shared" si="22"/>
        <v>0</v>
      </c>
      <c r="R163" s="6">
        <f t="shared" si="22"/>
        <v>0</v>
      </c>
      <c r="S163" s="6">
        <f t="shared" si="22"/>
        <v>0</v>
      </c>
      <c r="T163" s="6">
        <f t="shared" si="22"/>
        <v>60.720925257142866</v>
      </c>
      <c r="U163" s="6">
        <f t="shared" si="22"/>
        <v>0</v>
      </c>
      <c r="V163" s="6">
        <f t="shared" si="22"/>
        <v>0</v>
      </c>
      <c r="W163" s="6">
        <f t="shared" si="22"/>
        <v>0</v>
      </c>
      <c r="X163" s="6">
        <f t="shared" si="17"/>
        <v>60.720925257142866</v>
      </c>
      <c r="Y163" s="6"/>
      <c r="Z163" s="6"/>
      <c r="AA163" s="6"/>
      <c r="AB163" s="6"/>
      <c r="AC163" s="6"/>
      <c r="AD163" s="6"/>
      <c r="AE163" s="6"/>
    </row>
    <row r="164" spans="1:32" s="5" customFormat="1" ht="20.100000000000001" customHeight="1" x14ac:dyDescent="0.25">
      <c r="A164" s="7"/>
      <c r="B164" s="6" t="s">
        <v>140</v>
      </c>
      <c r="C164" s="9" t="s">
        <v>14</v>
      </c>
      <c r="D164" s="6">
        <v>20</v>
      </c>
      <c r="E164" s="6"/>
      <c r="F164" s="6">
        <v>4</v>
      </c>
      <c r="G164" s="8">
        <f>VLOOKUP(D164,$C$20:$F$26,3,0)</f>
        <v>1</v>
      </c>
      <c r="H164" s="8"/>
      <c r="I164" s="6"/>
      <c r="J164" s="6"/>
      <c r="K164" s="6"/>
      <c r="L164" s="6"/>
      <c r="M164" s="6"/>
      <c r="N164" s="6"/>
      <c r="O164" s="6">
        <f>(2.15+2*(G164+(2*D164/1000)))*D162</f>
        <v>4.2300000000000004</v>
      </c>
      <c r="P164" s="6">
        <f t="shared" si="27"/>
        <v>16.920000000000002</v>
      </c>
      <c r="Q164" s="6">
        <f t="shared" si="22"/>
        <v>0</v>
      </c>
      <c r="R164" s="6">
        <f t="shared" si="22"/>
        <v>0</v>
      </c>
      <c r="S164" s="6">
        <f t="shared" si="22"/>
        <v>0</v>
      </c>
      <c r="T164" s="6">
        <f t="shared" si="22"/>
        <v>0</v>
      </c>
      <c r="U164" s="6">
        <f t="shared" si="22"/>
        <v>41.744057142857145</v>
      </c>
      <c r="V164" s="6">
        <f t="shared" si="22"/>
        <v>0</v>
      </c>
      <c r="W164" s="6">
        <f t="shared" si="22"/>
        <v>0</v>
      </c>
      <c r="X164" s="6">
        <f t="shared" si="17"/>
        <v>41.744057142857145</v>
      </c>
      <c r="Y164" s="6"/>
      <c r="Z164" s="6"/>
      <c r="AA164" s="6"/>
      <c r="AB164" s="6"/>
      <c r="AC164" s="6"/>
      <c r="AD164" s="6"/>
      <c r="AE164" s="6"/>
    </row>
    <row r="165" spans="1:32" s="5" customFormat="1" ht="20.100000000000001" customHeight="1" x14ac:dyDescent="0.25">
      <c r="A165" s="7"/>
      <c r="B165" s="6" t="s">
        <v>140</v>
      </c>
      <c r="C165" s="9" t="s">
        <v>26</v>
      </c>
      <c r="D165" s="6">
        <v>20</v>
      </c>
      <c r="E165" s="6"/>
      <c r="F165" s="6">
        <v>4</v>
      </c>
      <c r="G165" s="8">
        <f>VLOOKUP(D165,$C$20:$F$26,3,0)</f>
        <v>1</v>
      </c>
      <c r="H165" s="8"/>
      <c r="I165" s="6"/>
      <c r="J165" s="6"/>
      <c r="K165" s="6"/>
      <c r="L165" s="6"/>
      <c r="M165" s="6"/>
      <c r="N165" s="6"/>
      <c r="O165" s="6">
        <f>(2.15+2*(G165+(2*D165/1000)))*D162</f>
        <v>4.2300000000000004</v>
      </c>
      <c r="P165" s="6">
        <f t="shared" si="27"/>
        <v>16.920000000000002</v>
      </c>
      <c r="Q165" s="6">
        <f t="shared" si="22"/>
        <v>0</v>
      </c>
      <c r="R165" s="6">
        <f t="shared" si="22"/>
        <v>0</v>
      </c>
      <c r="S165" s="6">
        <f t="shared" si="22"/>
        <v>0</v>
      </c>
      <c r="T165" s="6">
        <f t="shared" si="22"/>
        <v>0</v>
      </c>
      <c r="U165" s="6">
        <f t="shared" si="22"/>
        <v>41.744057142857145</v>
      </c>
      <c r="V165" s="6">
        <f t="shared" si="22"/>
        <v>0</v>
      </c>
      <c r="W165" s="6">
        <f t="shared" si="22"/>
        <v>0</v>
      </c>
      <c r="X165" s="6">
        <f t="shared" si="17"/>
        <v>41.744057142857145</v>
      </c>
      <c r="Y165" s="6"/>
      <c r="Z165" s="6"/>
      <c r="AA165" s="6"/>
      <c r="AB165" s="6"/>
      <c r="AC165" s="6"/>
      <c r="AD165" s="6"/>
      <c r="AE165" s="6"/>
    </row>
    <row r="166" spans="1:32" s="5" customFormat="1" ht="20.100000000000001" customHeight="1" x14ac:dyDescent="0.25">
      <c r="A166" s="7"/>
      <c r="B166" s="6" t="s">
        <v>140</v>
      </c>
      <c r="C166" s="9" t="s">
        <v>1</v>
      </c>
      <c r="D166" s="6">
        <v>20</v>
      </c>
      <c r="E166" s="6"/>
      <c r="F166" s="6">
        <v>4</v>
      </c>
      <c r="G166" s="8">
        <f>VLOOKUP(D166,$C$20:$F$26,3,0)</f>
        <v>1</v>
      </c>
      <c r="H166" s="6"/>
      <c r="I166" s="6"/>
      <c r="J166" s="6"/>
      <c r="K166" s="6"/>
      <c r="L166" s="6"/>
      <c r="M166" s="6"/>
      <c r="N166" s="6"/>
      <c r="O166" s="6">
        <f>(E162+2*(G166+(2*D166/1000)))*D162</f>
        <v>10.030000000000001</v>
      </c>
      <c r="P166" s="6">
        <f>O166*F166</f>
        <v>40.120000000000005</v>
      </c>
      <c r="Q166" s="6">
        <f t="shared" si="22"/>
        <v>0</v>
      </c>
      <c r="R166" s="6">
        <f t="shared" si="22"/>
        <v>0</v>
      </c>
      <c r="S166" s="6">
        <f t="shared" si="22"/>
        <v>0</v>
      </c>
      <c r="T166" s="6">
        <f t="shared" si="22"/>
        <v>0</v>
      </c>
      <c r="U166" s="6">
        <f t="shared" si="22"/>
        <v>98.981771428571435</v>
      </c>
      <c r="V166" s="6">
        <f t="shared" si="22"/>
        <v>0</v>
      </c>
      <c r="W166" s="6">
        <f t="shared" si="22"/>
        <v>0</v>
      </c>
      <c r="X166" s="6">
        <f t="shared" si="17"/>
        <v>98.981771428571435</v>
      </c>
      <c r="Y166" s="6"/>
      <c r="Z166" s="6"/>
      <c r="AA166" s="6"/>
      <c r="AB166" s="6"/>
      <c r="AC166" s="6"/>
      <c r="AD166" s="6"/>
      <c r="AE166" s="6"/>
    </row>
    <row r="167" spans="1:32" s="5" customFormat="1" ht="20.100000000000001" customHeight="1" x14ac:dyDescent="0.25">
      <c r="A167" s="7"/>
      <c r="B167" s="6" t="s">
        <v>140</v>
      </c>
      <c r="C167" s="9" t="s">
        <v>1</v>
      </c>
      <c r="D167" s="6">
        <v>20</v>
      </c>
      <c r="E167" s="6"/>
      <c r="F167" s="6">
        <v>4</v>
      </c>
      <c r="G167" s="8">
        <f>VLOOKUP(D167,$C$20:$F$26,3,0)</f>
        <v>1</v>
      </c>
      <c r="H167" s="6"/>
      <c r="I167" s="6"/>
      <c r="J167" s="6"/>
      <c r="K167" s="6"/>
      <c r="L167" s="6"/>
      <c r="M167" s="6"/>
      <c r="N167" s="6"/>
      <c r="O167" s="6">
        <f>+E162-0.85-0.85</f>
        <v>6.2500000000000009</v>
      </c>
      <c r="P167" s="6">
        <f>O167*F167</f>
        <v>25.000000000000004</v>
      </c>
      <c r="Q167" s="6">
        <f t="shared" si="22"/>
        <v>0</v>
      </c>
      <c r="R167" s="6">
        <f t="shared" si="22"/>
        <v>0</v>
      </c>
      <c r="S167" s="6">
        <f t="shared" si="22"/>
        <v>0</v>
      </c>
      <c r="T167" s="6">
        <f t="shared" si="22"/>
        <v>0</v>
      </c>
      <c r="U167" s="6">
        <f t="shared" si="22"/>
        <v>61.678571428571438</v>
      </c>
      <c r="V167" s="6">
        <f t="shared" si="22"/>
        <v>0</v>
      </c>
      <c r="W167" s="6">
        <f t="shared" si="22"/>
        <v>0</v>
      </c>
      <c r="X167" s="6">
        <f t="shared" si="17"/>
        <v>61.678571428571438</v>
      </c>
      <c r="Y167" s="6"/>
      <c r="Z167" s="6"/>
      <c r="AA167" s="6"/>
      <c r="AB167" s="6"/>
      <c r="AC167" s="6"/>
      <c r="AD167" s="6"/>
      <c r="AE167" s="6"/>
    </row>
    <row r="168" spans="1:32" s="5" customFormat="1" ht="20.100000000000001" customHeight="1" x14ac:dyDescent="0.25">
      <c r="A168" s="7"/>
      <c r="B168" s="6" t="s">
        <v>140</v>
      </c>
      <c r="C168" s="9" t="s">
        <v>0</v>
      </c>
      <c r="D168" s="6">
        <v>10</v>
      </c>
      <c r="E168" s="6">
        <v>0.125</v>
      </c>
      <c r="F168" s="6">
        <f>ROUND(IF(E162/3&gt;(2*G162),(E162/3)/E168,(2*G162)/E168),0)*2+1</f>
        <v>43</v>
      </c>
      <c r="G168" s="8"/>
      <c r="H168" s="6"/>
      <c r="I168" s="6"/>
      <c r="J168" s="6"/>
      <c r="K168" s="6"/>
      <c r="L168" s="6"/>
      <c r="M168" s="6"/>
      <c r="N168" s="6"/>
      <c r="O168" s="6">
        <f>(2*((G162-(2*$D$11))+(F162-(2*$D$11)))+(2*10*D168/1000))*D162</f>
        <v>2.2600000000000002</v>
      </c>
      <c r="P168" s="6">
        <f t="shared" ref="P168:P172" si="28">O168*F168</f>
        <v>97.18</v>
      </c>
      <c r="Q168" s="6">
        <f t="shared" si="22"/>
        <v>0</v>
      </c>
      <c r="R168" s="6">
        <f t="shared" si="22"/>
        <v>59.939235714285715</v>
      </c>
      <c r="S168" s="6">
        <f t="shared" ref="Q168:W204" si="29">IF($D168=S$36,$P168*S$37,0)</f>
        <v>0</v>
      </c>
      <c r="T168" s="6">
        <f t="shared" si="29"/>
        <v>0</v>
      </c>
      <c r="U168" s="6">
        <f t="shared" si="29"/>
        <v>0</v>
      </c>
      <c r="V168" s="6">
        <f t="shared" si="29"/>
        <v>0</v>
      </c>
      <c r="W168" s="6">
        <f t="shared" si="29"/>
        <v>0</v>
      </c>
      <c r="X168" s="6">
        <f t="shared" si="17"/>
        <v>59.939235714285715</v>
      </c>
      <c r="Y168" s="6"/>
      <c r="Z168" s="6"/>
      <c r="AA168" s="6"/>
      <c r="AB168" s="6"/>
      <c r="AC168" s="6"/>
      <c r="AD168" s="6"/>
      <c r="AE168" s="6"/>
    </row>
    <row r="169" spans="1:32" s="12" customFormat="1" ht="20.100000000000001" customHeight="1" x14ac:dyDescent="0.25">
      <c r="B169" s="6" t="s">
        <v>140</v>
      </c>
      <c r="C169" s="9" t="s">
        <v>25</v>
      </c>
      <c r="D169" s="6">
        <f>+D168</f>
        <v>10</v>
      </c>
      <c r="E169" s="6">
        <f>+E168</f>
        <v>0.125</v>
      </c>
      <c r="F169" s="12">
        <f>+F168</f>
        <v>43</v>
      </c>
      <c r="G169" s="5"/>
      <c r="O169" s="3">
        <f>((((G162-(2*$D$11))+(2*10*D169/1000))*D162))*2</f>
        <v>1.7799999999999998</v>
      </c>
      <c r="P169" s="6">
        <f>O169*F169</f>
        <v>76.539999999999992</v>
      </c>
      <c r="Q169" s="6">
        <f t="shared" si="29"/>
        <v>0</v>
      </c>
      <c r="R169" s="6">
        <f t="shared" si="29"/>
        <v>47.208778571428567</v>
      </c>
      <c r="S169" s="6">
        <f t="shared" si="29"/>
        <v>0</v>
      </c>
      <c r="T169" s="6">
        <f t="shared" si="29"/>
        <v>0</v>
      </c>
      <c r="U169" s="6">
        <f t="shared" si="29"/>
        <v>0</v>
      </c>
      <c r="V169" s="6">
        <f t="shared" si="29"/>
        <v>0</v>
      </c>
      <c r="W169" s="6">
        <f t="shared" si="29"/>
        <v>0</v>
      </c>
      <c r="X169" s="6">
        <f t="shared" si="17"/>
        <v>47.208778571428567</v>
      </c>
    </row>
    <row r="170" spans="1:32" s="12" customFormat="1" ht="20.100000000000001" customHeight="1" x14ac:dyDescent="0.3">
      <c r="B170" s="6" t="s">
        <v>140</v>
      </c>
      <c r="C170" s="9" t="s">
        <v>0</v>
      </c>
      <c r="D170" s="12">
        <v>10</v>
      </c>
      <c r="E170" s="12">
        <v>0.2</v>
      </c>
      <c r="F170" s="12">
        <f>ROUND((E162-(IF(E162/3&gt;2*G162,E162/3*2,G162*2*2)))/E170,0)</f>
        <v>13</v>
      </c>
      <c r="O170" s="6">
        <f>(2*((G162-(2*$D$11))+(F162-(2*$D$11)))+(2*10*D170/1000))*D162</f>
        <v>2.2600000000000002</v>
      </c>
      <c r="P170" s="6">
        <f t="shared" si="28"/>
        <v>29.380000000000003</v>
      </c>
      <c r="Q170" s="6">
        <f t="shared" si="29"/>
        <v>0</v>
      </c>
      <c r="R170" s="6">
        <f t="shared" si="29"/>
        <v>18.121164285714286</v>
      </c>
      <c r="S170" s="6">
        <f t="shared" si="29"/>
        <v>0</v>
      </c>
      <c r="T170" s="6">
        <f t="shared" si="29"/>
        <v>0</v>
      </c>
      <c r="U170" s="6">
        <f t="shared" si="29"/>
        <v>0</v>
      </c>
      <c r="V170" s="6">
        <f t="shared" si="29"/>
        <v>0</v>
      </c>
      <c r="W170" s="6">
        <f t="shared" si="29"/>
        <v>0</v>
      </c>
      <c r="X170" s="6">
        <f t="shared" si="17"/>
        <v>18.121164285714286</v>
      </c>
    </row>
    <row r="171" spans="1:32" s="12" customFormat="1" ht="20.100000000000001" customHeight="1" x14ac:dyDescent="0.25">
      <c r="B171" s="6" t="s">
        <v>140</v>
      </c>
      <c r="C171" s="9" t="s">
        <v>25</v>
      </c>
      <c r="D171" s="6">
        <f>+D170</f>
        <v>10</v>
      </c>
      <c r="E171" s="6">
        <f>+E170</f>
        <v>0.2</v>
      </c>
      <c r="F171" s="12">
        <f>+F170</f>
        <v>13</v>
      </c>
      <c r="G171" s="5"/>
      <c r="O171" s="3">
        <f>((((G162-(2*$D$11))+(2*10*D171/1000))*D162))*2</f>
        <v>1.7799999999999998</v>
      </c>
      <c r="P171" s="6">
        <f>O171*F171</f>
        <v>23.139999999999997</v>
      </c>
      <c r="Q171" s="6">
        <f t="shared" si="29"/>
        <v>0</v>
      </c>
      <c r="R171" s="6">
        <f t="shared" si="29"/>
        <v>14.272421428571427</v>
      </c>
      <c r="S171" s="6">
        <f t="shared" si="29"/>
        <v>0</v>
      </c>
      <c r="T171" s="6">
        <f t="shared" si="29"/>
        <v>0</v>
      </c>
      <c r="U171" s="6">
        <f t="shared" si="29"/>
        <v>0</v>
      </c>
      <c r="V171" s="6">
        <f t="shared" si="29"/>
        <v>0</v>
      </c>
      <c r="W171" s="6">
        <f t="shared" si="29"/>
        <v>0</v>
      </c>
      <c r="X171" s="6">
        <f t="shared" ref="X171:X234" si="30">SUM(Q171:W171)</f>
        <v>14.272421428571427</v>
      </c>
    </row>
    <row r="172" spans="1:32" s="5" customFormat="1" ht="20.100000000000001" customHeight="1" x14ac:dyDescent="0.25">
      <c r="A172" s="7"/>
      <c r="B172" s="6" t="s">
        <v>140</v>
      </c>
      <c r="C172" s="9" t="s">
        <v>17</v>
      </c>
      <c r="D172" s="6">
        <f>+$D$15</f>
        <v>25</v>
      </c>
      <c r="E172" s="6">
        <f>+$E$15</f>
        <v>1</v>
      </c>
      <c r="F172" s="6">
        <f>ROUNDUP((2.15+2.15)/E172,0)+1</f>
        <v>6</v>
      </c>
      <c r="G172" s="8"/>
      <c r="H172" s="8"/>
      <c r="I172" s="6"/>
      <c r="J172" s="6"/>
      <c r="K172" s="6"/>
      <c r="L172" s="6"/>
      <c r="M172" s="6"/>
      <c r="N172" s="6"/>
      <c r="O172" s="6">
        <f>+F162-(2*$D$11)</f>
        <v>0.34</v>
      </c>
      <c r="P172" s="6">
        <f t="shared" si="28"/>
        <v>2.04</v>
      </c>
      <c r="Q172" s="6">
        <f t="shared" si="29"/>
        <v>0</v>
      </c>
      <c r="R172" s="6">
        <f t="shared" si="29"/>
        <v>0</v>
      </c>
      <c r="S172" s="6">
        <f t="shared" si="29"/>
        <v>0</v>
      </c>
      <c r="T172" s="6">
        <f t="shared" si="29"/>
        <v>0</v>
      </c>
      <c r="U172" s="6">
        <f t="shared" si="29"/>
        <v>0</v>
      </c>
      <c r="V172" s="6">
        <f t="shared" si="29"/>
        <v>7.8640178571428585</v>
      </c>
      <c r="W172" s="6">
        <f t="shared" si="29"/>
        <v>0</v>
      </c>
      <c r="X172" s="6">
        <f t="shared" si="30"/>
        <v>7.8640178571428585</v>
      </c>
      <c r="Y172" s="6"/>
      <c r="Z172" s="6"/>
      <c r="AA172" s="6"/>
      <c r="AB172" s="6"/>
      <c r="AC172" s="6"/>
      <c r="AD172" s="6"/>
      <c r="AE172" s="6"/>
    </row>
    <row r="173" spans="1:32" s="5" customFormat="1" ht="21" customHeight="1" x14ac:dyDescent="0.25">
      <c r="A173" s="90">
        <f>+A162+1</f>
        <v>16</v>
      </c>
      <c r="B173" s="6" t="s">
        <v>140</v>
      </c>
      <c r="C173" s="11" t="s">
        <v>141</v>
      </c>
      <c r="D173" s="11">
        <v>1</v>
      </c>
      <c r="E173" s="11">
        <v>0.9</v>
      </c>
      <c r="F173" s="11">
        <v>0.15</v>
      </c>
      <c r="G173" s="11">
        <v>0.6</v>
      </c>
      <c r="H173" s="6">
        <f>G173-0.2</f>
        <v>0.39999999999999997</v>
      </c>
      <c r="I173" s="6">
        <f>E173*F173*G173*D173</f>
        <v>8.1000000000000003E-2</v>
      </c>
      <c r="J173" s="6">
        <f>(2*(E173)*H173*D173)+(E173*F173)</f>
        <v>0.85499999999999998</v>
      </c>
      <c r="K173" s="10">
        <f>IF(E173=0.3,J173,0)</f>
        <v>0</v>
      </c>
      <c r="L173" s="10">
        <f>IF(AND(E173&gt;0.3,E173&lt;=0.75),J173,0)</f>
        <v>0</v>
      </c>
      <c r="M173" s="10">
        <f>IF(AND(E173&gt;0.75,E173&lt;=1.2),J173,0)</f>
        <v>0.85499999999999998</v>
      </c>
      <c r="N173" s="10">
        <f>IF(E173&gt;1.2,J173,0)</f>
        <v>0</v>
      </c>
      <c r="O173" s="6"/>
      <c r="P173" s="6"/>
      <c r="Q173" s="6">
        <f t="shared" si="29"/>
        <v>0</v>
      </c>
      <c r="R173" s="6">
        <f t="shared" si="29"/>
        <v>0</v>
      </c>
      <c r="S173" s="6">
        <f t="shared" si="29"/>
        <v>0</v>
      </c>
      <c r="T173" s="6">
        <f t="shared" si="29"/>
        <v>0</v>
      </c>
      <c r="U173" s="6">
        <f t="shared" si="29"/>
        <v>0</v>
      </c>
      <c r="V173" s="6">
        <f t="shared" si="29"/>
        <v>0</v>
      </c>
      <c r="W173" s="6">
        <f t="shared" si="29"/>
        <v>0</v>
      </c>
      <c r="X173" s="6">
        <f t="shared" si="30"/>
        <v>0</v>
      </c>
      <c r="Y173" s="7">
        <f>SUM(X174:X176)/I173</f>
        <v>248.36635767195764</v>
      </c>
      <c r="Z173" s="6"/>
      <c r="AA173" s="6"/>
      <c r="AB173" s="6"/>
      <c r="AC173" s="6"/>
      <c r="AD173" s="6"/>
      <c r="AE173" s="6"/>
      <c r="AF173" s="6"/>
    </row>
    <row r="174" spans="1:32" s="5" customFormat="1" ht="20.100000000000001" customHeight="1" x14ac:dyDescent="0.25">
      <c r="A174" s="7"/>
      <c r="B174" s="6" t="s">
        <v>140</v>
      </c>
      <c r="C174" s="9" t="s">
        <v>2</v>
      </c>
      <c r="D174" s="6">
        <v>16</v>
      </c>
      <c r="E174" s="6"/>
      <c r="F174" s="6">
        <v>2</v>
      </c>
      <c r="G174" s="8">
        <f>VLOOKUP(D174,$C$20:$F$26,3,0)</f>
        <v>0.8</v>
      </c>
      <c r="H174" s="8"/>
      <c r="I174" s="6"/>
      <c r="J174" s="6"/>
      <c r="K174" s="6"/>
      <c r="L174" s="6"/>
      <c r="M174" s="6"/>
      <c r="N174" s="6"/>
      <c r="O174" s="6">
        <f>(E173+2*(G174+(2*D174/1000)))*D173</f>
        <v>2.5640000000000001</v>
      </c>
      <c r="P174" s="6">
        <f t="shared" ref="P174:P175" si="31">O174*F174</f>
        <v>5.1280000000000001</v>
      </c>
      <c r="Q174" s="6">
        <f t="shared" si="29"/>
        <v>0</v>
      </c>
      <c r="R174" s="6">
        <f t="shared" si="29"/>
        <v>0</v>
      </c>
      <c r="S174" s="6">
        <f t="shared" si="29"/>
        <v>0</v>
      </c>
      <c r="T174" s="6">
        <f t="shared" si="29"/>
        <v>8.0969654857142856</v>
      </c>
      <c r="U174" s="6">
        <f t="shared" si="29"/>
        <v>0</v>
      </c>
      <c r="V174" s="6">
        <f t="shared" si="29"/>
        <v>0</v>
      </c>
      <c r="W174" s="6">
        <f t="shared" si="29"/>
        <v>0</v>
      </c>
      <c r="X174" s="6">
        <f t="shared" si="30"/>
        <v>8.0969654857142856</v>
      </c>
      <c r="Y174" s="6"/>
      <c r="Z174" s="6"/>
      <c r="AA174" s="6"/>
      <c r="AB174" s="6"/>
      <c r="AC174" s="6"/>
      <c r="AD174" s="6"/>
      <c r="AE174" s="6"/>
    </row>
    <row r="175" spans="1:32" s="5" customFormat="1" ht="20.100000000000001" customHeight="1" x14ac:dyDescent="0.25">
      <c r="A175" s="7"/>
      <c r="B175" s="6" t="s">
        <v>140</v>
      </c>
      <c r="C175" s="9" t="s">
        <v>1</v>
      </c>
      <c r="D175" s="6">
        <v>16</v>
      </c>
      <c r="E175" s="6"/>
      <c r="F175" s="6">
        <v>2</v>
      </c>
      <c r="G175" s="8">
        <f>VLOOKUP(D175,$C$20:$F$26,3,0)</f>
        <v>0.8</v>
      </c>
      <c r="H175" s="6"/>
      <c r="I175" s="6"/>
      <c r="J175" s="6"/>
      <c r="K175" s="6"/>
      <c r="L175" s="6"/>
      <c r="M175" s="6"/>
      <c r="N175" s="6"/>
      <c r="O175" s="6">
        <f>(E173+2*(G175+(2*D175/1000)))*D173</f>
        <v>2.5640000000000001</v>
      </c>
      <c r="P175" s="6">
        <f t="shared" si="31"/>
        <v>5.1280000000000001</v>
      </c>
      <c r="Q175" s="6">
        <f t="shared" si="29"/>
        <v>0</v>
      </c>
      <c r="R175" s="6">
        <f t="shared" si="29"/>
        <v>0</v>
      </c>
      <c r="S175" s="6">
        <f t="shared" si="29"/>
        <v>0</v>
      </c>
      <c r="T175" s="6">
        <f t="shared" si="29"/>
        <v>8.0969654857142856</v>
      </c>
      <c r="U175" s="6">
        <f t="shared" si="29"/>
        <v>0</v>
      </c>
      <c r="V175" s="6">
        <f t="shared" si="29"/>
        <v>0</v>
      </c>
      <c r="W175" s="6">
        <f t="shared" si="29"/>
        <v>0</v>
      </c>
      <c r="X175" s="6">
        <f t="shared" si="30"/>
        <v>8.0969654857142856</v>
      </c>
      <c r="Y175" s="6"/>
      <c r="Z175" s="6"/>
      <c r="AA175" s="6"/>
      <c r="AB175" s="6"/>
      <c r="AC175" s="6"/>
      <c r="AD175" s="6"/>
      <c r="AE175" s="6"/>
    </row>
    <row r="176" spans="1:32" s="5" customFormat="1" ht="20.100000000000001" customHeight="1" x14ac:dyDescent="0.25">
      <c r="A176" s="7"/>
      <c r="B176" s="6" t="s">
        <v>140</v>
      </c>
      <c r="C176" s="9" t="s">
        <v>0</v>
      </c>
      <c r="D176" s="6">
        <v>8</v>
      </c>
      <c r="E176" s="6">
        <v>0.15</v>
      </c>
      <c r="F176" s="6">
        <f>+ROUND(E173/E176,0)+1</f>
        <v>7</v>
      </c>
      <c r="H176" s="6"/>
      <c r="I176" s="6"/>
      <c r="J176" s="6"/>
      <c r="K176" s="6"/>
      <c r="L176" s="6"/>
      <c r="M176" s="6"/>
      <c r="N176" s="6"/>
      <c r="O176" s="6">
        <f>(2*((G173-(2*$D$11))+(F173-(2*$D$11)))+(2*10*D176/1000))*D173</f>
        <v>1.42</v>
      </c>
      <c r="P176" s="6">
        <f>O176*F176</f>
        <v>9.94</v>
      </c>
      <c r="Q176" s="6">
        <f t="shared" si="29"/>
        <v>3.9237440000000001</v>
      </c>
      <c r="R176" s="6">
        <f t="shared" si="29"/>
        <v>0</v>
      </c>
      <c r="S176" s="6">
        <f t="shared" si="29"/>
        <v>0</v>
      </c>
      <c r="T176" s="6">
        <f t="shared" si="29"/>
        <v>0</v>
      </c>
      <c r="U176" s="6">
        <f t="shared" si="29"/>
        <v>0</v>
      </c>
      <c r="V176" s="6">
        <f t="shared" si="29"/>
        <v>0</v>
      </c>
      <c r="W176" s="6">
        <f t="shared" si="29"/>
        <v>0</v>
      </c>
      <c r="X176" s="6">
        <f t="shared" si="30"/>
        <v>3.9237440000000001</v>
      </c>
      <c r="Y176" s="6"/>
      <c r="Z176" s="6"/>
      <c r="AA176" s="6"/>
      <c r="AB176" s="6"/>
      <c r="AC176" s="6"/>
      <c r="AD176" s="6"/>
      <c r="AE176" s="6"/>
    </row>
    <row r="177" spans="1:32" s="5" customFormat="1" ht="21" customHeight="1" x14ac:dyDescent="0.25">
      <c r="A177" s="6">
        <f>+A173+1</f>
        <v>17</v>
      </c>
      <c r="B177" s="6" t="s">
        <v>140</v>
      </c>
      <c r="C177" s="11" t="s">
        <v>5</v>
      </c>
      <c r="D177" s="11">
        <v>1</v>
      </c>
      <c r="E177" s="11">
        <v>1.304</v>
      </c>
      <c r="F177" s="11">
        <v>0.4</v>
      </c>
      <c r="G177" s="11">
        <v>0.75</v>
      </c>
      <c r="H177" s="6">
        <f>G177-0.2</f>
        <v>0.55000000000000004</v>
      </c>
      <c r="I177" s="6">
        <f>E177*F177*G177*D177</f>
        <v>0.39120000000000005</v>
      </c>
      <c r="J177" s="6">
        <f>(2*(E177)*H177*D177)+(E177*F177)</f>
        <v>1.9560000000000002</v>
      </c>
      <c r="K177" s="10">
        <f>IF(E177=0.3,J177,0)</f>
        <v>0</v>
      </c>
      <c r="L177" s="10">
        <f>IF(AND(E177&gt;0.3,E177&lt;=0.75),J177,0)</f>
        <v>0</v>
      </c>
      <c r="M177" s="10">
        <f>IF(AND(E177&gt;0.75,E177&lt;=1.2),J177,0)</f>
        <v>0</v>
      </c>
      <c r="N177" s="10">
        <f>IF(E177&gt;1.2,J177,0)</f>
        <v>1.9560000000000002</v>
      </c>
      <c r="O177" s="6"/>
      <c r="P177" s="6"/>
      <c r="Q177" s="6">
        <f t="shared" si="29"/>
        <v>0</v>
      </c>
      <c r="R177" s="6">
        <f t="shared" si="29"/>
        <v>0</v>
      </c>
      <c r="S177" s="6">
        <f t="shared" si="29"/>
        <v>0</v>
      </c>
      <c r="T177" s="6">
        <f t="shared" si="29"/>
        <v>0</v>
      </c>
      <c r="U177" s="6">
        <f t="shared" si="29"/>
        <v>0</v>
      </c>
      <c r="V177" s="6">
        <f t="shared" si="29"/>
        <v>0</v>
      </c>
      <c r="W177" s="6">
        <f t="shared" si="29"/>
        <v>0</v>
      </c>
      <c r="X177" s="6">
        <f t="shared" si="30"/>
        <v>0</v>
      </c>
      <c r="Y177" s="7">
        <f>SUM(X178:X180)/I177</f>
        <v>79.279541922290377</v>
      </c>
      <c r="Z177" s="6"/>
      <c r="AA177" s="6"/>
      <c r="AB177" s="6"/>
      <c r="AC177" s="6"/>
      <c r="AD177" s="6"/>
      <c r="AE177" s="6"/>
      <c r="AF177" s="6"/>
    </row>
    <row r="178" spans="1:32" s="5" customFormat="1" ht="20.100000000000001" customHeight="1" x14ac:dyDescent="0.25">
      <c r="A178" s="7"/>
      <c r="B178" s="6" t="s">
        <v>140</v>
      </c>
      <c r="C178" s="9" t="s">
        <v>2</v>
      </c>
      <c r="D178" s="6">
        <v>16</v>
      </c>
      <c r="E178" s="6"/>
      <c r="F178" s="6">
        <v>2</v>
      </c>
      <c r="G178" s="8">
        <f>VLOOKUP(D178,$C$20:$F$26,3,0)</f>
        <v>0.8</v>
      </c>
      <c r="H178" s="8"/>
      <c r="I178" s="6"/>
      <c r="J178" s="6"/>
      <c r="K178" s="6"/>
      <c r="L178" s="6"/>
      <c r="M178" s="6"/>
      <c r="N178" s="6"/>
      <c r="O178" s="6">
        <f>(E177+2*(G178+(2*D178/1000)))*D177</f>
        <v>2.968</v>
      </c>
      <c r="P178" s="6">
        <f t="shared" ref="P178" si="32">O178*F178</f>
        <v>5.9359999999999999</v>
      </c>
      <c r="Q178" s="6">
        <f t="shared" si="29"/>
        <v>0</v>
      </c>
      <c r="R178" s="6">
        <f t="shared" si="29"/>
        <v>0</v>
      </c>
      <c r="S178" s="6">
        <f t="shared" si="29"/>
        <v>0</v>
      </c>
      <c r="T178" s="6">
        <f t="shared" si="29"/>
        <v>9.3727744000000008</v>
      </c>
      <c r="U178" s="6">
        <f t="shared" si="29"/>
        <v>0</v>
      </c>
      <c r="V178" s="6">
        <f t="shared" si="29"/>
        <v>0</v>
      </c>
      <c r="W178" s="6">
        <f t="shared" si="29"/>
        <v>0</v>
      </c>
      <c r="X178" s="6">
        <f t="shared" si="30"/>
        <v>9.3727744000000008</v>
      </c>
      <c r="Y178" s="6"/>
      <c r="Z178" s="6"/>
      <c r="AA178" s="6"/>
      <c r="AB178" s="6"/>
      <c r="AC178" s="6"/>
      <c r="AD178" s="6"/>
      <c r="AE178" s="6"/>
    </row>
    <row r="179" spans="1:32" s="5" customFormat="1" ht="20.100000000000001" customHeight="1" x14ac:dyDescent="0.25">
      <c r="A179" s="7"/>
      <c r="B179" s="6" t="s">
        <v>140</v>
      </c>
      <c r="C179" s="9" t="s">
        <v>1</v>
      </c>
      <c r="D179" s="6">
        <v>16</v>
      </c>
      <c r="E179" s="6"/>
      <c r="F179" s="6">
        <v>2</v>
      </c>
      <c r="G179" s="8">
        <f>VLOOKUP(D179,$C$20:$F$26,3,0)</f>
        <v>0.8</v>
      </c>
      <c r="H179" s="6"/>
      <c r="I179" s="6"/>
      <c r="J179" s="6"/>
      <c r="K179" s="6"/>
      <c r="L179" s="6"/>
      <c r="M179" s="6"/>
      <c r="N179" s="6"/>
      <c r="O179" s="6">
        <f>(E177+2*(G179+(2*D179/1000)))*D177</f>
        <v>2.968</v>
      </c>
      <c r="P179" s="6">
        <f>O179*F179</f>
        <v>5.9359999999999999</v>
      </c>
      <c r="Q179" s="6">
        <f t="shared" si="29"/>
        <v>0</v>
      </c>
      <c r="R179" s="6">
        <f t="shared" si="29"/>
        <v>0</v>
      </c>
      <c r="S179" s="6">
        <f t="shared" si="29"/>
        <v>0</v>
      </c>
      <c r="T179" s="6">
        <f t="shared" si="29"/>
        <v>9.3727744000000008</v>
      </c>
      <c r="U179" s="6">
        <f t="shared" si="29"/>
        <v>0</v>
      </c>
      <c r="V179" s="6">
        <f t="shared" si="29"/>
        <v>0</v>
      </c>
      <c r="W179" s="6">
        <f t="shared" si="29"/>
        <v>0</v>
      </c>
      <c r="X179" s="6">
        <f t="shared" si="30"/>
        <v>9.3727744000000008</v>
      </c>
      <c r="Y179" s="6"/>
      <c r="Z179" s="6"/>
      <c r="AA179" s="6"/>
      <c r="AB179" s="6"/>
      <c r="AC179" s="6"/>
      <c r="AD179" s="6"/>
      <c r="AE179" s="6"/>
    </row>
    <row r="180" spans="1:32" s="5" customFormat="1" ht="20.100000000000001" customHeight="1" x14ac:dyDescent="0.25">
      <c r="A180" s="7"/>
      <c r="B180" s="6" t="s">
        <v>140</v>
      </c>
      <c r="C180" s="9" t="s">
        <v>0</v>
      </c>
      <c r="D180" s="6">
        <v>8</v>
      </c>
      <c r="E180" s="6">
        <v>0.1</v>
      </c>
      <c r="F180" s="6">
        <f>+ROUND(E177/E180,0)+1</f>
        <v>14</v>
      </c>
      <c r="H180" s="6"/>
      <c r="I180" s="6"/>
      <c r="J180" s="6"/>
      <c r="K180" s="6"/>
      <c r="L180" s="6"/>
      <c r="M180" s="6"/>
      <c r="N180" s="6"/>
      <c r="O180" s="6">
        <f>(2*((G177-(2*$D$11))+(F177-(2*$D$11)))+(2*10*D180/1000))*D177</f>
        <v>2.2200000000000002</v>
      </c>
      <c r="P180" s="6">
        <f>O180*F180</f>
        <v>31.080000000000002</v>
      </c>
      <c r="Q180" s="6">
        <f t="shared" si="29"/>
        <v>12.268608000000002</v>
      </c>
      <c r="R180" s="6">
        <f t="shared" si="29"/>
        <v>0</v>
      </c>
      <c r="S180" s="6">
        <f t="shared" si="29"/>
        <v>0</v>
      </c>
      <c r="T180" s="6">
        <f t="shared" si="29"/>
        <v>0</v>
      </c>
      <c r="U180" s="6">
        <f t="shared" si="29"/>
        <v>0</v>
      </c>
      <c r="V180" s="6">
        <f t="shared" si="29"/>
        <v>0</v>
      </c>
      <c r="W180" s="6">
        <f t="shared" si="29"/>
        <v>0</v>
      </c>
      <c r="X180" s="6">
        <f t="shared" si="30"/>
        <v>12.268608000000002</v>
      </c>
      <c r="Y180" s="6"/>
      <c r="Z180" s="6"/>
      <c r="AA180" s="6"/>
      <c r="AB180" s="6"/>
      <c r="AC180" s="6"/>
      <c r="AD180" s="6"/>
      <c r="AE180" s="6"/>
    </row>
    <row r="181" spans="1:32" s="5" customFormat="1" ht="20.100000000000001" customHeight="1" x14ac:dyDescent="0.25">
      <c r="A181" s="6">
        <f>A177+1</f>
        <v>18</v>
      </c>
      <c r="B181" s="6" t="s">
        <v>140</v>
      </c>
      <c r="C181" s="11" t="s">
        <v>142</v>
      </c>
      <c r="D181" s="11">
        <v>1</v>
      </c>
      <c r="E181" s="11">
        <v>0.94099999999999995</v>
      </c>
      <c r="F181" s="11">
        <v>0.2</v>
      </c>
      <c r="G181" s="11">
        <v>0.75</v>
      </c>
      <c r="H181" s="6">
        <f>G181-0.2</f>
        <v>0.55000000000000004</v>
      </c>
      <c r="I181" s="6">
        <f>E181*F181*G181*D181</f>
        <v>0.14115</v>
      </c>
      <c r="J181" s="6">
        <f>(2*(E181)*H181*D181)+(E181*F181)</f>
        <v>1.2233000000000001</v>
      </c>
      <c r="K181" s="10">
        <f>IF(E181=0.3,J181,0)</f>
        <v>0</v>
      </c>
      <c r="L181" s="10">
        <f>IF(AND(E181&gt;0.3,E181&lt;=0.75),J181,0)</f>
        <v>0</v>
      </c>
      <c r="M181" s="10">
        <f>IF(AND(E181&gt;0.75,E181&lt;=1.2),J181,0)</f>
        <v>1.2233000000000001</v>
      </c>
      <c r="N181" s="10">
        <f>IF(E181&gt;1.2,J181,0)</f>
        <v>0</v>
      </c>
      <c r="O181" s="6"/>
      <c r="P181" s="6"/>
      <c r="Q181" s="6">
        <f t="shared" si="29"/>
        <v>0</v>
      </c>
      <c r="R181" s="6">
        <f t="shared" si="29"/>
        <v>0</v>
      </c>
      <c r="S181" s="6">
        <f t="shared" si="29"/>
        <v>0</v>
      </c>
      <c r="T181" s="6">
        <f t="shared" si="29"/>
        <v>0</v>
      </c>
      <c r="U181" s="6">
        <f t="shared" si="29"/>
        <v>0</v>
      </c>
      <c r="V181" s="6">
        <f t="shared" si="29"/>
        <v>0</v>
      </c>
      <c r="W181" s="6">
        <f t="shared" si="29"/>
        <v>0</v>
      </c>
      <c r="X181" s="6">
        <f t="shared" si="30"/>
        <v>0</v>
      </c>
      <c r="Y181" s="7">
        <f>SUM(X182:X184)/I181</f>
        <v>241.85865492637015</v>
      </c>
      <c r="Z181" s="6"/>
      <c r="AA181" s="6"/>
      <c r="AB181" s="6"/>
      <c r="AC181" s="6"/>
      <c r="AD181" s="6"/>
      <c r="AE181" s="6"/>
      <c r="AF181" s="6"/>
    </row>
    <row r="182" spans="1:32" s="5" customFormat="1" ht="20.100000000000001" customHeight="1" x14ac:dyDescent="0.25">
      <c r="A182" s="7"/>
      <c r="B182" s="6" t="s">
        <v>140</v>
      </c>
      <c r="C182" s="9" t="s">
        <v>2</v>
      </c>
      <c r="D182" s="6">
        <v>20</v>
      </c>
      <c r="E182" s="6"/>
      <c r="F182" s="6">
        <v>2</v>
      </c>
      <c r="G182" s="8">
        <f>VLOOKUP(D182,$C$20:$F$26,3,0)</f>
        <v>1</v>
      </c>
      <c r="H182" s="8"/>
      <c r="I182" s="6"/>
      <c r="J182" s="6"/>
      <c r="K182" s="6"/>
      <c r="L182" s="6"/>
      <c r="M182" s="6"/>
      <c r="N182" s="6"/>
      <c r="O182" s="6">
        <f>((E181+1)+1*(G182+(50*D182/1000)))*D181</f>
        <v>3.9409999999999998</v>
      </c>
      <c r="P182" s="6">
        <f>O182*F182</f>
        <v>7.8819999999999997</v>
      </c>
      <c r="Q182" s="6">
        <f t="shared" si="29"/>
        <v>0</v>
      </c>
      <c r="R182" s="6">
        <f t="shared" si="29"/>
        <v>0</v>
      </c>
      <c r="S182" s="6">
        <f t="shared" si="29"/>
        <v>0</v>
      </c>
      <c r="T182" s="6">
        <f t="shared" si="29"/>
        <v>0</v>
      </c>
      <c r="U182" s="6">
        <f t="shared" si="29"/>
        <v>19.446019999999997</v>
      </c>
      <c r="V182" s="6">
        <f t="shared" si="29"/>
        <v>0</v>
      </c>
      <c r="W182" s="6">
        <f t="shared" si="29"/>
        <v>0</v>
      </c>
      <c r="X182" s="6">
        <f t="shared" si="30"/>
        <v>19.446019999999997</v>
      </c>
      <c r="Y182" s="6"/>
      <c r="Z182" s="6"/>
      <c r="AA182" s="6"/>
      <c r="AB182" s="6"/>
      <c r="AC182" s="6"/>
      <c r="AD182" s="6"/>
      <c r="AE182" s="6"/>
    </row>
    <row r="183" spans="1:32" s="5" customFormat="1" ht="20.100000000000001" customHeight="1" x14ac:dyDescent="0.25">
      <c r="A183" s="7"/>
      <c r="B183" s="6" t="s">
        <v>140</v>
      </c>
      <c r="C183" s="9" t="s">
        <v>1</v>
      </c>
      <c r="D183" s="6">
        <v>16</v>
      </c>
      <c r="E183" s="6"/>
      <c r="F183" s="6">
        <v>2</v>
      </c>
      <c r="G183" s="8">
        <f>VLOOKUP(D183,$C$20:$F$26,3,0)</f>
        <v>0.8</v>
      </c>
      <c r="H183" s="6"/>
      <c r="I183" s="6"/>
      <c r="J183" s="6"/>
      <c r="K183" s="6"/>
      <c r="L183" s="6"/>
      <c r="M183" s="6"/>
      <c r="N183" s="6"/>
      <c r="O183" s="6">
        <f>(E181+2*(G183+(2*D183/1000)))*D181</f>
        <v>2.605</v>
      </c>
      <c r="P183" s="6">
        <f>O183*F183</f>
        <v>5.21</v>
      </c>
      <c r="Q183" s="6">
        <f t="shared" si="29"/>
        <v>0</v>
      </c>
      <c r="R183" s="6">
        <f t="shared" si="29"/>
        <v>0</v>
      </c>
      <c r="S183" s="6">
        <f t="shared" si="29"/>
        <v>0</v>
      </c>
      <c r="T183" s="6">
        <f t="shared" si="29"/>
        <v>8.2264411428571442</v>
      </c>
      <c r="U183" s="6">
        <f t="shared" si="29"/>
        <v>0</v>
      </c>
      <c r="V183" s="6">
        <f t="shared" si="29"/>
        <v>0</v>
      </c>
      <c r="W183" s="6">
        <f t="shared" si="29"/>
        <v>0</v>
      </c>
      <c r="X183" s="6">
        <f t="shared" si="30"/>
        <v>8.2264411428571442</v>
      </c>
      <c r="Y183" s="6"/>
      <c r="Z183" s="6"/>
      <c r="AA183" s="6"/>
      <c r="AB183" s="6"/>
      <c r="AC183" s="6"/>
      <c r="AD183" s="6"/>
      <c r="AE183" s="6"/>
    </row>
    <row r="184" spans="1:32" s="5" customFormat="1" ht="20.100000000000001" customHeight="1" x14ac:dyDescent="0.25">
      <c r="A184" s="7"/>
      <c r="B184" s="6" t="s">
        <v>140</v>
      </c>
      <c r="C184" s="9" t="s">
        <v>0</v>
      </c>
      <c r="D184" s="6">
        <v>8</v>
      </c>
      <c r="E184" s="6">
        <v>0.125</v>
      </c>
      <c r="F184" s="6">
        <f>+ROUND(E181/E184,0)+1</f>
        <v>9</v>
      </c>
      <c r="H184" s="6"/>
      <c r="I184" s="6"/>
      <c r="J184" s="6"/>
      <c r="K184" s="6"/>
      <c r="L184" s="6"/>
      <c r="M184" s="6"/>
      <c r="N184" s="6"/>
      <c r="O184" s="6">
        <f>(2*((G181-(2*$D$11))+(F181-(2*$D$11)))+(2*10*D184/1000))*D181</f>
        <v>1.8199999999999998</v>
      </c>
      <c r="P184" s="6">
        <f>O184*F184</f>
        <v>16.38</v>
      </c>
      <c r="Q184" s="6">
        <f t="shared" si="29"/>
        <v>6.4658880000000005</v>
      </c>
      <c r="R184" s="6">
        <f t="shared" si="29"/>
        <v>0</v>
      </c>
      <c r="S184" s="6">
        <f t="shared" si="29"/>
        <v>0</v>
      </c>
      <c r="T184" s="6">
        <f t="shared" si="29"/>
        <v>0</v>
      </c>
      <c r="U184" s="6">
        <f t="shared" si="29"/>
        <v>0</v>
      </c>
      <c r="V184" s="6">
        <f t="shared" si="29"/>
        <v>0</v>
      </c>
      <c r="W184" s="6">
        <f t="shared" si="29"/>
        <v>0</v>
      </c>
      <c r="X184" s="6">
        <f t="shared" si="30"/>
        <v>6.4658880000000005</v>
      </c>
      <c r="Y184" s="6"/>
      <c r="Z184" s="6"/>
      <c r="AA184" s="6"/>
      <c r="AB184" s="6"/>
      <c r="AC184" s="6"/>
      <c r="AD184" s="6"/>
      <c r="AE184" s="6"/>
    </row>
    <row r="185" spans="1:32" s="5" customFormat="1" ht="20.100000000000001" customHeight="1" x14ac:dyDescent="0.25">
      <c r="A185" s="6">
        <f>A181+1</f>
        <v>19</v>
      </c>
      <c r="B185" s="6" t="s">
        <v>140</v>
      </c>
      <c r="C185" s="11" t="s">
        <v>4</v>
      </c>
      <c r="D185" s="11">
        <v>1</v>
      </c>
      <c r="E185" s="11">
        <v>5.5659999999999998</v>
      </c>
      <c r="F185" s="11">
        <v>0.2</v>
      </c>
      <c r="G185" s="11">
        <v>0.6</v>
      </c>
      <c r="H185" s="6">
        <f>G185-0.2</f>
        <v>0.39999999999999997</v>
      </c>
      <c r="I185" s="6">
        <f>E185*F185*G185*D185</f>
        <v>0.66791999999999996</v>
      </c>
      <c r="J185" s="6">
        <f>(2*(E185)*H185*D185)+(E185*F185)</f>
        <v>5.5659999999999998</v>
      </c>
      <c r="K185" s="10">
        <f>IF(E185=0.3,J185,0)</f>
        <v>0</v>
      </c>
      <c r="L185" s="10">
        <f>IF(AND(E185&gt;0.3,E185&lt;=0.75),J185,0)</f>
        <v>0</v>
      </c>
      <c r="M185" s="10">
        <f>IF(AND(E185&gt;0.75,E185&lt;=1.2),J185,0)</f>
        <v>0</v>
      </c>
      <c r="N185" s="10">
        <f>IF(E185&gt;1.2,J185,0)</f>
        <v>5.5659999999999998</v>
      </c>
      <c r="O185" s="6"/>
      <c r="P185" s="6"/>
      <c r="Q185" s="6">
        <f t="shared" si="29"/>
        <v>0</v>
      </c>
      <c r="R185" s="6">
        <f t="shared" si="29"/>
        <v>0</v>
      </c>
      <c r="S185" s="6">
        <f t="shared" si="29"/>
        <v>0</v>
      </c>
      <c r="T185" s="6">
        <f t="shared" si="29"/>
        <v>0</v>
      </c>
      <c r="U185" s="6">
        <f t="shared" si="29"/>
        <v>0</v>
      </c>
      <c r="V185" s="6">
        <f t="shared" si="29"/>
        <v>0</v>
      </c>
      <c r="W185" s="6">
        <f t="shared" si="29"/>
        <v>0</v>
      </c>
      <c r="X185" s="6">
        <f t="shared" si="30"/>
        <v>0</v>
      </c>
      <c r="Y185" s="7">
        <f>SUM(X186:X192)/I185</f>
        <v>253.07673066064373</v>
      </c>
      <c r="Z185" s="6"/>
      <c r="AA185" s="6"/>
      <c r="AB185" s="6"/>
      <c r="AC185" s="6"/>
      <c r="AD185" s="6"/>
      <c r="AE185" s="6"/>
      <c r="AF185" s="6"/>
    </row>
    <row r="186" spans="1:32" s="5" customFormat="1" ht="20.100000000000001" customHeight="1" x14ac:dyDescent="0.25">
      <c r="A186" s="7"/>
      <c r="B186" s="6" t="s">
        <v>140</v>
      </c>
      <c r="C186" s="9" t="s">
        <v>2</v>
      </c>
      <c r="D186" s="6">
        <v>16</v>
      </c>
      <c r="E186" s="6"/>
      <c r="F186" s="6">
        <v>2</v>
      </c>
      <c r="G186" s="8">
        <f t="shared" ref="G186:G191" si="33">VLOOKUP(D186,$C$20:$F$26,3,0)</f>
        <v>0.8</v>
      </c>
      <c r="H186" s="8"/>
      <c r="I186" s="6"/>
      <c r="J186" s="6"/>
      <c r="K186" s="6"/>
      <c r="L186" s="6"/>
      <c r="M186" s="6"/>
      <c r="N186" s="6"/>
      <c r="O186" s="6">
        <f>+E185+0.95+0.987</f>
        <v>7.5030000000000001</v>
      </c>
      <c r="P186" s="6">
        <f>O186*F186</f>
        <v>15.006</v>
      </c>
      <c r="Q186" s="6">
        <f t="shared" si="29"/>
        <v>0</v>
      </c>
      <c r="R186" s="6">
        <f t="shared" si="29"/>
        <v>0</v>
      </c>
      <c r="S186" s="6">
        <f t="shared" si="29"/>
        <v>0</v>
      </c>
      <c r="T186" s="6">
        <f t="shared" si="29"/>
        <v>23.694045257142861</v>
      </c>
      <c r="U186" s="6">
        <f t="shared" si="29"/>
        <v>0</v>
      </c>
      <c r="V186" s="6">
        <f t="shared" si="29"/>
        <v>0</v>
      </c>
      <c r="W186" s="6">
        <f t="shared" si="29"/>
        <v>0</v>
      </c>
      <c r="X186" s="6">
        <f t="shared" si="30"/>
        <v>23.694045257142861</v>
      </c>
      <c r="Y186" s="6"/>
      <c r="Z186" s="6"/>
      <c r="AA186" s="6"/>
      <c r="AB186" s="6"/>
      <c r="AC186" s="6"/>
      <c r="AD186" s="6"/>
      <c r="AE186" s="6"/>
    </row>
    <row r="187" spans="1:32" s="5" customFormat="1" ht="20.100000000000001" customHeight="1" x14ac:dyDescent="0.25">
      <c r="A187" s="7"/>
      <c r="B187" s="6" t="s">
        <v>140</v>
      </c>
      <c r="C187" s="9" t="s">
        <v>26</v>
      </c>
      <c r="D187" s="6">
        <v>20</v>
      </c>
      <c r="E187" s="6"/>
      <c r="F187" s="6">
        <v>2</v>
      </c>
      <c r="G187" s="8">
        <f t="shared" si="33"/>
        <v>1</v>
      </c>
      <c r="H187" s="8"/>
      <c r="I187" s="6"/>
      <c r="J187" s="6"/>
      <c r="K187" s="6"/>
      <c r="L187" s="6"/>
      <c r="M187" s="6"/>
      <c r="N187" s="6"/>
      <c r="O187" s="6">
        <f>1.9+0.95</f>
        <v>2.8499999999999996</v>
      </c>
      <c r="P187" s="6">
        <f>O187*F187</f>
        <v>5.6999999999999993</v>
      </c>
      <c r="Q187" s="6">
        <f t="shared" si="29"/>
        <v>0</v>
      </c>
      <c r="R187" s="6">
        <f t="shared" si="29"/>
        <v>0</v>
      </c>
      <c r="S187" s="6">
        <f t="shared" si="29"/>
        <v>0</v>
      </c>
      <c r="T187" s="6">
        <f t="shared" si="29"/>
        <v>0</v>
      </c>
      <c r="U187" s="6">
        <f t="shared" si="29"/>
        <v>14.062714285714284</v>
      </c>
      <c r="V187" s="6">
        <f t="shared" si="29"/>
        <v>0</v>
      </c>
      <c r="W187" s="6">
        <f t="shared" si="29"/>
        <v>0</v>
      </c>
      <c r="X187" s="6">
        <f t="shared" si="30"/>
        <v>14.062714285714284</v>
      </c>
      <c r="Y187" s="6"/>
      <c r="Z187" s="6"/>
      <c r="AA187" s="6"/>
      <c r="AB187" s="6"/>
      <c r="AC187" s="6"/>
      <c r="AD187" s="6"/>
      <c r="AE187" s="6"/>
    </row>
    <row r="188" spans="1:32" s="5" customFormat="1" ht="20.100000000000001" customHeight="1" x14ac:dyDescent="0.25">
      <c r="A188" s="7"/>
      <c r="B188" s="6" t="s">
        <v>140</v>
      </c>
      <c r="C188" s="9" t="s">
        <v>26</v>
      </c>
      <c r="D188" s="6">
        <v>20</v>
      </c>
      <c r="E188" s="6"/>
      <c r="F188" s="6">
        <v>2</v>
      </c>
      <c r="G188" s="8">
        <f t="shared" si="33"/>
        <v>1</v>
      </c>
      <c r="H188" s="8"/>
      <c r="I188" s="6"/>
      <c r="J188" s="6"/>
      <c r="K188" s="6"/>
      <c r="L188" s="6"/>
      <c r="M188" s="6"/>
      <c r="N188" s="6"/>
      <c r="O188" s="6">
        <f>1.9+0.987</f>
        <v>2.887</v>
      </c>
      <c r="P188" s="6">
        <f>O188*F188</f>
        <v>5.774</v>
      </c>
      <c r="Q188" s="6">
        <f t="shared" si="29"/>
        <v>0</v>
      </c>
      <c r="R188" s="6">
        <f t="shared" si="29"/>
        <v>0</v>
      </c>
      <c r="S188" s="6">
        <f t="shared" si="29"/>
        <v>0</v>
      </c>
      <c r="T188" s="6">
        <f t="shared" si="29"/>
        <v>0</v>
      </c>
      <c r="U188" s="6">
        <f t="shared" si="29"/>
        <v>14.245282857142858</v>
      </c>
      <c r="V188" s="6">
        <f t="shared" si="29"/>
        <v>0</v>
      </c>
      <c r="W188" s="6">
        <f t="shared" si="29"/>
        <v>0</v>
      </c>
      <c r="X188" s="6">
        <f t="shared" si="30"/>
        <v>14.245282857142858</v>
      </c>
      <c r="Y188" s="6"/>
      <c r="Z188" s="6"/>
      <c r="AA188" s="6"/>
      <c r="AB188" s="6"/>
      <c r="AC188" s="6"/>
      <c r="AD188" s="6"/>
      <c r="AE188" s="6"/>
    </row>
    <row r="189" spans="1:32" s="5" customFormat="1" ht="20.100000000000001" customHeight="1" x14ac:dyDescent="0.25">
      <c r="A189" s="7"/>
      <c r="B189" s="6" t="s">
        <v>140</v>
      </c>
      <c r="C189" s="9" t="s">
        <v>1</v>
      </c>
      <c r="D189" s="6">
        <v>20</v>
      </c>
      <c r="E189" s="6"/>
      <c r="F189" s="6">
        <v>2</v>
      </c>
      <c r="G189" s="8">
        <f t="shared" si="33"/>
        <v>1</v>
      </c>
      <c r="H189" s="6"/>
      <c r="I189" s="6"/>
      <c r="J189" s="6"/>
      <c r="K189" s="6"/>
      <c r="L189" s="6"/>
      <c r="M189" s="6"/>
      <c r="N189" s="6"/>
      <c r="O189" s="6">
        <f>+E185+0.95+0.987</f>
        <v>7.5030000000000001</v>
      </c>
      <c r="P189" s="6">
        <f>O189*F189</f>
        <v>15.006</v>
      </c>
      <c r="Q189" s="6">
        <f t="shared" si="29"/>
        <v>0</v>
      </c>
      <c r="R189" s="6">
        <f t="shared" si="29"/>
        <v>0</v>
      </c>
      <c r="S189" s="6">
        <f t="shared" si="29"/>
        <v>0</v>
      </c>
      <c r="T189" s="6">
        <f t="shared" si="29"/>
        <v>0</v>
      </c>
      <c r="U189" s="6">
        <f t="shared" si="29"/>
        <v>37.021945714285714</v>
      </c>
      <c r="V189" s="6">
        <f t="shared" si="29"/>
        <v>0</v>
      </c>
      <c r="W189" s="6">
        <f t="shared" si="29"/>
        <v>0</v>
      </c>
      <c r="X189" s="6">
        <f t="shared" si="30"/>
        <v>37.021945714285714</v>
      </c>
      <c r="Y189" s="6"/>
      <c r="Z189" s="6"/>
      <c r="AA189" s="6"/>
      <c r="AB189" s="6"/>
      <c r="AC189" s="6"/>
      <c r="AD189" s="6"/>
      <c r="AE189" s="6"/>
    </row>
    <row r="190" spans="1:32" s="5" customFormat="1" ht="20.100000000000001" customHeight="1" x14ac:dyDescent="0.25">
      <c r="A190" s="7"/>
      <c r="B190" s="6" t="s">
        <v>140</v>
      </c>
      <c r="C190" s="9" t="s">
        <v>1</v>
      </c>
      <c r="D190" s="6">
        <v>20</v>
      </c>
      <c r="E190" s="6"/>
      <c r="F190" s="6">
        <v>2</v>
      </c>
      <c r="G190" s="8">
        <f t="shared" si="33"/>
        <v>1</v>
      </c>
      <c r="H190" s="6"/>
      <c r="I190" s="6"/>
      <c r="J190" s="6"/>
      <c r="K190" s="6"/>
      <c r="L190" s="6"/>
      <c r="M190" s="6"/>
      <c r="N190" s="6"/>
      <c r="O190" s="6">
        <f>+E185+0.95+0.987</f>
        <v>7.5030000000000001</v>
      </c>
      <c r="P190" s="6">
        <f>O190*F190</f>
        <v>15.006</v>
      </c>
      <c r="Q190" s="6">
        <f t="shared" si="29"/>
        <v>0</v>
      </c>
      <c r="R190" s="6">
        <f t="shared" si="29"/>
        <v>0</v>
      </c>
      <c r="S190" s="6">
        <f t="shared" si="29"/>
        <v>0</v>
      </c>
      <c r="T190" s="6">
        <f t="shared" si="29"/>
        <v>0</v>
      </c>
      <c r="U190" s="6">
        <f t="shared" si="29"/>
        <v>37.021945714285714</v>
      </c>
      <c r="V190" s="6">
        <f t="shared" si="29"/>
        <v>0</v>
      </c>
      <c r="W190" s="6">
        <f t="shared" si="29"/>
        <v>0</v>
      </c>
      <c r="X190" s="6">
        <f t="shared" si="30"/>
        <v>37.021945714285714</v>
      </c>
      <c r="Y190" s="6"/>
      <c r="Z190" s="6"/>
      <c r="AA190" s="6"/>
      <c r="AB190" s="6"/>
      <c r="AC190" s="6"/>
      <c r="AD190" s="6"/>
      <c r="AE190" s="6"/>
    </row>
    <row r="191" spans="1:32" s="5" customFormat="1" ht="20.100000000000001" customHeight="1" x14ac:dyDescent="0.25">
      <c r="A191" s="7"/>
      <c r="B191" s="6" t="s">
        <v>131</v>
      </c>
      <c r="C191" s="9" t="s">
        <v>6</v>
      </c>
      <c r="D191" s="6">
        <v>8</v>
      </c>
      <c r="E191" s="6"/>
      <c r="F191" s="6">
        <f>2*2</f>
        <v>4</v>
      </c>
      <c r="G191" s="8">
        <f t="shared" si="33"/>
        <v>0.4</v>
      </c>
      <c r="H191" s="6"/>
      <c r="I191" s="6"/>
      <c r="J191" s="6"/>
      <c r="K191" s="6"/>
      <c r="L191" s="6"/>
      <c r="M191" s="6"/>
      <c r="N191" s="6"/>
      <c r="O191" s="6">
        <f>+E185</f>
        <v>5.5659999999999998</v>
      </c>
      <c r="P191" s="6">
        <f t="shared" ref="P191" si="34">O191*F191</f>
        <v>22.263999999999999</v>
      </c>
      <c r="Q191" s="6">
        <f t="shared" si="29"/>
        <v>8.7885549714285727</v>
      </c>
      <c r="R191" s="6">
        <f t="shared" si="29"/>
        <v>0</v>
      </c>
      <c r="S191" s="6">
        <f t="shared" si="29"/>
        <v>0</v>
      </c>
      <c r="T191" s="6">
        <f t="shared" si="29"/>
        <v>0</v>
      </c>
      <c r="U191" s="6">
        <f t="shared" si="29"/>
        <v>0</v>
      </c>
      <c r="V191" s="6">
        <f t="shared" si="29"/>
        <v>0</v>
      </c>
      <c r="W191" s="6">
        <f t="shared" si="29"/>
        <v>0</v>
      </c>
      <c r="X191" s="6">
        <f t="shared" si="30"/>
        <v>8.7885549714285727</v>
      </c>
      <c r="Y191" s="6"/>
      <c r="Z191" s="6"/>
      <c r="AA191" s="6"/>
      <c r="AB191" s="6"/>
      <c r="AC191" s="6"/>
      <c r="AD191" s="6"/>
      <c r="AE191" s="6"/>
    </row>
    <row r="192" spans="1:32" s="5" customFormat="1" ht="20.100000000000001" customHeight="1" x14ac:dyDescent="0.25">
      <c r="A192" s="7"/>
      <c r="B192" s="6" t="s">
        <v>140</v>
      </c>
      <c r="C192" s="9" t="s">
        <v>0</v>
      </c>
      <c r="D192" s="6">
        <v>8</v>
      </c>
      <c r="E192" s="6">
        <v>0.1</v>
      </c>
      <c r="F192" s="6">
        <f>+ROUND(E185/E192,0)+1</f>
        <v>57</v>
      </c>
      <c r="H192" s="6"/>
      <c r="I192" s="6"/>
      <c r="J192" s="6"/>
      <c r="K192" s="6"/>
      <c r="L192" s="6"/>
      <c r="M192" s="6"/>
      <c r="N192" s="6"/>
      <c r="O192" s="6">
        <f>(2*((G185-(2*$D$11))+(F185-(2*$D$11)))+(2*10*D192/1000))*D185</f>
        <v>1.52</v>
      </c>
      <c r="P192" s="6">
        <f>O192*F192</f>
        <v>86.64</v>
      </c>
      <c r="Q192" s="6">
        <f t="shared" si="29"/>
        <v>34.200521142857149</v>
      </c>
      <c r="R192" s="6">
        <f t="shared" si="29"/>
        <v>0</v>
      </c>
      <c r="S192" s="6">
        <f t="shared" si="29"/>
        <v>0</v>
      </c>
      <c r="T192" s="6">
        <f t="shared" si="29"/>
        <v>0</v>
      </c>
      <c r="U192" s="6">
        <f t="shared" si="29"/>
        <v>0</v>
      </c>
      <c r="V192" s="6">
        <f t="shared" si="29"/>
        <v>0</v>
      </c>
      <c r="W192" s="6">
        <f t="shared" si="29"/>
        <v>0</v>
      </c>
      <c r="X192" s="6">
        <f t="shared" si="30"/>
        <v>34.200521142857149</v>
      </c>
      <c r="Y192" s="6"/>
      <c r="Z192" s="6"/>
      <c r="AA192" s="6"/>
      <c r="AB192" s="6"/>
      <c r="AC192" s="6"/>
      <c r="AD192" s="6"/>
      <c r="AE192" s="6"/>
    </row>
    <row r="193" spans="1:32" s="5" customFormat="1" ht="20.100000000000001" customHeight="1" x14ac:dyDescent="0.25">
      <c r="A193" s="3">
        <f>+A185+1</f>
        <v>20</v>
      </c>
      <c r="B193" s="6" t="s">
        <v>140</v>
      </c>
      <c r="C193" s="11" t="s">
        <v>143</v>
      </c>
      <c r="D193" s="11">
        <v>1</v>
      </c>
      <c r="E193" s="11">
        <v>0.3</v>
      </c>
      <c r="F193" s="11">
        <v>0.2</v>
      </c>
      <c r="G193" s="11">
        <v>0.75</v>
      </c>
      <c r="H193" s="6">
        <f>G193-0.2</f>
        <v>0.55000000000000004</v>
      </c>
      <c r="I193" s="6">
        <f>E193*F193*G193*D193</f>
        <v>4.4999999999999998E-2</v>
      </c>
      <c r="J193" s="6">
        <f>(2*(E193)*H193*D193)+(E193*F193)</f>
        <v>0.39</v>
      </c>
      <c r="K193" s="10">
        <f>IF(E193=0.3,J193,0)</f>
        <v>0.39</v>
      </c>
      <c r="L193" s="10">
        <f>IF(AND(E193&gt;0.3,E193&lt;=0.75),J193,0)</f>
        <v>0</v>
      </c>
      <c r="M193" s="10">
        <f>IF(AND(E193&gt;0.75,E193&lt;=1.2),J193,0)</f>
        <v>0</v>
      </c>
      <c r="N193" s="10">
        <f>IF(E193&gt;1.2,J193,0)</f>
        <v>0</v>
      </c>
      <c r="O193" s="6"/>
      <c r="P193" s="6"/>
      <c r="Q193" s="6">
        <f t="shared" si="29"/>
        <v>0</v>
      </c>
      <c r="R193" s="6">
        <f t="shared" si="29"/>
        <v>0</v>
      </c>
      <c r="S193" s="6">
        <f t="shared" si="29"/>
        <v>0</v>
      </c>
      <c r="T193" s="6">
        <f t="shared" si="29"/>
        <v>0</v>
      </c>
      <c r="U193" s="6">
        <f t="shared" si="29"/>
        <v>0</v>
      </c>
      <c r="V193" s="6">
        <f t="shared" si="29"/>
        <v>0</v>
      </c>
      <c r="W193" s="6">
        <f t="shared" si="29"/>
        <v>0</v>
      </c>
      <c r="X193" s="6">
        <f t="shared" si="30"/>
        <v>0</v>
      </c>
      <c r="Y193" s="7">
        <f>SUM(X194:X196)/I193</f>
        <v>462.65617269841272</v>
      </c>
      <c r="Z193" s="6"/>
      <c r="AA193" s="6"/>
      <c r="AB193" s="6"/>
      <c r="AC193" s="6"/>
      <c r="AD193" s="6"/>
      <c r="AE193" s="6"/>
      <c r="AF193" s="6"/>
    </row>
    <row r="194" spans="1:32" s="5" customFormat="1" ht="20.100000000000001" customHeight="1" x14ac:dyDescent="0.25">
      <c r="A194" s="7"/>
      <c r="B194" s="6" t="s">
        <v>140</v>
      </c>
      <c r="C194" s="9" t="s">
        <v>2</v>
      </c>
      <c r="D194" s="6">
        <v>16</v>
      </c>
      <c r="E194" s="6"/>
      <c r="F194" s="6">
        <v>2</v>
      </c>
      <c r="G194" s="8">
        <f>VLOOKUP(D194,$C$20:$F$26,3,0)</f>
        <v>0.8</v>
      </c>
      <c r="H194" s="8"/>
      <c r="I194" s="6"/>
      <c r="J194" s="6"/>
      <c r="K194" s="6"/>
      <c r="L194" s="6"/>
      <c r="M194" s="6"/>
      <c r="N194" s="6"/>
      <c r="O194" s="6">
        <f>(E193+2*(G194+(2*D194/1000)))*D193</f>
        <v>1.9640000000000002</v>
      </c>
      <c r="P194" s="6">
        <f>O194*F194</f>
        <v>3.9280000000000004</v>
      </c>
      <c r="Q194" s="6">
        <f t="shared" si="29"/>
        <v>0</v>
      </c>
      <c r="R194" s="6">
        <f t="shared" si="29"/>
        <v>0</v>
      </c>
      <c r="S194" s="6">
        <f t="shared" si="29"/>
        <v>0</v>
      </c>
      <c r="T194" s="6">
        <f t="shared" si="29"/>
        <v>6.2021997714285728</v>
      </c>
      <c r="U194" s="6">
        <f t="shared" si="29"/>
        <v>0</v>
      </c>
      <c r="V194" s="6">
        <f t="shared" si="29"/>
        <v>0</v>
      </c>
      <c r="W194" s="6">
        <f t="shared" si="29"/>
        <v>0</v>
      </c>
      <c r="X194" s="6">
        <f t="shared" si="30"/>
        <v>6.2021997714285728</v>
      </c>
      <c r="Y194" s="6"/>
      <c r="Z194" s="6"/>
      <c r="AA194" s="6"/>
      <c r="AB194" s="6"/>
      <c r="AC194" s="6"/>
      <c r="AD194" s="6"/>
      <c r="AE194" s="6"/>
    </row>
    <row r="195" spans="1:32" s="5" customFormat="1" ht="20.100000000000001" customHeight="1" x14ac:dyDescent="0.25">
      <c r="A195" s="7"/>
      <c r="B195" s="6" t="s">
        <v>140</v>
      </c>
      <c r="C195" s="9" t="s">
        <v>1</v>
      </c>
      <c r="D195" s="6">
        <v>20</v>
      </c>
      <c r="E195" s="6"/>
      <c r="F195" s="6">
        <v>2</v>
      </c>
      <c r="G195" s="8">
        <f>VLOOKUP(D195,$C$20:$F$26,3,0)</f>
        <v>1</v>
      </c>
      <c r="H195" s="6"/>
      <c r="I195" s="6"/>
      <c r="J195" s="6"/>
      <c r="K195" s="6"/>
      <c r="L195" s="6"/>
      <c r="M195" s="6"/>
      <c r="N195" s="6"/>
      <c r="O195" s="6">
        <f>(E193+2*(G195+(2*D195/1000)))*D193</f>
        <v>2.38</v>
      </c>
      <c r="P195" s="6">
        <f>O195*F195</f>
        <v>4.76</v>
      </c>
      <c r="Q195" s="6">
        <f t="shared" si="29"/>
        <v>0</v>
      </c>
      <c r="R195" s="6">
        <f t="shared" si="29"/>
        <v>0</v>
      </c>
      <c r="S195" s="6">
        <f t="shared" si="29"/>
        <v>0</v>
      </c>
      <c r="T195" s="6">
        <f t="shared" si="29"/>
        <v>0</v>
      </c>
      <c r="U195" s="6">
        <f t="shared" si="29"/>
        <v>11.743599999999999</v>
      </c>
      <c r="V195" s="6">
        <f t="shared" si="29"/>
        <v>0</v>
      </c>
      <c r="W195" s="6">
        <f t="shared" si="29"/>
        <v>0</v>
      </c>
      <c r="X195" s="6">
        <f t="shared" si="30"/>
        <v>11.743599999999999</v>
      </c>
      <c r="Y195" s="6"/>
      <c r="Z195" s="6"/>
      <c r="AA195" s="6"/>
      <c r="AB195" s="6"/>
      <c r="AC195" s="6"/>
      <c r="AD195" s="6"/>
      <c r="AE195" s="6"/>
    </row>
    <row r="196" spans="1:32" s="5" customFormat="1" ht="20.100000000000001" customHeight="1" x14ac:dyDescent="0.25">
      <c r="A196" s="7"/>
      <c r="B196" s="6" t="s">
        <v>140</v>
      </c>
      <c r="C196" s="9" t="s">
        <v>0</v>
      </c>
      <c r="D196" s="6">
        <v>8</v>
      </c>
      <c r="E196" s="6">
        <v>0.1</v>
      </c>
      <c r="F196" s="6">
        <f>+ROUND(E193/E196,0)+1</f>
        <v>4</v>
      </c>
      <c r="H196" s="6"/>
      <c r="I196" s="6"/>
      <c r="J196" s="6"/>
      <c r="K196" s="6"/>
      <c r="L196" s="6"/>
      <c r="M196" s="6"/>
      <c r="N196" s="6"/>
      <c r="O196" s="6">
        <f>(2*((G193-(2*$D$11))+(F193-(2*$D$11)))+(2*10*D196/1000))*D193</f>
        <v>1.8199999999999998</v>
      </c>
      <c r="P196" s="6">
        <f>O196*F196</f>
        <v>7.2799999999999994</v>
      </c>
      <c r="Q196" s="6">
        <f t="shared" si="29"/>
        <v>2.8737279999999998</v>
      </c>
      <c r="R196" s="6">
        <f t="shared" si="29"/>
        <v>0</v>
      </c>
      <c r="S196" s="6">
        <f t="shared" si="29"/>
        <v>0</v>
      </c>
      <c r="T196" s="6">
        <f t="shared" si="29"/>
        <v>0</v>
      </c>
      <c r="U196" s="6">
        <f t="shared" si="29"/>
        <v>0</v>
      </c>
      <c r="V196" s="6">
        <f t="shared" si="29"/>
        <v>0</v>
      </c>
      <c r="W196" s="6">
        <f t="shared" si="29"/>
        <v>0</v>
      </c>
      <c r="X196" s="6">
        <f t="shared" si="30"/>
        <v>2.8737279999999998</v>
      </c>
      <c r="Y196" s="6"/>
      <c r="Z196" s="6"/>
      <c r="AA196" s="6"/>
      <c r="AB196" s="6"/>
      <c r="AC196" s="6"/>
      <c r="AD196" s="6"/>
      <c r="AE196" s="6"/>
    </row>
    <row r="197" spans="1:32" s="5" customFormat="1" ht="20.100000000000001" customHeight="1" x14ac:dyDescent="0.25">
      <c r="A197" s="6">
        <f>A193+1</f>
        <v>21</v>
      </c>
      <c r="B197" s="6" t="s">
        <v>140</v>
      </c>
      <c r="C197" s="11" t="s">
        <v>3</v>
      </c>
      <c r="D197" s="11">
        <v>1</v>
      </c>
      <c r="E197" s="11">
        <v>6.0049999999999999</v>
      </c>
      <c r="F197" s="11">
        <v>0.15</v>
      </c>
      <c r="G197" s="11">
        <v>0.75</v>
      </c>
      <c r="H197" s="6">
        <f>G197-0.2</f>
        <v>0.55000000000000004</v>
      </c>
      <c r="I197" s="6">
        <f>E197*F197*G197*D197</f>
        <v>0.67556249999999995</v>
      </c>
      <c r="J197" s="6">
        <f>(2*(E197)*H197*D197)+(E197*F197)</f>
        <v>7.5062499999999996</v>
      </c>
      <c r="K197" s="10">
        <f>IF(E197=0.3,J197,0)</f>
        <v>0</v>
      </c>
      <c r="L197" s="10">
        <f>IF(AND(E197&gt;0.3,E197&lt;=0.75),J197,0)</f>
        <v>0</v>
      </c>
      <c r="M197" s="10">
        <f>IF(AND(E197&gt;0.75,E197&lt;=1.2),J197,0)</f>
        <v>0</v>
      </c>
      <c r="N197" s="10">
        <f>IF(E197&gt;1.2,J197,0)</f>
        <v>7.5062499999999996</v>
      </c>
      <c r="O197" s="6"/>
      <c r="P197" s="6"/>
      <c r="Q197" s="6">
        <f t="shared" si="29"/>
        <v>0</v>
      </c>
      <c r="R197" s="6">
        <f t="shared" si="29"/>
        <v>0</v>
      </c>
      <c r="S197" s="6">
        <f t="shared" si="29"/>
        <v>0</v>
      </c>
      <c r="T197" s="6">
        <f t="shared" si="29"/>
        <v>0</v>
      </c>
      <c r="U197" s="6">
        <f t="shared" si="29"/>
        <v>0</v>
      </c>
      <c r="V197" s="6">
        <f t="shared" si="29"/>
        <v>0</v>
      </c>
      <c r="W197" s="6">
        <f t="shared" si="29"/>
        <v>0</v>
      </c>
      <c r="X197" s="6">
        <f t="shared" si="30"/>
        <v>0</v>
      </c>
      <c r="Y197" s="7">
        <f>SUM(X198:X206)/I197</f>
        <v>744.1031041750922</v>
      </c>
      <c r="Z197" s="6"/>
      <c r="AA197" s="6"/>
      <c r="AB197" s="6"/>
      <c r="AC197" s="6"/>
      <c r="AD197" s="6"/>
      <c r="AE197" s="6"/>
      <c r="AF197" s="6"/>
    </row>
    <row r="198" spans="1:32" s="5" customFormat="1" ht="20.100000000000001" customHeight="1" x14ac:dyDescent="0.25">
      <c r="A198" s="7"/>
      <c r="B198" s="6" t="s">
        <v>140</v>
      </c>
      <c r="C198" s="9" t="s">
        <v>2</v>
      </c>
      <c r="D198" s="6">
        <v>16</v>
      </c>
      <c r="E198" s="6"/>
      <c r="F198" s="6">
        <v>6</v>
      </c>
      <c r="G198" s="8">
        <f>VLOOKUP(D198,$C$20:$F$26,3,0)</f>
        <v>0.8</v>
      </c>
      <c r="H198" s="8"/>
      <c r="I198" s="6"/>
      <c r="J198" s="6"/>
      <c r="K198" s="6"/>
      <c r="L198" s="6"/>
      <c r="M198" s="6"/>
      <c r="N198" s="6"/>
      <c r="O198" s="6">
        <f>(E197+1*(G198+(2*D198/1000)))*D197</f>
        <v>6.8369999999999997</v>
      </c>
      <c r="P198" s="6">
        <f t="shared" ref="P198:P206" si="35">O198*F198</f>
        <v>41.021999999999998</v>
      </c>
      <c r="Q198" s="6">
        <f t="shared" si="29"/>
        <v>0</v>
      </c>
      <c r="R198" s="6">
        <f t="shared" si="29"/>
        <v>0</v>
      </c>
      <c r="S198" s="6">
        <f t="shared" si="29"/>
        <v>0</v>
      </c>
      <c r="T198" s="6">
        <f t="shared" si="29"/>
        <v>64.772565942857142</v>
      </c>
      <c r="U198" s="6">
        <f t="shared" si="29"/>
        <v>0</v>
      </c>
      <c r="V198" s="6">
        <f t="shared" si="29"/>
        <v>0</v>
      </c>
      <c r="W198" s="6">
        <f t="shared" si="29"/>
        <v>0</v>
      </c>
      <c r="X198" s="6">
        <f t="shared" si="30"/>
        <v>64.772565942857142</v>
      </c>
      <c r="Y198" s="6"/>
      <c r="Z198" s="6"/>
      <c r="AA198" s="6"/>
      <c r="AB198" s="6"/>
      <c r="AC198" s="6"/>
      <c r="AD198" s="6"/>
      <c r="AE198" s="6"/>
    </row>
    <row r="199" spans="1:32" s="5" customFormat="1" ht="20.100000000000001" customHeight="1" x14ac:dyDescent="0.25">
      <c r="A199" s="7"/>
      <c r="B199" s="6" t="s">
        <v>140</v>
      </c>
      <c r="C199" s="9" t="s">
        <v>14</v>
      </c>
      <c r="D199" s="6">
        <v>16</v>
      </c>
      <c r="E199" s="6"/>
      <c r="F199" s="6">
        <v>6</v>
      </c>
      <c r="G199" s="8">
        <f>VLOOKUP(D199,$C$20:$F$26,3,0)</f>
        <v>0.8</v>
      </c>
      <c r="H199" s="8"/>
      <c r="I199" s="6"/>
      <c r="J199" s="6"/>
      <c r="K199" s="6"/>
      <c r="L199" s="6"/>
      <c r="M199" s="6"/>
      <c r="N199" s="6"/>
      <c r="O199" s="6">
        <f>(E197+1*(G199+(2*D199/1000)))*D197</f>
        <v>6.8369999999999997</v>
      </c>
      <c r="P199" s="6">
        <f t="shared" si="35"/>
        <v>41.021999999999998</v>
      </c>
      <c r="Q199" s="6">
        <f t="shared" si="29"/>
        <v>0</v>
      </c>
      <c r="R199" s="6">
        <f t="shared" si="29"/>
        <v>0</v>
      </c>
      <c r="S199" s="6">
        <f t="shared" si="29"/>
        <v>0</v>
      </c>
      <c r="T199" s="6">
        <f t="shared" si="29"/>
        <v>64.772565942857142</v>
      </c>
      <c r="U199" s="6">
        <f t="shared" si="29"/>
        <v>0</v>
      </c>
      <c r="V199" s="6">
        <f t="shared" si="29"/>
        <v>0</v>
      </c>
      <c r="W199" s="6">
        <f t="shared" si="29"/>
        <v>0</v>
      </c>
      <c r="X199" s="6">
        <f t="shared" si="30"/>
        <v>64.772565942857142</v>
      </c>
      <c r="Y199" s="6"/>
      <c r="Z199" s="6"/>
      <c r="AA199" s="6"/>
      <c r="AB199" s="6"/>
      <c r="AC199" s="6"/>
      <c r="AD199" s="6"/>
      <c r="AE199" s="6"/>
    </row>
    <row r="200" spans="1:32" s="5" customFormat="1" ht="20.100000000000001" customHeight="1" x14ac:dyDescent="0.25">
      <c r="A200" s="7"/>
      <c r="B200" s="6" t="s">
        <v>140</v>
      </c>
      <c r="C200" s="9" t="s">
        <v>1</v>
      </c>
      <c r="D200" s="6">
        <v>20</v>
      </c>
      <c r="E200" s="6"/>
      <c r="F200" s="6">
        <v>6</v>
      </c>
      <c r="G200" s="8">
        <f>VLOOKUP(D200,$C$20:$F$26,3,0)</f>
        <v>1</v>
      </c>
      <c r="H200" s="6"/>
      <c r="I200" s="6"/>
      <c r="J200" s="6"/>
      <c r="K200" s="6"/>
      <c r="L200" s="6"/>
      <c r="M200" s="6"/>
      <c r="N200" s="6"/>
      <c r="O200" s="6">
        <f>(E197+1*(G200+(2*D200/1000)))*D197</f>
        <v>7.0449999999999999</v>
      </c>
      <c r="P200" s="6">
        <f t="shared" si="35"/>
        <v>42.269999999999996</v>
      </c>
      <c r="Q200" s="6">
        <f t="shared" si="29"/>
        <v>0</v>
      </c>
      <c r="R200" s="6">
        <f t="shared" si="29"/>
        <v>0</v>
      </c>
      <c r="S200" s="6">
        <f t="shared" si="29"/>
        <v>0</v>
      </c>
      <c r="T200" s="6">
        <f t="shared" si="29"/>
        <v>0</v>
      </c>
      <c r="U200" s="6">
        <f t="shared" si="29"/>
        <v>104.28612857142856</v>
      </c>
      <c r="V200" s="6">
        <f t="shared" si="29"/>
        <v>0</v>
      </c>
      <c r="W200" s="6">
        <f t="shared" si="29"/>
        <v>0</v>
      </c>
      <c r="X200" s="6">
        <f t="shared" si="30"/>
        <v>104.28612857142856</v>
      </c>
      <c r="Y200" s="6"/>
      <c r="Z200" s="6"/>
      <c r="AA200" s="6"/>
      <c r="AB200" s="6"/>
      <c r="AC200" s="6"/>
      <c r="AD200" s="6"/>
      <c r="AE200" s="6"/>
    </row>
    <row r="201" spans="1:32" s="5" customFormat="1" ht="20.100000000000001" customHeight="1" x14ac:dyDescent="0.25">
      <c r="A201" s="7"/>
      <c r="B201" s="6" t="s">
        <v>140</v>
      </c>
      <c r="C201" s="9" t="s">
        <v>1</v>
      </c>
      <c r="D201" s="6">
        <v>20</v>
      </c>
      <c r="E201" s="6"/>
      <c r="F201" s="6">
        <v>6</v>
      </c>
      <c r="G201" s="8">
        <f>VLOOKUP(D201,$C$20:$F$26,3,0)</f>
        <v>1</v>
      </c>
      <c r="H201" s="6"/>
      <c r="I201" s="6"/>
      <c r="J201" s="6"/>
      <c r="K201" s="6"/>
      <c r="L201" s="6"/>
      <c r="M201" s="6"/>
      <c r="N201" s="6"/>
      <c r="O201" s="6">
        <f>+E197</f>
        <v>6.0049999999999999</v>
      </c>
      <c r="P201" s="6">
        <f t="shared" si="35"/>
        <v>36.03</v>
      </c>
      <c r="Q201" s="6">
        <f t="shared" si="29"/>
        <v>0</v>
      </c>
      <c r="R201" s="6">
        <f t="shared" si="29"/>
        <v>0</v>
      </c>
      <c r="S201" s="6">
        <f t="shared" si="29"/>
        <v>0</v>
      </c>
      <c r="T201" s="6">
        <f t="shared" si="29"/>
        <v>0</v>
      </c>
      <c r="U201" s="6">
        <f t="shared" si="29"/>
        <v>88.891157142857139</v>
      </c>
      <c r="V201" s="6">
        <f t="shared" si="29"/>
        <v>0</v>
      </c>
      <c r="W201" s="6">
        <f t="shared" si="29"/>
        <v>0</v>
      </c>
      <c r="X201" s="6">
        <f t="shared" si="30"/>
        <v>88.891157142857139</v>
      </c>
      <c r="Y201" s="6"/>
      <c r="Z201" s="6"/>
      <c r="AA201" s="6"/>
      <c r="AB201" s="6"/>
      <c r="AC201" s="6"/>
      <c r="AD201" s="6"/>
      <c r="AE201" s="6"/>
    </row>
    <row r="202" spans="1:32" s="5" customFormat="1" ht="20.100000000000001" customHeight="1" x14ac:dyDescent="0.25">
      <c r="A202" s="7"/>
      <c r="B202" s="6" t="s">
        <v>140</v>
      </c>
      <c r="C202" s="9" t="s">
        <v>0</v>
      </c>
      <c r="D202" s="6">
        <v>10</v>
      </c>
      <c r="E202" s="6">
        <v>0.1</v>
      </c>
      <c r="F202" s="6">
        <f>ROUND(IF(E197/3&gt;(2*G197),(E197/3)/E202,(2*G197)/E202),0)*2+1</f>
        <v>41</v>
      </c>
      <c r="G202" s="8"/>
      <c r="H202" s="6"/>
      <c r="I202" s="6"/>
      <c r="J202" s="6"/>
      <c r="K202" s="6"/>
      <c r="L202" s="6"/>
      <c r="M202" s="6"/>
      <c r="N202" s="6"/>
      <c r="O202" s="6">
        <f>(2*((G197-(2*$D$11))+(F197-(2*$D$11)))+(2*10*D202/1000))*D197</f>
        <v>1.7599999999999998</v>
      </c>
      <c r="P202" s="6">
        <f t="shared" si="35"/>
        <v>72.16</v>
      </c>
      <c r="Q202" s="6">
        <f t="shared" si="29"/>
        <v>0</v>
      </c>
      <c r="R202" s="6">
        <f t="shared" si="29"/>
        <v>44.507257142857142</v>
      </c>
      <c r="S202" s="6">
        <f t="shared" si="29"/>
        <v>0</v>
      </c>
      <c r="T202" s="6">
        <f t="shared" si="29"/>
        <v>0</v>
      </c>
      <c r="U202" s="6">
        <f t="shared" si="29"/>
        <v>0</v>
      </c>
      <c r="V202" s="6">
        <f t="shared" si="29"/>
        <v>0</v>
      </c>
      <c r="W202" s="6">
        <f t="shared" si="29"/>
        <v>0</v>
      </c>
      <c r="X202" s="6">
        <f t="shared" si="30"/>
        <v>44.507257142857142</v>
      </c>
      <c r="Y202" s="6"/>
      <c r="Z202" s="6"/>
      <c r="AA202" s="6"/>
      <c r="AB202" s="6"/>
      <c r="AC202" s="6"/>
      <c r="AD202" s="6"/>
      <c r="AE202" s="6"/>
    </row>
    <row r="203" spans="1:32" s="12" customFormat="1" ht="20.100000000000001" customHeight="1" x14ac:dyDescent="0.25">
      <c r="B203" s="6" t="s">
        <v>140</v>
      </c>
      <c r="C203" s="9" t="s">
        <v>25</v>
      </c>
      <c r="D203" s="6">
        <f>+D202</f>
        <v>10</v>
      </c>
      <c r="E203" s="6">
        <f>+E202</f>
        <v>0.1</v>
      </c>
      <c r="F203" s="12">
        <f>+F202</f>
        <v>41</v>
      </c>
      <c r="G203" s="5"/>
      <c r="O203" s="3">
        <f>((((G197-(2*$D$11))+(2*10*D203/1000))*D197))*2*2</f>
        <v>3.5599999999999996</v>
      </c>
      <c r="P203" s="6">
        <f t="shared" si="35"/>
        <v>145.95999999999998</v>
      </c>
      <c r="Q203" s="6">
        <f t="shared" si="29"/>
        <v>0</v>
      </c>
      <c r="R203" s="6">
        <f t="shared" si="29"/>
        <v>90.026042857142841</v>
      </c>
      <c r="S203" s="6">
        <f t="shared" si="29"/>
        <v>0</v>
      </c>
      <c r="T203" s="6">
        <f t="shared" si="29"/>
        <v>0</v>
      </c>
      <c r="U203" s="6">
        <f t="shared" si="29"/>
        <v>0</v>
      </c>
      <c r="V203" s="6">
        <f t="shared" si="29"/>
        <v>0</v>
      </c>
      <c r="W203" s="6">
        <f t="shared" si="29"/>
        <v>0</v>
      </c>
      <c r="X203" s="6">
        <f t="shared" si="30"/>
        <v>90.026042857142841</v>
      </c>
    </row>
    <row r="204" spans="1:32" s="12" customFormat="1" ht="20.100000000000001" customHeight="1" x14ac:dyDescent="0.3">
      <c r="B204" s="6" t="s">
        <v>140</v>
      </c>
      <c r="C204" s="9" t="s">
        <v>0</v>
      </c>
      <c r="D204" s="12">
        <v>10</v>
      </c>
      <c r="E204" s="12">
        <v>0.15</v>
      </c>
      <c r="F204" s="12">
        <f>ROUND((E197-(IF(E197/3&gt;2*G197,E197/3*2,G197*2*2)))/E204,0)</f>
        <v>13</v>
      </c>
      <c r="O204" s="6">
        <f>(2*((G197-(2*$D$11))+(F197-(2*$D$11)))+(2*10*D204/1000))*D197</f>
        <v>1.7599999999999998</v>
      </c>
      <c r="P204" s="6">
        <f t="shared" si="35"/>
        <v>22.879999999999995</v>
      </c>
      <c r="Q204" s="6">
        <f t="shared" si="29"/>
        <v>0</v>
      </c>
      <c r="R204" s="6">
        <f t="shared" si="29"/>
        <v>14.11205714285714</v>
      </c>
      <c r="S204" s="6">
        <f t="shared" si="29"/>
        <v>0</v>
      </c>
      <c r="T204" s="6">
        <f t="shared" si="29"/>
        <v>0</v>
      </c>
      <c r="U204" s="6">
        <f t="shared" si="29"/>
        <v>0</v>
      </c>
      <c r="V204" s="6">
        <f t="shared" ref="Q204:W241" si="36">IF($D204=V$36,$P204*V$37,0)</f>
        <v>0</v>
      </c>
      <c r="W204" s="6">
        <f t="shared" si="36"/>
        <v>0</v>
      </c>
      <c r="X204" s="6">
        <f t="shared" si="30"/>
        <v>14.11205714285714</v>
      </c>
    </row>
    <row r="205" spans="1:32" s="12" customFormat="1" ht="20.100000000000001" customHeight="1" x14ac:dyDescent="0.25">
      <c r="B205" s="6" t="s">
        <v>140</v>
      </c>
      <c r="C205" s="9" t="s">
        <v>25</v>
      </c>
      <c r="D205" s="6">
        <f>+D204</f>
        <v>10</v>
      </c>
      <c r="E205" s="6">
        <f>+E204</f>
        <v>0.15</v>
      </c>
      <c r="F205" s="12">
        <f>+F204</f>
        <v>13</v>
      </c>
      <c r="G205" s="5"/>
      <c r="O205" s="3">
        <f>((((G197-(2*$D$11))+(2*10*D205/1000))*D197))*2*2</f>
        <v>3.5599999999999996</v>
      </c>
      <c r="P205" s="6">
        <f>O205*F205</f>
        <v>46.279999999999994</v>
      </c>
      <c r="Q205" s="6">
        <f t="shared" si="36"/>
        <v>0</v>
      </c>
      <c r="R205" s="6">
        <f t="shared" si="36"/>
        <v>28.544842857142854</v>
      </c>
      <c r="S205" s="6">
        <f t="shared" si="36"/>
        <v>0</v>
      </c>
      <c r="T205" s="6">
        <f t="shared" si="36"/>
        <v>0</v>
      </c>
      <c r="U205" s="6">
        <f t="shared" si="36"/>
        <v>0</v>
      </c>
      <c r="V205" s="6">
        <f t="shared" si="36"/>
        <v>0</v>
      </c>
      <c r="W205" s="6">
        <f t="shared" si="36"/>
        <v>0</v>
      </c>
      <c r="X205" s="6">
        <f t="shared" si="30"/>
        <v>28.544842857142854</v>
      </c>
    </row>
    <row r="206" spans="1:32" s="5" customFormat="1" ht="20.100000000000001" customHeight="1" x14ac:dyDescent="0.25">
      <c r="A206" s="7"/>
      <c r="B206" s="6" t="s">
        <v>140</v>
      </c>
      <c r="C206" s="9" t="s">
        <v>17</v>
      </c>
      <c r="D206" s="6">
        <f>+$D$15</f>
        <v>25</v>
      </c>
      <c r="E206" s="6">
        <f>+$E$15</f>
        <v>1</v>
      </c>
      <c r="F206" s="6">
        <f>ROUNDUP((E197)/E206,0)+1</f>
        <v>8</v>
      </c>
      <c r="G206" s="8"/>
      <c r="H206" s="8"/>
      <c r="I206" s="6"/>
      <c r="J206" s="6"/>
      <c r="K206" s="6"/>
      <c r="L206" s="6"/>
      <c r="M206" s="6"/>
      <c r="N206" s="6"/>
      <c r="O206" s="6">
        <f>+F197-(2*$D$11)</f>
        <v>0.09</v>
      </c>
      <c r="P206" s="6">
        <f t="shared" si="35"/>
        <v>0.72</v>
      </c>
      <c r="Q206" s="6">
        <f t="shared" si="36"/>
        <v>0</v>
      </c>
      <c r="R206" s="6">
        <f t="shared" si="36"/>
        <v>0</v>
      </c>
      <c r="S206" s="6">
        <f t="shared" si="36"/>
        <v>0</v>
      </c>
      <c r="T206" s="6">
        <f t="shared" si="36"/>
        <v>0</v>
      </c>
      <c r="U206" s="6">
        <f t="shared" si="36"/>
        <v>0</v>
      </c>
      <c r="V206" s="6">
        <f t="shared" si="36"/>
        <v>2.7755357142857147</v>
      </c>
      <c r="W206" s="6">
        <f t="shared" si="36"/>
        <v>0</v>
      </c>
      <c r="X206" s="6">
        <f t="shared" si="30"/>
        <v>2.7755357142857147</v>
      </c>
      <c r="Y206" s="6"/>
      <c r="Z206" s="6"/>
      <c r="AA206" s="6"/>
      <c r="AB206" s="6"/>
      <c r="AC206" s="6"/>
      <c r="AD206" s="6"/>
      <c r="AE206" s="6"/>
    </row>
    <row r="207" spans="1:32" s="5" customFormat="1" ht="21" customHeight="1" x14ac:dyDescent="0.25">
      <c r="A207" s="6">
        <f>+A197+1</f>
        <v>22</v>
      </c>
      <c r="B207" s="6" t="s">
        <v>140</v>
      </c>
      <c r="C207" s="11" t="s">
        <v>63</v>
      </c>
      <c r="D207" s="11">
        <v>1</v>
      </c>
      <c r="E207" s="11">
        <v>1.105</v>
      </c>
      <c r="F207" s="11">
        <v>0.25</v>
      </c>
      <c r="G207" s="11">
        <v>0.5</v>
      </c>
      <c r="H207" s="6">
        <f>G207-0.2</f>
        <v>0.3</v>
      </c>
      <c r="I207" s="6">
        <f>E207*F207*G207*D207</f>
        <v>0.138125</v>
      </c>
      <c r="J207" s="6">
        <f>(2*(E207)*H207*D207)+(E207*F207)</f>
        <v>0.93924999999999992</v>
      </c>
      <c r="K207" s="10">
        <f>IF(E207=0.3,J207,0)</f>
        <v>0</v>
      </c>
      <c r="L207" s="10">
        <f>IF(AND(E207&gt;0.3,E207&lt;=0.75),J207,0)</f>
        <v>0</v>
      </c>
      <c r="M207" s="10">
        <f>IF(AND(E207&gt;0.75,E207&lt;=1.2),J207,0)</f>
        <v>0.93924999999999992</v>
      </c>
      <c r="N207" s="10">
        <f>IF(E207&gt;1.2,J207,0)</f>
        <v>0</v>
      </c>
      <c r="O207" s="6"/>
      <c r="P207" s="6"/>
      <c r="Q207" s="6">
        <f t="shared" si="36"/>
        <v>0</v>
      </c>
      <c r="R207" s="6">
        <f t="shared" si="36"/>
        <v>0</v>
      </c>
      <c r="S207" s="6">
        <f t="shared" si="36"/>
        <v>0</v>
      </c>
      <c r="T207" s="6">
        <f t="shared" si="36"/>
        <v>0</v>
      </c>
      <c r="U207" s="6">
        <f t="shared" si="36"/>
        <v>0</v>
      </c>
      <c r="V207" s="6">
        <f t="shared" si="36"/>
        <v>0</v>
      </c>
      <c r="W207" s="6">
        <f t="shared" si="36"/>
        <v>0</v>
      </c>
      <c r="X207" s="6">
        <f t="shared" si="30"/>
        <v>0</v>
      </c>
      <c r="Y207" s="7">
        <f>SUM(X208:X211)/I207</f>
        <v>217.78231353587589</v>
      </c>
      <c r="Z207" s="6"/>
      <c r="AA207" s="6"/>
      <c r="AB207" s="6"/>
      <c r="AC207" s="6"/>
      <c r="AD207" s="6"/>
      <c r="AE207" s="6"/>
      <c r="AF207" s="6"/>
    </row>
    <row r="208" spans="1:32" s="5" customFormat="1" ht="20.100000000000001" customHeight="1" x14ac:dyDescent="0.25">
      <c r="A208" s="7"/>
      <c r="B208" s="6" t="s">
        <v>140</v>
      </c>
      <c r="C208" s="91" t="s">
        <v>2</v>
      </c>
      <c r="D208" s="6">
        <v>20</v>
      </c>
      <c r="E208" s="6"/>
      <c r="F208" s="6">
        <v>2</v>
      </c>
      <c r="G208" s="8">
        <f>VLOOKUP(D208,$C$20:$F$26,3,0)</f>
        <v>1</v>
      </c>
      <c r="H208" s="8"/>
      <c r="I208" s="6"/>
      <c r="J208" s="6"/>
      <c r="K208" s="6"/>
      <c r="L208" s="6"/>
      <c r="M208" s="6"/>
      <c r="N208" s="6"/>
      <c r="O208" s="6">
        <f>(E207+2*(G208+(2*D208/1000)))*D207</f>
        <v>3.1850000000000001</v>
      </c>
      <c r="P208" s="6">
        <f t="shared" ref="P208:P210" si="37">O208*F208</f>
        <v>6.37</v>
      </c>
      <c r="Q208" s="6">
        <f t="shared" si="36"/>
        <v>0</v>
      </c>
      <c r="R208" s="6">
        <f t="shared" si="36"/>
        <v>0</v>
      </c>
      <c r="S208" s="6">
        <f t="shared" si="36"/>
        <v>0</v>
      </c>
      <c r="T208" s="6">
        <f t="shared" si="36"/>
        <v>0</v>
      </c>
      <c r="U208" s="6">
        <f t="shared" si="36"/>
        <v>15.7157</v>
      </c>
      <c r="V208" s="6">
        <f t="shared" si="36"/>
        <v>0</v>
      </c>
      <c r="W208" s="6">
        <f t="shared" si="36"/>
        <v>0</v>
      </c>
      <c r="X208" s="6">
        <f t="shared" si="30"/>
        <v>15.7157</v>
      </c>
      <c r="Y208" s="6"/>
      <c r="Z208" s="6"/>
      <c r="AA208" s="6"/>
      <c r="AB208" s="6"/>
      <c r="AC208" s="6"/>
      <c r="AD208" s="6"/>
      <c r="AE208" s="6"/>
    </row>
    <row r="209" spans="1:32" s="5" customFormat="1" ht="20.100000000000001" customHeight="1" x14ac:dyDescent="0.25">
      <c r="A209" s="7"/>
      <c r="B209" s="6" t="s">
        <v>140</v>
      </c>
      <c r="C209" s="9" t="s">
        <v>1</v>
      </c>
      <c r="D209" s="6">
        <v>16</v>
      </c>
      <c r="E209" s="6"/>
      <c r="F209" s="6">
        <v>2</v>
      </c>
      <c r="G209" s="8">
        <f>VLOOKUP(D209,$C$20:$F$26,3,0)</f>
        <v>0.8</v>
      </c>
      <c r="H209" s="6"/>
      <c r="I209" s="6"/>
      <c r="J209" s="6"/>
      <c r="K209" s="6"/>
      <c r="L209" s="6"/>
      <c r="M209" s="6"/>
      <c r="N209" s="6"/>
      <c r="O209" s="6">
        <f>(E207+2*(G209+(2*D209/1000)))*D207</f>
        <v>2.7690000000000001</v>
      </c>
      <c r="P209" s="6">
        <f t="shared" si="37"/>
        <v>5.5380000000000003</v>
      </c>
      <c r="Q209" s="6">
        <f t="shared" si="36"/>
        <v>0</v>
      </c>
      <c r="R209" s="6">
        <f t="shared" si="36"/>
        <v>0</v>
      </c>
      <c r="S209" s="6">
        <f t="shared" si="36"/>
        <v>0</v>
      </c>
      <c r="T209" s="6">
        <f t="shared" si="36"/>
        <v>8.7443437714285732</v>
      </c>
      <c r="U209" s="6">
        <f t="shared" si="36"/>
        <v>0</v>
      </c>
      <c r="V209" s="6">
        <f t="shared" si="36"/>
        <v>0</v>
      </c>
      <c r="W209" s="6">
        <f t="shared" si="36"/>
        <v>0</v>
      </c>
      <c r="X209" s="6">
        <f t="shared" si="30"/>
        <v>8.7443437714285732</v>
      </c>
      <c r="Y209" s="6"/>
      <c r="Z209" s="6"/>
      <c r="AA209" s="6"/>
      <c r="AB209" s="6"/>
      <c r="AC209" s="6"/>
      <c r="AD209" s="6"/>
      <c r="AE209" s="6"/>
    </row>
    <row r="210" spans="1:32" s="5" customFormat="1" ht="20.100000000000001" customHeight="1" x14ac:dyDescent="0.25">
      <c r="A210" s="7"/>
      <c r="B210" s="6" t="s">
        <v>140</v>
      </c>
      <c r="C210" s="9" t="s">
        <v>1</v>
      </c>
      <c r="D210" s="6">
        <v>16</v>
      </c>
      <c r="E210" s="6"/>
      <c r="F210" s="6">
        <v>2</v>
      </c>
      <c r="G210" s="8">
        <f>VLOOKUP(D210,$C$20:$F$26,3,0)</f>
        <v>0.8</v>
      </c>
      <c r="H210" s="6"/>
      <c r="I210" s="6"/>
      <c r="J210" s="6"/>
      <c r="K210" s="6"/>
      <c r="L210" s="6"/>
      <c r="M210" s="6"/>
      <c r="N210" s="6"/>
      <c r="O210" s="6">
        <f>E207-0.55-0.55</f>
        <v>4.9999999999998934E-3</v>
      </c>
      <c r="P210" s="6">
        <f t="shared" si="37"/>
        <v>9.9999999999997868E-3</v>
      </c>
      <c r="Q210" s="6">
        <f t="shared" si="36"/>
        <v>0</v>
      </c>
      <c r="R210" s="6">
        <f t="shared" si="36"/>
        <v>0</v>
      </c>
      <c r="S210" s="6">
        <f t="shared" si="36"/>
        <v>0</v>
      </c>
      <c r="T210" s="6">
        <f t="shared" si="36"/>
        <v>1.5789714285713949E-2</v>
      </c>
      <c r="U210" s="6">
        <f t="shared" si="36"/>
        <v>0</v>
      </c>
      <c r="V210" s="6">
        <f t="shared" si="36"/>
        <v>0</v>
      </c>
      <c r="W210" s="6">
        <f t="shared" si="36"/>
        <v>0</v>
      </c>
      <c r="X210" s="6">
        <f t="shared" si="30"/>
        <v>1.5789714285713949E-2</v>
      </c>
      <c r="Y210" s="6"/>
      <c r="Z210" s="6"/>
      <c r="AA210" s="6"/>
      <c r="AB210" s="6"/>
      <c r="AC210" s="6"/>
      <c r="AD210" s="6"/>
      <c r="AE210" s="6"/>
    </row>
    <row r="211" spans="1:32" s="5" customFormat="1" ht="20.100000000000001" customHeight="1" x14ac:dyDescent="0.25">
      <c r="A211" s="7"/>
      <c r="B211" s="6" t="s">
        <v>140</v>
      </c>
      <c r="C211" s="9" t="s">
        <v>0</v>
      </c>
      <c r="D211" s="6">
        <v>8</v>
      </c>
      <c r="E211" s="6">
        <v>0.125</v>
      </c>
      <c r="F211" s="6">
        <f>+ROUND(E207/E211,0)+1</f>
        <v>10</v>
      </c>
      <c r="H211" s="6"/>
      <c r="I211" s="6"/>
      <c r="J211" s="6"/>
      <c r="K211" s="6"/>
      <c r="L211" s="6"/>
      <c r="M211" s="6"/>
      <c r="N211" s="6"/>
      <c r="O211" s="6">
        <f>(2*((G207-(2*$D$11))+(F207-(2*$D$11)))+(2*10*D211/1000))*D207</f>
        <v>1.42</v>
      </c>
      <c r="P211" s="6">
        <f>O211*F211</f>
        <v>14.2</v>
      </c>
      <c r="Q211" s="6">
        <f t="shared" si="36"/>
        <v>5.6053485714285713</v>
      </c>
      <c r="R211" s="6">
        <f t="shared" si="36"/>
        <v>0</v>
      </c>
      <c r="S211" s="6">
        <f t="shared" si="36"/>
        <v>0</v>
      </c>
      <c r="T211" s="6">
        <f t="shared" si="36"/>
        <v>0</v>
      </c>
      <c r="U211" s="6">
        <f t="shared" si="36"/>
        <v>0</v>
      </c>
      <c r="V211" s="6">
        <f t="shared" si="36"/>
        <v>0</v>
      </c>
      <c r="W211" s="6">
        <f t="shared" si="36"/>
        <v>0</v>
      </c>
      <c r="X211" s="6">
        <f t="shared" si="30"/>
        <v>5.6053485714285713</v>
      </c>
      <c r="Y211" s="6"/>
      <c r="Z211" s="6"/>
      <c r="AA211" s="6"/>
      <c r="AB211" s="6"/>
      <c r="AC211" s="6"/>
      <c r="AD211" s="6"/>
      <c r="AE211" s="6"/>
    </row>
    <row r="212" spans="1:32" s="5" customFormat="1" ht="20.100000000000001" customHeight="1" x14ac:dyDescent="0.25">
      <c r="A212" s="6">
        <f>A207+1</f>
        <v>23</v>
      </c>
      <c r="B212" s="6" t="s">
        <v>140</v>
      </c>
      <c r="C212" s="11" t="s">
        <v>63</v>
      </c>
      <c r="D212" s="11">
        <v>1</v>
      </c>
      <c r="E212" s="11">
        <v>7.95</v>
      </c>
      <c r="F212" s="11">
        <v>0.6</v>
      </c>
      <c r="G212" s="11">
        <v>0.75</v>
      </c>
      <c r="H212" s="6">
        <f>G212-0.2</f>
        <v>0.55000000000000004</v>
      </c>
      <c r="I212" s="6">
        <f>E212*F212*G212*D212</f>
        <v>3.5774999999999997</v>
      </c>
      <c r="J212" s="6">
        <f>(2*(E212)*H212*D212)+(E212*F212)</f>
        <v>13.515000000000001</v>
      </c>
      <c r="K212" s="10">
        <f>IF(E212=0.3,J212,0)</f>
        <v>0</v>
      </c>
      <c r="L212" s="10">
        <f>IF(AND(E212&gt;0.3,E212&lt;=0.75),J212,0)</f>
        <v>0</v>
      </c>
      <c r="M212" s="10">
        <f>IF(AND(E212&gt;0.75,E212&lt;=1.2),J212,0)</f>
        <v>0</v>
      </c>
      <c r="N212" s="10">
        <f>IF(E212&gt;1.2,J212,0)</f>
        <v>13.515000000000001</v>
      </c>
      <c r="O212" s="6"/>
      <c r="P212" s="6"/>
      <c r="Q212" s="6">
        <f t="shared" si="36"/>
        <v>0</v>
      </c>
      <c r="R212" s="6">
        <f t="shared" si="36"/>
        <v>0</v>
      </c>
      <c r="S212" s="6">
        <f t="shared" si="36"/>
        <v>0</v>
      </c>
      <c r="T212" s="6">
        <f t="shared" si="36"/>
        <v>0</v>
      </c>
      <c r="U212" s="6">
        <f t="shared" si="36"/>
        <v>0</v>
      </c>
      <c r="V212" s="6">
        <f t="shared" si="36"/>
        <v>0</v>
      </c>
      <c r="W212" s="6">
        <f t="shared" si="36"/>
        <v>0</v>
      </c>
      <c r="X212" s="6">
        <f t="shared" si="30"/>
        <v>0</v>
      </c>
      <c r="Y212" s="7">
        <f>SUM(X213:X221)/I212</f>
        <v>166.22293451532397</v>
      </c>
      <c r="Z212" s="6"/>
      <c r="AA212" s="6"/>
      <c r="AB212" s="6"/>
      <c r="AC212" s="6"/>
      <c r="AD212" s="6"/>
      <c r="AE212" s="6"/>
      <c r="AF212" s="6"/>
    </row>
    <row r="213" spans="1:32" s="5" customFormat="1" ht="20.100000000000001" customHeight="1" x14ac:dyDescent="0.25">
      <c r="A213" s="7"/>
      <c r="B213" s="6" t="s">
        <v>140</v>
      </c>
      <c r="C213" s="9" t="s">
        <v>2</v>
      </c>
      <c r="D213" s="6">
        <v>16</v>
      </c>
      <c r="E213" s="6"/>
      <c r="F213" s="6">
        <v>6</v>
      </c>
      <c r="G213" s="8">
        <f>VLOOKUP(D213,$C$20:$F$26,3,0)</f>
        <v>0.8</v>
      </c>
      <c r="H213" s="8"/>
      <c r="I213" s="6"/>
      <c r="J213" s="6"/>
      <c r="K213" s="6"/>
      <c r="L213" s="6"/>
      <c r="M213" s="6"/>
      <c r="N213" s="6"/>
      <c r="O213" s="6">
        <f>(E212+1*(G213+(2*D213/1000)))*D212</f>
        <v>8.782</v>
      </c>
      <c r="P213" s="6">
        <f t="shared" ref="P213:P221" si="38">O213*F213</f>
        <v>52.692</v>
      </c>
      <c r="Q213" s="6">
        <f t="shared" si="36"/>
        <v>0</v>
      </c>
      <c r="R213" s="6">
        <f t="shared" si="36"/>
        <v>0</v>
      </c>
      <c r="S213" s="6">
        <f t="shared" si="36"/>
        <v>0</v>
      </c>
      <c r="T213" s="6">
        <f t="shared" si="36"/>
        <v>83.199162514285717</v>
      </c>
      <c r="U213" s="6">
        <f t="shared" si="36"/>
        <v>0</v>
      </c>
      <c r="V213" s="6">
        <f t="shared" si="36"/>
        <v>0</v>
      </c>
      <c r="W213" s="6">
        <f t="shared" si="36"/>
        <v>0</v>
      </c>
      <c r="X213" s="6">
        <f t="shared" si="30"/>
        <v>83.199162514285717</v>
      </c>
      <c r="Y213" s="6"/>
      <c r="Z213" s="6"/>
      <c r="AA213" s="6"/>
      <c r="AB213" s="6"/>
      <c r="AC213" s="6"/>
      <c r="AD213" s="6"/>
      <c r="AE213" s="6"/>
    </row>
    <row r="214" spans="1:32" s="5" customFormat="1" ht="20.100000000000001" customHeight="1" x14ac:dyDescent="0.25">
      <c r="A214" s="7"/>
      <c r="B214" s="6" t="s">
        <v>140</v>
      </c>
      <c r="C214" s="9" t="s">
        <v>14</v>
      </c>
      <c r="D214" s="6">
        <v>16</v>
      </c>
      <c r="E214" s="6"/>
      <c r="F214" s="6">
        <v>6</v>
      </c>
      <c r="G214" s="8">
        <f>VLOOKUP(D214,$C$20:$F$26,3,0)</f>
        <v>0.8</v>
      </c>
      <c r="H214" s="8"/>
      <c r="I214" s="6"/>
      <c r="J214" s="6"/>
      <c r="K214" s="6"/>
      <c r="L214" s="6"/>
      <c r="M214" s="6"/>
      <c r="N214" s="6"/>
      <c r="O214" s="6">
        <v>2.15</v>
      </c>
      <c r="P214" s="6">
        <f t="shared" si="38"/>
        <v>12.899999999999999</v>
      </c>
      <c r="Q214" s="6">
        <f t="shared" si="36"/>
        <v>0</v>
      </c>
      <c r="R214" s="6">
        <f t="shared" si="36"/>
        <v>0</v>
      </c>
      <c r="S214" s="6">
        <f t="shared" si="36"/>
        <v>0</v>
      </c>
      <c r="T214" s="6">
        <f t="shared" si="36"/>
        <v>20.368731428571429</v>
      </c>
      <c r="U214" s="6">
        <f t="shared" si="36"/>
        <v>0</v>
      </c>
      <c r="V214" s="6">
        <f t="shared" si="36"/>
        <v>0</v>
      </c>
      <c r="W214" s="6">
        <f t="shared" si="36"/>
        <v>0</v>
      </c>
      <c r="X214" s="6">
        <f t="shared" si="30"/>
        <v>20.368731428571429</v>
      </c>
      <c r="Y214" s="6"/>
      <c r="Z214" s="6"/>
      <c r="AA214" s="6"/>
      <c r="AB214" s="6"/>
      <c r="AC214" s="6"/>
      <c r="AD214" s="6"/>
      <c r="AE214" s="6"/>
    </row>
    <row r="215" spans="1:32" s="5" customFormat="1" ht="20.100000000000001" customHeight="1" x14ac:dyDescent="0.25">
      <c r="A215" s="7"/>
      <c r="B215" s="6" t="s">
        <v>140</v>
      </c>
      <c r="C215" s="9" t="s">
        <v>18</v>
      </c>
      <c r="D215" s="6">
        <v>20</v>
      </c>
      <c r="E215" s="6"/>
      <c r="F215" s="6">
        <v>6</v>
      </c>
      <c r="G215" s="8">
        <f>VLOOKUP(D215,$C$20:$F$26,3,0)</f>
        <v>1</v>
      </c>
      <c r="H215" s="8"/>
      <c r="I215" s="6"/>
      <c r="J215" s="6"/>
      <c r="K215" s="6"/>
      <c r="L215" s="6"/>
      <c r="M215" s="6"/>
      <c r="N215" s="6"/>
      <c r="O215" s="6">
        <f>(E212+1*(G215+(2*D215/1000)))*D212</f>
        <v>8.99</v>
      </c>
      <c r="P215" s="6">
        <f t="shared" si="38"/>
        <v>53.94</v>
      </c>
      <c r="Q215" s="6">
        <f t="shared" si="36"/>
        <v>0</v>
      </c>
      <c r="R215" s="6">
        <f t="shared" si="36"/>
        <v>0</v>
      </c>
      <c r="S215" s="6">
        <f t="shared" si="36"/>
        <v>0</v>
      </c>
      <c r="T215" s="6">
        <f t="shared" si="36"/>
        <v>0</v>
      </c>
      <c r="U215" s="6">
        <f t="shared" si="36"/>
        <v>133.07768571428571</v>
      </c>
      <c r="V215" s="6">
        <f t="shared" si="36"/>
        <v>0</v>
      </c>
      <c r="W215" s="6">
        <f t="shared" si="36"/>
        <v>0</v>
      </c>
      <c r="X215" s="6">
        <f t="shared" si="30"/>
        <v>133.07768571428571</v>
      </c>
      <c r="Y215" s="6"/>
      <c r="Z215" s="6"/>
      <c r="AA215" s="6"/>
      <c r="AB215" s="6"/>
      <c r="AC215" s="6"/>
      <c r="AD215" s="6"/>
      <c r="AE215" s="6"/>
    </row>
    <row r="216" spans="1:32" s="5" customFormat="1" ht="20.100000000000001" customHeight="1" x14ac:dyDescent="0.25">
      <c r="A216" s="7"/>
      <c r="B216" s="6" t="s">
        <v>140</v>
      </c>
      <c r="C216" s="9" t="s">
        <v>1</v>
      </c>
      <c r="D216" s="6">
        <v>16</v>
      </c>
      <c r="E216" s="6"/>
      <c r="F216" s="6">
        <v>6</v>
      </c>
      <c r="G216" s="8">
        <f>VLOOKUP(D216,$C$20:$F$26,3,0)</f>
        <v>0.8</v>
      </c>
      <c r="H216" s="6"/>
      <c r="I216" s="6"/>
      <c r="J216" s="6"/>
      <c r="K216" s="6"/>
      <c r="L216" s="6"/>
      <c r="M216" s="6"/>
      <c r="N216" s="6"/>
      <c r="O216" s="3">
        <f>+E212-0.6</f>
        <v>7.3500000000000005</v>
      </c>
      <c r="P216" s="6">
        <f t="shared" si="38"/>
        <v>44.1</v>
      </c>
      <c r="Q216" s="6">
        <f t="shared" si="36"/>
        <v>0</v>
      </c>
      <c r="R216" s="6">
        <f t="shared" si="36"/>
        <v>0</v>
      </c>
      <c r="S216" s="6">
        <f t="shared" si="36"/>
        <v>0</v>
      </c>
      <c r="T216" s="6">
        <f t="shared" si="36"/>
        <v>69.632640000000009</v>
      </c>
      <c r="U216" s="6">
        <f t="shared" si="36"/>
        <v>0</v>
      </c>
      <c r="V216" s="6">
        <f t="shared" si="36"/>
        <v>0</v>
      </c>
      <c r="W216" s="6">
        <f t="shared" si="36"/>
        <v>0</v>
      </c>
      <c r="X216" s="6">
        <f t="shared" si="30"/>
        <v>69.632640000000009</v>
      </c>
      <c r="Y216" s="6"/>
      <c r="Z216" s="6"/>
      <c r="AA216" s="6"/>
      <c r="AB216" s="6"/>
      <c r="AC216" s="6"/>
      <c r="AD216" s="6"/>
      <c r="AE216" s="6"/>
    </row>
    <row r="217" spans="1:32" s="5" customFormat="1" ht="20.100000000000001" customHeight="1" x14ac:dyDescent="0.25">
      <c r="A217" s="7"/>
      <c r="B217" s="6" t="s">
        <v>140</v>
      </c>
      <c r="C217" s="9" t="s">
        <v>0</v>
      </c>
      <c r="D217" s="6">
        <v>10</v>
      </c>
      <c r="E217" s="6">
        <v>0.1</v>
      </c>
      <c r="F217" s="6">
        <f>ROUND(IF(E212/3&gt;(2*G212),(E212/3)/E217,(2*G212)/E217),0)*2+1</f>
        <v>55</v>
      </c>
      <c r="G217" s="8"/>
      <c r="H217" s="6"/>
      <c r="I217" s="6"/>
      <c r="J217" s="6"/>
      <c r="K217" s="6"/>
      <c r="L217" s="6"/>
      <c r="M217" s="6"/>
      <c r="N217" s="6"/>
      <c r="O217" s="6">
        <f>(2*((G212-(2*$D$11))+(F212-(2*$D$11)))+(2*10*D217/1000))*D212</f>
        <v>2.66</v>
      </c>
      <c r="P217" s="6">
        <f t="shared" si="38"/>
        <v>146.30000000000001</v>
      </c>
      <c r="Q217" s="6">
        <f t="shared" si="36"/>
        <v>0</v>
      </c>
      <c r="R217" s="6">
        <f t="shared" si="36"/>
        <v>90.23575000000001</v>
      </c>
      <c r="S217" s="6">
        <f t="shared" si="36"/>
        <v>0</v>
      </c>
      <c r="T217" s="6">
        <f t="shared" si="36"/>
        <v>0</v>
      </c>
      <c r="U217" s="6">
        <f t="shared" si="36"/>
        <v>0</v>
      </c>
      <c r="V217" s="6">
        <f t="shared" si="36"/>
        <v>0</v>
      </c>
      <c r="W217" s="6">
        <f t="shared" si="36"/>
        <v>0</v>
      </c>
      <c r="X217" s="6">
        <f t="shared" si="30"/>
        <v>90.23575000000001</v>
      </c>
      <c r="Y217" s="6"/>
      <c r="Z217" s="6"/>
      <c r="AA217" s="6"/>
      <c r="AB217" s="6"/>
      <c r="AC217" s="6"/>
      <c r="AD217" s="6"/>
      <c r="AE217" s="6"/>
    </row>
    <row r="218" spans="1:32" s="12" customFormat="1" ht="20.100000000000001" customHeight="1" x14ac:dyDescent="0.25">
      <c r="B218" s="6" t="s">
        <v>140</v>
      </c>
      <c r="C218" s="9" t="s">
        <v>25</v>
      </c>
      <c r="D218" s="6">
        <f>+D217</f>
        <v>10</v>
      </c>
      <c r="E218" s="6">
        <f>+E217</f>
        <v>0.1</v>
      </c>
      <c r="F218" s="12">
        <f>+F217</f>
        <v>55</v>
      </c>
      <c r="G218" s="5"/>
      <c r="O218" s="3">
        <f>((((G212-(2*$D$11))+(2*10*D218/1000))*D212))*2*2</f>
        <v>3.5599999999999996</v>
      </c>
      <c r="P218" s="6">
        <f t="shared" si="38"/>
        <v>195.79999999999998</v>
      </c>
      <c r="Q218" s="6">
        <f t="shared" si="36"/>
        <v>0</v>
      </c>
      <c r="R218" s="6">
        <f t="shared" si="36"/>
        <v>120.76664285714284</v>
      </c>
      <c r="S218" s="6">
        <f t="shared" si="36"/>
        <v>0</v>
      </c>
      <c r="T218" s="6">
        <f t="shared" si="36"/>
        <v>0</v>
      </c>
      <c r="U218" s="6">
        <f t="shared" si="36"/>
        <v>0</v>
      </c>
      <c r="V218" s="6">
        <f t="shared" si="36"/>
        <v>0</v>
      </c>
      <c r="W218" s="6">
        <f t="shared" si="36"/>
        <v>0</v>
      </c>
      <c r="X218" s="6">
        <f t="shared" si="30"/>
        <v>120.76664285714284</v>
      </c>
    </row>
    <row r="219" spans="1:32" s="12" customFormat="1" ht="20.100000000000001" customHeight="1" x14ac:dyDescent="0.3">
      <c r="B219" s="6" t="s">
        <v>140</v>
      </c>
      <c r="C219" s="9" t="s">
        <v>0</v>
      </c>
      <c r="D219" s="12">
        <v>10</v>
      </c>
      <c r="E219" s="12">
        <v>0.15</v>
      </c>
      <c r="F219" s="12">
        <f>ROUND((E212-(IF(E212/3&gt;2*G212,E212/3*2,G212*2*2)))/E219,0)</f>
        <v>18</v>
      </c>
      <c r="O219" s="6">
        <f>(2*((G212-(2*$D$11))+(F212-(2*$D$11)))+(2*10*D219/1000))*D212</f>
        <v>2.66</v>
      </c>
      <c r="P219" s="6">
        <f t="shared" si="38"/>
        <v>47.88</v>
      </c>
      <c r="Q219" s="6">
        <f t="shared" si="36"/>
        <v>0</v>
      </c>
      <c r="R219" s="6">
        <f t="shared" si="36"/>
        <v>29.531700000000001</v>
      </c>
      <c r="S219" s="6">
        <f t="shared" si="36"/>
        <v>0</v>
      </c>
      <c r="T219" s="6">
        <f t="shared" si="36"/>
        <v>0</v>
      </c>
      <c r="U219" s="6">
        <f t="shared" si="36"/>
        <v>0</v>
      </c>
      <c r="V219" s="6">
        <f t="shared" si="36"/>
        <v>0</v>
      </c>
      <c r="W219" s="6">
        <f t="shared" si="36"/>
        <v>0</v>
      </c>
      <c r="X219" s="6">
        <f t="shared" si="30"/>
        <v>29.531700000000001</v>
      </c>
    </row>
    <row r="220" spans="1:32" s="12" customFormat="1" ht="20.100000000000001" customHeight="1" x14ac:dyDescent="0.25">
      <c r="B220" s="6" t="s">
        <v>140</v>
      </c>
      <c r="C220" s="9" t="s">
        <v>25</v>
      </c>
      <c r="D220" s="6">
        <f>+D219</f>
        <v>10</v>
      </c>
      <c r="E220" s="6">
        <f>+E219</f>
        <v>0.15</v>
      </c>
      <c r="F220" s="12">
        <f>+F219</f>
        <v>18</v>
      </c>
      <c r="G220" s="5"/>
      <c r="O220" s="3">
        <f>((((G212-(2*$D$11))+(2*10*D220/1000))*D212))*2*2</f>
        <v>3.5599999999999996</v>
      </c>
      <c r="P220" s="6">
        <f>O220*F220</f>
        <v>64.08</v>
      </c>
      <c r="Q220" s="6">
        <f t="shared" si="36"/>
        <v>0</v>
      </c>
      <c r="R220" s="6">
        <f t="shared" si="36"/>
        <v>39.523628571428567</v>
      </c>
      <c r="S220" s="6">
        <f t="shared" si="36"/>
        <v>0</v>
      </c>
      <c r="T220" s="6">
        <f t="shared" si="36"/>
        <v>0</v>
      </c>
      <c r="U220" s="6">
        <f t="shared" si="36"/>
        <v>0</v>
      </c>
      <c r="V220" s="6">
        <f t="shared" si="36"/>
        <v>0</v>
      </c>
      <c r="W220" s="6">
        <f t="shared" si="36"/>
        <v>0</v>
      </c>
      <c r="X220" s="6">
        <f t="shared" si="30"/>
        <v>39.523628571428567</v>
      </c>
    </row>
    <row r="221" spans="1:32" s="5" customFormat="1" ht="20.100000000000001" customHeight="1" x14ac:dyDescent="0.25">
      <c r="A221" s="7"/>
      <c r="B221" s="6" t="s">
        <v>140</v>
      </c>
      <c r="C221" s="9" t="s">
        <v>17</v>
      </c>
      <c r="D221" s="6">
        <f>+$D$15</f>
        <v>25</v>
      </c>
      <c r="E221" s="6">
        <f>+$E$15</f>
        <v>1</v>
      </c>
      <c r="F221" s="6">
        <f>ROUNDUP((2.15)/E221,0)+1</f>
        <v>4</v>
      </c>
      <c r="G221" s="8"/>
      <c r="H221" s="8"/>
      <c r="I221" s="6"/>
      <c r="J221" s="6"/>
      <c r="K221" s="6"/>
      <c r="L221" s="6"/>
      <c r="M221" s="6"/>
      <c r="N221" s="6"/>
      <c r="O221" s="6">
        <f>+F212-(2*$D$11)</f>
        <v>0.54</v>
      </c>
      <c r="P221" s="6">
        <f t="shared" si="38"/>
        <v>2.16</v>
      </c>
      <c r="Q221" s="6">
        <f t="shared" si="36"/>
        <v>0</v>
      </c>
      <c r="R221" s="6">
        <f t="shared" si="36"/>
        <v>0</v>
      </c>
      <c r="S221" s="6">
        <f t="shared" si="36"/>
        <v>0</v>
      </c>
      <c r="T221" s="6">
        <f t="shared" si="36"/>
        <v>0</v>
      </c>
      <c r="U221" s="6">
        <f t="shared" si="36"/>
        <v>0</v>
      </c>
      <c r="V221" s="6">
        <f t="shared" si="36"/>
        <v>8.326607142857144</v>
      </c>
      <c r="W221" s="6">
        <f t="shared" si="36"/>
        <v>0</v>
      </c>
      <c r="X221" s="6">
        <f t="shared" si="30"/>
        <v>8.326607142857144</v>
      </c>
      <c r="Y221" s="6"/>
      <c r="Z221" s="6"/>
      <c r="AA221" s="6"/>
      <c r="AB221" s="6"/>
      <c r="AC221" s="6"/>
      <c r="AD221" s="6"/>
      <c r="AE221" s="6"/>
    </row>
    <row r="222" spans="1:32" s="5" customFormat="1" ht="20.100000000000001" customHeight="1" x14ac:dyDescent="0.25">
      <c r="A222" s="6">
        <f>A212+1</f>
        <v>24</v>
      </c>
      <c r="B222" s="6" t="s">
        <v>140</v>
      </c>
      <c r="C222" s="11" t="s">
        <v>62</v>
      </c>
      <c r="D222" s="11">
        <v>1</v>
      </c>
      <c r="E222" s="11">
        <v>6.0540000000000003</v>
      </c>
      <c r="F222" s="11">
        <v>0.6</v>
      </c>
      <c r="G222" s="11">
        <v>0.75</v>
      </c>
      <c r="H222" s="6">
        <f>G222-0.2</f>
        <v>0.55000000000000004</v>
      </c>
      <c r="I222" s="6">
        <f>E222*F222*G222*D222</f>
        <v>2.7242999999999999</v>
      </c>
      <c r="J222" s="6">
        <f>(2*(E222)*H222*D222)+(E222*F222)</f>
        <v>10.2918</v>
      </c>
      <c r="K222" s="10">
        <f>IF(E222=0.3,J222,0)</f>
        <v>0</v>
      </c>
      <c r="L222" s="10">
        <f>IF(AND(E222&gt;0.3,E222&lt;=0.75),J222,0)</f>
        <v>0</v>
      </c>
      <c r="M222" s="10">
        <f>IF(AND(E222&gt;0.75,E222&lt;=1.2),J222,0)</f>
        <v>0</v>
      </c>
      <c r="N222" s="10">
        <f>IF(E222&gt;1.2,J222,0)</f>
        <v>10.2918</v>
      </c>
      <c r="O222" s="6"/>
      <c r="P222" s="6"/>
      <c r="Q222" s="6">
        <f t="shared" si="36"/>
        <v>0</v>
      </c>
      <c r="R222" s="6">
        <f t="shared" si="36"/>
        <v>0</v>
      </c>
      <c r="S222" s="6">
        <f t="shared" si="36"/>
        <v>0</v>
      </c>
      <c r="T222" s="6">
        <f t="shared" si="36"/>
        <v>0</v>
      </c>
      <c r="U222" s="6">
        <f t="shared" si="36"/>
        <v>0</v>
      </c>
      <c r="V222" s="6">
        <f t="shared" si="36"/>
        <v>0</v>
      </c>
      <c r="W222" s="6">
        <f t="shared" si="36"/>
        <v>0</v>
      </c>
      <c r="X222" s="6">
        <f t="shared" si="30"/>
        <v>0</v>
      </c>
      <c r="Y222" s="7">
        <f>SUM(X223:X230)/I222</f>
        <v>143.84640974090328</v>
      </c>
      <c r="Z222" s="6"/>
      <c r="AA222" s="6"/>
      <c r="AB222" s="6"/>
      <c r="AC222" s="6"/>
      <c r="AD222" s="6"/>
      <c r="AE222" s="6"/>
      <c r="AF222" s="6"/>
    </row>
    <row r="223" spans="1:32" s="5" customFormat="1" ht="20.100000000000001" customHeight="1" x14ac:dyDescent="0.25">
      <c r="A223" s="7"/>
      <c r="B223" s="6" t="s">
        <v>140</v>
      </c>
      <c r="C223" s="9" t="s">
        <v>2</v>
      </c>
      <c r="D223" s="6">
        <v>16</v>
      </c>
      <c r="E223" s="6"/>
      <c r="F223" s="6">
        <v>6</v>
      </c>
      <c r="G223" s="8">
        <f>VLOOKUP(D223,$C$20:$F$26,3,0)</f>
        <v>0.8</v>
      </c>
      <c r="H223" s="8"/>
      <c r="I223" s="6"/>
      <c r="J223" s="6"/>
      <c r="K223" s="6"/>
      <c r="L223" s="6"/>
      <c r="M223" s="6"/>
      <c r="N223" s="6"/>
      <c r="O223" s="6">
        <f>(E222+2*(G223+(2*D223/1000)))*D222</f>
        <v>7.718</v>
      </c>
      <c r="P223" s="6">
        <f>O223*F223</f>
        <v>46.308</v>
      </c>
      <c r="Q223" s="6">
        <f t="shared" si="36"/>
        <v>0</v>
      </c>
      <c r="R223" s="6">
        <f t="shared" si="36"/>
        <v>0</v>
      </c>
      <c r="S223" s="6">
        <f t="shared" si="36"/>
        <v>0</v>
      </c>
      <c r="T223" s="6">
        <f t="shared" si="36"/>
        <v>73.119008914285715</v>
      </c>
      <c r="U223" s="6">
        <f t="shared" si="36"/>
        <v>0</v>
      </c>
      <c r="V223" s="6">
        <f t="shared" si="36"/>
        <v>0</v>
      </c>
      <c r="W223" s="6">
        <f t="shared" si="36"/>
        <v>0</v>
      </c>
      <c r="X223" s="6">
        <f t="shared" si="30"/>
        <v>73.119008914285715</v>
      </c>
      <c r="Y223" s="6"/>
      <c r="Z223" s="6"/>
      <c r="AA223" s="6"/>
      <c r="AB223" s="6"/>
      <c r="AC223" s="6"/>
      <c r="AD223" s="6"/>
      <c r="AE223" s="6"/>
    </row>
    <row r="224" spans="1:32" s="5" customFormat="1" ht="20.100000000000001" customHeight="1" x14ac:dyDescent="0.25">
      <c r="A224" s="7"/>
      <c r="B224" s="6" t="s">
        <v>140</v>
      </c>
      <c r="C224" s="9" t="s">
        <v>1</v>
      </c>
      <c r="D224" s="6">
        <v>20</v>
      </c>
      <c r="E224" s="6"/>
      <c r="F224" s="6">
        <v>6</v>
      </c>
      <c r="G224" s="8">
        <f>VLOOKUP(D224,$C$20:$F$26,3,0)</f>
        <v>1</v>
      </c>
      <c r="H224" s="6"/>
      <c r="I224" s="6"/>
      <c r="J224" s="6"/>
      <c r="K224" s="6"/>
      <c r="L224" s="6"/>
      <c r="M224" s="6"/>
      <c r="N224" s="6"/>
      <c r="O224" s="6">
        <f>(E222+2*(G224+(2*D224/1000)))*D222</f>
        <v>8.1340000000000003</v>
      </c>
      <c r="P224" s="6">
        <f>O224*F224</f>
        <v>48.804000000000002</v>
      </c>
      <c r="Q224" s="6">
        <f t="shared" si="36"/>
        <v>0</v>
      </c>
      <c r="R224" s="6">
        <f t="shared" si="36"/>
        <v>0</v>
      </c>
      <c r="S224" s="6">
        <f t="shared" si="36"/>
        <v>0</v>
      </c>
      <c r="T224" s="6">
        <f t="shared" si="36"/>
        <v>0</v>
      </c>
      <c r="U224" s="6">
        <f t="shared" si="36"/>
        <v>120.40644</v>
      </c>
      <c r="V224" s="6">
        <f t="shared" si="36"/>
        <v>0</v>
      </c>
      <c r="W224" s="6">
        <f t="shared" si="36"/>
        <v>0</v>
      </c>
      <c r="X224" s="6">
        <f t="shared" si="30"/>
        <v>120.40644</v>
      </c>
      <c r="Y224" s="6"/>
      <c r="Z224" s="6"/>
      <c r="AA224" s="6"/>
      <c r="AB224" s="6"/>
      <c r="AC224" s="6"/>
      <c r="AD224" s="6"/>
      <c r="AE224" s="6"/>
    </row>
    <row r="225" spans="1:32" s="5" customFormat="1" ht="20.100000000000001" customHeight="1" x14ac:dyDescent="0.25">
      <c r="A225" s="7"/>
      <c r="B225" s="6" t="s">
        <v>140</v>
      </c>
      <c r="C225" s="9" t="s">
        <v>144</v>
      </c>
      <c r="D225" s="6">
        <v>20</v>
      </c>
      <c r="E225" s="6"/>
      <c r="F225" s="6">
        <v>6</v>
      </c>
      <c r="G225" s="8">
        <f>VLOOKUP(D225,$C$20:$F$26,3,0)</f>
        <v>1</v>
      </c>
      <c r="H225" s="6"/>
      <c r="I225" s="6"/>
      <c r="J225" s="6"/>
      <c r="K225" s="6"/>
      <c r="L225" s="6"/>
      <c r="M225" s="6"/>
      <c r="N225" s="6"/>
      <c r="O225" s="6">
        <f>+E222</f>
        <v>6.0540000000000003</v>
      </c>
      <c r="P225" s="6">
        <f>O225*F225</f>
        <v>36.323999999999998</v>
      </c>
      <c r="Q225" s="6">
        <f t="shared" si="36"/>
        <v>0</v>
      </c>
      <c r="R225" s="6">
        <f t="shared" si="36"/>
        <v>0</v>
      </c>
      <c r="S225" s="6">
        <f t="shared" si="36"/>
        <v>0</v>
      </c>
      <c r="T225" s="6">
        <f t="shared" si="36"/>
        <v>0</v>
      </c>
      <c r="U225" s="6">
        <f t="shared" si="36"/>
        <v>89.616497142857142</v>
      </c>
      <c r="V225" s="6">
        <f t="shared" si="36"/>
        <v>0</v>
      </c>
      <c r="W225" s="6">
        <f t="shared" si="36"/>
        <v>0</v>
      </c>
      <c r="X225" s="6">
        <f t="shared" si="30"/>
        <v>89.616497142857142</v>
      </c>
      <c r="Y225" s="6"/>
      <c r="Z225" s="6"/>
      <c r="AA225" s="6"/>
      <c r="AB225" s="6"/>
      <c r="AC225" s="6"/>
      <c r="AD225" s="6"/>
      <c r="AE225" s="6"/>
    </row>
    <row r="226" spans="1:32" s="5" customFormat="1" ht="20.100000000000001" customHeight="1" x14ac:dyDescent="0.25">
      <c r="A226" s="7"/>
      <c r="B226" s="6" t="s">
        <v>140</v>
      </c>
      <c r="C226" s="9" t="s">
        <v>0</v>
      </c>
      <c r="D226" s="6">
        <v>8</v>
      </c>
      <c r="E226" s="6">
        <v>0.1</v>
      </c>
      <c r="F226" s="6">
        <f>ROUND(IF(E222/3&gt;(2*G222),(E222/3)/E226,(2*G222)/E226),0)*2+1</f>
        <v>41</v>
      </c>
      <c r="G226" s="8"/>
      <c r="H226" s="6"/>
      <c r="I226" s="6"/>
      <c r="J226" s="6"/>
      <c r="K226" s="6"/>
      <c r="L226" s="6"/>
      <c r="M226" s="6"/>
      <c r="N226" s="6"/>
      <c r="O226" s="6">
        <f>(2*((G222-(2*$D$11))+(F222-(2*$D$11)))+(2*10*D226/1000))*D222</f>
        <v>2.62</v>
      </c>
      <c r="P226" s="6">
        <f>O226*F226</f>
        <v>107.42</v>
      </c>
      <c r="Q226" s="6">
        <f t="shared" si="36"/>
        <v>42.403277714285721</v>
      </c>
      <c r="R226" s="6">
        <f t="shared" si="36"/>
        <v>0</v>
      </c>
      <c r="S226" s="6">
        <f t="shared" si="36"/>
        <v>0</v>
      </c>
      <c r="T226" s="6">
        <f t="shared" si="36"/>
        <v>0</v>
      </c>
      <c r="U226" s="6">
        <f t="shared" si="36"/>
        <v>0</v>
      </c>
      <c r="V226" s="6">
        <f t="shared" si="36"/>
        <v>0</v>
      </c>
      <c r="W226" s="6">
        <f t="shared" si="36"/>
        <v>0</v>
      </c>
      <c r="X226" s="6">
        <f t="shared" si="30"/>
        <v>42.403277714285721</v>
      </c>
      <c r="Y226" s="6"/>
      <c r="Z226" s="6"/>
      <c r="AA226" s="6"/>
      <c r="AB226" s="6"/>
      <c r="AC226" s="6"/>
      <c r="AD226" s="6"/>
      <c r="AE226" s="6"/>
    </row>
    <row r="227" spans="1:32" s="12" customFormat="1" ht="20.100000000000001" customHeight="1" x14ac:dyDescent="0.25">
      <c r="B227" s="6" t="s">
        <v>140</v>
      </c>
      <c r="C227" s="9" t="s">
        <v>25</v>
      </c>
      <c r="D227" s="6">
        <f>+D226</f>
        <v>8</v>
      </c>
      <c r="E227" s="6">
        <f>+E226</f>
        <v>0.1</v>
      </c>
      <c r="F227" s="12">
        <f>+F226</f>
        <v>41</v>
      </c>
      <c r="G227" s="5"/>
      <c r="O227" s="3">
        <f>((((G222-(2*$D$11))+(2*10*D227/1000))*D222))*2</f>
        <v>1.7</v>
      </c>
      <c r="P227" s="6">
        <f>O227*F227</f>
        <v>69.7</v>
      </c>
      <c r="Q227" s="6">
        <f t="shared" si="36"/>
        <v>27.513577142857145</v>
      </c>
      <c r="R227" s="6">
        <f t="shared" si="36"/>
        <v>0</v>
      </c>
      <c r="S227" s="6">
        <f t="shared" si="36"/>
        <v>0</v>
      </c>
      <c r="T227" s="6">
        <f t="shared" si="36"/>
        <v>0</v>
      </c>
      <c r="U227" s="6">
        <f t="shared" si="36"/>
        <v>0</v>
      </c>
      <c r="V227" s="6">
        <f t="shared" si="36"/>
        <v>0</v>
      </c>
      <c r="W227" s="6">
        <f t="shared" si="36"/>
        <v>0</v>
      </c>
      <c r="X227" s="6">
        <f t="shared" si="30"/>
        <v>27.513577142857145</v>
      </c>
    </row>
    <row r="228" spans="1:32" s="12" customFormat="1" ht="20.100000000000001" customHeight="1" x14ac:dyDescent="0.3">
      <c r="B228" s="6" t="s">
        <v>140</v>
      </c>
      <c r="C228" s="9" t="s">
        <v>0</v>
      </c>
      <c r="D228" s="12">
        <v>8</v>
      </c>
      <c r="E228" s="12">
        <v>0.15</v>
      </c>
      <c r="F228" s="12">
        <f>ROUND((E222-(IF(E222/3&gt;2*G222,E222/3*2,G222*2*2)))/E228,0)</f>
        <v>13</v>
      </c>
      <c r="O228" s="6">
        <f>(2*((G222-(2*$D$11))+(F222-(2*$D$11)))+(2*10*D228/1000))*D222</f>
        <v>2.62</v>
      </c>
      <c r="P228" s="6">
        <f t="shared" ref="P228:P230" si="39">O228*F228</f>
        <v>34.06</v>
      </c>
      <c r="Q228" s="6">
        <f t="shared" si="36"/>
        <v>13.444941714285717</v>
      </c>
      <c r="R228" s="6">
        <f t="shared" si="36"/>
        <v>0</v>
      </c>
      <c r="S228" s="6">
        <f t="shared" si="36"/>
        <v>0</v>
      </c>
      <c r="T228" s="6">
        <f t="shared" si="36"/>
        <v>0</v>
      </c>
      <c r="U228" s="6">
        <f t="shared" si="36"/>
        <v>0</v>
      </c>
      <c r="V228" s="6">
        <f t="shared" si="36"/>
        <v>0</v>
      </c>
      <c r="W228" s="6">
        <f t="shared" si="36"/>
        <v>0</v>
      </c>
      <c r="X228" s="6">
        <f t="shared" si="30"/>
        <v>13.444941714285717</v>
      </c>
    </row>
    <row r="229" spans="1:32" s="12" customFormat="1" ht="20.100000000000001" customHeight="1" x14ac:dyDescent="0.25">
      <c r="B229" s="6" t="s">
        <v>140</v>
      </c>
      <c r="C229" s="9" t="s">
        <v>25</v>
      </c>
      <c r="D229" s="6">
        <f>+D228</f>
        <v>8</v>
      </c>
      <c r="E229" s="6">
        <f>+E228</f>
        <v>0.15</v>
      </c>
      <c r="F229" s="12">
        <f>+F228</f>
        <v>13</v>
      </c>
      <c r="G229" s="5"/>
      <c r="O229" s="3">
        <f>((((G222-(2*$D$11))+(2*10*D229/1000))*D222))*2</f>
        <v>1.7</v>
      </c>
      <c r="P229" s="6">
        <f>O229*F229</f>
        <v>22.099999999999998</v>
      </c>
      <c r="Q229" s="6">
        <f t="shared" si="36"/>
        <v>8.7238171428571434</v>
      </c>
      <c r="R229" s="6">
        <f t="shared" si="36"/>
        <v>0</v>
      </c>
      <c r="S229" s="6">
        <f t="shared" si="36"/>
        <v>0</v>
      </c>
      <c r="T229" s="6">
        <f t="shared" si="36"/>
        <v>0</v>
      </c>
      <c r="U229" s="6">
        <f t="shared" si="36"/>
        <v>0</v>
      </c>
      <c r="V229" s="6">
        <f t="shared" si="36"/>
        <v>0</v>
      </c>
      <c r="W229" s="6">
        <f t="shared" si="36"/>
        <v>0</v>
      </c>
      <c r="X229" s="6">
        <f t="shared" si="30"/>
        <v>8.7238171428571434</v>
      </c>
    </row>
    <row r="230" spans="1:32" s="5" customFormat="1" ht="20.100000000000001" customHeight="1" x14ac:dyDescent="0.25">
      <c r="A230" s="7"/>
      <c r="B230" s="6" t="s">
        <v>140</v>
      </c>
      <c r="C230" s="9" t="s">
        <v>17</v>
      </c>
      <c r="D230" s="6">
        <f>+$D$15</f>
        <v>25</v>
      </c>
      <c r="E230" s="6">
        <f>+$E$15</f>
        <v>1</v>
      </c>
      <c r="F230" s="6">
        <f>ROUNDUP((E222)/E230,0)+1</f>
        <v>8</v>
      </c>
      <c r="G230" s="8"/>
      <c r="H230" s="8"/>
      <c r="I230" s="6"/>
      <c r="J230" s="6"/>
      <c r="K230" s="6"/>
      <c r="L230" s="6"/>
      <c r="M230" s="6"/>
      <c r="N230" s="6"/>
      <c r="O230" s="6">
        <f>+F222-(2*$D$11)</f>
        <v>0.54</v>
      </c>
      <c r="P230" s="6">
        <f t="shared" si="39"/>
        <v>4.32</v>
      </c>
      <c r="Q230" s="6">
        <f t="shared" si="36"/>
        <v>0</v>
      </c>
      <c r="R230" s="6">
        <f t="shared" si="36"/>
        <v>0</v>
      </c>
      <c r="S230" s="6">
        <f t="shared" si="36"/>
        <v>0</v>
      </c>
      <c r="T230" s="6">
        <f t="shared" si="36"/>
        <v>0</v>
      </c>
      <c r="U230" s="6">
        <f t="shared" si="36"/>
        <v>0</v>
      </c>
      <c r="V230" s="6">
        <f t="shared" si="36"/>
        <v>16.653214285714288</v>
      </c>
      <c r="W230" s="6">
        <f t="shared" si="36"/>
        <v>0</v>
      </c>
      <c r="X230" s="6">
        <f t="shared" si="30"/>
        <v>16.653214285714288</v>
      </c>
      <c r="Y230" s="6"/>
      <c r="Z230" s="6"/>
      <c r="AA230" s="6"/>
      <c r="AB230" s="6"/>
      <c r="AC230" s="6"/>
      <c r="AD230" s="6"/>
      <c r="AE230" s="6"/>
    </row>
    <row r="231" spans="1:32" s="5" customFormat="1" ht="21" customHeight="1" x14ac:dyDescent="0.25">
      <c r="A231" s="6">
        <f>+A222+1</f>
        <v>25</v>
      </c>
      <c r="B231" s="6" t="s">
        <v>140</v>
      </c>
      <c r="C231" s="11" t="s">
        <v>61</v>
      </c>
      <c r="D231" s="11">
        <v>1</v>
      </c>
      <c r="E231" s="11">
        <v>2.1360000000000001</v>
      </c>
      <c r="F231" s="11">
        <v>0.2</v>
      </c>
      <c r="G231" s="11">
        <v>0.75</v>
      </c>
      <c r="H231" s="6">
        <f>G231-0.2</f>
        <v>0.55000000000000004</v>
      </c>
      <c r="I231" s="6">
        <f>E231*F231*G231*D231</f>
        <v>0.32040000000000002</v>
      </c>
      <c r="J231" s="6">
        <f>(2*(E231)*H231*D231)+(E231*F231)</f>
        <v>2.7768000000000002</v>
      </c>
      <c r="K231" s="10">
        <f>IF(E231=0.3,J231,0)</f>
        <v>0</v>
      </c>
      <c r="L231" s="10">
        <f>IF(AND(E231&gt;0.3,E231&lt;=0.75),J231,0)</f>
        <v>0</v>
      </c>
      <c r="M231" s="10">
        <f>IF(AND(E231&gt;0.75,E231&lt;=1.2),J231,0)</f>
        <v>0</v>
      </c>
      <c r="N231" s="10">
        <f>IF(E231&gt;1.2,J231,0)</f>
        <v>2.7768000000000002</v>
      </c>
      <c r="O231" s="6"/>
      <c r="P231" s="6"/>
      <c r="Q231" s="6">
        <f t="shared" si="36"/>
        <v>0</v>
      </c>
      <c r="R231" s="6">
        <f t="shared" si="36"/>
        <v>0</v>
      </c>
      <c r="S231" s="6">
        <f t="shared" si="36"/>
        <v>0</v>
      </c>
      <c r="T231" s="6">
        <f t="shared" si="36"/>
        <v>0</v>
      </c>
      <c r="U231" s="6">
        <f t="shared" si="36"/>
        <v>0</v>
      </c>
      <c r="V231" s="6">
        <f t="shared" si="36"/>
        <v>0</v>
      </c>
      <c r="W231" s="6">
        <f t="shared" si="36"/>
        <v>0</v>
      </c>
      <c r="X231" s="6">
        <f t="shared" si="30"/>
        <v>0</v>
      </c>
      <c r="Y231" s="7">
        <f>SUM(X232:X234)/I231</f>
        <v>151.71234528268238</v>
      </c>
      <c r="Z231" s="6"/>
      <c r="AA231" s="6"/>
      <c r="AB231" s="6"/>
      <c r="AC231" s="6"/>
      <c r="AD231" s="6"/>
      <c r="AE231" s="6"/>
      <c r="AF231" s="6"/>
    </row>
    <row r="232" spans="1:32" s="5" customFormat="1" ht="20.100000000000001" customHeight="1" x14ac:dyDescent="0.25">
      <c r="A232" s="6"/>
      <c r="B232" s="6" t="s">
        <v>140</v>
      </c>
      <c r="C232" s="9" t="s">
        <v>2</v>
      </c>
      <c r="D232" s="6">
        <v>16</v>
      </c>
      <c r="E232" s="6"/>
      <c r="F232" s="6">
        <v>2</v>
      </c>
      <c r="G232" s="8">
        <f>VLOOKUP(D232,$C$20:$F$26,3,0)</f>
        <v>0.8</v>
      </c>
      <c r="H232" s="8"/>
      <c r="I232" s="6"/>
      <c r="J232" s="6"/>
      <c r="K232" s="6"/>
      <c r="L232" s="6"/>
      <c r="M232" s="6"/>
      <c r="N232" s="6"/>
      <c r="O232" s="6">
        <f>(E231+2*(G232+(2*D232/1000)))*D231</f>
        <v>3.8000000000000003</v>
      </c>
      <c r="P232" s="6">
        <f t="shared" ref="P232" si="40">O232*F232</f>
        <v>7.6000000000000005</v>
      </c>
      <c r="Q232" s="6">
        <f t="shared" si="36"/>
        <v>0</v>
      </c>
      <c r="R232" s="6">
        <f t="shared" si="36"/>
        <v>0</v>
      </c>
      <c r="S232" s="6">
        <f t="shared" si="36"/>
        <v>0</v>
      </c>
      <c r="T232" s="6">
        <f t="shared" si="36"/>
        <v>12.000182857142859</v>
      </c>
      <c r="U232" s="6">
        <f t="shared" si="36"/>
        <v>0</v>
      </c>
      <c r="V232" s="6">
        <f t="shared" si="36"/>
        <v>0</v>
      </c>
      <c r="W232" s="6">
        <f t="shared" si="36"/>
        <v>0</v>
      </c>
      <c r="X232" s="6">
        <f t="shared" si="30"/>
        <v>12.000182857142859</v>
      </c>
      <c r="Y232" s="6"/>
      <c r="Z232" s="6"/>
      <c r="AA232" s="6"/>
      <c r="AB232" s="6"/>
      <c r="AC232" s="6"/>
      <c r="AD232" s="6"/>
      <c r="AE232" s="6"/>
    </row>
    <row r="233" spans="1:32" s="5" customFormat="1" ht="20.100000000000001" customHeight="1" x14ac:dyDescent="0.25">
      <c r="A233" s="6"/>
      <c r="B233" s="6" t="s">
        <v>140</v>
      </c>
      <c r="C233" s="9" t="s">
        <v>1</v>
      </c>
      <c r="D233" s="6">
        <v>20</v>
      </c>
      <c r="E233" s="6"/>
      <c r="F233" s="6">
        <v>2</v>
      </c>
      <c r="G233" s="8">
        <f>VLOOKUP(D233,$C$20:$F$26,3,0)</f>
        <v>1</v>
      </c>
      <c r="H233" s="6"/>
      <c r="I233" s="6"/>
      <c r="J233" s="6"/>
      <c r="K233" s="6"/>
      <c r="L233" s="6"/>
      <c r="M233" s="6"/>
      <c r="N233" s="6"/>
      <c r="O233" s="6">
        <f>(E231+2*(G233+(2*D233/1000)))*D231</f>
        <v>4.2160000000000002</v>
      </c>
      <c r="P233" s="6">
        <f>O233*F233</f>
        <v>8.4320000000000004</v>
      </c>
      <c r="Q233" s="6">
        <f t="shared" si="36"/>
        <v>0</v>
      </c>
      <c r="R233" s="6">
        <f t="shared" si="36"/>
        <v>0</v>
      </c>
      <c r="S233" s="6">
        <f t="shared" si="36"/>
        <v>0</v>
      </c>
      <c r="T233" s="6">
        <f t="shared" si="36"/>
        <v>0</v>
      </c>
      <c r="U233" s="6">
        <f t="shared" si="36"/>
        <v>20.802948571428573</v>
      </c>
      <c r="V233" s="6">
        <f t="shared" si="36"/>
        <v>0</v>
      </c>
      <c r="W233" s="6">
        <f t="shared" si="36"/>
        <v>0</v>
      </c>
      <c r="X233" s="6">
        <f t="shared" si="30"/>
        <v>20.802948571428573</v>
      </c>
      <c r="Y233" s="6"/>
      <c r="Z233" s="6"/>
      <c r="AA233" s="6"/>
      <c r="AB233" s="6"/>
      <c r="AC233" s="6"/>
      <c r="AD233" s="6"/>
      <c r="AE233" s="6"/>
    </row>
    <row r="234" spans="1:32" s="5" customFormat="1" ht="20.100000000000001" customHeight="1" x14ac:dyDescent="0.25">
      <c r="A234" s="6"/>
      <c r="B234" s="6" t="s">
        <v>140</v>
      </c>
      <c r="C234" s="9" t="s">
        <v>0</v>
      </c>
      <c r="D234" s="6">
        <v>8</v>
      </c>
      <c r="E234" s="6">
        <v>0.1</v>
      </c>
      <c r="F234" s="6">
        <f>+ROUND(E231/E234,0)+1</f>
        <v>22</v>
      </c>
      <c r="G234" s="8"/>
      <c r="H234" s="6"/>
      <c r="I234" s="6"/>
      <c r="J234" s="6"/>
      <c r="K234" s="6"/>
      <c r="L234" s="6"/>
      <c r="M234" s="6"/>
      <c r="N234" s="6"/>
      <c r="O234" s="6">
        <f>(2*((G231-(2*$D$11))+(F231-(2*$D$11)))+(2*10*D234/1000))*D231</f>
        <v>1.8199999999999998</v>
      </c>
      <c r="P234" s="6">
        <f t="shared" ref="P234" si="41">O234*F234</f>
        <v>40.04</v>
      </c>
      <c r="Q234" s="6">
        <f t="shared" si="36"/>
        <v>15.805504000000001</v>
      </c>
      <c r="R234" s="6">
        <f t="shared" si="36"/>
        <v>0</v>
      </c>
      <c r="S234" s="6">
        <f t="shared" si="36"/>
        <v>0</v>
      </c>
      <c r="T234" s="6">
        <f t="shared" si="36"/>
        <v>0</v>
      </c>
      <c r="U234" s="6">
        <f t="shared" si="36"/>
        <v>0</v>
      </c>
      <c r="V234" s="6">
        <f t="shared" si="36"/>
        <v>0</v>
      </c>
      <c r="W234" s="6">
        <f t="shared" si="36"/>
        <v>0</v>
      </c>
      <c r="X234" s="6">
        <f t="shared" si="30"/>
        <v>15.805504000000001</v>
      </c>
      <c r="Y234" s="6"/>
      <c r="Z234" s="6"/>
      <c r="AA234" s="6"/>
      <c r="AB234" s="6"/>
      <c r="AC234" s="6"/>
      <c r="AD234" s="6"/>
      <c r="AE234" s="6"/>
    </row>
    <row r="235" spans="1:32" s="5" customFormat="1" ht="20.100000000000001" customHeight="1" x14ac:dyDescent="0.25">
      <c r="A235" s="6">
        <f>A231+1</f>
        <v>26</v>
      </c>
      <c r="B235" s="6" t="s">
        <v>140</v>
      </c>
      <c r="C235" s="11" t="s">
        <v>60</v>
      </c>
      <c r="D235" s="11">
        <v>1</v>
      </c>
      <c r="E235" s="11">
        <v>2.29</v>
      </c>
      <c r="F235" s="11">
        <v>0.2</v>
      </c>
      <c r="G235" s="11">
        <v>0.75</v>
      </c>
      <c r="H235" s="6">
        <f>G235-0.2</f>
        <v>0.55000000000000004</v>
      </c>
      <c r="I235" s="6">
        <f>E235*F235*G235*D235</f>
        <v>0.34350000000000003</v>
      </c>
      <c r="J235" s="6">
        <f>(2*(E235)*H235*D235)+(E235*F235)</f>
        <v>2.9770000000000003</v>
      </c>
      <c r="K235" s="10">
        <f>IF(E235=0.3,J235,0)</f>
        <v>0</v>
      </c>
      <c r="L235" s="10">
        <f>IF(AND(E235&gt;0.3,E235&lt;=0.75),J235,0)</f>
        <v>0</v>
      </c>
      <c r="M235" s="10">
        <f>IF(AND(E235&gt;0.75,E235&lt;=1.2),J235,0)</f>
        <v>0</v>
      </c>
      <c r="N235" s="10">
        <f>IF(E235&gt;1.2,J235,0)</f>
        <v>2.9770000000000003</v>
      </c>
      <c r="O235" s="6"/>
      <c r="P235" s="6"/>
      <c r="Q235" s="6">
        <f t="shared" si="36"/>
        <v>0</v>
      </c>
      <c r="R235" s="6">
        <f t="shared" si="36"/>
        <v>0</v>
      </c>
      <c r="S235" s="6">
        <f t="shared" si="36"/>
        <v>0</v>
      </c>
      <c r="T235" s="6">
        <f t="shared" si="36"/>
        <v>0</v>
      </c>
      <c r="U235" s="6">
        <f t="shared" si="36"/>
        <v>0</v>
      </c>
      <c r="V235" s="6">
        <f t="shared" si="36"/>
        <v>0</v>
      </c>
      <c r="W235" s="6">
        <f t="shared" si="36"/>
        <v>0</v>
      </c>
      <c r="X235" s="6">
        <f t="shared" ref="X235:X298" si="42">SUM(Q235:W235)</f>
        <v>0</v>
      </c>
      <c r="Y235" s="7">
        <f>SUM(X236:X238)/I235</f>
        <v>132.58878203368684</v>
      </c>
      <c r="Z235" s="6"/>
      <c r="AA235" s="6"/>
      <c r="AB235" s="6"/>
      <c r="AC235" s="6"/>
      <c r="AD235" s="6"/>
      <c r="AE235" s="6"/>
      <c r="AF235" s="6"/>
    </row>
    <row r="236" spans="1:32" s="5" customFormat="1" ht="20.100000000000001" customHeight="1" x14ac:dyDescent="0.25">
      <c r="A236" s="7"/>
      <c r="B236" s="6" t="s">
        <v>140</v>
      </c>
      <c r="C236" s="9" t="s">
        <v>2</v>
      </c>
      <c r="D236" s="6">
        <v>16</v>
      </c>
      <c r="E236" s="6"/>
      <c r="F236" s="6">
        <v>2</v>
      </c>
      <c r="G236" s="8">
        <f>VLOOKUP(D236,$C$20:$F$26,3,0)</f>
        <v>0.8</v>
      </c>
      <c r="H236" s="8"/>
      <c r="I236" s="6"/>
      <c r="J236" s="6"/>
      <c r="K236" s="6"/>
      <c r="L236" s="6"/>
      <c r="M236" s="6"/>
      <c r="N236" s="6"/>
      <c r="O236" s="6">
        <f>(+E235+2*(G236+(2*D236/1000)))*D235</f>
        <v>3.9540000000000002</v>
      </c>
      <c r="P236" s="6">
        <f>O236*F236</f>
        <v>7.9080000000000004</v>
      </c>
      <c r="Q236" s="6">
        <f t="shared" si="36"/>
        <v>0</v>
      </c>
      <c r="R236" s="6">
        <f t="shared" si="36"/>
        <v>0</v>
      </c>
      <c r="S236" s="6">
        <f t="shared" si="36"/>
        <v>0</v>
      </c>
      <c r="T236" s="6">
        <f t="shared" si="36"/>
        <v>12.486506057142858</v>
      </c>
      <c r="U236" s="6">
        <f t="shared" si="36"/>
        <v>0</v>
      </c>
      <c r="V236" s="6">
        <f t="shared" si="36"/>
        <v>0</v>
      </c>
      <c r="W236" s="6">
        <f t="shared" si="36"/>
        <v>0</v>
      </c>
      <c r="X236" s="6">
        <f t="shared" si="42"/>
        <v>12.486506057142858</v>
      </c>
      <c r="Y236" s="6"/>
      <c r="Z236" s="6"/>
      <c r="AA236" s="6"/>
      <c r="AB236" s="6"/>
      <c r="AC236" s="6"/>
      <c r="AD236" s="6"/>
      <c r="AE236" s="6"/>
    </row>
    <row r="237" spans="1:32" s="5" customFormat="1" ht="20.100000000000001" customHeight="1" x14ac:dyDescent="0.25">
      <c r="A237" s="7"/>
      <c r="B237" s="6" t="s">
        <v>140</v>
      </c>
      <c r="C237" s="9" t="s">
        <v>1</v>
      </c>
      <c r="D237" s="6">
        <v>20</v>
      </c>
      <c r="E237" s="6"/>
      <c r="F237" s="6">
        <v>2</v>
      </c>
      <c r="G237" s="8">
        <f>VLOOKUP(D237,$C$20:$F$26,3,0)</f>
        <v>1</v>
      </c>
      <c r="H237" s="6"/>
      <c r="I237" s="6"/>
      <c r="J237" s="6"/>
      <c r="K237" s="6"/>
      <c r="L237" s="6"/>
      <c r="M237" s="6"/>
      <c r="N237" s="6"/>
      <c r="O237" s="6">
        <f>(E235+2*(G237+(2*D237/1000)))*D235</f>
        <v>4.37</v>
      </c>
      <c r="P237" s="6">
        <f>O237*F237</f>
        <v>8.74</v>
      </c>
      <c r="Q237" s="6">
        <f t="shared" si="36"/>
        <v>0</v>
      </c>
      <c r="R237" s="6">
        <f t="shared" si="36"/>
        <v>0</v>
      </c>
      <c r="S237" s="6">
        <f t="shared" si="36"/>
        <v>0</v>
      </c>
      <c r="T237" s="6">
        <f t="shared" si="36"/>
        <v>0</v>
      </c>
      <c r="U237" s="6">
        <f t="shared" si="36"/>
        <v>21.562828571428572</v>
      </c>
      <c r="V237" s="6">
        <f t="shared" si="36"/>
        <v>0</v>
      </c>
      <c r="W237" s="6">
        <f t="shared" si="36"/>
        <v>0</v>
      </c>
      <c r="X237" s="6">
        <f t="shared" si="42"/>
        <v>21.562828571428572</v>
      </c>
      <c r="Y237" s="6"/>
      <c r="Z237" s="6"/>
      <c r="AA237" s="6"/>
      <c r="AB237" s="6"/>
      <c r="AC237" s="6"/>
      <c r="AD237" s="6"/>
      <c r="AE237" s="6"/>
    </row>
    <row r="238" spans="1:32" s="5" customFormat="1" ht="20.100000000000001" customHeight="1" x14ac:dyDescent="0.25">
      <c r="A238" s="6"/>
      <c r="B238" s="6" t="s">
        <v>140</v>
      </c>
      <c r="C238" s="9" t="s">
        <v>0</v>
      </c>
      <c r="D238" s="6">
        <v>8</v>
      </c>
      <c r="E238" s="6">
        <v>0.15</v>
      </c>
      <c r="F238" s="6">
        <f>+ROUND(E235/E238,0)+1</f>
        <v>16</v>
      </c>
      <c r="G238" s="8"/>
      <c r="H238" s="6"/>
      <c r="I238" s="6"/>
      <c r="J238" s="6"/>
      <c r="K238" s="6"/>
      <c r="L238" s="6"/>
      <c r="M238" s="6"/>
      <c r="N238" s="6"/>
      <c r="O238" s="6">
        <f>(2*((G235-(2*$D$11))+(F235-(2*$D$11)))+(2*10*D238/1000))*D235</f>
        <v>1.8199999999999998</v>
      </c>
      <c r="P238" s="6">
        <f t="shared" ref="P238" si="43">O238*F238</f>
        <v>29.119999999999997</v>
      </c>
      <c r="Q238" s="6">
        <f t="shared" si="36"/>
        <v>11.494911999999999</v>
      </c>
      <c r="R238" s="6">
        <f t="shared" si="36"/>
        <v>0</v>
      </c>
      <c r="S238" s="6">
        <f t="shared" si="36"/>
        <v>0</v>
      </c>
      <c r="T238" s="6">
        <f t="shared" si="36"/>
        <v>0</v>
      </c>
      <c r="U238" s="6">
        <f t="shared" si="36"/>
        <v>0</v>
      </c>
      <c r="V238" s="6">
        <f t="shared" si="36"/>
        <v>0</v>
      </c>
      <c r="W238" s="6">
        <f t="shared" si="36"/>
        <v>0</v>
      </c>
      <c r="X238" s="6">
        <f t="shared" si="42"/>
        <v>11.494911999999999</v>
      </c>
      <c r="Y238" s="6"/>
      <c r="Z238" s="6"/>
      <c r="AA238" s="6"/>
      <c r="AB238" s="6"/>
      <c r="AC238" s="6"/>
      <c r="AD238" s="6"/>
      <c r="AE238" s="6"/>
    </row>
    <row r="239" spans="1:32" s="5" customFormat="1" ht="20.100000000000001" customHeight="1" x14ac:dyDescent="0.25">
      <c r="A239" s="6">
        <f>A235+1</f>
        <v>27</v>
      </c>
      <c r="B239" s="6" t="s">
        <v>140</v>
      </c>
      <c r="C239" s="11" t="s">
        <v>133</v>
      </c>
      <c r="D239" s="11">
        <v>1</v>
      </c>
      <c r="E239" s="11">
        <v>1.637</v>
      </c>
      <c r="F239" s="11">
        <v>0.2</v>
      </c>
      <c r="G239" s="11">
        <v>0.75</v>
      </c>
      <c r="H239" s="6">
        <f>G239-0.2</f>
        <v>0.55000000000000004</v>
      </c>
      <c r="I239" s="6">
        <f>E239*F239*G239*D239</f>
        <v>0.24555000000000002</v>
      </c>
      <c r="J239" s="6">
        <f>(2*(E239)*H239*D239)+(E239*F239)</f>
        <v>2.1281000000000003</v>
      </c>
      <c r="K239" s="10">
        <f>IF(E239=0.3,J239,0)</f>
        <v>0</v>
      </c>
      <c r="L239" s="10">
        <f>IF(AND(E239&gt;0.3,E239&lt;=0.75),J239,0)</f>
        <v>0</v>
      </c>
      <c r="M239" s="10">
        <f>IF(AND(E239&gt;0.75,E239&lt;=1.2),J239,0)</f>
        <v>0</v>
      </c>
      <c r="N239" s="10">
        <f>IF(E239&gt;1.2,J239,0)</f>
        <v>2.1281000000000003</v>
      </c>
      <c r="O239" s="6"/>
      <c r="P239" s="6"/>
      <c r="Q239" s="6">
        <f t="shared" si="36"/>
        <v>0</v>
      </c>
      <c r="R239" s="6">
        <f t="shared" si="36"/>
        <v>0</v>
      </c>
      <c r="S239" s="6">
        <f t="shared" si="36"/>
        <v>0</v>
      </c>
      <c r="T239" s="6">
        <f t="shared" si="36"/>
        <v>0</v>
      </c>
      <c r="U239" s="6">
        <f t="shared" si="36"/>
        <v>0</v>
      </c>
      <c r="V239" s="6">
        <f t="shared" si="36"/>
        <v>0</v>
      </c>
      <c r="W239" s="6">
        <f t="shared" si="36"/>
        <v>0</v>
      </c>
      <c r="X239" s="6">
        <f t="shared" si="42"/>
        <v>0</v>
      </c>
      <c r="Y239" s="7">
        <f>SUM(X240:X242)/I239</f>
        <v>134.64501218838177</v>
      </c>
      <c r="Z239" s="6"/>
      <c r="AA239" s="6"/>
      <c r="AB239" s="6"/>
      <c r="AC239" s="6"/>
      <c r="AD239" s="6"/>
      <c r="AE239" s="6"/>
      <c r="AF239" s="6"/>
    </row>
    <row r="240" spans="1:32" s="5" customFormat="1" ht="20.100000000000001" customHeight="1" x14ac:dyDescent="0.25">
      <c r="A240" s="7"/>
      <c r="B240" s="6" t="s">
        <v>140</v>
      </c>
      <c r="C240" s="9" t="s">
        <v>2</v>
      </c>
      <c r="D240" s="6">
        <v>16</v>
      </c>
      <c r="E240" s="6"/>
      <c r="F240" s="6">
        <v>2</v>
      </c>
      <c r="G240" s="8">
        <f>VLOOKUP(D240,$C$20:$F$26,3,0)</f>
        <v>0.8</v>
      </c>
      <c r="H240" s="8"/>
      <c r="I240" s="6"/>
      <c r="J240" s="6"/>
      <c r="K240" s="6"/>
      <c r="L240" s="6"/>
      <c r="M240" s="6"/>
      <c r="N240" s="6"/>
      <c r="O240" s="6">
        <f>(+E239+2*(G240+(2*D240/1000)))*D239</f>
        <v>3.3010000000000002</v>
      </c>
      <c r="P240" s="6">
        <f>O240*F240</f>
        <v>6.6020000000000003</v>
      </c>
      <c r="Q240" s="6">
        <f t="shared" si="36"/>
        <v>0</v>
      </c>
      <c r="R240" s="6">
        <f t="shared" si="36"/>
        <v>0</v>
      </c>
      <c r="S240" s="6">
        <f t="shared" si="36"/>
        <v>0</v>
      </c>
      <c r="T240" s="6">
        <f t="shared" si="36"/>
        <v>10.424369371428572</v>
      </c>
      <c r="U240" s="6">
        <f t="shared" si="36"/>
        <v>0</v>
      </c>
      <c r="V240" s="6">
        <f t="shared" si="36"/>
        <v>0</v>
      </c>
      <c r="W240" s="6">
        <f t="shared" si="36"/>
        <v>0</v>
      </c>
      <c r="X240" s="6">
        <f t="shared" si="42"/>
        <v>10.424369371428572</v>
      </c>
      <c r="Y240" s="6"/>
      <c r="Z240" s="6"/>
      <c r="AA240" s="6"/>
      <c r="AB240" s="6"/>
      <c r="AC240" s="6"/>
      <c r="AD240" s="6"/>
      <c r="AE240" s="6"/>
    </row>
    <row r="241" spans="1:32" s="5" customFormat="1" ht="20.100000000000001" customHeight="1" x14ac:dyDescent="0.25">
      <c r="A241" s="7"/>
      <c r="B241" s="6" t="s">
        <v>140</v>
      </c>
      <c r="C241" s="9" t="s">
        <v>14</v>
      </c>
      <c r="D241" s="6">
        <v>16</v>
      </c>
      <c r="E241" s="6"/>
      <c r="F241" s="6">
        <v>2</v>
      </c>
      <c r="G241" s="8">
        <f>VLOOKUP(D241,$C$20:$F$26,3,0)</f>
        <v>0.8</v>
      </c>
      <c r="H241" s="8"/>
      <c r="I241" s="6"/>
      <c r="J241" s="6"/>
      <c r="K241" s="6"/>
      <c r="L241" s="6"/>
      <c r="M241" s="6"/>
      <c r="N241" s="6"/>
      <c r="O241" s="6">
        <f>(+E239+2*(G241+(2*D241/1000)))*D239</f>
        <v>3.3010000000000002</v>
      </c>
      <c r="P241" s="6">
        <f>O241*F241</f>
        <v>6.6020000000000003</v>
      </c>
      <c r="Q241" s="6">
        <f t="shared" si="36"/>
        <v>0</v>
      </c>
      <c r="R241" s="6">
        <f t="shared" ref="Q241:W277" si="44">IF($D241=R$36,$P241*R$37,0)</f>
        <v>0</v>
      </c>
      <c r="S241" s="6">
        <f t="shared" si="44"/>
        <v>0</v>
      </c>
      <c r="T241" s="6">
        <f t="shared" si="44"/>
        <v>10.424369371428572</v>
      </c>
      <c r="U241" s="6">
        <f t="shared" si="44"/>
        <v>0</v>
      </c>
      <c r="V241" s="6">
        <f t="shared" si="44"/>
        <v>0</v>
      </c>
      <c r="W241" s="6">
        <f t="shared" si="44"/>
        <v>0</v>
      </c>
      <c r="X241" s="6">
        <f t="shared" si="42"/>
        <v>10.424369371428572</v>
      </c>
      <c r="Y241" s="6"/>
      <c r="Z241" s="6"/>
      <c r="AA241" s="6"/>
      <c r="AB241" s="6"/>
      <c r="AC241" s="6"/>
      <c r="AD241" s="6"/>
      <c r="AE241" s="6"/>
    </row>
    <row r="242" spans="1:32" s="5" customFormat="1" ht="20.100000000000001" customHeight="1" x14ac:dyDescent="0.25">
      <c r="A242" s="6"/>
      <c r="B242" s="6" t="s">
        <v>140</v>
      </c>
      <c r="C242" s="9" t="s">
        <v>0</v>
      </c>
      <c r="D242" s="6">
        <v>8</v>
      </c>
      <c r="E242" s="6">
        <v>0.1</v>
      </c>
      <c r="F242" s="6">
        <f>+ROUND(E239/E242,0)+1</f>
        <v>17</v>
      </c>
      <c r="G242" s="8"/>
      <c r="H242" s="6"/>
      <c r="I242" s="6"/>
      <c r="J242" s="6"/>
      <c r="K242" s="6"/>
      <c r="L242" s="6"/>
      <c r="M242" s="6"/>
      <c r="N242" s="6"/>
      <c r="O242" s="6">
        <f>(2*((G239-(2*$D$11))+(F239-(2*$D$11)))+(2*10*D242/1000))*D239</f>
        <v>1.8199999999999998</v>
      </c>
      <c r="P242" s="6">
        <f t="shared" ref="P242" si="45">O242*F242</f>
        <v>30.939999999999998</v>
      </c>
      <c r="Q242" s="6">
        <f t="shared" si="44"/>
        <v>12.213343999999999</v>
      </c>
      <c r="R242" s="6">
        <f t="shared" si="44"/>
        <v>0</v>
      </c>
      <c r="S242" s="6">
        <f t="shared" si="44"/>
        <v>0</v>
      </c>
      <c r="T242" s="6">
        <f t="shared" si="44"/>
        <v>0</v>
      </c>
      <c r="U242" s="6">
        <f t="shared" si="44"/>
        <v>0</v>
      </c>
      <c r="V242" s="6">
        <f t="shared" si="44"/>
        <v>0</v>
      </c>
      <c r="W242" s="6">
        <f t="shared" si="44"/>
        <v>0</v>
      </c>
      <c r="X242" s="6">
        <f t="shared" si="42"/>
        <v>12.213343999999999</v>
      </c>
      <c r="Y242" s="6"/>
      <c r="Z242" s="6"/>
      <c r="AA242" s="6"/>
      <c r="AB242" s="6"/>
      <c r="AC242" s="6"/>
      <c r="AD242" s="6"/>
      <c r="AE242" s="6"/>
    </row>
    <row r="243" spans="1:32" s="5" customFormat="1" ht="21" customHeight="1" x14ac:dyDescent="0.25">
      <c r="A243" s="6">
        <f>+A239+1</f>
        <v>28</v>
      </c>
      <c r="B243" s="6" t="s">
        <v>140</v>
      </c>
      <c r="C243" s="11" t="s">
        <v>145</v>
      </c>
      <c r="D243" s="11">
        <v>1</v>
      </c>
      <c r="E243" s="11">
        <v>1.335</v>
      </c>
      <c r="F243" s="11">
        <v>0.2</v>
      </c>
      <c r="G243" s="11">
        <v>0.75</v>
      </c>
      <c r="H243" s="6">
        <f>G243-0.2</f>
        <v>0.55000000000000004</v>
      </c>
      <c r="I243" s="6">
        <f>E243*F243*G243*D243</f>
        <v>0.20025000000000001</v>
      </c>
      <c r="J243" s="6">
        <f>(2*(E243)*H243*D243)+(E243*F243)</f>
        <v>1.7355</v>
      </c>
      <c r="K243" s="10">
        <f>IF(E243=0.3,J243,0)</f>
        <v>0</v>
      </c>
      <c r="L243" s="10">
        <f>IF(AND(E243&gt;0.3,E243&lt;=0.75),J243,0)</f>
        <v>0</v>
      </c>
      <c r="M243" s="10">
        <f>IF(AND(E243&gt;0.75,E243&lt;=1.2),J243,0)</f>
        <v>0</v>
      </c>
      <c r="N243" s="10">
        <f>IF(E243&gt;1.2,J243,0)</f>
        <v>1.7355</v>
      </c>
      <c r="O243" s="6"/>
      <c r="P243" s="6"/>
      <c r="Q243" s="6">
        <f t="shared" si="44"/>
        <v>0</v>
      </c>
      <c r="R243" s="6">
        <f t="shared" si="44"/>
        <v>0</v>
      </c>
      <c r="S243" s="6">
        <f t="shared" si="44"/>
        <v>0</v>
      </c>
      <c r="T243" s="6">
        <f t="shared" si="44"/>
        <v>0</v>
      </c>
      <c r="U243" s="6">
        <f t="shared" si="44"/>
        <v>0</v>
      </c>
      <c r="V243" s="6">
        <f t="shared" si="44"/>
        <v>0</v>
      </c>
      <c r="W243" s="6">
        <f t="shared" si="44"/>
        <v>0</v>
      </c>
      <c r="X243" s="6">
        <f t="shared" si="42"/>
        <v>0</v>
      </c>
      <c r="Y243" s="7">
        <f>SUM(X244:X246)/I243</f>
        <v>74.527057178526846</v>
      </c>
      <c r="Z243" s="6"/>
      <c r="AA243" s="6"/>
      <c r="AB243" s="6"/>
      <c r="AC243" s="6"/>
      <c r="AD243" s="6"/>
      <c r="AE243" s="6"/>
      <c r="AF243" s="6"/>
    </row>
    <row r="244" spans="1:32" s="5" customFormat="1" ht="20.100000000000001" customHeight="1" x14ac:dyDescent="0.25">
      <c r="A244" s="6"/>
      <c r="B244" s="6" t="s">
        <v>140</v>
      </c>
      <c r="C244" s="9" t="s">
        <v>2</v>
      </c>
      <c r="D244" s="6">
        <v>12</v>
      </c>
      <c r="E244" s="6"/>
      <c r="F244" s="6">
        <v>2</v>
      </c>
      <c r="G244" s="8">
        <f>VLOOKUP(D244,$C$20:$F$26,3,0)</f>
        <v>0.6</v>
      </c>
      <c r="H244" s="8"/>
      <c r="I244" s="6"/>
      <c r="J244" s="6"/>
      <c r="K244" s="6"/>
      <c r="L244" s="6"/>
      <c r="M244" s="6"/>
      <c r="N244" s="6"/>
      <c r="O244" s="6">
        <f>(+E243+2*(G244+(2*D244/1000)))*D243</f>
        <v>2.5830000000000002</v>
      </c>
      <c r="P244" s="6">
        <f t="shared" ref="P244:P246" si="46">O244*F244</f>
        <v>5.1660000000000004</v>
      </c>
      <c r="Q244" s="6">
        <f t="shared" si="44"/>
        <v>0</v>
      </c>
      <c r="R244" s="6">
        <f t="shared" si="44"/>
        <v>0</v>
      </c>
      <c r="S244" s="6">
        <f t="shared" si="44"/>
        <v>4.588293600000001</v>
      </c>
      <c r="T244" s="6">
        <f t="shared" si="44"/>
        <v>0</v>
      </c>
      <c r="U244" s="6">
        <f t="shared" si="44"/>
        <v>0</v>
      </c>
      <c r="V244" s="6">
        <f t="shared" si="44"/>
        <v>0</v>
      </c>
      <c r="W244" s="6">
        <f t="shared" si="44"/>
        <v>0</v>
      </c>
      <c r="X244" s="6">
        <f t="shared" si="42"/>
        <v>4.588293600000001</v>
      </c>
      <c r="Y244" s="6"/>
      <c r="Z244" s="6"/>
      <c r="AA244" s="6"/>
      <c r="AB244" s="6"/>
      <c r="AC244" s="6"/>
      <c r="AD244" s="6"/>
      <c r="AE244" s="6"/>
    </row>
    <row r="245" spans="1:32" s="5" customFormat="1" ht="20.100000000000001" customHeight="1" x14ac:dyDescent="0.25">
      <c r="A245" s="6"/>
      <c r="B245" s="6" t="s">
        <v>140</v>
      </c>
      <c r="C245" s="9" t="s">
        <v>1</v>
      </c>
      <c r="D245" s="6">
        <v>12</v>
      </c>
      <c r="E245" s="6"/>
      <c r="F245" s="6">
        <v>2</v>
      </c>
      <c r="G245" s="8">
        <f>VLOOKUP(D245,$C$20:$F$26,3,0)</f>
        <v>0.6</v>
      </c>
      <c r="H245" s="6"/>
      <c r="I245" s="6"/>
      <c r="J245" s="6"/>
      <c r="K245" s="6"/>
      <c r="L245" s="6"/>
      <c r="M245" s="6"/>
      <c r="N245" s="6"/>
      <c r="O245" s="6">
        <f>(+E243+2*(G245+(2*D245/1000)))*D243</f>
        <v>2.5830000000000002</v>
      </c>
      <c r="P245" s="6">
        <f t="shared" si="46"/>
        <v>5.1660000000000004</v>
      </c>
      <c r="Q245" s="6">
        <f t="shared" si="44"/>
        <v>0</v>
      </c>
      <c r="R245" s="6">
        <f t="shared" si="44"/>
        <v>0</v>
      </c>
      <c r="S245" s="6">
        <f t="shared" si="44"/>
        <v>4.588293600000001</v>
      </c>
      <c r="T245" s="6">
        <f t="shared" si="44"/>
        <v>0</v>
      </c>
      <c r="U245" s="6">
        <f t="shared" si="44"/>
        <v>0</v>
      </c>
      <c r="V245" s="6">
        <f t="shared" si="44"/>
        <v>0</v>
      </c>
      <c r="W245" s="6">
        <f t="shared" si="44"/>
        <v>0</v>
      </c>
      <c r="X245" s="6">
        <f t="shared" si="42"/>
        <v>4.588293600000001</v>
      </c>
      <c r="Y245" s="6"/>
      <c r="Z245" s="6"/>
      <c r="AA245" s="6"/>
      <c r="AB245" s="6"/>
      <c r="AC245" s="6"/>
      <c r="AD245" s="6"/>
      <c r="AE245" s="6"/>
    </row>
    <row r="246" spans="1:32" s="5" customFormat="1" ht="20.100000000000001" customHeight="1" x14ac:dyDescent="0.25">
      <c r="A246" s="6"/>
      <c r="B246" s="6" t="s">
        <v>140</v>
      </c>
      <c r="C246" s="9" t="s">
        <v>0</v>
      </c>
      <c r="D246" s="6">
        <v>8</v>
      </c>
      <c r="E246" s="6">
        <v>0.2</v>
      </c>
      <c r="F246" s="6">
        <f>+ROUND(E243/E246,0)+1</f>
        <v>8</v>
      </c>
      <c r="G246" s="8"/>
      <c r="H246" s="6"/>
      <c r="I246" s="6"/>
      <c r="J246" s="6"/>
      <c r="K246" s="6"/>
      <c r="L246" s="6"/>
      <c r="M246" s="6"/>
      <c r="N246" s="6"/>
      <c r="O246" s="6">
        <f>(2*((G243-(2*$D$11))+(F243-(2*$D$11)))+(2*10*D246/1000))*D243</f>
        <v>1.8199999999999998</v>
      </c>
      <c r="P246" s="6">
        <f t="shared" si="46"/>
        <v>14.559999999999999</v>
      </c>
      <c r="Q246" s="6">
        <f t="shared" si="44"/>
        <v>5.7474559999999997</v>
      </c>
      <c r="R246" s="6">
        <f t="shared" si="44"/>
        <v>0</v>
      </c>
      <c r="S246" s="6">
        <f t="shared" si="44"/>
        <v>0</v>
      </c>
      <c r="T246" s="6">
        <f t="shared" si="44"/>
        <v>0</v>
      </c>
      <c r="U246" s="6">
        <f t="shared" si="44"/>
        <v>0</v>
      </c>
      <c r="V246" s="6">
        <f t="shared" si="44"/>
        <v>0</v>
      </c>
      <c r="W246" s="6">
        <f t="shared" si="44"/>
        <v>0</v>
      </c>
      <c r="X246" s="6">
        <f t="shared" si="42"/>
        <v>5.7474559999999997</v>
      </c>
      <c r="Y246" s="6"/>
      <c r="Z246" s="6"/>
      <c r="AA246" s="6"/>
      <c r="AB246" s="6"/>
      <c r="AC246" s="6"/>
      <c r="AD246" s="6"/>
      <c r="AE246" s="6"/>
    </row>
    <row r="247" spans="1:32" s="5" customFormat="1" ht="21" customHeight="1" x14ac:dyDescent="0.25">
      <c r="A247" s="6">
        <f>+A243+1</f>
        <v>29</v>
      </c>
      <c r="B247" s="6" t="s">
        <v>140</v>
      </c>
      <c r="C247" s="11" t="s">
        <v>59</v>
      </c>
      <c r="D247" s="11">
        <v>1</v>
      </c>
      <c r="E247" s="11">
        <v>7.95</v>
      </c>
      <c r="F247" s="11">
        <v>0.6</v>
      </c>
      <c r="G247" s="11">
        <v>0.75</v>
      </c>
      <c r="H247" s="6">
        <f>G247-0.2</f>
        <v>0.55000000000000004</v>
      </c>
      <c r="I247" s="6">
        <f>E247*F247*G247*D247</f>
        <v>3.5774999999999997</v>
      </c>
      <c r="J247" s="6">
        <f>(2*(E247)*H247*D247)+(E247*F247)</f>
        <v>13.515000000000001</v>
      </c>
      <c r="K247" s="10">
        <f>IF(E247=0.3,J247,0)</f>
        <v>0</v>
      </c>
      <c r="L247" s="10">
        <f>IF(AND(E247&gt;0.3,E247&lt;=0.75),J247,0)</f>
        <v>0</v>
      </c>
      <c r="M247" s="10">
        <f>IF(AND(E247&gt;0.75,E247&lt;=1.2),J247,0)</f>
        <v>0</v>
      </c>
      <c r="N247" s="10">
        <f>IF(E247&gt;1.2,J247,0)</f>
        <v>13.515000000000001</v>
      </c>
      <c r="O247" s="6"/>
      <c r="P247" s="6"/>
      <c r="Q247" s="6">
        <f t="shared" si="44"/>
        <v>0</v>
      </c>
      <c r="R247" s="6">
        <f t="shared" si="44"/>
        <v>0</v>
      </c>
      <c r="S247" s="6">
        <f t="shared" si="44"/>
        <v>0</v>
      </c>
      <c r="T247" s="6">
        <f t="shared" si="44"/>
        <v>0</v>
      </c>
      <c r="U247" s="6">
        <f t="shared" si="44"/>
        <v>0</v>
      </c>
      <c r="V247" s="6">
        <f t="shared" si="44"/>
        <v>0</v>
      </c>
      <c r="W247" s="6">
        <f t="shared" si="44"/>
        <v>0</v>
      </c>
      <c r="X247" s="6">
        <f t="shared" si="42"/>
        <v>0</v>
      </c>
      <c r="Y247" s="7">
        <f>SUM(X248:X257)/I247</f>
        <v>164.20284966756518</v>
      </c>
      <c r="Z247" s="6"/>
      <c r="AA247" s="6"/>
      <c r="AB247" s="6"/>
      <c r="AC247" s="6"/>
      <c r="AD247" s="6"/>
      <c r="AE247" s="6"/>
      <c r="AF247" s="6"/>
    </row>
    <row r="248" spans="1:32" s="5" customFormat="1" ht="20.100000000000001" customHeight="1" x14ac:dyDescent="0.25">
      <c r="A248" s="6"/>
      <c r="B248" s="6" t="s">
        <v>140</v>
      </c>
      <c r="C248" s="9" t="s">
        <v>2</v>
      </c>
      <c r="D248" s="6">
        <v>16</v>
      </c>
      <c r="E248" s="6"/>
      <c r="F248" s="6">
        <v>6</v>
      </c>
      <c r="G248" s="8">
        <f>VLOOKUP(D248,$C$20:$F$26,3,0)</f>
        <v>0.8</v>
      </c>
      <c r="H248" s="8"/>
      <c r="I248" s="6"/>
      <c r="J248" s="6"/>
      <c r="K248" s="6"/>
      <c r="L248" s="6"/>
      <c r="M248" s="6"/>
      <c r="N248" s="6"/>
      <c r="O248" s="6">
        <f>(+E247+2*(G248+(2*D248/1000)))*D247</f>
        <v>9.6140000000000008</v>
      </c>
      <c r="P248" s="6">
        <f t="shared" ref="P248:P249" si="47">O248*F248</f>
        <v>57.684000000000005</v>
      </c>
      <c r="Q248" s="6">
        <f t="shared" si="44"/>
        <v>0</v>
      </c>
      <c r="R248" s="6">
        <f t="shared" si="44"/>
        <v>0</v>
      </c>
      <c r="S248" s="6">
        <f t="shared" si="44"/>
        <v>0</v>
      </c>
      <c r="T248" s="6">
        <f t="shared" si="44"/>
        <v>91.081387885714307</v>
      </c>
      <c r="U248" s="6">
        <f t="shared" si="44"/>
        <v>0</v>
      </c>
      <c r="V248" s="6">
        <f t="shared" si="44"/>
        <v>0</v>
      </c>
      <c r="W248" s="6">
        <f t="shared" si="44"/>
        <v>0</v>
      </c>
      <c r="X248" s="6">
        <f t="shared" si="42"/>
        <v>91.081387885714307</v>
      </c>
      <c r="Y248" s="6"/>
      <c r="Z248" s="6"/>
      <c r="AA248" s="6"/>
      <c r="AB248" s="6"/>
      <c r="AC248" s="6"/>
      <c r="AD248" s="6"/>
      <c r="AE248" s="6"/>
    </row>
    <row r="249" spans="1:32" s="5" customFormat="1" ht="20.100000000000001" customHeight="1" x14ac:dyDescent="0.25">
      <c r="A249" s="6"/>
      <c r="B249" s="6" t="s">
        <v>140</v>
      </c>
      <c r="C249" s="9" t="s">
        <v>2</v>
      </c>
      <c r="D249" s="6">
        <v>16</v>
      </c>
      <c r="E249" s="6"/>
      <c r="F249" s="6">
        <v>6</v>
      </c>
      <c r="G249" s="8">
        <f>VLOOKUP(D249,$C$20:$F$26,3,0)</f>
        <v>0.8</v>
      </c>
      <c r="H249" s="8"/>
      <c r="I249" s="6"/>
      <c r="J249" s="6"/>
      <c r="K249" s="6"/>
      <c r="L249" s="6"/>
      <c r="M249" s="6"/>
      <c r="N249" s="6"/>
      <c r="O249" s="6">
        <f>(2.15+1*(G249+(2*D249/1000)))*D247</f>
        <v>2.9820000000000002</v>
      </c>
      <c r="P249" s="6">
        <f t="shared" si="47"/>
        <v>17.892000000000003</v>
      </c>
      <c r="Q249" s="6">
        <f t="shared" si="44"/>
        <v>0</v>
      </c>
      <c r="R249" s="6">
        <f t="shared" si="44"/>
        <v>0</v>
      </c>
      <c r="S249" s="6">
        <f t="shared" si="44"/>
        <v>0</v>
      </c>
      <c r="T249" s="6">
        <f t="shared" si="44"/>
        <v>28.250956800000008</v>
      </c>
      <c r="U249" s="6">
        <f t="shared" si="44"/>
        <v>0</v>
      </c>
      <c r="V249" s="6">
        <f t="shared" si="44"/>
        <v>0</v>
      </c>
      <c r="W249" s="6">
        <f t="shared" si="44"/>
        <v>0</v>
      </c>
      <c r="X249" s="6">
        <f t="shared" si="42"/>
        <v>28.250956800000008</v>
      </c>
      <c r="Y249" s="6"/>
      <c r="Z249" s="6"/>
      <c r="AA249" s="6"/>
      <c r="AB249" s="6"/>
      <c r="AC249" s="6"/>
      <c r="AD249" s="6"/>
      <c r="AE249" s="6"/>
    </row>
    <row r="250" spans="1:32" s="5" customFormat="1" ht="20.100000000000001" customHeight="1" x14ac:dyDescent="0.25">
      <c r="A250" s="6"/>
      <c r="B250" s="6" t="s">
        <v>140</v>
      </c>
      <c r="C250" s="9" t="s">
        <v>1</v>
      </c>
      <c r="D250" s="6">
        <v>20</v>
      </c>
      <c r="E250" s="6"/>
      <c r="F250" s="6">
        <v>6</v>
      </c>
      <c r="G250" s="8">
        <f>VLOOKUP(D250,$C$20:$F$26,3,0)</f>
        <v>1</v>
      </c>
      <c r="H250" s="6"/>
      <c r="I250" s="6"/>
      <c r="J250" s="6"/>
      <c r="K250" s="6"/>
      <c r="L250" s="6"/>
      <c r="M250" s="6"/>
      <c r="N250" s="6"/>
      <c r="O250" s="6">
        <f>(+E247+2*(G250+(2*D250/1000)))*D247</f>
        <v>10.030000000000001</v>
      </c>
      <c r="P250" s="6">
        <f>O250*F250</f>
        <v>60.180000000000007</v>
      </c>
      <c r="Q250" s="6">
        <f t="shared" si="44"/>
        <v>0</v>
      </c>
      <c r="R250" s="6">
        <f t="shared" si="44"/>
        <v>0</v>
      </c>
      <c r="S250" s="6">
        <f t="shared" si="44"/>
        <v>0</v>
      </c>
      <c r="T250" s="6">
        <f t="shared" si="44"/>
        <v>0</v>
      </c>
      <c r="U250" s="6">
        <f t="shared" si="44"/>
        <v>148.47265714285714</v>
      </c>
      <c r="V250" s="6">
        <f t="shared" si="44"/>
        <v>0</v>
      </c>
      <c r="W250" s="6">
        <f t="shared" si="44"/>
        <v>0</v>
      </c>
      <c r="X250" s="6">
        <f t="shared" si="42"/>
        <v>148.47265714285714</v>
      </c>
      <c r="Y250" s="6"/>
      <c r="Z250" s="6"/>
      <c r="AA250" s="6"/>
      <c r="AB250" s="6"/>
      <c r="AC250" s="6"/>
      <c r="AD250" s="6"/>
      <c r="AE250" s="6"/>
    </row>
    <row r="251" spans="1:32" s="5" customFormat="1" ht="20.100000000000001" customHeight="1" x14ac:dyDescent="0.25">
      <c r="A251" s="6"/>
      <c r="B251" s="6" t="s">
        <v>140</v>
      </c>
      <c r="C251" s="9" t="s">
        <v>18</v>
      </c>
      <c r="D251" s="6">
        <v>20</v>
      </c>
      <c r="E251" s="6"/>
      <c r="F251" s="6">
        <v>6</v>
      </c>
      <c r="G251" s="8">
        <f>VLOOKUP(D251,$C$20:$F$26,3,0)</f>
        <v>1</v>
      </c>
      <c r="H251" s="6"/>
      <c r="I251" s="6"/>
      <c r="J251" s="6"/>
      <c r="K251" s="6"/>
      <c r="L251" s="6"/>
      <c r="M251" s="6"/>
      <c r="N251" s="6"/>
      <c r="O251" s="6">
        <f>+E247-0.6-0.95</f>
        <v>6.4</v>
      </c>
      <c r="P251" s="6">
        <f>O251*F251</f>
        <v>38.400000000000006</v>
      </c>
      <c r="Q251" s="6">
        <f t="shared" si="44"/>
        <v>0</v>
      </c>
      <c r="R251" s="6">
        <f t="shared" si="44"/>
        <v>0</v>
      </c>
      <c r="S251" s="6">
        <f t="shared" si="44"/>
        <v>0</v>
      </c>
      <c r="T251" s="6">
        <f t="shared" si="44"/>
        <v>0</v>
      </c>
      <c r="U251" s="6">
        <f t="shared" si="44"/>
        <v>94.738285714285723</v>
      </c>
      <c r="V251" s="6">
        <f t="shared" si="44"/>
        <v>0</v>
      </c>
      <c r="W251" s="6">
        <f t="shared" si="44"/>
        <v>0</v>
      </c>
      <c r="X251" s="6">
        <f t="shared" si="42"/>
        <v>94.738285714285723</v>
      </c>
      <c r="Y251" s="6"/>
      <c r="Z251" s="6"/>
      <c r="AA251" s="6"/>
      <c r="AB251" s="6"/>
      <c r="AC251" s="6"/>
      <c r="AD251" s="6"/>
      <c r="AE251" s="6"/>
    </row>
    <row r="252" spans="1:32" s="5" customFormat="1" ht="20.100000000000001" customHeight="1" x14ac:dyDescent="0.25">
      <c r="A252" s="7"/>
      <c r="B252" s="6" t="s">
        <v>140</v>
      </c>
      <c r="C252" s="9" t="s">
        <v>0</v>
      </c>
      <c r="D252" s="6">
        <v>10</v>
      </c>
      <c r="E252" s="6">
        <v>0.1</v>
      </c>
      <c r="F252" s="6">
        <f>ROUND(IF(E247/3&gt;(2*G247),(E247/3)/E252,(2*G247)/E252),0)*2+1</f>
        <v>55</v>
      </c>
      <c r="G252" s="8"/>
      <c r="H252" s="6"/>
      <c r="I252" s="6"/>
      <c r="J252" s="6"/>
      <c r="K252" s="6"/>
      <c r="L252" s="6"/>
      <c r="M252" s="6"/>
      <c r="N252" s="6"/>
      <c r="O252" s="6">
        <f>(2*((G247-(2*$D$11))+(F247-(2*$D$11)))+(2*10*D252/1000))*D247</f>
        <v>2.66</v>
      </c>
      <c r="P252" s="6">
        <f>O252*F252</f>
        <v>146.30000000000001</v>
      </c>
      <c r="Q252" s="6">
        <f t="shared" si="44"/>
        <v>0</v>
      </c>
      <c r="R252" s="6">
        <f t="shared" si="44"/>
        <v>90.23575000000001</v>
      </c>
      <c r="S252" s="6">
        <f t="shared" si="44"/>
        <v>0</v>
      </c>
      <c r="T252" s="6">
        <f t="shared" si="44"/>
        <v>0</v>
      </c>
      <c r="U252" s="6">
        <f t="shared" si="44"/>
        <v>0</v>
      </c>
      <c r="V252" s="6">
        <f t="shared" si="44"/>
        <v>0</v>
      </c>
      <c r="W252" s="6">
        <f t="shared" si="44"/>
        <v>0</v>
      </c>
      <c r="X252" s="6">
        <f t="shared" si="42"/>
        <v>90.23575000000001</v>
      </c>
      <c r="Y252" s="6"/>
      <c r="Z252" s="6"/>
      <c r="AA252" s="6"/>
      <c r="AB252" s="6"/>
      <c r="AC252" s="6"/>
      <c r="AD252" s="6"/>
      <c r="AE252" s="6"/>
    </row>
    <row r="253" spans="1:32" s="12" customFormat="1" ht="20.100000000000001" customHeight="1" x14ac:dyDescent="0.25">
      <c r="B253" s="6" t="s">
        <v>140</v>
      </c>
      <c r="C253" s="9" t="s">
        <v>25</v>
      </c>
      <c r="D253" s="6">
        <f>+D252</f>
        <v>10</v>
      </c>
      <c r="E253" s="6">
        <f>+E252</f>
        <v>0.1</v>
      </c>
      <c r="F253" s="12">
        <f>+F252</f>
        <v>55</v>
      </c>
      <c r="G253" s="5"/>
      <c r="O253" s="3">
        <f>((((G247-(2*$D$11))+(2*10*D253/1000))*D247))*2</f>
        <v>1.7799999999999998</v>
      </c>
      <c r="P253" s="6">
        <f>O253*F253</f>
        <v>97.899999999999991</v>
      </c>
      <c r="Q253" s="6">
        <f t="shared" si="44"/>
        <v>0</v>
      </c>
      <c r="R253" s="6">
        <f t="shared" si="44"/>
        <v>60.383321428571421</v>
      </c>
      <c r="S253" s="6">
        <f t="shared" si="44"/>
        <v>0</v>
      </c>
      <c r="T253" s="6">
        <f t="shared" si="44"/>
        <v>0</v>
      </c>
      <c r="U253" s="6">
        <f t="shared" si="44"/>
        <v>0</v>
      </c>
      <c r="V253" s="6">
        <f t="shared" si="44"/>
        <v>0</v>
      </c>
      <c r="W253" s="6">
        <f t="shared" si="44"/>
        <v>0</v>
      </c>
      <c r="X253" s="6">
        <f t="shared" si="42"/>
        <v>60.383321428571421</v>
      </c>
    </row>
    <row r="254" spans="1:32" s="12" customFormat="1" ht="20.100000000000001" customHeight="1" x14ac:dyDescent="0.3">
      <c r="B254" s="6" t="s">
        <v>140</v>
      </c>
      <c r="C254" s="9" t="s">
        <v>0</v>
      </c>
      <c r="D254" s="12">
        <v>10</v>
      </c>
      <c r="E254" s="12">
        <v>0.15</v>
      </c>
      <c r="F254" s="12">
        <f>ROUND((E247-(IF(E247/3&gt;2*G247,E247/3*2,G247*2*2)))/E254,0)</f>
        <v>18</v>
      </c>
      <c r="O254" s="6">
        <f>(2*((G247-(2*$D$11))+(F247-(2*$D$11)))+(2*10*D254/1000))*D247</f>
        <v>2.66</v>
      </c>
      <c r="P254" s="6">
        <f t="shared" ref="P254:P257" si="48">O254*F254</f>
        <v>47.88</v>
      </c>
      <c r="Q254" s="6">
        <f t="shared" si="44"/>
        <v>0</v>
      </c>
      <c r="R254" s="6">
        <f t="shared" si="44"/>
        <v>29.531700000000001</v>
      </c>
      <c r="S254" s="6">
        <f t="shared" si="44"/>
        <v>0</v>
      </c>
      <c r="T254" s="6">
        <f t="shared" si="44"/>
        <v>0</v>
      </c>
      <c r="U254" s="6">
        <f t="shared" si="44"/>
        <v>0</v>
      </c>
      <c r="V254" s="6">
        <f t="shared" si="44"/>
        <v>0</v>
      </c>
      <c r="W254" s="6">
        <f t="shared" si="44"/>
        <v>0</v>
      </c>
      <c r="X254" s="6">
        <f t="shared" si="42"/>
        <v>29.531700000000001</v>
      </c>
    </row>
    <row r="255" spans="1:32" s="12" customFormat="1" ht="20.100000000000001" customHeight="1" x14ac:dyDescent="0.25">
      <c r="B255" s="6" t="s">
        <v>140</v>
      </c>
      <c r="C255" s="9" t="s">
        <v>25</v>
      </c>
      <c r="D255" s="6">
        <f>+D254</f>
        <v>10</v>
      </c>
      <c r="E255" s="6">
        <f>+E254</f>
        <v>0.15</v>
      </c>
      <c r="F255" s="12">
        <f>+F254</f>
        <v>18</v>
      </c>
      <c r="G255" s="5"/>
      <c r="O255" s="3">
        <f>((((G247-(2*$D$11))+(2*10*D255/1000))*D247))*2</f>
        <v>1.7799999999999998</v>
      </c>
      <c r="P255" s="6">
        <f>O255*F255</f>
        <v>32.04</v>
      </c>
      <c r="Q255" s="6">
        <f t="shared" si="44"/>
        <v>0</v>
      </c>
      <c r="R255" s="6">
        <f t="shared" si="44"/>
        <v>19.761814285714284</v>
      </c>
      <c r="S255" s="6">
        <f t="shared" si="44"/>
        <v>0</v>
      </c>
      <c r="T255" s="6">
        <f t="shared" si="44"/>
        <v>0</v>
      </c>
      <c r="U255" s="6">
        <f t="shared" si="44"/>
        <v>0</v>
      </c>
      <c r="V255" s="6">
        <f t="shared" si="44"/>
        <v>0</v>
      </c>
      <c r="W255" s="6">
        <f t="shared" si="44"/>
        <v>0</v>
      </c>
      <c r="X255" s="6">
        <f t="shared" si="42"/>
        <v>19.761814285714284</v>
      </c>
    </row>
    <row r="256" spans="1:32" s="5" customFormat="1" ht="20.100000000000001" customHeight="1" x14ac:dyDescent="0.25">
      <c r="A256" s="7"/>
      <c r="B256" s="6" t="s">
        <v>140</v>
      </c>
      <c r="C256" s="9" t="s">
        <v>17</v>
      </c>
      <c r="D256" s="6">
        <f>+$D$15</f>
        <v>25</v>
      </c>
      <c r="E256" s="6">
        <f>+$E$15</f>
        <v>1</v>
      </c>
      <c r="F256" s="6">
        <f>ROUNDUP((2.15)/E256,0)+1</f>
        <v>4</v>
      </c>
      <c r="G256" s="8"/>
      <c r="H256" s="8"/>
      <c r="I256" s="6"/>
      <c r="J256" s="6"/>
      <c r="K256" s="6"/>
      <c r="L256" s="6"/>
      <c r="M256" s="6"/>
      <c r="N256" s="6"/>
      <c r="O256" s="6">
        <f>+F247-(2*$D$11)</f>
        <v>0.54</v>
      </c>
      <c r="P256" s="6">
        <f t="shared" si="48"/>
        <v>2.16</v>
      </c>
      <c r="Q256" s="6">
        <f t="shared" si="44"/>
        <v>0</v>
      </c>
      <c r="R256" s="6">
        <f t="shared" si="44"/>
        <v>0</v>
      </c>
      <c r="S256" s="6">
        <f t="shared" si="44"/>
        <v>0</v>
      </c>
      <c r="T256" s="6">
        <f t="shared" si="44"/>
        <v>0</v>
      </c>
      <c r="U256" s="6">
        <f t="shared" si="44"/>
        <v>0</v>
      </c>
      <c r="V256" s="6">
        <f t="shared" si="44"/>
        <v>8.326607142857144</v>
      </c>
      <c r="W256" s="6">
        <f t="shared" si="44"/>
        <v>0</v>
      </c>
      <c r="X256" s="6">
        <f t="shared" si="42"/>
        <v>8.326607142857144</v>
      </c>
      <c r="Y256" s="6"/>
      <c r="Z256" s="6"/>
      <c r="AA256" s="6"/>
      <c r="AB256" s="6"/>
      <c r="AC256" s="6"/>
      <c r="AD256" s="6"/>
      <c r="AE256" s="6"/>
    </row>
    <row r="257" spans="1:32" s="5" customFormat="1" ht="20.100000000000001" customHeight="1" x14ac:dyDescent="0.25">
      <c r="A257" s="7"/>
      <c r="B257" s="6" t="s">
        <v>140</v>
      </c>
      <c r="C257" s="9" t="s">
        <v>17</v>
      </c>
      <c r="D257" s="6">
        <f>+$D$15</f>
        <v>25</v>
      </c>
      <c r="E257" s="6">
        <f>+$E$15</f>
        <v>1</v>
      </c>
      <c r="F257" s="6">
        <f>ROUNDUP((E247-0.95-0.6)/E257,0)+1</f>
        <v>8</v>
      </c>
      <c r="G257" s="8"/>
      <c r="H257" s="8"/>
      <c r="I257" s="6"/>
      <c r="J257" s="6"/>
      <c r="K257" s="6"/>
      <c r="L257" s="6"/>
      <c r="M257" s="6"/>
      <c r="N257" s="6"/>
      <c r="O257" s="6">
        <f>+F247-(2*$D$11)</f>
        <v>0.54</v>
      </c>
      <c r="P257" s="6">
        <f t="shared" si="48"/>
        <v>4.32</v>
      </c>
      <c r="Q257" s="6">
        <f t="shared" si="44"/>
        <v>0</v>
      </c>
      <c r="R257" s="6">
        <f t="shared" si="44"/>
        <v>0</v>
      </c>
      <c r="S257" s="6">
        <f t="shared" si="44"/>
        <v>0</v>
      </c>
      <c r="T257" s="6">
        <f t="shared" si="44"/>
        <v>0</v>
      </c>
      <c r="U257" s="6">
        <f t="shared" si="44"/>
        <v>0</v>
      </c>
      <c r="V257" s="6">
        <f t="shared" si="44"/>
        <v>16.653214285714288</v>
      </c>
      <c r="W257" s="6">
        <f t="shared" si="44"/>
        <v>0</v>
      </c>
      <c r="X257" s="6">
        <f t="shared" si="42"/>
        <v>16.653214285714288</v>
      </c>
      <c r="Y257" s="6"/>
      <c r="Z257" s="6"/>
      <c r="AA257" s="6"/>
      <c r="AB257" s="6"/>
      <c r="AC257" s="6"/>
      <c r="AD257" s="6"/>
      <c r="AE257" s="6"/>
    </row>
    <row r="258" spans="1:32" s="5" customFormat="1" ht="21" customHeight="1" x14ac:dyDescent="0.25">
      <c r="A258" s="93">
        <f>+A247+1</f>
        <v>30</v>
      </c>
      <c r="B258" s="6" t="s">
        <v>140</v>
      </c>
      <c r="C258" s="11" t="s">
        <v>58</v>
      </c>
      <c r="D258" s="11">
        <v>1</v>
      </c>
      <c r="E258" s="11">
        <v>6.7910000000000004</v>
      </c>
      <c r="F258" s="11">
        <v>0.4</v>
      </c>
      <c r="G258" s="11">
        <v>0.75</v>
      </c>
      <c r="H258" s="6">
        <f>G258-0.2</f>
        <v>0.55000000000000004</v>
      </c>
      <c r="I258" s="6">
        <f>E258*F258*G258*D258</f>
        <v>2.0373000000000001</v>
      </c>
      <c r="J258" s="6">
        <f>(2*(E258)*H258*D258)+(E258*F258)</f>
        <v>10.186500000000002</v>
      </c>
      <c r="K258" s="10">
        <f>IF(E258=0.3,J258,0)</f>
        <v>0</v>
      </c>
      <c r="L258" s="10">
        <f>IF(AND(E258&gt;0.3,E258&lt;=0.75),J258,0)</f>
        <v>0</v>
      </c>
      <c r="M258" s="10">
        <f>IF(AND(E258&gt;0.75,E258&lt;=1.2),J258,0)</f>
        <v>0</v>
      </c>
      <c r="N258" s="10">
        <f>IF(E258&gt;1.2,J258,0)</f>
        <v>10.186500000000002</v>
      </c>
      <c r="O258" s="6"/>
      <c r="P258" s="6"/>
      <c r="Q258" s="6">
        <f t="shared" si="44"/>
        <v>0</v>
      </c>
      <c r="R258" s="6">
        <f t="shared" si="44"/>
        <v>0</v>
      </c>
      <c r="S258" s="6">
        <f t="shared" si="44"/>
        <v>0</v>
      </c>
      <c r="T258" s="6">
        <f t="shared" si="44"/>
        <v>0</v>
      </c>
      <c r="U258" s="6">
        <f t="shared" si="44"/>
        <v>0</v>
      </c>
      <c r="V258" s="6">
        <f t="shared" si="44"/>
        <v>0</v>
      </c>
      <c r="W258" s="6">
        <f t="shared" si="44"/>
        <v>0</v>
      </c>
      <c r="X258" s="6">
        <f t="shared" si="42"/>
        <v>0</v>
      </c>
      <c r="Y258" s="7">
        <f>SUM(X259:X267)/I258</f>
        <v>176.68420623233831</v>
      </c>
      <c r="Z258" s="6"/>
      <c r="AA258" s="6"/>
      <c r="AB258" s="6"/>
      <c r="AC258" s="6"/>
      <c r="AD258" s="6"/>
      <c r="AE258" s="6"/>
      <c r="AF258" s="6"/>
    </row>
    <row r="259" spans="1:32" s="5" customFormat="1" ht="20.100000000000001" customHeight="1" x14ac:dyDescent="0.25">
      <c r="A259" s="7"/>
      <c r="B259" s="6" t="s">
        <v>140</v>
      </c>
      <c r="C259" s="9" t="s">
        <v>2</v>
      </c>
      <c r="D259" s="6">
        <v>16</v>
      </c>
      <c r="E259" s="6"/>
      <c r="F259" s="6">
        <v>4</v>
      </c>
      <c r="G259" s="8">
        <f>VLOOKUP(D259,$C$20:$F$26,3,0)</f>
        <v>0.8</v>
      </c>
      <c r="H259" s="8"/>
      <c r="I259" s="6"/>
      <c r="J259" s="6"/>
      <c r="K259" s="6"/>
      <c r="L259" s="6"/>
      <c r="M259" s="6" t="s">
        <v>146</v>
      </c>
      <c r="N259" s="6"/>
      <c r="O259" s="6">
        <f>(E258+1*(G259+(2*D259/1000)))*D258</f>
        <v>7.6230000000000002</v>
      </c>
      <c r="P259" s="6">
        <f t="shared" ref="P259:P260" si="49">O259*F259</f>
        <v>30.492000000000001</v>
      </c>
      <c r="Q259" s="6">
        <f t="shared" si="44"/>
        <v>0</v>
      </c>
      <c r="R259" s="6">
        <f t="shared" si="44"/>
        <v>0</v>
      </c>
      <c r="S259" s="6">
        <f t="shared" si="44"/>
        <v>0</v>
      </c>
      <c r="T259" s="6">
        <f t="shared" si="44"/>
        <v>48.145996800000006</v>
      </c>
      <c r="U259" s="6">
        <f t="shared" si="44"/>
        <v>0</v>
      </c>
      <c r="V259" s="6">
        <f t="shared" si="44"/>
        <v>0</v>
      </c>
      <c r="W259" s="6">
        <f t="shared" si="44"/>
        <v>0</v>
      </c>
      <c r="X259" s="6">
        <f t="shared" si="42"/>
        <v>48.145996800000006</v>
      </c>
      <c r="Y259" s="6"/>
      <c r="Z259" s="6"/>
      <c r="AA259" s="6"/>
      <c r="AB259" s="6"/>
      <c r="AC259" s="6"/>
      <c r="AD259" s="6"/>
      <c r="AE259" s="6"/>
    </row>
    <row r="260" spans="1:32" s="5" customFormat="1" ht="20.100000000000001" customHeight="1" x14ac:dyDescent="0.25">
      <c r="A260" s="7"/>
      <c r="B260" s="6" t="s">
        <v>140</v>
      </c>
      <c r="C260" s="9" t="s">
        <v>26</v>
      </c>
      <c r="D260" s="6">
        <v>16</v>
      </c>
      <c r="E260" s="6"/>
      <c r="F260" s="6">
        <v>4</v>
      </c>
      <c r="G260" s="8">
        <f>VLOOKUP(D260,$C$20:$F$26,3,0)</f>
        <v>0.8</v>
      </c>
      <c r="H260" s="8"/>
      <c r="I260" s="6"/>
      <c r="J260" s="6"/>
      <c r="K260" s="6"/>
      <c r="L260" s="6"/>
      <c r="M260" s="6"/>
      <c r="N260" s="6"/>
      <c r="O260" s="6">
        <f>(1.95+1*(G260+(2*D260/1000)))*D258</f>
        <v>2.782</v>
      </c>
      <c r="P260" s="6">
        <f t="shared" si="49"/>
        <v>11.128</v>
      </c>
      <c r="Q260" s="6">
        <f t="shared" si="44"/>
        <v>0</v>
      </c>
      <c r="R260" s="6">
        <f t="shared" si="44"/>
        <v>0</v>
      </c>
      <c r="S260" s="6">
        <f t="shared" si="44"/>
        <v>0</v>
      </c>
      <c r="T260" s="6">
        <f t="shared" si="44"/>
        <v>17.570794057142859</v>
      </c>
      <c r="U260" s="6">
        <f t="shared" si="44"/>
        <v>0</v>
      </c>
      <c r="V260" s="6">
        <f t="shared" si="44"/>
        <v>0</v>
      </c>
      <c r="W260" s="6">
        <f t="shared" si="44"/>
        <v>0</v>
      </c>
      <c r="X260" s="6">
        <f t="shared" si="42"/>
        <v>17.570794057142859</v>
      </c>
      <c r="Y260" s="6"/>
      <c r="Z260" s="6"/>
      <c r="AA260" s="6"/>
      <c r="AB260" s="6"/>
      <c r="AC260" s="6"/>
      <c r="AD260" s="6"/>
      <c r="AE260" s="6"/>
    </row>
    <row r="261" spans="1:32" s="5" customFormat="1" ht="20.100000000000001" customHeight="1" x14ac:dyDescent="0.25">
      <c r="A261" s="7"/>
      <c r="B261" s="6" t="s">
        <v>140</v>
      </c>
      <c r="C261" s="9" t="s">
        <v>1</v>
      </c>
      <c r="D261" s="6">
        <v>20</v>
      </c>
      <c r="E261" s="6"/>
      <c r="F261" s="6">
        <v>4</v>
      </c>
      <c r="G261" s="8">
        <f>VLOOKUP(D261,$C$20:$F$26,3,0)</f>
        <v>1</v>
      </c>
      <c r="H261" s="6"/>
      <c r="I261" s="6"/>
      <c r="J261" s="6"/>
      <c r="K261" s="6"/>
      <c r="L261" s="6"/>
      <c r="M261" s="6"/>
      <c r="N261" s="6"/>
      <c r="O261" s="6">
        <f>(E258+1*(G261+(2*D261/1000)))*D258</f>
        <v>7.8310000000000004</v>
      </c>
      <c r="P261" s="6">
        <f>O261*F261</f>
        <v>31.324000000000002</v>
      </c>
      <c r="Q261" s="6">
        <f t="shared" si="44"/>
        <v>0</v>
      </c>
      <c r="R261" s="6">
        <f t="shared" si="44"/>
        <v>0</v>
      </c>
      <c r="S261" s="6">
        <f t="shared" si="44"/>
        <v>0</v>
      </c>
      <c r="T261" s="6">
        <f t="shared" si="44"/>
        <v>0</v>
      </c>
      <c r="U261" s="6">
        <f t="shared" si="44"/>
        <v>77.280782857142853</v>
      </c>
      <c r="V261" s="6">
        <f t="shared" si="44"/>
        <v>0</v>
      </c>
      <c r="W261" s="6">
        <f t="shared" si="44"/>
        <v>0</v>
      </c>
      <c r="X261" s="6">
        <f t="shared" si="42"/>
        <v>77.280782857142853</v>
      </c>
      <c r="Y261" s="6"/>
      <c r="Z261" s="6"/>
      <c r="AA261" s="6"/>
      <c r="AB261" s="6"/>
      <c r="AC261" s="6"/>
      <c r="AD261" s="6"/>
      <c r="AE261" s="6"/>
    </row>
    <row r="262" spans="1:32" s="5" customFormat="1" ht="20.100000000000001" customHeight="1" x14ac:dyDescent="0.25">
      <c r="A262" s="7"/>
      <c r="B262" s="6" t="s">
        <v>140</v>
      </c>
      <c r="C262" s="9" t="s">
        <v>1</v>
      </c>
      <c r="D262" s="6">
        <v>20</v>
      </c>
      <c r="E262" s="6"/>
      <c r="F262" s="6">
        <v>4</v>
      </c>
      <c r="G262" s="8">
        <f>VLOOKUP(D262,$C$20:$F$26,3,0)</f>
        <v>1</v>
      </c>
      <c r="H262" s="6"/>
      <c r="I262" s="6"/>
      <c r="J262" s="6"/>
      <c r="K262" s="6"/>
      <c r="L262" s="6"/>
      <c r="M262" s="6"/>
      <c r="N262" s="6"/>
      <c r="O262" s="6">
        <f>+E258-0.575-0.55</f>
        <v>5.6660000000000004</v>
      </c>
      <c r="P262" s="6">
        <f>O262*F262</f>
        <v>22.664000000000001</v>
      </c>
      <c r="Q262" s="6">
        <f t="shared" si="44"/>
        <v>0</v>
      </c>
      <c r="R262" s="6">
        <f t="shared" si="44"/>
        <v>0</v>
      </c>
      <c r="S262" s="6">
        <f t="shared" si="44"/>
        <v>0</v>
      </c>
      <c r="T262" s="6">
        <f t="shared" si="44"/>
        <v>0</v>
      </c>
      <c r="U262" s="6">
        <f t="shared" si="44"/>
        <v>55.915325714285714</v>
      </c>
      <c r="V262" s="6">
        <f t="shared" si="44"/>
        <v>0</v>
      </c>
      <c r="W262" s="6">
        <f t="shared" si="44"/>
        <v>0</v>
      </c>
      <c r="X262" s="6">
        <f t="shared" si="42"/>
        <v>55.915325714285714</v>
      </c>
      <c r="Y262" s="6"/>
      <c r="Z262" s="6"/>
      <c r="AA262" s="6"/>
      <c r="AB262" s="6"/>
      <c r="AC262" s="6"/>
      <c r="AD262" s="6"/>
      <c r="AE262" s="6"/>
    </row>
    <row r="263" spans="1:32" s="5" customFormat="1" ht="20.100000000000001" customHeight="1" x14ac:dyDescent="0.25">
      <c r="A263" s="7"/>
      <c r="B263" s="6" t="s">
        <v>140</v>
      </c>
      <c r="C263" s="9" t="s">
        <v>0</v>
      </c>
      <c r="D263" s="6">
        <v>10</v>
      </c>
      <c r="E263" s="6">
        <v>0.1</v>
      </c>
      <c r="F263" s="6">
        <f>ROUND(IF(E258/3&gt;(2*G258),(E258/3)/E263,(2*G258)/E263),0)*2+1</f>
        <v>47</v>
      </c>
      <c r="G263" s="8"/>
      <c r="H263" s="6"/>
      <c r="I263" s="6"/>
      <c r="J263" s="6"/>
      <c r="K263" s="6"/>
      <c r="L263" s="6"/>
      <c r="M263" s="6"/>
      <c r="N263" s="6"/>
      <c r="O263" s="6">
        <f>(2*((G258-(2*$D$11))+(F258-(2*$D$11)))+(2*10*D263/1000))*D258</f>
        <v>2.2600000000000002</v>
      </c>
      <c r="P263" s="6">
        <f>O263*F263</f>
        <v>106.22000000000001</v>
      </c>
      <c r="Q263" s="6">
        <f t="shared" si="44"/>
        <v>0</v>
      </c>
      <c r="R263" s="6">
        <f t="shared" si="44"/>
        <v>65.514978571428571</v>
      </c>
      <c r="S263" s="6">
        <f t="shared" si="44"/>
        <v>0</v>
      </c>
      <c r="T263" s="6">
        <f t="shared" si="44"/>
        <v>0</v>
      </c>
      <c r="U263" s="6">
        <f t="shared" si="44"/>
        <v>0</v>
      </c>
      <c r="V263" s="6">
        <f t="shared" si="44"/>
        <v>0</v>
      </c>
      <c r="W263" s="6">
        <f t="shared" si="44"/>
        <v>0</v>
      </c>
      <c r="X263" s="6">
        <f t="shared" si="42"/>
        <v>65.514978571428571</v>
      </c>
      <c r="Y263" s="6"/>
      <c r="Z263" s="6"/>
      <c r="AA263" s="6"/>
      <c r="AB263" s="6"/>
      <c r="AC263" s="6"/>
      <c r="AD263" s="6"/>
      <c r="AE263" s="6"/>
    </row>
    <row r="264" spans="1:32" s="12" customFormat="1" ht="20.100000000000001" customHeight="1" x14ac:dyDescent="0.25">
      <c r="B264" s="6" t="s">
        <v>140</v>
      </c>
      <c r="C264" s="9" t="s">
        <v>25</v>
      </c>
      <c r="D264" s="6">
        <f>+D263</f>
        <v>10</v>
      </c>
      <c r="E264" s="6">
        <f>+E263</f>
        <v>0.1</v>
      </c>
      <c r="F264" s="12">
        <f>+F263</f>
        <v>47</v>
      </c>
      <c r="G264" s="5"/>
      <c r="O264" s="3">
        <f>((((G258-(2*$D$11))+(2*10*D264/1000))*D258))*2</f>
        <v>1.7799999999999998</v>
      </c>
      <c r="P264" s="6">
        <f>O264*F264</f>
        <v>83.66</v>
      </c>
      <c r="Q264" s="6">
        <f t="shared" si="44"/>
        <v>0</v>
      </c>
      <c r="R264" s="6">
        <f t="shared" si="44"/>
        <v>51.600292857142854</v>
      </c>
      <c r="S264" s="6">
        <f t="shared" si="44"/>
        <v>0</v>
      </c>
      <c r="T264" s="6">
        <f t="shared" si="44"/>
        <v>0</v>
      </c>
      <c r="U264" s="6">
        <f t="shared" si="44"/>
        <v>0</v>
      </c>
      <c r="V264" s="6">
        <f t="shared" si="44"/>
        <v>0</v>
      </c>
      <c r="W264" s="6">
        <f t="shared" si="44"/>
        <v>0</v>
      </c>
      <c r="X264" s="6">
        <f t="shared" si="42"/>
        <v>51.600292857142854</v>
      </c>
    </row>
    <row r="265" spans="1:32" s="12" customFormat="1" ht="20.100000000000001" customHeight="1" x14ac:dyDescent="0.3">
      <c r="B265" s="6" t="s">
        <v>140</v>
      </c>
      <c r="C265" s="9" t="s">
        <v>0</v>
      </c>
      <c r="D265" s="12">
        <v>10</v>
      </c>
      <c r="E265" s="12">
        <v>0.15</v>
      </c>
      <c r="F265" s="12">
        <f>ROUND((E258-(IF(E258/3&gt;2*G258,E258/3*2,G258*2*2)))/E265,0)</f>
        <v>15</v>
      </c>
      <c r="O265" s="6">
        <f>(2*((G258-(2*$D$11))+(F258-(2*$D$11)))+(2*10*D265/1000))*D258</f>
        <v>2.2600000000000002</v>
      </c>
      <c r="P265" s="6">
        <f t="shared" ref="P265" si="50">O265*F265</f>
        <v>33.900000000000006</v>
      </c>
      <c r="Q265" s="6">
        <f t="shared" si="44"/>
        <v>0</v>
      </c>
      <c r="R265" s="6">
        <f t="shared" si="44"/>
        <v>20.909035714285718</v>
      </c>
      <c r="S265" s="6">
        <f t="shared" si="44"/>
        <v>0</v>
      </c>
      <c r="T265" s="6">
        <f t="shared" si="44"/>
        <v>0</v>
      </c>
      <c r="U265" s="6">
        <f t="shared" si="44"/>
        <v>0</v>
      </c>
      <c r="V265" s="6">
        <f t="shared" si="44"/>
        <v>0</v>
      </c>
      <c r="W265" s="6">
        <f t="shared" si="44"/>
        <v>0</v>
      </c>
      <c r="X265" s="6">
        <f t="shared" si="42"/>
        <v>20.909035714285718</v>
      </c>
    </row>
    <row r="266" spans="1:32" s="12" customFormat="1" ht="20.100000000000001" customHeight="1" x14ac:dyDescent="0.25">
      <c r="B266" s="6" t="s">
        <v>140</v>
      </c>
      <c r="C266" s="9" t="s">
        <v>25</v>
      </c>
      <c r="D266" s="6">
        <f>+D265</f>
        <v>10</v>
      </c>
      <c r="E266" s="6">
        <f>+E265</f>
        <v>0.15</v>
      </c>
      <c r="F266" s="12">
        <f>+F265</f>
        <v>15</v>
      </c>
      <c r="G266" s="5"/>
      <c r="O266" s="3">
        <f>((((G258-(2*$D$11))+(2*10*D266/1000))*D258))*2</f>
        <v>1.7799999999999998</v>
      </c>
      <c r="P266" s="6">
        <f>O266*F266</f>
        <v>26.699999999999996</v>
      </c>
      <c r="Q266" s="6">
        <f t="shared" si="44"/>
        <v>0</v>
      </c>
      <c r="R266" s="6">
        <f t="shared" si="44"/>
        <v>16.468178571428567</v>
      </c>
      <c r="S266" s="6">
        <f t="shared" si="44"/>
        <v>0</v>
      </c>
      <c r="T266" s="6">
        <f t="shared" si="44"/>
        <v>0</v>
      </c>
      <c r="U266" s="6">
        <f t="shared" si="44"/>
        <v>0</v>
      </c>
      <c r="V266" s="6">
        <f t="shared" si="44"/>
        <v>0</v>
      </c>
      <c r="W266" s="6">
        <f t="shared" si="44"/>
        <v>0</v>
      </c>
      <c r="X266" s="6">
        <f t="shared" si="42"/>
        <v>16.468178571428567</v>
      </c>
    </row>
    <row r="267" spans="1:32" s="5" customFormat="1" ht="20.100000000000001" customHeight="1" x14ac:dyDescent="0.25">
      <c r="A267" s="7"/>
      <c r="B267" s="6" t="s">
        <v>140</v>
      </c>
      <c r="C267" s="9" t="s">
        <v>17</v>
      </c>
      <c r="D267" s="6">
        <f>+$D$15</f>
        <v>25</v>
      </c>
      <c r="E267" s="6">
        <f>+$E$15</f>
        <v>1</v>
      </c>
      <c r="F267" s="6">
        <f>ROUNDUP((1.95+1.95)/E267,0)+1</f>
        <v>5</v>
      </c>
      <c r="G267" s="8"/>
      <c r="H267" s="8"/>
      <c r="I267" s="6"/>
      <c r="J267" s="6"/>
      <c r="K267" s="6"/>
      <c r="L267" s="6"/>
      <c r="M267" s="6"/>
      <c r="N267" s="6"/>
      <c r="O267" s="6">
        <f>+F258-(2*$D$11)</f>
        <v>0.34</v>
      </c>
      <c r="P267" s="6">
        <f t="shared" ref="P267" si="51">O267*F267</f>
        <v>1.7000000000000002</v>
      </c>
      <c r="Q267" s="6">
        <f t="shared" si="44"/>
        <v>0</v>
      </c>
      <c r="R267" s="6">
        <f t="shared" si="44"/>
        <v>0</v>
      </c>
      <c r="S267" s="6">
        <f t="shared" si="44"/>
        <v>0</v>
      </c>
      <c r="T267" s="6">
        <f t="shared" si="44"/>
        <v>0</v>
      </c>
      <c r="U267" s="6">
        <f t="shared" si="44"/>
        <v>0</v>
      </c>
      <c r="V267" s="6">
        <f t="shared" si="44"/>
        <v>6.553348214285716</v>
      </c>
      <c r="W267" s="6">
        <f t="shared" si="44"/>
        <v>0</v>
      </c>
      <c r="X267" s="6">
        <f t="shared" si="42"/>
        <v>6.553348214285716</v>
      </c>
      <c r="Y267" s="6"/>
      <c r="Z267" s="6"/>
      <c r="AA267" s="6"/>
      <c r="AB267" s="6"/>
      <c r="AC267" s="6"/>
      <c r="AD267" s="6"/>
      <c r="AE267" s="6"/>
    </row>
    <row r="268" spans="1:32" s="5" customFormat="1" ht="21" customHeight="1" x14ac:dyDescent="0.25">
      <c r="A268" s="6">
        <f>+A258+1</f>
        <v>31</v>
      </c>
      <c r="B268" s="6" t="s">
        <v>140</v>
      </c>
      <c r="C268" s="11" t="s">
        <v>57</v>
      </c>
      <c r="D268" s="11">
        <v>1</v>
      </c>
      <c r="E268" s="11">
        <v>3.198</v>
      </c>
      <c r="F268" s="11">
        <v>0.4</v>
      </c>
      <c r="G268" s="11">
        <v>0.75</v>
      </c>
      <c r="H268" s="6">
        <f>G268-0.2</f>
        <v>0.55000000000000004</v>
      </c>
      <c r="I268" s="6">
        <f>E268*F268*G268*D268</f>
        <v>0.95940000000000003</v>
      </c>
      <c r="J268" s="6">
        <f>(2*(E268)*H268*D268)+(E268*F268)</f>
        <v>4.7970000000000006</v>
      </c>
      <c r="K268" s="10">
        <f>IF(E268=0.3,J268,0)</f>
        <v>0</v>
      </c>
      <c r="L268" s="10">
        <f>IF(AND(E268&gt;0.3,E268&lt;=0.75),J268,0)</f>
        <v>0</v>
      </c>
      <c r="M268" s="10">
        <f>IF(AND(E268&gt;0.75,E268&lt;=1.2),J268,0)</f>
        <v>0</v>
      </c>
      <c r="N268" s="10">
        <f>IF(E268&gt;1.2,J268,0)</f>
        <v>4.7970000000000006</v>
      </c>
      <c r="O268" s="6"/>
      <c r="P268" s="6"/>
      <c r="Q268" s="6">
        <f t="shared" si="44"/>
        <v>0</v>
      </c>
      <c r="R268" s="6">
        <f t="shared" si="44"/>
        <v>0</v>
      </c>
      <c r="S268" s="6">
        <f t="shared" si="44"/>
        <v>0</v>
      </c>
      <c r="T268" s="6">
        <f t="shared" si="44"/>
        <v>0</v>
      </c>
      <c r="U268" s="6">
        <f t="shared" si="44"/>
        <v>0</v>
      </c>
      <c r="V268" s="6">
        <f t="shared" si="44"/>
        <v>0</v>
      </c>
      <c r="W268" s="6">
        <f t="shared" si="44"/>
        <v>0</v>
      </c>
      <c r="X268" s="6">
        <f t="shared" si="42"/>
        <v>0</v>
      </c>
      <c r="Y268" s="7">
        <f>SUM(X269:X274)/I268</f>
        <v>181.75112784776198</v>
      </c>
      <c r="Z268" s="6"/>
      <c r="AA268" s="6"/>
      <c r="AB268" s="6"/>
      <c r="AC268" s="6"/>
      <c r="AD268" s="6"/>
      <c r="AE268" s="6"/>
      <c r="AF268" s="6"/>
    </row>
    <row r="269" spans="1:32" s="5" customFormat="1" ht="20.100000000000001" customHeight="1" x14ac:dyDescent="0.25">
      <c r="A269" s="7"/>
      <c r="B269" s="6" t="s">
        <v>140</v>
      </c>
      <c r="C269" s="9" t="s">
        <v>2</v>
      </c>
      <c r="D269" s="6">
        <v>16</v>
      </c>
      <c r="E269" s="6"/>
      <c r="F269" s="6">
        <v>4</v>
      </c>
      <c r="G269" s="8">
        <f>VLOOKUP(D269,$C$20:$F$26,3,0)</f>
        <v>0.8</v>
      </c>
      <c r="H269" s="8"/>
      <c r="I269" s="6"/>
      <c r="J269" s="6"/>
      <c r="K269" s="6"/>
      <c r="L269" s="6"/>
      <c r="M269" s="6"/>
      <c r="N269" s="6"/>
      <c r="O269" s="6">
        <f>(E268+2*(G269+(2*D269/1000)))*D268</f>
        <v>4.8620000000000001</v>
      </c>
      <c r="P269" s="6">
        <f t="shared" ref="P269:P270" si="52">O269*F269</f>
        <v>19.448</v>
      </c>
      <c r="Q269" s="6">
        <f t="shared" si="44"/>
        <v>0</v>
      </c>
      <c r="R269" s="6">
        <f t="shared" si="44"/>
        <v>0</v>
      </c>
      <c r="S269" s="6">
        <f t="shared" si="44"/>
        <v>0</v>
      </c>
      <c r="T269" s="6">
        <f t="shared" si="44"/>
        <v>30.707836342857146</v>
      </c>
      <c r="U269" s="6">
        <f t="shared" si="44"/>
        <v>0</v>
      </c>
      <c r="V269" s="6">
        <f t="shared" si="44"/>
        <v>0</v>
      </c>
      <c r="W269" s="6">
        <f t="shared" si="44"/>
        <v>0</v>
      </c>
      <c r="X269" s="6">
        <f t="shared" si="42"/>
        <v>30.707836342857146</v>
      </c>
      <c r="Y269" s="6"/>
      <c r="Z269" s="6"/>
      <c r="AA269" s="6"/>
      <c r="AB269" s="6"/>
      <c r="AC269" s="6"/>
      <c r="AD269" s="6"/>
      <c r="AE269" s="6"/>
    </row>
    <row r="270" spans="1:32" s="5" customFormat="1" ht="20.100000000000001" customHeight="1" x14ac:dyDescent="0.25">
      <c r="A270" s="7"/>
      <c r="B270" s="6" t="s">
        <v>140</v>
      </c>
      <c r="C270" s="9" t="s">
        <v>26</v>
      </c>
      <c r="D270" s="6">
        <v>16</v>
      </c>
      <c r="E270" s="6"/>
      <c r="F270" s="6">
        <v>4</v>
      </c>
      <c r="G270" s="8">
        <f>VLOOKUP(D270,$C$20:$F$26,3,0)</f>
        <v>0.8</v>
      </c>
      <c r="H270" s="8"/>
      <c r="I270" s="6"/>
      <c r="J270" s="6"/>
      <c r="K270" s="6"/>
      <c r="L270" s="6"/>
      <c r="M270" s="6"/>
      <c r="N270" s="6"/>
      <c r="O270" s="6">
        <f>1.95+0.75+1.2</f>
        <v>3.9000000000000004</v>
      </c>
      <c r="P270" s="6">
        <f t="shared" si="52"/>
        <v>15.600000000000001</v>
      </c>
      <c r="Q270" s="6">
        <f t="shared" si="44"/>
        <v>0</v>
      </c>
      <c r="R270" s="6">
        <f t="shared" si="44"/>
        <v>0</v>
      </c>
      <c r="S270" s="6">
        <f t="shared" si="44"/>
        <v>0</v>
      </c>
      <c r="T270" s="6">
        <f t="shared" si="44"/>
        <v>24.63195428571429</v>
      </c>
      <c r="U270" s="6">
        <f t="shared" si="44"/>
        <v>0</v>
      </c>
      <c r="V270" s="6">
        <f t="shared" si="44"/>
        <v>0</v>
      </c>
      <c r="W270" s="6">
        <f t="shared" si="44"/>
        <v>0</v>
      </c>
      <c r="X270" s="6">
        <f t="shared" si="42"/>
        <v>24.63195428571429</v>
      </c>
      <c r="Y270" s="6"/>
      <c r="Z270" s="6"/>
      <c r="AA270" s="6"/>
      <c r="AB270" s="6"/>
      <c r="AC270" s="6"/>
      <c r="AD270" s="6"/>
      <c r="AE270" s="6"/>
    </row>
    <row r="271" spans="1:32" s="5" customFormat="1" ht="20.100000000000001" customHeight="1" x14ac:dyDescent="0.25">
      <c r="A271" s="7"/>
      <c r="B271" s="6" t="s">
        <v>140</v>
      </c>
      <c r="C271" s="9" t="s">
        <v>1</v>
      </c>
      <c r="D271" s="6">
        <v>20</v>
      </c>
      <c r="E271" s="6"/>
      <c r="F271" s="6">
        <v>4</v>
      </c>
      <c r="G271" s="8">
        <f>VLOOKUP(D271,$C$20:$F$26,3,0)</f>
        <v>1</v>
      </c>
      <c r="H271" s="6"/>
      <c r="I271" s="6"/>
      <c r="J271" s="6"/>
      <c r="K271" s="6"/>
      <c r="L271" s="6"/>
      <c r="M271" s="6"/>
      <c r="N271" s="6"/>
      <c r="O271" s="6">
        <f>+E268</f>
        <v>3.198</v>
      </c>
      <c r="P271" s="6">
        <f>O271*F271</f>
        <v>12.792</v>
      </c>
      <c r="Q271" s="6">
        <f t="shared" si="44"/>
        <v>0</v>
      </c>
      <c r="R271" s="6">
        <f t="shared" si="44"/>
        <v>0</v>
      </c>
      <c r="S271" s="6">
        <f t="shared" si="44"/>
        <v>0</v>
      </c>
      <c r="T271" s="6">
        <f t="shared" si="44"/>
        <v>0</v>
      </c>
      <c r="U271" s="6">
        <f t="shared" si="44"/>
        <v>31.559691428571426</v>
      </c>
      <c r="V271" s="6">
        <f t="shared" si="44"/>
        <v>0</v>
      </c>
      <c r="W271" s="6">
        <f t="shared" si="44"/>
        <v>0</v>
      </c>
      <c r="X271" s="6">
        <f t="shared" si="42"/>
        <v>31.559691428571426</v>
      </c>
      <c r="Y271" s="6"/>
      <c r="Z271" s="6"/>
      <c r="AA271" s="6"/>
      <c r="AB271" s="6"/>
      <c r="AC271" s="6"/>
      <c r="AD271" s="6"/>
      <c r="AE271" s="6"/>
    </row>
    <row r="272" spans="1:32" s="5" customFormat="1" ht="20.100000000000001" customHeight="1" x14ac:dyDescent="0.25">
      <c r="A272" s="6"/>
      <c r="B272" s="6" t="s">
        <v>140</v>
      </c>
      <c r="C272" s="9" t="s">
        <v>0</v>
      </c>
      <c r="D272" s="6">
        <v>10</v>
      </c>
      <c r="E272" s="6">
        <v>0.1</v>
      </c>
      <c r="F272" s="6">
        <f>+ROUND(E268/E272,0)+1</f>
        <v>33</v>
      </c>
      <c r="G272" s="8"/>
      <c r="H272" s="6"/>
      <c r="I272" s="6"/>
      <c r="J272" s="6"/>
      <c r="K272" s="6"/>
      <c r="L272" s="6"/>
      <c r="M272" s="6"/>
      <c r="N272" s="6"/>
      <c r="O272" s="6">
        <f>(2*((G268-(2*$D$11))+(F268-(2*$D$11)))+(2*10*D272/1000))*D268</f>
        <v>2.2600000000000002</v>
      </c>
      <c r="P272" s="6">
        <f t="shared" ref="P272:P274" si="53">O272*F272</f>
        <v>74.580000000000013</v>
      </c>
      <c r="Q272" s="6">
        <f t="shared" si="44"/>
        <v>0</v>
      </c>
      <c r="R272" s="6">
        <f t="shared" si="44"/>
        <v>45.999878571428575</v>
      </c>
      <c r="S272" s="6">
        <f t="shared" si="44"/>
        <v>0</v>
      </c>
      <c r="T272" s="6">
        <f t="shared" si="44"/>
        <v>0</v>
      </c>
      <c r="U272" s="6">
        <f t="shared" si="44"/>
        <v>0</v>
      </c>
      <c r="V272" s="6">
        <f t="shared" si="44"/>
        <v>0</v>
      </c>
      <c r="W272" s="6">
        <f t="shared" si="44"/>
        <v>0</v>
      </c>
      <c r="X272" s="6">
        <f t="shared" si="42"/>
        <v>45.999878571428575</v>
      </c>
      <c r="Y272" s="6"/>
      <c r="Z272" s="6"/>
      <c r="AA272" s="6"/>
      <c r="AB272" s="6"/>
      <c r="AC272" s="6"/>
      <c r="AD272" s="6"/>
      <c r="AE272" s="6"/>
    </row>
    <row r="273" spans="1:32" s="12" customFormat="1" ht="20.100000000000001" customHeight="1" x14ac:dyDescent="0.25">
      <c r="B273" s="6" t="s">
        <v>140</v>
      </c>
      <c r="C273" s="9" t="s">
        <v>25</v>
      </c>
      <c r="D273" s="6">
        <f>+D272</f>
        <v>10</v>
      </c>
      <c r="E273" s="6">
        <f>+E272</f>
        <v>0.1</v>
      </c>
      <c r="F273" s="12">
        <f>+F272</f>
        <v>33</v>
      </c>
      <c r="G273" s="5"/>
      <c r="O273" s="3">
        <f>((((G268-(2*$D$11))+(2*10*D273/1000))*D268))*2</f>
        <v>1.7799999999999998</v>
      </c>
      <c r="P273" s="6">
        <f>O273*F273</f>
        <v>58.739999999999995</v>
      </c>
      <c r="Q273" s="6">
        <f t="shared" si="44"/>
        <v>0</v>
      </c>
      <c r="R273" s="6">
        <f t="shared" si="44"/>
        <v>36.229992857142854</v>
      </c>
      <c r="S273" s="6">
        <f t="shared" si="44"/>
        <v>0</v>
      </c>
      <c r="T273" s="6">
        <f t="shared" si="44"/>
        <v>0</v>
      </c>
      <c r="U273" s="6">
        <f t="shared" si="44"/>
        <v>0</v>
      </c>
      <c r="V273" s="6">
        <f t="shared" si="44"/>
        <v>0</v>
      </c>
      <c r="W273" s="6">
        <f t="shared" si="44"/>
        <v>0</v>
      </c>
      <c r="X273" s="6">
        <f t="shared" si="42"/>
        <v>36.229992857142854</v>
      </c>
    </row>
    <row r="274" spans="1:32" s="5" customFormat="1" ht="20.100000000000001" customHeight="1" x14ac:dyDescent="0.25">
      <c r="A274" s="7"/>
      <c r="B274" s="6" t="s">
        <v>140</v>
      </c>
      <c r="C274" s="9" t="s">
        <v>17</v>
      </c>
      <c r="D274" s="6">
        <f>+$D$15</f>
        <v>25</v>
      </c>
      <c r="E274" s="6">
        <f>+$E$15</f>
        <v>1</v>
      </c>
      <c r="F274" s="6">
        <f>ROUNDUP((1.2+1.2)/E274,0)+1</f>
        <v>4</v>
      </c>
      <c r="G274" s="8"/>
      <c r="H274" s="8"/>
      <c r="I274" s="6"/>
      <c r="J274" s="6"/>
      <c r="K274" s="6"/>
      <c r="L274" s="6"/>
      <c r="M274" s="6"/>
      <c r="N274" s="6"/>
      <c r="O274" s="6">
        <f>+F268-(2*$D$11)</f>
        <v>0.34</v>
      </c>
      <c r="P274" s="6">
        <f t="shared" si="53"/>
        <v>1.36</v>
      </c>
      <c r="Q274" s="6">
        <f t="shared" si="44"/>
        <v>0</v>
      </c>
      <c r="R274" s="6">
        <f t="shared" si="44"/>
        <v>0</v>
      </c>
      <c r="S274" s="6">
        <f t="shared" si="44"/>
        <v>0</v>
      </c>
      <c r="T274" s="6">
        <f t="shared" si="44"/>
        <v>0</v>
      </c>
      <c r="U274" s="6">
        <f t="shared" si="44"/>
        <v>0</v>
      </c>
      <c r="V274" s="6">
        <f t="shared" si="44"/>
        <v>5.2426785714285726</v>
      </c>
      <c r="W274" s="6">
        <f t="shared" si="44"/>
        <v>0</v>
      </c>
      <c r="X274" s="6">
        <f t="shared" si="42"/>
        <v>5.2426785714285726</v>
      </c>
      <c r="Y274" s="6"/>
      <c r="Z274" s="6"/>
      <c r="AA274" s="6"/>
      <c r="AB274" s="6"/>
      <c r="AC274" s="6"/>
      <c r="AD274" s="6"/>
      <c r="AE274" s="6"/>
    </row>
    <row r="275" spans="1:32" s="5" customFormat="1" ht="21" customHeight="1" x14ac:dyDescent="0.25">
      <c r="A275" s="6">
        <f>+A268+1</f>
        <v>32</v>
      </c>
      <c r="B275" s="6" t="s">
        <v>140</v>
      </c>
      <c r="C275" s="11" t="s">
        <v>56</v>
      </c>
      <c r="D275" s="11">
        <v>1</v>
      </c>
      <c r="E275" s="11">
        <v>3.45</v>
      </c>
      <c r="F275" s="11">
        <v>0.4</v>
      </c>
      <c r="G275" s="11">
        <v>0.75</v>
      </c>
      <c r="H275" s="6">
        <f>G275-0.2</f>
        <v>0.55000000000000004</v>
      </c>
      <c r="I275" s="6">
        <f>E275*F275*G275*D275</f>
        <v>1.0350000000000001</v>
      </c>
      <c r="J275" s="6">
        <f>(2*(E275)*H275*D275)+(E275*F275)</f>
        <v>5.1750000000000007</v>
      </c>
      <c r="K275" s="10">
        <f>IF(E275=0.3,J275,0)</f>
        <v>0</v>
      </c>
      <c r="L275" s="10">
        <f>IF(AND(E275&gt;0.3,E275&lt;=0.75),J275,0)</f>
        <v>0</v>
      </c>
      <c r="M275" s="10">
        <f>IF(AND(E275&gt;0.75,E275&lt;=1.2),J275,0)</f>
        <v>0</v>
      </c>
      <c r="N275" s="10">
        <f>IF(E275&gt;1.2,J275,0)</f>
        <v>5.1750000000000007</v>
      </c>
      <c r="O275" s="6"/>
      <c r="P275" s="6"/>
      <c r="Q275" s="6">
        <f t="shared" si="44"/>
        <v>0</v>
      </c>
      <c r="R275" s="6">
        <f t="shared" si="44"/>
        <v>0</v>
      </c>
      <c r="S275" s="6">
        <f t="shared" si="44"/>
        <v>0</v>
      </c>
      <c r="T275" s="6">
        <f t="shared" si="44"/>
        <v>0</v>
      </c>
      <c r="U275" s="6">
        <f t="shared" si="44"/>
        <v>0</v>
      </c>
      <c r="V275" s="6">
        <f t="shared" si="44"/>
        <v>0</v>
      </c>
      <c r="W275" s="6">
        <f t="shared" si="44"/>
        <v>0</v>
      </c>
      <c r="X275" s="6">
        <f t="shared" si="42"/>
        <v>0</v>
      </c>
      <c r="Y275" s="7">
        <f>SUM(X276:X282)/I275</f>
        <v>156.95557625948931</v>
      </c>
      <c r="Z275" s="6"/>
      <c r="AA275" s="6"/>
      <c r="AB275" s="6"/>
      <c r="AC275" s="6"/>
      <c r="AD275" s="6"/>
      <c r="AE275" s="6"/>
      <c r="AF275" s="6"/>
    </row>
    <row r="276" spans="1:32" s="5" customFormat="1" ht="20.100000000000001" customHeight="1" x14ac:dyDescent="0.25">
      <c r="A276" s="7"/>
      <c r="B276" s="6" t="s">
        <v>140</v>
      </c>
      <c r="C276" s="9" t="s">
        <v>2</v>
      </c>
      <c r="D276" s="6">
        <v>16</v>
      </c>
      <c r="E276" s="6"/>
      <c r="F276" s="6">
        <v>4</v>
      </c>
      <c r="G276" s="8">
        <f>VLOOKUP(D276,$C$20:$F$26,3,0)</f>
        <v>0.8</v>
      </c>
      <c r="H276" s="8"/>
      <c r="I276" s="6"/>
      <c r="J276" s="6"/>
      <c r="K276" s="6"/>
      <c r="L276" s="6"/>
      <c r="M276" s="6"/>
      <c r="N276" s="6"/>
      <c r="O276" s="6">
        <f>(E275+2*(G276+(2*D276/1000)))*D275</f>
        <v>5.1140000000000008</v>
      </c>
      <c r="P276" s="6">
        <f t="shared" ref="P276:P278" si="54">O276*F276</f>
        <v>20.456000000000003</v>
      </c>
      <c r="Q276" s="6">
        <f t="shared" si="44"/>
        <v>0</v>
      </c>
      <c r="R276" s="6">
        <f t="shared" si="44"/>
        <v>0</v>
      </c>
      <c r="S276" s="6">
        <f t="shared" si="44"/>
        <v>0</v>
      </c>
      <c r="T276" s="6">
        <f t="shared" si="44"/>
        <v>32.299439542857151</v>
      </c>
      <c r="U276" s="6">
        <f t="shared" si="44"/>
        <v>0</v>
      </c>
      <c r="V276" s="6">
        <f t="shared" si="44"/>
        <v>0</v>
      </c>
      <c r="W276" s="6">
        <f t="shared" si="44"/>
        <v>0</v>
      </c>
      <c r="X276" s="6">
        <f t="shared" si="42"/>
        <v>32.299439542857151</v>
      </c>
      <c r="Y276" s="6"/>
      <c r="Z276" s="6"/>
      <c r="AA276" s="6"/>
      <c r="AB276" s="6"/>
      <c r="AC276" s="6"/>
      <c r="AD276" s="6"/>
      <c r="AE276" s="6"/>
    </row>
    <row r="277" spans="1:32" s="5" customFormat="1" ht="20.100000000000001" customHeight="1" x14ac:dyDescent="0.25">
      <c r="A277" s="7"/>
      <c r="B277" s="6" t="s">
        <v>140</v>
      </c>
      <c r="C277" s="9" t="s">
        <v>26</v>
      </c>
      <c r="D277" s="6">
        <v>16</v>
      </c>
      <c r="E277" s="6"/>
      <c r="F277" s="6">
        <v>4</v>
      </c>
      <c r="G277" s="8">
        <f>VLOOKUP(D277,$C$20:$F$26,3,0)</f>
        <v>0.8</v>
      </c>
      <c r="H277" s="8"/>
      <c r="I277" s="6"/>
      <c r="J277" s="6"/>
      <c r="K277" s="6"/>
      <c r="L277" s="6"/>
      <c r="M277" s="6"/>
      <c r="N277" s="6"/>
      <c r="O277" s="6">
        <f>1.2+0.75+1.05</f>
        <v>3</v>
      </c>
      <c r="P277" s="6">
        <f t="shared" si="54"/>
        <v>12</v>
      </c>
      <c r="Q277" s="6">
        <f t="shared" si="44"/>
        <v>0</v>
      </c>
      <c r="R277" s="6">
        <f t="shared" si="44"/>
        <v>0</v>
      </c>
      <c r="S277" s="6">
        <f t="shared" si="44"/>
        <v>0</v>
      </c>
      <c r="T277" s="6">
        <f t="shared" si="44"/>
        <v>18.947657142857146</v>
      </c>
      <c r="U277" s="6">
        <f t="shared" ref="Q277:W313" si="55">IF($D277=U$36,$P277*U$37,0)</f>
        <v>0</v>
      </c>
      <c r="V277" s="6">
        <f t="shared" si="55"/>
        <v>0</v>
      </c>
      <c r="W277" s="6">
        <f t="shared" si="55"/>
        <v>0</v>
      </c>
      <c r="X277" s="6">
        <f t="shared" si="42"/>
        <v>18.947657142857146</v>
      </c>
      <c r="Y277" s="6"/>
      <c r="Z277" s="6"/>
      <c r="AA277" s="6"/>
      <c r="AB277" s="6"/>
      <c r="AC277" s="6"/>
      <c r="AD277" s="6"/>
      <c r="AE277" s="6"/>
    </row>
    <row r="278" spans="1:32" s="5" customFormat="1" ht="20.100000000000001" customHeight="1" x14ac:dyDescent="0.25">
      <c r="A278" s="7"/>
      <c r="B278" s="6" t="s">
        <v>140</v>
      </c>
      <c r="C278" s="9" t="s">
        <v>26</v>
      </c>
      <c r="D278" s="6">
        <v>16</v>
      </c>
      <c r="E278" s="6"/>
      <c r="F278" s="6">
        <v>2</v>
      </c>
      <c r="G278" s="8">
        <f>VLOOKUP(D278,$C$20:$F$26,3,0)</f>
        <v>0.8</v>
      </c>
      <c r="H278" s="8"/>
      <c r="I278" s="6"/>
      <c r="J278" s="6"/>
      <c r="K278" s="6"/>
      <c r="L278" s="6"/>
      <c r="M278" s="6"/>
      <c r="N278" s="6"/>
      <c r="O278" s="6">
        <f>(1.05+1*(G278+(2*D278/1000)))*D275</f>
        <v>1.8820000000000001</v>
      </c>
      <c r="P278" s="6">
        <f t="shared" si="54"/>
        <v>3.7640000000000002</v>
      </c>
      <c r="Q278" s="6">
        <f t="shared" si="55"/>
        <v>0</v>
      </c>
      <c r="R278" s="6">
        <f t="shared" si="55"/>
        <v>0</v>
      </c>
      <c r="S278" s="6">
        <f t="shared" si="55"/>
        <v>0</v>
      </c>
      <c r="T278" s="6">
        <f t="shared" si="55"/>
        <v>5.9432484571428583</v>
      </c>
      <c r="U278" s="6">
        <f t="shared" si="55"/>
        <v>0</v>
      </c>
      <c r="V278" s="6">
        <f t="shared" si="55"/>
        <v>0</v>
      </c>
      <c r="W278" s="6">
        <f t="shared" si="55"/>
        <v>0</v>
      </c>
      <c r="X278" s="6">
        <f t="shared" si="42"/>
        <v>5.9432484571428583</v>
      </c>
      <c r="Y278" s="6"/>
      <c r="Z278" s="6"/>
      <c r="AA278" s="6"/>
      <c r="AB278" s="6"/>
      <c r="AC278" s="6"/>
      <c r="AD278" s="6"/>
      <c r="AE278" s="6"/>
    </row>
    <row r="279" spans="1:32" s="5" customFormat="1" ht="20.100000000000001" customHeight="1" x14ac:dyDescent="0.25">
      <c r="A279" s="7"/>
      <c r="B279" s="6" t="s">
        <v>140</v>
      </c>
      <c r="C279" s="9" t="s">
        <v>1</v>
      </c>
      <c r="D279" s="6">
        <v>20</v>
      </c>
      <c r="E279" s="6"/>
      <c r="F279" s="6">
        <v>4</v>
      </c>
      <c r="G279" s="8">
        <f>VLOOKUP(D279,$C$20:$F$26,3,0)</f>
        <v>1</v>
      </c>
      <c r="H279" s="6"/>
      <c r="I279" s="6"/>
      <c r="J279" s="6"/>
      <c r="K279" s="6"/>
      <c r="L279" s="6"/>
      <c r="M279" s="6"/>
      <c r="N279" s="6"/>
      <c r="O279" s="6">
        <f>(E275+1*(G279+(2*D279/1000)))*D275</f>
        <v>4.49</v>
      </c>
      <c r="P279" s="6">
        <f>O279*F279</f>
        <v>17.96</v>
      </c>
      <c r="Q279" s="6">
        <f t="shared" si="55"/>
        <v>0</v>
      </c>
      <c r="R279" s="6">
        <f t="shared" si="55"/>
        <v>0</v>
      </c>
      <c r="S279" s="6">
        <f t="shared" si="55"/>
        <v>0</v>
      </c>
      <c r="T279" s="6">
        <f t="shared" si="55"/>
        <v>0</v>
      </c>
      <c r="U279" s="6">
        <f t="shared" si="55"/>
        <v>44.309885714285713</v>
      </c>
      <c r="V279" s="6">
        <f t="shared" si="55"/>
        <v>0</v>
      </c>
      <c r="W279" s="6">
        <f t="shared" si="55"/>
        <v>0</v>
      </c>
      <c r="X279" s="6">
        <f t="shared" si="42"/>
        <v>44.309885714285713</v>
      </c>
      <c r="Y279" s="6"/>
      <c r="Z279" s="6"/>
      <c r="AA279" s="6"/>
      <c r="AB279" s="6"/>
      <c r="AC279" s="6"/>
      <c r="AD279" s="6"/>
      <c r="AE279" s="6"/>
    </row>
    <row r="280" spans="1:32" s="5" customFormat="1" ht="20.100000000000001" customHeight="1" x14ac:dyDescent="0.25">
      <c r="A280" s="6"/>
      <c r="B280" s="6" t="s">
        <v>140</v>
      </c>
      <c r="C280" s="9" t="s">
        <v>0</v>
      </c>
      <c r="D280" s="6">
        <v>8</v>
      </c>
      <c r="E280" s="6">
        <v>0.1</v>
      </c>
      <c r="F280" s="6">
        <f>+ROUND(E275/E280,0)+1</f>
        <v>36</v>
      </c>
      <c r="G280" s="8"/>
      <c r="H280" s="6"/>
      <c r="I280" s="6"/>
      <c r="J280" s="6"/>
      <c r="K280" s="6"/>
      <c r="L280" s="6"/>
      <c r="M280" s="6"/>
      <c r="N280" s="6"/>
      <c r="O280" s="6">
        <f>(2*((G275-(2*$D$11))+(F275-(2*$D$11)))+(2*10*D280/1000))*D275</f>
        <v>2.2200000000000002</v>
      </c>
      <c r="P280" s="6">
        <f>O280*F280</f>
        <v>79.92</v>
      </c>
      <c r="Q280" s="6">
        <f t="shared" si="55"/>
        <v>31.547849142857146</v>
      </c>
      <c r="R280" s="6">
        <f t="shared" si="55"/>
        <v>0</v>
      </c>
      <c r="S280" s="6">
        <f t="shared" si="55"/>
        <v>0</v>
      </c>
      <c r="T280" s="6">
        <f t="shared" si="55"/>
        <v>0</v>
      </c>
      <c r="U280" s="6">
        <f t="shared" si="55"/>
        <v>0</v>
      </c>
      <c r="V280" s="6">
        <f t="shared" si="55"/>
        <v>0</v>
      </c>
      <c r="W280" s="6">
        <f t="shared" si="55"/>
        <v>0</v>
      </c>
      <c r="X280" s="6">
        <f t="shared" si="42"/>
        <v>31.547849142857146</v>
      </c>
      <c r="Y280" s="6"/>
      <c r="Z280" s="6"/>
      <c r="AA280" s="6"/>
      <c r="AB280" s="6"/>
      <c r="AC280" s="6"/>
      <c r="AD280" s="6"/>
      <c r="AE280" s="6"/>
    </row>
    <row r="281" spans="1:32" s="12" customFormat="1" ht="20.100000000000001" customHeight="1" x14ac:dyDescent="0.25">
      <c r="B281" s="6" t="s">
        <v>140</v>
      </c>
      <c r="C281" s="9" t="s">
        <v>25</v>
      </c>
      <c r="D281" s="6">
        <f>+D280</f>
        <v>8</v>
      </c>
      <c r="E281" s="6">
        <f>+E280</f>
        <v>0.1</v>
      </c>
      <c r="F281" s="12">
        <f>+F280</f>
        <v>36</v>
      </c>
      <c r="G281" s="5"/>
      <c r="O281" s="3">
        <f>((((G275-(2*$D$11))+(2*10*D281/1000))*D275))*2</f>
        <v>1.7</v>
      </c>
      <c r="P281" s="6">
        <f>O281*F281</f>
        <v>61.199999999999996</v>
      </c>
      <c r="Q281" s="6">
        <f t="shared" si="55"/>
        <v>24.158262857142859</v>
      </c>
      <c r="R281" s="6">
        <f t="shared" si="55"/>
        <v>0</v>
      </c>
      <c r="S281" s="6">
        <f t="shared" si="55"/>
        <v>0</v>
      </c>
      <c r="T281" s="6">
        <f t="shared" si="55"/>
        <v>0</v>
      </c>
      <c r="U281" s="6">
        <f t="shared" si="55"/>
        <v>0</v>
      </c>
      <c r="V281" s="6">
        <f t="shared" si="55"/>
        <v>0</v>
      </c>
      <c r="W281" s="6">
        <f t="shared" si="55"/>
        <v>0</v>
      </c>
      <c r="X281" s="6">
        <f t="shared" si="42"/>
        <v>24.158262857142859</v>
      </c>
    </row>
    <row r="282" spans="1:32" s="5" customFormat="1" ht="20.100000000000001" customHeight="1" x14ac:dyDescent="0.25">
      <c r="A282" s="7"/>
      <c r="B282" s="6" t="s">
        <v>140</v>
      </c>
      <c r="C282" s="9" t="s">
        <v>17</v>
      </c>
      <c r="D282" s="6">
        <f>+$D$15</f>
        <v>25</v>
      </c>
      <c r="E282" s="6">
        <f>+$E$15</f>
        <v>1</v>
      </c>
      <c r="F282" s="6">
        <f>ROUNDUP((1.05+1.05)/E282,0)+1</f>
        <v>4</v>
      </c>
      <c r="G282" s="8"/>
      <c r="H282" s="8"/>
      <c r="I282" s="6"/>
      <c r="J282" s="6"/>
      <c r="K282" s="6"/>
      <c r="L282" s="6"/>
      <c r="M282" s="6"/>
      <c r="N282" s="6"/>
      <c r="O282" s="6">
        <f>+F275-(2*$D$11)</f>
        <v>0.34</v>
      </c>
      <c r="P282" s="6">
        <f t="shared" ref="P282" si="56">O282*F282</f>
        <v>1.36</v>
      </c>
      <c r="Q282" s="6">
        <f t="shared" si="55"/>
        <v>0</v>
      </c>
      <c r="R282" s="6">
        <f t="shared" si="55"/>
        <v>0</v>
      </c>
      <c r="S282" s="6">
        <f t="shared" si="55"/>
        <v>0</v>
      </c>
      <c r="T282" s="6">
        <f t="shared" si="55"/>
        <v>0</v>
      </c>
      <c r="U282" s="6">
        <f t="shared" si="55"/>
        <v>0</v>
      </c>
      <c r="V282" s="6">
        <f t="shared" si="55"/>
        <v>5.2426785714285726</v>
      </c>
      <c r="W282" s="6">
        <f t="shared" si="55"/>
        <v>0</v>
      </c>
      <c r="X282" s="6">
        <f t="shared" si="42"/>
        <v>5.2426785714285726</v>
      </c>
      <c r="Y282" s="6"/>
      <c r="Z282" s="6"/>
      <c r="AA282" s="6"/>
      <c r="AB282" s="6"/>
      <c r="AC282" s="6"/>
      <c r="AD282" s="6"/>
      <c r="AE282" s="6"/>
    </row>
    <row r="283" spans="1:32" s="5" customFormat="1" ht="21" customHeight="1" x14ac:dyDescent="0.25">
      <c r="A283" s="6">
        <f>+A275+1</f>
        <v>33</v>
      </c>
      <c r="B283" s="6" t="s">
        <v>140</v>
      </c>
      <c r="C283" s="11" t="s">
        <v>55</v>
      </c>
      <c r="D283" s="11">
        <v>1</v>
      </c>
      <c r="E283" s="11">
        <v>1.0980000000000001</v>
      </c>
      <c r="F283" s="11">
        <v>0.2</v>
      </c>
      <c r="G283" s="11">
        <v>0.75</v>
      </c>
      <c r="H283" s="6">
        <f>G283-0.2</f>
        <v>0.55000000000000004</v>
      </c>
      <c r="I283" s="6">
        <f>E283*F283*G283*D283</f>
        <v>0.16470000000000001</v>
      </c>
      <c r="J283" s="6">
        <f>(2*(E283)*H283*D283)+(E283*F283)</f>
        <v>1.4274000000000002</v>
      </c>
      <c r="K283" s="10">
        <f>IF(E283=0.3,J283,0)</f>
        <v>0</v>
      </c>
      <c r="L283" s="10">
        <f>IF(AND(E283&gt;0.3,E283&lt;=0.75),J283,0)</f>
        <v>0</v>
      </c>
      <c r="M283" s="10">
        <f>IF(AND(E283&gt;0.75,E283&lt;=1.2),J283,0)</f>
        <v>1.4274000000000002</v>
      </c>
      <c r="N283" s="10">
        <f>IF(E283&gt;1.2,J283,0)</f>
        <v>0</v>
      </c>
      <c r="O283" s="6"/>
      <c r="P283" s="6"/>
      <c r="Q283" s="6">
        <f t="shared" si="55"/>
        <v>0</v>
      </c>
      <c r="R283" s="6">
        <f t="shared" si="55"/>
        <v>0</v>
      </c>
      <c r="S283" s="6">
        <f t="shared" si="55"/>
        <v>0</v>
      </c>
      <c r="T283" s="6">
        <f t="shared" si="55"/>
        <v>0</v>
      </c>
      <c r="U283" s="6">
        <f t="shared" si="55"/>
        <v>0</v>
      </c>
      <c r="V283" s="6">
        <f t="shared" si="55"/>
        <v>0</v>
      </c>
      <c r="W283" s="6">
        <f t="shared" si="55"/>
        <v>0</v>
      </c>
      <c r="X283" s="6">
        <f t="shared" si="42"/>
        <v>0</v>
      </c>
      <c r="Y283" s="7">
        <f>SUM(X284:X286)/I283</f>
        <v>140.81318969555036</v>
      </c>
      <c r="Z283" s="6"/>
      <c r="AA283" s="6"/>
      <c r="AB283" s="6"/>
      <c r="AC283" s="6"/>
      <c r="AD283" s="6"/>
      <c r="AE283" s="6"/>
      <c r="AF283" s="6"/>
    </row>
    <row r="284" spans="1:32" s="5" customFormat="1" ht="20.100000000000001" customHeight="1" x14ac:dyDescent="0.25">
      <c r="A284" s="7"/>
      <c r="B284" s="6" t="s">
        <v>140</v>
      </c>
      <c r="C284" s="9" t="s">
        <v>2</v>
      </c>
      <c r="D284" s="6">
        <v>16</v>
      </c>
      <c r="E284" s="6"/>
      <c r="F284" s="6">
        <v>2</v>
      </c>
      <c r="G284" s="8">
        <f>VLOOKUP(D284,$C$20:$F$26,3,0)</f>
        <v>0.8</v>
      </c>
      <c r="H284" s="8"/>
      <c r="I284" s="6"/>
      <c r="J284" s="6"/>
      <c r="K284" s="6"/>
      <c r="L284" s="6"/>
      <c r="M284" s="6"/>
      <c r="N284" s="6"/>
      <c r="O284" s="6">
        <f>(E283+2*(G284+(2*D284/1000)))*D283</f>
        <v>2.7620000000000005</v>
      </c>
      <c r="P284" s="6">
        <f t="shared" ref="P284" si="57">O284*F284</f>
        <v>5.5240000000000009</v>
      </c>
      <c r="Q284" s="6">
        <f t="shared" si="55"/>
        <v>0</v>
      </c>
      <c r="R284" s="6">
        <f t="shared" si="55"/>
        <v>0</v>
      </c>
      <c r="S284" s="6">
        <f t="shared" si="55"/>
        <v>0</v>
      </c>
      <c r="T284" s="6">
        <f t="shared" si="55"/>
        <v>8.7222381714285735</v>
      </c>
      <c r="U284" s="6">
        <f t="shared" si="55"/>
        <v>0</v>
      </c>
      <c r="V284" s="6">
        <f t="shared" si="55"/>
        <v>0</v>
      </c>
      <c r="W284" s="6">
        <f t="shared" si="55"/>
        <v>0</v>
      </c>
      <c r="X284" s="6">
        <f t="shared" si="42"/>
        <v>8.7222381714285735</v>
      </c>
      <c r="Y284" s="6"/>
      <c r="Z284" s="6"/>
      <c r="AA284" s="6"/>
      <c r="AB284" s="6"/>
      <c r="AC284" s="6"/>
      <c r="AD284" s="6"/>
      <c r="AE284" s="6"/>
    </row>
    <row r="285" spans="1:32" s="5" customFormat="1" ht="20.100000000000001" customHeight="1" x14ac:dyDescent="0.25">
      <c r="A285" s="7"/>
      <c r="B285" s="6" t="s">
        <v>140</v>
      </c>
      <c r="C285" s="9" t="s">
        <v>1</v>
      </c>
      <c r="D285" s="6">
        <v>16</v>
      </c>
      <c r="E285" s="6"/>
      <c r="F285" s="6">
        <v>2</v>
      </c>
      <c r="G285" s="8">
        <f>VLOOKUP(D285,$C$20:$F$26,3,0)</f>
        <v>0.8</v>
      </c>
      <c r="H285" s="6"/>
      <c r="I285" s="6"/>
      <c r="J285" s="6"/>
      <c r="K285" s="6"/>
      <c r="L285" s="6"/>
      <c r="M285" s="6"/>
      <c r="N285" s="6"/>
      <c r="O285" s="6">
        <f>(E283+2*(G285+(2*D285/1000)))*D283</f>
        <v>2.7620000000000005</v>
      </c>
      <c r="P285" s="6">
        <f>O285*F285</f>
        <v>5.5240000000000009</v>
      </c>
      <c r="Q285" s="6">
        <f t="shared" si="55"/>
        <v>0</v>
      </c>
      <c r="R285" s="6">
        <f t="shared" si="55"/>
        <v>0</v>
      </c>
      <c r="S285" s="6">
        <f t="shared" si="55"/>
        <v>0</v>
      </c>
      <c r="T285" s="6">
        <f t="shared" si="55"/>
        <v>8.7222381714285735</v>
      </c>
      <c r="U285" s="6">
        <f t="shared" si="55"/>
        <v>0</v>
      </c>
      <c r="V285" s="6">
        <f t="shared" si="55"/>
        <v>0</v>
      </c>
      <c r="W285" s="6">
        <f t="shared" si="55"/>
        <v>0</v>
      </c>
      <c r="X285" s="6">
        <f t="shared" si="42"/>
        <v>8.7222381714285735</v>
      </c>
      <c r="Y285" s="6"/>
      <c r="Z285" s="6"/>
      <c r="AA285" s="6"/>
      <c r="AB285" s="6"/>
      <c r="AC285" s="6"/>
      <c r="AD285" s="6"/>
      <c r="AE285" s="6"/>
    </row>
    <row r="286" spans="1:32" s="5" customFormat="1" ht="20.100000000000001" customHeight="1" x14ac:dyDescent="0.25">
      <c r="A286" s="6"/>
      <c r="B286" s="6" t="s">
        <v>140</v>
      </c>
      <c r="C286" s="9" t="s">
        <v>0</v>
      </c>
      <c r="D286" s="6">
        <v>8</v>
      </c>
      <c r="E286" s="6">
        <v>0.15</v>
      </c>
      <c r="F286" s="6">
        <f>+ROUND(E283/E286,0)+1</f>
        <v>8</v>
      </c>
      <c r="G286" s="8"/>
      <c r="H286" s="6"/>
      <c r="I286" s="6"/>
      <c r="J286" s="6"/>
      <c r="K286" s="6"/>
      <c r="L286" s="6"/>
      <c r="M286" s="6"/>
      <c r="N286" s="6"/>
      <c r="O286" s="6">
        <f>(2*((G283-(2*$D$11))+(F283-(2*$D$11)))+(2*10*D286/1000))*D283</f>
        <v>1.8199999999999998</v>
      </c>
      <c r="P286" s="6">
        <f>O286*F286</f>
        <v>14.559999999999999</v>
      </c>
      <c r="Q286" s="6">
        <f t="shared" si="55"/>
        <v>5.7474559999999997</v>
      </c>
      <c r="R286" s="6">
        <f t="shared" si="55"/>
        <v>0</v>
      </c>
      <c r="S286" s="6">
        <f t="shared" si="55"/>
        <v>0</v>
      </c>
      <c r="T286" s="6">
        <f t="shared" si="55"/>
        <v>0</v>
      </c>
      <c r="U286" s="6">
        <f t="shared" si="55"/>
        <v>0</v>
      </c>
      <c r="V286" s="6">
        <f t="shared" si="55"/>
        <v>0</v>
      </c>
      <c r="W286" s="6">
        <f t="shared" si="55"/>
        <v>0</v>
      </c>
      <c r="X286" s="6">
        <f t="shared" si="42"/>
        <v>5.7474559999999997</v>
      </c>
      <c r="Y286" s="6"/>
      <c r="Z286" s="6"/>
      <c r="AA286" s="6"/>
      <c r="AB286" s="6"/>
      <c r="AC286" s="6"/>
      <c r="AD286" s="6"/>
      <c r="AE286" s="6"/>
    </row>
    <row r="287" spans="1:32" s="5" customFormat="1" ht="21" customHeight="1" x14ac:dyDescent="0.25">
      <c r="A287" s="6">
        <f>+A283+1</f>
        <v>34</v>
      </c>
      <c r="B287" s="6" t="s">
        <v>140</v>
      </c>
      <c r="C287" s="11" t="s">
        <v>54</v>
      </c>
      <c r="D287" s="11">
        <v>1</v>
      </c>
      <c r="E287" s="11">
        <v>2.0649999999999999</v>
      </c>
      <c r="F287" s="11">
        <v>0.2</v>
      </c>
      <c r="G287" s="11">
        <v>0.6</v>
      </c>
      <c r="H287" s="6">
        <f>G287-0.2</f>
        <v>0.39999999999999997</v>
      </c>
      <c r="I287" s="6">
        <f>E287*F287*G287*D287</f>
        <v>0.24780000000000002</v>
      </c>
      <c r="J287" s="6">
        <f>(2*(E287)*H287*D287)+(E287*F287)</f>
        <v>2.0649999999999999</v>
      </c>
      <c r="K287" s="10">
        <f>IF(E287=0.3,J287,0)</f>
        <v>0</v>
      </c>
      <c r="L287" s="10">
        <f>IF(AND(E287&gt;0.3,E287&lt;=0.75),J287,0)</f>
        <v>0</v>
      </c>
      <c r="M287" s="10">
        <f>IF(AND(E287&gt;0.75,E287&lt;=1.2),J287,0)</f>
        <v>0</v>
      </c>
      <c r="N287" s="10">
        <f>IF(E287&gt;1.2,J287,0)</f>
        <v>2.0649999999999999</v>
      </c>
      <c r="O287" s="6"/>
      <c r="P287" s="6"/>
      <c r="Q287" s="6">
        <f t="shared" si="55"/>
        <v>0</v>
      </c>
      <c r="R287" s="6">
        <f t="shared" si="55"/>
        <v>0</v>
      </c>
      <c r="S287" s="6">
        <f t="shared" si="55"/>
        <v>0</v>
      </c>
      <c r="T287" s="6">
        <f t="shared" si="55"/>
        <v>0</v>
      </c>
      <c r="U287" s="6">
        <f t="shared" si="55"/>
        <v>0</v>
      </c>
      <c r="V287" s="6">
        <f t="shared" si="55"/>
        <v>0</v>
      </c>
      <c r="W287" s="6">
        <f t="shared" si="55"/>
        <v>0</v>
      </c>
      <c r="X287" s="6">
        <f t="shared" si="42"/>
        <v>0</v>
      </c>
      <c r="Y287" s="7">
        <f>SUM(X288:X290)/I287</f>
        <v>183.32842753372535</v>
      </c>
      <c r="Z287" s="6"/>
      <c r="AA287" s="6"/>
      <c r="AB287" s="6"/>
      <c r="AC287" s="6"/>
      <c r="AD287" s="6"/>
      <c r="AE287" s="6"/>
      <c r="AF287" s="6"/>
    </row>
    <row r="288" spans="1:32" s="5" customFormat="1" ht="20.100000000000001" customHeight="1" x14ac:dyDescent="0.25">
      <c r="A288" s="7"/>
      <c r="B288" s="6" t="s">
        <v>140</v>
      </c>
      <c r="C288" s="9" t="s">
        <v>2</v>
      </c>
      <c r="D288" s="6">
        <v>16</v>
      </c>
      <c r="E288" s="6"/>
      <c r="F288" s="6">
        <v>2</v>
      </c>
      <c r="G288" s="8">
        <f>VLOOKUP(D288,$C$20:$F$26,3,0)</f>
        <v>0.8</v>
      </c>
      <c r="H288" s="8"/>
      <c r="I288" s="6"/>
      <c r="J288" s="6"/>
      <c r="K288" s="6"/>
      <c r="L288" s="6"/>
      <c r="M288" s="6"/>
      <c r="N288" s="6"/>
      <c r="O288" s="6">
        <f>(E287+2*(G288+(2*D288/1000)))*D287</f>
        <v>3.7290000000000001</v>
      </c>
      <c r="P288" s="6">
        <f t="shared" ref="P288" si="58">O288*F288</f>
        <v>7.4580000000000002</v>
      </c>
      <c r="Q288" s="6">
        <f t="shared" si="55"/>
        <v>0</v>
      </c>
      <c r="R288" s="6">
        <f t="shared" si="55"/>
        <v>0</v>
      </c>
      <c r="S288" s="6">
        <f t="shared" si="55"/>
        <v>0</v>
      </c>
      <c r="T288" s="6">
        <f t="shared" si="55"/>
        <v>11.775968914285716</v>
      </c>
      <c r="U288" s="6">
        <f t="shared" si="55"/>
        <v>0</v>
      </c>
      <c r="V288" s="6">
        <f t="shared" si="55"/>
        <v>0</v>
      </c>
      <c r="W288" s="6">
        <f t="shared" si="55"/>
        <v>0</v>
      </c>
      <c r="X288" s="6">
        <f t="shared" si="42"/>
        <v>11.775968914285716</v>
      </c>
      <c r="Y288" s="6"/>
      <c r="Z288" s="6"/>
      <c r="AA288" s="6"/>
      <c r="AB288" s="6"/>
      <c r="AC288" s="6"/>
      <c r="AD288" s="6"/>
      <c r="AE288" s="6"/>
    </row>
    <row r="289" spans="1:32" s="5" customFormat="1" ht="20.100000000000001" customHeight="1" x14ac:dyDescent="0.25">
      <c r="A289" s="7"/>
      <c r="B289" s="6" t="s">
        <v>140</v>
      </c>
      <c r="C289" s="9" t="s">
        <v>1</v>
      </c>
      <c r="D289" s="6">
        <v>20</v>
      </c>
      <c r="E289" s="6"/>
      <c r="F289" s="6">
        <v>2</v>
      </c>
      <c r="G289" s="8">
        <f>VLOOKUP(D289,$C$20:$F$26,3,0)</f>
        <v>1</v>
      </c>
      <c r="H289" s="6"/>
      <c r="I289" s="6"/>
      <c r="J289" s="6"/>
      <c r="K289" s="6"/>
      <c r="L289" s="6"/>
      <c r="M289" s="6"/>
      <c r="N289" s="6"/>
      <c r="O289" s="6">
        <f>(E287+2*(G289+(2*D289/1000)))*D287</f>
        <v>4.1449999999999996</v>
      </c>
      <c r="P289" s="6">
        <f>O289*F289</f>
        <v>8.2899999999999991</v>
      </c>
      <c r="Q289" s="6">
        <f t="shared" si="55"/>
        <v>0</v>
      </c>
      <c r="R289" s="6">
        <f t="shared" si="55"/>
        <v>0</v>
      </c>
      <c r="S289" s="6">
        <f t="shared" si="55"/>
        <v>0</v>
      </c>
      <c r="T289" s="6">
        <f t="shared" si="55"/>
        <v>0</v>
      </c>
      <c r="U289" s="6">
        <f t="shared" si="55"/>
        <v>20.452614285714283</v>
      </c>
      <c r="V289" s="6">
        <f t="shared" si="55"/>
        <v>0</v>
      </c>
      <c r="W289" s="6">
        <f t="shared" si="55"/>
        <v>0</v>
      </c>
      <c r="X289" s="6">
        <f t="shared" si="42"/>
        <v>20.452614285714283</v>
      </c>
      <c r="Y289" s="6"/>
      <c r="Z289" s="6"/>
      <c r="AA289" s="6"/>
      <c r="AB289" s="6"/>
      <c r="AC289" s="6"/>
      <c r="AD289" s="6"/>
      <c r="AE289" s="6"/>
    </row>
    <row r="290" spans="1:32" s="5" customFormat="1" ht="20.100000000000001" customHeight="1" x14ac:dyDescent="0.25">
      <c r="A290" s="6"/>
      <c r="B290" s="6" t="s">
        <v>140</v>
      </c>
      <c r="C290" s="9" t="s">
        <v>0</v>
      </c>
      <c r="D290" s="6">
        <v>8</v>
      </c>
      <c r="E290" s="6">
        <v>0.1</v>
      </c>
      <c r="F290" s="6">
        <f>+ROUND(E287/E290,0)+1</f>
        <v>22</v>
      </c>
      <c r="G290" s="8"/>
      <c r="H290" s="6"/>
      <c r="I290" s="6"/>
      <c r="J290" s="6"/>
      <c r="K290" s="6"/>
      <c r="L290" s="6"/>
      <c r="M290" s="6"/>
      <c r="N290" s="6"/>
      <c r="O290" s="6">
        <f>(2*((G287-(2*$D$11))+(F287-(2*$D$11)))+(2*10*D290/1000))*D287</f>
        <v>1.52</v>
      </c>
      <c r="P290" s="6">
        <f>O290*F290</f>
        <v>33.44</v>
      </c>
      <c r="Q290" s="6">
        <f t="shared" si="55"/>
        <v>13.200201142857143</v>
      </c>
      <c r="R290" s="6">
        <f t="shared" si="55"/>
        <v>0</v>
      </c>
      <c r="S290" s="6">
        <f t="shared" si="55"/>
        <v>0</v>
      </c>
      <c r="T290" s="6">
        <f t="shared" si="55"/>
        <v>0</v>
      </c>
      <c r="U290" s="6">
        <f t="shared" si="55"/>
        <v>0</v>
      </c>
      <c r="V290" s="6">
        <f t="shared" si="55"/>
        <v>0</v>
      </c>
      <c r="W290" s="6">
        <f t="shared" si="55"/>
        <v>0</v>
      </c>
      <c r="X290" s="6">
        <f t="shared" si="42"/>
        <v>13.200201142857143</v>
      </c>
      <c r="Y290" s="6"/>
      <c r="Z290" s="6"/>
      <c r="AA290" s="6"/>
      <c r="AB290" s="6"/>
      <c r="AC290" s="6"/>
      <c r="AD290" s="6"/>
      <c r="AE290" s="6"/>
    </row>
    <row r="291" spans="1:32" s="5" customFormat="1" ht="21" customHeight="1" x14ac:dyDescent="0.25">
      <c r="A291" s="6">
        <f>+A287+1</f>
        <v>35</v>
      </c>
      <c r="B291" s="6" t="s">
        <v>140</v>
      </c>
      <c r="C291" s="11" t="s">
        <v>147</v>
      </c>
      <c r="D291" s="11">
        <v>1</v>
      </c>
      <c r="E291" s="11">
        <v>0.68200000000000005</v>
      </c>
      <c r="F291" s="11">
        <v>0.2</v>
      </c>
      <c r="G291" s="11">
        <v>0.6</v>
      </c>
      <c r="H291" s="6">
        <f>G291-0.2</f>
        <v>0.39999999999999997</v>
      </c>
      <c r="I291" s="6">
        <f>E291*F291*G291*D291</f>
        <v>8.184000000000001E-2</v>
      </c>
      <c r="J291" s="6">
        <f>(2*(E291)*H291*D291)+(E291*F291)</f>
        <v>0.68199999999999994</v>
      </c>
      <c r="K291" s="10">
        <f>IF(E291=0.3,J291,0)</f>
        <v>0</v>
      </c>
      <c r="L291" s="10">
        <f>IF(AND(E291&gt;0.3,E291&lt;=0.75),J291,0)</f>
        <v>0.68199999999999994</v>
      </c>
      <c r="M291" s="10">
        <f>IF(AND(E291&gt;0.75,E291&lt;=1.2),J291,0)</f>
        <v>0</v>
      </c>
      <c r="N291" s="10">
        <f>IF(E291&gt;1.2,J291,0)</f>
        <v>0</v>
      </c>
      <c r="O291" s="6"/>
      <c r="P291" s="6"/>
      <c r="Q291" s="6">
        <f t="shared" si="55"/>
        <v>0</v>
      </c>
      <c r="R291" s="6">
        <f t="shared" si="55"/>
        <v>0</v>
      </c>
      <c r="S291" s="6">
        <f t="shared" si="55"/>
        <v>0</v>
      </c>
      <c r="T291" s="6">
        <f t="shared" si="55"/>
        <v>0</v>
      </c>
      <c r="U291" s="6">
        <f t="shared" si="55"/>
        <v>0</v>
      </c>
      <c r="V291" s="6">
        <f t="shared" si="55"/>
        <v>0</v>
      </c>
      <c r="W291" s="6">
        <f t="shared" si="55"/>
        <v>0</v>
      </c>
      <c r="X291" s="6">
        <f t="shared" si="42"/>
        <v>0</v>
      </c>
      <c r="Y291" s="7">
        <f>SUM(X292:X295)/I291</f>
        <v>188.68156298003072</v>
      </c>
      <c r="Z291" s="6"/>
      <c r="AA291" s="6"/>
      <c r="AB291" s="6"/>
      <c r="AC291" s="6"/>
      <c r="AD291" s="6"/>
      <c r="AE291" s="6"/>
      <c r="AF291" s="6"/>
    </row>
    <row r="292" spans="1:32" s="5" customFormat="1" ht="20.100000000000001" customHeight="1" x14ac:dyDescent="0.25">
      <c r="A292" s="7"/>
      <c r="B292" s="6" t="s">
        <v>140</v>
      </c>
      <c r="C292" s="9" t="s">
        <v>2</v>
      </c>
      <c r="D292" s="6">
        <v>16</v>
      </c>
      <c r="E292" s="6"/>
      <c r="F292" s="6">
        <v>2</v>
      </c>
      <c r="G292" s="8">
        <f>VLOOKUP(D292,$C$20:$F$26,3,0)</f>
        <v>0.8</v>
      </c>
      <c r="H292" s="8"/>
      <c r="I292" s="6"/>
      <c r="J292" s="6"/>
      <c r="K292" s="6"/>
      <c r="L292" s="6"/>
      <c r="M292" s="6"/>
      <c r="N292" s="6"/>
      <c r="O292" s="6">
        <f>(E291+1*(G292+(2*D292/1000)))*D291</f>
        <v>1.5140000000000002</v>
      </c>
      <c r="P292" s="6">
        <f t="shared" ref="P292" si="59">O292*F292</f>
        <v>3.0280000000000005</v>
      </c>
      <c r="Q292" s="6">
        <f t="shared" si="55"/>
        <v>0</v>
      </c>
      <c r="R292" s="6">
        <f t="shared" si="55"/>
        <v>0</v>
      </c>
      <c r="S292" s="6">
        <f t="shared" si="55"/>
        <v>0</v>
      </c>
      <c r="T292" s="6">
        <f t="shared" si="55"/>
        <v>4.7811254857142869</v>
      </c>
      <c r="U292" s="6">
        <f t="shared" si="55"/>
        <v>0</v>
      </c>
      <c r="V292" s="6">
        <f t="shared" si="55"/>
        <v>0</v>
      </c>
      <c r="W292" s="6">
        <f t="shared" si="55"/>
        <v>0</v>
      </c>
      <c r="X292" s="6">
        <f t="shared" si="42"/>
        <v>4.7811254857142869</v>
      </c>
      <c r="Y292" s="6"/>
      <c r="Z292" s="6"/>
      <c r="AA292" s="6"/>
      <c r="AB292" s="6"/>
      <c r="AC292" s="6"/>
      <c r="AD292" s="6"/>
      <c r="AE292" s="6"/>
    </row>
    <row r="293" spans="1:32" s="5" customFormat="1" ht="20.100000000000001" customHeight="1" x14ac:dyDescent="0.25">
      <c r="A293" s="7"/>
      <c r="B293" s="6" t="s">
        <v>140</v>
      </c>
      <c r="C293" s="9" t="s">
        <v>1</v>
      </c>
      <c r="D293" s="6">
        <v>16</v>
      </c>
      <c r="E293" s="6"/>
      <c r="F293" s="6">
        <v>2</v>
      </c>
      <c r="G293" s="8">
        <f>VLOOKUP(D293,$C$20:$F$26,3,0)</f>
        <v>0.8</v>
      </c>
      <c r="H293" s="6"/>
      <c r="I293" s="6"/>
      <c r="J293" s="6"/>
      <c r="K293" s="6"/>
      <c r="L293" s="6"/>
      <c r="M293" s="6"/>
      <c r="N293" s="6"/>
      <c r="O293" s="6">
        <f>(E291+1*(G293+(2*D293/1000)))*D291</f>
        <v>1.5140000000000002</v>
      </c>
      <c r="P293" s="6">
        <f>O293*F293</f>
        <v>3.0280000000000005</v>
      </c>
      <c r="Q293" s="6">
        <f t="shared" si="55"/>
        <v>0</v>
      </c>
      <c r="R293" s="6">
        <f t="shared" si="55"/>
        <v>0</v>
      </c>
      <c r="S293" s="6">
        <f t="shared" si="55"/>
        <v>0</v>
      </c>
      <c r="T293" s="6">
        <f t="shared" si="55"/>
        <v>4.7811254857142869</v>
      </c>
      <c r="U293" s="6">
        <f t="shared" si="55"/>
        <v>0</v>
      </c>
      <c r="V293" s="6">
        <f t="shared" si="55"/>
        <v>0</v>
      </c>
      <c r="W293" s="6">
        <f t="shared" si="55"/>
        <v>0</v>
      </c>
      <c r="X293" s="6">
        <f t="shared" si="42"/>
        <v>4.7811254857142869</v>
      </c>
      <c r="Y293" s="6"/>
      <c r="Z293" s="6"/>
      <c r="AA293" s="6"/>
      <c r="AB293" s="6"/>
      <c r="AC293" s="6"/>
      <c r="AD293" s="6"/>
      <c r="AE293" s="6"/>
    </row>
    <row r="294" spans="1:32" s="5" customFormat="1" ht="20.100000000000001" customHeight="1" x14ac:dyDescent="0.25">
      <c r="A294" s="6"/>
      <c r="B294" s="6" t="s">
        <v>140</v>
      </c>
      <c r="C294" s="9" t="s">
        <v>0</v>
      </c>
      <c r="D294" s="6">
        <v>8</v>
      </c>
      <c r="E294" s="6">
        <v>0.1</v>
      </c>
      <c r="F294" s="6">
        <f>+ROUND(E291/E294,0)+1</f>
        <v>8</v>
      </c>
      <c r="G294" s="8"/>
      <c r="H294" s="6"/>
      <c r="I294" s="6"/>
      <c r="J294" s="6"/>
      <c r="K294" s="6"/>
      <c r="L294" s="6"/>
      <c r="M294" s="6"/>
      <c r="N294" s="6"/>
      <c r="O294" s="6">
        <f>(2*((G291-(2*$D$11))+(F291-(2*$D$11)))+(2*10*D294/1000))*D291</f>
        <v>1.52</v>
      </c>
      <c r="P294" s="6">
        <f>O294*F294</f>
        <v>12.16</v>
      </c>
      <c r="Q294" s="6">
        <f t="shared" si="55"/>
        <v>4.8000731428571433</v>
      </c>
      <c r="R294" s="6">
        <f t="shared" si="55"/>
        <v>0</v>
      </c>
      <c r="S294" s="6">
        <f t="shared" si="55"/>
        <v>0</v>
      </c>
      <c r="T294" s="6">
        <f t="shared" si="55"/>
        <v>0</v>
      </c>
      <c r="U294" s="6">
        <f t="shared" si="55"/>
        <v>0</v>
      </c>
      <c r="V294" s="6">
        <f t="shared" si="55"/>
        <v>0</v>
      </c>
      <c r="W294" s="6">
        <f t="shared" si="55"/>
        <v>0</v>
      </c>
      <c r="X294" s="6">
        <f t="shared" si="42"/>
        <v>4.8000731428571433</v>
      </c>
      <c r="Y294" s="6"/>
      <c r="Z294" s="6"/>
      <c r="AA294" s="6"/>
      <c r="AB294" s="6"/>
      <c r="AC294" s="6"/>
      <c r="AD294" s="6"/>
      <c r="AE294" s="6"/>
    </row>
    <row r="295" spans="1:32" s="5" customFormat="1" ht="20.100000000000001" customHeight="1" x14ac:dyDescent="0.25">
      <c r="A295" s="7"/>
      <c r="B295" s="6" t="s">
        <v>140</v>
      </c>
      <c r="C295" s="9" t="s">
        <v>17</v>
      </c>
      <c r="D295" s="6">
        <f>+$D$15</f>
        <v>25</v>
      </c>
      <c r="E295" s="6">
        <f>+$E$15</f>
        <v>1</v>
      </c>
      <c r="F295" s="6">
        <f>ROUNDUP((E291)/E295,0)+1</f>
        <v>2</v>
      </c>
      <c r="G295" s="8"/>
      <c r="H295" s="8"/>
      <c r="I295" s="6"/>
      <c r="J295" s="6"/>
      <c r="K295" s="6"/>
      <c r="L295" s="6"/>
      <c r="M295" s="6"/>
      <c r="N295" s="6"/>
      <c r="O295" s="6">
        <f>+F291-(2*$D$11)</f>
        <v>0.14000000000000001</v>
      </c>
      <c r="P295" s="6">
        <f t="shared" ref="P295" si="60">O295*F295</f>
        <v>0.28000000000000003</v>
      </c>
      <c r="Q295" s="6">
        <f t="shared" si="55"/>
        <v>0</v>
      </c>
      <c r="R295" s="6">
        <f t="shared" si="55"/>
        <v>0</v>
      </c>
      <c r="S295" s="6">
        <f t="shared" si="55"/>
        <v>0</v>
      </c>
      <c r="T295" s="6">
        <f t="shared" si="55"/>
        <v>0</v>
      </c>
      <c r="U295" s="6">
        <f t="shared" si="55"/>
        <v>0</v>
      </c>
      <c r="V295" s="6">
        <f t="shared" si="55"/>
        <v>1.0793750000000002</v>
      </c>
      <c r="W295" s="6">
        <f t="shared" si="55"/>
        <v>0</v>
      </c>
      <c r="X295" s="6">
        <f t="shared" si="42"/>
        <v>1.0793750000000002</v>
      </c>
      <c r="Y295" s="6"/>
      <c r="Z295" s="6"/>
      <c r="AA295" s="6"/>
      <c r="AB295" s="6"/>
      <c r="AC295" s="6"/>
      <c r="AD295" s="6"/>
      <c r="AE295" s="6"/>
    </row>
    <row r="296" spans="1:32" s="5" customFormat="1" ht="21" customHeight="1" x14ac:dyDescent="0.25">
      <c r="A296" s="6">
        <f>+A291+1</f>
        <v>36</v>
      </c>
      <c r="B296" s="6" t="s">
        <v>140</v>
      </c>
      <c r="C296" s="11" t="s">
        <v>53</v>
      </c>
      <c r="D296" s="11">
        <v>1</v>
      </c>
      <c r="E296" s="11">
        <v>2.7170000000000001</v>
      </c>
      <c r="F296" s="11">
        <v>0.3</v>
      </c>
      <c r="G296" s="11">
        <v>0.75</v>
      </c>
      <c r="H296" s="6">
        <f>G296-0.2</f>
        <v>0.55000000000000004</v>
      </c>
      <c r="I296" s="6">
        <f>E296*F296*G296*D296</f>
        <v>0.61132500000000001</v>
      </c>
      <c r="J296" s="6">
        <f>(2*(E296)*H296*D296)+(E296*F296)</f>
        <v>3.8038000000000003</v>
      </c>
      <c r="K296" s="10">
        <f>IF(E296=0.3,J296,0)</f>
        <v>0</v>
      </c>
      <c r="L296" s="10">
        <f>IF(AND(E296&gt;0.3,E296&lt;=0.75),J296,0)</f>
        <v>0</v>
      </c>
      <c r="M296" s="10">
        <f>IF(AND(E296&gt;0.75,E296&lt;=1.2),J296,0)</f>
        <v>0</v>
      </c>
      <c r="N296" s="10">
        <f>IF(E296&gt;1.2,J296,0)</f>
        <v>3.8038000000000003</v>
      </c>
      <c r="O296" s="6"/>
      <c r="P296" s="6"/>
      <c r="Q296" s="6">
        <f t="shared" si="55"/>
        <v>0</v>
      </c>
      <c r="R296" s="6">
        <f t="shared" si="55"/>
        <v>0</v>
      </c>
      <c r="S296" s="6">
        <f t="shared" si="55"/>
        <v>0</v>
      </c>
      <c r="T296" s="6">
        <f t="shared" si="55"/>
        <v>0</v>
      </c>
      <c r="U296" s="6">
        <f t="shared" si="55"/>
        <v>0</v>
      </c>
      <c r="V296" s="6">
        <f t="shared" si="55"/>
        <v>0</v>
      </c>
      <c r="W296" s="6">
        <f t="shared" si="55"/>
        <v>0</v>
      </c>
      <c r="X296" s="6">
        <f t="shared" si="42"/>
        <v>0</v>
      </c>
      <c r="Y296" s="7">
        <f>SUM(X297:X302)/I296</f>
        <v>140.93351532677849</v>
      </c>
      <c r="Z296" s="6"/>
      <c r="AA296" s="6"/>
      <c r="AB296" s="6"/>
      <c r="AC296" s="6"/>
      <c r="AD296" s="6"/>
      <c r="AE296" s="6"/>
      <c r="AF296" s="6"/>
    </row>
    <row r="297" spans="1:32" s="5" customFormat="1" ht="20.100000000000001" customHeight="1" x14ac:dyDescent="0.25">
      <c r="A297" s="7"/>
      <c r="B297" s="6" t="s">
        <v>140</v>
      </c>
      <c r="C297" s="9" t="s">
        <v>2</v>
      </c>
      <c r="D297" s="6">
        <v>16</v>
      </c>
      <c r="E297" s="6"/>
      <c r="F297" s="6">
        <v>3</v>
      </c>
      <c r="G297" s="8">
        <f>VLOOKUP(D297,$C$20:$F$26,3,0)</f>
        <v>0.8</v>
      </c>
      <c r="H297" s="8"/>
      <c r="I297" s="6"/>
      <c r="J297" s="6"/>
      <c r="K297" s="6"/>
      <c r="L297" s="6"/>
      <c r="M297" s="6"/>
      <c r="N297" s="6"/>
      <c r="O297" s="6">
        <f>(E296+2*(G297+(2*D297/1000)))*D296</f>
        <v>4.3810000000000002</v>
      </c>
      <c r="P297" s="6">
        <f t="shared" ref="P297:P298" si="61">O297*F297</f>
        <v>13.143000000000001</v>
      </c>
      <c r="Q297" s="6">
        <f t="shared" si="55"/>
        <v>0</v>
      </c>
      <c r="R297" s="6">
        <f t="shared" si="55"/>
        <v>0</v>
      </c>
      <c r="S297" s="6">
        <f t="shared" si="55"/>
        <v>0</v>
      </c>
      <c r="T297" s="6">
        <f t="shared" si="55"/>
        <v>20.75242148571429</v>
      </c>
      <c r="U297" s="6">
        <f t="shared" si="55"/>
        <v>0</v>
      </c>
      <c r="V297" s="6">
        <f t="shared" si="55"/>
        <v>0</v>
      </c>
      <c r="W297" s="6">
        <f t="shared" si="55"/>
        <v>0</v>
      </c>
      <c r="X297" s="6">
        <f t="shared" si="42"/>
        <v>20.75242148571429</v>
      </c>
      <c r="Y297" s="6"/>
      <c r="Z297" s="6"/>
      <c r="AA297" s="6"/>
      <c r="AB297" s="6"/>
      <c r="AC297" s="6"/>
      <c r="AD297" s="6"/>
      <c r="AE297" s="6"/>
    </row>
    <row r="298" spans="1:32" s="5" customFormat="1" ht="20.100000000000001" customHeight="1" x14ac:dyDescent="0.25">
      <c r="A298" s="7"/>
      <c r="B298" s="6" t="s">
        <v>140</v>
      </c>
      <c r="C298" s="9" t="s">
        <v>2</v>
      </c>
      <c r="D298" s="6">
        <v>16</v>
      </c>
      <c r="E298" s="6"/>
      <c r="F298" s="6">
        <v>3</v>
      </c>
      <c r="G298" s="8">
        <f>VLOOKUP(D298,$C$20:$F$26,3,0)</f>
        <v>0.8</v>
      </c>
      <c r="H298" s="8"/>
      <c r="I298" s="6"/>
      <c r="J298" s="6"/>
      <c r="K298" s="6"/>
      <c r="L298" s="6"/>
      <c r="M298" s="6"/>
      <c r="N298" s="6"/>
      <c r="O298" s="6">
        <f>(0.9+1*(G298+(2*D298/1000)))*D296</f>
        <v>1.7320000000000002</v>
      </c>
      <c r="P298" s="6">
        <f t="shared" si="61"/>
        <v>5.1960000000000006</v>
      </c>
      <c r="Q298" s="6">
        <f t="shared" si="55"/>
        <v>0</v>
      </c>
      <c r="R298" s="6">
        <f t="shared" si="55"/>
        <v>0</v>
      </c>
      <c r="S298" s="6">
        <f t="shared" si="55"/>
        <v>0</v>
      </c>
      <c r="T298" s="6">
        <f t="shared" si="55"/>
        <v>8.2043355428571445</v>
      </c>
      <c r="U298" s="6">
        <f t="shared" si="55"/>
        <v>0</v>
      </c>
      <c r="V298" s="6">
        <f t="shared" si="55"/>
        <v>0</v>
      </c>
      <c r="W298" s="6">
        <f t="shared" si="55"/>
        <v>0</v>
      </c>
      <c r="X298" s="6">
        <f t="shared" si="42"/>
        <v>8.2043355428571445</v>
      </c>
      <c r="Y298" s="6"/>
      <c r="Z298" s="6"/>
      <c r="AA298" s="6"/>
      <c r="AB298" s="6"/>
      <c r="AC298" s="6"/>
      <c r="AD298" s="6"/>
      <c r="AE298" s="6"/>
    </row>
    <row r="299" spans="1:32" s="5" customFormat="1" ht="20.100000000000001" customHeight="1" x14ac:dyDescent="0.25">
      <c r="A299" s="7"/>
      <c r="B299" s="6" t="s">
        <v>140</v>
      </c>
      <c r="C299" s="9" t="s">
        <v>1</v>
      </c>
      <c r="D299" s="6">
        <v>20</v>
      </c>
      <c r="E299" s="6"/>
      <c r="F299" s="6">
        <v>3</v>
      </c>
      <c r="G299" s="8">
        <f>VLOOKUP(D299,$C$20:$F$26,3,0)</f>
        <v>1</v>
      </c>
      <c r="H299" s="6"/>
      <c r="I299" s="6"/>
      <c r="J299" s="6"/>
      <c r="K299" s="6"/>
      <c r="L299" s="6"/>
      <c r="M299" s="6"/>
      <c r="N299" s="6"/>
      <c r="O299" s="6">
        <f>(E296+1*(G299+(2*D299/1000)))*D296</f>
        <v>3.7570000000000001</v>
      </c>
      <c r="P299" s="6">
        <f>O299*F299</f>
        <v>11.271000000000001</v>
      </c>
      <c r="Q299" s="6">
        <f t="shared" si="55"/>
        <v>0</v>
      </c>
      <c r="R299" s="6">
        <f t="shared" si="55"/>
        <v>0</v>
      </c>
      <c r="S299" s="6">
        <f t="shared" si="55"/>
        <v>0</v>
      </c>
      <c r="T299" s="6">
        <f t="shared" si="55"/>
        <v>0</v>
      </c>
      <c r="U299" s="6">
        <f t="shared" si="55"/>
        <v>27.807167142857143</v>
      </c>
      <c r="V299" s="6">
        <f t="shared" si="55"/>
        <v>0</v>
      </c>
      <c r="W299" s="6">
        <f t="shared" si="55"/>
        <v>0</v>
      </c>
      <c r="X299" s="6">
        <f t="shared" ref="X299:X362" si="62">SUM(Q299:W299)</f>
        <v>27.807167142857143</v>
      </c>
      <c r="Y299" s="6"/>
      <c r="Z299" s="6"/>
      <c r="AA299" s="6"/>
      <c r="AB299" s="6"/>
      <c r="AC299" s="6"/>
      <c r="AD299" s="6"/>
      <c r="AE299" s="6"/>
    </row>
    <row r="300" spans="1:32" s="5" customFormat="1" ht="20.100000000000001" customHeight="1" x14ac:dyDescent="0.25">
      <c r="A300" s="6"/>
      <c r="B300" s="6" t="s">
        <v>140</v>
      </c>
      <c r="C300" s="9" t="s">
        <v>0</v>
      </c>
      <c r="D300" s="6">
        <v>8</v>
      </c>
      <c r="E300" s="6">
        <v>0.1</v>
      </c>
      <c r="F300" s="6">
        <f>+ROUND(E296/E300,0)+1</f>
        <v>28</v>
      </c>
      <c r="G300" s="8"/>
      <c r="H300" s="6"/>
      <c r="I300" s="6"/>
      <c r="J300" s="6"/>
      <c r="K300" s="6"/>
      <c r="L300" s="6"/>
      <c r="M300" s="6"/>
      <c r="N300" s="6"/>
      <c r="O300" s="6">
        <f>(2*((G296-(2*$D$11))+(F296-(2*$D$11)))+(2*10*D300/1000))*D296</f>
        <v>2.02</v>
      </c>
      <c r="P300" s="6">
        <f>O300*F300</f>
        <v>56.56</v>
      </c>
      <c r="Q300" s="6">
        <f t="shared" si="55"/>
        <v>22.326656000000003</v>
      </c>
      <c r="R300" s="6">
        <f t="shared" si="55"/>
        <v>0</v>
      </c>
      <c r="S300" s="6">
        <f t="shared" si="55"/>
        <v>0</v>
      </c>
      <c r="T300" s="6">
        <f t="shared" si="55"/>
        <v>0</v>
      </c>
      <c r="U300" s="6">
        <f t="shared" si="55"/>
        <v>0</v>
      </c>
      <c r="V300" s="6">
        <f t="shared" si="55"/>
        <v>0</v>
      </c>
      <c r="W300" s="6">
        <f t="shared" si="55"/>
        <v>0</v>
      </c>
      <c r="X300" s="6">
        <f t="shared" si="62"/>
        <v>22.326656000000003</v>
      </c>
      <c r="Y300" s="6"/>
      <c r="Z300" s="6"/>
      <c r="AA300" s="6"/>
      <c r="AB300" s="6"/>
      <c r="AC300" s="6"/>
      <c r="AD300" s="6"/>
      <c r="AE300" s="6"/>
    </row>
    <row r="301" spans="1:32" s="5" customFormat="1" ht="20.100000000000001" customHeight="1" x14ac:dyDescent="0.25">
      <c r="A301" s="7"/>
      <c r="B301" s="6" t="s">
        <v>140</v>
      </c>
      <c r="C301" s="9" t="s">
        <v>17</v>
      </c>
      <c r="D301" s="6">
        <f>+$D$15</f>
        <v>25</v>
      </c>
      <c r="E301" s="6">
        <f>+$E$15</f>
        <v>1</v>
      </c>
      <c r="F301" s="6">
        <f>ROUNDUP((0.9+0.9)/E301,0)+1</f>
        <v>3</v>
      </c>
      <c r="G301" s="8"/>
      <c r="H301" s="8"/>
      <c r="I301" s="6"/>
      <c r="J301" s="6"/>
      <c r="K301" s="6"/>
      <c r="L301" s="6"/>
      <c r="M301" s="6"/>
      <c r="N301" s="6"/>
      <c r="O301" s="6">
        <f>+F296-(2*$D$11)</f>
        <v>0.24</v>
      </c>
      <c r="P301" s="6">
        <f t="shared" ref="P301:P302" si="63">O301*F301</f>
        <v>0.72</v>
      </c>
      <c r="Q301" s="6">
        <f t="shared" si="55"/>
        <v>0</v>
      </c>
      <c r="R301" s="6">
        <f t="shared" si="55"/>
        <v>0</v>
      </c>
      <c r="S301" s="6">
        <f t="shared" si="55"/>
        <v>0</v>
      </c>
      <c r="T301" s="6">
        <f t="shared" si="55"/>
        <v>0</v>
      </c>
      <c r="U301" s="6">
        <f t="shared" si="55"/>
        <v>0</v>
      </c>
      <c r="V301" s="6">
        <f t="shared" si="55"/>
        <v>2.7755357142857147</v>
      </c>
      <c r="W301" s="6">
        <f t="shared" si="55"/>
        <v>0</v>
      </c>
      <c r="X301" s="6">
        <f t="shared" si="62"/>
        <v>2.7755357142857147</v>
      </c>
      <c r="Y301" s="6"/>
      <c r="Z301" s="6"/>
      <c r="AA301" s="6"/>
      <c r="AB301" s="6"/>
      <c r="AC301" s="6"/>
      <c r="AD301" s="6"/>
      <c r="AE301" s="6"/>
    </row>
    <row r="302" spans="1:32" s="5" customFormat="1" ht="20.100000000000001" customHeight="1" x14ac:dyDescent="0.25">
      <c r="A302" s="7"/>
      <c r="B302" s="6" t="s">
        <v>140</v>
      </c>
      <c r="C302" s="9" t="s">
        <v>6</v>
      </c>
      <c r="D302" s="6">
        <v>8</v>
      </c>
      <c r="E302" s="6">
        <v>0.13</v>
      </c>
      <c r="F302" s="6">
        <f>2*2</f>
        <v>4</v>
      </c>
      <c r="G302" s="8">
        <f>VLOOKUP(D302,$C$20:$F$26,3,0)</f>
        <v>0.4</v>
      </c>
      <c r="H302" s="6"/>
      <c r="I302" s="6"/>
      <c r="J302" s="6"/>
      <c r="K302" s="6"/>
      <c r="L302" s="6"/>
      <c r="M302" s="6"/>
      <c r="N302" s="6"/>
      <c r="O302" s="6">
        <f>+E296</f>
        <v>2.7170000000000001</v>
      </c>
      <c r="P302" s="6">
        <f t="shared" si="63"/>
        <v>10.868</v>
      </c>
      <c r="Q302" s="6">
        <f t="shared" si="55"/>
        <v>4.2900653714285717</v>
      </c>
      <c r="R302" s="6">
        <f t="shared" si="55"/>
        <v>0</v>
      </c>
      <c r="S302" s="6">
        <f t="shared" si="55"/>
        <v>0</v>
      </c>
      <c r="T302" s="6">
        <f t="shared" si="55"/>
        <v>0</v>
      </c>
      <c r="U302" s="6">
        <f t="shared" si="55"/>
        <v>0</v>
      </c>
      <c r="V302" s="6">
        <f t="shared" si="55"/>
        <v>0</v>
      </c>
      <c r="W302" s="6">
        <f t="shared" si="55"/>
        <v>0</v>
      </c>
      <c r="X302" s="6">
        <f t="shared" si="62"/>
        <v>4.2900653714285717</v>
      </c>
      <c r="Y302" s="6"/>
      <c r="Z302" s="6"/>
      <c r="AA302" s="6"/>
      <c r="AB302" s="6"/>
      <c r="AC302" s="6"/>
      <c r="AD302" s="6"/>
      <c r="AE302" s="6"/>
    </row>
    <row r="303" spans="1:32" s="5" customFormat="1" ht="21" customHeight="1" x14ac:dyDescent="0.25">
      <c r="A303" s="6">
        <f>+A296+1</f>
        <v>37</v>
      </c>
      <c r="B303" s="6" t="s">
        <v>140</v>
      </c>
      <c r="C303" s="11" t="s">
        <v>52</v>
      </c>
      <c r="D303" s="11">
        <v>1</v>
      </c>
      <c r="E303" s="11">
        <v>2.879</v>
      </c>
      <c r="F303" s="11">
        <v>0.3</v>
      </c>
      <c r="G303" s="11">
        <v>0.75</v>
      </c>
      <c r="H303" s="6">
        <f>G303-0.2</f>
        <v>0.55000000000000004</v>
      </c>
      <c r="I303" s="6">
        <f>E303*F303*G303*D303</f>
        <v>0.64777499999999999</v>
      </c>
      <c r="J303" s="6">
        <f>(2*(E303)*H303*D303)+(E303*F303)</f>
        <v>4.0305999999999997</v>
      </c>
      <c r="K303" s="10">
        <f>IF(E303=0.3,J303,0)</f>
        <v>0</v>
      </c>
      <c r="L303" s="10">
        <f>IF(AND(E303&gt;0.3,E303&lt;=0.75),J303,0)</f>
        <v>0</v>
      </c>
      <c r="M303" s="10">
        <f>IF(AND(E303&gt;0.75,E303&lt;=1.2),J303,0)</f>
        <v>0</v>
      </c>
      <c r="N303" s="10">
        <f>IF(E303&gt;1.2,J303,0)</f>
        <v>4.0305999999999997</v>
      </c>
      <c r="O303" s="6"/>
      <c r="P303" s="6"/>
      <c r="Q303" s="6">
        <f t="shared" si="55"/>
        <v>0</v>
      </c>
      <c r="R303" s="6">
        <f t="shared" si="55"/>
        <v>0</v>
      </c>
      <c r="S303" s="6">
        <f t="shared" si="55"/>
        <v>0</v>
      </c>
      <c r="T303" s="6">
        <f t="shared" si="55"/>
        <v>0</v>
      </c>
      <c r="U303" s="6">
        <f t="shared" si="55"/>
        <v>0</v>
      </c>
      <c r="V303" s="6">
        <f t="shared" si="55"/>
        <v>0</v>
      </c>
      <c r="W303" s="6">
        <f t="shared" si="55"/>
        <v>0</v>
      </c>
      <c r="X303" s="6">
        <f t="shared" si="62"/>
        <v>0</v>
      </c>
      <c r="Y303" s="7">
        <f>SUM(X304:X309)/I303</f>
        <v>114.85431224466168</v>
      </c>
      <c r="Z303" s="6"/>
      <c r="AA303" s="6"/>
      <c r="AB303" s="6"/>
      <c r="AC303" s="6"/>
      <c r="AD303" s="6"/>
      <c r="AE303" s="6"/>
      <c r="AF303" s="6"/>
    </row>
    <row r="304" spans="1:32" s="5" customFormat="1" ht="20.100000000000001" customHeight="1" x14ac:dyDescent="0.25">
      <c r="A304" s="7"/>
      <c r="B304" s="6" t="s">
        <v>140</v>
      </c>
      <c r="C304" s="9" t="s">
        <v>2</v>
      </c>
      <c r="D304" s="6">
        <v>16</v>
      </c>
      <c r="E304" s="6"/>
      <c r="F304" s="6">
        <v>3</v>
      </c>
      <c r="G304" s="8">
        <f>VLOOKUP(D304,$C$20:$F$26,3,0)</f>
        <v>0.8</v>
      </c>
      <c r="H304" s="8"/>
      <c r="I304" s="6"/>
      <c r="J304" s="6"/>
      <c r="K304" s="6"/>
      <c r="L304" s="6"/>
      <c r="M304" s="6"/>
      <c r="N304" s="6"/>
      <c r="O304" s="6">
        <f>+E303</f>
        <v>2.879</v>
      </c>
      <c r="P304" s="6">
        <f t="shared" ref="P304:P305" si="64">O304*F304</f>
        <v>8.6370000000000005</v>
      </c>
      <c r="Q304" s="6">
        <f t="shared" si="55"/>
        <v>0</v>
      </c>
      <c r="R304" s="6">
        <f t="shared" si="55"/>
        <v>0</v>
      </c>
      <c r="S304" s="6">
        <f t="shared" si="55"/>
        <v>0</v>
      </c>
      <c r="T304" s="6">
        <f t="shared" si="55"/>
        <v>13.637576228571429</v>
      </c>
      <c r="U304" s="6">
        <f t="shared" si="55"/>
        <v>0</v>
      </c>
      <c r="V304" s="6">
        <f t="shared" si="55"/>
        <v>0</v>
      </c>
      <c r="W304" s="6">
        <f t="shared" si="55"/>
        <v>0</v>
      </c>
      <c r="X304" s="6">
        <f t="shared" si="62"/>
        <v>13.637576228571429</v>
      </c>
      <c r="Y304" s="6"/>
      <c r="Z304" s="6"/>
      <c r="AA304" s="6"/>
      <c r="AB304" s="6"/>
      <c r="AC304" s="6"/>
      <c r="AD304" s="6"/>
      <c r="AE304" s="6"/>
    </row>
    <row r="305" spans="1:32" s="5" customFormat="1" ht="20.100000000000001" customHeight="1" x14ac:dyDescent="0.25">
      <c r="A305" s="7"/>
      <c r="B305" s="6" t="s">
        <v>140</v>
      </c>
      <c r="C305" s="9" t="s">
        <v>14</v>
      </c>
      <c r="D305" s="6">
        <v>16</v>
      </c>
      <c r="E305" s="6"/>
      <c r="F305" s="6">
        <v>2</v>
      </c>
      <c r="G305" s="8">
        <f>VLOOKUP(D305,$C$20:$F$26,3,0)</f>
        <v>0.8</v>
      </c>
      <c r="H305" s="8"/>
      <c r="I305" s="6"/>
      <c r="J305" s="6"/>
      <c r="K305" s="6"/>
      <c r="L305" s="6"/>
      <c r="M305" s="6"/>
      <c r="N305" s="6"/>
      <c r="O305" s="6">
        <f>0.9+0.75+0.95</f>
        <v>2.5999999999999996</v>
      </c>
      <c r="P305" s="6">
        <f t="shared" si="64"/>
        <v>5.1999999999999993</v>
      </c>
      <c r="Q305" s="6">
        <f t="shared" si="55"/>
        <v>0</v>
      </c>
      <c r="R305" s="6">
        <f t="shared" si="55"/>
        <v>0</v>
      </c>
      <c r="S305" s="6">
        <f t="shared" si="55"/>
        <v>0</v>
      </c>
      <c r="T305" s="6">
        <f t="shared" si="55"/>
        <v>8.2106514285714276</v>
      </c>
      <c r="U305" s="6">
        <f t="shared" si="55"/>
        <v>0</v>
      </c>
      <c r="V305" s="6">
        <f t="shared" si="55"/>
        <v>0</v>
      </c>
      <c r="W305" s="6">
        <f t="shared" si="55"/>
        <v>0</v>
      </c>
      <c r="X305" s="6">
        <f t="shared" si="62"/>
        <v>8.2106514285714276</v>
      </c>
      <c r="Y305" s="6"/>
      <c r="Z305" s="6"/>
      <c r="AA305" s="6"/>
      <c r="AB305" s="6"/>
      <c r="AC305" s="6"/>
      <c r="AD305" s="6"/>
      <c r="AE305" s="6"/>
    </row>
    <row r="306" spans="1:32" s="5" customFormat="1" ht="20.100000000000001" customHeight="1" x14ac:dyDescent="0.25">
      <c r="A306" s="7"/>
      <c r="B306" s="6" t="s">
        <v>140</v>
      </c>
      <c r="C306" s="9" t="s">
        <v>1</v>
      </c>
      <c r="D306" s="6">
        <v>20</v>
      </c>
      <c r="E306" s="6"/>
      <c r="F306" s="6">
        <v>3</v>
      </c>
      <c r="G306" s="8">
        <f>VLOOKUP(D306,$C$20:$F$26,3,0)</f>
        <v>1</v>
      </c>
      <c r="H306" s="6"/>
      <c r="I306" s="6"/>
      <c r="J306" s="6"/>
      <c r="K306" s="6"/>
      <c r="L306" s="6"/>
      <c r="M306" s="6"/>
      <c r="N306" s="6"/>
      <c r="O306" s="6">
        <f>+E303</f>
        <v>2.879</v>
      </c>
      <c r="P306" s="6">
        <f>O306*F306</f>
        <v>8.6370000000000005</v>
      </c>
      <c r="Q306" s="6">
        <f t="shared" si="55"/>
        <v>0</v>
      </c>
      <c r="R306" s="6">
        <f t="shared" si="55"/>
        <v>0</v>
      </c>
      <c r="S306" s="6">
        <f t="shared" si="55"/>
        <v>0</v>
      </c>
      <c r="T306" s="6">
        <f t="shared" si="55"/>
        <v>0</v>
      </c>
      <c r="U306" s="6">
        <f t="shared" si="55"/>
        <v>21.308712857142858</v>
      </c>
      <c r="V306" s="6">
        <f t="shared" si="55"/>
        <v>0</v>
      </c>
      <c r="W306" s="6">
        <f t="shared" si="55"/>
        <v>0</v>
      </c>
      <c r="X306" s="6">
        <f t="shared" si="62"/>
        <v>21.308712857142858</v>
      </c>
      <c r="Y306" s="6"/>
      <c r="Z306" s="6"/>
      <c r="AA306" s="6"/>
      <c r="AB306" s="6"/>
      <c r="AC306" s="6"/>
      <c r="AD306" s="6"/>
      <c r="AE306" s="6"/>
    </row>
    <row r="307" spans="1:32" s="5" customFormat="1" ht="20.100000000000001" customHeight="1" x14ac:dyDescent="0.25">
      <c r="A307" s="6"/>
      <c r="B307" s="6" t="s">
        <v>140</v>
      </c>
      <c r="C307" s="9" t="s">
        <v>0</v>
      </c>
      <c r="D307" s="6">
        <v>8</v>
      </c>
      <c r="E307" s="6">
        <v>0.1</v>
      </c>
      <c r="F307" s="6">
        <f>+ROUND(E303/E307,0)+1</f>
        <v>30</v>
      </c>
      <c r="G307" s="8"/>
      <c r="H307" s="6"/>
      <c r="I307" s="6"/>
      <c r="J307" s="6"/>
      <c r="K307" s="6"/>
      <c r="L307" s="6"/>
      <c r="M307" s="6"/>
      <c r="N307" s="6"/>
      <c r="O307" s="6">
        <f>(2*((G303-(2*$D$11))+(F303-(2*$D$11)))+(2*10*D307/1000))*D303</f>
        <v>2.02</v>
      </c>
      <c r="P307" s="6">
        <f>O307*F307</f>
        <v>60.6</v>
      </c>
      <c r="Q307" s="6">
        <f t="shared" si="55"/>
        <v>23.921417142857145</v>
      </c>
      <c r="R307" s="6">
        <f t="shared" si="55"/>
        <v>0</v>
      </c>
      <c r="S307" s="6">
        <f t="shared" si="55"/>
        <v>0</v>
      </c>
      <c r="T307" s="6">
        <f t="shared" si="55"/>
        <v>0</v>
      </c>
      <c r="U307" s="6">
        <f t="shared" si="55"/>
        <v>0</v>
      </c>
      <c r="V307" s="6">
        <f t="shared" si="55"/>
        <v>0</v>
      </c>
      <c r="W307" s="6">
        <f t="shared" si="55"/>
        <v>0</v>
      </c>
      <c r="X307" s="6">
        <f t="shared" si="62"/>
        <v>23.921417142857145</v>
      </c>
      <c r="Y307" s="6"/>
      <c r="Z307" s="6"/>
      <c r="AA307" s="6"/>
      <c r="AB307" s="6"/>
      <c r="AC307" s="6"/>
      <c r="AD307" s="6"/>
      <c r="AE307" s="6"/>
    </row>
    <row r="308" spans="1:32" s="5" customFormat="1" ht="20.100000000000001" customHeight="1" x14ac:dyDescent="0.25">
      <c r="A308" s="7"/>
      <c r="B308" s="6" t="s">
        <v>140</v>
      </c>
      <c r="C308" s="9" t="s">
        <v>17</v>
      </c>
      <c r="D308" s="6">
        <f>+$D$15</f>
        <v>25</v>
      </c>
      <c r="E308" s="6">
        <f>+$E$15</f>
        <v>1</v>
      </c>
      <c r="F308" s="6">
        <f>ROUNDUP((0.95+0.95)/E308,0)+1</f>
        <v>3</v>
      </c>
      <c r="G308" s="8"/>
      <c r="H308" s="8"/>
      <c r="I308" s="6"/>
      <c r="J308" s="6"/>
      <c r="K308" s="6"/>
      <c r="L308" s="6"/>
      <c r="M308" s="6"/>
      <c r="N308" s="6"/>
      <c r="O308" s="6">
        <f>+F303-(2*$D$11)</f>
        <v>0.24</v>
      </c>
      <c r="P308" s="6">
        <f t="shared" ref="P308:P309" si="65">O308*F308</f>
        <v>0.72</v>
      </c>
      <c r="Q308" s="6">
        <f t="shared" si="55"/>
        <v>0</v>
      </c>
      <c r="R308" s="6">
        <f t="shared" si="55"/>
        <v>0</v>
      </c>
      <c r="S308" s="6">
        <f t="shared" si="55"/>
        <v>0</v>
      </c>
      <c r="T308" s="6">
        <f t="shared" si="55"/>
        <v>0</v>
      </c>
      <c r="U308" s="6">
        <f t="shared" si="55"/>
        <v>0</v>
      </c>
      <c r="V308" s="6">
        <f t="shared" si="55"/>
        <v>2.7755357142857147</v>
      </c>
      <c r="W308" s="6">
        <f t="shared" si="55"/>
        <v>0</v>
      </c>
      <c r="X308" s="6">
        <f t="shared" si="62"/>
        <v>2.7755357142857147</v>
      </c>
      <c r="Y308" s="6"/>
      <c r="Z308" s="6"/>
      <c r="AA308" s="6"/>
      <c r="AB308" s="6"/>
      <c r="AC308" s="6"/>
      <c r="AD308" s="6"/>
      <c r="AE308" s="6"/>
    </row>
    <row r="309" spans="1:32" s="5" customFormat="1" ht="20.100000000000001" customHeight="1" x14ac:dyDescent="0.25">
      <c r="A309" s="7"/>
      <c r="B309" s="6" t="s">
        <v>140</v>
      </c>
      <c r="C309" s="9" t="s">
        <v>6</v>
      </c>
      <c r="D309" s="6">
        <v>8</v>
      </c>
      <c r="E309" s="6">
        <v>0.13</v>
      </c>
      <c r="F309" s="6">
        <f>2*2</f>
        <v>4</v>
      </c>
      <c r="G309" s="8">
        <f>VLOOKUP(D309,$C$20:$F$26,3,0)</f>
        <v>0.4</v>
      </c>
      <c r="H309" s="6"/>
      <c r="I309" s="6"/>
      <c r="J309" s="6"/>
      <c r="K309" s="6"/>
      <c r="L309" s="6"/>
      <c r="M309" s="6"/>
      <c r="N309" s="6"/>
      <c r="O309" s="6">
        <f>+E303</f>
        <v>2.879</v>
      </c>
      <c r="P309" s="6">
        <f t="shared" si="65"/>
        <v>11.516</v>
      </c>
      <c r="Q309" s="6">
        <f t="shared" si="55"/>
        <v>4.5458587428571429</v>
      </c>
      <c r="R309" s="6">
        <f t="shared" si="55"/>
        <v>0</v>
      </c>
      <c r="S309" s="6">
        <f t="shared" si="55"/>
        <v>0</v>
      </c>
      <c r="T309" s="6">
        <f t="shared" si="55"/>
        <v>0</v>
      </c>
      <c r="U309" s="6">
        <f t="shared" si="55"/>
        <v>0</v>
      </c>
      <c r="V309" s="6">
        <f t="shared" si="55"/>
        <v>0</v>
      </c>
      <c r="W309" s="6">
        <f t="shared" si="55"/>
        <v>0</v>
      </c>
      <c r="X309" s="6">
        <f t="shared" si="62"/>
        <v>4.5458587428571429</v>
      </c>
      <c r="Y309" s="6"/>
      <c r="Z309" s="6"/>
      <c r="AA309" s="6"/>
      <c r="AB309" s="6"/>
      <c r="AC309" s="6"/>
      <c r="AD309" s="6"/>
      <c r="AE309" s="6"/>
    </row>
    <row r="310" spans="1:32" s="5" customFormat="1" ht="21" customHeight="1" x14ac:dyDescent="0.25">
      <c r="A310" s="6">
        <f>+A303+1</f>
        <v>38</v>
      </c>
      <c r="B310" s="6" t="s">
        <v>140</v>
      </c>
      <c r="C310" s="11" t="s">
        <v>51</v>
      </c>
      <c r="D310" s="11">
        <v>1</v>
      </c>
      <c r="E310" s="11">
        <v>3.92</v>
      </c>
      <c r="F310" s="11">
        <v>0.3</v>
      </c>
      <c r="G310" s="11">
        <v>1.3</v>
      </c>
      <c r="H310" s="6">
        <f>G310-0.2</f>
        <v>1.1000000000000001</v>
      </c>
      <c r="I310" s="6">
        <f>E310*F310*G310*D310</f>
        <v>1.5287999999999999</v>
      </c>
      <c r="J310" s="6">
        <f>(2*(E310)*H310*D310)+(E310*F310)</f>
        <v>9.8000000000000007</v>
      </c>
      <c r="K310" s="10">
        <f>IF(E310=0.3,J310,0)</f>
        <v>0</v>
      </c>
      <c r="L310" s="10">
        <f>IF(AND(E310&gt;0.3,E310&lt;=0.75),J310,0)</f>
        <v>0</v>
      </c>
      <c r="M310" s="10">
        <f>IF(AND(E310&gt;0.75,E310&lt;=1.2),J310,0)</f>
        <v>0</v>
      </c>
      <c r="N310" s="10">
        <f>IF(E310&gt;1.2,J310,0)</f>
        <v>9.8000000000000007</v>
      </c>
      <c r="O310" s="6"/>
      <c r="P310" s="6"/>
      <c r="Q310" s="6">
        <f t="shared" si="55"/>
        <v>0</v>
      </c>
      <c r="R310" s="6">
        <f t="shared" si="55"/>
        <v>0</v>
      </c>
      <c r="S310" s="6">
        <f t="shared" si="55"/>
        <v>0</v>
      </c>
      <c r="T310" s="6">
        <f t="shared" si="55"/>
        <v>0</v>
      </c>
      <c r="U310" s="6">
        <f t="shared" si="55"/>
        <v>0</v>
      </c>
      <c r="V310" s="6">
        <f t="shared" si="55"/>
        <v>0</v>
      </c>
      <c r="W310" s="6">
        <f t="shared" si="55"/>
        <v>0</v>
      </c>
      <c r="X310" s="6">
        <f t="shared" si="62"/>
        <v>0</v>
      </c>
      <c r="Y310" s="7">
        <f>SUM(X311:X316)/I310</f>
        <v>84.987971892053537</v>
      </c>
      <c r="Z310" s="6"/>
      <c r="AA310" s="6"/>
      <c r="AB310" s="6"/>
      <c r="AC310" s="6"/>
      <c r="AD310" s="6"/>
      <c r="AE310" s="6"/>
      <c r="AF310" s="6"/>
    </row>
    <row r="311" spans="1:32" s="5" customFormat="1" ht="20.100000000000001" customHeight="1" x14ac:dyDescent="0.25">
      <c r="A311" s="7"/>
      <c r="B311" s="6" t="s">
        <v>140</v>
      </c>
      <c r="C311" s="9" t="s">
        <v>2</v>
      </c>
      <c r="D311" s="6">
        <v>16</v>
      </c>
      <c r="E311" s="6"/>
      <c r="F311" s="6">
        <v>3</v>
      </c>
      <c r="G311" s="8">
        <f>VLOOKUP(D311,$C$20:$F$26,3,0)</f>
        <v>0.8</v>
      </c>
      <c r="H311" s="8"/>
      <c r="I311" s="6"/>
      <c r="J311" s="6"/>
      <c r="K311" s="6"/>
      <c r="L311" s="6"/>
      <c r="M311" s="6"/>
      <c r="N311" s="6"/>
      <c r="O311" s="6">
        <f>+E310</f>
        <v>3.92</v>
      </c>
      <c r="P311" s="6">
        <f t="shared" ref="P311:P312" si="66">O311*F311</f>
        <v>11.76</v>
      </c>
      <c r="Q311" s="6">
        <f t="shared" si="55"/>
        <v>0</v>
      </c>
      <c r="R311" s="6">
        <f t="shared" si="55"/>
        <v>0</v>
      </c>
      <c r="S311" s="6">
        <f t="shared" si="55"/>
        <v>0</v>
      </c>
      <c r="T311" s="6">
        <f t="shared" si="55"/>
        <v>18.568704</v>
      </c>
      <c r="U311" s="6">
        <f t="shared" si="55"/>
        <v>0</v>
      </c>
      <c r="V311" s="6">
        <f t="shared" si="55"/>
        <v>0</v>
      </c>
      <c r="W311" s="6">
        <f t="shared" si="55"/>
        <v>0</v>
      </c>
      <c r="X311" s="6">
        <f t="shared" si="62"/>
        <v>18.568704</v>
      </c>
      <c r="Y311" s="6"/>
      <c r="Z311" s="6"/>
      <c r="AA311" s="6"/>
      <c r="AB311" s="6"/>
      <c r="AC311" s="6"/>
      <c r="AD311" s="6"/>
      <c r="AE311" s="6"/>
    </row>
    <row r="312" spans="1:32" s="5" customFormat="1" ht="20.100000000000001" customHeight="1" x14ac:dyDescent="0.25">
      <c r="A312" s="7"/>
      <c r="B312" s="6" t="s">
        <v>140</v>
      </c>
      <c r="C312" s="9" t="s">
        <v>14</v>
      </c>
      <c r="D312" s="6">
        <v>16</v>
      </c>
      <c r="E312" s="6"/>
      <c r="F312" s="6">
        <v>2</v>
      </c>
      <c r="G312" s="8">
        <f>VLOOKUP(D312,$C$20:$F$26,3,0)</f>
        <v>0.8</v>
      </c>
      <c r="H312" s="8"/>
      <c r="I312" s="6"/>
      <c r="J312" s="6"/>
      <c r="K312" s="6"/>
      <c r="L312" s="6"/>
      <c r="M312" s="6"/>
      <c r="N312" s="6"/>
      <c r="O312" s="6">
        <f>0.95+0.75+1.2</f>
        <v>2.9</v>
      </c>
      <c r="P312" s="6">
        <f t="shared" si="66"/>
        <v>5.8</v>
      </c>
      <c r="Q312" s="6">
        <f t="shared" si="55"/>
        <v>0</v>
      </c>
      <c r="R312" s="6">
        <f t="shared" si="55"/>
        <v>0</v>
      </c>
      <c r="S312" s="6">
        <f t="shared" si="55"/>
        <v>0</v>
      </c>
      <c r="T312" s="6">
        <f t="shared" si="55"/>
        <v>9.1580342857142867</v>
      </c>
      <c r="U312" s="6">
        <f t="shared" si="55"/>
        <v>0</v>
      </c>
      <c r="V312" s="6">
        <f t="shared" si="55"/>
        <v>0</v>
      </c>
      <c r="W312" s="6">
        <f t="shared" si="55"/>
        <v>0</v>
      </c>
      <c r="X312" s="6">
        <f t="shared" si="62"/>
        <v>9.1580342857142867</v>
      </c>
      <c r="Y312" s="6"/>
      <c r="Z312" s="6"/>
      <c r="AA312" s="6"/>
      <c r="AB312" s="6"/>
      <c r="AC312" s="6"/>
      <c r="AD312" s="6"/>
      <c r="AE312" s="6"/>
    </row>
    <row r="313" spans="1:32" s="5" customFormat="1" ht="20.100000000000001" customHeight="1" x14ac:dyDescent="0.25">
      <c r="A313" s="7"/>
      <c r="B313" s="6" t="s">
        <v>140</v>
      </c>
      <c r="C313" s="9" t="s">
        <v>1</v>
      </c>
      <c r="D313" s="6">
        <v>20</v>
      </c>
      <c r="E313" s="6"/>
      <c r="F313" s="6">
        <v>3</v>
      </c>
      <c r="G313" s="8">
        <f>VLOOKUP(D313,$C$20:$F$26,3,0)</f>
        <v>1</v>
      </c>
      <c r="H313" s="6"/>
      <c r="I313" s="6"/>
      <c r="J313" s="6"/>
      <c r="K313" s="6"/>
      <c r="L313" s="6"/>
      <c r="M313" s="6"/>
      <c r="N313" s="6"/>
      <c r="O313" s="6">
        <f>(E310+1*(G313+(10*D313/1000*F310))*D310)</f>
        <v>4.9800000000000004</v>
      </c>
      <c r="P313" s="6">
        <f>O313*F313</f>
        <v>14.940000000000001</v>
      </c>
      <c r="Q313" s="6">
        <f t="shared" si="55"/>
        <v>0</v>
      </c>
      <c r="R313" s="6">
        <f t="shared" si="55"/>
        <v>0</v>
      </c>
      <c r="S313" s="6">
        <f t="shared" si="55"/>
        <v>0</v>
      </c>
      <c r="T313" s="6">
        <f t="shared" si="55"/>
        <v>0</v>
      </c>
      <c r="U313" s="6">
        <f t="shared" si="55"/>
        <v>36.859114285714291</v>
      </c>
      <c r="V313" s="6">
        <f t="shared" si="55"/>
        <v>0</v>
      </c>
      <c r="W313" s="6">
        <f t="shared" si="55"/>
        <v>0</v>
      </c>
      <c r="X313" s="6">
        <f t="shared" si="62"/>
        <v>36.859114285714291</v>
      </c>
      <c r="Y313" s="6"/>
      <c r="Z313" s="6"/>
      <c r="AA313" s="6"/>
      <c r="AB313" s="6"/>
      <c r="AC313" s="6"/>
      <c r="AD313" s="6"/>
      <c r="AE313" s="6"/>
    </row>
    <row r="314" spans="1:32" s="5" customFormat="1" ht="20.100000000000001" customHeight="1" x14ac:dyDescent="0.25">
      <c r="A314" s="6"/>
      <c r="B314" s="6" t="s">
        <v>140</v>
      </c>
      <c r="C314" s="9" t="s">
        <v>0</v>
      </c>
      <c r="D314" s="6">
        <v>8</v>
      </c>
      <c r="E314" s="6">
        <v>0.1</v>
      </c>
      <c r="F314" s="6">
        <f>+ROUND(E310/E314,0)+1</f>
        <v>40</v>
      </c>
      <c r="G314" s="8"/>
      <c r="H314" s="6"/>
      <c r="I314" s="6"/>
      <c r="J314" s="6"/>
      <c r="K314" s="6"/>
      <c r="L314" s="6"/>
      <c r="M314" s="6"/>
      <c r="N314" s="6"/>
      <c r="O314" s="6">
        <f>(2*((G310-(2*$D$11))+(F310-(2*$D$11)))+(2*10*D314/1000))*D310</f>
        <v>3.12</v>
      </c>
      <c r="P314" s="6">
        <f>O314*F314</f>
        <v>124.80000000000001</v>
      </c>
      <c r="Q314" s="6">
        <f t="shared" ref="Q314:W350" si="67">IF($D314=Q$36,$P314*Q$37,0)</f>
        <v>49.26390857142858</v>
      </c>
      <c r="R314" s="6">
        <f t="shared" si="67"/>
        <v>0</v>
      </c>
      <c r="S314" s="6">
        <f t="shared" si="67"/>
        <v>0</v>
      </c>
      <c r="T314" s="6">
        <f t="shared" si="67"/>
        <v>0</v>
      </c>
      <c r="U314" s="6">
        <f t="shared" si="67"/>
        <v>0</v>
      </c>
      <c r="V314" s="6">
        <f t="shared" si="67"/>
        <v>0</v>
      </c>
      <c r="W314" s="6">
        <f t="shared" si="67"/>
        <v>0</v>
      </c>
      <c r="X314" s="6">
        <f t="shared" si="62"/>
        <v>49.26390857142858</v>
      </c>
      <c r="Y314" s="6"/>
      <c r="Z314" s="6"/>
      <c r="AA314" s="6"/>
      <c r="AB314" s="6"/>
      <c r="AC314" s="6"/>
      <c r="AD314" s="6"/>
      <c r="AE314" s="6"/>
    </row>
    <row r="315" spans="1:32" s="5" customFormat="1" ht="20.100000000000001" customHeight="1" x14ac:dyDescent="0.25">
      <c r="A315" s="7"/>
      <c r="B315" s="6" t="s">
        <v>140</v>
      </c>
      <c r="C315" s="9" t="s">
        <v>17</v>
      </c>
      <c r="D315" s="6">
        <f>+$D$15</f>
        <v>25</v>
      </c>
      <c r="E315" s="6">
        <f>+$E$15</f>
        <v>1</v>
      </c>
      <c r="F315" s="6">
        <f>ROUNDUP((1.2+1.2)/E315,0)+1</f>
        <v>4</v>
      </c>
      <c r="G315" s="8"/>
      <c r="H315" s="8"/>
      <c r="I315" s="6"/>
      <c r="J315" s="6"/>
      <c r="K315" s="6"/>
      <c r="L315" s="6"/>
      <c r="M315" s="6"/>
      <c r="N315" s="6"/>
      <c r="O315" s="6">
        <f>+F310-(2*$D$11)</f>
        <v>0.24</v>
      </c>
      <c r="P315" s="6">
        <f t="shared" ref="P315:P316" si="68">O315*F315</f>
        <v>0.96</v>
      </c>
      <c r="Q315" s="6">
        <f t="shared" si="67"/>
        <v>0</v>
      </c>
      <c r="R315" s="6">
        <f t="shared" si="67"/>
        <v>0</v>
      </c>
      <c r="S315" s="6">
        <f t="shared" si="67"/>
        <v>0</v>
      </c>
      <c r="T315" s="6">
        <f t="shared" si="67"/>
        <v>0</v>
      </c>
      <c r="U315" s="6">
        <f t="shared" si="67"/>
        <v>0</v>
      </c>
      <c r="V315" s="6">
        <f t="shared" si="67"/>
        <v>3.7007142857142861</v>
      </c>
      <c r="W315" s="6">
        <f t="shared" si="67"/>
        <v>0</v>
      </c>
      <c r="X315" s="6">
        <f t="shared" si="62"/>
        <v>3.7007142857142861</v>
      </c>
      <c r="Y315" s="6"/>
      <c r="Z315" s="6"/>
      <c r="AA315" s="6"/>
      <c r="AB315" s="6"/>
      <c r="AC315" s="6"/>
      <c r="AD315" s="6"/>
      <c r="AE315" s="6"/>
    </row>
    <row r="316" spans="1:32" s="5" customFormat="1" ht="20.100000000000001" customHeight="1" x14ac:dyDescent="0.25">
      <c r="A316" s="7"/>
      <c r="B316" s="6" t="s">
        <v>140</v>
      </c>
      <c r="C316" s="9" t="s">
        <v>6</v>
      </c>
      <c r="D316" s="6">
        <v>8</v>
      </c>
      <c r="E316" s="6">
        <v>0.13</v>
      </c>
      <c r="F316" s="6">
        <f>2*4</f>
        <v>8</v>
      </c>
      <c r="G316" s="8">
        <f>VLOOKUP(D316,$C$20:$F$26,3,0)</f>
        <v>0.4</v>
      </c>
      <c r="H316" s="6"/>
      <c r="I316" s="6"/>
      <c r="J316" s="6"/>
      <c r="K316" s="6"/>
      <c r="L316" s="6"/>
      <c r="M316" s="6"/>
      <c r="N316" s="6"/>
      <c r="O316" s="6">
        <f>+E310</f>
        <v>3.92</v>
      </c>
      <c r="P316" s="6">
        <f t="shared" si="68"/>
        <v>31.36</v>
      </c>
      <c r="Q316" s="6">
        <f t="shared" si="67"/>
        <v>12.379136000000001</v>
      </c>
      <c r="R316" s="6">
        <f t="shared" si="67"/>
        <v>0</v>
      </c>
      <c r="S316" s="6">
        <f t="shared" si="67"/>
        <v>0</v>
      </c>
      <c r="T316" s="6">
        <f t="shared" si="67"/>
        <v>0</v>
      </c>
      <c r="U316" s="6">
        <f t="shared" si="67"/>
        <v>0</v>
      </c>
      <c r="V316" s="6">
        <f t="shared" si="67"/>
        <v>0</v>
      </c>
      <c r="W316" s="6">
        <f t="shared" si="67"/>
        <v>0</v>
      </c>
      <c r="X316" s="6">
        <f t="shared" si="62"/>
        <v>12.379136000000001</v>
      </c>
      <c r="Y316" s="6"/>
      <c r="Z316" s="6"/>
      <c r="AA316" s="6"/>
      <c r="AB316" s="6"/>
      <c r="AC316" s="6"/>
      <c r="AD316" s="6"/>
      <c r="AE316" s="6"/>
    </row>
    <row r="317" spans="1:32" s="5" customFormat="1" ht="21" customHeight="1" x14ac:dyDescent="0.25">
      <c r="A317" s="6">
        <f>+A310+1</f>
        <v>39</v>
      </c>
      <c r="B317" s="6" t="s">
        <v>140</v>
      </c>
      <c r="C317" s="11" t="s">
        <v>50</v>
      </c>
      <c r="D317" s="11">
        <v>1</v>
      </c>
      <c r="E317" s="11">
        <v>2.996</v>
      </c>
      <c r="F317" s="11">
        <v>0.3</v>
      </c>
      <c r="G317" s="11">
        <v>1.3</v>
      </c>
      <c r="H317" s="6">
        <f>G317-0.2</f>
        <v>1.1000000000000001</v>
      </c>
      <c r="I317" s="6">
        <f>E317*F317*G317*D317</f>
        <v>1.1684399999999999</v>
      </c>
      <c r="J317" s="6">
        <f>(2*(E317)*H317*D317)+(E317*F317)</f>
        <v>7.49</v>
      </c>
      <c r="K317" s="10">
        <f>IF(E317=0.3,J317,0)</f>
        <v>0</v>
      </c>
      <c r="L317" s="10">
        <f>IF(AND(E317&gt;0.3,E317&lt;=0.75),J317,0)</f>
        <v>0</v>
      </c>
      <c r="M317" s="10">
        <f>IF(AND(E317&gt;0.75,E317&lt;=1.2),J317,0)</f>
        <v>0</v>
      </c>
      <c r="N317" s="10">
        <f>IF(E317&gt;1.2,J317,0)</f>
        <v>7.49</v>
      </c>
      <c r="O317" s="6"/>
      <c r="P317" s="6"/>
      <c r="Q317" s="6">
        <f t="shared" si="67"/>
        <v>0</v>
      </c>
      <c r="R317" s="6">
        <f t="shared" si="67"/>
        <v>0</v>
      </c>
      <c r="S317" s="6">
        <f t="shared" si="67"/>
        <v>0</v>
      </c>
      <c r="T317" s="6">
        <f t="shared" si="67"/>
        <v>0</v>
      </c>
      <c r="U317" s="6">
        <f t="shared" si="67"/>
        <v>0</v>
      </c>
      <c r="V317" s="6">
        <f t="shared" si="67"/>
        <v>0</v>
      </c>
      <c r="W317" s="6">
        <f t="shared" si="67"/>
        <v>0</v>
      </c>
      <c r="X317" s="6">
        <f t="shared" si="62"/>
        <v>0</v>
      </c>
      <c r="Y317" s="7">
        <f>SUM(X318:X323)/I317</f>
        <v>88.824659741682453</v>
      </c>
      <c r="Z317" s="6"/>
      <c r="AA317" s="6"/>
      <c r="AB317" s="6"/>
      <c r="AC317" s="6"/>
      <c r="AD317" s="6"/>
      <c r="AE317" s="6"/>
      <c r="AF317" s="6"/>
    </row>
    <row r="318" spans="1:32" s="5" customFormat="1" ht="20.100000000000001" customHeight="1" x14ac:dyDescent="0.25">
      <c r="A318" s="7"/>
      <c r="B318" s="6" t="s">
        <v>140</v>
      </c>
      <c r="C318" s="9" t="s">
        <v>2</v>
      </c>
      <c r="D318" s="6">
        <v>16</v>
      </c>
      <c r="E318" s="6"/>
      <c r="F318" s="6">
        <v>3</v>
      </c>
      <c r="G318" s="8">
        <f>VLOOKUP(D318,$C$20:$F$26,3,0)</f>
        <v>0.8</v>
      </c>
      <c r="H318" s="8"/>
      <c r="I318" s="6"/>
      <c r="J318" s="6"/>
      <c r="K318" s="6"/>
      <c r="L318" s="6"/>
      <c r="M318" s="6"/>
      <c r="N318" s="6"/>
      <c r="O318" s="6">
        <f>+E317</f>
        <v>2.996</v>
      </c>
      <c r="P318" s="6">
        <f t="shared" ref="P318:P319" si="69">O318*F318</f>
        <v>8.9879999999999995</v>
      </c>
      <c r="Q318" s="6">
        <f t="shared" si="67"/>
        <v>0</v>
      </c>
      <c r="R318" s="6">
        <f t="shared" si="67"/>
        <v>0</v>
      </c>
      <c r="S318" s="6">
        <f t="shared" si="67"/>
        <v>0</v>
      </c>
      <c r="T318" s="6">
        <f t="shared" si="67"/>
        <v>14.1917952</v>
      </c>
      <c r="U318" s="6">
        <f t="shared" si="67"/>
        <v>0</v>
      </c>
      <c r="V318" s="6">
        <f t="shared" si="67"/>
        <v>0</v>
      </c>
      <c r="W318" s="6">
        <f t="shared" si="67"/>
        <v>0</v>
      </c>
      <c r="X318" s="6">
        <f t="shared" si="62"/>
        <v>14.1917952</v>
      </c>
      <c r="Y318" s="6"/>
      <c r="Z318" s="6"/>
      <c r="AA318" s="6"/>
      <c r="AB318" s="6"/>
      <c r="AC318" s="6"/>
      <c r="AD318" s="6"/>
      <c r="AE318" s="6"/>
    </row>
    <row r="319" spans="1:32" s="5" customFormat="1" ht="20.100000000000001" customHeight="1" x14ac:dyDescent="0.25">
      <c r="A319" s="7"/>
      <c r="B319" s="6" t="s">
        <v>140</v>
      </c>
      <c r="C319" s="9" t="s">
        <v>14</v>
      </c>
      <c r="D319" s="6">
        <v>16</v>
      </c>
      <c r="E319" s="6"/>
      <c r="F319" s="6">
        <v>2</v>
      </c>
      <c r="G319" s="8">
        <f>VLOOKUP(D319,$C$20:$F$26,3,0)</f>
        <v>0.8</v>
      </c>
      <c r="H319" s="8"/>
      <c r="I319" s="6"/>
      <c r="J319" s="6"/>
      <c r="K319" s="6"/>
      <c r="L319" s="6"/>
      <c r="M319" s="6"/>
      <c r="N319" s="6"/>
      <c r="O319" s="6">
        <f>0.95+0.75+1.2</f>
        <v>2.9</v>
      </c>
      <c r="P319" s="6">
        <f t="shared" si="69"/>
        <v>5.8</v>
      </c>
      <c r="Q319" s="6">
        <f t="shared" si="67"/>
        <v>0</v>
      </c>
      <c r="R319" s="6">
        <f t="shared" si="67"/>
        <v>0</v>
      </c>
      <c r="S319" s="6">
        <f t="shared" si="67"/>
        <v>0</v>
      </c>
      <c r="T319" s="6">
        <f t="shared" si="67"/>
        <v>9.1580342857142867</v>
      </c>
      <c r="U319" s="6">
        <f t="shared" si="67"/>
        <v>0</v>
      </c>
      <c r="V319" s="6">
        <f t="shared" si="67"/>
        <v>0</v>
      </c>
      <c r="W319" s="6">
        <f t="shared" si="67"/>
        <v>0</v>
      </c>
      <c r="X319" s="6">
        <f t="shared" si="62"/>
        <v>9.1580342857142867</v>
      </c>
      <c r="Y319" s="6"/>
      <c r="Z319" s="6"/>
      <c r="AA319" s="6"/>
      <c r="AB319" s="6"/>
      <c r="AC319" s="6"/>
      <c r="AD319" s="6"/>
      <c r="AE319" s="6"/>
    </row>
    <row r="320" spans="1:32" s="5" customFormat="1" ht="20.100000000000001" customHeight="1" x14ac:dyDescent="0.25">
      <c r="A320" s="7"/>
      <c r="B320" s="6" t="s">
        <v>140</v>
      </c>
      <c r="C320" s="9" t="s">
        <v>1</v>
      </c>
      <c r="D320" s="6">
        <v>20</v>
      </c>
      <c r="E320" s="6"/>
      <c r="F320" s="6">
        <v>3</v>
      </c>
      <c r="G320" s="8">
        <f>VLOOKUP(D320,$C$20:$F$26,3,0)</f>
        <v>1</v>
      </c>
      <c r="H320" s="6"/>
      <c r="I320" s="6"/>
      <c r="J320" s="6"/>
      <c r="K320" s="6"/>
      <c r="L320" s="6"/>
      <c r="M320" s="6"/>
      <c r="N320" s="6"/>
      <c r="O320" s="6">
        <f>(E317+1*(G320+(10*D320/1000*F317))*D317)</f>
        <v>4.056</v>
      </c>
      <c r="P320" s="6">
        <f>O320*F320</f>
        <v>12.167999999999999</v>
      </c>
      <c r="Q320" s="6">
        <f t="shared" si="67"/>
        <v>0</v>
      </c>
      <c r="R320" s="6">
        <f t="shared" si="67"/>
        <v>0</v>
      </c>
      <c r="S320" s="6">
        <f t="shared" si="67"/>
        <v>0</v>
      </c>
      <c r="T320" s="6">
        <f t="shared" si="67"/>
        <v>0</v>
      </c>
      <c r="U320" s="6">
        <f t="shared" si="67"/>
        <v>30.020194285714283</v>
      </c>
      <c r="V320" s="6">
        <f t="shared" si="67"/>
        <v>0</v>
      </c>
      <c r="W320" s="6">
        <f t="shared" si="67"/>
        <v>0</v>
      </c>
      <c r="X320" s="6">
        <f t="shared" si="62"/>
        <v>30.020194285714283</v>
      </c>
      <c r="Y320" s="6"/>
      <c r="Z320" s="6"/>
      <c r="AA320" s="6"/>
      <c r="AB320" s="6"/>
      <c r="AC320" s="6"/>
      <c r="AD320" s="6"/>
      <c r="AE320" s="6"/>
    </row>
    <row r="321" spans="1:32" s="5" customFormat="1" ht="20.100000000000001" customHeight="1" x14ac:dyDescent="0.25">
      <c r="A321" s="6"/>
      <c r="B321" s="6" t="s">
        <v>140</v>
      </c>
      <c r="C321" s="9" t="s">
        <v>0</v>
      </c>
      <c r="D321" s="6">
        <v>8</v>
      </c>
      <c r="E321" s="6">
        <v>0.1</v>
      </c>
      <c r="F321" s="6">
        <f>+ROUND(E317/E321,0)+1</f>
        <v>31</v>
      </c>
      <c r="G321" s="8"/>
      <c r="H321" s="6"/>
      <c r="I321" s="6"/>
      <c r="J321" s="6"/>
      <c r="K321" s="6"/>
      <c r="L321" s="6"/>
      <c r="M321" s="6"/>
      <c r="N321" s="6"/>
      <c r="O321" s="6">
        <f>(2*((G317-(2*$D$11))+(F317-(2*$D$11)))+(2*10*D321/1000))*D317</f>
        <v>3.12</v>
      </c>
      <c r="P321" s="6">
        <f>O321*F321</f>
        <v>96.72</v>
      </c>
      <c r="Q321" s="6">
        <f t="shared" si="67"/>
        <v>38.179529142857149</v>
      </c>
      <c r="R321" s="6">
        <f t="shared" si="67"/>
        <v>0</v>
      </c>
      <c r="S321" s="6">
        <f t="shared" si="67"/>
        <v>0</v>
      </c>
      <c r="T321" s="6">
        <f t="shared" si="67"/>
        <v>0</v>
      </c>
      <c r="U321" s="6">
        <f t="shared" si="67"/>
        <v>0</v>
      </c>
      <c r="V321" s="6">
        <f t="shared" si="67"/>
        <v>0</v>
      </c>
      <c r="W321" s="6">
        <f t="shared" si="67"/>
        <v>0</v>
      </c>
      <c r="X321" s="6">
        <f t="shared" si="62"/>
        <v>38.179529142857149</v>
      </c>
      <c r="Y321" s="6"/>
      <c r="Z321" s="6"/>
      <c r="AA321" s="6"/>
      <c r="AB321" s="6"/>
      <c r="AC321" s="6"/>
      <c r="AD321" s="6"/>
      <c r="AE321" s="6"/>
    </row>
    <row r="322" spans="1:32" s="5" customFormat="1" ht="20.100000000000001" customHeight="1" x14ac:dyDescent="0.25">
      <c r="A322" s="7"/>
      <c r="B322" s="6" t="s">
        <v>140</v>
      </c>
      <c r="C322" s="9" t="s">
        <v>17</v>
      </c>
      <c r="D322" s="6">
        <f>+$D$15</f>
        <v>25</v>
      </c>
      <c r="E322" s="6">
        <f>+$E$15</f>
        <v>1</v>
      </c>
      <c r="F322" s="6">
        <f>ROUNDUP((0.95+0.95)/E322,0)+1</f>
        <v>3</v>
      </c>
      <c r="G322" s="8"/>
      <c r="H322" s="8"/>
      <c r="I322" s="6"/>
      <c r="J322" s="6"/>
      <c r="K322" s="6"/>
      <c r="L322" s="6"/>
      <c r="M322" s="6"/>
      <c r="N322" s="6"/>
      <c r="O322" s="6">
        <f>+F317-(2*$D$11)</f>
        <v>0.24</v>
      </c>
      <c r="P322" s="6">
        <f t="shared" ref="P322:P323" si="70">O322*F322</f>
        <v>0.72</v>
      </c>
      <c r="Q322" s="6">
        <f t="shared" si="67"/>
        <v>0</v>
      </c>
      <c r="R322" s="6">
        <f t="shared" si="67"/>
        <v>0</v>
      </c>
      <c r="S322" s="6">
        <f t="shared" si="67"/>
        <v>0</v>
      </c>
      <c r="T322" s="6">
        <f t="shared" si="67"/>
        <v>0</v>
      </c>
      <c r="U322" s="6">
        <f t="shared" si="67"/>
        <v>0</v>
      </c>
      <c r="V322" s="6">
        <f t="shared" si="67"/>
        <v>2.7755357142857147</v>
      </c>
      <c r="W322" s="6">
        <f t="shared" si="67"/>
        <v>0</v>
      </c>
      <c r="X322" s="6">
        <f t="shared" si="62"/>
        <v>2.7755357142857147</v>
      </c>
      <c r="Y322" s="6"/>
      <c r="Z322" s="6"/>
      <c r="AA322" s="6"/>
      <c r="AB322" s="6"/>
      <c r="AC322" s="6"/>
      <c r="AD322" s="6"/>
      <c r="AE322" s="6"/>
    </row>
    <row r="323" spans="1:32" s="5" customFormat="1" ht="20.100000000000001" customHeight="1" x14ac:dyDescent="0.25">
      <c r="A323" s="7"/>
      <c r="B323" s="6" t="s">
        <v>140</v>
      </c>
      <c r="C323" s="9" t="s">
        <v>6</v>
      </c>
      <c r="D323" s="6">
        <v>8</v>
      </c>
      <c r="E323" s="6">
        <v>0.13</v>
      </c>
      <c r="F323" s="6">
        <f>2*4</f>
        <v>8</v>
      </c>
      <c r="G323" s="8">
        <f>VLOOKUP(D323,$C$20:$F$26,3,0)</f>
        <v>0.4</v>
      </c>
      <c r="H323" s="6"/>
      <c r="I323" s="6"/>
      <c r="J323" s="6"/>
      <c r="K323" s="6"/>
      <c r="L323" s="6"/>
      <c r="M323" s="6"/>
      <c r="N323" s="6"/>
      <c r="O323" s="6">
        <f>+E317</f>
        <v>2.996</v>
      </c>
      <c r="P323" s="6">
        <f t="shared" si="70"/>
        <v>23.968</v>
      </c>
      <c r="Q323" s="6">
        <f t="shared" si="67"/>
        <v>9.4611968000000015</v>
      </c>
      <c r="R323" s="6">
        <f t="shared" si="67"/>
        <v>0</v>
      </c>
      <c r="S323" s="6">
        <f t="shared" si="67"/>
        <v>0</v>
      </c>
      <c r="T323" s="6">
        <f t="shared" si="67"/>
        <v>0</v>
      </c>
      <c r="U323" s="6">
        <f t="shared" si="67"/>
        <v>0</v>
      </c>
      <c r="V323" s="6">
        <f t="shared" si="67"/>
        <v>0</v>
      </c>
      <c r="W323" s="6">
        <f t="shared" si="67"/>
        <v>0</v>
      </c>
      <c r="X323" s="6">
        <f t="shared" si="62"/>
        <v>9.4611968000000015</v>
      </c>
      <c r="Y323" s="6"/>
      <c r="Z323" s="6"/>
      <c r="AA323" s="6"/>
      <c r="AB323" s="6"/>
      <c r="AC323" s="6"/>
      <c r="AD323" s="6"/>
      <c r="AE323" s="6"/>
    </row>
    <row r="324" spans="1:32" s="5" customFormat="1" ht="21" customHeight="1" x14ac:dyDescent="0.25">
      <c r="A324" s="6">
        <f>+A317+1</f>
        <v>40</v>
      </c>
      <c r="B324" s="6" t="s">
        <v>140</v>
      </c>
      <c r="C324" s="11" t="s">
        <v>49</v>
      </c>
      <c r="D324" s="11">
        <v>1</v>
      </c>
      <c r="E324" s="11">
        <v>2.528</v>
      </c>
      <c r="F324" s="11">
        <v>0.3</v>
      </c>
      <c r="G324" s="11">
        <v>1.3</v>
      </c>
      <c r="H324" s="6">
        <f>G324-0.2</f>
        <v>1.1000000000000001</v>
      </c>
      <c r="I324" s="6">
        <f>E324*F324*G324*D324</f>
        <v>0.98592000000000002</v>
      </c>
      <c r="J324" s="6">
        <f>(2*(E324)*H324*D324)+(E324*F324)</f>
        <v>6.32</v>
      </c>
      <c r="K324" s="10">
        <f>IF(E324=0.3,J324,0)</f>
        <v>0</v>
      </c>
      <c r="L324" s="10">
        <f>IF(AND(E324&gt;0.3,E324&lt;=0.75),J324,0)</f>
        <v>0</v>
      </c>
      <c r="M324" s="10">
        <f>IF(AND(E324&gt;0.75,E324&lt;=1.2),J324,0)</f>
        <v>0</v>
      </c>
      <c r="N324" s="10">
        <f>IF(E324&gt;1.2,J324,0)</f>
        <v>6.32</v>
      </c>
      <c r="O324" s="6"/>
      <c r="P324" s="6"/>
      <c r="Q324" s="6">
        <f t="shared" si="67"/>
        <v>0</v>
      </c>
      <c r="R324" s="6">
        <f t="shared" si="67"/>
        <v>0</v>
      </c>
      <c r="S324" s="6">
        <f t="shared" si="67"/>
        <v>0</v>
      </c>
      <c r="T324" s="6">
        <f t="shared" si="67"/>
        <v>0</v>
      </c>
      <c r="U324" s="6">
        <f t="shared" si="67"/>
        <v>0</v>
      </c>
      <c r="V324" s="6">
        <f t="shared" si="67"/>
        <v>0</v>
      </c>
      <c r="W324" s="6">
        <f t="shared" si="67"/>
        <v>0</v>
      </c>
      <c r="X324" s="6">
        <f t="shared" si="62"/>
        <v>0</v>
      </c>
      <c r="Y324" s="7">
        <f>SUM(X325:X330)/I324</f>
        <v>95.489779350396446</v>
      </c>
      <c r="Z324" s="6"/>
      <c r="AA324" s="6"/>
      <c r="AB324" s="6"/>
      <c r="AC324" s="6"/>
      <c r="AD324" s="6"/>
      <c r="AE324" s="6"/>
      <c r="AF324" s="6"/>
    </row>
    <row r="325" spans="1:32" s="5" customFormat="1" ht="20.100000000000001" customHeight="1" x14ac:dyDescent="0.25">
      <c r="A325" s="7"/>
      <c r="B325" s="6" t="s">
        <v>140</v>
      </c>
      <c r="C325" s="9" t="s">
        <v>2</v>
      </c>
      <c r="D325" s="6">
        <v>16</v>
      </c>
      <c r="E325" s="6"/>
      <c r="F325" s="6">
        <v>3</v>
      </c>
      <c r="G325" s="8">
        <f>VLOOKUP(D325,$C$20:$F$26,3,0)</f>
        <v>0.8</v>
      </c>
      <c r="H325" s="8"/>
      <c r="I325" s="6"/>
      <c r="J325" s="6"/>
      <c r="K325" s="6"/>
      <c r="L325" s="6"/>
      <c r="M325" s="6"/>
      <c r="N325" s="6"/>
      <c r="O325" s="6">
        <f>+E324</f>
        <v>2.528</v>
      </c>
      <c r="P325" s="6">
        <f t="shared" ref="P325:P326" si="71">O325*F325</f>
        <v>7.5839999999999996</v>
      </c>
      <c r="Q325" s="6">
        <f t="shared" si="67"/>
        <v>0</v>
      </c>
      <c r="R325" s="6">
        <f t="shared" si="67"/>
        <v>0</v>
      </c>
      <c r="S325" s="6">
        <f t="shared" si="67"/>
        <v>0</v>
      </c>
      <c r="T325" s="6">
        <f t="shared" si="67"/>
        <v>11.974919314285714</v>
      </c>
      <c r="U325" s="6">
        <f t="shared" si="67"/>
        <v>0</v>
      </c>
      <c r="V325" s="6">
        <f t="shared" si="67"/>
        <v>0</v>
      </c>
      <c r="W325" s="6">
        <f t="shared" si="67"/>
        <v>0</v>
      </c>
      <c r="X325" s="6">
        <f t="shared" si="62"/>
        <v>11.974919314285714</v>
      </c>
      <c r="Y325" s="6"/>
      <c r="Z325" s="6"/>
      <c r="AA325" s="6"/>
      <c r="AB325" s="6"/>
      <c r="AC325" s="6"/>
      <c r="AD325" s="6"/>
      <c r="AE325" s="6"/>
    </row>
    <row r="326" spans="1:32" s="5" customFormat="1" ht="20.100000000000001" customHeight="1" x14ac:dyDescent="0.25">
      <c r="A326" s="7"/>
      <c r="B326" s="6" t="s">
        <v>140</v>
      </c>
      <c r="C326" s="9" t="s">
        <v>14</v>
      </c>
      <c r="D326" s="6">
        <v>16</v>
      </c>
      <c r="E326" s="6"/>
      <c r="F326" s="6">
        <v>2</v>
      </c>
      <c r="G326" s="8">
        <f>VLOOKUP(D326,$C$20:$F$26,3,0)</f>
        <v>0.8</v>
      </c>
      <c r="H326" s="8"/>
      <c r="I326" s="6"/>
      <c r="J326" s="6"/>
      <c r="K326" s="6"/>
      <c r="L326" s="6"/>
      <c r="M326" s="6"/>
      <c r="N326" s="6"/>
      <c r="O326" s="6">
        <f>0.95+E324</f>
        <v>3.4779999999999998</v>
      </c>
      <c r="P326" s="6">
        <f t="shared" si="71"/>
        <v>6.9559999999999995</v>
      </c>
      <c r="Q326" s="6">
        <f t="shared" si="67"/>
        <v>0</v>
      </c>
      <c r="R326" s="6">
        <f t="shared" si="67"/>
        <v>0</v>
      </c>
      <c r="S326" s="6">
        <f t="shared" si="67"/>
        <v>0</v>
      </c>
      <c r="T326" s="6">
        <f t="shared" si="67"/>
        <v>10.983325257142857</v>
      </c>
      <c r="U326" s="6">
        <f t="shared" si="67"/>
        <v>0</v>
      </c>
      <c r="V326" s="6">
        <f t="shared" si="67"/>
        <v>0</v>
      </c>
      <c r="W326" s="6">
        <f t="shared" si="67"/>
        <v>0</v>
      </c>
      <c r="X326" s="6">
        <f t="shared" si="62"/>
        <v>10.983325257142857</v>
      </c>
      <c r="Y326" s="6"/>
      <c r="Z326" s="6"/>
      <c r="AA326" s="6"/>
      <c r="AB326" s="6"/>
      <c r="AC326" s="6"/>
      <c r="AD326" s="6"/>
      <c r="AE326" s="6"/>
    </row>
    <row r="327" spans="1:32" s="5" customFormat="1" ht="20.100000000000001" customHeight="1" x14ac:dyDescent="0.25">
      <c r="A327" s="7"/>
      <c r="B327" s="6" t="s">
        <v>140</v>
      </c>
      <c r="C327" s="9" t="s">
        <v>1</v>
      </c>
      <c r="D327" s="6">
        <v>20</v>
      </c>
      <c r="E327" s="6"/>
      <c r="F327" s="6">
        <v>3</v>
      </c>
      <c r="G327" s="8">
        <f>VLOOKUP(D327,$C$20:$F$26,3,0)</f>
        <v>1</v>
      </c>
      <c r="H327" s="6"/>
      <c r="I327" s="6"/>
      <c r="J327" s="6"/>
      <c r="K327" s="6"/>
      <c r="L327" s="6"/>
      <c r="M327" s="6"/>
      <c r="N327" s="6"/>
      <c r="O327" s="6">
        <f>(E324+1*(G327+(10*D327/1000*F324))*D324)</f>
        <v>3.5880000000000001</v>
      </c>
      <c r="P327" s="6">
        <f>O327*F327</f>
        <v>10.763999999999999</v>
      </c>
      <c r="Q327" s="6">
        <f t="shared" si="67"/>
        <v>0</v>
      </c>
      <c r="R327" s="6">
        <f t="shared" si="67"/>
        <v>0</v>
      </c>
      <c r="S327" s="6">
        <f t="shared" si="67"/>
        <v>0</v>
      </c>
      <c r="T327" s="6">
        <f t="shared" si="67"/>
        <v>0</v>
      </c>
      <c r="U327" s="6">
        <f t="shared" si="67"/>
        <v>26.556325714285713</v>
      </c>
      <c r="V327" s="6">
        <f t="shared" si="67"/>
        <v>0</v>
      </c>
      <c r="W327" s="6">
        <f t="shared" si="67"/>
        <v>0</v>
      </c>
      <c r="X327" s="6">
        <f t="shared" si="62"/>
        <v>26.556325714285713</v>
      </c>
      <c r="Y327" s="6"/>
      <c r="Z327" s="6"/>
      <c r="AA327" s="6"/>
      <c r="AB327" s="6"/>
      <c r="AC327" s="6"/>
      <c r="AD327" s="6"/>
      <c r="AE327" s="6"/>
    </row>
    <row r="328" spans="1:32" s="5" customFormat="1" ht="20.100000000000001" customHeight="1" x14ac:dyDescent="0.25">
      <c r="A328" s="6"/>
      <c r="B328" s="6" t="s">
        <v>140</v>
      </c>
      <c r="C328" s="9" t="s">
        <v>0</v>
      </c>
      <c r="D328" s="6">
        <v>8</v>
      </c>
      <c r="E328" s="6">
        <v>0.1</v>
      </c>
      <c r="F328" s="6">
        <f>+ROUND(E324/E328,0)+1</f>
        <v>26</v>
      </c>
      <c r="G328" s="8"/>
      <c r="H328" s="6"/>
      <c r="I328" s="6"/>
      <c r="J328" s="6"/>
      <c r="K328" s="6"/>
      <c r="L328" s="6"/>
      <c r="M328" s="6"/>
      <c r="N328" s="6"/>
      <c r="O328" s="6">
        <f>(2*((G324-(2*$D$11))+(F324-(2*$D$11)))+(2*10*D328/1000))*D324</f>
        <v>3.12</v>
      </c>
      <c r="P328" s="6">
        <f>O328*F328</f>
        <v>81.12</v>
      </c>
      <c r="Q328" s="6">
        <f t="shared" si="67"/>
        <v>32.021540571428574</v>
      </c>
      <c r="R328" s="6">
        <f t="shared" si="67"/>
        <v>0</v>
      </c>
      <c r="S328" s="6">
        <f t="shared" si="67"/>
        <v>0</v>
      </c>
      <c r="T328" s="6">
        <f t="shared" si="67"/>
        <v>0</v>
      </c>
      <c r="U328" s="6">
        <f t="shared" si="67"/>
        <v>0</v>
      </c>
      <c r="V328" s="6">
        <f t="shared" si="67"/>
        <v>0</v>
      </c>
      <c r="W328" s="6">
        <f t="shared" si="67"/>
        <v>0</v>
      </c>
      <c r="X328" s="6">
        <f t="shared" si="62"/>
        <v>32.021540571428574</v>
      </c>
      <c r="Y328" s="6"/>
      <c r="Z328" s="6"/>
      <c r="AA328" s="6"/>
      <c r="AB328" s="6"/>
      <c r="AC328" s="6"/>
      <c r="AD328" s="6"/>
      <c r="AE328" s="6"/>
    </row>
    <row r="329" spans="1:32" s="5" customFormat="1" ht="20.100000000000001" customHeight="1" x14ac:dyDescent="0.25">
      <c r="A329" s="7"/>
      <c r="B329" s="6" t="s">
        <v>140</v>
      </c>
      <c r="C329" s="9" t="s">
        <v>17</v>
      </c>
      <c r="D329" s="6">
        <f>+$D$15</f>
        <v>25</v>
      </c>
      <c r="E329" s="6">
        <f>+$E$15</f>
        <v>1</v>
      </c>
      <c r="F329" s="6">
        <f>ROUNDUP((0.95+E324)/E329,0)+1</f>
        <v>5</v>
      </c>
      <c r="G329" s="8"/>
      <c r="H329" s="8"/>
      <c r="I329" s="6"/>
      <c r="J329" s="6"/>
      <c r="K329" s="6"/>
      <c r="L329" s="6"/>
      <c r="M329" s="6"/>
      <c r="N329" s="6"/>
      <c r="O329" s="6">
        <f>+F324-(2*$D$11)</f>
        <v>0.24</v>
      </c>
      <c r="P329" s="6">
        <f t="shared" ref="P329:P330" si="72">O329*F329</f>
        <v>1.2</v>
      </c>
      <c r="Q329" s="6">
        <f t="shared" si="67"/>
        <v>0</v>
      </c>
      <c r="R329" s="6">
        <f t="shared" si="67"/>
        <v>0</v>
      </c>
      <c r="S329" s="6">
        <f t="shared" si="67"/>
        <v>0</v>
      </c>
      <c r="T329" s="6">
        <f t="shared" si="67"/>
        <v>0</v>
      </c>
      <c r="U329" s="6">
        <f t="shared" si="67"/>
        <v>0</v>
      </c>
      <c r="V329" s="6">
        <f t="shared" si="67"/>
        <v>4.6258928571428575</v>
      </c>
      <c r="W329" s="6">
        <f t="shared" si="67"/>
        <v>0</v>
      </c>
      <c r="X329" s="6">
        <f t="shared" si="62"/>
        <v>4.6258928571428575</v>
      </c>
      <c r="Y329" s="6"/>
      <c r="Z329" s="6"/>
      <c r="AA329" s="6"/>
      <c r="AB329" s="6"/>
      <c r="AC329" s="6"/>
      <c r="AD329" s="6"/>
      <c r="AE329" s="6"/>
    </row>
    <row r="330" spans="1:32" s="5" customFormat="1" ht="20.100000000000001" customHeight="1" x14ac:dyDescent="0.25">
      <c r="A330" s="7"/>
      <c r="B330" s="6" t="s">
        <v>140</v>
      </c>
      <c r="C330" s="9" t="s">
        <v>6</v>
      </c>
      <c r="D330" s="6">
        <v>8</v>
      </c>
      <c r="E330" s="6">
        <v>0.13</v>
      </c>
      <c r="F330" s="6">
        <f>2*4</f>
        <v>8</v>
      </c>
      <c r="G330" s="8">
        <f>VLOOKUP(D330,$C$20:$F$26,3,0)</f>
        <v>0.4</v>
      </c>
      <c r="H330" s="6"/>
      <c r="I330" s="6"/>
      <c r="J330" s="6"/>
      <c r="K330" s="6"/>
      <c r="L330" s="6"/>
      <c r="M330" s="6"/>
      <c r="N330" s="6"/>
      <c r="O330" s="6">
        <f>+E324</f>
        <v>2.528</v>
      </c>
      <c r="P330" s="6">
        <f t="shared" si="72"/>
        <v>20.224</v>
      </c>
      <c r="Q330" s="6">
        <f t="shared" si="67"/>
        <v>7.9832795428571437</v>
      </c>
      <c r="R330" s="6">
        <f t="shared" si="67"/>
        <v>0</v>
      </c>
      <c r="S330" s="6">
        <f t="shared" si="67"/>
        <v>0</v>
      </c>
      <c r="T330" s="6">
        <f t="shared" si="67"/>
        <v>0</v>
      </c>
      <c r="U330" s="6">
        <f t="shared" si="67"/>
        <v>0</v>
      </c>
      <c r="V330" s="6">
        <f t="shared" si="67"/>
        <v>0</v>
      </c>
      <c r="W330" s="6">
        <f t="shared" si="67"/>
        <v>0</v>
      </c>
      <c r="X330" s="6">
        <f t="shared" si="62"/>
        <v>7.9832795428571437</v>
      </c>
      <c r="Y330" s="6"/>
      <c r="Z330" s="6"/>
      <c r="AA330" s="6"/>
      <c r="AB330" s="6"/>
      <c r="AC330" s="6"/>
      <c r="AD330" s="6"/>
      <c r="AE330" s="6"/>
    </row>
    <row r="331" spans="1:32" s="5" customFormat="1" ht="21" customHeight="1" x14ac:dyDescent="0.25">
      <c r="A331" s="6">
        <f>+A324+1</f>
        <v>41</v>
      </c>
      <c r="B331" s="6" t="s">
        <v>140</v>
      </c>
      <c r="C331" s="11" t="s">
        <v>148</v>
      </c>
      <c r="D331" s="11">
        <v>1</v>
      </c>
      <c r="E331" s="11">
        <v>0.316</v>
      </c>
      <c r="F331" s="11">
        <v>0.2</v>
      </c>
      <c r="G331" s="11">
        <v>0.6</v>
      </c>
      <c r="H331" s="6">
        <f>G331-0.2</f>
        <v>0.39999999999999997</v>
      </c>
      <c r="I331" s="6">
        <f>E331*F331*G331*D331</f>
        <v>3.7920000000000002E-2</v>
      </c>
      <c r="J331" s="6">
        <f>(2*(E331)*H331*D331)+(E331*F331)</f>
        <v>0.31599999999999995</v>
      </c>
      <c r="K331" s="10">
        <f>IF(E331=0.3,J331,0)</f>
        <v>0</v>
      </c>
      <c r="L331" s="10">
        <f>IF(AND(E331&gt;0.3,E331&lt;=0.75),J331,0)</f>
        <v>0.31599999999999995</v>
      </c>
      <c r="M331" s="10">
        <f>IF(AND(E331&gt;0.75,E331&lt;=1.2),J331,0)</f>
        <v>0</v>
      </c>
      <c r="N331" s="10">
        <f>IF(E331&gt;1.2,J331,0)</f>
        <v>0</v>
      </c>
      <c r="O331" s="6"/>
      <c r="P331" s="6"/>
      <c r="Q331" s="6">
        <f t="shared" si="67"/>
        <v>0</v>
      </c>
      <c r="R331" s="6">
        <f t="shared" si="67"/>
        <v>0</v>
      </c>
      <c r="S331" s="6">
        <f t="shared" si="67"/>
        <v>0</v>
      </c>
      <c r="T331" s="6">
        <f t="shared" si="67"/>
        <v>0</v>
      </c>
      <c r="U331" s="6">
        <f t="shared" si="67"/>
        <v>0</v>
      </c>
      <c r="V331" s="6">
        <f t="shared" si="67"/>
        <v>0</v>
      </c>
      <c r="W331" s="6">
        <f t="shared" si="67"/>
        <v>0</v>
      </c>
      <c r="X331" s="6">
        <f t="shared" si="62"/>
        <v>0</v>
      </c>
      <c r="Y331" s="7">
        <f>SUM(X332:X335)/I331</f>
        <v>282.96541063893915</v>
      </c>
      <c r="Z331" s="6"/>
      <c r="AA331" s="6"/>
      <c r="AB331" s="6"/>
      <c r="AC331" s="6"/>
      <c r="AD331" s="6"/>
      <c r="AE331" s="6"/>
      <c r="AF331" s="6"/>
    </row>
    <row r="332" spans="1:32" s="5" customFormat="1" ht="20.100000000000001" customHeight="1" x14ac:dyDescent="0.25">
      <c r="A332" s="7"/>
      <c r="B332" s="6" t="s">
        <v>140</v>
      </c>
      <c r="C332" s="9" t="s">
        <v>2</v>
      </c>
      <c r="D332" s="6">
        <v>16</v>
      </c>
      <c r="E332" s="6"/>
      <c r="F332" s="6">
        <v>2</v>
      </c>
      <c r="G332" s="8">
        <f>VLOOKUP(D332,$C$20:$F$26,3,0)</f>
        <v>0.8</v>
      </c>
      <c r="H332" s="8"/>
      <c r="I332" s="6"/>
      <c r="J332" s="6"/>
      <c r="K332" s="6"/>
      <c r="L332" s="6"/>
      <c r="M332" s="6"/>
      <c r="N332" s="6"/>
      <c r="O332" s="6">
        <f>(E331+1*(G332+(2*D332/1000)))*D331</f>
        <v>1.1480000000000001</v>
      </c>
      <c r="P332" s="6">
        <f t="shared" ref="P332" si="73">O332*F332</f>
        <v>2.2960000000000003</v>
      </c>
      <c r="Q332" s="6">
        <f t="shared" si="67"/>
        <v>0</v>
      </c>
      <c r="R332" s="6">
        <f t="shared" si="67"/>
        <v>0</v>
      </c>
      <c r="S332" s="6">
        <f t="shared" si="67"/>
        <v>0</v>
      </c>
      <c r="T332" s="6">
        <f t="shared" si="67"/>
        <v>3.6253184000000007</v>
      </c>
      <c r="U332" s="6">
        <f t="shared" si="67"/>
        <v>0</v>
      </c>
      <c r="V332" s="6">
        <f t="shared" si="67"/>
        <v>0</v>
      </c>
      <c r="W332" s="6">
        <f t="shared" si="67"/>
        <v>0</v>
      </c>
      <c r="X332" s="6">
        <f t="shared" si="62"/>
        <v>3.6253184000000007</v>
      </c>
      <c r="Y332" s="6"/>
      <c r="Z332" s="6"/>
      <c r="AA332" s="6"/>
      <c r="AB332" s="6"/>
      <c r="AC332" s="6"/>
      <c r="AD332" s="6"/>
      <c r="AE332" s="6"/>
    </row>
    <row r="333" spans="1:32" s="5" customFormat="1" ht="20.100000000000001" customHeight="1" x14ac:dyDescent="0.25">
      <c r="A333" s="7"/>
      <c r="B333" s="6" t="s">
        <v>140</v>
      </c>
      <c r="C333" s="9" t="s">
        <v>1</v>
      </c>
      <c r="D333" s="6">
        <v>16</v>
      </c>
      <c r="E333" s="6"/>
      <c r="F333" s="6">
        <v>2</v>
      </c>
      <c r="G333" s="8">
        <f>VLOOKUP(D333,$C$20:$F$26,3,0)</f>
        <v>0.8</v>
      </c>
      <c r="H333" s="6"/>
      <c r="I333" s="6"/>
      <c r="J333" s="6"/>
      <c r="K333" s="6"/>
      <c r="L333" s="6"/>
      <c r="M333" s="6"/>
      <c r="N333" s="6"/>
      <c r="O333" s="6">
        <f>(E331+1*(G333+(2*D333/1000)))*D331</f>
        <v>1.1480000000000001</v>
      </c>
      <c r="P333" s="6">
        <f>O333*F333</f>
        <v>2.2960000000000003</v>
      </c>
      <c r="Q333" s="6">
        <f t="shared" si="67"/>
        <v>0</v>
      </c>
      <c r="R333" s="6">
        <f t="shared" si="67"/>
        <v>0</v>
      </c>
      <c r="S333" s="6">
        <f t="shared" si="67"/>
        <v>0</v>
      </c>
      <c r="T333" s="6">
        <f t="shared" si="67"/>
        <v>3.6253184000000007</v>
      </c>
      <c r="U333" s="6">
        <f t="shared" si="67"/>
        <v>0</v>
      </c>
      <c r="V333" s="6">
        <f t="shared" si="67"/>
        <v>0</v>
      </c>
      <c r="W333" s="6">
        <f t="shared" si="67"/>
        <v>0</v>
      </c>
      <c r="X333" s="6">
        <f t="shared" si="62"/>
        <v>3.6253184000000007</v>
      </c>
      <c r="Y333" s="6"/>
      <c r="Z333" s="6"/>
      <c r="AA333" s="6"/>
      <c r="AB333" s="6"/>
      <c r="AC333" s="6"/>
      <c r="AD333" s="6"/>
      <c r="AE333" s="6"/>
    </row>
    <row r="334" spans="1:32" s="5" customFormat="1" ht="20.100000000000001" customHeight="1" x14ac:dyDescent="0.25">
      <c r="A334" s="6"/>
      <c r="B334" s="6" t="s">
        <v>140</v>
      </c>
      <c r="C334" s="9" t="s">
        <v>0</v>
      </c>
      <c r="D334" s="6">
        <v>8</v>
      </c>
      <c r="E334" s="6">
        <v>0.1</v>
      </c>
      <c r="F334" s="6">
        <f>+ROUND(E331/E334,0)+1</f>
        <v>4</v>
      </c>
      <c r="G334" s="8"/>
      <c r="H334" s="6"/>
      <c r="I334" s="6"/>
      <c r="J334" s="6"/>
      <c r="K334" s="6"/>
      <c r="L334" s="6"/>
      <c r="M334" s="6"/>
      <c r="N334" s="6"/>
      <c r="O334" s="6">
        <f>(2*((G331-(2*$D$11))+(F331-(2*$D$11)))+(2*10*D334/1000))*D331</f>
        <v>1.52</v>
      </c>
      <c r="P334" s="6">
        <f>O334*F334</f>
        <v>6.08</v>
      </c>
      <c r="Q334" s="6">
        <f t="shared" si="67"/>
        <v>2.4000365714285716</v>
      </c>
      <c r="R334" s="6">
        <f t="shared" si="67"/>
        <v>0</v>
      </c>
      <c r="S334" s="6">
        <f t="shared" si="67"/>
        <v>0</v>
      </c>
      <c r="T334" s="6">
        <f t="shared" si="67"/>
        <v>0</v>
      </c>
      <c r="U334" s="6">
        <f t="shared" si="67"/>
        <v>0</v>
      </c>
      <c r="V334" s="6">
        <f t="shared" si="67"/>
        <v>0</v>
      </c>
      <c r="W334" s="6">
        <f t="shared" si="67"/>
        <v>0</v>
      </c>
      <c r="X334" s="6">
        <f t="shared" si="62"/>
        <v>2.4000365714285716</v>
      </c>
      <c r="Y334" s="6"/>
      <c r="Z334" s="6"/>
      <c r="AA334" s="6"/>
      <c r="AB334" s="6"/>
      <c r="AC334" s="6"/>
      <c r="AD334" s="6"/>
      <c r="AE334" s="6"/>
    </row>
    <row r="335" spans="1:32" s="5" customFormat="1" ht="20.100000000000001" customHeight="1" x14ac:dyDescent="0.25">
      <c r="A335" s="7"/>
      <c r="B335" s="6" t="s">
        <v>140</v>
      </c>
      <c r="C335" s="9" t="s">
        <v>17</v>
      </c>
      <c r="D335" s="6">
        <f>+$D$15</f>
        <v>25</v>
      </c>
      <c r="E335" s="6">
        <f>+$E$15</f>
        <v>1</v>
      </c>
      <c r="F335" s="6">
        <f>ROUNDUP((E331)/E335,0)+1</f>
        <v>2</v>
      </c>
      <c r="G335" s="8"/>
      <c r="H335" s="8"/>
      <c r="I335" s="6"/>
      <c r="J335" s="6"/>
      <c r="K335" s="6"/>
      <c r="L335" s="6"/>
      <c r="M335" s="6"/>
      <c r="N335" s="6"/>
      <c r="O335" s="6">
        <f>+F331-(2*$D$11)</f>
        <v>0.14000000000000001</v>
      </c>
      <c r="P335" s="6">
        <f t="shared" ref="P335" si="74">O335*F335</f>
        <v>0.28000000000000003</v>
      </c>
      <c r="Q335" s="6">
        <f t="shared" si="67"/>
        <v>0</v>
      </c>
      <c r="R335" s="6">
        <f t="shared" si="67"/>
        <v>0</v>
      </c>
      <c r="S335" s="6">
        <f t="shared" si="67"/>
        <v>0</v>
      </c>
      <c r="T335" s="6">
        <f t="shared" si="67"/>
        <v>0</v>
      </c>
      <c r="U335" s="6">
        <f t="shared" si="67"/>
        <v>0</v>
      </c>
      <c r="V335" s="6">
        <f t="shared" si="67"/>
        <v>1.0793750000000002</v>
      </c>
      <c r="W335" s="6">
        <f t="shared" si="67"/>
        <v>0</v>
      </c>
      <c r="X335" s="6">
        <f t="shared" si="62"/>
        <v>1.0793750000000002</v>
      </c>
      <c r="Y335" s="6"/>
      <c r="Z335" s="6"/>
      <c r="AA335" s="6"/>
      <c r="AB335" s="6"/>
      <c r="AC335" s="6"/>
      <c r="AD335" s="6"/>
      <c r="AE335" s="6"/>
    </row>
    <row r="336" spans="1:32" s="5" customFormat="1" ht="21" customHeight="1" x14ac:dyDescent="0.25">
      <c r="A336" s="6">
        <f>+A331+1</f>
        <v>42</v>
      </c>
      <c r="B336" s="6" t="s">
        <v>140</v>
      </c>
      <c r="C336" s="11" t="s">
        <v>149</v>
      </c>
      <c r="D336" s="11">
        <v>1</v>
      </c>
      <c r="E336" s="11">
        <v>0.45200000000000001</v>
      </c>
      <c r="F336" s="11">
        <v>0.2</v>
      </c>
      <c r="G336" s="11">
        <v>0.6</v>
      </c>
      <c r="H336" s="6">
        <f>G336-0.2</f>
        <v>0.39999999999999997</v>
      </c>
      <c r="I336" s="6">
        <f>E336*F336*G336*D336</f>
        <v>5.4240000000000003E-2</v>
      </c>
      <c r="J336" s="6">
        <f>(2*(E336)*H336*D336)+(E336*F336)</f>
        <v>0.45199999999999996</v>
      </c>
      <c r="K336" s="10">
        <f>IF(E336=0.3,J336,0)</f>
        <v>0</v>
      </c>
      <c r="L336" s="10">
        <f>IF(AND(E336&gt;0.3,E336&lt;=0.75),J336,0)</f>
        <v>0.45199999999999996</v>
      </c>
      <c r="M336" s="10">
        <f>IF(AND(E336&gt;0.75,E336&lt;=1.2),J336,0)</f>
        <v>0</v>
      </c>
      <c r="N336" s="10">
        <f>IF(E336&gt;1.2,J336,0)</f>
        <v>0</v>
      </c>
      <c r="O336" s="6"/>
      <c r="P336" s="6"/>
      <c r="Q336" s="6">
        <f t="shared" si="67"/>
        <v>0</v>
      </c>
      <c r="R336" s="6">
        <f t="shared" si="67"/>
        <v>0</v>
      </c>
      <c r="S336" s="6">
        <f t="shared" si="67"/>
        <v>0</v>
      </c>
      <c r="T336" s="6">
        <f t="shared" si="67"/>
        <v>0</v>
      </c>
      <c r="U336" s="6">
        <f t="shared" si="67"/>
        <v>0</v>
      </c>
      <c r="V336" s="6">
        <f t="shared" si="67"/>
        <v>0</v>
      </c>
      <c r="W336" s="6">
        <f t="shared" si="67"/>
        <v>0</v>
      </c>
      <c r="X336" s="6">
        <f t="shared" si="62"/>
        <v>0</v>
      </c>
      <c r="Y336" s="7">
        <f>SUM(X337:X339)/I336</f>
        <v>393.52747998314368</v>
      </c>
      <c r="Z336" s="6"/>
      <c r="AA336" s="6"/>
      <c r="AB336" s="6"/>
      <c r="AC336" s="6"/>
      <c r="AD336" s="6"/>
      <c r="AE336" s="6"/>
      <c r="AF336" s="6"/>
    </row>
    <row r="337" spans="1:32" s="5" customFormat="1" ht="20.100000000000001" customHeight="1" x14ac:dyDescent="0.25">
      <c r="A337" s="7"/>
      <c r="B337" s="6" t="s">
        <v>140</v>
      </c>
      <c r="C337" s="9" t="s">
        <v>2</v>
      </c>
      <c r="D337" s="6">
        <v>20</v>
      </c>
      <c r="E337" s="6"/>
      <c r="F337" s="6">
        <v>2</v>
      </c>
      <c r="G337" s="8">
        <f>VLOOKUP(D337,$C$20:$F$26,3,0)</f>
        <v>1</v>
      </c>
      <c r="H337" s="8"/>
      <c r="I337" s="6"/>
      <c r="J337" s="6"/>
      <c r="K337" s="6"/>
      <c r="L337" s="6"/>
      <c r="M337" s="6"/>
      <c r="N337" s="6"/>
      <c r="O337" s="6">
        <f>(E336+0.75+1*(G337+(2*D337/1000)))*D336</f>
        <v>2.242</v>
      </c>
      <c r="P337" s="6">
        <f t="shared" ref="P337" si="75">O337*F337</f>
        <v>4.484</v>
      </c>
      <c r="Q337" s="6">
        <f t="shared" si="67"/>
        <v>0</v>
      </c>
      <c r="R337" s="6">
        <f t="shared" si="67"/>
        <v>0</v>
      </c>
      <c r="S337" s="6">
        <f t="shared" si="67"/>
        <v>0</v>
      </c>
      <c r="T337" s="6">
        <f t="shared" si="67"/>
        <v>0</v>
      </c>
      <c r="U337" s="6">
        <f t="shared" si="67"/>
        <v>11.062668571428571</v>
      </c>
      <c r="V337" s="6">
        <f t="shared" si="67"/>
        <v>0</v>
      </c>
      <c r="W337" s="6">
        <f t="shared" si="67"/>
        <v>0</v>
      </c>
      <c r="X337" s="6">
        <f t="shared" si="62"/>
        <v>11.062668571428571</v>
      </c>
      <c r="Y337" s="6"/>
      <c r="Z337" s="6"/>
      <c r="AA337" s="6"/>
      <c r="AB337" s="6"/>
      <c r="AC337" s="6"/>
      <c r="AD337" s="6"/>
      <c r="AE337" s="6"/>
    </row>
    <row r="338" spans="1:32" s="5" customFormat="1" ht="20.100000000000001" customHeight="1" x14ac:dyDescent="0.25">
      <c r="A338" s="7"/>
      <c r="B338" s="6" t="s">
        <v>140</v>
      </c>
      <c r="C338" s="9" t="s">
        <v>1</v>
      </c>
      <c r="D338" s="6">
        <v>16</v>
      </c>
      <c r="E338" s="6"/>
      <c r="F338" s="6">
        <v>2</v>
      </c>
      <c r="G338" s="8">
        <f>VLOOKUP(D338,$C$20:$F$26,3,0)</f>
        <v>0.8</v>
      </c>
      <c r="H338" s="6"/>
      <c r="I338" s="6"/>
      <c r="J338" s="6"/>
      <c r="K338" s="6"/>
      <c r="L338" s="6"/>
      <c r="M338" s="6"/>
      <c r="N338" s="6"/>
      <c r="O338" s="6">
        <f>(E336+2*(G338+(2*D338/1000)))*D336</f>
        <v>2.1160000000000001</v>
      </c>
      <c r="P338" s="6">
        <f>O338*F338</f>
        <v>4.2320000000000002</v>
      </c>
      <c r="Q338" s="6">
        <f t="shared" si="67"/>
        <v>0</v>
      </c>
      <c r="R338" s="6">
        <f t="shared" si="67"/>
        <v>0</v>
      </c>
      <c r="S338" s="6">
        <f t="shared" si="67"/>
        <v>0</v>
      </c>
      <c r="T338" s="6">
        <f t="shared" si="67"/>
        <v>6.6822070857142863</v>
      </c>
      <c r="U338" s="6">
        <f t="shared" si="67"/>
        <v>0</v>
      </c>
      <c r="V338" s="6">
        <f t="shared" si="67"/>
        <v>0</v>
      </c>
      <c r="W338" s="6">
        <f t="shared" si="67"/>
        <v>0</v>
      </c>
      <c r="X338" s="6">
        <f t="shared" si="62"/>
        <v>6.6822070857142863</v>
      </c>
      <c r="Y338" s="6"/>
      <c r="Z338" s="6"/>
      <c r="AA338" s="6"/>
      <c r="AB338" s="6"/>
      <c r="AC338" s="6"/>
      <c r="AD338" s="6"/>
      <c r="AE338" s="6"/>
    </row>
    <row r="339" spans="1:32" s="5" customFormat="1" ht="20.100000000000001" customHeight="1" x14ac:dyDescent="0.25">
      <c r="A339" s="6"/>
      <c r="B339" s="6" t="s">
        <v>140</v>
      </c>
      <c r="C339" s="9" t="s">
        <v>0</v>
      </c>
      <c r="D339" s="6">
        <v>8</v>
      </c>
      <c r="E339" s="6">
        <v>0.1</v>
      </c>
      <c r="F339" s="6">
        <f>+ROUND(E336/E339,0)+1</f>
        <v>6</v>
      </c>
      <c r="G339" s="8"/>
      <c r="H339" s="6"/>
      <c r="I339" s="6"/>
      <c r="J339" s="6"/>
      <c r="K339" s="6"/>
      <c r="L339" s="6"/>
      <c r="M339" s="6"/>
      <c r="N339" s="6"/>
      <c r="O339" s="6">
        <f>(2*((G336-(2*$D$11))+(F336-(2*$D$11)))+(2*10*D339/1000))*D336</f>
        <v>1.52</v>
      </c>
      <c r="P339" s="6">
        <f>O339*F339</f>
        <v>9.120000000000001</v>
      </c>
      <c r="Q339" s="6">
        <f t="shared" si="67"/>
        <v>3.6000548571428577</v>
      </c>
      <c r="R339" s="6">
        <f t="shared" si="67"/>
        <v>0</v>
      </c>
      <c r="S339" s="6">
        <f t="shared" si="67"/>
        <v>0</v>
      </c>
      <c r="T339" s="6">
        <f t="shared" si="67"/>
        <v>0</v>
      </c>
      <c r="U339" s="6">
        <f t="shared" si="67"/>
        <v>0</v>
      </c>
      <c r="V339" s="6">
        <f t="shared" si="67"/>
        <v>0</v>
      </c>
      <c r="W339" s="6">
        <f t="shared" si="67"/>
        <v>0</v>
      </c>
      <c r="X339" s="6">
        <f t="shared" si="62"/>
        <v>3.6000548571428577</v>
      </c>
      <c r="Y339" s="6"/>
      <c r="Z339" s="6"/>
      <c r="AA339" s="6"/>
      <c r="AB339" s="6"/>
      <c r="AC339" s="6"/>
      <c r="AD339" s="6"/>
      <c r="AE339" s="6"/>
    </row>
    <row r="340" spans="1:32" s="5" customFormat="1" ht="21" customHeight="1" x14ac:dyDescent="0.25">
      <c r="A340" s="6">
        <f>+A336+1</f>
        <v>43</v>
      </c>
      <c r="B340" s="6" t="s">
        <v>140</v>
      </c>
      <c r="C340" s="11" t="s">
        <v>150</v>
      </c>
      <c r="D340" s="11">
        <v>1</v>
      </c>
      <c r="E340" s="11">
        <v>1.2370000000000001</v>
      </c>
      <c r="F340" s="11">
        <v>0.2</v>
      </c>
      <c r="G340" s="11">
        <v>0.6</v>
      </c>
      <c r="H340" s="6">
        <f>G340-0.2</f>
        <v>0.39999999999999997</v>
      </c>
      <c r="I340" s="6">
        <f>E340*F340*G340*D340</f>
        <v>0.14844000000000002</v>
      </c>
      <c r="J340" s="6">
        <f>(2*(E340)*H340*D340)+(E340*F340)</f>
        <v>1.2370000000000001</v>
      </c>
      <c r="K340" s="10">
        <f>IF(E340=0.3,J340,0)</f>
        <v>0</v>
      </c>
      <c r="L340" s="10">
        <f>IF(AND(E340&gt;0.3,E340&lt;=0.75),J340,0)</f>
        <v>0</v>
      </c>
      <c r="M340" s="10">
        <f>IF(AND(E340&gt;0.75,E340&lt;=1.2),J340,0)</f>
        <v>0</v>
      </c>
      <c r="N340" s="10">
        <f>IF(E340&gt;1.2,J340,0)</f>
        <v>1.2370000000000001</v>
      </c>
      <c r="O340" s="6"/>
      <c r="P340" s="6"/>
      <c r="Q340" s="6">
        <f t="shared" si="67"/>
        <v>0</v>
      </c>
      <c r="R340" s="6">
        <f t="shared" si="67"/>
        <v>0</v>
      </c>
      <c r="S340" s="6">
        <f t="shared" si="67"/>
        <v>0</v>
      </c>
      <c r="T340" s="6">
        <f t="shared" si="67"/>
        <v>0</v>
      </c>
      <c r="U340" s="6">
        <f t="shared" si="67"/>
        <v>0</v>
      </c>
      <c r="V340" s="6">
        <f t="shared" si="67"/>
        <v>0</v>
      </c>
      <c r="W340" s="6">
        <f t="shared" si="67"/>
        <v>0</v>
      </c>
      <c r="X340" s="6">
        <f t="shared" si="62"/>
        <v>0</v>
      </c>
      <c r="Y340" s="7">
        <f>SUM(X341:X343)/I340</f>
        <v>246.46298417831156</v>
      </c>
      <c r="Z340" s="6"/>
      <c r="AA340" s="6"/>
      <c r="AB340" s="6"/>
      <c r="AC340" s="6"/>
      <c r="AD340" s="6"/>
      <c r="AE340" s="6"/>
      <c r="AF340" s="6"/>
    </row>
    <row r="341" spans="1:32" s="5" customFormat="1" ht="20.100000000000001" customHeight="1" x14ac:dyDescent="0.25">
      <c r="A341" s="7"/>
      <c r="B341" s="6" t="s">
        <v>140</v>
      </c>
      <c r="C341" s="9" t="s">
        <v>2</v>
      </c>
      <c r="D341" s="6">
        <v>20</v>
      </c>
      <c r="E341" s="6"/>
      <c r="F341" s="6">
        <v>2</v>
      </c>
      <c r="G341" s="8">
        <f>VLOOKUP(D341,$C$20:$F$26,3,0)</f>
        <v>1</v>
      </c>
      <c r="H341" s="8"/>
      <c r="I341" s="6"/>
      <c r="J341" s="6"/>
      <c r="K341" s="6"/>
      <c r="L341" s="6"/>
      <c r="M341" s="6"/>
      <c r="N341" s="6"/>
      <c r="O341" s="6">
        <f>(E340+1.7+1*(G341+(2*D341/1000)))*D340</f>
        <v>3.9770000000000003</v>
      </c>
      <c r="P341" s="6">
        <f t="shared" ref="P341" si="76">O341*F341</f>
        <v>7.9540000000000006</v>
      </c>
      <c r="Q341" s="6">
        <f t="shared" si="67"/>
        <v>0</v>
      </c>
      <c r="R341" s="6">
        <f t="shared" si="67"/>
        <v>0</v>
      </c>
      <c r="S341" s="6">
        <f t="shared" si="67"/>
        <v>0</v>
      </c>
      <c r="T341" s="6">
        <f t="shared" si="67"/>
        <v>0</v>
      </c>
      <c r="U341" s="6">
        <f t="shared" si="67"/>
        <v>19.623654285714288</v>
      </c>
      <c r="V341" s="6">
        <f t="shared" si="67"/>
        <v>0</v>
      </c>
      <c r="W341" s="6">
        <f t="shared" si="67"/>
        <v>0</v>
      </c>
      <c r="X341" s="6">
        <f t="shared" si="62"/>
        <v>19.623654285714288</v>
      </c>
      <c r="Y341" s="6"/>
      <c r="Z341" s="6"/>
      <c r="AA341" s="6"/>
      <c r="AB341" s="6"/>
      <c r="AC341" s="6"/>
      <c r="AD341" s="6"/>
      <c r="AE341" s="6"/>
    </row>
    <row r="342" spans="1:32" s="5" customFormat="1" ht="20.100000000000001" customHeight="1" x14ac:dyDescent="0.25">
      <c r="A342" s="7"/>
      <c r="B342" s="6" t="s">
        <v>140</v>
      </c>
      <c r="C342" s="9" t="s">
        <v>1</v>
      </c>
      <c r="D342" s="6">
        <v>16</v>
      </c>
      <c r="E342" s="6"/>
      <c r="F342" s="6">
        <v>2</v>
      </c>
      <c r="G342" s="8">
        <f>VLOOKUP(D342,$C$20:$F$26,3,0)</f>
        <v>0.8</v>
      </c>
      <c r="H342" s="6"/>
      <c r="I342" s="6"/>
      <c r="J342" s="6"/>
      <c r="K342" s="6"/>
      <c r="L342" s="6"/>
      <c r="M342" s="6"/>
      <c r="N342" s="6"/>
      <c r="O342" s="6">
        <f>(E340+2*(G342+(2*D342/1000)))*D340</f>
        <v>2.9010000000000002</v>
      </c>
      <c r="P342" s="6">
        <f>O342*F342</f>
        <v>5.8020000000000005</v>
      </c>
      <c r="Q342" s="6">
        <f t="shared" si="67"/>
        <v>0</v>
      </c>
      <c r="R342" s="6">
        <f t="shared" si="67"/>
        <v>0</v>
      </c>
      <c r="S342" s="6">
        <f t="shared" si="67"/>
        <v>0</v>
      </c>
      <c r="T342" s="6">
        <f t="shared" si="67"/>
        <v>9.16119222857143</v>
      </c>
      <c r="U342" s="6">
        <f t="shared" si="67"/>
        <v>0</v>
      </c>
      <c r="V342" s="6">
        <f t="shared" si="67"/>
        <v>0</v>
      </c>
      <c r="W342" s="6">
        <f t="shared" si="67"/>
        <v>0</v>
      </c>
      <c r="X342" s="6">
        <f t="shared" si="62"/>
        <v>9.16119222857143</v>
      </c>
      <c r="Y342" s="6"/>
      <c r="Z342" s="6"/>
      <c r="AA342" s="6"/>
      <c r="AB342" s="6"/>
      <c r="AC342" s="6"/>
      <c r="AD342" s="6"/>
      <c r="AE342" s="6"/>
    </row>
    <row r="343" spans="1:32" s="5" customFormat="1" ht="20.100000000000001" customHeight="1" x14ac:dyDescent="0.25">
      <c r="A343" s="6"/>
      <c r="B343" s="6" t="s">
        <v>140</v>
      </c>
      <c r="C343" s="9" t="s">
        <v>0</v>
      </c>
      <c r="D343" s="6">
        <v>8</v>
      </c>
      <c r="E343" s="6">
        <v>0.1</v>
      </c>
      <c r="F343" s="6">
        <f>+ROUND(E340/E343,0)+1</f>
        <v>13</v>
      </c>
      <c r="G343" s="8"/>
      <c r="H343" s="6"/>
      <c r="I343" s="6"/>
      <c r="J343" s="6"/>
      <c r="K343" s="6"/>
      <c r="L343" s="6"/>
      <c r="M343" s="6"/>
      <c r="N343" s="6"/>
      <c r="O343" s="6">
        <f>(2*((G340-(2*$D$11))+(F340-(2*$D$11)))+(2*10*D343/1000))*D340</f>
        <v>1.52</v>
      </c>
      <c r="P343" s="6">
        <f>O343*F343</f>
        <v>19.760000000000002</v>
      </c>
      <c r="Q343" s="6">
        <f t="shared" si="67"/>
        <v>7.8001188571428584</v>
      </c>
      <c r="R343" s="6">
        <f t="shared" si="67"/>
        <v>0</v>
      </c>
      <c r="S343" s="6">
        <f t="shared" si="67"/>
        <v>0</v>
      </c>
      <c r="T343" s="6">
        <f t="shared" si="67"/>
        <v>0</v>
      </c>
      <c r="U343" s="6">
        <f t="shared" si="67"/>
        <v>0</v>
      </c>
      <c r="V343" s="6">
        <f t="shared" si="67"/>
        <v>0</v>
      </c>
      <c r="W343" s="6">
        <f t="shared" si="67"/>
        <v>0</v>
      </c>
      <c r="X343" s="6">
        <f t="shared" si="62"/>
        <v>7.8001188571428584</v>
      </c>
      <c r="Y343" s="6"/>
      <c r="Z343" s="6"/>
      <c r="AA343" s="6"/>
      <c r="AB343" s="6"/>
      <c r="AC343" s="6"/>
      <c r="AD343" s="6"/>
      <c r="AE343" s="6"/>
    </row>
    <row r="344" spans="1:32" s="5" customFormat="1" ht="21" customHeight="1" x14ac:dyDescent="0.25">
      <c r="A344" s="6">
        <f>+A340+1</f>
        <v>44</v>
      </c>
      <c r="B344" s="6" t="s">
        <v>140</v>
      </c>
      <c r="C344" s="11" t="s">
        <v>134</v>
      </c>
      <c r="D344" s="11">
        <v>1</v>
      </c>
      <c r="E344" s="11">
        <v>1.8560000000000001</v>
      </c>
      <c r="F344" s="11">
        <v>0.2</v>
      </c>
      <c r="G344" s="11">
        <v>0.6</v>
      </c>
      <c r="H344" s="6">
        <f>G344-0.2</f>
        <v>0.39999999999999997</v>
      </c>
      <c r="I344" s="6">
        <f>E344*F344*G344*D344</f>
        <v>0.22272</v>
      </c>
      <c r="J344" s="6">
        <f>(2*(E344)*H344*D344)+(E344*F344)</f>
        <v>1.8559999999999999</v>
      </c>
      <c r="K344" s="10">
        <f>IF(E344=0.3,J344,0)</f>
        <v>0</v>
      </c>
      <c r="L344" s="10">
        <f>IF(AND(E344&gt;0.3,E344&lt;=0.75),J344,0)</f>
        <v>0</v>
      </c>
      <c r="M344" s="10">
        <f>IF(AND(E344&gt;0.75,E344&lt;=1.2),J344,0)</f>
        <v>0</v>
      </c>
      <c r="N344" s="10">
        <f>IF(E344&gt;1.2,J344,0)</f>
        <v>1.8559999999999999</v>
      </c>
      <c r="O344" s="6"/>
      <c r="P344" s="6"/>
      <c r="Q344" s="6">
        <f t="shared" si="67"/>
        <v>0</v>
      </c>
      <c r="R344" s="6">
        <f t="shared" si="67"/>
        <v>0</v>
      </c>
      <c r="S344" s="6">
        <f t="shared" si="67"/>
        <v>0</v>
      </c>
      <c r="T344" s="6">
        <f t="shared" si="67"/>
        <v>0</v>
      </c>
      <c r="U344" s="6">
        <f t="shared" si="67"/>
        <v>0</v>
      </c>
      <c r="V344" s="6">
        <f t="shared" si="67"/>
        <v>0</v>
      </c>
      <c r="W344" s="6">
        <f t="shared" si="67"/>
        <v>0</v>
      </c>
      <c r="X344" s="6">
        <f t="shared" si="62"/>
        <v>0</v>
      </c>
      <c r="Y344" s="7">
        <f>SUM(X345:X348)/I344</f>
        <v>241.43970443349752</v>
      </c>
      <c r="Z344" s="6"/>
      <c r="AA344" s="6"/>
      <c r="AB344" s="6"/>
      <c r="AC344" s="6"/>
      <c r="AD344" s="6"/>
      <c r="AE344" s="6"/>
      <c r="AF344" s="6"/>
    </row>
    <row r="345" spans="1:32" s="5" customFormat="1" ht="20.100000000000001" customHeight="1" x14ac:dyDescent="0.25">
      <c r="A345" s="7"/>
      <c r="B345" s="6" t="s">
        <v>140</v>
      </c>
      <c r="C345" s="9" t="s">
        <v>2</v>
      </c>
      <c r="D345" s="6">
        <v>20</v>
      </c>
      <c r="E345" s="6"/>
      <c r="F345" s="6">
        <v>2</v>
      </c>
      <c r="G345" s="8">
        <f>VLOOKUP(D345,$C$20:$F$26,3,0)</f>
        <v>1</v>
      </c>
      <c r="H345" s="8"/>
      <c r="I345" s="6"/>
      <c r="J345" s="6"/>
      <c r="K345" s="6"/>
      <c r="L345" s="6"/>
      <c r="M345" s="6"/>
      <c r="N345" s="6"/>
      <c r="O345" s="6">
        <f>(E344+2*(G345+(2*D345/1000)))*D344</f>
        <v>3.9359999999999999</v>
      </c>
      <c r="P345" s="6">
        <f t="shared" ref="P345" si="77">O345*F345</f>
        <v>7.8719999999999999</v>
      </c>
      <c r="Q345" s="6">
        <f t="shared" si="67"/>
        <v>0</v>
      </c>
      <c r="R345" s="6">
        <f t="shared" si="67"/>
        <v>0</v>
      </c>
      <c r="S345" s="6">
        <f t="shared" si="67"/>
        <v>0</v>
      </c>
      <c r="T345" s="6">
        <f t="shared" si="67"/>
        <v>0</v>
      </c>
      <c r="U345" s="6">
        <f t="shared" si="67"/>
        <v>19.42134857142857</v>
      </c>
      <c r="V345" s="6">
        <f t="shared" si="67"/>
        <v>0</v>
      </c>
      <c r="W345" s="6">
        <f t="shared" si="67"/>
        <v>0</v>
      </c>
      <c r="X345" s="6">
        <f t="shared" si="62"/>
        <v>19.42134857142857</v>
      </c>
      <c r="Y345" s="6"/>
      <c r="Z345" s="6"/>
      <c r="AA345" s="6"/>
      <c r="AB345" s="6"/>
      <c r="AC345" s="6"/>
      <c r="AD345" s="6"/>
      <c r="AE345" s="6"/>
    </row>
    <row r="346" spans="1:32" s="5" customFormat="1" ht="20.100000000000001" customHeight="1" x14ac:dyDescent="0.25">
      <c r="A346" s="7"/>
      <c r="B346" s="6" t="s">
        <v>140</v>
      </c>
      <c r="C346" s="9" t="s">
        <v>1</v>
      </c>
      <c r="D346" s="6">
        <v>20</v>
      </c>
      <c r="E346" s="6"/>
      <c r="F346" s="6">
        <v>2</v>
      </c>
      <c r="G346" s="8">
        <f>VLOOKUP(D346,$C$20:$F$26,3,0)</f>
        <v>1</v>
      </c>
      <c r="H346" s="6"/>
      <c r="I346" s="6"/>
      <c r="J346" s="6"/>
      <c r="K346" s="6"/>
      <c r="L346" s="6"/>
      <c r="M346" s="6"/>
      <c r="N346" s="6"/>
      <c r="O346" s="6">
        <f>(E344+2*(G346+(2*D346/1000)))*D344</f>
        <v>3.9359999999999999</v>
      </c>
      <c r="P346" s="6">
        <f>O346*F346</f>
        <v>7.8719999999999999</v>
      </c>
      <c r="Q346" s="6">
        <f t="shared" si="67"/>
        <v>0</v>
      </c>
      <c r="R346" s="6">
        <f t="shared" si="67"/>
        <v>0</v>
      </c>
      <c r="S346" s="6">
        <f t="shared" si="67"/>
        <v>0</v>
      </c>
      <c r="T346" s="6">
        <f t="shared" si="67"/>
        <v>0</v>
      </c>
      <c r="U346" s="6">
        <f t="shared" si="67"/>
        <v>19.42134857142857</v>
      </c>
      <c r="V346" s="6">
        <f t="shared" si="67"/>
        <v>0</v>
      </c>
      <c r="W346" s="6">
        <f t="shared" si="67"/>
        <v>0</v>
      </c>
      <c r="X346" s="6">
        <f t="shared" si="62"/>
        <v>19.42134857142857</v>
      </c>
      <c r="Y346" s="6"/>
      <c r="Z346" s="6"/>
      <c r="AA346" s="6"/>
      <c r="AB346" s="6"/>
      <c r="AC346" s="6"/>
      <c r="AD346" s="6"/>
      <c r="AE346" s="6"/>
    </row>
    <row r="347" spans="1:32" s="5" customFormat="1" ht="20.100000000000001" customHeight="1" x14ac:dyDescent="0.25">
      <c r="A347" s="6"/>
      <c r="B347" s="6" t="s">
        <v>140</v>
      </c>
      <c r="C347" s="9" t="s">
        <v>0</v>
      </c>
      <c r="D347" s="6">
        <v>8</v>
      </c>
      <c r="E347" s="6">
        <v>0.1</v>
      </c>
      <c r="F347" s="6">
        <f>+ROUND(E344/E347,0)+1</f>
        <v>20</v>
      </c>
      <c r="G347" s="8"/>
      <c r="H347" s="6"/>
      <c r="I347" s="6"/>
      <c r="J347" s="6"/>
      <c r="K347" s="6"/>
      <c r="L347" s="6"/>
      <c r="M347" s="6"/>
      <c r="N347" s="6"/>
      <c r="O347" s="6">
        <f>(2*((G344-(2*$D$11))+(F344-(2*$D$11)))+(2*10*D347/1000))*D344</f>
        <v>1.52</v>
      </c>
      <c r="P347" s="6">
        <f>O347*F347</f>
        <v>30.4</v>
      </c>
      <c r="Q347" s="6">
        <f t="shared" si="67"/>
        <v>12.000182857142857</v>
      </c>
      <c r="R347" s="6">
        <f t="shared" si="67"/>
        <v>0</v>
      </c>
      <c r="S347" s="6">
        <f t="shared" si="67"/>
        <v>0</v>
      </c>
      <c r="T347" s="6">
        <f t="shared" si="67"/>
        <v>0</v>
      </c>
      <c r="U347" s="6">
        <f t="shared" si="67"/>
        <v>0</v>
      </c>
      <c r="V347" s="6">
        <f t="shared" si="67"/>
        <v>0</v>
      </c>
      <c r="W347" s="6">
        <f t="shared" si="67"/>
        <v>0</v>
      </c>
      <c r="X347" s="6">
        <f t="shared" si="62"/>
        <v>12.000182857142857</v>
      </c>
      <c r="Y347" s="6"/>
      <c r="Z347" s="6"/>
      <c r="AA347" s="6"/>
      <c r="AB347" s="6"/>
      <c r="AC347" s="6"/>
      <c r="AD347" s="6"/>
      <c r="AE347" s="6"/>
    </row>
    <row r="348" spans="1:32" s="5" customFormat="1" ht="20.100000000000001" customHeight="1" x14ac:dyDescent="0.25">
      <c r="A348" s="7"/>
      <c r="B348" s="6" t="s">
        <v>140</v>
      </c>
      <c r="C348" s="9" t="s">
        <v>6</v>
      </c>
      <c r="D348" s="6">
        <v>8</v>
      </c>
      <c r="E348" s="6">
        <v>0.13</v>
      </c>
      <c r="F348" s="6">
        <f>2*2</f>
        <v>4</v>
      </c>
      <c r="G348" s="8">
        <f>VLOOKUP(D348,$C$20:$F$26,3,0)</f>
        <v>0.4</v>
      </c>
      <c r="H348" s="6"/>
      <c r="I348" s="6"/>
      <c r="J348" s="6"/>
      <c r="K348" s="6"/>
      <c r="L348" s="6"/>
      <c r="M348" s="6"/>
      <c r="N348" s="6"/>
      <c r="O348" s="6">
        <f>+E344</f>
        <v>1.8560000000000001</v>
      </c>
      <c r="P348" s="6">
        <f t="shared" ref="P348" si="78">O348*F348</f>
        <v>7.4240000000000004</v>
      </c>
      <c r="Q348" s="6">
        <f t="shared" si="67"/>
        <v>2.9305709714285717</v>
      </c>
      <c r="R348" s="6">
        <f t="shared" si="67"/>
        <v>0</v>
      </c>
      <c r="S348" s="6">
        <f t="shared" si="67"/>
        <v>0</v>
      </c>
      <c r="T348" s="6">
        <f t="shared" si="67"/>
        <v>0</v>
      </c>
      <c r="U348" s="6">
        <f t="shared" si="67"/>
        <v>0</v>
      </c>
      <c r="V348" s="6">
        <f t="shared" si="67"/>
        <v>0</v>
      </c>
      <c r="W348" s="6">
        <f t="shared" si="67"/>
        <v>0</v>
      </c>
      <c r="X348" s="6">
        <f t="shared" si="62"/>
        <v>2.9305709714285717</v>
      </c>
      <c r="Y348" s="6"/>
      <c r="Z348" s="6"/>
      <c r="AA348" s="6"/>
      <c r="AB348" s="6"/>
      <c r="AC348" s="6"/>
      <c r="AD348" s="6"/>
      <c r="AE348" s="6"/>
    </row>
    <row r="349" spans="1:32" s="5" customFormat="1" ht="21" customHeight="1" x14ac:dyDescent="0.25">
      <c r="A349" s="6">
        <f>A344+1</f>
        <v>45</v>
      </c>
      <c r="B349" s="6" t="s">
        <v>140</v>
      </c>
      <c r="C349" s="11" t="s">
        <v>48</v>
      </c>
      <c r="D349" s="11">
        <v>1</v>
      </c>
      <c r="E349" s="11">
        <v>3.198</v>
      </c>
      <c r="F349" s="11">
        <v>0.2</v>
      </c>
      <c r="G349" s="11">
        <v>0.75</v>
      </c>
      <c r="H349" s="6">
        <f>G349-0.2</f>
        <v>0.55000000000000004</v>
      </c>
      <c r="I349" s="6">
        <f>E349*F349*G349*D349</f>
        <v>0.47970000000000002</v>
      </c>
      <c r="J349" s="6">
        <f>(2*(E349)*H349*D349)+(E349*F349)</f>
        <v>4.1574</v>
      </c>
      <c r="K349" s="10">
        <f>IF(E349=0.3,J349,0)</f>
        <v>0</v>
      </c>
      <c r="L349" s="10">
        <f>IF(AND(E349&gt;0.3,E349&lt;=0.75),J349,0)</f>
        <v>0</v>
      </c>
      <c r="M349" s="10">
        <f>IF(AND(E349&gt;0.75,E349&lt;=1.2),J349,0)</f>
        <v>0</v>
      </c>
      <c r="N349" s="10">
        <f>IF(E349&gt;1.2,J349,0)</f>
        <v>4.1574</v>
      </c>
      <c r="O349" s="6"/>
      <c r="P349" s="6"/>
      <c r="Q349" s="6">
        <f t="shared" si="67"/>
        <v>0</v>
      </c>
      <c r="R349" s="6">
        <f t="shared" si="67"/>
        <v>0</v>
      </c>
      <c r="S349" s="6">
        <f t="shared" si="67"/>
        <v>0</v>
      </c>
      <c r="T349" s="6">
        <f t="shared" si="67"/>
        <v>0</v>
      </c>
      <c r="U349" s="6">
        <f t="shared" si="67"/>
        <v>0</v>
      </c>
      <c r="V349" s="6">
        <f t="shared" si="67"/>
        <v>0</v>
      </c>
      <c r="W349" s="6">
        <f t="shared" si="67"/>
        <v>0</v>
      </c>
      <c r="X349" s="6">
        <f t="shared" si="62"/>
        <v>0</v>
      </c>
      <c r="Y349" s="7">
        <f>SUM(X350:X352)/I349</f>
        <v>96.963394502516465</v>
      </c>
      <c r="Z349" s="6"/>
      <c r="AA349" s="6"/>
      <c r="AB349" s="6"/>
      <c r="AC349" s="6"/>
      <c r="AD349" s="6"/>
      <c r="AE349" s="6"/>
      <c r="AF349" s="6"/>
    </row>
    <row r="350" spans="1:32" s="5" customFormat="1" ht="20.100000000000001" customHeight="1" x14ac:dyDescent="0.25">
      <c r="A350" s="7"/>
      <c r="B350" s="6" t="s">
        <v>140</v>
      </c>
      <c r="C350" s="9" t="s">
        <v>2</v>
      </c>
      <c r="D350" s="6">
        <v>16</v>
      </c>
      <c r="E350" s="6"/>
      <c r="F350" s="6">
        <v>2</v>
      </c>
      <c r="G350" s="8">
        <f>VLOOKUP(D350,$C$20:$F$26,3,0)</f>
        <v>0.8</v>
      </c>
      <c r="H350" s="8"/>
      <c r="I350" s="6"/>
      <c r="J350" s="6"/>
      <c r="K350" s="6"/>
      <c r="L350" s="6"/>
      <c r="M350" s="6"/>
      <c r="N350" s="6"/>
      <c r="O350" s="6">
        <f>(E349+2*(G350+(2*D350/1000)))*D349</f>
        <v>4.8620000000000001</v>
      </c>
      <c r="P350" s="6">
        <f t="shared" ref="P350" si="79">O350*F350</f>
        <v>9.7240000000000002</v>
      </c>
      <c r="Q350" s="6">
        <f t="shared" si="67"/>
        <v>0</v>
      </c>
      <c r="R350" s="6">
        <f t="shared" si="67"/>
        <v>0</v>
      </c>
      <c r="S350" s="6">
        <f t="shared" si="67"/>
        <v>0</v>
      </c>
      <c r="T350" s="6">
        <f t="shared" ref="Q350:W386" si="80">IF($D350=T$36,$P350*T$37,0)</f>
        <v>15.353918171428573</v>
      </c>
      <c r="U350" s="6">
        <f t="shared" si="80"/>
        <v>0</v>
      </c>
      <c r="V350" s="6">
        <f t="shared" si="80"/>
        <v>0</v>
      </c>
      <c r="W350" s="6">
        <f t="shared" si="80"/>
        <v>0</v>
      </c>
      <c r="X350" s="6">
        <f t="shared" si="62"/>
        <v>15.353918171428573</v>
      </c>
      <c r="Y350" s="6"/>
      <c r="Z350" s="6"/>
      <c r="AA350" s="6"/>
      <c r="AB350" s="6"/>
      <c r="AC350" s="6"/>
      <c r="AD350" s="6"/>
      <c r="AE350" s="6"/>
    </row>
    <row r="351" spans="1:32" s="5" customFormat="1" ht="20.100000000000001" customHeight="1" x14ac:dyDescent="0.25">
      <c r="A351" s="7"/>
      <c r="B351" s="6" t="s">
        <v>140</v>
      </c>
      <c r="C351" s="9" t="s">
        <v>1</v>
      </c>
      <c r="D351" s="6">
        <v>16</v>
      </c>
      <c r="E351" s="6"/>
      <c r="F351" s="6">
        <v>2</v>
      </c>
      <c r="G351" s="8">
        <f>VLOOKUP(D351,$C$20:$F$26,3,0)</f>
        <v>0.8</v>
      </c>
      <c r="H351" s="6"/>
      <c r="I351" s="6"/>
      <c r="J351" s="6"/>
      <c r="K351" s="6"/>
      <c r="L351" s="6"/>
      <c r="M351" s="6"/>
      <c r="N351" s="6"/>
      <c r="O351" s="6">
        <f>(E349+2*(G351+(2*D351/1000)))*D349</f>
        <v>4.8620000000000001</v>
      </c>
      <c r="P351" s="6">
        <f>O351*F351</f>
        <v>9.7240000000000002</v>
      </c>
      <c r="Q351" s="6">
        <f t="shared" si="80"/>
        <v>0</v>
      </c>
      <c r="R351" s="6">
        <f t="shared" si="80"/>
        <v>0</v>
      </c>
      <c r="S351" s="6">
        <f t="shared" si="80"/>
        <v>0</v>
      </c>
      <c r="T351" s="6">
        <f t="shared" si="80"/>
        <v>15.353918171428573</v>
      </c>
      <c r="U351" s="6">
        <f t="shared" si="80"/>
        <v>0</v>
      </c>
      <c r="V351" s="6">
        <f t="shared" si="80"/>
        <v>0</v>
      </c>
      <c r="W351" s="6">
        <f t="shared" si="80"/>
        <v>0</v>
      </c>
      <c r="X351" s="6">
        <f t="shared" si="62"/>
        <v>15.353918171428573</v>
      </c>
      <c r="Y351" s="6"/>
      <c r="Z351" s="6"/>
      <c r="AA351" s="6"/>
      <c r="AB351" s="6"/>
      <c r="AC351" s="6"/>
      <c r="AD351" s="6"/>
      <c r="AE351" s="6"/>
    </row>
    <row r="352" spans="1:32" s="5" customFormat="1" ht="20.100000000000001" customHeight="1" x14ac:dyDescent="0.25">
      <c r="A352" s="6"/>
      <c r="B352" s="6" t="s">
        <v>140</v>
      </c>
      <c r="C352" s="9" t="s">
        <v>0</v>
      </c>
      <c r="D352" s="6">
        <v>8</v>
      </c>
      <c r="E352" s="6">
        <v>0.15</v>
      </c>
      <c r="F352" s="6">
        <f>+ROUND(E349/E352,0)+1</f>
        <v>22</v>
      </c>
      <c r="G352" s="8"/>
      <c r="H352" s="6"/>
      <c r="I352" s="6"/>
      <c r="J352" s="6"/>
      <c r="K352" s="6"/>
      <c r="L352" s="6"/>
      <c r="M352" s="6"/>
      <c r="N352" s="6"/>
      <c r="O352" s="6">
        <f>(2*((G349-(2*$D$11))+(F349-(2*$D$11)))+(2*10*D352/1000))*D349</f>
        <v>1.8199999999999998</v>
      </c>
      <c r="P352" s="6">
        <f>O352*F352</f>
        <v>40.04</v>
      </c>
      <c r="Q352" s="6">
        <f t="shared" si="80"/>
        <v>15.805504000000001</v>
      </c>
      <c r="R352" s="6">
        <f t="shared" si="80"/>
        <v>0</v>
      </c>
      <c r="S352" s="6">
        <f t="shared" si="80"/>
        <v>0</v>
      </c>
      <c r="T352" s="6">
        <f t="shared" si="80"/>
        <v>0</v>
      </c>
      <c r="U352" s="6">
        <f t="shared" si="80"/>
        <v>0</v>
      </c>
      <c r="V352" s="6">
        <f t="shared" si="80"/>
        <v>0</v>
      </c>
      <c r="W352" s="6">
        <f t="shared" si="80"/>
        <v>0</v>
      </c>
      <c r="X352" s="6">
        <f t="shared" si="62"/>
        <v>15.805504000000001</v>
      </c>
      <c r="Y352" s="6"/>
      <c r="Z352" s="6"/>
      <c r="AA352" s="6"/>
      <c r="AB352" s="6"/>
      <c r="AC352" s="6"/>
      <c r="AD352" s="6"/>
      <c r="AE352" s="6"/>
    </row>
    <row r="353" spans="1:32" s="5" customFormat="1" ht="21" customHeight="1" x14ac:dyDescent="0.25">
      <c r="A353" s="6">
        <f>+A349+1</f>
        <v>46</v>
      </c>
      <c r="B353" s="6" t="s">
        <v>140</v>
      </c>
      <c r="C353" s="11" t="s">
        <v>47</v>
      </c>
      <c r="D353" s="11">
        <v>1</v>
      </c>
      <c r="E353" s="11">
        <v>3</v>
      </c>
      <c r="F353" s="11">
        <v>0.6</v>
      </c>
      <c r="G353" s="11">
        <v>0.75</v>
      </c>
      <c r="H353" s="6">
        <f>G353-0.2</f>
        <v>0.55000000000000004</v>
      </c>
      <c r="I353" s="6">
        <f>E353*F353*G353*D353</f>
        <v>1.3499999999999999</v>
      </c>
      <c r="J353" s="6">
        <f>(2*(E353)*H353*D353)+(E353*F353)</f>
        <v>5.0999999999999996</v>
      </c>
      <c r="K353" s="10">
        <f>IF(E353=0.3,J353,0)</f>
        <v>0</v>
      </c>
      <c r="L353" s="10">
        <f>IF(AND(E353&gt;0.3,E353&lt;=0.75),J353,0)</f>
        <v>0</v>
      </c>
      <c r="M353" s="10">
        <f>IF(AND(E353&gt;0.75,E353&lt;=1.2),J353,0)</f>
        <v>0</v>
      </c>
      <c r="N353" s="10">
        <f>IF(E353&gt;1.2,J353,0)</f>
        <v>5.0999999999999996</v>
      </c>
      <c r="O353" s="6"/>
      <c r="P353" s="6"/>
      <c r="Q353" s="6">
        <f t="shared" si="80"/>
        <v>0</v>
      </c>
      <c r="R353" s="6">
        <f t="shared" si="80"/>
        <v>0</v>
      </c>
      <c r="S353" s="6">
        <f t="shared" si="80"/>
        <v>0</v>
      </c>
      <c r="T353" s="6">
        <f t="shared" si="80"/>
        <v>0</v>
      </c>
      <c r="U353" s="6">
        <f t="shared" si="80"/>
        <v>0</v>
      </c>
      <c r="V353" s="6">
        <f t="shared" si="80"/>
        <v>0</v>
      </c>
      <c r="W353" s="6">
        <f t="shared" si="80"/>
        <v>0</v>
      </c>
      <c r="X353" s="6">
        <f t="shared" si="62"/>
        <v>0</v>
      </c>
      <c r="Y353" s="7">
        <f>SUM(X354:X359)/I353</f>
        <v>216.48721693121692</v>
      </c>
      <c r="Z353" s="6"/>
      <c r="AA353" s="6"/>
      <c r="AB353" s="6"/>
      <c r="AC353" s="6"/>
      <c r="AD353" s="6"/>
      <c r="AE353" s="6"/>
      <c r="AF353" s="6"/>
    </row>
    <row r="354" spans="1:32" s="5" customFormat="1" ht="20.100000000000001" customHeight="1" x14ac:dyDescent="0.25">
      <c r="A354" s="7"/>
      <c r="B354" s="6" t="s">
        <v>140</v>
      </c>
      <c r="C354" s="9" t="s">
        <v>2</v>
      </c>
      <c r="D354" s="6">
        <v>20</v>
      </c>
      <c r="E354" s="6"/>
      <c r="F354" s="6">
        <v>6</v>
      </c>
      <c r="G354" s="8">
        <f>VLOOKUP(D354,$C$20:$F$26,3,0)</f>
        <v>1</v>
      </c>
      <c r="H354" s="8"/>
      <c r="I354" s="6"/>
      <c r="J354" s="6"/>
      <c r="K354" s="6"/>
      <c r="L354" s="6"/>
      <c r="M354" s="6"/>
      <c r="N354" s="6"/>
      <c r="O354" s="6">
        <f>(E353+0.4+1*(G354+(2*D354/1000)))*D353</f>
        <v>4.4399999999999995</v>
      </c>
      <c r="P354" s="6">
        <f t="shared" ref="P354:P355" si="81">O354*F354</f>
        <v>26.639999999999997</v>
      </c>
      <c r="Q354" s="6">
        <f t="shared" si="80"/>
        <v>0</v>
      </c>
      <c r="R354" s="6">
        <f t="shared" si="80"/>
        <v>0</v>
      </c>
      <c r="S354" s="6">
        <f t="shared" si="80"/>
        <v>0</v>
      </c>
      <c r="T354" s="6">
        <f t="shared" si="80"/>
        <v>0</v>
      </c>
      <c r="U354" s="6">
        <f t="shared" si="80"/>
        <v>65.724685714285712</v>
      </c>
      <c r="V354" s="6">
        <f t="shared" si="80"/>
        <v>0</v>
      </c>
      <c r="W354" s="6">
        <f t="shared" si="80"/>
        <v>0</v>
      </c>
      <c r="X354" s="6">
        <f t="shared" si="62"/>
        <v>65.724685714285712</v>
      </c>
      <c r="Y354" s="6"/>
      <c r="Z354" s="6"/>
      <c r="AA354" s="6"/>
      <c r="AB354" s="6"/>
      <c r="AC354" s="6"/>
      <c r="AD354" s="6"/>
      <c r="AE354" s="6"/>
    </row>
    <row r="355" spans="1:32" s="5" customFormat="1" ht="20.100000000000001" customHeight="1" x14ac:dyDescent="0.25">
      <c r="A355" s="7"/>
      <c r="B355" s="6" t="s">
        <v>140</v>
      </c>
      <c r="C355" s="9" t="s">
        <v>26</v>
      </c>
      <c r="D355" s="6">
        <v>20</v>
      </c>
      <c r="E355" s="6"/>
      <c r="F355" s="6">
        <v>4</v>
      </c>
      <c r="G355" s="8">
        <f>VLOOKUP(D355,$C$20:$F$26,3,0)</f>
        <v>1</v>
      </c>
      <c r="H355" s="8"/>
      <c r="I355" s="6"/>
      <c r="J355" s="6"/>
      <c r="K355" s="6"/>
      <c r="L355" s="6"/>
      <c r="M355" s="6"/>
      <c r="N355" s="6"/>
      <c r="O355" s="6">
        <f>+E353+0.4</f>
        <v>3.4</v>
      </c>
      <c r="P355" s="6">
        <f t="shared" si="81"/>
        <v>13.6</v>
      </c>
      <c r="Q355" s="6">
        <f t="shared" si="80"/>
        <v>0</v>
      </c>
      <c r="R355" s="6">
        <f t="shared" si="80"/>
        <v>0</v>
      </c>
      <c r="S355" s="6">
        <f t="shared" si="80"/>
        <v>0</v>
      </c>
      <c r="T355" s="6">
        <f t="shared" si="80"/>
        <v>0</v>
      </c>
      <c r="U355" s="6">
        <f t="shared" si="80"/>
        <v>33.553142857142852</v>
      </c>
      <c r="V355" s="6">
        <f t="shared" si="80"/>
        <v>0</v>
      </c>
      <c r="W355" s="6">
        <f t="shared" si="80"/>
        <v>0</v>
      </c>
      <c r="X355" s="6">
        <f t="shared" si="62"/>
        <v>33.553142857142852</v>
      </c>
      <c r="Y355" s="6"/>
      <c r="Z355" s="6"/>
      <c r="AA355" s="6"/>
      <c r="AB355" s="6"/>
      <c r="AC355" s="6"/>
      <c r="AD355" s="6"/>
      <c r="AE355" s="6"/>
    </row>
    <row r="356" spans="1:32" s="5" customFormat="1" ht="20.100000000000001" customHeight="1" x14ac:dyDescent="0.25">
      <c r="A356" s="7"/>
      <c r="B356" s="6" t="s">
        <v>140</v>
      </c>
      <c r="C356" s="9" t="s">
        <v>1</v>
      </c>
      <c r="D356" s="6">
        <v>20</v>
      </c>
      <c r="E356" s="6"/>
      <c r="F356" s="6">
        <v>6</v>
      </c>
      <c r="G356" s="8">
        <f>VLOOKUP(D356,$C$20:$F$26,3,0)</f>
        <v>1</v>
      </c>
      <c r="H356" s="6"/>
      <c r="I356" s="6"/>
      <c r="J356" s="6"/>
      <c r="K356" s="6"/>
      <c r="L356" s="6"/>
      <c r="M356" s="6"/>
      <c r="N356" s="6"/>
      <c r="O356" s="6">
        <f>(E353+0.4+1*(G356+(2*D356/1000)))*D353</f>
        <v>4.4399999999999995</v>
      </c>
      <c r="P356" s="6">
        <f>O356*F356</f>
        <v>26.639999999999997</v>
      </c>
      <c r="Q356" s="6">
        <f t="shared" si="80"/>
        <v>0</v>
      </c>
      <c r="R356" s="6">
        <f t="shared" si="80"/>
        <v>0</v>
      </c>
      <c r="S356" s="6">
        <f t="shared" si="80"/>
        <v>0</v>
      </c>
      <c r="T356" s="6">
        <f t="shared" si="80"/>
        <v>0</v>
      </c>
      <c r="U356" s="6">
        <f t="shared" si="80"/>
        <v>65.724685714285712</v>
      </c>
      <c r="V356" s="6">
        <f t="shared" si="80"/>
        <v>0</v>
      </c>
      <c r="W356" s="6">
        <f t="shared" si="80"/>
        <v>0</v>
      </c>
      <c r="X356" s="6">
        <f t="shared" si="62"/>
        <v>65.724685714285712</v>
      </c>
      <c r="Y356" s="6"/>
      <c r="Z356" s="6"/>
      <c r="AA356" s="6"/>
      <c r="AB356" s="6"/>
      <c r="AC356" s="6"/>
      <c r="AD356" s="6"/>
      <c r="AE356" s="6"/>
    </row>
    <row r="357" spans="1:32" s="5" customFormat="1" ht="20.100000000000001" customHeight="1" x14ac:dyDescent="0.25">
      <c r="A357" s="6"/>
      <c r="B357" s="6" t="s">
        <v>140</v>
      </c>
      <c r="C357" s="9" t="s">
        <v>0</v>
      </c>
      <c r="D357" s="6">
        <v>10</v>
      </c>
      <c r="E357" s="6">
        <v>0.1</v>
      </c>
      <c r="F357" s="6">
        <f>+ROUND(E353/E357,0)+1</f>
        <v>31</v>
      </c>
      <c r="G357" s="8"/>
      <c r="H357" s="6"/>
      <c r="I357" s="6"/>
      <c r="J357" s="6"/>
      <c r="K357" s="6"/>
      <c r="L357" s="6"/>
      <c r="M357" s="6"/>
      <c r="N357" s="6"/>
      <c r="O357" s="6">
        <f>(2*((G353-(2*$D$11))+(F353-(2*$D$11)))+(2*10*D357/1000))*D353</f>
        <v>2.66</v>
      </c>
      <c r="P357" s="6">
        <f>O357*F357</f>
        <v>82.460000000000008</v>
      </c>
      <c r="Q357" s="6">
        <f t="shared" si="80"/>
        <v>0</v>
      </c>
      <c r="R357" s="6">
        <f t="shared" si="80"/>
        <v>50.860150000000004</v>
      </c>
      <c r="S357" s="6">
        <f t="shared" si="80"/>
        <v>0</v>
      </c>
      <c r="T357" s="6">
        <f t="shared" si="80"/>
        <v>0</v>
      </c>
      <c r="U357" s="6">
        <f t="shared" si="80"/>
        <v>0</v>
      </c>
      <c r="V357" s="6">
        <f t="shared" si="80"/>
        <v>0</v>
      </c>
      <c r="W357" s="6">
        <f t="shared" si="80"/>
        <v>0</v>
      </c>
      <c r="X357" s="6">
        <f t="shared" si="62"/>
        <v>50.860150000000004</v>
      </c>
      <c r="Y357" s="6"/>
      <c r="Z357" s="6"/>
      <c r="AA357" s="6"/>
      <c r="AB357" s="6"/>
      <c r="AC357" s="6"/>
      <c r="AD357" s="6"/>
      <c r="AE357" s="6"/>
    </row>
    <row r="358" spans="1:32" s="12" customFormat="1" ht="20.100000000000001" customHeight="1" x14ac:dyDescent="0.25">
      <c r="B358" s="6" t="s">
        <v>140</v>
      </c>
      <c r="C358" s="9" t="s">
        <v>25</v>
      </c>
      <c r="D358" s="6">
        <f>+D357</f>
        <v>10</v>
      </c>
      <c r="E358" s="6">
        <f>+E357</f>
        <v>0.1</v>
      </c>
      <c r="F358" s="12">
        <f>+F357</f>
        <v>31</v>
      </c>
      <c r="G358" s="5"/>
      <c r="O358" s="3">
        <f>((((G353-(2*$D$11))+(2*10*D358/1000))*D353))*2*2</f>
        <v>3.5599999999999996</v>
      </c>
      <c r="P358" s="6">
        <f>O358*F358</f>
        <v>110.35999999999999</v>
      </c>
      <c r="Q358" s="6">
        <f t="shared" si="80"/>
        <v>0</v>
      </c>
      <c r="R358" s="6">
        <f t="shared" si="80"/>
        <v>68.068471428571414</v>
      </c>
      <c r="S358" s="6">
        <f t="shared" si="80"/>
        <v>0</v>
      </c>
      <c r="T358" s="6">
        <f t="shared" si="80"/>
        <v>0</v>
      </c>
      <c r="U358" s="6">
        <f t="shared" si="80"/>
        <v>0</v>
      </c>
      <c r="V358" s="6">
        <f t="shared" si="80"/>
        <v>0</v>
      </c>
      <c r="W358" s="6">
        <f t="shared" si="80"/>
        <v>0</v>
      </c>
      <c r="X358" s="6">
        <f t="shared" si="62"/>
        <v>68.068471428571414</v>
      </c>
    </row>
    <row r="359" spans="1:32" s="5" customFormat="1" ht="20.100000000000001" customHeight="1" x14ac:dyDescent="0.25">
      <c r="A359" s="7"/>
      <c r="B359" s="6" t="s">
        <v>140</v>
      </c>
      <c r="C359" s="9" t="s">
        <v>17</v>
      </c>
      <c r="D359" s="6">
        <f>+$D$15</f>
        <v>25</v>
      </c>
      <c r="E359" s="6">
        <f>+$E$15</f>
        <v>1</v>
      </c>
      <c r="F359" s="6">
        <f>ROUNDUP((E353)/E359,0)+1</f>
        <v>4</v>
      </c>
      <c r="G359" s="8"/>
      <c r="H359" s="8"/>
      <c r="I359" s="6"/>
      <c r="J359" s="6"/>
      <c r="K359" s="6"/>
      <c r="L359" s="6"/>
      <c r="M359" s="6"/>
      <c r="N359" s="6"/>
      <c r="O359" s="6">
        <f>+F353-(2*$D$11)</f>
        <v>0.54</v>
      </c>
      <c r="P359" s="6">
        <f t="shared" ref="P359" si="82">O359*F359</f>
        <v>2.16</v>
      </c>
      <c r="Q359" s="6">
        <f t="shared" si="80"/>
        <v>0</v>
      </c>
      <c r="R359" s="6">
        <f t="shared" si="80"/>
        <v>0</v>
      </c>
      <c r="S359" s="6">
        <f t="shared" si="80"/>
        <v>0</v>
      </c>
      <c r="T359" s="6">
        <f t="shared" si="80"/>
        <v>0</v>
      </c>
      <c r="U359" s="6">
        <f t="shared" si="80"/>
        <v>0</v>
      </c>
      <c r="V359" s="6">
        <f t="shared" si="80"/>
        <v>8.326607142857144</v>
      </c>
      <c r="W359" s="6">
        <f t="shared" si="80"/>
        <v>0</v>
      </c>
      <c r="X359" s="6">
        <f t="shared" si="62"/>
        <v>8.326607142857144</v>
      </c>
      <c r="Y359" s="6"/>
      <c r="Z359" s="6"/>
      <c r="AA359" s="6"/>
      <c r="AB359" s="6"/>
      <c r="AC359" s="6"/>
      <c r="AD359" s="6"/>
      <c r="AE359" s="6"/>
    </row>
    <row r="360" spans="1:32" s="5" customFormat="1" ht="21" customHeight="1" x14ac:dyDescent="0.25">
      <c r="A360" s="6">
        <f>+A353+1</f>
        <v>47</v>
      </c>
      <c r="B360" s="6" t="s">
        <v>140</v>
      </c>
      <c r="C360" s="11" t="s">
        <v>46</v>
      </c>
      <c r="D360" s="11">
        <v>1</v>
      </c>
      <c r="E360" s="11">
        <v>1.75</v>
      </c>
      <c r="F360" s="11">
        <v>0.6</v>
      </c>
      <c r="G360" s="11">
        <v>0.75</v>
      </c>
      <c r="H360" s="6">
        <f>G360-0.2</f>
        <v>0.55000000000000004</v>
      </c>
      <c r="I360" s="6">
        <f>E360*F360*G360*D360</f>
        <v>0.78750000000000009</v>
      </c>
      <c r="J360" s="6">
        <f>(2*(E360)*H360*D360)+(E360*F360)</f>
        <v>2.9750000000000005</v>
      </c>
      <c r="K360" s="10">
        <f>IF(E360=0.3,J360,0)</f>
        <v>0</v>
      </c>
      <c r="L360" s="10">
        <f>IF(AND(E360&gt;0.3,E360&lt;=0.75),J360,0)</f>
        <v>0</v>
      </c>
      <c r="M360" s="10">
        <f>IF(AND(E360&gt;0.75,E360&lt;=1.2),J360,0)</f>
        <v>0</v>
      </c>
      <c r="N360" s="10">
        <f>IF(E360&gt;1.2,J360,0)</f>
        <v>2.9750000000000005</v>
      </c>
      <c r="O360" s="6"/>
      <c r="P360" s="6"/>
      <c r="Q360" s="6">
        <f t="shared" si="80"/>
        <v>0</v>
      </c>
      <c r="R360" s="6">
        <f t="shared" si="80"/>
        <v>0</v>
      </c>
      <c r="S360" s="6">
        <f t="shared" si="80"/>
        <v>0</v>
      </c>
      <c r="T360" s="6">
        <f t="shared" si="80"/>
        <v>0</v>
      </c>
      <c r="U360" s="6">
        <f t="shared" si="80"/>
        <v>0</v>
      </c>
      <c r="V360" s="6">
        <f t="shared" si="80"/>
        <v>0</v>
      </c>
      <c r="W360" s="6">
        <f t="shared" si="80"/>
        <v>0</v>
      </c>
      <c r="X360" s="6">
        <f t="shared" si="62"/>
        <v>0</v>
      </c>
      <c r="Y360" s="7">
        <f>SUM(X361:X366)/I360</f>
        <v>247.8617029478458</v>
      </c>
      <c r="Z360" s="6"/>
      <c r="AA360" s="6"/>
      <c r="AB360" s="6"/>
      <c r="AC360" s="6"/>
      <c r="AD360" s="6"/>
      <c r="AE360" s="6"/>
      <c r="AF360" s="6"/>
    </row>
    <row r="361" spans="1:32" s="5" customFormat="1" ht="20.100000000000001" customHeight="1" x14ac:dyDescent="0.25">
      <c r="A361" s="7"/>
      <c r="B361" s="6" t="s">
        <v>140</v>
      </c>
      <c r="C361" s="9" t="s">
        <v>2</v>
      </c>
      <c r="D361" s="6">
        <v>20</v>
      </c>
      <c r="E361" s="6"/>
      <c r="F361" s="6">
        <v>6</v>
      </c>
      <c r="G361" s="8">
        <f>VLOOKUP(D361,$C$20:$F$26,3,0)</f>
        <v>1</v>
      </c>
      <c r="H361" s="8"/>
      <c r="I361" s="6"/>
      <c r="J361" s="6"/>
      <c r="K361" s="6"/>
      <c r="L361" s="6"/>
      <c r="M361" s="6"/>
      <c r="N361" s="6"/>
      <c r="O361" s="6">
        <f>(E360+1*(G361+(2*D361/1000)))*D360</f>
        <v>2.79</v>
      </c>
      <c r="P361" s="6">
        <f t="shared" ref="P361:P362" si="83">O361*F361</f>
        <v>16.740000000000002</v>
      </c>
      <c r="Q361" s="6">
        <f t="shared" si="80"/>
        <v>0</v>
      </c>
      <c r="R361" s="6">
        <f t="shared" si="80"/>
        <v>0</v>
      </c>
      <c r="S361" s="6">
        <f t="shared" si="80"/>
        <v>0</v>
      </c>
      <c r="T361" s="6">
        <f t="shared" si="80"/>
        <v>0</v>
      </c>
      <c r="U361" s="6">
        <f t="shared" si="80"/>
        <v>41.299971428571432</v>
      </c>
      <c r="V361" s="6">
        <f t="shared" si="80"/>
        <v>0</v>
      </c>
      <c r="W361" s="6">
        <f t="shared" si="80"/>
        <v>0</v>
      </c>
      <c r="X361" s="6">
        <f t="shared" si="62"/>
        <v>41.299971428571432</v>
      </c>
      <c r="Y361" s="6"/>
      <c r="Z361" s="6"/>
      <c r="AA361" s="6"/>
      <c r="AB361" s="6"/>
      <c r="AC361" s="6"/>
      <c r="AD361" s="6"/>
      <c r="AE361" s="6"/>
    </row>
    <row r="362" spans="1:32" s="5" customFormat="1" ht="20.100000000000001" customHeight="1" x14ac:dyDescent="0.25">
      <c r="A362" s="7"/>
      <c r="B362" s="6" t="s">
        <v>140</v>
      </c>
      <c r="C362" s="9" t="s">
        <v>26</v>
      </c>
      <c r="D362" s="6">
        <v>20</v>
      </c>
      <c r="E362" s="6"/>
      <c r="F362" s="6">
        <v>4</v>
      </c>
      <c r="G362" s="8">
        <f>VLOOKUP(D362,$C$20:$F$26,3,0)</f>
        <v>1</v>
      </c>
      <c r="H362" s="8"/>
      <c r="I362" s="6"/>
      <c r="J362" s="6"/>
      <c r="K362" s="6"/>
      <c r="L362" s="6"/>
      <c r="M362" s="6"/>
      <c r="N362" s="6"/>
      <c r="O362" s="6">
        <f>(E360+1*(G362+(2*D362/1000)))*D360</f>
        <v>2.79</v>
      </c>
      <c r="P362" s="6">
        <f t="shared" si="83"/>
        <v>11.16</v>
      </c>
      <c r="Q362" s="6">
        <f t="shared" si="80"/>
        <v>0</v>
      </c>
      <c r="R362" s="6">
        <f t="shared" si="80"/>
        <v>0</v>
      </c>
      <c r="S362" s="6">
        <f t="shared" si="80"/>
        <v>0</v>
      </c>
      <c r="T362" s="6">
        <f t="shared" si="80"/>
        <v>0</v>
      </c>
      <c r="U362" s="6">
        <f t="shared" si="80"/>
        <v>27.533314285714287</v>
      </c>
      <c r="V362" s="6">
        <f t="shared" si="80"/>
        <v>0</v>
      </c>
      <c r="W362" s="6">
        <f t="shared" si="80"/>
        <v>0</v>
      </c>
      <c r="X362" s="6">
        <f t="shared" si="62"/>
        <v>27.533314285714287</v>
      </c>
      <c r="Y362" s="6"/>
      <c r="Z362" s="6"/>
      <c r="AA362" s="6"/>
      <c r="AB362" s="6"/>
      <c r="AC362" s="6"/>
      <c r="AD362" s="6"/>
      <c r="AE362" s="6"/>
    </row>
    <row r="363" spans="1:32" s="5" customFormat="1" ht="20.100000000000001" customHeight="1" x14ac:dyDescent="0.25">
      <c r="A363" s="7"/>
      <c r="B363" s="6" t="s">
        <v>140</v>
      </c>
      <c r="C363" s="9" t="s">
        <v>1</v>
      </c>
      <c r="D363" s="6">
        <v>20</v>
      </c>
      <c r="E363" s="6"/>
      <c r="F363" s="6">
        <v>6</v>
      </c>
      <c r="G363" s="8">
        <f>VLOOKUP(D363,$C$20:$F$26,3,0)</f>
        <v>1</v>
      </c>
      <c r="H363" s="6"/>
      <c r="I363" s="6"/>
      <c r="J363" s="6"/>
      <c r="K363" s="6"/>
      <c r="L363" s="6"/>
      <c r="M363" s="6"/>
      <c r="N363" s="6"/>
      <c r="O363" s="6">
        <f>(E360+0.4+1*(G363+(2*D363/1000)))*D360</f>
        <v>3.19</v>
      </c>
      <c r="P363" s="6">
        <f>O363*F363</f>
        <v>19.14</v>
      </c>
      <c r="Q363" s="6">
        <f t="shared" si="80"/>
        <v>0</v>
      </c>
      <c r="R363" s="6">
        <f t="shared" si="80"/>
        <v>0</v>
      </c>
      <c r="S363" s="6">
        <f t="shared" si="80"/>
        <v>0</v>
      </c>
      <c r="T363" s="6">
        <f t="shared" si="80"/>
        <v>0</v>
      </c>
      <c r="U363" s="6">
        <f t="shared" si="80"/>
        <v>47.221114285714286</v>
      </c>
      <c r="V363" s="6">
        <f t="shared" si="80"/>
        <v>0</v>
      </c>
      <c r="W363" s="6">
        <f t="shared" si="80"/>
        <v>0</v>
      </c>
      <c r="X363" s="6">
        <f t="shared" ref="X363:X426" si="84">SUM(Q363:W363)</f>
        <v>47.221114285714286</v>
      </c>
      <c r="Y363" s="6"/>
      <c r="Z363" s="6"/>
      <c r="AA363" s="6"/>
      <c r="AB363" s="6"/>
      <c r="AC363" s="6"/>
      <c r="AD363" s="6"/>
      <c r="AE363" s="6"/>
    </row>
    <row r="364" spans="1:32" s="5" customFormat="1" ht="20.100000000000001" customHeight="1" x14ac:dyDescent="0.25">
      <c r="A364" s="6"/>
      <c r="B364" s="6" t="s">
        <v>140</v>
      </c>
      <c r="C364" s="9" t="s">
        <v>0</v>
      </c>
      <c r="D364" s="6">
        <v>10</v>
      </c>
      <c r="E364" s="6">
        <v>0.1</v>
      </c>
      <c r="F364" s="6">
        <f>+ROUND(E360/E364,0)+1</f>
        <v>19</v>
      </c>
      <c r="G364" s="8"/>
      <c r="H364" s="6"/>
      <c r="I364" s="6"/>
      <c r="J364" s="6"/>
      <c r="K364" s="6"/>
      <c r="L364" s="6"/>
      <c r="M364" s="6"/>
      <c r="N364" s="6"/>
      <c r="O364" s="6">
        <f>(2*((G360-(2*$D$11))+(F360-(2*$D$11)))+(2*10*D364/1000))*D360</f>
        <v>2.66</v>
      </c>
      <c r="P364" s="6">
        <f>O364*F364</f>
        <v>50.540000000000006</v>
      </c>
      <c r="Q364" s="6">
        <f t="shared" si="80"/>
        <v>0</v>
      </c>
      <c r="R364" s="6">
        <f t="shared" si="80"/>
        <v>31.172350000000002</v>
      </c>
      <c r="S364" s="6">
        <f t="shared" si="80"/>
        <v>0</v>
      </c>
      <c r="T364" s="6">
        <f t="shared" si="80"/>
        <v>0</v>
      </c>
      <c r="U364" s="6">
        <f t="shared" si="80"/>
        <v>0</v>
      </c>
      <c r="V364" s="6">
        <f t="shared" si="80"/>
        <v>0</v>
      </c>
      <c r="W364" s="6">
        <f t="shared" si="80"/>
        <v>0</v>
      </c>
      <c r="X364" s="6">
        <f t="shared" si="84"/>
        <v>31.172350000000002</v>
      </c>
      <c r="Y364" s="6"/>
      <c r="Z364" s="6"/>
      <c r="AA364" s="6"/>
      <c r="AB364" s="6"/>
      <c r="AC364" s="6"/>
      <c r="AD364" s="6"/>
      <c r="AE364" s="6"/>
    </row>
    <row r="365" spans="1:32" s="12" customFormat="1" ht="20.100000000000001" customHeight="1" x14ac:dyDescent="0.25">
      <c r="B365" s="6" t="s">
        <v>140</v>
      </c>
      <c r="C365" s="9" t="s">
        <v>25</v>
      </c>
      <c r="D365" s="6">
        <f>+D364</f>
        <v>10</v>
      </c>
      <c r="E365" s="6">
        <f>+E364</f>
        <v>0.1</v>
      </c>
      <c r="F365" s="12">
        <f>+F364</f>
        <v>19</v>
      </c>
      <c r="G365" s="5"/>
      <c r="O365" s="3">
        <f>((((G360-(2*$D$11))+(2*10*D365/1000))*D360))*2*2</f>
        <v>3.5599999999999996</v>
      </c>
      <c r="P365" s="6">
        <f>O365*F365</f>
        <v>67.639999999999986</v>
      </c>
      <c r="Q365" s="6">
        <f t="shared" si="80"/>
        <v>0</v>
      </c>
      <c r="R365" s="6">
        <f t="shared" si="80"/>
        <v>41.719385714285707</v>
      </c>
      <c r="S365" s="6">
        <f t="shared" si="80"/>
        <v>0</v>
      </c>
      <c r="T365" s="6">
        <f t="shared" si="80"/>
        <v>0</v>
      </c>
      <c r="U365" s="6">
        <f t="shared" si="80"/>
        <v>0</v>
      </c>
      <c r="V365" s="6">
        <f t="shared" si="80"/>
        <v>0</v>
      </c>
      <c r="W365" s="6">
        <f t="shared" si="80"/>
        <v>0</v>
      </c>
      <c r="X365" s="6">
        <f t="shared" si="84"/>
        <v>41.719385714285707</v>
      </c>
    </row>
    <row r="366" spans="1:32" s="5" customFormat="1" ht="20.100000000000001" customHeight="1" x14ac:dyDescent="0.25">
      <c r="A366" s="7"/>
      <c r="B366" s="6" t="s">
        <v>140</v>
      </c>
      <c r="C366" s="9" t="s">
        <v>17</v>
      </c>
      <c r="D366" s="6">
        <f>+$D$15</f>
        <v>25</v>
      </c>
      <c r="E366" s="6">
        <f>+$E$15</f>
        <v>1</v>
      </c>
      <c r="F366" s="6">
        <f>ROUNDUP((E360)/E366,0)+1</f>
        <v>3</v>
      </c>
      <c r="G366" s="8"/>
      <c r="H366" s="8"/>
      <c r="I366" s="6"/>
      <c r="J366" s="6"/>
      <c r="K366" s="6"/>
      <c r="L366" s="6"/>
      <c r="M366" s="6"/>
      <c r="N366" s="6"/>
      <c r="O366" s="6">
        <f>+F360-(2*$D$11)</f>
        <v>0.54</v>
      </c>
      <c r="P366" s="6">
        <f t="shared" ref="P366" si="85">O366*F366</f>
        <v>1.62</v>
      </c>
      <c r="Q366" s="6">
        <f t="shared" si="80"/>
        <v>0</v>
      </c>
      <c r="R366" s="6">
        <f t="shared" si="80"/>
        <v>0</v>
      </c>
      <c r="S366" s="6">
        <f t="shared" si="80"/>
        <v>0</v>
      </c>
      <c r="T366" s="6">
        <f t="shared" si="80"/>
        <v>0</v>
      </c>
      <c r="U366" s="6">
        <f t="shared" si="80"/>
        <v>0</v>
      </c>
      <c r="V366" s="6">
        <f t="shared" si="80"/>
        <v>6.2449553571428584</v>
      </c>
      <c r="W366" s="6">
        <f t="shared" si="80"/>
        <v>0</v>
      </c>
      <c r="X366" s="6">
        <f t="shared" si="84"/>
        <v>6.2449553571428584</v>
      </c>
      <c r="Y366" s="6"/>
      <c r="Z366" s="6"/>
      <c r="AA366" s="6"/>
      <c r="AB366" s="6"/>
      <c r="AC366" s="6"/>
      <c r="AD366" s="6"/>
      <c r="AE366" s="6"/>
    </row>
    <row r="367" spans="1:32" s="5" customFormat="1" ht="20.100000000000001" customHeight="1" x14ac:dyDescent="0.25">
      <c r="A367" s="6">
        <f>+A360+1</f>
        <v>48</v>
      </c>
      <c r="B367" s="6" t="s">
        <v>140</v>
      </c>
      <c r="C367" s="11" t="s">
        <v>45</v>
      </c>
      <c r="D367" s="11">
        <v>1</v>
      </c>
      <c r="E367" s="11">
        <v>3.198</v>
      </c>
      <c r="F367" s="11">
        <v>0.4</v>
      </c>
      <c r="G367" s="11">
        <v>0.75</v>
      </c>
      <c r="H367" s="6">
        <f>G367-0.2</f>
        <v>0.55000000000000004</v>
      </c>
      <c r="I367" s="6">
        <f>E367*F367*G367*D367</f>
        <v>0.95940000000000003</v>
      </c>
      <c r="J367" s="6">
        <f>(2*(E367)*H367*D367)+(E367*F367)</f>
        <v>4.7970000000000006</v>
      </c>
      <c r="K367" s="10">
        <f>IF(E367=0.3,J367,0)</f>
        <v>0</v>
      </c>
      <c r="L367" s="10">
        <f>IF(AND(E367&gt;0.3,E367&lt;=0.75),J367,0)</f>
        <v>0</v>
      </c>
      <c r="M367" s="10">
        <f>IF(AND(E367&gt;0.75,E367&lt;=1.2),J367,0)</f>
        <v>0</v>
      </c>
      <c r="N367" s="10">
        <f>IF(E367&gt;1.2,J367,0)</f>
        <v>4.7970000000000006</v>
      </c>
      <c r="O367" s="6"/>
      <c r="P367" s="6"/>
      <c r="Q367" s="6">
        <f t="shared" si="80"/>
        <v>0</v>
      </c>
      <c r="R367" s="6">
        <f t="shared" si="80"/>
        <v>0</v>
      </c>
      <c r="S367" s="6">
        <f t="shared" si="80"/>
        <v>0</v>
      </c>
      <c r="T367" s="6">
        <f t="shared" si="80"/>
        <v>0</v>
      </c>
      <c r="U367" s="6">
        <f t="shared" si="80"/>
        <v>0</v>
      </c>
      <c r="V367" s="6">
        <f t="shared" si="80"/>
        <v>0</v>
      </c>
      <c r="W367" s="6">
        <f t="shared" si="80"/>
        <v>0</v>
      </c>
      <c r="X367" s="6">
        <f t="shared" si="84"/>
        <v>0</v>
      </c>
      <c r="Y367" s="7">
        <f>SUM(X368:X373)/I367</f>
        <v>162.80100716221446</v>
      </c>
      <c r="Z367" s="6"/>
      <c r="AA367" s="6"/>
      <c r="AB367" s="6"/>
      <c r="AC367" s="6"/>
      <c r="AD367" s="6"/>
      <c r="AE367" s="6"/>
      <c r="AF367" s="6"/>
    </row>
    <row r="368" spans="1:32" s="5" customFormat="1" ht="20.100000000000001" customHeight="1" x14ac:dyDescent="0.25">
      <c r="A368" s="7"/>
      <c r="B368" s="6" t="s">
        <v>140</v>
      </c>
      <c r="C368" s="9" t="s">
        <v>2</v>
      </c>
      <c r="D368" s="6">
        <v>16</v>
      </c>
      <c r="E368" s="6"/>
      <c r="F368" s="6">
        <v>4</v>
      </c>
      <c r="G368" s="8">
        <f>VLOOKUP(D368,$C$20:$F$26,3,0)</f>
        <v>0.8</v>
      </c>
      <c r="H368" s="8"/>
      <c r="I368" s="6"/>
      <c r="J368" s="6"/>
      <c r="K368" s="6"/>
      <c r="L368" s="6"/>
      <c r="M368" s="6"/>
      <c r="N368" s="6"/>
      <c r="O368" s="6">
        <f>(E367+2*(G368+(2*D368/1000)))*D367</f>
        <v>4.8620000000000001</v>
      </c>
      <c r="P368" s="6">
        <f>O368*F368</f>
        <v>19.448</v>
      </c>
      <c r="Q368" s="6">
        <f t="shared" si="80"/>
        <v>0</v>
      </c>
      <c r="R368" s="6">
        <f t="shared" si="80"/>
        <v>0</v>
      </c>
      <c r="S368" s="6">
        <f t="shared" si="80"/>
        <v>0</v>
      </c>
      <c r="T368" s="6">
        <f t="shared" si="80"/>
        <v>30.707836342857146</v>
      </c>
      <c r="U368" s="6">
        <f t="shared" si="80"/>
        <v>0</v>
      </c>
      <c r="V368" s="6">
        <f t="shared" si="80"/>
        <v>0</v>
      </c>
      <c r="W368" s="6">
        <f t="shared" si="80"/>
        <v>0</v>
      </c>
      <c r="X368" s="6">
        <f t="shared" si="84"/>
        <v>30.707836342857146</v>
      </c>
      <c r="Y368" s="6"/>
      <c r="Z368" s="6"/>
      <c r="AA368" s="6"/>
      <c r="AB368" s="6"/>
      <c r="AC368" s="6"/>
      <c r="AD368" s="6"/>
      <c r="AE368" s="6"/>
    </row>
    <row r="369" spans="1:32" s="5" customFormat="1" ht="20.100000000000001" customHeight="1" x14ac:dyDescent="0.25">
      <c r="A369" s="7"/>
      <c r="B369" s="6" t="s">
        <v>140</v>
      </c>
      <c r="C369" s="9" t="s">
        <v>1</v>
      </c>
      <c r="D369" s="6">
        <v>20</v>
      </c>
      <c r="E369" s="6"/>
      <c r="F369" s="6">
        <v>4</v>
      </c>
      <c r="G369" s="8">
        <f>VLOOKUP(D369,$C$20:$F$26,3,0)</f>
        <v>1</v>
      </c>
      <c r="H369" s="6"/>
      <c r="I369" s="6"/>
      <c r="J369" s="6"/>
      <c r="K369" s="6"/>
      <c r="L369" s="6"/>
      <c r="M369" s="6"/>
      <c r="N369" s="6"/>
      <c r="O369" s="6">
        <f>(E367+2*(G369+(2*D369/1000)))*D367</f>
        <v>5.2780000000000005</v>
      </c>
      <c r="P369" s="6">
        <f>O369*F369</f>
        <v>21.112000000000002</v>
      </c>
      <c r="Q369" s="6">
        <f t="shared" si="80"/>
        <v>0</v>
      </c>
      <c r="R369" s="6">
        <f t="shared" si="80"/>
        <v>0</v>
      </c>
      <c r="S369" s="6">
        <f t="shared" si="80"/>
        <v>0</v>
      </c>
      <c r="T369" s="6">
        <f t="shared" si="80"/>
        <v>0</v>
      </c>
      <c r="U369" s="6">
        <f t="shared" si="80"/>
        <v>52.086320000000001</v>
      </c>
      <c r="V369" s="6">
        <f t="shared" si="80"/>
        <v>0</v>
      </c>
      <c r="W369" s="6">
        <f t="shared" si="80"/>
        <v>0</v>
      </c>
      <c r="X369" s="6">
        <f t="shared" si="84"/>
        <v>52.086320000000001</v>
      </c>
      <c r="Y369" s="6"/>
      <c r="Z369" s="6"/>
      <c r="AA369" s="6"/>
      <c r="AB369" s="6"/>
      <c r="AC369" s="6"/>
      <c r="AD369" s="6"/>
      <c r="AE369" s="6"/>
    </row>
    <row r="370" spans="1:32" s="5" customFormat="1" ht="20.100000000000001" customHeight="1" x14ac:dyDescent="0.25">
      <c r="A370" s="7"/>
      <c r="B370" s="6" t="s">
        <v>140</v>
      </c>
      <c r="C370" s="9" t="s">
        <v>1</v>
      </c>
      <c r="D370" s="6">
        <v>20</v>
      </c>
      <c r="E370" s="6"/>
      <c r="F370" s="6">
        <v>2</v>
      </c>
      <c r="G370" s="8">
        <f>VLOOKUP(D370,$C$20:$F$26,3,0)</f>
        <v>1</v>
      </c>
      <c r="H370" s="6"/>
      <c r="I370" s="6"/>
      <c r="J370" s="6"/>
      <c r="K370" s="6"/>
      <c r="L370" s="6"/>
      <c r="M370" s="6"/>
      <c r="N370" s="6"/>
      <c r="O370" s="6">
        <f>+E367</f>
        <v>3.198</v>
      </c>
      <c r="P370" s="6">
        <f>O370*F370</f>
        <v>6.3959999999999999</v>
      </c>
      <c r="Q370" s="6">
        <f t="shared" si="80"/>
        <v>0</v>
      </c>
      <c r="R370" s="6">
        <f t="shared" si="80"/>
        <v>0</v>
      </c>
      <c r="S370" s="6">
        <f t="shared" si="80"/>
        <v>0</v>
      </c>
      <c r="T370" s="6">
        <f t="shared" si="80"/>
        <v>0</v>
      </c>
      <c r="U370" s="6">
        <f t="shared" si="80"/>
        <v>15.779845714285713</v>
      </c>
      <c r="V370" s="6">
        <f t="shared" si="80"/>
        <v>0</v>
      </c>
      <c r="W370" s="6">
        <f t="shared" si="80"/>
        <v>0</v>
      </c>
      <c r="X370" s="6">
        <f t="shared" si="84"/>
        <v>15.779845714285713</v>
      </c>
      <c r="Y370" s="6"/>
      <c r="Z370" s="6"/>
      <c r="AA370" s="6"/>
      <c r="AB370" s="6"/>
      <c r="AC370" s="6"/>
      <c r="AD370" s="6"/>
      <c r="AE370" s="6"/>
    </row>
    <row r="371" spans="1:32" s="5" customFormat="1" ht="20.100000000000001" customHeight="1" x14ac:dyDescent="0.25">
      <c r="A371" s="7"/>
      <c r="B371" s="6" t="s">
        <v>140</v>
      </c>
      <c r="C371" s="9" t="s">
        <v>0</v>
      </c>
      <c r="D371" s="6">
        <v>8</v>
      </c>
      <c r="E371" s="6">
        <v>0.1</v>
      </c>
      <c r="F371" s="6">
        <f>+ROUND(E367/E371,0)+1</f>
        <v>33</v>
      </c>
      <c r="H371" s="6"/>
      <c r="I371" s="6"/>
      <c r="J371" s="6"/>
      <c r="K371" s="6"/>
      <c r="L371" s="6"/>
      <c r="M371" s="6"/>
      <c r="N371" s="6"/>
      <c r="O371" s="6">
        <f>(2*((G367-(2*$D$11))+(F367-(2*$D$11)))+(2*10*D371/1000))*D367</f>
        <v>2.2200000000000002</v>
      </c>
      <c r="P371" s="6">
        <f>O371*F371</f>
        <v>73.260000000000005</v>
      </c>
      <c r="Q371" s="6">
        <f t="shared" si="80"/>
        <v>28.918861714285718</v>
      </c>
      <c r="R371" s="6">
        <f t="shared" si="80"/>
        <v>0</v>
      </c>
      <c r="S371" s="6">
        <f t="shared" si="80"/>
        <v>0</v>
      </c>
      <c r="T371" s="6">
        <f t="shared" si="80"/>
        <v>0</v>
      </c>
      <c r="U371" s="6">
        <f t="shared" si="80"/>
        <v>0</v>
      </c>
      <c r="V371" s="6">
        <f t="shared" si="80"/>
        <v>0</v>
      </c>
      <c r="W371" s="6">
        <f t="shared" si="80"/>
        <v>0</v>
      </c>
      <c r="X371" s="6">
        <f t="shared" si="84"/>
        <v>28.918861714285718</v>
      </c>
      <c r="Y371" s="6"/>
      <c r="Z371" s="6"/>
      <c r="AA371" s="6"/>
      <c r="AB371" s="6"/>
      <c r="AC371" s="6"/>
      <c r="AD371" s="6"/>
      <c r="AE371" s="6"/>
    </row>
    <row r="372" spans="1:32" s="12" customFormat="1" ht="20.100000000000001" customHeight="1" x14ac:dyDescent="0.25">
      <c r="B372" s="6" t="s">
        <v>140</v>
      </c>
      <c r="C372" s="9" t="s">
        <v>25</v>
      </c>
      <c r="D372" s="6">
        <f>+D371</f>
        <v>8</v>
      </c>
      <c r="E372" s="6">
        <f>+E371</f>
        <v>0.1</v>
      </c>
      <c r="F372" s="12">
        <f>+F371</f>
        <v>33</v>
      </c>
      <c r="G372" s="5"/>
      <c r="O372" s="3">
        <f>((((G367-(2*$D$11))+(2*10*D372/1000))*D367))*2</f>
        <v>1.7</v>
      </c>
      <c r="P372" s="6">
        <f>O372*F372</f>
        <v>56.1</v>
      </c>
      <c r="Q372" s="6">
        <f t="shared" si="80"/>
        <v>22.145074285714287</v>
      </c>
      <c r="R372" s="6">
        <f t="shared" si="80"/>
        <v>0</v>
      </c>
      <c r="S372" s="6">
        <f t="shared" si="80"/>
        <v>0</v>
      </c>
      <c r="T372" s="6">
        <f t="shared" si="80"/>
        <v>0</v>
      </c>
      <c r="U372" s="6">
        <f t="shared" si="80"/>
        <v>0</v>
      </c>
      <c r="V372" s="6">
        <f t="shared" si="80"/>
        <v>0</v>
      </c>
      <c r="W372" s="6">
        <f t="shared" si="80"/>
        <v>0</v>
      </c>
      <c r="X372" s="6">
        <f t="shared" si="84"/>
        <v>22.145074285714287</v>
      </c>
    </row>
    <row r="373" spans="1:32" s="5" customFormat="1" ht="20.100000000000001" customHeight="1" x14ac:dyDescent="0.25">
      <c r="A373" s="7"/>
      <c r="B373" s="6" t="s">
        <v>140</v>
      </c>
      <c r="C373" s="9" t="s">
        <v>17</v>
      </c>
      <c r="D373" s="6">
        <f>+$D$15</f>
        <v>25</v>
      </c>
      <c r="E373" s="6">
        <f>+$E$15</f>
        <v>1</v>
      </c>
      <c r="F373" s="6">
        <f>ROUNDUP((E367)/E373,0)+1</f>
        <v>5</v>
      </c>
      <c r="G373" s="8"/>
      <c r="H373" s="8"/>
      <c r="I373" s="6"/>
      <c r="J373" s="6"/>
      <c r="K373" s="6"/>
      <c r="L373" s="6"/>
      <c r="M373" s="6"/>
      <c r="N373" s="6"/>
      <c r="O373" s="6">
        <f>+F367-(2*$D$11)</f>
        <v>0.34</v>
      </c>
      <c r="P373" s="6">
        <f t="shared" ref="P373" si="86">O373*F373</f>
        <v>1.7000000000000002</v>
      </c>
      <c r="Q373" s="6">
        <f t="shared" si="80"/>
        <v>0</v>
      </c>
      <c r="R373" s="6">
        <f t="shared" si="80"/>
        <v>0</v>
      </c>
      <c r="S373" s="6">
        <f t="shared" si="80"/>
        <v>0</v>
      </c>
      <c r="T373" s="6">
        <f t="shared" si="80"/>
        <v>0</v>
      </c>
      <c r="U373" s="6">
        <f t="shared" si="80"/>
        <v>0</v>
      </c>
      <c r="V373" s="6">
        <f t="shared" si="80"/>
        <v>6.553348214285716</v>
      </c>
      <c r="W373" s="6">
        <f t="shared" si="80"/>
        <v>0</v>
      </c>
      <c r="X373" s="6">
        <f t="shared" si="84"/>
        <v>6.553348214285716</v>
      </c>
      <c r="Y373" s="6"/>
      <c r="Z373" s="6"/>
      <c r="AA373" s="6"/>
      <c r="AB373" s="6"/>
      <c r="AC373" s="6"/>
      <c r="AD373" s="6"/>
      <c r="AE373" s="6"/>
    </row>
    <row r="374" spans="1:32" s="5" customFormat="1" ht="20.100000000000001" customHeight="1" x14ac:dyDescent="0.25">
      <c r="A374" s="6">
        <f>A367+1</f>
        <v>49</v>
      </c>
      <c r="B374" s="6" t="s">
        <v>140</v>
      </c>
      <c r="C374" s="11" t="s">
        <v>44</v>
      </c>
      <c r="D374" s="11">
        <v>1</v>
      </c>
      <c r="E374" s="11">
        <v>1.748</v>
      </c>
      <c r="F374" s="11">
        <v>0.2</v>
      </c>
      <c r="G374" s="11">
        <v>0.75</v>
      </c>
      <c r="H374" s="6">
        <f>G374-0.2</f>
        <v>0.55000000000000004</v>
      </c>
      <c r="I374" s="6">
        <f>E374*F374*G374*D374</f>
        <v>0.26219999999999999</v>
      </c>
      <c r="J374" s="6">
        <f>(2*(E374)*H374*D374)+(E374*F374)</f>
        <v>2.2724000000000002</v>
      </c>
      <c r="K374" s="10">
        <f>IF(E374=0.3,J374,0)</f>
        <v>0</v>
      </c>
      <c r="L374" s="10">
        <f>IF(AND(E374&gt;0.3,E374&lt;=0.75),J374,0)</f>
        <v>0</v>
      </c>
      <c r="M374" s="10">
        <f>IF(AND(E374&gt;0.75,E374&lt;=1.2),J374,0)</f>
        <v>0</v>
      </c>
      <c r="N374" s="10">
        <f>IF(E374&gt;1.2,J374,0)</f>
        <v>2.2724000000000002</v>
      </c>
      <c r="O374" s="6"/>
      <c r="P374" s="6"/>
      <c r="Q374" s="6">
        <f t="shared" si="80"/>
        <v>0</v>
      </c>
      <c r="R374" s="6">
        <f t="shared" si="80"/>
        <v>0</v>
      </c>
      <c r="S374" s="6">
        <f t="shared" si="80"/>
        <v>0</v>
      </c>
      <c r="T374" s="6">
        <f t="shared" si="80"/>
        <v>0</v>
      </c>
      <c r="U374" s="6">
        <f t="shared" si="80"/>
        <v>0</v>
      </c>
      <c r="V374" s="6">
        <f t="shared" si="80"/>
        <v>0</v>
      </c>
      <c r="W374" s="6">
        <f t="shared" si="80"/>
        <v>0</v>
      </c>
      <c r="X374" s="6">
        <f t="shared" si="84"/>
        <v>0</v>
      </c>
      <c r="Y374" s="7">
        <f>SUM(X375:X377)/I374</f>
        <v>140.53267255094258</v>
      </c>
      <c r="Z374" s="6"/>
      <c r="AA374" s="6"/>
      <c r="AB374" s="6"/>
      <c r="AC374" s="6"/>
      <c r="AD374" s="6"/>
      <c r="AE374" s="6"/>
      <c r="AF374" s="6"/>
    </row>
    <row r="375" spans="1:32" s="5" customFormat="1" ht="20.100000000000001" customHeight="1" x14ac:dyDescent="0.25">
      <c r="A375" s="7"/>
      <c r="B375" s="6" t="s">
        <v>140</v>
      </c>
      <c r="C375" s="9" t="s">
        <v>2</v>
      </c>
      <c r="D375" s="6">
        <v>16</v>
      </c>
      <c r="E375" s="6"/>
      <c r="F375" s="6">
        <v>2</v>
      </c>
      <c r="G375" s="8">
        <f>VLOOKUP(D375,$C$20:$F$26,3,0)</f>
        <v>0.8</v>
      </c>
      <c r="H375" s="8"/>
      <c r="I375" s="6"/>
      <c r="J375" s="6"/>
      <c r="K375" s="6"/>
      <c r="L375" s="6"/>
      <c r="M375" s="6"/>
      <c r="N375" s="6"/>
      <c r="O375" s="6">
        <f>(E374+2*(G375+(2*D375/1000)))*D374</f>
        <v>3.4119999999999999</v>
      </c>
      <c r="P375" s="6">
        <f>O375*F375</f>
        <v>6.8239999999999998</v>
      </c>
      <c r="Q375" s="6">
        <f t="shared" si="80"/>
        <v>0</v>
      </c>
      <c r="R375" s="6">
        <f t="shared" si="80"/>
        <v>0</v>
      </c>
      <c r="S375" s="6">
        <f t="shared" si="80"/>
        <v>0</v>
      </c>
      <c r="T375" s="6">
        <f t="shared" si="80"/>
        <v>10.77490102857143</v>
      </c>
      <c r="U375" s="6">
        <f t="shared" si="80"/>
        <v>0</v>
      </c>
      <c r="V375" s="6">
        <f t="shared" si="80"/>
        <v>0</v>
      </c>
      <c r="W375" s="6">
        <f t="shared" si="80"/>
        <v>0</v>
      </c>
      <c r="X375" s="6">
        <f t="shared" si="84"/>
        <v>10.77490102857143</v>
      </c>
      <c r="Y375" s="6"/>
      <c r="Z375" s="6"/>
      <c r="AA375" s="6"/>
      <c r="AB375" s="6"/>
      <c r="AC375" s="6"/>
      <c r="AD375" s="6"/>
      <c r="AE375" s="6"/>
    </row>
    <row r="376" spans="1:32" s="5" customFormat="1" ht="20.100000000000001" customHeight="1" x14ac:dyDescent="0.25">
      <c r="A376" s="7"/>
      <c r="B376" s="6" t="s">
        <v>140</v>
      </c>
      <c r="C376" s="9" t="s">
        <v>1</v>
      </c>
      <c r="D376" s="6">
        <v>20</v>
      </c>
      <c r="E376" s="6"/>
      <c r="F376" s="6">
        <v>2</v>
      </c>
      <c r="G376" s="8">
        <f>VLOOKUP(D376,$C$20:$F$26,3,0)</f>
        <v>1</v>
      </c>
      <c r="H376" s="6"/>
      <c r="I376" s="6"/>
      <c r="J376" s="6"/>
      <c r="K376" s="6"/>
      <c r="L376" s="6"/>
      <c r="M376" s="6"/>
      <c r="N376" s="6"/>
      <c r="O376" s="6">
        <f>(E374+2*(G376+(2*D376/1000)))*D374</f>
        <v>3.8280000000000003</v>
      </c>
      <c r="P376" s="6">
        <f>O376*F376</f>
        <v>7.6560000000000006</v>
      </c>
      <c r="Q376" s="6">
        <f t="shared" si="80"/>
        <v>0</v>
      </c>
      <c r="R376" s="6">
        <f t="shared" si="80"/>
        <v>0</v>
      </c>
      <c r="S376" s="6">
        <f t="shared" si="80"/>
        <v>0</v>
      </c>
      <c r="T376" s="6">
        <f t="shared" si="80"/>
        <v>0</v>
      </c>
      <c r="U376" s="6">
        <f t="shared" si="80"/>
        <v>18.888445714285716</v>
      </c>
      <c r="V376" s="6">
        <f t="shared" si="80"/>
        <v>0</v>
      </c>
      <c r="W376" s="6">
        <f t="shared" si="80"/>
        <v>0</v>
      </c>
      <c r="X376" s="6">
        <f t="shared" si="84"/>
        <v>18.888445714285716</v>
      </c>
      <c r="Y376" s="6"/>
      <c r="Z376" s="6"/>
      <c r="AA376" s="6"/>
      <c r="AB376" s="6"/>
      <c r="AC376" s="6"/>
      <c r="AD376" s="6"/>
      <c r="AE376" s="6"/>
    </row>
    <row r="377" spans="1:32" s="5" customFormat="1" ht="20.100000000000001" customHeight="1" x14ac:dyDescent="0.25">
      <c r="A377" s="7"/>
      <c r="B377" s="6" t="s">
        <v>140</v>
      </c>
      <c r="C377" s="9" t="s">
        <v>0</v>
      </c>
      <c r="D377" s="6">
        <v>8</v>
      </c>
      <c r="E377" s="6">
        <v>0.2</v>
      </c>
      <c r="F377" s="6">
        <f>+ROUND(E374/E377,0)+1</f>
        <v>10</v>
      </c>
      <c r="H377" s="6"/>
      <c r="I377" s="6"/>
      <c r="J377" s="6"/>
      <c r="K377" s="6"/>
      <c r="L377" s="6"/>
      <c r="M377" s="6"/>
      <c r="N377" s="6"/>
      <c r="O377" s="6">
        <f>(2*((G374-(2*$D$11))+(F374-(2*$D$11)))+(2*10*D377/1000))*D374</f>
        <v>1.8199999999999998</v>
      </c>
      <c r="P377" s="6">
        <f>O377*F377</f>
        <v>18.2</v>
      </c>
      <c r="Q377" s="6">
        <f t="shared" si="80"/>
        <v>7.1843200000000005</v>
      </c>
      <c r="R377" s="6">
        <f t="shared" si="80"/>
        <v>0</v>
      </c>
      <c r="S377" s="6">
        <f t="shared" si="80"/>
        <v>0</v>
      </c>
      <c r="T377" s="6">
        <f t="shared" si="80"/>
        <v>0</v>
      </c>
      <c r="U377" s="6">
        <f t="shared" si="80"/>
        <v>0</v>
      </c>
      <c r="V377" s="6">
        <f t="shared" si="80"/>
        <v>0</v>
      </c>
      <c r="W377" s="6">
        <f t="shared" si="80"/>
        <v>0</v>
      </c>
      <c r="X377" s="6">
        <f t="shared" si="84"/>
        <v>7.1843200000000005</v>
      </c>
      <c r="Y377" s="6"/>
      <c r="Z377" s="6"/>
      <c r="AA377" s="6"/>
      <c r="AB377" s="6"/>
      <c r="AC377" s="6"/>
      <c r="AD377" s="6"/>
      <c r="AE377" s="6"/>
    </row>
    <row r="378" spans="1:32" s="5" customFormat="1" ht="20.100000000000001" customHeight="1" x14ac:dyDescent="0.25">
      <c r="A378" s="6">
        <f>A374+1</f>
        <v>50</v>
      </c>
      <c r="B378" s="6" t="s">
        <v>140</v>
      </c>
      <c r="C378" s="11" t="s">
        <v>43</v>
      </c>
      <c r="D378" s="11">
        <v>1</v>
      </c>
      <c r="E378" s="11">
        <v>2.6160000000000001</v>
      </c>
      <c r="F378" s="11">
        <v>0.4</v>
      </c>
      <c r="G378" s="11">
        <v>0.75</v>
      </c>
      <c r="H378" s="6">
        <f>G378-0.2</f>
        <v>0.55000000000000004</v>
      </c>
      <c r="I378" s="6">
        <f>E378*F378*G378*D378</f>
        <v>0.78479999999999994</v>
      </c>
      <c r="J378" s="6">
        <f>(2*(E378)*H378*D378)+(E378*F378)</f>
        <v>3.9240000000000004</v>
      </c>
      <c r="K378" s="10">
        <f>IF(E378=0.3,J378,0)</f>
        <v>0</v>
      </c>
      <c r="L378" s="10">
        <f>IF(AND(E378&gt;0.3,E378&lt;=0.75),J378,0)</f>
        <v>0</v>
      </c>
      <c r="M378" s="10">
        <f>IF(AND(E378&gt;0.75,E378&lt;=1.2),J378,0)</f>
        <v>0</v>
      </c>
      <c r="N378" s="10">
        <f>IF(E378&gt;1.2,J378,0)</f>
        <v>3.9240000000000004</v>
      </c>
      <c r="O378" s="6"/>
      <c r="P378" s="6"/>
      <c r="Q378" s="6">
        <f t="shared" si="80"/>
        <v>0</v>
      </c>
      <c r="R378" s="6">
        <f t="shared" si="80"/>
        <v>0</v>
      </c>
      <c r="S378" s="6">
        <f t="shared" si="80"/>
        <v>0</v>
      </c>
      <c r="T378" s="6">
        <f t="shared" si="80"/>
        <v>0</v>
      </c>
      <c r="U378" s="6">
        <f t="shared" si="80"/>
        <v>0</v>
      </c>
      <c r="V378" s="6">
        <f t="shared" si="80"/>
        <v>0</v>
      </c>
      <c r="W378" s="6">
        <f t="shared" si="80"/>
        <v>0</v>
      </c>
      <c r="X378" s="6">
        <f t="shared" si="84"/>
        <v>0</v>
      </c>
      <c r="Y378" s="7">
        <f>SUM(X379:X384)/I378</f>
        <v>133.77029017402072</v>
      </c>
      <c r="Z378" s="6"/>
      <c r="AA378" s="6"/>
      <c r="AB378" s="6"/>
      <c r="AC378" s="6"/>
      <c r="AD378" s="6"/>
      <c r="AE378" s="6"/>
      <c r="AF378" s="6"/>
    </row>
    <row r="379" spans="1:32" s="5" customFormat="1" ht="20.100000000000001" customHeight="1" x14ac:dyDescent="0.25">
      <c r="A379" s="7"/>
      <c r="B379" s="6" t="s">
        <v>140</v>
      </c>
      <c r="C379" s="9" t="s">
        <v>2</v>
      </c>
      <c r="D379" s="6">
        <v>16</v>
      </c>
      <c r="E379" s="6"/>
      <c r="F379" s="6">
        <v>4</v>
      </c>
      <c r="G379" s="8">
        <f>VLOOKUP(D379,$C$20:$F$26,3,0)</f>
        <v>0.8</v>
      </c>
      <c r="H379" s="8"/>
      <c r="I379" s="6"/>
      <c r="J379" s="6"/>
      <c r="K379" s="6"/>
      <c r="L379" s="6"/>
      <c r="M379" s="6"/>
      <c r="N379" s="6"/>
      <c r="O379" s="6">
        <f>(E378+1*(G379+(2*D379/1000)))*D378</f>
        <v>3.4480000000000004</v>
      </c>
      <c r="P379" s="6">
        <f>O379*F379</f>
        <v>13.792000000000002</v>
      </c>
      <c r="Q379" s="6">
        <f t="shared" si="80"/>
        <v>0</v>
      </c>
      <c r="R379" s="6">
        <f t="shared" si="80"/>
        <v>0</v>
      </c>
      <c r="S379" s="6">
        <f t="shared" si="80"/>
        <v>0</v>
      </c>
      <c r="T379" s="6">
        <f t="shared" si="80"/>
        <v>21.777173942857146</v>
      </c>
      <c r="U379" s="6">
        <f t="shared" si="80"/>
        <v>0</v>
      </c>
      <c r="V379" s="6">
        <f t="shared" si="80"/>
        <v>0</v>
      </c>
      <c r="W379" s="6">
        <f t="shared" si="80"/>
        <v>0</v>
      </c>
      <c r="X379" s="6">
        <f t="shared" si="84"/>
        <v>21.777173942857146</v>
      </c>
      <c r="Y379" s="6"/>
      <c r="Z379" s="6"/>
      <c r="AA379" s="6"/>
      <c r="AB379" s="6"/>
      <c r="AC379" s="6"/>
      <c r="AD379" s="6"/>
      <c r="AE379" s="6"/>
    </row>
    <row r="380" spans="1:32" s="5" customFormat="1" ht="20.100000000000001" customHeight="1" x14ac:dyDescent="0.25">
      <c r="A380" s="7"/>
      <c r="B380" s="6" t="s">
        <v>140</v>
      </c>
      <c r="C380" s="9" t="s">
        <v>26</v>
      </c>
      <c r="D380" s="6">
        <v>16</v>
      </c>
      <c r="E380" s="6"/>
      <c r="F380" s="6">
        <v>4</v>
      </c>
      <c r="G380" s="8">
        <f>VLOOKUP(D380,$C$20:$F$26,3,0)</f>
        <v>0.8</v>
      </c>
      <c r="H380" s="8"/>
      <c r="I380" s="6"/>
      <c r="J380" s="6"/>
      <c r="K380" s="6"/>
      <c r="L380" s="6"/>
      <c r="M380" s="6"/>
      <c r="N380" s="6"/>
      <c r="O380" s="6">
        <f>(0.85+1*(G380+(2*D380/1000)))*D378</f>
        <v>1.6819999999999999</v>
      </c>
      <c r="P380" s="6">
        <f>O380*F380</f>
        <v>6.7279999999999998</v>
      </c>
      <c r="Q380" s="6">
        <f t="shared" si="80"/>
        <v>0</v>
      </c>
      <c r="R380" s="6">
        <f t="shared" si="80"/>
        <v>0</v>
      </c>
      <c r="S380" s="6">
        <f t="shared" si="80"/>
        <v>0</v>
      </c>
      <c r="T380" s="6">
        <f t="shared" si="80"/>
        <v>10.623319771428571</v>
      </c>
      <c r="U380" s="6">
        <f t="shared" si="80"/>
        <v>0</v>
      </c>
      <c r="V380" s="6">
        <f t="shared" si="80"/>
        <v>0</v>
      </c>
      <c r="W380" s="6">
        <f t="shared" si="80"/>
        <v>0</v>
      </c>
      <c r="X380" s="6">
        <f t="shared" si="84"/>
        <v>10.623319771428571</v>
      </c>
      <c r="Y380" s="6"/>
      <c r="Z380" s="6"/>
      <c r="AA380" s="6"/>
      <c r="AB380" s="6"/>
      <c r="AC380" s="6"/>
      <c r="AD380" s="6"/>
      <c r="AE380" s="6"/>
    </row>
    <row r="381" spans="1:32" s="5" customFormat="1" ht="20.100000000000001" customHeight="1" x14ac:dyDescent="0.25">
      <c r="A381" s="7"/>
      <c r="B381" s="6" t="s">
        <v>140</v>
      </c>
      <c r="C381" s="9" t="s">
        <v>26</v>
      </c>
      <c r="D381" s="6">
        <v>12</v>
      </c>
      <c r="E381" s="6"/>
      <c r="F381" s="6">
        <v>4</v>
      </c>
      <c r="G381" s="8">
        <f>VLOOKUP(D381,$C$20:$F$26,3,0)</f>
        <v>0.6</v>
      </c>
      <c r="H381" s="8"/>
      <c r="I381" s="6"/>
      <c r="J381" s="6"/>
      <c r="K381" s="6"/>
      <c r="L381" s="6"/>
      <c r="M381" s="6"/>
      <c r="N381" s="6"/>
      <c r="O381" s="6">
        <f>0.85+0.75+1</f>
        <v>2.6</v>
      </c>
      <c r="P381" s="6">
        <f>O381*F381</f>
        <v>10.4</v>
      </c>
      <c r="Q381" s="6">
        <f t="shared" si="80"/>
        <v>0</v>
      </c>
      <c r="R381" s="6">
        <f t="shared" si="80"/>
        <v>0</v>
      </c>
      <c r="S381" s="6">
        <f t="shared" si="80"/>
        <v>9.2369828571428592</v>
      </c>
      <c r="T381" s="6">
        <f t="shared" si="80"/>
        <v>0</v>
      </c>
      <c r="U381" s="6">
        <f t="shared" si="80"/>
        <v>0</v>
      </c>
      <c r="V381" s="6">
        <f t="shared" si="80"/>
        <v>0</v>
      </c>
      <c r="W381" s="6">
        <f t="shared" si="80"/>
        <v>0</v>
      </c>
      <c r="X381" s="6">
        <f t="shared" si="84"/>
        <v>9.2369828571428592</v>
      </c>
      <c r="Y381" s="6"/>
      <c r="Z381" s="6"/>
      <c r="AA381" s="6"/>
      <c r="AB381" s="6"/>
      <c r="AC381" s="6"/>
      <c r="AD381" s="6"/>
      <c r="AE381" s="6"/>
    </row>
    <row r="382" spans="1:32" s="5" customFormat="1" ht="20.100000000000001" customHeight="1" x14ac:dyDescent="0.25">
      <c r="A382" s="7"/>
      <c r="B382" s="6" t="s">
        <v>140</v>
      </c>
      <c r="C382" s="9" t="s">
        <v>1</v>
      </c>
      <c r="D382" s="6">
        <v>16</v>
      </c>
      <c r="E382" s="6"/>
      <c r="F382" s="6">
        <v>4</v>
      </c>
      <c r="G382" s="8">
        <f>VLOOKUP(D382,$C$20:$F$26,3,0)</f>
        <v>0.8</v>
      </c>
      <c r="H382" s="6"/>
      <c r="I382" s="6"/>
      <c r="J382" s="6"/>
      <c r="K382" s="6"/>
      <c r="L382" s="6"/>
      <c r="M382" s="6"/>
      <c r="N382" s="6"/>
      <c r="O382" s="6">
        <f>(E378+1*(G382+(2*D382/1000)))*D378</f>
        <v>3.4480000000000004</v>
      </c>
      <c r="P382" s="6">
        <f>O382*F382</f>
        <v>13.792000000000002</v>
      </c>
      <c r="Q382" s="6">
        <f t="shared" si="80"/>
        <v>0</v>
      </c>
      <c r="R382" s="6">
        <f t="shared" si="80"/>
        <v>0</v>
      </c>
      <c r="S382" s="6">
        <f t="shared" si="80"/>
        <v>0</v>
      </c>
      <c r="T382" s="6">
        <f t="shared" si="80"/>
        <v>21.777173942857146</v>
      </c>
      <c r="U382" s="6">
        <f t="shared" si="80"/>
        <v>0</v>
      </c>
      <c r="V382" s="6">
        <f t="shared" si="80"/>
        <v>0</v>
      </c>
      <c r="W382" s="6">
        <f t="shared" si="80"/>
        <v>0</v>
      </c>
      <c r="X382" s="6">
        <f t="shared" si="84"/>
        <v>21.777173942857146</v>
      </c>
      <c r="Y382" s="6"/>
      <c r="Z382" s="6"/>
      <c r="AA382" s="6"/>
      <c r="AB382" s="6"/>
      <c r="AC382" s="6"/>
      <c r="AD382" s="6"/>
      <c r="AE382" s="6"/>
    </row>
    <row r="383" spans="1:32" s="5" customFormat="1" ht="20.100000000000001" customHeight="1" x14ac:dyDescent="0.25">
      <c r="A383" s="7"/>
      <c r="B383" s="6" t="s">
        <v>140</v>
      </c>
      <c r="C383" s="9" t="s">
        <v>0</v>
      </c>
      <c r="D383" s="6">
        <v>10</v>
      </c>
      <c r="E383" s="6">
        <v>0.1</v>
      </c>
      <c r="F383" s="6">
        <f>+ROUND(E378/E383,0)+1</f>
        <v>27</v>
      </c>
      <c r="H383" s="6"/>
      <c r="I383" s="6"/>
      <c r="J383" s="6"/>
      <c r="K383" s="6"/>
      <c r="L383" s="6"/>
      <c r="M383" s="6"/>
      <c r="N383" s="6"/>
      <c r="O383" s="6">
        <f>(2*((G378-(2*$D$11))+(F378-(2*$D$11)))+(2*10*D383/1000))*D378</f>
        <v>2.2600000000000002</v>
      </c>
      <c r="P383" s="6">
        <f>O383*F383</f>
        <v>61.02</v>
      </c>
      <c r="Q383" s="6">
        <f t="shared" si="80"/>
        <v>0</v>
      </c>
      <c r="R383" s="6">
        <f t="shared" si="80"/>
        <v>37.63626428571429</v>
      </c>
      <c r="S383" s="6">
        <f t="shared" si="80"/>
        <v>0</v>
      </c>
      <c r="T383" s="6">
        <f t="shared" si="80"/>
        <v>0</v>
      </c>
      <c r="U383" s="6">
        <f t="shared" si="80"/>
        <v>0</v>
      </c>
      <c r="V383" s="6">
        <f t="shared" si="80"/>
        <v>0</v>
      </c>
      <c r="W383" s="6">
        <f t="shared" si="80"/>
        <v>0</v>
      </c>
      <c r="X383" s="6">
        <f t="shared" si="84"/>
        <v>37.63626428571429</v>
      </c>
      <c r="Y383" s="6"/>
      <c r="Z383" s="6"/>
      <c r="AA383" s="6"/>
      <c r="AB383" s="6"/>
      <c r="AC383" s="6"/>
      <c r="AD383" s="6"/>
      <c r="AE383" s="6"/>
    </row>
    <row r="384" spans="1:32" s="5" customFormat="1" ht="20.100000000000001" customHeight="1" x14ac:dyDescent="0.25">
      <c r="A384" s="7"/>
      <c r="B384" s="6" t="s">
        <v>140</v>
      </c>
      <c r="C384" s="9" t="s">
        <v>17</v>
      </c>
      <c r="D384" s="6">
        <f>+$D$15</f>
        <v>25</v>
      </c>
      <c r="E384" s="6">
        <f>+$E$15</f>
        <v>1</v>
      </c>
      <c r="F384" s="6">
        <f>ROUNDUP((0.85+0.85)/E384,0)+1</f>
        <v>3</v>
      </c>
      <c r="G384" s="8"/>
      <c r="H384" s="8"/>
      <c r="I384" s="6"/>
      <c r="J384" s="6"/>
      <c r="K384" s="6"/>
      <c r="L384" s="6"/>
      <c r="M384" s="6"/>
      <c r="N384" s="6"/>
      <c r="O384" s="6">
        <f>+F378-(2*$D$11)</f>
        <v>0.34</v>
      </c>
      <c r="P384" s="6">
        <f t="shared" ref="P384" si="87">O384*F384</f>
        <v>1.02</v>
      </c>
      <c r="Q384" s="6">
        <f t="shared" si="80"/>
        <v>0</v>
      </c>
      <c r="R384" s="6">
        <f t="shared" si="80"/>
        <v>0</v>
      </c>
      <c r="S384" s="6">
        <f t="shared" si="80"/>
        <v>0</v>
      </c>
      <c r="T384" s="6">
        <f t="shared" si="80"/>
        <v>0</v>
      </c>
      <c r="U384" s="6">
        <f t="shared" si="80"/>
        <v>0</v>
      </c>
      <c r="V384" s="6">
        <f t="shared" si="80"/>
        <v>3.9320089285714293</v>
      </c>
      <c r="W384" s="6">
        <f t="shared" si="80"/>
        <v>0</v>
      </c>
      <c r="X384" s="6">
        <f t="shared" si="84"/>
        <v>3.9320089285714293</v>
      </c>
      <c r="Y384" s="6"/>
      <c r="Z384" s="6"/>
      <c r="AA384" s="6"/>
      <c r="AB384" s="6"/>
      <c r="AC384" s="6"/>
      <c r="AD384" s="6"/>
      <c r="AE384" s="6"/>
    </row>
    <row r="385" spans="1:32" s="5" customFormat="1" ht="20.100000000000001" customHeight="1" x14ac:dyDescent="0.25">
      <c r="A385" s="6">
        <f>A378+1</f>
        <v>51</v>
      </c>
      <c r="B385" s="6" t="s">
        <v>140</v>
      </c>
      <c r="C385" s="11" t="s">
        <v>42</v>
      </c>
      <c r="D385" s="11">
        <v>1</v>
      </c>
      <c r="E385" s="11">
        <v>8.6859999999999999</v>
      </c>
      <c r="F385" s="11">
        <v>0.75</v>
      </c>
      <c r="G385" s="11">
        <v>0.75</v>
      </c>
      <c r="H385" s="6">
        <f>G385-0.2</f>
        <v>0.55000000000000004</v>
      </c>
      <c r="I385" s="6">
        <f>E385*F385*G385*D385</f>
        <v>4.8858750000000004</v>
      </c>
      <c r="J385" s="6">
        <f>(2*(E385)*H385*D385)+(E385*F385)</f>
        <v>16.069099999999999</v>
      </c>
      <c r="K385" s="10">
        <f>IF(E385=0.3,J385,0)</f>
        <v>0</v>
      </c>
      <c r="L385" s="10">
        <f>IF(AND(E385&gt;0.3,E385&lt;=0.75),J385,0)</f>
        <v>0</v>
      </c>
      <c r="M385" s="10">
        <f>IF(AND(E385&gt;0.75,E385&lt;=1.2),J385,0)</f>
        <v>0</v>
      </c>
      <c r="N385" s="10">
        <f>IF(E385&gt;1.2,J385,0)</f>
        <v>16.069099999999999</v>
      </c>
      <c r="O385" s="6"/>
      <c r="P385" s="6"/>
      <c r="Q385" s="6">
        <f t="shared" si="80"/>
        <v>0</v>
      </c>
      <c r="R385" s="6">
        <f t="shared" si="80"/>
        <v>0</v>
      </c>
      <c r="S385" s="6">
        <f t="shared" si="80"/>
        <v>0</v>
      </c>
      <c r="T385" s="6">
        <f t="shared" si="80"/>
        <v>0</v>
      </c>
      <c r="U385" s="6">
        <f t="shared" si="80"/>
        <v>0</v>
      </c>
      <c r="V385" s="6">
        <f t="shared" si="80"/>
        <v>0</v>
      </c>
      <c r="W385" s="6">
        <f t="shared" si="80"/>
        <v>0</v>
      </c>
      <c r="X385" s="6">
        <f t="shared" si="84"/>
        <v>0</v>
      </c>
      <c r="Y385" s="7">
        <f>SUM(X386:X395)/I385</f>
        <v>227.27637363683212</v>
      </c>
      <c r="Z385" s="6"/>
      <c r="AA385" s="6"/>
      <c r="AB385" s="6"/>
      <c r="AC385" s="6"/>
      <c r="AD385" s="6"/>
      <c r="AE385" s="6"/>
      <c r="AF385" s="6"/>
    </row>
    <row r="386" spans="1:32" s="5" customFormat="1" ht="20.100000000000001" customHeight="1" x14ac:dyDescent="0.25">
      <c r="A386" s="7"/>
      <c r="B386" s="6" t="s">
        <v>140</v>
      </c>
      <c r="C386" s="9" t="s">
        <v>2</v>
      </c>
      <c r="D386" s="6">
        <v>16</v>
      </c>
      <c r="E386" s="6"/>
      <c r="F386" s="6">
        <v>6</v>
      </c>
      <c r="G386" s="8">
        <f>VLOOKUP(D386,$C$20:$F$26,3,0)</f>
        <v>0.8</v>
      </c>
      <c r="H386" s="8"/>
      <c r="I386" s="6"/>
      <c r="J386" s="6"/>
      <c r="K386" s="6"/>
      <c r="L386" s="6"/>
      <c r="M386" s="6"/>
      <c r="N386" s="6"/>
      <c r="O386" s="6">
        <f>((E385-2.35)+1*(G386+(50*D386/1000)))*D385</f>
        <v>7.9359999999999999</v>
      </c>
      <c r="P386" s="6">
        <f>O386*F386</f>
        <v>47.616</v>
      </c>
      <c r="Q386" s="6">
        <f t="shared" si="80"/>
        <v>0</v>
      </c>
      <c r="R386" s="6">
        <f t="shared" si="80"/>
        <v>0</v>
      </c>
      <c r="S386" s="6">
        <f t="shared" si="80"/>
        <v>0</v>
      </c>
      <c r="T386" s="6">
        <f t="shared" si="80"/>
        <v>75.184303542857151</v>
      </c>
      <c r="U386" s="6">
        <f t="shared" si="80"/>
        <v>0</v>
      </c>
      <c r="V386" s="6">
        <f t="shared" si="80"/>
        <v>0</v>
      </c>
      <c r="W386" s="6">
        <f t="shared" ref="Q386:W423" si="88">IF($D386=W$36,$P386*W$37,0)</f>
        <v>0</v>
      </c>
      <c r="X386" s="6">
        <f t="shared" si="84"/>
        <v>75.184303542857151</v>
      </c>
      <c r="Y386" s="6"/>
      <c r="Z386" s="6"/>
      <c r="AA386" s="6"/>
      <c r="AB386" s="6"/>
      <c r="AC386" s="6"/>
      <c r="AD386" s="6"/>
      <c r="AE386" s="6"/>
    </row>
    <row r="387" spans="1:32" s="5" customFormat="1" ht="20.100000000000001" customHeight="1" x14ac:dyDescent="0.25">
      <c r="A387" s="7"/>
      <c r="B387" s="6" t="s">
        <v>140</v>
      </c>
      <c r="C387" s="9" t="s">
        <v>26</v>
      </c>
      <c r="D387" s="6">
        <v>20</v>
      </c>
      <c r="E387" s="6"/>
      <c r="F387" s="6">
        <v>6</v>
      </c>
      <c r="G387" s="8">
        <f>VLOOKUP(D387,$C$20:$F$26,3,0)</f>
        <v>1</v>
      </c>
      <c r="H387" s="8"/>
      <c r="I387" s="6"/>
      <c r="J387" s="6"/>
      <c r="K387" s="6"/>
      <c r="L387" s="6"/>
      <c r="M387" s="6"/>
      <c r="N387" s="6"/>
      <c r="O387" s="6">
        <f>(2.35+1*(G387+(2*D387/1000)))*D385</f>
        <v>3.39</v>
      </c>
      <c r="P387" s="6">
        <f>O387*F387</f>
        <v>20.34</v>
      </c>
      <c r="Q387" s="6">
        <f t="shared" si="88"/>
        <v>0</v>
      </c>
      <c r="R387" s="6">
        <f t="shared" si="88"/>
        <v>0</v>
      </c>
      <c r="S387" s="6">
        <f t="shared" si="88"/>
        <v>0</v>
      </c>
      <c r="T387" s="6">
        <f t="shared" si="88"/>
        <v>0</v>
      </c>
      <c r="U387" s="6">
        <f t="shared" si="88"/>
        <v>50.181685714285713</v>
      </c>
      <c r="V387" s="6">
        <f t="shared" si="88"/>
        <v>0</v>
      </c>
      <c r="W387" s="6">
        <f t="shared" si="88"/>
        <v>0</v>
      </c>
      <c r="X387" s="6">
        <f t="shared" si="84"/>
        <v>50.181685714285713</v>
      </c>
      <c r="Y387" s="6"/>
      <c r="Z387" s="6"/>
      <c r="AA387" s="6"/>
      <c r="AB387" s="6"/>
      <c r="AC387" s="6"/>
      <c r="AD387" s="6"/>
      <c r="AE387" s="6"/>
    </row>
    <row r="388" spans="1:32" s="5" customFormat="1" ht="20.100000000000001" customHeight="1" x14ac:dyDescent="0.25">
      <c r="A388" s="7"/>
      <c r="B388" s="6" t="s">
        <v>140</v>
      </c>
      <c r="C388" s="9" t="s">
        <v>26</v>
      </c>
      <c r="D388" s="6">
        <v>25</v>
      </c>
      <c r="E388" s="6"/>
      <c r="F388" s="6">
        <v>6</v>
      </c>
      <c r="G388" s="8">
        <f>VLOOKUP(D388,$C$20:$F$26,3,0)</f>
        <v>1.25</v>
      </c>
      <c r="H388" s="8"/>
      <c r="I388" s="6"/>
      <c r="J388" s="6"/>
      <c r="K388" s="6"/>
      <c r="L388" s="6"/>
      <c r="M388" s="6"/>
      <c r="N388" s="6"/>
      <c r="O388" s="6">
        <f>(2.35+1*(G388+(2*D388/1000)))*D385</f>
        <v>3.6500000000000004</v>
      </c>
      <c r="P388" s="6">
        <f>O388*F388</f>
        <v>21.900000000000002</v>
      </c>
      <c r="Q388" s="6">
        <f t="shared" si="88"/>
        <v>0</v>
      </c>
      <c r="R388" s="6">
        <f t="shared" si="88"/>
        <v>0</v>
      </c>
      <c r="S388" s="6">
        <f t="shared" si="88"/>
        <v>0</v>
      </c>
      <c r="T388" s="6">
        <f t="shared" si="88"/>
        <v>0</v>
      </c>
      <c r="U388" s="6">
        <f t="shared" si="88"/>
        <v>0</v>
      </c>
      <c r="V388" s="6">
        <f t="shared" si="88"/>
        <v>84.422544642857162</v>
      </c>
      <c r="W388" s="6">
        <f t="shared" si="88"/>
        <v>0</v>
      </c>
      <c r="X388" s="6">
        <f t="shared" si="84"/>
        <v>84.422544642857162</v>
      </c>
      <c r="Y388" s="6"/>
      <c r="Z388" s="6"/>
      <c r="AA388" s="6"/>
      <c r="AB388" s="6"/>
      <c r="AC388" s="6"/>
      <c r="AD388" s="6"/>
      <c r="AE388" s="6"/>
    </row>
    <row r="389" spans="1:32" s="5" customFormat="1" ht="20.100000000000001" customHeight="1" x14ac:dyDescent="0.25">
      <c r="A389" s="7"/>
      <c r="B389" s="6" t="s">
        <v>140</v>
      </c>
      <c r="C389" s="9" t="s">
        <v>1</v>
      </c>
      <c r="D389" s="6">
        <v>25</v>
      </c>
      <c r="E389" s="6"/>
      <c r="F389" s="6">
        <v>6</v>
      </c>
      <c r="G389" s="8">
        <f>VLOOKUP(D389,$C$20:$F$26,3,0)</f>
        <v>1.25</v>
      </c>
      <c r="H389" s="6"/>
      <c r="I389" s="6"/>
      <c r="J389" s="6"/>
      <c r="K389" s="6"/>
      <c r="L389" s="6"/>
      <c r="M389" s="6"/>
      <c r="N389" s="6"/>
      <c r="O389" s="6">
        <f>(E385+1.3+1*(G389+(2*D389/1000)))*D385</f>
        <v>11.286000000000001</v>
      </c>
      <c r="P389" s="6">
        <f>O389*F389</f>
        <v>67.716000000000008</v>
      </c>
      <c r="Q389" s="6">
        <f t="shared" si="88"/>
        <v>0</v>
      </c>
      <c r="R389" s="6">
        <f t="shared" si="88"/>
        <v>0</v>
      </c>
      <c r="S389" s="6">
        <f t="shared" si="88"/>
        <v>0</v>
      </c>
      <c r="T389" s="6">
        <f t="shared" si="88"/>
        <v>0</v>
      </c>
      <c r="U389" s="6">
        <f t="shared" si="88"/>
        <v>0</v>
      </c>
      <c r="V389" s="6">
        <f t="shared" si="88"/>
        <v>261.03913392857152</v>
      </c>
      <c r="W389" s="6">
        <f t="shared" si="88"/>
        <v>0</v>
      </c>
      <c r="X389" s="6">
        <f t="shared" si="84"/>
        <v>261.03913392857152</v>
      </c>
      <c r="Y389" s="6"/>
      <c r="Z389" s="6"/>
      <c r="AA389" s="6"/>
      <c r="AB389" s="6"/>
      <c r="AC389" s="6"/>
      <c r="AD389" s="6"/>
      <c r="AE389" s="6"/>
    </row>
    <row r="390" spans="1:32" s="5" customFormat="1" ht="20.100000000000001" customHeight="1" x14ac:dyDescent="0.25">
      <c r="A390" s="7"/>
      <c r="B390" s="6" t="s">
        <v>140</v>
      </c>
      <c r="C390" s="9" t="s">
        <v>1</v>
      </c>
      <c r="D390" s="6">
        <v>25</v>
      </c>
      <c r="E390" s="6"/>
      <c r="F390" s="6">
        <v>6</v>
      </c>
      <c r="G390" s="8">
        <f>VLOOKUP(D390,$C$20:$F$26,3,0)</f>
        <v>1.25</v>
      </c>
      <c r="H390" s="6"/>
      <c r="I390" s="6"/>
      <c r="J390" s="6"/>
      <c r="K390" s="6"/>
      <c r="L390" s="6"/>
      <c r="M390" s="6"/>
      <c r="N390" s="6"/>
      <c r="O390" s="6">
        <f>+E385-0.7-1.15</f>
        <v>6.8360000000000003</v>
      </c>
      <c r="P390" s="6">
        <f>O390*F390</f>
        <v>41.016000000000005</v>
      </c>
      <c r="Q390" s="6">
        <f t="shared" si="88"/>
        <v>0</v>
      </c>
      <c r="R390" s="6">
        <f t="shared" si="88"/>
        <v>0</v>
      </c>
      <c r="S390" s="6">
        <f t="shared" si="88"/>
        <v>0</v>
      </c>
      <c r="T390" s="6">
        <f t="shared" si="88"/>
        <v>0</v>
      </c>
      <c r="U390" s="6">
        <f t="shared" si="88"/>
        <v>0</v>
      </c>
      <c r="V390" s="6">
        <f t="shared" si="88"/>
        <v>158.11301785714289</v>
      </c>
      <c r="W390" s="6">
        <f t="shared" si="88"/>
        <v>0</v>
      </c>
      <c r="X390" s="6">
        <f t="shared" si="84"/>
        <v>158.11301785714289</v>
      </c>
      <c r="Y390" s="6"/>
      <c r="Z390" s="6"/>
      <c r="AA390" s="6"/>
      <c r="AB390" s="6"/>
      <c r="AC390" s="6"/>
      <c r="AD390" s="6"/>
      <c r="AE390" s="6"/>
    </row>
    <row r="391" spans="1:32" s="5" customFormat="1" ht="20.100000000000001" customHeight="1" x14ac:dyDescent="0.25">
      <c r="A391" s="7"/>
      <c r="B391" s="6" t="s">
        <v>140</v>
      </c>
      <c r="C391" s="9" t="s">
        <v>0</v>
      </c>
      <c r="D391" s="6">
        <v>12</v>
      </c>
      <c r="E391" s="6">
        <v>0.1</v>
      </c>
      <c r="F391" s="6">
        <f>ROUND(IF(E385/3&gt;(2*G385),(E385/3)/E391,(2*G385)/E391),0)*2+1</f>
        <v>59</v>
      </c>
      <c r="G391" s="8"/>
      <c r="H391" s="6"/>
      <c r="I391" s="6"/>
      <c r="J391" s="6"/>
      <c r="K391" s="6"/>
      <c r="L391" s="6"/>
      <c r="M391" s="6"/>
      <c r="N391" s="6"/>
      <c r="O391" s="6">
        <f>(2*((G385-(2*$D$11))+(F385-(2*$D$11)))+(2*10*D391/1000))*D385</f>
        <v>3</v>
      </c>
      <c r="P391" s="6">
        <f t="shared" ref="P391:P393" si="89">O391*F391</f>
        <v>177</v>
      </c>
      <c r="Q391" s="6">
        <f t="shared" si="88"/>
        <v>0</v>
      </c>
      <c r="R391" s="6">
        <f t="shared" si="88"/>
        <v>0</v>
      </c>
      <c r="S391" s="6">
        <f t="shared" si="88"/>
        <v>157.20634285714289</v>
      </c>
      <c r="T391" s="6">
        <f t="shared" si="88"/>
        <v>0</v>
      </c>
      <c r="U391" s="6">
        <f t="shared" si="88"/>
        <v>0</v>
      </c>
      <c r="V391" s="6">
        <f t="shared" si="88"/>
        <v>0</v>
      </c>
      <c r="W391" s="6">
        <f t="shared" si="88"/>
        <v>0</v>
      </c>
      <c r="X391" s="6">
        <f t="shared" si="84"/>
        <v>157.20634285714289</v>
      </c>
      <c r="Y391" s="6"/>
      <c r="Z391" s="6"/>
      <c r="AA391" s="6"/>
      <c r="AB391" s="6"/>
      <c r="AC391" s="6"/>
      <c r="AD391" s="6"/>
      <c r="AE391" s="6"/>
    </row>
    <row r="392" spans="1:32" s="12" customFormat="1" ht="20.100000000000001" customHeight="1" x14ac:dyDescent="0.25">
      <c r="B392" s="6" t="s">
        <v>140</v>
      </c>
      <c r="C392" s="9" t="s">
        <v>25</v>
      </c>
      <c r="D392" s="6">
        <f>+D391</f>
        <v>12</v>
      </c>
      <c r="E392" s="6">
        <f>+E391</f>
        <v>0.1</v>
      </c>
      <c r="F392" s="12">
        <f>+F391</f>
        <v>59</v>
      </c>
      <c r="G392" s="5"/>
      <c r="O392" s="3">
        <f>((((G385-(2*$D$11))+(2*10*D392/1000))*D385))*2*2</f>
        <v>3.7199999999999998</v>
      </c>
      <c r="P392" s="6">
        <f>O392*F392</f>
        <v>219.48</v>
      </c>
      <c r="Q392" s="6">
        <f t="shared" si="88"/>
        <v>0</v>
      </c>
      <c r="R392" s="6">
        <f t="shared" si="88"/>
        <v>0</v>
      </c>
      <c r="S392" s="6">
        <f t="shared" si="88"/>
        <v>194.93586514285715</v>
      </c>
      <c r="T392" s="6">
        <f t="shared" si="88"/>
        <v>0</v>
      </c>
      <c r="U392" s="6">
        <f t="shared" si="88"/>
        <v>0</v>
      </c>
      <c r="V392" s="6">
        <f t="shared" si="88"/>
        <v>0</v>
      </c>
      <c r="W392" s="6">
        <f t="shared" si="88"/>
        <v>0</v>
      </c>
      <c r="X392" s="6">
        <f t="shared" si="84"/>
        <v>194.93586514285715</v>
      </c>
    </row>
    <row r="393" spans="1:32" s="12" customFormat="1" ht="20.100000000000001" customHeight="1" x14ac:dyDescent="0.3">
      <c r="B393" s="6" t="s">
        <v>140</v>
      </c>
      <c r="C393" s="9" t="s">
        <v>0</v>
      </c>
      <c r="D393" s="12">
        <v>12</v>
      </c>
      <c r="E393" s="12">
        <v>0.15</v>
      </c>
      <c r="F393" s="12">
        <f>ROUND((E385-(IF(E385/3&gt;2*G385,E385/3*2,G385*2*2)))/E393,0)</f>
        <v>19</v>
      </c>
      <c r="O393" s="6">
        <f>(2*((G385-(2*$D$11))+(F385-(2*$D$11)))+(2*10*D393/1000))*D385</f>
        <v>3</v>
      </c>
      <c r="P393" s="6">
        <f t="shared" si="89"/>
        <v>57</v>
      </c>
      <c r="Q393" s="6">
        <f t="shared" si="88"/>
        <v>0</v>
      </c>
      <c r="R393" s="6">
        <f t="shared" si="88"/>
        <v>0</v>
      </c>
      <c r="S393" s="6">
        <f t="shared" si="88"/>
        <v>50.62577142857144</v>
      </c>
      <c r="T393" s="6">
        <f t="shared" si="88"/>
        <v>0</v>
      </c>
      <c r="U393" s="6">
        <f t="shared" si="88"/>
        <v>0</v>
      </c>
      <c r="V393" s="6">
        <f t="shared" si="88"/>
        <v>0</v>
      </c>
      <c r="W393" s="6">
        <f t="shared" si="88"/>
        <v>0</v>
      </c>
      <c r="X393" s="6">
        <f t="shared" si="84"/>
        <v>50.62577142857144</v>
      </c>
    </row>
    <row r="394" spans="1:32" s="12" customFormat="1" ht="20.100000000000001" customHeight="1" x14ac:dyDescent="0.25">
      <c r="B394" s="6" t="s">
        <v>140</v>
      </c>
      <c r="C394" s="9" t="s">
        <v>25</v>
      </c>
      <c r="D394" s="6">
        <f>+D393</f>
        <v>12</v>
      </c>
      <c r="E394" s="6">
        <f>+E393</f>
        <v>0.15</v>
      </c>
      <c r="F394" s="12">
        <f>+F393</f>
        <v>19</v>
      </c>
      <c r="G394" s="5"/>
      <c r="O394" s="3">
        <f>((((G385-(2*$D$11))+(2*10*D394/1000))*D385))*2*2</f>
        <v>3.7199999999999998</v>
      </c>
      <c r="P394" s="6">
        <f>O394*F394</f>
        <v>70.679999999999993</v>
      </c>
      <c r="Q394" s="6">
        <f t="shared" si="88"/>
        <v>0</v>
      </c>
      <c r="R394" s="6">
        <f t="shared" si="88"/>
        <v>0</v>
      </c>
      <c r="S394" s="6">
        <f t="shared" si="88"/>
        <v>62.775956571428573</v>
      </c>
      <c r="T394" s="6">
        <f t="shared" si="88"/>
        <v>0</v>
      </c>
      <c r="U394" s="6">
        <f t="shared" si="88"/>
        <v>0</v>
      </c>
      <c r="V394" s="6">
        <f t="shared" si="88"/>
        <v>0</v>
      </c>
      <c r="W394" s="6">
        <f t="shared" si="88"/>
        <v>0</v>
      </c>
      <c r="X394" s="6">
        <f t="shared" si="84"/>
        <v>62.775956571428573</v>
      </c>
    </row>
    <row r="395" spans="1:32" s="5" customFormat="1" ht="20.100000000000001" customHeight="1" x14ac:dyDescent="0.25">
      <c r="A395" s="7"/>
      <c r="B395" s="6" t="s">
        <v>140</v>
      </c>
      <c r="C395" s="9" t="s">
        <v>17</v>
      </c>
      <c r="D395" s="6">
        <f>+$D$15</f>
        <v>25</v>
      </c>
      <c r="E395" s="6">
        <f>+$E$15</f>
        <v>1</v>
      </c>
      <c r="F395" s="6">
        <f>ROUNDUP((2.35+2.35)/E395,0)+1</f>
        <v>6</v>
      </c>
      <c r="G395" s="8"/>
      <c r="H395" s="8"/>
      <c r="I395" s="6"/>
      <c r="J395" s="6"/>
      <c r="K395" s="6"/>
      <c r="L395" s="6"/>
      <c r="M395" s="6"/>
      <c r="N395" s="6"/>
      <c r="O395" s="6">
        <f>+F385-(2*$D$11)</f>
        <v>0.69</v>
      </c>
      <c r="P395" s="6">
        <f t="shared" ref="P395" si="90">O395*F395</f>
        <v>4.1399999999999997</v>
      </c>
      <c r="Q395" s="6">
        <f t="shared" si="88"/>
        <v>0</v>
      </c>
      <c r="R395" s="6">
        <f t="shared" si="88"/>
        <v>0</v>
      </c>
      <c r="S395" s="6">
        <f t="shared" si="88"/>
        <v>0</v>
      </c>
      <c r="T395" s="6">
        <f t="shared" si="88"/>
        <v>0</v>
      </c>
      <c r="U395" s="6">
        <f t="shared" si="88"/>
        <v>0</v>
      </c>
      <c r="V395" s="6">
        <f t="shared" si="88"/>
        <v>15.959330357142859</v>
      </c>
      <c r="W395" s="6">
        <f t="shared" si="88"/>
        <v>0</v>
      </c>
      <c r="X395" s="6">
        <f t="shared" si="84"/>
        <v>15.959330357142859</v>
      </c>
      <c r="Y395" s="6"/>
      <c r="Z395" s="6"/>
      <c r="AA395" s="6"/>
      <c r="AB395" s="6"/>
      <c r="AC395" s="6"/>
      <c r="AD395" s="6"/>
      <c r="AE395" s="6"/>
    </row>
    <row r="396" spans="1:32" s="5" customFormat="1" ht="20.100000000000001" customHeight="1" x14ac:dyDescent="0.25">
      <c r="A396" s="6">
        <f>A385+1</f>
        <v>52</v>
      </c>
      <c r="B396" s="6" t="s">
        <v>140</v>
      </c>
      <c r="C396" s="11" t="s">
        <v>135</v>
      </c>
      <c r="D396" s="11">
        <v>1</v>
      </c>
      <c r="E396" s="11">
        <v>5.05</v>
      </c>
      <c r="F396" s="11">
        <v>0.4</v>
      </c>
      <c r="G396" s="11">
        <v>2.0499999999999998</v>
      </c>
      <c r="H396" s="6">
        <f>G396-0.2</f>
        <v>1.8499999999999999</v>
      </c>
      <c r="I396" s="6">
        <f>E396*F396*G396*D396</f>
        <v>4.141</v>
      </c>
      <c r="J396" s="6">
        <f>(2*(E396)*H396*D396)+(E396*F396)</f>
        <v>20.704999999999998</v>
      </c>
      <c r="K396" s="10">
        <f>IF(E396=0.3,J396,0)</f>
        <v>0</v>
      </c>
      <c r="L396" s="10">
        <f>IF(AND(E396&gt;0.3,E396&lt;=0.75),J396,0)</f>
        <v>0</v>
      </c>
      <c r="M396" s="10">
        <f>IF(AND(E396&gt;0.75,E396&lt;=1.2),J396,0)</f>
        <v>0</v>
      </c>
      <c r="N396" s="10">
        <f>IF(E396&gt;1.2,J396,0)</f>
        <v>20.704999999999998</v>
      </c>
      <c r="O396" s="6"/>
      <c r="P396" s="6"/>
      <c r="Q396" s="6">
        <f t="shared" si="88"/>
        <v>0</v>
      </c>
      <c r="R396" s="6">
        <f t="shared" si="88"/>
        <v>0</v>
      </c>
      <c r="S396" s="6">
        <f t="shared" si="88"/>
        <v>0</v>
      </c>
      <c r="T396" s="6">
        <f t="shared" si="88"/>
        <v>0</v>
      </c>
      <c r="U396" s="6">
        <f t="shared" si="88"/>
        <v>0</v>
      </c>
      <c r="V396" s="6">
        <f t="shared" si="88"/>
        <v>0</v>
      </c>
      <c r="W396" s="6">
        <f t="shared" si="88"/>
        <v>0</v>
      </c>
      <c r="X396" s="6">
        <f t="shared" si="84"/>
        <v>0</v>
      </c>
      <c r="Y396" s="7">
        <f>SUM(X397:X408)/I396</f>
        <v>192.64700788284401</v>
      </c>
      <c r="Z396" s="6"/>
      <c r="AA396" s="6"/>
      <c r="AB396" s="6"/>
      <c r="AC396" s="6"/>
      <c r="AD396" s="6"/>
      <c r="AE396" s="6"/>
      <c r="AF396" s="6"/>
    </row>
    <row r="397" spans="1:32" s="5" customFormat="1" ht="20.100000000000001" customHeight="1" x14ac:dyDescent="0.25">
      <c r="A397" s="7"/>
      <c r="B397" s="6" t="s">
        <v>140</v>
      </c>
      <c r="C397" s="9" t="s">
        <v>2</v>
      </c>
      <c r="D397" s="6">
        <v>25</v>
      </c>
      <c r="E397" s="6"/>
      <c r="F397" s="6">
        <v>4</v>
      </c>
      <c r="G397" s="8">
        <f>VLOOKUP(D397,$C$20:$F$26,3,0)</f>
        <v>1.25</v>
      </c>
      <c r="H397" s="8"/>
      <c r="I397" s="6"/>
      <c r="J397" s="6"/>
      <c r="K397" s="6"/>
      <c r="L397" s="6"/>
      <c r="M397" s="6"/>
      <c r="N397" s="6"/>
      <c r="O397" s="6">
        <f>(E396+1*(G397+(2*D397/1000)))*D396</f>
        <v>6.35</v>
      </c>
      <c r="P397" s="6">
        <f>O397*F397</f>
        <v>25.4</v>
      </c>
      <c r="Q397" s="6">
        <f t="shared" si="88"/>
        <v>0</v>
      </c>
      <c r="R397" s="6">
        <f t="shared" si="88"/>
        <v>0</v>
      </c>
      <c r="S397" s="6">
        <f t="shared" si="88"/>
        <v>0</v>
      </c>
      <c r="T397" s="6">
        <f t="shared" si="88"/>
        <v>0</v>
      </c>
      <c r="U397" s="6">
        <f t="shared" si="88"/>
        <v>0</v>
      </c>
      <c r="V397" s="6">
        <f t="shared" si="88"/>
        <v>97.914732142857147</v>
      </c>
      <c r="W397" s="6">
        <f t="shared" si="88"/>
        <v>0</v>
      </c>
      <c r="X397" s="6">
        <f t="shared" si="84"/>
        <v>97.914732142857147</v>
      </c>
      <c r="Y397" s="6"/>
      <c r="Z397" s="6"/>
      <c r="AA397" s="6"/>
      <c r="AB397" s="6"/>
      <c r="AC397" s="6"/>
      <c r="AD397" s="6"/>
      <c r="AE397" s="6"/>
    </row>
    <row r="398" spans="1:32" s="5" customFormat="1" ht="20.100000000000001" customHeight="1" x14ac:dyDescent="0.25">
      <c r="A398" s="7"/>
      <c r="B398" s="6" t="s">
        <v>140</v>
      </c>
      <c r="C398" s="9" t="s">
        <v>26</v>
      </c>
      <c r="D398" s="6">
        <v>25</v>
      </c>
      <c r="E398" s="6"/>
      <c r="F398" s="6">
        <v>4</v>
      </c>
      <c r="G398" s="8">
        <f>VLOOKUP(D398,$C$20:$F$26,3,0)</f>
        <v>1.25</v>
      </c>
      <c r="H398" s="8"/>
      <c r="I398" s="6"/>
      <c r="J398" s="6"/>
      <c r="K398" s="6"/>
      <c r="L398" s="6"/>
      <c r="M398" s="6"/>
      <c r="N398" s="6"/>
      <c r="O398" s="6">
        <f>2.35+2.05+0.4</f>
        <v>4.8000000000000007</v>
      </c>
      <c r="P398" s="6">
        <f>O398*F398</f>
        <v>19.200000000000003</v>
      </c>
      <c r="Q398" s="6">
        <f t="shared" si="88"/>
        <v>0</v>
      </c>
      <c r="R398" s="6">
        <f t="shared" si="88"/>
        <v>0</v>
      </c>
      <c r="S398" s="6">
        <f t="shared" si="88"/>
        <v>0</v>
      </c>
      <c r="T398" s="6">
        <f t="shared" si="88"/>
        <v>0</v>
      </c>
      <c r="U398" s="6">
        <f t="shared" si="88"/>
        <v>0</v>
      </c>
      <c r="V398" s="6">
        <f t="shared" si="88"/>
        <v>74.014285714285734</v>
      </c>
      <c r="W398" s="6">
        <f t="shared" si="88"/>
        <v>0</v>
      </c>
      <c r="X398" s="6">
        <f t="shared" si="84"/>
        <v>74.014285714285734</v>
      </c>
      <c r="Y398" s="6"/>
      <c r="Z398" s="6"/>
      <c r="AA398" s="6"/>
      <c r="AB398" s="6"/>
      <c r="AC398" s="6"/>
      <c r="AD398" s="6"/>
      <c r="AE398" s="6"/>
    </row>
    <row r="399" spans="1:32" s="5" customFormat="1" ht="20.100000000000001" customHeight="1" x14ac:dyDescent="0.25">
      <c r="A399" s="7"/>
      <c r="B399" s="6" t="s">
        <v>140</v>
      </c>
      <c r="C399" s="4" t="s">
        <v>26</v>
      </c>
      <c r="D399" s="6">
        <v>12</v>
      </c>
      <c r="E399" s="6"/>
      <c r="F399" s="6">
        <v>4</v>
      </c>
      <c r="G399" s="8">
        <f>VLOOKUP(D399,$C$20:$F$26,3,0)</f>
        <v>0.6</v>
      </c>
      <c r="H399" s="8"/>
      <c r="I399" s="6"/>
      <c r="J399" s="6"/>
      <c r="K399" s="6"/>
      <c r="L399" s="6"/>
      <c r="M399" s="6"/>
      <c r="N399" s="6"/>
      <c r="O399" s="6">
        <v>3.87</v>
      </c>
      <c r="P399" s="6">
        <f>O399*F399</f>
        <v>15.48</v>
      </c>
      <c r="Q399" s="6">
        <f t="shared" si="88"/>
        <v>0</v>
      </c>
      <c r="R399" s="6">
        <f t="shared" si="88"/>
        <v>0</v>
      </c>
      <c r="S399" s="6">
        <f t="shared" si="88"/>
        <v>13.748893714285717</v>
      </c>
      <c r="T399" s="6">
        <f t="shared" si="88"/>
        <v>0</v>
      </c>
      <c r="U399" s="6">
        <f t="shared" si="88"/>
        <v>0</v>
      </c>
      <c r="V399" s="6">
        <f t="shared" si="88"/>
        <v>0</v>
      </c>
      <c r="W399" s="6">
        <f t="shared" si="88"/>
        <v>0</v>
      </c>
      <c r="X399" s="6">
        <f t="shared" si="84"/>
        <v>13.748893714285717</v>
      </c>
      <c r="Y399" s="6"/>
      <c r="Z399" s="6"/>
      <c r="AA399" s="6"/>
      <c r="AB399" s="6"/>
      <c r="AC399" s="6"/>
      <c r="AD399" s="6"/>
      <c r="AE399" s="6"/>
    </row>
    <row r="400" spans="1:32" s="5" customFormat="1" ht="20.100000000000001" customHeight="1" x14ac:dyDescent="0.25">
      <c r="A400" s="7"/>
      <c r="B400" s="6" t="s">
        <v>140</v>
      </c>
      <c r="C400" s="9" t="s">
        <v>1</v>
      </c>
      <c r="D400" s="6">
        <v>25</v>
      </c>
      <c r="E400" s="6"/>
      <c r="F400" s="6">
        <v>4</v>
      </c>
      <c r="G400" s="8">
        <f>VLOOKUP(D400,$C$20:$F$26,3,0)</f>
        <v>1.25</v>
      </c>
      <c r="H400" s="6"/>
      <c r="I400" s="6"/>
      <c r="J400" s="6"/>
      <c r="K400" s="6"/>
      <c r="L400" s="6"/>
      <c r="M400" s="6"/>
      <c r="N400" s="6"/>
      <c r="O400" s="6">
        <f>(E396+1*(G400+(2*D400/1000)))*D396</f>
        <v>6.35</v>
      </c>
      <c r="P400" s="6">
        <f>O400*F400</f>
        <v>25.4</v>
      </c>
      <c r="Q400" s="6">
        <f t="shared" si="88"/>
        <v>0</v>
      </c>
      <c r="R400" s="6">
        <f t="shared" si="88"/>
        <v>0</v>
      </c>
      <c r="S400" s="6">
        <f t="shared" si="88"/>
        <v>0</v>
      </c>
      <c r="T400" s="6">
        <f t="shared" si="88"/>
        <v>0</v>
      </c>
      <c r="U400" s="6">
        <f t="shared" si="88"/>
        <v>0</v>
      </c>
      <c r="V400" s="6">
        <f t="shared" si="88"/>
        <v>97.914732142857147</v>
      </c>
      <c r="W400" s="6">
        <f t="shared" si="88"/>
        <v>0</v>
      </c>
      <c r="X400" s="6">
        <f t="shared" si="84"/>
        <v>97.914732142857147</v>
      </c>
      <c r="Y400" s="6"/>
      <c r="Z400" s="6"/>
      <c r="AA400" s="6"/>
      <c r="AB400" s="6"/>
      <c r="AC400" s="6"/>
      <c r="AD400" s="6"/>
      <c r="AE400" s="6"/>
    </row>
    <row r="401" spans="1:32" s="5" customFormat="1" ht="20.100000000000001" customHeight="1" x14ac:dyDescent="0.25">
      <c r="A401" s="7"/>
      <c r="B401" s="6" t="s">
        <v>140</v>
      </c>
      <c r="C401" s="9" t="s">
        <v>1</v>
      </c>
      <c r="D401" s="6">
        <v>25</v>
      </c>
      <c r="E401" s="6"/>
      <c r="F401" s="6">
        <v>4</v>
      </c>
      <c r="G401" s="8">
        <f>VLOOKUP(D401,$C$20:$F$26,3,0)</f>
        <v>1.25</v>
      </c>
      <c r="H401" s="6"/>
      <c r="I401" s="6"/>
      <c r="J401" s="6"/>
      <c r="K401" s="6"/>
      <c r="L401" s="6"/>
      <c r="M401" s="6"/>
      <c r="N401" s="6"/>
      <c r="O401" s="6">
        <f>+E396</f>
        <v>5.05</v>
      </c>
      <c r="P401" s="6">
        <f>O401*F401</f>
        <v>20.2</v>
      </c>
      <c r="Q401" s="6">
        <f t="shared" si="88"/>
        <v>0</v>
      </c>
      <c r="R401" s="6">
        <f t="shared" si="88"/>
        <v>0</v>
      </c>
      <c r="S401" s="6">
        <f t="shared" si="88"/>
        <v>0</v>
      </c>
      <c r="T401" s="6">
        <f t="shared" si="88"/>
        <v>0</v>
      </c>
      <c r="U401" s="6">
        <f t="shared" si="88"/>
        <v>0</v>
      </c>
      <c r="V401" s="6">
        <f t="shared" si="88"/>
        <v>77.869196428571442</v>
      </c>
      <c r="W401" s="6">
        <f t="shared" si="88"/>
        <v>0</v>
      </c>
      <c r="X401" s="6">
        <f t="shared" si="84"/>
        <v>77.869196428571442</v>
      </c>
      <c r="Y401" s="6"/>
      <c r="Z401" s="6"/>
      <c r="AA401" s="6"/>
      <c r="AB401" s="6"/>
      <c r="AC401" s="6"/>
      <c r="AD401" s="6"/>
      <c r="AE401" s="6"/>
    </row>
    <row r="402" spans="1:32" s="5" customFormat="1" ht="20.100000000000001" customHeight="1" x14ac:dyDescent="0.25">
      <c r="A402" s="7"/>
      <c r="B402" s="6" t="s">
        <v>140</v>
      </c>
      <c r="C402" s="9" t="s">
        <v>0</v>
      </c>
      <c r="D402" s="6">
        <v>12</v>
      </c>
      <c r="E402" s="6">
        <v>0.1</v>
      </c>
      <c r="F402" s="6">
        <f>34+1</f>
        <v>35</v>
      </c>
      <c r="G402" s="8"/>
      <c r="H402" s="6"/>
      <c r="I402" s="6"/>
      <c r="J402" s="6"/>
      <c r="K402" s="6"/>
      <c r="L402" s="6"/>
      <c r="M402" s="6"/>
      <c r="N402" s="6"/>
      <c r="O402" s="6">
        <f>(2*((G396-(2*$D$11))+(F396-(2*$D$11)))+(2*10*D402/1000))*D396</f>
        <v>4.8999999999999995</v>
      </c>
      <c r="P402" s="6">
        <f t="shared" ref="P402:P408" si="91">O402*F402</f>
        <v>171.49999999999997</v>
      </c>
      <c r="Q402" s="6">
        <f t="shared" si="88"/>
        <v>0</v>
      </c>
      <c r="R402" s="6">
        <f t="shared" si="88"/>
        <v>0</v>
      </c>
      <c r="S402" s="6">
        <f t="shared" si="88"/>
        <v>152.32140000000001</v>
      </c>
      <c r="T402" s="6">
        <f t="shared" si="88"/>
        <v>0</v>
      </c>
      <c r="U402" s="6">
        <f t="shared" si="88"/>
        <v>0</v>
      </c>
      <c r="V402" s="6">
        <f t="shared" si="88"/>
        <v>0</v>
      </c>
      <c r="W402" s="6">
        <f t="shared" si="88"/>
        <v>0</v>
      </c>
      <c r="X402" s="6">
        <f t="shared" si="84"/>
        <v>152.32140000000001</v>
      </c>
      <c r="Y402" s="6"/>
      <c r="Z402" s="6"/>
      <c r="AA402" s="6"/>
      <c r="AB402" s="6"/>
      <c r="AC402" s="6"/>
      <c r="AD402" s="6"/>
      <c r="AE402" s="6"/>
    </row>
    <row r="403" spans="1:32" s="12" customFormat="1" ht="20.100000000000001" customHeight="1" x14ac:dyDescent="0.25">
      <c r="B403" s="6" t="s">
        <v>140</v>
      </c>
      <c r="C403" s="9" t="s">
        <v>25</v>
      </c>
      <c r="D403" s="6">
        <f>+D402</f>
        <v>12</v>
      </c>
      <c r="E403" s="6">
        <f>+E402</f>
        <v>0.1</v>
      </c>
      <c r="F403" s="12">
        <f>+F402</f>
        <v>35</v>
      </c>
      <c r="G403" s="5"/>
      <c r="O403" s="3">
        <f>((((G396-(2*$D$11))+(2*10*D403/1000))*D396))*2</f>
        <v>4.4599999999999991</v>
      </c>
      <c r="P403" s="6">
        <f>O403*F403</f>
        <v>156.09999999999997</v>
      </c>
      <c r="Q403" s="6">
        <f t="shared" si="88"/>
        <v>0</v>
      </c>
      <c r="R403" s="6">
        <f t="shared" si="88"/>
        <v>0</v>
      </c>
      <c r="S403" s="6">
        <f t="shared" si="88"/>
        <v>138.64355999999998</v>
      </c>
      <c r="T403" s="6">
        <f t="shared" si="88"/>
        <v>0</v>
      </c>
      <c r="U403" s="6">
        <f t="shared" si="88"/>
        <v>0</v>
      </c>
      <c r="V403" s="6">
        <f t="shared" si="88"/>
        <v>0</v>
      </c>
      <c r="W403" s="6">
        <f t="shared" si="88"/>
        <v>0</v>
      </c>
      <c r="X403" s="6">
        <f t="shared" si="84"/>
        <v>138.64355999999998</v>
      </c>
    </row>
    <row r="404" spans="1:32" s="12" customFormat="1" ht="20.100000000000001" customHeight="1" x14ac:dyDescent="0.3">
      <c r="B404" s="6" t="s">
        <v>140</v>
      </c>
      <c r="C404" s="9" t="s">
        <v>0</v>
      </c>
      <c r="D404" s="12">
        <v>12</v>
      </c>
      <c r="E404" s="12">
        <v>0.15</v>
      </c>
      <c r="F404" s="12">
        <v>12</v>
      </c>
      <c r="O404" s="6">
        <f>(2*((G396-(2*$D$11))+(F396-(2*$D$11)))+(2*10*D404/1000))*D396</f>
        <v>4.8999999999999995</v>
      </c>
      <c r="P404" s="6">
        <f>O404*F404</f>
        <v>58.8</v>
      </c>
      <c r="Q404" s="6">
        <f t="shared" si="88"/>
        <v>0</v>
      </c>
      <c r="R404" s="6">
        <f t="shared" si="88"/>
        <v>0</v>
      </c>
      <c r="S404" s="6">
        <f t="shared" si="88"/>
        <v>52.224480000000007</v>
      </c>
      <c r="T404" s="6">
        <f t="shared" si="88"/>
        <v>0</v>
      </c>
      <c r="U404" s="6">
        <f t="shared" si="88"/>
        <v>0</v>
      </c>
      <c r="V404" s="6">
        <f t="shared" si="88"/>
        <v>0</v>
      </c>
      <c r="W404" s="6">
        <f t="shared" si="88"/>
        <v>0</v>
      </c>
      <c r="X404" s="6">
        <f t="shared" si="84"/>
        <v>52.224480000000007</v>
      </c>
    </row>
    <row r="405" spans="1:32" s="12" customFormat="1" ht="20.100000000000001" customHeight="1" x14ac:dyDescent="0.25">
      <c r="B405" s="6" t="s">
        <v>140</v>
      </c>
      <c r="C405" s="9" t="s">
        <v>25</v>
      </c>
      <c r="D405" s="6">
        <f>+D404</f>
        <v>12</v>
      </c>
      <c r="E405" s="6">
        <f>+E404</f>
        <v>0.15</v>
      </c>
      <c r="F405" s="12">
        <f>+F404</f>
        <v>12</v>
      </c>
      <c r="G405" s="5"/>
      <c r="O405" s="3">
        <f>((((G396-(2*$D$11))+(2*10*D405/1000))*D396))*2</f>
        <v>4.4599999999999991</v>
      </c>
      <c r="P405" s="6">
        <f>O405*F405</f>
        <v>53.519999999999989</v>
      </c>
      <c r="Q405" s="6">
        <f t="shared" si="88"/>
        <v>0</v>
      </c>
      <c r="R405" s="6">
        <f t="shared" si="88"/>
        <v>0</v>
      </c>
      <c r="S405" s="6">
        <f t="shared" si="88"/>
        <v>47.534934857142858</v>
      </c>
      <c r="T405" s="6">
        <f t="shared" si="88"/>
        <v>0</v>
      </c>
      <c r="U405" s="6">
        <f t="shared" si="88"/>
        <v>0</v>
      </c>
      <c r="V405" s="6">
        <f t="shared" si="88"/>
        <v>0</v>
      </c>
      <c r="W405" s="6">
        <f t="shared" si="88"/>
        <v>0</v>
      </c>
      <c r="X405" s="6">
        <f t="shared" si="84"/>
        <v>47.534934857142858</v>
      </c>
    </row>
    <row r="406" spans="1:32" s="5" customFormat="1" ht="20.100000000000001" customHeight="1" x14ac:dyDescent="0.25">
      <c r="A406" s="7"/>
      <c r="B406" s="6" t="s">
        <v>140</v>
      </c>
      <c r="C406" s="9" t="s">
        <v>6</v>
      </c>
      <c r="D406" s="6">
        <v>10</v>
      </c>
      <c r="E406" s="6">
        <v>0.13</v>
      </c>
      <c r="F406" s="6">
        <f>5*2</f>
        <v>10</v>
      </c>
      <c r="G406" s="8">
        <f>VLOOKUP(D406,$C$20:$F$26,3,0)</f>
        <v>0.5</v>
      </c>
      <c r="H406" s="6"/>
      <c r="I406" s="6"/>
      <c r="J406" s="6"/>
      <c r="K406" s="6"/>
      <c r="L406" s="6"/>
      <c r="M406" s="6"/>
      <c r="N406" s="6"/>
      <c r="O406" s="6">
        <f>+E396</f>
        <v>5.05</v>
      </c>
      <c r="P406" s="6">
        <f t="shared" si="91"/>
        <v>50.5</v>
      </c>
      <c r="Q406" s="6">
        <f t="shared" si="88"/>
        <v>0</v>
      </c>
      <c r="R406" s="6">
        <f t="shared" si="88"/>
        <v>31.147678571428571</v>
      </c>
      <c r="S406" s="6">
        <f t="shared" si="88"/>
        <v>0</v>
      </c>
      <c r="T406" s="6">
        <f t="shared" si="88"/>
        <v>0</v>
      </c>
      <c r="U406" s="6">
        <f t="shared" si="88"/>
        <v>0</v>
      </c>
      <c r="V406" s="6">
        <f t="shared" si="88"/>
        <v>0</v>
      </c>
      <c r="W406" s="6">
        <f t="shared" si="88"/>
        <v>0</v>
      </c>
      <c r="X406" s="6">
        <f t="shared" si="84"/>
        <v>31.147678571428571</v>
      </c>
      <c r="Y406" s="6"/>
      <c r="Z406" s="6"/>
      <c r="AA406" s="6"/>
      <c r="AB406" s="6"/>
      <c r="AC406" s="6"/>
      <c r="AD406" s="6"/>
      <c r="AE406" s="6"/>
    </row>
    <row r="407" spans="1:32" s="5" customFormat="1" ht="20.100000000000001" customHeight="1" x14ac:dyDescent="0.25">
      <c r="A407" s="7"/>
      <c r="B407" s="6" t="s">
        <v>140</v>
      </c>
      <c r="C407" s="9" t="s">
        <v>17</v>
      </c>
      <c r="D407" s="6">
        <f>+$D$15</f>
        <v>25</v>
      </c>
      <c r="E407" s="6">
        <f>+$E$15</f>
        <v>1</v>
      </c>
      <c r="F407" s="6">
        <f>ROUNDUP((2.05)/E407,0)+1</f>
        <v>4</v>
      </c>
      <c r="G407" s="8"/>
      <c r="H407" s="8"/>
      <c r="I407" s="6"/>
      <c r="J407" s="6"/>
      <c r="K407" s="6"/>
      <c r="L407" s="6"/>
      <c r="M407" s="6"/>
      <c r="N407" s="6"/>
      <c r="O407" s="6">
        <f>+F396-(2*$D$11)</f>
        <v>0.34</v>
      </c>
      <c r="P407" s="6">
        <f t="shared" si="91"/>
        <v>1.36</v>
      </c>
      <c r="Q407" s="6">
        <f t="shared" si="88"/>
        <v>0</v>
      </c>
      <c r="R407" s="6">
        <f t="shared" si="88"/>
        <v>0</v>
      </c>
      <c r="S407" s="6">
        <f t="shared" si="88"/>
        <v>0</v>
      </c>
      <c r="T407" s="6">
        <f t="shared" si="88"/>
        <v>0</v>
      </c>
      <c r="U407" s="6">
        <f t="shared" si="88"/>
        <v>0</v>
      </c>
      <c r="V407" s="6">
        <f t="shared" si="88"/>
        <v>5.2426785714285726</v>
      </c>
      <c r="W407" s="6">
        <f t="shared" si="88"/>
        <v>0</v>
      </c>
      <c r="X407" s="6">
        <f t="shared" si="84"/>
        <v>5.2426785714285726</v>
      </c>
      <c r="Y407" s="6"/>
      <c r="Z407" s="6"/>
      <c r="AA407" s="6"/>
      <c r="AB407" s="6"/>
      <c r="AC407" s="6"/>
      <c r="AD407" s="6"/>
      <c r="AE407" s="6"/>
    </row>
    <row r="408" spans="1:32" s="5" customFormat="1" ht="20.100000000000001" customHeight="1" x14ac:dyDescent="0.25">
      <c r="A408" s="7"/>
      <c r="B408" s="6" t="s">
        <v>140</v>
      </c>
      <c r="C408" s="9" t="s">
        <v>17</v>
      </c>
      <c r="D408" s="6">
        <f>+$D$15</f>
        <v>25</v>
      </c>
      <c r="E408" s="6">
        <f>+$E$15</f>
        <v>1</v>
      </c>
      <c r="F408" s="6">
        <f>ROUNDUP((E396)/E408,0)+1</f>
        <v>7</v>
      </c>
      <c r="G408" s="8"/>
      <c r="H408" s="8"/>
      <c r="I408" s="6"/>
      <c r="J408" s="6"/>
      <c r="K408" s="6"/>
      <c r="L408" s="6"/>
      <c r="M408" s="6"/>
      <c r="N408" s="6"/>
      <c r="O408" s="6">
        <f>+F396-(2*$D$11)</f>
        <v>0.34</v>
      </c>
      <c r="P408" s="6">
        <f t="shared" si="91"/>
        <v>2.3800000000000003</v>
      </c>
      <c r="Q408" s="6">
        <f t="shared" si="88"/>
        <v>0</v>
      </c>
      <c r="R408" s="6">
        <f t="shared" si="88"/>
        <v>0</v>
      </c>
      <c r="S408" s="6">
        <f t="shared" si="88"/>
        <v>0</v>
      </c>
      <c r="T408" s="6">
        <f t="shared" si="88"/>
        <v>0</v>
      </c>
      <c r="U408" s="6">
        <f t="shared" si="88"/>
        <v>0</v>
      </c>
      <c r="V408" s="6">
        <f t="shared" si="88"/>
        <v>9.1746875000000028</v>
      </c>
      <c r="W408" s="6">
        <f t="shared" si="88"/>
        <v>0</v>
      </c>
      <c r="X408" s="6">
        <f t="shared" si="84"/>
        <v>9.1746875000000028</v>
      </c>
      <c r="Y408" s="6"/>
      <c r="Z408" s="6"/>
      <c r="AA408" s="6"/>
      <c r="AB408" s="6"/>
      <c r="AC408" s="6"/>
      <c r="AD408" s="6"/>
      <c r="AE408" s="6"/>
    </row>
    <row r="409" spans="1:32" s="5" customFormat="1" ht="20.100000000000001" customHeight="1" x14ac:dyDescent="0.25">
      <c r="A409" s="3">
        <f>A396+1</f>
        <v>53</v>
      </c>
      <c r="B409" s="6" t="s">
        <v>140</v>
      </c>
      <c r="C409" s="11" t="s">
        <v>135</v>
      </c>
      <c r="D409" s="11">
        <v>1</v>
      </c>
      <c r="E409" s="11">
        <v>2.456</v>
      </c>
      <c r="F409" s="11">
        <v>0.4</v>
      </c>
      <c r="G409" s="11">
        <v>1.5</v>
      </c>
      <c r="H409" s="6">
        <f>G409-0.2</f>
        <v>1.3</v>
      </c>
      <c r="I409" s="6">
        <f>E409*F409*G409*D409</f>
        <v>1.4736</v>
      </c>
      <c r="J409" s="6">
        <f>(2*(E409)*H409*D409)+(E409*F409)</f>
        <v>7.3680000000000003</v>
      </c>
      <c r="K409" s="10">
        <f>IF(E409=0.3,J409,0)</f>
        <v>0</v>
      </c>
      <c r="L409" s="10">
        <f>IF(AND(E409&gt;0.3,E409&lt;=0.75),J409,0)</f>
        <v>0</v>
      </c>
      <c r="M409" s="10">
        <f>IF(AND(E409&gt;0.75,E409&lt;=1.2),J409,0)</f>
        <v>0</v>
      </c>
      <c r="N409" s="10">
        <f>IF(E409&gt;1.2,J409,0)</f>
        <v>7.3680000000000003</v>
      </c>
      <c r="O409" s="6"/>
      <c r="P409" s="6"/>
      <c r="Q409" s="6">
        <f t="shared" si="88"/>
        <v>0</v>
      </c>
      <c r="R409" s="6">
        <f t="shared" si="88"/>
        <v>0</v>
      </c>
      <c r="S409" s="6">
        <f t="shared" si="88"/>
        <v>0</v>
      </c>
      <c r="T409" s="6">
        <f t="shared" si="88"/>
        <v>0</v>
      </c>
      <c r="U409" s="6">
        <f t="shared" si="88"/>
        <v>0</v>
      </c>
      <c r="V409" s="6">
        <f t="shared" si="88"/>
        <v>0</v>
      </c>
      <c r="W409" s="6">
        <f t="shared" si="88"/>
        <v>0</v>
      </c>
      <c r="X409" s="6">
        <f t="shared" si="84"/>
        <v>0</v>
      </c>
      <c r="Y409" s="7">
        <f>SUM(X410:X420)/I409</f>
        <v>231.71366872188622</v>
      </c>
      <c r="Z409" s="6"/>
      <c r="AA409" s="6"/>
      <c r="AB409" s="6"/>
      <c r="AC409" s="6"/>
      <c r="AD409" s="6"/>
      <c r="AE409" s="6"/>
      <c r="AF409" s="6"/>
    </row>
    <row r="410" spans="1:32" s="5" customFormat="1" ht="20.100000000000001" customHeight="1" x14ac:dyDescent="0.25">
      <c r="A410" s="7"/>
      <c r="B410" s="6" t="s">
        <v>140</v>
      </c>
      <c r="C410" s="9" t="s">
        <v>2</v>
      </c>
      <c r="D410" s="6">
        <v>20</v>
      </c>
      <c r="E410" s="6"/>
      <c r="F410" s="6">
        <v>4</v>
      </c>
      <c r="G410" s="8">
        <f>VLOOKUP(D410,$C$20:$F$26,3,0)</f>
        <v>1</v>
      </c>
      <c r="H410" s="8"/>
      <c r="I410" s="6"/>
      <c r="J410" s="6"/>
      <c r="K410" s="6"/>
      <c r="L410" s="6"/>
      <c r="M410" s="6"/>
      <c r="N410" s="6"/>
      <c r="O410" s="6">
        <f>(E409+1.2+1*(G410+(2*D410/1000)))*D409</f>
        <v>4.6959999999999997</v>
      </c>
      <c r="P410" s="6">
        <f t="shared" ref="P410:P420" si="92">O410*F410</f>
        <v>18.783999999999999</v>
      </c>
      <c r="Q410" s="6">
        <f t="shared" si="88"/>
        <v>0</v>
      </c>
      <c r="R410" s="6">
        <f t="shared" si="88"/>
        <v>0</v>
      </c>
      <c r="S410" s="6">
        <f t="shared" si="88"/>
        <v>0</v>
      </c>
      <c r="T410" s="6">
        <f t="shared" si="88"/>
        <v>0</v>
      </c>
      <c r="U410" s="6">
        <f t="shared" si="88"/>
        <v>46.342811428571423</v>
      </c>
      <c r="V410" s="6">
        <f t="shared" si="88"/>
        <v>0</v>
      </c>
      <c r="W410" s="6">
        <f t="shared" si="88"/>
        <v>0</v>
      </c>
      <c r="X410" s="6">
        <f t="shared" si="84"/>
        <v>46.342811428571423</v>
      </c>
      <c r="Y410" s="6"/>
      <c r="Z410" s="6"/>
      <c r="AA410" s="6"/>
      <c r="AB410" s="6"/>
      <c r="AC410" s="6"/>
      <c r="AD410" s="6"/>
      <c r="AE410" s="6"/>
    </row>
    <row r="411" spans="1:32" s="5" customFormat="1" ht="20.100000000000001" customHeight="1" x14ac:dyDescent="0.25">
      <c r="A411" s="7"/>
      <c r="B411" s="6" t="s">
        <v>140</v>
      </c>
      <c r="C411" s="9" t="s">
        <v>26</v>
      </c>
      <c r="D411" s="6">
        <v>16</v>
      </c>
      <c r="E411" s="6"/>
      <c r="F411" s="6">
        <v>4</v>
      </c>
      <c r="G411" s="8">
        <f>VLOOKUP(D411,$C$20:$F$26,3,0)</f>
        <v>0.8</v>
      </c>
      <c r="H411" s="8"/>
      <c r="I411" s="6"/>
      <c r="J411" s="6"/>
      <c r="K411" s="6"/>
      <c r="L411" s="6"/>
      <c r="M411" s="6"/>
      <c r="N411" s="6"/>
      <c r="O411" s="6">
        <f>(E409+1*(G411+(2*D411/1000)))*D409</f>
        <v>3.2880000000000003</v>
      </c>
      <c r="P411" s="6">
        <f t="shared" si="92"/>
        <v>13.152000000000001</v>
      </c>
      <c r="Q411" s="6">
        <f t="shared" si="88"/>
        <v>0</v>
      </c>
      <c r="R411" s="6">
        <f t="shared" si="88"/>
        <v>0</v>
      </c>
      <c r="S411" s="6">
        <f t="shared" si="88"/>
        <v>0</v>
      </c>
      <c r="T411" s="6">
        <f t="shared" si="88"/>
        <v>20.766632228571432</v>
      </c>
      <c r="U411" s="6">
        <f t="shared" si="88"/>
        <v>0</v>
      </c>
      <c r="V411" s="6">
        <f t="shared" si="88"/>
        <v>0</v>
      </c>
      <c r="W411" s="6">
        <f t="shared" si="88"/>
        <v>0</v>
      </c>
      <c r="X411" s="6">
        <f t="shared" si="84"/>
        <v>20.766632228571432</v>
      </c>
      <c r="Y411" s="6"/>
      <c r="Z411" s="6"/>
      <c r="AA411" s="6"/>
      <c r="AB411" s="6"/>
      <c r="AC411" s="6"/>
      <c r="AD411" s="6"/>
      <c r="AE411" s="6"/>
    </row>
    <row r="412" spans="1:32" s="5" customFormat="1" ht="20.100000000000001" customHeight="1" x14ac:dyDescent="0.25">
      <c r="A412" s="7"/>
      <c r="B412" s="6" t="s">
        <v>140</v>
      </c>
      <c r="C412" s="9" t="s">
        <v>1</v>
      </c>
      <c r="D412" s="6">
        <v>25</v>
      </c>
      <c r="E412" s="6"/>
      <c r="F412" s="6">
        <v>4</v>
      </c>
      <c r="G412" s="8">
        <f>VLOOKUP(D412,$C$20:$F$26,3,0)</f>
        <v>1.25</v>
      </c>
      <c r="H412" s="6"/>
      <c r="I412" s="6"/>
      <c r="J412" s="6"/>
      <c r="K412" s="6"/>
      <c r="L412" s="6"/>
      <c r="M412" s="6"/>
      <c r="N412" s="6"/>
      <c r="O412" s="6">
        <f>(E409+1*(G412+(2*D412/1000)))*D409</f>
        <v>3.7560000000000002</v>
      </c>
      <c r="P412" s="6">
        <f t="shared" si="92"/>
        <v>15.024000000000001</v>
      </c>
      <c r="Q412" s="6">
        <f t="shared" si="88"/>
        <v>0</v>
      </c>
      <c r="R412" s="6">
        <f t="shared" si="88"/>
        <v>0</v>
      </c>
      <c r="S412" s="6">
        <f t="shared" si="88"/>
        <v>0</v>
      </c>
      <c r="T412" s="6">
        <f t="shared" si="88"/>
        <v>0</v>
      </c>
      <c r="U412" s="6">
        <f t="shared" si="88"/>
        <v>0</v>
      </c>
      <c r="V412" s="6">
        <f t="shared" si="88"/>
        <v>57.916178571428581</v>
      </c>
      <c r="W412" s="6">
        <f t="shared" si="88"/>
        <v>0</v>
      </c>
      <c r="X412" s="6">
        <f t="shared" si="84"/>
        <v>57.916178571428581</v>
      </c>
      <c r="Y412" s="6"/>
      <c r="Z412" s="6"/>
      <c r="AA412" s="6"/>
      <c r="AB412" s="6"/>
      <c r="AC412" s="6"/>
      <c r="AD412" s="6"/>
      <c r="AE412" s="6"/>
    </row>
    <row r="413" spans="1:32" s="5" customFormat="1" ht="20.100000000000001" customHeight="1" x14ac:dyDescent="0.25">
      <c r="A413" s="7"/>
      <c r="B413" s="6" t="s">
        <v>140</v>
      </c>
      <c r="C413" s="9" t="s">
        <v>1</v>
      </c>
      <c r="D413" s="6">
        <v>25</v>
      </c>
      <c r="E413" s="6"/>
      <c r="F413" s="6">
        <v>4</v>
      </c>
      <c r="G413" s="8">
        <f>VLOOKUP(D413,$C$20:$F$26,3,0)</f>
        <v>1.25</v>
      </c>
      <c r="H413" s="6"/>
      <c r="I413" s="6"/>
      <c r="J413" s="6"/>
      <c r="K413" s="6"/>
      <c r="L413" s="6"/>
      <c r="M413" s="6"/>
      <c r="N413" s="6"/>
      <c r="O413" s="6">
        <f>+E409</f>
        <v>2.456</v>
      </c>
      <c r="P413" s="6">
        <f t="shared" si="92"/>
        <v>9.8239999999999998</v>
      </c>
      <c r="Q413" s="6">
        <f t="shared" si="88"/>
        <v>0</v>
      </c>
      <c r="R413" s="6">
        <f t="shared" si="88"/>
        <v>0</v>
      </c>
      <c r="S413" s="6">
        <f t="shared" si="88"/>
        <v>0</v>
      </c>
      <c r="T413" s="6">
        <f t="shared" si="88"/>
        <v>0</v>
      </c>
      <c r="U413" s="6">
        <f t="shared" si="88"/>
        <v>0</v>
      </c>
      <c r="V413" s="6">
        <f t="shared" si="88"/>
        <v>37.870642857142862</v>
      </c>
      <c r="W413" s="6">
        <f t="shared" si="88"/>
        <v>0</v>
      </c>
      <c r="X413" s="6">
        <f t="shared" si="84"/>
        <v>37.870642857142862</v>
      </c>
      <c r="Y413" s="6"/>
      <c r="Z413" s="6"/>
      <c r="AA413" s="6"/>
      <c r="AB413" s="6"/>
      <c r="AC413" s="6"/>
      <c r="AD413" s="6"/>
      <c r="AE413" s="6"/>
    </row>
    <row r="414" spans="1:32" s="5" customFormat="1" ht="20.100000000000001" customHeight="1" x14ac:dyDescent="0.25">
      <c r="A414" s="7"/>
      <c r="B414" s="6" t="s">
        <v>140</v>
      </c>
      <c r="C414" s="9" t="s">
        <v>0</v>
      </c>
      <c r="D414" s="6">
        <v>12</v>
      </c>
      <c r="E414" s="6">
        <v>0.1</v>
      </c>
      <c r="F414" s="6">
        <f>17+1</f>
        <v>18</v>
      </c>
      <c r="G414" s="8"/>
      <c r="H414" s="6"/>
      <c r="I414" s="6"/>
      <c r="J414" s="6"/>
      <c r="K414" s="6"/>
      <c r="L414" s="6"/>
      <c r="M414" s="6"/>
      <c r="N414" s="6"/>
      <c r="O414" s="6">
        <f>(2*((G409-(2*$D$11))+(F409-(2*$D$11)))+(2*10*D414/1000))*D409</f>
        <v>3.8</v>
      </c>
      <c r="P414" s="6">
        <f t="shared" si="92"/>
        <v>68.399999999999991</v>
      </c>
      <c r="Q414" s="6">
        <f t="shared" si="88"/>
        <v>0</v>
      </c>
      <c r="R414" s="6">
        <f t="shared" si="88"/>
        <v>0</v>
      </c>
      <c r="S414" s="6">
        <f t="shared" si="88"/>
        <v>60.750925714285714</v>
      </c>
      <c r="T414" s="6">
        <f t="shared" si="88"/>
        <v>0</v>
      </c>
      <c r="U414" s="6">
        <f t="shared" si="88"/>
        <v>0</v>
      </c>
      <c r="V414" s="6">
        <f t="shared" si="88"/>
        <v>0</v>
      </c>
      <c r="W414" s="6">
        <f t="shared" si="88"/>
        <v>0</v>
      </c>
      <c r="X414" s="6">
        <f t="shared" si="84"/>
        <v>60.750925714285714</v>
      </c>
      <c r="Y414" s="6"/>
      <c r="Z414" s="6"/>
      <c r="AA414" s="6"/>
      <c r="AB414" s="6"/>
      <c r="AC414" s="6"/>
      <c r="AD414" s="6"/>
      <c r="AE414" s="6"/>
    </row>
    <row r="415" spans="1:32" s="12" customFormat="1" ht="20.100000000000001" customHeight="1" x14ac:dyDescent="0.25">
      <c r="B415" s="6" t="s">
        <v>140</v>
      </c>
      <c r="C415" s="9" t="s">
        <v>25</v>
      </c>
      <c r="D415" s="6">
        <f>+D414</f>
        <v>12</v>
      </c>
      <c r="E415" s="6">
        <f>+E414</f>
        <v>0.1</v>
      </c>
      <c r="F415" s="12">
        <f>+F414</f>
        <v>18</v>
      </c>
      <c r="G415" s="5"/>
      <c r="O415" s="3">
        <f>((((G409-(2*$D$11))+(2*10*D415/1000))*D409))*2</f>
        <v>3.36</v>
      </c>
      <c r="P415" s="6">
        <f t="shared" si="92"/>
        <v>60.48</v>
      </c>
      <c r="Q415" s="6">
        <f t="shared" si="88"/>
        <v>0</v>
      </c>
      <c r="R415" s="6">
        <f t="shared" si="88"/>
        <v>0</v>
      </c>
      <c r="S415" s="6">
        <f t="shared" si="88"/>
        <v>53.716608000000008</v>
      </c>
      <c r="T415" s="6">
        <f t="shared" si="88"/>
        <v>0</v>
      </c>
      <c r="U415" s="6">
        <f t="shared" si="88"/>
        <v>0</v>
      </c>
      <c r="V415" s="6">
        <f t="shared" si="88"/>
        <v>0</v>
      </c>
      <c r="W415" s="6">
        <f t="shared" si="88"/>
        <v>0</v>
      </c>
      <c r="X415" s="6">
        <f t="shared" si="84"/>
        <v>53.716608000000008</v>
      </c>
    </row>
    <row r="416" spans="1:32" s="12" customFormat="1" ht="20.100000000000001" customHeight="1" x14ac:dyDescent="0.3">
      <c r="B416" s="6" t="s">
        <v>140</v>
      </c>
      <c r="C416" s="9" t="s">
        <v>0</v>
      </c>
      <c r="D416" s="12">
        <v>12</v>
      </c>
      <c r="E416" s="12">
        <v>0.15</v>
      </c>
      <c r="F416" s="12">
        <f>6+1</f>
        <v>7</v>
      </c>
      <c r="O416" s="6">
        <f>(2*((G409-(2*$D$11))+(F409-(2*$D$11)))+(2*10*D416/1000))*D409</f>
        <v>3.8</v>
      </c>
      <c r="P416" s="6">
        <f t="shared" si="92"/>
        <v>26.599999999999998</v>
      </c>
      <c r="Q416" s="6">
        <f t="shared" si="88"/>
        <v>0</v>
      </c>
      <c r="R416" s="6">
        <f t="shared" si="88"/>
        <v>0</v>
      </c>
      <c r="S416" s="6">
        <f t="shared" si="88"/>
        <v>23.625360000000001</v>
      </c>
      <c r="T416" s="6">
        <f t="shared" si="88"/>
        <v>0</v>
      </c>
      <c r="U416" s="6">
        <f t="shared" si="88"/>
        <v>0</v>
      </c>
      <c r="V416" s="6">
        <f t="shared" si="88"/>
        <v>0</v>
      </c>
      <c r="W416" s="6">
        <f t="shared" si="88"/>
        <v>0</v>
      </c>
      <c r="X416" s="6">
        <f t="shared" si="84"/>
        <v>23.625360000000001</v>
      </c>
    </row>
    <row r="417" spans="1:32" s="12" customFormat="1" ht="20.100000000000001" customHeight="1" x14ac:dyDescent="0.25">
      <c r="B417" s="6" t="s">
        <v>140</v>
      </c>
      <c r="C417" s="9" t="s">
        <v>25</v>
      </c>
      <c r="D417" s="6">
        <f>+D416</f>
        <v>12</v>
      </c>
      <c r="E417" s="6">
        <f>+E416</f>
        <v>0.15</v>
      </c>
      <c r="F417" s="12">
        <f>+F416</f>
        <v>7</v>
      </c>
      <c r="G417" s="5"/>
      <c r="O417" s="3">
        <f>((((G409-(2*$D$11))+(2*10*D417/1000))*D409))*2</f>
        <v>3.36</v>
      </c>
      <c r="P417" s="6">
        <f>O417*F417</f>
        <v>23.52</v>
      </c>
      <c r="Q417" s="6">
        <f t="shared" si="88"/>
        <v>0</v>
      </c>
      <c r="R417" s="6">
        <f t="shared" si="88"/>
        <v>0</v>
      </c>
      <c r="S417" s="6">
        <f t="shared" si="88"/>
        <v>20.889792000000003</v>
      </c>
      <c r="T417" s="6">
        <f t="shared" si="88"/>
        <v>0</v>
      </c>
      <c r="U417" s="6">
        <f t="shared" si="88"/>
        <v>0</v>
      </c>
      <c r="V417" s="6">
        <f t="shared" si="88"/>
        <v>0</v>
      </c>
      <c r="W417" s="6">
        <f t="shared" si="88"/>
        <v>0</v>
      </c>
      <c r="X417" s="6">
        <f t="shared" si="84"/>
        <v>20.889792000000003</v>
      </c>
    </row>
    <row r="418" spans="1:32" s="5" customFormat="1" ht="20.100000000000001" customHeight="1" x14ac:dyDescent="0.25">
      <c r="A418" s="7"/>
      <c r="B418" s="6" t="s">
        <v>140</v>
      </c>
      <c r="C418" s="9" t="s">
        <v>6</v>
      </c>
      <c r="D418" s="6">
        <v>10</v>
      </c>
      <c r="E418" s="6">
        <v>0.13</v>
      </c>
      <c r="F418" s="6">
        <f>3*2</f>
        <v>6</v>
      </c>
      <c r="G418" s="8">
        <f>VLOOKUP(D418,$C$20:$F$26,3,0)</f>
        <v>0.5</v>
      </c>
      <c r="H418" s="6"/>
      <c r="I418" s="6"/>
      <c r="J418" s="6"/>
      <c r="K418" s="6"/>
      <c r="L418" s="6"/>
      <c r="M418" s="6"/>
      <c r="N418" s="6"/>
      <c r="O418" s="6">
        <f>+E409</f>
        <v>2.456</v>
      </c>
      <c r="P418" s="6">
        <f t="shared" si="92"/>
        <v>14.736000000000001</v>
      </c>
      <c r="Q418" s="6">
        <f t="shared" si="88"/>
        <v>0</v>
      </c>
      <c r="R418" s="6">
        <f t="shared" si="88"/>
        <v>9.0889542857142853</v>
      </c>
      <c r="S418" s="6">
        <f t="shared" si="88"/>
        <v>0</v>
      </c>
      <c r="T418" s="6">
        <f t="shared" si="88"/>
        <v>0</v>
      </c>
      <c r="U418" s="6">
        <f t="shared" si="88"/>
        <v>0</v>
      </c>
      <c r="V418" s="6">
        <f t="shared" si="88"/>
        <v>0</v>
      </c>
      <c r="W418" s="6">
        <f t="shared" si="88"/>
        <v>0</v>
      </c>
      <c r="X418" s="6">
        <f t="shared" si="84"/>
        <v>9.0889542857142853</v>
      </c>
      <c r="Y418" s="6"/>
      <c r="Z418" s="6"/>
      <c r="AA418" s="6"/>
      <c r="AB418" s="6"/>
      <c r="AC418" s="6"/>
      <c r="AD418" s="6"/>
      <c r="AE418" s="6"/>
    </row>
    <row r="419" spans="1:32" s="5" customFormat="1" ht="20.100000000000001" customHeight="1" x14ac:dyDescent="0.25">
      <c r="A419" s="7"/>
      <c r="B419" s="6" t="s">
        <v>140</v>
      </c>
      <c r="C419" s="9" t="s">
        <v>17</v>
      </c>
      <c r="D419" s="6">
        <f>+$D$15</f>
        <v>25</v>
      </c>
      <c r="E419" s="6">
        <f>+$E$15</f>
        <v>1</v>
      </c>
      <c r="F419" s="6">
        <f>ROUNDUP((E409)/E419,0)+1</f>
        <v>4</v>
      </c>
      <c r="G419" s="8"/>
      <c r="H419" s="8"/>
      <c r="I419" s="6"/>
      <c r="J419" s="6"/>
      <c r="K419" s="6"/>
      <c r="L419" s="6"/>
      <c r="M419" s="6"/>
      <c r="N419" s="6"/>
      <c r="O419" s="6">
        <f>+F409-(2*$D$11)</f>
        <v>0.34</v>
      </c>
      <c r="P419" s="6">
        <f t="shared" si="92"/>
        <v>1.36</v>
      </c>
      <c r="Q419" s="6">
        <f t="shared" si="88"/>
        <v>0</v>
      </c>
      <c r="R419" s="6">
        <f t="shared" si="88"/>
        <v>0</v>
      </c>
      <c r="S419" s="6">
        <f t="shared" si="88"/>
        <v>0</v>
      </c>
      <c r="T419" s="6">
        <f t="shared" si="88"/>
        <v>0</v>
      </c>
      <c r="U419" s="6">
        <f t="shared" si="88"/>
        <v>0</v>
      </c>
      <c r="V419" s="6">
        <f t="shared" si="88"/>
        <v>5.2426785714285726</v>
      </c>
      <c r="W419" s="6">
        <f t="shared" si="88"/>
        <v>0</v>
      </c>
      <c r="X419" s="6">
        <f t="shared" si="84"/>
        <v>5.2426785714285726</v>
      </c>
      <c r="Y419" s="6"/>
      <c r="Z419" s="6"/>
      <c r="AA419" s="6"/>
      <c r="AB419" s="6"/>
      <c r="AC419" s="6"/>
      <c r="AD419" s="6"/>
      <c r="AE419" s="6"/>
    </row>
    <row r="420" spans="1:32" s="5" customFormat="1" ht="20.100000000000001" customHeight="1" x14ac:dyDescent="0.25">
      <c r="A420" s="7"/>
      <c r="B420" s="6" t="s">
        <v>140</v>
      </c>
      <c r="C420" s="9" t="s">
        <v>17</v>
      </c>
      <c r="D420" s="6">
        <f>+$D$15</f>
        <v>25</v>
      </c>
      <c r="E420" s="6">
        <f>+$E$15</f>
        <v>1</v>
      </c>
      <c r="F420" s="6">
        <f>ROUNDUP((E409)/E420,0)+1</f>
        <v>4</v>
      </c>
      <c r="G420" s="8"/>
      <c r="H420" s="8"/>
      <c r="I420" s="6"/>
      <c r="J420" s="6"/>
      <c r="K420" s="6"/>
      <c r="L420" s="6"/>
      <c r="M420" s="6"/>
      <c r="N420" s="6"/>
      <c r="O420" s="6">
        <f>+F409-(2*$D$11)</f>
        <v>0.34</v>
      </c>
      <c r="P420" s="6">
        <f t="shared" si="92"/>
        <v>1.36</v>
      </c>
      <c r="Q420" s="6">
        <f t="shared" si="88"/>
        <v>0</v>
      </c>
      <c r="R420" s="6">
        <f t="shared" si="88"/>
        <v>0</v>
      </c>
      <c r="S420" s="6">
        <f t="shared" si="88"/>
        <v>0</v>
      </c>
      <c r="T420" s="6">
        <f t="shared" si="88"/>
        <v>0</v>
      </c>
      <c r="U420" s="6">
        <f t="shared" si="88"/>
        <v>0</v>
      </c>
      <c r="V420" s="6">
        <f t="shared" si="88"/>
        <v>5.2426785714285726</v>
      </c>
      <c r="W420" s="6">
        <f t="shared" si="88"/>
        <v>0</v>
      </c>
      <c r="X420" s="6">
        <f t="shared" si="84"/>
        <v>5.2426785714285726</v>
      </c>
      <c r="Y420" s="6"/>
      <c r="Z420" s="6"/>
      <c r="AA420" s="6"/>
      <c r="AB420" s="6"/>
      <c r="AC420" s="6"/>
      <c r="AD420" s="6"/>
      <c r="AE420" s="6"/>
    </row>
    <row r="421" spans="1:32" s="5" customFormat="1" ht="20.100000000000001" customHeight="1" x14ac:dyDescent="0.25">
      <c r="A421" s="6">
        <f>A409+1</f>
        <v>54</v>
      </c>
      <c r="B421" s="6" t="s">
        <v>140</v>
      </c>
      <c r="C421" s="11" t="s">
        <v>41</v>
      </c>
      <c r="D421" s="11">
        <v>1</v>
      </c>
      <c r="E421" s="11">
        <v>12.744999999999999</v>
      </c>
      <c r="F421" s="11">
        <v>0.7</v>
      </c>
      <c r="G421" s="11">
        <v>1.5</v>
      </c>
      <c r="H421" s="6">
        <f>G421-0.2</f>
        <v>1.3</v>
      </c>
      <c r="I421" s="6">
        <f>E421*F421*G421*D421</f>
        <v>13.382249999999997</v>
      </c>
      <c r="J421" s="6">
        <f>(2*(E421)*H421*D421)+(E421*F421)</f>
        <v>42.058499999999995</v>
      </c>
      <c r="K421" s="10">
        <f>IF(E421=0.3,J421,0)</f>
        <v>0</v>
      </c>
      <c r="L421" s="10">
        <f>IF(AND(E421&gt;0.3,E421&lt;=0.75),J421,0)</f>
        <v>0</v>
      </c>
      <c r="M421" s="10">
        <f>IF(AND(E421&gt;0.75,E421&lt;=1.2),J421,0)</f>
        <v>0</v>
      </c>
      <c r="N421" s="10">
        <f>IF(E421&gt;1.2,J421,0)</f>
        <v>42.058499999999995</v>
      </c>
      <c r="O421" s="6"/>
      <c r="P421" s="6"/>
      <c r="Q421" s="6">
        <f t="shared" si="88"/>
        <v>0</v>
      </c>
      <c r="R421" s="6">
        <f t="shared" si="88"/>
        <v>0</v>
      </c>
      <c r="S421" s="6">
        <f t="shared" si="88"/>
        <v>0</v>
      </c>
      <c r="T421" s="6">
        <f t="shared" si="88"/>
        <v>0</v>
      </c>
      <c r="U421" s="6">
        <f t="shared" si="88"/>
        <v>0</v>
      </c>
      <c r="V421" s="6">
        <f t="shared" si="88"/>
        <v>0</v>
      </c>
      <c r="W421" s="6">
        <f t="shared" si="88"/>
        <v>0</v>
      </c>
      <c r="X421" s="6">
        <f t="shared" si="84"/>
        <v>0</v>
      </c>
      <c r="Y421" s="7">
        <f>SUM(X422:X432)/I421</f>
        <v>93.837476452550433</v>
      </c>
      <c r="Z421" s="6"/>
      <c r="AA421" s="6"/>
      <c r="AB421" s="6"/>
      <c r="AC421" s="6"/>
      <c r="AD421" s="6"/>
      <c r="AE421" s="6"/>
      <c r="AF421" s="6"/>
    </row>
    <row r="422" spans="1:32" s="5" customFormat="1" ht="20.100000000000001" customHeight="1" x14ac:dyDescent="0.25">
      <c r="A422" s="7"/>
      <c r="B422" s="6" t="s">
        <v>140</v>
      </c>
      <c r="C422" s="9" t="s">
        <v>2</v>
      </c>
      <c r="D422" s="6">
        <v>12</v>
      </c>
      <c r="E422" s="6"/>
      <c r="F422" s="6">
        <v>6</v>
      </c>
      <c r="G422" s="8">
        <f>VLOOKUP(D422,$C$20:$F$26,3,0)</f>
        <v>0.6</v>
      </c>
      <c r="H422" s="8"/>
      <c r="I422" s="6"/>
      <c r="J422" s="6"/>
      <c r="K422" s="6"/>
      <c r="L422" s="6"/>
      <c r="M422" s="6"/>
      <c r="N422" s="6"/>
      <c r="O422" s="6">
        <f>(E421+2*(G422+(2*D422/1000)))*D421</f>
        <v>13.992999999999999</v>
      </c>
      <c r="P422" s="6">
        <f>O422*F422</f>
        <v>83.957999999999998</v>
      </c>
      <c r="Q422" s="6">
        <f t="shared" si="88"/>
        <v>0</v>
      </c>
      <c r="R422" s="6">
        <f t="shared" si="88"/>
        <v>0</v>
      </c>
      <c r="S422" s="6">
        <f t="shared" si="88"/>
        <v>74.569096800000011</v>
      </c>
      <c r="T422" s="6">
        <f t="shared" si="88"/>
        <v>0</v>
      </c>
      <c r="U422" s="6">
        <f t="shared" si="88"/>
        <v>0</v>
      </c>
      <c r="V422" s="6">
        <f t="shared" si="88"/>
        <v>0</v>
      </c>
      <c r="W422" s="6">
        <f t="shared" si="88"/>
        <v>0</v>
      </c>
      <c r="X422" s="6">
        <f t="shared" si="84"/>
        <v>74.569096800000011</v>
      </c>
      <c r="Y422" s="6"/>
      <c r="Z422" s="6"/>
      <c r="AA422" s="6"/>
      <c r="AB422" s="6"/>
      <c r="AC422" s="6"/>
      <c r="AD422" s="6"/>
      <c r="AE422" s="6"/>
    </row>
    <row r="423" spans="1:32" s="5" customFormat="1" ht="20.100000000000001" customHeight="1" x14ac:dyDescent="0.25">
      <c r="A423" s="7"/>
      <c r="B423" s="6" t="s">
        <v>140</v>
      </c>
      <c r="C423" s="9" t="s">
        <v>2</v>
      </c>
      <c r="D423" s="6">
        <v>16</v>
      </c>
      <c r="E423" s="6"/>
      <c r="F423" s="6">
        <v>6</v>
      </c>
      <c r="G423" s="8">
        <f>VLOOKUP(D423,$C$20:$F$26,3,0)</f>
        <v>0.8</v>
      </c>
      <c r="H423" s="8"/>
      <c r="I423" s="6"/>
      <c r="J423" s="6"/>
      <c r="K423" s="6"/>
      <c r="L423" s="6"/>
      <c r="M423" s="6"/>
      <c r="N423" s="6"/>
      <c r="O423" s="6">
        <f>(E421+2*(G423+(2*D423/1000)))*D421</f>
        <v>14.408999999999999</v>
      </c>
      <c r="P423" s="6">
        <f>O423*F423</f>
        <v>86.453999999999994</v>
      </c>
      <c r="Q423" s="6">
        <f t="shared" si="88"/>
        <v>0</v>
      </c>
      <c r="R423" s="6">
        <f t="shared" si="88"/>
        <v>0</v>
      </c>
      <c r="S423" s="6">
        <f t="shared" ref="Q423:W459" si="93">IF($D423=S$36,$P423*S$37,0)</f>
        <v>0</v>
      </c>
      <c r="T423" s="6">
        <f t="shared" si="93"/>
        <v>136.50839588571429</v>
      </c>
      <c r="U423" s="6">
        <f t="shared" si="93"/>
        <v>0</v>
      </c>
      <c r="V423" s="6">
        <f t="shared" si="93"/>
        <v>0</v>
      </c>
      <c r="W423" s="6">
        <f t="shared" si="93"/>
        <v>0</v>
      </c>
      <c r="X423" s="6">
        <f t="shared" si="84"/>
        <v>136.50839588571429</v>
      </c>
      <c r="Y423" s="6"/>
      <c r="Z423" s="6"/>
      <c r="AA423" s="6"/>
      <c r="AB423" s="6"/>
      <c r="AC423" s="6"/>
      <c r="AD423" s="6"/>
      <c r="AE423" s="6"/>
    </row>
    <row r="424" spans="1:32" s="5" customFormat="1" ht="20.100000000000001" customHeight="1" x14ac:dyDescent="0.25">
      <c r="A424" s="7"/>
      <c r="B424" s="6" t="s">
        <v>140</v>
      </c>
      <c r="C424" s="9" t="s">
        <v>14</v>
      </c>
      <c r="D424" s="6">
        <v>20</v>
      </c>
      <c r="E424" s="6"/>
      <c r="F424" s="6">
        <v>6</v>
      </c>
      <c r="G424" s="8">
        <f>VLOOKUP(D424,$C$20:$F$26,3,0)</f>
        <v>1</v>
      </c>
      <c r="H424" s="8"/>
      <c r="I424" s="6"/>
      <c r="J424" s="6"/>
      <c r="K424" s="6"/>
      <c r="L424" s="6"/>
      <c r="M424" s="6"/>
      <c r="N424" s="6"/>
      <c r="O424" s="6">
        <f>1.75+0.75+1.75</f>
        <v>4.25</v>
      </c>
      <c r="P424" s="6">
        <f>O424*F424</f>
        <v>25.5</v>
      </c>
      <c r="Q424" s="6">
        <f t="shared" si="93"/>
        <v>0</v>
      </c>
      <c r="R424" s="6">
        <f t="shared" si="93"/>
        <v>0</v>
      </c>
      <c r="S424" s="6">
        <f t="shared" si="93"/>
        <v>0</v>
      </c>
      <c r="T424" s="6">
        <f t="shared" si="93"/>
        <v>0</v>
      </c>
      <c r="U424" s="6">
        <f t="shared" si="93"/>
        <v>62.912142857142854</v>
      </c>
      <c r="V424" s="6">
        <f t="shared" si="93"/>
        <v>0</v>
      </c>
      <c r="W424" s="6">
        <f t="shared" si="93"/>
        <v>0</v>
      </c>
      <c r="X424" s="6">
        <f t="shared" si="84"/>
        <v>62.912142857142854</v>
      </c>
      <c r="Y424" s="6"/>
      <c r="Z424" s="6"/>
      <c r="AA424" s="6"/>
      <c r="AB424" s="6"/>
      <c r="AC424" s="6"/>
      <c r="AD424" s="6"/>
      <c r="AE424" s="6"/>
    </row>
    <row r="425" spans="1:32" s="5" customFormat="1" ht="20.100000000000001" customHeight="1" x14ac:dyDescent="0.25">
      <c r="A425" s="7"/>
      <c r="B425" s="6" t="s">
        <v>140</v>
      </c>
      <c r="C425" s="9" t="s">
        <v>1</v>
      </c>
      <c r="D425" s="6">
        <v>20</v>
      </c>
      <c r="E425" s="6"/>
      <c r="F425" s="6">
        <v>6</v>
      </c>
      <c r="G425" s="8">
        <f>VLOOKUP(D425,$C$20:$F$26,3,0)</f>
        <v>1</v>
      </c>
      <c r="H425" s="6"/>
      <c r="I425" s="6"/>
      <c r="J425" s="6"/>
      <c r="K425" s="6"/>
      <c r="L425" s="6"/>
      <c r="M425" s="6"/>
      <c r="N425" s="6"/>
      <c r="O425" s="6">
        <f>(E421+2*(G425+(2*D425/1000)))*D421</f>
        <v>14.824999999999999</v>
      </c>
      <c r="P425" s="6">
        <f>O425*F425</f>
        <v>88.949999999999989</v>
      </c>
      <c r="Q425" s="6">
        <f t="shared" si="93"/>
        <v>0</v>
      </c>
      <c r="R425" s="6">
        <f t="shared" si="93"/>
        <v>0</v>
      </c>
      <c r="S425" s="6">
        <f t="shared" si="93"/>
        <v>0</v>
      </c>
      <c r="T425" s="6">
        <f t="shared" si="93"/>
        <v>0</v>
      </c>
      <c r="U425" s="6">
        <f t="shared" si="93"/>
        <v>219.4523571428571</v>
      </c>
      <c r="V425" s="6">
        <f t="shared" si="93"/>
        <v>0</v>
      </c>
      <c r="W425" s="6">
        <f t="shared" si="93"/>
        <v>0</v>
      </c>
      <c r="X425" s="6">
        <f t="shared" si="84"/>
        <v>219.4523571428571</v>
      </c>
      <c r="Y425" s="6"/>
      <c r="Z425" s="6"/>
      <c r="AA425" s="6"/>
      <c r="AB425" s="6"/>
      <c r="AC425" s="6"/>
      <c r="AD425" s="6"/>
      <c r="AE425" s="6"/>
    </row>
    <row r="426" spans="1:32" s="5" customFormat="1" ht="20.100000000000001" customHeight="1" x14ac:dyDescent="0.25">
      <c r="A426" s="7"/>
      <c r="B426" s="6" t="s">
        <v>140</v>
      </c>
      <c r="C426" s="9" t="s">
        <v>18</v>
      </c>
      <c r="D426" s="6">
        <v>20</v>
      </c>
      <c r="E426" s="6"/>
      <c r="F426" s="6">
        <v>6</v>
      </c>
      <c r="G426" s="8">
        <f>VLOOKUP(D426,$C$20:$F$26,3,0)</f>
        <v>1</v>
      </c>
      <c r="H426" s="6"/>
      <c r="I426" s="6"/>
      <c r="J426" s="6"/>
      <c r="K426" s="6"/>
      <c r="L426" s="6"/>
      <c r="M426" s="6"/>
      <c r="N426" s="6"/>
      <c r="O426" s="6">
        <f>+E421</f>
        <v>12.744999999999999</v>
      </c>
      <c r="P426" s="6">
        <f>O426*F426</f>
        <v>76.47</v>
      </c>
      <c r="Q426" s="6">
        <f t="shared" si="93"/>
        <v>0</v>
      </c>
      <c r="R426" s="6">
        <f t="shared" si="93"/>
        <v>0</v>
      </c>
      <c r="S426" s="6">
        <f t="shared" si="93"/>
        <v>0</v>
      </c>
      <c r="T426" s="6">
        <f t="shared" si="93"/>
        <v>0</v>
      </c>
      <c r="U426" s="6">
        <f t="shared" si="93"/>
        <v>188.66241428571428</v>
      </c>
      <c r="V426" s="6">
        <f t="shared" si="93"/>
        <v>0</v>
      </c>
      <c r="W426" s="6">
        <f t="shared" si="93"/>
        <v>0</v>
      </c>
      <c r="X426" s="6">
        <f t="shared" si="84"/>
        <v>188.66241428571428</v>
      </c>
      <c r="Y426" s="6"/>
      <c r="Z426" s="6"/>
      <c r="AA426" s="6"/>
      <c r="AB426" s="6"/>
      <c r="AC426" s="6"/>
      <c r="AD426" s="6"/>
      <c r="AE426" s="6"/>
    </row>
    <row r="427" spans="1:32" s="5" customFormat="1" ht="20.100000000000001" customHeight="1" x14ac:dyDescent="0.25">
      <c r="A427" s="7"/>
      <c r="B427" s="6" t="s">
        <v>140</v>
      </c>
      <c r="C427" s="9" t="s">
        <v>0</v>
      </c>
      <c r="D427" s="6">
        <v>8</v>
      </c>
      <c r="E427" s="6">
        <v>0.1</v>
      </c>
      <c r="F427" s="6">
        <f>ROUND(IF(E421/3&gt;(2*G421),(E421/3)/E427,(2*G421)/E427),0)*2+1</f>
        <v>85</v>
      </c>
      <c r="G427" s="8"/>
      <c r="H427" s="6"/>
      <c r="I427" s="6"/>
      <c r="J427" s="6"/>
      <c r="K427" s="6"/>
      <c r="L427" s="6"/>
      <c r="M427" s="6"/>
      <c r="N427" s="6"/>
      <c r="O427" s="6">
        <f>(2*((G421-(2*$D$11))+(F421-(2*$D$11)))+(2*10*D427/1000))*D421</f>
        <v>4.32</v>
      </c>
      <c r="P427" s="6">
        <f t="shared" ref="P427:P431" si="94">O427*F427</f>
        <v>367.20000000000005</v>
      </c>
      <c r="Q427" s="6">
        <f t="shared" si="93"/>
        <v>144.94957714285718</v>
      </c>
      <c r="R427" s="6">
        <f t="shared" si="93"/>
        <v>0</v>
      </c>
      <c r="S427" s="6">
        <f t="shared" si="93"/>
        <v>0</v>
      </c>
      <c r="T427" s="6">
        <f t="shared" si="93"/>
        <v>0</v>
      </c>
      <c r="U427" s="6">
        <f t="shared" si="93"/>
        <v>0</v>
      </c>
      <c r="V427" s="6">
        <f t="shared" si="93"/>
        <v>0</v>
      </c>
      <c r="W427" s="6">
        <f t="shared" si="93"/>
        <v>0</v>
      </c>
      <c r="X427" s="6">
        <f t="shared" ref="X427:X490" si="95">SUM(Q427:W427)</f>
        <v>144.94957714285718</v>
      </c>
      <c r="Y427" s="6"/>
      <c r="Z427" s="6"/>
      <c r="AA427" s="6"/>
      <c r="AB427" s="6"/>
      <c r="AC427" s="6"/>
      <c r="AD427" s="6"/>
      <c r="AE427" s="6"/>
    </row>
    <row r="428" spans="1:32" s="12" customFormat="1" ht="20.100000000000001" customHeight="1" x14ac:dyDescent="0.25">
      <c r="B428" s="6" t="s">
        <v>140</v>
      </c>
      <c r="C428" s="9" t="s">
        <v>25</v>
      </c>
      <c r="D428" s="6">
        <f>+D427</f>
        <v>8</v>
      </c>
      <c r="E428" s="6">
        <f>+E427</f>
        <v>0.1</v>
      </c>
      <c r="F428" s="12">
        <f>+F427</f>
        <v>85</v>
      </c>
      <c r="G428" s="5"/>
      <c r="O428" s="3">
        <f>((((G421-(2*$D$11))+(2*10*D428/1000))*D421))*2*2</f>
        <v>6.3999999999999995</v>
      </c>
      <c r="P428" s="6">
        <f>O428*F428</f>
        <v>544</v>
      </c>
      <c r="Q428" s="6">
        <f t="shared" si="93"/>
        <v>214.7401142857143</v>
      </c>
      <c r="R428" s="6">
        <f t="shared" si="93"/>
        <v>0</v>
      </c>
      <c r="S428" s="6">
        <f t="shared" si="93"/>
        <v>0</v>
      </c>
      <c r="T428" s="6">
        <f t="shared" si="93"/>
        <v>0</v>
      </c>
      <c r="U428" s="6">
        <f t="shared" si="93"/>
        <v>0</v>
      </c>
      <c r="V428" s="6">
        <f t="shared" si="93"/>
        <v>0</v>
      </c>
      <c r="W428" s="6">
        <f t="shared" si="93"/>
        <v>0</v>
      </c>
      <c r="X428" s="6">
        <f t="shared" si="95"/>
        <v>214.7401142857143</v>
      </c>
    </row>
    <row r="429" spans="1:32" s="12" customFormat="1" ht="20.100000000000001" customHeight="1" x14ac:dyDescent="0.3">
      <c r="B429" s="6" t="s">
        <v>140</v>
      </c>
      <c r="C429" s="9" t="s">
        <v>0</v>
      </c>
      <c r="D429" s="12">
        <v>8</v>
      </c>
      <c r="E429" s="12">
        <v>0.2</v>
      </c>
      <c r="F429" s="12">
        <f>ROUND((E421-(IF(E421/3&gt;2*G421,E421/3*2,G421*2*2)))/E429,0)</f>
        <v>21</v>
      </c>
      <c r="O429" s="6">
        <f>(2*((G421-(2*$D$11))+(F421-(2*$D$11)))+(2*10*D429/1000))*D421</f>
        <v>4.32</v>
      </c>
      <c r="P429" s="6">
        <f t="shared" si="94"/>
        <v>90.72</v>
      </c>
      <c r="Q429" s="6">
        <f t="shared" si="93"/>
        <v>35.811072000000003</v>
      </c>
      <c r="R429" s="6">
        <f t="shared" si="93"/>
        <v>0</v>
      </c>
      <c r="S429" s="6">
        <f t="shared" si="93"/>
        <v>0</v>
      </c>
      <c r="T429" s="6">
        <f t="shared" si="93"/>
        <v>0</v>
      </c>
      <c r="U429" s="6">
        <f t="shared" si="93"/>
        <v>0</v>
      </c>
      <c r="V429" s="6">
        <f t="shared" si="93"/>
        <v>0</v>
      </c>
      <c r="W429" s="6">
        <f t="shared" si="93"/>
        <v>0</v>
      </c>
      <c r="X429" s="6">
        <f t="shared" si="95"/>
        <v>35.811072000000003</v>
      </c>
    </row>
    <row r="430" spans="1:32" s="12" customFormat="1" ht="20.100000000000001" customHeight="1" x14ac:dyDescent="0.25">
      <c r="B430" s="6" t="s">
        <v>140</v>
      </c>
      <c r="C430" s="9" t="s">
        <v>25</v>
      </c>
      <c r="D430" s="6">
        <f>+D429</f>
        <v>8</v>
      </c>
      <c r="E430" s="6">
        <f>+E429</f>
        <v>0.2</v>
      </c>
      <c r="F430" s="12">
        <f>+F429</f>
        <v>21</v>
      </c>
      <c r="G430" s="5"/>
      <c r="O430" s="3">
        <f>((((G421-(2*$D$11))+(2*10*D430/1000))*D421))*2*2</f>
        <v>6.3999999999999995</v>
      </c>
      <c r="P430" s="6">
        <f>O430*F430</f>
        <v>134.39999999999998</v>
      </c>
      <c r="Q430" s="6">
        <f t="shared" si="93"/>
        <v>53.053439999999995</v>
      </c>
      <c r="R430" s="6">
        <f t="shared" si="93"/>
        <v>0</v>
      </c>
      <c r="S430" s="6">
        <f t="shared" si="93"/>
        <v>0</v>
      </c>
      <c r="T430" s="6">
        <f t="shared" si="93"/>
        <v>0</v>
      </c>
      <c r="U430" s="6">
        <f t="shared" si="93"/>
        <v>0</v>
      </c>
      <c r="V430" s="6">
        <f t="shared" si="93"/>
        <v>0</v>
      </c>
      <c r="W430" s="6">
        <f t="shared" si="93"/>
        <v>0</v>
      </c>
      <c r="X430" s="6">
        <f t="shared" si="95"/>
        <v>53.053439999999995</v>
      </c>
    </row>
    <row r="431" spans="1:32" s="5" customFormat="1" ht="20.100000000000001" customHeight="1" x14ac:dyDescent="0.25">
      <c r="A431" s="7"/>
      <c r="B431" s="6" t="s">
        <v>140</v>
      </c>
      <c r="C431" s="9" t="s">
        <v>6</v>
      </c>
      <c r="D431" s="6">
        <v>12</v>
      </c>
      <c r="E431" s="6">
        <v>0.13</v>
      </c>
      <c r="F431" s="6">
        <f>4*2</f>
        <v>8</v>
      </c>
      <c r="G431" s="8">
        <f>VLOOKUP(D431,$C$20:$F$26,3,0)</f>
        <v>0.6</v>
      </c>
      <c r="H431" s="6"/>
      <c r="I431" s="6"/>
      <c r="J431" s="6"/>
      <c r="K431" s="6"/>
      <c r="L431" s="6"/>
      <c r="M431" s="6"/>
      <c r="N431" s="6"/>
      <c r="O431" s="6">
        <f>+E421</f>
        <v>12.744999999999999</v>
      </c>
      <c r="P431" s="6">
        <f t="shared" si="94"/>
        <v>101.96</v>
      </c>
      <c r="Q431" s="6">
        <f t="shared" si="93"/>
        <v>0</v>
      </c>
      <c r="R431" s="6">
        <f t="shared" si="93"/>
        <v>0</v>
      </c>
      <c r="S431" s="6">
        <f t="shared" si="93"/>
        <v>90.557958857142864</v>
      </c>
      <c r="T431" s="6">
        <f t="shared" si="93"/>
        <v>0</v>
      </c>
      <c r="U431" s="6">
        <f t="shared" si="93"/>
        <v>0</v>
      </c>
      <c r="V431" s="6">
        <f t="shared" si="93"/>
        <v>0</v>
      </c>
      <c r="W431" s="6">
        <f t="shared" si="93"/>
        <v>0</v>
      </c>
      <c r="X431" s="6">
        <f t="shared" si="95"/>
        <v>90.557958857142864</v>
      </c>
      <c r="Y431" s="6"/>
      <c r="Z431" s="6"/>
      <c r="AA431" s="6"/>
      <c r="AB431" s="6"/>
      <c r="AC431" s="6"/>
      <c r="AD431" s="6"/>
      <c r="AE431" s="6"/>
    </row>
    <row r="432" spans="1:32" s="5" customFormat="1" ht="20.100000000000001" customHeight="1" x14ac:dyDescent="0.25">
      <c r="A432" s="7"/>
      <c r="B432" s="6" t="s">
        <v>140</v>
      </c>
      <c r="C432" s="9" t="s">
        <v>17</v>
      </c>
      <c r="D432" s="6">
        <f>+$D$15</f>
        <v>25</v>
      </c>
      <c r="E432" s="6">
        <f>+$E$15</f>
        <v>1</v>
      </c>
      <c r="F432" s="6">
        <f>ROUNDUP((E421)/E432,0)+1</f>
        <v>14</v>
      </c>
      <c r="G432" s="8"/>
      <c r="H432" s="8"/>
      <c r="I432" s="6"/>
      <c r="J432" s="6"/>
      <c r="K432" s="6"/>
      <c r="L432" s="6"/>
      <c r="M432" s="6"/>
      <c r="N432" s="6"/>
      <c r="O432" s="6">
        <f>+F421-(2*$D$11)</f>
        <v>0.6399999999999999</v>
      </c>
      <c r="P432" s="6">
        <f>O432*F432</f>
        <v>8.9599999999999991</v>
      </c>
      <c r="Q432" s="6">
        <f t="shared" si="93"/>
        <v>0</v>
      </c>
      <c r="R432" s="6">
        <f t="shared" si="93"/>
        <v>0</v>
      </c>
      <c r="S432" s="6">
        <f t="shared" si="93"/>
        <v>0</v>
      </c>
      <c r="T432" s="6">
        <f t="shared" si="93"/>
        <v>0</v>
      </c>
      <c r="U432" s="6">
        <f t="shared" si="93"/>
        <v>0</v>
      </c>
      <c r="V432" s="6">
        <f t="shared" si="93"/>
        <v>34.54</v>
      </c>
      <c r="W432" s="6">
        <f t="shared" si="93"/>
        <v>0</v>
      </c>
      <c r="X432" s="6">
        <f t="shared" si="95"/>
        <v>34.54</v>
      </c>
      <c r="Y432" s="6"/>
      <c r="Z432" s="6"/>
      <c r="AA432" s="6"/>
      <c r="AB432" s="6"/>
      <c r="AC432" s="6"/>
      <c r="AD432" s="6"/>
      <c r="AE432" s="6"/>
    </row>
    <row r="433" spans="1:32" s="5" customFormat="1" ht="20.100000000000001" customHeight="1" x14ac:dyDescent="0.25">
      <c r="A433" s="6">
        <f>A421+1</f>
        <v>55</v>
      </c>
      <c r="B433" s="6" t="s">
        <v>140</v>
      </c>
      <c r="C433" s="11" t="s">
        <v>40</v>
      </c>
      <c r="D433" s="11">
        <v>1</v>
      </c>
      <c r="E433" s="11">
        <v>1.748</v>
      </c>
      <c r="F433" s="11">
        <v>0.2</v>
      </c>
      <c r="G433" s="11">
        <v>0.75</v>
      </c>
      <c r="H433" s="6">
        <f>G433-0.2</f>
        <v>0.55000000000000004</v>
      </c>
      <c r="I433" s="6">
        <f>E433*F433*G433*D433</f>
        <v>0.26219999999999999</v>
      </c>
      <c r="J433" s="6">
        <f>(2*(E433)*H433*D433)+(E433*F433)</f>
        <v>2.2724000000000002</v>
      </c>
      <c r="K433" s="10">
        <f>IF(E433=0.3,J433,0)</f>
        <v>0</v>
      </c>
      <c r="L433" s="10">
        <f>IF(AND(E433&gt;0.3,E433&lt;=0.75),J433,0)</f>
        <v>0</v>
      </c>
      <c r="M433" s="10">
        <f>IF(AND(E433&gt;0.75,E433&lt;=1.2),J433,0)</f>
        <v>0</v>
      </c>
      <c r="N433" s="10">
        <f>IF(E433&gt;1.2,J433,0)</f>
        <v>2.2724000000000002</v>
      </c>
      <c r="O433" s="6"/>
      <c r="P433" s="6"/>
      <c r="Q433" s="6">
        <f t="shared" si="93"/>
        <v>0</v>
      </c>
      <c r="R433" s="6">
        <f t="shared" si="93"/>
        <v>0</v>
      </c>
      <c r="S433" s="6">
        <f t="shared" si="93"/>
        <v>0</v>
      </c>
      <c r="T433" s="6">
        <f t="shared" si="93"/>
        <v>0</v>
      </c>
      <c r="U433" s="6">
        <f t="shared" si="93"/>
        <v>0</v>
      </c>
      <c r="V433" s="6">
        <f t="shared" si="93"/>
        <v>0</v>
      </c>
      <c r="W433" s="6">
        <f t="shared" si="93"/>
        <v>0</v>
      </c>
      <c r="X433" s="6">
        <f t="shared" si="95"/>
        <v>0</v>
      </c>
      <c r="Y433" s="7">
        <f>SUM(X434:X436)/I433</f>
        <v>109.58856619810396</v>
      </c>
      <c r="Z433" s="6"/>
      <c r="AA433" s="6"/>
      <c r="AB433" s="6"/>
      <c r="AC433" s="6"/>
      <c r="AD433" s="6"/>
      <c r="AE433" s="6"/>
      <c r="AF433" s="6"/>
    </row>
    <row r="434" spans="1:32" s="5" customFormat="1" ht="20.100000000000001" customHeight="1" x14ac:dyDescent="0.25">
      <c r="A434" s="7"/>
      <c r="B434" s="6" t="s">
        <v>140</v>
      </c>
      <c r="C434" s="9" t="s">
        <v>2</v>
      </c>
      <c r="D434" s="6">
        <v>16</v>
      </c>
      <c r="E434" s="6"/>
      <c r="F434" s="6">
        <v>2</v>
      </c>
      <c r="G434" s="8">
        <f>VLOOKUP(D434,$C$20:$F$26,3,0)</f>
        <v>0.8</v>
      </c>
      <c r="H434" s="8"/>
      <c r="I434" s="6"/>
      <c r="J434" s="6"/>
      <c r="K434" s="6"/>
      <c r="L434" s="6"/>
      <c r="M434" s="6"/>
      <c r="N434" s="6"/>
      <c r="O434" s="6">
        <f>(E433+2*(G434+(2*D434/1000)))*D433</f>
        <v>3.4119999999999999</v>
      </c>
      <c r="P434" s="6">
        <f>O434*F434</f>
        <v>6.8239999999999998</v>
      </c>
      <c r="Q434" s="6">
        <f t="shared" si="93"/>
        <v>0</v>
      </c>
      <c r="R434" s="6">
        <f t="shared" si="93"/>
        <v>0</v>
      </c>
      <c r="S434" s="6">
        <f t="shared" si="93"/>
        <v>0</v>
      </c>
      <c r="T434" s="6">
        <f t="shared" si="93"/>
        <v>10.77490102857143</v>
      </c>
      <c r="U434" s="6">
        <f t="shared" si="93"/>
        <v>0</v>
      </c>
      <c r="V434" s="6">
        <f t="shared" si="93"/>
        <v>0</v>
      </c>
      <c r="W434" s="6">
        <f t="shared" si="93"/>
        <v>0</v>
      </c>
      <c r="X434" s="6">
        <f t="shared" si="95"/>
        <v>10.77490102857143</v>
      </c>
      <c r="Y434" s="6"/>
      <c r="Z434" s="6"/>
      <c r="AA434" s="6"/>
      <c r="AB434" s="6"/>
      <c r="AC434" s="6"/>
      <c r="AD434" s="6"/>
      <c r="AE434" s="6"/>
    </row>
    <row r="435" spans="1:32" s="5" customFormat="1" ht="20.100000000000001" customHeight="1" x14ac:dyDescent="0.25">
      <c r="A435" s="7"/>
      <c r="B435" s="6" t="s">
        <v>140</v>
      </c>
      <c r="C435" s="9" t="s">
        <v>1</v>
      </c>
      <c r="D435" s="6">
        <v>16</v>
      </c>
      <c r="E435" s="6"/>
      <c r="F435" s="6">
        <v>2</v>
      </c>
      <c r="G435" s="8">
        <f>VLOOKUP(D435,$C$20:$F$26,3,0)</f>
        <v>0.8</v>
      </c>
      <c r="H435" s="6"/>
      <c r="I435" s="6"/>
      <c r="J435" s="6"/>
      <c r="K435" s="6"/>
      <c r="L435" s="6"/>
      <c r="M435" s="6"/>
      <c r="N435" s="6"/>
      <c r="O435" s="6">
        <f>(E433+2*(G435+(2*D435/1000)))*D433</f>
        <v>3.4119999999999999</v>
      </c>
      <c r="P435" s="6">
        <f>O435*F435</f>
        <v>6.8239999999999998</v>
      </c>
      <c r="Q435" s="6">
        <f t="shared" si="93"/>
        <v>0</v>
      </c>
      <c r="R435" s="6">
        <f t="shared" si="93"/>
        <v>0</v>
      </c>
      <c r="S435" s="6">
        <f t="shared" si="93"/>
        <v>0</v>
      </c>
      <c r="T435" s="6">
        <f t="shared" si="93"/>
        <v>10.77490102857143</v>
      </c>
      <c r="U435" s="6">
        <f t="shared" si="93"/>
        <v>0</v>
      </c>
      <c r="V435" s="6">
        <f t="shared" si="93"/>
        <v>0</v>
      </c>
      <c r="W435" s="6">
        <f t="shared" si="93"/>
        <v>0</v>
      </c>
      <c r="X435" s="6">
        <f t="shared" si="95"/>
        <v>10.77490102857143</v>
      </c>
      <c r="Y435" s="6"/>
      <c r="Z435" s="6"/>
      <c r="AA435" s="6"/>
      <c r="AB435" s="6"/>
      <c r="AC435" s="6"/>
      <c r="AD435" s="6"/>
      <c r="AE435" s="6"/>
    </row>
    <row r="436" spans="1:32" s="5" customFormat="1" ht="20.100000000000001" customHeight="1" x14ac:dyDescent="0.25">
      <c r="A436" s="7"/>
      <c r="B436" s="6" t="s">
        <v>140</v>
      </c>
      <c r="C436" s="9" t="s">
        <v>0</v>
      </c>
      <c r="D436" s="6">
        <v>8</v>
      </c>
      <c r="E436" s="6">
        <v>0.2</v>
      </c>
      <c r="F436" s="6">
        <f>+ROUND(E433/E436,0)+1</f>
        <v>10</v>
      </c>
      <c r="H436" s="6"/>
      <c r="I436" s="6"/>
      <c r="J436" s="6"/>
      <c r="K436" s="6"/>
      <c r="L436" s="6"/>
      <c r="M436" s="6"/>
      <c r="N436" s="6"/>
      <c r="O436" s="6">
        <f>(2*((G433-(2*$D$11))+(F433-(2*$D$11)))+(2*10*D436/1000))*D433</f>
        <v>1.8199999999999998</v>
      </c>
      <c r="P436" s="6">
        <f>O436*F436</f>
        <v>18.2</v>
      </c>
      <c r="Q436" s="6">
        <f t="shared" si="93"/>
        <v>7.1843200000000005</v>
      </c>
      <c r="R436" s="6">
        <f t="shared" si="93"/>
        <v>0</v>
      </c>
      <c r="S436" s="6">
        <f t="shared" si="93"/>
        <v>0</v>
      </c>
      <c r="T436" s="6">
        <f t="shared" si="93"/>
        <v>0</v>
      </c>
      <c r="U436" s="6">
        <f t="shared" si="93"/>
        <v>0</v>
      </c>
      <c r="V436" s="6">
        <f t="shared" si="93"/>
        <v>0</v>
      </c>
      <c r="W436" s="6">
        <f t="shared" si="93"/>
        <v>0</v>
      </c>
      <c r="X436" s="6">
        <f t="shared" si="95"/>
        <v>7.1843200000000005</v>
      </c>
      <c r="Y436" s="6"/>
      <c r="Z436" s="6"/>
      <c r="AA436" s="6"/>
      <c r="AB436" s="6"/>
      <c r="AC436" s="6"/>
      <c r="AD436" s="6"/>
      <c r="AE436" s="6"/>
    </row>
    <row r="437" spans="1:32" s="5" customFormat="1" ht="20.100000000000001" customHeight="1" x14ac:dyDescent="0.25">
      <c r="A437" s="6">
        <f>A433+1</f>
        <v>56</v>
      </c>
      <c r="B437" s="6" t="s">
        <v>140</v>
      </c>
      <c r="C437" s="11" t="s">
        <v>39</v>
      </c>
      <c r="D437" s="11">
        <v>1</v>
      </c>
      <c r="E437" s="11">
        <v>3.4580000000000002</v>
      </c>
      <c r="F437" s="11">
        <v>0.3</v>
      </c>
      <c r="G437" s="11">
        <v>0.75</v>
      </c>
      <c r="H437" s="6">
        <f>G437-0.2</f>
        <v>0.55000000000000004</v>
      </c>
      <c r="I437" s="6">
        <f>E437*F437*G437*D437</f>
        <v>0.77805000000000013</v>
      </c>
      <c r="J437" s="6">
        <f>(2*(E437)*H437*D437)+(E437*F437)</f>
        <v>4.8412000000000006</v>
      </c>
      <c r="K437" s="10">
        <f>IF(E437=0.3,J437,0)</f>
        <v>0</v>
      </c>
      <c r="L437" s="10">
        <f>IF(AND(E437&gt;0.3,E437&lt;=0.75),J437,0)</f>
        <v>0</v>
      </c>
      <c r="M437" s="10">
        <f>IF(AND(E437&gt;0.75,E437&lt;=1.2),J437,0)</f>
        <v>0</v>
      </c>
      <c r="N437" s="10">
        <f>IF(E437&gt;1.2,J437,0)</f>
        <v>4.8412000000000006</v>
      </c>
      <c r="O437" s="6"/>
      <c r="P437" s="6"/>
      <c r="Q437" s="6">
        <f t="shared" si="93"/>
        <v>0</v>
      </c>
      <c r="R437" s="6">
        <f t="shared" si="93"/>
        <v>0</v>
      </c>
      <c r="S437" s="6">
        <f t="shared" si="93"/>
        <v>0</v>
      </c>
      <c r="T437" s="6">
        <f t="shared" si="93"/>
        <v>0</v>
      </c>
      <c r="U437" s="6">
        <f t="shared" si="93"/>
        <v>0</v>
      </c>
      <c r="V437" s="6">
        <f t="shared" si="93"/>
        <v>0</v>
      </c>
      <c r="W437" s="6">
        <f t="shared" si="93"/>
        <v>0</v>
      </c>
      <c r="X437" s="6">
        <f t="shared" si="95"/>
        <v>0</v>
      </c>
      <c r="Y437" s="7">
        <f>SUM(X438:X443)/I437</f>
        <v>132.65209286953646</v>
      </c>
      <c r="Z437" s="6"/>
      <c r="AA437" s="6"/>
      <c r="AB437" s="6"/>
      <c r="AC437" s="6"/>
      <c r="AD437" s="6"/>
      <c r="AE437" s="6"/>
      <c r="AF437" s="6"/>
    </row>
    <row r="438" spans="1:32" s="5" customFormat="1" ht="20.100000000000001" customHeight="1" x14ac:dyDescent="0.25">
      <c r="A438" s="7"/>
      <c r="B438" s="6" t="s">
        <v>140</v>
      </c>
      <c r="C438" s="9" t="s">
        <v>2</v>
      </c>
      <c r="D438" s="6">
        <v>16</v>
      </c>
      <c r="E438" s="6"/>
      <c r="F438" s="6">
        <v>3</v>
      </c>
      <c r="G438" s="8">
        <f>VLOOKUP(D438,$C$20:$F$26,3,0)</f>
        <v>0.8</v>
      </c>
      <c r="H438" s="8"/>
      <c r="I438" s="6"/>
      <c r="J438" s="6"/>
      <c r="K438" s="6"/>
      <c r="L438" s="6"/>
      <c r="M438" s="6"/>
      <c r="N438" s="6"/>
      <c r="O438" s="6">
        <f>(E437+2*(G438+(2*D438/1000)))*D437</f>
        <v>5.1219999999999999</v>
      </c>
      <c r="P438" s="6">
        <f>O438*F438</f>
        <v>15.366</v>
      </c>
      <c r="Q438" s="6">
        <f t="shared" si="93"/>
        <v>0</v>
      </c>
      <c r="R438" s="6">
        <f t="shared" si="93"/>
        <v>0</v>
      </c>
      <c r="S438" s="6">
        <f t="shared" si="93"/>
        <v>0</v>
      </c>
      <c r="T438" s="6">
        <f t="shared" si="93"/>
        <v>24.262474971428574</v>
      </c>
      <c r="U438" s="6">
        <f t="shared" si="93"/>
        <v>0</v>
      </c>
      <c r="V438" s="6">
        <f t="shared" si="93"/>
        <v>0</v>
      </c>
      <c r="W438" s="6">
        <f t="shared" si="93"/>
        <v>0</v>
      </c>
      <c r="X438" s="6">
        <f t="shared" si="95"/>
        <v>24.262474971428574</v>
      </c>
      <c r="Y438" s="6"/>
      <c r="Z438" s="6"/>
      <c r="AA438" s="6"/>
      <c r="AB438" s="6"/>
      <c r="AC438" s="6"/>
      <c r="AD438" s="6"/>
      <c r="AE438" s="6"/>
    </row>
    <row r="439" spans="1:32" s="5" customFormat="1" ht="20.100000000000001" customHeight="1" x14ac:dyDescent="0.25">
      <c r="A439" s="7"/>
      <c r="B439" s="6" t="s">
        <v>140</v>
      </c>
      <c r="C439" s="9" t="s">
        <v>1</v>
      </c>
      <c r="D439" s="6">
        <v>20</v>
      </c>
      <c r="E439" s="6"/>
      <c r="F439" s="6">
        <v>3</v>
      </c>
      <c r="G439" s="8">
        <f>VLOOKUP(D439,$C$20:$F$26,3,0)</f>
        <v>1</v>
      </c>
      <c r="H439" s="8"/>
      <c r="I439" s="6"/>
      <c r="J439" s="6"/>
      <c r="K439" s="6"/>
      <c r="L439" s="6"/>
      <c r="M439" s="6"/>
      <c r="N439" s="6"/>
      <c r="O439" s="6">
        <f>(E437+2*(G439+(2*D439/1000)))*D437</f>
        <v>5.5380000000000003</v>
      </c>
      <c r="P439" s="6">
        <f>O439*F439</f>
        <v>16.614000000000001</v>
      </c>
      <c r="Q439" s="6">
        <f t="shared" si="93"/>
        <v>0</v>
      </c>
      <c r="R439" s="6">
        <f t="shared" si="93"/>
        <v>0</v>
      </c>
      <c r="S439" s="6">
        <f t="shared" si="93"/>
        <v>0</v>
      </c>
      <c r="T439" s="6">
        <f t="shared" si="93"/>
        <v>0</v>
      </c>
      <c r="U439" s="6">
        <f t="shared" si="93"/>
        <v>40.989111428571427</v>
      </c>
      <c r="V439" s="6">
        <f t="shared" si="93"/>
        <v>0</v>
      </c>
      <c r="W439" s="6">
        <f t="shared" si="93"/>
        <v>0</v>
      </c>
      <c r="X439" s="6">
        <f t="shared" si="95"/>
        <v>40.989111428571427</v>
      </c>
      <c r="Y439" s="6"/>
      <c r="Z439" s="6"/>
      <c r="AA439" s="6"/>
      <c r="AB439" s="6"/>
      <c r="AC439" s="6"/>
      <c r="AD439" s="6"/>
      <c r="AE439" s="6"/>
    </row>
    <row r="440" spans="1:32" s="5" customFormat="1" ht="20.100000000000001" customHeight="1" x14ac:dyDescent="0.25">
      <c r="A440" s="7"/>
      <c r="B440" s="6" t="s">
        <v>140</v>
      </c>
      <c r="C440" s="9" t="s">
        <v>18</v>
      </c>
      <c r="D440" s="6">
        <v>12</v>
      </c>
      <c r="E440" s="6"/>
      <c r="F440" s="6">
        <v>2</v>
      </c>
      <c r="G440" s="8">
        <f>VLOOKUP(D440,$C$20:$F$26,3,0)</f>
        <v>0.6</v>
      </c>
      <c r="H440" s="6"/>
      <c r="I440" s="6"/>
      <c r="J440" s="6"/>
      <c r="K440" s="6"/>
      <c r="L440" s="6"/>
      <c r="M440" s="6"/>
      <c r="N440" s="6"/>
      <c r="O440" s="6">
        <f>+E437</f>
        <v>3.4580000000000002</v>
      </c>
      <c r="P440" s="6">
        <f>O440*F440</f>
        <v>6.9160000000000004</v>
      </c>
      <c r="Q440" s="6">
        <f t="shared" si="93"/>
        <v>0</v>
      </c>
      <c r="R440" s="6">
        <f t="shared" si="93"/>
        <v>0</v>
      </c>
      <c r="S440" s="6">
        <f t="shared" si="93"/>
        <v>6.1425936000000014</v>
      </c>
      <c r="T440" s="6">
        <f t="shared" si="93"/>
        <v>0</v>
      </c>
      <c r="U440" s="6">
        <f t="shared" si="93"/>
        <v>0</v>
      </c>
      <c r="V440" s="6">
        <f t="shared" si="93"/>
        <v>0</v>
      </c>
      <c r="W440" s="6">
        <f t="shared" si="93"/>
        <v>0</v>
      </c>
      <c r="X440" s="6">
        <f t="shared" si="95"/>
        <v>6.1425936000000014</v>
      </c>
      <c r="Y440" s="6"/>
      <c r="Z440" s="6"/>
      <c r="AA440" s="6"/>
      <c r="AB440" s="6"/>
      <c r="AC440" s="6"/>
      <c r="AD440" s="6"/>
      <c r="AE440" s="6"/>
    </row>
    <row r="441" spans="1:32" s="5" customFormat="1" ht="20.100000000000001" customHeight="1" x14ac:dyDescent="0.25">
      <c r="A441" s="7"/>
      <c r="B441" s="6" t="s">
        <v>140</v>
      </c>
      <c r="C441" s="9" t="s">
        <v>0</v>
      </c>
      <c r="D441" s="6">
        <v>8</v>
      </c>
      <c r="E441" s="6">
        <v>0.15</v>
      </c>
      <c r="F441" s="6">
        <f>+ROUND(E437/E441,0)+1</f>
        <v>24</v>
      </c>
      <c r="H441" s="6"/>
      <c r="I441" s="6"/>
      <c r="J441" s="6"/>
      <c r="K441" s="6"/>
      <c r="L441" s="6"/>
      <c r="M441" s="6"/>
      <c r="N441" s="6"/>
      <c r="O441" s="6">
        <f>(2*((G437-(2*$D$11))+(F437-(2*$D$11)))+(2*10*D441/1000))*D437</f>
        <v>2.02</v>
      </c>
      <c r="P441" s="6">
        <f>O441*F441</f>
        <v>48.480000000000004</v>
      </c>
      <c r="Q441" s="6">
        <f t="shared" si="93"/>
        <v>19.137133714285717</v>
      </c>
      <c r="R441" s="6">
        <f t="shared" si="93"/>
        <v>0</v>
      </c>
      <c r="S441" s="6">
        <f t="shared" si="93"/>
        <v>0</v>
      </c>
      <c r="T441" s="6">
        <f t="shared" si="93"/>
        <v>0</v>
      </c>
      <c r="U441" s="6">
        <f t="shared" si="93"/>
        <v>0</v>
      </c>
      <c r="V441" s="6">
        <f t="shared" si="93"/>
        <v>0</v>
      </c>
      <c r="W441" s="6">
        <f t="shared" si="93"/>
        <v>0</v>
      </c>
      <c r="X441" s="6">
        <f t="shared" si="95"/>
        <v>19.137133714285717</v>
      </c>
      <c r="Y441" s="6"/>
      <c r="Z441" s="6"/>
      <c r="AA441" s="6"/>
      <c r="AB441" s="6"/>
      <c r="AC441" s="6"/>
      <c r="AD441" s="6"/>
      <c r="AE441" s="6"/>
    </row>
    <row r="442" spans="1:32" s="12" customFormat="1" ht="20.100000000000001" customHeight="1" x14ac:dyDescent="0.25">
      <c r="B442" s="6" t="s">
        <v>140</v>
      </c>
      <c r="C442" s="9" t="s">
        <v>25</v>
      </c>
      <c r="D442" s="6">
        <f>+D441</f>
        <v>8</v>
      </c>
      <c r="E442" s="6">
        <f>+E441</f>
        <v>0.15</v>
      </c>
      <c r="F442" s="12">
        <f>+F441</f>
        <v>24</v>
      </c>
      <c r="G442" s="5"/>
      <c r="O442" s="3">
        <f>((((G437-(2*$D$11))+(2*10*D442/1000))*D437))*1</f>
        <v>0.85</v>
      </c>
      <c r="P442" s="6">
        <f>O442*F442</f>
        <v>20.399999999999999</v>
      </c>
      <c r="Q442" s="6">
        <f t="shared" si="93"/>
        <v>8.0527542857142862</v>
      </c>
      <c r="R442" s="6">
        <f t="shared" si="93"/>
        <v>0</v>
      </c>
      <c r="S442" s="6">
        <f t="shared" si="93"/>
        <v>0</v>
      </c>
      <c r="T442" s="6">
        <f t="shared" si="93"/>
        <v>0</v>
      </c>
      <c r="U442" s="6">
        <f t="shared" si="93"/>
        <v>0</v>
      </c>
      <c r="V442" s="6">
        <f t="shared" si="93"/>
        <v>0</v>
      </c>
      <c r="W442" s="6">
        <f t="shared" si="93"/>
        <v>0</v>
      </c>
      <c r="X442" s="6">
        <f t="shared" si="95"/>
        <v>8.0527542857142862</v>
      </c>
    </row>
    <row r="443" spans="1:32" s="5" customFormat="1" ht="20.100000000000001" customHeight="1" x14ac:dyDescent="0.25">
      <c r="A443" s="7"/>
      <c r="B443" s="6" t="s">
        <v>140</v>
      </c>
      <c r="C443" s="9" t="s">
        <v>17</v>
      </c>
      <c r="D443" s="6">
        <f>+$D$15</f>
        <v>25</v>
      </c>
      <c r="E443" s="6">
        <f>+$E$15</f>
        <v>1</v>
      </c>
      <c r="F443" s="6">
        <f>ROUNDUP((E437)/E443,0)+1</f>
        <v>5</v>
      </c>
      <c r="G443" s="8"/>
      <c r="H443" s="8"/>
      <c r="I443" s="6"/>
      <c r="J443" s="6"/>
      <c r="K443" s="6"/>
      <c r="L443" s="6"/>
      <c r="M443" s="6"/>
      <c r="N443" s="6"/>
      <c r="O443" s="6">
        <f>+F437-(2*$D$11)</f>
        <v>0.24</v>
      </c>
      <c r="P443" s="6">
        <f t="shared" ref="P443" si="96">O443*F443</f>
        <v>1.2</v>
      </c>
      <c r="Q443" s="6">
        <f t="shared" si="93"/>
        <v>0</v>
      </c>
      <c r="R443" s="6">
        <f t="shared" si="93"/>
        <v>0</v>
      </c>
      <c r="S443" s="6">
        <f t="shared" si="93"/>
        <v>0</v>
      </c>
      <c r="T443" s="6">
        <f t="shared" si="93"/>
        <v>0</v>
      </c>
      <c r="U443" s="6">
        <f t="shared" si="93"/>
        <v>0</v>
      </c>
      <c r="V443" s="6">
        <f t="shared" si="93"/>
        <v>4.6258928571428575</v>
      </c>
      <c r="W443" s="6">
        <f t="shared" si="93"/>
        <v>0</v>
      </c>
      <c r="X443" s="6">
        <f t="shared" si="95"/>
        <v>4.6258928571428575</v>
      </c>
      <c r="Y443" s="6"/>
      <c r="Z443" s="6"/>
      <c r="AA443" s="6"/>
      <c r="AB443" s="6"/>
      <c r="AC443" s="6"/>
      <c r="AD443" s="6"/>
      <c r="AE443" s="6"/>
    </row>
    <row r="444" spans="1:32" s="5" customFormat="1" ht="21" customHeight="1" x14ac:dyDescent="0.25">
      <c r="A444" s="6">
        <f>+A437+1</f>
        <v>57</v>
      </c>
      <c r="B444" s="6" t="s">
        <v>140</v>
      </c>
      <c r="C444" s="11" t="s">
        <v>38</v>
      </c>
      <c r="D444" s="11">
        <v>1</v>
      </c>
      <c r="E444" s="11">
        <v>3.9809999999999999</v>
      </c>
      <c r="F444" s="11">
        <v>0.3</v>
      </c>
      <c r="G444" s="11">
        <v>0.75</v>
      </c>
      <c r="H444" s="6">
        <f>G444-0.2</f>
        <v>0.55000000000000004</v>
      </c>
      <c r="I444" s="6">
        <f>E444*F444*G444*D444</f>
        <v>0.89572499999999988</v>
      </c>
      <c r="J444" s="6">
        <f>(2*(E444)*H444*D444)+(E444*F444)</f>
        <v>5.5734000000000004</v>
      </c>
      <c r="K444" s="10">
        <f>IF(E444=0.3,J444,0)</f>
        <v>0</v>
      </c>
      <c r="L444" s="10">
        <f>IF(AND(E444&gt;0.3,E444&lt;=0.75),J444,0)</f>
        <v>0</v>
      </c>
      <c r="M444" s="10">
        <f>IF(AND(E444&gt;0.75,E444&lt;=1.2),J444,0)</f>
        <v>0</v>
      </c>
      <c r="N444" s="10">
        <f>IF(E444&gt;1.2,J444,0)</f>
        <v>5.5734000000000004</v>
      </c>
      <c r="O444" s="6"/>
      <c r="P444" s="6"/>
      <c r="Q444" s="6">
        <f t="shared" si="93"/>
        <v>0</v>
      </c>
      <c r="R444" s="6">
        <f t="shared" si="93"/>
        <v>0</v>
      </c>
      <c r="S444" s="6">
        <f t="shared" si="93"/>
        <v>0</v>
      </c>
      <c r="T444" s="6">
        <f t="shared" si="93"/>
        <v>0</v>
      </c>
      <c r="U444" s="6">
        <f t="shared" si="93"/>
        <v>0</v>
      </c>
      <c r="V444" s="6">
        <f t="shared" si="93"/>
        <v>0</v>
      </c>
      <c r="W444" s="6">
        <f t="shared" si="93"/>
        <v>0</v>
      </c>
      <c r="X444" s="6">
        <f t="shared" si="95"/>
        <v>0</v>
      </c>
      <c r="Y444" s="7">
        <f>SUM(X445:X451)/I444</f>
        <v>185.55189381307244</v>
      </c>
      <c r="Z444" s="6"/>
      <c r="AA444" s="6"/>
      <c r="AB444" s="6"/>
      <c r="AC444" s="6"/>
      <c r="AD444" s="6"/>
      <c r="AE444" s="6"/>
      <c r="AF444" s="6"/>
    </row>
    <row r="445" spans="1:32" s="5" customFormat="1" ht="20.100000000000001" customHeight="1" x14ac:dyDescent="0.25">
      <c r="A445" s="7"/>
      <c r="B445" s="6" t="s">
        <v>140</v>
      </c>
      <c r="C445" s="9" t="s">
        <v>2</v>
      </c>
      <c r="D445" s="6">
        <v>16</v>
      </c>
      <c r="E445" s="6"/>
      <c r="F445" s="6">
        <v>3</v>
      </c>
      <c r="G445" s="8">
        <f>VLOOKUP(D445,$C$20:$F$26,3,0)</f>
        <v>0.8</v>
      </c>
      <c r="H445" s="8"/>
      <c r="I445" s="6"/>
      <c r="J445" s="6"/>
      <c r="K445" s="6"/>
      <c r="L445" s="6"/>
      <c r="M445" s="6"/>
      <c r="N445" s="6"/>
      <c r="O445" s="6">
        <f>(E444+0.6+1*(G445+(2*D445/1000)))*D444</f>
        <v>5.4129999999999994</v>
      </c>
      <c r="P445" s="6">
        <f t="shared" ref="P445:P446" si="97">O445*F445</f>
        <v>16.238999999999997</v>
      </c>
      <c r="Q445" s="6">
        <f t="shared" si="93"/>
        <v>0</v>
      </c>
      <c r="R445" s="6">
        <f t="shared" si="93"/>
        <v>0</v>
      </c>
      <c r="S445" s="6">
        <f t="shared" si="93"/>
        <v>0</v>
      </c>
      <c r="T445" s="6">
        <f t="shared" si="93"/>
        <v>25.640917028571426</v>
      </c>
      <c r="U445" s="6">
        <f t="shared" si="93"/>
        <v>0</v>
      </c>
      <c r="V445" s="6">
        <f t="shared" si="93"/>
        <v>0</v>
      </c>
      <c r="W445" s="6">
        <f t="shared" si="93"/>
        <v>0</v>
      </c>
      <c r="X445" s="6">
        <f t="shared" si="95"/>
        <v>25.640917028571426</v>
      </c>
      <c r="Y445" s="6"/>
      <c r="Z445" s="6"/>
      <c r="AA445" s="6"/>
      <c r="AB445" s="6"/>
      <c r="AC445" s="6"/>
      <c r="AD445" s="6"/>
      <c r="AE445" s="6"/>
    </row>
    <row r="446" spans="1:32" s="5" customFormat="1" ht="20.100000000000001" customHeight="1" x14ac:dyDescent="0.25">
      <c r="A446" s="7"/>
      <c r="B446" s="6" t="s">
        <v>140</v>
      </c>
      <c r="C446" s="9" t="s">
        <v>26</v>
      </c>
      <c r="D446" s="6">
        <v>20</v>
      </c>
      <c r="E446" s="6"/>
      <c r="F446" s="6">
        <v>2</v>
      </c>
      <c r="G446" s="8">
        <f>VLOOKUP(D446,$C$20:$F$26,3,0)</f>
        <v>1</v>
      </c>
      <c r="H446" s="8"/>
      <c r="I446" s="6"/>
      <c r="J446" s="6"/>
      <c r="K446" s="6"/>
      <c r="L446" s="6"/>
      <c r="M446" s="6"/>
      <c r="N446" s="6"/>
      <c r="O446" s="6">
        <f>(1.4+1*(G446+(2*D446/1000)))*D444</f>
        <v>2.44</v>
      </c>
      <c r="P446" s="6">
        <f t="shared" si="97"/>
        <v>4.88</v>
      </c>
      <c r="Q446" s="6">
        <f t="shared" si="93"/>
        <v>0</v>
      </c>
      <c r="R446" s="6">
        <f t="shared" si="93"/>
        <v>0</v>
      </c>
      <c r="S446" s="6">
        <f t="shared" si="93"/>
        <v>0</v>
      </c>
      <c r="T446" s="6">
        <f t="shared" si="93"/>
        <v>0</v>
      </c>
      <c r="U446" s="6">
        <f t="shared" si="93"/>
        <v>12.039657142857143</v>
      </c>
      <c r="V446" s="6">
        <f t="shared" si="93"/>
        <v>0</v>
      </c>
      <c r="W446" s="6">
        <f t="shared" si="93"/>
        <v>0</v>
      </c>
      <c r="X446" s="6">
        <f t="shared" si="95"/>
        <v>12.039657142857143</v>
      </c>
      <c r="Y446" s="6"/>
      <c r="Z446" s="6"/>
      <c r="AA446" s="6"/>
      <c r="AB446" s="6"/>
      <c r="AC446" s="6"/>
      <c r="AD446" s="6"/>
      <c r="AE446" s="6"/>
    </row>
    <row r="447" spans="1:32" s="5" customFormat="1" ht="20.100000000000001" customHeight="1" x14ac:dyDescent="0.25">
      <c r="A447" s="7"/>
      <c r="B447" s="6" t="s">
        <v>140</v>
      </c>
      <c r="C447" s="9" t="s">
        <v>1</v>
      </c>
      <c r="D447" s="6">
        <v>20</v>
      </c>
      <c r="E447" s="6"/>
      <c r="F447" s="6">
        <v>3</v>
      </c>
      <c r="G447" s="8">
        <f>VLOOKUP(D447,$C$20:$F$26,3,0)</f>
        <v>1</v>
      </c>
      <c r="H447" s="6"/>
      <c r="I447" s="6"/>
      <c r="J447" s="6"/>
      <c r="K447" s="6"/>
      <c r="L447" s="6"/>
      <c r="M447" s="6"/>
      <c r="N447" s="6"/>
      <c r="O447" s="6">
        <f>(E444+0.6+1*(G447+(2*D447/1000)))*D444</f>
        <v>5.6209999999999996</v>
      </c>
      <c r="P447" s="6">
        <f>O447*F447</f>
        <v>16.863</v>
      </c>
      <c r="Q447" s="6">
        <f t="shared" si="93"/>
        <v>0</v>
      </c>
      <c r="R447" s="6">
        <f t="shared" si="93"/>
        <v>0</v>
      </c>
      <c r="S447" s="6">
        <f t="shared" si="93"/>
        <v>0</v>
      </c>
      <c r="T447" s="6">
        <f t="shared" si="93"/>
        <v>0</v>
      </c>
      <c r="U447" s="6">
        <f t="shared" si="93"/>
        <v>41.603429999999996</v>
      </c>
      <c r="V447" s="6">
        <f t="shared" si="93"/>
        <v>0</v>
      </c>
      <c r="W447" s="6">
        <f t="shared" si="93"/>
        <v>0</v>
      </c>
      <c r="X447" s="6">
        <f t="shared" si="95"/>
        <v>41.603429999999996</v>
      </c>
      <c r="Y447" s="6"/>
      <c r="Z447" s="6"/>
      <c r="AA447" s="6"/>
      <c r="AB447" s="6"/>
      <c r="AC447" s="6"/>
      <c r="AD447" s="6"/>
      <c r="AE447" s="6"/>
    </row>
    <row r="448" spans="1:32" s="5" customFormat="1" ht="20.100000000000001" customHeight="1" x14ac:dyDescent="0.25">
      <c r="A448" s="7"/>
      <c r="B448" s="6" t="s">
        <v>140</v>
      </c>
      <c r="C448" s="9" t="s">
        <v>36</v>
      </c>
      <c r="D448" s="6">
        <v>12</v>
      </c>
      <c r="E448" s="6"/>
      <c r="F448" s="6">
        <v>2</v>
      </c>
      <c r="G448" s="8">
        <f>VLOOKUP(D448,$C$20:$F$26,3,0)</f>
        <v>0.6</v>
      </c>
      <c r="H448" s="6"/>
      <c r="I448" s="6"/>
      <c r="J448" s="6"/>
      <c r="K448" s="6"/>
      <c r="L448" s="6"/>
      <c r="M448" s="6"/>
      <c r="N448" s="6"/>
      <c r="O448" s="6">
        <f>(E444+0.6-0.25)</f>
        <v>4.3309999999999995</v>
      </c>
      <c r="P448" s="6">
        <f>O448*F448</f>
        <v>8.661999999999999</v>
      </c>
      <c r="Q448" s="6">
        <f t="shared" si="93"/>
        <v>0</v>
      </c>
      <c r="R448" s="6">
        <f t="shared" si="93"/>
        <v>0</v>
      </c>
      <c r="S448" s="6">
        <f t="shared" si="93"/>
        <v>7.6933409142857148</v>
      </c>
      <c r="T448" s="6">
        <f t="shared" si="93"/>
        <v>0</v>
      </c>
      <c r="U448" s="6">
        <f t="shared" si="93"/>
        <v>0</v>
      </c>
      <c r="V448" s="6">
        <f t="shared" si="93"/>
        <v>0</v>
      </c>
      <c r="W448" s="6">
        <f t="shared" si="93"/>
        <v>0</v>
      </c>
      <c r="X448" s="6">
        <f t="shared" si="95"/>
        <v>7.6933409142857148</v>
      </c>
      <c r="Y448" s="6"/>
      <c r="Z448" s="6"/>
      <c r="AA448" s="6"/>
      <c r="AB448" s="6"/>
      <c r="AC448" s="6"/>
      <c r="AD448" s="6"/>
      <c r="AE448" s="6"/>
    </row>
    <row r="449" spans="1:32" s="5" customFormat="1" ht="20.100000000000001" customHeight="1" x14ac:dyDescent="0.25">
      <c r="A449" s="7"/>
      <c r="B449" s="6" t="s">
        <v>140</v>
      </c>
      <c r="C449" s="9" t="s">
        <v>0</v>
      </c>
      <c r="D449" s="6">
        <v>10</v>
      </c>
      <c r="E449" s="6">
        <v>0.1</v>
      </c>
      <c r="F449" s="6">
        <f>+ROUND(E444/E449,0)+1</f>
        <v>41</v>
      </c>
      <c r="H449" s="6"/>
      <c r="I449" s="6"/>
      <c r="J449" s="6"/>
      <c r="K449" s="6"/>
      <c r="L449" s="6"/>
      <c r="M449" s="6"/>
      <c r="N449" s="6"/>
      <c r="O449" s="6">
        <f>(2*((G444-(2*$D$11))+(F444-(2*$D$11)))+(2*10*D449/1000))*D444</f>
        <v>2.06</v>
      </c>
      <c r="P449" s="6">
        <f>O449*F449</f>
        <v>84.460000000000008</v>
      </c>
      <c r="Q449" s="6">
        <f t="shared" si="93"/>
        <v>0</v>
      </c>
      <c r="R449" s="6">
        <f t="shared" si="93"/>
        <v>52.093721428571435</v>
      </c>
      <c r="S449" s="6">
        <f t="shared" si="93"/>
        <v>0</v>
      </c>
      <c r="T449" s="6">
        <f t="shared" si="93"/>
        <v>0</v>
      </c>
      <c r="U449" s="6">
        <f t="shared" si="93"/>
        <v>0</v>
      </c>
      <c r="V449" s="6">
        <f t="shared" si="93"/>
        <v>0</v>
      </c>
      <c r="W449" s="6">
        <f t="shared" si="93"/>
        <v>0</v>
      </c>
      <c r="X449" s="6">
        <f t="shared" si="95"/>
        <v>52.093721428571435</v>
      </c>
      <c r="Y449" s="6"/>
      <c r="Z449" s="6"/>
      <c r="AA449" s="6"/>
      <c r="AB449" s="6"/>
      <c r="AC449" s="6"/>
      <c r="AD449" s="6"/>
      <c r="AE449" s="6"/>
    </row>
    <row r="450" spans="1:32" s="12" customFormat="1" ht="20.100000000000001" customHeight="1" x14ac:dyDescent="0.25">
      <c r="B450" s="6" t="s">
        <v>140</v>
      </c>
      <c r="C450" s="9" t="s">
        <v>25</v>
      </c>
      <c r="D450" s="6">
        <f>+D449</f>
        <v>10</v>
      </c>
      <c r="E450" s="6">
        <f>+E449</f>
        <v>0.1</v>
      </c>
      <c r="F450" s="12">
        <f>+F449</f>
        <v>41</v>
      </c>
      <c r="G450" s="5"/>
      <c r="O450" s="3">
        <f>((((G444-(2*$D$11))+(2*10*D450/1000))*D444))*1</f>
        <v>0.8899999999999999</v>
      </c>
      <c r="P450" s="6">
        <f>O450*F450</f>
        <v>36.489999999999995</v>
      </c>
      <c r="Q450" s="6">
        <f t="shared" si="93"/>
        <v>0</v>
      </c>
      <c r="R450" s="6">
        <f t="shared" si="93"/>
        <v>22.50651071428571</v>
      </c>
      <c r="S450" s="6">
        <f t="shared" si="93"/>
        <v>0</v>
      </c>
      <c r="T450" s="6">
        <f t="shared" si="93"/>
        <v>0</v>
      </c>
      <c r="U450" s="6">
        <f t="shared" si="93"/>
        <v>0</v>
      </c>
      <c r="V450" s="6">
        <f t="shared" si="93"/>
        <v>0</v>
      </c>
      <c r="W450" s="6">
        <f t="shared" si="93"/>
        <v>0</v>
      </c>
      <c r="X450" s="6">
        <f t="shared" si="95"/>
        <v>22.50651071428571</v>
      </c>
    </row>
    <row r="451" spans="1:32" s="5" customFormat="1" ht="20.100000000000001" customHeight="1" x14ac:dyDescent="0.25">
      <c r="A451" s="7"/>
      <c r="B451" s="6" t="s">
        <v>140</v>
      </c>
      <c r="C451" s="9" t="s">
        <v>17</v>
      </c>
      <c r="D451" s="6">
        <f>+$D$15</f>
        <v>25</v>
      </c>
      <c r="E451" s="6">
        <f>+$E$15</f>
        <v>1</v>
      </c>
      <c r="F451" s="6">
        <f>ROUNDUP((E444-0.25)/E451,0)+1</f>
        <v>5</v>
      </c>
      <c r="G451" s="8"/>
      <c r="H451" s="8"/>
      <c r="I451" s="6"/>
      <c r="J451" s="6"/>
      <c r="K451" s="6"/>
      <c r="L451" s="6"/>
      <c r="M451" s="6"/>
      <c r="N451" s="6"/>
      <c r="O451" s="6">
        <f>+F444-(2*$D$11)</f>
        <v>0.24</v>
      </c>
      <c r="P451" s="6">
        <f t="shared" ref="P451" si="98">O451*F451</f>
        <v>1.2</v>
      </c>
      <c r="Q451" s="6">
        <f t="shared" si="93"/>
        <v>0</v>
      </c>
      <c r="R451" s="6">
        <f t="shared" si="93"/>
        <v>0</v>
      </c>
      <c r="S451" s="6">
        <f t="shared" si="93"/>
        <v>0</v>
      </c>
      <c r="T451" s="6">
        <f t="shared" si="93"/>
        <v>0</v>
      </c>
      <c r="U451" s="6">
        <f t="shared" si="93"/>
        <v>0</v>
      </c>
      <c r="V451" s="6">
        <f t="shared" si="93"/>
        <v>4.6258928571428575</v>
      </c>
      <c r="W451" s="6">
        <f t="shared" si="93"/>
        <v>0</v>
      </c>
      <c r="X451" s="6">
        <f t="shared" si="95"/>
        <v>4.6258928571428575</v>
      </c>
      <c r="Y451" s="6"/>
      <c r="Z451" s="6"/>
      <c r="AA451" s="6"/>
      <c r="AB451" s="6"/>
      <c r="AC451" s="6"/>
      <c r="AD451" s="6"/>
      <c r="AE451" s="6"/>
    </row>
    <row r="452" spans="1:32" s="5" customFormat="1" ht="21" customHeight="1" x14ac:dyDescent="0.25">
      <c r="A452" s="6">
        <f>+A444+1</f>
        <v>58</v>
      </c>
      <c r="B452" s="6" t="s">
        <v>140</v>
      </c>
      <c r="C452" s="11" t="s">
        <v>37</v>
      </c>
      <c r="D452" s="11">
        <v>1</v>
      </c>
      <c r="E452" s="11">
        <v>1.974</v>
      </c>
      <c r="F452" s="11">
        <v>0.3</v>
      </c>
      <c r="G452" s="11">
        <v>0.75</v>
      </c>
      <c r="H452" s="6">
        <f>G452-0.2</f>
        <v>0.55000000000000004</v>
      </c>
      <c r="I452" s="6">
        <f>E452*F452*G452*D452</f>
        <v>0.44414999999999993</v>
      </c>
      <c r="J452" s="6">
        <f>(2*(E452)*H452*D452)+(E452*F452)</f>
        <v>2.7636000000000003</v>
      </c>
      <c r="K452" s="10">
        <f>IF(E452=0.3,J452,0)</f>
        <v>0</v>
      </c>
      <c r="L452" s="10">
        <f>IF(AND(E452&gt;0.3,E452&lt;=0.75),J452,0)</f>
        <v>0</v>
      </c>
      <c r="M452" s="10">
        <f>IF(AND(E452&gt;0.75,E452&lt;=1.2),J452,0)</f>
        <v>0</v>
      </c>
      <c r="N452" s="10">
        <f>IF(E452&gt;1.2,J452,0)</f>
        <v>2.7636000000000003</v>
      </c>
      <c r="O452" s="6"/>
      <c r="P452" s="6"/>
      <c r="Q452" s="6">
        <f t="shared" si="93"/>
        <v>0</v>
      </c>
      <c r="R452" s="6">
        <f t="shared" si="93"/>
        <v>0</v>
      </c>
      <c r="S452" s="6">
        <f t="shared" si="93"/>
        <v>0</v>
      </c>
      <c r="T452" s="6">
        <f t="shared" si="93"/>
        <v>0</v>
      </c>
      <c r="U452" s="6">
        <f t="shared" si="93"/>
        <v>0</v>
      </c>
      <c r="V452" s="6">
        <f t="shared" si="93"/>
        <v>0</v>
      </c>
      <c r="W452" s="6">
        <f t="shared" si="93"/>
        <v>0</v>
      </c>
      <c r="X452" s="6">
        <f t="shared" si="95"/>
        <v>0</v>
      </c>
      <c r="Y452" s="7">
        <f>SUM(X453:X458)/I452</f>
        <v>112.54792981779002</v>
      </c>
      <c r="Z452" s="6"/>
      <c r="AA452" s="6"/>
      <c r="AB452" s="6"/>
      <c r="AC452" s="6"/>
      <c r="AD452" s="6"/>
      <c r="AE452" s="6"/>
      <c r="AF452" s="6"/>
    </row>
    <row r="453" spans="1:32" s="5" customFormat="1" ht="20.100000000000001" customHeight="1" x14ac:dyDescent="0.25">
      <c r="A453" s="7"/>
      <c r="B453" s="6" t="s">
        <v>140</v>
      </c>
      <c r="C453" s="9" t="s">
        <v>2</v>
      </c>
      <c r="D453" s="6">
        <v>16</v>
      </c>
      <c r="E453" s="6"/>
      <c r="F453" s="6">
        <v>3</v>
      </c>
      <c r="G453" s="8">
        <f>VLOOKUP(D453,$C$20:$F$26,3,0)</f>
        <v>0.8</v>
      </c>
      <c r="H453" s="8"/>
      <c r="I453" s="6"/>
      <c r="J453" s="6"/>
      <c r="K453" s="6"/>
      <c r="L453" s="6"/>
      <c r="M453" s="6"/>
      <c r="N453" s="6"/>
      <c r="O453" s="6">
        <f>+E452+0.6</f>
        <v>2.5739999999999998</v>
      </c>
      <c r="P453" s="6">
        <f t="shared" ref="P453" si="99">O453*F453</f>
        <v>7.7219999999999995</v>
      </c>
      <c r="Q453" s="6">
        <f t="shared" si="93"/>
        <v>0</v>
      </c>
      <c r="R453" s="6">
        <f t="shared" si="93"/>
        <v>0</v>
      </c>
      <c r="S453" s="6">
        <f t="shared" si="93"/>
        <v>0</v>
      </c>
      <c r="T453" s="6">
        <f t="shared" si="93"/>
        <v>12.192817371428571</v>
      </c>
      <c r="U453" s="6">
        <f t="shared" si="93"/>
        <v>0</v>
      </c>
      <c r="V453" s="6">
        <f t="shared" si="93"/>
        <v>0</v>
      </c>
      <c r="W453" s="6">
        <f t="shared" si="93"/>
        <v>0</v>
      </c>
      <c r="X453" s="6">
        <f t="shared" si="95"/>
        <v>12.192817371428571</v>
      </c>
      <c r="Y453" s="6"/>
      <c r="Z453" s="6"/>
      <c r="AA453" s="6"/>
      <c r="AB453" s="6"/>
      <c r="AC453" s="6"/>
      <c r="AD453" s="6"/>
      <c r="AE453" s="6"/>
    </row>
    <row r="454" spans="1:32" s="5" customFormat="1" ht="20.100000000000001" customHeight="1" x14ac:dyDescent="0.25">
      <c r="A454" s="7"/>
      <c r="B454" s="6" t="s">
        <v>140</v>
      </c>
      <c r="C454" s="9" t="s">
        <v>1</v>
      </c>
      <c r="D454" s="6">
        <v>20</v>
      </c>
      <c r="E454" s="6"/>
      <c r="F454" s="6">
        <v>3</v>
      </c>
      <c r="G454" s="8">
        <f>VLOOKUP(D454,$C$20:$F$26,3,0)</f>
        <v>1</v>
      </c>
      <c r="H454" s="6"/>
      <c r="I454" s="6"/>
      <c r="J454" s="6"/>
      <c r="K454" s="6"/>
      <c r="L454" s="6"/>
      <c r="M454" s="6"/>
      <c r="N454" s="6"/>
      <c r="O454" s="6">
        <f>+E452+0.6</f>
        <v>2.5739999999999998</v>
      </c>
      <c r="P454" s="6">
        <f>O454*F454</f>
        <v>7.7219999999999995</v>
      </c>
      <c r="Q454" s="6">
        <f t="shared" si="93"/>
        <v>0</v>
      </c>
      <c r="R454" s="6">
        <f t="shared" si="93"/>
        <v>0</v>
      </c>
      <c r="S454" s="6">
        <f t="shared" si="93"/>
        <v>0</v>
      </c>
      <c r="T454" s="6">
        <f t="shared" si="93"/>
        <v>0</v>
      </c>
      <c r="U454" s="6">
        <f t="shared" si="93"/>
        <v>19.051277142857142</v>
      </c>
      <c r="V454" s="6">
        <f t="shared" si="93"/>
        <v>0</v>
      </c>
      <c r="W454" s="6">
        <f t="shared" si="93"/>
        <v>0</v>
      </c>
      <c r="X454" s="6">
        <f t="shared" si="95"/>
        <v>19.051277142857142</v>
      </c>
      <c r="Y454" s="6"/>
      <c r="Z454" s="6"/>
      <c r="AA454" s="6"/>
      <c r="AB454" s="6"/>
      <c r="AC454" s="6"/>
      <c r="AD454" s="6"/>
      <c r="AE454" s="6"/>
    </row>
    <row r="455" spans="1:32" s="5" customFormat="1" ht="20.100000000000001" customHeight="1" x14ac:dyDescent="0.25">
      <c r="A455" s="7"/>
      <c r="B455" s="6" t="s">
        <v>140</v>
      </c>
      <c r="C455" s="9" t="s">
        <v>36</v>
      </c>
      <c r="D455" s="6">
        <v>12</v>
      </c>
      <c r="E455" s="6"/>
      <c r="F455" s="6">
        <v>2</v>
      </c>
      <c r="G455" s="8">
        <f>VLOOKUP(D455,$C$20:$F$26,3,0)</f>
        <v>0.6</v>
      </c>
      <c r="H455" s="6"/>
      <c r="I455" s="6"/>
      <c r="J455" s="6"/>
      <c r="K455" s="6"/>
      <c r="L455" s="6"/>
      <c r="M455" s="6"/>
      <c r="N455" s="6"/>
      <c r="O455" s="6">
        <f>+E452</f>
        <v>1.974</v>
      </c>
      <c r="P455" s="6">
        <f>O455*F455</f>
        <v>3.948</v>
      </c>
      <c r="Q455" s="6">
        <f t="shared" si="93"/>
        <v>0</v>
      </c>
      <c r="R455" s="6">
        <f t="shared" si="93"/>
        <v>0</v>
      </c>
      <c r="S455" s="6">
        <f t="shared" si="93"/>
        <v>3.5065008000000004</v>
      </c>
      <c r="T455" s="6">
        <f t="shared" si="93"/>
        <v>0</v>
      </c>
      <c r="U455" s="6">
        <f t="shared" si="93"/>
        <v>0</v>
      </c>
      <c r="V455" s="6">
        <f t="shared" si="93"/>
        <v>0</v>
      </c>
      <c r="W455" s="6">
        <f t="shared" si="93"/>
        <v>0</v>
      </c>
      <c r="X455" s="6">
        <f t="shared" si="95"/>
        <v>3.5065008000000004</v>
      </c>
      <c r="Y455" s="6"/>
      <c r="Z455" s="6"/>
      <c r="AA455" s="6"/>
      <c r="AB455" s="6"/>
      <c r="AC455" s="6"/>
      <c r="AD455" s="6"/>
      <c r="AE455" s="6"/>
    </row>
    <row r="456" spans="1:32" s="5" customFormat="1" ht="20.100000000000001" customHeight="1" x14ac:dyDescent="0.25">
      <c r="A456" s="7"/>
      <c r="B456" s="6" t="s">
        <v>140</v>
      </c>
      <c r="C456" s="9" t="s">
        <v>0</v>
      </c>
      <c r="D456" s="6">
        <v>8</v>
      </c>
      <c r="E456" s="6">
        <v>0.2</v>
      </c>
      <c r="F456" s="6">
        <f>+ROUND(E452/E456,0)+1</f>
        <v>11</v>
      </c>
      <c r="H456" s="6"/>
      <c r="I456" s="6"/>
      <c r="J456" s="6"/>
      <c r="K456" s="6"/>
      <c r="L456" s="6"/>
      <c r="M456" s="6"/>
      <c r="N456" s="6"/>
      <c r="O456" s="6">
        <f>(2*((G452-(2*$D$11))+(F452-(2*$D$11)))+(2*10*D456/1000))*D452</f>
        <v>2.02</v>
      </c>
      <c r="P456" s="6">
        <f>O456*F456</f>
        <v>22.22</v>
      </c>
      <c r="Q456" s="6">
        <f t="shared" si="93"/>
        <v>8.7711862857142862</v>
      </c>
      <c r="R456" s="6">
        <f t="shared" si="93"/>
        <v>0</v>
      </c>
      <c r="S456" s="6">
        <f t="shared" si="93"/>
        <v>0</v>
      </c>
      <c r="T456" s="6">
        <f t="shared" si="93"/>
        <v>0</v>
      </c>
      <c r="U456" s="6">
        <f t="shared" si="93"/>
        <v>0</v>
      </c>
      <c r="V456" s="6">
        <f t="shared" si="93"/>
        <v>0</v>
      </c>
      <c r="W456" s="6">
        <f t="shared" si="93"/>
        <v>0</v>
      </c>
      <c r="X456" s="6">
        <f t="shared" si="95"/>
        <v>8.7711862857142862</v>
      </c>
      <c r="Y456" s="6"/>
      <c r="Z456" s="6"/>
      <c r="AA456" s="6"/>
      <c r="AB456" s="6"/>
      <c r="AC456" s="6"/>
      <c r="AD456" s="6"/>
      <c r="AE456" s="6"/>
    </row>
    <row r="457" spans="1:32" s="12" customFormat="1" ht="20.100000000000001" customHeight="1" x14ac:dyDescent="0.25">
      <c r="B457" s="6" t="s">
        <v>140</v>
      </c>
      <c r="C457" s="9" t="s">
        <v>25</v>
      </c>
      <c r="D457" s="6">
        <f>+D456</f>
        <v>8</v>
      </c>
      <c r="E457" s="6">
        <f>+E456</f>
        <v>0.2</v>
      </c>
      <c r="F457" s="12">
        <f>+F456</f>
        <v>11</v>
      </c>
      <c r="G457" s="5"/>
      <c r="O457" s="3">
        <f>((((G452-(2*$D$11))+(2*10*D457/1000))*D452))*1</f>
        <v>0.85</v>
      </c>
      <c r="P457" s="6">
        <f>O457*F457</f>
        <v>9.35</v>
      </c>
      <c r="Q457" s="6">
        <f t="shared" si="93"/>
        <v>3.6908457142857145</v>
      </c>
      <c r="R457" s="6">
        <f t="shared" si="93"/>
        <v>0</v>
      </c>
      <c r="S457" s="6">
        <f t="shared" si="93"/>
        <v>0</v>
      </c>
      <c r="T457" s="6">
        <f t="shared" si="93"/>
        <v>0</v>
      </c>
      <c r="U457" s="6">
        <f t="shared" si="93"/>
        <v>0</v>
      </c>
      <c r="V457" s="6">
        <f t="shared" si="93"/>
        <v>0</v>
      </c>
      <c r="W457" s="6">
        <f t="shared" si="93"/>
        <v>0</v>
      </c>
      <c r="X457" s="6">
        <f t="shared" si="95"/>
        <v>3.6908457142857145</v>
      </c>
    </row>
    <row r="458" spans="1:32" s="5" customFormat="1" ht="20.100000000000001" customHeight="1" x14ac:dyDescent="0.25">
      <c r="A458" s="7"/>
      <c r="B458" s="6" t="s">
        <v>140</v>
      </c>
      <c r="C458" s="9" t="s">
        <v>17</v>
      </c>
      <c r="D458" s="6">
        <f>+$D$15</f>
        <v>25</v>
      </c>
      <c r="E458" s="6">
        <f>+$E$15</f>
        <v>1</v>
      </c>
      <c r="F458" s="6">
        <f>ROUNDUP((E452)/E458,0)+1</f>
        <v>3</v>
      </c>
      <c r="G458" s="8"/>
      <c r="H458" s="8"/>
      <c r="I458" s="6"/>
      <c r="J458" s="6"/>
      <c r="K458" s="6"/>
      <c r="L458" s="6"/>
      <c r="M458" s="6"/>
      <c r="N458" s="6"/>
      <c r="O458" s="6">
        <f>+F452-(2*$D$11)</f>
        <v>0.24</v>
      </c>
      <c r="P458" s="6">
        <f t="shared" ref="P458" si="100">O458*F458</f>
        <v>0.72</v>
      </c>
      <c r="Q458" s="6">
        <f t="shared" si="93"/>
        <v>0</v>
      </c>
      <c r="R458" s="6">
        <f t="shared" si="93"/>
        <v>0</v>
      </c>
      <c r="S458" s="6">
        <f t="shared" si="93"/>
        <v>0</v>
      </c>
      <c r="T458" s="6">
        <f t="shared" si="93"/>
        <v>0</v>
      </c>
      <c r="U458" s="6">
        <f t="shared" si="93"/>
        <v>0</v>
      </c>
      <c r="V458" s="6">
        <f t="shared" si="93"/>
        <v>2.7755357142857147</v>
      </c>
      <c r="W458" s="6">
        <f t="shared" si="93"/>
        <v>0</v>
      </c>
      <c r="X458" s="6">
        <f t="shared" si="95"/>
        <v>2.7755357142857147</v>
      </c>
      <c r="Y458" s="6"/>
      <c r="Z458" s="6"/>
      <c r="AA458" s="6"/>
      <c r="AB458" s="6"/>
      <c r="AC458" s="6"/>
      <c r="AE458" s="6"/>
    </row>
    <row r="459" spans="1:32" s="5" customFormat="1" ht="21" customHeight="1" x14ac:dyDescent="0.25">
      <c r="A459" s="13">
        <f>+A452+1</f>
        <v>59</v>
      </c>
      <c r="B459" s="6" t="s">
        <v>140</v>
      </c>
      <c r="C459" s="11" t="s">
        <v>35</v>
      </c>
      <c r="D459" s="11">
        <v>1</v>
      </c>
      <c r="E459" s="11">
        <v>3</v>
      </c>
      <c r="F459" s="11">
        <v>0.3</v>
      </c>
      <c r="G459" s="11">
        <v>0.75</v>
      </c>
      <c r="H459" s="6">
        <f>G459-0.2</f>
        <v>0.55000000000000004</v>
      </c>
      <c r="I459" s="6">
        <f>E459*F459*G459*D459</f>
        <v>0.67499999999999993</v>
      </c>
      <c r="J459" s="6">
        <f>(2*(E459)*H459*D459)+(E459*F459)</f>
        <v>4.2</v>
      </c>
      <c r="K459" s="10">
        <f>IF(E459=0.3,J459,0)</f>
        <v>0</v>
      </c>
      <c r="L459" s="10">
        <f>IF(AND(E459&gt;0.3,E459&lt;=0.75),J459,0)</f>
        <v>0</v>
      </c>
      <c r="M459" s="10">
        <f>IF(AND(E459&gt;0.75,E459&lt;=1.2),J459,0)</f>
        <v>0</v>
      </c>
      <c r="N459" s="10">
        <f>IF(E459&gt;1.2,J459,0)</f>
        <v>4.2</v>
      </c>
      <c r="O459" s="6"/>
      <c r="P459" s="6"/>
      <c r="Q459" s="6">
        <f t="shared" si="93"/>
        <v>0</v>
      </c>
      <c r="R459" s="6">
        <f t="shared" si="93"/>
        <v>0</v>
      </c>
      <c r="S459" s="6">
        <f t="shared" si="93"/>
        <v>0</v>
      </c>
      <c r="T459" s="6">
        <f t="shared" si="93"/>
        <v>0</v>
      </c>
      <c r="U459" s="6">
        <f t="shared" si="93"/>
        <v>0</v>
      </c>
      <c r="V459" s="6">
        <f t="shared" ref="Q459:W496" si="101">IF($D459=V$36,$P459*V$37,0)</f>
        <v>0</v>
      </c>
      <c r="W459" s="6">
        <f t="shared" si="101"/>
        <v>0</v>
      </c>
      <c r="X459" s="6">
        <f t="shared" si="95"/>
        <v>0</v>
      </c>
      <c r="Y459" s="7">
        <f>SUM(X460:X465)/I459</f>
        <v>135.58876198941797</v>
      </c>
      <c r="Z459" s="6"/>
      <c r="AA459" s="6"/>
      <c r="AB459" s="6"/>
      <c r="AC459" s="6"/>
      <c r="AE459" s="6"/>
      <c r="AF459" s="6"/>
    </row>
    <row r="460" spans="1:32" s="5" customFormat="1" ht="20.100000000000001" customHeight="1" x14ac:dyDescent="0.25">
      <c r="A460" s="7"/>
      <c r="B460" s="6" t="s">
        <v>140</v>
      </c>
      <c r="C460" s="9" t="s">
        <v>2</v>
      </c>
      <c r="D460" s="6">
        <v>16</v>
      </c>
      <c r="E460" s="6"/>
      <c r="F460" s="6">
        <v>3</v>
      </c>
      <c r="G460" s="8">
        <f>VLOOKUP(D460,$C$20:$F$26,3,0)</f>
        <v>0.8</v>
      </c>
      <c r="H460" s="8"/>
      <c r="I460" s="6"/>
      <c r="J460" s="6"/>
      <c r="K460" s="6"/>
      <c r="L460" s="6"/>
      <c r="M460" s="6"/>
      <c r="N460" s="6"/>
      <c r="O460" s="6">
        <f>(E459+1*(G460+(2*D460/1000)))*D459</f>
        <v>3.8319999999999999</v>
      </c>
      <c r="P460" s="6">
        <f t="shared" ref="P460:P465" si="102">O460*F460</f>
        <v>11.495999999999999</v>
      </c>
      <c r="Q460" s="6">
        <f t="shared" si="101"/>
        <v>0</v>
      </c>
      <c r="R460" s="6">
        <f t="shared" si="101"/>
        <v>0</v>
      </c>
      <c r="S460" s="6">
        <f t="shared" si="101"/>
        <v>0</v>
      </c>
      <c r="T460" s="6">
        <f t="shared" si="101"/>
        <v>18.151855542857142</v>
      </c>
      <c r="U460" s="6">
        <f t="shared" si="101"/>
        <v>0</v>
      </c>
      <c r="V460" s="6">
        <f t="shared" si="101"/>
        <v>0</v>
      </c>
      <c r="W460" s="6">
        <f t="shared" si="101"/>
        <v>0</v>
      </c>
      <c r="X460" s="6">
        <f t="shared" si="95"/>
        <v>18.151855542857142</v>
      </c>
      <c r="Y460" s="6"/>
      <c r="Z460" s="6"/>
      <c r="AA460" s="6"/>
      <c r="AB460" s="6"/>
      <c r="AC460" s="6"/>
      <c r="AE460" s="6"/>
    </row>
    <row r="461" spans="1:32" s="5" customFormat="1" ht="20.100000000000001" customHeight="1" x14ac:dyDescent="0.25">
      <c r="A461" s="7"/>
      <c r="B461" s="6" t="s">
        <v>140</v>
      </c>
      <c r="C461" s="9" t="s">
        <v>26</v>
      </c>
      <c r="D461" s="6">
        <v>16</v>
      </c>
      <c r="E461" s="6"/>
      <c r="F461" s="6">
        <v>6</v>
      </c>
      <c r="G461" s="8">
        <f>VLOOKUP(D461,$C$20:$F$26,3,0)</f>
        <v>0.8</v>
      </c>
      <c r="H461" s="8"/>
      <c r="I461" s="6"/>
      <c r="J461" s="6"/>
      <c r="K461" s="6"/>
      <c r="L461" s="6"/>
      <c r="M461" s="6"/>
      <c r="N461" s="6"/>
      <c r="O461" s="6">
        <f>(1.55+1*(G461+(2*D461/1000)))*D459</f>
        <v>2.3820000000000001</v>
      </c>
      <c r="P461" s="6">
        <f t="shared" si="102"/>
        <v>14.292000000000002</v>
      </c>
      <c r="Q461" s="6">
        <f t="shared" si="101"/>
        <v>0</v>
      </c>
      <c r="R461" s="6">
        <f t="shared" si="101"/>
        <v>0</v>
      </c>
      <c r="S461" s="6">
        <f t="shared" si="101"/>
        <v>0</v>
      </c>
      <c r="T461" s="6">
        <f t="shared" si="101"/>
        <v>22.566659657142861</v>
      </c>
      <c r="U461" s="6">
        <f t="shared" si="101"/>
        <v>0</v>
      </c>
      <c r="V461" s="6">
        <f t="shared" si="101"/>
        <v>0</v>
      </c>
      <c r="W461" s="6">
        <f t="shared" si="101"/>
        <v>0</v>
      </c>
      <c r="X461" s="6">
        <f t="shared" si="95"/>
        <v>22.566659657142861</v>
      </c>
      <c r="Y461" s="6"/>
      <c r="Z461" s="6"/>
      <c r="AA461" s="6"/>
      <c r="AB461" s="6"/>
      <c r="AC461" s="6"/>
      <c r="AE461" s="6"/>
    </row>
    <row r="462" spans="1:32" s="5" customFormat="1" ht="20.100000000000001" customHeight="1" x14ac:dyDescent="0.25">
      <c r="A462" s="7"/>
      <c r="B462" s="6" t="s">
        <v>140</v>
      </c>
      <c r="C462" s="9" t="s">
        <v>1</v>
      </c>
      <c r="D462" s="6">
        <v>20</v>
      </c>
      <c r="E462" s="6"/>
      <c r="F462" s="6">
        <v>3</v>
      </c>
      <c r="G462" s="8">
        <f>VLOOKUP(D462,$C$20:$F$26,3,0)</f>
        <v>1</v>
      </c>
      <c r="H462" s="6"/>
      <c r="I462" s="6"/>
      <c r="J462" s="6"/>
      <c r="K462" s="6"/>
      <c r="L462" s="6"/>
      <c r="M462" s="6"/>
      <c r="N462" s="6"/>
      <c r="O462" s="6">
        <f>(E459+1*(G462+(2*D462/1000)))*D459</f>
        <v>4.04</v>
      </c>
      <c r="P462" s="6">
        <f t="shared" si="102"/>
        <v>12.120000000000001</v>
      </c>
      <c r="Q462" s="6">
        <f t="shared" si="101"/>
        <v>0</v>
      </c>
      <c r="R462" s="6">
        <f t="shared" si="101"/>
        <v>0</v>
      </c>
      <c r="S462" s="6">
        <f t="shared" si="101"/>
        <v>0</v>
      </c>
      <c r="T462" s="6">
        <f t="shared" si="101"/>
        <v>0</v>
      </c>
      <c r="U462" s="6">
        <f t="shared" si="101"/>
        <v>29.901771428571429</v>
      </c>
      <c r="V462" s="6">
        <f t="shared" si="101"/>
        <v>0</v>
      </c>
      <c r="W462" s="6">
        <f t="shared" si="101"/>
        <v>0</v>
      </c>
      <c r="X462" s="6">
        <f t="shared" si="95"/>
        <v>29.901771428571429</v>
      </c>
      <c r="Y462" s="6"/>
      <c r="Z462" s="6"/>
      <c r="AA462" s="6"/>
      <c r="AB462" s="6"/>
      <c r="AC462" s="6"/>
      <c r="AE462" s="6"/>
    </row>
    <row r="463" spans="1:32" s="5" customFormat="1" ht="20.100000000000001" customHeight="1" x14ac:dyDescent="0.25">
      <c r="A463" s="7"/>
      <c r="B463" s="6" t="s">
        <v>140</v>
      </c>
      <c r="C463" s="9" t="s">
        <v>0</v>
      </c>
      <c r="D463" s="6">
        <v>8</v>
      </c>
      <c r="E463" s="6">
        <v>0.2</v>
      </c>
      <c r="F463" s="6">
        <f>+ROUND(E459/E463,0)+1</f>
        <v>16</v>
      </c>
      <c r="H463" s="6"/>
      <c r="I463" s="6"/>
      <c r="J463" s="6"/>
      <c r="K463" s="6"/>
      <c r="L463" s="6"/>
      <c r="M463" s="6"/>
      <c r="N463" s="6"/>
      <c r="O463" s="6">
        <f>(2*((G459-(2*$D$11))+(F459-(2*$D$11)))+(2*10*D463/1000))*D459</f>
        <v>2.02</v>
      </c>
      <c r="P463" s="6">
        <f>O463*F463</f>
        <v>32.32</v>
      </c>
      <c r="Q463" s="6">
        <f t="shared" si="101"/>
        <v>12.758089142857145</v>
      </c>
      <c r="R463" s="6">
        <f t="shared" si="101"/>
        <v>0</v>
      </c>
      <c r="S463" s="6">
        <f t="shared" si="101"/>
        <v>0</v>
      </c>
      <c r="T463" s="6">
        <f t="shared" si="101"/>
        <v>0</v>
      </c>
      <c r="U463" s="6">
        <f t="shared" si="101"/>
        <v>0</v>
      </c>
      <c r="V463" s="6">
        <f t="shared" si="101"/>
        <v>0</v>
      </c>
      <c r="W463" s="6">
        <f t="shared" si="101"/>
        <v>0</v>
      </c>
      <c r="X463" s="6">
        <f t="shared" si="95"/>
        <v>12.758089142857145</v>
      </c>
      <c r="Y463" s="6"/>
      <c r="Z463" s="6"/>
      <c r="AA463" s="6"/>
      <c r="AB463" s="6"/>
      <c r="AC463" s="6"/>
      <c r="AE463" s="6"/>
    </row>
    <row r="464" spans="1:32" s="12" customFormat="1" ht="20.100000000000001" customHeight="1" x14ac:dyDescent="0.25">
      <c r="B464" s="6" t="s">
        <v>140</v>
      </c>
      <c r="C464" s="9" t="s">
        <v>25</v>
      </c>
      <c r="D464" s="6">
        <f>+D463</f>
        <v>8</v>
      </c>
      <c r="E464" s="6">
        <f>+E463</f>
        <v>0.2</v>
      </c>
      <c r="F464" s="12">
        <f>+F463</f>
        <v>16</v>
      </c>
      <c r="G464" s="5"/>
      <c r="O464" s="3">
        <f>((((G459-(2*$D$11))+(2*10*D464/1000))*D459))*1</f>
        <v>0.85</v>
      </c>
      <c r="P464" s="6">
        <f>O464*F464</f>
        <v>13.6</v>
      </c>
      <c r="Q464" s="6">
        <f t="shared" si="101"/>
        <v>5.3685028571428575</v>
      </c>
      <c r="R464" s="6">
        <f t="shared" si="101"/>
        <v>0</v>
      </c>
      <c r="S464" s="6">
        <f t="shared" si="101"/>
        <v>0</v>
      </c>
      <c r="T464" s="6">
        <f t="shared" si="101"/>
        <v>0</v>
      </c>
      <c r="U464" s="6">
        <f t="shared" si="101"/>
        <v>0</v>
      </c>
      <c r="V464" s="6">
        <f t="shared" si="101"/>
        <v>0</v>
      </c>
      <c r="W464" s="6">
        <f t="shared" si="101"/>
        <v>0</v>
      </c>
      <c r="X464" s="6">
        <f t="shared" si="95"/>
        <v>5.3685028571428575</v>
      </c>
    </row>
    <row r="465" spans="1:32" s="5" customFormat="1" ht="20.100000000000001" customHeight="1" x14ac:dyDescent="0.25">
      <c r="A465" s="7"/>
      <c r="B465" s="6" t="s">
        <v>140</v>
      </c>
      <c r="C465" s="9" t="s">
        <v>17</v>
      </c>
      <c r="D465" s="6">
        <f>+$D$15</f>
        <v>25</v>
      </c>
      <c r="E465" s="6">
        <f>+$E$15</f>
        <v>1</v>
      </c>
      <c r="F465" s="6">
        <f>ROUNDUP((1.55)/E465,0)+1</f>
        <v>3</v>
      </c>
      <c r="G465" s="8"/>
      <c r="H465" s="8"/>
      <c r="I465" s="6"/>
      <c r="J465" s="6"/>
      <c r="K465" s="6"/>
      <c r="L465" s="6"/>
      <c r="M465" s="6"/>
      <c r="N465" s="6"/>
      <c r="O465" s="6">
        <f>+F459-(2*$D$11)</f>
        <v>0.24</v>
      </c>
      <c r="P465" s="6">
        <f t="shared" si="102"/>
        <v>0.72</v>
      </c>
      <c r="Q465" s="6">
        <f t="shared" si="101"/>
        <v>0</v>
      </c>
      <c r="R465" s="6">
        <f t="shared" si="101"/>
        <v>0</v>
      </c>
      <c r="S465" s="6">
        <f t="shared" si="101"/>
        <v>0</v>
      </c>
      <c r="T465" s="6">
        <f t="shared" si="101"/>
        <v>0</v>
      </c>
      <c r="U465" s="6">
        <f t="shared" si="101"/>
        <v>0</v>
      </c>
      <c r="V465" s="6">
        <f t="shared" si="101"/>
        <v>2.7755357142857147</v>
      </c>
      <c r="W465" s="6">
        <f t="shared" si="101"/>
        <v>0</v>
      </c>
      <c r="X465" s="6">
        <f t="shared" si="95"/>
        <v>2.7755357142857147</v>
      </c>
      <c r="Y465" s="6"/>
      <c r="Z465" s="6"/>
      <c r="AA465" s="6"/>
      <c r="AB465" s="6"/>
      <c r="AC465" s="6"/>
      <c r="AE465" s="6"/>
    </row>
    <row r="466" spans="1:32" s="5" customFormat="1" ht="21" customHeight="1" x14ac:dyDescent="0.25">
      <c r="A466" s="13">
        <f>+A459+1</f>
        <v>60</v>
      </c>
      <c r="B466" s="6" t="s">
        <v>140</v>
      </c>
      <c r="C466" s="11" t="s">
        <v>34</v>
      </c>
      <c r="D466" s="11">
        <v>1</v>
      </c>
      <c r="E466" s="11">
        <v>2.645</v>
      </c>
      <c r="F466" s="11">
        <v>0.4</v>
      </c>
      <c r="G466" s="11">
        <v>0.75</v>
      </c>
      <c r="H466" s="6">
        <f>G466-0.2</f>
        <v>0.55000000000000004</v>
      </c>
      <c r="I466" s="6">
        <f>E466*F466*G466*D466</f>
        <v>0.79350000000000009</v>
      </c>
      <c r="J466" s="6">
        <f>(2*(E466)*H466*D466)+(E466*F466)</f>
        <v>3.9675000000000002</v>
      </c>
      <c r="K466" s="10">
        <f>IF(E466=0.3,J466,0)</f>
        <v>0</v>
      </c>
      <c r="L466" s="10">
        <f>IF(AND(E466&gt;0.3,E466&lt;=0.75),J466,0)</f>
        <v>0</v>
      </c>
      <c r="M466" s="10">
        <f>IF(AND(E466&gt;0.75,E466&lt;=1.2),J466,0)</f>
        <v>0</v>
      </c>
      <c r="N466" s="10">
        <f>IF(E466&gt;1.2,J466,0)</f>
        <v>3.9675000000000002</v>
      </c>
      <c r="O466" s="6"/>
      <c r="P466" s="6"/>
      <c r="Q466" s="6">
        <f t="shared" si="101"/>
        <v>0</v>
      </c>
      <c r="R466" s="6">
        <f t="shared" si="101"/>
        <v>0</v>
      </c>
      <c r="S466" s="6">
        <f t="shared" si="101"/>
        <v>0</v>
      </c>
      <c r="T466" s="6">
        <f t="shared" si="101"/>
        <v>0</v>
      </c>
      <c r="U466" s="6">
        <f t="shared" si="101"/>
        <v>0</v>
      </c>
      <c r="V466" s="6">
        <f t="shared" si="101"/>
        <v>0</v>
      </c>
      <c r="W466" s="6">
        <f t="shared" si="101"/>
        <v>0</v>
      </c>
      <c r="X466" s="6">
        <f t="shared" si="95"/>
        <v>0</v>
      </c>
      <c r="Y466" s="7">
        <f>SUM(X467:X469)/I466</f>
        <v>122.87969552614996</v>
      </c>
      <c r="Z466" s="6"/>
      <c r="AA466" s="6"/>
      <c r="AB466" s="6"/>
      <c r="AC466" s="6"/>
      <c r="AE466" s="6"/>
      <c r="AF466" s="6"/>
    </row>
    <row r="467" spans="1:32" s="5" customFormat="1" ht="20.100000000000001" customHeight="1" x14ac:dyDescent="0.25">
      <c r="A467" s="7"/>
      <c r="B467" s="6" t="s">
        <v>140</v>
      </c>
      <c r="C467" s="9" t="s">
        <v>2</v>
      </c>
      <c r="D467" s="6">
        <v>16</v>
      </c>
      <c r="E467" s="6"/>
      <c r="F467" s="6">
        <v>4</v>
      </c>
      <c r="G467" s="8">
        <f>VLOOKUP(D467,$C$20:$F$26,3,0)</f>
        <v>0.8</v>
      </c>
      <c r="H467" s="8"/>
      <c r="I467" s="6"/>
      <c r="J467" s="6"/>
      <c r="K467" s="6"/>
      <c r="L467" s="6"/>
      <c r="M467" s="6"/>
      <c r="N467" s="6"/>
      <c r="O467" s="6">
        <f>(E466+2*(G467+(2*D467/1000)))*D466</f>
        <v>4.3090000000000002</v>
      </c>
      <c r="P467" s="6">
        <f t="shared" ref="P467:P468" si="103">O467*F467</f>
        <v>17.236000000000001</v>
      </c>
      <c r="Q467" s="6">
        <f t="shared" si="101"/>
        <v>0</v>
      </c>
      <c r="R467" s="6">
        <f t="shared" si="101"/>
        <v>0</v>
      </c>
      <c r="S467" s="6">
        <f t="shared" si="101"/>
        <v>0</v>
      </c>
      <c r="T467" s="6">
        <f t="shared" si="101"/>
        <v>27.215151542857146</v>
      </c>
      <c r="U467" s="6">
        <f t="shared" si="101"/>
        <v>0</v>
      </c>
      <c r="V467" s="6">
        <f t="shared" si="101"/>
        <v>0</v>
      </c>
      <c r="W467" s="6">
        <f t="shared" si="101"/>
        <v>0</v>
      </c>
      <c r="X467" s="6">
        <f t="shared" si="95"/>
        <v>27.215151542857146</v>
      </c>
      <c r="Y467" s="6"/>
      <c r="Z467" s="6"/>
      <c r="AA467" s="6"/>
      <c r="AB467" s="6"/>
      <c r="AC467" s="6"/>
      <c r="AE467" s="6"/>
    </row>
    <row r="468" spans="1:32" s="5" customFormat="1" ht="20.100000000000001" customHeight="1" x14ac:dyDescent="0.25">
      <c r="A468" s="7"/>
      <c r="B468" s="6" t="s">
        <v>140</v>
      </c>
      <c r="C468" s="9" t="s">
        <v>1</v>
      </c>
      <c r="D468" s="6">
        <v>20</v>
      </c>
      <c r="E468" s="6"/>
      <c r="F468" s="6">
        <v>4</v>
      </c>
      <c r="G468" s="8">
        <f>VLOOKUP(D468,$C$20:$F$26,3,0)</f>
        <v>1</v>
      </c>
      <c r="H468" s="6"/>
      <c r="I468" s="6"/>
      <c r="J468" s="6"/>
      <c r="K468" s="6"/>
      <c r="L468" s="6"/>
      <c r="M468" s="6"/>
      <c r="N468" s="6"/>
      <c r="O468" s="6">
        <f>(E466+2*(G468+(2*D468/1000)))*D466</f>
        <v>4.7249999999999996</v>
      </c>
      <c r="P468" s="6">
        <f t="shared" si="103"/>
        <v>18.899999999999999</v>
      </c>
      <c r="Q468" s="6">
        <f t="shared" si="101"/>
        <v>0</v>
      </c>
      <c r="R468" s="6">
        <f t="shared" si="101"/>
        <v>0</v>
      </c>
      <c r="S468" s="6">
        <f t="shared" si="101"/>
        <v>0</v>
      </c>
      <c r="T468" s="6">
        <f t="shared" si="101"/>
        <v>0</v>
      </c>
      <c r="U468" s="6">
        <f t="shared" si="101"/>
        <v>46.628999999999998</v>
      </c>
      <c r="V468" s="6">
        <f t="shared" si="101"/>
        <v>0</v>
      </c>
      <c r="W468" s="6">
        <f t="shared" si="101"/>
        <v>0</v>
      </c>
      <c r="X468" s="6">
        <f t="shared" si="95"/>
        <v>46.628999999999998</v>
      </c>
      <c r="Y468" s="6"/>
      <c r="Z468" s="6"/>
      <c r="AA468" s="6"/>
      <c r="AB468" s="6"/>
      <c r="AC468" s="6"/>
      <c r="AE468" s="6"/>
    </row>
    <row r="469" spans="1:32" s="5" customFormat="1" ht="20.100000000000001" customHeight="1" x14ac:dyDescent="0.25">
      <c r="A469" s="7"/>
      <c r="B469" s="6" t="s">
        <v>140</v>
      </c>
      <c r="C469" s="9" t="s">
        <v>0</v>
      </c>
      <c r="D469" s="6">
        <v>8</v>
      </c>
      <c r="E469" s="6">
        <v>0.1</v>
      </c>
      <c r="F469" s="6">
        <f>+ROUND(E466/E469,0)+1</f>
        <v>27</v>
      </c>
      <c r="H469" s="6"/>
      <c r="I469" s="6"/>
      <c r="J469" s="6"/>
      <c r="K469" s="6"/>
      <c r="L469" s="6"/>
      <c r="M469" s="6"/>
      <c r="N469" s="6"/>
      <c r="O469" s="6">
        <f>(2*((G466-(2*$D$11))+(F466-(2*$D$11)))+(2*10*D469/1000))*D466</f>
        <v>2.2200000000000002</v>
      </c>
      <c r="P469" s="6">
        <f>O469*F469</f>
        <v>59.940000000000005</v>
      </c>
      <c r="Q469" s="6">
        <f t="shared" si="101"/>
        <v>23.660886857142859</v>
      </c>
      <c r="R469" s="6">
        <f t="shared" si="101"/>
        <v>0</v>
      </c>
      <c r="S469" s="6">
        <f t="shared" si="101"/>
        <v>0</v>
      </c>
      <c r="T469" s="6">
        <f t="shared" si="101"/>
        <v>0</v>
      </c>
      <c r="U469" s="6">
        <f t="shared" si="101"/>
        <v>0</v>
      </c>
      <c r="V469" s="6">
        <f t="shared" si="101"/>
        <v>0</v>
      </c>
      <c r="W469" s="6">
        <f t="shared" si="101"/>
        <v>0</v>
      </c>
      <c r="X469" s="6">
        <f t="shared" si="95"/>
        <v>23.660886857142859</v>
      </c>
      <c r="Y469" s="6"/>
      <c r="Z469" s="6"/>
      <c r="AA469" s="6"/>
      <c r="AB469" s="6"/>
      <c r="AC469" s="6"/>
      <c r="AE469" s="6"/>
    </row>
    <row r="470" spans="1:32" s="12" customFormat="1" ht="20.100000000000001" customHeight="1" x14ac:dyDescent="0.25">
      <c r="B470" s="6" t="s">
        <v>140</v>
      </c>
      <c r="C470" s="9" t="s">
        <v>25</v>
      </c>
      <c r="D470" s="6">
        <f>+D469</f>
        <v>8</v>
      </c>
      <c r="E470" s="6">
        <f>+E469</f>
        <v>0.1</v>
      </c>
      <c r="F470" s="12">
        <f>+F469</f>
        <v>27</v>
      </c>
      <c r="G470" s="5"/>
      <c r="O470" s="3">
        <f>((((G466-(2*$D$11))+(2*10*D470/1000))*D466))*2</f>
        <v>1.7</v>
      </c>
      <c r="P470" s="6">
        <f>O470*F470</f>
        <v>45.9</v>
      </c>
      <c r="Q470" s="6">
        <f t="shared" si="101"/>
        <v>18.118697142857144</v>
      </c>
      <c r="R470" s="6">
        <f t="shared" si="101"/>
        <v>0</v>
      </c>
      <c r="S470" s="6">
        <f t="shared" si="101"/>
        <v>0</v>
      </c>
      <c r="T470" s="6">
        <f t="shared" si="101"/>
        <v>0</v>
      </c>
      <c r="U470" s="6">
        <f t="shared" si="101"/>
        <v>0</v>
      </c>
      <c r="V470" s="6">
        <f t="shared" si="101"/>
        <v>0</v>
      </c>
      <c r="W470" s="6">
        <f t="shared" si="101"/>
        <v>0</v>
      </c>
      <c r="X470" s="6">
        <f t="shared" si="95"/>
        <v>18.118697142857144</v>
      </c>
    </row>
    <row r="471" spans="1:32" s="5" customFormat="1" ht="21" customHeight="1" x14ac:dyDescent="0.25">
      <c r="A471" s="13">
        <f>+A466+1</f>
        <v>61</v>
      </c>
      <c r="B471" s="6" t="s">
        <v>140</v>
      </c>
      <c r="C471" s="11" t="s">
        <v>33</v>
      </c>
      <c r="D471" s="11">
        <v>1</v>
      </c>
      <c r="E471" s="11">
        <v>0.45</v>
      </c>
      <c r="F471" s="11">
        <v>0.2</v>
      </c>
      <c r="G471" s="11">
        <v>0.75</v>
      </c>
      <c r="H471" s="6">
        <f>G471-0.2</f>
        <v>0.55000000000000004</v>
      </c>
      <c r="I471" s="6">
        <f>E471*F471*G471*D471</f>
        <v>6.7500000000000004E-2</v>
      </c>
      <c r="J471" s="6">
        <f>(2*(E471)*H471*D471)+(E471*F471)</f>
        <v>0.58500000000000008</v>
      </c>
      <c r="K471" s="10">
        <f>IF(E471=0.3,J471,0)</f>
        <v>0</v>
      </c>
      <c r="L471" s="10">
        <f>IF(AND(E471&gt;0.3,E471&lt;=0.75),J471,0)</f>
        <v>0.58500000000000008</v>
      </c>
      <c r="M471" s="10">
        <f>IF(AND(E471&gt;0.75,E471&lt;=1.2),J471,0)</f>
        <v>0</v>
      </c>
      <c r="N471" s="10">
        <f>IF(E471&gt;1.2,J471,0)</f>
        <v>0</v>
      </c>
      <c r="O471" s="6"/>
      <c r="P471" s="6"/>
      <c r="Q471" s="6">
        <f t="shared" si="101"/>
        <v>0</v>
      </c>
      <c r="R471" s="6">
        <f t="shared" si="101"/>
        <v>0</v>
      </c>
      <c r="S471" s="6">
        <f t="shared" si="101"/>
        <v>0</v>
      </c>
      <c r="T471" s="6">
        <f t="shared" si="101"/>
        <v>0</v>
      </c>
      <c r="U471" s="6">
        <f t="shared" si="101"/>
        <v>0</v>
      </c>
      <c r="V471" s="6">
        <f t="shared" si="101"/>
        <v>0</v>
      </c>
      <c r="W471" s="6">
        <f t="shared" si="101"/>
        <v>0</v>
      </c>
      <c r="X471" s="6">
        <f t="shared" si="95"/>
        <v>0</v>
      </c>
      <c r="Y471" s="7">
        <f>SUM(X472:X474)/I471</f>
        <v>240.37793185185191</v>
      </c>
      <c r="Z471" s="6"/>
      <c r="AA471" s="6"/>
      <c r="AB471" s="6"/>
      <c r="AC471" s="6"/>
      <c r="AE471" s="6"/>
      <c r="AF471" s="6"/>
    </row>
    <row r="472" spans="1:32" s="5" customFormat="1" ht="20.100000000000001" customHeight="1" x14ac:dyDescent="0.25">
      <c r="A472" s="7"/>
      <c r="B472" s="6" t="s">
        <v>140</v>
      </c>
      <c r="C472" s="9" t="s">
        <v>2</v>
      </c>
      <c r="D472" s="6">
        <v>16</v>
      </c>
      <c r="E472" s="6"/>
      <c r="F472" s="6">
        <v>2</v>
      </c>
      <c r="G472" s="8">
        <f>VLOOKUP(D472,$C$20:$F$26,3,0)</f>
        <v>0.8</v>
      </c>
      <c r="H472" s="8"/>
      <c r="I472" s="6"/>
      <c r="J472" s="6"/>
      <c r="K472" s="6"/>
      <c r="L472" s="6"/>
      <c r="M472" s="6"/>
      <c r="N472" s="6"/>
      <c r="O472" s="6">
        <f>(E471+2*(G472+(2*D472/1000)))*D471</f>
        <v>2.1140000000000003</v>
      </c>
      <c r="P472" s="6">
        <f t="shared" ref="P472:P474" si="104">O472*F472</f>
        <v>4.2280000000000006</v>
      </c>
      <c r="Q472" s="6">
        <f t="shared" si="101"/>
        <v>0</v>
      </c>
      <c r="R472" s="6">
        <f t="shared" si="101"/>
        <v>0</v>
      </c>
      <c r="S472" s="6">
        <f t="shared" si="101"/>
        <v>0</v>
      </c>
      <c r="T472" s="6">
        <f t="shared" si="101"/>
        <v>6.6758912000000015</v>
      </c>
      <c r="U472" s="6">
        <f t="shared" si="101"/>
        <v>0</v>
      </c>
      <c r="V472" s="6">
        <f t="shared" si="101"/>
        <v>0</v>
      </c>
      <c r="W472" s="6">
        <f t="shared" si="101"/>
        <v>0</v>
      </c>
      <c r="X472" s="6">
        <f t="shared" si="95"/>
        <v>6.6758912000000015</v>
      </c>
      <c r="Y472" s="6"/>
      <c r="Z472" s="6"/>
      <c r="AA472" s="6"/>
      <c r="AB472" s="6"/>
      <c r="AC472" s="6"/>
      <c r="AE472" s="6"/>
    </row>
    <row r="473" spans="1:32" s="5" customFormat="1" ht="20.100000000000001" customHeight="1" x14ac:dyDescent="0.25">
      <c r="A473" s="7"/>
      <c r="B473" s="6" t="s">
        <v>140</v>
      </c>
      <c r="C473" s="9" t="s">
        <v>1</v>
      </c>
      <c r="D473" s="6">
        <v>16</v>
      </c>
      <c r="E473" s="6"/>
      <c r="F473" s="6">
        <v>2</v>
      </c>
      <c r="G473" s="8">
        <f>VLOOKUP(D473,$C$20:$F$26,3,0)</f>
        <v>0.8</v>
      </c>
      <c r="H473" s="6"/>
      <c r="I473" s="6"/>
      <c r="J473" s="6"/>
      <c r="K473" s="6"/>
      <c r="L473" s="6"/>
      <c r="M473" s="6"/>
      <c r="N473" s="6"/>
      <c r="O473" s="6">
        <f>(E471+2*(G473+(2*D473/1000)))*D471</f>
        <v>2.1140000000000003</v>
      </c>
      <c r="P473" s="6">
        <f t="shared" si="104"/>
        <v>4.2280000000000006</v>
      </c>
      <c r="Q473" s="6">
        <f t="shared" si="101"/>
        <v>0</v>
      </c>
      <c r="R473" s="6">
        <f t="shared" si="101"/>
        <v>0</v>
      </c>
      <c r="S473" s="6">
        <f t="shared" si="101"/>
        <v>0</v>
      </c>
      <c r="T473" s="6">
        <f t="shared" si="101"/>
        <v>6.6758912000000015</v>
      </c>
      <c r="U473" s="6">
        <f t="shared" si="101"/>
        <v>0</v>
      </c>
      <c r="V473" s="6">
        <f t="shared" si="101"/>
        <v>0</v>
      </c>
      <c r="W473" s="6">
        <f t="shared" si="101"/>
        <v>0</v>
      </c>
      <c r="X473" s="6">
        <f t="shared" si="95"/>
        <v>6.6758912000000015</v>
      </c>
      <c r="Y473" s="6"/>
      <c r="Z473" s="6"/>
      <c r="AA473" s="6"/>
      <c r="AB473" s="6"/>
      <c r="AC473" s="6"/>
      <c r="AE473" s="6"/>
    </row>
    <row r="474" spans="1:32" s="5" customFormat="1" ht="20.100000000000001" customHeight="1" x14ac:dyDescent="0.25">
      <c r="A474" s="7"/>
      <c r="B474" s="6" t="s">
        <v>140</v>
      </c>
      <c r="C474" s="9" t="s">
        <v>0</v>
      </c>
      <c r="D474" s="6">
        <v>8</v>
      </c>
      <c r="E474" s="6">
        <v>0.15</v>
      </c>
      <c r="F474" s="6">
        <f>+ROUND(E471/E474,0)+1</f>
        <v>4</v>
      </c>
      <c r="H474" s="6"/>
      <c r="I474" s="6"/>
      <c r="J474" s="6"/>
      <c r="K474" s="6"/>
      <c r="L474" s="6"/>
      <c r="M474" s="6"/>
      <c r="N474" s="6"/>
      <c r="O474" s="6">
        <f>(2*((G471-(2*$D$11))+(F471-(2*$D$11)))+((2*10)*D474/1000))*D471</f>
        <v>1.8199999999999998</v>
      </c>
      <c r="P474" s="6">
        <f t="shared" si="104"/>
        <v>7.2799999999999994</v>
      </c>
      <c r="Q474" s="6">
        <f t="shared" si="101"/>
        <v>2.8737279999999998</v>
      </c>
      <c r="R474" s="6">
        <f t="shared" si="101"/>
        <v>0</v>
      </c>
      <c r="S474" s="6">
        <f t="shared" si="101"/>
        <v>0</v>
      </c>
      <c r="T474" s="6">
        <f t="shared" si="101"/>
        <v>0</v>
      </c>
      <c r="U474" s="6">
        <f t="shared" si="101"/>
        <v>0</v>
      </c>
      <c r="V474" s="6">
        <f t="shared" si="101"/>
        <v>0</v>
      </c>
      <c r="W474" s="6">
        <f t="shared" si="101"/>
        <v>0</v>
      </c>
      <c r="X474" s="6">
        <f t="shared" si="95"/>
        <v>2.8737279999999998</v>
      </c>
      <c r="Y474" s="6"/>
      <c r="Z474" s="6"/>
      <c r="AA474" s="6"/>
      <c r="AB474" s="6"/>
      <c r="AC474" s="6"/>
      <c r="AE474" s="6"/>
    </row>
    <row r="475" spans="1:32" s="5" customFormat="1" ht="21" customHeight="1" x14ac:dyDescent="0.25">
      <c r="A475" s="13">
        <f>+A471+1</f>
        <v>62</v>
      </c>
      <c r="B475" s="6" t="s">
        <v>140</v>
      </c>
      <c r="C475" s="11" t="s">
        <v>32</v>
      </c>
      <c r="D475" s="11">
        <v>1</v>
      </c>
      <c r="E475" s="11">
        <v>5.2469999999999999</v>
      </c>
      <c r="F475" s="11">
        <v>0.4</v>
      </c>
      <c r="G475" s="11">
        <v>0.75</v>
      </c>
      <c r="H475" s="6">
        <f>G475-0.2</f>
        <v>0.55000000000000004</v>
      </c>
      <c r="I475" s="6">
        <f>E475*F475*G475*D475</f>
        <v>1.5741000000000001</v>
      </c>
      <c r="J475" s="6">
        <f>(2*(E475)*H475*D475)+(E475*F475)</f>
        <v>7.8704999999999998</v>
      </c>
      <c r="K475" s="10">
        <f>IF(E475=0.3,J475,0)</f>
        <v>0</v>
      </c>
      <c r="L475" s="10">
        <f>IF(AND(E475&gt;0.3,E475&lt;=0.75),J475,0)</f>
        <v>0</v>
      </c>
      <c r="M475" s="10">
        <f>IF(AND(E475&gt;0.75,E475&lt;=1.2),J475,0)</f>
        <v>0</v>
      </c>
      <c r="N475" s="10">
        <f>IF(E475&gt;1.2,J475,0)</f>
        <v>7.8704999999999998</v>
      </c>
      <c r="O475" s="6"/>
      <c r="P475" s="6"/>
      <c r="Q475" s="6">
        <f t="shared" si="101"/>
        <v>0</v>
      </c>
      <c r="R475" s="6">
        <f t="shared" si="101"/>
        <v>0</v>
      </c>
      <c r="S475" s="6">
        <f t="shared" si="101"/>
        <v>0</v>
      </c>
      <c r="T475" s="6">
        <f t="shared" si="101"/>
        <v>0</v>
      </c>
      <c r="U475" s="6">
        <f t="shared" si="101"/>
        <v>0</v>
      </c>
      <c r="V475" s="6">
        <f t="shared" si="101"/>
        <v>0</v>
      </c>
      <c r="W475" s="6">
        <f t="shared" si="101"/>
        <v>0</v>
      </c>
      <c r="X475" s="6">
        <f t="shared" si="95"/>
        <v>0</v>
      </c>
      <c r="Y475" s="7">
        <f>SUM(X476:X483)/I475</f>
        <v>163.4464353598882</v>
      </c>
      <c r="Z475" s="6"/>
      <c r="AA475" s="6"/>
      <c r="AB475" s="6"/>
      <c r="AC475" s="6"/>
      <c r="AE475" s="6"/>
      <c r="AF475" s="6"/>
    </row>
    <row r="476" spans="1:32" s="5" customFormat="1" ht="20.100000000000001" customHeight="1" x14ac:dyDescent="0.25">
      <c r="A476" s="7"/>
      <c r="B476" s="6" t="s">
        <v>140</v>
      </c>
      <c r="C476" s="9" t="s">
        <v>2</v>
      </c>
      <c r="D476" s="6">
        <v>16</v>
      </c>
      <c r="E476" s="6"/>
      <c r="F476" s="6">
        <v>4</v>
      </c>
      <c r="G476" s="8">
        <f>VLOOKUP(D476,$C$20:$F$26,3,0)</f>
        <v>0.8</v>
      </c>
      <c r="H476" s="8"/>
      <c r="I476" s="6"/>
      <c r="J476" s="6"/>
      <c r="K476" s="6"/>
      <c r="L476" s="6"/>
      <c r="M476" s="6"/>
      <c r="N476" s="6"/>
      <c r="O476" s="6">
        <f>(E475+0.75+1*(G476+(2*D476/1000)))*D475</f>
        <v>6.8289999999999997</v>
      </c>
      <c r="P476" s="6">
        <f t="shared" ref="P476:P479" si="105">O476*F476</f>
        <v>27.315999999999999</v>
      </c>
      <c r="Q476" s="6">
        <f t="shared" si="101"/>
        <v>0</v>
      </c>
      <c r="R476" s="6">
        <f t="shared" si="101"/>
        <v>0</v>
      </c>
      <c r="S476" s="6">
        <f t="shared" si="101"/>
        <v>0</v>
      </c>
      <c r="T476" s="6">
        <f t="shared" si="101"/>
        <v>43.131183542857144</v>
      </c>
      <c r="U476" s="6">
        <f t="shared" si="101"/>
        <v>0</v>
      </c>
      <c r="V476" s="6">
        <f t="shared" si="101"/>
        <v>0</v>
      </c>
      <c r="W476" s="6">
        <f t="shared" si="101"/>
        <v>0</v>
      </c>
      <c r="X476" s="6">
        <f t="shared" si="95"/>
        <v>43.131183542857144</v>
      </c>
      <c r="Y476" s="6"/>
      <c r="Z476" s="6"/>
      <c r="AA476" s="6"/>
      <c r="AB476" s="6"/>
      <c r="AC476" s="6"/>
      <c r="AE476" s="6"/>
    </row>
    <row r="477" spans="1:32" s="5" customFormat="1" ht="20.100000000000001" customHeight="1" x14ac:dyDescent="0.25">
      <c r="A477" s="7"/>
      <c r="B477" s="6" t="s">
        <v>140</v>
      </c>
      <c r="C477" s="9" t="s">
        <v>1</v>
      </c>
      <c r="D477" s="6">
        <v>20</v>
      </c>
      <c r="E477" s="6"/>
      <c r="F477" s="6">
        <v>4</v>
      </c>
      <c r="G477" s="8">
        <f>VLOOKUP(D477,$C$20:$F$26,3,0)</f>
        <v>1</v>
      </c>
      <c r="H477" s="6"/>
      <c r="I477" s="6"/>
      <c r="J477" s="6"/>
      <c r="K477" s="6"/>
      <c r="L477" s="6"/>
      <c r="M477" s="6"/>
      <c r="N477" s="6"/>
      <c r="O477" s="6">
        <f>(E475+0.75+1*(G477+(2*D477/1000)))*D475</f>
        <v>7.0369999999999999</v>
      </c>
      <c r="P477" s="6">
        <f t="shared" si="105"/>
        <v>28.148</v>
      </c>
      <c r="Q477" s="6">
        <f t="shared" si="101"/>
        <v>0</v>
      </c>
      <c r="R477" s="6">
        <f t="shared" si="101"/>
        <v>0</v>
      </c>
      <c r="S477" s="6">
        <f t="shared" si="101"/>
        <v>0</v>
      </c>
      <c r="T477" s="6">
        <f t="shared" si="101"/>
        <v>0</v>
      </c>
      <c r="U477" s="6">
        <f t="shared" si="101"/>
        <v>69.445137142857135</v>
      </c>
      <c r="V477" s="6">
        <f t="shared" si="101"/>
        <v>0</v>
      </c>
      <c r="W477" s="6">
        <f t="shared" si="101"/>
        <v>0</v>
      </c>
      <c r="X477" s="6">
        <f t="shared" si="95"/>
        <v>69.445137142857135</v>
      </c>
      <c r="Y477" s="6"/>
      <c r="Z477" s="6"/>
      <c r="AA477" s="6"/>
      <c r="AB477" s="6"/>
      <c r="AC477" s="6"/>
      <c r="AE477" s="6"/>
    </row>
    <row r="478" spans="1:32" s="5" customFormat="1" ht="20.100000000000001" customHeight="1" x14ac:dyDescent="0.25">
      <c r="A478" s="7"/>
      <c r="B478" s="6" t="s">
        <v>140</v>
      </c>
      <c r="C478" s="9" t="s">
        <v>18</v>
      </c>
      <c r="D478" s="6">
        <v>20</v>
      </c>
      <c r="E478" s="6"/>
      <c r="F478" s="6">
        <v>2</v>
      </c>
      <c r="G478" s="8">
        <f>VLOOKUP(D478,$C$20:$F$26,3,0)</f>
        <v>1</v>
      </c>
      <c r="H478" s="6"/>
      <c r="I478" s="6"/>
      <c r="J478" s="6"/>
      <c r="K478" s="6"/>
      <c r="L478" s="6"/>
      <c r="M478" s="6"/>
      <c r="N478" s="6"/>
      <c r="O478" s="6">
        <f>+E475</f>
        <v>5.2469999999999999</v>
      </c>
      <c r="P478" s="6">
        <f t="shared" si="105"/>
        <v>10.494</v>
      </c>
      <c r="Q478" s="6">
        <f t="shared" si="101"/>
        <v>0</v>
      </c>
      <c r="R478" s="6">
        <f t="shared" si="101"/>
        <v>0</v>
      </c>
      <c r="S478" s="6">
        <f t="shared" si="101"/>
        <v>0</v>
      </c>
      <c r="T478" s="6">
        <f t="shared" si="101"/>
        <v>0</v>
      </c>
      <c r="U478" s="6">
        <f t="shared" si="101"/>
        <v>25.89019714285714</v>
      </c>
      <c r="V478" s="6">
        <f t="shared" si="101"/>
        <v>0</v>
      </c>
      <c r="W478" s="6">
        <f t="shared" si="101"/>
        <v>0</v>
      </c>
      <c r="X478" s="6">
        <f t="shared" si="95"/>
        <v>25.89019714285714</v>
      </c>
      <c r="Y478" s="6"/>
      <c r="Z478" s="6"/>
      <c r="AA478" s="6"/>
      <c r="AB478" s="6"/>
      <c r="AC478" s="6"/>
      <c r="AE478" s="6"/>
    </row>
    <row r="479" spans="1:32" s="5" customFormat="1" ht="20.100000000000001" customHeight="1" x14ac:dyDescent="0.25">
      <c r="A479" s="7"/>
      <c r="B479" s="6" t="s">
        <v>140</v>
      </c>
      <c r="C479" s="9" t="s">
        <v>0</v>
      </c>
      <c r="D479" s="6">
        <v>10</v>
      </c>
      <c r="E479" s="6">
        <v>0.1</v>
      </c>
      <c r="F479" s="6">
        <f>ROUND(IF(E475/3&gt;(2*G475),(E475/3)/E479,(2*G475)/E479),0)*2+1</f>
        <v>35</v>
      </c>
      <c r="G479" s="8"/>
      <c r="H479" s="6"/>
      <c r="I479" s="6"/>
      <c r="J479" s="6"/>
      <c r="K479" s="6"/>
      <c r="L479" s="6"/>
      <c r="M479" s="6"/>
      <c r="N479" s="6"/>
      <c r="O479" s="6">
        <f>(2*((G475-(2*$D$11))+(F475-(2*$D$11)))+(2*10*D479/1000))*D475</f>
        <v>2.2600000000000002</v>
      </c>
      <c r="P479" s="6">
        <f t="shared" si="105"/>
        <v>79.100000000000009</v>
      </c>
      <c r="Q479" s="6">
        <f t="shared" si="101"/>
        <v>0</v>
      </c>
      <c r="R479" s="6">
        <f t="shared" si="101"/>
        <v>48.787750000000003</v>
      </c>
      <c r="S479" s="6">
        <f t="shared" si="101"/>
        <v>0</v>
      </c>
      <c r="T479" s="6">
        <f t="shared" si="101"/>
        <v>0</v>
      </c>
      <c r="U479" s="6">
        <f t="shared" si="101"/>
        <v>0</v>
      </c>
      <c r="V479" s="6">
        <f t="shared" si="101"/>
        <v>0</v>
      </c>
      <c r="W479" s="6">
        <f t="shared" si="101"/>
        <v>0</v>
      </c>
      <c r="X479" s="6">
        <f t="shared" si="95"/>
        <v>48.787750000000003</v>
      </c>
      <c r="Y479" s="6"/>
      <c r="Z479" s="6"/>
      <c r="AA479" s="6"/>
      <c r="AB479" s="6"/>
      <c r="AC479" s="6"/>
      <c r="AD479" s="6"/>
      <c r="AE479" s="6"/>
    </row>
    <row r="480" spans="1:32" s="12" customFormat="1" ht="20.100000000000001" customHeight="1" x14ac:dyDescent="0.25">
      <c r="B480" s="6" t="s">
        <v>140</v>
      </c>
      <c r="C480" s="9" t="s">
        <v>25</v>
      </c>
      <c r="D480" s="6">
        <f>+D479</f>
        <v>10</v>
      </c>
      <c r="E480" s="6">
        <f>+E479</f>
        <v>0.1</v>
      </c>
      <c r="F480" s="12">
        <f>+F479</f>
        <v>35</v>
      </c>
      <c r="G480" s="5"/>
      <c r="O480" s="3">
        <f>((((G475-(2*$D$11))+(2*10*D480/1000))*D475))*2</f>
        <v>1.7799999999999998</v>
      </c>
      <c r="P480" s="6">
        <f>O480*F480</f>
        <v>62.29999999999999</v>
      </c>
      <c r="Q480" s="6">
        <f t="shared" si="101"/>
        <v>0</v>
      </c>
      <c r="R480" s="6">
        <f t="shared" si="101"/>
        <v>38.425749999999994</v>
      </c>
      <c r="S480" s="6">
        <f t="shared" si="101"/>
        <v>0</v>
      </c>
      <c r="T480" s="6">
        <f t="shared" si="101"/>
        <v>0</v>
      </c>
      <c r="U480" s="6">
        <f t="shared" si="101"/>
        <v>0</v>
      </c>
      <c r="V480" s="6">
        <f t="shared" si="101"/>
        <v>0</v>
      </c>
      <c r="W480" s="6">
        <f t="shared" si="101"/>
        <v>0</v>
      </c>
      <c r="X480" s="6">
        <f t="shared" si="95"/>
        <v>38.425749999999994</v>
      </c>
    </row>
    <row r="481" spans="1:32" s="12" customFormat="1" ht="20.100000000000001" customHeight="1" x14ac:dyDescent="0.3">
      <c r="B481" s="6" t="s">
        <v>140</v>
      </c>
      <c r="C481" s="9" t="s">
        <v>0</v>
      </c>
      <c r="D481" s="12">
        <v>10</v>
      </c>
      <c r="E481" s="12">
        <v>0.2</v>
      </c>
      <c r="F481" s="12">
        <f>ROUND((E475-(IF(E475/3&gt;2*G475,E475/3*2,G475*2*2)))/E481,0)</f>
        <v>9</v>
      </c>
      <c r="O481" s="6">
        <f>(2*((G475-(2*$D$11))+(F475-(2*$D$11)))+(2*10*D481/1000))*D475</f>
        <v>2.2600000000000002</v>
      </c>
      <c r="P481" s="6">
        <f>O481*F481</f>
        <v>20.340000000000003</v>
      </c>
      <c r="Q481" s="6">
        <f t="shared" si="101"/>
        <v>0</v>
      </c>
      <c r="R481" s="6">
        <f t="shared" si="101"/>
        <v>12.54542142857143</v>
      </c>
      <c r="S481" s="6">
        <f t="shared" si="101"/>
        <v>0</v>
      </c>
      <c r="T481" s="6">
        <f t="shared" si="101"/>
        <v>0</v>
      </c>
      <c r="U481" s="6">
        <f t="shared" si="101"/>
        <v>0</v>
      </c>
      <c r="V481" s="6">
        <f t="shared" si="101"/>
        <v>0</v>
      </c>
      <c r="W481" s="6">
        <f t="shared" si="101"/>
        <v>0</v>
      </c>
      <c r="X481" s="6">
        <f t="shared" si="95"/>
        <v>12.54542142857143</v>
      </c>
      <c r="AC481" s="6"/>
    </row>
    <row r="482" spans="1:32" s="12" customFormat="1" ht="20.100000000000001" customHeight="1" x14ac:dyDescent="0.25">
      <c r="B482" s="6" t="s">
        <v>140</v>
      </c>
      <c r="C482" s="9" t="s">
        <v>25</v>
      </c>
      <c r="D482" s="6">
        <f>+D481</f>
        <v>10</v>
      </c>
      <c r="E482" s="6">
        <f>+E481</f>
        <v>0.2</v>
      </c>
      <c r="F482" s="12">
        <f>+F481</f>
        <v>9</v>
      </c>
      <c r="G482" s="5"/>
      <c r="O482" s="3">
        <f>((((G475-(2*$D$11))+(2*10*D482/1000))*D475))*2</f>
        <v>1.7799999999999998</v>
      </c>
      <c r="P482" s="6">
        <f>O482*F482</f>
        <v>16.02</v>
      </c>
      <c r="Q482" s="6">
        <f t="shared" si="101"/>
        <v>0</v>
      </c>
      <c r="R482" s="6">
        <f t="shared" si="101"/>
        <v>9.8809071428571418</v>
      </c>
      <c r="S482" s="6">
        <f t="shared" si="101"/>
        <v>0</v>
      </c>
      <c r="T482" s="6">
        <f t="shared" si="101"/>
        <v>0</v>
      </c>
      <c r="U482" s="6">
        <f t="shared" si="101"/>
        <v>0</v>
      </c>
      <c r="V482" s="6">
        <f t="shared" si="101"/>
        <v>0</v>
      </c>
      <c r="W482" s="6">
        <f t="shared" si="101"/>
        <v>0</v>
      </c>
      <c r="X482" s="6">
        <f t="shared" si="95"/>
        <v>9.8809071428571418</v>
      </c>
    </row>
    <row r="483" spans="1:32" s="5" customFormat="1" ht="20.100000000000001" customHeight="1" x14ac:dyDescent="0.25">
      <c r="A483" s="7"/>
      <c r="B483" s="6" t="s">
        <v>140</v>
      </c>
      <c r="C483" s="9" t="s">
        <v>17</v>
      </c>
      <c r="D483" s="6">
        <f>+$D$15</f>
        <v>25</v>
      </c>
      <c r="E483" s="6">
        <f>+$E$15</f>
        <v>1</v>
      </c>
      <c r="F483" s="6">
        <f>ROUNDUP((E475)/E483,0)+1</f>
        <v>7</v>
      </c>
      <c r="G483" s="8"/>
      <c r="H483" s="8"/>
      <c r="I483" s="6"/>
      <c r="J483" s="6"/>
      <c r="K483" s="6"/>
      <c r="L483" s="6"/>
      <c r="M483" s="6"/>
      <c r="N483" s="6"/>
      <c r="O483" s="6">
        <f>+F475-(2*$D$11)</f>
        <v>0.34</v>
      </c>
      <c r="P483" s="6">
        <f>O483*F483</f>
        <v>2.3800000000000003</v>
      </c>
      <c r="Q483" s="6">
        <f t="shared" si="101"/>
        <v>0</v>
      </c>
      <c r="R483" s="6">
        <f t="shared" si="101"/>
        <v>0</v>
      </c>
      <c r="S483" s="6">
        <f t="shared" si="101"/>
        <v>0</v>
      </c>
      <c r="T483" s="6">
        <f t="shared" si="101"/>
        <v>0</v>
      </c>
      <c r="U483" s="6">
        <f t="shared" si="101"/>
        <v>0</v>
      </c>
      <c r="V483" s="6">
        <f t="shared" si="101"/>
        <v>9.1746875000000028</v>
      </c>
      <c r="W483" s="6">
        <f t="shared" si="101"/>
        <v>0</v>
      </c>
      <c r="X483" s="6">
        <f t="shared" si="95"/>
        <v>9.1746875000000028</v>
      </c>
      <c r="Y483" s="6"/>
      <c r="Z483" s="6"/>
      <c r="AA483" s="6"/>
      <c r="AB483" s="6"/>
      <c r="AC483" s="6"/>
      <c r="AD483" s="6"/>
      <c r="AE483" s="6"/>
    </row>
    <row r="484" spans="1:32" s="5" customFormat="1" ht="21" customHeight="1" x14ac:dyDescent="0.25">
      <c r="A484" s="13">
        <f>+A475+1</f>
        <v>63</v>
      </c>
      <c r="B484" s="6" t="s">
        <v>140</v>
      </c>
      <c r="C484" s="11" t="s">
        <v>31</v>
      </c>
      <c r="D484" s="11">
        <v>1</v>
      </c>
      <c r="E484" s="11">
        <v>5.0739999999999998</v>
      </c>
      <c r="F484" s="11">
        <v>0.3</v>
      </c>
      <c r="G484" s="11">
        <v>0.75</v>
      </c>
      <c r="H484" s="6">
        <f>G484-0.2</f>
        <v>0.55000000000000004</v>
      </c>
      <c r="I484" s="6">
        <f>E484*F484*G484*D484</f>
        <v>1.1416500000000001</v>
      </c>
      <c r="J484" s="6">
        <f>(2*(E484)*H484*D484)+(E484*F484)</f>
        <v>7.1036000000000001</v>
      </c>
      <c r="K484" s="10">
        <f>IF(E484=0.3,J484,0)</f>
        <v>0</v>
      </c>
      <c r="L484" s="10">
        <f>IF(AND(E484&gt;0.3,E484&lt;=0.75),J484,0)</f>
        <v>0</v>
      </c>
      <c r="M484" s="10">
        <f>IF(AND(E484&gt;0.75,E484&lt;=1.2),J484,0)</f>
        <v>0</v>
      </c>
      <c r="N484" s="10">
        <f>IF(E484&gt;1.2,J484,0)</f>
        <v>7.1036000000000001</v>
      </c>
      <c r="O484" s="6"/>
      <c r="P484" s="6"/>
      <c r="Q484" s="6">
        <f t="shared" si="101"/>
        <v>0</v>
      </c>
      <c r="R484" s="6">
        <f t="shared" si="101"/>
        <v>0</v>
      </c>
      <c r="S484" s="6">
        <f t="shared" si="101"/>
        <v>0</v>
      </c>
      <c r="T484" s="6">
        <f t="shared" si="101"/>
        <v>0</v>
      </c>
      <c r="U484" s="6">
        <f t="shared" si="101"/>
        <v>0</v>
      </c>
      <c r="V484" s="6">
        <f t="shared" si="101"/>
        <v>0</v>
      </c>
      <c r="W484" s="6">
        <f t="shared" si="101"/>
        <v>0</v>
      </c>
      <c r="X484" s="6">
        <f t="shared" si="95"/>
        <v>0</v>
      </c>
      <c r="Y484" s="7">
        <f>SUM(X485:X494)/I484</f>
        <v>234.09031129130148</v>
      </c>
      <c r="Z484" s="6"/>
      <c r="AA484" s="6"/>
      <c r="AB484" s="6"/>
      <c r="AC484" s="6"/>
      <c r="AD484" s="6"/>
      <c r="AE484" s="6"/>
      <c r="AF484" s="6"/>
    </row>
    <row r="485" spans="1:32" s="5" customFormat="1" ht="20.100000000000001" customHeight="1" x14ac:dyDescent="0.25">
      <c r="A485" s="7"/>
      <c r="B485" s="6" t="s">
        <v>140</v>
      </c>
      <c r="C485" s="9" t="s">
        <v>2</v>
      </c>
      <c r="D485" s="6">
        <v>16</v>
      </c>
      <c r="E485" s="6"/>
      <c r="F485" s="6">
        <v>4</v>
      </c>
      <c r="G485" s="8">
        <f>VLOOKUP(D485,$C$20:$F$26,3,0)</f>
        <v>0.8</v>
      </c>
      <c r="H485" s="8"/>
      <c r="I485" s="6"/>
      <c r="J485" s="6"/>
      <c r="K485" s="6"/>
      <c r="L485" s="6"/>
      <c r="M485" s="6"/>
      <c r="N485" s="6"/>
      <c r="O485" s="6">
        <f>(E484+0.75+1*(G485+(2*D485/1000)))*D484</f>
        <v>6.6559999999999997</v>
      </c>
      <c r="P485" s="6">
        <f t="shared" ref="P485:P489" si="106">O485*F485</f>
        <v>26.623999999999999</v>
      </c>
      <c r="Q485" s="6">
        <f t="shared" si="101"/>
        <v>0</v>
      </c>
      <c r="R485" s="6">
        <f t="shared" si="101"/>
        <v>0</v>
      </c>
      <c r="S485" s="6">
        <f t="shared" si="101"/>
        <v>0</v>
      </c>
      <c r="T485" s="6">
        <f t="shared" si="101"/>
        <v>42.038535314285717</v>
      </c>
      <c r="U485" s="6">
        <f t="shared" si="101"/>
        <v>0</v>
      </c>
      <c r="V485" s="6">
        <f t="shared" si="101"/>
        <v>0</v>
      </c>
      <c r="W485" s="6">
        <f t="shared" si="101"/>
        <v>0</v>
      </c>
      <c r="X485" s="6">
        <f t="shared" si="95"/>
        <v>42.038535314285717</v>
      </c>
      <c r="Y485" s="6"/>
      <c r="Z485" s="6"/>
      <c r="AA485" s="6"/>
      <c r="AB485" s="6"/>
      <c r="AC485" s="6"/>
      <c r="AD485" s="6"/>
      <c r="AE485" s="6"/>
    </row>
    <row r="486" spans="1:32" s="5" customFormat="1" ht="20.100000000000001" customHeight="1" x14ac:dyDescent="0.25">
      <c r="A486" s="7"/>
      <c r="B486" s="6" t="s">
        <v>140</v>
      </c>
      <c r="C486" s="9" t="s">
        <v>2</v>
      </c>
      <c r="D486" s="6">
        <v>16</v>
      </c>
      <c r="E486" s="6"/>
      <c r="F486" s="6">
        <v>4</v>
      </c>
      <c r="G486" s="8">
        <f>VLOOKUP(D486,$C$20:$F$26,3,0)</f>
        <v>0.8</v>
      </c>
      <c r="H486" s="8"/>
      <c r="I486" s="6"/>
      <c r="J486" s="6"/>
      <c r="K486" s="6"/>
      <c r="L486" s="6"/>
      <c r="M486" s="6"/>
      <c r="N486" s="6"/>
      <c r="O486" s="6">
        <f>1.5+0.75+1.5</f>
        <v>3.75</v>
      </c>
      <c r="P486" s="6">
        <f t="shared" si="106"/>
        <v>15</v>
      </c>
      <c r="Q486" s="6">
        <f t="shared" si="101"/>
        <v>0</v>
      </c>
      <c r="R486" s="6">
        <f t="shared" si="101"/>
        <v>0</v>
      </c>
      <c r="S486" s="6">
        <f t="shared" si="101"/>
        <v>0</v>
      </c>
      <c r="T486" s="6">
        <f t="shared" si="101"/>
        <v>23.684571428571431</v>
      </c>
      <c r="U486" s="6">
        <f t="shared" si="101"/>
        <v>0</v>
      </c>
      <c r="V486" s="6">
        <f t="shared" si="101"/>
        <v>0</v>
      </c>
      <c r="W486" s="6">
        <f t="shared" si="101"/>
        <v>0</v>
      </c>
      <c r="X486" s="6">
        <f t="shared" si="95"/>
        <v>23.684571428571431</v>
      </c>
      <c r="Y486" s="6"/>
      <c r="Z486" s="6"/>
      <c r="AA486" s="6"/>
      <c r="AB486" s="6"/>
      <c r="AC486" s="6"/>
      <c r="AD486" s="6"/>
      <c r="AE486" s="6"/>
    </row>
    <row r="487" spans="1:32" s="5" customFormat="1" ht="20.100000000000001" customHeight="1" x14ac:dyDescent="0.25">
      <c r="A487" s="7"/>
      <c r="B487" s="6" t="s">
        <v>140</v>
      </c>
      <c r="C487" s="9" t="s">
        <v>1</v>
      </c>
      <c r="D487" s="6">
        <v>20</v>
      </c>
      <c r="E487" s="6"/>
      <c r="F487" s="6">
        <v>4</v>
      </c>
      <c r="G487" s="8">
        <f>VLOOKUP(D487,$C$20:$F$26,3,0)</f>
        <v>1</v>
      </c>
      <c r="H487" s="6"/>
      <c r="I487" s="6"/>
      <c r="J487" s="6"/>
      <c r="K487" s="6"/>
      <c r="L487" s="6"/>
      <c r="M487" s="6"/>
      <c r="N487" s="6"/>
      <c r="O487" s="6">
        <f>(E484+0.75+1*(G487+(2*D487/1000)))*D484</f>
        <v>6.8639999999999999</v>
      </c>
      <c r="P487" s="6">
        <f t="shared" si="106"/>
        <v>27.456</v>
      </c>
      <c r="Q487" s="6">
        <f t="shared" si="101"/>
        <v>0</v>
      </c>
      <c r="R487" s="6">
        <f t="shared" si="101"/>
        <v>0</v>
      </c>
      <c r="S487" s="6">
        <f t="shared" si="101"/>
        <v>0</v>
      </c>
      <c r="T487" s="6">
        <f t="shared" si="101"/>
        <v>0</v>
      </c>
      <c r="U487" s="6">
        <f t="shared" si="101"/>
        <v>67.737874285714284</v>
      </c>
      <c r="V487" s="6">
        <f t="shared" si="101"/>
        <v>0</v>
      </c>
      <c r="W487" s="6">
        <f t="shared" si="101"/>
        <v>0</v>
      </c>
      <c r="X487" s="6">
        <f t="shared" si="95"/>
        <v>67.737874285714284</v>
      </c>
      <c r="Y487" s="6"/>
      <c r="Z487" s="6"/>
      <c r="AA487" s="6"/>
      <c r="AB487" s="6"/>
      <c r="AC487" s="6"/>
      <c r="AD487" s="6"/>
      <c r="AE487" s="6"/>
    </row>
    <row r="488" spans="1:32" s="5" customFormat="1" ht="20.100000000000001" customHeight="1" x14ac:dyDescent="0.25">
      <c r="A488" s="7"/>
      <c r="B488" s="6" t="s">
        <v>140</v>
      </c>
      <c r="C488" s="9" t="s">
        <v>18</v>
      </c>
      <c r="D488" s="6">
        <v>20</v>
      </c>
      <c r="E488" s="6"/>
      <c r="F488" s="6">
        <v>2</v>
      </c>
      <c r="G488" s="8">
        <f>VLOOKUP(D488,$C$20:$F$26,3,0)</f>
        <v>1</v>
      </c>
      <c r="H488" s="6"/>
      <c r="I488" s="6"/>
      <c r="J488" s="6"/>
      <c r="K488" s="6"/>
      <c r="L488" s="6"/>
      <c r="M488" s="6"/>
      <c r="N488" s="6"/>
      <c r="O488" s="6">
        <f>+E484-0.475</f>
        <v>4.5990000000000002</v>
      </c>
      <c r="P488" s="6">
        <f t="shared" si="106"/>
        <v>9.1980000000000004</v>
      </c>
      <c r="Q488" s="6">
        <f t="shared" si="101"/>
        <v>0</v>
      </c>
      <c r="R488" s="6">
        <f t="shared" si="101"/>
        <v>0</v>
      </c>
      <c r="S488" s="6">
        <f t="shared" si="101"/>
        <v>0</v>
      </c>
      <c r="T488" s="6">
        <f t="shared" si="101"/>
        <v>0</v>
      </c>
      <c r="U488" s="6">
        <f t="shared" si="101"/>
        <v>22.692779999999999</v>
      </c>
      <c r="V488" s="6">
        <f t="shared" si="101"/>
        <v>0</v>
      </c>
      <c r="W488" s="6">
        <f t="shared" si="101"/>
        <v>0</v>
      </c>
      <c r="X488" s="6">
        <f t="shared" si="95"/>
        <v>22.692779999999999</v>
      </c>
      <c r="Y488" s="6"/>
      <c r="Z488" s="6"/>
      <c r="AA488" s="6"/>
      <c r="AB488" s="6"/>
      <c r="AC488" s="6"/>
      <c r="AD488" s="6"/>
      <c r="AE488" s="6"/>
    </row>
    <row r="489" spans="1:32" s="5" customFormat="1" ht="20.100000000000001" customHeight="1" x14ac:dyDescent="0.25">
      <c r="A489" s="7"/>
      <c r="B489" s="6" t="s">
        <v>140</v>
      </c>
      <c r="C489" s="9" t="s">
        <v>0</v>
      </c>
      <c r="D489" s="6">
        <v>10</v>
      </c>
      <c r="E489" s="6">
        <v>0.1</v>
      </c>
      <c r="F489" s="6">
        <f>ROUND(IF(E484/3&gt;(2*G484),(E484/3)/E489,(2*G484)/E489),0)*2+1</f>
        <v>35</v>
      </c>
      <c r="G489" s="8"/>
      <c r="H489" s="6"/>
      <c r="I489" s="6"/>
      <c r="J489" s="6"/>
      <c r="K489" s="6"/>
      <c r="L489" s="6"/>
      <c r="M489" s="6"/>
      <c r="N489" s="6"/>
      <c r="O489" s="6">
        <f>(2*((G484-(2*$D$11))+(F484-(2*$D$11)))+(2*10*D489/1000))*D484</f>
        <v>2.06</v>
      </c>
      <c r="P489" s="6">
        <f t="shared" si="106"/>
        <v>72.100000000000009</v>
      </c>
      <c r="Q489" s="6">
        <f t="shared" si="101"/>
        <v>0</v>
      </c>
      <c r="R489" s="6">
        <f t="shared" si="101"/>
        <v>44.470250000000007</v>
      </c>
      <c r="S489" s="6">
        <f t="shared" si="101"/>
        <v>0</v>
      </c>
      <c r="T489" s="6">
        <f t="shared" si="101"/>
        <v>0</v>
      </c>
      <c r="U489" s="6">
        <f t="shared" si="101"/>
        <v>0</v>
      </c>
      <c r="V489" s="6">
        <f t="shared" si="101"/>
        <v>0</v>
      </c>
      <c r="W489" s="6">
        <f t="shared" si="101"/>
        <v>0</v>
      </c>
      <c r="X489" s="6">
        <f t="shared" si="95"/>
        <v>44.470250000000007</v>
      </c>
      <c r="Y489" s="6"/>
      <c r="Z489" s="6"/>
      <c r="AA489" s="6"/>
      <c r="AB489" s="6"/>
      <c r="AC489" s="6"/>
      <c r="AD489" s="6"/>
      <c r="AE489" s="6"/>
    </row>
    <row r="490" spans="1:32" s="12" customFormat="1" ht="20.100000000000001" customHeight="1" x14ac:dyDescent="0.25">
      <c r="B490" s="6" t="s">
        <v>140</v>
      </c>
      <c r="C490" s="9" t="s">
        <v>25</v>
      </c>
      <c r="D490" s="6">
        <f>+D489</f>
        <v>10</v>
      </c>
      <c r="E490" s="6">
        <f>+E489</f>
        <v>0.1</v>
      </c>
      <c r="F490" s="12">
        <f>+F489</f>
        <v>35</v>
      </c>
      <c r="G490" s="5"/>
      <c r="O490" s="3">
        <f>((((G484-(2*$D$11))+(2*10*D490/1000))*D484))*2</f>
        <v>1.7799999999999998</v>
      </c>
      <c r="P490" s="6">
        <f>O490*F490</f>
        <v>62.29999999999999</v>
      </c>
      <c r="Q490" s="6">
        <f t="shared" si="101"/>
        <v>0</v>
      </c>
      <c r="R490" s="6">
        <f t="shared" si="101"/>
        <v>38.425749999999994</v>
      </c>
      <c r="S490" s="6">
        <f t="shared" si="101"/>
        <v>0</v>
      </c>
      <c r="T490" s="6">
        <f t="shared" si="101"/>
        <v>0</v>
      </c>
      <c r="U490" s="6">
        <f t="shared" si="101"/>
        <v>0</v>
      </c>
      <c r="V490" s="6">
        <f t="shared" si="101"/>
        <v>0</v>
      </c>
      <c r="W490" s="6">
        <f t="shared" si="101"/>
        <v>0</v>
      </c>
      <c r="X490" s="6">
        <f t="shared" si="95"/>
        <v>38.425749999999994</v>
      </c>
    </row>
    <row r="491" spans="1:32" s="12" customFormat="1" ht="20.100000000000001" customHeight="1" x14ac:dyDescent="0.3">
      <c r="B491" s="6" t="s">
        <v>140</v>
      </c>
      <c r="C491" s="9" t="s">
        <v>0</v>
      </c>
      <c r="D491" s="12">
        <v>10</v>
      </c>
      <c r="E491" s="12">
        <v>0.2</v>
      </c>
      <c r="F491" s="12">
        <f>ROUND((E484-(IF(E484/3&gt;2*G484,E484/3*2,G484*2*2)))/E491,0)</f>
        <v>8</v>
      </c>
      <c r="O491" s="6">
        <f>(2*((G484-(2*$D$11))+(F484-(2*$D$11)))+(2*10*D491/1000))*D484</f>
        <v>2.06</v>
      </c>
      <c r="P491" s="6">
        <f>O491*F491</f>
        <v>16.48</v>
      </c>
      <c r="Q491" s="6">
        <f t="shared" si="101"/>
        <v>0</v>
      </c>
      <c r="R491" s="6">
        <f t="shared" si="101"/>
        <v>10.164628571428571</v>
      </c>
      <c r="S491" s="6">
        <f t="shared" si="101"/>
        <v>0</v>
      </c>
      <c r="T491" s="6">
        <f t="shared" si="101"/>
        <v>0</v>
      </c>
      <c r="U491" s="6">
        <f t="shared" si="101"/>
        <v>0</v>
      </c>
      <c r="V491" s="6">
        <f t="shared" si="101"/>
        <v>0</v>
      </c>
      <c r="W491" s="6">
        <f t="shared" si="101"/>
        <v>0</v>
      </c>
      <c r="X491" s="6">
        <f t="shared" ref="X491:X550" si="107">SUM(Q491:W491)</f>
        <v>10.164628571428571</v>
      </c>
    </row>
    <row r="492" spans="1:32" s="12" customFormat="1" ht="20.100000000000001" customHeight="1" x14ac:dyDescent="0.25">
      <c r="B492" s="6" t="s">
        <v>140</v>
      </c>
      <c r="C492" s="9" t="s">
        <v>25</v>
      </c>
      <c r="D492" s="6">
        <f>+D491</f>
        <v>10</v>
      </c>
      <c r="E492" s="6">
        <f>+E491</f>
        <v>0.2</v>
      </c>
      <c r="F492" s="12">
        <f>+F491</f>
        <v>8</v>
      </c>
      <c r="G492" s="5"/>
      <c r="O492" s="3">
        <f>((((G484-(2*$D$11))+(2*10*D492/1000))*D484))*2</f>
        <v>1.7799999999999998</v>
      </c>
      <c r="P492" s="6">
        <f>O492*F492</f>
        <v>14.239999999999998</v>
      </c>
      <c r="Q492" s="6">
        <f t="shared" si="101"/>
        <v>0</v>
      </c>
      <c r="R492" s="6">
        <f t="shared" si="101"/>
        <v>8.7830285714285701</v>
      </c>
      <c r="S492" s="6">
        <f t="shared" si="101"/>
        <v>0</v>
      </c>
      <c r="T492" s="6">
        <f t="shared" si="101"/>
        <v>0</v>
      </c>
      <c r="U492" s="6">
        <f t="shared" si="101"/>
        <v>0</v>
      </c>
      <c r="V492" s="6">
        <f t="shared" si="101"/>
        <v>0</v>
      </c>
      <c r="W492" s="6">
        <f t="shared" si="101"/>
        <v>0</v>
      </c>
      <c r="X492" s="6">
        <f t="shared" si="107"/>
        <v>8.7830285714285701</v>
      </c>
    </row>
    <row r="493" spans="1:32" s="5" customFormat="1" ht="20.100000000000001" customHeight="1" x14ac:dyDescent="0.25">
      <c r="A493" s="7"/>
      <c r="B493" s="6" t="s">
        <v>140</v>
      </c>
      <c r="C493" s="9" t="s">
        <v>17</v>
      </c>
      <c r="D493" s="6">
        <f>+$D$15</f>
        <v>25</v>
      </c>
      <c r="E493" s="6">
        <f>+$E$15</f>
        <v>1</v>
      </c>
      <c r="F493" s="6">
        <f>ROUNDUP((E484-0.475)/E493,0)+1</f>
        <v>6</v>
      </c>
      <c r="G493" s="8"/>
      <c r="H493" s="8"/>
      <c r="I493" s="6"/>
      <c r="J493" s="6"/>
      <c r="K493" s="6"/>
      <c r="L493" s="6"/>
      <c r="M493" s="6"/>
      <c r="N493" s="6"/>
      <c r="O493" s="6">
        <f>+F484-(2*$D$11)</f>
        <v>0.24</v>
      </c>
      <c r="P493" s="6">
        <f>O493*F493</f>
        <v>1.44</v>
      </c>
      <c r="Q493" s="6">
        <f t="shared" si="101"/>
        <v>0</v>
      </c>
      <c r="R493" s="6">
        <f t="shared" si="101"/>
        <v>0</v>
      </c>
      <c r="S493" s="6">
        <f t="shared" si="101"/>
        <v>0</v>
      </c>
      <c r="T493" s="6">
        <f t="shared" si="101"/>
        <v>0</v>
      </c>
      <c r="U493" s="6">
        <f t="shared" si="101"/>
        <v>0</v>
      </c>
      <c r="V493" s="6">
        <f t="shared" si="101"/>
        <v>5.5510714285714293</v>
      </c>
      <c r="W493" s="6">
        <f t="shared" si="101"/>
        <v>0</v>
      </c>
      <c r="X493" s="6">
        <f t="shared" si="107"/>
        <v>5.5510714285714293</v>
      </c>
      <c r="Y493" s="6"/>
      <c r="Z493" s="6"/>
      <c r="AA493" s="6"/>
      <c r="AB493" s="6"/>
      <c r="AC493" s="6"/>
      <c r="AD493" s="6"/>
      <c r="AE493" s="6"/>
    </row>
    <row r="494" spans="1:32" s="5" customFormat="1" ht="20.100000000000001" customHeight="1" x14ac:dyDescent="0.25">
      <c r="A494" s="7"/>
      <c r="B494" s="6" t="s">
        <v>140</v>
      </c>
      <c r="C494" s="9" t="s">
        <v>17</v>
      </c>
      <c r="D494" s="6">
        <f>+$D$15</f>
        <v>25</v>
      </c>
      <c r="E494" s="6">
        <f>+$E$15</f>
        <v>1</v>
      </c>
      <c r="F494" s="6">
        <f>ROUNDUP((1.5+1.5)/E494,0)+1</f>
        <v>4</v>
      </c>
      <c r="G494" s="8"/>
      <c r="H494" s="8"/>
      <c r="I494" s="6"/>
      <c r="J494" s="6"/>
      <c r="K494" s="6"/>
      <c r="L494" s="6"/>
      <c r="M494" s="6"/>
      <c r="N494" s="6"/>
      <c r="O494" s="6">
        <f>+F484-(2*$D$11)</f>
        <v>0.24</v>
      </c>
      <c r="P494" s="6">
        <f>O494*F494</f>
        <v>0.96</v>
      </c>
      <c r="Q494" s="6">
        <f t="shared" si="101"/>
        <v>0</v>
      </c>
      <c r="R494" s="6">
        <f t="shared" si="101"/>
        <v>0</v>
      </c>
      <c r="S494" s="6">
        <f t="shared" si="101"/>
        <v>0</v>
      </c>
      <c r="T494" s="6">
        <f t="shared" si="101"/>
        <v>0</v>
      </c>
      <c r="U494" s="6">
        <f t="shared" si="101"/>
        <v>0</v>
      </c>
      <c r="V494" s="6">
        <f t="shared" si="101"/>
        <v>3.7007142857142861</v>
      </c>
      <c r="W494" s="6">
        <f t="shared" si="101"/>
        <v>0</v>
      </c>
      <c r="X494" s="6">
        <f t="shared" si="107"/>
        <v>3.7007142857142861</v>
      </c>
      <c r="Y494" s="6"/>
      <c r="Z494" s="6"/>
      <c r="AA494" s="6"/>
      <c r="AB494" s="6"/>
      <c r="AC494" s="6"/>
      <c r="AD494" s="6"/>
      <c r="AE494" s="6"/>
    </row>
    <row r="495" spans="1:32" s="5" customFormat="1" ht="21" customHeight="1" x14ac:dyDescent="0.25">
      <c r="A495" s="6">
        <f>+A484+1</f>
        <v>64</v>
      </c>
      <c r="B495" s="6" t="s">
        <v>140</v>
      </c>
      <c r="C495" s="11" t="s">
        <v>30</v>
      </c>
      <c r="D495" s="11">
        <v>1</v>
      </c>
      <c r="E495" s="11">
        <v>4.1500000000000004</v>
      </c>
      <c r="F495" s="11">
        <v>0.75</v>
      </c>
      <c r="G495" s="11">
        <v>0.75</v>
      </c>
      <c r="H495" s="6">
        <f>G495-0.2</f>
        <v>0.55000000000000004</v>
      </c>
      <c r="I495" s="6">
        <f>E495*F495*G495*D495</f>
        <v>2.3343750000000001</v>
      </c>
      <c r="J495" s="6">
        <f>(2*(E495)*H495*D495)+(E495*F495)</f>
        <v>7.6775000000000002</v>
      </c>
      <c r="K495" s="10">
        <f>IF(E495=0.3,J495,0)</f>
        <v>0</v>
      </c>
      <c r="L495" s="10">
        <f>IF(AND(E495&gt;0.3,E495&lt;=0.75),J495,0)</f>
        <v>0</v>
      </c>
      <c r="M495" s="10">
        <f>IF(AND(E495&gt;0.75,E495&lt;=1.2),J495,0)</f>
        <v>0</v>
      </c>
      <c r="N495" s="10">
        <f>IF(E495&gt;1.2,J495,0)</f>
        <v>7.6775000000000002</v>
      </c>
      <c r="O495" s="6"/>
      <c r="P495" s="6"/>
      <c r="Q495" s="6">
        <f t="shared" si="101"/>
        <v>0</v>
      </c>
      <c r="R495" s="6">
        <f t="shared" si="101"/>
        <v>0</v>
      </c>
      <c r="S495" s="6">
        <f t="shared" si="101"/>
        <v>0</v>
      </c>
      <c r="T495" s="6">
        <f t="shared" si="101"/>
        <v>0</v>
      </c>
      <c r="U495" s="6">
        <f t="shared" si="101"/>
        <v>0</v>
      </c>
      <c r="V495" s="6">
        <f t="shared" si="101"/>
        <v>0</v>
      </c>
      <c r="W495" s="6">
        <f t="shared" si="101"/>
        <v>0</v>
      </c>
      <c r="X495" s="6">
        <f t="shared" si="107"/>
        <v>0</v>
      </c>
      <c r="Y495" s="7">
        <f>SUM(X496:X501)/I495</f>
        <v>108.50030053318035</v>
      </c>
      <c r="Z495" s="6"/>
      <c r="AA495" s="6"/>
      <c r="AB495" s="6"/>
      <c r="AC495" s="6"/>
      <c r="AD495" s="6"/>
      <c r="AE495" s="6"/>
      <c r="AF495" s="6"/>
    </row>
    <row r="496" spans="1:32" s="5" customFormat="1" ht="20.100000000000001" customHeight="1" x14ac:dyDescent="0.25">
      <c r="A496" s="7"/>
      <c r="B496" s="6" t="s">
        <v>140</v>
      </c>
      <c r="C496" s="9" t="s">
        <v>2</v>
      </c>
      <c r="D496" s="6">
        <v>16</v>
      </c>
      <c r="E496" s="6"/>
      <c r="F496" s="6">
        <v>4</v>
      </c>
      <c r="G496" s="8">
        <f>VLOOKUP(D496,$C$20:$F$26,3,0)</f>
        <v>0.8</v>
      </c>
      <c r="H496" s="8"/>
      <c r="I496" s="6"/>
      <c r="J496" s="6"/>
      <c r="K496" s="6"/>
      <c r="L496" s="6"/>
      <c r="M496" s="6"/>
      <c r="N496" s="6"/>
      <c r="O496" s="6">
        <f>(E495+0.75+1*(G496+(2*D496/1000)))*D495</f>
        <v>5.7320000000000002</v>
      </c>
      <c r="P496" s="6">
        <f t="shared" ref="P496:P499" si="108">O496*F496</f>
        <v>22.928000000000001</v>
      </c>
      <c r="Q496" s="6">
        <f t="shared" si="101"/>
        <v>0</v>
      </c>
      <c r="R496" s="6">
        <f t="shared" ref="Q496:W532" si="109">IF($D496=R$36,$P496*R$37,0)</f>
        <v>0</v>
      </c>
      <c r="S496" s="6">
        <f t="shared" si="109"/>
        <v>0</v>
      </c>
      <c r="T496" s="6">
        <f t="shared" si="109"/>
        <v>36.202656914285718</v>
      </c>
      <c r="U496" s="6">
        <f t="shared" si="109"/>
        <v>0</v>
      </c>
      <c r="V496" s="6">
        <f t="shared" si="109"/>
        <v>0</v>
      </c>
      <c r="W496" s="6">
        <f t="shared" si="109"/>
        <v>0</v>
      </c>
      <c r="X496" s="6">
        <f t="shared" si="107"/>
        <v>36.202656914285718</v>
      </c>
      <c r="Y496" s="6"/>
      <c r="Z496" s="6"/>
      <c r="AA496" s="6"/>
      <c r="AB496" s="6"/>
      <c r="AC496" s="6"/>
      <c r="AD496" s="6"/>
      <c r="AE496" s="6"/>
    </row>
    <row r="497" spans="1:32" s="5" customFormat="1" ht="20.100000000000001" customHeight="1" x14ac:dyDescent="0.25">
      <c r="A497" s="7"/>
      <c r="B497" s="6" t="s">
        <v>140</v>
      </c>
      <c r="C497" s="9" t="s">
        <v>2</v>
      </c>
      <c r="D497" s="6">
        <v>16</v>
      </c>
      <c r="E497" s="6"/>
      <c r="F497" s="6">
        <v>4</v>
      </c>
      <c r="G497" s="8">
        <f>VLOOKUP(D497,$C$20:$F$26,3,0)</f>
        <v>0.8</v>
      </c>
      <c r="H497" s="8"/>
      <c r="I497" s="6"/>
      <c r="J497" s="6"/>
      <c r="K497" s="6"/>
      <c r="L497" s="6"/>
      <c r="M497" s="6"/>
      <c r="N497" s="6"/>
      <c r="O497" s="6">
        <f>1.5+0.75+1.25</f>
        <v>3.5</v>
      </c>
      <c r="P497" s="6">
        <f t="shared" si="108"/>
        <v>14</v>
      </c>
      <c r="Q497" s="6">
        <f t="shared" si="109"/>
        <v>0</v>
      </c>
      <c r="R497" s="6">
        <f t="shared" si="109"/>
        <v>0</v>
      </c>
      <c r="S497" s="6">
        <f t="shared" si="109"/>
        <v>0</v>
      </c>
      <c r="T497" s="6">
        <f t="shared" si="109"/>
        <v>22.105600000000003</v>
      </c>
      <c r="U497" s="6">
        <f t="shared" si="109"/>
        <v>0</v>
      </c>
      <c r="V497" s="6">
        <f t="shared" si="109"/>
        <v>0</v>
      </c>
      <c r="W497" s="6">
        <f t="shared" si="109"/>
        <v>0</v>
      </c>
      <c r="X497" s="6">
        <f t="shared" si="107"/>
        <v>22.105600000000003</v>
      </c>
      <c r="Y497" s="6"/>
      <c r="Z497" s="6"/>
      <c r="AA497" s="6"/>
      <c r="AB497" s="6"/>
      <c r="AC497" s="6"/>
      <c r="AD497" s="6"/>
      <c r="AE497" s="6"/>
    </row>
    <row r="498" spans="1:32" s="5" customFormat="1" ht="20.100000000000001" customHeight="1" x14ac:dyDescent="0.25">
      <c r="A498" s="7"/>
      <c r="B498" s="6" t="s">
        <v>140</v>
      </c>
      <c r="C498" s="9" t="s">
        <v>1</v>
      </c>
      <c r="D498" s="6">
        <v>20</v>
      </c>
      <c r="E498" s="6"/>
      <c r="F498" s="6">
        <v>4</v>
      </c>
      <c r="G498" s="8">
        <f>VLOOKUP(D498,$C$20:$F$26,3,0)</f>
        <v>1</v>
      </c>
      <c r="H498" s="6"/>
      <c r="I498" s="6"/>
      <c r="J498" s="6"/>
      <c r="K498" s="6"/>
      <c r="L498" s="6"/>
      <c r="M498" s="6"/>
      <c r="N498" s="6"/>
      <c r="O498" s="6">
        <f>(E495+0.75+1*(G498+(2*D498/1000)))*D495</f>
        <v>5.94</v>
      </c>
      <c r="P498" s="6">
        <f t="shared" si="108"/>
        <v>23.76</v>
      </c>
      <c r="Q498" s="6">
        <f t="shared" si="109"/>
        <v>0</v>
      </c>
      <c r="R498" s="6">
        <f t="shared" si="109"/>
        <v>0</v>
      </c>
      <c r="S498" s="6">
        <f t="shared" si="109"/>
        <v>0</v>
      </c>
      <c r="T498" s="6">
        <f t="shared" si="109"/>
        <v>0</v>
      </c>
      <c r="U498" s="6">
        <f t="shared" si="109"/>
        <v>58.619314285714289</v>
      </c>
      <c r="V498" s="6">
        <f t="shared" si="109"/>
        <v>0</v>
      </c>
      <c r="W498" s="6">
        <f t="shared" si="109"/>
        <v>0</v>
      </c>
      <c r="X498" s="6">
        <f t="shared" si="107"/>
        <v>58.619314285714289</v>
      </c>
      <c r="Y498" s="6"/>
      <c r="Z498" s="6"/>
      <c r="AA498" s="6"/>
      <c r="AB498" s="6"/>
      <c r="AC498" s="6"/>
      <c r="AD498" s="6"/>
      <c r="AE498" s="6"/>
    </row>
    <row r="499" spans="1:32" s="5" customFormat="1" ht="20.100000000000001" customHeight="1" x14ac:dyDescent="0.25">
      <c r="A499" s="7"/>
      <c r="B499" s="6" t="s">
        <v>140</v>
      </c>
      <c r="C499" s="9" t="s">
        <v>0</v>
      </c>
      <c r="D499" s="6">
        <v>10</v>
      </c>
      <c r="E499" s="6">
        <v>0.1</v>
      </c>
      <c r="F499" s="6">
        <f>+ROUND(E495/E499,0)+1</f>
        <v>43</v>
      </c>
      <c r="H499" s="6"/>
      <c r="I499" s="6"/>
      <c r="J499" s="6"/>
      <c r="K499" s="6"/>
      <c r="L499" s="6"/>
      <c r="M499" s="6"/>
      <c r="N499" s="6"/>
      <c r="O499" s="6">
        <f>(2*((G495-(2*$D$11))+(F495-(2*$D$11)))+((2*10)*D499/1000))*D495</f>
        <v>2.96</v>
      </c>
      <c r="P499" s="6">
        <f t="shared" si="108"/>
        <v>127.28</v>
      </c>
      <c r="Q499" s="6">
        <f t="shared" si="109"/>
        <v>0</v>
      </c>
      <c r="R499" s="6">
        <f t="shared" si="109"/>
        <v>78.504485714285707</v>
      </c>
      <c r="S499" s="6">
        <f t="shared" si="109"/>
        <v>0</v>
      </c>
      <c r="T499" s="6">
        <f t="shared" si="109"/>
        <v>0</v>
      </c>
      <c r="U499" s="6">
        <f t="shared" si="109"/>
        <v>0</v>
      </c>
      <c r="V499" s="6">
        <f t="shared" si="109"/>
        <v>0</v>
      </c>
      <c r="W499" s="6">
        <f t="shared" si="109"/>
        <v>0</v>
      </c>
      <c r="X499" s="6">
        <f t="shared" si="107"/>
        <v>78.504485714285707</v>
      </c>
      <c r="Y499" s="6"/>
      <c r="Z499" s="6"/>
      <c r="AA499" s="6"/>
      <c r="AB499" s="6"/>
      <c r="AC499" s="6"/>
      <c r="AD499" s="6"/>
      <c r="AE499" s="6"/>
    </row>
    <row r="500" spans="1:32" s="12" customFormat="1" ht="20.100000000000001" customHeight="1" x14ac:dyDescent="0.25">
      <c r="B500" s="6" t="s">
        <v>140</v>
      </c>
      <c r="C500" s="9" t="s">
        <v>25</v>
      </c>
      <c r="D500" s="6">
        <f>+D499</f>
        <v>10</v>
      </c>
      <c r="E500" s="6">
        <f>+E499</f>
        <v>0.1</v>
      </c>
      <c r="F500" s="12">
        <f>+F499</f>
        <v>43</v>
      </c>
      <c r="G500" s="5"/>
      <c r="O500" s="3">
        <f>((((G495-(2*$D$11))+(2*10*D500/1000))*D495))*2</f>
        <v>1.7799999999999998</v>
      </c>
      <c r="P500" s="6">
        <f>O500*F500</f>
        <v>76.539999999999992</v>
      </c>
      <c r="Q500" s="6">
        <f t="shared" si="109"/>
        <v>0</v>
      </c>
      <c r="R500" s="6">
        <f t="shared" si="109"/>
        <v>47.208778571428567</v>
      </c>
      <c r="S500" s="6">
        <f t="shared" si="109"/>
        <v>0</v>
      </c>
      <c r="T500" s="6">
        <f t="shared" si="109"/>
        <v>0</v>
      </c>
      <c r="U500" s="6">
        <f t="shared" si="109"/>
        <v>0</v>
      </c>
      <c r="V500" s="6">
        <f t="shared" si="109"/>
        <v>0</v>
      </c>
      <c r="W500" s="6">
        <f t="shared" si="109"/>
        <v>0</v>
      </c>
      <c r="X500" s="6">
        <f t="shared" si="107"/>
        <v>47.208778571428567</v>
      </c>
    </row>
    <row r="501" spans="1:32" s="5" customFormat="1" ht="20.100000000000001" customHeight="1" x14ac:dyDescent="0.25">
      <c r="A501" s="7"/>
      <c r="B501" s="6" t="s">
        <v>140</v>
      </c>
      <c r="C501" s="9" t="s">
        <v>17</v>
      </c>
      <c r="D501" s="6">
        <f>+$D$15</f>
        <v>25</v>
      </c>
      <c r="E501" s="6">
        <f>+$E$15</f>
        <v>1</v>
      </c>
      <c r="F501" s="6">
        <f>ROUNDUP((1.5+1.25)/E501,0)+1</f>
        <v>4</v>
      </c>
      <c r="G501" s="8"/>
      <c r="H501" s="8"/>
      <c r="I501" s="6"/>
      <c r="J501" s="6"/>
      <c r="K501" s="6"/>
      <c r="L501" s="6"/>
      <c r="M501" s="6"/>
      <c r="N501" s="6"/>
      <c r="O501" s="6">
        <f>+F495-(2*$D$11)</f>
        <v>0.69</v>
      </c>
      <c r="P501" s="6">
        <f>O501*F501</f>
        <v>2.76</v>
      </c>
      <c r="Q501" s="6">
        <f t="shared" si="109"/>
        <v>0</v>
      </c>
      <c r="R501" s="6">
        <f t="shared" si="109"/>
        <v>0</v>
      </c>
      <c r="S501" s="6">
        <f t="shared" si="109"/>
        <v>0</v>
      </c>
      <c r="T501" s="6">
        <f t="shared" si="109"/>
        <v>0</v>
      </c>
      <c r="U501" s="6">
        <f t="shared" si="109"/>
        <v>0</v>
      </c>
      <c r="V501" s="6">
        <f t="shared" si="109"/>
        <v>10.639553571428571</v>
      </c>
      <c r="W501" s="6">
        <f t="shared" si="109"/>
        <v>0</v>
      </c>
      <c r="X501" s="6">
        <f t="shared" si="107"/>
        <v>10.639553571428571</v>
      </c>
      <c r="Y501" s="6"/>
      <c r="Z501" s="6"/>
      <c r="AA501" s="6"/>
      <c r="AB501" s="6"/>
      <c r="AC501" s="6"/>
      <c r="AD501" s="6"/>
      <c r="AE501" s="6"/>
    </row>
    <row r="502" spans="1:32" s="5" customFormat="1" ht="21" customHeight="1" x14ac:dyDescent="0.25">
      <c r="A502" s="6">
        <f>+A495+1</f>
        <v>65</v>
      </c>
      <c r="B502" s="6" t="s">
        <v>140</v>
      </c>
      <c r="C502" s="11" t="s">
        <v>29</v>
      </c>
      <c r="D502" s="11">
        <v>1</v>
      </c>
      <c r="E502" s="11">
        <v>2.6059999999999999</v>
      </c>
      <c r="F502" s="11">
        <v>0.4</v>
      </c>
      <c r="G502" s="11">
        <v>0.75</v>
      </c>
      <c r="H502" s="6">
        <f>G502-0.2</f>
        <v>0.55000000000000004</v>
      </c>
      <c r="I502" s="6">
        <f>E502*F502*G502*D502</f>
        <v>0.78180000000000005</v>
      </c>
      <c r="J502" s="6">
        <f>(2*(E502)*H502*D502)+(E502*F502)</f>
        <v>3.9089999999999998</v>
      </c>
      <c r="K502" s="10">
        <f>IF(E502=0.3,J502,0)</f>
        <v>0</v>
      </c>
      <c r="L502" s="10">
        <f>IF(AND(E502&gt;0.3,E502&lt;=0.75),J502,0)</f>
        <v>0</v>
      </c>
      <c r="M502" s="10">
        <f>IF(AND(E502&gt;0.75,E502&lt;=1.2),J502,0)</f>
        <v>0</v>
      </c>
      <c r="N502" s="10">
        <f>IF(E502&gt;1.2,J502,0)</f>
        <v>3.9089999999999998</v>
      </c>
      <c r="O502" s="6"/>
      <c r="P502" s="6"/>
      <c r="Q502" s="6">
        <f t="shared" si="109"/>
        <v>0</v>
      </c>
      <c r="R502" s="6">
        <f t="shared" si="109"/>
        <v>0</v>
      </c>
      <c r="S502" s="6">
        <f t="shared" si="109"/>
        <v>0</v>
      </c>
      <c r="T502" s="6">
        <f t="shared" si="109"/>
        <v>0</v>
      </c>
      <c r="U502" s="6">
        <f t="shared" si="109"/>
        <v>0</v>
      </c>
      <c r="V502" s="6">
        <f t="shared" si="109"/>
        <v>0</v>
      </c>
      <c r="W502" s="6">
        <f t="shared" si="109"/>
        <v>0</v>
      </c>
      <c r="X502" s="6">
        <f t="shared" si="107"/>
        <v>0</v>
      </c>
      <c r="Y502" s="7">
        <f>SUM(X503:X509)/I502</f>
        <v>229.27012145963525</v>
      </c>
      <c r="Z502" s="6"/>
      <c r="AA502" s="6"/>
      <c r="AB502" s="6"/>
      <c r="AC502" s="6"/>
      <c r="AD502" s="6"/>
      <c r="AE502" s="6"/>
      <c r="AF502" s="6"/>
    </row>
    <row r="503" spans="1:32" s="5" customFormat="1" ht="20.100000000000001" customHeight="1" x14ac:dyDescent="0.25">
      <c r="A503" s="7"/>
      <c r="B503" s="6" t="s">
        <v>140</v>
      </c>
      <c r="C503" s="9" t="s">
        <v>2</v>
      </c>
      <c r="D503" s="6">
        <v>16</v>
      </c>
      <c r="E503" s="6"/>
      <c r="F503" s="6">
        <v>4</v>
      </c>
      <c r="G503" s="8">
        <f>VLOOKUP(D503,$C$20:$F$26,3,0)</f>
        <v>0.8</v>
      </c>
      <c r="H503" s="8"/>
      <c r="I503" s="6"/>
      <c r="J503" s="6"/>
      <c r="K503" s="6"/>
      <c r="L503" s="6"/>
      <c r="M503" s="6"/>
      <c r="N503" s="6"/>
      <c r="O503" s="6">
        <f>+E502+0.75</f>
        <v>3.3559999999999999</v>
      </c>
      <c r="P503" s="6">
        <f>O503*F503</f>
        <v>13.423999999999999</v>
      </c>
      <c r="Q503" s="6">
        <f t="shared" si="109"/>
        <v>0</v>
      </c>
      <c r="R503" s="6">
        <f t="shared" si="109"/>
        <v>0</v>
      </c>
      <c r="S503" s="6">
        <f t="shared" si="109"/>
        <v>0</v>
      </c>
      <c r="T503" s="6">
        <f t="shared" si="109"/>
        <v>21.196112457142856</v>
      </c>
      <c r="U503" s="6">
        <f t="shared" si="109"/>
        <v>0</v>
      </c>
      <c r="V503" s="6">
        <f t="shared" si="109"/>
        <v>0</v>
      </c>
      <c r="W503" s="6">
        <f t="shared" si="109"/>
        <v>0</v>
      </c>
      <c r="X503" s="6">
        <f t="shared" si="107"/>
        <v>21.196112457142856</v>
      </c>
      <c r="Y503" s="6"/>
      <c r="Z503" s="6"/>
      <c r="AA503" s="6"/>
      <c r="AB503" s="6"/>
      <c r="AC503" s="6"/>
      <c r="AD503" s="6"/>
      <c r="AE503" s="6"/>
    </row>
    <row r="504" spans="1:32" s="5" customFormat="1" ht="20.100000000000001" customHeight="1" x14ac:dyDescent="0.25">
      <c r="A504" s="7"/>
      <c r="B504" s="6" t="s">
        <v>140</v>
      </c>
      <c r="C504" s="9" t="s">
        <v>26</v>
      </c>
      <c r="D504" s="6">
        <v>16</v>
      </c>
      <c r="E504" s="6"/>
      <c r="F504" s="6">
        <v>4</v>
      </c>
      <c r="G504" s="8">
        <f>VLOOKUP(D504,$C$20:$F$26,3,0)</f>
        <v>0.8</v>
      </c>
      <c r="H504" s="8"/>
      <c r="I504" s="6"/>
      <c r="J504" s="6"/>
      <c r="K504" s="6"/>
      <c r="L504" s="6"/>
      <c r="M504" s="6"/>
      <c r="N504" s="6"/>
      <c r="O504" s="6">
        <f>+E502+0.75+1.9+1.25+0.754</f>
        <v>7.26</v>
      </c>
      <c r="P504" s="6">
        <f>O504*F504</f>
        <v>29.04</v>
      </c>
      <c r="Q504" s="6">
        <f t="shared" si="109"/>
        <v>0</v>
      </c>
      <c r="R504" s="6">
        <f t="shared" si="109"/>
        <v>0</v>
      </c>
      <c r="S504" s="6">
        <f t="shared" si="109"/>
        <v>0</v>
      </c>
      <c r="T504" s="6">
        <f t="shared" si="109"/>
        <v>45.853330285714286</v>
      </c>
      <c r="U504" s="6">
        <f t="shared" si="109"/>
        <v>0</v>
      </c>
      <c r="V504" s="6">
        <f t="shared" si="109"/>
        <v>0</v>
      </c>
      <c r="W504" s="6">
        <f t="shared" si="109"/>
        <v>0</v>
      </c>
      <c r="X504" s="6">
        <f t="shared" si="107"/>
        <v>45.853330285714286</v>
      </c>
      <c r="Y504" s="6"/>
      <c r="Z504" s="6"/>
      <c r="AA504" s="6"/>
      <c r="AB504" s="6"/>
      <c r="AC504" s="6"/>
      <c r="AD504" s="6"/>
      <c r="AE504" s="6"/>
    </row>
    <row r="505" spans="1:32" s="5" customFormat="1" ht="20.100000000000001" customHeight="1" x14ac:dyDescent="0.25">
      <c r="A505" s="7"/>
      <c r="B505" s="6" t="s">
        <v>140</v>
      </c>
      <c r="C505" s="9" t="s">
        <v>1</v>
      </c>
      <c r="D505" s="6">
        <v>20</v>
      </c>
      <c r="E505" s="6"/>
      <c r="F505" s="6">
        <v>4</v>
      </c>
      <c r="G505" s="8">
        <f>VLOOKUP(D505,$C$20:$F$26,3,0)</f>
        <v>1</v>
      </c>
      <c r="H505" s="6"/>
      <c r="I505" s="6"/>
      <c r="J505" s="6"/>
      <c r="K505" s="6"/>
      <c r="L505" s="6"/>
      <c r="M505" s="6"/>
      <c r="N505" s="6"/>
      <c r="O505" s="6">
        <f>+E502+0.75</f>
        <v>3.3559999999999999</v>
      </c>
      <c r="P505" s="6">
        <f>O505*F505</f>
        <v>13.423999999999999</v>
      </c>
      <c r="Q505" s="6">
        <f t="shared" si="109"/>
        <v>0</v>
      </c>
      <c r="R505" s="6">
        <f t="shared" si="109"/>
        <v>0</v>
      </c>
      <c r="S505" s="6">
        <f t="shared" si="109"/>
        <v>0</v>
      </c>
      <c r="T505" s="6">
        <f t="shared" si="109"/>
        <v>0</v>
      </c>
      <c r="U505" s="6">
        <f t="shared" si="109"/>
        <v>33.118925714285709</v>
      </c>
      <c r="V505" s="6">
        <f t="shared" si="109"/>
        <v>0</v>
      </c>
      <c r="W505" s="6">
        <f t="shared" si="109"/>
        <v>0</v>
      </c>
      <c r="X505" s="6">
        <f t="shared" si="107"/>
        <v>33.118925714285709</v>
      </c>
      <c r="Y505" s="6"/>
      <c r="Z505" s="6"/>
      <c r="AA505" s="6"/>
      <c r="AB505" s="6"/>
      <c r="AC505" s="6"/>
      <c r="AD505" s="6"/>
      <c r="AE505" s="6"/>
    </row>
    <row r="506" spans="1:32" s="5" customFormat="1" ht="20.100000000000001" customHeight="1" x14ac:dyDescent="0.25">
      <c r="A506" s="7"/>
      <c r="B506" s="6" t="s">
        <v>140</v>
      </c>
      <c r="C506" s="9" t="s">
        <v>0</v>
      </c>
      <c r="D506" s="6">
        <v>10</v>
      </c>
      <c r="E506" s="6">
        <v>0.1</v>
      </c>
      <c r="F506" s="6">
        <f>+ROUND(E502/E506,0)+1</f>
        <v>27</v>
      </c>
      <c r="H506" s="6"/>
      <c r="I506" s="6"/>
      <c r="J506" s="6"/>
      <c r="K506" s="6"/>
      <c r="L506" s="6"/>
      <c r="M506" s="6"/>
      <c r="N506" s="6"/>
      <c r="O506" s="6">
        <f>(2*((G502-(2*$D$11))+(F502-(2*$D$11)))+((2*10)*D506/1000))*D502</f>
        <v>2.2600000000000002</v>
      </c>
      <c r="P506" s="6">
        <f t="shared" ref="P506:P509" si="110">O506*F506</f>
        <v>61.02</v>
      </c>
      <c r="Q506" s="6">
        <f t="shared" si="109"/>
        <v>0</v>
      </c>
      <c r="R506" s="6">
        <f t="shared" si="109"/>
        <v>37.63626428571429</v>
      </c>
      <c r="S506" s="6">
        <f t="shared" si="109"/>
        <v>0</v>
      </c>
      <c r="T506" s="6">
        <f t="shared" si="109"/>
        <v>0</v>
      </c>
      <c r="U506" s="6">
        <f t="shared" si="109"/>
        <v>0</v>
      </c>
      <c r="V506" s="6">
        <f t="shared" si="109"/>
        <v>0</v>
      </c>
      <c r="W506" s="6">
        <f t="shared" si="109"/>
        <v>0</v>
      </c>
      <c r="X506" s="6">
        <f t="shared" si="107"/>
        <v>37.63626428571429</v>
      </c>
      <c r="Y506" s="6"/>
      <c r="Z506" s="6"/>
      <c r="AA506" s="6"/>
      <c r="AB506" s="6"/>
      <c r="AC506" s="6"/>
      <c r="AD506" s="6"/>
      <c r="AE506" s="6"/>
    </row>
    <row r="507" spans="1:32" s="12" customFormat="1" ht="20.100000000000001" customHeight="1" x14ac:dyDescent="0.25">
      <c r="B507" s="6" t="s">
        <v>140</v>
      </c>
      <c r="C507" s="9" t="s">
        <v>25</v>
      </c>
      <c r="D507" s="6">
        <f>+D506</f>
        <v>10</v>
      </c>
      <c r="E507" s="6">
        <f>+E506</f>
        <v>0.1</v>
      </c>
      <c r="F507" s="12">
        <f>+F506</f>
        <v>27</v>
      </c>
      <c r="G507" s="5"/>
      <c r="O507" s="3">
        <f>((((G502-(2*$D$11))+(2*10*D507/1000))*D502))*2</f>
        <v>1.7799999999999998</v>
      </c>
      <c r="P507" s="6">
        <f>O507*F507</f>
        <v>48.059999999999995</v>
      </c>
      <c r="Q507" s="6">
        <f t="shared" si="109"/>
        <v>0</v>
      </c>
      <c r="R507" s="6">
        <f t="shared" si="109"/>
        <v>29.642721428571424</v>
      </c>
      <c r="S507" s="6">
        <f t="shared" si="109"/>
        <v>0</v>
      </c>
      <c r="T507" s="6">
        <f t="shared" si="109"/>
        <v>0</v>
      </c>
      <c r="U507" s="6">
        <f t="shared" si="109"/>
        <v>0</v>
      </c>
      <c r="V507" s="6">
        <f t="shared" si="109"/>
        <v>0</v>
      </c>
      <c r="W507" s="6">
        <f t="shared" si="109"/>
        <v>0</v>
      </c>
      <c r="X507" s="6">
        <f t="shared" si="107"/>
        <v>29.642721428571424</v>
      </c>
    </row>
    <row r="508" spans="1:32" s="5" customFormat="1" ht="20.100000000000001" customHeight="1" x14ac:dyDescent="0.25">
      <c r="A508" s="7"/>
      <c r="B508" s="6" t="s">
        <v>140</v>
      </c>
      <c r="C508" s="9" t="s">
        <v>17</v>
      </c>
      <c r="D508" s="6">
        <f>+$D$15</f>
        <v>25</v>
      </c>
      <c r="E508" s="6">
        <f>+$E$15</f>
        <v>1</v>
      </c>
      <c r="F508" s="6">
        <f>ROUNDUP((1.25+1.9)/E508,0)+1</f>
        <v>5</v>
      </c>
      <c r="G508" s="8"/>
      <c r="H508" s="8"/>
      <c r="I508" s="6"/>
      <c r="J508" s="6"/>
      <c r="K508" s="6"/>
      <c r="L508" s="6"/>
      <c r="M508" s="6"/>
      <c r="N508" s="6"/>
      <c r="O508" s="6">
        <f>+F502-(2*$D$11)</f>
        <v>0.34</v>
      </c>
      <c r="P508" s="6">
        <f t="shared" si="110"/>
        <v>1.7000000000000002</v>
      </c>
      <c r="Q508" s="6">
        <f t="shared" si="109"/>
        <v>0</v>
      </c>
      <c r="R508" s="6">
        <f t="shared" si="109"/>
        <v>0</v>
      </c>
      <c r="S508" s="6">
        <f t="shared" si="109"/>
        <v>0</v>
      </c>
      <c r="T508" s="6">
        <f t="shared" si="109"/>
        <v>0</v>
      </c>
      <c r="U508" s="6">
        <f t="shared" si="109"/>
        <v>0</v>
      </c>
      <c r="V508" s="6">
        <f t="shared" si="109"/>
        <v>6.553348214285716</v>
      </c>
      <c r="W508" s="6">
        <f t="shared" si="109"/>
        <v>0</v>
      </c>
      <c r="X508" s="6">
        <f t="shared" si="107"/>
        <v>6.553348214285716</v>
      </c>
      <c r="Y508" s="6"/>
      <c r="Z508" s="6"/>
      <c r="AA508" s="6"/>
      <c r="AB508" s="6"/>
      <c r="AC508" s="6"/>
      <c r="AD508" s="6"/>
      <c r="AE508" s="6"/>
    </row>
    <row r="509" spans="1:32" s="5" customFormat="1" ht="20.100000000000001" customHeight="1" x14ac:dyDescent="0.25">
      <c r="A509" s="7"/>
      <c r="B509" s="6" t="s">
        <v>140</v>
      </c>
      <c r="C509" s="9" t="s">
        <v>17</v>
      </c>
      <c r="D509" s="6">
        <f>+$D$15</f>
        <v>25</v>
      </c>
      <c r="E509" s="6">
        <f>+$E$15</f>
        <v>1</v>
      </c>
      <c r="F509" s="6">
        <f>ROUNDUP((E502)/E509,0)+1</f>
        <v>4</v>
      </c>
      <c r="G509" s="8"/>
      <c r="H509" s="8"/>
      <c r="I509" s="6"/>
      <c r="J509" s="6"/>
      <c r="K509" s="6"/>
      <c r="L509" s="6"/>
      <c r="M509" s="6"/>
      <c r="N509" s="6"/>
      <c r="O509" s="6">
        <f>+F502-(2*$D$11)</f>
        <v>0.34</v>
      </c>
      <c r="P509" s="6">
        <f t="shared" si="110"/>
        <v>1.36</v>
      </c>
      <c r="Q509" s="6">
        <f t="shared" si="109"/>
        <v>0</v>
      </c>
      <c r="R509" s="6">
        <f t="shared" si="109"/>
        <v>0</v>
      </c>
      <c r="S509" s="6">
        <f t="shared" si="109"/>
        <v>0</v>
      </c>
      <c r="T509" s="6">
        <f t="shared" si="109"/>
        <v>0</v>
      </c>
      <c r="U509" s="6">
        <f t="shared" si="109"/>
        <v>0</v>
      </c>
      <c r="V509" s="6">
        <f t="shared" si="109"/>
        <v>5.2426785714285726</v>
      </c>
      <c r="W509" s="6">
        <f t="shared" si="109"/>
        <v>0</v>
      </c>
      <c r="X509" s="6">
        <f t="shared" si="107"/>
        <v>5.2426785714285726</v>
      </c>
      <c r="Y509" s="6"/>
      <c r="Z509" s="6"/>
      <c r="AA509" s="6"/>
      <c r="AB509" s="6"/>
      <c r="AC509" s="6"/>
      <c r="AD509" s="6"/>
      <c r="AE509" s="6"/>
    </row>
    <row r="510" spans="1:32" s="5" customFormat="1" ht="21" customHeight="1" x14ac:dyDescent="0.25">
      <c r="A510" s="6">
        <f>+A502+1</f>
        <v>66</v>
      </c>
      <c r="B510" s="6" t="s">
        <v>140</v>
      </c>
      <c r="C510" s="11" t="s">
        <v>28</v>
      </c>
      <c r="D510" s="11">
        <v>1</v>
      </c>
      <c r="E510" s="11">
        <v>6.6820000000000004</v>
      </c>
      <c r="F510" s="11">
        <v>0.4</v>
      </c>
      <c r="G510" s="11">
        <v>0.75</v>
      </c>
      <c r="H510" s="6">
        <f>G510-0.2</f>
        <v>0.55000000000000004</v>
      </c>
      <c r="I510" s="6">
        <f>E510*F510*G510*D510</f>
        <v>2.0046000000000004</v>
      </c>
      <c r="J510" s="6">
        <f>(2*(E510)*H510*D510)+(E510*F510)</f>
        <v>10.023000000000001</v>
      </c>
      <c r="K510" s="10">
        <f>IF(E510=0.3,J510,0)</f>
        <v>0</v>
      </c>
      <c r="L510" s="10">
        <f>IF(AND(E510&gt;0.3,E510&lt;=0.75),J510,0)</f>
        <v>0</v>
      </c>
      <c r="M510" s="10">
        <f>IF(AND(E510&gt;0.75,E510&lt;=1.2),J510,0)</f>
        <v>0</v>
      </c>
      <c r="N510" s="10">
        <f>IF(E510&gt;1.2,J510,0)</f>
        <v>10.023000000000001</v>
      </c>
      <c r="O510" s="6"/>
      <c r="P510" s="6"/>
      <c r="Q510" s="6">
        <f t="shared" si="109"/>
        <v>0</v>
      </c>
      <c r="R510" s="6">
        <f t="shared" si="109"/>
        <v>0</v>
      </c>
      <c r="S510" s="6">
        <f t="shared" si="109"/>
        <v>0</v>
      </c>
      <c r="T510" s="6">
        <f t="shared" si="109"/>
        <v>0</v>
      </c>
      <c r="U510" s="6">
        <f t="shared" si="109"/>
        <v>0</v>
      </c>
      <c r="V510" s="6">
        <f t="shared" si="109"/>
        <v>0</v>
      </c>
      <c r="W510" s="6">
        <f t="shared" si="109"/>
        <v>0</v>
      </c>
      <c r="X510" s="6">
        <f t="shared" si="107"/>
        <v>0</v>
      </c>
      <c r="Y510" s="7">
        <f>SUM(X511:X518)/I510</f>
        <v>172.30452608286652</v>
      </c>
      <c r="Z510" s="6"/>
      <c r="AA510" s="6"/>
      <c r="AB510" s="6"/>
      <c r="AC510" s="6"/>
      <c r="AD510" s="6"/>
      <c r="AE510" s="6"/>
      <c r="AF510" s="6"/>
    </row>
    <row r="511" spans="1:32" s="5" customFormat="1" ht="20.100000000000001" customHeight="1" x14ac:dyDescent="0.25">
      <c r="A511" s="7"/>
      <c r="B511" s="6" t="s">
        <v>140</v>
      </c>
      <c r="C511" s="9" t="s">
        <v>2</v>
      </c>
      <c r="D511" s="6">
        <v>16</v>
      </c>
      <c r="E511" s="6"/>
      <c r="F511" s="6">
        <v>4</v>
      </c>
      <c r="G511" s="8">
        <f>VLOOKUP(D511,$C$20:$F$26,3,0)</f>
        <v>0.8</v>
      </c>
      <c r="H511" s="8"/>
      <c r="I511" s="6"/>
      <c r="J511" s="6"/>
      <c r="K511" s="6"/>
      <c r="L511" s="6"/>
      <c r="M511" s="6"/>
      <c r="N511" s="6"/>
      <c r="O511" s="6">
        <f>+E510+0.75</f>
        <v>7.4320000000000004</v>
      </c>
      <c r="P511" s="6">
        <f>O511*F511</f>
        <v>29.728000000000002</v>
      </c>
      <c r="Q511" s="6">
        <f t="shared" si="109"/>
        <v>0</v>
      </c>
      <c r="R511" s="6">
        <f t="shared" si="109"/>
        <v>0</v>
      </c>
      <c r="S511" s="6">
        <f t="shared" si="109"/>
        <v>0</v>
      </c>
      <c r="T511" s="6">
        <f t="shared" si="109"/>
        <v>46.939662628571433</v>
      </c>
      <c r="U511" s="6">
        <f t="shared" si="109"/>
        <v>0</v>
      </c>
      <c r="V511" s="6">
        <f t="shared" si="109"/>
        <v>0</v>
      </c>
      <c r="W511" s="6">
        <f t="shared" si="109"/>
        <v>0</v>
      </c>
      <c r="X511" s="6">
        <f t="shared" si="107"/>
        <v>46.939662628571433</v>
      </c>
      <c r="Y511" s="6"/>
      <c r="Z511" s="6"/>
      <c r="AA511" s="6"/>
      <c r="AB511" s="6"/>
      <c r="AC511" s="6"/>
      <c r="AD511" s="6"/>
      <c r="AE511" s="6"/>
    </row>
    <row r="512" spans="1:32" s="5" customFormat="1" ht="20.100000000000001" customHeight="1" x14ac:dyDescent="0.25">
      <c r="A512" s="7"/>
      <c r="B512" s="6" t="s">
        <v>140</v>
      </c>
      <c r="C512" s="9" t="s">
        <v>1</v>
      </c>
      <c r="D512" s="6">
        <v>20</v>
      </c>
      <c r="E512" s="6"/>
      <c r="F512" s="6">
        <v>4</v>
      </c>
      <c r="G512" s="8">
        <f>VLOOKUP(D512,$C$20:$F$26,3,0)</f>
        <v>1</v>
      </c>
      <c r="H512" s="6"/>
      <c r="I512" s="6"/>
      <c r="J512" s="6"/>
      <c r="K512" s="6"/>
      <c r="L512" s="6"/>
      <c r="M512" s="6"/>
      <c r="N512" s="6"/>
      <c r="O512" s="6">
        <f>+E510+0.75</f>
        <v>7.4320000000000004</v>
      </c>
      <c r="P512" s="6">
        <f>O512*F512</f>
        <v>29.728000000000002</v>
      </c>
      <c r="Q512" s="6">
        <f t="shared" si="109"/>
        <v>0</v>
      </c>
      <c r="R512" s="6">
        <f t="shared" si="109"/>
        <v>0</v>
      </c>
      <c r="S512" s="6">
        <f t="shared" si="109"/>
        <v>0</v>
      </c>
      <c r="T512" s="6">
        <f t="shared" si="109"/>
        <v>0</v>
      </c>
      <c r="U512" s="6">
        <f t="shared" si="109"/>
        <v>73.343222857142862</v>
      </c>
      <c r="V512" s="6">
        <f t="shared" si="109"/>
        <v>0</v>
      </c>
      <c r="W512" s="6">
        <f t="shared" si="109"/>
        <v>0</v>
      </c>
      <c r="X512" s="6">
        <f t="shared" si="107"/>
        <v>73.343222857142862</v>
      </c>
      <c r="Y512" s="6"/>
      <c r="Z512" s="6"/>
      <c r="AA512" s="6"/>
      <c r="AB512" s="6"/>
      <c r="AC512" s="6"/>
      <c r="AD512" s="6"/>
      <c r="AE512" s="6"/>
    </row>
    <row r="513" spans="1:32" s="5" customFormat="1" ht="20.100000000000001" customHeight="1" x14ac:dyDescent="0.25">
      <c r="A513" s="7"/>
      <c r="B513" s="6" t="s">
        <v>140</v>
      </c>
      <c r="C513" s="9" t="s">
        <v>18</v>
      </c>
      <c r="D513" s="6">
        <v>20</v>
      </c>
      <c r="E513" s="6"/>
      <c r="F513" s="6">
        <v>4</v>
      </c>
      <c r="G513" s="8">
        <f>VLOOKUP(D513,$C$20:$F$26,3,0)</f>
        <v>1</v>
      </c>
      <c r="H513" s="6"/>
      <c r="I513" s="6"/>
      <c r="J513" s="6"/>
      <c r="K513" s="6"/>
      <c r="L513" s="6"/>
      <c r="M513" s="6"/>
      <c r="N513" s="6"/>
      <c r="O513" s="6">
        <f>+E510+0.75-0.7</f>
        <v>6.7320000000000002</v>
      </c>
      <c r="P513" s="6">
        <f>O513*F513</f>
        <v>26.928000000000001</v>
      </c>
      <c r="Q513" s="6">
        <f t="shared" si="109"/>
        <v>0</v>
      </c>
      <c r="R513" s="6">
        <f t="shared" si="109"/>
        <v>0</v>
      </c>
      <c r="S513" s="6">
        <f t="shared" si="109"/>
        <v>0</v>
      </c>
      <c r="T513" s="6">
        <f t="shared" si="109"/>
        <v>0</v>
      </c>
      <c r="U513" s="6">
        <f t="shared" si="109"/>
        <v>66.435222857142861</v>
      </c>
      <c r="V513" s="6">
        <f t="shared" si="109"/>
        <v>0</v>
      </c>
      <c r="W513" s="6">
        <f t="shared" si="109"/>
        <v>0</v>
      </c>
      <c r="X513" s="6">
        <f t="shared" si="107"/>
        <v>66.435222857142861</v>
      </c>
      <c r="Y513" s="6"/>
      <c r="Z513" s="6"/>
      <c r="AA513" s="6"/>
      <c r="AB513" s="6"/>
      <c r="AC513" s="6"/>
      <c r="AD513" s="6"/>
      <c r="AE513" s="6"/>
    </row>
    <row r="514" spans="1:32" s="5" customFormat="1" ht="20.100000000000001" customHeight="1" x14ac:dyDescent="0.25">
      <c r="A514" s="7"/>
      <c r="B514" s="6" t="s">
        <v>140</v>
      </c>
      <c r="C514" s="9" t="s">
        <v>0</v>
      </c>
      <c r="D514" s="6">
        <v>10</v>
      </c>
      <c r="E514" s="6">
        <v>0.1</v>
      </c>
      <c r="F514" s="6">
        <f>ROUND(IF(E510/3&gt;(2*G510),(E510/3)/E514,(2*G510)/E514),0)*2+1</f>
        <v>45</v>
      </c>
      <c r="G514" s="8"/>
      <c r="H514" s="6"/>
      <c r="I514" s="6"/>
      <c r="J514" s="6"/>
      <c r="K514" s="6"/>
      <c r="L514" s="6"/>
      <c r="M514" s="6"/>
      <c r="N514" s="6"/>
      <c r="O514" s="6">
        <f>(2*((G510-(2*$D$11))+(F510-(2*$D$11)))+(2*10*D514/1000))*D510</f>
        <v>2.2600000000000002</v>
      </c>
      <c r="P514" s="6">
        <f t="shared" ref="P514" si="111">O514*F514</f>
        <v>101.70000000000002</v>
      </c>
      <c r="Q514" s="6">
        <f t="shared" si="109"/>
        <v>0</v>
      </c>
      <c r="R514" s="6">
        <f t="shared" si="109"/>
        <v>62.72710714285715</v>
      </c>
      <c r="S514" s="6">
        <f t="shared" si="109"/>
        <v>0</v>
      </c>
      <c r="T514" s="6">
        <f t="shared" si="109"/>
        <v>0</v>
      </c>
      <c r="U514" s="6">
        <f t="shared" si="109"/>
        <v>0</v>
      </c>
      <c r="V514" s="6">
        <f t="shared" si="109"/>
        <v>0</v>
      </c>
      <c r="W514" s="6">
        <f t="shared" si="109"/>
        <v>0</v>
      </c>
      <c r="X514" s="6">
        <f t="shared" si="107"/>
        <v>62.72710714285715</v>
      </c>
      <c r="Y514" s="6"/>
      <c r="Z514" s="6"/>
      <c r="AA514" s="6"/>
      <c r="AB514" s="6"/>
      <c r="AC514" s="6"/>
      <c r="AD514" s="6"/>
      <c r="AE514" s="6"/>
    </row>
    <row r="515" spans="1:32" s="12" customFormat="1" ht="20.100000000000001" customHeight="1" x14ac:dyDescent="0.25">
      <c r="B515" s="6" t="s">
        <v>140</v>
      </c>
      <c r="C515" s="9" t="s">
        <v>25</v>
      </c>
      <c r="D515" s="6">
        <f>+D514</f>
        <v>10</v>
      </c>
      <c r="E515" s="6">
        <f>+E514</f>
        <v>0.1</v>
      </c>
      <c r="F515" s="12">
        <f>+F514</f>
        <v>45</v>
      </c>
      <c r="G515" s="5"/>
      <c r="O515" s="3">
        <f>((((G510-(2*$D$11))+(2*10*D515/1000))*D510))*2</f>
        <v>1.7799999999999998</v>
      </c>
      <c r="P515" s="6">
        <f>O515*F515</f>
        <v>80.099999999999994</v>
      </c>
      <c r="Q515" s="6">
        <f t="shared" si="109"/>
        <v>0</v>
      </c>
      <c r="R515" s="6">
        <f t="shared" si="109"/>
        <v>49.404535714285707</v>
      </c>
      <c r="S515" s="6">
        <f t="shared" si="109"/>
        <v>0</v>
      </c>
      <c r="T515" s="6">
        <f t="shared" si="109"/>
        <v>0</v>
      </c>
      <c r="U515" s="6">
        <f t="shared" si="109"/>
        <v>0</v>
      </c>
      <c r="V515" s="6">
        <f t="shared" si="109"/>
        <v>0</v>
      </c>
      <c r="W515" s="6">
        <f t="shared" si="109"/>
        <v>0</v>
      </c>
      <c r="X515" s="6">
        <f t="shared" si="107"/>
        <v>49.404535714285707</v>
      </c>
    </row>
    <row r="516" spans="1:32" s="12" customFormat="1" ht="20.100000000000001" customHeight="1" x14ac:dyDescent="0.3">
      <c r="B516" s="6" t="s">
        <v>140</v>
      </c>
      <c r="C516" s="9" t="s">
        <v>0</v>
      </c>
      <c r="D516" s="12">
        <v>10</v>
      </c>
      <c r="E516" s="12">
        <v>0.15</v>
      </c>
      <c r="F516" s="12">
        <f>ROUND((E510-(IF(E510/3&gt;2*G510,E510/3*2,G510*2*2)))/E516,0)</f>
        <v>15</v>
      </c>
      <c r="O516" s="6">
        <f>(2*((G510-(2*$D$11))+(F510-(2*$D$11)))+(2*10*D516/1000))*D510</f>
        <v>2.2600000000000002</v>
      </c>
      <c r="P516" s="6">
        <f>O516*F516</f>
        <v>33.900000000000006</v>
      </c>
      <c r="Q516" s="6">
        <f t="shared" si="109"/>
        <v>0</v>
      </c>
      <c r="R516" s="6">
        <f t="shared" si="109"/>
        <v>20.909035714285718</v>
      </c>
      <c r="S516" s="6">
        <f t="shared" si="109"/>
        <v>0</v>
      </c>
      <c r="T516" s="6">
        <f t="shared" si="109"/>
        <v>0</v>
      </c>
      <c r="U516" s="6">
        <f t="shared" si="109"/>
        <v>0</v>
      </c>
      <c r="V516" s="6">
        <f t="shared" si="109"/>
        <v>0</v>
      </c>
      <c r="W516" s="6">
        <f t="shared" si="109"/>
        <v>0</v>
      </c>
      <c r="X516" s="6">
        <f t="shared" si="107"/>
        <v>20.909035714285718</v>
      </c>
    </row>
    <row r="517" spans="1:32" s="12" customFormat="1" ht="20.100000000000001" customHeight="1" x14ac:dyDescent="0.25">
      <c r="B517" s="6" t="s">
        <v>140</v>
      </c>
      <c r="C517" s="9" t="s">
        <v>25</v>
      </c>
      <c r="D517" s="6">
        <f>+D516</f>
        <v>10</v>
      </c>
      <c r="E517" s="6">
        <f>+E516</f>
        <v>0.15</v>
      </c>
      <c r="F517" s="12">
        <f>+F516</f>
        <v>15</v>
      </c>
      <c r="G517" s="5"/>
      <c r="O517" s="3">
        <f>((((G510-(2*$D$11))+(2*10*D517/1000))*D510))*2</f>
        <v>1.7799999999999998</v>
      </c>
      <c r="P517" s="6">
        <f>O517*F517</f>
        <v>26.699999999999996</v>
      </c>
      <c r="Q517" s="6">
        <f t="shared" si="109"/>
        <v>0</v>
      </c>
      <c r="R517" s="6">
        <f t="shared" si="109"/>
        <v>16.468178571428567</v>
      </c>
      <c r="S517" s="6">
        <f t="shared" si="109"/>
        <v>0</v>
      </c>
      <c r="T517" s="6">
        <f t="shared" si="109"/>
        <v>0</v>
      </c>
      <c r="U517" s="6">
        <f t="shared" si="109"/>
        <v>0</v>
      </c>
      <c r="V517" s="6">
        <f t="shared" si="109"/>
        <v>0</v>
      </c>
      <c r="W517" s="6">
        <f t="shared" si="109"/>
        <v>0</v>
      </c>
      <c r="X517" s="6">
        <f t="shared" si="107"/>
        <v>16.468178571428567</v>
      </c>
    </row>
    <row r="518" spans="1:32" s="5" customFormat="1" ht="20.100000000000001" customHeight="1" x14ac:dyDescent="0.25">
      <c r="A518" s="7"/>
      <c r="B518" s="6" t="s">
        <v>140</v>
      </c>
      <c r="C518" s="9" t="s">
        <v>17</v>
      </c>
      <c r="D518" s="6">
        <f>+$D$15</f>
        <v>25</v>
      </c>
      <c r="E518" s="6">
        <f>+$E$15</f>
        <v>1</v>
      </c>
      <c r="F518" s="6">
        <f>ROUNDUP((E510-0.7)/E518,0)+1</f>
        <v>7</v>
      </c>
      <c r="G518" s="8"/>
      <c r="H518" s="8"/>
      <c r="I518" s="6"/>
      <c r="J518" s="6"/>
      <c r="K518" s="6"/>
      <c r="L518" s="6"/>
      <c r="M518" s="6"/>
      <c r="N518" s="6"/>
      <c r="O518" s="6">
        <f>+F510-(2*$D$11)</f>
        <v>0.34</v>
      </c>
      <c r="P518" s="6">
        <f t="shared" ref="P518" si="112">O518*F518</f>
        <v>2.3800000000000003</v>
      </c>
      <c r="Q518" s="6">
        <f t="shared" si="109"/>
        <v>0</v>
      </c>
      <c r="R518" s="6">
        <f t="shared" si="109"/>
        <v>0</v>
      </c>
      <c r="S518" s="6">
        <f t="shared" si="109"/>
        <v>0</v>
      </c>
      <c r="T518" s="6">
        <f t="shared" si="109"/>
        <v>0</v>
      </c>
      <c r="U518" s="6">
        <f t="shared" si="109"/>
        <v>0</v>
      </c>
      <c r="V518" s="6">
        <f t="shared" si="109"/>
        <v>9.1746875000000028</v>
      </c>
      <c r="W518" s="6">
        <f t="shared" si="109"/>
        <v>0</v>
      </c>
      <c r="X518" s="6">
        <f t="shared" si="107"/>
        <v>9.1746875000000028</v>
      </c>
      <c r="Y518" s="6"/>
      <c r="Z518" s="6"/>
      <c r="AA518" s="6"/>
      <c r="AB518" s="6"/>
      <c r="AC518" s="6"/>
      <c r="AD518" s="6"/>
      <c r="AE518" s="6"/>
    </row>
    <row r="519" spans="1:32" s="5" customFormat="1" ht="21" customHeight="1" x14ac:dyDescent="0.25">
      <c r="A519" s="6">
        <f>+A510+1</f>
        <v>67</v>
      </c>
      <c r="B519" s="6" t="s">
        <v>140</v>
      </c>
      <c r="C519" s="11" t="s">
        <v>27</v>
      </c>
      <c r="D519" s="11">
        <v>1</v>
      </c>
      <c r="E519" s="11">
        <v>6.0119999999999996</v>
      </c>
      <c r="F519" s="11">
        <v>0.4</v>
      </c>
      <c r="G519" s="11">
        <v>0.75</v>
      </c>
      <c r="H519" s="6">
        <f>G519-0.2</f>
        <v>0.55000000000000004</v>
      </c>
      <c r="I519" s="6">
        <f>E519*F519*G519*D519</f>
        <v>1.8035999999999999</v>
      </c>
      <c r="J519" s="6">
        <f>(2*(E519)*H519*D519)+(E519*F519)</f>
        <v>9.0180000000000007</v>
      </c>
      <c r="K519" s="10">
        <f>IF(E519=0.3,J519,0)</f>
        <v>0</v>
      </c>
      <c r="L519" s="10">
        <f>IF(AND(E519&gt;0.3,E519&lt;=0.75),J519,0)</f>
        <v>0</v>
      </c>
      <c r="M519" s="10">
        <f>IF(AND(E519&gt;0.75,E519&lt;=1.2),J519,0)</f>
        <v>0</v>
      </c>
      <c r="N519" s="10">
        <f>IF(E519&gt;1.2,J519,0)</f>
        <v>9.0180000000000007</v>
      </c>
      <c r="O519" s="6"/>
      <c r="P519" s="6"/>
      <c r="Q519" s="6">
        <f t="shared" si="109"/>
        <v>0</v>
      </c>
      <c r="R519" s="6">
        <f t="shared" si="109"/>
        <v>0</v>
      </c>
      <c r="S519" s="6">
        <f t="shared" si="109"/>
        <v>0</v>
      </c>
      <c r="T519" s="6">
        <f t="shared" si="109"/>
        <v>0</v>
      </c>
      <c r="U519" s="6">
        <f t="shared" si="109"/>
        <v>0</v>
      </c>
      <c r="V519" s="6">
        <f t="shared" si="109"/>
        <v>0</v>
      </c>
      <c r="W519" s="6">
        <f t="shared" si="109"/>
        <v>0</v>
      </c>
      <c r="X519" s="6">
        <f t="shared" si="107"/>
        <v>0</v>
      </c>
      <c r="Y519" s="7">
        <f>SUM(X520:X530)/I519</f>
        <v>209.33227010265185</v>
      </c>
      <c r="Z519" s="6"/>
      <c r="AA519" s="6"/>
      <c r="AB519" s="6"/>
      <c r="AC519" s="6"/>
      <c r="AD519" s="6"/>
      <c r="AE519" s="6"/>
      <c r="AF519" s="6"/>
    </row>
    <row r="520" spans="1:32" s="5" customFormat="1" ht="20.100000000000001" customHeight="1" x14ac:dyDescent="0.25">
      <c r="A520" s="7"/>
      <c r="B520" s="6" t="s">
        <v>140</v>
      </c>
      <c r="C520" s="9" t="s">
        <v>2</v>
      </c>
      <c r="D520" s="6">
        <v>16</v>
      </c>
      <c r="E520" s="6"/>
      <c r="F520" s="6">
        <v>4</v>
      </c>
      <c r="G520" s="8">
        <f>VLOOKUP(D520,$C$20:$F$26,3,0)</f>
        <v>0.8</v>
      </c>
      <c r="H520" s="8"/>
      <c r="I520" s="6"/>
      <c r="J520" s="6"/>
      <c r="K520" s="6"/>
      <c r="L520" s="6"/>
      <c r="M520" s="6"/>
      <c r="N520" s="6"/>
      <c r="O520" s="6">
        <f>(E519+1*(G520+(2*D520/1000)))*D519</f>
        <v>6.8439999999999994</v>
      </c>
      <c r="P520" s="6">
        <f t="shared" ref="P520:P525" si="113">O520*F520</f>
        <v>27.375999999999998</v>
      </c>
      <c r="Q520" s="6">
        <f t="shared" si="109"/>
        <v>0</v>
      </c>
      <c r="R520" s="6">
        <f t="shared" si="109"/>
        <v>0</v>
      </c>
      <c r="S520" s="6">
        <f t="shared" si="109"/>
        <v>0</v>
      </c>
      <c r="T520" s="6">
        <f t="shared" si="109"/>
        <v>43.22592182857143</v>
      </c>
      <c r="U520" s="6">
        <f t="shared" si="109"/>
        <v>0</v>
      </c>
      <c r="V520" s="6">
        <f t="shared" si="109"/>
        <v>0</v>
      </c>
      <c r="W520" s="6">
        <f t="shared" si="109"/>
        <v>0</v>
      </c>
      <c r="X520" s="6">
        <f t="shared" si="107"/>
        <v>43.22592182857143</v>
      </c>
      <c r="Y520" s="6"/>
      <c r="Z520" s="6"/>
      <c r="AA520" s="6"/>
      <c r="AB520" s="6"/>
      <c r="AC520" s="6"/>
      <c r="AD520" s="6"/>
      <c r="AE520" s="6"/>
    </row>
    <row r="521" spans="1:32" s="5" customFormat="1" ht="20.100000000000001" customHeight="1" x14ac:dyDescent="0.25">
      <c r="A521" s="7"/>
      <c r="B521" s="6" t="s">
        <v>140</v>
      </c>
      <c r="C521" s="9" t="s">
        <v>26</v>
      </c>
      <c r="D521" s="6">
        <v>12</v>
      </c>
      <c r="E521" s="6"/>
      <c r="F521" s="6">
        <v>4</v>
      </c>
      <c r="G521" s="8">
        <f>VLOOKUP(D521,$C$20:$F$26,3,0)</f>
        <v>0.6</v>
      </c>
      <c r="H521" s="8"/>
      <c r="I521" s="6"/>
      <c r="J521" s="6"/>
      <c r="K521" s="6"/>
      <c r="L521" s="6"/>
      <c r="M521" s="6"/>
      <c r="N521" s="6"/>
      <c r="O521" s="6">
        <f>(1.7+1*(G521+(2*D521/1000)))*D519</f>
        <v>2.3239999999999998</v>
      </c>
      <c r="P521" s="6">
        <f t="shared" si="113"/>
        <v>9.2959999999999994</v>
      </c>
      <c r="Q521" s="6">
        <f t="shared" si="109"/>
        <v>0</v>
      </c>
      <c r="R521" s="6">
        <f t="shared" si="109"/>
        <v>0</v>
      </c>
      <c r="S521" s="6">
        <f t="shared" si="109"/>
        <v>8.2564416000000005</v>
      </c>
      <c r="T521" s="6">
        <f t="shared" si="109"/>
        <v>0</v>
      </c>
      <c r="U521" s="6">
        <f t="shared" si="109"/>
        <v>0</v>
      </c>
      <c r="V521" s="6">
        <f t="shared" si="109"/>
        <v>0</v>
      </c>
      <c r="W521" s="6">
        <f t="shared" si="109"/>
        <v>0</v>
      </c>
      <c r="X521" s="6">
        <f t="shared" si="107"/>
        <v>8.2564416000000005</v>
      </c>
      <c r="Y521" s="6"/>
      <c r="Z521" s="6"/>
      <c r="AA521" s="6"/>
      <c r="AB521" s="6"/>
      <c r="AC521" s="6"/>
      <c r="AD521" s="6"/>
      <c r="AE521" s="6"/>
    </row>
    <row r="522" spans="1:32" s="5" customFormat="1" ht="20.100000000000001" customHeight="1" x14ac:dyDescent="0.25">
      <c r="A522" s="7"/>
      <c r="B522" s="6" t="s">
        <v>140</v>
      </c>
      <c r="C522" s="9" t="s">
        <v>26</v>
      </c>
      <c r="D522" s="6">
        <v>20</v>
      </c>
      <c r="E522" s="6"/>
      <c r="F522" s="6">
        <v>4</v>
      </c>
      <c r="G522" s="8">
        <f>VLOOKUP(D522,$C$20:$F$26,3,0)</f>
        <v>1</v>
      </c>
      <c r="H522" s="8"/>
      <c r="I522" s="6"/>
      <c r="J522" s="6"/>
      <c r="K522" s="6"/>
      <c r="L522" s="6"/>
      <c r="M522" s="6"/>
      <c r="N522" s="6"/>
      <c r="O522" s="6">
        <f>1.9+0.75+1.7</f>
        <v>4.3499999999999996</v>
      </c>
      <c r="P522" s="6">
        <f t="shared" si="113"/>
        <v>17.399999999999999</v>
      </c>
      <c r="Q522" s="6">
        <f t="shared" si="109"/>
        <v>0</v>
      </c>
      <c r="R522" s="6">
        <f t="shared" si="109"/>
        <v>0</v>
      </c>
      <c r="S522" s="6">
        <f t="shared" si="109"/>
        <v>0</v>
      </c>
      <c r="T522" s="6">
        <f t="shared" si="109"/>
        <v>0</v>
      </c>
      <c r="U522" s="6">
        <f t="shared" si="109"/>
        <v>42.928285714285707</v>
      </c>
      <c r="V522" s="6">
        <f t="shared" si="109"/>
        <v>0</v>
      </c>
      <c r="W522" s="6">
        <f t="shared" si="109"/>
        <v>0</v>
      </c>
      <c r="X522" s="6">
        <f t="shared" si="107"/>
        <v>42.928285714285707</v>
      </c>
      <c r="Y522" s="6"/>
      <c r="Z522" s="6"/>
      <c r="AA522" s="6"/>
      <c r="AB522" s="6"/>
      <c r="AC522" s="6"/>
      <c r="AD522" s="6"/>
      <c r="AE522" s="6"/>
    </row>
    <row r="523" spans="1:32" s="5" customFormat="1" ht="20.100000000000001" customHeight="1" x14ac:dyDescent="0.25">
      <c r="A523" s="7"/>
      <c r="B523" s="6" t="s">
        <v>140</v>
      </c>
      <c r="C523" s="9" t="s">
        <v>1</v>
      </c>
      <c r="D523" s="6">
        <v>20</v>
      </c>
      <c r="E523" s="6"/>
      <c r="F523" s="6">
        <v>4</v>
      </c>
      <c r="G523" s="8">
        <f>VLOOKUP(D523,$C$20:$F$26,3,0)</f>
        <v>1</v>
      </c>
      <c r="H523" s="6"/>
      <c r="I523" s="6"/>
      <c r="J523" s="6"/>
      <c r="K523" s="6"/>
      <c r="L523" s="6"/>
      <c r="M523" s="6"/>
      <c r="N523" s="6"/>
      <c r="O523" s="6">
        <f>(E519+1*(G523+(2*D523/1000)))*D519</f>
        <v>7.0519999999999996</v>
      </c>
      <c r="P523" s="6">
        <f t="shared" si="113"/>
        <v>28.207999999999998</v>
      </c>
      <c r="Q523" s="6">
        <f t="shared" si="109"/>
        <v>0</v>
      </c>
      <c r="R523" s="6">
        <f t="shared" si="109"/>
        <v>0</v>
      </c>
      <c r="S523" s="6">
        <f t="shared" si="109"/>
        <v>0</v>
      </c>
      <c r="T523" s="6">
        <f t="shared" si="109"/>
        <v>0</v>
      </c>
      <c r="U523" s="6">
        <f t="shared" si="109"/>
        <v>69.593165714285703</v>
      </c>
      <c r="V523" s="6">
        <f t="shared" si="109"/>
        <v>0</v>
      </c>
      <c r="W523" s="6">
        <f t="shared" si="109"/>
        <v>0</v>
      </c>
      <c r="X523" s="6">
        <f t="shared" si="107"/>
        <v>69.593165714285703</v>
      </c>
      <c r="Y523" s="6"/>
      <c r="Z523" s="6"/>
      <c r="AA523" s="6"/>
      <c r="AB523" s="6"/>
      <c r="AC523" s="6"/>
      <c r="AD523" s="6"/>
      <c r="AE523" s="6"/>
    </row>
    <row r="524" spans="1:32" s="5" customFormat="1" ht="20.100000000000001" customHeight="1" x14ac:dyDescent="0.25">
      <c r="A524" s="7"/>
      <c r="B524" s="6" t="s">
        <v>140</v>
      </c>
      <c r="C524" s="9" t="s">
        <v>1</v>
      </c>
      <c r="D524" s="6">
        <v>20</v>
      </c>
      <c r="E524" s="6"/>
      <c r="F524" s="6">
        <v>4</v>
      </c>
      <c r="G524" s="8">
        <f>VLOOKUP(D524,$C$20:$F$26,3,0)</f>
        <v>1</v>
      </c>
      <c r="H524" s="6"/>
      <c r="I524" s="6"/>
      <c r="J524" s="6"/>
      <c r="K524" s="6"/>
      <c r="L524" s="6"/>
      <c r="M524" s="6"/>
      <c r="N524" s="6"/>
      <c r="O524" s="6">
        <f>+E519</f>
        <v>6.0119999999999996</v>
      </c>
      <c r="P524" s="6">
        <f t="shared" si="113"/>
        <v>24.047999999999998</v>
      </c>
      <c r="Q524" s="6">
        <f t="shared" si="109"/>
        <v>0</v>
      </c>
      <c r="R524" s="6">
        <f t="shared" si="109"/>
        <v>0</v>
      </c>
      <c r="S524" s="6">
        <f t="shared" si="109"/>
        <v>0</v>
      </c>
      <c r="T524" s="6">
        <f t="shared" si="109"/>
        <v>0</v>
      </c>
      <c r="U524" s="6">
        <f t="shared" si="109"/>
        <v>59.329851428571423</v>
      </c>
      <c r="V524" s="6">
        <f t="shared" si="109"/>
        <v>0</v>
      </c>
      <c r="W524" s="6">
        <f t="shared" si="109"/>
        <v>0</v>
      </c>
      <c r="X524" s="6">
        <f t="shared" si="107"/>
        <v>59.329851428571423</v>
      </c>
      <c r="Y524" s="6"/>
      <c r="Z524" s="6"/>
      <c r="AA524" s="6"/>
      <c r="AB524" s="6"/>
      <c r="AC524" s="6"/>
      <c r="AD524" s="6"/>
      <c r="AE524" s="6"/>
    </row>
    <row r="525" spans="1:32" s="5" customFormat="1" ht="20.100000000000001" customHeight="1" x14ac:dyDescent="0.25">
      <c r="A525" s="7"/>
      <c r="B525" s="6" t="s">
        <v>140</v>
      </c>
      <c r="C525" s="9" t="s">
        <v>0</v>
      </c>
      <c r="D525" s="6">
        <v>10</v>
      </c>
      <c r="E525" s="6">
        <v>0.1</v>
      </c>
      <c r="F525" s="6">
        <f>ROUND(IF(E519/3&gt;(2*G519),(E519/3)/E525,(2*G519)/E525),0)*2+1</f>
        <v>41</v>
      </c>
      <c r="G525" s="8"/>
      <c r="H525" s="6"/>
      <c r="I525" s="6"/>
      <c r="J525" s="6"/>
      <c r="K525" s="6"/>
      <c r="L525" s="6"/>
      <c r="M525" s="6"/>
      <c r="N525" s="6"/>
      <c r="O525" s="6">
        <f>(2*((G519-(2*$D$11))+(F519-(2*$D$11)))+(2*10*D525/1000))*D519</f>
        <v>2.2600000000000002</v>
      </c>
      <c r="P525" s="6">
        <f t="shared" si="113"/>
        <v>92.660000000000011</v>
      </c>
      <c r="Q525" s="6">
        <f t="shared" si="109"/>
        <v>0</v>
      </c>
      <c r="R525" s="6">
        <f t="shared" si="109"/>
        <v>57.151364285714294</v>
      </c>
      <c r="S525" s="6">
        <f t="shared" si="109"/>
        <v>0</v>
      </c>
      <c r="T525" s="6">
        <f t="shared" si="109"/>
        <v>0</v>
      </c>
      <c r="U525" s="6">
        <f t="shared" si="109"/>
        <v>0</v>
      </c>
      <c r="V525" s="6">
        <f t="shared" si="109"/>
        <v>0</v>
      </c>
      <c r="W525" s="6">
        <f t="shared" si="109"/>
        <v>0</v>
      </c>
      <c r="X525" s="6">
        <f t="shared" si="107"/>
        <v>57.151364285714294</v>
      </c>
      <c r="Y525" s="6"/>
      <c r="Z525" s="6"/>
      <c r="AA525" s="6"/>
      <c r="AB525" s="6"/>
      <c r="AC525" s="6"/>
      <c r="AD525" s="6"/>
      <c r="AE525" s="6"/>
    </row>
    <row r="526" spans="1:32" s="12" customFormat="1" ht="20.100000000000001" customHeight="1" x14ac:dyDescent="0.25">
      <c r="B526" s="6" t="s">
        <v>140</v>
      </c>
      <c r="C526" s="9" t="s">
        <v>25</v>
      </c>
      <c r="D526" s="6">
        <f>+D525</f>
        <v>10</v>
      </c>
      <c r="E526" s="6">
        <f>+E525</f>
        <v>0.1</v>
      </c>
      <c r="F526" s="12">
        <f>+F525</f>
        <v>41</v>
      </c>
      <c r="G526" s="5"/>
      <c r="O526" s="3">
        <f>((((G519-(2*$D$11))+(2*10*D526/1000))*D519))*2</f>
        <v>1.7799999999999998</v>
      </c>
      <c r="P526" s="6">
        <f>O526*F526</f>
        <v>72.97999999999999</v>
      </c>
      <c r="Q526" s="6">
        <f t="shared" si="109"/>
        <v>0</v>
      </c>
      <c r="R526" s="6">
        <f t="shared" si="109"/>
        <v>45.01302142857142</v>
      </c>
      <c r="S526" s="6">
        <f t="shared" si="109"/>
        <v>0</v>
      </c>
      <c r="T526" s="6">
        <f t="shared" si="109"/>
        <v>0</v>
      </c>
      <c r="U526" s="6">
        <f t="shared" si="109"/>
        <v>0</v>
      </c>
      <c r="V526" s="6">
        <f t="shared" si="109"/>
        <v>0</v>
      </c>
      <c r="W526" s="6">
        <f t="shared" si="109"/>
        <v>0</v>
      </c>
      <c r="X526" s="6">
        <f t="shared" si="107"/>
        <v>45.01302142857142</v>
      </c>
    </row>
    <row r="527" spans="1:32" s="12" customFormat="1" ht="20.100000000000001" customHeight="1" x14ac:dyDescent="0.3">
      <c r="B527" s="6" t="s">
        <v>140</v>
      </c>
      <c r="C527" s="9" t="s">
        <v>0</v>
      </c>
      <c r="D527" s="12">
        <v>10</v>
      </c>
      <c r="E527" s="12">
        <v>0.15</v>
      </c>
      <c r="F527" s="12">
        <f>ROUND((E519-(IF(E519/3&gt;2*G519,E519/3*2,G519*2*2)))/E527,0)</f>
        <v>13</v>
      </c>
      <c r="O527" s="6">
        <f>(2*((G519-(2*$D$11))+(F519-(2*$D$11)))+(2*10*D527/1000))*D519</f>
        <v>2.2600000000000002</v>
      </c>
      <c r="P527" s="6">
        <f>O527*F527</f>
        <v>29.380000000000003</v>
      </c>
      <c r="Q527" s="6">
        <f t="shared" si="109"/>
        <v>0</v>
      </c>
      <c r="R527" s="6">
        <f t="shared" si="109"/>
        <v>18.121164285714286</v>
      </c>
      <c r="S527" s="6">
        <f t="shared" si="109"/>
        <v>0</v>
      </c>
      <c r="T527" s="6">
        <f t="shared" si="109"/>
        <v>0</v>
      </c>
      <c r="U527" s="6">
        <f t="shared" si="109"/>
        <v>0</v>
      </c>
      <c r="V527" s="6">
        <f t="shared" si="109"/>
        <v>0</v>
      </c>
      <c r="W527" s="6">
        <f t="shared" si="109"/>
        <v>0</v>
      </c>
      <c r="X527" s="6">
        <f t="shared" si="107"/>
        <v>18.121164285714286</v>
      </c>
    </row>
    <row r="528" spans="1:32" s="12" customFormat="1" ht="20.100000000000001" customHeight="1" x14ac:dyDescent="0.25">
      <c r="B528" s="6" t="s">
        <v>140</v>
      </c>
      <c r="C528" s="9" t="s">
        <v>25</v>
      </c>
      <c r="D528" s="6">
        <f>+D527</f>
        <v>10</v>
      </c>
      <c r="E528" s="6">
        <f>+E527</f>
        <v>0.15</v>
      </c>
      <c r="F528" s="12">
        <f>+F527</f>
        <v>13</v>
      </c>
      <c r="G528" s="5"/>
      <c r="O528" s="3">
        <f>((((G519-(2*$D$11))+(2*10*D528/1000))*D519))*2</f>
        <v>1.7799999999999998</v>
      </c>
      <c r="P528" s="6">
        <f>O528*F528</f>
        <v>23.139999999999997</v>
      </c>
      <c r="Q528" s="6">
        <f t="shared" si="109"/>
        <v>0</v>
      </c>
      <c r="R528" s="6">
        <f t="shared" si="109"/>
        <v>14.272421428571427</v>
      </c>
      <c r="S528" s="6">
        <f t="shared" si="109"/>
        <v>0</v>
      </c>
      <c r="T528" s="6">
        <f t="shared" si="109"/>
        <v>0</v>
      </c>
      <c r="U528" s="6">
        <f t="shared" si="109"/>
        <v>0</v>
      </c>
      <c r="V528" s="6">
        <f t="shared" si="109"/>
        <v>0</v>
      </c>
      <c r="W528" s="6">
        <f t="shared" si="109"/>
        <v>0</v>
      </c>
      <c r="X528" s="6">
        <f t="shared" si="107"/>
        <v>14.272421428571427</v>
      </c>
    </row>
    <row r="529" spans="1:32" s="5" customFormat="1" ht="20.100000000000001" customHeight="1" x14ac:dyDescent="0.25">
      <c r="A529" s="7"/>
      <c r="B529" s="6" t="s">
        <v>140</v>
      </c>
      <c r="C529" s="9" t="s">
        <v>17</v>
      </c>
      <c r="D529" s="6">
        <f>+$D$15</f>
        <v>25</v>
      </c>
      <c r="E529" s="6">
        <f>+$E$15</f>
        <v>1</v>
      </c>
      <c r="F529" s="6">
        <f>ROUNDUP((1.7+1.7+1.9)/E529,0)+1</f>
        <v>7</v>
      </c>
      <c r="G529" s="8"/>
      <c r="H529" s="8"/>
      <c r="I529" s="6"/>
      <c r="J529" s="6"/>
      <c r="K529" s="6"/>
      <c r="L529" s="6"/>
      <c r="M529" s="6"/>
      <c r="N529" s="6"/>
      <c r="O529" s="6">
        <f>+F519-(2*$D$11)</f>
        <v>0.34</v>
      </c>
      <c r="P529" s="6">
        <f>O529*F529</f>
        <v>2.3800000000000003</v>
      </c>
      <c r="Q529" s="6">
        <f t="shared" si="109"/>
        <v>0</v>
      </c>
      <c r="R529" s="6">
        <f t="shared" si="109"/>
        <v>0</v>
      </c>
      <c r="S529" s="6">
        <f t="shared" si="109"/>
        <v>0</v>
      </c>
      <c r="T529" s="6">
        <f t="shared" si="109"/>
        <v>0</v>
      </c>
      <c r="U529" s="6">
        <f t="shared" si="109"/>
        <v>0</v>
      </c>
      <c r="V529" s="6">
        <f t="shared" si="109"/>
        <v>9.1746875000000028</v>
      </c>
      <c r="W529" s="6">
        <f t="shared" si="109"/>
        <v>0</v>
      </c>
      <c r="X529" s="6">
        <f t="shared" si="107"/>
        <v>9.1746875000000028</v>
      </c>
      <c r="Y529" s="6"/>
      <c r="Z529" s="6"/>
      <c r="AA529" s="6"/>
      <c r="AB529" s="6"/>
      <c r="AC529" s="6"/>
      <c r="AD529" s="6"/>
      <c r="AE529" s="6"/>
    </row>
    <row r="530" spans="1:32" s="5" customFormat="1" ht="20.100000000000001" customHeight="1" x14ac:dyDescent="0.25">
      <c r="A530" s="7"/>
      <c r="B530" s="6" t="s">
        <v>140</v>
      </c>
      <c r="C530" s="9" t="s">
        <v>17</v>
      </c>
      <c r="D530" s="6">
        <f>+$D$15</f>
        <v>25</v>
      </c>
      <c r="E530" s="6">
        <f>+$E$15</f>
        <v>1</v>
      </c>
      <c r="F530" s="6">
        <f>ROUNDUP((E519)/E530,0)+1</f>
        <v>8</v>
      </c>
      <c r="G530" s="8"/>
      <c r="H530" s="8"/>
      <c r="I530" s="6"/>
      <c r="J530" s="6"/>
      <c r="K530" s="6"/>
      <c r="L530" s="6"/>
      <c r="M530" s="6"/>
      <c r="N530" s="6"/>
      <c r="O530" s="6">
        <f>+F519-(2*$D$11)</f>
        <v>0.34</v>
      </c>
      <c r="P530" s="6">
        <f t="shared" ref="P530" si="114">O530*F530</f>
        <v>2.72</v>
      </c>
      <c r="Q530" s="6">
        <f t="shared" si="109"/>
        <v>0</v>
      </c>
      <c r="R530" s="6">
        <f t="shared" si="109"/>
        <v>0</v>
      </c>
      <c r="S530" s="6">
        <f t="shared" si="109"/>
        <v>0</v>
      </c>
      <c r="T530" s="6">
        <f t="shared" si="109"/>
        <v>0</v>
      </c>
      <c r="U530" s="6">
        <f t="shared" si="109"/>
        <v>0</v>
      </c>
      <c r="V530" s="6">
        <f t="shared" si="109"/>
        <v>10.485357142857145</v>
      </c>
      <c r="W530" s="6">
        <f t="shared" si="109"/>
        <v>0</v>
      </c>
      <c r="X530" s="6">
        <f t="shared" si="107"/>
        <v>10.485357142857145</v>
      </c>
      <c r="Y530" s="6"/>
      <c r="Z530" s="6"/>
      <c r="AA530" s="6"/>
      <c r="AB530" s="6"/>
      <c r="AC530" s="6"/>
      <c r="AD530" s="6"/>
      <c r="AE530" s="6"/>
    </row>
    <row r="531" spans="1:32" s="5" customFormat="1" ht="21" customHeight="1" x14ac:dyDescent="0.25">
      <c r="A531" s="6">
        <f>+A519+1</f>
        <v>68</v>
      </c>
      <c r="B531" s="6" t="s">
        <v>140</v>
      </c>
      <c r="C531" s="11" t="s">
        <v>24</v>
      </c>
      <c r="D531" s="11">
        <v>1</v>
      </c>
      <c r="E531" s="11">
        <v>3.2490000000000001</v>
      </c>
      <c r="F531" s="11">
        <v>0.2</v>
      </c>
      <c r="G531" s="11">
        <v>0.6</v>
      </c>
      <c r="H531" s="6">
        <f>G531-0.2</f>
        <v>0.39999999999999997</v>
      </c>
      <c r="I531" s="6">
        <f>E531*F531*G531*D531</f>
        <v>0.38988</v>
      </c>
      <c r="J531" s="6">
        <f>(2*(E531)*H531*D531)+(E531*F531)</f>
        <v>3.2489999999999997</v>
      </c>
      <c r="K531" s="10">
        <f>IF(E531=0.3,J531,0)</f>
        <v>0</v>
      </c>
      <c r="L531" s="10">
        <f>IF(AND(E531&gt;0.3,E531&lt;=0.75),J531,0)</f>
        <v>0</v>
      </c>
      <c r="M531" s="10">
        <f>IF(AND(E531&gt;0.75,E531&lt;=1.2),J531,0)</f>
        <v>0</v>
      </c>
      <c r="N531" s="10">
        <f>IF(E531&gt;1.2,J531,0)</f>
        <v>3.2489999999999997</v>
      </c>
      <c r="O531" s="6"/>
      <c r="P531" s="6"/>
      <c r="Q531" s="6">
        <f t="shared" si="109"/>
        <v>0</v>
      </c>
      <c r="R531" s="6">
        <f t="shared" si="109"/>
        <v>0</v>
      </c>
      <c r="S531" s="6">
        <f t="shared" si="109"/>
        <v>0</v>
      </c>
      <c r="T531" s="6">
        <f t="shared" si="109"/>
        <v>0</v>
      </c>
      <c r="U531" s="6">
        <f t="shared" si="109"/>
        <v>0</v>
      </c>
      <c r="V531" s="6">
        <f t="shared" si="109"/>
        <v>0</v>
      </c>
      <c r="W531" s="6">
        <f t="shared" si="109"/>
        <v>0</v>
      </c>
      <c r="X531" s="6">
        <f t="shared" si="107"/>
        <v>0</v>
      </c>
      <c r="Y531" s="7">
        <f>SUM(X532:X538)/I531</f>
        <v>148.85361012179573</v>
      </c>
      <c r="Z531" s="6"/>
      <c r="AA531" s="6"/>
      <c r="AB531" s="6"/>
      <c r="AC531" s="6"/>
      <c r="AD531" s="6"/>
      <c r="AE531" s="6"/>
      <c r="AF531" s="6"/>
    </row>
    <row r="532" spans="1:32" s="5" customFormat="1" ht="20.100000000000001" customHeight="1" x14ac:dyDescent="0.25">
      <c r="A532" s="7"/>
      <c r="B532" s="6" t="s">
        <v>140</v>
      </c>
      <c r="C532" s="9" t="s">
        <v>2</v>
      </c>
      <c r="D532" s="6">
        <v>16</v>
      </c>
      <c r="E532" s="6"/>
      <c r="F532" s="6">
        <v>2</v>
      </c>
      <c r="G532" s="8">
        <f>VLOOKUP(D532,$C$20:$F$26,3,0)</f>
        <v>0.8</v>
      </c>
      <c r="H532" s="8"/>
      <c r="I532" s="6"/>
      <c r="J532" s="6"/>
      <c r="K532" s="6"/>
      <c r="L532" s="6"/>
      <c r="M532" s="6"/>
      <c r="N532" s="6"/>
      <c r="O532" s="6">
        <f>(E531+2*(G532+(2*D532/1000)))*D531</f>
        <v>4.9130000000000003</v>
      </c>
      <c r="P532" s="6">
        <f>O532*F532</f>
        <v>9.8260000000000005</v>
      </c>
      <c r="Q532" s="6">
        <f t="shared" si="109"/>
        <v>0</v>
      </c>
      <c r="R532" s="6">
        <f t="shared" si="109"/>
        <v>0</v>
      </c>
      <c r="S532" s="6">
        <f t="shared" si="109"/>
        <v>0</v>
      </c>
      <c r="T532" s="6">
        <f t="shared" si="109"/>
        <v>15.514973257142859</v>
      </c>
      <c r="U532" s="6">
        <f t="shared" ref="Q532:W550" si="115">IF($D532=U$36,$P532*U$37,0)</f>
        <v>0</v>
      </c>
      <c r="V532" s="6">
        <f t="shared" si="115"/>
        <v>0</v>
      </c>
      <c r="W532" s="6">
        <f t="shared" si="115"/>
        <v>0</v>
      </c>
      <c r="X532" s="6">
        <f t="shared" si="107"/>
        <v>15.514973257142859</v>
      </c>
      <c r="Y532" s="6"/>
      <c r="Z532" s="6"/>
      <c r="AA532" s="6"/>
      <c r="AB532" s="6"/>
      <c r="AC532" s="6"/>
      <c r="AD532" s="6"/>
      <c r="AE532" s="6"/>
    </row>
    <row r="533" spans="1:32" s="5" customFormat="1" ht="20.100000000000001" customHeight="1" x14ac:dyDescent="0.25">
      <c r="A533" s="7"/>
      <c r="B533" s="6" t="s">
        <v>140</v>
      </c>
      <c r="C533" s="9" t="s">
        <v>14</v>
      </c>
      <c r="D533" s="6">
        <v>16</v>
      </c>
      <c r="E533" s="6"/>
      <c r="F533" s="6">
        <v>2</v>
      </c>
      <c r="G533" s="8">
        <f>VLOOKUP(D533,$C$20:$F$26,3,0)</f>
        <v>0.8</v>
      </c>
      <c r="H533" s="8"/>
      <c r="I533" s="6"/>
      <c r="J533" s="6"/>
      <c r="K533" s="6"/>
      <c r="L533" s="6"/>
      <c r="M533" s="6"/>
      <c r="N533" s="6"/>
      <c r="O533" s="6">
        <f>(0.925+2*(G533+(2*D533/1000)))*D531</f>
        <v>2.5890000000000004</v>
      </c>
      <c r="P533" s="6">
        <f>O533*F533</f>
        <v>5.1780000000000008</v>
      </c>
      <c r="Q533" s="6">
        <f t="shared" si="115"/>
        <v>0</v>
      </c>
      <c r="R533" s="6">
        <f t="shared" si="115"/>
        <v>0</v>
      </c>
      <c r="S533" s="6">
        <f t="shared" si="115"/>
        <v>0</v>
      </c>
      <c r="T533" s="6">
        <f t="shared" si="115"/>
        <v>8.1759140571428599</v>
      </c>
      <c r="U533" s="6">
        <f t="shared" si="115"/>
        <v>0</v>
      </c>
      <c r="V533" s="6">
        <f t="shared" si="115"/>
        <v>0</v>
      </c>
      <c r="W533" s="6">
        <f t="shared" si="115"/>
        <v>0</v>
      </c>
      <c r="X533" s="6">
        <f t="shared" si="107"/>
        <v>8.1759140571428599</v>
      </c>
      <c r="Y533" s="6"/>
      <c r="Z533" s="6"/>
      <c r="AA533" s="6"/>
      <c r="AB533" s="6"/>
      <c r="AC533" s="6"/>
      <c r="AD533" s="6"/>
      <c r="AE533" s="6"/>
    </row>
    <row r="534" spans="1:32" s="5" customFormat="1" ht="20.100000000000001" customHeight="1" x14ac:dyDescent="0.25">
      <c r="A534" s="7"/>
      <c r="B534" s="6" t="s">
        <v>140</v>
      </c>
      <c r="C534" s="9" t="s">
        <v>1</v>
      </c>
      <c r="D534" s="6">
        <v>16</v>
      </c>
      <c r="E534" s="6"/>
      <c r="F534" s="6">
        <v>2</v>
      </c>
      <c r="G534" s="8">
        <f>VLOOKUP(D534,$C$20:$F$26,3,0)</f>
        <v>0.8</v>
      </c>
      <c r="H534" s="6"/>
      <c r="I534" s="6"/>
      <c r="J534" s="6"/>
      <c r="K534" s="6"/>
      <c r="L534" s="6"/>
      <c r="M534" s="6"/>
      <c r="N534" s="6"/>
      <c r="O534" s="6">
        <f>(E531+2*(G534+(2*D534/1000)))*D531</f>
        <v>4.9130000000000003</v>
      </c>
      <c r="P534" s="6">
        <f>O534*F534</f>
        <v>9.8260000000000005</v>
      </c>
      <c r="Q534" s="6">
        <f t="shared" si="115"/>
        <v>0</v>
      </c>
      <c r="R534" s="6">
        <f t="shared" si="115"/>
        <v>0</v>
      </c>
      <c r="S534" s="6">
        <f t="shared" si="115"/>
        <v>0</v>
      </c>
      <c r="T534" s="6">
        <f t="shared" si="115"/>
        <v>15.514973257142859</v>
      </c>
      <c r="U534" s="6">
        <f t="shared" si="115"/>
        <v>0</v>
      </c>
      <c r="V534" s="6">
        <f t="shared" si="115"/>
        <v>0</v>
      </c>
      <c r="W534" s="6">
        <f t="shared" si="115"/>
        <v>0</v>
      </c>
      <c r="X534" s="6">
        <f t="shared" si="107"/>
        <v>15.514973257142859</v>
      </c>
      <c r="Y534" s="6"/>
      <c r="Z534" s="6"/>
      <c r="AA534" s="6"/>
      <c r="AB534" s="6"/>
      <c r="AC534" s="6"/>
      <c r="AD534" s="6"/>
      <c r="AE534" s="6"/>
    </row>
    <row r="535" spans="1:32" s="5" customFormat="1" ht="20.100000000000001" customHeight="1" x14ac:dyDescent="0.25">
      <c r="A535" s="7"/>
      <c r="B535" s="6" t="s">
        <v>140</v>
      </c>
      <c r="C535" s="9" t="s">
        <v>18</v>
      </c>
      <c r="D535" s="6">
        <v>12</v>
      </c>
      <c r="E535" s="6"/>
      <c r="F535" s="6">
        <v>2</v>
      </c>
      <c r="G535" s="8">
        <f>VLOOKUP(D535,$C$20:$F$26,3,0)</f>
        <v>0.6</v>
      </c>
      <c r="H535" s="6"/>
      <c r="I535" s="6"/>
      <c r="J535" s="6"/>
      <c r="K535" s="6"/>
      <c r="L535" s="6"/>
      <c r="M535" s="6"/>
      <c r="N535" s="6"/>
      <c r="O535" s="6">
        <f>+E531-0.35</f>
        <v>2.899</v>
      </c>
      <c r="P535" s="6">
        <f>O535*F535</f>
        <v>5.798</v>
      </c>
      <c r="Q535" s="6">
        <f t="shared" si="115"/>
        <v>0</v>
      </c>
      <c r="R535" s="6">
        <f t="shared" si="115"/>
        <v>0</v>
      </c>
      <c r="S535" s="6">
        <f t="shared" si="115"/>
        <v>5.1496179428571436</v>
      </c>
      <c r="T535" s="6">
        <f t="shared" si="115"/>
        <v>0</v>
      </c>
      <c r="U535" s="6">
        <f t="shared" si="115"/>
        <v>0</v>
      </c>
      <c r="V535" s="6">
        <f t="shared" si="115"/>
        <v>0</v>
      </c>
      <c r="W535" s="6">
        <f t="shared" si="115"/>
        <v>0</v>
      </c>
      <c r="X535" s="6">
        <f t="shared" si="107"/>
        <v>5.1496179428571436</v>
      </c>
      <c r="Y535" s="6"/>
      <c r="Z535" s="6"/>
      <c r="AA535" s="6"/>
      <c r="AB535" s="6"/>
      <c r="AC535" s="6"/>
      <c r="AD535" s="6"/>
      <c r="AE535" s="6"/>
    </row>
    <row r="536" spans="1:32" s="5" customFormat="1" ht="20.100000000000001" customHeight="1" x14ac:dyDescent="0.25">
      <c r="A536" s="7"/>
      <c r="B536" s="6" t="s">
        <v>140</v>
      </c>
      <c r="C536" s="9" t="s">
        <v>0</v>
      </c>
      <c r="D536" s="6">
        <v>8</v>
      </c>
      <c r="E536" s="6">
        <v>0.15</v>
      </c>
      <c r="F536" s="6">
        <f>ROUND(IF(E531/3&gt;(2*G531),(E531/3)/E536,(2*G531)/E536),0)*2+1</f>
        <v>17</v>
      </c>
      <c r="G536" s="8"/>
      <c r="H536" s="6"/>
      <c r="I536" s="6"/>
      <c r="J536" s="6"/>
      <c r="K536" s="6"/>
      <c r="L536" s="6"/>
      <c r="M536" s="6"/>
      <c r="N536" s="6"/>
      <c r="O536" s="6">
        <f>(2*((G531-(2*$D$11))+(F531-(2*$D$11)))+(2*10*D536/1000))*D531</f>
        <v>1.52</v>
      </c>
      <c r="P536" s="6">
        <f t="shared" ref="P536" si="116">O536*F536</f>
        <v>25.84</v>
      </c>
      <c r="Q536" s="6">
        <f t="shared" si="115"/>
        <v>10.20015542857143</v>
      </c>
      <c r="R536" s="6">
        <f t="shared" si="115"/>
        <v>0</v>
      </c>
      <c r="S536" s="6">
        <f t="shared" si="115"/>
        <v>0</v>
      </c>
      <c r="T536" s="6">
        <f t="shared" si="115"/>
        <v>0</v>
      </c>
      <c r="U536" s="6">
        <f t="shared" si="115"/>
        <v>0</v>
      </c>
      <c r="V536" s="6">
        <f t="shared" si="115"/>
        <v>0</v>
      </c>
      <c r="W536" s="6">
        <f t="shared" si="115"/>
        <v>0</v>
      </c>
      <c r="X536" s="6">
        <f t="shared" si="107"/>
        <v>10.20015542857143</v>
      </c>
      <c r="Y536" s="6"/>
      <c r="Z536" s="6"/>
      <c r="AA536" s="6"/>
      <c r="AB536" s="6"/>
      <c r="AC536" s="6"/>
      <c r="AD536" s="6"/>
      <c r="AE536" s="6"/>
    </row>
    <row r="537" spans="1:32" s="12" customFormat="1" ht="20.100000000000001" customHeight="1" x14ac:dyDescent="0.3">
      <c r="B537" s="6" t="s">
        <v>140</v>
      </c>
      <c r="C537" s="9" t="s">
        <v>0</v>
      </c>
      <c r="D537" s="12">
        <v>8</v>
      </c>
      <c r="E537" s="12">
        <v>0.2</v>
      </c>
      <c r="F537" s="12">
        <f>ROUND((E531-(IF(E531/3&gt;2*G531,E531/3*2,G531*2*2)))/E537,0)</f>
        <v>4</v>
      </c>
      <c r="O537" s="6">
        <f>(2*((G531-(2*$D$11))+(F531-(2*$D$11)))+(2*10*D537/1000))*D531</f>
        <v>1.52</v>
      </c>
      <c r="P537" s="6">
        <f>O537*F537</f>
        <v>6.08</v>
      </c>
      <c r="Q537" s="6">
        <f t="shared" si="115"/>
        <v>2.4000365714285716</v>
      </c>
      <c r="R537" s="6">
        <f t="shared" si="115"/>
        <v>0</v>
      </c>
      <c r="S537" s="6">
        <f t="shared" si="115"/>
        <v>0</v>
      </c>
      <c r="T537" s="6">
        <f t="shared" si="115"/>
        <v>0</v>
      </c>
      <c r="U537" s="6">
        <f t="shared" si="115"/>
        <v>0</v>
      </c>
      <c r="V537" s="6">
        <f t="shared" si="115"/>
        <v>0</v>
      </c>
      <c r="W537" s="6">
        <f t="shared" si="115"/>
        <v>0</v>
      </c>
      <c r="X537" s="6">
        <f t="shared" si="107"/>
        <v>2.4000365714285716</v>
      </c>
    </row>
    <row r="538" spans="1:32" s="5" customFormat="1" ht="20.100000000000001" customHeight="1" x14ac:dyDescent="0.25">
      <c r="A538" s="7"/>
      <c r="B538" s="6" t="s">
        <v>140</v>
      </c>
      <c r="C538" s="9" t="s">
        <v>17</v>
      </c>
      <c r="D538" s="6">
        <f>+$D$15</f>
        <v>25</v>
      </c>
      <c r="E538" s="6">
        <f>+$E$15</f>
        <v>1</v>
      </c>
      <c r="F538" s="6">
        <f>ROUNDUP((0.925)/E538,0)+1</f>
        <v>2</v>
      </c>
      <c r="G538" s="8"/>
      <c r="H538" s="8"/>
      <c r="I538" s="6"/>
      <c r="J538" s="6"/>
      <c r="K538" s="6"/>
      <c r="L538" s="6"/>
      <c r="M538" s="6"/>
      <c r="N538" s="6"/>
      <c r="O538" s="6">
        <f>+F531-(2*$D$11)</f>
        <v>0.14000000000000001</v>
      </c>
      <c r="P538" s="6">
        <f t="shared" ref="P538" si="117">O538*F538</f>
        <v>0.28000000000000003</v>
      </c>
      <c r="Q538" s="6">
        <f t="shared" si="115"/>
        <v>0</v>
      </c>
      <c r="R538" s="6">
        <f t="shared" si="115"/>
        <v>0</v>
      </c>
      <c r="S538" s="6">
        <f t="shared" si="115"/>
        <v>0</v>
      </c>
      <c r="T538" s="6">
        <f t="shared" si="115"/>
        <v>0</v>
      </c>
      <c r="U538" s="6">
        <f t="shared" si="115"/>
        <v>0</v>
      </c>
      <c r="V538" s="6">
        <f t="shared" si="115"/>
        <v>1.0793750000000002</v>
      </c>
      <c r="W538" s="6">
        <f t="shared" si="115"/>
        <v>0</v>
      </c>
      <c r="X538" s="6">
        <f t="shared" si="107"/>
        <v>1.0793750000000002</v>
      </c>
      <c r="Y538" s="6"/>
      <c r="Z538" s="6"/>
      <c r="AA538" s="6"/>
      <c r="AB538" s="6"/>
      <c r="AC538" s="6"/>
      <c r="AD538" s="6"/>
      <c r="AE538" s="6"/>
    </row>
    <row r="539" spans="1:32" s="5" customFormat="1" ht="21" customHeight="1" x14ac:dyDescent="0.25">
      <c r="A539" s="6">
        <f>+A531+1</f>
        <v>69</v>
      </c>
      <c r="B539" s="6" t="s">
        <v>140</v>
      </c>
      <c r="C539" s="11" t="s">
        <v>136</v>
      </c>
      <c r="D539" s="11">
        <v>2</v>
      </c>
      <c r="E539" s="11">
        <v>0.249</v>
      </c>
      <c r="F539" s="11">
        <v>0.15</v>
      </c>
      <c r="G539" s="11">
        <v>0.6</v>
      </c>
      <c r="H539" s="6">
        <f>G539-0.2</f>
        <v>0.39999999999999997</v>
      </c>
      <c r="I539" s="6">
        <f>E539*F539*G539*D539</f>
        <v>4.4819999999999999E-2</v>
      </c>
      <c r="J539" s="6">
        <f>(2*(E539)*H539*D539)+(E539*F539)</f>
        <v>0.43574999999999997</v>
      </c>
      <c r="K539" s="10">
        <f>IF(E539=0.3,J539,0)</f>
        <v>0</v>
      </c>
      <c r="L539" s="10">
        <f>IF(AND(E539&gt;0.3,E539&lt;=0.75),J539,0)</f>
        <v>0</v>
      </c>
      <c r="M539" s="10">
        <f>IF(AND(E539&gt;0.75,E539&lt;=1.2),J539,0)</f>
        <v>0</v>
      </c>
      <c r="N539" s="10">
        <f>IF(E539&gt;1.2,J539,0)</f>
        <v>0</v>
      </c>
      <c r="O539" s="6"/>
      <c r="P539" s="6"/>
      <c r="Q539" s="6">
        <f t="shared" si="115"/>
        <v>0</v>
      </c>
      <c r="R539" s="6">
        <f t="shared" si="115"/>
        <v>0</v>
      </c>
      <c r="S539" s="6">
        <f t="shared" si="115"/>
        <v>0</v>
      </c>
      <c r="T539" s="6">
        <f t="shared" si="115"/>
        <v>0</v>
      </c>
      <c r="U539" s="6">
        <f t="shared" si="115"/>
        <v>0</v>
      </c>
      <c r="V539" s="6">
        <f t="shared" si="115"/>
        <v>0</v>
      </c>
      <c r="W539" s="6">
        <f t="shared" si="115"/>
        <v>0</v>
      </c>
      <c r="X539" s="6">
        <f t="shared" si="107"/>
        <v>0</v>
      </c>
      <c r="Y539" s="7">
        <f>SUM(X540:X542)/I539</f>
        <v>312.35944157582713</v>
      </c>
      <c r="Z539" s="6"/>
      <c r="AA539" s="6"/>
      <c r="AB539" s="6"/>
      <c r="AC539" s="6"/>
      <c r="AD539" s="6"/>
      <c r="AE539" s="6"/>
      <c r="AF539" s="6"/>
    </row>
    <row r="540" spans="1:32" s="5" customFormat="1" ht="20.100000000000001" customHeight="1" x14ac:dyDescent="0.25">
      <c r="A540" s="7"/>
      <c r="B540" s="6" t="s">
        <v>140</v>
      </c>
      <c r="C540" s="9" t="s">
        <v>2</v>
      </c>
      <c r="D540" s="6">
        <v>12</v>
      </c>
      <c r="E540" s="6"/>
      <c r="F540" s="6">
        <v>2</v>
      </c>
      <c r="G540" s="8">
        <f>VLOOKUP(D540,$C$20:$F$26,3,0)</f>
        <v>0.6</v>
      </c>
      <c r="H540" s="8"/>
      <c r="I540" s="6"/>
      <c r="J540" s="6"/>
      <c r="K540" s="6"/>
      <c r="L540" s="6"/>
      <c r="M540" s="6"/>
      <c r="N540" s="6"/>
      <c r="O540" s="6">
        <f>(E539+2*(G540+(2*D540/1000)))*D539</f>
        <v>2.9939999999999998</v>
      </c>
      <c r="P540" s="6">
        <f>O540*F540</f>
        <v>5.9879999999999995</v>
      </c>
      <c r="Q540" s="6">
        <f t="shared" si="115"/>
        <v>0</v>
      </c>
      <c r="R540" s="6">
        <f t="shared" si="115"/>
        <v>0</v>
      </c>
      <c r="S540" s="6">
        <f t="shared" si="115"/>
        <v>5.3183705142857152</v>
      </c>
      <c r="T540" s="6">
        <f t="shared" si="115"/>
        <v>0</v>
      </c>
      <c r="U540" s="6">
        <f t="shared" si="115"/>
        <v>0</v>
      </c>
      <c r="V540" s="6">
        <f t="shared" si="115"/>
        <v>0</v>
      </c>
      <c r="W540" s="6">
        <f t="shared" si="115"/>
        <v>0</v>
      </c>
      <c r="X540" s="6">
        <f t="shared" si="107"/>
        <v>5.3183705142857152</v>
      </c>
      <c r="Y540" s="6"/>
      <c r="Z540" s="6"/>
      <c r="AA540" s="6"/>
      <c r="AB540" s="6"/>
      <c r="AC540" s="6"/>
      <c r="AD540" s="6"/>
      <c r="AE540" s="6"/>
    </row>
    <row r="541" spans="1:32" s="5" customFormat="1" ht="20.100000000000001" customHeight="1" x14ac:dyDescent="0.25">
      <c r="A541" s="7"/>
      <c r="B541" s="6" t="s">
        <v>140</v>
      </c>
      <c r="C541" s="9" t="s">
        <v>1</v>
      </c>
      <c r="D541" s="6">
        <v>12</v>
      </c>
      <c r="E541" s="6"/>
      <c r="F541" s="6">
        <v>2</v>
      </c>
      <c r="G541" s="8">
        <f>VLOOKUP(D541,$C$20:$F$26,3,0)</f>
        <v>0.6</v>
      </c>
      <c r="H541" s="6"/>
      <c r="I541" s="6"/>
      <c r="J541" s="6"/>
      <c r="K541" s="6"/>
      <c r="L541" s="6"/>
      <c r="M541" s="6"/>
      <c r="N541" s="6"/>
      <c r="O541" s="6">
        <f>(E539+2*(G541+(2*D541/1000)))*D539</f>
        <v>2.9939999999999998</v>
      </c>
      <c r="P541" s="6">
        <f>O541*F541</f>
        <v>5.9879999999999995</v>
      </c>
      <c r="Q541" s="6">
        <f t="shared" si="115"/>
        <v>0</v>
      </c>
      <c r="R541" s="6">
        <f t="shared" si="115"/>
        <v>0</v>
      </c>
      <c r="S541" s="6">
        <f t="shared" si="115"/>
        <v>5.3183705142857152</v>
      </c>
      <c r="T541" s="6">
        <f t="shared" si="115"/>
        <v>0</v>
      </c>
      <c r="U541" s="6">
        <f t="shared" si="115"/>
        <v>0</v>
      </c>
      <c r="V541" s="6">
        <f t="shared" si="115"/>
        <v>0</v>
      </c>
      <c r="W541" s="6">
        <f t="shared" si="115"/>
        <v>0</v>
      </c>
      <c r="X541" s="6">
        <f t="shared" si="107"/>
        <v>5.3183705142857152</v>
      </c>
      <c r="Y541" s="6"/>
      <c r="Z541" s="6"/>
      <c r="AA541" s="6"/>
      <c r="AB541" s="6"/>
      <c r="AC541" s="6"/>
      <c r="AD541" s="6"/>
      <c r="AE541" s="6"/>
    </row>
    <row r="542" spans="1:32" s="5" customFormat="1" ht="20.100000000000001" customHeight="1" x14ac:dyDescent="0.25">
      <c r="A542" s="7"/>
      <c r="B542" s="6" t="s">
        <v>140</v>
      </c>
      <c r="C542" s="4" t="s">
        <v>0</v>
      </c>
      <c r="D542" s="6">
        <v>8</v>
      </c>
      <c r="E542" s="6">
        <v>0.15</v>
      </c>
      <c r="F542" s="6">
        <f>+ROUND(E539/E542,0)+1</f>
        <v>3</v>
      </c>
      <c r="H542" s="6"/>
      <c r="I542" s="6"/>
      <c r="J542" s="6"/>
      <c r="K542" s="6"/>
      <c r="L542" s="6"/>
      <c r="M542" s="6"/>
      <c r="N542" s="6"/>
      <c r="O542" s="6">
        <f>(2*((G539-(2*$D$11))+(F539-(2*$D$11)))+((2*10)*D542/1000))*D539</f>
        <v>2.84</v>
      </c>
      <c r="P542" s="6">
        <f>O542*F542</f>
        <v>8.52</v>
      </c>
      <c r="Q542" s="6">
        <f t="shared" si="115"/>
        <v>3.3632091428571429</v>
      </c>
      <c r="R542" s="6">
        <f t="shared" si="115"/>
        <v>0</v>
      </c>
      <c r="S542" s="6">
        <f t="shared" si="115"/>
        <v>0</v>
      </c>
      <c r="T542" s="6">
        <f t="shared" si="115"/>
        <v>0</v>
      </c>
      <c r="U542" s="6">
        <f t="shared" si="115"/>
        <v>0</v>
      </c>
      <c r="V542" s="6">
        <f t="shared" si="115"/>
        <v>0</v>
      </c>
      <c r="W542" s="6">
        <f t="shared" si="115"/>
        <v>0</v>
      </c>
      <c r="X542" s="6">
        <f t="shared" si="107"/>
        <v>3.3632091428571429</v>
      </c>
      <c r="Y542" s="6"/>
      <c r="Z542" s="6"/>
      <c r="AA542" s="6"/>
      <c r="AB542" s="6"/>
      <c r="AC542" s="6"/>
      <c r="AD542" s="6"/>
      <c r="AE542" s="6"/>
    </row>
    <row r="543" spans="1:32" s="5" customFormat="1" ht="21" customHeight="1" x14ac:dyDescent="0.25">
      <c r="A543" s="6">
        <f>+A539+1</f>
        <v>70</v>
      </c>
      <c r="B543" s="6" t="s">
        <v>140</v>
      </c>
      <c r="C543" s="11" t="s">
        <v>136</v>
      </c>
      <c r="D543" s="11">
        <v>2</v>
      </c>
      <c r="E543" s="11">
        <v>0.33600000000000002</v>
      </c>
      <c r="F543" s="11">
        <v>0.15</v>
      </c>
      <c r="G543" s="11">
        <v>0.6</v>
      </c>
      <c r="H543" s="6">
        <f>G543-0.2</f>
        <v>0.39999999999999997</v>
      </c>
      <c r="I543" s="6">
        <f>E543*F543*G543*D543</f>
        <v>6.0479999999999999E-2</v>
      </c>
      <c r="J543" s="6">
        <f>(2*(E543)*H543*D543)+(E543*F543)</f>
        <v>0.58799999999999997</v>
      </c>
      <c r="K543" s="10">
        <f>IF(E543=0.3,J543,0)</f>
        <v>0</v>
      </c>
      <c r="L543" s="10">
        <f>IF(AND(E543&gt;0.3,E543&lt;=0.75),J543,0)</f>
        <v>0.58799999999999997</v>
      </c>
      <c r="M543" s="10">
        <f>IF(AND(E543&gt;0.75,E543&lt;=1.2),J543,0)</f>
        <v>0</v>
      </c>
      <c r="N543" s="10">
        <f>IF(E543&gt;1.2,J543,0)</f>
        <v>0</v>
      </c>
      <c r="O543" s="6"/>
      <c r="P543" s="6"/>
      <c r="Q543" s="6">
        <f t="shared" si="115"/>
        <v>0</v>
      </c>
      <c r="R543" s="6">
        <f t="shared" si="115"/>
        <v>0</v>
      </c>
      <c r="S543" s="6">
        <f t="shared" si="115"/>
        <v>0</v>
      </c>
      <c r="T543" s="6">
        <f t="shared" si="115"/>
        <v>0</v>
      </c>
      <c r="U543" s="6">
        <f t="shared" si="115"/>
        <v>0</v>
      </c>
      <c r="V543" s="6">
        <f t="shared" si="115"/>
        <v>0</v>
      </c>
      <c r="W543" s="6">
        <f t="shared" si="115"/>
        <v>0</v>
      </c>
      <c r="X543" s="6">
        <f t="shared" si="107"/>
        <v>0</v>
      </c>
      <c r="Y543" s="7">
        <f>SUM(X544:X546)/I543</f>
        <v>241.70167800453518</v>
      </c>
      <c r="Z543" s="6"/>
      <c r="AA543" s="6"/>
      <c r="AB543" s="6"/>
      <c r="AC543" s="6"/>
      <c r="AD543" s="6"/>
      <c r="AE543" s="6"/>
      <c r="AF543" s="6"/>
    </row>
    <row r="544" spans="1:32" s="5" customFormat="1" ht="20.100000000000001" customHeight="1" x14ac:dyDescent="0.25">
      <c r="A544" s="7"/>
      <c r="B544" s="6" t="s">
        <v>140</v>
      </c>
      <c r="C544" s="9" t="s">
        <v>2</v>
      </c>
      <c r="D544" s="6">
        <v>12</v>
      </c>
      <c r="E544" s="6"/>
      <c r="F544" s="6">
        <v>2</v>
      </c>
      <c r="G544" s="8">
        <f>VLOOKUP(D544,$C$20:$F$26,3,0)</f>
        <v>0.6</v>
      </c>
      <c r="H544" s="8"/>
      <c r="I544" s="6"/>
      <c r="J544" s="6"/>
      <c r="K544" s="6"/>
      <c r="L544" s="6"/>
      <c r="M544" s="6"/>
      <c r="N544" s="6"/>
      <c r="O544" s="6">
        <f>(E543+2*(G544+(2*D544/1000)))*D543</f>
        <v>3.1680000000000001</v>
      </c>
      <c r="P544" s="6">
        <f>O544*F544</f>
        <v>6.3360000000000003</v>
      </c>
      <c r="Q544" s="6">
        <f t="shared" si="115"/>
        <v>0</v>
      </c>
      <c r="R544" s="6">
        <f t="shared" si="115"/>
        <v>0</v>
      </c>
      <c r="S544" s="6">
        <f t="shared" si="115"/>
        <v>5.6274541714285728</v>
      </c>
      <c r="T544" s="6">
        <f t="shared" si="115"/>
        <v>0</v>
      </c>
      <c r="U544" s="6">
        <f t="shared" si="115"/>
        <v>0</v>
      </c>
      <c r="V544" s="6">
        <f t="shared" si="115"/>
        <v>0</v>
      </c>
      <c r="W544" s="6">
        <f t="shared" si="115"/>
        <v>0</v>
      </c>
      <c r="X544" s="6">
        <f t="shared" si="107"/>
        <v>5.6274541714285728</v>
      </c>
      <c r="Y544" s="6"/>
      <c r="Z544" s="6"/>
      <c r="AA544" s="6"/>
      <c r="AB544" s="6"/>
      <c r="AC544" s="6"/>
      <c r="AD544" s="6"/>
      <c r="AE544" s="6"/>
    </row>
    <row r="545" spans="1:32" s="5" customFormat="1" ht="20.100000000000001" customHeight="1" x14ac:dyDescent="0.25">
      <c r="A545" s="7"/>
      <c r="B545" s="6" t="s">
        <v>140</v>
      </c>
      <c r="C545" s="9" t="s">
        <v>1</v>
      </c>
      <c r="D545" s="6">
        <v>12</v>
      </c>
      <c r="E545" s="6"/>
      <c r="F545" s="6">
        <v>2</v>
      </c>
      <c r="G545" s="8">
        <f>VLOOKUP(D545,$C$20:$F$26,3,0)</f>
        <v>0.6</v>
      </c>
      <c r="H545" s="6"/>
      <c r="I545" s="6"/>
      <c r="J545" s="6"/>
      <c r="K545" s="6"/>
      <c r="L545" s="6"/>
      <c r="M545" s="6"/>
      <c r="N545" s="6"/>
      <c r="O545" s="6">
        <f>(E543+2*(G545+(2*D545/1000)))*D543</f>
        <v>3.1680000000000001</v>
      </c>
      <c r="P545" s="6">
        <f>O545*F545</f>
        <v>6.3360000000000003</v>
      </c>
      <c r="Q545" s="6">
        <f t="shared" si="115"/>
        <v>0</v>
      </c>
      <c r="R545" s="6">
        <f t="shared" si="115"/>
        <v>0</v>
      </c>
      <c r="S545" s="6">
        <f t="shared" si="115"/>
        <v>5.6274541714285728</v>
      </c>
      <c r="T545" s="6">
        <f t="shared" si="115"/>
        <v>0</v>
      </c>
      <c r="U545" s="6">
        <f t="shared" si="115"/>
        <v>0</v>
      </c>
      <c r="V545" s="6">
        <f t="shared" si="115"/>
        <v>0</v>
      </c>
      <c r="W545" s="6">
        <f t="shared" si="115"/>
        <v>0</v>
      </c>
      <c r="X545" s="6">
        <f t="shared" si="107"/>
        <v>5.6274541714285728</v>
      </c>
      <c r="Y545" s="6"/>
      <c r="Z545" s="6"/>
      <c r="AA545" s="6"/>
      <c r="AB545" s="6"/>
      <c r="AC545" s="6"/>
      <c r="AD545" s="6"/>
      <c r="AE545" s="6"/>
    </row>
    <row r="546" spans="1:32" s="5" customFormat="1" ht="20.100000000000001" customHeight="1" x14ac:dyDescent="0.25">
      <c r="A546" s="7"/>
      <c r="B546" s="6" t="s">
        <v>140</v>
      </c>
      <c r="C546" s="4" t="s">
        <v>0</v>
      </c>
      <c r="D546" s="6">
        <v>8</v>
      </c>
      <c r="E546" s="6">
        <v>0.15</v>
      </c>
      <c r="F546" s="6">
        <f>+ROUND(E543/E546,0)+1</f>
        <v>3</v>
      </c>
      <c r="H546" s="6"/>
      <c r="I546" s="6"/>
      <c r="J546" s="6"/>
      <c r="K546" s="6"/>
      <c r="L546" s="6"/>
      <c r="M546" s="6"/>
      <c r="N546" s="6"/>
      <c r="O546" s="6">
        <f>(2*((G543-(2*$D$11))+(F543-(2*$D$11)))+((2*10)*D546/1000))*D543</f>
        <v>2.84</v>
      </c>
      <c r="P546" s="6">
        <f>O546*F546</f>
        <v>8.52</v>
      </c>
      <c r="Q546" s="6">
        <f t="shared" si="115"/>
        <v>3.3632091428571429</v>
      </c>
      <c r="R546" s="6">
        <f t="shared" si="115"/>
        <v>0</v>
      </c>
      <c r="S546" s="6">
        <f t="shared" si="115"/>
        <v>0</v>
      </c>
      <c r="T546" s="6">
        <f t="shared" si="115"/>
        <v>0</v>
      </c>
      <c r="U546" s="6">
        <f t="shared" si="115"/>
        <v>0</v>
      </c>
      <c r="V546" s="6">
        <f t="shared" si="115"/>
        <v>0</v>
      </c>
      <c r="W546" s="6">
        <f t="shared" si="115"/>
        <v>0</v>
      </c>
      <c r="X546" s="6">
        <f t="shared" si="107"/>
        <v>3.3632091428571429</v>
      </c>
      <c r="Y546" s="6"/>
      <c r="Z546" s="6"/>
      <c r="AA546" s="6"/>
      <c r="AB546" s="6"/>
      <c r="AC546" s="6"/>
      <c r="AD546" s="6"/>
      <c r="AE546" s="6"/>
    </row>
    <row r="547" spans="1:32" s="5" customFormat="1" ht="21" customHeight="1" x14ac:dyDescent="0.25">
      <c r="A547" s="6">
        <f>+A543+1</f>
        <v>71</v>
      </c>
      <c r="B547" s="6" t="s">
        <v>140</v>
      </c>
      <c r="C547" s="11" t="s">
        <v>137</v>
      </c>
      <c r="D547" s="11">
        <v>2</v>
      </c>
      <c r="E547" s="11">
        <v>0.254</v>
      </c>
      <c r="F547" s="11">
        <v>0.15</v>
      </c>
      <c r="G547" s="11">
        <v>0.6</v>
      </c>
      <c r="H547" s="6">
        <f>G547-0.2</f>
        <v>0.39999999999999997</v>
      </c>
      <c r="I547" s="6">
        <f>E547*F547*G547*D547</f>
        <v>4.5720000000000004E-2</v>
      </c>
      <c r="J547" s="6">
        <f>(2*(E547)*H547*D547)+(E547*F547)</f>
        <v>0.44450000000000001</v>
      </c>
      <c r="K547" s="10">
        <f>IF(E547=0.3,J547,0)</f>
        <v>0</v>
      </c>
      <c r="L547" s="10">
        <f>IF(AND(E547&gt;0.3,E547&lt;=0.75),J547,0)</f>
        <v>0</v>
      </c>
      <c r="M547" s="10">
        <f>IF(AND(E547&gt;0.75,E547&lt;=1.2),J547,0)</f>
        <v>0</v>
      </c>
      <c r="N547" s="10">
        <f>IF(E547&gt;1.2,J547,0)</f>
        <v>0</v>
      </c>
      <c r="O547" s="6"/>
      <c r="P547" s="6"/>
      <c r="Q547" s="6">
        <f t="shared" si="115"/>
        <v>0</v>
      </c>
      <c r="R547" s="6">
        <f t="shared" si="115"/>
        <v>0</v>
      </c>
      <c r="S547" s="6">
        <f t="shared" si="115"/>
        <v>0</v>
      </c>
      <c r="T547" s="6">
        <f t="shared" si="115"/>
        <v>0</v>
      </c>
      <c r="U547" s="6">
        <f t="shared" si="115"/>
        <v>0</v>
      </c>
      <c r="V547" s="6">
        <f t="shared" si="115"/>
        <v>0</v>
      </c>
      <c r="W547" s="6">
        <f t="shared" si="115"/>
        <v>0</v>
      </c>
      <c r="X547" s="6">
        <f t="shared" si="107"/>
        <v>0</v>
      </c>
      <c r="Y547" s="7">
        <f>SUM(X548:X550)/I547</f>
        <v>306.98768653918262</v>
      </c>
      <c r="Z547" s="6"/>
      <c r="AA547" s="6"/>
      <c r="AB547" s="6"/>
      <c r="AC547" s="6"/>
      <c r="AD547" s="6"/>
      <c r="AE547" s="6"/>
      <c r="AF547" s="6"/>
    </row>
    <row r="548" spans="1:32" s="5" customFormat="1" ht="20.100000000000001" customHeight="1" x14ac:dyDescent="0.25">
      <c r="A548" s="7"/>
      <c r="B548" s="6" t="s">
        <v>140</v>
      </c>
      <c r="C548" s="9" t="s">
        <v>2</v>
      </c>
      <c r="D548" s="6">
        <v>12</v>
      </c>
      <c r="E548" s="6"/>
      <c r="F548" s="6">
        <v>2</v>
      </c>
      <c r="G548" s="8">
        <f>VLOOKUP(D548,$C$20:$F$26,3,0)</f>
        <v>0.6</v>
      </c>
      <c r="H548" s="8"/>
      <c r="I548" s="6"/>
      <c r="J548" s="6"/>
      <c r="K548" s="6"/>
      <c r="L548" s="6"/>
      <c r="M548" s="6"/>
      <c r="N548" s="6"/>
      <c r="O548" s="6">
        <f>(E547+2*(G548+(2*D548/1000)))*D547</f>
        <v>3.004</v>
      </c>
      <c r="P548" s="6">
        <f>O548*F548</f>
        <v>6.008</v>
      </c>
      <c r="Q548" s="6">
        <f t="shared" si="115"/>
        <v>0</v>
      </c>
      <c r="R548" s="6">
        <f t="shared" si="115"/>
        <v>0</v>
      </c>
      <c r="S548" s="6">
        <f t="shared" si="115"/>
        <v>5.3361339428571437</v>
      </c>
      <c r="T548" s="6">
        <f t="shared" si="115"/>
        <v>0</v>
      </c>
      <c r="U548" s="6">
        <f t="shared" si="115"/>
        <v>0</v>
      </c>
      <c r="V548" s="6">
        <f t="shared" si="115"/>
        <v>0</v>
      </c>
      <c r="W548" s="6">
        <f t="shared" si="115"/>
        <v>0</v>
      </c>
      <c r="X548" s="6">
        <f t="shared" si="107"/>
        <v>5.3361339428571437</v>
      </c>
      <c r="Y548" s="6"/>
      <c r="Z548" s="6"/>
      <c r="AA548" s="6"/>
      <c r="AB548" s="6"/>
      <c r="AC548" s="6"/>
      <c r="AD548" s="6"/>
      <c r="AE548" s="6"/>
    </row>
    <row r="549" spans="1:32" s="5" customFormat="1" ht="20.100000000000001" customHeight="1" x14ac:dyDescent="0.25">
      <c r="A549" s="7"/>
      <c r="B549" s="6" t="s">
        <v>140</v>
      </c>
      <c r="C549" s="9" t="s">
        <v>1</v>
      </c>
      <c r="D549" s="6">
        <v>12</v>
      </c>
      <c r="E549" s="6"/>
      <c r="F549" s="6">
        <v>2</v>
      </c>
      <c r="G549" s="8">
        <f>VLOOKUP(D549,$C$20:$F$26,3,0)</f>
        <v>0.6</v>
      </c>
      <c r="H549" s="6"/>
      <c r="I549" s="6"/>
      <c r="J549" s="6"/>
      <c r="K549" s="6"/>
      <c r="L549" s="6"/>
      <c r="M549" s="6"/>
      <c r="N549" s="6"/>
      <c r="O549" s="6">
        <f>(E547+2*(G549+(2*D549/1000)))*D547</f>
        <v>3.004</v>
      </c>
      <c r="P549" s="6">
        <f>O549*F549</f>
        <v>6.008</v>
      </c>
      <c r="Q549" s="6">
        <f t="shared" si="115"/>
        <v>0</v>
      </c>
      <c r="R549" s="6">
        <f t="shared" si="115"/>
        <v>0</v>
      </c>
      <c r="S549" s="6">
        <f t="shared" si="115"/>
        <v>5.3361339428571437</v>
      </c>
      <c r="T549" s="6">
        <f t="shared" si="115"/>
        <v>0</v>
      </c>
      <c r="U549" s="6">
        <f t="shared" si="115"/>
        <v>0</v>
      </c>
      <c r="V549" s="6">
        <f t="shared" si="115"/>
        <v>0</v>
      </c>
      <c r="W549" s="6">
        <f t="shared" si="115"/>
        <v>0</v>
      </c>
      <c r="X549" s="6">
        <f t="shared" si="107"/>
        <v>5.3361339428571437</v>
      </c>
      <c r="Y549" s="6"/>
      <c r="Z549" s="6"/>
      <c r="AA549" s="6"/>
      <c r="AB549" s="6"/>
      <c r="AC549" s="6"/>
      <c r="AD549" s="6"/>
      <c r="AE549" s="6"/>
    </row>
    <row r="550" spans="1:32" s="5" customFormat="1" ht="20.100000000000001" customHeight="1" x14ac:dyDescent="0.25">
      <c r="A550" s="7"/>
      <c r="B550" s="6" t="s">
        <v>140</v>
      </c>
      <c r="C550" s="4" t="s">
        <v>0</v>
      </c>
      <c r="D550" s="6">
        <v>8</v>
      </c>
      <c r="E550" s="6">
        <v>0.15</v>
      </c>
      <c r="F550" s="6">
        <f>+ROUND(E547/E550,0)+1</f>
        <v>3</v>
      </c>
      <c r="H550" s="6"/>
      <c r="I550" s="6"/>
      <c r="J550" s="6"/>
      <c r="K550" s="6"/>
      <c r="L550" s="6"/>
      <c r="M550" s="6"/>
      <c r="N550" s="6"/>
      <c r="O550" s="6">
        <f>(2*((G547-(2*$D$11))+(F547-(2*$D$11)))+((2*10)*D550/1000))*D547</f>
        <v>2.84</v>
      </c>
      <c r="P550" s="6">
        <f>O550*F550</f>
        <v>8.52</v>
      </c>
      <c r="Q550" s="6">
        <f t="shared" si="115"/>
        <v>3.3632091428571429</v>
      </c>
      <c r="R550" s="6">
        <f t="shared" si="115"/>
        <v>0</v>
      </c>
      <c r="S550" s="6">
        <f t="shared" si="115"/>
        <v>0</v>
      </c>
      <c r="T550" s="6">
        <f t="shared" si="115"/>
        <v>0</v>
      </c>
      <c r="U550" s="6">
        <f t="shared" si="115"/>
        <v>0</v>
      </c>
      <c r="V550" s="6">
        <f t="shared" si="115"/>
        <v>0</v>
      </c>
      <c r="W550" s="6">
        <f t="shared" si="115"/>
        <v>0</v>
      </c>
      <c r="X550" s="6">
        <f t="shared" si="107"/>
        <v>3.3632091428571429</v>
      </c>
      <c r="Y550" s="6"/>
      <c r="Z550" s="6"/>
      <c r="AA550" s="6"/>
      <c r="AB550" s="6"/>
      <c r="AC550" s="6"/>
      <c r="AD550" s="6"/>
      <c r="AE550" s="6"/>
    </row>
    <row r="551" spans="1:32" s="98" customFormat="1" ht="19.5" customHeight="1" x14ac:dyDescent="0.25">
      <c r="A551" s="94"/>
      <c r="B551" s="95"/>
      <c r="C551" s="96"/>
      <c r="D551" s="95"/>
      <c r="E551" s="95"/>
      <c r="F551" s="95"/>
      <c r="G551" s="97"/>
      <c r="H551" s="97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4">
        <f>SUM(X43:X550)</f>
        <v>16046.149521364283</v>
      </c>
      <c r="Y551" s="95"/>
      <c r="Z551" s="95"/>
      <c r="AA551" s="95"/>
      <c r="AB551" s="95"/>
      <c r="AC551" s="95"/>
      <c r="AD551" s="95"/>
      <c r="AE551" s="95"/>
    </row>
    <row r="552" spans="1:32" ht="20.100000000000001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99"/>
      <c r="L552" s="99"/>
      <c r="M552" s="99"/>
      <c r="N552" s="99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20.100000000000001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99"/>
      <c r="L553" s="99"/>
      <c r="M553" s="99"/>
      <c r="N553" s="99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20.100000000000001" customHeight="1" x14ac:dyDescent="0.25">
      <c r="A554" s="100"/>
      <c r="B554" s="3"/>
      <c r="C554" s="4"/>
      <c r="D554" s="3"/>
      <c r="E554" s="3"/>
      <c r="F554" s="3"/>
      <c r="G554" s="101"/>
      <c r="H554" s="10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2" ht="20.100000000000001" customHeight="1" x14ac:dyDescent="0.25">
      <c r="A555" s="100"/>
      <c r="B555" s="3"/>
      <c r="C555" s="4"/>
      <c r="D555" s="3"/>
      <c r="E555" s="3"/>
      <c r="F555" s="3"/>
      <c r="G555" s="10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2" ht="20.100000000000001" customHeight="1" x14ac:dyDescent="0.25">
      <c r="A556" s="100"/>
      <c r="B556" s="3"/>
      <c r="C556" s="4"/>
      <c r="D556" s="3"/>
      <c r="E556" s="3"/>
      <c r="F556" s="3"/>
      <c r="G556" s="10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</sheetData>
  <mergeCells count="42">
    <mergeCell ref="Y36:Y37"/>
    <mergeCell ref="K29:K30"/>
    <mergeCell ref="L29:L30"/>
    <mergeCell ref="M29:M30"/>
    <mergeCell ref="A34:P34"/>
    <mergeCell ref="A35:P35"/>
    <mergeCell ref="A36:A37"/>
    <mergeCell ref="C36:C37"/>
    <mergeCell ref="D36:D37"/>
    <mergeCell ref="E36:E37"/>
    <mergeCell ref="F36:F37"/>
    <mergeCell ref="J36:J37"/>
    <mergeCell ref="K36:N36"/>
    <mergeCell ref="O36:O37"/>
    <mergeCell ref="P36:P37"/>
    <mergeCell ref="X36:X37"/>
    <mergeCell ref="S28:U28"/>
    <mergeCell ref="V28:X28"/>
    <mergeCell ref="Y28:AA28"/>
    <mergeCell ref="D29:D30"/>
    <mergeCell ref="E29:E30"/>
    <mergeCell ref="F29:F30"/>
    <mergeCell ref="G29:G30"/>
    <mergeCell ref="H29:H30"/>
    <mergeCell ref="I29:I30"/>
    <mergeCell ref="J29:J30"/>
    <mergeCell ref="X7:X8"/>
    <mergeCell ref="Y7:Y8"/>
    <mergeCell ref="L10:O10"/>
    <mergeCell ref="A18:C18"/>
    <mergeCell ref="D18:H18"/>
    <mergeCell ref="A5:P5"/>
    <mergeCell ref="A6:P6"/>
    <mergeCell ref="A7:A8"/>
    <mergeCell ref="C7:C8"/>
    <mergeCell ref="D7:D8"/>
    <mergeCell ref="E7:E8"/>
    <mergeCell ref="F7:F8"/>
    <mergeCell ref="J7:J8"/>
    <mergeCell ref="K7:N7"/>
    <mergeCell ref="O7:O8"/>
    <mergeCell ref="P7:P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- Clubhouse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M1</dc:creator>
  <cp:lastModifiedBy>Nishanth Bilimagga Hanumantha</cp:lastModifiedBy>
  <dcterms:created xsi:type="dcterms:W3CDTF">2026-06-26T06:20:41Z</dcterms:created>
  <dcterms:modified xsi:type="dcterms:W3CDTF">2026-07-17T05:21:27Z</dcterms:modified>
</cp:coreProperties>
</file>